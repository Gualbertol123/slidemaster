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F8EDFAAA-BA77-4F6F-9667-2B05F34D99B8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26" i="5" a="1"/>
  <c r="C26" i="5" s="1"/>
  <c r="D26" i="5" s="1"/>
  <c r="A6" i="3"/>
  <c r="A5" i="3"/>
  <c r="C23" i="3"/>
  <c r="A16" i="3"/>
  <c r="B13" i="3"/>
  <c r="A31" i="3"/>
  <c r="A15" i="3"/>
  <c r="A4" i="3"/>
  <c r="A26" i="3"/>
  <c r="A28" i="3"/>
  <c r="A12" i="3"/>
  <c r="B30" i="3"/>
  <c r="A24" i="3"/>
  <c r="B12" i="3"/>
  <c r="A27" i="3"/>
  <c r="B5" i="3"/>
  <c r="B4" i="3"/>
  <c r="C18" i="3"/>
  <c r="B28" i="3"/>
  <c r="C17" i="3"/>
  <c r="C14" i="3"/>
  <c r="A22" i="3"/>
  <c r="B21" i="3"/>
  <c r="C19" i="3"/>
  <c r="A17" i="3"/>
  <c r="B14" i="3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13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11" i="5" a="1"/>
  <c r="C11" i="5" s="1"/>
  <c r="D11" i="5" s="1"/>
  <c r="C42" i="5" a="1"/>
  <c r="C42" i="5" s="1"/>
  <c r="D42" i="5" s="1"/>
  <c r="C10" i="5" a="1"/>
  <c r="C10" i="5" s="1"/>
  <c r="D10" i="5" s="1"/>
  <c r="C40" i="5" a="1"/>
  <c r="C40" i="5" s="1"/>
  <c r="D40" i="5" s="1"/>
  <c r="C24" i="5" a="1"/>
  <c r="C24" i="5" s="1"/>
  <c r="D24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D8" i="8" s="1" a="1"/>
  <c r="D8" i="8" s="1"/>
  <c r="B23" i="5" a="1"/>
  <c r="B23" i="5" s="1"/>
  <c r="B15" i="5" a="1"/>
  <c r="B15" i="5" s="1"/>
  <c r="C7" i="7"/>
  <c r="C3" i="8"/>
  <c r="B38" i="5" a="1"/>
  <c r="B38" i="5" s="1"/>
  <c r="B30" i="5" a="1"/>
  <c r="B30" i="5" s="1"/>
  <c r="D7" i="8" s="1" a="1"/>
  <c r="D7" i="8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D14" i="8" s="1" a="1"/>
  <c r="D14" i="8" s="1"/>
  <c r="B29" i="5" a="1"/>
  <c r="B29" i="5" s="1"/>
  <c r="D6" i="8" s="1" a="1"/>
  <c r="D6" i="8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D5" i="8" s="1" a="1"/>
  <c r="D5" i="8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C30" i="3" l="1"/>
  <c r="C20" i="3"/>
  <c r="E5" i="8" a="1"/>
  <c r="E5" i="8" s="1"/>
  <c r="B19" i="3"/>
  <c r="E7" i="8" a="1"/>
  <c r="E7" i="8" s="1"/>
  <c r="F7" i="8" s="1"/>
  <c r="E6" i="8" a="1"/>
  <c r="E6" i="8" s="1"/>
  <c r="F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E10" i="8" a="1"/>
  <c r="E10" i="8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F12" i="8" l="1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C19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20" i="4" l="1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F7" i="7"/>
  <c r="B3" i="6"/>
  <c r="C14" i="4"/>
  <c r="C3" i="5"/>
  <c r="D6" i="9" s="1"/>
  <c r="F6" i="7"/>
  <c r="C5" i="4"/>
  <c r="C4" i="5"/>
  <c r="D7" i="9" s="1"/>
  <c r="F9" i="7"/>
  <c r="C6" i="4"/>
  <c r="C8" i="4"/>
  <c r="G3" i="5"/>
  <c r="E6" i="9" s="1"/>
  <c r="G4" i="5" l="1"/>
  <c r="E7" i="9" s="1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<sst xmlns="http://schemas.openxmlformats.org/spreadsheetml/2006/main" count="76" uniqueCount="41">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</sst>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11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58992.899999999994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5857.8999999999978</v>
      </c>
    </row>
    <row r="6" spans="1:2" x14ac:dyDescent="0.25">
      <c r="A6" t="s">
        <v>23</v>
      </c>
      <c r="B6">
        <f>FromPeers!B25</f>
        <v>11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52358</v>
      </c>
      <c r="E5" cm="1">
        <f t="array" ref="E5">INDEX(RegCalc!$C$10:$C$45,C5)</f>
        <v>358146</v>
      </c>
      <c r="F5">
        <f t="shared" ref="F5:F16" si="0">IFERROR(E5/D5,0)</f>
        <v>6.8403300355246568</v>
      </c>
    </row>
    <row r="6" spans="2:7" x14ac:dyDescent="0.25">
      <c r="C6">
        <f>FromModel!$B$9-12+ROW()-4</f>
        <v>20</v>
      </c>
      <c r="D6" cm="1">
        <f t="array" ref="D6">INDEX(RegCalc!$B$10:$B$45,C6)</f>
        <v>52640</v>
      </c>
      <c r="E6" cm="1">
        <f t="array" ref="E6">INDEX(RegCalc!$C$10:$C$45,C6)</f>
        <v>360486.5</v>
      </c>
      <c r="F6">
        <f t="shared" si="0"/>
        <v>6.8481477963525839</v>
      </c>
    </row>
    <row r="7" spans="2:7" x14ac:dyDescent="0.25">
      <c r="C7">
        <f>FromModel!$B$9-12+ROW()-4</f>
        <v>21</v>
      </c>
      <c r="D7" cm="1">
        <f t="array" ref="D7">INDEX(RegCalc!$B$10:$B$45,C7)</f>
        <v>52922</v>
      </c>
      <c r="E7" cm="1">
        <f t="array" ref="E7">INDEX(RegCalc!$C$10:$C$45,C7)</f>
        <v>362644.60000000003</v>
      </c>
      <c r="F7">
        <f t="shared" si="0"/>
        <v>6.8524356600279663</v>
      </c>
    </row>
    <row r="8" spans="2:7" x14ac:dyDescent="0.25">
      <c r="C8">
        <f>FromModel!$B$9-12+ROW()-4</f>
        <v>22</v>
      </c>
      <c r="D8" cm="1">
        <f t="array" ref="D8">INDEX(RegCalc!$B$10:$B$45,C8)</f>
        <v>53204</v>
      </c>
      <c r="E8" cm="1">
        <f t="array" ref="E8">INDEX(RegCalc!$C$10:$C$45,C8)</f>
        <v>365894.3</v>
      </c>
      <c r="F8">
        <f t="shared" si="0"/>
        <v>6.8771953236598753</v>
      </c>
    </row>
    <row r="9" spans="2:7" x14ac:dyDescent="0.25">
      <c r="C9">
        <f>FromModel!$B$9-12+ROW()-4</f>
        <v>23</v>
      </c>
      <c r="D9" cm="1">
        <f t="array" ref="D9">INDEX(RegCalc!$B$10:$B$45,C9)</f>
        <v>53486</v>
      </c>
      <c r="E9" cm="1">
        <f t="array" ref="E9">INDEX(RegCalc!$C$10:$C$45,C9)</f>
        <v>368054.60000000003</v>
      </c>
      <c r="F9">
        <f t="shared" si="0"/>
        <v>6.881325954455372</v>
      </c>
    </row>
    <row r="10" spans="2:7" x14ac:dyDescent="0.25">
      <c r="C10">
        <f>FromModel!$B$9-12+ROW()-4</f>
        <v>24</v>
      </c>
      <c r="D10" cm="1">
        <f t="array" ref="D10">INDEX(RegCalc!$B$10:$B$45,C10)</f>
        <v>53768</v>
      </c>
      <c r="E10" cm="1">
        <f t="array" ref="E10">INDEX(RegCalc!$C$10:$C$45,C10)</f>
        <v>370720.8</v>
      </c>
      <c r="F10">
        <f t="shared" si="0"/>
        <v>6.8948221990775176</v>
      </c>
    </row>
    <row r="11" spans="2:7" x14ac:dyDescent="0.25">
      <c r="C11">
        <f>FromModel!$B$9-12+ROW()-4</f>
        <v>25</v>
      </c>
      <c r="D11" cm="1">
        <f t="array" ref="D11">INDEX(RegCalc!$B$10:$B$45,C11)</f>
        <v>54050</v>
      </c>
      <c r="E11" cm="1">
        <f t="array" ref="E11">INDEX(RegCalc!$C$10:$C$45,C11)</f>
        <v>373032.39999999997</v>
      </c>
      <c r="F11">
        <f t="shared" si="0"/>
        <v>6.9016170212765955</v>
      </c>
    </row>
    <row r="12" spans="2:7" x14ac:dyDescent="0.25">
      <c r="C12">
        <f>FromModel!$B$9-12+ROW()-4</f>
        <v>26</v>
      </c>
      <c r="D12" cm="1">
        <f t="array" ref="D12">INDEX(RegCalc!$B$10:$B$45,C12)</f>
        <v>54332</v>
      </c>
      <c r="E12" cm="1">
        <f t="array" ref="E12">INDEX(RegCalc!$C$10:$C$45,C12)</f>
        <v>375684.69999999995</v>
      </c>
      <c r="F12">
        <f t="shared" si="0"/>
        <v>6.9146120150187729</v>
      </c>
    </row>
    <row r="13" spans="2:7" x14ac:dyDescent="0.25">
      <c r="C13">
        <f>FromModel!$B$9-12+ROW()-4</f>
        <v>27</v>
      </c>
      <c r="D13" cm="1">
        <f t="array" ref="D13">INDEX(RegCalc!$B$10:$B$45,C13)</f>
        <v>54614</v>
      </c>
      <c r="E13" cm="1">
        <f t="array" ref="E13">INDEX(RegCalc!$C$10:$C$45,C13)</f>
        <v>378262.60000000003</v>
      </c>
      <c r="F13">
        <f t="shared" si="0"/>
        <v>6.926110521111803</v>
      </c>
    </row>
    <row r="14" spans="2:7" x14ac:dyDescent="0.25">
      <c r="C14">
        <f>FromModel!$B$9-12+ROW()-4</f>
        <v>28</v>
      </c>
      <c r="D14" cm="1">
        <f t="array" ref="D14">INDEX(RegCalc!$B$10:$B$45,C14)</f>
        <v>54896</v>
      </c>
      <c r="E14" cm="1">
        <f t="array" ref="E14">INDEX(RegCalc!$C$10:$C$45,C14)</f>
        <v>380278.8</v>
      </c>
      <c r="F14">
        <f t="shared" si="0"/>
        <v>6.9272588166715243</v>
      </c>
    </row>
    <row r="15" spans="2:7" x14ac:dyDescent="0.25">
      <c r="C15">
        <f>FromModel!$B$9-12+ROW()-4</f>
        <v>29</v>
      </c>
      <c r="D15" cm="1">
        <f t="array" ref="D15">INDEX(RegCalc!$B$10:$B$45,C15)</f>
        <v>55178</v>
      </c>
      <c r="E15" cm="1">
        <f t="array" ref="E15">INDEX(RegCalc!$C$10:$C$45,C15)</f>
        <v>383328.10000000003</v>
      </c>
      <c r="F15">
        <f t="shared" si="0"/>
        <v>6.9471184167603033</v>
      </c>
    </row>
    <row r="16" spans="2:7" x14ac:dyDescent="0.25">
      <c r="C16">
        <f>FromModel!$B$9-12+ROW()-4</f>
        <v>30</v>
      </c>
      <c r="D16" cm="1">
        <f t="array" ref="D16">INDEX(RegCalc!$B$10:$B$45,C16)</f>
        <v>55460</v>
      </c>
      <c r="E16" cm="1">
        <f t="array" ref="E16">INDEX(RegCalc!$C$10:$C$45,C16)</f>
        <v>385668.4</v>
      </c>
      <c r="F16">
        <f t="shared" si="0"/>
        <v>6.9539920663541297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2026-10-17T11:54:46Z</dcterms:modified>
</cp:coreProperties>
</file>