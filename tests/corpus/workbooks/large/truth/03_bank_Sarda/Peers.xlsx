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2D4D66FC-9F3C-46B1-9F2E-0751EEBA0B12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6" i="3"/>
  <c r="D20" i="3"/>
  <c r="D27" i="3"/>
  <c r="C46" i="3" a="1"/>
  <c r="C46" i="3" s="1"/>
  <c r="C48" i="3" a="1"/>
  <c r="C48" i="3" s="1"/>
  <c r="C50" i="3" a="1"/>
  <c r="C50" i="3" s="1"/>
  <c r="C66" i="3" l="1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B50" i="3"/>
  <c r="B18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C11" i="3"/>
  <c r="B65" i="3"/>
  <c r="B33" i="5" s="1"/>
  <c r="B13" i="3"/>
  <c r="B4" i="4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H12" i="5" s="1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B24" i="6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9" i="5"/>
  <c r="G28" i="5"/>
  <c r="H2" i="5"/>
  <c r="G32" i="5"/>
  <c r="G12" i="5" l="1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D23" i="8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F10" i="9" s="1"/>
  <c r="E26" i="5"/>
  <c r="D26" i="5"/>
  <c r="D13" i="8"/>
  <c r="E10" i="4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D28" i="5" l="1"/>
  <c r="D13" i="9" a="1"/>
  <c r="D13" i="9" s="1"/>
  <c r="F13" i="9" s="1"/>
  <c r="F14" i="9"/>
  <c r="E19" i="4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F22" i="8"/>
  <c r="F19" i="4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20" i="4" l="1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<sst xmlns="http://schemas.openxmlformats.org/spreadsheetml/2006/main" count="1594" uniqueCount="78">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</sst>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Sarda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18</v>
          </cell>
        </row>
        <row r="8">
          <cell r="B8" t="str">
            <v>Isole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23391.300000000003</v>
          </cell>
          <cell r="D2">
            <v>1259.3400000000001</v>
          </cell>
        </row>
        <row r="3">
          <cell r="C3">
            <v>23436.2</v>
          </cell>
          <cell r="D3">
            <v>1262.92</v>
          </cell>
        </row>
        <row r="4">
          <cell r="C4">
            <v>23649.899999999998</v>
          </cell>
          <cell r="D4">
            <v>1273.78</v>
          </cell>
        </row>
        <row r="5">
          <cell r="C5">
            <v>23854.6</v>
          </cell>
          <cell r="D5">
            <v>1284.33</v>
          </cell>
        </row>
        <row r="6">
          <cell r="C6">
            <v>24133.199999999997</v>
          </cell>
          <cell r="D6">
            <v>1299.72</v>
          </cell>
        </row>
        <row r="7">
          <cell r="C7">
            <v>24206.9</v>
          </cell>
          <cell r="D7">
            <v>1303.8599999999999</v>
          </cell>
        </row>
        <row r="8">
          <cell r="C8">
            <v>24500.7</v>
          </cell>
          <cell r="D8">
            <v>1320.58</v>
          </cell>
        </row>
        <row r="9">
          <cell r="C9">
            <v>24701.500000000004</v>
          </cell>
          <cell r="D9">
            <v>1329.74</v>
          </cell>
        </row>
        <row r="10">
          <cell r="C10">
            <v>24755.800000000003</v>
          </cell>
          <cell r="D10">
            <v>1334.03</v>
          </cell>
        </row>
        <row r="11">
          <cell r="C11">
            <v>25011.199999999997</v>
          </cell>
          <cell r="D11">
            <v>1347.12</v>
          </cell>
        </row>
        <row r="12">
          <cell r="C12">
            <v>25224.300000000003</v>
          </cell>
          <cell r="D12">
            <v>1358.31</v>
          </cell>
        </row>
        <row r="13">
          <cell r="C13">
            <v>25405</v>
          </cell>
          <cell r="D13">
            <v>1368.8300000000002</v>
          </cell>
        </row>
        <row r="14">
          <cell r="C14">
            <v>25626.999999999996</v>
          </cell>
          <cell r="D14">
            <v>1379.58</v>
          </cell>
        </row>
        <row r="15">
          <cell r="C15">
            <v>25650.799999999999</v>
          </cell>
          <cell r="D15">
            <v>1381.0900000000001</v>
          </cell>
        </row>
        <row r="16">
          <cell r="C16">
            <v>25843.3</v>
          </cell>
          <cell r="D16">
            <v>1390.4</v>
          </cell>
        </row>
        <row r="17">
          <cell r="C17">
            <v>26143</v>
          </cell>
          <cell r="D17">
            <v>1406.9699999999998</v>
          </cell>
        </row>
        <row r="18">
          <cell r="C18">
            <v>26307.200000000001</v>
          </cell>
          <cell r="D18">
            <v>1417.66</v>
          </cell>
        </row>
        <row r="19">
          <cell r="C19">
            <v>26492.400000000001</v>
          </cell>
          <cell r="D19">
            <v>1426.35</v>
          </cell>
        </row>
        <row r="20">
          <cell r="C20">
            <v>26617.800000000003</v>
          </cell>
          <cell r="D20">
            <v>1431.6799999999998</v>
          </cell>
        </row>
        <row r="21">
          <cell r="C21">
            <v>26840.199999999997</v>
          </cell>
          <cell r="D21">
            <v>1445.05</v>
          </cell>
        </row>
        <row r="22">
          <cell r="C22">
            <v>26883.700000000004</v>
          </cell>
          <cell r="D22">
            <v>1446.6899999999998</v>
          </cell>
        </row>
        <row r="23">
          <cell r="C23">
            <v>27264.9</v>
          </cell>
          <cell r="D23">
            <v>1467.1299999999999</v>
          </cell>
        </row>
        <row r="24">
          <cell r="C24">
            <v>27384.199999999997</v>
          </cell>
          <cell r="D24">
            <v>1474.15</v>
          </cell>
        </row>
        <row r="25">
          <cell r="C25">
            <v>27616.399999999994</v>
          </cell>
          <cell r="D25">
            <v>1486.25</v>
          </cell>
        </row>
        <row r="26">
          <cell r="C26">
            <v>27807.9</v>
          </cell>
          <cell r="D26">
            <v>1497.94</v>
          </cell>
        </row>
        <row r="27">
          <cell r="C27">
            <v>27906.1</v>
          </cell>
          <cell r="D27">
            <v>1503.67</v>
          </cell>
        </row>
        <row r="28">
          <cell r="C28">
            <v>28172.5</v>
          </cell>
          <cell r="D28">
            <v>1516.6</v>
          </cell>
        </row>
        <row r="29">
          <cell r="C29">
            <v>28252.1</v>
          </cell>
          <cell r="D29">
            <v>1522.5300000000002</v>
          </cell>
        </row>
        <row r="30">
          <cell r="C30">
            <v>28538.1</v>
          </cell>
          <cell r="D30">
            <v>1536.95</v>
          </cell>
        </row>
        <row r="31">
          <cell r="C31">
            <v>28720.9</v>
          </cell>
          <cell r="D31">
            <v>1546.53</v>
          </cell>
        </row>
        <row r="32">
          <cell r="C32">
            <v>28966.400000000001</v>
          </cell>
          <cell r="D32">
            <v>1560.06</v>
          </cell>
        </row>
        <row r="33">
          <cell r="C33">
            <v>29047.800000000003</v>
          </cell>
          <cell r="D33">
            <v>1563.54</v>
          </cell>
        </row>
        <row r="34">
          <cell r="C34">
            <v>29286.600000000002</v>
          </cell>
          <cell r="D34">
            <v>1575.04</v>
          </cell>
        </row>
        <row r="35">
          <cell r="C35">
            <v>29456.800000000003</v>
          </cell>
          <cell r="D35">
            <v>1586.2600000000002</v>
          </cell>
        </row>
        <row r="36">
          <cell r="C36">
            <v>29699.000000000004</v>
          </cell>
          <cell r="D36">
            <v>1599.42</v>
          </cell>
        </row>
        <row r="37">
          <cell r="C37">
            <v>29778.7</v>
          </cell>
          <cell r="D37">
            <v>1603.5700000000002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28720.9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Sarda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18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Isole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23391.300000000003</v>
      </c>
      <c r="C34" cm="1">
        <f t="array" ref="C34">INDEX([1]Calc_Month!$D$2:$D$37,A34)</f>
        <v>1259.3400000000001</v>
      </c>
    </row>
    <row r="35" spans="1:3" x14ac:dyDescent="0.25">
      <c r="A35">
        <f t="shared" si="0"/>
        <v>2</v>
      </c>
      <c r="B35">
        <f>[1]Calc_Month!C3</f>
        <v>23436.2</v>
      </c>
      <c r="C35" cm="1">
        <f t="array" ref="C35">INDEX([1]Calc_Month!$D$2:$D$37,A35)</f>
        <v>1262.92</v>
      </c>
    </row>
    <row r="36" spans="1:3" x14ac:dyDescent="0.25">
      <c r="A36">
        <f t="shared" si="0"/>
        <v>3</v>
      </c>
      <c r="B36">
        <f>[1]Calc_Month!C4</f>
        <v>23649.899999999998</v>
      </c>
      <c r="C36" cm="1">
        <f t="array" ref="C36">INDEX([1]Calc_Month!$D$2:$D$37,A36)</f>
        <v>1273.78</v>
      </c>
    </row>
    <row r="37" spans="1:3" x14ac:dyDescent="0.25">
      <c r="A37">
        <f t="shared" si="0"/>
        <v>4</v>
      </c>
      <c r="B37">
        <f>[1]Calc_Month!C5</f>
        <v>23854.6</v>
      </c>
      <c r="C37" cm="1">
        <f t="array" ref="C37">INDEX([1]Calc_Month!$D$2:$D$37,A37)</f>
        <v>1284.33</v>
      </c>
    </row>
    <row r="38" spans="1:3" x14ac:dyDescent="0.25">
      <c r="A38">
        <f t="shared" si="0"/>
        <v>5</v>
      </c>
      <c r="B38">
        <f>[1]Calc_Month!C6</f>
        <v>24133.199999999997</v>
      </c>
      <c r="C38" cm="1">
        <f t="array" ref="C38">INDEX([1]Calc_Month!$D$2:$D$37,A38)</f>
        <v>1299.72</v>
      </c>
    </row>
    <row r="39" spans="1:3" x14ac:dyDescent="0.25">
      <c r="A39">
        <f t="shared" si="0"/>
        <v>6</v>
      </c>
      <c r="B39">
        <f>[1]Calc_Month!C7</f>
        <v>24206.9</v>
      </c>
      <c r="C39" cm="1">
        <f t="array" ref="C39">INDEX([1]Calc_Month!$D$2:$D$37,A39)</f>
        <v>1303.8599999999999</v>
      </c>
    </row>
    <row r="40" spans="1:3" x14ac:dyDescent="0.25">
      <c r="A40">
        <f t="shared" si="0"/>
        <v>7</v>
      </c>
      <c r="B40">
        <f>[1]Calc_Month!C8</f>
        <v>24500.7</v>
      </c>
      <c r="C40" cm="1">
        <f t="array" ref="C40">INDEX([1]Calc_Month!$D$2:$D$37,A40)</f>
        <v>1320.58</v>
      </c>
    </row>
    <row r="41" spans="1:3" x14ac:dyDescent="0.25">
      <c r="A41">
        <f t="shared" si="0"/>
        <v>8</v>
      </c>
      <c r="B41">
        <f>[1]Calc_Month!C9</f>
        <v>24701.500000000004</v>
      </c>
      <c r="C41" cm="1">
        <f t="array" ref="C41">INDEX([1]Calc_Month!$D$2:$D$37,A41)</f>
        <v>1329.74</v>
      </c>
    </row>
    <row r="42" spans="1:3" x14ac:dyDescent="0.25">
      <c r="A42">
        <f t="shared" si="0"/>
        <v>9</v>
      </c>
      <c r="B42">
        <f>[1]Calc_Month!C10</f>
        <v>24755.800000000003</v>
      </c>
      <c r="C42" cm="1">
        <f t="array" ref="C42">INDEX([1]Calc_Month!$D$2:$D$37,A42)</f>
        <v>1334.03</v>
      </c>
    </row>
    <row r="43" spans="1:3" x14ac:dyDescent="0.25">
      <c r="A43">
        <f t="shared" si="0"/>
        <v>10</v>
      </c>
      <c r="B43">
        <f>[1]Calc_Month!C11</f>
        <v>25011.199999999997</v>
      </c>
      <c r="C43" cm="1">
        <f t="array" ref="C43">INDEX([1]Calc_Month!$D$2:$D$37,A43)</f>
        <v>1347.12</v>
      </c>
    </row>
    <row r="44" spans="1:3" x14ac:dyDescent="0.25">
      <c r="A44">
        <f t="shared" si="0"/>
        <v>11</v>
      </c>
      <c r="B44">
        <f>[1]Calc_Month!C12</f>
        <v>25224.300000000003</v>
      </c>
      <c r="C44" cm="1">
        <f t="array" ref="C44">INDEX([1]Calc_Month!$D$2:$D$37,A44)</f>
        <v>1358.31</v>
      </c>
    </row>
    <row r="45" spans="1:3" x14ac:dyDescent="0.25">
      <c r="A45">
        <f t="shared" si="0"/>
        <v>12</v>
      </c>
      <c r="B45">
        <f>[1]Calc_Month!C13</f>
        <v>25405</v>
      </c>
      <c r="C45" cm="1">
        <f t="array" ref="C45">INDEX([1]Calc_Month!$D$2:$D$37,A45)</f>
        <v>1368.8300000000002</v>
      </c>
    </row>
    <row r="46" spans="1:3" x14ac:dyDescent="0.25">
      <c r="A46">
        <f t="shared" si="0"/>
        <v>13</v>
      </c>
      <c r="B46">
        <f>[1]Calc_Month!C14</f>
        <v>25626.999999999996</v>
      </c>
      <c r="C46" cm="1">
        <f t="array" ref="C46">INDEX([1]Calc_Month!$D$2:$D$37,A46)</f>
        <v>1379.58</v>
      </c>
    </row>
    <row r="47" spans="1:3" x14ac:dyDescent="0.25">
      <c r="A47">
        <f t="shared" si="0"/>
        <v>14</v>
      </c>
      <c r="B47">
        <f>[1]Calc_Month!C15</f>
        <v>25650.799999999999</v>
      </c>
      <c r="C47" cm="1">
        <f t="array" ref="C47">INDEX([1]Calc_Month!$D$2:$D$37,A47)</f>
        <v>1381.0900000000001</v>
      </c>
    </row>
    <row r="48" spans="1:3" x14ac:dyDescent="0.25">
      <c r="A48">
        <f t="shared" si="0"/>
        <v>15</v>
      </c>
      <c r="B48">
        <f>[1]Calc_Month!C16</f>
        <v>25843.3</v>
      </c>
      <c r="C48" cm="1">
        <f t="array" ref="C48">INDEX([1]Calc_Month!$D$2:$D$37,A48)</f>
        <v>1390.4</v>
      </c>
    </row>
    <row r="49" spans="1:3" x14ac:dyDescent="0.25">
      <c r="A49">
        <f t="shared" si="0"/>
        <v>16</v>
      </c>
      <c r="B49">
        <f>[1]Calc_Month!C17</f>
        <v>26143</v>
      </c>
      <c r="C49" cm="1">
        <f t="array" ref="C49">INDEX([1]Calc_Month!$D$2:$D$37,A49)</f>
        <v>1406.9699999999998</v>
      </c>
    </row>
    <row r="50" spans="1:3" x14ac:dyDescent="0.25">
      <c r="A50">
        <f t="shared" si="0"/>
        <v>17</v>
      </c>
      <c r="B50">
        <f>[1]Calc_Month!C18</f>
        <v>26307.200000000001</v>
      </c>
      <c r="C50" cm="1">
        <f t="array" ref="C50">INDEX([1]Calc_Month!$D$2:$D$37,A50)</f>
        <v>1417.66</v>
      </c>
    </row>
    <row r="51" spans="1:3" x14ac:dyDescent="0.25">
      <c r="A51">
        <f t="shared" si="0"/>
        <v>18</v>
      </c>
      <c r="B51">
        <f>[1]Calc_Month!C19</f>
        <v>26492.400000000001</v>
      </c>
      <c r="C51" cm="1">
        <f t="array" ref="C51">INDEX([1]Calc_Month!$D$2:$D$37,A51)</f>
        <v>1426.35</v>
      </c>
    </row>
    <row r="52" spans="1:3" x14ac:dyDescent="0.25">
      <c r="A52">
        <f t="shared" si="0"/>
        <v>19</v>
      </c>
      <c r="B52">
        <f>[1]Calc_Month!C20</f>
        <v>26617.800000000003</v>
      </c>
      <c r="C52" cm="1">
        <f t="array" ref="C52">INDEX([1]Calc_Month!$D$2:$D$37,A52)</f>
        <v>1431.6799999999998</v>
      </c>
    </row>
    <row r="53" spans="1:3" x14ac:dyDescent="0.25">
      <c r="A53">
        <f t="shared" si="0"/>
        <v>20</v>
      </c>
      <c r="B53">
        <f>[1]Calc_Month!C21</f>
        <v>26840.199999999997</v>
      </c>
      <c r="C53" cm="1">
        <f t="array" ref="C53">INDEX([1]Calc_Month!$D$2:$D$37,A53)</f>
        <v>1445.05</v>
      </c>
    </row>
    <row r="54" spans="1:3" x14ac:dyDescent="0.25">
      <c r="A54">
        <f t="shared" si="0"/>
        <v>21</v>
      </c>
      <c r="B54">
        <f>[1]Calc_Month!C22</f>
        <v>26883.700000000004</v>
      </c>
      <c r="C54" cm="1">
        <f t="array" ref="C54">INDEX([1]Calc_Month!$D$2:$D$37,A54)</f>
        <v>1446.6899999999998</v>
      </c>
    </row>
    <row r="55" spans="1:3" x14ac:dyDescent="0.25">
      <c r="A55">
        <f t="shared" si="0"/>
        <v>22</v>
      </c>
      <c r="B55">
        <f>[1]Calc_Month!C23</f>
        <v>27264.9</v>
      </c>
      <c r="C55" cm="1">
        <f t="array" ref="C55">INDEX([1]Calc_Month!$D$2:$D$37,A55)</f>
        <v>1467.1299999999999</v>
      </c>
    </row>
    <row r="56" spans="1:3" x14ac:dyDescent="0.25">
      <c r="A56">
        <f t="shared" si="0"/>
        <v>23</v>
      </c>
      <c r="B56">
        <f>[1]Calc_Month!C24</f>
        <v>27384.199999999997</v>
      </c>
      <c r="C56" cm="1">
        <f t="array" ref="C56">INDEX([1]Calc_Month!$D$2:$D$37,A56)</f>
        <v>1474.15</v>
      </c>
    </row>
    <row r="57" spans="1:3" x14ac:dyDescent="0.25">
      <c r="A57">
        <f t="shared" si="0"/>
        <v>24</v>
      </c>
      <c r="B57">
        <f>[1]Calc_Month!C25</f>
        <v>27616.399999999994</v>
      </c>
      <c r="C57" cm="1">
        <f t="array" ref="C57">INDEX([1]Calc_Month!$D$2:$D$37,A57)</f>
        <v>1486.25</v>
      </c>
    </row>
    <row r="58" spans="1:3" x14ac:dyDescent="0.25">
      <c r="A58">
        <f t="shared" si="0"/>
        <v>25</v>
      </c>
      <c r="B58">
        <f>[1]Calc_Month!C26</f>
        <v>27807.9</v>
      </c>
      <c r="C58" cm="1">
        <f t="array" ref="C58">INDEX([1]Calc_Month!$D$2:$D$37,A58)</f>
        <v>1497.94</v>
      </c>
    </row>
    <row r="59" spans="1:3" x14ac:dyDescent="0.25">
      <c r="A59">
        <f t="shared" si="0"/>
        <v>26</v>
      </c>
      <c r="B59">
        <f>[1]Calc_Month!C27</f>
        <v>27906.1</v>
      </c>
      <c r="C59" cm="1">
        <f t="array" ref="C59">INDEX([1]Calc_Month!$D$2:$D$37,A59)</f>
        <v>1503.67</v>
      </c>
    </row>
    <row r="60" spans="1:3" x14ac:dyDescent="0.25">
      <c r="A60">
        <f t="shared" si="0"/>
        <v>27</v>
      </c>
      <c r="B60">
        <f>[1]Calc_Month!C28</f>
        <v>28172.5</v>
      </c>
      <c r="C60" cm="1">
        <f t="array" ref="C60">INDEX([1]Calc_Month!$D$2:$D$37,A60)</f>
        <v>1516.6</v>
      </c>
    </row>
    <row r="61" spans="1:3" x14ac:dyDescent="0.25">
      <c r="A61">
        <f t="shared" si="0"/>
        <v>28</v>
      </c>
      <c r="B61">
        <f>[1]Calc_Month!C29</f>
        <v>28252.1</v>
      </c>
      <c r="C61" cm="1">
        <f t="array" ref="C61">INDEX([1]Calc_Month!$D$2:$D$37,A61)</f>
        <v>1522.5300000000002</v>
      </c>
    </row>
    <row r="62" spans="1:3" x14ac:dyDescent="0.25">
      <c r="A62">
        <f t="shared" si="0"/>
        <v>29</v>
      </c>
      <c r="B62">
        <f>[1]Calc_Month!C30</f>
        <v>28538.1</v>
      </c>
      <c r="C62" cm="1">
        <f t="array" ref="C62">INDEX([1]Calc_Month!$D$2:$D$37,A62)</f>
        <v>1536.95</v>
      </c>
    </row>
    <row r="63" spans="1:3" x14ac:dyDescent="0.25">
      <c r="A63">
        <f t="shared" si="0"/>
        <v>30</v>
      </c>
      <c r="B63">
        <f>[1]Calc_Month!C31</f>
        <v>28720.9</v>
      </c>
      <c r="C63" cm="1">
        <f t="array" ref="C63">INDEX([1]Calc_Month!$D$2:$D$37,A63)</f>
        <v>1546.53</v>
      </c>
    </row>
    <row r="64" spans="1:3" x14ac:dyDescent="0.25">
      <c r="A64">
        <f t="shared" si="0"/>
        <v>31</v>
      </c>
      <c r="B64">
        <f>[1]Calc_Month!C32</f>
        <v>28966.400000000001</v>
      </c>
      <c r="C64" cm="1">
        <f t="array" ref="C64">INDEX([1]Calc_Month!$D$2:$D$37,A64)</f>
        <v>1560.06</v>
      </c>
    </row>
    <row r="65" spans="1:3" x14ac:dyDescent="0.25">
      <c r="A65">
        <f t="shared" si="0"/>
        <v>32</v>
      </c>
      <c r="B65">
        <f>[1]Calc_Month!C33</f>
        <v>29047.800000000003</v>
      </c>
      <c r="C65" cm="1">
        <f t="array" ref="C65">INDEX([1]Calc_Month!$D$2:$D$37,A65)</f>
        <v>1563.54</v>
      </c>
    </row>
    <row r="66" spans="1:3" x14ac:dyDescent="0.25">
      <c r="A66">
        <f t="shared" si="0"/>
        <v>33</v>
      </c>
      <c r="B66">
        <f>[1]Calc_Month!C34</f>
        <v>29286.600000000002</v>
      </c>
      <c r="C66" cm="1">
        <f t="array" ref="C66">INDEX([1]Calc_Month!$D$2:$D$37,A66)</f>
        <v>1575.04</v>
      </c>
    </row>
    <row r="67" spans="1:3" x14ac:dyDescent="0.25">
      <c r="A67">
        <f t="shared" si="0"/>
        <v>34</v>
      </c>
      <c r="B67">
        <f>[1]Calc_Month!C35</f>
        <v>29456.800000000003</v>
      </c>
      <c r="C67" cm="1">
        <f t="array" ref="C67">INDEX([1]Calc_Month!$D$2:$D$37,A67)</f>
        <v>1586.2600000000002</v>
      </c>
    </row>
    <row r="68" spans="1:3" x14ac:dyDescent="0.25">
      <c r="A68">
        <f t="shared" si="0"/>
        <v>35</v>
      </c>
      <c r="B68">
        <f>[1]Calc_Month!C36</f>
        <v>29699.000000000004</v>
      </c>
      <c r="C68" cm="1">
        <f t="array" ref="C68">INDEX([1]Calc_Month!$D$2:$D$37,A68)</f>
        <v>1599.42</v>
      </c>
    </row>
    <row r="69" spans="1:3" x14ac:dyDescent="0.25">
      <c r="A69">
        <f t="shared" si="0"/>
        <v>36</v>
      </c>
      <c r="B69">
        <f>[1]Calc_Month!C37</f>
        <v>29778.7</v>
      </c>
      <c r="C69" cm="1">
        <f t="array" ref="C69">INDEX([1]Calc_Month!$D$2:$D$37,A69)</f>
        <v>1603.5700000000002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>&lt;&lt;</v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23391.300000000003</v>
      </c>
      <c r="C2">
        <f>SUMIFS(PeerData!C:C,PeerData!A:A,Link!$B$2,PeerData!B:B,A2)</f>
        <v>22514</v>
      </c>
      <c r="D2">
        <f t="shared" ref="D2:D37" si="1">B2-C2</f>
        <v>877.30000000000291</v>
      </c>
      <c r="E2">
        <f t="shared" ref="E2:E37" si="2">IFERROR(B2/C2,0)</f>
        <v>1.0389668650617394</v>
      </c>
      <c r="F2">
        <f>SUM($C$2:C2)</f>
        <v>22514</v>
      </c>
      <c r="G2">
        <f>HLOOKUP(A2,PeerGrid!$B$2:$AK$22,Link!$B$6+1,FALSE)</f>
        <v>22514</v>
      </c>
      <c r="H2">
        <f t="shared" ref="H2:H37" ca="1" si="3">AVERAGE(OFFSET(C2,-MIN(2,A2-1),0,MIN(3,A2),1))</f>
        <v>22514</v>
      </c>
    </row>
    <row r="3" spans="1:8" x14ac:dyDescent="0.25">
      <c r="A3">
        <f t="shared" si="0"/>
        <v>2</v>
      </c>
      <c r="B3">
        <f>Link!B35</f>
        <v>23436.2</v>
      </c>
      <c r="C3">
        <f>SUMIFS(PeerData!C:C,PeerData!A:A,Link!$B$2,PeerData!B:B,A3)</f>
        <v>22493</v>
      </c>
      <c r="D3">
        <f t="shared" si="1"/>
        <v>943.20000000000073</v>
      </c>
      <c r="E3">
        <f t="shared" si="2"/>
        <v>1.0419330458364824</v>
      </c>
      <c r="F3">
        <f>SUM($C$2:C3)</f>
        <v>45007</v>
      </c>
      <c r="G3">
        <f>HLOOKUP(A3,PeerGrid!$B$2:$AK$22,Link!$B$6+1,FALSE)</f>
        <v>22493</v>
      </c>
      <c r="H3">
        <f t="shared" ca="1" si="3"/>
        <v>22503.5</v>
      </c>
    </row>
    <row r="4" spans="1:8" x14ac:dyDescent="0.25">
      <c r="A4">
        <f t="shared" si="0"/>
        <v>3</v>
      </c>
      <c r="B4">
        <f>Link!B36</f>
        <v>23649.899999999998</v>
      </c>
      <c r="C4">
        <f>SUMIFS(PeerData!C:C,PeerData!A:A,Link!$B$2,PeerData!B:B,A4)</f>
        <v>22844.799999999999</v>
      </c>
      <c r="D4">
        <f t="shared" si="1"/>
        <v>805.09999999999854</v>
      </c>
      <c r="E4">
        <f t="shared" si="2"/>
        <v>1.0352421557641125</v>
      </c>
      <c r="F4">
        <f>SUM($C$2:C4)</f>
        <v>67851.8</v>
      </c>
      <c r="G4">
        <f>HLOOKUP(A4,PeerGrid!$B$2:$AK$22,Link!$B$6+1,FALSE)</f>
        <v>22844.799999999999</v>
      </c>
      <c r="H4">
        <f t="shared" ca="1" si="3"/>
        <v>22617.266666666666</v>
      </c>
    </row>
    <row r="5" spans="1:8" x14ac:dyDescent="0.25">
      <c r="A5">
        <f t="shared" si="0"/>
        <v>4</v>
      </c>
      <c r="B5">
        <f>Link!B37</f>
        <v>23854.6</v>
      </c>
      <c r="C5">
        <f>SUMIFS(PeerData!C:C,PeerData!A:A,Link!$B$2,PeerData!B:B,A5)</f>
        <v>22996.400000000001</v>
      </c>
      <c r="D5">
        <f t="shared" si="1"/>
        <v>858.19999999999709</v>
      </c>
      <c r="E5">
        <f t="shared" si="2"/>
        <v>1.0373188846949957</v>
      </c>
      <c r="F5">
        <f>SUM($C$2:C5)</f>
        <v>90848.200000000012</v>
      </c>
      <c r="G5">
        <f>HLOOKUP(A5,PeerGrid!$B$2:$AK$22,Link!$B$6+1,FALSE)</f>
        <v>22996.400000000001</v>
      </c>
      <c r="H5">
        <f t="shared" ca="1" si="3"/>
        <v>22778.066666666669</v>
      </c>
    </row>
    <row r="6" spans="1:8" x14ac:dyDescent="0.25">
      <c r="A6">
        <f t="shared" si="0"/>
        <v>5</v>
      </c>
      <c r="B6">
        <f>Link!B38</f>
        <v>24133.199999999997</v>
      </c>
      <c r="C6">
        <f>SUMIFS(PeerData!C:C,PeerData!A:A,Link!$B$2,PeerData!B:B,A6)</f>
        <v>22956.5</v>
      </c>
      <c r="D6">
        <f t="shared" si="1"/>
        <v>1176.6999999999971</v>
      </c>
      <c r="E6">
        <f t="shared" si="2"/>
        <v>1.0512578136911113</v>
      </c>
      <c r="F6">
        <f>SUM($C$2:C6)</f>
        <v>113804.70000000001</v>
      </c>
      <c r="G6">
        <f>HLOOKUP(A6,PeerGrid!$B$2:$AK$22,Link!$B$6+1,FALSE)</f>
        <v>22956.5</v>
      </c>
      <c r="H6">
        <f t="shared" ca="1" si="3"/>
        <v>22932.566666666666</v>
      </c>
    </row>
    <row r="7" spans="1:8" x14ac:dyDescent="0.25">
      <c r="A7">
        <f t="shared" si="0"/>
        <v>6</v>
      </c>
      <c r="B7">
        <f>Link!B39</f>
        <v>24206.9</v>
      </c>
      <c r="C7">
        <f>SUMIFS(PeerData!C:C,PeerData!A:A,Link!$B$2,PeerData!B:B,A7)</f>
        <v>23161.8</v>
      </c>
      <c r="D7">
        <f t="shared" si="1"/>
        <v>1045.1000000000022</v>
      </c>
      <c r="E7">
        <f t="shared" si="2"/>
        <v>1.045121709020888</v>
      </c>
      <c r="F7">
        <f>SUM($C$2:C7)</f>
        <v>136966.5</v>
      </c>
      <c r="G7">
        <f>HLOOKUP(A7,PeerGrid!$B$2:$AK$22,Link!$B$6+1,FALSE)</f>
        <v>23161.8</v>
      </c>
      <c r="H7">
        <f t="shared" ca="1" si="3"/>
        <v>23038.233333333334</v>
      </c>
    </row>
    <row r="8" spans="1:8" x14ac:dyDescent="0.25">
      <c r="A8">
        <f t="shared" si="0"/>
        <v>7</v>
      </c>
      <c r="B8">
        <f>Link!B40</f>
        <v>24500.7</v>
      </c>
      <c r="C8">
        <f>SUMIFS(PeerData!C:C,PeerData!A:A,Link!$B$2,PeerData!B:B,A8)</f>
        <v>23245.599999999999</v>
      </c>
      <c r="D8">
        <f t="shared" si="1"/>
        <v>1255.1000000000022</v>
      </c>
      <c r="E8">
        <f t="shared" si="2"/>
        <v>1.0539930137316311</v>
      </c>
      <c r="F8">
        <f>SUM($C$2:C8)</f>
        <v>160212.1</v>
      </c>
      <c r="G8">
        <f>HLOOKUP(A8,PeerGrid!$B$2:$AK$22,Link!$B$6+1,FALSE)</f>
        <v>23245.599999999999</v>
      </c>
      <c r="H8">
        <f t="shared" ca="1" si="3"/>
        <v>23121.3</v>
      </c>
    </row>
    <row r="9" spans="1:8" x14ac:dyDescent="0.25">
      <c r="A9">
        <f t="shared" si="0"/>
        <v>8</v>
      </c>
      <c r="B9">
        <f>Link!B41</f>
        <v>24701.500000000004</v>
      </c>
      <c r="C9">
        <f>SUMIFS(PeerData!C:C,PeerData!A:A,Link!$B$2,PeerData!B:B,A9)</f>
        <v>23607.1</v>
      </c>
      <c r="D9">
        <f t="shared" si="1"/>
        <v>1094.4000000000051</v>
      </c>
      <c r="E9">
        <f t="shared" si="2"/>
        <v>1.0463589343883835</v>
      </c>
      <c r="F9">
        <f>SUM($C$2:C9)</f>
        <v>183819.2</v>
      </c>
      <c r="G9">
        <f>HLOOKUP(A9,PeerGrid!$B$2:$AK$22,Link!$B$6+1,FALSE)</f>
        <v>23607.1</v>
      </c>
      <c r="H9">
        <f t="shared" ca="1" si="3"/>
        <v>23338.166666666668</v>
      </c>
    </row>
    <row r="10" spans="1:8" x14ac:dyDescent="0.25">
      <c r="A10">
        <f t="shared" si="0"/>
        <v>9</v>
      </c>
      <c r="B10">
        <f>Link!B42</f>
        <v>24755.800000000003</v>
      </c>
      <c r="C10">
        <f>SUMIFS(PeerData!C:C,PeerData!A:A,Link!$B$2,PeerData!B:B,A10)</f>
        <v>23777.200000000001</v>
      </c>
      <c r="D10">
        <f t="shared" si="1"/>
        <v>978.60000000000218</v>
      </c>
      <c r="E10">
        <f t="shared" si="2"/>
        <v>1.0411570748448093</v>
      </c>
      <c r="F10">
        <f>SUM($C$2:C10)</f>
        <v>207596.40000000002</v>
      </c>
      <c r="G10">
        <f>HLOOKUP(A10,PeerGrid!$B$2:$AK$22,Link!$B$6+1,FALSE)</f>
        <v>23777.200000000001</v>
      </c>
      <c r="H10">
        <f t="shared" ca="1" si="3"/>
        <v>23543.3</v>
      </c>
    </row>
    <row r="11" spans="1:8" x14ac:dyDescent="0.25">
      <c r="A11">
        <f t="shared" si="0"/>
        <v>10</v>
      </c>
      <c r="B11">
        <f>Link!B43</f>
        <v>25011.199999999997</v>
      </c>
      <c r="C11">
        <f>SUMIFS(PeerData!C:C,PeerData!A:A,Link!$B$2,PeerData!B:B,A11)</f>
        <v>23975.200000000001</v>
      </c>
      <c r="D11">
        <f t="shared" si="1"/>
        <v>1035.9999999999964</v>
      </c>
      <c r="E11">
        <f t="shared" si="2"/>
        <v>1.0432113183623075</v>
      </c>
      <c r="F11">
        <f>SUM($C$2:C11)</f>
        <v>231571.60000000003</v>
      </c>
      <c r="G11">
        <f>HLOOKUP(A11,PeerGrid!$B$2:$AK$22,Link!$B$6+1,FALSE)</f>
        <v>23975.200000000001</v>
      </c>
      <c r="H11">
        <f t="shared" ca="1" si="3"/>
        <v>23786.5</v>
      </c>
    </row>
    <row r="12" spans="1:8" x14ac:dyDescent="0.25">
      <c r="A12">
        <f t="shared" si="0"/>
        <v>11</v>
      </c>
      <c r="B12">
        <f>Link!B44</f>
        <v>25224.300000000003</v>
      </c>
      <c r="C12">
        <f>SUMIFS(PeerData!C:C,PeerData!A:A,Link!$B$2,PeerData!B:B,A12)</f>
        <v>24245.7</v>
      </c>
      <c r="D12">
        <f t="shared" si="1"/>
        <v>978.60000000000218</v>
      </c>
      <c r="E12">
        <f t="shared" si="2"/>
        <v>1.0403617961123004</v>
      </c>
      <c r="F12">
        <f>SUM($C$2:C12)</f>
        <v>255817.30000000005</v>
      </c>
      <c r="G12">
        <f>HLOOKUP(A12,PeerGrid!$B$2:$AK$22,Link!$B$6+1,FALSE)</f>
        <v>24245.7</v>
      </c>
      <c r="H12">
        <f t="shared" ca="1" si="3"/>
        <v>23999.366666666669</v>
      </c>
    </row>
    <row r="13" spans="1:8" x14ac:dyDescent="0.25">
      <c r="A13">
        <f t="shared" si="0"/>
        <v>12</v>
      </c>
      <c r="B13">
        <f>Link!B45</f>
        <v>25405</v>
      </c>
      <c r="C13">
        <f>SUMIFS(PeerData!C:C,PeerData!A:A,Link!$B$2,PeerData!B:B,A13)</f>
        <v>24370.2</v>
      </c>
      <c r="D13">
        <f t="shared" si="1"/>
        <v>1034.7999999999993</v>
      </c>
      <c r="E13">
        <f t="shared" si="2"/>
        <v>1.0424616950209682</v>
      </c>
      <c r="F13">
        <f>SUM($C$2:C13)</f>
        <v>280187.50000000006</v>
      </c>
      <c r="G13">
        <f>HLOOKUP(A13,PeerGrid!$B$2:$AK$22,Link!$B$6+1,FALSE)</f>
        <v>24370.2</v>
      </c>
      <c r="H13">
        <f t="shared" ca="1" si="3"/>
        <v>24197.033333333336</v>
      </c>
    </row>
    <row r="14" spans="1:8" x14ac:dyDescent="0.25">
      <c r="A14">
        <f t="shared" si="0"/>
        <v>13</v>
      </c>
      <c r="B14">
        <f>Link!B46</f>
        <v>25626.999999999996</v>
      </c>
      <c r="C14">
        <f>SUMIFS(PeerData!C:C,PeerData!A:A,Link!$B$2,PeerData!B:B,A14)</f>
        <v>24226.7</v>
      </c>
      <c r="D14">
        <f t="shared" si="1"/>
        <v>1400.2999999999956</v>
      </c>
      <c r="E14">
        <f t="shared" si="2"/>
        <v>1.0577998654377194</v>
      </c>
      <c r="F14">
        <f>SUM($C$2:C14)</f>
        <v>304414.20000000007</v>
      </c>
      <c r="G14">
        <f>HLOOKUP(A14,PeerGrid!$B$2:$AK$22,Link!$B$6+1,FALSE)</f>
        <v>24226.7</v>
      </c>
      <c r="H14">
        <f t="shared" ca="1" si="3"/>
        <v>24280.866666666669</v>
      </c>
    </row>
    <row r="15" spans="1:8" x14ac:dyDescent="0.25">
      <c r="A15">
        <f t="shared" si="0"/>
        <v>14</v>
      </c>
      <c r="B15">
        <f>Link!B47</f>
        <v>25650.799999999999</v>
      </c>
      <c r="C15">
        <f>SUMIFS(PeerData!C:C,PeerData!A:A,Link!$B$2,PeerData!B:B,A15)</f>
        <v>24437.9</v>
      </c>
      <c r="D15">
        <f t="shared" si="1"/>
        <v>1212.8999999999978</v>
      </c>
      <c r="E15">
        <f t="shared" si="2"/>
        <v>1.0496319241833381</v>
      </c>
      <c r="F15">
        <f>SUM($C$2:C15)</f>
        <v>328852.10000000009</v>
      </c>
      <c r="G15">
        <f>HLOOKUP(A15,PeerGrid!$B$2:$AK$22,Link!$B$6+1,FALSE)</f>
        <v>24437.9</v>
      </c>
      <c r="H15">
        <f t="shared" ca="1" si="3"/>
        <v>24344.933333333334</v>
      </c>
    </row>
    <row r="16" spans="1:8" x14ac:dyDescent="0.25">
      <c r="A16">
        <f t="shared" si="0"/>
        <v>15</v>
      </c>
      <c r="B16">
        <f>Link!B48</f>
        <v>25843.3</v>
      </c>
      <c r="C16">
        <f>SUMIFS(PeerData!C:C,PeerData!A:A,Link!$B$2,PeerData!B:B,A16)</f>
        <v>24572.1</v>
      </c>
      <c r="D16">
        <f t="shared" si="1"/>
        <v>1271.2000000000007</v>
      </c>
      <c r="E16">
        <f t="shared" si="2"/>
        <v>1.0517334700737828</v>
      </c>
      <c r="F16">
        <f>SUM($C$2:C16)</f>
        <v>353424.20000000007</v>
      </c>
      <c r="G16">
        <f>HLOOKUP(A16,PeerGrid!$B$2:$AK$22,Link!$B$6+1,FALSE)</f>
        <v>24572.1</v>
      </c>
      <c r="H16">
        <f t="shared" ca="1" si="3"/>
        <v>24412.233333333337</v>
      </c>
    </row>
    <row r="17" spans="1:8" x14ac:dyDescent="0.25">
      <c r="A17">
        <f t="shared" si="0"/>
        <v>16</v>
      </c>
      <c r="B17">
        <f>Link!B49</f>
        <v>26143</v>
      </c>
      <c r="C17">
        <f>SUMIFS(PeerData!C:C,PeerData!A:A,Link!$B$2,PeerData!B:B,A17)</f>
        <v>24883.7</v>
      </c>
      <c r="D17">
        <f t="shared" si="1"/>
        <v>1259.2999999999993</v>
      </c>
      <c r="E17">
        <f t="shared" si="2"/>
        <v>1.0506074257445637</v>
      </c>
      <c r="F17">
        <f>SUM($C$2:C17)</f>
        <v>378307.90000000008</v>
      </c>
      <c r="G17">
        <f>HLOOKUP(A17,PeerGrid!$B$2:$AK$22,Link!$B$6+1,FALSE)</f>
        <v>24883.7</v>
      </c>
      <c r="H17">
        <f t="shared" ca="1" si="3"/>
        <v>24631.233333333334</v>
      </c>
    </row>
    <row r="18" spans="1:8" x14ac:dyDescent="0.25">
      <c r="A18">
        <f t="shared" si="0"/>
        <v>17</v>
      </c>
      <c r="B18">
        <f>Link!B50</f>
        <v>26307.200000000001</v>
      </c>
      <c r="C18">
        <f>SUMIFS(PeerData!C:C,PeerData!A:A,Link!$B$2,PeerData!B:B,A18)</f>
        <v>24983.8</v>
      </c>
      <c r="D18">
        <f t="shared" si="1"/>
        <v>1323.4000000000015</v>
      </c>
      <c r="E18">
        <f t="shared" si="2"/>
        <v>1.0529703247704514</v>
      </c>
      <c r="F18">
        <f>SUM($C$2:C18)</f>
        <v>403291.70000000007</v>
      </c>
      <c r="G18">
        <f>HLOOKUP(A18,PeerGrid!$B$2:$AK$22,Link!$B$6+1,FALSE)</f>
        <v>24983.8</v>
      </c>
      <c r="H18">
        <f t="shared" ca="1" si="3"/>
        <v>24813.200000000001</v>
      </c>
    </row>
    <row r="19" spans="1:8" x14ac:dyDescent="0.25">
      <c r="A19">
        <f t="shared" si="0"/>
        <v>18</v>
      </c>
      <c r="B19">
        <f>Link!B51</f>
        <v>26492.400000000001</v>
      </c>
      <c r="C19">
        <f>SUMIFS(PeerData!C:C,PeerData!A:A,Link!$B$2,PeerData!B:B,A19)</f>
        <v>25208</v>
      </c>
      <c r="D19">
        <f t="shared" si="1"/>
        <v>1284.4000000000015</v>
      </c>
      <c r="E19">
        <f t="shared" si="2"/>
        <v>1.0509520787051729</v>
      </c>
      <c r="F19">
        <f>SUM($C$2:C19)</f>
        <v>428499.70000000007</v>
      </c>
      <c r="G19">
        <f>HLOOKUP(A19,PeerGrid!$B$2:$AK$22,Link!$B$6+1,FALSE)</f>
        <v>25208</v>
      </c>
      <c r="H19">
        <f t="shared" ca="1" si="3"/>
        <v>25025.166666666668</v>
      </c>
    </row>
    <row r="20" spans="1:8" x14ac:dyDescent="0.25">
      <c r="A20">
        <f t="shared" si="0"/>
        <v>19</v>
      </c>
      <c r="B20">
        <f>Link!B52</f>
        <v>26617.800000000003</v>
      </c>
      <c r="C20">
        <f>SUMIFS(PeerData!C:C,PeerData!A:A,Link!$B$2,PeerData!B:B,A20)</f>
        <v>25380.3</v>
      </c>
      <c r="D20">
        <f t="shared" si="1"/>
        <v>1237.5000000000036</v>
      </c>
      <c r="E20">
        <f t="shared" si="2"/>
        <v>1.0487582889091147</v>
      </c>
      <c r="F20">
        <f>SUM($C$2:C20)</f>
        <v>453880.00000000006</v>
      </c>
      <c r="G20">
        <f>HLOOKUP(A20,PeerGrid!$B$2:$AK$22,Link!$B$6+1,FALSE)</f>
        <v>25380.3</v>
      </c>
      <c r="H20">
        <f t="shared" ca="1" si="3"/>
        <v>25190.7</v>
      </c>
    </row>
    <row r="21" spans="1:8" x14ac:dyDescent="0.25">
      <c r="A21">
        <f t="shared" si="0"/>
        <v>20</v>
      </c>
      <c r="B21">
        <f>Link!B53</f>
        <v>26840.199999999997</v>
      </c>
      <c r="C21">
        <f>SUMIFS(PeerData!C:C,PeerData!A:A,Link!$B$2,PeerData!B:B,A21)</f>
        <v>25678.3</v>
      </c>
      <c r="D21">
        <f t="shared" si="1"/>
        <v>1161.8999999999978</v>
      </c>
      <c r="E21">
        <f t="shared" si="2"/>
        <v>1.045248322513562</v>
      </c>
      <c r="F21">
        <f>SUM($C$2:C21)</f>
        <v>479558.30000000005</v>
      </c>
      <c r="G21">
        <f>HLOOKUP(A21,PeerGrid!$B$2:$AK$22,Link!$B$6+1,FALSE)</f>
        <v>25678.3</v>
      </c>
      <c r="H21">
        <f t="shared" ca="1" si="3"/>
        <v>25422.2</v>
      </c>
    </row>
    <row r="22" spans="1:8" x14ac:dyDescent="0.25">
      <c r="A22">
        <f t="shared" si="0"/>
        <v>21</v>
      </c>
      <c r="B22">
        <f>Link!B54</f>
        <v>26883.700000000004</v>
      </c>
      <c r="C22">
        <f>SUMIFS(PeerData!C:C,PeerData!A:A,Link!$B$2,PeerData!B:B,A22)</f>
        <v>25757.9</v>
      </c>
      <c r="D22">
        <f t="shared" si="1"/>
        <v>1125.8000000000029</v>
      </c>
      <c r="E22">
        <f t="shared" si="2"/>
        <v>1.0437069792180265</v>
      </c>
      <c r="F22">
        <f>SUM($C$2:C22)</f>
        <v>505316.20000000007</v>
      </c>
      <c r="G22">
        <f>HLOOKUP(A22,PeerGrid!$B$2:$AK$22,Link!$B$6+1,FALSE)</f>
        <v>25757.9</v>
      </c>
      <c r="H22">
        <f t="shared" ca="1" si="3"/>
        <v>25605.5</v>
      </c>
    </row>
    <row r="23" spans="1:8" x14ac:dyDescent="0.25">
      <c r="A23">
        <f t="shared" si="0"/>
        <v>22</v>
      </c>
      <c r="B23">
        <f>Link!B55</f>
        <v>27264.9</v>
      </c>
      <c r="C23">
        <f>SUMIFS(PeerData!C:C,PeerData!A:A,Link!$B$2,PeerData!B:B,A23)</f>
        <v>25774.6</v>
      </c>
      <c r="D23">
        <f t="shared" si="1"/>
        <v>1490.3000000000029</v>
      </c>
      <c r="E23">
        <f t="shared" si="2"/>
        <v>1.0578204899397081</v>
      </c>
      <c r="F23">
        <f>SUM($C$2:C23)</f>
        <v>531090.80000000005</v>
      </c>
      <c r="G23">
        <f>HLOOKUP(A23,PeerGrid!$B$2:$AK$22,Link!$B$6+1,FALSE)</f>
        <v>25774.6</v>
      </c>
      <c r="H23">
        <f t="shared" ca="1" si="3"/>
        <v>25736.933333333331</v>
      </c>
    </row>
    <row r="24" spans="1:8" x14ac:dyDescent="0.25">
      <c r="A24">
        <f t="shared" si="0"/>
        <v>23</v>
      </c>
      <c r="B24">
        <f>Link!B56</f>
        <v>27384.199999999997</v>
      </c>
      <c r="C24">
        <f>SUMIFS(PeerData!C:C,PeerData!A:A,Link!$B$2,PeerData!B:B,A24)</f>
        <v>26016</v>
      </c>
      <c r="D24">
        <f t="shared" si="1"/>
        <v>1368.1999999999971</v>
      </c>
      <c r="E24">
        <f t="shared" si="2"/>
        <v>1.0525907134071339</v>
      </c>
      <c r="F24">
        <f>SUM($C$2:C24)</f>
        <v>557106.80000000005</v>
      </c>
      <c r="G24">
        <f>HLOOKUP(A24,PeerGrid!$B$2:$AK$22,Link!$B$6+1,FALSE)</f>
        <v>26016</v>
      </c>
      <c r="H24">
        <f t="shared" ca="1" si="3"/>
        <v>25849.5</v>
      </c>
    </row>
    <row r="25" spans="1:8" x14ac:dyDescent="0.25">
      <c r="A25">
        <f t="shared" si="0"/>
        <v>24</v>
      </c>
      <c r="B25">
        <f>Link!B57</f>
        <v>27616.399999999994</v>
      </c>
      <c r="C25">
        <f>SUMIFS(PeerData!C:C,PeerData!A:A,Link!$B$2,PeerData!B:B,A25)</f>
        <v>26317.599999999999</v>
      </c>
      <c r="D25">
        <f t="shared" si="1"/>
        <v>1298.7999999999956</v>
      </c>
      <c r="E25">
        <f t="shared" si="2"/>
        <v>1.0493510046508798</v>
      </c>
      <c r="F25">
        <f>SUM($C$2:C25)</f>
        <v>583424.4</v>
      </c>
      <c r="G25">
        <f>HLOOKUP(A25,PeerGrid!$B$2:$AK$22,Link!$B$6+1,FALSE)</f>
        <v>26317.599999999999</v>
      </c>
      <c r="H25">
        <f t="shared" ca="1" si="3"/>
        <v>26036.066666666666</v>
      </c>
    </row>
    <row r="26" spans="1:8" x14ac:dyDescent="0.25">
      <c r="A26">
        <f t="shared" si="0"/>
        <v>25</v>
      </c>
      <c r="B26">
        <f>Link!B58</f>
        <v>27807.9</v>
      </c>
      <c r="C26">
        <f>SUMIFS(PeerData!C:C,PeerData!A:A,Link!$B$2,PeerData!B:B,A26)</f>
        <v>26194.6</v>
      </c>
      <c r="D26">
        <f t="shared" si="1"/>
        <v>1613.3000000000029</v>
      </c>
      <c r="E26">
        <f t="shared" si="2"/>
        <v>1.0615890298000352</v>
      </c>
      <c r="F26">
        <f>SUM($C$2:C26)</f>
        <v>609619</v>
      </c>
      <c r="G26">
        <f>HLOOKUP(A26,PeerGrid!$B$2:$AK$22,Link!$B$6+1,FALSE)</f>
        <v>26194.6</v>
      </c>
      <c r="H26">
        <f t="shared" ca="1" si="3"/>
        <v>26176.066666666666</v>
      </c>
    </row>
    <row r="27" spans="1:8" x14ac:dyDescent="0.25">
      <c r="A27">
        <f t="shared" si="0"/>
        <v>26</v>
      </c>
      <c r="B27">
        <f>Link!B59</f>
        <v>27906.1</v>
      </c>
      <c r="C27">
        <f>SUMIFS(PeerData!C:C,PeerData!A:A,Link!$B$2,PeerData!B:B,A27)</f>
        <v>26380.9</v>
      </c>
      <c r="D27">
        <f t="shared" si="1"/>
        <v>1525.1999999999971</v>
      </c>
      <c r="E27">
        <f t="shared" si="2"/>
        <v>1.057814555227456</v>
      </c>
      <c r="F27">
        <f>SUM($C$2:C27)</f>
        <v>635999.9</v>
      </c>
      <c r="G27">
        <f>HLOOKUP(A27,PeerGrid!$B$2:$AK$22,Link!$B$6+1,FALSE)</f>
        <v>26380.9</v>
      </c>
      <c r="H27">
        <f t="shared" ca="1" si="3"/>
        <v>26297.7</v>
      </c>
    </row>
    <row r="28" spans="1:8" x14ac:dyDescent="0.25">
      <c r="A28">
        <f t="shared" si="0"/>
        <v>27</v>
      </c>
      <c r="B28">
        <f>Link!B60</f>
        <v>28172.5</v>
      </c>
      <c r="C28">
        <f>SUMIFS(PeerData!C:C,PeerData!A:A,Link!$B$2,PeerData!B:B,A28)</f>
        <v>26645.599999999999</v>
      </c>
      <c r="D28">
        <f t="shared" si="1"/>
        <v>1526.9000000000015</v>
      </c>
      <c r="E28">
        <f t="shared" si="2"/>
        <v>1.0573040201759389</v>
      </c>
      <c r="F28">
        <f>SUM($C$2:C28)</f>
        <v>662645.5</v>
      </c>
      <c r="G28">
        <f>HLOOKUP(A28,PeerGrid!$B$2:$AK$22,Link!$B$6+1,FALSE)</f>
        <v>26645.599999999999</v>
      </c>
      <c r="H28">
        <f t="shared" ca="1" si="3"/>
        <v>26407.033333333336</v>
      </c>
    </row>
    <row r="29" spans="1:8" x14ac:dyDescent="0.25">
      <c r="A29">
        <f t="shared" si="0"/>
        <v>28</v>
      </c>
      <c r="B29">
        <f>Link!B61</f>
        <v>28252.1</v>
      </c>
      <c r="C29">
        <f>SUMIFS(PeerData!C:C,PeerData!A:A,Link!$B$2,PeerData!B:B,A29)</f>
        <v>26900.1</v>
      </c>
      <c r="D29">
        <f t="shared" si="1"/>
        <v>1352</v>
      </c>
      <c r="E29">
        <f t="shared" si="2"/>
        <v>1.0502600362080439</v>
      </c>
      <c r="F29">
        <f>SUM($C$2:C29)</f>
        <v>689545.6</v>
      </c>
      <c r="G29">
        <f>HLOOKUP(A29,PeerGrid!$B$2:$AK$22,Link!$B$6+1,FALSE)</f>
        <v>26900.1</v>
      </c>
      <c r="H29">
        <f t="shared" ca="1" si="3"/>
        <v>26642.2</v>
      </c>
    </row>
    <row r="30" spans="1:8" x14ac:dyDescent="0.25">
      <c r="A30">
        <f t="shared" si="0"/>
        <v>29</v>
      </c>
      <c r="B30">
        <f>Link!B62</f>
        <v>28538.1</v>
      </c>
      <c r="C30">
        <f>SUMIFS(PeerData!C:C,PeerData!A:A,Link!$B$2,PeerData!B:B,A30)</f>
        <v>27077.4</v>
      </c>
      <c r="D30">
        <f t="shared" si="1"/>
        <v>1460.6999999999971</v>
      </c>
      <c r="E30">
        <f t="shared" si="2"/>
        <v>1.0539453566442862</v>
      </c>
      <c r="F30">
        <f>SUM($C$2:C30)</f>
        <v>716623</v>
      </c>
      <c r="G30">
        <f>HLOOKUP(A30,PeerGrid!$B$2:$AK$22,Link!$B$6+1,FALSE)</f>
        <v>27077.4</v>
      </c>
      <c r="H30">
        <f t="shared" ca="1" si="3"/>
        <v>26874.366666666669</v>
      </c>
    </row>
    <row r="31" spans="1:8" x14ac:dyDescent="0.25">
      <c r="A31">
        <f t="shared" si="0"/>
        <v>30</v>
      </c>
      <c r="B31">
        <f>Link!B63</f>
        <v>28720.9</v>
      </c>
      <c r="C31">
        <f>SUMIFS(PeerData!C:C,PeerData!A:A,Link!$B$2,PeerData!B:B,A31)</f>
        <v>27309.599999999999</v>
      </c>
      <c r="D31">
        <f t="shared" si="1"/>
        <v>1411.3000000000029</v>
      </c>
      <c r="E31">
        <f t="shared" si="2"/>
        <v>1.0516777982833876</v>
      </c>
      <c r="F31">
        <f>SUM($C$2:C31)</f>
        <v>743932.6</v>
      </c>
      <c r="G31">
        <f>HLOOKUP(A31,PeerGrid!$B$2:$AK$22,Link!$B$6+1,FALSE)</f>
        <v>27309.599999999999</v>
      </c>
      <c r="H31">
        <f t="shared" ca="1" si="3"/>
        <v>27095.7</v>
      </c>
    </row>
    <row r="32" spans="1:8" x14ac:dyDescent="0.25">
      <c r="A32">
        <f t="shared" si="0"/>
        <v>31</v>
      </c>
      <c r="B32">
        <f>Link!B64</f>
        <v>28966.400000000001</v>
      </c>
      <c r="C32">
        <f>SUMIFS(PeerData!C:C,PeerData!A:A,Link!$B$2,PeerData!B:B,A32)</f>
        <v>27523.5</v>
      </c>
      <c r="D32">
        <f t="shared" si="1"/>
        <v>1442.9000000000015</v>
      </c>
      <c r="E32">
        <f t="shared" si="2"/>
        <v>1.0524242919686813</v>
      </c>
      <c r="F32">
        <f>SUM($C$2:C32)</f>
        <v>771456.1</v>
      </c>
      <c r="G32">
        <f>HLOOKUP(A32,PeerGrid!$B$2:$AK$22,Link!$B$6+1,FALSE)</f>
        <v>27523.5</v>
      </c>
      <c r="H32">
        <f t="shared" ca="1" si="3"/>
        <v>27303.5</v>
      </c>
    </row>
    <row r="33" spans="1:8" x14ac:dyDescent="0.25">
      <c r="A33">
        <f t="shared" si="0"/>
        <v>32</v>
      </c>
      <c r="B33">
        <f>Link!B65</f>
        <v>29047.800000000003</v>
      </c>
      <c r="C33">
        <f>SUMIFS(PeerData!C:C,PeerData!A:A,Link!$B$2,PeerData!B:B,A33)</f>
        <v>27690</v>
      </c>
      <c r="D33">
        <f t="shared" si="1"/>
        <v>1357.8000000000029</v>
      </c>
      <c r="E33">
        <f t="shared" si="2"/>
        <v>1.049035752979415</v>
      </c>
      <c r="F33">
        <f>SUM($C$2:C33)</f>
        <v>799146.1</v>
      </c>
      <c r="G33">
        <f>HLOOKUP(A33,PeerGrid!$B$2:$AK$22,Link!$B$6+1,FALSE)</f>
        <v>27690</v>
      </c>
      <c r="H33">
        <f t="shared" ca="1" si="3"/>
        <v>27507.7</v>
      </c>
    </row>
    <row r="34" spans="1:8" x14ac:dyDescent="0.25">
      <c r="A34">
        <f t="shared" si="0"/>
        <v>33</v>
      </c>
      <c r="B34">
        <f>Link!B66</f>
        <v>29286.600000000002</v>
      </c>
      <c r="C34">
        <f>SUMIFS(PeerData!C:C,PeerData!A:A,Link!$B$2,PeerData!B:B,A34)</f>
        <v>27522.799999999999</v>
      </c>
      <c r="D34">
        <f t="shared" si="1"/>
        <v>1763.8000000000029</v>
      </c>
      <c r="E34">
        <f t="shared" si="2"/>
        <v>1.0640850494862442</v>
      </c>
      <c r="F34">
        <f>SUM($C$2:C34)</f>
        <v>826668.9</v>
      </c>
      <c r="G34">
        <f>HLOOKUP(A34,PeerGrid!$B$2:$AK$22,Link!$B$6+1,FALSE)</f>
        <v>27522.799999999999</v>
      </c>
      <c r="H34">
        <f t="shared" ca="1" si="3"/>
        <v>27578.766666666666</v>
      </c>
    </row>
    <row r="35" spans="1:8" x14ac:dyDescent="0.25">
      <c r="A35">
        <f t="shared" si="0"/>
        <v>34</v>
      </c>
      <c r="B35">
        <f>Link!B67</f>
        <v>29456.800000000003</v>
      </c>
      <c r="C35">
        <f>SUMIFS(PeerData!C:C,PeerData!A:A,Link!$B$2,PeerData!B:B,A35)</f>
        <v>28021.8</v>
      </c>
      <c r="D35">
        <f t="shared" si="1"/>
        <v>1435.0000000000036</v>
      </c>
      <c r="E35">
        <f t="shared" si="2"/>
        <v>1.0512101292565075</v>
      </c>
      <c r="F35">
        <f>SUM($C$2:C35)</f>
        <v>854690.70000000007</v>
      </c>
      <c r="G35">
        <f>HLOOKUP(A35,PeerGrid!$B$2:$AK$22,Link!$B$6+1,FALSE)</f>
        <v>28021.8</v>
      </c>
      <c r="H35">
        <f t="shared" ca="1" si="3"/>
        <v>27744.866666666669</v>
      </c>
    </row>
    <row r="36" spans="1:8" x14ac:dyDescent="0.25">
      <c r="A36">
        <f t="shared" si="0"/>
        <v>35</v>
      </c>
      <c r="B36">
        <f>Link!B68</f>
        <v>29699.000000000004</v>
      </c>
      <c r="C36">
        <f>SUMIFS(PeerData!C:C,PeerData!A:A,Link!$B$2,PeerData!B:B,A36)</f>
        <v>28214.3</v>
      </c>
      <c r="D36">
        <f t="shared" si="1"/>
        <v>1484.7000000000044</v>
      </c>
      <c r="E36">
        <f t="shared" si="2"/>
        <v>1.0526222518368347</v>
      </c>
      <c r="F36">
        <f>SUM($C$2:C36)</f>
        <v>882905.00000000012</v>
      </c>
      <c r="G36">
        <f>HLOOKUP(A36,PeerGrid!$B$2:$AK$22,Link!$B$6+1,FALSE)</f>
        <v>28214.3</v>
      </c>
      <c r="H36">
        <f t="shared" ca="1" si="3"/>
        <v>27919.633333333331</v>
      </c>
    </row>
    <row r="37" spans="1:8" x14ac:dyDescent="0.25">
      <c r="A37">
        <f t="shared" si="0"/>
        <v>36</v>
      </c>
      <c r="B37">
        <f>Link!B69</f>
        <v>29778.7</v>
      </c>
      <c r="C37">
        <f>SUMIFS(PeerData!C:C,PeerData!A:A,Link!$B$2,PeerData!B:B,A37)</f>
        <v>28319.200000000001</v>
      </c>
      <c r="D37">
        <f t="shared" si="1"/>
        <v>1459.5</v>
      </c>
      <c r="E37">
        <f t="shared" si="2"/>
        <v>1.0515374728099665</v>
      </c>
      <c r="F37">
        <f>SUM($C$2:C37)</f>
        <v>911224.20000000007</v>
      </c>
      <c r="G37">
        <f>HLOOKUP(A37,PeerGrid!$B$2:$AK$22,Link!$B$6+1,FALSE)</f>
        <v>28319.200000000001</v>
      </c>
      <c r="H37">
        <f t="shared" ca="1" si="3"/>
        <v>28185.100000000002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27309.599999999999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5.1677798283387637E-2</v>
      </c>
    </row>
    <row r="3" spans="1:2" x14ac:dyDescent="0.25">
      <c r="A3" t="s">
        <v>63</v>
      </c>
      <c r="B3">
        <f>_xlfn.XLOOKUP(Link!B2,Compare!A2:A21,Compare!I2:I21)</f>
        <v>11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05%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57441.8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Sarda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>&lt;&lt;</v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Sarda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26617.800000000003</v>
      </c>
      <c r="E5" cm="1">
        <f t="array" ref="E5">INDEX(PeerTrend!$C$2:$C$37,C5)</f>
        <v>25380.3</v>
      </c>
      <c r="F5">
        <f t="shared" ref="F5:F16" si="0">D5-E5</f>
        <v>1237.5000000000036</v>
      </c>
      <c r="G5" cm="1">
        <f t="array" aca="1" ref="G5" ca="1">INDEX(PeerTrend!$H$2:$H$37,C5)</f>
        <v>25190.7</v>
      </c>
    </row>
    <row r="6" spans="2:8" x14ac:dyDescent="0.25">
      <c r="C6">
        <f>Link!$B$3-12+ROW()-4</f>
        <v>20</v>
      </c>
      <c r="D6" cm="1">
        <f t="array" ref="D6">INDEX(PeerTrend!$B$2:$B$37,C6)</f>
        <v>26840.199999999997</v>
      </c>
      <c r="E6" cm="1">
        <f t="array" ref="E6">INDEX(PeerTrend!$C$2:$C$37,C6)</f>
        <v>25678.3</v>
      </c>
      <c r="F6">
        <f t="shared" si="0"/>
        <v>1161.8999999999978</v>
      </c>
      <c r="G6" cm="1">
        <f t="array" aca="1" ref="G6" ca="1">INDEX(PeerTrend!$H$2:$H$37,C6)</f>
        <v>25422.2</v>
      </c>
    </row>
    <row r="7" spans="2:8" x14ac:dyDescent="0.25">
      <c r="C7">
        <f>Link!$B$3-12+ROW()-4</f>
        <v>21</v>
      </c>
      <c r="D7" cm="1">
        <f t="array" ref="D7">INDEX(PeerTrend!$B$2:$B$37,C7)</f>
        <v>26883.700000000004</v>
      </c>
      <c r="E7" cm="1">
        <f t="array" ref="E7">INDEX(PeerTrend!$C$2:$C$37,C7)</f>
        <v>25757.9</v>
      </c>
      <c r="F7">
        <f t="shared" si="0"/>
        <v>1125.8000000000029</v>
      </c>
      <c r="G7" cm="1">
        <f t="array" aca="1" ref="G7" ca="1">INDEX(PeerTrend!$H$2:$H$37,C7)</f>
        <v>25605.5</v>
      </c>
    </row>
    <row r="8" spans="2:8" x14ac:dyDescent="0.25">
      <c r="C8">
        <f>Link!$B$3-12+ROW()-4</f>
        <v>22</v>
      </c>
      <c r="D8" cm="1">
        <f t="array" ref="D8">INDEX(PeerTrend!$B$2:$B$37,C8)</f>
        <v>27264.9</v>
      </c>
      <c r="E8" cm="1">
        <f t="array" ref="E8">INDEX(PeerTrend!$C$2:$C$37,C8)</f>
        <v>25774.6</v>
      </c>
      <c r="F8">
        <f t="shared" si="0"/>
        <v>1490.3000000000029</v>
      </c>
      <c r="G8" cm="1">
        <f t="array" aca="1" ref="G8" ca="1">INDEX(PeerTrend!$H$2:$H$37,C8)</f>
        <v>25736.933333333331</v>
      </c>
    </row>
    <row r="9" spans="2:8" x14ac:dyDescent="0.25">
      <c r="C9">
        <f>Link!$B$3-12+ROW()-4</f>
        <v>23</v>
      </c>
      <c r="D9" cm="1">
        <f t="array" ref="D9">INDEX(PeerTrend!$B$2:$B$37,C9)</f>
        <v>27384.199999999997</v>
      </c>
      <c r="E9" cm="1">
        <f t="array" ref="E9">INDEX(PeerTrend!$C$2:$C$37,C9)</f>
        <v>26016</v>
      </c>
      <c r="F9">
        <f t="shared" si="0"/>
        <v>1368.1999999999971</v>
      </c>
      <c r="G9" cm="1">
        <f t="array" aca="1" ref="G9" ca="1">INDEX(PeerTrend!$H$2:$H$37,C9)</f>
        <v>25849.5</v>
      </c>
    </row>
    <row r="10" spans="2:8" x14ac:dyDescent="0.25">
      <c r="C10">
        <f>Link!$B$3-12+ROW()-4</f>
        <v>24</v>
      </c>
      <c r="D10" cm="1">
        <f t="array" ref="D10">INDEX(PeerTrend!$B$2:$B$37,C10)</f>
        <v>27616.399999999994</v>
      </c>
      <c r="E10" cm="1">
        <f t="array" ref="E10">INDEX(PeerTrend!$C$2:$C$37,C10)</f>
        <v>26317.599999999999</v>
      </c>
      <c r="F10">
        <f t="shared" si="0"/>
        <v>1298.7999999999956</v>
      </c>
      <c r="G10" cm="1">
        <f t="array" aca="1" ref="G10" ca="1">INDEX(PeerTrend!$H$2:$H$37,C10)</f>
        <v>26036.066666666666</v>
      </c>
    </row>
    <row r="11" spans="2:8" x14ac:dyDescent="0.25">
      <c r="C11">
        <f>Link!$B$3-12+ROW()-4</f>
        <v>25</v>
      </c>
      <c r="D11" cm="1">
        <f t="array" ref="D11">INDEX(PeerTrend!$B$2:$B$37,C11)</f>
        <v>27807.9</v>
      </c>
      <c r="E11" cm="1">
        <f t="array" ref="E11">INDEX(PeerTrend!$C$2:$C$37,C11)</f>
        <v>26194.6</v>
      </c>
      <c r="F11">
        <f t="shared" si="0"/>
        <v>1613.3000000000029</v>
      </c>
      <c r="G11" cm="1">
        <f t="array" aca="1" ref="G11" ca="1">INDEX(PeerTrend!$H$2:$H$37,C11)</f>
        <v>26176.066666666666</v>
      </c>
    </row>
    <row r="12" spans="2:8" x14ac:dyDescent="0.25">
      <c r="C12">
        <f>Link!$B$3-12+ROW()-4</f>
        <v>26</v>
      </c>
      <c r="D12" cm="1">
        <f t="array" ref="D12">INDEX(PeerTrend!$B$2:$B$37,C12)</f>
        <v>27906.1</v>
      </c>
      <c r="E12" cm="1">
        <f t="array" ref="E12">INDEX(PeerTrend!$C$2:$C$37,C12)</f>
        <v>26380.9</v>
      </c>
      <c r="F12">
        <f t="shared" si="0"/>
        <v>1525.1999999999971</v>
      </c>
      <c r="G12" cm="1">
        <f t="array" aca="1" ref="G12" ca="1">INDEX(PeerTrend!$H$2:$H$37,C12)</f>
        <v>26297.7</v>
      </c>
    </row>
    <row r="13" spans="2:8" x14ac:dyDescent="0.25">
      <c r="C13">
        <f>Link!$B$3-12+ROW()-4</f>
        <v>27</v>
      </c>
      <c r="D13" cm="1">
        <f t="array" ref="D13">INDEX(PeerTrend!$B$2:$B$37,C13)</f>
        <v>28172.5</v>
      </c>
      <c r="E13" cm="1">
        <f t="array" ref="E13">INDEX(PeerTrend!$C$2:$C$37,C13)</f>
        <v>26645.599999999999</v>
      </c>
      <c r="F13">
        <f t="shared" si="0"/>
        <v>1526.9000000000015</v>
      </c>
      <c r="G13" cm="1">
        <f t="array" aca="1" ref="G13" ca="1">INDEX(PeerTrend!$H$2:$H$37,C13)</f>
        <v>26407.033333333336</v>
      </c>
    </row>
    <row r="14" spans="2:8" x14ac:dyDescent="0.25">
      <c r="C14">
        <f>Link!$B$3-12+ROW()-4</f>
        <v>28</v>
      </c>
      <c r="D14" cm="1">
        <f t="array" ref="D14">INDEX(PeerTrend!$B$2:$B$37,C14)</f>
        <v>28252.1</v>
      </c>
      <c r="E14" cm="1">
        <f t="array" ref="E14">INDEX(PeerTrend!$C$2:$C$37,C14)</f>
        <v>26900.1</v>
      </c>
      <c r="F14">
        <f t="shared" si="0"/>
        <v>1352</v>
      </c>
      <c r="G14" cm="1">
        <f t="array" aca="1" ref="G14" ca="1">INDEX(PeerTrend!$H$2:$H$37,C14)</f>
        <v>26642.2</v>
      </c>
    </row>
    <row r="15" spans="2:8" x14ac:dyDescent="0.25">
      <c r="C15">
        <f>Link!$B$3-12+ROW()-4</f>
        <v>29</v>
      </c>
      <c r="D15" cm="1">
        <f t="array" ref="D15">INDEX(PeerTrend!$B$2:$B$37,C15)</f>
        <v>28538.1</v>
      </c>
      <c r="E15" cm="1">
        <f t="array" ref="E15">INDEX(PeerTrend!$C$2:$C$37,C15)</f>
        <v>27077.4</v>
      </c>
      <c r="F15">
        <f t="shared" si="0"/>
        <v>1460.6999999999971</v>
      </c>
      <c r="G15" cm="1">
        <f t="array" aca="1" ref="G15" ca="1">INDEX(PeerTrend!$H$2:$H$37,C15)</f>
        <v>26874.366666666669</v>
      </c>
    </row>
    <row r="16" spans="2:8" x14ac:dyDescent="0.25">
      <c r="C16">
        <f>Link!$B$3-12+ROW()-4</f>
        <v>30</v>
      </c>
      <c r="D16" cm="1">
        <f t="array" ref="D16">INDEX(PeerTrend!$B$2:$B$37,C16)</f>
        <v>28720.9</v>
      </c>
      <c r="E16" cm="1">
        <f t="array" ref="E16">INDEX(PeerTrend!$C$2:$C$37,C16)</f>
        <v>27309.599999999999</v>
      </c>
      <c r="F16">
        <f t="shared" si="0"/>
        <v>1411.3000000000029</v>
      </c>
      <c r="G16" cm="1">
        <f t="array" aca="1" ref="G16" ca="1">INDEX(PeerTrend!$H$2:$H$37,C16)</f>
        <v>27095.7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2026-10-17T11:54:46Z</dcterms:modified>
</cp:coreProperties>
</file>