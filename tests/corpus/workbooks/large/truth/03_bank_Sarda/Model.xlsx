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1C761CA3-AE01-4A03-8E7A-1090CEC84265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N18" i="16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I13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E19" i="16"/>
  <c r="N19" i="16" s="1"/>
  <c r="E20" i="16"/>
  <c r="N20" i="16" s="1"/>
  <c r="E21" i="16"/>
  <c r="N21" i="16" s="1"/>
  <c r="C4" i="16"/>
  <c r="H4" i="16" s="1"/>
  <c r="E7" i="34" s="1"/>
  <c r="C20" i="16"/>
  <c r="H20" i="16" s="1"/>
  <c r="E23" i="34" s="1"/>
  <c r="A2" i="16"/>
  <c r="A3" i="16"/>
  <c r="A4" i="16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Q3" i="13" s="1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D3" i="13" s="1"/>
  <c r="H5" i="31" s="1" a="1"/>
  <c r="H5" i="31" s="1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I5" i="13" s="1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Y5" i="13" s="1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Q7" i="13" s="1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F9" i="13" s="1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AK10" i="13" s="1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N11" i="13" s="1"/>
  <c r="O11" i="12"/>
  <c r="P11" i="12"/>
  <c r="P57" i="12" s="1"/>
  <c r="Q11" i="12"/>
  <c r="Q11" i="13" s="1"/>
  <c r="R11" i="12"/>
  <c r="S11" i="12"/>
  <c r="S57" i="12" s="1"/>
  <c r="T11" i="12"/>
  <c r="T57" i="12" s="1"/>
  <c r="U11" i="12"/>
  <c r="U11" i="13" s="1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C12" i="13" s="1"/>
  <c r="G14" i="31" s="1" a="1"/>
  <c r="G14" i="31" s="1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F13" i="13" s="1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Y13" i="13" s="1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K2" i="10"/>
  <c r="C2" i="10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W17" i="9"/>
  <c r="R20" i="9"/>
  <c r="S20" i="9" s="1"/>
  <c r="P2" i="9"/>
  <c r="P17" i="9"/>
  <c r="M17" i="9"/>
  <c r="E17" i="9"/>
  <c r="B2" i="9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F18" i="8"/>
  <c r="D2" i="8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F27" i="8" l="1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K2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I22" i="17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K27" i="8"/>
  <c r="P9" i="9"/>
  <c r="C16" i="8"/>
  <c r="B20" i="9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21" i="9"/>
  <c r="V9" i="9"/>
  <c r="L2" i="11"/>
  <c r="J5" i="26" s="1"/>
  <c r="B35" i="8"/>
  <c r="T35" i="8" s="1"/>
  <c r="H11" i="8" a="1"/>
  <c r="H11" i="8" s="1"/>
  <c r="M2" i="8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G4" i="8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P8" i="9"/>
  <c r="T10" i="9" a="1"/>
  <c r="T10" i="9" s="1"/>
  <c r="W10" i="9"/>
  <c r="X10" i="9" s="1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18" i="8"/>
  <c r="L2" i="8"/>
  <c r="B13" i="8"/>
  <c r="E9" i="43" a="1"/>
  <c r="E9" i="43" s="1"/>
  <c r="N24" i="8"/>
  <c r="H35" i="8" a="1"/>
  <c r="H35" i="8" s="1"/>
  <c r="H8" i="8" a="1"/>
  <c r="H8" i="8" s="1"/>
  <c r="M26" i="8"/>
  <c r="B20" i="22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O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Z20" i="9"/>
  <c r="P17" i="8"/>
  <c r="A32" i="21"/>
  <c r="A14" i="22"/>
  <c r="C17" i="39" s="1"/>
  <c r="R14" i="9"/>
  <c r="S14" i="9" s="1"/>
  <c r="N14" i="9"/>
  <c r="O14" i="9" s="1"/>
  <c r="B14" i="9"/>
  <c r="F7" i="47"/>
  <c r="P28" i="8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Q31" i="8" s="1"/>
  <c r="F31" i="8"/>
  <c r="B31" i="8"/>
  <c r="D15" i="8"/>
  <c r="F15" i="8"/>
  <c r="B15" i="8"/>
  <c r="B10" i="8"/>
  <c r="M21" i="8"/>
  <c r="I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I17" i="8"/>
  <c r="K34" i="8"/>
  <c r="K4" i="8"/>
  <c r="M18" i="8"/>
  <c r="N28" i="8"/>
  <c r="R30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P16" i="8"/>
  <c r="M16" i="8"/>
  <c r="I16" i="8"/>
  <c r="M15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L10" i="8" s="1"/>
  <c r="F9" i="8"/>
  <c r="R9" i="8" s="1"/>
  <c r="B9" i="8"/>
  <c r="B26" i="8"/>
  <c r="E10" i="8"/>
  <c r="F20" i="8"/>
  <c r="E5" i="46" s="1" a="1"/>
  <c r="E5" i="46" s="1"/>
  <c r="J14" i="46" s="1"/>
  <c r="G32" i="8"/>
  <c r="H28" i="8" a="1"/>
  <c r="H28" i="8" s="1"/>
  <c r="I28" i="8" s="1"/>
  <c r="H14" i="8" a="1"/>
  <c r="H14" i="8" s="1"/>
  <c r="L29" i="8"/>
  <c r="N16" i="8"/>
  <c r="I12" i="9"/>
  <c r="R24" i="8"/>
  <c r="B24" i="8"/>
  <c r="P33" i="8"/>
  <c r="E36" i="8"/>
  <c r="E9" i="8"/>
  <c r="Q9" i="8" s="1"/>
  <c r="H27" i="8" a="1"/>
  <c r="H27" i="8" s="1"/>
  <c r="I27" i="8" s="1"/>
  <c r="N15" i="8"/>
  <c r="D7" i="32"/>
  <c r="B4" i="22"/>
  <c r="K4" i="16"/>
  <c r="G7" i="34" s="1"/>
  <c r="H4" i="9"/>
  <c r="Q4" i="9"/>
  <c r="E21" i="9"/>
  <c r="N16" i="9"/>
  <c r="O16" i="9" s="1"/>
  <c r="O6" i="9"/>
  <c r="X2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P15" i="8" s="1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Q32" i="8"/>
  <c r="E8" i="8"/>
  <c r="H25" i="8" a="1"/>
  <c r="H25" i="8" s="1"/>
  <c r="K19" i="8"/>
  <c r="M33" i="8"/>
  <c r="B6" i="9"/>
  <c r="I6" i="9"/>
  <c r="T20" i="9" a="1"/>
  <c r="T20" i="9" s="1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B9" i="22"/>
  <c r="K9" i="16"/>
  <c r="G12" i="34" s="1"/>
  <c r="Q9" i="9"/>
  <c r="H9" i="9"/>
  <c r="F5" i="47"/>
  <c r="N6" i="10"/>
  <c r="O6" i="10" s="1" a="1"/>
  <c r="O6" i="10" s="1"/>
  <c r="J9" i="27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B4" i="23" a="1"/>
  <c r="B4" i="23" s="1"/>
  <c r="G28" i="8"/>
  <c r="E13" i="47" s="1" a="1"/>
  <c r="E13" i="47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I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F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O12" i="8" s="1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J3" i="9" s="1"/>
  <c r="M19" i="9"/>
  <c r="M3" i="9"/>
  <c r="O11" i="9"/>
  <c r="Q19" i="9"/>
  <c r="Q3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Y3" i="9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L6" i="10"/>
  <c r="H9" i="27" s="1"/>
  <c r="B3" i="22"/>
  <c r="D6" i="32"/>
  <c r="K3" i="16"/>
  <c r="G6" i="34" s="1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4" i="23" a="1"/>
  <c r="C4" i="23" s="1"/>
  <c r="E7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X9" i="9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F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E7" i="35" a="1"/>
  <c r="E7" i="35" s="1"/>
  <c r="F11" i="36"/>
  <c r="D11" i="36"/>
  <c r="F13" i="43"/>
  <c r="E13" i="43" a="1"/>
  <c r="E13" i="43" s="1"/>
  <c r="F16" i="45"/>
  <c r="F5" i="44"/>
  <c r="F10" i="46"/>
  <c r="E10" i="46" a="1"/>
  <c r="E10" i="46" s="1"/>
  <c r="D5" i="29" a="1"/>
  <c r="D5" i="29" s="1"/>
  <c r="F7" i="45"/>
  <c r="E7" i="45" a="1"/>
  <c r="E7" i="45" s="1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D9" i="35" a="1"/>
  <c r="D9" i="35" s="1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13" i="45" a="1"/>
  <c r="E13" i="45" s="1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F7" i="41" l="1"/>
  <c r="J7" i="27"/>
  <c r="D23" i="32"/>
  <c r="I24" i="17"/>
  <c r="E9" i="35" s="1" a="1"/>
  <c r="E9" i="35" s="1"/>
  <c r="F20" i="30"/>
  <c r="G19" i="8"/>
  <c r="R32" i="8"/>
  <c r="E12" i="45" a="1"/>
  <c r="E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S28" i="8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S11" i="8" s="1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O23" i="8"/>
  <c r="B24" i="21"/>
  <c r="E9" i="32" s="1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B20" i="21"/>
  <c r="E5" i="32" s="1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B22" i="21"/>
  <c r="E7" i="32" s="1"/>
  <c r="F7" i="32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J9" i="44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S12" i="8" s="1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J13" i="44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J12" i="44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J15" i="44" l="1"/>
  <c r="F8" i="32"/>
  <c r="H9" i="45"/>
  <c r="I9" i="45" s="1"/>
  <c r="F8" i="42"/>
  <c r="S22" i="8"/>
  <c r="B21" i="21"/>
  <c r="E6" i="32" s="1"/>
  <c r="F6" i="32" s="1"/>
  <c r="D9" i="22"/>
  <c r="E9" i="22" s="1"/>
  <c r="D7" i="22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E7" i="22"/>
  <c r="F7" i="22" s="1"/>
  <c r="G7" i="22" s="1"/>
  <c r="H7" i="22" s="1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4" i="32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<sst xmlns="http://schemas.openxmlformats.org/spreadsheetml/2006/main" count="18064" uniqueCount="327">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</sst>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5.1677798283387637E-2</v>
          </cell>
        </row>
        <row r="3">
          <cell r="B3">
            <v>11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05%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11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42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18</v>
      </c>
    </row>
    <row r="7" spans="1:2" x14ac:dyDescent="0.25">
      <c r="A7" t="s">
        <v>45</v>
      </c>
      <c r="B7" t="str">
        <f>VLOOKUP(B2,Banks!$A$2:$H$21,2,FALSE)</f>
        <v>B118</v>
      </c>
    </row>
    <row r="8" spans="1:2" x14ac:dyDescent="0.25">
      <c r="A8" t="s">
        <v>121</v>
      </c>
      <c r="B8" t="str">
        <f>_xlfn.XLOOKUP(B2,Banks!$A$2:$A$21,Banks!$C$2:$C$21,"n.d.",0)</f>
        <v>Isole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Sarda (B118)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5.1677798283387637E-2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Lombardi</v>
      </c>
    </row>
    <row r="24" spans="1:2" x14ac:dyDescent="0.25">
      <c r="A24" t="s">
        <v>47</v>
      </c>
      <c r="B24" t="str" cm="1">
        <f t="array" ref="B24">INDEX(Banks!$E$2:$E$21,B6)</f>
        <v>Media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23391.300000000003</v>
      </c>
      <c r="D2">
        <f>SUMIFS(Data!$F$2:$F$5761,Data!$A$2:$A$5761,Control!$B$2,Data!$B$2:$B$5761,A2)</f>
        <v>1259.3400000000001</v>
      </c>
      <c r="E2">
        <f>SUMIFS(Data!$G$2:$G$5761,Data!$A$2:$A$5761,Control!$B$2,Data!$B$2:$B$5761,A2)</f>
        <v>761.04</v>
      </c>
      <c r="F2">
        <f>SUMIFS(Data!$H$2:$H$5761,Data!$A$2:$A$5761,Control!$B$2,Data!$B$2:$B$5761,A2)</f>
        <v>2441</v>
      </c>
      <c r="G2">
        <f t="shared" ref="G2:G37" si="2">D2-E2</f>
        <v>498.30000000000018</v>
      </c>
      <c r="H2" cm="1">
        <f t="array" ref="H2">INDEX(Budget!$B$2:$AK$21,Control!$B$6,MATCH(A2,Budget!$B$1:$AK$1,0))</f>
        <v>23363</v>
      </c>
      <c r="I2">
        <f t="shared" ref="I2:I37" si="3">IFERROR(C2/H2-1,0)</f>
        <v>1.2113170397638484E-3</v>
      </c>
      <c r="J2">
        <f t="shared" ref="J2:J37" si="4">SUMIFS($C$2:$C$37,$K$2:$K$37,K2,$A$2:$A$37,"&lt;="&amp;A2)</f>
        <v>23391.300000000003</v>
      </c>
      <c r="K2">
        <f t="shared" ref="K2:K37" si="5">YEAR(B2)</f>
        <v>2024</v>
      </c>
      <c r="L2">
        <f t="shared" ref="L2:L37" ca="1" si="6">AVERAGE(OFFSET(C2,-MIN(2,A2-1),0,MIN(3,A2),1))</f>
        <v>23391.300000000003</v>
      </c>
      <c r="M2">
        <f>C2*_xlfn.XLOOKUP(A2,FX!$A$2:$A$37,FX!$C$2:$C$37)</f>
        <v>24747.995400000003</v>
      </c>
      <c r="N2">
        <f>C2*(1+Control!$B$4)^(A2/12)</f>
        <v>23448.989256124889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0.60431654676258983</v>
      </c>
      <c r="R2">
        <f t="shared" ref="R2:R37" si="10">ROUND(IFERROR(D2/F2,0),2)</f>
        <v>0.52</v>
      </c>
      <c r="S2" t="str">
        <f t="shared" ref="S2:S37" si="11">IF(AND(I2&gt;0,G2&gt;0),"sopra",IF(OR(I2&lt;-0.05,G2&lt;0),"sotto","in linea"))</f>
        <v>sopra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23391.300000000003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23436.2</v>
      </c>
      <c r="D3">
        <f>SUMIFS(Data!$F$2:$F$5761,Data!$A$2:$A$5761,Control!$B$2,Data!$B$2:$B$5761,A3)</f>
        <v>1262.92</v>
      </c>
      <c r="E3">
        <f>SUMIFS(Data!$G$2:$G$5761,Data!$A$2:$A$5761,Control!$B$2,Data!$B$2:$B$5761,A3)</f>
        <v>762.79</v>
      </c>
      <c r="F3">
        <f>SUMIFS(Data!$H$2:$H$5761,Data!$A$2:$A$5761,Control!$B$2,Data!$B$2:$B$5761,A3)</f>
        <v>2512</v>
      </c>
      <c r="G3">
        <f t="shared" si="2"/>
        <v>500.13000000000011</v>
      </c>
      <c r="H3" cm="1">
        <f t="array" ref="H3">INDEX(Budget!$B$2:$AK$21,Control!$B$6,MATCH(A3,Budget!$B$1:$AK$1,0))</f>
        <v>23571</v>
      </c>
      <c r="I3">
        <f t="shared" si="3"/>
        <v>-5.7188918586398296E-3</v>
      </c>
      <c r="J3">
        <f t="shared" si="4"/>
        <v>46827.5</v>
      </c>
      <c r="K3">
        <f t="shared" si="5"/>
        <v>2024</v>
      </c>
      <c r="L3">
        <f t="shared" ca="1" si="6"/>
        <v>23413.75</v>
      </c>
      <c r="M3">
        <f>C3*_xlfn.XLOOKUP(A3,FX!$A$2:$A$37,FX!$C$2:$C$37)</f>
        <v>24978.301960000004</v>
      </c>
      <c r="N3">
        <f>C3*(1+Control!$B$4)^(A3/12)</f>
        <v>23551.942533647536</v>
      </c>
      <c r="O3">
        <f t="shared" si="7"/>
        <v>35</v>
      </c>
      <c r="P3">
        <f t="shared" si="8"/>
        <v>44.899999999997817</v>
      </c>
      <c r="Q3">
        <f t="shared" si="9"/>
        <v>0.60398916795996571</v>
      </c>
      <c r="R3">
        <f t="shared" si="10"/>
        <v>0.5</v>
      </c>
      <c r="S3" t="str">
        <f t="shared" si="11"/>
        <v>in linea</v>
      </c>
      <c r="T3" t="str">
        <f t="shared" si="12"/>
        <v>T1-2024</v>
      </c>
      <c r="U3">
        <f t="shared" si="13"/>
        <v>23413.75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23649.899999999998</v>
      </c>
      <c r="D4">
        <f>SUMIFS(Data!$F$2:$F$5761,Data!$A$2:$A$5761,Control!$B$2,Data!$B$2:$B$5761,A4)</f>
        <v>1273.78</v>
      </c>
      <c r="E4">
        <f>SUMIFS(Data!$G$2:$G$5761,Data!$A$2:$A$5761,Control!$B$2,Data!$B$2:$B$5761,A4)</f>
        <v>768.63</v>
      </c>
      <c r="F4">
        <f>SUMIFS(Data!$H$2:$H$5761,Data!$A$2:$A$5761,Control!$B$2,Data!$B$2:$B$5761,A4)</f>
        <v>2504</v>
      </c>
      <c r="G4">
        <f t="shared" si="2"/>
        <v>505.15</v>
      </c>
      <c r="H4" cm="1">
        <f t="array" ref="H4">INDEX(Budget!$B$2:$AK$21,Control!$B$6,MATCH(A4,Budget!$B$1:$AK$1,0))</f>
        <v>23780</v>
      </c>
      <c r="I4">
        <f t="shared" si="3"/>
        <v>-5.4709840201850879E-3</v>
      </c>
      <c r="J4">
        <f t="shared" si="4"/>
        <v>70477.399999999994</v>
      </c>
      <c r="K4">
        <f t="shared" si="5"/>
        <v>2024</v>
      </c>
      <c r="L4">
        <f t="shared" ca="1" si="6"/>
        <v>23492.466666666664</v>
      </c>
      <c r="M4">
        <f>C4*_xlfn.XLOOKUP(A4,FX!$A$2:$A$37,FX!$C$2:$C$37)</f>
        <v>25373.977709999996</v>
      </c>
      <c r="N4">
        <f>C4*(1+Control!$B$4)^(A4/12)</f>
        <v>23825.313005836204</v>
      </c>
      <c r="O4">
        <f t="shared" si="7"/>
        <v>34</v>
      </c>
      <c r="P4">
        <f t="shared" si="8"/>
        <v>213.69999999999709</v>
      </c>
      <c r="Q4">
        <f t="shared" si="9"/>
        <v>0.60342445320227989</v>
      </c>
      <c r="R4">
        <f t="shared" si="10"/>
        <v>0.51</v>
      </c>
      <c r="S4" t="str">
        <f t="shared" si="11"/>
        <v>in linea</v>
      </c>
      <c r="T4" t="str">
        <f t="shared" si="12"/>
        <v>T1-2024</v>
      </c>
      <c r="U4">
        <f t="shared" si="13"/>
        <v>23492.466666666664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23854.6</v>
      </c>
      <c r="D5">
        <f>SUMIFS(Data!$F$2:$F$5761,Data!$A$2:$A$5761,Control!$B$2,Data!$B$2:$B$5761,A5)</f>
        <v>1284.33</v>
      </c>
      <c r="E5">
        <f>SUMIFS(Data!$G$2:$G$5761,Data!$A$2:$A$5761,Control!$B$2,Data!$B$2:$B$5761,A5)</f>
        <v>777.06000000000017</v>
      </c>
      <c r="F5">
        <f>SUMIFS(Data!$H$2:$H$5761,Data!$A$2:$A$5761,Control!$B$2,Data!$B$2:$B$5761,A5)</f>
        <v>2469</v>
      </c>
      <c r="G5">
        <f t="shared" si="2"/>
        <v>507.26999999999975</v>
      </c>
      <c r="H5" cm="1">
        <f t="array" ref="H5">INDEX(Budget!$B$2:$AK$21,Control!$B$6,MATCH(A5,Budget!$B$1:$AK$1,0))</f>
        <v>23988</v>
      </c>
      <c r="I5">
        <f t="shared" si="3"/>
        <v>-5.5611138902785795E-3</v>
      </c>
      <c r="J5">
        <f t="shared" si="4"/>
        <v>94332</v>
      </c>
      <c r="K5">
        <f t="shared" si="5"/>
        <v>2024</v>
      </c>
      <c r="L5">
        <f t="shared" ca="1" si="6"/>
        <v>23646.899999999998</v>
      </c>
      <c r="M5">
        <f>C5*_xlfn.XLOOKUP(A5,FX!$A$2:$A$37,FX!$C$2:$C$37)</f>
        <v>25741.498859999996</v>
      </c>
      <c r="N5">
        <f>C5*(1+Control!$B$4)^(A5/12)</f>
        <v>24090.799519608197</v>
      </c>
      <c r="O5">
        <f t="shared" si="7"/>
        <v>33</v>
      </c>
      <c r="P5">
        <f t="shared" si="8"/>
        <v>204.70000000000073</v>
      </c>
      <c r="Q5">
        <f t="shared" si="9"/>
        <v>0.60503141715914155</v>
      </c>
      <c r="R5">
        <f t="shared" si="10"/>
        <v>0.52</v>
      </c>
      <c r="S5" t="str">
        <f t="shared" si="11"/>
        <v>in linea</v>
      </c>
      <c r="T5" t="str">
        <f t="shared" si="12"/>
        <v>T2-2024</v>
      </c>
      <c r="U5">
        <f t="shared" si="13"/>
        <v>23583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24133.199999999997</v>
      </c>
      <c r="D6">
        <f>SUMIFS(Data!$F$2:$F$5761,Data!$A$2:$A$5761,Control!$B$2,Data!$B$2:$B$5761,A6)</f>
        <v>1299.72</v>
      </c>
      <c r="E6">
        <f>SUMIFS(Data!$G$2:$G$5761,Data!$A$2:$A$5761,Control!$B$2,Data!$B$2:$B$5761,A6)</f>
        <v>784.33</v>
      </c>
      <c r="F6">
        <f>SUMIFS(Data!$H$2:$H$5761,Data!$A$2:$A$5761,Control!$B$2,Data!$B$2:$B$5761,A6)</f>
        <v>2450</v>
      </c>
      <c r="G6">
        <f t="shared" si="2"/>
        <v>515.39</v>
      </c>
      <c r="H6" cm="1">
        <f t="array" ref="H6">INDEX(Budget!$B$2:$AK$21,Control!$B$6,MATCH(A6,Budget!$B$1:$AK$1,0))</f>
        <v>24197</v>
      </c>
      <c r="I6">
        <f t="shared" si="3"/>
        <v>-2.6366904988223139E-3</v>
      </c>
      <c r="J6">
        <f t="shared" si="4"/>
        <v>118465.2</v>
      </c>
      <c r="K6">
        <f t="shared" si="5"/>
        <v>2024</v>
      </c>
      <c r="L6">
        <f t="shared" ca="1" si="6"/>
        <v>23879.233333333334</v>
      </c>
      <c r="M6">
        <f>C6*_xlfn.XLOOKUP(A6,FX!$A$2:$A$37,FX!$C$2:$C$37)</f>
        <v>26165.215439999996</v>
      </c>
      <c r="N6">
        <f>C6*(1+Control!$B$4)^(A6/12)</f>
        <v>24432.266431698983</v>
      </c>
      <c r="O6">
        <f t="shared" si="7"/>
        <v>32</v>
      </c>
      <c r="P6">
        <f t="shared" si="8"/>
        <v>278.59999999999854</v>
      </c>
      <c r="Q6">
        <f t="shared" si="9"/>
        <v>0.60346074539131511</v>
      </c>
      <c r="R6">
        <f t="shared" si="10"/>
        <v>0.53</v>
      </c>
      <c r="S6" t="str">
        <f t="shared" si="11"/>
        <v>in linea</v>
      </c>
      <c r="T6" t="str">
        <f t="shared" si="12"/>
        <v>T2-2024</v>
      </c>
      <c r="U6">
        <f t="shared" si="13"/>
        <v>23693.040000000001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24206.9</v>
      </c>
      <c r="D7">
        <f>SUMIFS(Data!$F$2:$F$5761,Data!$A$2:$A$5761,Control!$B$2,Data!$B$2:$B$5761,A7)</f>
        <v>1303.8599999999999</v>
      </c>
      <c r="E7">
        <f>SUMIFS(Data!$G$2:$G$5761,Data!$A$2:$A$5761,Control!$B$2,Data!$B$2:$B$5761,A7)</f>
        <v>786.47</v>
      </c>
      <c r="F7">
        <f>SUMIFS(Data!$H$2:$H$5761,Data!$A$2:$A$5761,Control!$B$2,Data!$B$2:$B$5761,A7)</f>
        <v>2434</v>
      </c>
      <c r="G7">
        <f t="shared" si="2"/>
        <v>517.38999999999987</v>
      </c>
      <c r="H7" cm="1">
        <f t="array" ref="H7">INDEX(Budget!$B$2:$AK$21,Control!$B$6,MATCH(A7,Budget!$B$1:$AK$1,0))</f>
        <v>24405</v>
      </c>
      <c r="I7">
        <f t="shared" si="3"/>
        <v>-8.1171891005941132E-3</v>
      </c>
      <c r="J7">
        <f t="shared" si="4"/>
        <v>142672.1</v>
      </c>
      <c r="K7">
        <f t="shared" si="5"/>
        <v>2024</v>
      </c>
      <c r="L7">
        <f t="shared" ca="1" si="6"/>
        <v>24064.899999999998</v>
      </c>
      <c r="M7">
        <f>C7*_xlfn.XLOOKUP(A7,FX!$A$2:$A$37,FX!$C$2:$C$37)</f>
        <v>26334.686510000003</v>
      </c>
      <c r="N7">
        <f>C7*(1+Control!$B$4)^(A7/12)</f>
        <v>24567.320322703086</v>
      </c>
      <c r="O7">
        <f t="shared" si="7"/>
        <v>31</v>
      </c>
      <c r="P7">
        <f t="shared" si="8"/>
        <v>73.700000000004366</v>
      </c>
      <c r="Q7">
        <f t="shared" si="9"/>
        <v>0.6031859248692345</v>
      </c>
      <c r="R7">
        <f t="shared" si="10"/>
        <v>0.54</v>
      </c>
      <c r="S7" t="str">
        <f t="shared" si="11"/>
        <v>in linea</v>
      </c>
      <c r="T7" t="str">
        <f t="shared" si="12"/>
        <v>T2-2024</v>
      </c>
      <c r="U7">
        <f t="shared" si="13"/>
        <v>23778.683333333334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24500.7</v>
      </c>
      <c r="D8">
        <f>SUMIFS(Data!$F$2:$F$5761,Data!$A$2:$A$5761,Control!$B$2,Data!$B$2:$B$5761,A8)</f>
        <v>1320.58</v>
      </c>
      <c r="E8">
        <f>SUMIFS(Data!$G$2:$G$5761,Data!$A$2:$A$5761,Control!$B$2,Data!$B$2:$B$5761,A8)</f>
        <v>797.81000000000006</v>
      </c>
      <c r="F8">
        <f>SUMIFS(Data!$H$2:$H$5761,Data!$A$2:$A$5761,Control!$B$2,Data!$B$2:$B$5761,A8)</f>
        <v>2429</v>
      </c>
      <c r="G8">
        <f t="shared" si="2"/>
        <v>522.76999999999987</v>
      </c>
      <c r="H8" cm="1">
        <f t="array" ref="H8">INDEX(Budget!$B$2:$AK$21,Control!$B$6,MATCH(A8,Budget!$B$1:$AK$1,0))</f>
        <v>24613</v>
      </c>
      <c r="I8">
        <f t="shared" si="3"/>
        <v>-4.5626295047332954E-3</v>
      </c>
      <c r="J8">
        <f t="shared" si="4"/>
        <v>167172.80000000002</v>
      </c>
      <c r="K8">
        <f t="shared" si="5"/>
        <v>2024</v>
      </c>
      <c r="L8">
        <f t="shared" ca="1" si="6"/>
        <v>24280.266666666666</v>
      </c>
      <c r="M8">
        <f>C8*_xlfn.XLOOKUP(A8,FX!$A$2:$A$37,FX!$C$2:$C$37)</f>
        <v>26708.213070000002</v>
      </c>
      <c r="N8">
        <f>C8*(1+Control!$B$4)^(A8/12)</f>
        <v>24926.819774977772</v>
      </c>
      <c r="O8">
        <f t="shared" si="7"/>
        <v>30</v>
      </c>
      <c r="P8">
        <f t="shared" si="8"/>
        <v>293.79999999999927</v>
      </c>
      <c r="Q8">
        <f t="shared" si="9"/>
        <v>0.6041360614275546</v>
      </c>
      <c r="R8">
        <f t="shared" si="10"/>
        <v>0.54</v>
      </c>
      <c r="S8" t="str">
        <f t="shared" si="11"/>
        <v>in linea</v>
      </c>
      <c r="T8" t="str">
        <f t="shared" si="12"/>
        <v>T3-2024</v>
      </c>
      <c r="U8">
        <f t="shared" si="13"/>
        <v>23881.828571428574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24701.500000000004</v>
      </c>
      <c r="D9">
        <f>SUMIFS(Data!$F$2:$F$5761,Data!$A$2:$A$5761,Control!$B$2,Data!$B$2:$B$5761,A9)</f>
        <v>1329.74</v>
      </c>
      <c r="E9">
        <f>SUMIFS(Data!$G$2:$G$5761,Data!$A$2:$A$5761,Control!$B$2,Data!$B$2:$B$5761,A9)</f>
        <v>804.05</v>
      </c>
      <c r="F9">
        <f>SUMIFS(Data!$H$2:$H$5761,Data!$A$2:$A$5761,Control!$B$2,Data!$B$2:$B$5761,A9)</f>
        <v>2437</v>
      </c>
      <c r="G9">
        <f t="shared" si="2"/>
        <v>525.69000000000005</v>
      </c>
      <c r="H9" cm="1">
        <f t="array" ref="H9">INDEX(Budget!$B$2:$AK$21,Control!$B$6,MATCH(A9,Budget!$B$1:$AK$1,0))</f>
        <v>24822</v>
      </c>
      <c r="I9">
        <f t="shared" si="3"/>
        <v>-4.8545644992343817E-3</v>
      </c>
      <c r="J9">
        <f t="shared" si="4"/>
        <v>191874.30000000002</v>
      </c>
      <c r="K9">
        <f t="shared" si="5"/>
        <v>2024</v>
      </c>
      <c r="L9">
        <f t="shared" ca="1" si="6"/>
        <v>24469.7</v>
      </c>
      <c r="M9">
        <f>C9*_xlfn.XLOOKUP(A9,FX!$A$2:$A$37,FX!$C$2:$C$37)</f>
        <v>26944.396200000003</v>
      </c>
      <c r="N9">
        <f>C9*(1+Control!$B$4)^(A9/12)</f>
        <v>25193.092220248189</v>
      </c>
      <c r="O9">
        <f t="shared" si="7"/>
        <v>29</v>
      </c>
      <c r="P9">
        <f t="shared" si="8"/>
        <v>200.80000000000291</v>
      </c>
      <c r="Q9">
        <f t="shared" si="9"/>
        <v>0.60466707777460249</v>
      </c>
      <c r="R9">
        <f t="shared" si="10"/>
        <v>0.55000000000000004</v>
      </c>
      <c r="S9" t="str">
        <f t="shared" si="11"/>
        <v>in linea</v>
      </c>
      <c r="T9" t="str">
        <f t="shared" si="12"/>
        <v>T3-2024</v>
      </c>
      <c r="U9">
        <f t="shared" si="13"/>
        <v>23984.287500000002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24755.800000000003</v>
      </c>
      <c r="D10">
        <f>SUMIFS(Data!$F$2:$F$5761,Data!$A$2:$A$5761,Control!$B$2,Data!$B$2:$B$5761,A10)</f>
        <v>1334.03</v>
      </c>
      <c r="E10">
        <f>SUMIFS(Data!$G$2:$G$5761,Data!$A$2:$A$5761,Control!$B$2,Data!$B$2:$B$5761,A10)</f>
        <v>805.97</v>
      </c>
      <c r="F10">
        <f>SUMIFS(Data!$H$2:$H$5761,Data!$A$2:$A$5761,Control!$B$2,Data!$B$2:$B$5761,A10)</f>
        <v>2479</v>
      </c>
      <c r="G10">
        <f t="shared" si="2"/>
        <v>528.05999999999995</v>
      </c>
      <c r="H10" cm="1">
        <f t="array" ref="H10">INDEX(Budget!$B$2:$AK$21,Control!$B$6,MATCH(A10,Budget!$B$1:$AK$1,0))</f>
        <v>25030</v>
      </c>
      <c r="I10">
        <f t="shared" si="3"/>
        <v>-1.095485417498987E-2</v>
      </c>
      <c r="J10">
        <f t="shared" si="4"/>
        <v>216630.10000000003</v>
      </c>
      <c r="K10">
        <f t="shared" si="5"/>
        <v>2024</v>
      </c>
      <c r="L10">
        <f t="shared" ca="1" si="6"/>
        <v>24652.666666666668</v>
      </c>
      <c r="M10">
        <f>C10*_xlfn.XLOOKUP(A10,FX!$A$2:$A$37,FX!$C$2:$C$37)</f>
        <v>26981.346420000005</v>
      </c>
      <c r="N10">
        <f>C10*(1+Control!$B$4)^(A10/12)</f>
        <v>25310.742406820904</v>
      </c>
      <c r="O10">
        <f t="shared" si="7"/>
        <v>28</v>
      </c>
      <c r="P10">
        <f t="shared" si="8"/>
        <v>54.299999999999272</v>
      </c>
      <c r="Q10">
        <f t="shared" si="9"/>
        <v>0.60416182544620434</v>
      </c>
      <c r="R10">
        <f t="shared" si="10"/>
        <v>0.54</v>
      </c>
      <c r="S10" t="str">
        <f t="shared" si="11"/>
        <v>in linea</v>
      </c>
      <c r="T10" t="str">
        <f t="shared" si="12"/>
        <v>T3-2024</v>
      </c>
      <c r="U10">
        <f t="shared" si="13"/>
        <v>24070.011111111115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25011.199999999997</v>
      </c>
      <c r="D11">
        <f>SUMIFS(Data!$F$2:$F$5761,Data!$A$2:$A$5761,Control!$B$2,Data!$B$2:$B$5761,A11)</f>
        <v>1347.12</v>
      </c>
      <c r="E11">
        <f>SUMIFS(Data!$G$2:$G$5761,Data!$A$2:$A$5761,Control!$B$2,Data!$B$2:$B$5761,A11)</f>
        <v>812.84999999999991</v>
      </c>
      <c r="F11">
        <f>SUMIFS(Data!$H$2:$H$5761,Data!$A$2:$A$5761,Control!$B$2,Data!$B$2:$B$5761,A11)</f>
        <v>2472</v>
      </c>
      <c r="G11">
        <f t="shared" si="2"/>
        <v>534.27</v>
      </c>
      <c r="H11" cm="1">
        <f t="array" ref="H11">INDEX(Budget!$B$2:$AK$21,Control!$B$6,MATCH(A11,Budget!$B$1:$AK$1,0))</f>
        <v>25239</v>
      </c>
      <c r="I11">
        <f t="shared" si="3"/>
        <v>-9.0257141725108569E-3</v>
      </c>
      <c r="J11">
        <f t="shared" si="4"/>
        <v>241641.30000000005</v>
      </c>
      <c r="K11">
        <f t="shared" si="5"/>
        <v>2024</v>
      </c>
      <c r="L11">
        <f t="shared" ca="1" si="6"/>
        <v>24822.833333333332</v>
      </c>
      <c r="M11">
        <f>C11*_xlfn.XLOOKUP(A11,FX!$A$2:$A$37,FX!$C$2:$C$37)</f>
        <v>27197.178879999996</v>
      </c>
      <c r="N11">
        <f>C11*(1+Control!$B$4)^(A11/12)</f>
        <v>25634.934746492669</v>
      </c>
      <c r="O11">
        <f t="shared" si="7"/>
        <v>27</v>
      </c>
      <c r="P11">
        <f t="shared" si="8"/>
        <v>255.39999999999418</v>
      </c>
      <c r="Q11">
        <f t="shared" si="9"/>
        <v>0.60339836094779975</v>
      </c>
      <c r="R11">
        <f t="shared" si="10"/>
        <v>0.54</v>
      </c>
      <c r="S11" t="str">
        <f t="shared" si="11"/>
        <v>in linea</v>
      </c>
      <c r="T11" t="str">
        <f t="shared" si="12"/>
        <v>T4-2024</v>
      </c>
      <c r="U11">
        <f t="shared" si="13"/>
        <v>24164.130000000005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25224.300000000003</v>
      </c>
      <c r="D12">
        <f>SUMIFS(Data!$F$2:$F$5761,Data!$A$2:$A$5761,Control!$B$2,Data!$B$2:$B$5761,A12)</f>
        <v>1358.31</v>
      </c>
      <c r="E12">
        <f>SUMIFS(Data!$G$2:$G$5761,Data!$A$2:$A$5761,Control!$B$2,Data!$B$2:$B$5761,A12)</f>
        <v>821.12999999999988</v>
      </c>
      <c r="F12">
        <f>SUMIFS(Data!$H$2:$H$5761,Data!$A$2:$A$5761,Control!$B$2,Data!$B$2:$B$5761,A12)</f>
        <v>2491</v>
      </c>
      <c r="G12">
        <f t="shared" si="2"/>
        <v>537.18000000000006</v>
      </c>
      <c r="H12" cm="1">
        <f t="array" ref="H12">INDEX(Budget!$B$2:$AK$21,Control!$B$6,MATCH(A12,Budget!$B$1:$AK$1,0))</f>
        <v>25447</v>
      </c>
      <c r="I12">
        <f t="shared" si="3"/>
        <v>-8.7515227728218736E-3</v>
      </c>
      <c r="J12">
        <f t="shared" si="4"/>
        <v>266865.60000000003</v>
      </c>
      <c r="K12">
        <f t="shared" si="5"/>
        <v>2024</v>
      </c>
      <c r="L12">
        <f t="shared" ca="1" si="6"/>
        <v>24997.100000000002</v>
      </c>
      <c r="M12">
        <f>C12*_xlfn.XLOOKUP(A12,FX!$A$2:$A$37,FX!$C$2:$C$37)</f>
        <v>27328.00662</v>
      </c>
      <c r="N12">
        <f>C12*(1+Control!$B$4)^(A12/12)</f>
        <v>25917.110414000501</v>
      </c>
      <c r="O12">
        <f t="shared" si="7"/>
        <v>26</v>
      </c>
      <c r="P12">
        <f t="shared" si="8"/>
        <v>213.10000000000582</v>
      </c>
      <c r="Q12">
        <f t="shared" si="9"/>
        <v>0.60452326788435629</v>
      </c>
      <c r="R12">
        <f t="shared" si="10"/>
        <v>0.55000000000000004</v>
      </c>
      <c r="S12" t="str">
        <f t="shared" si="11"/>
        <v>in linea</v>
      </c>
      <c r="T12" t="str">
        <f t="shared" si="12"/>
        <v>T4-2024</v>
      </c>
      <c r="U12">
        <f t="shared" si="13"/>
        <v>24260.509090909094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25405</v>
      </c>
      <c r="D13">
        <f>SUMIFS(Data!$F$2:$F$5761,Data!$A$2:$A$5761,Control!$B$2,Data!$B$2:$B$5761,A13)</f>
        <v>1368.8300000000002</v>
      </c>
      <c r="E13">
        <f>SUMIFS(Data!$G$2:$G$5761,Data!$A$2:$A$5761,Control!$B$2,Data!$B$2:$B$5761,A13)</f>
        <v>825.8599999999999</v>
      </c>
      <c r="F13">
        <f>SUMIFS(Data!$H$2:$H$5761,Data!$A$2:$A$5761,Control!$B$2,Data!$B$2:$B$5761,A13)</f>
        <v>2452</v>
      </c>
      <c r="G13">
        <f t="shared" si="2"/>
        <v>542.97000000000025</v>
      </c>
      <c r="H13" cm="1">
        <f t="array" ref="H13">INDEX(Budget!$B$2:$AK$21,Control!$B$6,MATCH(A13,Budget!$B$1:$AK$1,0))</f>
        <v>25655</v>
      </c>
      <c r="I13">
        <f t="shared" si="3"/>
        <v>-9.7446891444162853E-3</v>
      </c>
      <c r="J13">
        <f t="shared" si="4"/>
        <v>292270.60000000003</v>
      </c>
      <c r="K13">
        <f t="shared" si="5"/>
        <v>2024</v>
      </c>
      <c r="L13">
        <f t="shared" ca="1" si="6"/>
        <v>25213.5</v>
      </c>
      <c r="M13">
        <f>C13*_xlfn.XLOOKUP(A13,FX!$A$2:$A$37,FX!$C$2:$C$37)</f>
        <v>27391.671000000002</v>
      </c>
      <c r="N13">
        <f>C13*(1+Control!$B$4)^(A13/12)</f>
        <v>26167.15</v>
      </c>
      <c r="O13">
        <f t="shared" si="7"/>
        <v>25</v>
      </c>
      <c r="P13">
        <f t="shared" si="8"/>
        <v>180.69999999999709</v>
      </c>
      <c r="Q13">
        <f t="shared" si="9"/>
        <v>0.60333277324430334</v>
      </c>
      <c r="R13">
        <f t="shared" si="10"/>
        <v>0.56000000000000005</v>
      </c>
      <c r="S13" t="str">
        <f t="shared" si="11"/>
        <v>in linea</v>
      </c>
      <c r="T13" t="str">
        <f t="shared" si="12"/>
        <v>T4-2024</v>
      </c>
      <c r="U13">
        <f t="shared" si="13"/>
        <v>24355.883333333335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25626.999999999996</v>
      </c>
      <c r="D14">
        <f>SUMIFS(Data!$F$2:$F$5761,Data!$A$2:$A$5761,Control!$B$2,Data!$B$2:$B$5761,A14)</f>
        <v>1379.58</v>
      </c>
      <c r="E14">
        <f>SUMIFS(Data!$G$2:$G$5761,Data!$A$2:$A$5761,Control!$B$2,Data!$B$2:$B$5761,A14)</f>
        <v>832.79</v>
      </c>
      <c r="F14">
        <f>SUMIFS(Data!$H$2:$H$5761,Data!$A$2:$A$5761,Control!$B$2,Data!$B$2:$B$5761,A14)</f>
        <v>2451</v>
      </c>
      <c r="G14">
        <f t="shared" si="2"/>
        <v>546.79</v>
      </c>
      <c r="H14" cm="1">
        <f t="array" ref="H14">INDEX(Budget!$B$2:$AK$21,Control!$B$6,MATCH(A14,Budget!$B$1:$AK$1,0))</f>
        <v>25864</v>
      </c>
      <c r="I14">
        <f t="shared" si="3"/>
        <v>-9.1633158057533581E-3</v>
      </c>
      <c r="J14">
        <f t="shared" si="4"/>
        <v>25626.999999999996</v>
      </c>
      <c r="K14">
        <f t="shared" si="5"/>
        <v>2025</v>
      </c>
      <c r="L14">
        <f t="shared" ca="1" si="6"/>
        <v>25418.766666666666</v>
      </c>
      <c r="M14">
        <f>C14*_xlfn.XLOOKUP(A14,FX!$A$2:$A$37,FX!$C$2:$C$37)</f>
        <v>27469.581299999998</v>
      </c>
      <c r="N14">
        <f>C14*(1+Control!$B$4)^(A14/12)</f>
        <v>26460.909188318466</v>
      </c>
      <c r="O14">
        <f t="shared" si="7"/>
        <v>24</v>
      </c>
      <c r="P14">
        <f t="shared" si="8"/>
        <v>221.99999999999636</v>
      </c>
      <c r="Q14">
        <f t="shared" si="9"/>
        <v>0.60365473549920989</v>
      </c>
      <c r="R14">
        <f t="shared" si="10"/>
        <v>0.56000000000000005</v>
      </c>
      <c r="S14" t="str">
        <f t="shared" si="11"/>
        <v>in linea</v>
      </c>
      <c r="T14" t="str">
        <f t="shared" si="12"/>
        <v>T1-2025</v>
      </c>
      <c r="U14">
        <f t="shared" si="13"/>
        <v>24542.191666666666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25650.799999999999</v>
      </c>
      <c r="D15">
        <f>SUMIFS(Data!$F$2:$F$5761,Data!$A$2:$A$5761,Control!$B$2,Data!$B$2:$B$5761,A15)</f>
        <v>1381.0900000000001</v>
      </c>
      <c r="E15">
        <f>SUMIFS(Data!$G$2:$G$5761,Data!$A$2:$A$5761,Control!$B$2,Data!$B$2:$B$5761,A15)</f>
        <v>833.94</v>
      </c>
      <c r="F15">
        <f>SUMIFS(Data!$H$2:$H$5761,Data!$A$2:$A$5761,Control!$B$2,Data!$B$2:$B$5761,A15)</f>
        <v>2455</v>
      </c>
      <c r="G15">
        <f t="shared" si="2"/>
        <v>547.15000000000009</v>
      </c>
      <c r="H15" cm="1">
        <f t="array" ref="H15">INDEX(Budget!$B$2:$AK$21,Control!$B$6,MATCH(A15,Budget!$B$1:$AK$1,0))</f>
        <v>26072</v>
      </c>
      <c r="I15">
        <f t="shared" si="3"/>
        <v>-1.6155262350414312E-2</v>
      </c>
      <c r="J15">
        <f t="shared" si="4"/>
        <v>51277.799999999996</v>
      </c>
      <c r="K15">
        <f t="shared" si="5"/>
        <v>2025</v>
      </c>
      <c r="L15">
        <f t="shared" ca="1" si="6"/>
        <v>25560.933333333334</v>
      </c>
      <c r="M15">
        <f>C15*_xlfn.XLOOKUP(A15,FX!$A$2:$A$37,FX!$C$2:$C$37)</f>
        <v>27312.971839999998</v>
      </c>
      <c r="N15">
        <f>C15*(1+Control!$B$4)^(A15/12)</f>
        <v>26550.803994177761</v>
      </c>
      <c r="O15">
        <f t="shared" si="7"/>
        <v>23</v>
      </c>
      <c r="P15">
        <f t="shared" si="8"/>
        <v>23.80000000000291</v>
      </c>
      <c r="Q15">
        <f t="shared" si="9"/>
        <v>0.60382741168207721</v>
      </c>
      <c r="R15">
        <f t="shared" si="10"/>
        <v>0.56000000000000005</v>
      </c>
      <c r="S15" t="str">
        <f t="shared" si="11"/>
        <v>in linea</v>
      </c>
      <c r="T15" t="str">
        <f t="shared" si="12"/>
        <v>T1-2025</v>
      </c>
      <c r="U15">
        <f t="shared" si="13"/>
        <v>24726.741666666669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25843.3</v>
      </c>
      <c r="D16">
        <f>SUMIFS(Data!$F$2:$F$5761,Data!$A$2:$A$5761,Control!$B$2,Data!$B$2:$B$5761,A16)</f>
        <v>1390.4</v>
      </c>
      <c r="E16">
        <f>SUMIFS(Data!$G$2:$G$5761,Data!$A$2:$A$5761,Control!$B$2,Data!$B$2:$B$5761,A16)</f>
        <v>839.05000000000007</v>
      </c>
      <c r="F16">
        <f>SUMIFS(Data!$H$2:$H$5761,Data!$A$2:$A$5761,Control!$B$2,Data!$B$2:$B$5761,A16)</f>
        <v>2455</v>
      </c>
      <c r="G16">
        <f t="shared" si="2"/>
        <v>551.35</v>
      </c>
      <c r="H16" cm="1">
        <f t="array" ref="H16">INDEX(Budget!$B$2:$AK$21,Control!$B$6,MATCH(A16,Budget!$B$1:$AK$1,0))</f>
        <v>26280</v>
      </c>
      <c r="I16">
        <f t="shared" si="3"/>
        <v>-1.6617199391172011E-2</v>
      </c>
      <c r="J16">
        <f t="shared" si="4"/>
        <v>77121.099999999991</v>
      </c>
      <c r="K16">
        <f t="shared" si="5"/>
        <v>2025</v>
      </c>
      <c r="L16">
        <f t="shared" ca="1" si="6"/>
        <v>25707.033333333329</v>
      </c>
      <c r="M16">
        <f>C16*_xlfn.XLOOKUP(A16,FX!$A$2:$A$37,FX!$C$2:$C$37)</f>
        <v>27318.952429999998</v>
      </c>
      <c r="N16">
        <f>C16*(1+Control!$B$4)^(A16/12)</f>
        <v>26816.031059405694</v>
      </c>
      <c r="O16">
        <f t="shared" si="7"/>
        <v>22</v>
      </c>
      <c r="P16">
        <f t="shared" si="8"/>
        <v>192.5</v>
      </c>
      <c r="Q16">
        <f t="shared" si="9"/>
        <v>0.60345943613348674</v>
      </c>
      <c r="R16">
        <f t="shared" si="10"/>
        <v>0.56999999999999995</v>
      </c>
      <c r="S16" t="str">
        <f t="shared" si="11"/>
        <v>in linea</v>
      </c>
      <c r="T16" t="str">
        <f t="shared" si="12"/>
        <v>T1-2025</v>
      </c>
      <c r="U16">
        <f t="shared" si="13"/>
        <v>24909.524999999998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26143</v>
      </c>
      <c r="D17">
        <f>SUMIFS(Data!$F$2:$F$5761,Data!$A$2:$A$5761,Control!$B$2,Data!$B$2:$B$5761,A17)</f>
        <v>1406.9699999999998</v>
      </c>
      <c r="E17">
        <f>SUMIFS(Data!$G$2:$G$5761,Data!$A$2:$A$5761,Control!$B$2,Data!$B$2:$B$5761,A17)</f>
        <v>850.24</v>
      </c>
      <c r="F17">
        <f>SUMIFS(Data!$H$2:$H$5761,Data!$A$2:$A$5761,Control!$B$2,Data!$B$2:$B$5761,A17)</f>
        <v>2457</v>
      </c>
      <c r="G17">
        <f t="shared" si="2"/>
        <v>556.72999999999979</v>
      </c>
      <c r="H17" cm="1">
        <f t="array" ref="H17">INDEX(Budget!$B$2:$AK$21,Control!$B$6,MATCH(A17,Budget!$B$1:$AK$1,0))</f>
        <v>26489</v>
      </c>
      <c r="I17">
        <f t="shared" si="3"/>
        <v>-1.3062025746536254E-2</v>
      </c>
      <c r="J17">
        <f t="shared" si="4"/>
        <v>103264.09999999999</v>
      </c>
      <c r="K17">
        <f t="shared" si="5"/>
        <v>2025</v>
      </c>
      <c r="L17">
        <f t="shared" ca="1" si="6"/>
        <v>25879.033333333336</v>
      </c>
      <c r="M17">
        <f>C17*_xlfn.XLOOKUP(A17,FX!$A$2:$A$37,FX!$C$2:$C$37)</f>
        <v>27431.849899999997</v>
      </c>
      <c r="N17">
        <f>C17*(1+Control!$B$4)^(A17/12)</f>
        <v>27193.914171537173</v>
      </c>
      <c r="O17">
        <f t="shared" si="7"/>
        <v>21</v>
      </c>
      <c r="P17">
        <f t="shared" si="8"/>
        <v>299.70000000000073</v>
      </c>
      <c r="Q17">
        <f t="shared" si="9"/>
        <v>0.60430570658933747</v>
      </c>
      <c r="R17">
        <f t="shared" si="10"/>
        <v>0.56999999999999995</v>
      </c>
      <c r="S17" t="str">
        <f t="shared" si="11"/>
        <v>in linea</v>
      </c>
      <c r="T17" t="str">
        <f t="shared" si="12"/>
        <v>T2-2025</v>
      </c>
      <c r="U17">
        <f t="shared" si="13"/>
        <v>25100.224999999995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26307.200000000001</v>
      </c>
      <c r="D18">
        <f>SUMIFS(Data!$F$2:$F$5761,Data!$A$2:$A$5761,Control!$B$2,Data!$B$2:$B$5761,A18)</f>
        <v>1417.66</v>
      </c>
      <c r="E18">
        <f>SUMIFS(Data!$G$2:$G$5761,Data!$A$2:$A$5761,Control!$B$2,Data!$B$2:$B$5761,A18)</f>
        <v>856.07000000000016</v>
      </c>
      <c r="F18">
        <f>SUMIFS(Data!$H$2:$H$5761,Data!$A$2:$A$5761,Control!$B$2,Data!$B$2:$B$5761,A18)</f>
        <v>2497</v>
      </c>
      <c r="G18">
        <f t="shared" si="2"/>
        <v>561.58999999999992</v>
      </c>
      <c r="H18" cm="1">
        <f t="array" ref="H18">INDEX(Budget!$B$2:$AK$21,Control!$B$6,MATCH(A18,Budget!$B$1:$AK$1,0))</f>
        <v>26697</v>
      </c>
      <c r="I18">
        <f t="shared" si="3"/>
        <v>-1.4600891485934686E-2</v>
      </c>
      <c r="J18">
        <f t="shared" si="4"/>
        <v>129571.29999999999</v>
      </c>
      <c r="K18">
        <f t="shared" si="5"/>
        <v>2025</v>
      </c>
      <c r="L18">
        <f t="shared" ca="1" si="6"/>
        <v>26097.833333333332</v>
      </c>
      <c r="M18">
        <f>C18*_xlfn.XLOOKUP(A18,FX!$A$2:$A$37,FX!$C$2:$C$37)</f>
        <v>27398.948800000002</v>
      </c>
      <c r="N18">
        <f>C18*(1+Control!$B$4)^(A18/12)</f>
        <v>27432.203564224859</v>
      </c>
      <c r="O18">
        <f t="shared" si="7"/>
        <v>20</v>
      </c>
      <c r="P18">
        <f t="shared" si="8"/>
        <v>164.20000000000073</v>
      </c>
      <c r="Q18">
        <f t="shared" si="9"/>
        <v>0.60386129255251619</v>
      </c>
      <c r="R18">
        <f t="shared" si="10"/>
        <v>0.56999999999999995</v>
      </c>
      <c r="S18" t="str">
        <f t="shared" si="11"/>
        <v>in linea</v>
      </c>
      <c r="T18" t="str">
        <f t="shared" si="12"/>
        <v>T2-2025</v>
      </c>
      <c r="U18">
        <f t="shared" si="13"/>
        <v>25281.391666666666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26492.400000000001</v>
      </c>
      <c r="D19">
        <f>SUMIFS(Data!$F$2:$F$5761,Data!$A$2:$A$5761,Control!$B$2,Data!$B$2:$B$5761,A19)</f>
        <v>1426.35</v>
      </c>
      <c r="E19">
        <f>SUMIFS(Data!$G$2:$G$5761,Data!$A$2:$A$5761,Control!$B$2,Data!$B$2:$B$5761,A19)</f>
        <v>861.46</v>
      </c>
      <c r="F19">
        <f>SUMIFS(Data!$H$2:$H$5761,Data!$A$2:$A$5761,Control!$B$2,Data!$B$2:$B$5761,A19)</f>
        <v>2428</v>
      </c>
      <c r="G19">
        <f t="shared" si="2"/>
        <v>564.88999999999987</v>
      </c>
      <c r="H19" cm="1">
        <f t="array" ref="H19">INDEX(Budget!$B$2:$AK$21,Control!$B$6,MATCH(A19,Budget!$B$1:$AK$1,0))</f>
        <v>26906</v>
      </c>
      <c r="I19">
        <f t="shared" si="3"/>
        <v>-1.5372035977105458E-2</v>
      </c>
      <c r="J19">
        <f t="shared" si="4"/>
        <v>156063.69999999998</v>
      </c>
      <c r="K19">
        <f t="shared" si="5"/>
        <v>2025</v>
      </c>
      <c r="L19">
        <f t="shared" ca="1" si="6"/>
        <v>26314.2</v>
      </c>
      <c r="M19">
        <f>C19*_xlfn.XLOOKUP(A19,FX!$A$2:$A$37,FX!$C$2:$C$37)</f>
        <v>27395.790840000001</v>
      </c>
      <c r="N19">
        <f>C19*(1+Control!$B$4)^(A19/12)</f>
        <v>27693.454974602064</v>
      </c>
      <c r="O19">
        <f t="shared" si="7"/>
        <v>19</v>
      </c>
      <c r="P19">
        <f t="shared" si="8"/>
        <v>185.20000000000073</v>
      </c>
      <c r="Q19">
        <f t="shared" si="9"/>
        <v>0.60396115960318297</v>
      </c>
      <c r="R19">
        <f t="shared" si="10"/>
        <v>0.59</v>
      </c>
      <c r="S19" t="str">
        <f t="shared" si="11"/>
        <v>in linea</v>
      </c>
      <c r="T19" t="str">
        <f t="shared" si="12"/>
        <v>T2-2025</v>
      </c>
      <c r="U19">
        <f t="shared" si="13"/>
        <v>25471.850000000002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26617.800000000003</v>
      </c>
      <c r="D20">
        <f>SUMIFS(Data!$F$2:$F$5761,Data!$A$2:$A$5761,Control!$B$2,Data!$B$2:$B$5761,A20)</f>
        <v>1431.6799999999998</v>
      </c>
      <c r="E20">
        <f>SUMIFS(Data!$G$2:$G$5761,Data!$A$2:$A$5761,Control!$B$2,Data!$B$2:$B$5761,A20)</f>
        <v>863.16000000000008</v>
      </c>
      <c r="F20">
        <f>SUMIFS(Data!$H$2:$H$5761,Data!$A$2:$A$5761,Control!$B$2,Data!$B$2:$B$5761,A20)</f>
        <v>2484</v>
      </c>
      <c r="G20">
        <f t="shared" si="2"/>
        <v>568.51999999999975</v>
      </c>
      <c r="H20" cm="1">
        <f t="array" ref="H20">INDEX(Budget!$B$2:$AK$21,Control!$B$6,MATCH(A20,Budget!$B$1:$AK$1,0))</f>
        <v>27114</v>
      </c>
      <c r="I20">
        <f t="shared" si="3"/>
        <v>-1.8300508962159623E-2</v>
      </c>
      <c r="J20">
        <f t="shared" si="4"/>
        <v>182681.5</v>
      </c>
      <c r="K20">
        <f t="shared" si="5"/>
        <v>2025</v>
      </c>
      <c r="L20">
        <f t="shared" ca="1" si="6"/>
        <v>26472.466666666671</v>
      </c>
      <c r="M20">
        <f>C20*_xlfn.XLOOKUP(A20,FX!$A$2:$A$37,FX!$C$2:$C$37)</f>
        <v>27347.127720000004</v>
      </c>
      <c r="N20">
        <f>C20*(1+Control!$B$4)^(A20/12)</f>
        <v>27893.162909981987</v>
      </c>
      <c r="O20">
        <f t="shared" si="7"/>
        <v>18</v>
      </c>
      <c r="P20">
        <f t="shared" si="8"/>
        <v>125.40000000000146</v>
      </c>
      <c r="Q20">
        <f t="shared" si="9"/>
        <v>0.60290008940545381</v>
      </c>
      <c r="R20">
        <f t="shared" si="10"/>
        <v>0.57999999999999996</v>
      </c>
      <c r="S20" t="str">
        <f t="shared" si="11"/>
        <v>in linea</v>
      </c>
      <c r="T20" t="str">
        <f t="shared" si="12"/>
        <v>T3-2025</v>
      </c>
      <c r="U20">
        <f t="shared" si="13"/>
        <v>25648.274999999998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26840.199999999997</v>
      </c>
      <c r="D21">
        <f>SUMIFS(Data!$F$2:$F$5761,Data!$A$2:$A$5761,Control!$B$2,Data!$B$2:$B$5761,A21)</f>
        <v>1445.05</v>
      </c>
      <c r="E21">
        <f>SUMIFS(Data!$G$2:$G$5761,Data!$A$2:$A$5761,Control!$B$2,Data!$B$2:$B$5761,A21)</f>
        <v>873.4</v>
      </c>
      <c r="F21">
        <f>SUMIFS(Data!$H$2:$H$5761,Data!$A$2:$A$5761,Control!$B$2,Data!$B$2:$B$5761,A21)</f>
        <v>2488</v>
      </c>
      <c r="G21">
        <f t="shared" si="2"/>
        <v>571.65</v>
      </c>
      <c r="H21" cm="1">
        <f t="array" ref="H21">INDEX(Budget!$B$2:$AK$21,Control!$B$6,MATCH(A21,Budget!$B$1:$AK$1,0))</f>
        <v>27322</v>
      </c>
      <c r="I21">
        <f t="shared" si="3"/>
        <v>-1.7634140985286706E-2</v>
      </c>
      <c r="J21">
        <f t="shared" si="4"/>
        <v>209521.7</v>
      </c>
      <c r="K21">
        <f t="shared" si="5"/>
        <v>2025</v>
      </c>
      <c r="L21">
        <f t="shared" ca="1" si="6"/>
        <v>26650.133333333331</v>
      </c>
      <c r="M21">
        <f>C21*_xlfn.XLOOKUP(A21,FX!$A$2:$A$37,FX!$C$2:$C$37)</f>
        <v>27422.63234</v>
      </c>
      <c r="N21">
        <f>C21*(1+Control!$B$4)^(A21/12)</f>
        <v>28195.58580750976</v>
      </c>
      <c r="O21">
        <f t="shared" si="7"/>
        <v>17</v>
      </c>
      <c r="P21">
        <f t="shared" si="8"/>
        <v>222.39999999999418</v>
      </c>
      <c r="Q21">
        <f t="shared" si="9"/>
        <v>0.60440815196705999</v>
      </c>
      <c r="R21">
        <f t="shared" si="10"/>
        <v>0.57999999999999996</v>
      </c>
      <c r="S21" t="str">
        <f t="shared" si="11"/>
        <v>in linea</v>
      </c>
      <c r="T21" t="str">
        <f t="shared" si="12"/>
        <v>T3-2025</v>
      </c>
      <c r="U21">
        <f t="shared" si="13"/>
        <v>25826.5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26883.700000000004</v>
      </c>
      <c r="D22">
        <f>SUMIFS(Data!$F$2:$F$5761,Data!$A$2:$A$5761,Control!$B$2,Data!$B$2:$B$5761,A22)</f>
        <v>1446.6899999999998</v>
      </c>
      <c r="E22">
        <f>SUMIFS(Data!$G$2:$G$5761,Data!$A$2:$A$5761,Control!$B$2,Data!$B$2:$B$5761,A22)</f>
        <v>874.67</v>
      </c>
      <c r="F22">
        <f>SUMIFS(Data!$H$2:$H$5761,Data!$A$2:$A$5761,Control!$B$2,Data!$B$2:$B$5761,A22)</f>
        <v>2466</v>
      </c>
      <c r="G22">
        <f t="shared" si="2"/>
        <v>572.01999999999987</v>
      </c>
      <c r="H22" cm="1">
        <f t="array" ref="H22">INDEX(Budget!$B$2:$AK$21,Control!$B$6,MATCH(A22,Budget!$B$1:$AK$1,0))</f>
        <v>27531</v>
      </c>
      <c r="I22">
        <f t="shared" si="3"/>
        <v>-2.3511677745087223E-2</v>
      </c>
      <c r="J22">
        <f t="shared" si="4"/>
        <v>236405.40000000002</v>
      </c>
      <c r="K22">
        <f t="shared" si="5"/>
        <v>2025</v>
      </c>
      <c r="L22">
        <f t="shared" ca="1" si="6"/>
        <v>26780.566666666669</v>
      </c>
      <c r="M22">
        <f>C22*_xlfn.XLOOKUP(A22,FX!$A$2:$A$37,FX!$C$2:$C$37)</f>
        <v>27346.099640000008</v>
      </c>
      <c r="N22">
        <f>C22*(1+Control!$B$4)^(A22/12)</f>
        <v>28310.933107050416</v>
      </c>
      <c r="O22">
        <f t="shared" si="7"/>
        <v>16</v>
      </c>
      <c r="P22">
        <f t="shared" si="8"/>
        <v>43.500000000007276</v>
      </c>
      <c r="Q22">
        <f t="shared" si="9"/>
        <v>0.60460084745176923</v>
      </c>
      <c r="R22">
        <f t="shared" si="10"/>
        <v>0.59</v>
      </c>
      <c r="S22" t="str">
        <f t="shared" si="11"/>
        <v>in linea</v>
      </c>
      <c r="T22" t="str">
        <f t="shared" si="12"/>
        <v>T3-2025</v>
      </c>
      <c r="U22">
        <f t="shared" si="13"/>
        <v>26003.825000000001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27264.9</v>
      </c>
      <c r="D23">
        <f>SUMIFS(Data!$F$2:$F$5761,Data!$A$2:$A$5761,Control!$B$2,Data!$B$2:$B$5761,A23)</f>
        <v>1467.1299999999999</v>
      </c>
      <c r="E23">
        <f>SUMIFS(Data!$G$2:$G$5761,Data!$A$2:$A$5761,Control!$B$2,Data!$B$2:$B$5761,A23)</f>
        <v>886.85</v>
      </c>
      <c r="F23">
        <f>SUMIFS(Data!$H$2:$H$5761,Data!$A$2:$A$5761,Control!$B$2,Data!$B$2:$B$5761,A23)</f>
        <v>2513</v>
      </c>
      <c r="G23">
        <f t="shared" si="2"/>
        <v>580.27999999999986</v>
      </c>
      <c r="H23" cm="1">
        <f t="array" ref="H23">INDEX(Budget!$B$2:$AK$21,Control!$B$6,MATCH(A23,Budget!$B$1:$AK$1,0))</f>
        <v>27739</v>
      </c>
      <c r="I23">
        <f t="shared" si="3"/>
        <v>-1.7091459677710086E-2</v>
      </c>
      <c r="J23">
        <f t="shared" si="4"/>
        <v>263670.30000000005</v>
      </c>
      <c r="K23">
        <f t="shared" si="5"/>
        <v>2025</v>
      </c>
      <c r="L23">
        <f t="shared" ca="1" si="6"/>
        <v>26996.266666666666</v>
      </c>
      <c r="M23">
        <f>C23*_xlfn.XLOOKUP(A23,FX!$A$2:$A$37,FX!$C$2:$C$37)</f>
        <v>27649.33509</v>
      </c>
      <c r="N23">
        <f>C23*(1+Control!$B$4)^(A23/12)</f>
        <v>28783.183147579392</v>
      </c>
      <c r="O23">
        <f t="shared" si="7"/>
        <v>15</v>
      </c>
      <c r="P23">
        <f t="shared" si="8"/>
        <v>381.19999999999709</v>
      </c>
      <c r="Q23">
        <f t="shared" si="9"/>
        <v>0.6044794939780388</v>
      </c>
      <c r="R23">
        <f t="shared" si="10"/>
        <v>0.57999999999999996</v>
      </c>
      <c r="S23" t="str">
        <f t="shared" si="11"/>
        <v>in linea</v>
      </c>
      <c r="T23" t="str">
        <f t="shared" si="12"/>
        <v>T4-2025</v>
      </c>
      <c r="U23">
        <f t="shared" si="13"/>
        <v>26191.633333333342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27384.199999999997</v>
      </c>
      <c r="D24">
        <f>SUMIFS(Data!$F$2:$F$5761,Data!$A$2:$A$5761,Control!$B$2,Data!$B$2:$B$5761,A24)</f>
        <v>1474.15</v>
      </c>
      <c r="E24">
        <f>SUMIFS(Data!$G$2:$G$5761,Data!$A$2:$A$5761,Control!$B$2,Data!$B$2:$B$5761,A24)</f>
        <v>890.46</v>
      </c>
      <c r="F24">
        <f>SUMIFS(Data!$H$2:$H$5761,Data!$A$2:$A$5761,Control!$B$2,Data!$B$2:$B$5761,A24)</f>
        <v>2440</v>
      </c>
      <c r="G24">
        <f t="shared" si="2"/>
        <v>583.69000000000005</v>
      </c>
      <c r="H24" cm="1">
        <f t="array" ref="H24">INDEX(Budget!$B$2:$AK$21,Control!$B$6,MATCH(A24,Budget!$B$1:$AK$1,0))</f>
        <v>27948</v>
      </c>
      <c r="I24">
        <f t="shared" si="3"/>
        <v>-2.0173178760555466E-2</v>
      </c>
      <c r="J24">
        <f t="shared" si="4"/>
        <v>291054.50000000006</v>
      </c>
      <c r="K24">
        <f t="shared" si="5"/>
        <v>2025</v>
      </c>
      <c r="L24">
        <f t="shared" ca="1" si="6"/>
        <v>27177.600000000002</v>
      </c>
      <c r="M24">
        <f>C24*_xlfn.XLOOKUP(A24,FX!$A$2:$A$37,FX!$C$2:$C$37)</f>
        <v>27729.240919999997</v>
      </c>
      <c r="N24">
        <f>C24*(1+Control!$B$4)^(A24/12)</f>
        <v>28980.424235718907</v>
      </c>
      <c r="O24">
        <f t="shared" si="7"/>
        <v>14</v>
      </c>
      <c r="P24">
        <f t="shared" si="8"/>
        <v>119.29999999999563</v>
      </c>
      <c r="Q24">
        <f t="shared" si="9"/>
        <v>0.60404979140521653</v>
      </c>
      <c r="R24">
        <f t="shared" si="10"/>
        <v>0.6</v>
      </c>
      <c r="S24" t="str">
        <f t="shared" si="11"/>
        <v>in linea</v>
      </c>
      <c r="T24" t="str">
        <f t="shared" si="12"/>
        <v>T4-2025</v>
      </c>
      <c r="U24">
        <f t="shared" si="13"/>
        <v>26371.625000000004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27616.399999999994</v>
      </c>
      <c r="D25">
        <f>SUMIFS(Data!$F$2:$F$5761,Data!$A$2:$A$5761,Control!$B$2,Data!$B$2:$B$5761,A25)</f>
        <v>1486.25</v>
      </c>
      <c r="E25">
        <f>SUMIFS(Data!$G$2:$G$5761,Data!$A$2:$A$5761,Control!$B$2,Data!$B$2:$B$5761,A25)</f>
        <v>898.08999999999992</v>
      </c>
      <c r="F25">
        <f>SUMIFS(Data!$H$2:$H$5761,Data!$A$2:$A$5761,Control!$B$2,Data!$B$2:$B$5761,A25)</f>
        <v>2430</v>
      </c>
      <c r="G25">
        <f t="shared" si="2"/>
        <v>588.16000000000008</v>
      </c>
      <c r="H25" cm="1">
        <f t="array" ref="H25">INDEX(Budget!$B$2:$AK$21,Control!$B$6,MATCH(A25,Budget!$B$1:$AK$1,0))</f>
        <v>28156</v>
      </c>
      <c r="I25">
        <f t="shared" si="3"/>
        <v>-1.9164654070180642E-2</v>
      </c>
      <c r="J25">
        <f t="shared" si="4"/>
        <v>318670.90000000002</v>
      </c>
      <c r="K25">
        <f t="shared" si="5"/>
        <v>2025</v>
      </c>
      <c r="L25">
        <f t="shared" ca="1" si="6"/>
        <v>27421.833333333332</v>
      </c>
      <c r="M25">
        <f>C25*_xlfn.XLOOKUP(A25,FX!$A$2:$A$37,FX!$C$2:$C$37)</f>
        <v>27964.366639999993</v>
      </c>
      <c r="N25">
        <f>C25*(1+Control!$B$4)^(A25/12)</f>
        <v>29298.238759999993</v>
      </c>
      <c r="O25">
        <f t="shared" si="7"/>
        <v>13</v>
      </c>
      <c r="P25">
        <f t="shared" si="8"/>
        <v>232.19999999999709</v>
      </c>
      <c r="Q25">
        <f t="shared" si="9"/>
        <v>0.60426576955424716</v>
      </c>
      <c r="R25">
        <f t="shared" si="10"/>
        <v>0.61</v>
      </c>
      <c r="S25" t="str">
        <f t="shared" si="11"/>
        <v>in linea</v>
      </c>
      <c r="T25" t="str">
        <f t="shared" si="12"/>
        <v>T4-2025</v>
      </c>
      <c r="U25">
        <f t="shared" si="13"/>
        <v>26555.908333333336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27807.9</v>
      </c>
      <c r="D26">
        <f>SUMIFS(Data!$F$2:$F$5761,Data!$A$2:$A$5761,Control!$B$2,Data!$B$2:$B$5761,A26)</f>
        <v>1497.94</v>
      </c>
      <c r="E26">
        <f>SUMIFS(Data!$G$2:$G$5761,Data!$A$2:$A$5761,Control!$B$2,Data!$B$2:$B$5761,A26)</f>
        <v>902.31999999999994</v>
      </c>
      <c r="F26">
        <f>SUMIFS(Data!$H$2:$H$5761,Data!$A$2:$A$5761,Control!$B$2,Data!$B$2:$B$5761,A26)</f>
        <v>2432</v>
      </c>
      <c r="G26">
        <f t="shared" si="2"/>
        <v>595.62000000000012</v>
      </c>
      <c r="H26" cm="1">
        <f t="array" ref="H26">INDEX(Budget!$B$2:$AK$21,Control!$B$6,MATCH(A26,Budget!$B$1:$AK$1,0))</f>
        <v>28364</v>
      </c>
      <c r="I26">
        <f t="shared" si="3"/>
        <v>-1.960583838668728E-2</v>
      </c>
      <c r="J26">
        <f t="shared" si="4"/>
        <v>27807.9</v>
      </c>
      <c r="K26">
        <f t="shared" si="5"/>
        <v>2026</v>
      </c>
      <c r="L26">
        <f t="shared" ca="1" si="6"/>
        <v>27602.833333333332</v>
      </c>
      <c r="M26">
        <f>C26*_xlfn.XLOOKUP(A26,FX!$A$2:$A$37,FX!$C$2:$C$37)</f>
        <v>28199.991390000003</v>
      </c>
      <c r="N26">
        <f>C26*(1+Control!$B$4)^(A26/12)</f>
        <v>29574.159523798196</v>
      </c>
      <c r="O26">
        <f t="shared" si="7"/>
        <v>12</v>
      </c>
      <c r="P26">
        <f t="shared" si="8"/>
        <v>191.50000000000728</v>
      </c>
      <c r="Q26">
        <f t="shared" si="9"/>
        <v>0.60237392685955371</v>
      </c>
      <c r="R26">
        <f t="shared" si="10"/>
        <v>0.62</v>
      </c>
      <c r="S26" t="str">
        <f t="shared" si="11"/>
        <v>in linea</v>
      </c>
      <c r="T26" t="str">
        <f t="shared" si="12"/>
        <v>T1-2026</v>
      </c>
      <c r="U26">
        <f t="shared" si="13"/>
        <v>26737.650000000005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27906.1</v>
      </c>
      <c r="D27">
        <f>SUMIFS(Data!$F$2:$F$5761,Data!$A$2:$A$5761,Control!$B$2,Data!$B$2:$B$5761,A27)</f>
        <v>1503.67</v>
      </c>
      <c r="E27">
        <f>SUMIFS(Data!$G$2:$G$5761,Data!$A$2:$A$5761,Control!$B$2,Data!$B$2:$B$5761,A27)</f>
        <v>905.71</v>
      </c>
      <c r="F27">
        <f>SUMIFS(Data!$H$2:$H$5761,Data!$A$2:$A$5761,Control!$B$2,Data!$B$2:$B$5761,A27)</f>
        <v>2466</v>
      </c>
      <c r="G27">
        <f t="shared" si="2"/>
        <v>597.96</v>
      </c>
      <c r="H27" cm="1">
        <f t="array" ref="H27">INDEX(Budget!$B$2:$AK$21,Control!$B$6,MATCH(A27,Budget!$B$1:$AK$1,0))</f>
        <v>28573</v>
      </c>
      <c r="I27">
        <f t="shared" si="3"/>
        <v>-2.3340216288104232E-2</v>
      </c>
      <c r="J27">
        <f t="shared" si="4"/>
        <v>55714</v>
      </c>
      <c r="K27">
        <f t="shared" si="5"/>
        <v>2026</v>
      </c>
      <c r="L27">
        <f t="shared" ca="1" si="6"/>
        <v>27776.799999999999</v>
      </c>
      <c r="M27">
        <f>C27*_xlfn.XLOOKUP(A27,FX!$A$2:$A$37,FX!$C$2:$C$37)</f>
        <v>28388.875530000001</v>
      </c>
      <c r="N27">
        <f>C27*(1+Control!$B$4)^(A27/12)</f>
        <v>29751.792266992914</v>
      </c>
      <c r="O27">
        <f t="shared" si="7"/>
        <v>11</v>
      </c>
      <c r="P27">
        <f t="shared" si="8"/>
        <v>98.19999999999709</v>
      </c>
      <c r="Q27">
        <f t="shared" si="9"/>
        <v>0.6023329586943944</v>
      </c>
      <c r="R27">
        <f t="shared" si="10"/>
        <v>0.61</v>
      </c>
      <c r="S27" t="str">
        <f t="shared" si="11"/>
        <v>in linea</v>
      </c>
      <c r="T27" t="str">
        <f t="shared" si="12"/>
        <v>T1-2026</v>
      </c>
      <c r="U27">
        <f t="shared" si="13"/>
        <v>26925.591666666664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28172.5</v>
      </c>
      <c r="D28">
        <f>SUMIFS(Data!$F$2:$F$5761,Data!$A$2:$A$5761,Control!$B$2,Data!$B$2:$B$5761,A28)</f>
        <v>1516.6</v>
      </c>
      <c r="E28">
        <f>SUMIFS(Data!$G$2:$G$5761,Data!$A$2:$A$5761,Control!$B$2,Data!$B$2:$B$5761,A28)</f>
        <v>916.24</v>
      </c>
      <c r="F28">
        <f>SUMIFS(Data!$H$2:$H$5761,Data!$A$2:$A$5761,Control!$B$2,Data!$B$2:$B$5761,A28)</f>
        <v>2435</v>
      </c>
      <c r="G28">
        <f t="shared" si="2"/>
        <v>600.3599999999999</v>
      </c>
      <c r="H28" cm="1">
        <f t="array" ref="H28">INDEX(Budget!$B$2:$AK$21,Control!$B$6,MATCH(A28,Budget!$B$1:$AK$1,0))</f>
        <v>28781</v>
      </c>
      <c r="I28">
        <f t="shared" si="3"/>
        <v>-2.1142420346756507E-2</v>
      </c>
      <c r="J28">
        <f t="shared" si="4"/>
        <v>83886.5</v>
      </c>
      <c r="K28">
        <f t="shared" si="5"/>
        <v>2026</v>
      </c>
      <c r="L28">
        <f t="shared" ca="1" si="6"/>
        <v>27962.166666666668</v>
      </c>
      <c r="M28">
        <f>C28*_xlfn.XLOOKUP(A28,FX!$A$2:$A$37,FX!$C$2:$C$37)</f>
        <v>28786.660500000002</v>
      </c>
      <c r="N28">
        <f>C28*(1+Control!$B$4)^(A28/12)</f>
        <v>30109.888213646864</v>
      </c>
      <c r="O28">
        <f t="shared" si="7"/>
        <v>10</v>
      </c>
      <c r="P28">
        <f t="shared" si="8"/>
        <v>266.40000000000146</v>
      </c>
      <c r="Q28">
        <f t="shared" si="9"/>
        <v>0.60414084135566404</v>
      </c>
      <c r="R28">
        <f t="shared" si="10"/>
        <v>0.62</v>
      </c>
      <c r="S28" t="str">
        <f t="shared" si="11"/>
        <v>in linea</v>
      </c>
      <c r="T28" t="str">
        <f t="shared" si="12"/>
        <v>T1-2026</v>
      </c>
      <c r="U28">
        <f t="shared" si="13"/>
        <v>27119.691666666666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28252.1</v>
      </c>
      <c r="D29">
        <f>SUMIFS(Data!$F$2:$F$5761,Data!$A$2:$A$5761,Control!$B$2,Data!$B$2:$B$5761,A29)</f>
        <v>1522.5300000000002</v>
      </c>
      <c r="E29">
        <f>SUMIFS(Data!$G$2:$G$5761,Data!$A$2:$A$5761,Control!$B$2,Data!$B$2:$B$5761,A29)</f>
        <v>919.06000000000006</v>
      </c>
      <c r="F29">
        <f>SUMIFS(Data!$H$2:$H$5761,Data!$A$2:$A$5761,Control!$B$2,Data!$B$2:$B$5761,A29)</f>
        <v>2455</v>
      </c>
      <c r="G29">
        <f t="shared" si="2"/>
        <v>603.47000000000014</v>
      </c>
      <c r="H29" cm="1">
        <f t="array" ref="H29">INDEX(Budget!$B$2:$AK$21,Control!$B$6,MATCH(A29,Budget!$B$1:$AK$1,0))</f>
        <v>28990</v>
      </c>
      <c r="I29">
        <f t="shared" si="3"/>
        <v>-2.5453604691272891E-2</v>
      </c>
      <c r="J29">
        <f t="shared" si="4"/>
        <v>112138.6</v>
      </c>
      <c r="K29">
        <f t="shared" si="5"/>
        <v>2026</v>
      </c>
      <c r="L29">
        <f t="shared" ca="1" si="6"/>
        <v>28110.233333333334</v>
      </c>
      <c r="M29">
        <f>C29*_xlfn.XLOOKUP(A29,FX!$A$2:$A$37,FX!$C$2:$C$37)</f>
        <v>29029.032750000002</v>
      </c>
      <c r="N29">
        <f>C29*(1+Control!$B$4)^(A29/12)</f>
        <v>30269.431130423287</v>
      </c>
      <c r="O29">
        <f t="shared" si="7"/>
        <v>9</v>
      </c>
      <c r="P29">
        <f t="shared" si="8"/>
        <v>79.599999999998545</v>
      </c>
      <c r="Q29">
        <f t="shared" si="9"/>
        <v>0.60363999395742607</v>
      </c>
      <c r="R29">
        <f t="shared" si="10"/>
        <v>0.62</v>
      </c>
      <c r="S29" t="str">
        <f t="shared" si="11"/>
        <v>in linea</v>
      </c>
      <c r="T29" t="str">
        <f t="shared" si="12"/>
        <v>T2-2026</v>
      </c>
      <c r="U29">
        <f t="shared" si="13"/>
        <v>27295.449999999997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28538.1</v>
      </c>
      <c r="D30">
        <f>SUMIFS(Data!$F$2:$F$5761,Data!$A$2:$A$5761,Control!$B$2,Data!$B$2:$B$5761,A30)</f>
        <v>1536.95</v>
      </c>
      <c r="E30">
        <f>SUMIFS(Data!$G$2:$G$5761,Data!$A$2:$A$5761,Control!$B$2,Data!$B$2:$B$5761,A30)</f>
        <v>927.45</v>
      </c>
      <c r="F30">
        <f>SUMIFS(Data!$H$2:$H$5761,Data!$A$2:$A$5761,Control!$B$2,Data!$B$2:$B$5761,A30)</f>
        <v>2517</v>
      </c>
      <c r="G30">
        <f t="shared" si="2"/>
        <v>609.5</v>
      </c>
      <c r="H30" cm="1">
        <f t="array" ref="H30">INDEX(Budget!$B$2:$AK$21,Control!$B$6,MATCH(A30,Budget!$B$1:$AK$1,0))</f>
        <v>29198</v>
      </c>
      <c r="I30">
        <f t="shared" si="3"/>
        <v>-2.2600863072813282E-2</v>
      </c>
      <c r="J30">
        <f t="shared" si="4"/>
        <v>140676.70000000001</v>
      </c>
      <c r="K30">
        <f t="shared" si="5"/>
        <v>2026</v>
      </c>
      <c r="L30">
        <f t="shared" ca="1" si="6"/>
        <v>28320.899999999998</v>
      </c>
      <c r="M30">
        <f>C30*_xlfn.XLOOKUP(A30,FX!$A$2:$A$37,FX!$C$2:$C$37)</f>
        <v>29516.956829999999</v>
      </c>
      <c r="N30">
        <f>C30*(1+Control!$B$4)^(A30/12)</f>
        <v>30651.261160149756</v>
      </c>
      <c r="O30">
        <f t="shared" si="7"/>
        <v>8</v>
      </c>
      <c r="P30">
        <f t="shared" si="8"/>
        <v>286</v>
      </c>
      <c r="Q30">
        <f t="shared" si="9"/>
        <v>0.60343537525618918</v>
      </c>
      <c r="R30">
        <f t="shared" si="10"/>
        <v>0.61</v>
      </c>
      <c r="S30" t="str">
        <f t="shared" si="11"/>
        <v>in linea</v>
      </c>
      <c r="T30" t="str">
        <f t="shared" si="12"/>
        <v>T2-2026</v>
      </c>
      <c r="U30">
        <f t="shared" si="13"/>
        <v>27481.358333333326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28720.9</v>
      </c>
      <c r="D31">
        <f>SUMIFS(Data!$F$2:$F$5761,Data!$A$2:$A$5761,Control!$B$2,Data!$B$2:$B$5761,A31)</f>
        <v>1546.53</v>
      </c>
      <c r="E31">
        <f>SUMIFS(Data!$G$2:$G$5761,Data!$A$2:$A$5761,Control!$B$2,Data!$B$2:$B$5761,A31)</f>
        <v>933.86000000000013</v>
      </c>
      <c r="F31">
        <f>SUMIFS(Data!$H$2:$H$5761,Data!$A$2:$A$5761,Control!$B$2,Data!$B$2:$B$5761,A31)</f>
        <v>2512</v>
      </c>
      <c r="G31">
        <f t="shared" si="2"/>
        <v>612.66999999999985</v>
      </c>
      <c r="H31" cm="1">
        <f t="array" ref="H31">INDEX(Budget!$B$2:$AK$21,Control!$B$6,MATCH(A31,Budget!$B$1:$AK$1,0))</f>
        <v>29406</v>
      </c>
      <c r="I31">
        <f t="shared" si="3"/>
        <v>-2.3297966401414683E-2</v>
      </c>
      <c r="J31">
        <f t="shared" si="4"/>
        <v>169397.6</v>
      </c>
      <c r="K31">
        <f t="shared" si="5"/>
        <v>2026</v>
      </c>
      <c r="L31">
        <f t="shared" ca="1" si="6"/>
        <v>28503.7</v>
      </c>
      <c r="M31">
        <f>C31*_xlfn.XLOOKUP(A31,FX!$A$2:$A$37,FX!$C$2:$C$37)</f>
        <v>29921.433620000003</v>
      </c>
      <c r="N31">
        <f>C31*(1+Control!$B$4)^(A31/12)</f>
        <v>30923.675450674524</v>
      </c>
      <c r="O31">
        <f t="shared" si="7"/>
        <v>7</v>
      </c>
      <c r="P31">
        <f t="shared" si="8"/>
        <v>182.80000000000291</v>
      </c>
      <c r="Q31">
        <f t="shared" si="9"/>
        <v>0.60384214984513729</v>
      </c>
      <c r="R31">
        <f t="shared" si="10"/>
        <v>0.62</v>
      </c>
      <c r="S31" t="str">
        <f t="shared" si="11"/>
        <v>in linea</v>
      </c>
      <c r="T31" t="str">
        <f t="shared" si="12"/>
        <v>T2-2026</v>
      </c>
      <c r="U31">
        <f t="shared" si="13"/>
        <v>27667.066666666666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28966.400000000001</v>
      </c>
      <c r="D32">
        <f>SUMIFS(Data!$F$2:$F$5761,Data!$A$2:$A$5761,Control!$B$2,Data!$B$2:$B$5761,A32)</f>
        <v>1560.06</v>
      </c>
      <c r="E32">
        <f>SUMIFS(Data!$G$2:$G$5761,Data!$A$2:$A$5761,Control!$B$2,Data!$B$2:$B$5761,A32)</f>
        <v>941.31000000000006</v>
      </c>
      <c r="F32">
        <f>SUMIFS(Data!$H$2:$H$5761,Data!$A$2:$A$5761,Control!$B$2,Data!$B$2:$B$5761,A32)</f>
        <v>2493</v>
      </c>
      <c r="G32">
        <f t="shared" si="2"/>
        <v>618.74999999999989</v>
      </c>
      <c r="H32" cm="1">
        <f t="array" ref="H32">INDEX(Budget!$B$2:$AK$21,Control!$B$6,MATCH(A32,Budget!$B$1:$AK$1,0))</f>
        <v>29615</v>
      </c>
      <c r="I32">
        <f t="shared" si="3"/>
        <v>-2.1901063650177188E-2</v>
      </c>
      <c r="J32">
        <f t="shared" si="4"/>
        <v>198364</v>
      </c>
      <c r="K32">
        <f t="shared" si="5"/>
        <v>2026</v>
      </c>
      <c r="L32">
        <f t="shared" ca="1" si="6"/>
        <v>28741.8</v>
      </c>
      <c r="M32">
        <f>C32*_xlfn.XLOOKUP(A32,FX!$A$2:$A$37,FX!$C$2:$C$37)</f>
        <v>30408.926720000003</v>
      </c>
      <c r="N32">
        <f>C32*(1+Control!$B$4)^(A32/12)</f>
        <v>31264.922327884844</v>
      </c>
      <c r="O32">
        <f t="shared" si="7"/>
        <v>6</v>
      </c>
      <c r="P32">
        <f t="shared" si="8"/>
        <v>245.5</v>
      </c>
      <c r="Q32">
        <f t="shared" si="9"/>
        <v>0.60338063920618445</v>
      </c>
      <c r="R32">
        <f t="shared" si="10"/>
        <v>0.63</v>
      </c>
      <c r="S32" t="str">
        <f t="shared" si="11"/>
        <v>in linea</v>
      </c>
      <c r="T32" t="str">
        <f t="shared" si="12"/>
        <v>T3-2026</v>
      </c>
      <c r="U32">
        <f t="shared" si="13"/>
        <v>27862.783333333336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29047.800000000003</v>
      </c>
      <c r="D33">
        <f>SUMIFS(Data!$F$2:$F$5761,Data!$A$2:$A$5761,Control!$B$2,Data!$B$2:$B$5761,A33)</f>
        <v>1563.54</v>
      </c>
      <c r="E33">
        <f>SUMIFS(Data!$G$2:$G$5761,Data!$A$2:$A$5761,Control!$B$2,Data!$B$2:$B$5761,A33)</f>
        <v>942.6</v>
      </c>
      <c r="F33">
        <f>SUMIFS(Data!$H$2:$H$5761,Data!$A$2:$A$5761,Control!$B$2,Data!$B$2:$B$5761,A33)</f>
        <v>2461</v>
      </c>
      <c r="G33">
        <f t="shared" si="2"/>
        <v>620.93999999999994</v>
      </c>
      <c r="H33" cm="1">
        <f t="array" ref="H33">INDEX(Budget!$B$2:$AK$21,Control!$B$6,MATCH(A33,Budget!$B$1:$AK$1,0))</f>
        <v>29823</v>
      </c>
      <c r="I33">
        <f t="shared" si="3"/>
        <v>-2.5993360828890366E-2</v>
      </c>
      <c r="J33">
        <f t="shared" si="4"/>
        <v>227411.8</v>
      </c>
      <c r="K33">
        <f t="shared" si="5"/>
        <v>2026</v>
      </c>
      <c r="L33">
        <f t="shared" ca="1" si="6"/>
        <v>28911.7</v>
      </c>
      <c r="M33">
        <f>C33*_xlfn.XLOOKUP(A33,FX!$A$2:$A$37,FX!$C$2:$C$37)</f>
        <v>30729.667620000004</v>
      </c>
      <c r="N33">
        <f>C33*(1+Control!$B$4)^(A33/12)</f>
        <v>31430.105943396986</v>
      </c>
      <c r="O33">
        <f t="shared" si="7"/>
        <v>5</v>
      </c>
      <c r="P33">
        <f t="shared" si="8"/>
        <v>81.400000000001455</v>
      </c>
      <c r="Q33">
        <f t="shared" si="9"/>
        <v>0.60286273456387429</v>
      </c>
      <c r="R33">
        <f t="shared" si="10"/>
        <v>0.64</v>
      </c>
      <c r="S33" t="str">
        <f t="shared" si="11"/>
        <v>in linea</v>
      </c>
      <c r="T33" t="str">
        <f t="shared" si="12"/>
        <v>T3-2026</v>
      </c>
      <c r="U33">
        <f t="shared" si="13"/>
        <v>28046.750000000004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29286.600000000002</v>
      </c>
      <c r="D34">
        <f>SUMIFS(Data!$F$2:$F$5761,Data!$A$2:$A$5761,Control!$B$2,Data!$B$2:$B$5761,A34)</f>
        <v>1575.04</v>
      </c>
      <c r="E34">
        <f>SUMIFS(Data!$G$2:$G$5761,Data!$A$2:$A$5761,Control!$B$2,Data!$B$2:$B$5761,A34)</f>
        <v>950.75</v>
      </c>
      <c r="F34">
        <f>SUMIFS(Data!$H$2:$H$5761,Data!$A$2:$A$5761,Control!$B$2,Data!$B$2:$B$5761,A34)</f>
        <v>2389</v>
      </c>
      <c r="G34">
        <f t="shared" si="2"/>
        <v>624.29</v>
      </c>
      <c r="H34" cm="1">
        <f t="array" ref="H34">INDEX(Budget!$B$2:$AK$21,Control!$B$6,MATCH(A34,Budget!$B$1:$AK$1,0))</f>
        <v>30032</v>
      </c>
      <c r="I34">
        <f t="shared" si="3"/>
        <v>-2.4820191795418167E-2</v>
      </c>
      <c r="J34">
        <f t="shared" si="4"/>
        <v>256698.4</v>
      </c>
      <c r="K34">
        <f t="shared" si="5"/>
        <v>2026</v>
      </c>
      <c r="L34">
        <f t="shared" ca="1" si="6"/>
        <v>29100.266666666666</v>
      </c>
      <c r="M34">
        <f>C34*_xlfn.XLOOKUP(A34,FX!$A$2:$A$37,FX!$C$2:$C$37)</f>
        <v>31213.658280000003</v>
      </c>
      <c r="N34">
        <f>C34*(1+Control!$B$4)^(A34/12)</f>
        <v>31766.643086291355</v>
      </c>
      <c r="O34">
        <f t="shared" si="7"/>
        <v>4</v>
      </c>
      <c r="P34">
        <f t="shared" si="8"/>
        <v>238.79999999999927</v>
      </c>
      <c r="Q34">
        <f t="shared" si="9"/>
        <v>0.60363546322633077</v>
      </c>
      <c r="R34">
        <f t="shared" si="10"/>
        <v>0.66</v>
      </c>
      <c r="S34" t="str">
        <f t="shared" si="11"/>
        <v>in linea</v>
      </c>
      <c r="T34" t="str">
        <f t="shared" si="12"/>
        <v>T3-2026</v>
      </c>
      <c r="U34">
        <f t="shared" si="13"/>
        <v>28246.991666666665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29456.800000000003</v>
      </c>
      <c r="D35">
        <f>SUMIFS(Data!$F$2:$F$5761,Data!$A$2:$A$5761,Control!$B$2,Data!$B$2:$B$5761,A35)</f>
        <v>1586.2600000000002</v>
      </c>
      <c r="E35">
        <f>SUMIFS(Data!$G$2:$G$5761,Data!$A$2:$A$5761,Control!$B$2,Data!$B$2:$B$5761,A35)</f>
        <v>957.83999999999992</v>
      </c>
      <c r="F35">
        <f>SUMIFS(Data!$H$2:$H$5761,Data!$A$2:$A$5761,Control!$B$2,Data!$B$2:$B$5761,A35)</f>
        <v>2416</v>
      </c>
      <c r="G35">
        <f t="shared" si="2"/>
        <v>628.4200000000003</v>
      </c>
      <c r="H35" cm="1">
        <f t="array" ref="H35">INDEX(Budget!$B$2:$AK$21,Control!$B$6,MATCH(A35,Budget!$B$1:$AK$1,0))</f>
        <v>30240</v>
      </c>
      <c r="I35">
        <f t="shared" si="3"/>
        <v>-2.5899470899470756E-2</v>
      </c>
      <c r="J35">
        <f t="shared" si="4"/>
        <v>286155.2</v>
      </c>
      <c r="K35">
        <f t="shared" si="5"/>
        <v>2026</v>
      </c>
      <c r="L35">
        <f t="shared" ca="1" si="6"/>
        <v>29263.733333333337</v>
      </c>
      <c r="M35">
        <f>C35*_xlfn.XLOOKUP(A35,FX!$A$2:$A$37,FX!$C$2:$C$37)</f>
        <v>31613.037760000003</v>
      </c>
      <c r="N35">
        <f>C35*(1+Control!$B$4)^(A35/12)</f>
        <v>32030.056351641309</v>
      </c>
      <c r="O35">
        <f t="shared" si="7"/>
        <v>3</v>
      </c>
      <c r="P35">
        <f t="shared" si="8"/>
        <v>170.20000000000073</v>
      </c>
      <c r="Q35">
        <f t="shared" si="9"/>
        <v>0.60383543681363694</v>
      </c>
      <c r="R35">
        <f t="shared" si="10"/>
        <v>0.66</v>
      </c>
      <c r="S35" t="str">
        <f t="shared" si="11"/>
        <v>in linea</v>
      </c>
      <c r="T35" t="str">
        <f t="shared" si="12"/>
        <v>T4-2026</v>
      </c>
      <c r="U35">
        <f t="shared" si="13"/>
        <v>28429.649999999998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29699.000000000004</v>
      </c>
      <c r="D36">
        <f>SUMIFS(Data!$F$2:$F$5761,Data!$A$2:$A$5761,Control!$B$2,Data!$B$2:$B$5761,A36)</f>
        <v>1599.42</v>
      </c>
      <c r="E36">
        <f>SUMIFS(Data!$G$2:$G$5761,Data!$A$2:$A$5761,Control!$B$2,Data!$B$2:$B$5761,A36)</f>
        <v>964.32</v>
      </c>
      <c r="F36">
        <f>SUMIFS(Data!$H$2:$H$5761,Data!$A$2:$A$5761,Control!$B$2,Data!$B$2:$B$5761,A36)</f>
        <v>2449</v>
      </c>
      <c r="G36">
        <f t="shared" si="2"/>
        <v>635.1</v>
      </c>
      <c r="H36" cm="1">
        <f t="array" ref="H36">INDEX(Budget!$B$2:$AK$21,Control!$B$6,MATCH(A36,Budget!$B$1:$AK$1,0))</f>
        <v>30448</v>
      </c>
      <c r="I36">
        <f t="shared" si="3"/>
        <v>-2.4599316868102905E-2</v>
      </c>
      <c r="J36">
        <f t="shared" si="4"/>
        <v>315854.2</v>
      </c>
      <c r="K36">
        <f t="shared" si="5"/>
        <v>2026</v>
      </c>
      <c r="L36">
        <f t="shared" ca="1" si="6"/>
        <v>29480.800000000003</v>
      </c>
      <c r="M36">
        <f>C36*_xlfn.XLOOKUP(A36,FX!$A$2:$A$37,FX!$C$2:$C$37)</f>
        <v>32068.980200000005</v>
      </c>
      <c r="N36">
        <f>C36*(1+Control!$B$4)^(A36/12)</f>
        <v>32373.058477440081</v>
      </c>
      <c r="O36">
        <f t="shared" si="7"/>
        <v>2</v>
      </c>
      <c r="P36">
        <f t="shared" si="8"/>
        <v>242.20000000000073</v>
      </c>
      <c r="Q36">
        <f t="shared" si="9"/>
        <v>0.60291855797726679</v>
      </c>
      <c r="R36">
        <f t="shared" si="10"/>
        <v>0.65</v>
      </c>
      <c r="S36" t="str">
        <f t="shared" si="11"/>
        <v>in linea</v>
      </c>
      <c r="T36" t="str">
        <f t="shared" si="12"/>
        <v>T4-2026</v>
      </c>
      <c r="U36">
        <f t="shared" si="13"/>
        <v>28622.55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29778.7</v>
      </c>
      <c r="D37">
        <f>SUMIFS(Data!$F$2:$F$5761,Data!$A$2:$A$5761,Control!$B$2,Data!$B$2:$B$5761,A37)</f>
        <v>1603.5700000000002</v>
      </c>
      <c r="E37">
        <f>SUMIFS(Data!$G$2:$G$5761,Data!$A$2:$A$5761,Control!$B$2,Data!$B$2:$B$5761,A37)</f>
        <v>966.77</v>
      </c>
      <c r="F37">
        <f>SUMIFS(Data!$H$2:$H$5761,Data!$A$2:$A$5761,Control!$B$2,Data!$B$2:$B$5761,A37)</f>
        <v>2492</v>
      </c>
      <c r="G37">
        <f t="shared" si="2"/>
        <v>636.80000000000018</v>
      </c>
      <c r="H37" cm="1">
        <f t="array" ref="H37">INDEX(Budget!$B$2:$AK$21,Control!$B$6,MATCH(A37,Budget!$B$1:$AK$1,0))</f>
        <v>30657</v>
      </c>
      <c r="I37">
        <f t="shared" si="3"/>
        <v>-2.8649248132563532E-2</v>
      </c>
      <c r="J37">
        <f t="shared" si="4"/>
        <v>345632.9</v>
      </c>
      <c r="K37">
        <f t="shared" si="5"/>
        <v>2026</v>
      </c>
      <c r="L37">
        <f t="shared" ca="1" si="6"/>
        <v>29644.833333333332</v>
      </c>
      <c r="M37">
        <f>C37*_xlfn.XLOOKUP(A37,FX!$A$2:$A$37,FX!$C$2:$C$37)</f>
        <v>32318.823109999998</v>
      </c>
      <c r="N37">
        <f>C37*(1+Control!$B$4)^(A37/12)</f>
        <v>32539.9895149</v>
      </c>
      <c r="O37">
        <f t="shared" si="7"/>
        <v>1</v>
      </c>
      <c r="P37">
        <f t="shared" si="8"/>
        <v>79.69999999999709</v>
      </c>
      <c r="Q37">
        <f t="shared" si="9"/>
        <v>0.60288606047755933</v>
      </c>
      <c r="R37">
        <f t="shared" si="10"/>
        <v>0.64</v>
      </c>
      <c r="S37" t="str">
        <f t="shared" si="11"/>
        <v>in linea</v>
      </c>
      <c r="T37" t="str">
        <f t="shared" si="12"/>
        <v>T4-2026</v>
      </c>
      <c r="U37">
        <f t="shared" si="13"/>
        <v>28802.741666666669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>&lt;&lt;</v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1524.4</v>
      </c>
      <c r="C2">
        <f>SUMIFS(Data!$F$2:$F$5761,Data!$A$2:$A$5761,Control!$B$2,Data!$B$2:$B$5761,Control!$B$3,Data!$C$2:$C$5761,A2)</f>
        <v>69.040000000000006</v>
      </c>
      <c r="D2">
        <f>SUMIFS(Data!$G$2:$G$5761,Data!$A$2:$A$5761,Control!$B$2,Data!$B$2:$B$5761,Control!$B$3,Data!$C$2:$C$5761,A2)</f>
        <v>43.07</v>
      </c>
      <c r="E2">
        <f t="shared" ref="E2:E9" si="0">C2-D2</f>
        <v>25.970000000000006</v>
      </c>
      <c r="F2">
        <f>VLOOKUP(A2,Products!$A$2:$C$9,3,FALSE)</f>
        <v>0.6</v>
      </c>
      <c r="G2">
        <f t="shared" ref="G2:G9" si="1">E2*F2</f>
        <v>15.582000000000003</v>
      </c>
      <c r="H2">
        <f t="shared" ref="H2:H9" si="2">B2/SUM($B$2:$B$9)</f>
        <v>5.307633117346601E-2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9076.1999999999989</v>
      </c>
      <c r="K2">
        <f>SUMIFS(Data!$E$2:$E$5761,Data!$C$2:$C$5761,A2,Data!$B$2:$B$5761,Control!$B$3)</f>
        <v>20838.499999999996</v>
      </c>
      <c r="L2">
        <f t="shared" ref="L2:L9" si="4">B2/K2</f>
        <v>7.3153058041605698E-2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5129</v>
      </c>
      <c r="O2" cm="1">
        <f t="array" ref="O2">INDEX(Data!$E$2:$E$5761,N2)</f>
        <v>1524.4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2142.5</v>
      </c>
      <c r="C3">
        <f>SUMIFS(Data!$F$2:$F$5761,Data!$A$2:$A$5761,Control!$B$2,Data!$B$2:$B$5761,Control!$B$3,Data!$C$2:$C$5761,A3)</f>
        <v>101.67</v>
      </c>
      <c r="D3">
        <f>SUMIFS(Data!$G$2:$G$5761,Data!$A$2:$A$5761,Control!$B$2,Data!$B$2:$B$5761,Control!$B$3,Data!$C$2:$C$5761,A3)</f>
        <v>62.79</v>
      </c>
      <c r="E3">
        <f t="shared" si="0"/>
        <v>38.880000000000003</v>
      </c>
      <c r="F3">
        <f>VLOOKUP(A3,Products!$A$2:$C$9,3,FALSE)</f>
        <v>0.65</v>
      </c>
      <c r="G3">
        <f t="shared" si="1"/>
        <v>25.272000000000002</v>
      </c>
      <c r="H3">
        <f t="shared" si="2"/>
        <v>7.4597244515318115E-2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12598.900000000001</v>
      </c>
      <c r="K3">
        <f>SUMIFS(Data!$E$2:$E$5761,Data!$C$2:$C$5761,A3,Data!$B$2:$B$5761,Control!$B$3)</f>
        <v>28660.2</v>
      </c>
      <c r="L3">
        <f t="shared" si="4"/>
        <v>7.4755235483353222E-2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5130</v>
      </c>
      <c r="O3" cm="1">
        <f t="array" ref="O3">INDEX(Data!$E$2:$E$5761,N3)</f>
        <v>2142.5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2695.1</v>
      </c>
      <c r="C4">
        <f>SUMIFS(Data!$F$2:$F$5761,Data!$A$2:$A$5761,Control!$B$2,Data!$B$2:$B$5761,Control!$B$3,Data!$C$2:$C$5761,A4)</f>
        <v>132.81</v>
      </c>
      <c r="D4">
        <f>SUMIFS(Data!$G$2:$G$5761,Data!$A$2:$A$5761,Control!$B$2,Data!$B$2:$B$5761,Control!$B$3,Data!$C$2:$C$5761,A4)</f>
        <v>81.239999999999995</v>
      </c>
      <c r="E4">
        <f t="shared" si="0"/>
        <v>51.570000000000007</v>
      </c>
      <c r="F4">
        <f>VLOOKUP(A4,Products!$A$2:$C$9,3,FALSE)</f>
        <v>0.7</v>
      </c>
      <c r="G4">
        <f t="shared" si="1"/>
        <v>36.099000000000004</v>
      </c>
      <c r="H4">
        <f t="shared" si="2"/>
        <v>9.3837588654951606E-2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16000.6</v>
      </c>
      <c r="K4">
        <f>SUMIFS(Data!$E$2:$E$5761,Data!$C$2:$C$5761,A4,Data!$B$2:$B$5761,Control!$B$3)</f>
        <v>36478.399999999994</v>
      </c>
      <c r="L4">
        <f t="shared" si="4"/>
        <v>7.3882078161322876E-2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5131</v>
      </c>
      <c r="O4" cm="1">
        <f t="array" ref="O4">INDEX(Data!$E$2:$E$5761,N4)</f>
        <v>2695.1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3300.4</v>
      </c>
      <c r="C5">
        <f>SUMIFS(Data!$F$2:$F$5761,Data!$A$2:$A$5761,Control!$B$2,Data!$B$2:$B$5761,Control!$B$3,Data!$C$2:$C$5761,A5)</f>
        <v>168.56</v>
      </c>
      <c r="D5">
        <f>SUMIFS(Data!$G$2:$G$5761,Data!$A$2:$A$5761,Control!$B$2,Data!$B$2:$B$5761,Control!$B$3,Data!$C$2:$C$5761,A5)</f>
        <v>103.13</v>
      </c>
      <c r="E5">
        <f t="shared" si="0"/>
        <v>65.430000000000007</v>
      </c>
      <c r="F5">
        <f>VLOOKUP(A5,Products!$A$2:$C$9,3,FALSE)</f>
        <v>0.75</v>
      </c>
      <c r="G5">
        <f t="shared" si="1"/>
        <v>49.072500000000005</v>
      </c>
      <c r="H5">
        <f t="shared" si="2"/>
        <v>0.11491283351148467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19478.500000000004</v>
      </c>
      <c r="K5">
        <f>SUMIFS(Data!$E$2:$E$5761,Data!$C$2:$C$5761,A5,Data!$B$2:$B$5761,Control!$B$3)</f>
        <v>44314.299999999996</v>
      </c>
      <c r="L5">
        <f t="shared" si="4"/>
        <v>7.4477087531564318E-2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5132</v>
      </c>
      <c r="O5" cm="1">
        <f t="array" ref="O5">INDEX(Data!$E$2:$E$5761,N5)</f>
        <v>3300.4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3895.1</v>
      </c>
      <c r="C6">
        <f>SUMIFS(Data!$F$2:$F$5761,Data!$A$2:$A$5761,Control!$B$2,Data!$B$2:$B$5761,Control!$B$3,Data!$C$2:$C$5761,A6)</f>
        <v>206.86</v>
      </c>
      <c r="D6">
        <f>SUMIFS(Data!$G$2:$G$5761,Data!$A$2:$A$5761,Control!$B$2,Data!$B$2:$B$5761,Control!$B$3,Data!$C$2:$C$5761,A6)</f>
        <v>125.6</v>
      </c>
      <c r="E6">
        <f t="shared" si="0"/>
        <v>81.260000000000019</v>
      </c>
      <c r="F6">
        <f>VLOOKUP(A6,Products!$A$2:$C$9,3,FALSE)</f>
        <v>0.8</v>
      </c>
      <c r="G6">
        <f t="shared" si="1"/>
        <v>65.008000000000024</v>
      </c>
      <c r="H6">
        <f t="shared" si="2"/>
        <v>0.13561900915361286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22983.699999999997</v>
      </c>
      <c r="K6">
        <f>SUMIFS(Data!$E$2:$E$5761,Data!$C$2:$C$5761,A6,Data!$B$2:$B$5761,Control!$B$3)</f>
        <v>52140</v>
      </c>
      <c r="L6">
        <f t="shared" si="4"/>
        <v>7.4704641350210974E-2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5133</v>
      </c>
      <c r="O6" cm="1">
        <f t="array" ref="O6">INDEX(Data!$E$2:$E$5761,N6)</f>
        <v>3895.1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4475.8999999999996</v>
      </c>
      <c r="C7">
        <f>SUMIFS(Data!$F$2:$F$5761,Data!$A$2:$A$5761,Control!$B$2,Data!$B$2:$B$5761,Control!$B$3,Data!$C$2:$C$5761,A7)</f>
        <v>246.49</v>
      </c>
      <c r="D7">
        <f>SUMIFS(Data!$G$2:$G$5761,Data!$A$2:$A$5761,Control!$B$2,Data!$B$2:$B$5761,Control!$B$3,Data!$C$2:$C$5761,A7)</f>
        <v>147.72999999999999</v>
      </c>
      <c r="E7">
        <f t="shared" si="0"/>
        <v>98.760000000000019</v>
      </c>
      <c r="F7">
        <f>VLOOKUP(A7,Products!$A$2:$C$9,3,FALSE)</f>
        <v>0.85</v>
      </c>
      <c r="G7">
        <f t="shared" si="1"/>
        <v>83.946000000000012</v>
      </c>
      <c r="H7">
        <f t="shared" si="2"/>
        <v>0.15584121667496489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26354.799999999996</v>
      </c>
      <c r="K7">
        <f>SUMIFS(Data!$E$2:$E$5761,Data!$C$2:$C$5761,A7,Data!$B$2:$B$5761,Control!$B$3)</f>
        <v>59931.599999999991</v>
      </c>
      <c r="L7">
        <f t="shared" si="4"/>
        <v>7.4683472491974184E-2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5134</v>
      </c>
      <c r="O7" cm="1">
        <f t="array" ref="O7">INDEX(Data!$E$2:$E$5761,N7)</f>
        <v>4475.8999999999996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5062.3999999999996</v>
      </c>
      <c r="C8">
        <f>SUMIFS(Data!$F$2:$F$5761,Data!$A$2:$A$5761,Control!$B$2,Data!$B$2:$B$5761,Control!$B$3,Data!$C$2:$C$5761,A8)</f>
        <v>289.11</v>
      </c>
      <c r="D8">
        <f>SUMIFS(Data!$G$2:$G$5761,Data!$A$2:$A$5761,Control!$B$2,Data!$B$2:$B$5761,Control!$B$3,Data!$C$2:$C$5761,A8)</f>
        <v>172.6</v>
      </c>
      <c r="E8">
        <f t="shared" si="0"/>
        <v>116.51000000000002</v>
      </c>
      <c r="F8">
        <f>VLOOKUP(A8,Products!$A$2:$C$9,3,FALSE)</f>
        <v>0.9</v>
      </c>
      <c r="G8">
        <f t="shared" si="1"/>
        <v>104.85900000000002</v>
      </c>
      <c r="H8">
        <f t="shared" si="2"/>
        <v>0.17626188594368558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29766.6</v>
      </c>
      <c r="K8">
        <f>SUMIFS(Data!$E$2:$E$5761,Data!$C$2:$C$5761,A8,Data!$B$2:$B$5761,Control!$B$3)</f>
        <v>67800.800000000003</v>
      </c>
      <c r="L8">
        <f t="shared" si="4"/>
        <v>7.4665785654446551E-2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5135</v>
      </c>
      <c r="O8" cm="1">
        <f t="array" ref="O8">INDEX(Data!$E$2:$E$5761,N8)</f>
        <v>5062.3999999999996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5625.1</v>
      </c>
      <c r="C9">
        <f>SUMIFS(Data!$F$2:$F$5761,Data!$A$2:$A$5761,Control!$B$2,Data!$B$2:$B$5761,Control!$B$3,Data!$C$2:$C$5761,A9)</f>
        <v>331.99</v>
      </c>
      <c r="D9">
        <f>SUMIFS(Data!$G$2:$G$5761,Data!$A$2:$A$5761,Control!$B$2,Data!$B$2:$B$5761,Control!$B$3,Data!$C$2:$C$5761,A9)</f>
        <v>197.7</v>
      </c>
      <c r="E9">
        <f t="shared" si="0"/>
        <v>134.29000000000002</v>
      </c>
      <c r="F9">
        <f>VLOOKUP(A9,Products!$A$2:$C$9,3,FALSE)</f>
        <v>0.95</v>
      </c>
      <c r="G9">
        <f t="shared" si="1"/>
        <v>127.57550000000002</v>
      </c>
      <c r="H9">
        <f t="shared" si="2"/>
        <v>0.19585389037251619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33138.300000000003</v>
      </c>
      <c r="K9">
        <f>SUMIFS(Data!$E$2:$E$5761,Data!$C$2:$C$5761,A9,Data!$B$2:$B$5761,Control!$B$3)</f>
        <v>75504.599999999991</v>
      </c>
      <c r="L9">
        <f t="shared" si="4"/>
        <v>7.4500096682851125E-2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5136</v>
      </c>
      <c r="O9" cm="1">
        <f t="array" ref="O9">INDEX(Data!$E$2:$E$5761,N9)</f>
        <v>5625.1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0.89400000000000002</v>
      </c>
    </row>
    <row r="13" spans="1:9" x14ac:dyDescent="0.25">
      <c r="H13" t="s">
        <v>152</v>
      </c>
      <c r="I13">
        <f>AVERAGE(Calc_Product!B2:B9)</f>
        <v>3590.1125000000002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18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5815.2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23391.300000000003</v>
      </c>
      <c r="B30">
        <v>23436.2</v>
      </c>
      <c r="C30">
        <v>23649.899999999998</v>
      </c>
      <c r="D30">
        <v>23854.6</v>
      </c>
      <c r="E30">
        <v>24133.199999999997</v>
      </c>
      <c r="F30">
        <v>24206.9</v>
      </c>
      <c r="G30">
        <v>24500.7</v>
      </c>
      <c r="H30">
        <v>24701.500000000004</v>
      </c>
      <c r="I30">
        <v>24755.800000000003</v>
      </c>
      <c r="J30">
        <v>25011.199999999997</v>
      </c>
      <c r="K30">
        <v>25224.300000000003</v>
      </c>
      <c r="L30">
        <v>25405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28720.9</v>
      </c>
    </row>
    <row r="3" spans="1:2" x14ac:dyDescent="0.25">
      <c r="A3" t="s">
        <v>141</v>
      </c>
      <c r="B3">
        <f>B2*(1+Rate)</f>
        <v>29582.527000000002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6893.0160000000005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Sarda / Centro</v>
      </c>
    </row>
    <row r="9" spans="1:2" x14ac:dyDescent="0.25">
      <c r="A9" t="s">
        <v>235</v>
      </c>
      <c r="B9" cm="1">
        <f t="array" ref="B9">VolSel</f>
        <v>28720.9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28720.9</v>
      </c>
    </row>
    <row r="3" spans="1:2" x14ac:dyDescent="0.25">
      <c r="A3" t="s">
        <v>237</v>
      </c>
      <c r="B3" cm="1">
        <f t="array" aca="1" ref="B3" ca="1">INDIRECT("'SLIDE Sintesi'!D5")</f>
        <v>28720.9</v>
      </c>
    </row>
    <row r="4" spans="1:2" x14ac:dyDescent="0.25">
      <c r="A4" t="s">
        <v>238</v>
      </c>
      <c r="B4">
        <f ca="1">SUM(INDIRECT("Calc_BankMonth!B"&amp;(Control!$B$6+2)&amp;":AK"&amp;(Control!$B$6+2)))</f>
        <v>956574.4</v>
      </c>
    </row>
    <row r="5" spans="1:2" x14ac:dyDescent="0.25">
      <c r="A5" t="s">
        <v>239</v>
      </c>
      <c r="B5">
        <f ca="1">OFFSET(Calc_BankMonth!$A$2,Control!$B$6,Control!$B$3)</f>
        <v>28720.9</v>
      </c>
    </row>
    <row r="6" spans="1:2" x14ac:dyDescent="0.25">
      <c r="A6" t="s">
        <v>240</v>
      </c>
      <c r="B6">
        <f ca="1">SUM(OFFSET(Calc_Month!$C$1,Control!$B$3-2,0,3,1))</f>
        <v>85511.1</v>
      </c>
    </row>
    <row r="7" spans="1:2" x14ac:dyDescent="0.25">
      <c r="A7" t="s">
        <v>241</v>
      </c>
      <c r="B7" cm="1">
        <f t="array" aca="1" ref="B7" ca="1">INDIRECT(ADDRESS(Control!$B$3+1,3,1,1,"Calc_Month"))</f>
        <v>28720.9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5.1677798283387637E-2</v>
      </c>
      <c r="C2">
        <f>_xlfn.XLOOKUP(Control!B2,[1]Compare!$A$2:$A$21,[1]Compare!$E$2:$E$21)</f>
        <v>1411.3000000000029</v>
      </c>
    </row>
    <row r="3" spans="1:3" x14ac:dyDescent="0.25">
      <c r="A3" t="s">
        <v>286</v>
      </c>
      <c r="B3">
        <f>[1]Summary!$B$3</f>
        <v>11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05%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11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328.85389012154087</v>
      </c>
      <c r="I2" s="1">
        <f>H2+Calc_Dates!$J$2</f>
        <v>359.85389012154087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380.79756148653553</v>
      </c>
      <c r="I3" s="1">
        <f>H3+Calc_Dates!$J$2</f>
        <v>411.79756148653553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439.93493307340759</v>
      </c>
      <c r="I4" s="1">
        <f>H4+Calc_Dates!$J$2</f>
        <v>470.93493307340759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499.78881036966726</v>
      </c>
      <c r="I5" s="1">
        <f>H5+Calc_Dates!$J$2</f>
        <v>530.78881036966732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553.07699871319676</v>
      </c>
      <c r="I6" s="1">
        <f>H6+Calc_Dates!$J$2</f>
        <v>584.07699871319676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611.53078281241312</v>
      </c>
      <c r="I7" s="1">
        <f>H7+Calc_Dates!$J$2</f>
        <v>642.53078281241312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666.40032832719839</v>
      </c>
      <c r="I8" s="1">
        <f>H8+Calc_Dates!$J$2</f>
        <v>697.40032832719839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727.89626912570043</v>
      </c>
      <c r="I9" s="1">
        <f>H9+Calc_Dates!$J$2</f>
        <v>758.89626912570043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782.09676247151708</v>
      </c>
      <c r="I10" s="1">
        <f>H10+Calc_Dates!$J$2</f>
        <v>813.09676247151708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837.21127085711339</v>
      </c>
      <c r="I11" s="1">
        <f>H11+Calc_Dates!$J$2</f>
        <v>868.21127085711339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892.89351169024371</v>
      </c>
      <c r="I12" s="1">
        <f>H12+Calc_Dates!$J$2</f>
        <v>923.89351169024371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951.91246318075514</v>
      </c>
      <c r="I13" s="1">
        <f>H13+Calc_Dates!$J$2</f>
        <v>982.91246318075514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1007.4450757332853</v>
      </c>
      <c r="I14" s="1">
        <f>H14+Calc_Dates!$J$2</f>
        <v>1038.4450757332852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1065.6538969616906</v>
      </c>
      <c r="I15" s="1">
        <f>H15+Calc_Dates!$J$2</f>
        <v>1096.6538969616906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1121.0039630118888</v>
      </c>
      <c r="I16" s="1">
        <f>H16+Calc_Dates!$J$2</f>
        <v>1152.0039630118888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1175.2980809104238</v>
      </c>
      <c r="I17" s="1">
        <f>H17+Calc_Dates!$J$2</f>
        <v>1206.2980809104238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1238.8204161376236</v>
      </c>
      <c r="I18" s="1">
        <f>H18+Calc_Dates!$J$2</f>
        <v>1269.8204161376236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1290.6867083060795</v>
      </c>
      <c r="I19" s="1">
        <f>H19+Calc_Dates!$J$2</f>
        <v>1321.6867083060795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1351.4605857733429</v>
      </c>
      <c r="I20" s="1">
        <f>H20+Calc_Dates!$J$2</f>
        <v>1382.4605857733429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1412.1489613659776</v>
      </c>
      <c r="I21" s="1">
        <f>H21+Calc_Dates!$J$2</f>
        <v>1443.1489613659776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28720.9</v>
      </c>
      <c r="C2" cm="1">
        <f t="array" ref="C2">INDEX(Calc_Month!$C$2:$C$37,Control!$B$13)</f>
        <v>28538.1</v>
      </c>
      <c r="D2">
        <f>B2-C2</f>
        <v>182.80000000000291</v>
      </c>
      <c r="E2">
        <f>IFERROR(D2/C2,0)</f>
        <v>6.4054719830683518E-3</v>
      </c>
    </row>
    <row r="3" spans="1:5" x14ac:dyDescent="0.25">
      <c r="A3" t="s">
        <v>5</v>
      </c>
      <c r="B3" cm="1">
        <f t="array" ref="B3">INDEX(Calc_Month!$D$2:$D$37,Control!$B$3)</f>
        <v>1546.53</v>
      </c>
      <c r="C3" cm="1">
        <f t="array" ref="C3">INDEX(Calc_Month!$D$2:$D$37,Control!$B$13)</f>
        <v>1536.95</v>
      </c>
      <c r="D3">
        <f>B3-C3</f>
        <v>9.5799999999999272</v>
      </c>
      <c r="E3">
        <f>IFERROR(D3/C3,0)</f>
        <v>6.2331240443735496E-3</v>
      </c>
    </row>
    <row r="4" spans="1:5" x14ac:dyDescent="0.25">
      <c r="A4" t="s">
        <v>6</v>
      </c>
      <c r="B4" cm="1">
        <f t="array" ref="B4">INDEX(Calc_Month!$E$2:$E$37,Control!$B$3)</f>
        <v>933.86000000000013</v>
      </c>
      <c r="C4" cm="1">
        <f t="array" ref="C4">INDEX(Calc_Month!$E$2:$E$37,Control!$B$13)</f>
        <v>927.45</v>
      </c>
      <c r="D4">
        <f>B4-C4</f>
        <v>6.4100000000000819</v>
      </c>
      <c r="E4">
        <f>IFERROR(D4/C4,0)</f>
        <v>6.9114237964311622E-3</v>
      </c>
    </row>
    <row r="5" spans="1:5" x14ac:dyDescent="0.25">
      <c r="A5" t="s">
        <v>10</v>
      </c>
      <c r="B5" cm="1">
        <f t="array" ref="B5">INDEX(Calc_Month!$G$2:$G$37,Control!$B$3)</f>
        <v>612.66999999999985</v>
      </c>
      <c r="C5" cm="1">
        <f t="array" ref="C5">INDEX(Calc_Month!$G$2:$G$37,Control!$B$13)</f>
        <v>609.5</v>
      </c>
      <c r="D5">
        <f>B5-C5</f>
        <v>3.1699999999998454</v>
      </c>
      <c r="E5">
        <f>IFERROR(D5/C5,0)</f>
        <v>5.200984413453397E-3</v>
      </c>
    </row>
    <row r="6" spans="1:5" x14ac:dyDescent="0.25">
      <c r="A6" t="s">
        <v>7</v>
      </c>
      <c r="B6" cm="1">
        <f t="array" ref="B6">INDEX(Calc_Month!$F$2:$F$37,Control!$B$3)</f>
        <v>2512</v>
      </c>
      <c r="C6" cm="1">
        <f t="array" ref="C6">INDEX(Calc_Month!$F$2:$F$37,Control!$B$13)</f>
        <v>2517</v>
      </c>
      <c r="D6">
        <f>B6-C6</f>
        <v>-5</v>
      </c>
      <c r="E6">
        <f>IFERROR(D6/C6,0)</f>
        <v>-1.986491855383393E-3</v>
      </c>
    </row>
    <row r="7" spans="1:5" x14ac:dyDescent="0.25">
      <c r="A7" t="s">
        <v>136</v>
      </c>
      <c r="B7" cm="1">
        <f t="array" ref="B7">INDEX(Calc_Month!$H$2:$H$37,Control!$B$3)</f>
        <v>29406</v>
      </c>
      <c r="C7">
        <f t="shared" ref="C7:C19" si="0">IF(ISNUMBER(B7),ROUND(B7,2),B7)</f>
        <v>29406</v>
      </c>
    </row>
    <row r="8" spans="1:5" x14ac:dyDescent="0.25">
      <c r="A8" t="s">
        <v>142</v>
      </c>
      <c r="B8">
        <f>_xlfn.XLOOKUP(Control!$B$2,Calc_Bank!$A$2:$A$21,Calc_Bank!$L$2:$L$21)</f>
        <v>3</v>
      </c>
      <c r="C8">
        <f t="shared" si="0"/>
        <v>3</v>
      </c>
    </row>
    <row r="9" spans="1:5" x14ac:dyDescent="0.25">
      <c r="A9" t="s">
        <v>150</v>
      </c>
      <c r="B9">
        <f>_xlfn.XLOOKUP(Control!$B$2,Calc_Bank!$A$2:$A$21,Calc_Bank!$K$2:$K$21)</f>
        <v>7.4470451818194075E-2</v>
      </c>
      <c r="C9">
        <f t="shared" si="0"/>
        <v>7.0000000000000007E-2</v>
      </c>
    </row>
    <row r="10" spans="1:5" x14ac:dyDescent="0.25">
      <c r="A10" t="s">
        <v>161</v>
      </c>
      <c r="B10" cm="1">
        <f t="array" ref="B10">INDEX(Calc_Month!$J$2:$J$37,Control!$B$3)</f>
        <v>169397.6</v>
      </c>
      <c r="C10">
        <f t="shared" si="0"/>
        <v>169397.6</v>
      </c>
    </row>
    <row r="11" spans="1:5" x14ac:dyDescent="0.25">
      <c r="A11" t="s">
        <v>141</v>
      </c>
      <c r="B11" cm="1">
        <f t="array" ref="B11">INDEX(Calc_Scenario!$B$3:$AK$22,Control!$B$6,Control!$B$3)</f>
        <v>32216.285084512747</v>
      </c>
      <c r="C11">
        <f t="shared" si="0"/>
        <v>32216.29</v>
      </c>
    </row>
    <row r="12" spans="1:5" x14ac:dyDescent="0.25">
      <c r="A12" t="s">
        <v>257</v>
      </c>
      <c r="B12">
        <f>_xlfn.XLOOKUP(Control!$B$8,Calc_Region!$A$2:$A$6,Calc_Region!$K$2:$K$6)</f>
        <v>0.14596917974093807</v>
      </c>
      <c r="C12">
        <f t="shared" si="0"/>
        <v>0.15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1321.6867083060795</v>
      </c>
      <c r="C14">
        <f t="shared" si="0"/>
        <v>1321.69</v>
      </c>
    </row>
    <row r="15" spans="1:5" x14ac:dyDescent="0.25">
      <c r="A15" t="s">
        <v>260</v>
      </c>
      <c r="B15" cm="1">
        <f t="array" ref="B15">INDEX(Calc_Growth!$AM$3:$AM$22,Control!$B$6)</f>
        <v>6.9272421393860219E-3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Sarda (B118) - giugno 2026</v>
      </c>
      <c r="C17" t="str">
        <f t="shared" si="0"/>
        <v>Banca Sarda (B118) - giugno 2026</v>
      </c>
    </row>
    <row r="18" spans="1:3" x14ac:dyDescent="0.25">
      <c r="A18" t="s">
        <v>147</v>
      </c>
      <c r="B18" cm="1">
        <f t="array" ref="B18">INDEX(Calc_Month!$U$2:$U$37,Control!$B$3)</f>
        <v>27667.066666666666</v>
      </c>
      <c r="C18">
        <f t="shared" si="0"/>
        <v>27667.07</v>
      </c>
    </row>
    <row r="19" spans="1:3" x14ac:dyDescent="0.25">
      <c r="A19" t="s">
        <v>262</v>
      </c>
      <c r="B19" cm="1">
        <f t="array" aca="1" ref="B19" ca="1">INDEX(Calc_Month!$L$2:$L$37,Control!$B$3)</f>
        <v>28503.7</v>
      </c>
      <c r="C19">
        <f t="shared" ca="1" si="0"/>
        <v>28503.7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Sarda (B118)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28720.9</v>
      </c>
      <c r="E5" s="3">
        <f>Calc_Summary!C2</f>
        <v>28538.1</v>
      </c>
      <c r="F5" s="3">
        <f t="shared" ref="F5:F9" si="0">D5-E5</f>
        <v>182.80000000000291</v>
      </c>
      <c r="G5" s="2">
        <f t="shared" ref="G5:G9" si="1">IFERROR(F5/E5,"-")</f>
        <v>6.4054719830683518E-3</v>
      </c>
    </row>
    <row r="6" spans="2:8" x14ac:dyDescent="0.25">
      <c r="C6" t="s">
        <v>5</v>
      </c>
      <c r="D6" s="3">
        <f>Calc_Summary!B3</f>
        <v>1546.53</v>
      </c>
      <c r="E6" s="3">
        <f>Calc_Summary!C3</f>
        <v>1536.95</v>
      </c>
      <c r="F6" s="3">
        <f t="shared" si="0"/>
        <v>9.5799999999999272</v>
      </c>
      <c r="G6" s="2">
        <f t="shared" si="1"/>
        <v>6.2331240443735496E-3</v>
      </c>
    </row>
    <row r="7" spans="2:8" x14ac:dyDescent="0.25">
      <c r="C7" t="s">
        <v>6</v>
      </c>
      <c r="D7" s="3">
        <f>Calc_Summary!B4</f>
        <v>933.86000000000013</v>
      </c>
      <c r="E7" s="3">
        <f>Calc_Summary!C4</f>
        <v>927.45</v>
      </c>
      <c r="F7" s="3">
        <f t="shared" si="0"/>
        <v>6.4100000000000819</v>
      </c>
      <c r="G7" s="2">
        <f t="shared" si="1"/>
        <v>6.9114237964311622E-3</v>
      </c>
    </row>
    <row r="8" spans="2:8" x14ac:dyDescent="0.25">
      <c r="C8" t="s">
        <v>10</v>
      </c>
      <c r="D8" s="3">
        <f>Calc_Summary!B5</f>
        <v>612.66999999999985</v>
      </c>
      <c r="E8" s="3">
        <f>Calc_Summary!C5</f>
        <v>609.5</v>
      </c>
      <c r="F8" s="3">
        <f t="shared" si="0"/>
        <v>3.1699999999998454</v>
      </c>
      <c r="G8" s="2">
        <f t="shared" si="1"/>
        <v>5.200984413453397E-3</v>
      </c>
    </row>
    <row r="9" spans="2:8" x14ac:dyDescent="0.25">
      <c r="C9" t="s">
        <v>7</v>
      </c>
      <c r="D9" s="3">
        <f>Calc_Summary!B6</f>
        <v>2512</v>
      </c>
      <c r="E9" s="3">
        <f>Calc_Summary!C6</f>
        <v>2517</v>
      </c>
      <c r="F9" s="3">
        <f t="shared" si="0"/>
        <v>-5</v>
      </c>
      <c r="G9" s="2">
        <f t="shared" si="1"/>
        <v>-1.986491855383393E-3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Sarda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1524.4</v>
      </c>
      <c r="F5">
        <f>Calc_Product!E2</f>
        <v>25.970000000000006</v>
      </c>
      <c r="G5">
        <f>Calc_Product!H2</f>
        <v>5.307633117346601E-2</v>
      </c>
      <c r="H5">
        <f>Calc_Product!L2</f>
        <v>7.3153058041605698E-2</v>
      </c>
      <c r="I5">
        <f>Calc_Product!J2</f>
        <v>9076.1999999999989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2142.5</v>
      </c>
      <c r="F6">
        <f>Calc_Product!E3</f>
        <v>38.880000000000003</v>
      </c>
      <c r="G6">
        <f>Calc_Product!H3</f>
        <v>7.4597244515318115E-2</v>
      </c>
      <c r="H6">
        <f>Calc_Product!L3</f>
        <v>7.4755235483353222E-2</v>
      </c>
      <c r="I6">
        <f>Calc_Product!J3</f>
        <v>12598.900000000001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2695.1</v>
      </c>
      <c r="F7">
        <f>Calc_Product!E4</f>
        <v>51.570000000000007</v>
      </c>
      <c r="G7">
        <f>Calc_Product!H4</f>
        <v>9.3837588654951606E-2</v>
      </c>
      <c r="H7">
        <f>Calc_Product!L4</f>
        <v>7.3882078161322876E-2</v>
      </c>
      <c r="I7">
        <f>Calc_Product!J4</f>
        <v>16000.6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3300.4</v>
      </c>
      <c r="F8">
        <f>Calc_Product!E5</f>
        <v>65.430000000000007</v>
      </c>
      <c r="G8">
        <f>Calc_Product!H5</f>
        <v>0.11491283351148467</v>
      </c>
      <c r="H8">
        <f>Calc_Product!L5</f>
        <v>7.4477087531564318E-2</v>
      </c>
      <c r="I8">
        <f>Calc_Product!J5</f>
        <v>19478.500000000004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3895.1</v>
      </c>
      <c r="F9">
        <f>Calc_Product!E6</f>
        <v>81.260000000000019</v>
      </c>
      <c r="G9">
        <f>Calc_Product!H6</f>
        <v>0.13561900915361286</v>
      </c>
      <c r="H9">
        <f>Calc_Product!L6</f>
        <v>7.4704641350210974E-2</v>
      </c>
      <c r="I9">
        <f>Calc_Product!J6</f>
        <v>22983.699999999997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4475.8999999999996</v>
      </c>
      <c r="F10">
        <f>Calc_Product!E7</f>
        <v>98.760000000000019</v>
      </c>
      <c r="G10">
        <f>Calc_Product!H7</f>
        <v>0.15584121667496489</v>
      </c>
      <c r="H10">
        <f>Calc_Product!L7</f>
        <v>7.4683472491974184E-2</v>
      </c>
      <c r="I10">
        <f>Calc_Product!J7</f>
        <v>26354.799999999996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5062.3999999999996</v>
      </c>
      <c r="F11">
        <f>Calc_Product!E8</f>
        <v>116.51000000000002</v>
      </c>
      <c r="G11">
        <f>Calc_Product!H8</f>
        <v>0.17626188594368558</v>
      </c>
      <c r="H11">
        <f>Calc_Product!L8</f>
        <v>7.4665785654446551E-2</v>
      </c>
      <c r="I11">
        <f>Calc_Product!J8</f>
        <v>29766.6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5625.1</v>
      </c>
      <c r="F12">
        <f>Calc_Product!E9</f>
        <v>134.29000000000002</v>
      </c>
      <c r="G12">
        <f>Calc_Product!H9</f>
        <v>0.19585389037251619</v>
      </c>
      <c r="H12">
        <f>Calc_Product!L9</f>
        <v>7.4500096682851125E-2</v>
      </c>
      <c r="I12">
        <f>Calc_Product!J9</f>
        <v>33138.300000000003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Sarda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27807.9</v>
      </c>
      <c r="E5" cm="1">
        <f t="array" ref="E5">INDEX(Budget!$B$2:$AK$21,Control!$B$6,MATCH(C5,Budget!$B$1:$AK$1,0))</f>
        <v>28364</v>
      </c>
      <c r="F5">
        <f>HLOOKUP(C5,Budget!$B$1:$AK$21,Control!$B$6+1,FALSE)</f>
        <v>28364</v>
      </c>
      <c r="G5">
        <f t="shared" ref="G5:G10" si="0">IFERROR(D5/E5-1,0)</f>
        <v>-1.960583838668728E-2</v>
      </c>
      <c r="H5" cm="1">
        <f t="array" ref="H5">INDEX(Budget!$B$25:$AK$44,MATCH(Control!$B$2,Budget!$A$25:$A$44,0),C5)</f>
        <v>1474.9</v>
      </c>
    </row>
    <row r="6" spans="2:9" x14ac:dyDescent="0.25">
      <c r="C6">
        <f>Control!$B$3-6+ROW()-4</f>
        <v>26</v>
      </c>
      <c r="D6" cm="1">
        <f t="array" ref="D6">INDEX(Calc_Month!$C$2:$C$37,C6)</f>
        <v>27906.1</v>
      </c>
      <c r="E6" cm="1">
        <f t="array" ref="E6">INDEX(Budget!$B$2:$AK$21,Control!$B$6,MATCH(C6,Budget!$B$1:$AK$1,0))</f>
        <v>28573</v>
      </c>
      <c r="F6">
        <f>HLOOKUP(C6,Budget!$B$1:$AK$21,Control!$B$6+1,FALSE)</f>
        <v>28573</v>
      </c>
      <c r="G6">
        <f t="shared" si="0"/>
        <v>-2.3340216288104232E-2</v>
      </c>
      <c r="H6" cm="1">
        <f t="array" ref="H6">INDEX(Budget!$B$25:$AK$44,MATCH(Control!$B$2,Budget!$A$25:$A$44,0),C6)</f>
        <v>1485.8</v>
      </c>
    </row>
    <row r="7" spans="2:9" x14ac:dyDescent="0.25">
      <c r="C7">
        <f>Control!$B$3-6+ROW()-4</f>
        <v>27</v>
      </c>
      <c r="D7" cm="1">
        <f t="array" ref="D7">INDEX(Calc_Month!$C$2:$C$37,C7)</f>
        <v>28172.5</v>
      </c>
      <c r="E7" cm="1">
        <f t="array" ref="E7">INDEX(Budget!$B$2:$AK$21,Control!$B$6,MATCH(C7,Budget!$B$1:$AK$1,0))</f>
        <v>28781</v>
      </c>
      <c r="F7">
        <f>HLOOKUP(C7,Budget!$B$1:$AK$21,Control!$B$6+1,FALSE)</f>
        <v>28781</v>
      </c>
      <c r="G7">
        <f t="shared" si="0"/>
        <v>-2.1142420346756507E-2</v>
      </c>
      <c r="H7" cm="1">
        <f t="array" ref="H7">INDEX(Budget!$B$25:$AK$44,MATCH(Control!$B$2,Budget!$A$25:$A$44,0),C7)</f>
        <v>1496.6</v>
      </c>
    </row>
    <row r="8" spans="2:9" x14ac:dyDescent="0.25">
      <c r="C8">
        <f>Control!$B$3-6+ROW()-4</f>
        <v>28</v>
      </c>
      <c r="D8" cm="1">
        <f t="array" ref="D8">INDEX(Calc_Month!$C$2:$C$37,C8)</f>
        <v>28252.1</v>
      </c>
      <c r="E8" cm="1">
        <f t="array" ref="E8">INDEX(Budget!$B$2:$AK$21,Control!$B$6,MATCH(C8,Budget!$B$1:$AK$1,0))</f>
        <v>28990</v>
      </c>
      <c r="F8">
        <f>HLOOKUP(C8,Budget!$B$1:$AK$21,Control!$B$6+1,FALSE)</f>
        <v>28990</v>
      </c>
      <c r="G8">
        <f t="shared" si="0"/>
        <v>-2.5453604691272891E-2</v>
      </c>
      <c r="H8" cm="1">
        <f t="array" ref="H8">INDEX(Budget!$B$25:$AK$44,MATCH(Control!$B$2,Budget!$A$25:$A$44,0),C8)</f>
        <v>1507.5</v>
      </c>
    </row>
    <row r="9" spans="2:9" x14ac:dyDescent="0.25">
      <c r="C9">
        <f>Control!$B$3-6+ROW()-4</f>
        <v>29</v>
      </c>
      <c r="D9" cm="1">
        <f t="array" ref="D9">INDEX(Calc_Month!$C$2:$C$37,C9)</f>
        <v>28538.1</v>
      </c>
      <c r="E9" cm="1">
        <f t="array" ref="E9">INDEX(Budget!$B$2:$AK$21,Control!$B$6,MATCH(C9,Budget!$B$1:$AK$1,0))</f>
        <v>29198</v>
      </c>
      <c r="F9">
        <f>HLOOKUP(C9,Budget!$B$1:$AK$21,Control!$B$6+1,FALSE)</f>
        <v>29198</v>
      </c>
      <c r="G9">
        <f t="shared" si="0"/>
        <v>-2.2600863072813282E-2</v>
      </c>
      <c r="H9" cm="1">
        <f t="array" ref="H9">INDEX(Budget!$B$25:$AK$44,MATCH(Control!$B$2,Budget!$A$25:$A$44,0),C9)</f>
        <v>1518.3</v>
      </c>
    </row>
    <row r="10" spans="2:9" x14ac:dyDescent="0.25">
      <c r="C10">
        <f>Control!$B$3-6+ROW()-4</f>
        <v>30</v>
      </c>
      <c r="D10" cm="1">
        <f t="array" ref="D10">INDEX(Calc_Month!$C$2:$C$37,C10)</f>
        <v>28720.9</v>
      </c>
      <c r="E10" cm="1">
        <f t="array" ref="E10">INDEX(Budget!$B$2:$AK$21,Control!$B$6,MATCH(C10,Budget!$B$1:$AK$1,0))</f>
        <v>29406</v>
      </c>
      <c r="F10">
        <f>HLOOKUP(C10,Budget!$B$1:$AK$21,Control!$B$6+1,FALSE)</f>
        <v>29406</v>
      </c>
      <c r="G10">
        <f t="shared" si="0"/>
        <v>-2.3297966401414683E-2</v>
      </c>
      <c r="H10" cm="1">
        <f t="array" ref="H10">INDEX(Budget!$B$25:$AK$44,MATCH(Control!$B$2,Budget!$A$25:$A$44,0),C10)</f>
        <v>1529.1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Sarda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27807.9</v>
      </c>
      <c r="E5">
        <f>D5*VLOOKUP(C5,FX!$A$2:$E$37,3,FALSE)</f>
        <v>28199.991390000003</v>
      </c>
      <c r="F5">
        <f>D5*_xlfn.XLOOKUP(C5,FX!$A$2:$A$37,FX!$D$2:$D$37)</f>
        <v>23914.794000000002</v>
      </c>
      <c r="G5" cm="1">
        <f t="array" ref="G5">D5*INDEX(FX!$E$2:$E$37,C5)</f>
        <v>25027.11</v>
      </c>
    </row>
    <row r="6" spans="2:8" x14ac:dyDescent="0.25">
      <c r="C6">
        <f>Control!$B$3-6+ROW()-4</f>
        <v>26</v>
      </c>
      <c r="D6" cm="1">
        <f t="array" ref="D6">INDEX(Calc_Month!$C$2:$C$37,C6)</f>
        <v>27906.1</v>
      </c>
      <c r="E6">
        <f>D6*VLOOKUP(C6,FX!$A$2:$E$37,3,FALSE)</f>
        <v>28388.875530000001</v>
      </c>
      <c r="F6">
        <f>D6*_xlfn.XLOOKUP(C6,FX!$A$2:$A$37,FX!$D$2:$D$37)</f>
        <v>23993.664779999999</v>
      </c>
      <c r="G6" cm="1">
        <f t="array" ref="G6">D6*INDEX(FX!$E$2:$E$37,C6)</f>
        <v>25059.677799999998</v>
      </c>
    </row>
    <row r="7" spans="2:8" x14ac:dyDescent="0.25">
      <c r="C7">
        <f>Control!$B$3-6+ROW()-4</f>
        <v>27</v>
      </c>
      <c r="D7" cm="1">
        <f t="array" ref="D7">INDEX(Calc_Month!$C$2:$C$37,C7)</f>
        <v>28172.5</v>
      </c>
      <c r="E7">
        <f>D7*VLOOKUP(C7,FX!$A$2:$E$37,3,FALSE)</f>
        <v>28786.660500000002</v>
      </c>
      <c r="F7">
        <f>D7*_xlfn.XLOOKUP(C7,FX!$A$2:$A$37,FX!$D$2:$D$37)</f>
        <v>24197.360250000002</v>
      </c>
      <c r="G7" cm="1">
        <f t="array" ref="G7">D7*INDEX(FX!$E$2:$E$37,C7)</f>
        <v>25242.560000000001</v>
      </c>
    </row>
    <row r="8" spans="2:8" x14ac:dyDescent="0.25">
      <c r="C8">
        <f>Control!$B$3-6+ROW()-4</f>
        <v>28</v>
      </c>
      <c r="D8" cm="1">
        <f t="array" ref="D8">INDEX(Calc_Month!$C$2:$C$37,C8)</f>
        <v>28252.1</v>
      </c>
      <c r="E8">
        <f>D8*VLOOKUP(C8,FX!$A$2:$E$37,3,FALSE)</f>
        <v>29029.032750000002</v>
      </c>
      <c r="F8">
        <f>D8*_xlfn.XLOOKUP(C8,FX!$A$2:$A$37,FX!$D$2:$D$37)</f>
        <v>24226.175749999999</v>
      </c>
      <c r="G8" cm="1">
        <f t="array" ref="G8">D8*INDEX(FX!$E$2:$E$37,C8)</f>
        <v>25257.377399999998</v>
      </c>
    </row>
    <row r="9" spans="2:8" x14ac:dyDescent="0.25">
      <c r="C9">
        <f>Control!$B$3-6+ROW()-4</f>
        <v>29</v>
      </c>
      <c r="D9" cm="1">
        <f t="array" ref="D9">INDEX(Calc_Month!$C$2:$C$37,C9)</f>
        <v>28538.1</v>
      </c>
      <c r="E9">
        <f>D9*VLOOKUP(C9,FX!$A$2:$E$37,3,FALSE)</f>
        <v>29516.956829999999</v>
      </c>
      <c r="F9">
        <f>D9*_xlfn.XLOOKUP(C9,FX!$A$2:$A$37,FX!$D$2:$D$37)</f>
        <v>24420.052169999999</v>
      </c>
      <c r="G9" cm="1">
        <f t="array" ref="G9">D9*INDEX(FX!$E$2:$E$37,C9)</f>
        <v>25455.985199999999</v>
      </c>
    </row>
    <row r="10" spans="2:8" x14ac:dyDescent="0.25">
      <c r="C10">
        <f>Control!$B$3-6+ROW()-4</f>
        <v>30</v>
      </c>
      <c r="D10" cm="1">
        <f t="array" ref="D10">INDEX(Calc_Month!$C$2:$C$37,C10)</f>
        <v>28720.9</v>
      </c>
      <c r="E10">
        <f>D10*VLOOKUP(C10,FX!$A$2:$E$37,3,FALSE)</f>
        <v>29921.433620000003</v>
      </c>
      <c r="F10">
        <f>D10*_xlfn.XLOOKUP(C10,FX!$A$2:$A$37,FX!$D$2:$D$37)</f>
        <v>24513.288150000004</v>
      </c>
      <c r="G10" cm="1">
        <f t="array" ref="G10">D10*INDEX(FX!$E$2:$E$37,C10)</f>
        <v>25561.601000000002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Sarda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11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Sarda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70477.399999999994</v>
      </c>
      <c r="E5">
        <f>SUMIF(Calc_Month!$T$2:$T$37,C5,Calc_Month!$D$2:$D$37)</f>
        <v>3796.04</v>
      </c>
      <c r="F5">
        <f>SUMIF(Calc_Month!$T$2:$T$37,C5,Calc_Month!$G$2:$G$37)</f>
        <v>1503.5800000000004</v>
      </c>
      <c r="G5">
        <f>AVERAGEIF(Calc_Month!$T$2:$T$37,C5,Calc_Month!$C$2:$C$37)</f>
        <v>23492.466666666664</v>
      </c>
    </row>
    <row r="6" spans="2:8" x14ac:dyDescent="0.25">
      <c r="C6" t="s">
        <v>291</v>
      </c>
      <c r="D6">
        <f>SUMIF(Calc_Month!$T$2:$T$37,C6,Calc_Month!$C$2:$C$37)</f>
        <v>72194.7</v>
      </c>
      <c r="E6">
        <f>SUMIF(Calc_Month!$T$2:$T$37,C6,Calc_Month!$D$2:$D$37)</f>
        <v>3887.91</v>
      </c>
      <c r="F6">
        <f>SUMIF(Calc_Month!$T$2:$T$37,C6,Calc_Month!$G$2:$G$37)</f>
        <v>1540.0499999999997</v>
      </c>
      <c r="G6">
        <f>AVERAGEIF(Calc_Month!$T$2:$T$37,C6,Calc_Month!$C$2:$C$37)</f>
        <v>24064.899999999998</v>
      </c>
    </row>
    <row r="7" spans="2:8" x14ac:dyDescent="0.25">
      <c r="C7" t="s">
        <v>292</v>
      </c>
      <c r="D7">
        <f>SUMIF(Calc_Month!$T$2:$T$37,C7,Calc_Month!$C$2:$C$37)</f>
        <v>73958</v>
      </c>
      <c r="E7">
        <f>SUMIF(Calc_Month!$T$2:$T$37,C7,Calc_Month!$D$2:$D$37)</f>
        <v>3984.3499999999995</v>
      </c>
      <c r="F7">
        <f>SUMIF(Calc_Month!$T$2:$T$37,C7,Calc_Month!$G$2:$G$37)</f>
        <v>1576.52</v>
      </c>
      <c r="G7">
        <f>AVERAGEIF(Calc_Month!$T$2:$T$37,C7,Calc_Month!$C$2:$C$37)</f>
        <v>24652.666666666668</v>
      </c>
    </row>
    <row r="8" spans="2:8" x14ac:dyDescent="0.25">
      <c r="C8" t="s">
        <v>293</v>
      </c>
      <c r="D8">
        <f>SUMIF(Calc_Month!$T$2:$T$37,C8,Calc_Month!$C$2:$C$37)</f>
        <v>75640.5</v>
      </c>
      <c r="E8">
        <f>SUMIF(Calc_Month!$T$2:$T$37,C8,Calc_Month!$D$2:$D$37)</f>
        <v>4074.26</v>
      </c>
      <c r="F8">
        <f>SUMIF(Calc_Month!$T$2:$T$37,C8,Calc_Month!$G$2:$G$37)</f>
        <v>1614.4200000000003</v>
      </c>
      <c r="G8">
        <f>AVERAGEIF(Calc_Month!$T$2:$T$37,C8,Calc_Month!$C$2:$C$37)</f>
        <v>25213.5</v>
      </c>
    </row>
    <row r="9" spans="2:8" x14ac:dyDescent="0.25">
      <c r="C9" t="s">
        <v>294</v>
      </c>
      <c r="D9">
        <f>SUMIF(Calc_Month!$T$2:$T$37,C9,Calc_Month!$C$2:$C$37)</f>
        <v>77121.099999999991</v>
      </c>
      <c r="E9">
        <f>SUMIF(Calc_Month!$T$2:$T$37,C9,Calc_Month!$D$2:$D$37)</f>
        <v>4151.07</v>
      </c>
      <c r="F9">
        <f>SUMIF(Calc_Month!$T$2:$T$37,C9,Calc_Month!$G$2:$G$37)</f>
        <v>1645.29</v>
      </c>
      <c r="G9">
        <f>AVERAGEIF(Calc_Month!$T$2:$T$37,C9,Calc_Month!$C$2:$C$37)</f>
        <v>25707.033333333329</v>
      </c>
    </row>
    <row r="10" spans="2:8" x14ac:dyDescent="0.25">
      <c r="C10" t="s">
        <v>295</v>
      </c>
      <c r="D10">
        <f>SUMIF(Calc_Month!$T$2:$T$37,C10,Calc_Month!$C$2:$C$37)</f>
        <v>78942.600000000006</v>
      </c>
      <c r="E10">
        <f>SUMIF(Calc_Month!$T$2:$T$37,C10,Calc_Month!$D$2:$D$37)</f>
        <v>4250.9799999999996</v>
      </c>
      <c r="F10">
        <f>SUMIF(Calc_Month!$T$2:$T$37,C10,Calc_Month!$G$2:$G$37)</f>
        <v>1683.2099999999996</v>
      </c>
      <c r="G10">
        <f>AVERAGEIF(Calc_Month!$T$2:$T$37,C10,Calc_Month!$C$2:$C$37)</f>
        <v>26314.2</v>
      </c>
    </row>
    <row r="11" spans="2:8" x14ac:dyDescent="0.25">
      <c r="C11" t="s">
        <v>296</v>
      </c>
      <c r="D11">
        <f>SUMIF(Calc_Month!$T$2:$T$37,C11,Calc_Month!$C$2:$C$37)</f>
        <v>80341.700000000012</v>
      </c>
      <c r="E11">
        <f>SUMIF(Calc_Month!$T$2:$T$37,C11,Calc_Month!$D$2:$D$37)</f>
        <v>4323.4199999999992</v>
      </c>
      <c r="F11">
        <f>SUMIF(Calc_Month!$T$2:$T$37,C11,Calc_Month!$G$2:$G$37)</f>
        <v>1712.1899999999996</v>
      </c>
      <c r="G11">
        <f>AVERAGEIF(Calc_Month!$T$2:$T$37,C11,Calc_Month!$C$2:$C$37)</f>
        <v>26780.566666666669</v>
      </c>
    </row>
    <row r="12" spans="2:8" x14ac:dyDescent="0.25">
      <c r="C12" t="s">
        <v>297</v>
      </c>
      <c r="D12">
        <f>SUMIF(Calc_Month!$T$2:$T$37,C12,Calc_Month!$C$2:$C$37)</f>
        <v>82265.5</v>
      </c>
      <c r="E12">
        <f>SUMIF(Calc_Month!$T$2:$T$37,C12,Calc_Month!$D$2:$D$37)</f>
        <v>4427.53</v>
      </c>
      <c r="F12">
        <f>SUMIF(Calc_Month!$T$2:$T$37,C12,Calc_Month!$G$2:$G$37)</f>
        <v>1752.1299999999999</v>
      </c>
      <c r="G12">
        <f>AVERAGEIF(Calc_Month!$T$2:$T$37,C12,Calc_Month!$C$2:$C$37)</f>
        <v>27421.833333333332</v>
      </c>
    </row>
    <row r="13" spans="2:8" x14ac:dyDescent="0.25">
      <c r="C13" t="s">
        <v>298</v>
      </c>
      <c r="D13">
        <f>SUMIF(Calc_Month!$T$2:$T$37,C13,Calc_Month!$C$2:$C$37)</f>
        <v>83886.5</v>
      </c>
      <c r="E13">
        <f>SUMIF(Calc_Month!$T$2:$T$37,C13,Calc_Month!$D$2:$D$37)</f>
        <v>4518.21</v>
      </c>
      <c r="F13">
        <f>SUMIF(Calc_Month!$T$2:$T$37,C13,Calc_Month!$G$2:$G$37)</f>
        <v>1793.94</v>
      </c>
      <c r="G13">
        <f>AVERAGEIF(Calc_Month!$T$2:$T$37,C13,Calc_Month!$C$2:$C$37)</f>
        <v>27962.166666666668</v>
      </c>
    </row>
    <row r="14" spans="2:8" x14ac:dyDescent="0.25">
      <c r="C14" t="s">
        <v>299</v>
      </c>
      <c r="D14">
        <f>SUMIF(Calc_Month!$T$2:$T$37,C14,Calc_Month!$C$2:$C$37)</f>
        <v>85511.1</v>
      </c>
      <c r="E14">
        <f>SUMIF(Calc_Month!$T$2:$T$37,C14,Calc_Month!$D$2:$D$37)</f>
        <v>4606.01</v>
      </c>
      <c r="F14">
        <f>SUMIF(Calc_Month!$T$2:$T$37,C14,Calc_Month!$G$2:$G$37)</f>
        <v>1825.64</v>
      </c>
      <c r="G14">
        <f>AVERAGEIF(Calc_Month!$T$2:$T$37,C14,Calc_Month!$C$2:$C$37)</f>
        <v>28503.7</v>
      </c>
    </row>
    <row r="15" spans="2:8" x14ac:dyDescent="0.25">
      <c r="C15" t="s">
        <v>300</v>
      </c>
      <c r="D15">
        <f>SUMIF(Calc_Month!$T$2:$T$37,C15,Calc_Month!$C$2:$C$37)</f>
        <v>87300.800000000003</v>
      </c>
      <c r="E15">
        <f>SUMIF(Calc_Month!$T$2:$T$37,C15,Calc_Month!$D$2:$D$37)</f>
        <v>4698.6399999999994</v>
      </c>
      <c r="F15">
        <f>SUMIF(Calc_Month!$T$2:$T$37,C15,Calc_Month!$G$2:$G$37)</f>
        <v>1863.9799999999998</v>
      </c>
      <c r="G15">
        <f>AVERAGEIF(Calc_Month!$T$2:$T$37,C15,Calc_Month!$C$2:$C$37)</f>
        <v>29100.266666666666</v>
      </c>
    </row>
    <row r="16" spans="2:8" x14ac:dyDescent="0.25">
      <c r="C16" t="s">
        <v>301</v>
      </c>
      <c r="D16">
        <f>SUMIF(Calc_Month!$T$2:$T$37,C16,Calc_Month!$C$2:$C$37)</f>
        <v>88934.5</v>
      </c>
      <c r="E16">
        <f>SUMIF(Calc_Month!$T$2:$T$37,C16,Calc_Month!$D$2:$D$37)</f>
        <v>4789.25</v>
      </c>
      <c r="F16">
        <f>SUMIF(Calc_Month!$T$2:$T$37,C16,Calc_Month!$G$2:$G$37)</f>
        <v>1900.3200000000006</v>
      </c>
      <c r="G16">
        <f>AVERAGEIF(Calc_Month!$T$2:$T$37,C16,Calc_Month!$C$2:$C$37)</f>
        <v>29644.833333333332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328.85389012154087</v>
      </c>
      <c r="G5" s="1">
        <f>Calc_Deep!I2</f>
        <v>359.85389012154087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380.79756148653553</v>
      </c>
      <c r="G6" s="1">
        <f>Calc_Deep!I3</f>
        <v>411.79756148653553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439.93493307340759</v>
      </c>
      <c r="G7" s="1">
        <f>Calc_Deep!I4</f>
        <v>470.93493307340759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499.78881036966726</v>
      </c>
      <c r="G8" s="1">
        <f>Calc_Deep!I5</f>
        <v>530.78881036966732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553.07699871319676</v>
      </c>
      <c r="G9" s="1">
        <f>Calc_Deep!I6</f>
        <v>584.07699871319676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611.53078281241312</v>
      </c>
      <c r="G10" s="1">
        <f>Calc_Deep!I7</f>
        <v>642.53078281241312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666.40032832719839</v>
      </c>
      <c r="G11" s="1">
        <f>Calc_Deep!I8</f>
        <v>697.40032832719839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727.89626912570043</v>
      </c>
      <c r="G12" s="1">
        <f>Calc_Deep!I9</f>
        <v>758.89626912570043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782.09676247151708</v>
      </c>
      <c r="G13" s="1">
        <f>Calc_Deep!I10</f>
        <v>813.09676247151708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837.21127085711339</v>
      </c>
      <c r="G14" s="1">
        <f>Calc_Deep!I11</f>
        <v>868.21127085711339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892.89351169024371</v>
      </c>
      <c r="G15" s="1">
        <f>Calc_Deep!I12</f>
        <v>923.89351169024371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951.91246318075514</v>
      </c>
      <c r="G16" s="1">
        <f>Calc_Deep!I13</f>
        <v>982.91246318075514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1007.4450757332853</v>
      </c>
      <c r="G17" s="1">
        <f>Calc_Deep!I14</f>
        <v>1038.4450757332852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1065.6538969616906</v>
      </c>
      <c r="G18" s="1">
        <f>Calc_Deep!I15</f>
        <v>1096.6538969616906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1121.0039630118888</v>
      </c>
      <c r="G19" s="1">
        <f>Calc_Deep!I16</f>
        <v>1152.0039630118888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1175.2980809104238</v>
      </c>
      <c r="G20" s="1">
        <f>Calc_Deep!I17</f>
        <v>1206.2980809104238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1238.8204161376236</v>
      </c>
      <c r="G21" s="1">
        <f>Calc_Deep!I18</f>
        <v>1269.8204161376236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1290.6867083060795</v>
      </c>
      <c r="G22" s="1">
        <f>Calc_Deep!I19</f>
        <v>1321.6867083060795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1351.4605857733429</v>
      </c>
      <c r="G23" s="1">
        <f>Calc_Deep!I20</f>
        <v>1382.4605857733429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1412.1489613659776</v>
      </c>
      <c r="G24" s="1">
        <f>Calc_Deep!I21</f>
        <v>1443.1489613659776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Sarda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28720.9</v>
      </c>
      <c r="E6" cm="1">
        <f t="array" ref="E6">CHOOSE(ROW()-4,INDEX(Calc_BankMonth!$B$23:$AK$23,Control!$B$3),Calc_Summary!$B$2,Calc_Bank!$C$23,SUM(Calc_Product!$B$2:$B$9),Calc_Summary!$B$2,Calc_Summary!$B$2)</f>
        <v>28720.9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28720.9</v>
      </c>
      <c r="E8" cm="1">
        <f t="array" ref="E8">CHOOSE(ROW()-4,INDEX(Calc_BankMonth!$B$23:$AK$23,Control!$B$3),Calc_Summary!$B$2,Calc_Bank!$C$23,SUM(Calc_Product!$B$2:$B$9),Calc_Summary!$B$2,Calc_Summary!$B$2)</f>
        <v>28720.9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28720.9</v>
      </c>
      <c r="E9" cm="1">
        <f t="array" ref="E9">CHOOSE(ROW()-4,INDEX(Calc_BankMonth!$B$23:$AK$23,Control!$B$3),Calc_Summary!$B$2,Calc_Bank!$C$23,SUM(Calc_Product!$B$2:$B$9),Calc_Summary!$B$2,Calc_Summary!$B$2)</f>
        <v>28720.9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28720.9</v>
      </c>
      <c r="E10" cm="1">
        <f t="array" ref="E10">CHOOSE(ROW()-4,INDEX(Calc_BankMonth!$B$23:$AK$23,Control!$B$3),Calc_Summary!$B$2,Calc_Bank!$C$23,SUM(Calc_Product!$B$2:$B$9),Calc_Summary!$B$2,Calc_Summary!$B$2)</f>
        <v>28720.9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Sarda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26617.800000000003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26036.3</v>
      </c>
      <c r="H5">
        <f t="shared" ref="H5:H16" si="0">E5-F5</f>
        <v>8710.5000000000036</v>
      </c>
      <c r="I5">
        <f t="shared" ref="I5:I16" si="1">IFERROR(H5/F5,0)</f>
        <v>0.48642173862056276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26840.199999999997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26213.000000000004</v>
      </c>
      <c r="H6">
        <f t="shared" si="0"/>
        <v>8815.8749999999891</v>
      </c>
      <c r="I6">
        <f t="shared" si="1"/>
        <v>0.48910985570888149</v>
      </c>
      <c r="J6">
        <f t="shared" si="2"/>
        <v>100.8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26883.700000000004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26360.550000000003</v>
      </c>
      <c r="H7">
        <f t="shared" si="0"/>
        <v>8751.4700000000012</v>
      </c>
      <c r="I7">
        <f t="shared" si="1"/>
        <v>0.48264719783501531</v>
      </c>
      <c r="J7">
        <f t="shared" si="2"/>
        <v>101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27264.9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26641.749999999996</v>
      </c>
      <c r="H8">
        <f t="shared" si="0"/>
        <v>8970.1850000000086</v>
      </c>
      <c r="I8">
        <f t="shared" si="1"/>
        <v>0.49031564580262726</v>
      </c>
      <c r="J8">
        <f t="shared" si="2"/>
        <v>102.4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27384.199999999997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26818.000000000004</v>
      </c>
      <c r="H9">
        <f t="shared" si="0"/>
        <v>8981.4700000000048</v>
      </c>
      <c r="I9">
        <f t="shared" si="1"/>
        <v>0.48805095765682638</v>
      </c>
      <c r="J9">
        <f t="shared" si="2"/>
        <v>102.9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27616.399999999994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26963.45</v>
      </c>
      <c r="H10">
        <f t="shared" si="0"/>
        <v>9080.3599999999933</v>
      </c>
      <c r="I10">
        <f t="shared" si="1"/>
        <v>0.48987593898157283</v>
      </c>
      <c r="J10">
        <f t="shared" si="2"/>
        <v>103.8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27807.9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27183.3</v>
      </c>
      <c r="H11">
        <f t="shared" si="0"/>
        <v>9156.2800000000025</v>
      </c>
      <c r="I11">
        <f t="shared" si="1"/>
        <v>0.49091070909658263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27906.1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27315.35</v>
      </c>
      <c r="H12">
        <f t="shared" si="0"/>
        <v>9121.8650000000089</v>
      </c>
      <c r="I12">
        <f t="shared" si="1"/>
        <v>0.48561280243778965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28172.5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27510.100000000002</v>
      </c>
      <c r="H13">
        <f t="shared" si="0"/>
        <v>9259.3700000000063</v>
      </c>
      <c r="I13">
        <f t="shared" si="1"/>
        <v>0.48957364539872616</v>
      </c>
      <c r="J13">
        <f t="shared" si="2"/>
        <v>105.8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28252.1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27661.300000000003</v>
      </c>
      <c r="H14">
        <f t="shared" si="0"/>
        <v>9238.1599999999889</v>
      </c>
      <c r="I14">
        <f t="shared" si="1"/>
        <v>0.48586247774001518</v>
      </c>
      <c r="J14">
        <f t="shared" si="2"/>
        <v>106.1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28538.1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27874.399999999998</v>
      </c>
      <c r="H15">
        <f t="shared" si="0"/>
        <v>9371.6949999999924</v>
      </c>
      <c r="I15">
        <f t="shared" si="1"/>
        <v>0.48896467543078576</v>
      </c>
      <c r="J15">
        <f t="shared" si="2"/>
        <v>107.2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28720.9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28147.850000000002</v>
      </c>
      <c r="H16">
        <f t="shared" si="0"/>
        <v>9437.4799999999923</v>
      </c>
      <c r="I16">
        <f t="shared" si="1"/>
        <v>0.48940903636388089</v>
      </c>
      <c r="J16">
        <f t="shared" si="2"/>
        <v>107.9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Sarda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1431.6799999999998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1401.8899999999999</v>
      </c>
      <c r="H5">
        <f t="shared" ref="H5:H16" si="0">E5-F5</f>
        <v>466.44049999999982</v>
      </c>
      <c r="I5">
        <f t="shared" ref="I5:I16" si="1">IFERROR(H5/F5,0)</f>
        <v>0.48323809790212668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1445.05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1411.6699999999998</v>
      </c>
      <c r="H6">
        <f t="shared" si="0"/>
        <v>473.07050000000027</v>
      </c>
      <c r="I6">
        <f t="shared" si="1"/>
        <v>0.48670831020613131</v>
      </c>
      <c r="J6">
        <f t="shared" si="2"/>
        <v>100.9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1446.6899999999998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1418.7149999999999</v>
      </c>
      <c r="H7">
        <f t="shared" si="0"/>
        <v>468.93099999999959</v>
      </c>
      <c r="I7">
        <f t="shared" si="1"/>
        <v>0.47959773318373899</v>
      </c>
      <c r="J7">
        <f t="shared" si="2"/>
        <v>101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1467.1299999999999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1433.8749999999998</v>
      </c>
      <c r="H8">
        <f t="shared" si="0"/>
        <v>480.91949999999997</v>
      </c>
      <c r="I8">
        <f t="shared" si="1"/>
        <v>0.48764386507748603</v>
      </c>
      <c r="J8">
        <f t="shared" si="2"/>
        <v>102.5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1474.15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1444.04</v>
      </c>
      <c r="H9">
        <f t="shared" si="0"/>
        <v>481.85749999999996</v>
      </c>
      <c r="I9">
        <f t="shared" si="1"/>
        <v>0.48560026403505002</v>
      </c>
      <c r="J9">
        <f t="shared" si="2"/>
        <v>103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1486.25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1452.2650000000003</v>
      </c>
      <c r="H10">
        <f t="shared" si="0"/>
        <v>486.74150000000009</v>
      </c>
      <c r="I10">
        <f t="shared" si="1"/>
        <v>0.48698085108831002</v>
      </c>
      <c r="J10">
        <f t="shared" si="2"/>
        <v>103.8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1497.94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1463.655</v>
      </c>
      <c r="H11">
        <f t="shared" si="0"/>
        <v>492.45449999999971</v>
      </c>
      <c r="I11">
        <f t="shared" si="1"/>
        <v>0.48976787830356533</v>
      </c>
      <c r="J11">
        <f t="shared" si="2"/>
        <v>104.6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1503.67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1471.895</v>
      </c>
      <c r="H12">
        <f t="shared" si="0"/>
        <v>490.88600000000019</v>
      </c>
      <c r="I12">
        <f t="shared" si="1"/>
        <v>0.48468972653596448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1516.6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1481.5249999999996</v>
      </c>
      <c r="H13">
        <f t="shared" si="0"/>
        <v>496.60149999999953</v>
      </c>
      <c r="I13">
        <f t="shared" si="1"/>
        <v>0.48686493166411454</v>
      </c>
      <c r="J13">
        <f t="shared" si="2"/>
        <v>105.9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1522.5300000000002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1490.37</v>
      </c>
      <c r="H14">
        <f t="shared" si="0"/>
        <v>497.35300000000007</v>
      </c>
      <c r="I14">
        <f t="shared" si="1"/>
        <v>0.48513866385999688</v>
      </c>
      <c r="J14">
        <f t="shared" si="2"/>
        <v>106.3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1536.95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1500.9</v>
      </c>
      <c r="H15">
        <f t="shared" si="0"/>
        <v>503.66249999999991</v>
      </c>
      <c r="I15">
        <f t="shared" si="1"/>
        <v>0.48743694276762262</v>
      </c>
      <c r="J15">
        <f t="shared" si="2"/>
        <v>107.4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1546.53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1515.65</v>
      </c>
      <c r="H16">
        <f t="shared" si="0"/>
        <v>506.83649999999966</v>
      </c>
      <c r="I16">
        <f t="shared" si="1"/>
        <v>0.4874864563450666</v>
      </c>
      <c r="J16">
        <f t="shared" si="2"/>
        <v>108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Sarda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863.16000000000008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845.03500000000008</v>
      </c>
      <c r="H5">
        <f t="shared" ref="H5:H16" si="0">E5-F5</f>
        <v>280.19249999999988</v>
      </c>
      <c r="I5">
        <f t="shared" ref="I5:I16" si="1">IFERROR(H5/F5,0)</f>
        <v>0.48063142456483388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873.4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852.16500000000008</v>
      </c>
      <c r="H6">
        <f t="shared" si="0"/>
        <v>286.51149999999984</v>
      </c>
      <c r="I6">
        <f t="shared" si="1"/>
        <v>0.48818727918505778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874.67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857.70500000000015</v>
      </c>
      <c r="H7">
        <f t="shared" si="0"/>
        <v>284.18249999999989</v>
      </c>
      <c r="I7">
        <f t="shared" si="1"/>
        <v>0.48126759668917607</v>
      </c>
      <c r="J7">
        <f t="shared" si="2"/>
        <v>101.3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886.85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866.53000000000009</v>
      </c>
      <c r="H8">
        <f t="shared" si="0"/>
        <v>290.89649999999995</v>
      </c>
      <c r="I8">
        <f t="shared" si="1"/>
        <v>0.48811945898463538</v>
      </c>
      <c r="J8">
        <f t="shared" si="2"/>
        <v>102.7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890.46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872.39499999999998</v>
      </c>
      <c r="H9">
        <f t="shared" si="0"/>
        <v>290.95750000000021</v>
      </c>
      <c r="I9">
        <f t="shared" si="1"/>
        <v>0.48533158744125388</v>
      </c>
      <c r="J9">
        <f t="shared" si="2"/>
        <v>103.2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898.08999999999992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877.02500000000009</v>
      </c>
      <c r="H10">
        <f t="shared" si="0"/>
        <v>294.31149999999968</v>
      </c>
      <c r="I10">
        <f t="shared" si="1"/>
        <v>0.48744945373178999</v>
      </c>
      <c r="J10">
        <f t="shared" si="2"/>
        <v>104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902.31999999999994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882.51499999999987</v>
      </c>
      <c r="H11">
        <f t="shared" si="0"/>
        <v>294.81849999999974</v>
      </c>
      <c r="I11">
        <f t="shared" si="1"/>
        <v>0.48529674412326496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905.71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886.7</v>
      </c>
      <c r="H12">
        <f t="shared" si="0"/>
        <v>294.21950000000004</v>
      </c>
      <c r="I12">
        <f t="shared" si="1"/>
        <v>0.48115138338208041</v>
      </c>
      <c r="J12">
        <f t="shared" si="2"/>
        <v>104.9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916.24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894.19</v>
      </c>
      <c r="H13">
        <f t="shared" si="0"/>
        <v>300.3499999999998</v>
      </c>
      <c r="I13">
        <f t="shared" si="1"/>
        <v>0.48766825244767686</v>
      </c>
      <c r="J13">
        <f t="shared" si="2"/>
        <v>106.1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919.06000000000006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899.65500000000009</v>
      </c>
      <c r="H14">
        <f t="shared" si="0"/>
        <v>299.93350000000021</v>
      </c>
      <c r="I14">
        <f t="shared" si="1"/>
        <v>0.48444623190898833</v>
      </c>
      <c r="J14">
        <f t="shared" si="2"/>
        <v>106.5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927.45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905.68999999999994</v>
      </c>
      <c r="H15">
        <f t="shared" si="0"/>
        <v>303.48249999999996</v>
      </c>
      <c r="I15">
        <f t="shared" si="1"/>
        <v>0.48637549231330146</v>
      </c>
      <c r="J15">
        <f t="shared" si="2"/>
        <v>107.4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933.86000000000013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914.56499999999994</v>
      </c>
      <c r="H16">
        <f t="shared" si="0"/>
        <v>305.94900000000018</v>
      </c>
      <c r="I16">
        <f t="shared" si="1"/>
        <v>0.48724898910832937</v>
      </c>
      <c r="J16">
        <f t="shared" si="2"/>
        <v>108.2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Sarda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2484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2411.5</v>
      </c>
      <c r="H5">
        <f t="shared" ref="H5:H16" si="0">E5-F5</f>
        <v>785.40000000000009</v>
      </c>
      <c r="I5">
        <f t="shared" ref="I5:I16" si="1">IFERROR(H5/F5,0)</f>
        <v>0.46238078417520317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2488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2409.5</v>
      </c>
      <c r="H6">
        <f t="shared" si="0"/>
        <v>784.34999999999991</v>
      </c>
      <c r="I6">
        <f t="shared" si="1"/>
        <v>0.46039386024124668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2466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2381.5</v>
      </c>
      <c r="H7">
        <f t="shared" si="0"/>
        <v>768.45</v>
      </c>
      <c r="I7">
        <f t="shared" si="1"/>
        <v>0.45268180613236725</v>
      </c>
      <c r="J7">
        <f t="shared" si="2"/>
        <v>99.3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2513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2463</v>
      </c>
      <c r="H8">
        <f t="shared" si="0"/>
        <v>801.65000000000009</v>
      </c>
      <c r="I8">
        <f t="shared" si="1"/>
        <v>0.4684313553627254</v>
      </c>
      <c r="J8">
        <f t="shared" si="2"/>
        <v>101.2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2440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2401</v>
      </c>
      <c r="H9">
        <f t="shared" si="0"/>
        <v>729.59999999999991</v>
      </c>
      <c r="I9">
        <f t="shared" si="1"/>
        <v>0.42656688493919542</v>
      </c>
      <c r="J9">
        <f t="shared" si="2"/>
        <v>98.2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2430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2405.5</v>
      </c>
      <c r="H10">
        <f t="shared" si="0"/>
        <v>711.40000000000009</v>
      </c>
      <c r="I10">
        <f t="shared" si="1"/>
        <v>0.4139415803561039</v>
      </c>
      <c r="J10">
        <f t="shared" si="2"/>
        <v>97.8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2432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2415.5</v>
      </c>
      <c r="H11">
        <f t="shared" si="0"/>
        <v>725</v>
      </c>
      <c r="I11">
        <f t="shared" si="1"/>
        <v>0.42472173403632102</v>
      </c>
      <c r="J11">
        <f t="shared" si="2"/>
        <v>97.9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2466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2418</v>
      </c>
      <c r="H12">
        <f t="shared" si="0"/>
        <v>771.05</v>
      </c>
      <c r="I12">
        <f t="shared" si="1"/>
        <v>0.45491017434142594</v>
      </c>
      <c r="J12">
        <f t="shared" si="2"/>
        <v>99.3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2435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2380.5</v>
      </c>
      <c r="H13">
        <f t="shared" si="0"/>
        <v>731.15000000000009</v>
      </c>
      <c r="I13">
        <f t="shared" si="1"/>
        <v>0.42911641282976798</v>
      </c>
      <c r="J13">
        <f t="shared" si="2"/>
        <v>98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2455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2413.5</v>
      </c>
      <c r="H14">
        <f t="shared" si="0"/>
        <v>742.95</v>
      </c>
      <c r="I14">
        <f t="shared" si="1"/>
        <v>0.4339534476212728</v>
      </c>
      <c r="J14">
        <f t="shared" si="2"/>
        <v>98.8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2517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2457.5</v>
      </c>
      <c r="H15">
        <f t="shared" si="0"/>
        <v>806</v>
      </c>
      <c r="I15">
        <f t="shared" si="1"/>
        <v>0.47106954997077732</v>
      </c>
      <c r="J15">
        <f t="shared" si="2"/>
        <v>101.3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2512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2449.5</v>
      </c>
      <c r="H16">
        <f t="shared" si="0"/>
        <v>801.8</v>
      </c>
      <c r="I16">
        <f t="shared" si="1"/>
        <v>0.46883405449655008</v>
      </c>
      <c r="J16">
        <f t="shared" si="2"/>
        <v>101.1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Sarda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568.51999999999975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556.85500000000002</v>
      </c>
      <c r="H5">
        <f t="shared" ref="H5:H16" si="0">E5-F5</f>
        <v>186.24799999999965</v>
      </c>
      <c r="I5">
        <f t="shared" ref="I5:I16" si="1">IFERROR(H5/F5,0)</f>
        <v>0.4872132931525186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571.65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559.505</v>
      </c>
      <c r="H6">
        <f t="shared" si="0"/>
        <v>186.55900000000014</v>
      </c>
      <c r="I6">
        <f t="shared" si="1"/>
        <v>0.48445432378321024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572.01999999999987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561.01</v>
      </c>
      <c r="H7">
        <f t="shared" si="0"/>
        <v>184.74849999999969</v>
      </c>
      <c r="I7">
        <f t="shared" si="1"/>
        <v>0.47705162915422283</v>
      </c>
      <c r="J7">
        <f t="shared" si="2"/>
        <v>100.6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580.27999999999986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567.34500000000003</v>
      </c>
      <c r="H8">
        <f t="shared" si="0"/>
        <v>190.02299999999968</v>
      </c>
      <c r="I8">
        <f t="shared" si="1"/>
        <v>0.48691759532820578</v>
      </c>
      <c r="J8">
        <f t="shared" si="2"/>
        <v>102.1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583.69000000000005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571.64499999999998</v>
      </c>
      <c r="H9">
        <f t="shared" si="0"/>
        <v>190.89999999999986</v>
      </c>
      <c r="I9">
        <f t="shared" si="1"/>
        <v>0.48601033631202367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588.16000000000008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575.24</v>
      </c>
      <c r="H10">
        <f t="shared" si="0"/>
        <v>192.42999999999989</v>
      </c>
      <c r="I10">
        <f t="shared" si="1"/>
        <v>0.48626588835822354</v>
      </c>
      <c r="J10">
        <f t="shared" si="2"/>
        <v>103.5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595.62000000000012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581.14</v>
      </c>
      <c r="H11">
        <f t="shared" si="0"/>
        <v>197.63600000000025</v>
      </c>
      <c r="I11">
        <f t="shared" si="1"/>
        <v>0.49659282785237679</v>
      </c>
      <c r="J11">
        <f t="shared" si="2"/>
        <v>104.8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597.96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585.19500000000005</v>
      </c>
      <c r="H12">
        <f t="shared" si="0"/>
        <v>196.66649999999998</v>
      </c>
      <c r="I12">
        <f t="shared" si="1"/>
        <v>0.49008144911392776</v>
      </c>
      <c r="J12">
        <f t="shared" si="2"/>
        <v>105.2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600.3599999999999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587.33500000000004</v>
      </c>
      <c r="H13">
        <f t="shared" si="0"/>
        <v>196.25149999999996</v>
      </c>
      <c r="I13">
        <f t="shared" si="1"/>
        <v>0.48564061384504409</v>
      </c>
      <c r="J13">
        <f t="shared" si="2"/>
        <v>105.6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603.47000000000014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590.71500000000003</v>
      </c>
      <c r="H14">
        <f t="shared" si="0"/>
        <v>197.41950000000003</v>
      </c>
      <c r="I14">
        <f t="shared" si="1"/>
        <v>0.48619445118279614</v>
      </c>
      <c r="J14">
        <f t="shared" si="2"/>
        <v>106.1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609.5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595.20999999999992</v>
      </c>
      <c r="H15">
        <f t="shared" si="0"/>
        <v>200.18000000000018</v>
      </c>
      <c r="I15">
        <f t="shared" si="1"/>
        <v>0.48905501807876545</v>
      </c>
      <c r="J15">
        <f t="shared" si="2"/>
        <v>107.2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612.66999999999985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601.08500000000004</v>
      </c>
      <c r="H16">
        <f t="shared" si="0"/>
        <v>200.8874999999997</v>
      </c>
      <c r="I16">
        <f t="shared" si="1"/>
        <v>0.48784856083004896</v>
      </c>
      <c r="J16">
        <f t="shared" si="2"/>
        <v>107.8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2026-10-17T11:54:46Z</dcterms:modified>
</cp:coreProperties>
</file>