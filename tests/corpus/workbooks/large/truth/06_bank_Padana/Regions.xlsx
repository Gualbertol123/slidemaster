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CE34D54E-B909-4E7B-8C20-F49672C13EA4}" xr6:coauthVersionLast="47" xr6:coauthVersionMax="47" xr10:uidLastSave="{00000000-0000-0000-0000-000000000000}"/>
  <bookViews>
    <workbookView xWindow="2660" yWindow="2660" windowWidth="14400" windowHeight="8170" firstSheet="8" activeTab="8" xr2:uid="{F79BB053-161D-45E9-8944-C6CAD15529D7}"/>
  </bookViews>
  <sheets>
    <sheet name="RegMaster" sheetId="1" r:id="rId1"/>
    <sheet name="RegTargets" sheetId="2" r:id="rId2"/>
    <sheet name="FromModel" sheetId="3" r:id="rId3"/>
    <sheet name="FromPeers" sheetId="4" r:id="rId4"/>
    <sheet name="RegCalc" sheetId="5" r:id="rId5"/>
    <sheet name="Summary" sheetId="6" r:id="rId6"/>
    <sheet name="SLIDE Region Overview" sheetId="7" r:id="rId7"/>
    <sheet name="SLIDE Region Trend" sheetId="8" r:id="rId8"/>
    <sheet name="SLIDE Region Peers" sheetId="9" r:id="rId9"/>
  </sheets>
  <externalReferences>
    <externalReference r:id="rId10"/>
    <externalReference r:id="rId11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9" l="1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2" i="5"/>
  <c r="C5" i="9" s="1"/>
  <c r="A3" i="5"/>
  <c r="C6" i="9" s="1"/>
  <c r="A4" i="5"/>
  <c r="C7" i="9" s="1"/>
  <c r="A5" i="5"/>
  <c r="A6" i="5"/>
  <c r="C9" i="7" s="1"/>
  <c r="B10" i="3"/>
  <c r="B9" i="3"/>
  <c r="C8" i="8" s="1"/>
  <c r="B20" i="3" l="1"/>
  <c r="C6" i="7"/>
  <c r="B29" i="3"/>
  <c r="C3" i="7"/>
  <c r="C14" i="8"/>
  <c r="C13" i="8"/>
  <c r="K6" i="5"/>
  <c r="C7" i="8"/>
  <c r="C6" i="8"/>
  <c r="C5" i="8"/>
  <c r="B2" i="3"/>
  <c r="C9" i="9"/>
  <c r="D2" i="5" a="1"/>
  <c r="D2" i="5" s="1"/>
  <c r="E5" i="7" s="1"/>
  <c r="K3" i="5"/>
  <c r="A25" i="3"/>
  <c r="C42" i="5" a="1"/>
  <c r="C42" i="5" s="1"/>
  <c r="D42" i="5" s="1"/>
  <c r="C26" i="5" a="1"/>
  <c r="C26" i="5" s="1"/>
  <c r="D26" i="5" s="1"/>
  <c r="C10" i="5" a="1"/>
  <c r="C10" i="5" s="1"/>
  <c r="D10" i="5" s="1"/>
  <c r="A6" i="3"/>
  <c r="A5" i="3"/>
  <c r="C23" i="3"/>
  <c r="A16" i="3"/>
  <c r="B13" i="3"/>
  <c r="A31" i="3"/>
  <c r="A15" i="3"/>
  <c r="A4" i="3"/>
  <c r="A26" i="3"/>
  <c r="A28" i="3"/>
  <c r="A12" i="3"/>
  <c r="A24" i="3"/>
  <c r="B12" i="3"/>
  <c r="A27" i="3"/>
  <c r="B5" i="3"/>
  <c r="B4" i="3"/>
  <c r="C18" i="3"/>
  <c r="B28" i="3"/>
  <c r="C17" i="3"/>
  <c r="C14" i="3"/>
  <c r="A22" i="3"/>
  <c r="B21" i="3"/>
  <c r="A17" i="3"/>
  <c r="B14" i="3"/>
  <c r="C24" i="5" a="1"/>
  <c r="C24" i="5" s="1"/>
  <c r="D24" i="5" s="1"/>
  <c r="A30" i="3"/>
  <c r="A14" i="3"/>
  <c r="A3" i="3"/>
  <c r="A29" i="3"/>
  <c r="A13" i="3"/>
  <c r="A2" i="3"/>
  <c r="C37" i="5" a="1"/>
  <c r="C37" i="5" s="1"/>
  <c r="C36" i="5" a="1"/>
  <c r="C36" i="5" s="1"/>
  <c r="C20" i="5" a="1"/>
  <c r="C20" i="5" s="1"/>
  <c r="D20" i="5" s="1"/>
  <c r="B3" i="3"/>
  <c r="C33" i="5" a="1"/>
  <c r="C33" i="5" s="1"/>
  <c r="D33" i="5" s="1"/>
  <c r="C17" i="5" a="1"/>
  <c r="C17" i="5" s="1"/>
  <c r="D17" i="5" s="1"/>
  <c r="A23" i="3"/>
  <c r="C29" i="3"/>
  <c r="C13" i="3"/>
  <c r="C45" i="5" a="1"/>
  <c r="C45" i="5" s="1"/>
  <c r="D45" i="5" s="1"/>
  <c r="A21" i="3"/>
  <c r="A20" i="3"/>
  <c r="A19" i="3"/>
  <c r="C44" i="5" a="1"/>
  <c r="C44" i="5" s="1"/>
  <c r="D44" i="5" s="1"/>
  <c r="A18" i="3"/>
  <c r="C43" i="5" a="1"/>
  <c r="C43" i="5" s="1"/>
  <c r="D43" i="5" s="1"/>
  <c r="C27" i="5" a="1"/>
  <c r="C27" i="5" s="1"/>
  <c r="D27" i="5" s="1"/>
  <c r="C32" i="5" a="1"/>
  <c r="C32" i="5" s="1"/>
  <c r="D32" i="5" s="1"/>
  <c r="C25" i="5" a="1"/>
  <c r="C25" i="5" s="1"/>
  <c r="D25" i="5" s="1"/>
  <c r="C31" i="5" a="1"/>
  <c r="C31" i="5" s="1"/>
  <c r="D31" i="5" s="1"/>
  <c r="C15" i="5" a="1"/>
  <c r="C15" i="5" s="1"/>
  <c r="D15" i="5" s="1"/>
  <c r="C22" i="5" a="1"/>
  <c r="C22" i="5" s="1"/>
  <c r="D22" i="5" s="1"/>
  <c r="C30" i="5" a="1"/>
  <c r="C30" i="5" s="1"/>
  <c r="D30" i="5" s="1"/>
  <c r="C14" i="5" a="1"/>
  <c r="C14" i="5" s="1"/>
  <c r="D14" i="5" s="1"/>
  <c r="C21" i="5" a="1"/>
  <c r="C21" i="5" s="1"/>
  <c r="D21" i="5" s="1"/>
  <c r="C29" i="5" a="1"/>
  <c r="C29" i="5" s="1"/>
  <c r="D29" i="5" s="1"/>
  <c r="C19" i="5" a="1"/>
  <c r="C19" i="5" s="1"/>
  <c r="D19" i="5" s="1"/>
  <c r="C28" i="5" a="1"/>
  <c r="C28" i="5" s="1"/>
  <c r="D28" i="5" s="1"/>
  <c r="C18" i="5" a="1"/>
  <c r="C18" i="5" s="1"/>
  <c r="D18" i="5" s="1"/>
  <c r="C11" i="5" a="1"/>
  <c r="C11" i="5" s="1"/>
  <c r="D11" i="5" s="1"/>
  <c r="C16" i="5" a="1"/>
  <c r="C16" i="5" s="1"/>
  <c r="D16" i="5" s="1"/>
  <c r="C41" i="5" a="1"/>
  <c r="C41" i="5" s="1"/>
  <c r="D41" i="5" s="1"/>
  <c r="C13" i="5" a="1"/>
  <c r="C13" i="5" s="1"/>
  <c r="D13" i="5" s="1"/>
  <c r="C12" i="5" a="1"/>
  <c r="C12" i="5" s="1"/>
  <c r="D12" i="5" s="1"/>
  <c r="C23" i="5" a="1"/>
  <c r="C23" i="5" s="1"/>
  <c r="D23" i="5" s="1"/>
  <c r="C35" i="5" a="1"/>
  <c r="C35" i="5" s="1"/>
  <c r="D35" i="5" s="1"/>
  <c r="C38" i="5" a="1"/>
  <c r="C38" i="5" s="1"/>
  <c r="D38" i="5" s="1"/>
  <c r="C34" i="5" a="1"/>
  <c r="C34" i="5" s="1"/>
  <c r="D34" i="5" s="1"/>
  <c r="C40" i="5" a="1"/>
  <c r="C40" i="5" s="1"/>
  <c r="D40" i="5" s="1"/>
  <c r="K5" i="5"/>
  <c r="K4" i="5"/>
  <c r="B41" i="5" a="1"/>
  <c r="B41" i="5" s="1"/>
  <c r="B33" i="5" a="1"/>
  <c r="B33" i="5" s="1"/>
  <c r="B25" i="5" a="1"/>
  <c r="B25" i="5" s="1"/>
  <c r="B17" i="5" a="1"/>
  <c r="B17" i="5" s="1"/>
  <c r="B7" i="6"/>
  <c r="C8" i="9"/>
  <c r="K2" i="5"/>
  <c r="B40" i="5" a="1"/>
  <c r="B40" i="5" s="1"/>
  <c r="B32" i="5" a="1"/>
  <c r="B32" i="5" s="1"/>
  <c r="B24" i="5" a="1"/>
  <c r="B24" i="5" s="1"/>
  <c r="B16" i="5" a="1"/>
  <c r="B16" i="5" s="1"/>
  <c r="C8" i="7"/>
  <c r="B39" i="5" a="1"/>
  <c r="B39" i="5" s="1"/>
  <c r="B31" i="5" a="1"/>
  <c r="B31" i="5" s="1"/>
  <c r="D8" i="8" s="1" a="1"/>
  <c r="D8" i="8" s="1"/>
  <c r="B23" i="5" a="1"/>
  <c r="B23" i="5" s="1"/>
  <c r="B15" i="5" a="1"/>
  <c r="B15" i="5" s="1"/>
  <c r="C7" i="7"/>
  <c r="C3" i="8"/>
  <c r="B38" i="5" a="1"/>
  <c r="B38" i="5" s="1"/>
  <c r="B30" i="5" a="1"/>
  <c r="B30" i="5" s="1"/>
  <c r="D7" i="8" s="1" a="1"/>
  <c r="D7" i="8" s="1"/>
  <c r="B22" i="5" a="1"/>
  <c r="B22" i="5" s="1"/>
  <c r="B14" i="5" a="1"/>
  <c r="B14" i="5" s="1"/>
  <c r="C5" i="7"/>
  <c r="C16" i="8"/>
  <c r="D6" i="5" a="1"/>
  <c r="D6" i="5" s="1"/>
  <c r="E9" i="7" s="1"/>
  <c r="C15" i="8"/>
  <c r="B45" i="5" a="1"/>
  <c r="B45" i="5" s="1"/>
  <c r="B37" i="5" a="1"/>
  <c r="B37" i="5" s="1"/>
  <c r="D14" i="8" s="1" a="1"/>
  <c r="D14" i="8" s="1"/>
  <c r="B29" i="5" a="1"/>
  <c r="B29" i="5" s="1"/>
  <c r="D6" i="8" s="1" a="1"/>
  <c r="D6" i="8" s="1"/>
  <c r="B21" i="5" a="1"/>
  <c r="B21" i="5" s="1"/>
  <c r="B13" i="5" a="1"/>
  <c r="B13" i="5" s="1"/>
  <c r="D5" i="5" a="1"/>
  <c r="D5" i="5" s="1"/>
  <c r="E8" i="7" s="1"/>
  <c r="B44" i="5" a="1"/>
  <c r="B44" i="5" s="1"/>
  <c r="B36" i="5" a="1"/>
  <c r="B36" i="5" s="1"/>
  <c r="D13" i="8" s="1" a="1"/>
  <c r="D13" i="8" s="1"/>
  <c r="B28" i="5" a="1"/>
  <c r="B28" i="5" s="1"/>
  <c r="D5" i="8" s="1" a="1"/>
  <c r="D5" i="8" s="1"/>
  <c r="B20" i="5" a="1"/>
  <c r="B20" i="5" s="1"/>
  <c r="B12" i="5" a="1"/>
  <c r="B12" i="5" s="1"/>
  <c r="C12" i="8"/>
  <c r="D4" i="5" a="1"/>
  <c r="D4" i="5" s="1"/>
  <c r="E7" i="7" s="1"/>
  <c r="C11" i="8"/>
  <c r="B43" i="5" a="1"/>
  <c r="B43" i="5" s="1"/>
  <c r="B35" i="5" a="1"/>
  <c r="B35" i="5" s="1"/>
  <c r="B27" i="5" a="1"/>
  <c r="B27" i="5" s="1"/>
  <c r="B19" i="5" a="1"/>
  <c r="B19" i="5" s="1"/>
  <c r="B11" i="5" a="1"/>
  <c r="B11" i="5" s="1"/>
  <c r="C10" i="8"/>
  <c r="D3" i="5" a="1"/>
  <c r="D3" i="5" s="1"/>
  <c r="E6" i="7" s="1"/>
  <c r="C9" i="8"/>
  <c r="B42" i="5" a="1"/>
  <c r="B42" i="5" s="1"/>
  <c r="B34" i="5" a="1"/>
  <c r="B34" i="5" s="1"/>
  <c r="B26" i="5" a="1"/>
  <c r="B26" i="5" s="1"/>
  <c r="B18" i="5" a="1"/>
  <c r="B18" i="5" s="1"/>
  <c r="B10" i="5" a="1"/>
  <c r="B10" i="5" s="1"/>
  <c r="C19" i="3" l="1"/>
  <c r="B30" i="3"/>
  <c r="C30" i="3"/>
  <c r="C20" i="3"/>
  <c r="E5" i="8" a="1"/>
  <c r="E5" i="8" s="1"/>
  <c r="B19" i="3"/>
  <c r="E7" i="8" a="1"/>
  <c r="E7" i="8" s="1"/>
  <c r="F7" i="8" s="1"/>
  <c r="E6" i="8" a="1"/>
  <c r="E6" i="8" s="1"/>
  <c r="F6" i="8" s="1"/>
  <c r="B31" i="3"/>
  <c r="B22" i="3"/>
  <c r="B27" i="3"/>
  <c r="A5" i="4"/>
  <c r="A6" i="4"/>
  <c r="E15" i="8" a="1"/>
  <c r="E15" i="8" s="1"/>
  <c r="D15" i="8" a="1"/>
  <c r="D15" i="8" s="1"/>
  <c r="D12" i="8" a="1"/>
  <c r="D12" i="8" s="1"/>
  <c r="E12" i="8" a="1"/>
  <c r="E12" i="8" s="1"/>
  <c r="B17" i="3"/>
  <c r="E9" i="8" a="1"/>
  <c r="E9" i="8" s="1"/>
  <c r="D9" i="8" a="1"/>
  <c r="D9" i="8" s="1"/>
  <c r="D36" i="5"/>
  <c r="E13" i="8" a="1"/>
  <c r="E13" i="8" s="1"/>
  <c r="F13" i="8" s="1"/>
  <c r="B15" i="3"/>
  <c r="B24" i="3"/>
  <c r="A2" i="4"/>
  <c r="B25" i="3"/>
  <c r="C2" i="3"/>
  <c r="B2" i="5" s="1"/>
  <c r="C21" i="3"/>
  <c r="B18" i="3"/>
  <c r="A3" i="4"/>
  <c r="A4" i="4"/>
  <c r="C4" i="3"/>
  <c r="B4" i="5" s="1"/>
  <c r="E10" i="8" a="1"/>
  <c r="E10" i="8" s="1"/>
  <c r="D10" i="8" a="1"/>
  <c r="D10" i="8" s="1"/>
  <c r="D16" i="8" a="1"/>
  <c r="D16" i="8" s="1"/>
  <c r="A12" i="4"/>
  <c r="C31" i="3"/>
  <c r="A13" i="4"/>
  <c r="C28" i="3"/>
  <c r="C27" i="3"/>
  <c r="E8" i="8" a="1"/>
  <c r="E8" i="8" s="1"/>
  <c r="F8" i="8" s="1"/>
  <c r="A14" i="4"/>
  <c r="C5" i="3"/>
  <c r="B5" i="5" s="1"/>
  <c r="A15" i="4"/>
  <c r="B6" i="3"/>
  <c r="B23" i="3"/>
  <c r="A11" i="4"/>
  <c r="C3" i="3"/>
  <c r="B3" i="5" s="1"/>
  <c r="C25" i="3"/>
  <c r="C15" i="3"/>
  <c r="F5" i="8"/>
  <c r="C26" i="3"/>
  <c r="A10" i="4"/>
  <c r="A17" i="4"/>
  <c r="C12" i="3"/>
  <c r="C6" i="3"/>
  <c r="B6" i="5" s="1"/>
  <c r="C16" i="3"/>
  <c r="A18" i="4"/>
  <c r="C22" i="3"/>
  <c r="B26" i="3"/>
  <c r="A19" i="4"/>
  <c r="A20" i="4"/>
  <c r="A9" i="4"/>
  <c r="A8" i="4"/>
  <c r="A7" i="4"/>
  <c r="B16" i="3"/>
  <c r="A21" i="4"/>
  <c r="D11" i="8" a="1"/>
  <c r="D11" i="8" s="1"/>
  <c r="E11" i="8" a="1"/>
  <c r="E11" i="8" s="1"/>
  <c r="D6" i="3"/>
  <c r="A16" i="4"/>
  <c r="C39" i="5" a="1"/>
  <c r="C39" i="5" s="1"/>
  <c r="D39" i="5" s="1"/>
  <c r="E14" i="8" a="1"/>
  <c r="E14" i="8" s="1"/>
  <c r="F14" i="8" s="1"/>
  <c r="D37" i="5"/>
  <c r="C24" i="3"/>
  <c r="F12" i="8" l="1"/>
  <c r="D5" i="3"/>
  <c r="F9" i="8"/>
  <c r="F15" i="8"/>
  <c r="F7" i="9"/>
  <c r="D6" i="7"/>
  <c r="F3" i="5"/>
  <c r="G6" i="7" s="1"/>
  <c r="I3" i="5"/>
  <c r="J3" i="5" s="1"/>
  <c r="I6" i="7" s="1"/>
  <c r="E3" i="5"/>
  <c r="D7" i="7"/>
  <c r="F4" i="5"/>
  <c r="G7" i="7" s="1"/>
  <c r="I4" i="5"/>
  <c r="J4" i="5" s="1"/>
  <c r="I7" i="7" s="1"/>
  <c r="E4" i="5"/>
  <c r="B6" i="4"/>
  <c r="B18" i="4"/>
  <c r="B17" i="4"/>
  <c r="F10" i="8"/>
  <c r="D6" i="4"/>
  <c r="D12" i="4"/>
  <c r="D2" i="4"/>
  <c r="B15" i="4"/>
  <c r="B14" i="4"/>
  <c r="D14" i="4"/>
  <c r="D4" i="3"/>
  <c r="B16" i="4"/>
  <c r="B8" i="4"/>
  <c r="D3" i="3"/>
  <c r="B5" i="4"/>
  <c r="B7" i="4"/>
  <c r="D11" i="4"/>
  <c r="D20" i="4"/>
  <c r="D16" i="4"/>
  <c r="B9" i="4"/>
  <c r="D8" i="4"/>
  <c r="D13" i="4"/>
  <c r="D4" i="4"/>
  <c r="D21" i="4"/>
  <c r="B11" i="4"/>
  <c r="F8" i="9"/>
  <c r="B3" i="4"/>
  <c r="F9" i="9"/>
  <c r="F5" i="9"/>
  <c r="D5" i="4"/>
  <c r="D7" i="4"/>
  <c r="B2" i="4"/>
  <c r="B20" i="4"/>
  <c r="F11" i="8"/>
  <c r="D9" i="4"/>
  <c r="B19" i="4"/>
  <c r="C4" i="4"/>
  <c r="D10" i="4"/>
  <c r="D5" i="7"/>
  <c r="B2" i="6"/>
  <c r="F2" i="5"/>
  <c r="G5" i="7" s="1"/>
  <c r="I2" i="5"/>
  <c r="J2" i="5" s="1"/>
  <c r="I5" i="7" s="1"/>
  <c r="E2" i="5"/>
  <c r="D3" i="4"/>
  <c r="D8" i="7"/>
  <c r="F5" i="5"/>
  <c r="G8" i="7" s="1"/>
  <c r="I5" i="5"/>
  <c r="J5" i="5" s="1"/>
  <c r="I8" i="7" s="1"/>
  <c r="E5" i="5"/>
  <c r="C10" i="4"/>
  <c r="B12" i="4"/>
  <c r="C9" i="4"/>
  <c r="D15" i="4"/>
  <c r="C3" i="4"/>
  <c r="B21" i="4"/>
  <c r="D2" i="3"/>
  <c r="B10" i="4"/>
  <c r="F6" i="9"/>
  <c r="B13" i="4"/>
  <c r="D18" i="4"/>
  <c r="D17" i="4"/>
  <c r="D9" i="7"/>
  <c r="F6" i="5"/>
  <c r="G9" i="7" s="1"/>
  <c r="I6" i="5"/>
  <c r="J6" i="5" s="1"/>
  <c r="I9" i="7" s="1"/>
  <c r="E6" i="5"/>
  <c r="D19" i="4"/>
  <c r="E16" i="8" a="1"/>
  <c r="E16" i="8" s="1"/>
  <c r="F16" i="8" s="1"/>
  <c r="B4" i="4"/>
  <c r="C19" i="4" l="1"/>
  <c r="C20" i="4"/>
  <c r="C13" i="4"/>
  <c r="C2" i="5"/>
  <c r="D5" i="9" s="1"/>
  <c r="C6" i="5"/>
  <c r="D9" i="9" s="1"/>
  <c r="C5" i="5"/>
  <c r="D8" i="9" s="1"/>
  <c r="F8" i="7"/>
  <c r="C18" i="4"/>
  <c r="G6" i="5" s="1"/>
  <c r="E9" i="9" s="1"/>
  <c r="C21" i="4"/>
  <c r="C2" i="4"/>
  <c r="F5" i="7"/>
  <c r="C7" i="4"/>
  <c r="C11" i="4"/>
  <c r="C15" i="4"/>
  <c r="C17" i="4"/>
  <c r="C16" i="4"/>
  <c r="C12" i="4"/>
  <c r="G3" i="5" s="1"/>
  <c r="E6" i="9" s="1"/>
  <c r="F7" i="7"/>
  <c r="B3" i="6"/>
  <c r="C14" i="4"/>
  <c r="C3" i="5"/>
  <c r="D6" i="9" s="1"/>
  <c r="F6" i="7"/>
  <c r="C5" i="4"/>
  <c r="C4" i="5"/>
  <c r="D7" i="9" s="1"/>
  <c r="F9" i="7"/>
  <c r="C6" i="4"/>
  <c r="C8" i="4"/>
  <c r="G4" i="5" l="1"/>
  <c r="E7" i="9" s="1"/>
  <c r="B5" i="6"/>
  <c r="H4" i="5"/>
  <c r="H7" i="7" s="1"/>
  <c r="G2" i="5"/>
  <c r="B24" i="4"/>
  <c r="B4" i="6" s="1"/>
  <c r="H6" i="5"/>
  <c r="H9" i="7" s="1"/>
  <c r="H3" i="5"/>
  <c r="H6" i="7" s="1"/>
  <c r="G5" i="5"/>
  <c r="E8" i="9" l="1"/>
  <c r="H5" i="5"/>
  <c r="H8" i="7" s="1"/>
  <c r="E5" i="9"/>
  <c r="H2" i="5"/>
  <c r="H5" i="7" s="1"/>
  <c r="B25" i="4"/>
  <c r="B6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<sst xmlns="http://schemas.openxmlformats.org/spreadsheetml/2006/main" count="76" uniqueCount="41">
  <si>
    <t>Region</t>
  </si>
  <si>
    <t>Head</t>
  </si>
  <si>
    <t>Weight</t>
  </si>
  <si>
    <t>Nord-Ovest</t>
  </si>
  <si>
    <t>North-west desk</t>
  </si>
  <si>
    <t>Nord-Est</t>
  </si>
  <si>
    <t>North-east desk</t>
  </si>
  <si>
    <t>Centro</t>
  </si>
  <si>
    <t>Centre desk</t>
  </si>
  <si>
    <t>Sud</t>
  </si>
  <si>
    <t>South desk</t>
  </si>
  <si>
    <t>Isole</t>
  </si>
  <si>
    <t>Islands desk</t>
  </si>
  <si>
    <t>Region \ month</t>
  </si>
  <si>
    <t>Banks</t>
  </si>
  <si>
    <t>Volume</t>
  </si>
  <si>
    <t>Margin</t>
  </si>
  <si>
    <t>Month</t>
  </si>
  <si>
    <t>Bank</t>
  </si>
  <si>
    <t>Peer volume</t>
  </si>
  <si>
    <t>Gap</t>
  </si>
  <si>
    <t>Group</t>
  </si>
  <si>
    <t>Total gap</t>
  </si>
  <si>
    <t>Peer rank</t>
  </si>
  <si>
    <t>Model volume</t>
  </si>
  <si>
    <t>Target</t>
  </si>
  <si>
    <t>Share</t>
  </si>
  <si>
    <t>Peer gap</t>
  </si>
  <si>
    <t>Signal</t>
  </si>
  <si>
    <t>Rank</t>
  </si>
  <si>
    <t>Place</t>
  </si>
  <si>
    <t>Selected</t>
  </si>
  <si>
    <t>Target sel. region</t>
  </si>
  <si>
    <t>Model total</t>
  </si>
  <si>
    <t>Ratio</t>
  </si>
  <si>
    <t>Total model volume</t>
  </si>
  <si>
    <t>Gap selected region</t>
  </si>
  <si>
    <t>Peer total gap</t>
  </si>
  <si>
    <t>Peer gap selected</t>
  </si>
  <si>
    <t>Selected region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</si>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</sst>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e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3">
          <cell r="B3">
            <v>30</v>
          </cell>
        </row>
        <row r="5">
          <cell r="B5" t="str">
            <v>Centro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 t="str">
            <v>Banca Alpi</v>
          </cell>
          <cell r="B2" t="str">
            <v>Nord-Ovest</v>
          </cell>
          <cell r="C2">
            <v>7354.8</v>
          </cell>
        </row>
        <row r="3">
          <cell r="A3" t="str">
            <v>Banca Adriatica</v>
          </cell>
          <cell r="B3" t="str">
            <v>Nord-Est</v>
          </cell>
          <cell r="C3">
            <v>8568.1</v>
          </cell>
        </row>
        <row r="4">
          <cell r="A4" t="str">
            <v>Banca Tirrena</v>
          </cell>
          <cell r="B4" t="str">
            <v>Centro</v>
          </cell>
          <cell r="C4">
            <v>9865.7999999999993</v>
          </cell>
        </row>
        <row r="5">
          <cell r="A5" t="str">
            <v>Banca Padana</v>
          </cell>
          <cell r="B5" t="str">
            <v>Nord-Ovest</v>
          </cell>
          <cell r="C5">
            <v>11127.400000000001</v>
          </cell>
        </row>
        <row r="6">
          <cell r="A6" t="str">
            <v>Banca Etrusca</v>
          </cell>
          <cell r="B6" t="str">
            <v>Centro</v>
          </cell>
          <cell r="C6">
            <v>12359</v>
          </cell>
        </row>
        <row r="7">
          <cell r="A7" t="str">
            <v>Banca Lariana</v>
          </cell>
          <cell r="B7" t="str">
            <v>Nord-Ovest</v>
          </cell>
          <cell r="C7">
            <v>13592.199999999999</v>
          </cell>
        </row>
        <row r="8">
          <cell r="A8" t="str">
            <v>Banca Sabina</v>
          </cell>
          <cell r="B8" t="str">
            <v>Centro</v>
          </cell>
          <cell r="C8">
            <v>14860.6</v>
          </cell>
        </row>
        <row r="9">
          <cell r="A9" t="str">
            <v>Banca Irpina</v>
          </cell>
          <cell r="B9" t="str">
            <v>Sud</v>
          </cell>
          <cell r="C9">
            <v>16241.5</v>
          </cell>
        </row>
        <row r="10">
          <cell r="A10" t="str">
            <v>Banca Sannita</v>
          </cell>
          <cell r="B10" t="str">
            <v>Sud</v>
          </cell>
          <cell r="C10">
            <v>17435.2</v>
          </cell>
        </row>
        <row r="11">
          <cell r="A11" t="str">
            <v>Banca Ligure</v>
          </cell>
          <cell r="B11" t="str">
            <v>Nord-Ovest</v>
          </cell>
          <cell r="C11">
            <v>18568.2</v>
          </cell>
        </row>
        <row r="12">
          <cell r="A12" t="str">
            <v>Banca Veneta</v>
          </cell>
          <cell r="B12" t="str">
            <v>Nord-Est</v>
          </cell>
          <cell r="C12">
            <v>19867.000000000004</v>
          </cell>
        </row>
        <row r="13">
          <cell r="A13" t="str">
            <v>Banca Friulana</v>
          </cell>
          <cell r="B13" t="str">
            <v>Nord-Est</v>
          </cell>
          <cell r="C13">
            <v>21169.7</v>
          </cell>
        </row>
        <row r="14">
          <cell r="A14" t="str">
            <v>Banca Umbra</v>
          </cell>
          <cell r="B14" t="str">
            <v>Centro</v>
          </cell>
          <cell r="C14">
            <v>22385.899999999998</v>
          </cell>
        </row>
        <row r="15">
          <cell r="A15" t="str">
            <v>Banca Marchigiana</v>
          </cell>
          <cell r="B15" t="str">
            <v>Centro</v>
          </cell>
          <cell r="C15">
            <v>23667.1</v>
          </cell>
        </row>
        <row r="16">
          <cell r="A16" t="str">
            <v>Banca Lucana</v>
          </cell>
          <cell r="B16" t="str">
            <v>Sud</v>
          </cell>
          <cell r="C16">
            <v>24910.3</v>
          </cell>
        </row>
        <row r="17">
          <cell r="A17" t="str">
            <v>Banca Calabra</v>
          </cell>
          <cell r="B17" t="str">
            <v>Sud</v>
          </cell>
          <cell r="C17">
            <v>26105.9</v>
          </cell>
        </row>
        <row r="18">
          <cell r="A18" t="str">
            <v>Banca Sicula</v>
          </cell>
          <cell r="B18" t="str">
            <v>Isole</v>
          </cell>
          <cell r="C18">
            <v>27574.800000000003</v>
          </cell>
        </row>
        <row r="19">
          <cell r="A19" t="str">
            <v>Banca Sarda</v>
          </cell>
          <cell r="B19" t="str">
            <v>Isole</v>
          </cell>
          <cell r="C19">
            <v>28720.9</v>
          </cell>
        </row>
        <row r="20">
          <cell r="A20" t="str">
            <v>Banca Romagnola</v>
          </cell>
          <cell r="B20" t="str">
            <v>Nord-Est</v>
          </cell>
          <cell r="C20">
            <v>29979.5</v>
          </cell>
        </row>
        <row r="21">
          <cell r="A21" t="str">
            <v>Banca Città</v>
          </cell>
          <cell r="B21" t="str">
            <v>Centro</v>
          </cell>
          <cell r="C21">
            <v>31314.5</v>
          </cell>
        </row>
      </sheetData>
      <sheetData sheetId="9"/>
      <sheetData sheetId="10">
        <row r="2">
          <cell r="A2" t="str">
            <v>Nord-Ovest</v>
          </cell>
          <cell r="B2">
            <v>4</v>
          </cell>
          <cell r="C2">
            <v>50642.6</v>
          </cell>
          <cell r="E2">
            <v>1082.6800000000003</v>
          </cell>
        </row>
        <row r="3">
          <cell r="A3" t="str">
            <v>Nord-Est</v>
          </cell>
          <cell r="B3">
            <v>4</v>
          </cell>
          <cell r="C3">
            <v>79584.299999999988</v>
          </cell>
          <cell r="E3">
            <v>1698.1000000000001</v>
          </cell>
        </row>
        <row r="4">
          <cell r="A4" t="str">
            <v>Centro</v>
          </cell>
          <cell r="B4">
            <v>6</v>
          </cell>
          <cell r="C4">
            <v>114452.9</v>
          </cell>
          <cell r="E4">
            <v>2445.2399999999998</v>
          </cell>
        </row>
        <row r="5">
          <cell r="A5" t="str">
            <v>Sud</v>
          </cell>
          <cell r="B5">
            <v>4</v>
          </cell>
          <cell r="C5">
            <v>84692.900000000009</v>
          </cell>
          <cell r="E5">
            <v>1807.46</v>
          </cell>
        </row>
        <row r="6">
          <cell r="A6" t="str">
            <v>Isole</v>
          </cell>
          <cell r="B6">
            <v>2</v>
          </cell>
          <cell r="C6">
            <v>56295.700000000004</v>
          </cell>
          <cell r="E6">
            <v>1202.1699999999998</v>
          </cell>
        </row>
      </sheetData>
      <sheetData sheetId="11">
        <row r="23">
          <cell r="B23">
            <v>313649.10000000003</v>
          </cell>
          <cell r="C23">
            <v>316027.19999999995</v>
          </cell>
          <cell r="D23">
            <v>318212.59999999998</v>
          </cell>
          <cell r="E23">
            <v>321020.5</v>
          </cell>
          <cell r="F23">
            <v>323839.09999999998</v>
          </cell>
          <cell r="G23">
            <v>326227.20000000007</v>
          </cell>
          <cell r="H23">
            <v>328451.69999999995</v>
          </cell>
          <cell r="I23">
            <v>330859.39999999997</v>
          </cell>
          <cell r="J23">
            <v>333869.20000000007</v>
          </cell>
          <cell r="K23">
            <v>335727.5</v>
          </cell>
          <cell r="L23">
            <v>338543.19999999995</v>
          </cell>
          <cell r="M23">
            <v>340849.5</v>
          </cell>
          <cell r="N23">
            <v>343560.2</v>
          </cell>
          <cell r="O23">
            <v>345734.8</v>
          </cell>
          <cell r="P23">
            <v>348188.50000000006</v>
          </cell>
          <cell r="Q23">
            <v>350465.9</v>
          </cell>
          <cell r="R23">
            <v>353343.5</v>
          </cell>
          <cell r="S23">
            <v>355799.5</v>
          </cell>
          <cell r="T23">
            <v>358146</v>
          </cell>
          <cell r="U23">
            <v>360486.5</v>
          </cell>
          <cell r="V23">
            <v>362644.60000000003</v>
          </cell>
          <cell r="W23">
            <v>365894.3</v>
          </cell>
          <cell r="X23">
            <v>368054.60000000003</v>
          </cell>
          <cell r="Y23">
            <v>370720.8</v>
          </cell>
          <cell r="Z23">
            <v>373032.39999999997</v>
          </cell>
          <cell r="AA23">
            <v>375684.69999999995</v>
          </cell>
          <cell r="AB23">
            <v>378262.60000000003</v>
          </cell>
          <cell r="AC23">
            <v>380278.8</v>
          </cell>
          <cell r="AD23">
            <v>383328.10000000003</v>
          </cell>
          <cell r="AE23">
            <v>385668.4</v>
          </cell>
          <cell r="AF23">
            <v>388472.89999999997</v>
          </cell>
          <cell r="AG23">
            <v>390451.7</v>
          </cell>
          <cell r="AH23">
            <v>392782</v>
          </cell>
          <cell r="AI23">
            <v>395749.09999999992</v>
          </cell>
          <cell r="AJ23">
            <v>398633.39999999997</v>
          </cell>
          <cell r="AK23">
            <v>400259.1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erData"/>
      <sheetName val="PeerMaster"/>
      <sheetName val="Link"/>
      <sheetName val="Compare"/>
      <sheetName val="PeerTrend"/>
      <sheetName val="PeerGrid"/>
      <sheetName val="Summary"/>
      <sheetName val="SLIDE Peer Overview"/>
      <sheetName val="SLIDE Peer Trend"/>
      <sheetName val="SLIDE Peer Gap"/>
      <sheetName val="SLIDE Peer Rank"/>
    </sheetNames>
    <sheetDataSet>
      <sheetData sheetId="0"/>
      <sheetData sheetId="1"/>
      <sheetData sheetId="2"/>
      <sheetData sheetId="3">
        <row r="2">
          <cell r="A2" t="str">
            <v>Banca Alpi</v>
          </cell>
          <cell r="C2">
            <v>6924.6</v>
          </cell>
          <cell r="E2">
            <v>430.19999999999982</v>
          </cell>
          <cell r="G2" t="str">
            <v>G1</v>
          </cell>
        </row>
        <row r="3">
          <cell r="A3" t="str">
            <v>Banca Adriatica</v>
          </cell>
          <cell r="C3">
            <v>8011.7</v>
          </cell>
          <cell r="E3">
            <v>556.40000000000055</v>
          </cell>
          <cell r="G3" t="str">
            <v>G2</v>
          </cell>
        </row>
        <row r="4">
          <cell r="A4" t="str">
            <v>Banca Tirrena</v>
          </cell>
          <cell r="C4">
            <v>9487.6</v>
          </cell>
          <cell r="E4">
            <v>378.19999999999891</v>
          </cell>
          <cell r="G4" t="str">
            <v>G3</v>
          </cell>
        </row>
        <row r="5">
          <cell r="A5" t="str">
            <v>Banca Padana</v>
          </cell>
          <cell r="C5">
            <v>10580.4</v>
          </cell>
          <cell r="E5">
            <v>547.00000000000182</v>
          </cell>
          <cell r="G5" t="str">
            <v>G4</v>
          </cell>
        </row>
        <row r="6">
          <cell r="A6" t="str">
            <v>Banca Etrusca</v>
          </cell>
          <cell r="C6">
            <v>11564</v>
          </cell>
          <cell r="E6">
            <v>795</v>
          </cell>
          <cell r="G6" t="str">
            <v>G1</v>
          </cell>
        </row>
        <row r="7">
          <cell r="A7" t="str">
            <v>Banca Lariana</v>
          </cell>
          <cell r="C7">
            <v>12936.3</v>
          </cell>
          <cell r="E7">
            <v>655.89999999999964</v>
          </cell>
          <cell r="G7" t="str">
            <v>G2</v>
          </cell>
        </row>
        <row r="8">
          <cell r="A8" t="str">
            <v>Banca Sabina</v>
          </cell>
          <cell r="C8">
            <v>14236.8</v>
          </cell>
          <cell r="E8">
            <v>623.80000000000109</v>
          </cell>
          <cell r="G8" t="str">
            <v>G3</v>
          </cell>
        </row>
        <row r="9">
          <cell r="A9" t="str">
            <v>Banca Irpina</v>
          </cell>
          <cell r="C9">
            <v>15498</v>
          </cell>
          <cell r="E9">
            <v>743.5</v>
          </cell>
          <cell r="G9" t="str">
            <v>G4</v>
          </cell>
        </row>
        <row r="10">
          <cell r="A10" t="str">
            <v>Banca Sannita</v>
          </cell>
          <cell r="C10">
            <v>16513.099999999999</v>
          </cell>
          <cell r="E10">
            <v>922.10000000000218</v>
          </cell>
          <cell r="G10" t="str">
            <v>G1</v>
          </cell>
        </row>
        <row r="11">
          <cell r="A11" t="str">
            <v>Banca Ligure</v>
          </cell>
          <cell r="C11">
            <v>17729.8</v>
          </cell>
          <cell r="E11">
            <v>838.40000000000146</v>
          </cell>
          <cell r="G11" t="str">
            <v>G2</v>
          </cell>
        </row>
        <row r="12">
          <cell r="A12" t="str">
            <v>Banca Veneta</v>
          </cell>
          <cell r="C12">
            <v>18788.599999999999</v>
          </cell>
          <cell r="E12">
            <v>1078.4000000000051</v>
          </cell>
          <cell r="G12" t="str">
            <v>G3</v>
          </cell>
        </row>
        <row r="13">
          <cell r="A13" t="str">
            <v>Banca Friulana</v>
          </cell>
          <cell r="C13">
            <v>20151.900000000001</v>
          </cell>
          <cell r="E13">
            <v>1017.7999999999993</v>
          </cell>
          <cell r="G13" t="str">
            <v>G4</v>
          </cell>
        </row>
        <row r="14">
          <cell r="A14" t="str">
            <v>Banca Umbra</v>
          </cell>
          <cell r="C14">
            <v>21171.9</v>
          </cell>
          <cell r="E14">
            <v>1213.9999999999964</v>
          </cell>
          <cell r="G14" t="str">
            <v>G1</v>
          </cell>
        </row>
        <row r="15">
          <cell r="A15" t="str">
            <v>Banca Marchigiana</v>
          </cell>
          <cell r="C15">
            <v>22595.599999999999</v>
          </cell>
          <cell r="E15">
            <v>1071.5</v>
          </cell>
          <cell r="G15" t="str">
            <v>G2</v>
          </cell>
        </row>
        <row r="16">
          <cell r="A16" t="str">
            <v>Banca Lucana</v>
          </cell>
          <cell r="C16">
            <v>23678.400000000001</v>
          </cell>
          <cell r="E16">
            <v>1231.8999999999978</v>
          </cell>
          <cell r="G16" t="str">
            <v>G3</v>
          </cell>
        </row>
        <row r="17">
          <cell r="A17" t="str">
            <v>Banca Calabra</v>
          </cell>
          <cell r="C17">
            <v>24927</v>
          </cell>
          <cell r="E17">
            <v>1178.9000000000015</v>
          </cell>
          <cell r="G17" t="str">
            <v>G4</v>
          </cell>
        </row>
        <row r="18">
          <cell r="A18" t="str">
            <v>Banca Sicula</v>
          </cell>
          <cell r="C18">
            <v>25824.400000000001</v>
          </cell>
          <cell r="E18">
            <v>1750.4000000000015</v>
          </cell>
          <cell r="G18" t="str">
            <v>G1</v>
          </cell>
        </row>
        <row r="19">
          <cell r="A19" t="str">
            <v>Banca Sarda</v>
          </cell>
          <cell r="C19">
            <v>27309.599999999999</v>
          </cell>
          <cell r="E19">
            <v>1411.3000000000029</v>
          </cell>
          <cell r="G19" t="str">
            <v>G2</v>
          </cell>
        </row>
        <row r="20">
          <cell r="A20" t="str">
            <v>Banca Romagnola</v>
          </cell>
          <cell r="C20">
            <v>28539.8</v>
          </cell>
          <cell r="E20">
            <v>1439.7000000000007</v>
          </cell>
          <cell r="G20" t="str">
            <v>G3</v>
          </cell>
        </row>
        <row r="21">
          <cell r="A21" t="str">
            <v>Banca Città</v>
          </cell>
          <cell r="C21">
            <v>29539.1</v>
          </cell>
          <cell r="E21">
            <v>1775.4000000000015</v>
          </cell>
          <cell r="G21" t="str">
            <v>G4</v>
          </cell>
        </row>
      </sheetData>
      <sheetData sheetId="4"/>
      <sheetData sheetId="5"/>
      <sheetData sheetId="6">
        <row r="3">
          <cell r="B3">
            <v>10</v>
          </cell>
        </row>
        <row r="4">
          <cell r="B4">
            <v>19659.800000000014</v>
          </cell>
        </row>
      </sheetData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FAF3-8C0E-4F6D-A684-AF3ABD1F540B}">
  <dimension ref="A1:C6"/>
  <sheetViews>
    <sheetView workbookViewId="0"/>
  </sheetViews>
  <sheetFormatPr defaultRowHeight="12.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0.3</v>
      </c>
    </row>
    <row r="3" spans="1:3" x14ac:dyDescent="0.25">
      <c r="A3" t="s">
        <v>5</v>
      </c>
      <c r="B3" t="s">
        <v>6</v>
      </c>
      <c r="C3">
        <v>0.2</v>
      </c>
    </row>
    <row r="4" spans="1:3" x14ac:dyDescent="0.25">
      <c r="A4" t="s">
        <v>7</v>
      </c>
      <c r="B4" t="s">
        <v>8</v>
      </c>
      <c r="C4">
        <v>0.25</v>
      </c>
    </row>
    <row r="5" spans="1:3" x14ac:dyDescent="0.25">
      <c r="A5" t="s">
        <v>9</v>
      </c>
      <c r="B5" t="s">
        <v>10</v>
      </c>
      <c r="C5">
        <v>0.15</v>
      </c>
    </row>
    <row r="6" spans="1:3" x14ac:dyDescent="0.25">
      <c r="A6" t="s">
        <v>11</v>
      </c>
      <c r="B6" t="s">
        <v>12</v>
      </c>
      <c r="C6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22EC-7F2E-4174-8595-F328C7CBC836}">
  <dimension ref="A1:AK6"/>
  <sheetViews>
    <sheetView workbookViewId="0"/>
  </sheetViews>
  <sheetFormatPr defaultRowHeight="12.5" x14ac:dyDescent="0.25"/>
  <sheetData>
    <row r="1" spans="1:37" x14ac:dyDescent="0.25">
      <c r="A1" t="s">
        <v>13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</row>
    <row r="2" spans="1:37" x14ac:dyDescent="0.25">
      <c r="A2" t="s">
        <v>3</v>
      </c>
      <c r="B2">
        <v>42252</v>
      </c>
      <c r="C2">
        <v>42504</v>
      </c>
      <c r="D2">
        <v>42756</v>
      </c>
      <c r="E2">
        <v>43008</v>
      </c>
      <c r="F2">
        <v>43260</v>
      </c>
      <c r="G2">
        <v>43512</v>
      </c>
      <c r="H2">
        <v>43764</v>
      </c>
      <c r="I2">
        <v>44016</v>
      </c>
      <c r="J2">
        <v>44268</v>
      </c>
      <c r="K2">
        <v>44520</v>
      </c>
      <c r="L2">
        <v>44772</v>
      </c>
      <c r="M2">
        <v>45024</v>
      </c>
      <c r="N2">
        <v>45276</v>
      </c>
      <c r="O2">
        <v>45528</v>
      </c>
      <c r="P2">
        <v>45780</v>
      </c>
      <c r="Q2">
        <v>46032</v>
      </c>
      <c r="R2">
        <v>46284</v>
      </c>
      <c r="S2">
        <v>46536</v>
      </c>
      <c r="T2">
        <v>46788</v>
      </c>
      <c r="U2">
        <v>47040</v>
      </c>
      <c r="V2">
        <v>47292</v>
      </c>
      <c r="W2">
        <v>47544</v>
      </c>
      <c r="X2">
        <v>47796</v>
      </c>
      <c r="Y2">
        <v>48048</v>
      </c>
      <c r="Z2">
        <v>48300</v>
      </c>
      <c r="AA2">
        <v>48552</v>
      </c>
      <c r="AB2">
        <v>48804</v>
      </c>
      <c r="AC2">
        <v>49056</v>
      </c>
      <c r="AD2">
        <v>49308</v>
      </c>
      <c r="AE2">
        <v>49560</v>
      </c>
      <c r="AF2">
        <v>49812</v>
      </c>
      <c r="AG2">
        <v>50064</v>
      </c>
      <c r="AH2">
        <v>50316</v>
      </c>
      <c r="AI2">
        <v>50568</v>
      </c>
      <c r="AJ2">
        <v>50820</v>
      </c>
      <c r="AK2">
        <v>51072</v>
      </c>
    </row>
    <row r="3" spans="1:37" x14ac:dyDescent="0.25">
      <c r="A3" t="s">
        <v>5</v>
      </c>
      <c r="B3">
        <v>30180</v>
      </c>
      <c r="C3">
        <v>30360</v>
      </c>
      <c r="D3">
        <v>30540</v>
      </c>
      <c r="E3">
        <v>30720</v>
      </c>
      <c r="F3">
        <v>30900</v>
      </c>
      <c r="G3">
        <v>31080</v>
      </c>
      <c r="H3">
        <v>31260</v>
      </c>
      <c r="I3">
        <v>31440</v>
      </c>
      <c r="J3">
        <v>31620</v>
      </c>
      <c r="K3">
        <v>31800</v>
      </c>
      <c r="L3">
        <v>31980</v>
      </c>
      <c r="M3">
        <v>32160</v>
      </c>
      <c r="N3">
        <v>32340</v>
      </c>
      <c r="O3">
        <v>32520</v>
      </c>
      <c r="P3">
        <v>32700</v>
      </c>
      <c r="Q3">
        <v>32880</v>
      </c>
      <c r="R3">
        <v>33060</v>
      </c>
      <c r="S3">
        <v>33240</v>
      </c>
      <c r="T3">
        <v>33420</v>
      </c>
      <c r="U3">
        <v>33600</v>
      </c>
      <c r="V3">
        <v>33780</v>
      </c>
      <c r="W3">
        <v>33960</v>
      </c>
      <c r="X3">
        <v>34140</v>
      </c>
      <c r="Y3">
        <v>34320</v>
      </c>
      <c r="Z3">
        <v>34500</v>
      </c>
      <c r="AA3">
        <v>34680</v>
      </c>
      <c r="AB3">
        <v>34860</v>
      </c>
      <c r="AC3">
        <v>35040</v>
      </c>
      <c r="AD3">
        <v>35220</v>
      </c>
      <c r="AE3">
        <v>35400</v>
      </c>
      <c r="AF3">
        <v>35580</v>
      </c>
      <c r="AG3">
        <v>35760</v>
      </c>
      <c r="AH3">
        <v>35940</v>
      </c>
      <c r="AI3">
        <v>36120</v>
      </c>
      <c r="AJ3">
        <v>36300</v>
      </c>
      <c r="AK3">
        <v>36480</v>
      </c>
    </row>
    <row r="4" spans="1:37" x14ac:dyDescent="0.25">
      <c r="A4" t="s">
        <v>7</v>
      </c>
      <c r="B4">
        <v>47282</v>
      </c>
      <c r="C4">
        <v>47564</v>
      </c>
      <c r="D4">
        <v>47846</v>
      </c>
      <c r="E4">
        <v>48128</v>
      </c>
      <c r="F4">
        <v>48410</v>
      </c>
      <c r="G4">
        <v>48692</v>
      </c>
      <c r="H4">
        <v>48974</v>
      </c>
      <c r="I4">
        <v>49256</v>
      </c>
      <c r="J4">
        <v>49538</v>
      </c>
      <c r="K4">
        <v>49820</v>
      </c>
      <c r="L4">
        <v>50102</v>
      </c>
      <c r="M4">
        <v>50384</v>
      </c>
      <c r="N4">
        <v>50666</v>
      </c>
      <c r="O4">
        <v>50948</v>
      </c>
      <c r="P4">
        <v>51230</v>
      </c>
      <c r="Q4">
        <v>51512</v>
      </c>
      <c r="R4">
        <v>51794</v>
      </c>
      <c r="S4">
        <v>52076</v>
      </c>
      <c r="T4">
        <v>52358</v>
      </c>
      <c r="U4">
        <v>52640</v>
      </c>
      <c r="V4">
        <v>52922</v>
      </c>
      <c r="W4">
        <v>53204</v>
      </c>
      <c r="X4">
        <v>53486</v>
      </c>
      <c r="Y4">
        <v>53768</v>
      </c>
      <c r="Z4">
        <v>54050</v>
      </c>
      <c r="AA4">
        <v>54332</v>
      </c>
      <c r="AB4">
        <v>54614</v>
      </c>
      <c r="AC4">
        <v>54896</v>
      </c>
      <c r="AD4">
        <v>55178</v>
      </c>
      <c r="AE4">
        <v>55460</v>
      </c>
      <c r="AF4">
        <v>55742</v>
      </c>
      <c r="AG4">
        <v>56024</v>
      </c>
      <c r="AH4">
        <v>56306</v>
      </c>
      <c r="AI4">
        <v>56588</v>
      </c>
      <c r="AJ4">
        <v>56870</v>
      </c>
      <c r="AK4">
        <v>57152</v>
      </c>
    </row>
    <row r="5" spans="1:37" x14ac:dyDescent="0.25">
      <c r="A5" t="s">
        <v>9</v>
      </c>
      <c r="B5">
        <v>26156</v>
      </c>
      <c r="C5">
        <v>26312</v>
      </c>
      <c r="D5">
        <v>26468</v>
      </c>
      <c r="E5">
        <v>26624</v>
      </c>
      <c r="F5">
        <v>26780</v>
      </c>
      <c r="G5">
        <v>26936</v>
      </c>
      <c r="H5">
        <v>27092</v>
      </c>
      <c r="I5">
        <v>27248</v>
      </c>
      <c r="J5">
        <v>27404</v>
      </c>
      <c r="K5">
        <v>27560</v>
      </c>
      <c r="L5">
        <v>27716</v>
      </c>
      <c r="M5">
        <v>27872</v>
      </c>
      <c r="N5">
        <v>28028</v>
      </c>
      <c r="O5">
        <v>28184</v>
      </c>
      <c r="P5">
        <v>28340</v>
      </c>
      <c r="Q5">
        <v>28496</v>
      </c>
      <c r="R5">
        <v>28652</v>
      </c>
      <c r="S5">
        <v>28808</v>
      </c>
      <c r="T5">
        <v>28964</v>
      </c>
      <c r="U5">
        <v>29120</v>
      </c>
      <c r="V5">
        <v>29276</v>
      </c>
      <c r="W5">
        <v>29432</v>
      </c>
      <c r="X5">
        <v>29588</v>
      </c>
      <c r="Y5">
        <v>29744</v>
      </c>
      <c r="Z5">
        <v>29900</v>
      </c>
      <c r="AA5">
        <v>30056</v>
      </c>
      <c r="AB5">
        <v>30212</v>
      </c>
      <c r="AC5">
        <v>30368</v>
      </c>
      <c r="AD5">
        <v>30524</v>
      </c>
      <c r="AE5">
        <v>30680</v>
      </c>
      <c r="AF5">
        <v>30836</v>
      </c>
      <c r="AG5">
        <v>30992</v>
      </c>
      <c r="AH5">
        <v>31148</v>
      </c>
      <c r="AI5">
        <v>31304</v>
      </c>
      <c r="AJ5">
        <v>31460</v>
      </c>
      <c r="AK5">
        <v>31616</v>
      </c>
    </row>
    <row r="6" spans="1:37" x14ac:dyDescent="0.25">
      <c r="A6" t="s">
        <v>11</v>
      </c>
      <c r="B6">
        <v>16096</v>
      </c>
      <c r="C6">
        <v>16192</v>
      </c>
      <c r="D6">
        <v>16288</v>
      </c>
      <c r="E6">
        <v>16384</v>
      </c>
      <c r="F6">
        <v>16480</v>
      </c>
      <c r="G6">
        <v>16576</v>
      </c>
      <c r="H6">
        <v>16672</v>
      </c>
      <c r="I6">
        <v>16768</v>
      </c>
      <c r="J6">
        <v>16864</v>
      </c>
      <c r="K6">
        <v>16960</v>
      </c>
      <c r="L6">
        <v>17056</v>
      </c>
      <c r="M6">
        <v>17152</v>
      </c>
      <c r="N6">
        <v>17248</v>
      </c>
      <c r="O6">
        <v>17344</v>
      </c>
      <c r="P6">
        <v>17440</v>
      </c>
      <c r="Q6">
        <v>17536</v>
      </c>
      <c r="R6">
        <v>17632</v>
      </c>
      <c r="S6">
        <v>17728</v>
      </c>
      <c r="T6">
        <v>17824</v>
      </c>
      <c r="U6">
        <v>17920</v>
      </c>
      <c r="V6">
        <v>18016</v>
      </c>
      <c r="W6">
        <v>18112</v>
      </c>
      <c r="X6">
        <v>18208</v>
      </c>
      <c r="Y6">
        <v>18304</v>
      </c>
      <c r="Z6">
        <v>18400</v>
      </c>
      <c r="AA6">
        <v>18496</v>
      </c>
      <c r="AB6">
        <v>18592</v>
      </c>
      <c r="AC6">
        <v>18688</v>
      </c>
      <c r="AD6">
        <v>18784</v>
      </c>
      <c r="AE6">
        <v>18880</v>
      </c>
      <c r="AF6">
        <v>18976</v>
      </c>
      <c r="AG6">
        <v>19072</v>
      </c>
      <c r="AH6">
        <v>19168</v>
      </c>
      <c r="AI6">
        <v>19264</v>
      </c>
      <c r="AJ6">
        <v>19360</v>
      </c>
      <c r="AK6">
        <v>19456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E9C21-21E7-45C7-BDAC-7237F79C4DB5}">
  <dimension ref="A1:D3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14</v>
      </c>
      <c r="C1" t="s">
        <v>15</v>
      </c>
      <c r="D1" t="s">
        <v>16</v>
      </c>
    </row>
    <row r="2" spans="1:4" x14ac:dyDescent="0.25">
      <c r="A2" t="str">
        <f>[1]Calc_Region!A2</f>
        <v>Nord-Ovest</v>
      </c>
      <c r="B2">
        <f>[1]Calc_Region!B2</f>
        <v>4</v>
      </c>
      <c r="C2">
        <f>[1]Calc_Region!C2</f>
        <v>50642.6</v>
      </c>
      <c r="D2">
        <f>[1]Calc_Region!E2</f>
        <v>1082.6800000000003</v>
      </c>
    </row>
    <row r="3" spans="1:4" x14ac:dyDescent="0.25">
      <c r="A3" t="str">
        <f>[1]Calc_Region!A3</f>
        <v>Nord-Est</v>
      </c>
      <c r="B3">
        <f>[1]Calc_Region!B3</f>
        <v>4</v>
      </c>
      <c r="C3">
        <f>[1]Calc_Region!C3</f>
        <v>79584.299999999988</v>
      </c>
      <c r="D3">
        <f>[1]Calc_Region!E3</f>
        <v>1698.1000000000001</v>
      </c>
    </row>
    <row r="4" spans="1:4" x14ac:dyDescent="0.25">
      <c r="A4" t="str">
        <f>[1]Calc_Region!A4</f>
        <v>Centro</v>
      </c>
      <c r="B4">
        <f>[1]Calc_Region!B4</f>
        <v>6</v>
      </c>
      <c r="C4">
        <f>[1]Calc_Region!C4</f>
        <v>114452.9</v>
      </c>
      <c r="D4">
        <f>[1]Calc_Region!E4</f>
        <v>2445.2399999999998</v>
      </c>
    </row>
    <row r="5" spans="1:4" x14ac:dyDescent="0.25">
      <c r="A5" t="str">
        <f>[1]Calc_Region!A5</f>
        <v>Sud</v>
      </c>
      <c r="B5">
        <f>[1]Calc_Region!B5</f>
        <v>4</v>
      </c>
      <c r="C5">
        <f>[1]Calc_Region!C5</f>
        <v>84692.900000000009</v>
      </c>
      <c r="D5">
        <f>[1]Calc_Region!E5</f>
        <v>1807.46</v>
      </c>
    </row>
    <row r="6" spans="1:4" x14ac:dyDescent="0.25">
      <c r="A6" t="str">
        <f>[1]Calc_Region!A6</f>
        <v>Isole</v>
      </c>
      <c r="B6">
        <f>[1]Calc_Region!B6</f>
        <v>2</v>
      </c>
      <c r="C6">
        <f>[1]Calc_Region!C6</f>
        <v>56295.700000000004</v>
      </c>
      <c r="D6">
        <f>[1]Calc_Region!E6</f>
        <v>1202.1699999999998</v>
      </c>
    </row>
    <row r="9" spans="1:4" x14ac:dyDescent="0.25">
      <c r="A9" t="s">
        <v>17</v>
      </c>
      <c r="B9">
        <f>[1]Control!$B$3</f>
        <v>30</v>
      </c>
    </row>
    <row r="10" spans="1:4" x14ac:dyDescent="0.25">
      <c r="A10" t="s">
        <v>0</v>
      </c>
      <c r="B10" t="str">
        <f>[1]Control!$B$5</f>
        <v>Centro</v>
      </c>
    </row>
    <row r="11" spans="1:4" x14ac:dyDescent="0.25">
      <c r="A11" t="s">
        <v>18</v>
      </c>
      <c r="B11" t="s">
        <v>0</v>
      </c>
      <c r="C11" t="s">
        <v>15</v>
      </c>
    </row>
    <row r="12" spans="1:4" x14ac:dyDescent="0.25">
      <c r="A12" t="str">
        <f>[1]Calc_Bank!A2</f>
        <v>Banca Alpi</v>
      </c>
      <c r="B12" t="str">
        <f>[1]Calc_Bank!B2</f>
        <v>Nord-Ovest</v>
      </c>
      <c r="C12">
        <f>[1]Calc_Bank!C2</f>
        <v>7354.8</v>
      </c>
    </row>
    <row r="13" spans="1:4" x14ac:dyDescent="0.25">
      <c r="A13" t="str">
        <f>[1]Calc_Bank!A3</f>
        <v>Banca Adriatica</v>
      </c>
      <c r="B13" t="str">
        <f>[1]Calc_Bank!B3</f>
        <v>Nord-Est</v>
      </c>
      <c r="C13">
        <f>[1]Calc_Bank!C3</f>
        <v>8568.1</v>
      </c>
    </row>
    <row r="14" spans="1:4" x14ac:dyDescent="0.25">
      <c r="A14" t="str">
        <f>[1]Calc_Bank!A4</f>
        <v>Banca Tirrena</v>
      </c>
      <c r="B14" t="str">
        <f>[1]Calc_Bank!B4</f>
        <v>Centro</v>
      </c>
      <c r="C14">
        <f>[1]Calc_Bank!C4</f>
        <v>9865.7999999999993</v>
      </c>
    </row>
    <row r="15" spans="1:4" x14ac:dyDescent="0.25">
      <c r="A15" t="str">
        <f>[1]Calc_Bank!A5</f>
        <v>Banca Padana</v>
      </c>
      <c r="B15" t="str">
        <f>[1]Calc_Bank!B5</f>
        <v>Nord-Ovest</v>
      </c>
      <c r="C15">
        <f>[1]Calc_Bank!C5</f>
        <v>11127.400000000001</v>
      </c>
    </row>
    <row r="16" spans="1:4" x14ac:dyDescent="0.25">
      <c r="A16" t="str">
        <f>[1]Calc_Bank!A6</f>
        <v>Banca Etrusca</v>
      </c>
      <c r="B16" t="str">
        <f>[1]Calc_Bank!B6</f>
        <v>Centro</v>
      </c>
      <c r="C16">
        <f>[1]Calc_Bank!C6</f>
        <v>12359</v>
      </c>
    </row>
    <row r="17" spans="1:3" x14ac:dyDescent="0.25">
      <c r="A17" t="str">
        <f>[1]Calc_Bank!A7</f>
        <v>Banca Lariana</v>
      </c>
      <c r="B17" t="str">
        <f>[1]Calc_Bank!B7</f>
        <v>Nord-Ovest</v>
      </c>
      <c r="C17">
        <f>[1]Calc_Bank!C7</f>
        <v>13592.199999999999</v>
      </c>
    </row>
    <row r="18" spans="1:3" x14ac:dyDescent="0.25">
      <c r="A18" t="str">
        <f>[1]Calc_Bank!A8</f>
        <v>Banca Sabina</v>
      </c>
      <c r="B18" t="str">
        <f>[1]Calc_Bank!B8</f>
        <v>Centro</v>
      </c>
      <c r="C18">
        <f>[1]Calc_Bank!C8</f>
        <v>14860.6</v>
      </c>
    </row>
    <row r="19" spans="1:3" x14ac:dyDescent="0.25">
      <c r="A19" t="str">
        <f>[1]Calc_Bank!A9</f>
        <v>Banca Irpina</v>
      </c>
      <c r="B19" t="str">
        <f>[1]Calc_Bank!B9</f>
        <v>Sud</v>
      </c>
      <c r="C19">
        <f>[1]Calc_Bank!C9</f>
        <v>16241.5</v>
      </c>
    </row>
    <row r="20" spans="1:3" x14ac:dyDescent="0.25">
      <c r="A20" t="str">
        <f>[1]Calc_Bank!A10</f>
        <v>Banca Sannita</v>
      </c>
      <c r="B20" t="str">
        <f>[1]Calc_Bank!B10</f>
        <v>Sud</v>
      </c>
      <c r="C20">
        <f>[1]Calc_Bank!C10</f>
        <v>17435.2</v>
      </c>
    </row>
    <row r="21" spans="1:3" x14ac:dyDescent="0.25">
      <c r="A21" t="str">
        <f>[1]Calc_Bank!A11</f>
        <v>Banca Ligure</v>
      </c>
      <c r="B21" t="str">
        <f>[1]Calc_Bank!B11</f>
        <v>Nord-Ovest</v>
      </c>
      <c r="C21">
        <f>[1]Calc_Bank!C11</f>
        <v>18568.2</v>
      </c>
    </row>
    <row r="22" spans="1:3" x14ac:dyDescent="0.25">
      <c r="A22" t="str">
        <f>[1]Calc_Bank!A12</f>
        <v>Banca Veneta</v>
      </c>
      <c r="B22" t="str">
        <f>[1]Calc_Bank!B12</f>
        <v>Nord-Est</v>
      </c>
      <c r="C22">
        <f>[1]Calc_Bank!C12</f>
        <v>19867.000000000004</v>
      </c>
    </row>
    <row r="23" spans="1:3" x14ac:dyDescent="0.25">
      <c r="A23" t="str">
        <f>[1]Calc_Bank!A13</f>
        <v>Banca Friulana</v>
      </c>
      <c r="B23" t="str">
        <f>[1]Calc_Bank!B13</f>
        <v>Nord-Est</v>
      </c>
      <c r="C23">
        <f>[1]Calc_Bank!C13</f>
        <v>21169.7</v>
      </c>
    </row>
    <row r="24" spans="1:3" x14ac:dyDescent="0.25">
      <c r="A24" t="str">
        <f>[1]Calc_Bank!A14</f>
        <v>Banca Umbra</v>
      </c>
      <c r="B24" t="str">
        <f>[1]Calc_Bank!B14</f>
        <v>Centro</v>
      </c>
      <c r="C24">
        <f>[1]Calc_Bank!C14</f>
        <v>22385.899999999998</v>
      </c>
    </row>
    <row r="25" spans="1:3" x14ac:dyDescent="0.25">
      <c r="A25" t="str">
        <f>[1]Calc_Bank!A15</f>
        <v>Banca Marchigiana</v>
      </c>
      <c r="B25" t="str">
        <f>[1]Calc_Bank!B15</f>
        <v>Centro</v>
      </c>
      <c r="C25">
        <f>[1]Calc_Bank!C15</f>
        <v>23667.1</v>
      </c>
    </row>
    <row r="26" spans="1:3" x14ac:dyDescent="0.25">
      <c r="A26" t="str">
        <f>[1]Calc_Bank!A16</f>
        <v>Banca Lucana</v>
      </c>
      <c r="B26" t="str">
        <f>[1]Calc_Bank!B16</f>
        <v>Sud</v>
      </c>
      <c r="C26">
        <f>[1]Calc_Bank!C16</f>
        <v>24910.3</v>
      </c>
    </row>
    <row r="27" spans="1:3" x14ac:dyDescent="0.25">
      <c r="A27" t="str">
        <f>[1]Calc_Bank!A17</f>
        <v>Banca Calabra</v>
      </c>
      <c r="B27" t="str">
        <f>[1]Calc_Bank!B17</f>
        <v>Sud</v>
      </c>
      <c r="C27">
        <f>[1]Calc_Bank!C17</f>
        <v>26105.9</v>
      </c>
    </row>
    <row r="28" spans="1:3" x14ac:dyDescent="0.25">
      <c r="A28" t="str">
        <f>[1]Calc_Bank!A18</f>
        <v>Banca Sicula</v>
      </c>
      <c r="B28" t="str">
        <f>[1]Calc_Bank!B18</f>
        <v>Isole</v>
      </c>
      <c r="C28">
        <f>[1]Calc_Bank!C18</f>
        <v>27574.800000000003</v>
      </c>
    </row>
    <row r="29" spans="1:3" x14ac:dyDescent="0.25">
      <c r="A29" t="str">
        <f>[1]Calc_Bank!A19</f>
        <v>Banca Sarda</v>
      </c>
      <c r="B29" t="str">
        <f>[1]Calc_Bank!B19</f>
        <v>Isole</v>
      </c>
      <c r="C29">
        <f>[1]Calc_Bank!C19</f>
        <v>28720.9</v>
      </c>
    </row>
    <row r="30" spans="1:3" x14ac:dyDescent="0.25">
      <c r="A30" t="str">
        <f>[1]Calc_Bank!A20</f>
        <v>Banca Romagnola</v>
      </c>
      <c r="B30" t="str">
        <f>[1]Calc_Bank!B20</f>
        <v>Nord-Est</v>
      </c>
      <c r="C30">
        <f>[1]Calc_Bank!C20</f>
        <v>29979.5</v>
      </c>
    </row>
    <row r="31" spans="1:3" x14ac:dyDescent="0.25">
      <c r="A31" t="str">
        <f>[1]Calc_Bank!A21</f>
        <v>Banca Città</v>
      </c>
      <c r="B31" t="str">
        <f>[1]Calc_Bank!B21</f>
        <v>Centro</v>
      </c>
      <c r="C31">
        <f>[1]Calc_Bank!C21</f>
        <v>31314.5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1ADD-AF99-4C1C-B1D5-FA4D8E4E2CD1}">
  <dimension ref="A1:D25"/>
  <sheetViews>
    <sheetView workbookViewId="0"/>
  </sheetViews>
  <sheetFormatPr defaultRowHeight="12.5" x14ac:dyDescent="0.25"/>
  <sheetData>
    <row r="1" spans="1:4" x14ac:dyDescent="0.25">
      <c r="A1" t="s">
        <v>18</v>
      </c>
      <c r="B1" t="s">
        <v>19</v>
      </c>
      <c r="C1" t="s">
        <v>20</v>
      </c>
      <c r="D1" t="s">
        <v>21</v>
      </c>
    </row>
    <row r="2" spans="1:4" x14ac:dyDescent="0.25">
      <c r="A2" t="str">
        <f>[2]Compare!A2</f>
        <v>Banca Alpi</v>
      </c>
      <c r="B2">
        <f>[2]Compare!C2</f>
        <v>6924.6</v>
      </c>
      <c r="C2">
        <f>[2]Compare!E2</f>
        <v>430.19999999999982</v>
      </c>
      <c r="D2" t="str">
        <f>[2]Compare!G2</f>
        <v>G1</v>
      </c>
    </row>
    <row r="3" spans="1:4" x14ac:dyDescent="0.25">
      <c r="A3" t="str">
        <f>[2]Compare!A3</f>
        <v>Banca Adriatica</v>
      </c>
      <c r="B3">
        <f>[2]Compare!C3</f>
        <v>8011.7</v>
      </c>
      <c r="C3">
        <f>[2]Compare!E3</f>
        <v>556.40000000000055</v>
      </c>
      <c r="D3" t="str">
        <f>[2]Compare!G3</f>
        <v>G2</v>
      </c>
    </row>
    <row r="4" spans="1:4" x14ac:dyDescent="0.25">
      <c r="A4" t="str">
        <f>[2]Compare!A4</f>
        <v>Banca Tirrena</v>
      </c>
      <c r="B4">
        <f>[2]Compare!C4</f>
        <v>9487.6</v>
      </c>
      <c r="C4">
        <f>[2]Compare!E4</f>
        <v>378.19999999999891</v>
      </c>
      <c r="D4" t="str">
        <f>[2]Compare!G4</f>
        <v>G3</v>
      </c>
    </row>
    <row r="5" spans="1:4" x14ac:dyDescent="0.25">
      <c r="A5" t="str">
        <f>[2]Compare!A5</f>
        <v>Banca Padana</v>
      </c>
      <c r="B5">
        <f>[2]Compare!C5</f>
        <v>10580.4</v>
      </c>
      <c r="C5">
        <f>[2]Compare!E5</f>
        <v>547.00000000000182</v>
      </c>
      <c r="D5" t="str">
        <f>[2]Compare!G5</f>
        <v>G4</v>
      </c>
    </row>
    <row r="6" spans="1:4" x14ac:dyDescent="0.25">
      <c r="A6" t="str">
        <f>[2]Compare!A6</f>
        <v>Banca Etrusca</v>
      </c>
      <c r="B6">
        <f>[2]Compare!C6</f>
        <v>11564</v>
      </c>
      <c r="C6">
        <f>[2]Compare!E6</f>
        <v>795</v>
      </c>
      <c r="D6" t="str">
        <f>[2]Compare!G6</f>
        <v>G1</v>
      </c>
    </row>
    <row r="7" spans="1:4" x14ac:dyDescent="0.25">
      <c r="A7" t="str">
        <f>[2]Compare!A7</f>
        <v>Banca Lariana</v>
      </c>
      <c r="B7">
        <f>[2]Compare!C7</f>
        <v>12936.3</v>
      </c>
      <c r="C7">
        <f>[2]Compare!E7</f>
        <v>655.89999999999964</v>
      </c>
      <c r="D7" t="str">
        <f>[2]Compare!G7</f>
        <v>G2</v>
      </c>
    </row>
    <row r="8" spans="1:4" x14ac:dyDescent="0.25">
      <c r="A8" t="str">
        <f>[2]Compare!A8</f>
        <v>Banca Sabina</v>
      </c>
      <c r="B8">
        <f>[2]Compare!C8</f>
        <v>14236.8</v>
      </c>
      <c r="C8">
        <f>[2]Compare!E8</f>
        <v>623.80000000000109</v>
      </c>
      <c r="D8" t="str">
        <f>[2]Compare!G8</f>
        <v>G3</v>
      </c>
    </row>
    <row r="9" spans="1:4" x14ac:dyDescent="0.25">
      <c r="A9" t="str">
        <f>[2]Compare!A9</f>
        <v>Banca Irpina</v>
      </c>
      <c r="B9">
        <f>[2]Compare!C9</f>
        <v>15498</v>
      </c>
      <c r="C9">
        <f>[2]Compare!E9</f>
        <v>743.5</v>
      </c>
      <c r="D9" t="str">
        <f>[2]Compare!G9</f>
        <v>G4</v>
      </c>
    </row>
    <row r="10" spans="1:4" x14ac:dyDescent="0.25">
      <c r="A10" t="str">
        <f>[2]Compare!A10</f>
        <v>Banca Sannita</v>
      </c>
      <c r="B10">
        <f>[2]Compare!C10</f>
        <v>16513.099999999999</v>
      </c>
      <c r="C10">
        <f>[2]Compare!E10</f>
        <v>922.10000000000218</v>
      </c>
      <c r="D10" t="str">
        <f>[2]Compare!G10</f>
        <v>G1</v>
      </c>
    </row>
    <row r="11" spans="1:4" x14ac:dyDescent="0.25">
      <c r="A11" t="str">
        <f>[2]Compare!A11</f>
        <v>Banca Ligure</v>
      </c>
      <c r="B11">
        <f>[2]Compare!C11</f>
        <v>17729.8</v>
      </c>
      <c r="C11">
        <f>[2]Compare!E11</f>
        <v>838.40000000000146</v>
      </c>
      <c r="D11" t="str">
        <f>[2]Compare!G11</f>
        <v>G2</v>
      </c>
    </row>
    <row r="12" spans="1:4" x14ac:dyDescent="0.25">
      <c r="A12" t="str">
        <f>[2]Compare!A12</f>
        <v>Banca Veneta</v>
      </c>
      <c r="B12">
        <f>[2]Compare!C12</f>
        <v>18788.599999999999</v>
      </c>
      <c r="C12">
        <f>[2]Compare!E12</f>
        <v>1078.4000000000051</v>
      </c>
      <c r="D12" t="str">
        <f>[2]Compare!G12</f>
        <v>G3</v>
      </c>
    </row>
    <row r="13" spans="1:4" x14ac:dyDescent="0.25">
      <c r="A13" t="str">
        <f>[2]Compare!A13</f>
        <v>Banca Friulana</v>
      </c>
      <c r="B13">
        <f>[2]Compare!C13</f>
        <v>20151.900000000001</v>
      </c>
      <c r="C13">
        <f>[2]Compare!E13</f>
        <v>1017.7999999999993</v>
      </c>
      <c r="D13" t="str">
        <f>[2]Compare!G13</f>
        <v>G4</v>
      </c>
    </row>
    <row r="14" spans="1:4" x14ac:dyDescent="0.25">
      <c r="A14" t="str">
        <f>[2]Compare!A14</f>
        <v>Banca Umbra</v>
      </c>
      <c r="B14">
        <f>[2]Compare!C14</f>
        <v>21171.9</v>
      </c>
      <c r="C14">
        <f>[2]Compare!E14</f>
        <v>1213.9999999999964</v>
      </c>
      <c r="D14" t="str">
        <f>[2]Compare!G14</f>
        <v>G1</v>
      </c>
    </row>
    <row r="15" spans="1:4" x14ac:dyDescent="0.25">
      <c r="A15" t="str">
        <f>[2]Compare!A15</f>
        <v>Banca Marchigiana</v>
      </c>
      <c r="B15">
        <f>[2]Compare!C15</f>
        <v>22595.599999999999</v>
      </c>
      <c r="C15">
        <f>[2]Compare!E15</f>
        <v>1071.5</v>
      </c>
      <c r="D15" t="str">
        <f>[2]Compare!G15</f>
        <v>G2</v>
      </c>
    </row>
    <row r="16" spans="1:4" x14ac:dyDescent="0.25">
      <c r="A16" t="str">
        <f>[2]Compare!A16</f>
        <v>Banca Lucana</v>
      </c>
      <c r="B16">
        <f>[2]Compare!C16</f>
        <v>23678.400000000001</v>
      </c>
      <c r="C16">
        <f>[2]Compare!E16</f>
        <v>1231.8999999999978</v>
      </c>
      <c r="D16" t="str">
        <f>[2]Compare!G16</f>
        <v>G3</v>
      </c>
    </row>
    <row r="17" spans="1:4" x14ac:dyDescent="0.25">
      <c r="A17" t="str">
        <f>[2]Compare!A17</f>
        <v>Banca Calabra</v>
      </c>
      <c r="B17">
        <f>[2]Compare!C17</f>
        <v>24927</v>
      </c>
      <c r="C17">
        <f>[2]Compare!E17</f>
        <v>1178.9000000000015</v>
      </c>
      <c r="D17" t="str">
        <f>[2]Compare!G17</f>
        <v>G4</v>
      </c>
    </row>
    <row r="18" spans="1:4" x14ac:dyDescent="0.25">
      <c r="A18" t="str">
        <f>[2]Compare!A18</f>
        <v>Banca Sicula</v>
      </c>
      <c r="B18">
        <f>[2]Compare!C18</f>
        <v>25824.400000000001</v>
      </c>
      <c r="C18">
        <f>[2]Compare!E18</f>
        <v>1750.4000000000015</v>
      </c>
      <c r="D18" t="str">
        <f>[2]Compare!G18</f>
        <v>G1</v>
      </c>
    </row>
    <row r="19" spans="1:4" x14ac:dyDescent="0.25">
      <c r="A19" t="str">
        <f>[2]Compare!A19</f>
        <v>Banca Sarda</v>
      </c>
      <c r="B19">
        <f>[2]Compare!C19</f>
        <v>27309.599999999999</v>
      </c>
      <c r="C19">
        <f>[2]Compare!E19</f>
        <v>1411.3000000000029</v>
      </c>
      <c r="D19" t="str">
        <f>[2]Compare!G19</f>
        <v>G2</v>
      </c>
    </row>
    <row r="20" spans="1:4" x14ac:dyDescent="0.25">
      <c r="A20" t="str">
        <f>[2]Compare!A20</f>
        <v>Banca Romagnola</v>
      </c>
      <c r="B20">
        <f>[2]Compare!C20</f>
        <v>28539.8</v>
      </c>
      <c r="C20">
        <f>[2]Compare!E20</f>
        <v>1439.7000000000007</v>
      </c>
      <c r="D20" t="str">
        <f>[2]Compare!G20</f>
        <v>G3</v>
      </c>
    </row>
    <row r="21" spans="1:4" x14ac:dyDescent="0.25">
      <c r="A21" t="str">
        <f>[2]Compare!A21</f>
        <v>Banca Città</v>
      </c>
      <c r="B21">
        <f>[2]Compare!C21</f>
        <v>29539.1</v>
      </c>
      <c r="C21">
        <f>[2]Compare!E21</f>
        <v>1775.4000000000015</v>
      </c>
      <c r="D21" t="str">
        <f>[2]Compare!G21</f>
        <v>G4</v>
      </c>
    </row>
    <row r="24" spans="1:4" x14ac:dyDescent="0.25">
      <c r="A24" t="s">
        <v>22</v>
      </c>
      <c r="B24">
        <f>[2]Summary!B4</f>
        <v>19659.800000000014</v>
      </c>
    </row>
    <row r="25" spans="1:4" x14ac:dyDescent="0.25">
      <c r="A25" t="s">
        <v>23</v>
      </c>
      <c r="B25">
        <f>[2]Summary!$B$3</f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3F03-8585-4B76-BE1F-F11931022AD4}">
  <dimension ref="A1:K45"/>
  <sheetViews>
    <sheetView workbookViewId="0"/>
  </sheetViews>
  <sheetFormatPr defaultRowHeight="12.5" x14ac:dyDescent="0.25"/>
  <sheetData>
    <row r="1" spans="1:11" x14ac:dyDescent="0.25">
      <c r="A1" t="s">
        <v>0</v>
      </c>
      <c r="B1" t="s">
        <v>24</v>
      </c>
      <c r="C1" t="s">
        <v>19</v>
      </c>
      <c r="D1" t="s">
        <v>25</v>
      </c>
      <c r="E1" t="s">
        <v>20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</row>
    <row r="2" spans="1:11" x14ac:dyDescent="0.25">
      <c r="A2" t="str">
        <f>RegMaster!A2</f>
        <v>Nord-Ovest</v>
      </c>
      <c r="B2">
        <f>_xlfn.XLOOKUP(A2,FromModel!$A$2:$A$6,FromModel!$C$2:$C$6)</f>
        <v>50642.6</v>
      </c>
      <c r="C2">
        <f>SUMIFS(FromPeers!$B$2:$B$21,FromModel!$B$12:$B$31,A2)</f>
        <v>48171.1</v>
      </c>
      <c r="D2" cm="1">
        <f t="array" ref="D2">INDEX(RegTargets!$B$2:$AK$6,MATCH(A2,RegTargets!$A$2:$A$6,0),FromModel!$B$9)</f>
        <v>49560</v>
      </c>
      <c r="E2">
        <f t="shared" ref="E2:E6" si="0">B2-D2</f>
        <v>1082.5999999999985</v>
      </c>
      <c r="F2">
        <f t="shared" ref="F2:F6" si="1">B2/SUM($B$2:$B$6)</f>
        <v>0.13131125080509576</v>
      </c>
      <c r="G2">
        <f>SUMIFS(FromPeers!$C$2:$C$21,FromModel!$B$12:$B$31,A2)</f>
        <v>2471.5000000000027</v>
      </c>
      <c r="H2" t="str">
        <f t="shared" ref="H2:H6" si="2">IF(AND(E2&gt;0,G2&gt;0),"strong",IF(OR(E2&lt;0,G2&lt;0),"watch","neutral"))</f>
        <v>strong</v>
      </c>
      <c r="I2">
        <f t="shared" ref="I2:I6" si="3">_xlfn.RANK.EQ(B2,$B$2:$B$6)</f>
        <v>5</v>
      </c>
      <c r="J2" t="str">
        <f t="shared" ref="J2:J6" si="4">CHOOSE(I2,"1st","2nd","3rd","4th","5th")</f>
        <v>5th</v>
      </c>
      <c r="K2" t="str">
        <f>IF(A2=FromModel!$B$10,"*","")</f>
        <v/>
      </c>
    </row>
    <row r="3" spans="1:11" x14ac:dyDescent="0.25">
      <c r="A3" t="str">
        <f>RegMaster!A3</f>
        <v>Nord-Est</v>
      </c>
      <c r="B3">
        <f>_xlfn.XLOOKUP(A3,FromModel!$A$2:$A$6,FromModel!$C$2:$C$6)</f>
        <v>79584.299999999988</v>
      </c>
      <c r="C3">
        <f>SUMIFS(FromPeers!$B$2:$B$21,FromModel!$B$12:$B$31,A3)</f>
        <v>75492</v>
      </c>
      <c r="D3" cm="1">
        <f t="array" ref="D3">INDEX(RegTargets!$B$2:$AK$6,MATCH(A3,RegTargets!$A$2:$A$6,0),FromModel!$B$9)</f>
        <v>35400</v>
      </c>
      <c r="E3">
        <f t="shared" si="0"/>
        <v>44184.299999999988</v>
      </c>
      <c r="F3">
        <f t="shared" si="1"/>
        <v>0.2063542151755238</v>
      </c>
      <c r="G3">
        <f>SUMIFS(FromPeers!$C$2:$C$21,FromModel!$B$12:$B$31,A3)</f>
        <v>4092.3000000000056</v>
      </c>
      <c r="H3" t="str">
        <f t="shared" si="2"/>
        <v>strong</v>
      </c>
      <c r="I3">
        <f t="shared" si="3"/>
        <v>3</v>
      </c>
      <c r="J3" t="str">
        <f t="shared" si="4"/>
        <v>3rd</v>
      </c>
      <c r="K3" t="str">
        <f>IF(A3=FromModel!$B$10,"*","")</f>
        <v/>
      </c>
    </row>
    <row r="4" spans="1:11" x14ac:dyDescent="0.25">
      <c r="A4" t="str">
        <f>RegMaster!A4</f>
        <v>Centro</v>
      </c>
      <c r="B4">
        <f>_xlfn.XLOOKUP(A4,FromModel!$A$2:$A$6,FromModel!$C$2:$C$6)</f>
        <v>114452.9</v>
      </c>
      <c r="C4">
        <f>SUMIFS(FromPeers!$B$2:$B$21,FromModel!$B$12:$B$31,A4)</f>
        <v>108595</v>
      </c>
      <c r="D4" cm="1">
        <f t="array" ref="D4">INDEX(RegTargets!$B$2:$AK$6,MATCH(A4,RegTargets!$A$2:$A$6,0),FromModel!$B$9)</f>
        <v>55460</v>
      </c>
      <c r="E4">
        <f t="shared" si="0"/>
        <v>58992.899999999994</v>
      </c>
      <c r="F4">
        <f t="shared" si="1"/>
        <v>0.29676504478977273</v>
      </c>
      <c r="G4">
        <f>SUMIFS(FromPeers!$C$2:$C$21,FromModel!$B$12:$B$31,A4)</f>
        <v>5857.8999999999978</v>
      </c>
      <c r="H4" t="str">
        <f t="shared" si="2"/>
        <v>strong</v>
      </c>
      <c r="I4">
        <f t="shared" si="3"/>
        <v>1</v>
      </c>
      <c r="J4" t="str">
        <f t="shared" si="4"/>
        <v>1st</v>
      </c>
      <c r="K4" t="str">
        <f>IF(A4=FromModel!$B$10,"*","")</f>
        <v>*</v>
      </c>
    </row>
    <row r="5" spans="1:11" x14ac:dyDescent="0.25">
      <c r="A5" t="str">
        <f>RegMaster!A5</f>
        <v>Sud</v>
      </c>
      <c r="B5">
        <f>_xlfn.XLOOKUP(A5,FromModel!$A$2:$A$6,FromModel!$C$2:$C$6)</f>
        <v>84692.900000000009</v>
      </c>
      <c r="C5">
        <f>SUMIFS(FromPeers!$B$2:$B$21,FromModel!$B$12:$B$31,A5)</f>
        <v>80616.5</v>
      </c>
      <c r="D5" cm="1">
        <f t="array" ref="D5">INDEX(RegTargets!$B$2:$AK$6,MATCH(A5,RegTargets!$A$2:$A$6,0),FromModel!$B$9)</f>
        <v>30680</v>
      </c>
      <c r="E5">
        <f t="shared" si="0"/>
        <v>54012.900000000009</v>
      </c>
      <c r="F5">
        <f t="shared" si="1"/>
        <v>0.21960030948866954</v>
      </c>
      <c r="G5">
        <f>SUMIFS(FromPeers!$C$2:$C$21,FromModel!$B$12:$B$31,A5)</f>
        <v>4076.4000000000015</v>
      </c>
      <c r="H5" t="str">
        <f t="shared" si="2"/>
        <v>strong</v>
      </c>
      <c r="I5">
        <f t="shared" si="3"/>
        <v>2</v>
      </c>
      <c r="J5" t="str">
        <f t="shared" si="4"/>
        <v>2nd</v>
      </c>
      <c r="K5" t="str">
        <f>IF(A5=FromModel!$B$10,"*","")</f>
        <v/>
      </c>
    </row>
    <row r="6" spans="1:11" x14ac:dyDescent="0.25">
      <c r="A6" t="str">
        <f>RegMaster!A6</f>
        <v>Isole</v>
      </c>
      <c r="B6">
        <f>_xlfn.XLOOKUP(A6,FromModel!$A$2:$A$6,FromModel!$C$2:$C$6)</f>
        <v>56295.700000000004</v>
      </c>
      <c r="C6">
        <f>SUMIFS(FromPeers!$B$2:$B$21,FromModel!$B$12:$B$31,A6)</f>
        <v>53134</v>
      </c>
      <c r="D6" cm="1">
        <f t="array" ref="D6">INDEX(RegTargets!$B$2:$AK$6,MATCH(A6,RegTargets!$A$2:$A$6,0),FromModel!$B$9)</f>
        <v>18880</v>
      </c>
      <c r="E6">
        <f t="shared" si="0"/>
        <v>37415.700000000004</v>
      </c>
      <c r="F6">
        <f t="shared" si="1"/>
        <v>0.14596917974093807</v>
      </c>
      <c r="G6">
        <f>SUMIFS(FromPeers!$C$2:$C$21,FromModel!$B$12:$B$31,A6)</f>
        <v>3161.7000000000044</v>
      </c>
      <c r="H6" t="str">
        <f t="shared" si="2"/>
        <v>strong</v>
      </c>
      <c r="I6">
        <f t="shared" si="3"/>
        <v>4</v>
      </c>
      <c r="J6" t="str">
        <f t="shared" si="4"/>
        <v>4th</v>
      </c>
      <c r="K6" t="str">
        <f>IF(A6=FromModel!$B$10,"*","")</f>
        <v/>
      </c>
    </row>
    <row r="9" spans="1:11" x14ac:dyDescent="0.25">
      <c r="A9" t="s">
        <v>17</v>
      </c>
      <c r="B9" t="s">
        <v>32</v>
      </c>
      <c r="C9" t="s">
        <v>33</v>
      </c>
      <c r="D9" t="s">
        <v>34</v>
      </c>
    </row>
    <row r="10" spans="1:11" x14ac:dyDescent="0.25">
      <c r="A10">
        <f t="shared" ref="A10:A45" si="5">ROW()-9</f>
        <v>1</v>
      </c>
      <c r="B10" cm="1">
        <f t="array" ref="B10">INDEX(RegTargets!$B$2:$AK$6,MATCH(FromModel!$B$10,RegTargets!$A$2:$A$6,0),A10)</f>
        <v>47282</v>
      </c>
      <c r="C10" cm="1">
        <f t="array" ref="C10">INDEX([1]Calc_BankMonth!$B$23:$AK$23,A10)</f>
        <v>313649.10000000003</v>
      </c>
      <c r="D10">
        <f>IFERROR(C10/SUM(RegTargets!$B$2:$AK$6)*36,0)</f>
        <v>1.7534932996405233</v>
      </c>
    </row>
    <row r="11" spans="1:11" x14ac:dyDescent="0.25">
      <c r="A11">
        <f t="shared" si="5"/>
        <v>2</v>
      </c>
      <c r="B11" cm="1">
        <f t="array" ref="B11">INDEX(RegTargets!$B$2:$AK$6,MATCH(FromModel!$B$10,RegTargets!$A$2:$A$6,0),A11)</f>
        <v>47564</v>
      </c>
      <c r="C11" cm="1">
        <f t="array" ref="C11">INDEX([1]Calc_BankMonth!$B$23:$AK$23,A11)</f>
        <v>316027.19999999995</v>
      </c>
      <c r="D11">
        <f>IFERROR(C11/SUM(RegTargets!$B$2:$AK$6)*36,0)</f>
        <v>1.7667883558542186</v>
      </c>
    </row>
    <row r="12" spans="1:11" x14ac:dyDescent="0.25">
      <c r="A12">
        <f t="shared" si="5"/>
        <v>3</v>
      </c>
      <c r="B12" cm="1">
        <f t="array" ref="B12">INDEX(RegTargets!$B$2:$AK$6,MATCH(FromModel!$B$10,RegTargets!$A$2:$A$6,0),A12)</f>
        <v>47846</v>
      </c>
      <c r="C12" cm="1">
        <f t="array" ref="C12">INDEX([1]Calc_BankMonth!$B$23:$AK$23,A12)</f>
        <v>318212.59999999998</v>
      </c>
      <c r="D12">
        <f>IFERROR(C12/SUM(RegTargets!$B$2:$AK$6)*36,0)</f>
        <v>1.7790060993677006</v>
      </c>
    </row>
    <row r="13" spans="1:11" x14ac:dyDescent="0.25">
      <c r="A13">
        <f t="shared" si="5"/>
        <v>4</v>
      </c>
      <c r="B13" cm="1">
        <f t="array" ref="B13">INDEX(RegTargets!$B$2:$AK$6,MATCH(FromModel!$B$10,RegTargets!$A$2:$A$6,0),A13)</f>
        <v>48128</v>
      </c>
      <c r="C13" cm="1">
        <f t="array" ref="C13">INDEX([1]Calc_BankMonth!$B$23:$AK$23,A13)</f>
        <v>321020.5</v>
      </c>
      <c r="D13">
        <f>IFERROR(C13/SUM(RegTargets!$B$2:$AK$6)*36,0)</f>
        <v>1.7947040045619469</v>
      </c>
    </row>
    <row r="14" spans="1:11" x14ac:dyDescent="0.25">
      <c r="A14">
        <f t="shared" si="5"/>
        <v>5</v>
      </c>
      <c r="B14" cm="1">
        <f t="array" ref="B14">INDEX(RegTargets!$B$2:$AK$6,MATCH(FromModel!$B$10,RegTargets!$A$2:$A$6,0),A14)</f>
        <v>48410</v>
      </c>
      <c r="C14" cm="1">
        <f t="array" ref="C14">INDEX([1]Calc_BankMonth!$B$23:$AK$23,A14)</f>
        <v>323839.09999999998</v>
      </c>
      <c r="D14">
        <f>IFERROR(C14/SUM(RegTargets!$B$2:$AK$6)*36,0)</f>
        <v>1.8104617294027538</v>
      </c>
    </row>
    <row r="15" spans="1:11" x14ac:dyDescent="0.25">
      <c r="A15">
        <f t="shared" si="5"/>
        <v>6</v>
      </c>
      <c r="B15" cm="1">
        <f t="array" ref="B15">INDEX(RegTargets!$B$2:$AK$6,MATCH(FromModel!$B$10,RegTargets!$A$2:$A$6,0),A15)</f>
        <v>48692</v>
      </c>
      <c r="C15" cm="1">
        <f t="array" ref="C15">INDEX([1]Calc_BankMonth!$B$23:$AK$23,A15)</f>
        <v>326227.20000000007</v>
      </c>
      <c r="D15">
        <f>IFERROR(C15/SUM(RegTargets!$B$2:$AK$6)*36,0)</f>
        <v>1.8238126918281894</v>
      </c>
    </row>
    <row r="16" spans="1:11" x14ac:dyDescent="0.25">
      <c r="A16">
        <f t="shared" si="5"/>
        <v>7</v>
      </c>
      <c r="B16" cm="1">
        <f t="array" ref="B16">INDEX(RegTargets!$B$2:$AK$6,MATCH(FromModel!$B$10,RegTargets!$A$2:$A$6,0),A16)</f>
        <v>48974</v>
      </c>
      <c r="C16" cm="1">
        <f t="array" ref="C16">INDEX([1]Calc_BankMonth!$B$23:$AK$23,A16)</f>
        <v>328451.69999999995</v>
      </c>
      <c r="D16">
        <f>IFERROR(C16/SUM(RegTargets!$B$2:$AK$6)*36,0)</f>
        <v>1.8362490286295707</v>
      </c>
    </row>
    <row r="17" spans="1:4" x14ac:dyDescent="0.25">
      <c r="A17">
        <f t="shared" si="5"/>
        <v>8</v>
      </c>
      <c r="B17" cm="1">
        <f t="array" ref="B17">INDEX(RegTargets!$B$2:$AK$6,MATCH(FromModel!$B$10,RegTargets!$A$2:$A$6,0),A17)</f>
        <v>49256</v>
      </c>
      <c r="C17" cm="1">
        <f t="array" ref="C17">INDEX([1]Calc_BankMonth!$B$23:$AK$23,A17)</f>
        <v>330859.39999999997</v>
      </c>
      <c r="D17">
        <f>IFERROR(C17/SUM(RegTargets!$B$2:$AK$6)*36,0)</f>
        <v>1.8497095672300148</v>
      </c>
    </row>
    <row r="18" spans="1:4" x14ac:dyDescent="0.25">
      <c r="A18">
        <f t="shared" si="5"/>
        <v>9</v>
      </c>
      <c r="B18" cm="1">
        <f t="array" ref="B18">INDEX(RegTargets!$B$2:$AK$6,MATCH(FromModel!$B$10,RegTargets!$A$2:$A$6,0),A18)</f>
        <v>49538</v>
      </c>
      <c r="C18" cm="1">
        <f t="array" ref="C18">INDEX([1]Calc_BankMonth!$B$23:$AK$23,A18)</f>
        <v>333869.20000000007</v>
      </c>
      <c r="D18">
        <f>IFERROR(C18/SUM(RegTargets!$B$2:$AK$6)*36,0)</f>
        <v>1.8665362188392756</v>
      </c>
    </row>
    <row r="19" spans="1:4" x14ac:dyDescent="0.25">
      <c r="A19">
        <f t="shared" si="5"/>
        <v>10</v>
      </c>
      <c r="B19" cm="1">
        <f t="array" ref="B19">INDEX(RegTargets!$B$2:$AK$6,MATCH(FromModel!$B$10,RegTargets!$A$2:$A$6,0),A19)</f>
        <v>49820</v>
      </c>
      <c r="C19" cm="1">
        <f t="array" ref="C19">INDEX([1]Calc_BankMonth!$B$23:$AK$23,A19)</f>
        <v>335727.5</v>
      </c>
      <c r="D19">
        <f>IFERROR(C19/SUM(RegTargets!$B$2:$AK$6)*36,0)</f>
        <v>1.8769252701667682</v>
      </c>
    </row>
    <row r="20" spans="1:4" x14ac:dyDescent="0.25">
      <c r="A20">
        <f t="shared" si="5"/>
        <v>11</v>
      </c>
      <c r="B20" cm="1">
        <f t="array" ref="B20">INDEX(RegTargets!$B$2:$AK$6,MATCH(FromModel!$B$10,RegTargets!$A$2:$A$6,0),A20)</f>
        <v>50102</v>
      </c>
      <c r="C20" cm="1">
        <f t="array" ref="C20">INDEX([1]Calc_BankMonth!$B$23:$AK$23,A20)</f>
        <v>338543.19999999995</v>
      </c>
      <c r="D20">
        <f>IFERROR(C20/SUM(RegTargets!$B$2:$AK$6)*36,0)</f>
        <v>1.8926667822061705</v>
      </c>
    </row>
    <row r="21" spans="1:4" x14ac:dyDescent="0.25">
      <c r="A21">
        <f t="shared" si="5"/>
        <v>12</v>
      </c>
      <c r="B21" cm="1">
        <f t="array" ref="B21">INDEX(RegTargets!$B$2:$AK$6,MATCH(FromModel!$B$10,RegTargets!$A$2:$A$6,0),A21)</f>
        <v>50384</v>
      </c>
      <c r="C21" cm="1">
        <f t="array" ref="C21">INDEX([1]Calc_BankMonth!$B$23:$AK$23,A21)</f>
        <v>340849.5</v>
      </c>
      <c r="D21">
        <f>IFERROR(C21/SUM(RegTargets!$B$2:$AK$6)*36,0)</f>
        <v>1.9055604318195796</v>
      </c>
    </row>
    <row r="22" spans="1:4" x14ac:dyDescent="0.25">
      <c r="A22">
        <f t="shared" si="5"/>
        <v>13</v>
      </c>
      <c r="B22" cm="1">
        <f t="array" ref="B22">INDEX(RegTargets!$B$2:$AK$6,MATCH(FromModel!$B$10,RegTargets!$A$2:$A$6,0),A22)</f>
        <v>50666</v>
      </c>
      <c r="C22" cm="1">
        <f t="array" ref="C22">INDEX([1]Calc_BankMonth!$B$23:$AK$23,A22)</f>
        <v>343560.2</v>
      </c>
      <c r="D22">
        <f>IFERROR(C22/SUM(RegTargets!$B$2:$AK$6)*36,0)</f>
        <v>1.9207149286357208</v>
      </c>
    </row>
    <row r="23" spans="1:4" x14ac:dyDescent="0.25">
      <c r="A23">
        <f t="shared" si="5"/>
        <v>14</v>
      </c>
      <c r="B23" cm="1">
        <f t="array" ref="B23">INDEX(RegTargets!$B$2:$AK$6,MATCH(FromModel!$B$10,RegTargets!$A$2:$A$6,0),A23)</f>
        <v>50948</v>
      </c>
      <c r="C23" cm="1">
        <f t="array" ref="C23">INDEX([1]Calc_BankMonth!$B$23:$AK$23,A23)</f>
        <v>345734.8</v>
      </c>
      <c r="D23">
        <f>IFERROR(C23/SUM(RegTargets!$B$2:$AK$6)*36,0)</f>
        <v>1.932872293440524</v>
      </c>
    </row>
    <row r="24" spans="1:4" x14ac:dyDescent="0.25">
      <c r="A24">
        <f t="shared" si="5"/>
        <v>15</v>
      </c>
      <c r="B24" cm="1">
        <f t="array" ref="B24">INDEX(RegTargets!$B$2:$AK$6,MATCH(FromModel!$B$10,RegTargets!$A$2:$A$6,0),A24)</f>
        <v>51230</v>
      </c>
      <c r="C24" cm="1">
        <f t="array" ref="C24">INDEX([1]Calc_BankMonth!$B$23:$AK$23,A24)</f>
        <v>348188.50000000006</v>
      </c>
      <c r="D24">
        <f>IFERROR(C24/SUM(RegTargets!$B$2:$AK$6)*36,0)</f>
        <v>1.9465900006149686</v>
      </c>
    </row>
    <row r="25" spans="1:4" x14ac:dyDescent="0.25">
      <c r="A25">
        <f t="shared" si="5"/>
        <v>16</v>
      </c>
      <c r="B25" cm="1">
        <f t="array" ref="B25">INDEX(RegTargets!$B$2:$AK$6,MATCH(FromModel!$B$10,RegTargets!$A$2:$A$6,0),A25)</f>
        <v>51512</v>
      </c>
      <c r="C25" cm="1">
        <f t="array" ref="C25">INDEX([1]Calc_BankMonth!$B$23:$AK$23,A25)</f>
        <v>350465.9</v>
      </c>
      <c r="D25">
        <f>IFERROR(C25/SUM(RegTargets!$B$2:$AK$6)*36,0)</f>
        <v>1.9593220812764509</v>
      </c>
    </row>
    <row r="26" spans="1:4" x14ac:dyDescent="0.25">
      <c r="A26">
        <f t="shared" si="5"/>
        <v>17</v>
      </c>
      <c r="B26" cm="1">
        <f t="array" ref="B26">INDEX(RegTargets!$B$2:$AK$6,MATCH(FromModel!$B$10,RegTargets!$A$2:$A$6,0),A26)</f>
        <v>51794</v>
      </c>
      <c r="C26" cm="1">
        <f t="array" ref="C26">INDEX([1]Calc_BankMonth!$B$23:$AK$23,A26)</f>
        <v>353343.5</v>
      </c>
      <c r="D26">
        <f>IFERROR(C26/SUM(RegTargets!$B$2:$AK$6)*36,0)</f>
        <v>1.975409652766519</v>
      </c>
    </row>
    <row r="27" spans="1:4" x14ac:dyDescent="0.25">
      <c r="A27">
        <f t="shared" si="5"/>
        <v>18</v>
      </c>
      <c r="B27" cm="1">
        <f t="array" ref="B27">INDEX(RegTargets!$B$2:$AK$6,MATCH(FromModel!$B$10,RegTargets!$A$2:$A$6,0),A27)</f>
        <v>52076</v>
      </c>
      <c r="C27" cm="1">
        <f t="array" ref="C27">INDEX([1]Calc_BankMonth!$B$23:$AK$23,A27)</f>
        <v>355799.5</v>
      </c>
      <c r="D27">
        <f>IFERROR(C27/SUM(RegTargets!$B$2:$AK$6)*36,0)</f>
        <v>1.9891402183696631</v>
      </c>
    </row>
    <row r="28" spans="1:4" x14ac:dyDescent="0.25">
      <c r="A28">
        <f t="shared" si="5"/>
        <v>19</v>
      </c>
      <c r="B28" cm="1">
        <f t="array" ref="B28">INDEX(RegTargets!$B$2:$AK$6,MATCH(FromModel!$B$10,RegTargets!$A$2:$A$6,0),A28)</f>
        <v>52358</v>
      </c>
      <c r="C28" cm="1">
        <f t="array" ref="C28">INDEX([1]Calc_BankMonth!$B$23:$AK$23,A28)</f>
        <v>358146</v>
      </c>
      <c r="D28">
        <f>IFERROR(C28/SUM(RegTargets!$B$2:$AK$6)*36,0)</f>
        <v>2.0022586109542631</v>
      </c>
    </row>
    <row r="29" spans="1:4" x14ac:dyDescent="0.25">
      <c r="A29">
        <f t="shared" si="5"/>
        <v>20</v>
      </c>
      <c r="B29" cm="1">
        <f t="array" ref="B29">INDEX(RegTargets!$B$2:$AK$6,MATCH(FromModel!$B$10,RegTargets!$A$2:$A$6,0),A29)</f>
        <v>52640</v>
      </c>
      <c r="C29" cm="1">
        <f t="array" ref="C29">INDEX([1]Calc_BankMonth!$B$23:$AK$23,A29)</f>
        <v>360486.5</v>
      </c>
      <c r="D29">
        <f>IFERROR(C29/SUM(RegTargets!$B$2:$AK$6)*36,0)</f>
        <v>2.0153434598118198</v>
      </c>
    </row>
    <row r="30" spans="1:4" x14ac:dyDescent="0.25">
      <c r="A30">
        <f t="shared" si="5"/>
        <v>21</v>
      </c>
      <c r="B30" cm="1">
        <f t="array" ref="B30">INDEX(RegTargets!$B$2:$AK$6,MATCH(FromModel!$B$10,RegTargets!$A$2:$A$6,0),A30)</f>
        <v>52922</v>
      </c>
      <c r="C30" cm="1">
        <f t="array" ref="C30">INDEX([1]Calc_BankMonth!$B$23:$AK$23,A30)</f>
        <v>362644.60000000003</v>
      </c>
      <c r="D30">
        <f>IFERROR(C30/SUM(RegTargets!$B$2:$AK$6)*36,0)</f>
        <v>2.0274085793672536</v>
      </c>
    </row>
    <row r="31" spans="1:4" x14ac:dyDescent="0.25">
      <c r="A31">
        <f t="shared" si="5"/>
        <v>22</v>
      </c>
      <c r="B31" cm="1">
        <f t="array" ref="B31">INDEX(RegTargets!$B$2:$AK$6,MATCH(FromModel!$B$10,RegTargets!$A$2:$A$6,0),A31)</f>
        <v>53204</v>
      </c>
      <c r="C31" cm="1">
        <f t="array" ref="C31">INDEX([1]Calc_BankMonth!$B$23:$AK$23,A31)</f>
        <v>365894.3</v>
      </c>
      <c r="D31">
        <f>IFERROR(C31/SUM(RegTargets!$B$2:$AK$6)*36,0)</f>
        <v>2.0455764209961367</v>
      </c>
    </row>
    <row r="32" spans="1:4" x14ac:dyDescent="0.25">
      <c r="A32">
        <f t="shared" si="5"/>
        <v>23</v>
      </c>
      <c r="B32" cm="1">
        <f t="array" ref="B32">INDEX(RegTargets!$B$2:$AK$6,MATCH(FromModel!$B$10,RegTargets!$A$2:$A$6,0),A32)</f>
        <v>53486</v>
      </c>
      <c r="C32" cm="1">
        <f t="array" ref="C32">INDEX([1]Calc_BankMonth!$B$23:$AK$23,A32)</f>
        <v>368054.60000000003</v>
      </c>
      <c r="D32">
        <f>IFERROR(C32/SUM(RegTargets!$B$2:$AK$6)*36,0)</f>
        <v>2.0576538399181534</v>
      </c>
    </row>
    <row r="33" spans="1:4" x14ac:dyDescent="0.25">
      <c r="A33">
        <f t="shared" si="5"/>
        <v>24</v>
      </c>
      <c r="B33" cm="1">
        <f t="array" ref="B33">INDEX(RegTargets!$B$2:$AK$6,MATCH(FromModel!$B$10,RegTargets!$A$2:$A$6,0),A33)</f>
        <v>53768</v>
      </c>
      <c r="C33" cm="1">
        <f t="array" ref="C33">INDEX([1]Calc_BankMonth!$B$23:$AK$23,A33)</f>
        <v>370720.8</v>
      </c>
      <c r="D33">
        <f>IFERROR(C33/SUM(RegTargets!$B$2:$AK$6)*36,0)</f>
        <v>2.0725595540920549</v>
      </c>
    </row>
    <row r="34" spans="1:4" x14ac:dyDescent="0.25">
      <c r="A34">
        <f t="shared" si="5"/>
        <v>25</v>
      </c>
      <c r="B34" cm="1">
        <f t="array" ref="B34">INDEX(RegTargets!$B$2:$AK$6,MATCH(FromModel!$B$10,RegTargets!$A$2:$A$6,0),A34)</f>
        <v>54050</v>
      </c>
      <c r="C34" cm="1">
        <f t="array" ref="C34">INDEX([1]Calc_BankMonth!$B$23:$AK$23,A34)</f>
        <v>373032.39999999997</v>
      </c>
      <c r="D34">
        <f>IFERROR(C34/SUM(RegTargets!$B$2:$AK$6)*36,0)</f>
        <v>2.0854828339976854</v>
      </c>
    </row>
    <row r="35" spans="1:4" x14ac:dyDescent="0.25">
      <c r="A35">
        <f t="shared" si="5"/>
        <v>26</v>
      </c>
      <c r="B35" cm="1">
        <f t="array" ref="B35">INDEX(RegTargets!$B$2:$AK$6,MATCH(FromModel!$B$10,RegTargets!$A$2:$A$6,0),A35)</f>
        <v>54332</v>
      </c>
      <c r="C35" cm="1">
        <f t="array" ref="C35">INDEX([1]Calc_BankMonth!$B$23:$AK$23,A35)</f>
        <v>375684.69999999995</v>
      </c>
      <c r="D35">
        <f>IFERROR(C35/SUM(RegTargets!$B$2:$AK$6)*36,0)</f>
        <v>2.1003108385372697</v>
      </c>
    </row>
    <row r="36" spans="1:4" x14ac:dyDescent="0.25">
      <c r="A36">
        <f t="shared" si="5"/>
        <v>27</v>
      </c>
      <c r="B36" cm="1">
        <f t="array" ref="B36">INDEX(RegTargets!$B$2:$AK$6,MATCH(FromModel!$B$10,RegTargets!$A$2:$A$6,0),A36)</f>
        <v>54614</v>
      </c>
      <c r="C36" cm="1">
        <f t="array" ref="C36">INDEX([1]Calc_BankMonth!$B$23:$AK$23,A36)</f>
        <v>378262.60000000003</v>
      </c>
      <c r="D36">
        <f>IFERROR(C36/SUM(RegTargets!$B$2:$AK$6)*36,0)</f>
        <v>2.1147229008615152</v>
      </c>
    </row>
    <row r="37" spans="1:4" x14ac:dyDescent="0.25">
      <c r="A37">
        <f t="shared" si="5"/>
        <v>28</v>
      </c>
      <c r="B37" cm="1">
        <f t="array" ref="B37">INDEX(RegTargets!$B$2:$AK$6,MATCH(FromModel!$B$10,RegTargets!$A$2:$A$6,0),A37)</f>
        <v>54896</v>
      </c>
      <c r="C37" cm="1">
        <f t="array" ref="C37">INDEX([1]Calc_BankMonth!$B$23:$AK$23,A37)</f>
        <v>380278.8</v>
      </c>
      <c r="D37">
        <f>IFERROR(C37/SUM(RegTargets!$B$2:$AK$6)*36,0)</f>
        <v>2.1259947112723694</v>
      </c>
    </row>
    <row r="38" spans="1:4" x14ac:dyDescent="0.25">
      <c r="A38">
        <f t="shared" si="5"/>
        <v>29</v>
      </c>
      <c r="B38" cm="1">
        <f t="array" ref="B38">INDEX(RegTargets!$B$2:$AK$6,MATCH(FromModel!$B$10,RegTargets!$A$2:$A$6,0),A38)</f>
        <v>55178</v>
      </c>
      <c r="C38" cm="1">
        <f t="array" ref="C38">INDEX([1]Calc_BankMonth!$B$23:$AK$23,A38)</f>
        <v>383328.10000000003</v>
      </c>
      <c r="D38">
        <f>IFERROR(C38/SUM(RegTargets!$B$2:$AK$6)*36,0)</f>
        <v>2.1430421924180001</v>
      </c>
    </row>
    <row r="39" spans="1:4" x14ac:dyDescent="0.25">
      <c r="A39">
        <f t="shared" si="5"/>
        <v>30</v>
      </c>
      <c r="B39" cm="1">
        <f t="array" ref="B39">INDEX(RegTargets!$B$2:$AK$6,MATCH(FromModel!$B$10,RegTargets!$A$2:$A$6,0),A39)</f>
        <v>55460</v>
      </c>
      <c r="C39" cm="1">
        <f t="array" ref="C39">INDEX([1]Calc_BankMonth!$B$23:$AK$23,A39)</f>
        <v>385668.4</v>
      </c>
      <c r="D39">
        <f>IFERROR(C39/SUM(RegTargets!$B$2:$AK$6)*36,0)</f>
        <v>2.1561259231513215</v>
      </c>
    </row>
    <row r="40" spans="1:4" x14ac:dyDescent="0.25">
      <c r="A40">
        <f t="shared" si="5"/>
        <v>31</v>
      </c>
      <c r="B40" cm="1">
        <f t="array" ref="B40">INDEX(RegTargets!$B$2:$AK$6,MATCH(FromModel!$B$10,RegTargets!$A$2:$A$6,0),A40)</f>
        <v>55742</v>
      </c>
      <c r="C40" cm="1">
        <f t="array" ref="C40">INDEX([1]Calc_BankMonth!$B$23:$AK$23,A40)</f>
        <v>388472.89999999997</v>
      </c>
      <c r="D40">
        <f>IFERROR(C40/SUM(RegTargets!$B$2:$AK$6)*36,0)</f>
        <v>2.171804820233576</v>
      </c>
    </row>
    <row r="41" spans="1:4" x14ac:dyDescent="0.25">
      <c r="A41">
        <f t="shared" si="5"/>
        <v>32</v>
      </c>
      <c r="B41" cm="1">
        <f t="array" ref="B41">INDEX(RegTargets!$B$2:$AK$6,MATCH(FromModel!$B$10,RegTargets!$A$2:$A$6,0),A41)</f>
        <v>56024</v>
      </c>
      <c r="C41" cm="1">
        <f t="array" ref="C41">INDEX([1]Calc_BankMonth!$B$23:$AK$23,A41)</f>
        <v>390451.7</v>
      </c>
      <c r="D41">
        <f>IFERROR(C41/SUM(RegTargets!$B$2:$AK$6)*36,0)</f>
        <v>2.1828675414125267</v>
      </c>
    </row>
    <row r="42" spans="1:4" x14ac:dyDescent="0.25">
      <c r="A42">
        <f t="shared" si="5"/>
        <v>33</v>
      </c>
      <c r="B42" cm="1">
        <f t="array" ref="B42">INDEX(RegTargets!$B$2:$AK$6,MATCH(FromModel!$B$10,RegTargets!$A$2:$A$6,0),A42)</f>
        <v>56306</v>
      </c>
      <c r="C42" cm="1">
        <f t="array" ref="C42">INDEX([1]Calc_BankMonth!$B$23:$AK$23,A42)</f>
        <v>392782</v>
      </c>
      <c r="D42">
        <f>IFERROR(C42/SUM(RegTargets!$B$2:$AK$6)*36,0)</f>
        <v>2.1958953659341089</v>
      </c>
    </row>
    <row r="43" spans="1:4" x14ac:dyDescent="0.25">
      <c r="A43">
        <f t="shared" si="5"/>
        <v>34</v>
      </c>
      <c r="B43" cm="1">
        <f t="array" ref="B43">INDEX(RegTargets!$B$2:$AK$6,MATCH(FromModel!$B$10,RegTargets!$A$2:$A$6,0),A43)</f>
        <v>56588</v>
      </c>
      <c r="C43" cm="1">
        <f t="array" ref="C43">INDEX([1]Calc_BankMonth!$B$23:$AK$23,A43)</f>
        <v>395749.09999999992</v>
      </c>
      <c r="D43">
        <f>IFERROR(C43/SUM(RegTargets!$B$2:$AK$6)*36,0)</f>
        <v>2.2124832980192424</v>
      </c>
    </row>
    <row r="44" spans="1:4" x14ac:dyDescent="0.25">
      <c r="A44">
        <f t="shared" si="5"/>
        <v>35</v>
      </c>
      <c r="B44" cm="1">
        <f t="array" ref="B44">INDEX(RegTargets!$B$2:$AK$6,MATCH(FromModel!$B$10,RegTargets!$A$2:$A$6,0),A44)</f>
        <v>56870</v>
      </c>
      <c r="C44" cm="1">
        <f t="array" ref="C44">INDEX([1]Calc_BankMonth!$B$23:$AK$23,A44)</f>
        <v>398633.39999999997</v>
      </c>
      <c r="D44">
        <f>IFERROR(C44/SUM(RegTargets!$B$2:$AK$6)*36,0)</f>
        <v>2.2286083266711763</v>
      </c>
    </row>
    <row r="45" spans="1:4" x14ac:dyDescent="0.25">
      <c r="A45">
        <f t="shared" si="5"/>
        <v>36</v>
      </c>
      <c r="B45" cm="1">
        <f t="array" ref="B45">INDEX(RegTargets!$B$2:$AK$6,MATCH(FromModel!$B$10,RegTargets!$A$2:$A$6,0),A45)</f>
        <v>57152</v>
      </c>
      <c r="C45" cm="1">
        <f t="array" ref="C45">INDEX([1]Calc_BankMonth!$B$23:$AK$23,A45)</f>
        <v>400259.1</v>
      </c>
      <c r="D45">
        <f>IFERROR(C45/SUM(RegTargets!$B$2:$AK$6)*36,0)</f>
        <v>2.2376969995136156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F65C5-CA35-4996-8A80-C410B7F894EF}">
  <dimension ref="A2:B7"/>
  <sheetViews>
    <sheetView workbookViewId="0"/>
  </sheetViews>
  <sheetFormatPr defaultRowHeight="12.5" x14ac:dyDescent="0.25"/>
  <sheetData>
    <row r="2" spans="1:2" x14ac:dyDescent="0.25">
      <c r="A2" t="s">
        <v>35</v>
      </c>
      <c r="B2">
        <f>SUM(RegCalc!B2:B6)</f>
        <v>385668.4</v>
      </c>
    </row>
    <row r="3" spans="1:2" x14ac:dyDescent="0.25">
      <c r="A3" t="s">
        <v>36</v>
      </c>
      <c r="B3">
        <f>_xlfn.XLOOKUP(FromModel!B10,RegCalc!A2:A6,RegCalc!E2:E6,"n/a")</f>
        <v>58992.899999999994</v>
      </c>
    </row>
    <row r="4" spans="1:2" x14ac:dyDescent="0.25">
      <c r="A4" t="s">
        <v>37</v>
      </c>
      <c r="B4">
        <f>FromPeers!B24*1</f>
        <v>19659.800000000014</v>
      </c>
    </row>
    <row r="5" spans="1:2" x14ac:dyDescent="0.25">
      <c r="A5" t="s">
        <v>38</v>
      </c>
      <c r="B5">
        <f>_xlfn.XLOOKUP(FromModel!B10,RegCalc!A2:A6,RegCalc!G2:G6,"n/a")</f>
        <v>5857.8999999999978</v>
      </c>
    </row>
    <row r="6" spans="1:2" x14ac:dyDescent="0.25">
      <c r="A6" t="s">
        <v>23</v>
      </c>
      <c r="B6">
        <f>FromPeers!B25</f>
        <v>10</v>
      </c>
    </row>
    <row r="7" spans="1:2" x14ac:dyDescent="0.25">
      <c r="A7" t="s">
        <v>39</v>
      </c>
      <c r="B7" t="str">
        <f>FromModel!B10</f>
        <v>Centro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4D122-71D8-40BB-8680-0BC1313DCC1E}">
  <dimension ref="B2:J9"/>
  <sheetViews>
    <sheetView workbookViewId="0"/>
  </sheetViews>
  <sheetFormatPr defaultRowHeight="12.5" x14ac:dyDescent="0.25"/>
  <sheetData>
    <row r="2" spans="2:10" x14ac:dyDescent="0.25">
      <c r="B2" t="s">
        <v>40</v>
      </c>
    </row>
    <row r="3" spans="2:10" x14ac:dyDescent="0.25">
      <c r="C3" t="str">
        <f>"Regions - month "&amp;FromModel!B9</f>
        <v>Regions - month 30</v>
      </c>
    </row>
    <row r="4" spans="2:10" x14ac:dyDescent="0.25">
      <c r="C4" t="s">
        <v>0</v>
      </c>
      <c r="D4" t="s">
        <v>15</v>
      </c>
      <c r="E4" t="s">
        <v>25</v>
      </c>
      <c r="F4" t="s">
        <v>20</v>
      </c>
      <c r="G4" t="s">
        <v>26</v>
      </c>
      <c r="H4" t="s">
        <v>28</v>
      </c>
      <c r="I4" t="s">
        <v>30</v>
      </c>
    </row>
    <row r="5" spans="2:10" x14ac:dyDescent="0.25">
      <c r="C5" t="str">
        <f>RegCalc!A2</f>
        <v>Nord-Ovest</v>
      </c>
      <c r="D5">
        <f>RegCalc!B2</f>
        <v>50642.6</v>
      </c>
      <c r="E5">
        <f>RegCalc!D2</f>
        <v>49560</v>
      </c>
      <c r="F5">
        <f>RegCalc!E2</f>
        <v>1082.5999999999985</v>
      </c>
      <c r="G5">
        <f>RegCalc!F2</f>
        <v>0.13131125080509576</v>
      </c>
      <c r="H5" t="str">
        <f>RegCalc!H2</f>
        <v>strong</v>
      </c>
      <c r="I5" t="str">
        <f>RegCalc!J2</f>
        <v>5th</v>
      </c>
    </row>
    <row r="6" spans="2:10" x14ac:dyDescent="0.25">
      <c r="C6" t="str">
        <f>RegCalc!A3</f>
        <v>Nord-Est</v>
      </c>
      <c r="D6">
        <f>RegCalc!B3</f>
        <v>79584.299999999988</v>
      </c>
      <c r="E6">
        <f>RegCalc!D3</f>
        <v>35400</v>
      </c>
      <c r="F6">
        <f>RegCalc!E3</f>
        <v>44184.299999999988</v>
      </c>
      <c r="G6">
        <f>RegCalc!F3</f>
        <v>0.2063542151755238</v>
      </c>
      <c r="H6" t="str">
        <f>RegCalc!H3</f>
        <v>strong</v>
      </c>
      <c r="I6" t="str">
        <f>RegCalc!J3</f>
        <v>3rd</v>
      </c>
    </row>
    <row r="7" spans="2:10" x14ac:dyDescent="0.25">
      <c r="C7" t="str">
        <f>RegCalc!A4</f>
        <v>Centro</v>
      </c>
      <c r="D7">
        <f>RegCalc!B4</f>
        <v>114452.9</v>
      </c>
      <c r="E7">
        <f>RegCalc!D4</f>
        <v>55460</v>
      </c>
      <c r="F7">
        <f>RegCalc!E4</f>
        <v>58992.899999999994</v>
      </c>
      <c r="G7">
        <f>RegCalc!F4</f>
        <v>0.29676504478977273</v>
      </c>
      <c r="H7" t="str">
        <f>RegCalc!H4</f>
        <v>strong</v>
      </c>
      <c r="I7" t="str">
        <f>RegCalc!J4</f>
        <v>1st</v>
      </c>
    </row>
    <row r="8" spans="2:10" x14ac:dyDescent="0.25">
      <c r="C8" t="str">
        <f>RegCalc!A5</f>
        <v>Sud</v>
      </c>
      <c r="D8">
        <f>RegCalc!B5</f>
        <v>84692.900000000009</v>
      </c>
      <c r="E8">
        <f>RegCalc!D5</f>
        <v>30680</v>
      </c>
      <c r="F8">
        <f>RegCalc!E5</f>
        <v>54012.900000000009</v>
      </c>
      <c r="G8">
        <f>RegCalc!F5</f>
        <v>0.21960030948866954</v>
      </c>
      <c r="H8" t="str">
        <f>RegCalc!H5</f>
        <v>strong</v>
      </c>
      <c r="I8" t="str">
        <f>RegCalc!J5</f>
        <v>2nd</v>
      </c>
    </row>
    <row r="9" spans="2:10" x14ac:dyDescent="0.25">
      <c r="C9" t="str">
        <f>RegCalc!A6</f>
        <v>Isole</v>
      </c>
      <c r="D9">
        <f>RegCalc!B6</f>
        <v>56295.700000000004</v>
      </c>
      <c r="E9">
        <f>RegCalc!D6</f>
        <v>18880</v>
      </c>
      <c r="F9">
        <f>RegCalc!E6</f>
        <v>37415.700000000004</v>
      </c>
      <c r="G9">
        <f>RegCalc!F6</f>
        <v>0.14596917974093807</v>
      </c>
      <c r="H9" t="str">
        <f>RegCalc!H6</f>
        <v>strong</v>
      </c>
      <c r="I9" t="str">
        <f>RegCalc!J6</f>
        <v>4th</v>
      </c>
      <c r="J9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F968A-CC7C-41DC-92CE-C676429B6963}">
  <dimension ref="B2:G16"/>
  <sheetViews>
    <sheetView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"Targets - "&amp;FromModel!B10</f>
        <v>Targets - Centro</v>
      </c>
    </row>
    <row r="4" spans="2:7" x14ac:dyDescent="0.25">
      <c r="C4" t="s">
        <v>17</v>
      </c>
      <c r="D4" t="s">
        <v>25</v>
      </c>
      <c r="E4" t="s">
        <v>33</v>
      </c>
      <c r="F4" t="s">
        <v>34</v>
      </c>
    </row>
    <row r="5" spans="2:7" x14ac:dyDescent="0.25">
      <c r="C5">
        <f>FromModel!$B$9-12+ROW()-4</f>
        <v>19</v>
      </c>
      <c r="D5" cm="1">
        <f t="array" ref="D5">INDEX(RegCalc!$B$10:$B$45,C5)</f>
        <v>52358</v>
      </c>
      <c r="E5" cm="1">
        <f t="array" ref="E5">INDEX(RegCalc!$C$10:$C$45,C5)</f>
        <v>358146</v>
      </c>
      <c r="F5">
        <f t="shared" ref="F5:F16" si="0">IFERROR(E5/D5,0)</f>
        <v>6.8403300355246568</v>
      </c>
    </row>
    <row r="6" spans="2:7" x14ac:dyDescent="0.25">
      <c r="C6">
        <f>FromModel!$B$9-12+ROW()-4</f>
        <v>20</v>
      </c>
      <c r="D6" cm="1">
        <f t="array" ref="D6">INDEX(RegCalc!$B$10:$B$45,C6)</f>
        <v>52640</v>
      </c>
      <c r="E6" cm="1">
        <f t="array" ref="E6">INDEX(RegCalc!$C$10:$C$45,C6)</f>
        <v>360486.5</v>
      </c>
      <c r="F6">
        <f t="shared" si="0"/>
        <v>6.8481477963525839</v>
      </c>
    </row>
    <row r="7" spans="2:7" x14ac:dyDescent="0.25">
      <c r="C7">
        <f>FromModel!$B$9-12+ROW()-4</f>
        <v>21</v>
      </c>
      <c r="D7" cm="1">
        <f t="array" ref="D7">INDEX(RegCalc!$B$10:$B$45,C7)</f>
        <v>52922</v>
      </c>
      <c r="E7" cm="1">
        <f t="array" ref="E7">INDEX(RegCalc!$C$10:$C$45,C7)</f>
        <v>362644.60000000003</v>
      </c>
      <c r="F7">
        <f t="shared" si="0"/>
        <v>6.8524356600279663</v>
      </c>
    </row>
    <row r="8" spans="2:7" x14ac:dyDescent="0.25">
      <c r="C8">
        <f>FromModel!$B$9-12+ROW()-4</f>
        <v>22</v>
      </c>
      <c r="D8" cm="1">
        <f t="array" ref="D8">INDEX(RegCalc!$B$10:$B$45,C8)</f>
        <v>53204</v>
      </c>
      <c r="E8" cm="1">
        <f t="array" ref="E8">INDEX(RegCalc!$C$10:$C$45,C8)</f>
        <v>365894.3</v>
      </c>
      <c r="F8">
        <f t="shared" si="0"/>
        <v>6.8771953236598753</v>
      </c>
    </row>
    <row r="9" spans="2:7" x14ac:dyDescent="0.25">
      <c r="C9">
        <f>FromModel!$B$9-12+ROW()-4</f>
        <v>23</v>
      </c>
      <c r="D9" cm="1">
        <f t="array" ref="D9">INDEX(RegCalc!$B$10:$B$45,C9)</f>
        <v>53486</v>
      </c>
      <c r="E9" cm="1">
        <f t="array" ref="E9">INDEX(RegCalc!$C$10:$C$45,C9)</f>
        <v>368054.60000000003</v>
      </c>
      <c r="F9">
        <f t="shared" si="0"/>
        <v>6.881325954455372</v>
      </c>
    </row>
    <row r="10" spans="2:7" x14ac:dyDescent="0.25">
      <c r="C10">
        <f>FromModel!$B$9-12+ROW()-4</f>
        <v>24</v>
      </c>
      <c r="D10" cm="1">
        <f t="array" ref="D10">INDEX(RegCalc!$B$10:$B$45,C10)</f>
        <v>53768</v>
      </c>
      <c r="E10" cm="1">
        <f t="array" ref="E10">INDEX(RegCalc!$C$10:$C$45,C10)</f>
        <v>370720.8</v>
      </c>
      <c r="F10">
        <f t="shared" si="0"/>
        <v>6.8948221990775176</v>
      </c>
    </row>
    <row r="11" spans="2:7" x14ac:dyDescent="0.25">
      <c r="C11">
        <f>FromModel!$B$9-12+ROW()-4</f>
        <v>25</v>
      </c>
      <c r="D11" cm="1">
        <f t="array" ref="D11">INDEX(RegCalc!$B$10:$B$45,C11)</f>
        <v>54050</v>
      </c>
      <c r="E11" cm="1">
        <f t="array" ref="E11">INDEX(RegCalc!$C$10:$C$45,C11)</f>
        <v>373032.39999999997</v>
      </c>
      <c r="F11">
        <f t="shared" si="0"/>
        <v>6.9016170212765955</v>
      </c>
    </row>
    <row r="12" spans="2:7" x14ac:dyDescent="0.25">
      <c r="C12">
        <f>FromModel!$B$9-12+ROW()-4</f>
        <v>26</v>
      </c>
      <c r="D12" cm="1">
        <f t="array" ref="D12">INDEX(RegCalc!$B$10:$B$45,C12)</f>
        <v>54332</v>
      </c>
      <c r="E12" cm="1">
        <f t="array" ref="E12">INDEX(RegCalc!$C$10:$C$45,C12)</f>
        <v>375684.69999999995</v>
      </c>
      <c r="F12">
        <f t="shared" si="0"/>
        <v>6.9146120150187729</v>
      </c>
    </row>
    <row r="13" spans="2:7" x14ac:dyDescent="0.25">
      <c r="C13">
        <f>FromModel!$B$9-12+ROW()-4</f>
        <v>27</v>
      </c>
      <c r="D13" cm="1">
        <f t="array" ref="D13">INDEX(RegCalc!$B$10:$B$45,C13)</f>
        <v>54614</v>
      </c>
      <c r="E13" cm="1">
        <f t="array" ref="E13">INDEX(RegCalc!$C$10:$C$45,C13)</f>
        <v>378262.60000000003</v>
      </c>
      <c r="F13">
        <f t="shared" si="0"/>
        <v>6.926110521111803</v>
      </c>
    </row>
    <row r="14" spans="2:7" x14ac:dyDescent="0.25">
      <c r="C14">
        <f>FromModel!$B$9-12+ROW()-4</f>
        <v>28</v>
      </c>
      <c r="D14" cm="1">
        <f t="array" ref="D14">INDEX(RegCalc!$B$10:$B$45,C14)</f>
        <v>54896</v>
      </c>
      <c r="E14" cm="1">
        <f t="array" ref="E14">INDEX(RegCalc!$C$10:$C$45,C14)</f>
        <v>380278.8</v>
      </c>
      <c r="F14">
        <f t="shared" si="0"/>
        <v>6.9272588166715243</v>
      </c>
    </row>
    <row r="15" spans="2:7" x14ac:dyDescent="0.25">
      <c r="C15">
        <f>FromModel!$B$9-12+ROW()-4</f>
        <v>29</v>
      </c>
      <c r="D15" cm="1">
        <f t="array" ref="D15">INDEX(RegCalc!$B$10:$B$45,C15)</f>
        <v>55178</v>
      </c>
      <c r="E15" cm="1">
        <f t="array" ref="E15">INDEX(RegCalc!$C$10:$C$45,C15)</f>
        <v>383328.10000000003</v>
      </c>
      <c r="F15">
        <f t="shared" si="0"/>
        <v>6.9471184167603033</v>
      </c>
    </row>
    <row r="16" spans="2:7" x14ac:dyDescent="0.25">
      <c r="C16">
        <f>FromModel!$B$9-12+ROW()-4</f>
        <v>30</v>
      </c>
      <c r="D16" cm="1">
        <f t="array" ref="D16">INDEX(RegCalc!$B$10:$B$45,C16)</f>
        <v>55460</v>
      </c>
      <c r="E16" cm="1">
        <f t="array" ref="E16">INDEX(RegCalc!$C$10:$C$45,C16)</f>
        <v>385668.4</v>
      </c>
      <c r="F16">
        <f t="shared" si="0"/>
        <v>6.9539920663541297</v>
      </c>
      <c r="G16" t="s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2AFCC-A14A-4056-B16E-C2FD66480A70}">
  <dimension ref="B2:G9"/>
  <sheetViews>
    <sheetView tabSelected="1" workbookViewId="0"/>
  </sheetViews>
  <sheetFormatPr defaultRowHeight="12.5" x14ac:dyDescent="0.25"/>
  <sheetData>
    <row r="2" spans="2:7" x14ac:dyDescent="0.25">
      <c r="B2" t="s">
        <v>40</v>
      </c>
    </row>
    <row r="3" spans="2:7" x14ac:dyDescent="0.25">
      <c r="C3" t="str">
        <f>"Peer gap by region"</f>
        <v>Peer gap by region</v>
      </c>
    </row>
    <row r="4" spans="2:7" x14ac:dyDescent="0.25">
      <c r="C4" t="s">
        <v>0</v>
      </c>
      <c r="D4" t="s">
        <v>19</v>
      </c>
      <c r="E4" t="s">
        <v>27</v>
      </c>
      <c r="F4" t="s">
        <v>14</v>
      </c>
    </row>
    <row r="5" spans="2:7" x14ac:dyDescent="0.25">
      <c r="C5" t="str">
        <f>RegCalc!A2</f>
        <v>Nord-Ovest</v>
      </c>
      <c r="D5">
        <f>RegCalc!C2</f>
        <v>48171.1</v>
      </c>
      <c r="E5">
        <f>RegCalc!G2</f>
        <v>2471.5000000000027</v>
      </c>
      <c r="F5">
        <f>COUNTIF(FromModel!$B$12:$B$31,C5)</f>
        <v>4</v>
      </c>
    </row>
    <row r="6" spans="2:7" x14ac:dyDescent="0.25">
      <c r="C6" t="str">
        <f>RegCalc!A3</f>
        <v>Nord-Est</v>
      </c>
      <c r="D6">
        <f>RegCalc!C3</f>
        <v>75492</v>
      </c>
      <c r="E6">
        <f>RegCalc!G3</f>
        <v>4092.3000000000056</v>
      </c>
      <c r="F6">
        <f>COUNTIF(FromModel!$B$12:$B$31,C6)</f>
        <v>4</v>
      </c>
    </row>
    <row r="7" spans="2:7" x14ac:dyDescent="0.25">
      <c r="C7" t="str">
        <f>RegCalc!A4</f>
        <v>Centro</v>
      </c>
      <c r="D7">
        <f>RegCalc!C4</f>
        <v>108595</v>
      </c>
      <c r="E7">
        <f>RegCalc!G4</f>
        <v>5857.8999999999978</v>
      </c>
      <c r="F7">
        <f>COUNTIF(FromModel!$B$12:$B$31,C7)</f>
        <v>6</v>
      </c>
    </row>
    <row r="8" spans="2:7" x14ac:dyDescent="0.25">
      <c r="C8" t="str">
        <f>RegCalc!A5</f>
        <v>Sud</v>
      </c>
      <c r="D8">
        <f>RegCalc!C5</f>
        <v>80616.5</v>
      </c>
      <c r="E8">
        <f>RegCalc!G5</f>
        <v>4076.4000000000015</v>
      </c>
      <c r="F8">
        <f>COUNTIF(FromModel!$B$12:$B$31,C8)</f>
        <v>4</v>
      </c>
    </row>
    <row r="9" spans="2:7" x14ac:dyDescent="0.25">
      <c r="C9" t="str">
        <f>RegCalc!A6</f>
        <v>Isole</v>
      </c>
      <c r="D9">
        <f>RegCalc!C6</f>
        <v>53134</v>
      </c>
      <c r="E9">
        <f>RegCalc!G6</f>
        <v>3161.7000000000044</v>
      </c>
      <c r="F9">
        <f>COUNTIF(FromModel!$B$12:$B$31,C9)</f>
        <v>2</v>
      </c>
      <c r="G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RegMaster</vt:lpstr>
      <vt:lpstr>RegTargets</vt:lpstr>
      <vt:lpstr>FromModel</vt:lpstr>
      <vt:lpstr>FromPeers</vt:lpstr>
      <vt:lpstr>RegCalc</vt:lpstr>
      <vt:lpstr>Summary</vt:lpstr>
      <vt:lpstr>SLIDE Region Overview</vt:lpstr>
      <vt:lpstr>SLIDE Region Trend</vt:lpstr>
      <vt:lpstr>SLIDE Region Peers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2026-10-17T11:54:41Z</dcterms:created>
  <dcterms:modified xsi:type="dcterms:W3CDTF">2026-10-17T11:54:47Z</dcterms:modified>
</cp:coreProperties>
</file>