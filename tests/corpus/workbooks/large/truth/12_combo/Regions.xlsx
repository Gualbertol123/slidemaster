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6A1D1306-45D2-47D3-8BE6-CB15B922B8E7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A22" i="3"/>
  <c r="B21" i="3"/>
  <c r="A17" i="3"/>
  <c r="B14" i="3"/>
  <c r="C40" i="5" a="1"/>
  <c r="C40" i="5" s="1"/>
  <c r="D40" i="5" s="1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B23" i="5" a="1"/>
  <c r="B23" i="5" s="1"/>
  <c r="B15" i="5" a="1"/>
  <c r="B15" i="5" s="1"/>
  <c r="C7" i="7"/>
  <c r="C3" i="8"/>
  <c r="B38" i="5" a="1"/>
  <c r="B38" i="5" s="1"/>
  <c r="B30" i="5" a="1"/>
  <c r="B30" i="5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B29" i="5" a="1"/>
  <c r="B29" i="5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B28" i="5" a="1"/>
  <c r="B28" i="5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D13" i="8" l="1" a="1"/>
  <c r="D13" i="8" s="1"/>
  <c r="D8" i="8" a="1"/>
  <c r="D8" i="8" s="1"/>
  <c r="D7" i="8" a="1"/>
  <c r="D7" i="8" s="1"/>
  <c r="C14" i="3"/>
  <c r="D5" i="8" a="1"/>
  <c r="D5" i="8" s="1"/>
  <c r="D6" i="8" a="1"/>
  <c r="D6" i="8" s="1"/>
  <c r="D14" i="8" a="1"/>
  <c r="D14" i="8" s="1"/>
  <c r="C13" i="3"/>
  <c r="C19" i="3"/>
  <c r="B30" i="3"/>
  <c r="C30" i="3"/>
  <c r="C20" i="3"/>
  <c r="E5" i="8" a="1"/>
  <c r="E5" i="8" s="1"/>
  <c r="F5" i="8" s="1"/>
  <c r="B19" i="3"/>
  <c r="E7" i="8" a="1"/>
  <c r="E7" i="8" s="1"/>
  <c r="F7" i="8" s="1"/>
  <c r="E6" i="8" a="1"/>
  <c r="E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E10" i="8" l="1" a="1"/>
  <c r="E10" i="8" s="1"/>
  <c r="F6" i="8"/>
  <c r="F12" i="8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9" i="4" l="1"/>
  <c r="C19" i="4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H4" i="5"/>
  <c r="H7" i="7" s="1"/>
  <c r="G2" i="5"/>
  <c r="B24" i="4"/>
  <c r="B4" i="6" s="1"/>
  <c r="H6" i="5"/>
  <c r="H9" i="7" s="1"/>
  <c r="H3" i="5"/>
  <c r="H6" i="7" s="1"/>
  <c r="G5" i="5"/>
  <c r="B5" i="6" s="1"/>
  <c r="E8" i="9" l="1"/>
  <c r="H5" i="5"/>
  <c r="H8" i="7" s="1"/>
  <c r="E5" i="9"/>
  <c r="H2" i="5"/>
  <c r="H5" i="7" s="1"/>
  <c r="B25" i="4" l="1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<sst xmlns="http://schemas.openxmlformats.org/spreadsheetml/2006/main" count="76" uniqueCount="41">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</sst>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18</v>
          </cell>
        </row>
        <row r="5">
          <cell r="B5" t="str">
            <v>Sud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6798.5</v>
          </cell>
        </row>
        <row r="3">
          <cell r="A3" t="str">
            <v>Banca Adriatica</v>
          </cell>
          <cell r="B3" t="str">
            <v>Nord-Est</v>
          </cell>
          <cell r="C3">
            <v>7958.7</v>
          </cell>
        </row>
        <row r="4">
          <cell r="A4" t="str">
            <v>Banca Tirrena</v>
          </cell>
          <cell r="B4" t="str">
            <v>Centro</v>
          </cell>
          <cell r="C4">
            <v>9113.2999999999993</v>
          </cell>
        </row>
        <row r="5">
          <cell r="A5" t="str">
            <v>Banca Padana</v>
          </cell>
          <cell r="B5" t="str">
            <v>Nord-Ovest</v>
          </cell>
          <cell r="C5">
            <v>10267.6</v>
          </cell>
        </row>
        <row r="6">
          <cell r="A6" t="str">
            <v>Banca Etrusca</v>
          </cell>
          <cell r="B6" t="str">
            <v>Centro</v>
          </cell>
          <cell r="C6">
            <v>11395</v>
          </cell>
        </row>
        <row r="7">
          <cell r="A7" t="str">
            <v>Banca Lariana</v>
          </cell>
          <cell r="B7" t="str">
            <v>Nord-Ovest</v>
          </cell>
          <cell r="C7">
            <v>12562.7</v>
          </cell>
        </row>
        <row r="8">
          <cell r="A8" t="str">
            <v>Banca Sabina</v>
          </cell>
          <cell r="B8" t="str">
            <v>Centro</v>
          </cell>
          <cell r="C8">
            <v>13727.2</v>
          </cell>
        </row>
        <row r="9">
          <cell r="A9" t="str">
            <v>Banca Irpina</v>
          </cell>
          <cell r="B9" t="str">
            <v>Sud</v>
          </cell>
          <cell r="C9">
            <v>14918.2</v>
          </cell>
        </row>
        <row r="10">
          <cell r="A10" t="str">
            <v>Banca Sannita</v>
          </cell>
          <cell r="B10" t="str">
            <v>Sud</v>
          </cell>
          <cell r="C10">
            <v>16079.5</v>
          </cell>
        </row>
        <row r="11">
          <cell r="A11" t="str">
            <v>Banca Ligure</v>
          </cell>
          <cell r="B11" t="str">
            <v>Nord-Ovest</v>
          </cell>
          <cell r="C11">
            <v>17142.600000000002</v>
          </cell>
        </row>
        <row r="12">
          <cell r="A12" t="str">
            <v>Banca Veneta</v>
          </cell>
          <cell r="B12" t="str">
            <v>Nord-Est</v>
          </cell>
          <cell r="C12">
            <v>18454.5</v>
          </cell>
        </row>
        <row r="13">
          <cell r="A13" t="str">
            <v>Banca Friulana</v>
          </cell>
          <cell r="B13" t="str">
            <v>Nord-Est</v>
          </cell>
          <cell r="C13">
            <v>19546.399999999998</v>
          </cell>
        </row>
        <row r="14">
          <cell r="A14" t="str">
            <v>Banca Umbra</v>
          </cell>
          <cell r="B14" t="str">
            <v>Centro</v>
          </cell>
          <cell r="C14">
            <v>20600.5</v>
          </cell>
        </row>
        <row r="15">
          <cell r="A15" t="str">
            <v>Banca Marchigiana</v>
          </cell>
          <cell r="B15" t="str">
            <v>Centro</v>
          </cell>
          <cell r="C15">
            <v>21844.999999999996</v>
          </cell>
        </row>
        <row r="16">
          <cell r="A16" t="str">
            <v>Banca Lucana</v>
          </cell>
          <cell r="B16" t="str">
            <v>Sud</v>
          </cell>
          <cell r="C16">
            <v>22950.5</v>
          </cell>
        </row>
        <row r="17">
          <cell r="A17" t="str">
            <v>Banca Calabra</v>
          </cell>
          <cell r="B17" t="str">
            <v>Sud</v>
          </cell>
          <cell r="C17">
            <v>24210.6</v>
          </cell>
        </row>
        <row r="18">
          <cell r="A18" t="str">
            <v>Banca Sicula</v>
          </cell>
          <cell r="B18" t="str">
            <v>Isole</v>
          </cell>
          <cell r="C18">
            <v>25351.600000000002</v>
          </cell>
        </row>
        <row r="19">
          <cell r="A19" t="str">
            <v>Banca Sarda</v>
          </cell>
          <cell r="B19" t="str">
            <v>Isole</v>
          </cell>
          <cell r="C19">
            <v>26492.400000000001</v>
          </cell>
        </row>
        <row r="20">
          <cell r="A20" t="str">
            <v>Banca Romagnola</v>
          </cell>
          <cell r="B20" t="str">
            <v>Nord-Est</v>
          </cell>
          <cell r="C20">
            <v>27612.3</v>
          </cell>
        </row>
        <row r="21">
          <cell r="A21" t="str">
            <v>Banca Città</v>
          </cell>
          <cell r="B21" t="str">
            <v>Centro</v>
          </cell>
          <cell r="C21">
            <v>28772.399999999998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46771.4</v>
          </cell>
          <cell r="E2">
            <v>997.95</v>
          </cell>
        </row>
        <row r="3">
          <cell r="A3" t="str">
            <v>Nord-Est</v>
          </cell>
          <cell r="B3">
            <v>4</v>
          </cell>
          <cell r="C3">
            <v>73571.899999999994</v>
          </cell>
          <cell r="E3">
            <v>1569.54</v>
          </cell>
        </row>
        <row r="4">
          <cell r="A4" t="str">
            <v>Centro</v>
          </cell>
          <cell r="B4">
            <v>6</v>
          </cell>
          <cell r="C4">
            <v>105453.40000000002</v>
          </cell>
          <cell r="E4">
            <v>2249.5700000000002</v>
          </cell>
        </row>
        <row r="5">
          <cell r="A5" t="str">
            <v>Sud</v>
          </cell>
          <cell r="B5">
            <v>4</v>
          </cell>
          <cell r="C5">
            <v>78158.8</v>
          </cell>
          <cell r="E5">
            <v>1669.4</v>
          </cell>
        </row>
        <row r="6">
          <cell r="A6" t="str">
            <v>Isole</v>
          </cell>
          <cell r="B6">
            <v>2</v>
          </cell>
          <cell r="C6">
            <v>51844</v>
          </cell>
          <cell r="E6">
            <v>1105.7599999999998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6323.7</v>
          </cell>
          <cell r="E2">
            <v>474.80000000000018</v>
          </cell>
          <cell r="G2" t="str">
            <v>G1</v>
          </cell>
        </row>
        <row r="3">
          <cell r="A3" t="str">
            <v>Banca Adriatica</v>
          </cell>
          <cell r="C3">
            <v>7709.2</v>
          </cell>
          <cell r="E3">
            <v>249.5</v>
          </cell>
          <cell r="G3" t="str">
            <v>G2</v>
          </cell>
        </row>
        <row r="4">
          <cell r="A4" t="str">
            <v>Banca Tirrena</v>
          </cell>
          <cell r="C4">
            <v>8614</v>
          </cell>
          <cell r="E4">
            <v>499.29999999999927</v>
          </cell>
          <cell r="G4" t="str">
            <v>G3</v>
          </cell>
        </row>
        <row r="5">
          <cell r="A5" t="str">
            <v>Banca Padana</v>
          </cell>
          <cell r="C5">
            <v>9793.2999999999993</v>
          </cell>
          <cell r="E5">
            <v>474.30000000000109</v>
          </cell>
          <cell r="G5" t="str">
            <v>G4</v>
          </cell>
        </row>
        <row r="6">
          <cell r="A6" t="str">
            <v>Banca Etrusca</v>
          </cell>
          <cell r="C6">
            <v>10921.7</v>
          </cell>
          <cell r="E6">
            <v>473.29999999999927</v>
          </cell>
          <cell r="G6" t="str">
            <v>G1</v>
          </cell>
        </row>
        <row r="7">
          <cell r="A7" t="str">
            <v>Banca Lariana</v>
          </cell>
          <cell r="C7">
            <v>12114.9</v>
          </cell>
          <cell r="E7">
            <v>447.80000000000109</v>
          </cell>
          <cell r="G7" t="str">
            <v>G2</v>
          </cell>
        </row>
        <row r="8">
          <cell r="A8" t="str">
            <v>Banca Sabina</v>
          </cell>
          <cell r="C8">
            <v>12964.3</v>
          </cell>
          <cell r="E8">
            <v>762.90000000000146</v>
          </cell>
          <cell r="G8" t="str">
            <v>G3</v>
          </cell>
        </row>
        <row r="9">
          <cell r="A9" t="str">
            <v>Banca Irpina</v>
          </cell>
          <cell r="C9">
            <v>14038</v>
          </cell>
          <cell r="E9">
            <v>880.20000000000073</v>
          </cell>
          <cell r="G9" t="str">
            <v>G4</v>
          </cell>
        </row>
        <row r="10">
          <cell r="A10" t="str">
            <v>Banca Sannita</v>
          </cell>
          <cell r="C10">
            <v>15275.1</v>
          </cell>
          <cell r="E10">
            <v>804.39999999999964</v>
          </cell>
          <cell r="G10" t="str">
            <v>G1</v>
          </cell>
        </row>
        <row r="11">
          <cell r="A11" t="str">
            <v>Banca Ligure</v>
          </cell>
          <cell r="C11">
            <v>16243.5</v>
          </cell>
          <cell r="E11">
            <v>899.10000000000218</v>
          </cell>
          <cell r="G11" t="str">
            <v>G2</v>
          </cell>
        </row>
        <row r="12">
          <cell r="A12" t="str">
            <v>Banca Veneta</v>
          </cell>
          <cell r="C12">
            <v>17446.099999999999</v>
          </cell>
          <cell r="E12">
            <v>1008.4000000000015</v>
          </cell>
          <cell r="G12" t="str">
            <v>G3</v>
          </cell>
        </row>
        <row r="13">
          <cell r="A13" t="str">
            <v>Banca Friulana</v>
          </cell>
          <cell r="C13">
            <v>18586.900000000001</v>
          </cell>
          <cell r="E13">
            <v>959.49999999999636</v>
          </cell>
          <cell r="G13" t="str">
            <v>G4</v>
          </cell>
        </row>
        <row r="14">
          <cell r="A14" t="str">
            <v>Banca Umbra</v>
          </cell>
          <cell r="C14">
            <v>19786.3</v>
          </cell>
          <cell r="E14">
            <v>814.20000000000073</v>
          </cell>
          <cell r="G14" t="str">
            <v>G1</v>
          </cell>
        </row>
        <row r="15">
          <cell r="A15" t="str">
            <v>Banca Marchigiana</v>
          </cell>
          <cell r="C15">
            <v>20887.599999999999</v>
          </cell>
          <cell r="E15">
            <v>957.39999999999782</v>
          </cell>
          <cell r="G15" t="str">
            <v>G2</v>
          </cell>
        </row>
        <row r="16">
          <cell r="A16" t="str">
            <v>Banca Lucana</v>
          </cell>
          <cell r="C16">
            <v>21864.2</v>
          </cell>
          <cell r="E16">
            <v>1086.2999999999993</v>
          </cell>
          <cell r="G16" t="str">
            <v>G3</v>
          </cell>
        </row>
        <row r="17">
          <cell r="A17" t="str">
            <v>Banca Calabra</v>
          </cell>
          <cell r="C17">
            <v>22871.7</v>
          </cell>
          <cell r="E17">
            <v>1338.8999999999978</v>
          </cell>
          <cell r="G17" t="str">
            <v>G4</v>
          </cell>
        </row>
        <row r="18">
          <cell r="A18" t="str">
            <v>Banca Sicula</v>
          </cell>
          <cell r="C18">
            <v>24056.9</v>
          </cell>
          <cell r="E18">
            <v>1294.7000000000007</v>
          </cell>
          <cell r="G18" t="str">
            <v>G1</v>
          </cell>
        </row>
        <row r="19">
          <cell r="A19" t="str">
            <v>Banca Sarda</v>
          </cell>
          <cell r="C19">
            <v>25208</v>
          </cell>
          <cell r="E19">
            <v>1284.4000000000015</v>
          </cell>
          <cell r="G19" t="str">
            <v>G2</v>
          </cell>
        </row>
        <row r="20">
          <cell r="A20" t="str">
            <v>Banca Romagnola</v>
          </cell>
          <cell r="C20">
            <v>26129.7</v>
          </cell>
          <cell r="E20">
            <v>1482.5999999999985</v>
          </cell>
          <cell r="G20" t="str">
            <v>G3</v>
          </cell>
        </row>
        <row r="21">
          <cell r="A21" t="str">
            <v>Banca Città</v>
          </cell>
          <cell r="C21">
            <v>27587.9</v>
          </cell>
          <cell r="E21">
            <v>1184.4999999999964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9</v>
          </cell>
        </row>
        <row r="4">
          <cell r="B4">
            <v>17376.499999999996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46771.4</v>
      </c>
      <c r="D2">
        <f>[1]Calc_Region!E2</f>
        <v>997.95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73571.899999999994</v>
      </c>
      <c r="D3">
        <f>[1]Calc_Region!E3</f>
        <v>1569.54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105453.40000000002</v>
      </c>
      <c r="D4">
        <f>[1]Calc_Region!E4</f>
        <v>2249.5700000000002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78158.8</v>
      </c>
      <c r="D5">
        <f>[1]Calc_Region!E5</f>
        <v>1669.4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51844</v>
      </c>
      <c r="D6">
        <f>[1]Calc_Region!E6</f>
        <v>1105.7599999999998</v>
      </c>
    </row>
    <row r="9" spans="1:4" x14ac:dyDescent="0.25">
      <c r="A9" t="s">
        <v>17</v>
      </c>
      <c r="B9">
        <f>[1]Control!$B$3</f>
        <v>18</v>
      </c>
    </row>
    <row r="10" spans="1:4" x14ac:dyDescent="0.25">
      <c r="A10" t="s">
        <v>0</v>
      </c>
      <c r="B10" t="str">
        <f>[1]Control!$B$5</f>
        <v>Sud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6798.5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7958.7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9113.2999999999993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10267.6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11395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12562.7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13727.2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14918.2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16079.5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17142.600000000002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18454.5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19546.399999999998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20600.5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21844.999999999996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22950.5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24210.6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25351.600000000002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26492.400000000001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27612.3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28772.399999999998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6323.7</v>
      </c>
      <c r="C2">
        <f>[2]Compare!E2</f>
        <v>474.80000000000018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7709.2</v>
      </c>
      <c r="C3">
        <f>[2]Compare!E3</f>
        <v>249.5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8614</v>
      </c>
      <c r="C4">
        <f>[2]Compare!E4</f>
        <v>499.29999999999927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9793.2999999999993</v>
      </c>
      <c r="C5">
        <f>[2]Compare!E5</f>
        <v>474.30000000000109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10921.7</v>
      </c>
      <c r="C6">
        <f>[2]Compare!E6</f>
        <v>473.29999999999927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12114.9</v>
      </c>
      <c r="C7">
        <f>[2]Compare!E7</f>
        <v>447.80000000000109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12964.3</v>
      </c>
      <c r="C8">
        <f>[2]Compare!E8</f>
        <v>762.90000000000146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14038</v>
      </c>
      <c r="C9">
        <f>[2]Compare!E9</f>
        <v>880.20000000000073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15275.1</v>
      </c>
      <c r="C10">
        <f>[2]Compare!E10</f>
        <v>804.39999999999964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16243.5</v>
      </c>
      <c r="C11">
        <f>[2]Compare!E11</f>
        <v>899.10000000000218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17446.099999999999</v>
      </c>
      <c r="C12">
        <f>[2]Compare!E12</f>
        <v>1008.4000000000015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18586.900000000001</v>
      </c>
      <c r="C13">
        <f>[2]Compare!E13</f>
        <v>959.49999999999636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19786.3</v>
      </c>
      <c r="C14">
        <f>[2]Compare!E14</f>
        <v>814.20000000000073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20887.599999999999</v>
      </c>
      <c r="C15">
        <f>[2]Compare!E15</f>
        <v>957.39999999999782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21864.2</v>
      </c>
      <c r="C16">
        <f>[2]Compare!E16</f>
        <v>1086.2999999999993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22871.7</v>
      </c>
      <c r="C17">
        <f>[2]Compare!E17</f>
        <v>1338.8999999999978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24056.9</v>
      </c>
      <c r="C18">
        <f>[2]Compare!E18</f>
        <v>1294.7000000000007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25208</v>
      </c>
      <c r="C19">
        <f>[2]Compare!E19</f>
        <v>1284.4000000000015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26129.7</v>
      </c>
      <c r="C20">
        <f>[2]Compare!E20</f>
        <v>1482.5999999999985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27587.9</v>
      </c>
      <c r="C21">
        <f>[2]Compare!E21</f>
        <v>1184.4999999999964</v>
      </c>
      <c r="D21" t="str">
        <f>[2]Compare!G21</f>
        <v>G4</v>
      </c>
    </row>
    <row r="24" spans="1:4" x14ac:dyDescent="0.25">
      <c r="A24" t="s">
        <v>22</v>
      </c>
      <c r="B24">
        <f>[2]Summary!B4</f>
        <v>17376.499999999996</v>
      </c>
    </row>
    <row r="25" spans="1:4" x14ac:dyDescent="0.25">
      <c r="A25" t="s">
        <v>23</v>
      </c>
      <c r="B25">
        <f>[2]Summary!$B$3</f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46771.4</v>
      </c>
      <c r="C2">
        <f>SUMIFS(FromPeers!$B$2:$B$21,FromModel!$B$12:$B$31,A2)</f>
        <v>44475.4</v>
      </c>
      <c r="D2" cm="1">
        <f t="array" ref="D2">INDEX(RegTargets!$B$2:$AK$6,MATCH(A2,RegTargets!$A$2:$A$6,0),FromModel!$B$9)</f>
        <v>46536</v>
      </c>
      <c r="E2">
        <f t="shared" ref="E2:E6" si="0">B2-D2</f>
        <v>235.40000000000146</v>
      </c>
      <c r="F2">
        <f t="shared" ref="F2:F6" si="1">B2/SUM($B$2:$B$6)</f>
        <v>0.13145437247663361</v>
      </c>
      <c r="G2">
        <f>SUMIFS(FromPeers!$C$2:$C$21,FromModel!$B$12:$B$31,A2)</f>
        <v>2296.0000000000045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73571.899999999994</v>
      </c>
      <c r="C3">
        <f>SUMIFS(FromPeers!$B$2:$B$21,FromModel!$B$12:$B$31,A3)</f>
        <v>69871.899999999994</v>
      </c>
      <c r="D3" cm="1">
        <f t="array" ref="D3">INDEX(RegTargets!$B$2:$AK$6,MATCH(A3,RegTargets!$A$2:$A$6,0),FromModel!$B$9)</f>
        <v>33240</v>
      </c>
      <c r="E3">
        <f t="shared" si="0"/>
        <v>40331.899999999994</v>
      </c>
      <c r="F3">
        <f t="shared" si="1"/>
        <v>0.20677909890261226</v>
      </c>
      <c r="G3">
        <f>SUMIFS(FromPeers!$C$2:$C$21,FromModel!$B$12:$B$31,A3)</f>
        <v>3699.9999999999964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105453.40000000002</v>
      </c>
      <c r="C4">
        <f>SUMIFS(FromPeers!$B$2:$B$21,FromModel!$B$12:$B$31,A4)</f>
        <v>100761.79999999999</v>
      </c>
      <c r="D4" cm="1">
        <f t="array" ref="D4">INDEX(RegTargets!$B$2:$AK$6,MATCH(A4,RegTargets!$A$2:$A$6,0),FromModel!$B$9)</f>
        <v>52076</v>
      </c>
      <c r="E4">
        <f t="shared" si="0"/>
        <v>53377.400000000023</v>
      </c>
      <c r="F4">
        <f t="shared" si="1"/>
        <v>0.29638434005668929</v>
      </c>
      <c r="G4">
        <f>SUMIFS(FromPeers!$C$2:$C$21,FromModel!$B$12:$B$31,A4)</f>
        <v>4691.5999999999949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/>
      </c>
    </row>
    <row r="5" spans="1:11" x14ac:dyDescent="0.25">
      <c r="A5" t="str">
        <f>RegMaster!A5</f>
        <v>Sud</v>
      </c>
      <c r="B5">
        <f>_xlfn.XLOOKUP(A5,FromModel!$A$2:$A$6,FromModel!$C$2:$C$6)</f>
        <v>78158.8</v>
      </c>
      <c r="C5">
        <f>SUMIFS(FromPeers!$B$2:$B$21,FromModel!$B$12:$B$31,A5)</f>
        <v>74049</v>
      </c>
      <c r="D5" cm="1">
        <f t="array" ref="D5">INDEX(RegTargets!$B$2:$AK$6,MATCH(A5,RegTargets!$A$2:$A$6,0),FromModel!$B$9)</f>
        <v>28808</v>
      </c>
      <c r="E5">
        <f t="shared" si="0"/>
        <v>49350.8</v>
      </c>
      <c r="F5">
        <f t="shared" si="1"/>
        <v>0.21967091016148141</v>
      </c>
      <c r="G5">
        <f>SUMIFS(FromPeers!$C$2:$C$21,FromModel!$B$12:$B$31,A5)</f>
        <v>4109.7999999999975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>*</v>
      </c>
    </row>
    <row r="6" spans="1:11" x14ac:dyDescent="0.25">
      <c r="A6" t="str">
        <f>RegMaster!A6</f>
        <v>Isole</v>
      </c>
      <c r="B6">
        <f>_xlfn.XLOOKUP(A6,FromModel!$A$2:$A$6,FromModel!$C$2:$C$6)</f>
        <v>51844</v>
      </c>
      <c r="C6">
        <f>SUMIFS(FromPeers!$B$2:$B$21,FromModel!$B$12:$B$31,A6)</f>
        <v>49264.9</v>
      </c>
      <c r="D6" cm="1">
        <f t="array" ref="D6">INDEX(RegTargets!$B$2:$AK$6,MATCH(A6,RegTargets!$A$2:$A$6,0),FromModel!$B$9)</f>
        <v>17728</v>
      </c>
      <c r="E6">
        <f t="shared" si="0"/>
        <v>34116</v>
      </c>
      <c r="F6">
        <f t="shared" si="1"/>
        <v>0.14571127840258347</v>
      </c>
      <c r="G6">
        <f>SUMIFS(FromPeers!$C$2:$C$21,FromModel!$B$12:$B$31,A6)</f>
        <v>2579.1000000000022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26156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26312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26468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26624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26780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26936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27092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27248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27404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27560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27716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27872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28028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28184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28340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28496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28652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28808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28964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29120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29276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29432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29588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29744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29900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30056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30212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30368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30524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30680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30836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30992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31148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31304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31460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31616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355799.5</v>
      </c>
    </row>
    <row r="3" spans="1:2" x14ac:dyDescent="0.25">
      <c r="A3" t="s">
        <v>36</v>
      </c>
      <c r="B3">
        <f>_xlfn.XLOOKUP(FromModel!B10,RegCalc!A2:A6,RegCalc!E2:E6,"n/a")</f>
        <v>49350.8</v>
      </c>
    </row>
    <row r="4" spans="1:2" x14ac:dyDescent="0.25">
      <c r="A4" t="s">
        <v>37</v>
      </c>
      <c r="B4">
        <f>FromPeers!B24*1</f>
        <v>17376.499999999996</v>
      </c>
    </row>
    <row r="5" spans="1:2" x14ac:dyDescent="0.25">
      <c r="A5" t="s">
        <v>38</v>
      </c>
      <c r="B5">
        <f>_xlfn.XLOOKUP(FromModel!B10,RegCalc!A2:A6,RegCalc!G2:G6,"n/a")</f>
        <v>4109.7999999999975</v>
      </c>
    </row>
    <row r="6" spans="1:2" x14ac:dyDescent="0.25">
      <c r="A6" t="s">
        <v>23</v>
      </c>
      <c r="B6">
        <f>FromPeers!B25</f>
        <v>9</v>
      </c>
    </row>
    <row r="7" spans="1:2" x14ac:dyDescent="0.25">
      <c r="A7" t="s">
        <v>39</v>
      </c>
      <c r="B7" t="str">
        <f>FromModel!B10</f>
        <v>Sud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18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46771.4</v>
      </c>
      <c r="E5">
        <f>RegCalc!D2</f>
        <v>46536</v>
      </c>
      <c r="F5">
        <f>RegCalc!E2</f>
        <v>235.40000000000146</v>
      </c>
      <c r="G5">
        <f>RegCalc!F2</f>
        <v>0.13145437247663361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73571.899999999994</v>
      </c>
      <c r="E6">
        <f>RegCalc!D3</f>
        <v>33240</v>
      </c>
      <c r="F6">
        <f>RegCalc!E3</f>
        <v>40331.899999999994</v>
      </c>
      <c r="G6">
        <f>RegCalc!F3</f>
        <v>0.20677909890261226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105453.40000000002</v>
      </c>
      <c r="E7">
        <f>RegCalc!D4</f>
        <v>52076</v>
      </c>
      <c r="F7">
        <f>RegCalc!E4</f>
        <v>53377.400000000023</v>
      </c>
      <c r="G7">
        <f>RegCalc!F4</f>
        <v>0.29638434005668929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78158.8</v>
      </c>
      <c r="E8">
        <f>RegCalc!D5</f>
        <v>28808</v>
      </c>
      <c r="F8">
        <f>RegCalc!E5</f>
        <v>49350.8</v>
      </c>
      <c r="G8">
        <f>RegCalc!F5</f>
        <v>0.21967091016148141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51844</v>
      </c>
      <c r="E9">
        <f>RegCalc!D6</f>
        <v>17728</v>
      </c>
      <c r="F9">
        <f>RegCalc!E6</f>
        <v>34116</v>
      </c>
      <c r="G9">
        <f>RegCalc!F6</f>
        <v>0.14571127840258347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Sud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7</v>
      </c>
      <c r="D5" cm="1">
        <f t="array" ref="D5">INDEX(RegCalc!$B$10:$B$45,C5)</f>
        <v>27092</v>
      </c>
      <c r="E5" cm="1">
        <f t="array" ref="E5">INDEX(RegCalc!$C$10:$C$45,C5)</f>
        <v>328451.69999999995</v>
      </c>
      <c r="F5">
        <f t="shared" ref="F5:F16" si="0">IFERROR(E5/D5,0)</f>
        <v>12.123567842905652</v>
      </c>
    </row>
    <row r="6" spans="2:7" x14ac:dyDescent="0.25">
      <c r="C6">
        <f>FromModel!$B$9-12+ROW()-4</f>
        <v>8</v>
      </c>
      <c r="D6" cm="1">
        <f t="array" ref="D6">INDEX(RegCalc!$B$10:$B$45,C6)</f>
        <v>27248</v>
      </c>
      <c r="E6" cm="1">
        <f t="array" ref="E6">INDEX(RegCalc!$C$10:$C$45,C6)</f>
        <v>330859.39999999997</v>
      </c>
      <c r="F6">
        <f t="shared" si="0"/>
        <v>12.142520551967115</v>
      </c>
    </row>
    <row r="7" spans="2:7" x14ac:dyDescent="0.25">
      <c r="C7">
        <f>FromModel!$B$9-12+ROW()-4</f>
        <v>9</v>
      </c>
      <c r="D7" cm="1">
        <f t="array" ref="D7">INDEX(RegCalc!$B$10:$B$45,C7)</f>
        <v>27404</v>
      </c>
      <c r="E7" cm="1">
        <f t="array" ref="E7">INDEX(RegCalc!$C$10:$C$45,C7)</f>
        <v>333869.20000000007</v>
      </c>
      <c r="F7">
        <f t="shared" si="0"/>
        <v>12.183228725733471</v>
      </c>
    </row>
    <row r="8" spans="2:7" x14ac:dyDescent="0.25">
      <c r="C8">
        <f>FromModel!$B$9-12+ROW()-4</f>
        <v>10</v>
      </c>
      <c r="D8" cm="1">
        <f t="array" ref="D8">INDEX(RegCalc!$B$10:$B$45,C8)</f>
        <v>27560</v>
      </c>
      <c r="E8" cm="1">
        <f t="array" ref="E8">INDEX(RegCalc!$C$10:$C$45,C8)</f>
        <v>335727.5</v>
      </c>
      <c r="F8">
        <f t="shared" si="0"/>
        <v>12.181694484760522</v>
      </c>
    </row>
    <row r="9" spans="2:7" x14ac:dyDescent="0.25">
      <c r="C9">
        <f>FromModel!$B$9-12+ROW()-4</f>
        <v>11</v>
      </c>
      <c r="D9" cm="1">
        <f t="array" ref="D9">INDEX(RegCalc!$B$10:$B$45,C9)</f>
        <v>27716</v>
      </c>
      <c r="E9" cm="1">
        <f t="array" ref="E9">INDEX(RegCalc!$C$10:$C$45,C9)</f>
        <v>338543.19999999995</v>
      </c>
      <c r="F9">
        <f t="shared" si="0"/>
        <v>12.214720738923363</v>
      </c>
    </row>
    <row r="10" spans="2:7" x14ac:dyDescent="0.25">
      <c r="C10">
        <f>FromModel!$B$9-12+ROW()-4</f>
        <v>12</v>
      </c>
      <c r="D10" cm="1">
        <f t="array" ref="D10">INDEX(RegCalc!$B$10:$B$45,C10)</f>
        <v>27872</v>
      </c>
      <c r="E10" cm="1">
        <f t="array" ref="E10">INDEX(RegCalc!$C$10:$C$45,C10)</f>
        <v>340849.5</v>
      </c>
      <c r="F10">
        <f t="shared" si="0"/>
        <v>12.22910088978186</v>
      </c>
    </row>
    <row r="11" spans="2:7" x14ac:dyDescent="0.25">
      <c r="C11">
        <f>FromModel!$B$9-12+ROW()-4</f>
        <v>13</v>
      </c>
      <c r="D11" cm="1">
        <f t="array" ref="D11">INDEX(RegCalc!$B$10:$B$45,C11)</f>
        <v>28028</v>
      </c>
      <c r="E11" cm="1">
        <f t="array" ref="E11">INDEX(RegCalc!$C$10:$C$45,C11)</f>
        <v>343560.2</v>
      </c>
      <c r="F11">
        <f t="shared" si="0"/>
        <v>12.25774939346368</v>
      </c>
    </row>
    <row r="12" spans="2:7" x14ac:dyDescent="0.25">
      <c r="C12">
        <f>FromModel!$B$9-12+ROW()-4</f>
        <v>14</v>
      </c>
      <c r="D12" cm="1">
        <f t="array" ref="D12">INDEX(RegCalc!$B$10:$B$45,C12)</f>
        <v>28184</v>
      </c>
      <c r="E12" cm="1">
        <f t="array" ref="E12">INDEX(RegCalc!$C$10:$C$45,C12)</f>
        <v>345734.8</v>
      </c>
      <c r="F12">
        <f t="shared" si="0"/>
        <v>12.267059324439398</v>
      </c>
    </row>
    <row r="13" spans="2:7" x14ac:dyDescent="0.25">
      <c r="C13">
        <f>FromModel!$B$9-12+ROW()-4</f>
        <v>15</v>
      </c>
      <c r="D13" cm="1">
        <f t="array" ref="D13">INDEX(RegCalc!$B$10:$B$45,C13)</f>
        <v>28340</v>
      </c>
      <c r="E13" cm="1">
        <f t="array" ref="E13">INDEX(RegCalc!$C$10:$C$45,C13)</f>
        <v>348188.50000000006</v>
      </c>
      <c r="F13">
        <f t="shared" si="0"/>
        <v>12.286115031757236</v>
      </c>
    </row>
    <row r="14" spans="2:7" x14ac:dyDescent="0.25">
      <c r="C14">
        <f>FromModel!$B$9-12+ROW()-4</f>
        <v>16</v>
      </c>
      <c r="D14" cm="1">
        <f t="array" ref="D14">INDEX(RegCalc!$B$10:$B$45,C14)</f>
        <v>28496</v>
      </c>
      <c r="E14" cm="1">
        <f t="array" ref="E14">INDEX(RegCalc!$C$10:$C$45,C14)</f>
        <v>350465.9</v>
      </c>
      <c r="F14">
        <f t="shared" si="0"/>
        <v>12.2987752667041</v>
      </c>
    </row>
    <row r="15" spans="2:7" x14ac:dyDescent="0.25">
      <c r="C15">
        <f>FromModel!$B$9-12+ROW()-4</f>
        <v>17</v>
      </c>
      <c r="D15" cm="1">
        <f t="array" ref="D15">INDEX(RegCalc!$B$10:$B$45,C15)</f>
        <v>28652</v>
      </c>
      <c r="E15" cm="1">
        <f t="array" ref="E15">INDEX(RegCalc!$C$10:$C$45,C15)</f>
        <v>353343.5</v>
      </c>
      <c r="F15">
        <f t="shared" si="0"/>
        <v>12.332245567499651</v>
      </c>
    </row>
    <row r="16" spans="2:7" x14ac:dyDescent="0.25">
      <c r="C16">
        <f>FromModel!$B$9-12+ROW()-4</f>
        <v>18</v>
      </c>
      <c r="D16" cm="1">
        <f t="array" ref="D16">INDEX(RegCalc!$B$10:$B$45,C16)</f>
        <v>28808</v>
      </c>
      <c r="E16" cm="1">
        <f t="array" ref="E16">INDEX(RegCalc!$C$10:$C$45,C16)</f>
        <v>355799.5</v>
      </c>
      <c r="F16">
        <f t="shared" si="0"/>
        <v>12.350718550402666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44475.4</v>
      </c>
      <c r="E5">
        <f>RegCalc!G2</f>
        <v>2296.0000000000045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69871.899999999994</v>
      </c>
      <c r="E6">
        <f>RegCalc!G3</f>
        <v>3699.9999999999964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100761.79999999999</v>
      </c>
      <c r="E7">
        <f>RegCalc!G4</f>
        <v>4691.5999999999949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74049</v>
      </c>
      <c r="E8">
        <f>RegCalc!G5</f>
        <v>4109.7999999999975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49264.9</v>
      </c>
      <c r="E9">
        <f>RegCalc!G6</f>
        <v>2579.1000000000022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2026-10-17T11:54:48Z</dcterms:modified>
</cp:coreProperties>
</file>