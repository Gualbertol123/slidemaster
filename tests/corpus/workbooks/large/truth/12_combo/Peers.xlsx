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CAB7593A-1468-4ED9-A39C-984404DB8A0B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D11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C47" i="3" a="1"/>
  <c r="C47" i="3" s="1"/>
  <c r="B53" i="3"/>
  <c r="B21" i="5" s="1"/>
  <c r="C42" i="3" a="1"/>
  <c r="C42" i="3" s="1"/>
  <c r="A26" i="3"/>
  <c r="A17" i="4" s="1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H2" i="5" s="1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B34" i="3" l="1"/>
  <c r="B2" i="5" s="1"/>
  <c r="B12" i="3"/>
  <c r="B3" i="4" s="1"/>
  <c r="B9" i="7"/>
  <c r="G28" i="5"/>
  <c r="B18" i="3"/>
  <c r="B9" i="4" s="1"/>
  <c r="D12" i="8" s="1"/>
  <c r="C11" i="3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5"/>
  <c r="H19" i="5"/>
  <c r="H8" i="5"/>
  <c r="H34" i="5"/>
  <c r="G25" i="5"/>
  <c r="H30" i="5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B19" i="3"/>
  <c r="B10" i="4" s="1"/>
  <c r="D13" i="8" s="1"/>
  <c r="H18" i="5"/>
  <c r="H17" i="5"/>
  <c r="H22" i="5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E17" i="3"/>
  <c r="B67" i="3"/>
  <c r="B35" i="5" s="1"/>
  <c r="D13" i="3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E9" i="9" a="1"/>
  <c r="E9" i="9" s="1"/>
  <c r="H26" i="5"/>
  <c r="B62" i="3"/>
  <c r="B30" i="5" s="1"/>
  <c r="D9" i="9" s="1" a="1"/>
  <c r="D9" i="9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H31" i="5"/>
  <c r="E11" i="9" a="1"/>
  <c r="E11" i="9" s="1"/>
  <c r="B20" i="3"/>
  <c r="B11" i="4" s="1"/>
  <c r="H28" i="5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H21" i="5"/>
  <c r="B26" i="3"/>
  <c r="B17" i="4" s="1"/>
  <c r="D16" i="8"/>
  <c r="H14" i="5"/>
  <c r="E7" i="9" a="1"/>
  <c r="E7" i="9" s="1"/>
  <c r="H27" i="5"/>
  <c r="H5" i="5"/>
  <c r="E6" i="9" a="1"/>
  <c r="E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D11" i="9" s="1" a="1"/>
  <c r="D11" i="9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G12" i="9" l="1" a="1"/>
  <c r="G12" i="9" s="1"/>
  <c r="D6" i="9" a="1"/>
  <c r="D6" i="9" s="1"/>
  <c r="G10" i="9" a="1"/>
  <c r="G10" i="9" s="1"/>
  <c r="D8" i="9" a="1"/>
  <c r="D8" i="9" s="1"/>
  <c r="G11" i="9" a="1"/>
  <c r="G11" i="9" s="1"/>
  <c r="G5" i="9" a="1"/>
  <c r="G5" i="9" s="1"/>
  <c r="D5" i="9" a="1"/>
  <c r="D5" i="9" s="1"/>
  <c r="F5" i="9" s="1"/>
  <c r="G9" i="9" a="1"/>
  <c r="G9" i="9" s="1"/>
  <c r="G6" i="9" a="1"/>
  <c r="G6" i="9" s="1"/>
  <c r="G7" i="9" a="1"/>
  <c r="G7" i="9" s="1"/>
  <c r="G8" i="9" a="1"/>
  <c r="G8" i="9" s="1"/>
  <c r="G13" i="9" a="1"/>
  <c r="G13" i="9" s="1"/>
  <c r="G15" i="9" a="1"/>
  <c r="G15" i="9" s="1"/>
  <c r="F10" i="9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9" i="4" l="1"/>
  <c r="F19" i="4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<sst xmlns="http://schemas.openxmlformats.org/spreadsheetml/2006/main" count="1594" uniqueCount="78">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</sst>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Sicula</v>
          </cell>
        </row>
        <row r="3">
          <cell r="B3">
            <v>18</v>
          </cell>
        </row>
        <row r="4">
          <cell r="B4">
            <v>0.05</v>
          </cell>
        </row>
        <row r="5">
          <cell r="B5" t="str">
            <v>Sud</v>
          </cell>
        </row>
        <row r="6">
          <cell r="B6">
            <v>17</v>
          </cell>
        </row>
        <row r="8">
          <cell r="B8" t="str">
            <v>Isole</v>
          </cell>
        </row>
        <row r="10">
          <cell r="B10" t="str">
            <v>giugno 2025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22352.400000000001</v>
          </cell>
          <cell r="D2">
            <v>1204.8200000000002</v>
          </cell>
        </row>
        <row r="3">
          <cell r="C3">
            <v>22527.8</v>
          </cell>
          <cell r="D3">
            <v>1214.73</v>
          </cell>
        </row>
        <row r="4">
          <cell r="C4">
            <v>22604.6</v>
          </cell>
          <cell r="D4">
            <v>1217.3400000000001</v>
          </cell>
        </row>
        <row r="5">
          <cell r="C5">
            <v>22888.9</v>
          </cell>
          <cell r="D5">
            <v>1234.55</v>
          </cell>
        </row>
        <row r="6">
          <cell r="C6">
            <v>23053.699999999997</v>
          </cell>
          <cell r="D6">
            <v>1242.24</v>
          </cell>
        </row>
        <row r="7">
          <cell r="C7">
            <v>23190</v>
          </cell>
          <cell r="D7">
            <v>1250.8799999999999</v>
          </cell>
        </row>
        <row r="8">
          <cell r="C8">
            <v>23314.9</v>
          </cell>
          <cell r="D8">
            <v>1258.05</v>
          </cell>
        </row>
        <row r="9">
          <cell r="C9">
            <v>23536.5</v>
          </cell>
          <cell r="D9">
            <v>1267.0899999999999</v>
          </cell>
        </row>
        <row r="10">
          <cell r="C10">
            <v>23738.1</v>
          </cell>
          <cell r="D10">
            <v>1278.95</v>
          </cell>
        </row>
        <row r="11">
          <cell r="C11">
            <v>23994.5</v>
          </cell>
          <cell r="D11">
            <v>1291.22</v>
          </cell>
        </row>
        <row r="12">
          <cell r="C12">
            <v>24051.800000000003</v>
          </cell>
          <cell r="D12">
            <v>1295.7199999999998</v>
          </cell>
        </row>
        <row r="13">
          <cell r="C13">
            <v>24182.800000000003</v>
          </cell>
          <cell r="D13">
            <v>1301.8599999999999</v>
          </cell>
        </row>
        <row r="14">
          <cell r="C14">
            <v>24517.8</v>
          </cell>
          <cell r="D14">
            <v>1321.49</v>
          </cell>
        </row>
        <row r="15">
          <cell r="C15">
            <v>24570.6</v>
          </cell>
          <cell r="D15">
            <v>1324.81</v>
          </cell>
        </row>
        <row r="16">
          <cell r="C16">
            <v>24765.1</v>
          </cell>
          <cell r="D16">
            <v>1334.6200000000001</v>
          </cell>
        </row>
        <row r="17">
          <cell r="C17">
            <v>25016.400000000001</v>
          </cell>
          <cell r="D17">
            <v>1347.28</v>
          </cell>
        </row>
        <row r="18">
          <cell r="C18">
            <v>25168.5</v>
          </cell>
          <cell r="D18">
            <v>1356.2800000000002</v>
          </cell>
        </row>
        <row r="19">
          <cell r="C19">
            <v>25351.600000000002</v>
          </cell>
          <cell r="D19">
            <v>1365.5</v>
          </cell>
        </row>
        <row r="20">
          <cell r="C20">
            <v>25454.799999999999</v>
          </cell>
          <cell r="D20">
            <v>1372.1</v>
          </cell>
        </row>
        <row r="21">
          <cell r="C21">
            <v>25585.800000000003</v>
          </cell>
          <cell r="D21">
            <v>1378.29</v>
          </cell>
        </row>
        <row r="22">
          <cell r="C22">
            <v>25837.4</v>
          </cell>
          <cell r="D22">
            <v>1390.74</v>
          </cell>
        </row>
        <row r="23">
          <cell r="C23">
            <v>26018.6</v>
          </cell>
          <cell r="D23">
            <v>1400.62</v>
          </cell>
        </row>
        <row r="24">
          <cell r="C24">
            <v>26251.800000000003</v>
          </cell>
          <cell r="D24">
            <v>1413.9299999999998</v>
          </cell>
        </row>
        <row r="25">
          <cell r="C25">
            <v>26310.5</v>
          </cell>
          <cell r="D25">
            <v>1418.28</v>
          </cell>
        </row>
        <row r="26">
          <cell r="C26">
            <v>26558.7</v>
          </cell>
          <cell r="D26">
            <v>1429.37</v>
          </cell>
        </row>
        <row r="27">
          <cell r="C27">
            <v>26724.6</v>
          </cell>
          <cell r="D27">
            <v>1440.1200000000001</v>
          </cell>
        </row>
        <row r="28">
          <cell r="C28">
            <v>26847.7</v>
          </cell>
          <cell r="D28">
            <v>1446.4499999999998</v>
          </cell>
        </row>
        <row r="29">
          <cell r="C29">
            <v>27070.5</v>
          </cell>
          <cell r="D29">
            <v>1458.21</v>
          </cell>
        </row>
        <row r="30">
          <cell r="C30">
            <v>27210.699999999997</v>
          </cell>
          <cell r="D30">
            <v>1464.85</v>
          </cell>
        </row>
        <row r="31">
          <cell r="C31">
            <v>27574.800000000003</v>
          </cell>
          <cell r="D31">
            <v>1484.77</v>
          </cell>
        </row>
        <row r="32">
          <cell r="C32">
            <v>27660.1</v>
          </cell>
          <cell r="D32">
            <v>1489.02</v>
          </cell>
        </row>
        <row r="33">
          <cell r="C33">
            <v>27832.899999999998</v>
          </cell>
          <cell r="D33">
            <v>1498.0100000000002</v>
          </cell>
        </row>
        <row r="34">
          <cell r="C34">
            <v>28034.400000000001</v>
          </cell>
          <cell r="D34">
            <v>1508.11</v>
          </cell>
        </row>
        <row r="35">
          <cell r="C35">
            <v>28186.5</v>
          </cell>
          <cell r="D35">
            <v>1517.39</v>
          </cell>
        </row>
        <row r="36">
          <cell r="C36">
            <v>28351.799999999996</v>
          </cell>
          <cell r="D36">
            <v>1527.49</v>
          </cell>
        </row>
        <row r="37">
          <cell r="C37">
            <v>28525.599999999999</v>
          </cell>
          <cell r="D37">
            <v>1535.73</v>
          </cell>
        </row>
      </sheetData>
      <sheetData sheetId="8">
        <row r="2">
          <cell r="A2" t="str">
            <v>Banca Alpi</v>
          </cell>
          <cell r="C2">
            <v>6798.5</v>
          </cell>
          <cell r="D2">
            <v>367.57000000000005</v>
          </cell>
          <cell r="E2">
            <v>223.27</v>
          </cell>
          <cell r="L2">
            <v>20</v>
          </cell>
        </row>
        <row r="3">
          <cell r="A3" t="str">
            <v>Banca Adriatica</v>
          </cell>
          <cell r="C3">
            <v>7958.7</v>
          </cell>
          <cell r="D3">
            <v>432.68999999999994</v>
          </cell>
          <cell r="E3">
            <v>260.78000000000003</v>
          </cell>
          <cell r="L3">
            <v>19</v>
          </cell>
        </row>
        <row r="4">
          <cell r="A4" t="str">
            <v>Banca Tirrena</v>
          </cell>
          <cell r="C4">
            <v>9113.2999999999993</v>
          </cell>
          <cell r="D4">
            <v>493.34000000000003</v>
          </cell>
          <cell r="E4">
            <v>300.03000000000003</v>
          </cell>
          <cell r="L4">
            <v>18</v>
          </cell>
        </row>
        <row r="5">
          <cell r="A5" t="str">
            <v>Banca Padana</v>
          </cell>
          <cell r="C5">
            <v>10267.6</v>
          </cell>
          <cell r="D5">
            <v>553.87</v>
          </cell>
          <cell r="E5">
            <v>335.98999999999995</v>
          </cell>
          <cell r="L5">
            <v>17</v>
          </cell>
        </row>
        <row r="6">
          <cell r="A6" t="str">
            <v>Banca Etrusca</v>
          </cell>
          <cell r="C6">
            <v>11395</v>
          </cell>
          <cell r="D6">
            <v>615.66999999999996</v>
          </cell>
          <cell r="E6">
            <v>373.98</v>
          </cell>
          <cell r="L6">
            <v>16</v>
          </cell>
        </row>
        <row r="7">
          <cell r="A7" t="str">
            <v>Banca Lariana</v>
          </cell>
          <cell r="C7">
            <v>12562.7</v>
          </cell>
          <cell r="D7">
            <v>678.64</v>
          </cell>
          <cell r="E7">
            <v>410.62</v>
          </cell>
          <cell r="L7">
            <v>15</v>
          </cell>
        </row>
        <row r="8">
          <cell r="A8" t="str">
            <v>Banca Sabina</v>
          </cell>
          <cell r="C8">
            <v>13727.2</v>
          </cell>
          <cell r="D8">
            <v>741.21</v>
          </cell>
          <cell r="E8">
            <v>448.38</v>
          </cell>
          <cell r="L8">
            <v>14</v>
          </cell>
        </row>
        <row r="9">
          <cell r="A9" t="str">
            <v>Banca Irpina</v>
          </cell>
          <cell r="C9">
            <v>14918.2</v>
          </cell>
          <cell r="D9">
            <v>805.31</v>
          </cell>
          <cell r="E9">
            <v>486.65999999999997</v>
          </cell>
          <cell r="L9">
            <v>13</v>
          </cell>
        </row>
        <row r="10">
          <cell r="A10" t="str">
            <v>Banca Sannita</v>
          </cell>
          <cell r="C10">
            <v>16079.5</v>
          </cell>
          <cell r="D10">
            <v>866.67</v>
          </cell>
          <cell r="E10">
            <v>523.53</v>
          </cell>
          <cell r="L10">
            <v>12</v>
          </cell>
        </row>
        <row r="11">
          <cell r="A11" t="str">
            <v>Banca Ligure</v>
          </cell>
          <cell r="C11">
            <v>17142.600000000002</v>
          </cell>
          <cell r="D11">
            <v>924.66000000000008</v>
          </cell>
          <cell r="E11">
            <v>556.91000000000008</v>
          </cell>
          <cell r="L11">
            <v>11</v>
          </cell>
        </row>
        <row r="12">
          <cell r="A12" t="str">
            <v>Banca Veneta</v>
          </cell>
          <cell r="C12">
            <v>18454.5</v>
          </cell>
          <cell r="D12">
            <v>993.82</v>
          </cell>
          <cell r="E12">
            <v>602.15</v>
          </cell>
          <cell r="L12">
            <v>10</v>
          </cell>
        </row>
        <row r="13">
          <cell r="A13" t="str">
            <v>Banca Friulana</v>
          </cell>
          <cell r="C13">
            <v>19546.399999999998</v>
          </cell>
          <cell r="D13">
            <v>1053.3699999999999</v>
          </cell>
          <cell r="E13">
            <v>635.79999999999995</v>
          </cell>
          <cell r="L13">
            <v>9</v>
          </cell>
        </row>
        <row r="14">
          <cell r="A14" t="str">
            <v>Banca Umbra</v>
          </cell>
          <cell r="C14">
            <v>20600.5</v>
          </cell>
          <cell r="D14">
            <v>1110.5200000000002</v>
          </cell>
          <cell r="E14">
            <v>670.1</v>
          </cell>
          <cell r="L14">
            <v>8</v>
          </cell>
        </row>
        <row r="15">
          <cell r="A15" t="str">
            <v>Banca Marchigiana</v>
          </cell>
          <cell r="C15">
            <v>21844.999999999996</v>
          </cell>
          <cell r="D15">
            <v>1177.1199999999999</v>
          </cell>
          <cell r="E15">
            <v>710.31</v>
          </cell>
          <cell r="L15">
            <v>7</v>
          </cell>
        </row>
        <row r="16">
          <cell r="A16" t="str">
            <v>Banca Lucana</v>
          </cell>
          <cell r="C16">
            <v>22950.5</v>
          </cell>
          <cell r="D16">
            <v>1237.0700000000002</v>
          </cell>
          <cell r="E16">
            <v>745.56999999999994</v>
          </cell>
          <cell r="L16">
            <v>6</v>
          </cell>
        </row>
        <row r="17">
          <cell r="A17" t="str">
            <v>Banca Calabra</v>
          </cell>
          <cell r="C17">
            <v>24210.6</v>
          </cell>
          <cell r="D17">
            <v>1302.77</v>
          </cell>
          <cell r="E17">
            <v>786.66</v>
          </cell>
          <cell r="L17">
            <v>5</v>
          </cell>
        </row>
        <row r="18">
          <cell r="A18" t="str">
            <v>Banca Sicula</v>
          </cell>
          <cell r="C18">
            <v>25351.600000000002</v>
          </cell>
          <cell r="D18">
            <v>1365.5</v>
          </cell>
          <cell r="E18">
            <v>824.63000000000011</v>
          </cell>
          <cell r="L18">
            <v>4</v>
          </cell>
        </row>
        <row r="19">
          <cell r="A19" t="str">
            <v>Banca Sarda</v>
          </cell>
          <cell r="C19">
            <v>26492.400000000001</v>
          </cell>
          <cell r="D19">
            <v>1426.35</v>
          </cell>
          <cell r="E19">
            <v>861.46</v>
          </cell>
          <cell r="L19">
            <v>3</v>
          </cell>
        </row>
        <row r="20">
          <cell r="A20" t="str">
            <v>Banca Romagnola</v>
          </cell>
          <cell r="C20">
            <v>27612.3</v>
          </cell>
          <cell r="D20">
            <v>1486.31</v>
          </cell>
          <cell r="E20">
            <v>897.92</v>
          </cell>
          <cell r="L20">
            <v>2</v>
          </cell>
        </row>
        <row r="21">
          <cell r="A21" t="str">
            <v>Banca Città</v>
          </cell>
          <cell r="C21">
            <v>28772.399999999998</v>
          </cell>
          <cell r="D21">
            <v>1549.6100000000001</v>
          </cell>
          <cell r="E21">
            <v>935.1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25351.600000000002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Sicula</v>
      </c>
    </row>
    <row r="3" spans="1:5" x14ac:dyDescent="0.25">
      <c r="A3" t="s">
        <v>1</v>
      </c>
      <c r="B3">
        <f>[1]Control!$B$3</f>
        <v>18</v>
      </c>
    </row>
    <row r="4" spans="1:5" x14ac:dyDescent="0.25">
      <c r="A4" t="s">
        <v>33</v>
      </c>
      <c r="B4">
        <f>[1]Control!$B$4</f>
        <v>0.05</v>
      </c>
    </row>
    <row r="5" spans="1:5" x14ac:dyDescent="0.25">
      <c r="A5" t="s">
        <v>34</v>
      </c>
      <c r="B5" t="str">
        <f>[1]Control!$B$5</f>
        <v>Sud</v>
      </c>
    </row>
    <row r="6" spans="1:5" x14ac:dyDescent="0.25">
      <c r="A6" t="s">
        <v>35</v>
      </c>
      <c r="B6">
        <f>[1]Control!$B$6</f>
        <v>17</v>
      </c>
    </row>
    <row r="7" spans="1:5" x14ac:dyDescent="0.25">
      <c r="A7" t="s">
        <v>36</v>
      </c>
      <c r="B7" t="str">
        <f>[1]Control!$B$10</f>
        <v>giugno 2025</v>
      </c>
    </row>
    <row r="8" spans="1:5" x14ac:dyDescent="0.25">
      <c r="A8" t="s">
        <v>37</v>
      </c>
      <c r="B8" t="str">
        <f>[1]Control!$B$8</f>
        <v>Isole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6798.5</v>
      </c>
      <c r="C11">
        <f>[1]Calc_Bank!D2</f>
        <v>367.57000000000005</v>
      </c>
      <c r="D11">
        <f>[1]Calc_Bank!E2</f>
        <v>223.27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7958.7</v>
      </c>
      <c r="C12">
        <f>[1]Calc_Bank!D3</f>
        <v>432.68999999999994</v>
      </c>
      <c r="D12">
        <f>[1]Calc_Bank!E3</f>
        <v>260.78000000000003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9113.2999999999993</v>
      </c>
      <c r="C13">
        <f>[1]Calc_Bank!D4</f>
        <v>493.34000000000003</v>
      </c>
      <c r="D13">
        <f>[1]Calc_Bank!E4</f>
        <v>300.03000000000003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10267.6</v>
      </c>
      <c r="C14">
        <f>[1]Calc_Bank!D5</f>
        <v>553.87</v>
      </c>
      <c r="D14">
        <f>[1]Calc_Bank!E5</f>
        <v>335.98999999999995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11395</v>
      </c>
      <c r="C15">
        <f>[1]Calc_Bank!D6</f>
        <v>615.66999999999996</v>
      </c>
      <c r="D15">
        <f>[1]Calc_Bank!E6</f>
        <v>373.98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12562.7</v>
      </c>
      <c r="C16">
        <f>[1]Calc_Bank!D7</f>
        <v>678.64</v>
      </c>
      <c r="D16">
        <f>[1]Calc_Bank!E7</f>
        <v>410.62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13727.2</v>
      </c>
      <c r="C17">
        <f>[1]Calc_Bank!D8</f>
        <v>741.21</v>
      </c>
      <c r="D17">
        <f>[1]Calc_Bank!E8</f>
        <v>448.38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14918.2</v>
      </c>
      <c r="C18">
        <f>[1]Calc_Bank!D9</f>
        <v>805.31</v>
      </c>
      <c r="D18">
        <f>[1]Calc_Bank!E9</f>
        <v>486.65999999999997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16079.5</v>
      </c>
      <c r="C19">
        <f>[1]Calc_Bank!D10</f>
        <v>866.67</v>
      </c>
      <c r="D19">
        <f>[1]Calc_Bank!E10</f>
        <v>523.53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17142.600000000002</v>
      </c>
      <c r="C20">
        <f>[1]Calc_Bank!D11</f>
        <v>924.66000000000008</v>
      </c>
      <c r="D20">
        <f>[1]Calc_Bank!E11</f>
        <v>556.91000000000008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18454.5</v>
      </c>
      <c r="C21">
        <f>[1]Calc_Bank!D12</f>
        <v>993.82</v>
      </c>
      <c r="D21">
        <f>[1]Calc_Bank!E12</f>
        <v>602.15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19546.399999999998</v>
      </c>
      <c r="C22">
        <f>[1]Calc_Bank!D13</f>
        <v>1053.3699999999999</v>
      </c>
      <c r="D22">
        <f>[1]Calc_Bank!E13</f>
        <v>635.79999999999995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20600.5</v>
      </c>
      <c r="C23">
        <f>[1]Calc_Bank!D14</f>
        <v>1110.5200000000002</v>
      </c>
      <c r="D23">
        <f>[1]Calc_Bank!E14</f>
        <v>670.1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21844.999999999996</v>
      </c>
      <c r="C24">
        <f>[1]Calc_Bank!D15</f>
        <v>1177.1199999999999</v>
      </c>
      <c r="D24">
        <f>[1]Calc_Bank!E15</f>
        <v>710.31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22950.5</v>
      </c>
      <c r="C25">
        <f>[1]Calc_Bank!D16</f>
        <v>1237.0700000000002</v>
      </c>
      <c r="D25">
        <f>[1]Calc_Bank!E16</f>
        <v>745.56999999999994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24210.6</v>
      </c>
      <c r="C26">
        <f>[1]Calc_Bank!D17</f>
        <v>1302.77</v>
      </c>
      <c r="D26">
        <f>[1]Calc_Bank!E17</f>
        <v>786.66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25351.600000000002</v>
      </c>
      <c r="C27">
        <f>[1]Calc_Bank!D18</f>
        <v>1365.5</v>
      </c>
      <c r="D27">
        <f>[1]Calc_Bank!E18</f>
        <v>824.63000000000011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26492.400000000001</v>
      </c>
      <c r="C28">
        <f>[1]Calc_Bank!D19</f>
        <v>1426.35</v>
      </c>
      <c r="D28">
        <f>[1]Calc_Bank!E19</f>
        <v>861.46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27612.3</v>
      </c>
      <c r="C29">
        <f>[1]Calc_Bank!D20</f>
        <v>1486.31</v>
      </c>
      <c r="D29">
        <f>[1]Calc_Bank!E20</f>
        <v>897.92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28772.399999999998</v>
      </c>
      <c r="C30">
        <f>[1]Calc_Bank!D21</f>
        <v>1549.6100000000001</v>
      </c>
      <c r="D30">
        <f>[1]Calc_Bank!E21</f>
        <v>935.1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22352.400000000001</v>
      </c>
      <c r="C34" cm="1">
        <f t="array" ref="C34">INDEX([1]Calc_Month!$D$2:$D$37,A34)</f>
        <v>1204.8200000000002</v>
      </c>
    </row>
    <row r="35" spans="1:3" x14ac:dyDescent="0.25">
      <c r="A35">
        <f t="shared" si="0"/>
        <v>2</v>
      </c>
      <c r="B35">
        <f>[1]Calc_Month!C3</f>
        <v>22527.8</v>
      </c>
      <c r="C35" cm="1">
        <f t="array" ref="C35">INDEX([1]Calc_Month!$D$2:$D$37,A35)</f>
        <v>1214.73</v>
      </c>
    </row>
    <row r="36" spans="1:3" x14ac:dyDescent="0.25">
      <c r="A36">
        <f t="shared" si="0"/>
        <v>3</v>
      </c>
      <c r="B36">
        <f>[1]Calc_Month!C4</f>
        <v>22604.6</v>
      </c>
      <c r="C36" cm="1">
        <f t="array" ref="C36">INDEX([1]Calc_Month!$D$2:$D$37,A36)</f>
        <v>1217.3400000000001</v>
      </c>
    </row>
    <row r="37" spans="1:3" x14ac:dyDescent="0.25">
      <c r="A37">
        <f t="shared" si="0"/>
        <v>4</v>
      </c>
      <c r="B37">
        <f>[1]Calc_Month!C5</f>
        <v>22888.9</v>
      </c>
      <c r="C37" cm="1">
        <f t="array" ref="C37">INDEX([1]Calc_Month!$D$2:$D$37,A37)</f>
        <v>1234.55</v>
      </c>
    </row>
    <row r="38" spans="1:3" x14ac:dyDescent="0.25">
      <c r="A38">
        <f t="shared" si="0"/>
        <v>5</v>
      </c>
      <c r="B38">
        <f>[1]Calc_Month!C6</f>
        <v>23053.699999999997</v>
      </c>
      <c r="C38" cm="1">
        <f t="array" ref="C38">INDEX([1]Calc_Month!$D$2:$D$37,A38)</f>
        <v>1242.24</v>
      </c>
    </row>
    <row r="39" spans="1:3" x14ac:dyDescent="0.25">
      <c r="A39">
        <f t="shared" si="0"/>
        <v>6</v>
      </c>
      <c r="B39">
        <f>[1]Calc_Month!C7</f>
        <v>23190</v>
      </c>
      <c r="C39" cm="1">
        <f t="array" ref="C39">INDEX([1]Calc_Month!$D$2:$D$37,A39)</f>
        <v>1250.8799999999999</v>
      </c>
    </row>
    <row r="40" spans="1:3" x14ac:dyDescent="0.25">
      <c r="A40">
        <f t="shared" si="0"/>
        <v>7</v>
      </c>
      <c r="B40">
        <f>[1]Calc_Month!C8</f>
        <v>23314.9</v>
      </c>
      <c r="C40" cm="1">
        <f t="array" ref="C40">INDEX([1]Calc_Month!$D$2:$D$37,A40)</f>
        <v>1258.05</v>
      </c>
    </row>
    <row r="41" spans="1:3" x14ac:dyDescent="0.25">
      <c r="A41">
        <f t="shared" si="0"/>
        <v>8</v>
      </c>
      <c r="B41">
        <f>[1]Calc_Month!C9</f>
        <v>23536.5</v>
      </c>
      <c r="C41" cm="1">
        <f t="array" ref="C41">INDEX([1]Calc_Month!$D$2:$D$37,A41)</f>
        <v>1267.0899999999999</v>
      </c>
    </row>
    <row r="42" spans="1:3" x14ac:dyDescent="0.25">
      <c r="A42">
        <f t="shared" si="0"/>
        <v>9</v>
      </c>
      <c r="B42">
        <f>[1]Calc_Month!C10</f>
        <v>23738.1</v>
      </c>
      <c r="C42" cm="1">
        <f t="array" ref="C42">INDEX([1]Calc_Month!$D$2:$D$37,A42)</f>
        <v>1278.95</v>
      </c>
    </row>
    <row r="43" spans="1:3" x14ac:dyDescent="0.25">
      <c r="A43">
        <f t="shared" si="0"/>
        <v>10</v>
      </c>
      <c r="B43">
        <f>[1]Calc_Month!C11</f>
        <v>23994.5</v>
      </c>
      <c r="C43" cm="1">
        <f t="array" ref="C43">INDEX([1]Calc_Month!$D$2:$D$37,A43)</f>
        <v>1291.22</v>
      </c>
    </row>
    <row r="44" spans="1:3" x14ac:dyDescent="0.25">
      <c r="A44">
        <f t="shared" si="0"/>
        <v>11</v>
      </c>
      <c r="B44">
        <f>[1]Calc_Month!C12</f>
        <v>24051.800000000003</v>
      </c>
      <c r="C44" cm="1">
        <f t="array" ref="C44">INDEX([1]Calc_Month!$D$2:$D$37,A44)</f>
        <v>1295.7199999999998</v>
      </c>
    </row>
    <row r="45" spans="1:3" x14ac:dyDescent="0.25">
      <c r="A45">
        <f t="shared" si="0"/>
        <v>12</v>
      </c>
      <c r="B45">
        <f>[1]Calc_Month!C13</f>
        <v>24182.800000000003</v>
      </c>
      <c r="C45" cm="1">
        <f t="array" ref="C45">INDEX([1]Calc_Month!$D$2:$D$37,A45)</f>
        <v>1301.8599999999999</v>
      </c>
    </row>
    <row r="46" spans="1:3" x14ac:dyDescent="0.25">
      <c r="A46">
        <f t="shared" si="0"/>
        <v>13</v>
      </c>
      <c r="B46">
        <f>[1]Calc_Month!C14</f>
        <v>24517.8</v>
      </c>
      <c r="C46" cm="1">
        <f t="array" ref="C46">INDEX([1]Calc_Month!$D$2:$D$37,A46)</f>
        <v>1321.49</v>
      </c>
    </row>
    <row r="47" spans="1:3" x14ac:dyDescent="0.25">
      <c r="A47">
        <f t="shared" si="0"/>
        <v>14</v>
      </c>
      <c r="B47">
        <f>[1]Calc_Month!C15</f>
        <v>24570.6</v>
      </c>
      <c r="C47" cm="1">
        <f t="array" ref="C47">INDEX([1]Calc_Month!$D$2:$D$37,A47)</f>
        <v>1324.81</v>
      </c>
    </row>
    <row r="48" spans="1:3" x14ac:dyDescent="0.25">
      <c r="A48">
        <f t="shared" si="0"/>
        <v>15</v>
      </c>
      <c r="B48">
        <f>[1]Calc_Month!C16</f>
        <v>24765.1</v>
      </c>
      <c r="C48" cm="1">
        <f t="array" ref="C48">INDEX([1]Calc_Month!$D$2:$D$37,A48)</f>
        <v>1334.6200000000001</v>
      </c>
    </row>
    <row r="49" spans="1:3" x14ac:dyDescent="0.25">
      <c r="A49">
        <f t="shared" si="0"/>
        <v>16</v>
      </c>
      <c r="B49">
        <f>[1]Calc_Month!C17</f>
        <v>25016.400000000001</v>
      </c>
      <c r="C49" cm="1">
        <f t="array" ref="C49">INDEX([1]Calc_Month!$D$2:$D$37,A49)</f>
        <v>1347.28</v>
      </c>
    </row>
    <row r="50" spans="1:3" x14ac:dyDescent="0.25">
      <c r="A50">
        <f t="shared" si="0"/>
        <v>17</v>
      </c>
      <c r="B50">
        <f>[1]Calc_Month!C18</f>
        <v>25168.5</v>
      </c>
      <c r="C50" cm="1">
        <f t="array" ref="C50">INDEX([1]Calc_Month!$D$2:$D$37,A50)</f>
        <v>1356.2800000000002</v>
      </c>
    </row>
    <row r="51" spans="1:3" x14ac:dyDescent="0.25">
      <c r="A51">
        <f t="shared" si="0"/>
        <v>18</v>
      </c>
      <c r="B51">
        <f>[1]Calc_Month!C19</f>
        <v>25351.600000000002</v>
      </c>
      <c r="C51" cm="1">
        <f t="array" ref="C51">INDEX([1]Calc_Month!$D$2:$D$37,A51)</f>
        <v>1365.5</v>
      </c>
    </row>
    <row r="52" spans="1:3" x14ac:dyDescent="0.25">
      <c r="A52">
        <f t="shared" si="0"/>
        <v>19</v>
      </c>
      <c r="B52">
        <f>[1]Calc_Month!C20</f>
        <v>25454.799999999999</v>
      </c>
      <c r="C52" cm="1">
        <f t="array" ref="C52">INDEX([1]Calc_Month!$D$2:$D$37,A52)</f>
        <v>1372.1</v>
      </c>
    </row>
    <row r="53" spans="1:3" x14ac:dyDescent="0.25">
      <c r="A53">
        <f t="shared" si="0"/>
        <v>20</v>
      </c>
      <c r="B53">
        <f>[1]Calc_Month!C21</f>
        <v>25585.800000000003</v>
      </c>
      <c r="C53" cm="1">
        <f t="array" ref="C53">INDEX([1]Calc_Month!$D$2:$D$37,A53)</f>
        <v>1378.29</v>
      </c>
    </row>
    <row r="54" spans="1:3" x14ac:dyDescent="0.25">
      <c r="A54">
        <f t="shared" si="0"/>
        <v>21</v>
      </c>
      <c r="B54">
        <f>[1]Calc_Month!C22</f>
        <v>25837.4</v>
      </c>
      <c r="C54" cm="1">
        <f t="array" ref="C54">INDEX([1]Calc_Month!$D$2:$D$37,A54)</f>
        <v>1390.74</v>
      </c>
    </row>
    <row r="55" spans="1:3" x14ac:dyDescent="0.25">
      <c r="A55">
        <f t="shared" si="0"/>
        <v>22</v>
      </c>
      <c r="B55">
        <f>[1]Calc_Month!C23</f>
        <v>26018.6</v>
      </c>
      <c r="C55" cm="1">
        <f t="array" ref="C55">INDEX([1]Calc_Month!$D$2:$D$37,A55)</f>
        <v>1400.62</v>
      </c>
    </row>
    <row r="56" spans="1:3" x14ac:dyDescent="0.25">
      <c r="A56">
        <f t="shared" si="0"/>
        <v>23</v>
      </c>
      <c r="B56">
        <f>[1]Calc_Month!C24</f>
        <v>26251.800000000003</v>
      </c>
      <c r="C56" cm="1">
        <f t="array" ref="C56">INDEX([1]Calc_Month!$D$2:$D$37,A56)</f>
        <v>1413.9299999999998</v>
      </c>
    </row>
    <row r="57" spans="1:3" x14ac:dyDescent="0.25">
      <c r="A57">
        <f t="shared" si="0"/>
        <v>24</v>
      </c>
      <c r="B57">
        <f>[1]Calc_Month!C25</f>
        <v>26310.5</v>
      </c>
      <c r="C57" cm="1">
        <f t="array" ref="C57">INDEX([1]Calc_Month!$D$2:$D$37,A57)</f>
        <v>1418.28</v>
      </c>
    </row>
    <row r="58" spans="1:3" x14ac:dyDescent="0.25">
      <c r="A58">
        <f t="shared" si="0"/>
        <v>25</v>
      </c>
      <c r="B58">
        <f>[1]Calc_Month!C26</f>
        <v>26558.7</v>
      </c>
      <c r="C58" cm="1">
        <f t="array" ref="C58">INDEX([1]Calc_Month!$D$2:$D$37,A58)</f>
        <v>1429.37</v>
      </c>
    </row>
    <row r="59" spans="1:3" x14ac:dyDescent="0.25">
      <c r="A59">
        <f t="shared" si="0"/>
        <v>26</v>
      </c>
      <c r="B59">
        <f>[1]Calc_Month!C27</f>
        <v>26724.6</v>
      </c>
      <c r="C59" cm="1">
        <f t="array" ref="C59">INDEX([1]Calc_Month!$D$2:$D$37,A59)</f>
        <v>1440.1200000000001</v>
      </c>
    </row>
    <row r="60" spans="1:3" x14ac:dyDescent="0.25">
      <c r="A60">
        <f t="shared" si="0"/>
        <v>27</v>
      </c>
      <c r="B60">
        <f>[1]Calc_Month!C28</f>
        <v>26847.7</v>
      </c>
      <c r="C60" cm="1">
        <f t="array" ref="C60">INDEX([1]Calc_Month!$D$2:$D$37,A60)</f>
        <v>1446.4499999999998</v>
      </c>
    </row>
    <row r="61" spans="1:3" x14ac:dyDescent="0.25">
      <c r="A61">
        <f t="shared" si="0"/>
        <v>28</v>
      </c>
      <c r="B61">
        <f>[1]Calc_Month!C29</f>
        <v>27070.5</v>
      </c>
      <c r="C61" cm="1">
        <f t="array" ref="C61">INDEX([1]Calc_Month!$D$2:$D$37,A61)</f>
        <v>1458.21</v>
      </c>
    </row>
    <row r="62" spans="1:3" x14ac:dyDescent="0.25">
      <c r="A62">
        <f t="shared" si="0"/>
        <v>29</v>
      </c>
      <c r="B62">
        <f>[1]Calc_Month!C30</f>
        <v>27210.699999999997</v>
      </c>
      <c r="C62" cm="1">
        <f t="array" ref="C62">INDEX([1]Calc_Month!$D$2:$D$37,A62)</f>
        <v>1464.85</v>
      </c>
    </row>
    <row r="63" spans="1:3" x14ac:dyDescent="0.25">
      <c r="A63">
        <f t="shared" si="0"/>
        <v>30</v>
      </c>
      <c r="B63">
        <f>[1]Calc_Month!C31</f>
        <v>27574.800000000003</v>
      </c>
      <c r="C63" cm="1">
        <f t="array" ref="C63">INDEX([1]Calc_Month!$D$2:$D$37,A63)</f>
        <v>1484.77</v>
      </c>
    </row>
    <row r="64" spans="1:3" x14ac:dyDescent="0.25">
      <c r="A64">
        <f t="shared" si="0"/>
        <v>31</v>
      </c>
      <c r="B64">
        <f>[1]Calc_Month!C32</f>
        <v>27660.1</v>
      </c>
      <c r="C64" cm="1">
        <f t="array" ref="C64">INDEX([1]Calc_Month!$D$2:$D$37,A64)</f>
        <v>1489.02</v>
      </c>
    </row>
    <row r="65" spans="1:3" x14ac:dyDescent="0.25">
      <c r="A65">
        <f t="shared" si="0"/>
        <v>32</v>
      </c>
      <c r="B65">
        <f>[1]Calc_Month!C33</f>
        <v>27832.899999999998</v>
      </c>
      <c r="C65" cm="1">
        <f t="array" ref="C65">INDEX([1]Calc_Month!$D$2:$D$37,A65)</f>
        <v>1498.0100000000002</v>
      </c>
    </row>
    <row r="66" spans="1:3" x14ac:dyDescent="0.25">
      <c r="A66">
        <f t="shared" si="0"/>
        <v>33</v>
      </c>
      <c r="B66">
        <f>[1]Calc_Month!C34</f>
        <v>28034.400000000001</v>
      </c>
      <c r="C66" cm="1">
        <f t="array" ref="C66">INDEX([1]Calc_Month!$D$2:$D$37,A66)</f>
        <v>1508.11</v>
      </c>
    </row>
    <row r="67" spans="1:3" x14ac:dyDescent="0.25">
      <c r="A67">
        <f t="shared" si="0"/>
        <v>34</v>
      </c>
      <c r="B67">
        <f>[1]Calc_Month!C35</f>
        <v>28186.5</v>
      </c>
      <c r="C67" cm="1">
        <f t="array" ref="C67">INDEX([1]Calc_Month!$D$2:$D$37,A67)</f>
        <v>1517.39</v>
      </c>
    </row>
    <row r="68" spans="1:3" x14ac:dyDescent="0.25">
      <c r="A68">
        <f t="shared" si="0"/>
        <v>35</v>
      </c>
      <c r="B68">
        <f>[1]Calc_Month!C36</f>
        <v>28351.799999999996</v>
      </c>
      <c r="C68" cm="1">
        <f t="array" ref="C68">INDEX([1]Calc_Month!$D$2:$D$37,A68)</f>
        <v>1527.49</v>
      </c>
    </row>
    <row r="69" spans="1:3" x14ac:dyDescent="0.25">
      <c r="A69">
        <f t="shared" si="0"/>
        <v>36</v>
      </c>
      <c r="B69">
        <f>[1]Calc_Month!C37</f>
        <v>28525.599999999999</v>
      </c>
      <c r="C69" cm="1">
        <f t="array" ref="C69">INDEX([1]Calc_Month!$D$2:$D$37,A69)</f>
        <v>1535.73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6798.5</v>
      </c>
      <c r="C2">
        <f>SUMIFS(PeerData!$C$2:$C$721,PeerData!$A$2:$A$721,A2,PeerData!$B$2:$B$721,Link!$B$3)</f>
        <v>6323.7</v>
      </c>
      <c r="D2">
        <f>_xlfn.XLOOKUP(A2&amp;"|"&amp;Link!$B$3,PeerData!$G$2:$G$721,PeerData!$D$2:$D$721,0)</f>
        <v>316.18</v>
      </c>
      <c r="E2">
        <f t="shared" ref="E2:E21" si="0">B2-C2</f>
        <v>474.80000000000018</v>
      </c>
      <c r="F2">
        <f t="shared" ref="F2:F21" si="1">IFERROR(E2/C2,0)</f>
        <v>7.5082625678004999E-2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1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1.0750999999999999</v>
      </c>
      <c r="M2">
        <f t="shared" ref="M2:M21" si="4">AVERAGEIFS($C$2:$C$21,$G$2:$G$21,G2)</f>
        <v>15272.740000000002</v>
      </c>
      <c r="N2">
        <f t="shared" ref="N2:N21" si="5">COUNTIFS($G$2:$G$21,G2,$F$2:$F$21,"&gt;0")</f>
        <v>5</v>
      </c>
      <c r="O2">
        <f t="shared" ref="O2:O21" si="6">_xlfn.MAXIFS($F$2:$F$21,$G$2:$G$21,G2)</f>
        <v>7.5082625678004999E-2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7958.7</v>
      </c>
      <c r="C3">
        <f>SUMIFS(PeerData!$C$2:$C$721,PeerData!$A$2:$A$721,A3,PeerData!$B$2:$B$721,Link!$B$3)</f>
        <v>7709.2</v>
      </c>
      <c r="D3">
        <f>_xlfn.XLOOKUP(A3&amp;"|"&amp;Link!$B$3,PeerData!$G$2:$G$721,PeerData!$D$2:$D$721,0)</f>
        <v>385.46</v>
      </c>
      <c r="E3">
        <f t="shared" si="0"/>
        <v>249.5</v>
      </c>
      <c r="F3">
        <f t="shared" si="1"/>
        <v>3.2363928812328129E-2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20</v>
      </c>
      <c r="J3" t="str" cm="1">
        <f t="array" ref="J3">_xlfn.IFS(F3&gt;0.05,"ahead",F3&lt;-0.05,"behind",TRUE,"in line")</f>
        <v>in line</v>
      </c>
      <c r="K3" t="str" cm="1">
        <f t="array" ref="K3">_xlfn.SWITCH(H3,1,"Tier one",2,"Tier two","Other")</f>
        <v>Tier two</v>
      </c>
      <c r="L3">
        <f t="shared" si="3"/>
        <v>1.0324</v>
      </c>
      <c r="M3">
        <f t="shared" si="4"/>
        <v>16432.64</v>
      </c>
      <c r="N3">
        <f t="shared" si="5"/>
        <v>5</v>
      </c>
      <c r="O3">
        <f t="shared" si="6"/>
        <v>5.5351371317758004E-2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9113.2999999999993</v>
      </c>
      <c r="C4">
        <f>SUMIFS(PeerData!$C$2:$C$721,PeerData!$A$2:$A$721,A4,PeerData!$B$2:$B$721,Link!$B$3)</f>
        <v>8614</v>
      </c>
      <c r="D4">
        <f>_xlfn.XLOOKUP(A4&amp;"|"&amp;Link!$B$3,PeerData!$G$2:$G$721,PeerData!$D$2:$D$721,0)</f>
        <v>430.7</v>
      </c>
      <c r="E4">
        <f t="shared" si="0"/>
        <v>499.29999999999927</v>
      </c>
      <c r="F4">
        <f t="shared" si="1"/>
        <v>5.7963779893197037E-2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5</v>
      </c>
      <c r="J4" t="str" cm="1">
        <f t="array" ref="J4">_xlfn.IFS(F4&gt;0.05,"ahead",F4&lt;-0.05,"behind",TRUE,"in line")</f>
        <v>ahead</v>
      </c>
      <c r="K4" t="str" cm="1">
        <f t="array" ref="K4">_xlfn.SWITCH(H4,1,"Tier one",2,"Tier two","Other")</f>
        <v>Other</v>
      </c>
      <c r="L4">
        <f t="shared" si="3"/>
        <v>1.0580000000000001</v>
      </c>
      <c r="M4">
        <f t="shared" si="4"/>
        <v>17403.659999999996</v>
      </c>
      <c r="N4">
        <f t="shared" si="5"/>
        <v>5</v>
      </c>
      <c r="O4">
        <f t="shared" si="6"/>
        <v>5.884621614742034E-2</v>
      </c>
      <c r="P4" t="str">
        <f>IF(A4=Link!$B$2,"&lt;&lt;","")</f>
        <v/>
      </c>
    </row>
    <row r="5" spans="1:16" x14ac:dyDescent="0.25">
      <c r="A5" t="str">
        <f>Link!A14</f>
        <v>Banca Padana</v>
      </c>
      <c r="B5">
        <f>Link!B14</f>
        <v>10267.6</v>
      </c>
      <c r="C5">
        <f>SUMIFS(PeerData!$C$2:$C$721,PeerData!$A$2:$A$721,A5,PeerData!$B$2:$B$721,Link!$B$3)</f>
        <v>9793.2999999999993</v>
      </c>
      <c r="D5">
        <f>_xlfn.XLOOKUP(A5&amp;"|"&amp;Link!$B$3,PeerData!$G$2:$G$721,PeerData!$D$2:$D$721,0)</f>
        <v>489.67</v>
      </c>
      <c r="E5">
        <f t="shared" si="0"/>
        <v>474.30000000000109</v>
      </c>
      <c r="F5">
        <f t="shared" si="1"/>
        <v>4.8431070221478065E-2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14</v>
      </c>
      <c r="J5" t="str" cm="1">
        <f t="array" ref="J5">_xlfn.IFS(F5&gt;0.05,"ahead",F5&lt;-0.05,"behind",TRUE,"in line")</f>
        <v>in line</v>
      </c>
      <c r="K5" t="str" cm="1">
        <f t="array" ref="K5">_xlfn.SWITCH(H5,1,"Tier one",2,"Tier two","Other")</f>
        <v>Tier one</v>
      </c>
      <c r="L5">
        <f t="shared" si="3"/>
        <v>1.0484</v>
      </c>
      <c r="M5">
        <f t="shared" si="4"/>
        <v>18575.559999999998</v>
      </c>
      <c r="N5">
        <f t="shared" si="5"/>
        <v>5</v>
      </c>
      <c r="O5">
        <f t="shared" si="6"/>
        <v>6.2701239492805289E-2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11395</v>
      </c>
      <c r="C6">
        <f>SUMIFS(PeerData!$C$2:$C$721,PeerData!$A$2:$A$721,A6,PeerData!$B$2:$B$721,Link!$B$3)</f>
        <v>10921.7</v>
      </c>
      <c r="D6">
        <f>_xlfn.XLOOKUP(A6&amp;"|"&amp;Link!$B$3,PeerData!$G$2:$G$721,PeerData!$D$2:$D$721,0)</f>
        <v>546.08000000000004</v>
      </c>
      <c r="E6">
        <f t="shared" si="0"/>
        <v>473.29999999999927</v>
      </c>
      <c r="F6">
        <f t="shared" si="1"/>
        <v>4.3335744435390025E-2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16</v>
      </c>
      <c r="J6" t="str" cm="1">
        <f t="array" ref="J6">_xlfn.IFS(F6&gt;0.05,"ahead",F6&lt;-0.05,"behind",TRUE,"in line")</f>
        <v>in line</v>
      </c>
      <c r="K6" t="str" cm="1">
        <f t="array" ref="K6">_xlfn.SWITCH(H6,1,"Tier one",2,"Tier two","Other")</f>
        <v>Tier two</v>
      </c>
      <c r="L6">
        <f t="shared" si="3"/>
        <v>1.0432999999999999</v>
      </c>
      <c r="M6">
        <f t="shared" si="4"/>
        <v>15272.740000000002</v>
      </c>
      <c r="N6">
        <f t="shared" si="5"/>
        <v>5</v>
      </c>
      <c r="O6">
        <f t="shared" si="6"/>
        <v>7.5082625678004999E-2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12562.7</v>
      </c>
      <c r="C7">
        <f>SUMIFS(PeerData!$C$2:$C$721,PeerData!$A$2:$A$721,A7,PeerData!$B$2:$B$721,Link!$B$3)</f>
        <v>12114.9</v>
      </c>
      <c r="D7">
        <f>_xlfn.XLOOKUP(A7&amp;"|"&amp;Link!$B$3,PeerData!$G$2:$G$721,PeerData!$D$2:$D$721,0)</f>
        <v>605.75</v>
      </c>
      <c r="E7">
        <f t="shared" si="0"/>
        <v>447.80000000000109</v>
      </c>
      <c r="F7">
        <f t="shared" si="1"/>
        <v>3.6962748351203979E-2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19</v>
      </c>
      <c r="J7" t="str" cm="1">
        <f t="array" ref="J7">_xlfn.IFS(F7&gt;0.05,"ahead",F7&lt;-0.05,"behind",TRUE,"in line")</f>
        <v>in line</v>
      </c>
      <c r="K7" t="str" cm="1">
        <f t="array" ref="K7">_xlfn.SWITCH(H7,1,"Tier one",2,"Tier two","Other")</f>
        <v>Other</v>
      </c>
      <c r="L7">
        <f t="shared" si="3"/>
        <v>1.0369999999999999</v>
      </c>
      <c r="M7">
        <f t="shared" si="4"/>
        <v>16432.64</v>
      </c>
      <c r="N7">
        <f t="shared" si="5"/>
        <v>5</v>
      </c>
      <c r="O7">
        <f t="shared" si="6"/>
        <v>5.5351371317758004E-2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13727.2</v>
      </c>
      <c r="C8">
        <f>SUMIFS(PeerData!$C$2:$C$721,PeerData!$A$2:$A$721,A8,PeerData!$B$2:$B$721,Link!$B$3)</f>
        <v>12964.3</v>
      </c>
      <c r="D8">
        <f>_xlfn.XLOOKUP(A8&amp;"|"&amp;Link!$B$3,PeerData!$G$2:$G$721,PeerData!$D$2:$D$721,0)</f>
        <v>648.22</v>
      </c>
      <c r="E8">
        <f t="shared" si="0"/>
        <v>762.90000000000146</v>
      </c>
      <c r="F8">
        <f t="shared" si="1"/>
        <v>5.884621614742034E-2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3</v>
      </c>
      <c r="J8" t="str" cm="1">
        <f t="array" ref="J8">_xlfn.IFS(F8&gt;0.05,"ahead",F8&lt;-0.05,"behind",TRUE,"in line")</f>
        <v>ahead</v>
      </c>
      <c r="K8" t="str" cm="1">
        <f t="array" ref="K8">_xlfn.SWITCH(H8,1,"Tier one",2,"Tier two","Other")</f>
        <v>Tier one</v>
      </c>
      <c r="L8">
        <f t="shared" si="3"/>
        <v>1.0588</v>
      </c>
      <c r="M8">
        <f t="shared" si="4"/>
        <v>17403.659999999996</v>
      </c>
      <c r="N8">
        <f t="shared" si="5"/>
        <v>5</v>
      </c>
      <c r="O8">
        <f t="shared" si="6"/>
        <v>5.884621614742034E-2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14918.2</v>
      </c>
      <c r="C9">
        <f>SUMIFS(PeerData!$C$2:$C$721,PeerData!$A$2:$A$721,A9,PeerData!$B$2:$B$721,Link!$B$3)</f>
        <v>14038</v>
      </c>
      <c r="D9">
        <f>_xlfn.XLOOKUP(A9&amp;"|"&amp;Link!$B$3,PeerData!$G$2:$G$721,PeerData!$D$2:$D$721,0)</f>
        <v>701.9</v>
      </c>
      <c r="E9">
        <f t="shared" si="0"/>
        <v>880.20000000000073</v>
      </c>
      <c r="F9">
        <f t="shared" si="1"/>
        <v>6.2701239492805289E-2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2</v>
      </c>
      <c r="J9" t="str" cm="1">
        <f t="array" ref="J9">_xlfn.IFS(F9&gt;0.05,"ahead",F9&lt;-0.05,"behind",TRUE,"in line")</f>
        <v>ahead</v>
      </c>
      <c r="K9" t="str" cm="1">
        <f t="array" ref="K9">_xlfn.SWITCH(H9,1,"Tier one",2,"Tier two","Other")</f>
        <v>Tier two</v>
      </c>
      <c r="L9">
        <f t="shared" si="3"/>
        <v>1.0627</v>
      </c>
      <c r="M9">
        <f t="shared" si="4"/>
        <v>18575.559999999998</v>
      </c>
      <c r="N9">
        <f t="shared" si="5"/>
        <v>5</v>
      </c>
      <c r="O9">
        <f t="shared" si="6"/>
        <v>6.2701239492805289E-2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16079.5</v>
      </c>
      <c r="C10">
        <f>SUMIFS(PeerData!$C$2:$C$721,PeerData!$A$2:$A$721,A10,PeerData!$B$2:$B$721,Link!$B$3)</f>
        <v>15275.1</v>
      </c>
      <c r="D10">
        <f>_xlfn.XLOOKUP(A10&amp;"|"&amp;Link!$B$3,PeerData!$G$2:$G$721,PeerData!$D$2:$D$721,0)</f>
        <v>763.76</v>
      </c>
      <c r="E10">
        <f t="shared" si="0"/>
        <v>804.39999999999964</v>
      </c>
      <c r="F10">
        <f t="shared" si="1"/>
        <v>5.2660866377306832E-2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10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1.0527</v>
      </c>
      <c r="M10">
        <f t="shared" si="4"/>
        <v>15272.740000000002</v>
      </c>
      <c r="N10">
        <f t="shared" si="5"/>
        <v>5</v>
      </c>
      <c r="O10">
        <f t="shared" si="6"/>
        <v>7.5082625678004999E-2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17142.600000000002</v>
      </c>
      <c r="C11">
        <f>SUMIFS(PeerData!$C$2:$C$721,PeerData!$A$2:$A$721,A11,PeerData!$B$2:$B$721,Link!$B$3)</f>
        <v>16243.5</v>
      </c>
      <c r="D11">
        <f>_xlfn.XLOOKUP(A11&amp;"|"&amp;Link!$B$3,PeerData!$G$2:$G$721,PeerData!$D$2:$D$721,0)</f>
        <v>812.17</v>
      </c>
      <c r="E11">
        <f t="shared" si="0"/>
        <v>899.10000000000218</v>
      </c>
      <c r="F11">
        <f t="shared" si="1"/>
        <v>5.5351371317758004E-2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8</v>
      </c>
      <c r="J11" t="str" cm="1">
        <f t="array" ref="J11">_xlfn.IFS(F11&gt;0.05,"ahead",F11&lt;-0.05,"behind",TRUE,"in line")</f>
        <v>ahead</v>
      </c>
      <c r="K11" t="str" cm="1">
        <f t="array" ref="K11">_xlfn.SWITCH(H11,1,"Tier one",2,"Tier two","Other")</f>
        <v>Tier one</v>
      </c>
      <c r="L11">
        <f t="shared" si="3"/>
        <v>1.0553999999999999</v>
      </c>
      <c r="M11">
        <f t="shared" si="4"/>
        <v>16432.64</v>
      </c>
      <c r="N11">
        <f t="shared" si="5"/>
        <v>5</v>
      </c>
      <c r="O11">
        <f t="shared" si="6"/>
        <v>5.5351371317758004E-2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18454.5</v>
      </c>
      <c r="C12">
        <f>SUMIFS(PeerData!$C$2:$C$721,PeerData!$A$2:$A$721,A12,PeerData!$B$2:$B$721,Link!$B$3)</f>
        <v>17446.099999999999</v>
      </c>
      <c r="D12">
        <f>_xlfn.XLOOKUP(A12&amp;"|"&amp;Link!$B$3,PeerData!$G$2:$G$721,PeerData!$D$2:$D$721,0)</f>
        <v>872.31</v>
      </c>
      <c r="E12">
        <f t="shared" si="0"/>
        <v>1008.4000000000015</v>
      </c>
      <c r="F12">
        <f t="shared" si="1"/>
        <v>5.7800883865161932E-2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1.0578000000000001</v>
      </c>
      <c r="M12">
        <f t="shared" si="4"/>
        <v>17403.659999999996</v>
      </c>
      <c r="N12">
        <f t="shared" si="5"/>
        <v>5</v>
      </c>
      <c r="O12">
        <f t="shared" si="6"/>
        <v>5.884621614742034E-2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19546.399999999998</v>
      </c>
      <c r="C13">
        <f>SUMIFS(PeerData!$C$2:$C$721,PeerData!$A$2:$A$721,A13,PeerData!$B$2:$B$721,Link!$B$3)</f>
        <v>18586.900000000001</v>
      </c>
      <c r="D13">
        <f>_xlfn.XLOOKUP(A13&amp;"|"&amp;Link!$B$3,PeerData!$G$2:$G$721,PeerData!$D$2:$D$721,0)</f>
        <v>929.34</v>
      </c>
      <c r="E13">
        <f t="shared" si="0"/>
        <v>959.49999999999636</v>
      </c>
      <c r="F13">
        <f t="shared" si="1"/>
        <v>5.162237920255644E-2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11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1.0516000000000001</v>
      </c>
      <c r="M13">
        <f t="shared" si="4"/>
        <v>18575.559999999998</v>
      </c>
      <c r="N13">
        <f t="shared" si="5"/>
        <v>5</v>
      </c>
      <c r="O13">
        <f t="shared" si="6"/>
        <v>6.2701239492805289E-2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20600.5</v>
      </c>
      <c r="C14">
        <f>SUMIFS(PeerData!$C$2:$C$721,PeerData!$A$2:$A$721,A14,PeerData!$B$2:$B$721,Link!$B$3)</f>
        <v>19786.3</v>
      </c>
      <c r="D14">
        <f>_xlfn.XLOOKUP(A14&amp;"|"&amp;Link!$B$3,PeerData!$G$2:$G$721,PeerData!$D$2:$D$721,0)</f>
        <v>989.32</v>
      </c>
      <c r="E14">
        <f t="shared" si="0"/>
        <v>814.20000000000073</v>
      </c>
      <c r="F14">
        <f t="shared" si="1"/>
        <v>4.1149684377574422E-2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18</v>
      </c>
      <c r="J14" t="str" cm="1">
        <f t="array" ref="J14">_xlfn.IFS(F14&gt;0.05,"ahead",F14&lt;-0.05,"behind",TRUE,"in line")</f>
        <v>in line</v>
      </c>
      <c r="K14" t="str" cm="1">
        <f t="array" ref="K14">_xlfn.SWITCH(H14,1,"Tier one",2,"Tier two","Other")</f>
        <v>Tier one</v>
      </c>
      <c r="L14">
        <f t="shared" si="3"/>
        <v>1.0410999999999999</v>
      </c>
      <c r="M14">
        <f t="shared" si="4"/>
        <v>15272.740000000002</v>
      </c>
      <c r="N14">
        <f t="shared" si="5"/>
        <v>5</v>
      </c>
      <c r="O14">
        <f t="shared" si="6"/>
        <v>7.5082625678004999E-2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21844.999999999996</v>
      </c>
      <c r="C15">
        <f>SUMIFS(PeerData!$C$2:$C$721,PeerData!$A$2:$A$721,A15,PeerData!$B$2:$B$721,Link!$B$3)</f>
        <v>20887.599999999999</v>
      </c>
      <c r="D15">
        <f>_xlfn.XLOOKUP(A15&amp;"|"&amp;Link!$B$3,PeerData!$G$2:$G$721,PeerData!$D$2:$D$721,0)</f>
        <v>1044.3800000000001</v>
      </c>
      <c r="E15">
        <f t="shared" si="0"/>
        <v>957.39999999999782</v>
      </c>
      <c r="F15">
        <f t="shared" si="1"/>
        <v>4.5835806890212272E-2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15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1.0458000000000001</v>
      </c>
      <c r="M15">
        <f t="shared" si="4"/>
        <v>16432.64</v>
      </c>
      <c r="N15">
        <f t="shared" si="5"/>
        <v>5</v>
      </c>
      <c r="O15">
        <f t="shared" si="6"/>
        <v>5.5351371317758004E-2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22950.5</v>
      </c>
      <c r="C16">
        <f>SUMIFS(PeerData!$C$2:$C$721,PeerData!$A$2:$A$721,A16,PeerData!$B$2:$B$721,Link!$B$3)</f>
        <v>21864.2</v>
      </c>
      <c r="D16">
        <f>_xlfn.XLOOKUP(A16&amp;"|"&amp;Link!$B$3,PeerData!$G$2:$G$721,PeerData!$D$2:$D$721,0)</f>
        <v>1093.21</v>
      </c>
      <c r="E16">
        <f t="shared" si="0"/>
        <v>1086.2999999999993</v>
      </c>
      <c r="F16">
        <f t="shared" si="1"/>
        <v>4.9683958251388077E-2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13</v>
      </c>
      <c r="J16" t="str" cm="1">
        <f t="array" ref="J16">_xlfn.IFS(F16&gt;0.05,"ahead",F16&lt;-0.05,"behind",TRUE,"in line")</f>
        <v>in line</v>
      </c>
      <c r="K16" t="str" cm="1">
        <f t="array" ref="K16">_xlfn.SWITCH(H16,1,"Tier one",2,"Tier two","Other")</f>
        <v>Other</v>
      </c>
      <c r="L16">
        <f t="shared" si="3"/>
        <v>1.0497000000000001</v>
      </c>
      <c r="M16">
        <f t="shared" si="4"/>
        <v>17403.659999999996</v>
      </c>
      <c r="N16">
        <f t="shared" si="5"/>
        <v>5</v>
      </c>
      <c r="O16">
        <f t="shared" si="6"/>
        <v>5.884621614742034E-2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24210.6</v>
      </c>
      <c r="C17">
        <f>SUMIFS(PeerData!$C$2:$C$721,PeerData!$A$2:$A$721,A17,PeerData!$B$2:$B$721,Link!$B$3)</f>
        <v>22871.7</v>
      </c>
      <c r="D17">
        <f>_xlfn.XLOOKUP(A17&amp;"|"&amp;Link!$B$3,PeerData!$G$2:$G$721,PeerData!$D$2:$D$721,0)</f>
        <v>1143.58</v>
      </c>
      <c r="E17">
        <f t="shared" si="0"/>
        <v>1338.8999999999978</v>
      </c>
      <c r="F17">
        <f t="shared" si="1"/>
        <v>5.8539592596964708E-2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4</v>
      </c>
      <c r="J17" t="str" cm="1">
        <f t="array" ref="J17">_xlfn.IFS(F17&gt;0.05,"ahead",F17&lt;-0.05,"behind",TRUE,"in line")</f>
        <v>ahead</v>
      </c>
      <c r="K17" t="str" cm="1">
        <f t="array" ref="K17">_xlfn.SWITCH(H17,1,"Tier one",2,"Tier two","Other")</f>
        <v>Tier one</v>
      </c>
      <c r="L17">
        <f t="shared" si="3"/>
        <v>1.0585</v>
      </c>
      <c r="M17">
        <f t="shared" si="4"/>
        <v>18575.559999999998</v>
      </c>
      <c r="N17">
        <f t="shared" si="5"/>
        <v>5</v>
      </c>
      <c r="O17">
        <f t="shared" si="6"/>
        <v>6.2701239492805289E-2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25351.600000000002</v>
      </c>
      <c r="C18">
        <f>SUMIFS(PeerData!$C$2:$C$721,PeerData!$A$2:$A$721,A18,PeerData!$B$2:$B$721,Link!$B$3)</f>
        <v>24056.9</v>
      </c>
      <c r="D18">
        <f>_xlfn.XLOOKUP(A18&amp;"|"&amp;Link!$B$3,PeerData!$G$2:$G$721,PeerData!$D$2:$D$721,0)</f>
        <v>1202.8399999999999</v>
      </c>
      <c r="E18">
        <f t="shared" si="0"/>
        <v>1294.7000000000007</v>
      </c>
      <c r="F18">
        <f t="shared" si="1"/>
        <v>5.3818239257759755E-2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9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1.0538000000000001</v>
      </c>
      <c r="M18">
        <f t="shared" si="4"/>
        <v>15272.740000000002</v>
      </c>
      <c r="N18">
        <f t="shared" si="5"/>
        <v>5</v>
      </c>
      <c r="O18">
        <f t="shared" si="6"/>
        <v>7.5082625678004999E-2</v>
      </c>
      <c r="P18" t="str">
        <f>IF(A18=Link!$B$2,"&lt;&lt;","")</f>
        <v>&lt;&lt;</v>
      </c>
    </row>
    <row r="19" spans="1:16" x14ac:dyDescent="0.25">
      <c r="A19" t="str">
        <f>Link!A28</f>
        <v>Banca Sarda</v>
      </c>
      <c r="B19">
        <f>Link!B28</f>
        <v>26492.400000000001</v>
      </c>
      <c r="C19">
        <f>SUMIFS(PeerData!$C$2:$C$721,PeerData!$A$2:$A$721,A19,PeerData!$B$2:$B$721,Link!$B$3)</f>
        <v>25208</v>
      </c>
      <c r="D19">
        <f>_xlfn.XLOOKUP(A19&amp;"|"&amp;Link!$B$3,PeerData!$G$2:$G$721,PeerData!$D$2:$D$721,0)</f>
        <v>1260.4000000000001</v>
      </c>
      <c r="E19">
        <f t="shared" si="0"/>
        <v>1284.4000000000015</v>
      </c>
      <c r="F19">
        <f t="shared" si="1"/>
        <v>5.0952078705173022E-2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12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1.0509999999999999</v>
      </c>
      <c r="M19">
        <f t="shared" si="4"/>
        <v>16432.64</v>
      </c>
      <c r="N19">
        <f t="shared" si="5"/>
        <v>5</v>
      </c>
      <c r="O19">
        <f t="shared" si="6"/>
        <v>5.5351371317758004E-2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27612.3</v>
      </c>
      <c r="C20">
        <f>SUMIFS(PeerData!$C$2:$C$721,PeerData!$A$2:$A$721,A20,PeerData!$B$2:$B$721,Link!$B$3)</f>
        <v>26129.7</v>
      </c>
      <c r="D20">
        <f>_xlfn.XLOOKUP(A20&amp;"|"&amp;Link!$B$3,PeerData!$G$2:$G$721,PeerData!$D$2:$D$721,0)</f>
        <v>1306.49</v>
      </c>
      <c r="E20">
        <f t="shared" si="0"/>
        <v>1482.5999999999985</v>
      </c>
      <c r="F20">
        <f t="shared" si="1"/>
        <v>5.6740031458455263E-2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7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1.0567</v>
      </c>
      <c r="M20">
        <f t="shared" si="4"/>
        <v>17403.659999999996</v>
      </c>
      <c r="N20">
        <f t="shared" si="5"/>
        <v>5</v>
      </c>
      <c r="O20">
        <f t="shared" si="6"/>
        <v>5.884621614742034E-2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28772.399999999998</v>
      </c>
      <c r="C21">
        <f>SUMIFS(PeerData!$C$2:$C$721,PeerData!$A$2:$A$721,A21,PeerData!$B$2:$B$721,Link!$B$3)</f>
        <v>27587.9</v>
      </c>
      <c r="D21">
        <f>_xlfn.XLOOKUP(A21&amp;"|"&amp;Link!$B$3,PeerData!$G$2:$G$721,PeerData!$D$2:$D$721,0)</f>
        <v>1379.39</v>
      </c>
      <c r="E21">
        <f t="shared" si="0"/>
        <v>1184.4999999999964</v>
      </c>
      <c r="F21">
        <f t="shared" si="1"/>
        <v>4.2935489834311287E-2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17</v>
      </c>
      <c r="J21" t="str" cm="1">
        <f t="array" ref="J21">_xlfn.IFS(F21&gt;0.05,"ahead",F21&lt;-0.05,"behind",TRUE,"in line")</f>
        <v>in line</v>
      </c>
      <c r="K21" t="str" cm="1">
        <f t="array" ref="K21">_xlfn.SWITCH(H21,1,"Tier one",2,"Tier two","Other")</f>
        <v>Tier two</v>
      </c>
      <c r="L21">
        <f t="shared" si="3"/>
        <v>1.0428999999999999</v>
      </c>
      <c r="M21">
        <f t="shared" si="4"/>
        <v>18575.559999999998</v>
      </c>
      <c r="N21">
        <f t="shared" si="5"/>
        <v>5</v>
      </c>
      <c r="O21">
        <f t="shared" si="6"/>
        <v>6.2701239492805289E-2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22352.400000000001</v>
      </c>
      <c r="C2">
        <f>SUMIFS(PeerData!C:C,PeerData!A:A,Link!$B$2,PeerData!B:B,A2)</f>
        <v>21253.200000000001</v>
      </c>
      <c r="D2">
        <f t="shared" ref="D2:D37" si="1">B2-C2</f>
        <v>1099.2000000000007</v>
      </c>
      <c r="E2">
        <f t="shared" ref="E2:E37" si="2">IFERROR(B2/C2,0)</f>
        <v>1.0517192705098526</v>
      </c>
      <c r="F2">
        <f>SUM($C$2:C2)</f>
        <v>21253.200000000001</v>
      </c>
      <c r="G2">
        <f>HLOOKUP(A2,PeerGrid!$B$2:$AK$22,Link!$B$6+1,FALSE)</f>
        <v>21253.200000000001</v>
      </c>
      <c r="H2">
        <f t="shared" ref="H2:H37" ca="1" si="3">AVERAGE(OFFSET(C2,-MIN(2,A2-1),0,MIN(3,A2),1))</f>
        <v>21253.200000000001</v>
      </c>
    </row>
    <row r="3" spans="1:8" x14ac:dyDescent="0.25">
      <c r="A3">
        <f t="shared" si="0"/>
        <v>2</v>
      </c>
      <c r="B3">
        <f>Link!B35</f>
        <v>22527.8</v>
      </c>
      <c r="C3">
        <f>SUMIFS(PeerData!C:C,PeerData!A:A,Link!$B$2,PeerData!B:B,A3)</f>
        <v>21454.5</v>
      </c>
      <c r="D3">
        <f t="shared" si="1"/>
        <v>1073.2999999999993</v>
      </c>
      <c r="E3">
        <f t="shared" si="2"/>
        <v>1.0500268009042393</v>
      </c>
      <c r="F3">
        <f>SUM($C$2:C3)</f>
        <v>42707.7</v>
      </c>
      <c r="G3">
        <f>HLOOKUP(A3,PeerGrid!$B$2:$AK$22,Link!$B$6+1,FALSE)</f>
        <v>21454.5</v>
      </c>
      <c r="H3">
        <f t="shared" ca="1" si="3"/>
        <v>21353.85</v>
      </c>
    </row>
    <row r="4" spans="1:8" x14ac:dyDescent="0.25">
      <c r="A4">
        <f t="shared" si="0"/>
        <v>3</v>
      </c>
      <c r="B4">
        <f>Link!B36</f>
        <v>22604.6</v>
      </c>
      <c r="C4">
        <f>SUMIFS(PeerData!C:C,PeerData!A:A,Link!$B$2,PeerData!B:B,A4)</f>
        <v>21699.4</v>
      </c>
      <c r="D4">
        <f t="shared" si="1"/>
        <v>905.19999999999709</v>
      </c>
      <c r="E4">
        <f t="shared" si="2"/>
        <v>1.0417154391365659</v>
      </c>
      <c r="F4">
        <f>SUM($C$2:C4)</f>
        <v>64407.1</v>
      </c>
      <c r="G4">
        <f>HLOOKUP(A4,PeerGrid!$B$2:$AK$22,Link!$B$6+1,FALSE)</f>
        <v>21699.4</v>
      </c>
      <c r="H4">
        <f t="shared" ca="1" si="3"/>
        <v>21469.033333333333</v>
      </c>
    </row>
    <row r="5" spans="1:8" x14ac:dyDescent="0.25">
      <c r="A5">
        <f t="shared" si="0"/>
        <v>4</v>
      </c>
      <c r="B5">
        <f>Link!B37</f>
        <v>22888.9</v>
      </c>
      <c r="C5">
        <f>SUMIFS(PeerData!C:C,PeerData!A:A,Link!$B$2,PeerData!B:B,A5)</f>
        <v>21720.1</v>
      </c>
      <c r="D5">
        <f t="shared" si="1"/>
        <v>1168.8000000000029</v>
      </c>
      <c r="E5">
        <f t="shared" si="2"/>
        <v>1.0538119069433383</v>
      </c>
      <c r="F5">
        <f>SUM($C$2:C5)</f>
        <v>86127.2</v>
      </c>
      <c r="G5">
        <f>HLOOKUP(A5,PeerGrid!$B$2:$AK$22,Link!$B$6+1,FALSE)</f>
        <v>21720.1</v>
      </c>
      <c r="H5">
        <f t="shared" ca="1" si="3"/>
        <v>21624.666666666668</v>
      </c>
    </row>
    <row r="6" spans="1:8" x14ac:dyDescent="0.25">
      <c r="A6">
        <f t="shared" si="0"/>
        <v>5</v>
      </c>
      <c r="B6">
        <f>Link!B38</f>
        <v>23053.699999999997</v>
      </c>
      <c r="C6">
        <f>SUMIFS(PeerData!C:C,PeerData!A:A,Link!$B$2,PeerData!B:B,A6)</f>
        <v>22229.8</v>
      </c>
      <c r="D6">
        <f t="shared" si="1"/>
        <v>823.89999999999782</v>
      </c>
      <c r="E6">
        <f t="shared" si="2"/>
        <v>1.0370628615642066</v>
      </c>
      <c r="F6">
        <f>SUM($C$2:C6)</f>
        <v>108357</v>
      </c>
      <c r="G6">
        <f>HLOOKUP(A6,PeerGrid!$B$2:$AK$22,Link!$B$6+1,FALSE)</f>
        <v>22229.8</v>
      </c>
      <c r="H6">
        <f t="shared" ca="1" si="3"/>
        <v>21883.100000000002</v>
      </c>
    </row>
    <row r="7" spans="1:8" x14ac:dyDescent="0.25">
      <c r="A7">
        <f t="shared" si="0"/>
        <v>6</v>
      </c>
      <c r="B7">
        <f>Link!B39</f>
        <v>23190</v>
      </c>
      <c r="C7">
        <f>SUMIFS(PeerData!C:C,PeerData!A:A,Link!$B$2,PeerData!B:B,A7)</f>
        <v>22280.7</v>
      </c>
      <c r="D7">
        <f t="shared" si="1"/>
        <v>909.29999999999927</v>
      </c>
      <c r="E7">
        <f t="shared" si="2"/>
        <v>1.0408111055756775</v>
      </c>
      <c r="F7">
        <f>SUM($C$2:C7)</f>
        <v>130637.7</v>
      </c>
      <c r="G7">
        <f>HLOOKUP(A7,PeerGrid!$B$2:$AK$22,Link!$B$6+1,FALSE)</f>
        <v>22280.7</v>
      </c>
      <c r="H7">
        <f t="shared" ca="1" si="3"/>
        <v>22076.866666666665</v>
      </c>
    </row>
    <row r="8" spans="1:8" x14ac:dyDescent="0.25">
      <c r="A8">
        <f t="shared" si="0"/>
        <v>7</v>
      </c>
      <c r="B8">
        <f>Link!B40</f>
        <v>23314.9</v>
      </c>
      <c r="C8">
        <f>SUMIFS(PeerData!C:C,PeerData!A:A,Link!$B$2,PeerData!B:B,A8)</f>
        <v>22512.5</v>
      </c>
      <c r="D8">
        <f t="shared" si="1"/>
        <v>802.40000000000146</v>
      </c>
      <c r="E8">
        <f t="shared" si="2"/>
        <v>1.0356424208772905</v>
      </c>
      <c r="F8">
        <f>SUM($C$2:C8)</f>
        <v>153150.20000000001</v>
      </c>
      <c r="G8">
        <f>HLOOKUP(A8,PeerGrid!$B$2:$AK$22,Link!$B$6+1,FALSE)</f>
        <v>22512.5</v>
      </c>
      <c r="H8">
        <f t="shared" ca="1" si="3"/>
        <v>22341</v>
      </c>
    </row>
    <row r="9" spans="1:8" x14ac:dyDescent="0.25">
      <c r="A9">
        <f t="shared" si="0"/>
        <v>8</v>
      </c>
      <c r="B9">
        <f>Link!B41</f>
        <v>23536.5</v>
      </c>
      <c r="C9">
        <f>SUMIFS(PeerData!C:C,PeerData!A:A,Link!$B$2,PeerData!B:B,A9)</f>
        <v>22687.3</v>
      </c>
      <c r="D9">
        <f t="shared" si="1"/>
        <v>849.20000000000073</v>
      </c>
      <c r="E9">
        <f t="shared" si="2"/>
        <v>1.0374306329973157</v>
      </c>
      <c r="F9">
        <f>SUM($C$2:C9)</f>
        <v>175837.5</v>
      </c>
      <c r="G9">
        <f>HLOOKUP(A9,PeerGrid!$B$2:$AK$22,Link!$B$6+1,FALSE)</f>
        <v>22687.3</v>
      </c>
      <c r="H9">
        <f t="shared" ca="1" si="3"/>
        <v>22493.5</v>
      </c>
    </row>
    <row r="10" spans="1:8" x14ac:dyDescent="0.25">
      <c r="A10">
        <f t="shared" si="0"/>
        <v>9</v>
      </c>
      <c r="B10">
        <f>Link!B42</f>
        <v>23738.1</v>
      </c>
      <c r="C10">
        <f>SUMIFS(PeerData!C:C,PeerData!A:A,Link!$B$2,PeerData!B:B,A10)</f>
        <v>22688.400000000001</v>
      </c>
      <c r="D10">
        <f t="shared" si="1"/>
        <v>1049.6999999999971</v>
      </c>
      <c r="E10">
        <f t="shared" si="2"/>
        <v>1.0462659332522344</v>
      </c>
      <c r="F10">
        <f>SUM($C$2:C10)</f>
        <v>198525.9</v>
      </c>
      <c r="G10">
        <f>HLOOKUP(A10,PeerGrid!$B$2:$AK$22,Link!$B$6+1,FALSE)</f>
        <v>22688.400000000001</v>
      </c>
      <c r="H10">
        <f t="shared" ca="1" si="3"/>
        <v>22629.400000000005</v>
      </c>
    </row>
    <row r="11" spans="1:8" x14ac:dyDescent="0.25">
      <c r="A11">
        <f t="shared" si="0"/>
        <v>10</v>
      </c>
      <c r="B11">
        <f>Link!B43</f>
        <v>23994.5</v>
      </c>
      <c r="C11">
        <f>SUMIFS(PeerData!C:C,PeerData!A:A,Link!$B$2,PeerData!B:B,A11)</f>
        <v>23011.4</v>
      </c>
      <c r="D11">
        <f t="shared" si="1"/>
        <v>983.09999999999854</v>
      </c>
      <c r="E11">
        <f t="shared" si="2"/>
        <v>1.042722302858583</v>
      </c>
      <c r="F11">
        <f>SUM($C$2:C11)</f>
        <v>221537.3</v>
      </c>
      <c r="G11">
        <f>HLOOKUP(A11,PeerGrid!$B$2:$AK$22,Link!$B$6+1,FALSE)</f>
        <v>23011.4</v>
      </c>
      <c r="H11">
        <f t="shared" ca="1" si="3"/>
        <v>22795.7</v>
      </c>
    </row>
    <row r="12" spans="1:8" x14ac:dyDescent="0.25">
      <c r="A12">
        <f t="shared" si="0"/>
        <v>11</v>
      </c>
      <c r="B12">
        <f>Link!B44</f>
        <v>24051.800000000003</v>
      </c>
      <c r="C12">
        <f>SUMIFS(PeerData!C:C,PeerData!A:A,Link!$B$2,PeerData!B:B,A12)</f>
        <v>23182.2</v>
      </c>
      <c r="D12">
        <f t="shared" si="1"/>
        <v>869.60000000000218</v>
      </c>
      <c r="E12">
        <f t="shared" si="2"/>
        <v>1.0375115390256318</v>
      </c>
      <c r="F12">
        <f>SUM($C$2:C12)</f>
        <v>244719.5</v>
      </c>
      <c r="G12">
        <f>HLOOKUP(A12,PeerGrid!$B$2:$AK$22,Link!$B$6+1,FALSE)</f>
        <v>23182.2</v>
      </c>
      <c r="H12">
        <f t="shared" ca="1" si="3"/>
        <v>22960.666666666668</v>
      </c>
    </row>
    <row r="13" spans="1:8" x14ac:dyDescent="0.25">
      <c r="A13">
        <f t="shared" si="0"/>
        <v>12</v>
      </c>
      <c r="B13">
        <f>Link!B45</f>
        <v>24182.800000000003</v>
      </c>
      <c r="C13">
        <f>SUMIFS(PeerData!C:C,PeerData!A:A,Link!$B$2,PeerData!B:B,A13)</f>
        <v>23173.9</v>
      </c>
      <c r="D13">
        <f t="shared" si="1"/>
        <v>1008.9000000000015</v>
      </c>
      <c r="E13">
        <f t="shared" si="2"/>
        <v>1.043536047018413</v>
      </c>
      <c r="F13">
        <f>SUM($C$2:C13)</f>
        <v>267893.40000000002</v>
      </c>
      <c r="G13">
        <f>HLOOKUP(A13,PeerGrid!$B$2:$AK$22,Link!$B$6+1,FALSE)</f>
        <v>23173.9</v>
      </c>
      <c r="H13">
        <f t="shared" ca="1" si="3"/>
        <v>23122.5</v>
      </c>
    </row>
    <row r="14" spans="1:8" x14ac:dyDescent="0.25">
      <c r="A14">
        <f t="shared" si="0"/>
        <v>13</v>
      </c>
      <c r="B14">
        <f>Link!B46</f>
        <v>24517.8</v>
      </c>
      <c r="C14">
        <f>SUMIFS(PeerData!C:C,PeerData!A:A,Link!$B$2,PeerData!B:B,A14)</f>
        <v>23360.400000000001</v>
      </c>
      <c r="D14">
        <f t="shared" si="1"/>
        <v>1157.3999999999978</v>
      </c>
      <c r="E14">
        <f t="shared" si="2"/>
        <v>1.0495453844968408</v>
      </c>
      <c r="F14">
        <f>SUM($C$2:C14)</f>
        <v>291253.80000000005</v>
      </c>
      <c r="G14">
        <f>HLOOKUP(A14,PeerGrid!$B$2:$AK$22,Link!$B$6+1,FALSE)</f>
        <v>23360.400000000001</v>
      </c>
      <c r="H14">
        <f t="shared" ca="1" si="3"/>
        <v>23238.833333333332</v>
      </c>
    </row>
    <row r="15" spans="1:8" x14ac:dyDescent="0.25">
      <c r="A15">
        <f t="shared" si="0"/>
        <v>14</v>
      </c>
      <c r="B15">
        <f>Link!B47</f>
        <v>24570.6</v>
      </c>
      <c r="C15">
        <f>SUMIFS(PeerData!C:C,PeerData!A:A,Link!$B$2,PeerData!B:B,A15)</f>
        <v>23534</v>
      </c>
      <c r="D15">
        <f t="shared" si="1"/>
        <v>1036.5999999999985</v>
      </c>
      <c r="E15">
        <f t="shared" si="2"/>
        <v>1.0440469108523838</v>
      </c>
      <c r="F15">
        <f>SUM($C$2:C15)</f>
        <v>314787.80000000005</v>
      </c>
      <c r="G15">
        <f>HLOOKUP(A15,PeerGrid!$B$2:$AK$22,Link!$B$6+1,FALSE)</f>
        <v>23534</v>
      </c>
      <c r="H15">
        <f t="shared" ca="1" si="3"/>
        <v>23356.100000000002</v>
      </c>
    </row>
    <row r="16" spans="1:8" x14ac:dyDescent="0.25">
      <c r="A16">
        <f t="shared" si="0"/>
        <v>15</v>
      </c>
      <c r="B16">
        <f>Link!B48</f>
        <v>24765.1</v>
      </c>
      <c r="C16">
        <f>SUMIFS(PeerData!C:C,PeerData!A:A,Link!$B$2,PeerData!B:B,A16)</f>
        <v>23678.1</v>
      </c>
      <c r="D16">
        <f t="shared" si="1"/>
        <v>1087</v>
      </c>
      <c r="E16">
        <f t="shared" si="2"/>
        <v>1.0459073996646691</v>
      </c>
      <c r="F16">
        <f>SUM($C$2:C16)</f>
        <v>338465.9</v>
      </c>
      <c r="G16">
        <f>HLOOKUP(A16,PeerGrid!$B$2:$AK$22,Link!$B$6+1,FALSE)</f>
        <v>23678.1</v>
      </c>
      <c r="H16">
        <f t="shared" ca="1" si="3"/>
        <v>23524.166666666668</v>
      </c>
    </row>
    <row r="17" spans="1:8" x14ac:dyDescent="0.25">
      <c r="A17">
        <f t="shared" si="0"/>
        <v>16</v>
      </c>
      <c r="B17">
        <f>Link!B49</f>
        <v>25016.400000000001</v>
      </c>
      <c r="C17">
        <f>SUMIFS(PeerData!C:C,PeerData!A:A,Link!$B$2,PeerData!B:B,A17)</f>
        <v>23875.4</v>
      </c>
      <c r="D17">
        <f t="shared" si="1"/>
        <v>1141</v>
      </c>
      <c r="E17">
        <f t="shared" si="2"/>
        <v>1.0477897752498389</v>
      </c>
      <c r="F17">
        <f>SUM($C$2:C17)</f>
        <v>362341.30000000005</v>
      </c>
      <c r="G17">
        <f>HLOOKUP(A17,PeerGrid!$B$2:$AK$22,Link!$B$6+1,FALSE)</f>
        <v>23875.4</v>
      </c>
      <c r="H17">
        <f t="shared" ca="1" si="3"/>
        <v>23695.833333333332</v>
      </c>
    </row>
    <row r="18" spans="1:8" x14ac:dyDescent="0.25">
      <c r="A18">
        <f t="shared" si="0"/>
        <v>17</v>
      </c>
      <c r="B18">
        <f>Link!B50</f>
        <v>25168.5</v>
      </c>
      <c r="C18">
        <f>SUMIFS(PeerData!C:C,PeerData!A:A,Link!$B$2,PeerData!B:B,A18)</f>
        <v>23797.9</v>
      </c>
      <c r="D18">
        <f t="shared" si="1"/>
        <v>1370.5999999999985</v>
      </c>
      <c r="E18">
        <f t="shared" si="2"/>
        <v>1.0575933170573875</v>
      </c>
      <c r="F18">
        <f>SUM($C$2:C18)</f>
        <v>386139.20000000007</v>
      </c>
      <c r="G18">
        <f>HLOOKUP(A18,PeerGrid!$B$2:$AK$22,Link!$B$6+1,FALSE)</f>
        <v>23797.9</v>
      </c>
      <c r="H18">
        <f t="shared" ca="1" si="3"/>
        <v>23783.8</v>
      </c>
    </row>
    <row r="19" spans="1:8" x14ac:dyDescent="0.25">
      <c r="A19">
        <f t="shared" si="0"/>
        <v>18</v>
      </c>
      <c r="B19">
        <f>Link!B51</f>
        <v>25351.600000000002</v>
      </c>
      <c r="C19">
        <f>SUMIFS(PeerData!C:C,PeerData!A:A,Link!$B$2,PeerData!B:B,A19)</f>
        <v>24056.9</v>
      </c>
      <c r="D19">
        <f t="shared" si="1"/>
        <v>1294.7000000000007</v>
      </c>
      <c r="E19">
        <f t="shared" si="2"/>
        <v>1.0538182392577597</v>
      </c>
      <c r="F19">
        <f>SUM($C$2:C19)</f>
        <v>410196.10000000009</v>
      </c>
      <c r="G19">
        <f>HLOOKUP(A19,PeerGrid!$B$2:$AK$22,Link!$B$6+1,FALSE)</f>
        <v>24056.9</v>
      </c>
      <c r="H19">
        <f t="shared" ca="1" si="3"/>
        <v>23910.066666666669</v>
      </c>
    </row>
    <row r="20" spans="1:8" x14ac:dyDescent="0.25">
      <c r="A20">
        <f t="shared" si="0"/>
        <v>19</v>
      </c>
      <c r="B20">
        <f>Link!B52</f>
        <v>25454.799999999999</v>
      </c>
      <c r="C20">
        <f>SUMIFS(PeerData!C:C,PeerData!A:A,Link!$B$2,PeerData!B:B,A20)</f>
        <v>24258.3</v>
      </c>
      <c r="D20">
        <f t="shared" si="1"/>
        <v>1196.5</v>
      </c>
      <c r="E20">
        <f t="shared" si="2"/>
        <v>1.0493233243879414</v>
      </c>
      <c r="F20">
        <f>SUM($C$2:C20)</f>
        <v>434454.40000000008</v>
      </c>
      <c r="G20">
        <f>HLOOKUP(A20,PeerGrid!$B$2:$AK$22,Link!$B$6+1,FALSE)</f>
        <v>24258.3</v>
      </c>
      <c r="H20">
        <f t="shared" ca="1" si="3"/>
        <v>24037.7</v>
      </c>
    </row>
    <row r="21" spans="1:8" x14ac:dyDescent="0.25">
      <c r="A21">
        <f t="shared" si="0"/>
        <v>20</v>
      </c>
      <c r="B21">
        <f>Link!B53</f>
        <v>25585.800000000003</v>
      </c>
      <c r="C21">
        <f>SUMIFS(PeerData!C:C,PeerData!A:A,Link!$B$2,PeerData!B:B,A21)</f>
        <v>24407.200000000001</v>
      </c>
      <c r="D21">
        <f t="shared" si="1"/>
        <v>1178.6000000000022</v>
      </c>
      <c r="E21">
        <f t="shared" si="2"/>
        <v>1.0482890294667149</v>
      </c>
      <c r="F21">
        <f>SUM($C$2:C21)</f>
        <v>458861.60000000009</v>
      </c>
      <c r="G21">
        <f>HLOOKUP(A21,PeerGrid!$B$2:$AK$22,Link!$B$6+1,FALSE)</f>
        <v>24407.200000000001</v>
      </c>
      <c r="H21">
        <f t="shared" ca="1" si="3"/>
        <v>24240.799999999999</v>
      </c>
    </row>
    <row r="22" spans="1:8" x14ac:dyDescent="0.25">
      <c r="A22">
        <f t="shared" si="0"/>
        <v>21</v>
      </c>
      <c r="B22">
        <f>Link!B54</f>
        <v>25837.4</v>
      </c>
      <c r="C22">
        <f>SUMIFS(PeerData!C:C,PeerData!A:A,Link!$B$2,PeerData!B:B,A22)</f>
        <v>24641.1</v>
      </c>
      <c r="D22">
        <f t="shared" si="1"/>
        <v>1196.3000000000029</v>
      </c>
      <c r="E22">
        <f t="shared" si="2"/>
        <v>1.0485489689989491</v>
      </c>
      <c r="F22">
        <f>SUM($C$2:C22)</f>
        <v>483502.70000000007</v>
      </c>
      <c r="G22">
        <f>HLOOKUP(A22,PeerGrid!$B$2:$AK$22,Link!$B$6+1,FALSE)</f>
        <v>24641.1</v>
      </c>
      <c r="H22">
        <f t="shared" ca="1" si="3"/>
        <v>24435.533333333336</v>
      </c>
    </row>
    <row r="23" spans="1:8" x14ac:dyDescent="0.25">
      <c r="A23">
        <f t="shared" si="0"/>
        <v>22</v>
      </c>
      <c r="B23">
        <f>Link!B55</f>
        <v>26018.6</v>
      </c>
      <c r="C23">
        <f>SUMIFS(PeerData!C:C,PeerData!A:A,Link!$B$2,PeerData!B:B,A23)</f>
        <v>24807.8</v>
      </c>
      <c r="D23">
        <f t="shared" si="1"/>
        <v>1210.7999999999993</v>
      </c>
      <c r="E23">
        <f t="shared" si="2"/>
        <v>1.0488072299841178</v>
      </c>
      <c r="F23">
        <f>SUM($C$2:C23)</f>
        <v>508310.50000000006</v>
      </c>
      <c r="G23">
        <f>HLOOKUP(A23,PeerGrid!$B$2:$AK$22,Link!$B$6+1,FALSE)</f>
        <v>24807.8</v>
      </c>
      <c r="H23">
        <f t="shared" ca="1" si="3"/>
        <v>24618.7</v>
      </c>
    </row>
    <row r="24" spans="1:8" x14ac:dyDescent="0.25">
      <c r="A24">
        <f t="shared" si="0"/>
        <v>23</v>
      </c>
      <c r="B24">
        <f>Link!B56</f>
        <v>26251.800000000003</v>
      </c>
      <c r="C24">
        <f>SUMIFS(PeerData!C:C,PeerData!A:A,Link!$B$2,PeerData!B:B,A24)</f>
        <v>24730.3</v>
      </c>
      <c r="D24">
        <f t="shared" si="1"/>
        <v>1521.5000000000036</v>
      </c>
      <c r="E24">
        <f t="shared" si="2"/>
        <v>1.0615237178683641</v>
      </c>
      <c r="F24">
        <f>SUM($C$2:C24)</f>
        <v>533040.80000000005</v>
      </c>
      <c r="G24">
        <f>HLOOKUP(A24,PeerGrid!$B$2:$AK$22,Link!$B$6+1,FALSE)</f>
        <v>24730.3</v>
      </c>
      <c r="H24">
        <f t="shared" ca="1" si="3"/>
        <v>24726.399999999998</v>
      </c>
    </row>
    <row r="25" spans="1:8" x14ac:dyDescent="0.25">
      <c r="A25">
        <f t="shared" si="0"/>
        <v>24</v>
      </c>
      <c r="B25">
        <f>Link!B57</f>
        <v>26310.5</v>
      </c>
      <c r="C25">
        <f>SUMIFS(PeerData!C:C,PeerData!A:A,Link!$B$2,PeerData!B:B,A25)</f>
        <v>25136.1</v>
      </c>
      <c r="D25">
        <f t="shared" si="1"/>
        <v>1174.4000000000015</v>
      </c>
      <c r="E25">
        <f t="shared" si="2"/>
        <v>1.0467216473518168</v>
      </c>
      <c r="F25">
        <f>SUM($C$2:C25)</f>
        <v>558176.9</v>
      </c>
      <c r="G25">
        <f>HLOOKUP(A25,PeerGrid!$B$2:$AK$22,Link!$B$6+1,FALSE)</f>
        <v>25136.1</v>
      </c>
      <c r="H25">
        <f t="shared" ca="1" si="3"/>
        <v>24891.399999999998</v>
      </c>
    </row>
    <row r="26" spans="1:8" x14ac:dyDescent="0.25">
      <c r="A26">
        <f t="shared" si="0"/>
        <v>25</v>
      </c>
      <c r="B26">
        <f>Link!B58</f>
        <v>26558.7</v>
      </c>
      <c r="C26">
        <f>SUMIFS(PeerData!C:C,PeerData!A:A,Link!$B$2,PeerData!B:B,A26)</f>
        <v>25404.7</v>
      </c>
      <c r="D26">
        <f t="shared" si="1"/>
        <v>1154</v>
      </c>
      <c r="E26">
        <f t="shared" si="2"/>
        <v>1.0454246655146489</v>
      </c>
      <c r="F26">
        <f>SUM($C$2:C26)</f>
        <v>583581.6</v>
      </c>
      <c r="G26">
        <f>HLOOKUP(A26,PeerGrid!$B$2:$AK$22,Link!$B$6+1,FALSE)</f>
        <v>25404.7</v>
      </c>
      <c r="H26">
        <f t="shared" ca="1" si="3"/>
        <v>25090.366666666665</v>
      </c>
    </row>
    <row r="27" spans="1:8" x14ac:dyDescent="0.25">
      <c r="A27">
        <f t="shared" si="0"/>
        <v>26</v>
      </c>
      <c r="B27">
        <f>Link!B59</f>
        <v>26724.6</v>
      </c>
      <c r="C27">
        <f>SUMIFS(PeerData!C:C,PeerData!A:A,Link!$B$2,PeerData!B:B,A27)</f>
        <v>25544.9</v>
      </c>
      <c r="D27">
        <f t="shared" si="1"/>
        <v>1179.6999999999971</v>
      </c>
      <c r="E27">
        <f t="shared" si="2"/>
        <v>1.0461814295612821</v>
      </c>
      <c r="F27">
        <f>SUM($C$2:C27)</f>
        <v>609126.5</v>
      </c>
      <c r="G27">
        <f>HLOOKUP(A27,PeerGrid!$B$2:$AK$22,Link!$B$6+1,FALSE)</f>
        <v>25544.9</v>
      </c>
      <c r="H27">
        <f t="shared" ca="1" si="3"/>
        <v>25361.900000000005</v>
      </c>
    </row>
    <row r="28" spans="1:8" x14ac:dyDescent="0.25">
      <c r="A28">
        <f t="shared" si="0"/>
        <v>27</v>
      </c>
      <c r="B28">
        <f>Link!B60</f>
        <v>26847.7</v>
      </c>
      <c r="C28">
        <f>SUMIFS(PeerData!C:C,PeerData!A:A,Link!$B$2,PeerData!B:B,A28)</f>
        <v>25495.8</v>
      </c>
      <c r="D28">
        <f t="shared" si="1"/>
        <v>1351.9000000000015</v>
      </c>
      <c r="E28">
        <f t="shared" si="2"/>
        <v>1.0530244197083443</v>
      </c>
      <c r="F28">
        <f>SUM($C$2:C28)</f>
        <v>634622.30000000005</v>
      </c>
      <c r="G28">
        <f>HLOOKUP(A28,PeerGrid!$B$2:$AK$22,Link!$B$6+1,FALSE)</f>
        <v>25495.8</v>
      </c>
      <c r="H28">
        <f t="shared" ca="1" si="3"/>
        <v>25481.800000000003</v>
      </c>
    </row>
    <row r="29" spans="1:8" x14ac:dyDescent="0.25">
      <c r="A29">
        <f t="shared" si="0"/>
        <v>28</v>
      </c>
      <c r="B29">
        <f>Link!B61</f>
        <v>27070.5</v>
      </c>
      <c r="C29">
        <f>SUMIFS(PeerData!C:C,PeerData!A:A,Link!$B$2,PeerData!B:B,A29)</f>
        <v>25702.9</v>
      </c>
      <c r="D29">
        <f t="shared" si="1"/>
        <v>1367.5999999999985</v>
      </c>
      <c r="E29">
        <f t="shared" si="2"/>
        <v>1.053208003766112</v>
      </c>
      <c r="F29">
        <f>SUM($C$2:C29)</f>
        <v>660325.20000000007</v>
      </c>
      <c r="G29">
        <f>HLOOKUP(A29,PeerGrid!$B$2:$AK$22,Link!$B$6+1,FALSE)</f>
        <v>25702.9</v>
      </c>
      <c r="H29">
        <f t="shared" ca="1" si="3"/>
        <v>25581.200000000001</v>
      </c>
    </row>
    <row r="30" spans="1:8" x14ac:dyDescent="0.25">
      <c r="A30">
        <f t="shared" si="0"/>
        <v>29</v>
      </c>
      <c r="B30">
        <f>Link!B62</f>
        <v>27210.699999999997</v>
      </c>
      <c r="C30">
        <f>SUMIFS(PeerData!C:C,PeerData!A:A,Link!$B$2,PeerData!B:B,A30)</f>
        <v>25714</v>
      </c>
      <c r="D30">
        <f t="shared" si="1"/>
        <v>1496.6999999999971</v>
      </c>
      <c r="E30">
        <f t="shared" si="2"/>
        <v>1.0582056467294081</v>
      </c>
      <c r="F30">
        <f>SUM($C$2:C30)</f>
        <v>686039.20000000007</v>
      </c>
      <c r="G30">
        <f>HLOOKUP(A30,PeerGrid!$B$2:$AK$22,Link!$B$6+1,FALSE)</f>
        <v>25714</v>
      </c>
      <c r="H30">
        <f t="shared" ca="1" si="3"/>
        <v>25637.566666666666</v>
      </c>
    </row>
    <row r="31" spans="1:8" x14ac:dyDescent="0.25">
      <c r="A31">
        <f t="shared" si="0"/>
        <v>30</v>
      </c>
      <c r="B31">
        <f>Link!B63</f>
        <v>27574.800000000003</v>
      </c>
      <c r="C31">
        <f>SUMIFS(PeerData!C:C,PeerData!A:A,Link!$B$2,PeerData!B:B,A31)</f>
        <v>25824.400000000001</v>
      </c>
      <c r="D31">
        <f t="shared" si="1"/>
        <v>1750.4000000000015</v>
      </c>
      <c r="E31">
        <f t="shared" si="2"/>
        <v>1.0677808584129738</v>
      </c>
      <c r="F31">
        <f>SUM($C$2:C31)</f>
        <v>711863.60000000009</v>
      </c>
      <c r="G31">
        <f>HLOOKUP(A31,PeerGrid!$B$2:$AK$22,Link!$B$6+1,FALSE)</f>
        <v>25824.400000000001</v>
      </c>
      <c r="H31">
        <f t="shared" ca="1" si="3"/>
        <v>25747.100000000002</v>
      </c>
    </row>
    <row r="32" spans="1:8" x14ac:dyDescent="0.25">
      <c r="A32">
        <f t="shared" si="0"/>
        <v>31</v>
      </c>
      <c r="B32">
        <f>Link!B64</f>
        <v>27660.1</v>
      </c>
      <c r="C32">
        <f>SUMIFS(PeerData!C:C,PeerData!A:A,Link!$B$2,PeerData!B:B,A32)</f>
        <v>26218</v>
      </c>
      <c r="D32">
        <f t="shared" si="1"/>
        <v>1442.0999999999985</v>
      </c>
      <c r="E32">
        <f t="shared" si="2"/>
        <v>1.0550041955908154</v>
      </c>
      <c r="F32">
        <f>SUM($C$2:C32)</f>
        <v>738081.60000000009</v>
      </c>
      <c r="G32">
        <f>HLOOKUP(A32,PeerGrid!$B$2:$AK$22,Link!$B$6+1,FALSE)</f>
        <v>26218</v>
      </c>
      <c r="H32">
        <f t="shared" ca="1" si="3"/>
        <v>25918.799999999999</v>
      </c>
    </row>
    <row r="33" spans="1:8" x14ac:dyDescent="0.25">
      <c r="A33">
        <f t="shared" si="0"/>
        <v>32</v>
      </c>
      <c r="B33">
        <f>Link!B65</f>
        <v>27832.899999999998</v>
      </c>
      <c r="C33">
        <f>SUMIFS(PeerData!C:C,PeerData!A:A,Link!$B$2,PeerData!B:B,A33)</f>
        <v>26144.5</v>
      </c>
      <c r="D33">
        <f t="shared" si="1"/>
        <v>1688.3999999999978</v>
      </c>
      <c r="E33">
        <f t="shared" si="2"/>
        <v>1.0645795482797529</v>
      </c>
      <c r="F33">
        <f>SUM($C$2:C33)</f>
        <v>764226.10000000009</v>
      </c>
      <c r="G33">
        <f>HLOOKUP(A33,PeerGrid!$B$2:$AK$22,Link!$B$6+1,FALSE)</f>
        <v>26144.5</v>
      </c>
      <c r="H33">
        <f t="shared" ca="1" si="3"/>
        <v>26062.3</v>
      </c>
    </row>
    <row r="34" spans="1:8" x14ac:dyDescent="0.25">
      <c r="A34">
        <f t="shared" si="0"/>
        <v>33</v>
      </c>
      <c r="B34">
        <f>Link!B66</f>
        <v>28034.400000000001</v>
      </c>
      <c r="C34">
        <f>SUMIFS(PeerData!C:C,PeerData!A:A,Link!$B$2,PeerData!B:B,A34)</f>
        <v>26397.599999999999</v>
      </c>
      <c r="D34">
        <f t="shared" si="1"/>
        <v>1636.8000000000029</v>
      </c>
      <c r="E34">
        <f t="shared" si="2"/>
        <v>1.0620056368760797</v>
      </c>
      <c r="F34">
        <f>SUM($C$2:C34)</f>
        <v>790623.70000000007</v>
      </c>
      <c r="G34">
        <f>HLOOKUP(A34,PeerGrid!$B$2:$AK$22,Link!$B$6+1,FALSE)</f>
        <v>26397.599999999999</v>
      </c>
      <c r="H34">
        <f t="shared" ca="1" si="3"/>
        <v>26253.366666666669</v>
      </c>
    </row>
    <row r="35" spans="1:8" x14ac:dyDescent="0.25">
      <c r="A35">
        <f t="shared" si="0"/>
        <v>34</v>
      </c>
      <c r="B35">
        <f>Link!B67</f>
        <v>28186.5</v>
      </c>
      <c r="C35">
        <f>SUMIFS(PeerData!C:C,PeerData!A:A,Link!$B$2,PeerData!B:B,A35)</f>
        <v>26652</v>
      </c>
      <c r="D35">
        <f t="shared" si="1"/>
        <v>1534.5</v>
      </c>
      <c r="E35">
        <f t="shared" si="2"/>
        <v>1.0575754164790634</v>
      </c>
      <c r="F35">
        <f>SUM($C$2:C35)</f>
        <v>817275.70000000007</v>
      </c>
      <c r="G35">
        <f>HLOOKUP(A35,PeerGrid!$B$2:$AK$22,Link!$B$6+1,FALSE)</f>
        <v>26652</v>
      </c>
      <c r="H35">
        <f t="shared" ca="1" si="3"/>
        <v>26398.033333333336</v>
      </c>
    </row>
    <row r="36" spans="1:8" x14ac:dyDescent="0.25">
      <c r="A36">
        <f t="shared" si="0"/>
        <v>35</v>
      </c>
      <c r="B36">
        <f>Link!B68</f>
        <v>28351.799999999996</v>
      </c>
      <c r="C36">
        <f>SUMIFS(PeerData!C:C,PeerData!A:A,Link!$B$2,PeerData!B:B,A36)</f>
        <v>26868.6</v>
      </c>
      <c r="D36">
        <f t="shared" si="1"/>
        <v>1483.1999999999971</v>
      </c>
      <c r="E36">
        <f t="shared" si="2"/>
        <v>1.0552019829838546</v>
      </c>
      <c r="F36">
        <f>SUM($C$2:C36)</f>
        <v>844144.3</v>
      </c>
      <c r="G36">
        <f>HLOOKUP(A36,PeerGrid!$B$2:$AK$22,Link!$B$6+1,FALSE)</f>
        <v>26868.6</v>
      </c>
      <c r="H36">
        <f t="shared" ca="1" si="3"/>
        <v>26639.399999999998</v>
      </c>
    </row>
    <row r="37" spans="1:8" x14ac:dyDescent="0.25">
      <c r="A37">
        <f t="shared" si="0"/>
        <v>36</v>
      </c>
      <c r="B37">
        <f>Link!B69</f>
        <v>28525.599999999999</v>
      </c>
      <c r="C37">
        <f>SUMIFS(PeerData!C:C,PeerData!A:A,Link!$B$2,PeerData!B:B,A37)</f>
        <v>26813.4</v>
      </c>
      <c r="D37">
        <f t="shared" si="1"/>
        <v>1712.1999999999971</v>
      </c>
      <c r="E37">
        <f t="shared" si="2"/>
        <v>1.0638561316356745</v>
      </c>
      <c r="F37">
        <f>SUM($C$2:C37)</f>
        <v>870957.70000000007</v>
      </c>
      <c r="G37">
        <f>HLOOKUP(A37,PeerGrid!$B$2:$AK$22,Link!$B$6+1,FALSE)</f>
        <v>26813.4</v>
      </c>
      <c r="H37">
        <f t="shared" ca="1" si="3"/>
        <v>26778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24056.9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5.3818239257759755E-2</v>
      </c>
    </row>
    <row r="3" spans="1:2" x14ac:dyDescent="0.25">
      <c r="A3" t="s">
        <v>63</v>
      </c>
      <c r="B3">
        <f>_xlfn.XLOOKUP(Link!B2,Compare!A2:A21,Compare!I2:I21)</f>
        <v>9</v>
      </c>
    </row>
    <row r="4" spans="1:2" x14ac:dyDescent="0.25">
      <c r="A4" t="s">
        <v>64</v>
      </c>
      <c r="B4">
        <f>SUM(Compare!E2:E21)</f>
        <v>17376.499999999996</v>
      </c>
    </row>
    <row r="5" spans="1:2" x14ac:dyDescent="0.25">
      <c r="A5" t="s">
        <v>65</v>
      </c>
      <c r="B5">
        <f>COUNTIF(Compare!J2:J21,"ahead")</f>
        <v>12</v>
      </c>
    </row>
    <row r="6" spans="1:2" x14ac:dyDescent="0.25">
      <c r="A6" t="s">
        <v>66</v>
      </c>
      <c r="B6" t="str">
        <f>TEXT(Link!B3,"00")</f>
        <v>18</v>
      </c>
    </row>
    <row r="7" spans="1:2" x14ac:dyDescent="0.25">
      <c r="A7" t="s">
        <v>67</v>
      </c>
      <c r="B7" t="str">
        <f>TEXT(B2,"0.0%")</f>
        <v>05%</v>
      </c>
    </row>
    <row r="8" spans="1:2" x14ac:dyDescent="0.25">
      <c r="A8" t="s">
        <v>68</v>
      </c>
      <c r="B8">
        <f>AVERAGE(Compare!C2:C21)</f>
        <v>16921.150000000001</v>
      </c>
    </row>
    <row r="9" spans="1:2" x14ac:dyDescent="0.25">
      <c r="A9" t="s">
        <v>69</v>
      </c>
      <c r="B9">
        <f>[1]Calc_Summary!B2*2</f>
        <v>50703.200000000004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Sicula - month 18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6798.5</v>
      </c>
      <c r="E5">
        <f>Compare!C2</f>
        <v>6323.7</v>
      </c>
      <c r="F5">
        <f>Compare!E2</f>
        <v>474.80000000000018</v>
      </c>
      <c r="G5">
        <f>Compare!F2</f>
        <v>7.5082625678004999E-2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7958.7</v>
      </c>
      <c r="E6">
        <f>Compare!C3</f>
        <v>7709.2</v>
      </c>
      <c r="F6">
        <f>Compare!E3</f>
        <v>249.5</v>
      </c>
      <c r="G6">
        <f>Compare!F3</f>
        <v>3.2363928812328129E-2</v>
      </c>
      <c r="H6" t="str">
        <f>Compare!J3</f>
        <v>in line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9113.2999999999993</v>
      </c>
      <c r="E7">
        <f>Compare!C4</f>
        <v>8614</v>
      </c>
      <c r="F7">
        <f>Compare!E4</f>
        <v>499.29999999999927</v>
      </c>
      <c r="G7">
        <f>Compare!F4</f>
        <v>5.7963779893197037E-2</v>
      </c>
      <c r="H7" t="str">
        <f>Compare!J4</f>
        <v>ahead</v>
      </c>
      <c r="I7" t="str">
        <f>Compare!P4</f>
        <v/>
      </c>
    </row>
    <row r="8" spans="2:9" x14ac:dyDescent="0.25">
      <c r="C8" t="str">
        <f>Compare!A5</f>
        <v>Banca Padana</v>
      </c>
      <c r="D8">
        <f>Compare!B5</f>
        <v>10267.6</v>
      </c>
      <c r="E8">
        <f>Compare!C5</f>
        <v>9793.2999999999993</v>
      </c>
      <c r="F8">
        <f>Compare!E5</f>
        <v>474.30000000000109</v>
      </c>
      <c r="G8">
        <f>Compare!F5</f>
        <v>4.8431070221478065E-2</v>
      </c>
      <c r="H8" t="str">
        <f>Compare!J5</f>
        <v>in line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11395</v>
      </c>
      <c r="E9">
        <f>Compare!C6</f>
        <v>10921.7</v>
      </c>
      <c r="F9">
        <f>Compare!E6</f>
        <v>473.29999999999927</v>
      </c>
      <c r="G9">
        <f>Compare!F6</f>
        <v>4.3335744435390025E-2</v>
      </c>
      <c r="H9" t="str">
        <f>Compare!J6</f>
        <v>in line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12562.7</v>
      </c>
      <c r="E10">
        <f>Compare!C7</f>
        <v>12114.9</v>
      </c>
      <c r="F10">
        <f>Compare!E7</f>
        <v>447.80000000000109</v>
      </c>
      <c r="G10">
        <f>Compare!F7</f>
        <v>3.6962748351203979E-2</v>
      </c>
      <c r="H10" t="str">
        <f>Compare!J7</f>
        <v>in line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13727.2</v>
      </c>
      <c r="E11">
        <f>Compare!C8</f>
        <v>12964.3</v>
      </c>
      <c r="F11">
        <f>Compare!E8</f>
        <v>762.90000000000146</v>
      </c>
      <c r="G11">
        <f>Compare!F8</f>
        <v>5.884621614742034E-2</v>
      </c>
      <c r="H11" t="str">
        <f>Compare!J8</f>
        <v>ahead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14918.2</v>
      </c>
      <c r="E12">
        <f>Compare!C9</f>
        <v>14038</v>
      </c>
      <c r="F12">
        <f>Compare!E9</f>
        <v>880.20000000000073</v>
      </c>
      <c r="G12">
        <f>Compare!F9</f>
        <v>6.2701239492805289E-2</v>
      </c>
      <c r="H12" t="str">
        <f>Compare!J9</f>
        <v>ahead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16079.5</v>
      </c>
      <c r="E13">
        <f>Compare!C10</f>
        <v>15275.1</v>
      </c>
      <c r="F13">
        <f>Compare!E10</f>
        <v>804.39999999999964</v>
      </c>
      <c r="G13">
        <f>Compare!F10</f>
        <v>5.2660866377306832E-2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17142.600000000002</v>
      </c>
      <c r="E14">
        <f>Compare!C11</f>
        <v>16243.5</v>
      </c>
      <c r="F14">
        <f>Compare!E11</f>
        <v>899.10000000000218</v>
      </c>
      <c r="G14">
        <f>Compare!F11</f>
        <v>5.5351371317758004E-2</v>
      </c>
      <c r="H14" t="str">
        <f>Compare!J11</f>
        <v>ahead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18454.5</v>
      </c>
      <c r="E15">
        <f>Compare!C12</f>
        <v>17446.099999999999</v>
      </c>
      <c r="F15">
        <f>Compare!E12</f>
        <v>1008.4000000000015</v>
      </c>
      <c r="G15">
        <f>Compare!F12</f>
        <v>5.7800883865161932E-2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19546.399999999998</v>
      </c>
      <c r="E16">
        <f>Compare!C13</f>
        <v>18586.900000000001</v>
      </c>
      <c r="F16">
        <f>Compare!E13</f>
        <v>959.49999999999636</v>
      </c>
      <c r="G16">
        <f>Compare!F13</f>
        <v>5.162237920255644E-2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20600.5</v>
      </c>
      <c r="E17">
        <f>Compare!C14</f>
        <v>19786.3</v>
      </c>
      <c r="F17">
        <f>Compare!E14</f>
        <v>814.20000000000073</v>
      </c>
      <c r="G17">
        <f>Compare!F14</f>
        <v>4.1149684377574422E-2</v>
      </c>
      <c r="H17" t="str">
        <f>Compare!J14</f>
        <v>in line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21844.999999999996</v>
      </c>
      <c r="E18">
        <f>Compare!C15</f>
        <v>20887.599999999999</v>
      </c>
      <c r="F18">
        <f>Compare!E15</f>
        <v>957.39999999999782</v>
      </c>
      <c r="G18">
        <f>Compare!F15</f>
        <v>4.5835806890212272E-2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22950.5</v>
      </c>
      <c r="E19">
        <f>Compare!C16</f>
        <v>21864.2</v>
      </c>
      <c r="F19">
        <f>Compare!E16</f>
        <v>1086.2999999999993</v>
      </c>
      <c r="G19">
        <f>Compare!F16</f>
        <v>4.9683958251388077E-2</v>
      </c>
      <c r="H19" t="str">
        <f>Compare!J16</f>
        <v>in line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24210.6</v>
      </c>
      <c r="E20">
        <f>Compare!C17</f>
        <v>22871.7</v>
      </c>
      <c r="F20">
        <f>Compare!E17</f>
        <v>1338.8999999999978</v>
      </c>
      <c r="G20">
        <f>Compare!F17</f>
        <v>5.8539592596964708E-2</v>
      </c>
      <c r="H20" t="str">
        <f>Compare!J17</f>
        <v>ahead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25351.600000000002</v>
      </c>
      <c r="E21">
        <f>Compare!C18</f>
        <v>24056.9</v>
      </c>
      <c r="F21">
        <f>Compare!E18</f>
        <v>1294.7000000000007</v>
      </c>
      <c r="G21">
        <f>Compare!F18</f>
        <v>5.3818239257759755E-2</v>
      </c>
      <c r="H21" t="str">
        <f>Compare!J18</f>
        <v>ahead</v>
      </c>
      <c r="I21" t="str">
        <f>Compare!P18</f>
        <v>&lt;&lt;</v>
      </c>
    </row>
    <row r="22" spans="3:10" x14ac:dyDescent="0.25">
      <c r="C22" t="str">
        <f>Compare!A19</f>
        <v>Banca Sarda</v>
      </c>
      <c r="D22">
        <f>Compare!B19</f>
        <v>26492.400000000001</v>
      </c>
      <c r="E22">
        <f>Compare!C19</f>
        <v>25208</v>
      </c>
      <c r="F22">
        <f>Compare!E19</f>
        <v>1284.4000000000015</v>
      </c>
      <c r="G22">
        <f>Compare!F19</f>
        <v>5.0952078705173022E-2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27612.3</v>
      </c>
      <c r="E23">
        <f>Compare!C20</f>
        <v>26129.7</v>
      </c>
      <c r="F23">
        <f>Compare!E20</f>
        <v>1482.5999999999985</v>
      </c>
      <c r="G23">
        <f>Compare!F20</f>
        <v>5.6740031458455263E-2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28772.399999999998</v>
      </c>
      <c r="E24">
        <f>Compare!C21</f>
        <v>27587.9</v>
      </c>
      <c r="F24">
        <f>Compare!E21</f>
        <v>1184.4999999999964</v>
      </c>
      <c r="G24">
        <f>Compare!F21</f>
        <v>4.2935489834311287E-2</v>
      </c>
      <c r="H24" t="str">
        <f>Compare!J21</f>
        <v>in line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Sicula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7</v>
      </c>
      <c r="D5" cm="1">
        <f t="array" ref="D5">INDEX(PeerTrend!$B$2:$B$37,C5)</f>
        <v>23314.9</v>
      </c>
      <c r="E5" cm="1">
        <f t="array" ref="E5">INDEX(PeerTrend!$C$2:$C$37,C5)</f>
        <v>22512.5</v>
      </c>
      <c r="F5">
        <f t="shared" ref="F5:F16" si="0">D5-E5</f>
        <v>802.40000000000146</v>
      </c>
      <c r="G5" cm="1">
        <f t="array" aca="1" ref="G5" ca="1">INDEX(PeerTrend!$H$2:$H$37,C5)</f>
        <v>22341</v>
      </c>
    </row>
    <row r="6" spans="2:8" x14ac:dyDescent="0.25">
      <c r="C6">
        <f>Link!$B$3-12+ROW()-4</f>
        <v>8</v>
      </c>
      <c r="D6" cm="1">
        <f t="array" ref="D6">INDEX(PeerTrend!$B$2:$B$37,C6)</f>
        <v>23536.5</v>
      </c>
      <c r="E6" cm="1">
        <f t="array" ref="E6">INDEX(PeerTrend!$C$2:$C$37,C6)</f>
        <v>22687.3</v>
      </c>
      <c r="F6">
        <f t="shared" si="0"/>
        <v>849.20000000000073</v>
      </c>
      <c r="G6" cm="1">
        <f t="array" aca="1" ref="G6" ca="1">INDEX(PeerTrend!$H$2:$H$37,C6)</f>
        <v>22493.5</v>
      </c>
    </row>
    <row r="7" spans="2:8" x14ac:dyDescent="0.25">
      <c r="C7">
        <f>Link!$B$3-12+ROW()-4</f>
        <v>9</v>
      </c>
      <c r="D7" cm="1">
        <f t="array" ref="D7">INDEX(PeerTrend!$B$2:$B$37,C7)</f>
        <v>23738.1</v>
      </c>
      <c r="E7" cm="1">
        <f t="array" ref="E7">INDEX(PeerTrend!$C$2:$C$37,C7)</f>
        <v>22688.400000000001</v>
      </c>
      <c r="F7">
        <f t="shared" si="0"/>
        <v>1049.6999999999971</v>
      </c>
      <c r="G7" cm="1">
        <f t="array" aca="1" ref="G7" ca="1">INDEX(PeerTrend!$H$2:$H$37,C7)</f>
        <v>22629.400000000005</v>
      </c>
    </row>
    <row r="8" spans="2:8" x14ac:dyDescent="0.25">
      <c r="C8">
        <f>Link!$B$3-12+ROW()-4</f>
        <v>10</v>
      </c>
      <c r="D8" cm="1">
        <f t="array" ref="D8">INDEX(PeerTrend!$B$2:$B$37,C8)</f>
        <v>23994.5</v>
      </c>
      <c r="E8" cm="1">
        <f t="array" ref="E8">INDEX(PeerTrend!$C$2:$C$37,C8)</f>
        <v>23011.4</v>
      </c>
      <c r="F8">
        <f t="shared" si="0"/>
        <v>983.09999999999854</v>
      </c>
      <c r="G8" cm="1">
        <f t="array" aca="1" ref="G8" ca="1">INDEX(PeerTrend!$H$2:$H$37,C8)</f>
        <v>22795.7</v>
      </c>
    </row>
    <row r="9" spans="2:8" x14ac:dyDescent="0.25">
      <c r="C9">
        <f>Link!$B$3-12+ROW()-4</f>
        <v>11</v>
      </c>
      <c r="D9" cm="1">
        <f t="array" ref="D9">INDEX(PeerTrend!$B$2:$B$37,C9)</f>
        <v>24051.800000000003</v>
      </c>
      <c r="E9" cm="1">
        <f t="array" ref="E9">INDEX(PeerTrend!$C$2:$C$37,C9)</f>
        <v>23182.2</v>
      </c>
      <c r="F9">
        <f t="shared" si="0"/>
        <v>869.60000000000218</v>
      </c>
      <c r="G9" cm="1">
        <f t="array" aca="1" ref="G9" ca="1">INDEX(PeerTrend!$H$2:$H$37,C9)</f>
        <v>22960.666666666668</v>
      </c>
    </row>
    <row r="10" spans="2:8" x14ac:dyDescent="0.25">
      <c r="C10">
        <f>Link!$B$3-12+ROW()-4</f>
        <v>12</v>
      </c>
      <c r="D10" cm="1">
        <f t="array" ref="D10">INDEX(PeerTrend!$B$2:$B$37,C10)</f>
        <v>24182.800000000003</v>
      </c>
      <c r="E10" cm="1">
        <f t="array" ref="E10">INDEX(PeerTrend!$C$2:$C$37,C10)</f>
        <v>23173.9</v>
      </c>
      <c r="F10">
        <f t="shared" si="0"/>
        <v>1008.9000000000015</v>
      </c>
      <c r="G10" cm="1">
        <f t="array" aca="1" ref="G10" ca="1">INDEX(PeerTrend!$H$2:$H$37,C10)</f>
        <v>23122.5</v>
      </c>
    </row>
    <row r="11" spans="2:8" x14ac:dyDescent="0.25">
      <c r="C11">
        <f>Link!$B$3-12+ROW()-4</f>
        <v>13</v>
      </c>
      <c r="D11" cm="1">
        <f t="array" ref="D11">INDEX(PeerTrend!$B$2:$B$37,C11)</f>
        <v>24517.8</v>
      </c>
      <c r="E11" cm="1">
        <f t="array" ref="E11">INDEX(PeerTrend!$C$2:$C$37,C11)</f>
        <v>23360.400000000001</v>
      </c>
      <c r="F11">
        <f t="shared" si="0"/>
        <v>1157.3999999999978</v>
      </c>
      <c r="G11" cm="1">
        <f t="array" aca="1" ref="G11" ca="1">INDEX(PeerTrend!$H$2:$H$37,C11)</f>
        <v>23238.833333333332</v>
      </c>
    </row>
    <row r="12" spans="2:8" x14ac:dyDescent="0.25">
      <c r="C12">
        <f>Link!$B$3-12+ROW()-4</f>
        <v>14</v>
      </c>
      <c r="D12" cm="1">
        <f t="array" ref="D12">INDEX(PeerTrend!$B$2:$B$37,C12)</f>
        <v>24570.6</v>
      </c>
      <c r="E12" cm="1">
        <f t="array" ref="E12">INDEX(PeerTrend!$C$2:$C$37,C12)</f>
        <v>23534</v>
      </c>
      <c r="F12">
        <f t="shared" si="0"/>
        <v>1036.5999999999985</v>
      </c>
      <c r="G12" cm="1">
        <f t="array" aca="1" ref="G12" ca="1">INDEX(PeerTrend!$H$2:$H$37,C12)</f>
        <v>23356.100000000002</v>
      </c>
    </row>
    <row r="13" spans="2:8" x14ac:dyDescent="0.25">
      <c r="C13">
        <f>Link!$B$3-12+ROW()-4</f>
        <v>15</v>
      </c>
      <c r="D13" cm="1">
        <f t="array" ref="D13">INDEX(PeerTrend!$B$2:$B$37,C13)</f>
        <v>24765.1</v>
      </c>
      <c r="E13" cm="1">
        <f t="array" ref="E13">INDEX(PeerTrend!$C$2:$C$37,C13)</f>
        <v>23678.1</v>
      </c>
      <c r="F13">
        <f t="shared" si="0"/>
        <v>1087</v>
      </c>
      <c r="G13" cm="1">
        <f t="array" aca="1" ref="G13" ca="1">INDEX(PeerTrend!$H$2:$H$37,C13)</f>
        <v>23524.166666666668</v>
      </c>
    </row>
    <row r="14" spans="2:8" x14ac:dyDescent="0.25">
      <c r="C14">
        <f>Link!$B$3-12+ROW()-4</f>
        <v>16</v>
      </c>
      <c r="D14" cm="1">
        <f t="array" ref="D14">INDEX(PeerTrend!$B$2:$B$37,C14)</f>
        <v>25016.400000000001</v>
      </c>
      <c r="E14" cm="1">
        <f t="array" ref="E14">INDEX(PeerTrend!$C$2:$C$37,C14)</f>
        <v>23875.4</v>
      </c>
      <c r="F14">
        <f t="shared" si="0"/>
        <v>1141</v>
      </c>
      <c r="G14" cm="1">
        <f t="array" aca="1" ref="G14" ca="1">INDEX(PeerTrend!$H$2:$H$37,C14)</f>
        <v>23695.833333333332</v>
      </c>
    </row>
    <row r="15" spans="2:8" x14ac:dyDescent="0.25">
      <c r="C15">
        <f>Link!$B$3-12+ROW()-4</f>
        <v>17</v>
      </c>
      <c r="D15" cm="1">
        <f t="array" ref="D15">INDEX(PeerTrend!$B$2:$B$37,C15)</f>
        <v>25168.5</v>
      </c>
      <c r="E15" cm="1">
        <f t="array" ref="E15">INDEX(PeerTrend!$C$2:$C$37,C15)</f>
        <v>23797.9</v>
      </c>
      <c r="F15">
        <f t="shared" si="0"/>
        <v>1370.5999999999985</v>
      </c>
      <c r="G15" cm="1">
        <f t="array" aca="1" ref="G15" ca="1">INDEX(PeerTrend!$H$2:$H$37,C15)</f>
        <v>23783.8</v>
      </c>
    </row>
    <row r="16" spans="2:8" x14ac:dyDescent="0.25">
      <c r="C16">
        <f>Link!$B$3-12+ROW()-4</f>
        <v>18</v>
      </c>
      <c r="D16" cm="1">
        <f t="array" ref="D16">INDEX(PeerTrend!$B$2:$B$37,C16)</f>
        <v>25351.600000000002</v>
      </c>
      <c r="E16" cm="1">
        <f t="array" ref="E16">INDEX(PeerTrend!$C$2:$C$37,C16)</f>
        <v>24056.9</v>
      </c>
      <c r="F16">
        <f t="shared" si="0"/>
        <v>1294.7000000000007</v>
      </c>
      <c r="G16" cm="1">
        <f t="array" aca="1" ref="G16" ca="1">INDEX(PeerTrend!$H$2:$H$37,C16)</f>
        <v>23910.066666666669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5.3209432025207205E-2</v>
      </c>
      <c r="F5">
        <f>_xlfn.MAXIFS(Compare!$F$2:$F$21,Compare!$G$2:$G$21,C5)</f>
        <v>7.5082625678004999E-2</v>
      </c>
      <c r="G5">
        <f>COUNTIFS(Compare!$G$2:$G$21,C5,Compare!$J$2:$J$21,"ahead")</f>
        <v>3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4.4293186815335076E-2</v>
      </c>
      <c r="F6">
        <f>_xlfn.MAXIFS(Compare!$F$2:$F$21,Compare!$G$2:$G$21,C6)</f>
        <v>5.5351371317758004E-2</v>
      </c>
      <c r="G6">
        <f>COUNTIFS(Compare!$G$2:$G$21,C6,Compare!$J$2:$J$21,"ahead")</f>
        <v>2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5.6206973923124529E-2</v>
      </c>
      <c r="F7">
        <f>_xlfn.MAXIFS(Compare!$F$2:$F$21,Compare!$G$2:$G$21,C7)</f>
        <v>5.884621614742034E-2</v>
      </c>
      <c r="G7">
        <f>COUNTIFS(Compare!$G$2:$G$21,C7,Compare!$J$2:$J$21,"ahead")</f>
        <v>4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5.2845954269623165E-2</v>
      </c>
      <c r="F8">
        <f>_xlfn.MAXIFS(Compare!$F$2:$F$21,Compare!$G$2:$G$21,C8)</f>
        <v>6.2701239492805289E-2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Alpi</v>
      </c>
      <c r="E5">
        <f>_xlfn.XLOOKUP(D5,Compare!$A$2:$A$21,Compare!$F$2:$F$21)</f>
        <v>7.5082625678004999E-2</v>
      </c>
      <c r="F5" t="str">
        <f>_xlfn.XLOOKUP(D5,Compare!$A$2:$A$21,Compare!$K$2:$K$21)</f>
        <v>Tier one</v>
      </c>
    </row>
    <row r="6" spans="2:7" x14ac:dyDescent="0.25">
      <c r="C6">
        <v>2</v>
      </c>
      <c r="D6" t="str">
        <f>INDEX(Compare!$A$2:$A$21,MATCH(C6,Compare!$I$2:$I$21,0))</f>
        <v>Banca Irpina</v>
      </c>
      <c r="E6">
        <f>_xlfn.XLOOKUP(D6,Compare!$A$2:$A$21,Compare!$F$2:$F$21)</f>
        <v>6.2701239492805289E-2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Sabina</v>
      </c>
      <c r="E7">
        <f>_xlfn.XLOOKUP(D7,Compare!$A$2:$A$21,Compare!$F$2:$F$21)</f>
        <v>5.884621614742034E-2</v>
      </c>
      <c r="F7" t="str">
        <f>_xlfn.XLOOKUP(D7,Compare!$A$2:$A$21,Compare!$K$2:$K$21)</f>
        <v>Tier one</v>
      </c>
    </row>
    <row r="8" spans="2:7" x14ac:dyDescent="0.25">
      <c r="C8">
        <v>4</v>
      </c>
      <c r="D8" t="str">
        <f>INDEX(Compare!$A$2:$A$21,MATCH(C8,Compare!$I$2:$I$21,0))</f>
        <v>Banca Calabra</v>
      </c>
      <c r="E8">
        <f>_xlfn.XLOOKUP(D8,Compare!$A$2:$A$21,Compare!$F$2:$F$21)</f>
        <v>5.8539592596964708E-2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Tirrena</v>
      </c>
      <c r="E9">
        <f>_xlfn.XLOOKUP(D9,Compare!$A$2:$A$21,Compare!$F$2:$F$21)</f>
        <v>5.7963779893197037E-2</v>
      </c>
      <c r="F9" t="str">
        <f>_xlfn.XLOOKUP(D9,Compare!$A$2:$A$21,Compare!$K$2:$K$21)</f>
        <v>Other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5.7800883865161932E-2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Romagnola</v>
      </c>
      <c r="E11">
        <f>_xlfn.XLOOKUP(D11,Compare!$A$2:$A$21,Compare!$F$2:$F$21)</f>
        <v>5.6740031458455263E-2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Ligure</v>
      </c>
      <c r="E12">
        <f>_xlfn.XLOOKUP(D12,Compare!$A$2:$A$21,Compare!$F$2:$F$21)</f>
        <v>5.5351371317758004E-2</v>
      </c>
      <c r="F12" t="str">
        <f>_xlfn.XLOOKUP(D12,Compare!$A$2:$A$21,Compare!$K$2:$K$21)</f>
        <v>Tier one</v>
      </c>
    </row>
    <row r="13" spans="2:7" x14ac:dyDescent="0.25">
      <c r="C13">
        <v>9</v>
      </c>
      <c r="D13" t="str">
        <f>INDEX(Compare!$A$2:$A$21,MATCH(C13,Compare!$I$2:$I$21,0))</f>
        <v>Banca Sicula</v>
      </c>
      <c r="E13">
        <f>_xlfn.XLOOKUP(D13,Compare!$A$2:$A$21,Compare!$F$2:$F$21)</f>
        <v>5.3818239257759755E-2</v>
      </c>
      <c r="F13" t="str">
        <f>_xlfn.XLOOKUP(D13,Compare!$A$2:$A$21,Compare!$K$2:$K$21)</f>
        <v>Tier two</v>
      </c>
    </row>
    <row r="14" spans="2:7" x14ac:dyDescent="0.25">
      <c r="C14">
        <v>10</v>
      </c>
      <c r="D14" t="str">
        <f>INDEX(Compare!$A$2:$A$21,MATCH(C14,Compare!$I$2:$I$21,0))</f>
        <v>Banca Sannita</v>
      </c>
      <c r="E14">
        <f>_xlfn.XLOOKUP(D14,Compare!$A$2:$A$21,Compare!$F$2:$F$21)</f>
        <v>5.2660866377306832E-2</v>
      </c>
      <c r="F14" t="str">
        <f>_xlfn.XLOOKUP(D14,Compare!$A$2:$A$21,Compare!$K$2:$K$21)</f>
        <v>Other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2026-10-17T11:54:48Z</dcterms:modified>
</cp:coreProperties>
</file>