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B69EF693-FBDE-49E4-9763-9C822C0F76E9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E17" i="9" l="1"/>
  <c r="R20" i="9"/>
  <c r="S20" i="9" s="1"/>
  <c r="F13" i="13"/>
  <c r="N11" i="13"/>
  <c r="F9" i="13"/>
  <c r="AD3" i="13"/>
  <c r="P17" i="9"/>
  <c r="I13" i="16"/>
  <c r="W17" i="9"/>
  <c r="M17" i="9"/>
  <c r="Y13" i="13"/>
  <c r="AC12" i="13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R17" i="8" s="1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E6" i="44" s="1" a="1"/>
  <c r="E6" i="44" s="1"/>
  <c r="H6" i="44" s="1"/>
  <c r="I6" i="44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X11" i="9" s="1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Q8" i="9" s="1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K10" i="13"/>
  <c r="AI8" i="13"/>
  <c r="G7" i="13"/>
  <c r="AE5" i="13"/>
  <c r="W46" i="12"/>
  <c r="G46" i="12"/>
  <c r="G9" i="16"/>
  <c r="B3" i="19"/>
  <c r="B11" i="8"/>
  <c r="D4" i="9"/>
  <c r="G4" i="9"/>
  <c r="N10" i="9"/>
  <c r="O10" i="9" s="1"/>
  <c r="P3" i="9"/>
  <c r="F5" i="10"/>
  <c r="AD13" i="13"/>
  <c r="AH12" i="13"/>
  <c r="F11" i="13"/>
  <c r="F7" i="13"/>
  <c r="AD5" i="13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R61" i="12"/>
  <c r="R15" i="14"/>
  <c r="R15" i="13"/>
  <c r="V14" i="13"/>
  <c r="V60" i="12"/>
  <c r="V14" i="14"/>
  <c r="AD58" i="12"/>
  <c r="AD12" i="14"/>
  <c r="AD12" i="13"/>
  <c r="N58" i="12"/>
  <c r="N12" i="14"/>
  <c r="N12" i="13"/>
  <c r="V56" i="12"/>
  <c r="V10" i="13"/>
  <c r="V10" i="14"/>
  <c r="F56" i="12"/>
  <c r="F10" i="13"/>
  <c r="F10" i="14"/>
  <c r="Z55" i="12"/>
  <c r="Z9" i="13"/>
  <c r="Z9" i="14"/>
  <c r="J55" i="12"/>
  <c r="J9" i="13"/>
  <c r="J9" i="14"/>
  <c r="AD54" i="12"/>
  <c r="AD8" i="14"/>
  <c r="AD8" i="13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J51" i="12"/>
  <c r="J5" i="14"/>
  <c r="J5" i="13"/>
  <c r="AD50" i="12"/>
  <c r="AD4" i="14"/>
  <c r="AD4" i="13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AC66" i="12"/>
  <c r="B8" i="10"/>
  <c r="F8" i="10"/>
  <c r="K8" i="10"/>
  <c r="Z67" i="12"/>
  <c r="Z21" i="14"/>
  <c r="Z21" i="13"/>
  <c r="AD66" i="12"/>
  <c r="AD20" i="14"/>
  <c r="AD20" i="13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B29" i="8"/>
  <c r="E29" i="8"/>
  <c r="E4" i="8"/>
  <c r="F13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AH61" i="12"/>
  <c r="AH15" i="14"/>
  <c r="AH15" i="13"/>
  <c r="F14" i="13"/>
  <c r="F60" i="12"/>
  <c r="F14" i="14"/>
  <c r="AH57" i="12"/>
  <c r="AH11" i="14"/>
  <c r="AH11" i="13"/>
  <c r="E26" i="8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Z18" i="9" s="1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Z13" i="14"/>
  <c r="B57" i="12"/>
  <c r="B11" i="14"/>
  <c r="H22" i="8" a="1"/>
  <c r="H22" i="8" s="1"/>
  <c r="N5" i="8"/>
  <c r="Z2" i="9"/>
  <c r="L17" i="8"/>
  <c r="B36" i="8"/>
  <c r="X13" i="9"/>
  <c r="G15" i="9"/>
  <c r="D31" i="8"/>
  <c r="E16" i="44" s="1" a="1"/>
  <c r="E16" i="44" s="1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E22" i="13"/>
  <c r="AE68" i="12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E18" i="13"/>
  <c r="AE64" i="12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AA61" i="12"/>
  <c r="K15" i="14"/>
  <c r="K15" i="13"/>
  <c r="K61" i="12"/>
  <c r="E13" i="44" a="1"/>
  <c r="E13" i="44" s="1"/>
  <c r="N21" i="9"/>
  <c r="O21" i="9" s="1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Y8" i="9"/>
  <c r="M22" i="13"/>
  <c r="M22" i="14"/>
  <c r="M68" i="12"/>
  <c r="AK20" i="13"/>
  <c r="AK66" i="12"/>
  <c r="AK20" i="14"/>
  <c r="E20" i="13"/>
  <c r="E20" i="14"/>
  <c r="E66" i="12"/>
  <c r="AC18" i="14"/>
  <c r="AC18" i="13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E12" i="44" a="1"/>
  <c r="E12" i="44" s="1"/>
  <c r="R27" i="8"/>
  <c r="D4" i="1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F9" i="8"/>
  <c r="R9" i="8" s="1"/>
  <c r="B9" i="8"/>
  <c r="B26" i="8"/>
  <c r="E10" i="8"/>
  <c r="F20" i="8"/>
  <c r="E5" i="46" s="1" a="1"/>
  <c r="E5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E11" i="43" s="1" a="1"/>
  <c r="E11" i="43" s="1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B23" i="8"/>
  <c r="D23" i="8"/>
  <c r="F7" i="8"/>
  <c r="B7" i="8"/>
  <c r="D7" i="8"/>
  <c r="B20" i="8"/>
  <c r="P32" i="8"/>
  <c r="M32" i="8"/>
  <c r="E8" i="8"/>
  <c r="E10" i="45" s="1" a="1"/>
  <c r="E10" i="45" s="1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B22" i="8"/>
  <c r="F6" i="8"/>
  <c r="R6" i="8" s="1"/>
  <c r="B6" i="8"/>
  <c r="M31" i="8"/>
  <c r="D20" i="8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E65" i="12"/>
  <c r="AE19" i="13"/>
  <c r="I21" i="31" s="1" a="1"/>
  <c r="I21" i="31" s="1"/>
  <c r="O19" i="14"/>
  <c r="AI18" i="13"/>
  <c r="C18" i="13"/>
  <c r="AE15" i="13"/>
  <c r="AE23" i="12"/>
  <c r="C35" i="8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J20" i="14"/>
  <c r="J20" i="13"/>
  <c r="J66" i="12"/>
  <c r="AD19" i="14"/>
  <c r="AD19" i="13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Z62" i="12"/>
  <c r="J16" i="14"/>
  <c r="J16" i="13"/>
  <c r="J62" i="12"/>
  <c r="AD15" i="14"/>
  <c r="AD61" i="12"/>
  <c r="AD15" i="13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E14" i="13"/>
  <c r="AE60" i="12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E10" i="13"/>
  <c r="AE56" i="12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AE6" i="14"/>
  <c r="AL6" i="14" s="1" a="1"/>
  <c r="AL6" i="14" s="1"/>
  <c r="G8" i="30" s="1"/>
  <c r="AE52" i="12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AE21" i="14"/>
  <c r="AE21" i="13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AE17" i="13"/>
  <c r="I19" i="31" s="1" a="1"/>
  <c r="I19" i="31" s="1"/>
  <c r="AE17" i="14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Z22" i="14"/>
  <c r="Z22" i="13"/>
  <c r="D24" i="31" s="1" a="1"/>
  <c r="D24" i="31" s="1"/>
  <c r="Z68" i="12"/>
  <c r="J22" i="14"/>
  <c r="J22" i="13"/>
  <c r="J68" i="12"/>
  <c r="AD21" i="13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Z64" i="12"/>
  <c r="Z18" i="14"/>
  <c r="J18" i="13"/>
  <c r="J18" i="14"/>
  <c r="J64" i="12"/>
  <c r="AD17" i="13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AE20" i="14"/>
  <c r="AE66" i="12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O16" i="13"/>
  <c r="O62" i="12"/>
  <c r="O16" i="14"/>
  <c r="AE8" i="13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24" i="17"/>
  <c r="W4" i="13"/>
  <c r="W4" i="14"/>
  <c r="G4" i="13"/>
  <c r="G4" i="14"/>
  <c r="AA3" i="13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AD6" i="13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F11" i="14"/>
  <c r="P7" i="14"/>
  <c r="T16" i="14"/>
  <c r="D16" i="13"/>
  <c r="D16" i="14"/>
  <c r="X15" i="13"/>
  <c r="X15" i="14"/>
  <c r="H15" i="13"/>
  <c r="H61" i="12"/>
  <c r="H15" i="14"/>
  <c r="AB14" i="14"/>
  <c r="AB14" i="13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E13" i="30" s="1" a="1"/>
  <c r="E13" i="30" s="1"/>
  <c r="AD56" i="12"/>
  <c r="H56" i="12"/>
  <c r="W55" i="12"/>
  <c r="O50" i="12"/>
  <c r="AG11" i="13"/>
  <c r="I10" i="13"/>
  <c r="C10" i="40"/>
  <c r="B16" i="19"/>
  <c r="D10" i="40" s="1"/>
  <c r="E10" i="40" s="1"/>
  <c r="AA14" i="13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AE9" i="14"/>
  <c r="O9" i="13"/>
  <c r="O9" i="14"/>
  <c r="AI8" i="14"/>
  <c r="S8" i="14"/>
  <c r="S8" i="13"/>
  <c r="C8" i="14"/>
  <c r="W53" i="12"/>
  <c r="W7" i="14"/>
  <c r="W7" i="13"/>
  <c r="G7" i="14"/>
  <c r="AA6" i="14"/>
  <c r="AA6" i="13"/>
  <c r="K6" i="14"/>
  <c r="K6" i="13"/>
  <c r="E7" i="41" a="1"/>
  <c r="E7" i="41" s="1"/>
  <c r="D7" i="30" a="1"/>
  <c r="D7" i="30" s="1"/>
  <c r="B14" i="20" a="1"/>
  <c r="B14" i="20" s="1"/>
  <c r="D7" i="41" s="1"/>
  <c r="AE5" i="14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J10" i="13"/>
  <c r="J56" i="12"/>
  <c r="AD9" i="13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AD13" i="14"/>
  <c r="J10" i="14"/>
  <c r="I14" i="16"/>
  <c r="AB17" i="14"/>
  <c r="AB17" i="13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E12" i="13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0" i="41" a="1"/>
  <c r="E10" i="41" s="1"/>
  <c r="B17" i="20" a="1"/>
  <c r="B17" i="20" s="1"/>
  <c r="D10" i="41" s="1"/>
  <c r="D10" i="30" a="1"/>
  <c r="D10" i="30" s="1"/>
  <c r="AE8" i="14"/>
  <c r="AE54" i="12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K59" i="12"/>
  <c r="X57" i="12"/>
  <c r="D57" i="12"/>
  <c r="AH55" i="12"/>
  <c r="N55" i="12"/>
  <c r="V53" i="12"/>
  <c r="AK52" i="12"/>
  <c r="AE51" i="12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K16" i="14"/>
  <c r="K16" i="13"/>
  <c r="E17" i="41" a="1"/>
  <c r="E17" i="41" s="1"/>
  <c r="D17" i="30" a="1"/>
  <c r="D17" i="30" s="1"/>
  <c r="B24" i="20" a="1"/>
  <c r="B24" i="20" s="1"/>
  <c r="D17" i="41" s="1"/>
  <c r="AE15" i="14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AE7" i="14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K50" i="12"/>
  <c r="K4" i="14"/>
  <c r="D5" i="30" a="1"/>
  <c r="D5" i="30" s="1"/>
  <c r="E5" i="41" a="1"/>
  <c r="E5" i="41" s="1"/>
  <c r="B12" i="20" a="1"/>
  <c r="B12" i="20" s="1"/>
  <c r="D5" i="41" s="1"/>
  <c r="AE3" i="14"/>
  <c r="AE3" i="13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J12" i="13"/>
  <c r="AD10" i="13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5" a="1"/>
  <c r="D8" i="45" s="1"/>
  <c r="P23" i="17"/>
  <c r="L23" i="17"/>
  <c r="H23" i="17"/>
  <c r="K23" i="17"/>
  <c r="G23" i="17"/>
  <c r="M23" i="17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K22" i="17"/>
  <c r="G22" i="17"/>
  <c r="F22" i="17"/>
  <c r="N22" i="17" s="1"/>
  <c r="L22" i="17"/>
  <c r="P22" i="17"/>
  <c r="M22" i="17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8" i="43" s="1" a="1"/>
  <c r="D8" i="43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O27" i="17"/>
  <c r="B23" i="19"/>
  <c r="D17" i="40" s="1"/>
  <c r="E17" i="40" s="1"/>
  <c r="O23" i="17"/>
  <c r="O7" i="17"/>
  <c r="C31" i="17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E7" i="44" a="1"/>
  <c r="E7" i="44" s="1"/>
  <c r="F7" i="44"/>
  <c r="D7" i="28" a="1"/>
  <c r="D7" i="28" s="1"/>
  <c r="D8" i="35" a="1"/>
  <c r="D8" i="35" s="1"/>
  <c r="B20" i="19"/>
  <c r="D14" i="40" s="1"/>
  <c r="E14" i="40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12" i="43" a="1"/>
  <c r="E12" i="43" s="1"/>
  <c r="F14" i="47"/>
  <c r="F11" i="47"/>
  <c r="F13" i="46"/>
  <c r="E13" i="46" a="1"/>
  <c r="E13" i="46" s="1"/>
  <c r="F9" i="45"/>
  <c r="F16" i="47"/>
  <c r="F9" i="44"/>
  <c r="F13" i="47"/>
  <c r="F5" i="45"/>
  <c r="E9" i="44" a="1"/>
  <c r="E9" i="44" s="1"/>
  <c r="F9" i="47"/>
  <c r="F12" i="36"/>
  <c r="F14" i="43"/>
  <c r="F10" i="44"/>
  <c r="E11" i="46" a="1"/>
  <c r="E11" i="46" s="1"/>
  <c r="F14" i="46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F8" i="47"/>
  <c r="B15" i="21"/>
  <c r="D10" i="33" s="1"/>
  <c r="B2" i="20" a="1"/>
  <c r="B7" i="20" a="1"/>
  <c r="B4" i="20"/>
  <c r="E22" i="31" l="1" a="1"/>
  <c r="E22" i="31" s="1"/>
  <c r="D8" i="47" a="1"/>
  <c r="D8" i="47" s="1"/>
  <c r="D5" i="28" a="1"/>
  <c r="D5" i="28" s="1"/>
  <c r="AL8" i="14" a="1"/>
  <c r="AL8" i="14" s="1"/>
  <c r="G10" i="30" s="1"/>
  <c r="H6" i="31" a="1"/>
  <c r="H6" i="31" s="1"/>
  <c r="I5" i="31" a="1"/>
  <c r="I5" i="31" s="1"/>
  <c r="I14" i="31" a="1"/>
  <c r="I14" i="31" s="1"/>
  <c r="H16" i="31" a="1"/>
  <c r="H16" i="31" s="1"/>
  <c r="G21" i="31" a="1"/>
  <c r="G21" i="31" s="1"/>
  <c r="H12" i="31" a="1"/>
  <c r="H12" i="31" s="1"/>
  <c r="AL3" i="14" a="1"/>
  <c r="AL3" i="14" s="1"/>
  <c r="G5" i="30" s="1"/>
  <c r="E18" i="31" a="1"/>
  <c r="E18" i="31" s="1"/>
  <c r="E11" i="31" a="1"/>
  <c r="E11" i="31" s="1"/>
  <c r="AL12" i="14" a="1"/>
  <c r="AL12" i="14" s="1"/>
  <c r="G14" i="30" s="1"/>
  <c r="F12" i="31" a="1"/>
  <c r="F12" i="31" s="1"/>
  <c r="E24" i="31" a="1"/>
  <c r="E24" i="31" s="1"/>
  <c r="E21" i="30" a="1"/>
  <c r="E21" i="30" s="1"/>
  <c r="B7" i="23" a="1"/>
  <c r="B7" i="23" s="1"/>
  <c r="C7" i="23" s="1"/>
  <c r="E24" i="30" a="1"/>
  <c r="E24" i="30" s="1"/>
  <c r="U2" i="8"/>
  <c r="E5" i="45" a="1"/>
  <c r="E5" i="45" s="1"/>
  <c r="D10" i="29" a="1"/>
  <c r="D10" i="29" s="1"/>
  <c r="E20" i="30" a="1"/>
  <c r="E20" i="30" s="1"/>
  <c r="P2" i="8"/>
  <c r="AL22" i="14" a="1"/>
  <c r="AL22" i="14" s="1"/>
  <c r="G24" i="30" s="1"/>
  <c r="E14" i="46" a="1"/>
  <c r="E14" i="46" s="1"/>
  <c r="J14" i="46" s="1"/>
  <c r="I6" i="31" a="1"/>
  <c r="I6" i="31" s="1"/>
  <c r="E16" i="43" a="1"/>
  <c r="E16" i="43" s="1"/>
  <c r="J16" i="43" s="1"/>
  <c r="F2" i="9"/>
  <c r="E14" i="43" a="1"/>
  <c r="E14" i="43" s="1"/>
  <c r="N8" i="8"/>
  <c r="AL19" i="14" a="1"/>
  <c r="AL19" i="14" s="1"/>
  <c r="G21" i="30" s="1"/>
  <c r="E6" i="30" a="1"/>
  <c r="E6" i="30" s="1"/>
  <c r="D12" i="31" a="1"/>
  <c r="D12" i="31" s="1"/>
  <c r="H15" i="31" a="1"/>
  <c r="H15" i="31" s="1"/>
  <c r="E16" i="31" a="1"/>
  <c r="E16" i="31" s="1"/>
  <c r="E19" i="31" a="1"/>
  <c r="E19" i="31" s="1"/>
  <c r="E12" i="30" a="1"/>
  <c r="E12" i="30" s="1"/>
  <c r="AL14" i="14" a="1"/>
  <c r="AL14" i="14" s="1"/>
  <c r="G16" i="30" s="1"/>
  <c r="F18" i="31" a="1"/>
  <c r="F18" i="31" s="1"/>
  <c r="G12" i="31" a="1"/>
  <c r="G12" i="31" s="1"/>
  <c r="D23" i="31" a="1"/>
  <c r="D23" i="31" s="1"/>
  <c r="E15" i="44" a="1"/>
  <c r="E15" i="44" s="1"/>
  <c r="H15" i="44" s="1"/>
  <c r="I15" i="44" s="1"/>
  <c r="G8" i="31" a="1"/>
  <c r="G8" i="31" s="1"/>
  <c r="I13" i="31" a="1"/>
  <c r="I13" i="31" s="1"/>
  <c r="E22" i="30" a="1"/>
  <c r="E22" i="30" s="1"/>
  <c r="D17" i="31" a="1"/>
  <c r="D17" i="31" s="1"/>
  <c r="Q13" i="9"/>
  <c r="D7" i="31" a="1"/>
  <c r="D7" i="31" s="1"/>
  <c r="F11" i="31" a="1"/>
  <c r="F11" i="31" s="1"/>
  <c r="I11" i="31" a="1"/>
  <c r="I11" i="31" s="1"/>
  <c r="AL20" i="14" a="1"/>
  <c r="AL20" i="14" s="1"/>
  <c r="G22" i="30" s="1"/>
  <c r="E10" i="30" a="1"/>
  <c r="E10" i="30" s="1"/>
  <c r="F8" i="31" a="1"/>
  <c r="F8" i="31" s="1"/>
  <c r="H17" i="31" a="1"/>
  <c r="H17" i="31" s="1"/>
  <c r="D22" i="31" a="1"/>
  <c r="D22" i="31" s="1"/>
  <c r="G18" i="31" a="1"/>
  <c r="G18" i="31" s="1"/>
  <c r="AA8" i="9"/>
  <c r="E9" i="43" a="1"/>
  <c r="E9" i="43" s="1"/>
  <c r="D9" i="31" a="1"/>
  <c r="D9" i="31" s="1"/>
  <c r="F23" i="31" a="1"/>
  <c r="F23" i="31" s="1"/>
  <c r="G23" i="31" a="1"/>
  <c r="G23" i="31" s="1"/>
  <c r="E8" i="43" a="1"/>
  <c r="E8" i="43" s="1"/>
  <c r="E10" i="46" a="1"/>
  <c r="E10" i="46" s="1"/>
  <c r="H7" i="31" a="1"/>
  <c r="H7" i="31" s="1"/>
  <c r="D5" i="36"/>
  <c r="G15" i="31" a="1"/>
  <c r="G15" i="31" s="1"/>
  <c r="E10" i="31" a="1"/>
  <c r="E10" i="31" s="1"/>
  <c r="AL21" i="14" a="1"/>
  <c r="AL21" i="14" s="1"/>
  <c r="G23" i="30" s="1"/>
  <c r="D21" i="31" a="1"/>
  <c r="D21" i="31" s="1"/>
  <c r="B7" i="20"/>
  <c r="B2" i="20"/>
  <c r="D10" i="42" s="1"/>
  <c r="H18" i="31" a="1"/>
  <c r="H18" i="31" s="1"/>
  <c r="E8" i="45" a="1"/>
  <c r="E8" i="45" s="1"/>
  <c r="I23" i="31" a="1"/>
  <c r="I23" i="31" s="1"/>
  <c r="E6" i="31" a="1"/>
  <c r="E6" i="31" s="1"/>
  <c r="E7" i="30" a="1"/>
  <c r="E7" i="30" s="1"/>
  <c r="E9" i="31" a="1"/>
  <c r="E9" i="31" s="1"/>
  <c r="D18" i="31" a="1"/>
  <c r="D18" i="31" s="1"/>
  <c r="G14" i="31" a="1"/>
  <c r="G14" i="31" s="1"/>
  <c r="E23" i="31" a="1"/>
  <c r="E23" i="31" s="1"/>
  <c r="F24" i="31" a="1"/>
  <c r="F24" i="31" s="1"/>
  <c r="I9" i="31" a="1"/>
  <c r="I9" i="31" s="1"/>
  <c r="H9" i="31" a="1"/>
  <c r="H9" i="31" s="1"/>
  <c r="G11" i="31" a="1"/>
  <c r="G11" i="31" s="1"/>
  <c r="AL5" i="14" a="1"/>
  <c r="AL5" i="14" s="1"/>
  <c r="G7" i="30" s="1"/>
  <c r="H8" i="31" a="1"/>
  <c r="H8" i="31" s="1"/>
  <c r="I10" i="31" a="1"/>
  <c r="I10" i="31" s="1"/>
  <c r="H23" i="31" a="1"/>
  <c r="H23" i="31" s="1"/>
  <c r="AL17" i="14" a="1"/>
  <c r="AL17" i="14" s="1"/>
  <c r="G19" i="30" s="1"/>
  <c r="E23" i="30" a="1"/>
  <c r="E23" i="30" s="1"/>
  <c r="E16" i="30" a="1"/>
  <c r="E16" i="30" s="1"/>
  <c r="F22" i="31" a="1"/>
  <c r="F22" i="31" s="1"/>
  <c r="G22" i="31" a="1"/>
  <c r="G22" i="31" s="1"/>
  <c r="E20" i="31" a="1"/>
  <c r="E20" i="31" s="1"/>
  <c r="AL7" i="14" a="1"/>
  <c r="AL7" i="14" s="1"/>
  <c r="G9" i="30" s="1"/>
  <c r="I16" i="31" a="1"/>
  <c r="I16" i="31" s="1"/>
  <c r="D6" i="31" a="1"/>
  <c r="D6" i="31" s="1"/>
  <c r="AL9" i="14" a="1"/>
  <c r="AL9" i="14" s="1"/>
  <c r="G11" i="30" s="1"/>
  <c r="G9" i="31" a="1"/>
  <c r="G9" i="31" s="1"/>
  <c r="F19" i="31" a="1"/>
  <c r="F19" i="31" s="1"/>
  <c r="D6" i="32"/>
  <c r="E19" i="30" a="1"/>
  <c r="E19" i="30" s="1"/>
  <c r="F19" i="30" s="1"/>
  <c r="J4" i="9"/>
  <c r="Z4" i="9"/>
  <c r="H10" i="31" a="1"/>
  <c r="H10" i="31" s="1"/>
  <c r="F14" i="31" a="1"/>
  <c r="F14" i="31" s="1"/>
  <c r="E11" i="30" a="1"/>
  <c r="E11" i="30" s="1"/>
  <c r="F11" i="30" s="1"/>
  <c r="G13" i="31" a="1"/>
  <c r="G13" i="31" s="1"/>
  <c r="AL15" i="14" a="1"/>
  <c r="AL15" i="14" s="1"/>
  <c r="G17" i="30" s="1"/>
  <c r="G6" i="31" a="1"/>
  <c r="G6" i="31" s="1"/>
  <c r="G10" i="31" a="1"/>
  <c r="G10" i="31" s="1"/>
  <c r="F6" i="30"/>
  <c r="D5" i="31" a="1"/>
  <c r="D5" i="31" s="1"/>
  <c r="B3" i="22"/>
  <c r="F20" i="31" a="1"/>
  <c r="F20" i="31" s="1"/>
  <c r="I12" i="31" a="1"/>
  <c r="I12" i="31" s="1"/>
  <c r="F13" i="31" a="1"/>
  <c r="F13" i="31" s="1"/>
  <c r="H21" i="31" a="1"/>
  <c r="H21" i="31" s="1"/>
  <c r="E16" i="45" a="1"/>
  <c r="E16" i="45" s="1"/>
  <c r="F21" i="31" a="1"/>
  <c r="F21" i="31" s="1"/>
  <c r="G17" i="31" a="1"/>
  <c r="G17" i="31" s="1"/>
  <c r="F13" i="30"/>
  <c r="F10" i="31" a="1"/>
  <c r="F10" i="31" s="1"/>
  <c r="D14" i="31" a="1"/>
  <c r="D14" i="31" s="1"/>
  <c r="G5" i="31" a="1"/>
  <c r="G5" i="31" s="1"/>
  <c r="E18" i="30" a="1"/>
  <c r="E18" i="30" s="1"/>
  <c r="I22" i="31" a="1"/>
  <c r="I22" i="31" s="1"/>
  <c r="E8" i="30" a="1"/>
  <c r="E8" i="30" s="1"/>
  <c r="AL10" i="14" a="1"/>
  <c r="AL10" i="14" s="1"/>
  <c r="G12" i="30" s="1"/>
  <c r="G16" i="31" a="1"/>
  <c r="G16" i="31" s="1"/>
  <c r="E21" i="31" a="1"/>
  <c r="E21" i="31" s="1"/>
  <c r="H14" i="31" a="1"/>
  <c r="H14" i="31" s="1"/>
  <c r="H5" i="31" a="1"/>
  <c r="H5" i="31" s="1"/>
  <c r="G24" i="31" a="1"/>
  <c r="G24" i="31" s="1"/>
  <c r="E8" i="46" a="1"/>
  <c r="E8" i="46" s="1"/>
  <c r="E8" i="31" a="1"/>
  <c r="E8" i="31" s="1"/>
  <c r="H19" i="31" a="1"/>
  <c r="H19" i="31" s="1"/>
  <c r="I8" i="31" a="1"/>
  <c r="I8" i="31" s="1"/>
  <c r="G20" i="31" a="1"/>
  <c r="G20" i="31" s="1"/>
  <c r="D10" i="28" a="1"/>
  <c r="D10" i="28" s="1"/>
  <c r="L6" i="16"/>
  <c r="F9" i="34" s="1"/>
  <c r="E15" i="30" a="1"/>
  <c r="E15" i="30" s="1"/>
  <c r="E14" i="31" a="1"/>
  <c r="E14" i="31" s="1"/>
  <c r="D8" i="31" a="1"/>
  <c r="D8" i="31" s="1"/>
  <c r="D16" i="31" a="1"/>
  <c r="D16" i="31" s="1"/>
  <c r="E5" i="42" a="1"/>
  <c r="E5" i="42" s="1"/>
  <c r="B2" i="23" a="1"/>
  <c r="B2" i="23" s="1"/>
  <c r="E17" i="31" a="1"/>
  <c r="E17" i="31" s="1"/>
  <c r="F17" i="31" a="1"/>
  <c r="F17" i="31" s="1"/>
  <c r="D19" i="31" a="1"/>
  <c r="D19" i="31" s="1"/>
  <c r="H22" i="31" a="1"/>
  <c r="H22" i="31" s="1"/>
  <c r="I15" i="31" a="1"/>
  <c r="I15" i="31" s="1"/>
  <c r="F16" i="31" a="1"/>
  <c r="F16" i="31" s="1"/>
  <c r="I17" i="31" a="1"/>
  <c r="I17" i="31" s="1"/>
  <c r="I7" i="31" a="1"/>
  <c r="I7" i="31" s="1"/>
  <c r="H11" i="31" a="1"/>
  <c r="H11" i="31" s="1"/>
  <c r="I24" i="31" a="1"/>
  <c r="I24" i="31" s="1"/>
  <c r="D15" i="31" a="1"/>
  <c r="D15" i="31" s="1"/>
  <c r="D11" i="31" a="1"/>
  <c r="D11" i="31" s="1"/>
  <c r="E11" i="45" a="1"/>
  <c r="E11" i="45" s="1"/>
  <c r="J11" i="45" s="1"/>
  <c r="B4" i="23" a="1"/>
  <c r="B4" i="23" s="1"/>
  <c r="D7" i="24" s="1"/>
  <c r="E5" i="31" a="1"/>
  <c r="E5" i="31" s="1"/>
  <c r="D20" i="31" a="1"/>
  <c r="D20" i="31" s="1"/>
  <c r="E13" i="31" a="1"/>
  <c r="E13" i="31" s="1"/>
  <c r="F5" i="31" a="1"/>
  <c r="F5" i="31" s="1"/>
  <c r="I20" i="31" a="1"/>
  <c r="I20" i="31" s="1"/>
  <c r="E12" i="31" a="1"/>
  <c r="E12" i="31" s="1"/>
  <c r="E7" i="46" a="1"/>
  <c r="E7" i="46" s="1"/>
  <c r="AL18" i="14" a="1"/>
  <c r="AL18" i="14" s="1"/>
  <c r="G20" i="30" s="1"/>
  <c r="Q13" i="8"/>
  <c r="Q10" i="9"/>
  <c r="K3" i="8"/>
  <c r="L37" i="8"/>
  <c r="X3" i="9"/>
  <c r="E7" i="45" a="1"/>
  <c r="E7" i="45" s="1"/>
  <c r="J7" i="45" s="1"/>
  <c r="N15" i="8"/>
  <c r="F20" i="41"/>
  <c r="K27" i="8"/>
  <c r="D12" i="32"/>
  <c r="P17" i="8"/>
  <c r="J9" i="9"/>
  <c r="I15" i="8"/>
  <c r="H9" i="9"/>
  <c r="F21" i="41"/>
  <c r="Q4" i="9"/>
  <c r="B4" i="22"/>
  <c r="D7" i="39" s="1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K3" i="16"/>
  <c r="G6" i="34" s="1"/>
  <c r="M16" i="8"/>
  <c r="R30" i="8"/>
  <c r="J9" i="27"/>
  <c r="G32" i="8"/>
  <c r="S32" i="8" s="1"/>
  <c r="B20" i="22"/>
  <c r="T10" i="9" a="1"/>
  <c r="T10" i="9" s="1"/>
  <c r="I22" i="17"/>
  <c r="E13" i="45" a="1"/>
  <c r="E13" i="45" s="1"/>
  <c r="H13" i="45" s="1"/>
  <c r="I13" i="45" s="1"/>
  <c r="G28" i="8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F20" i="30"/>
  <c r="G19" i="8"/>
  <c r="R32" i="8"/>
  <c r="E12" i="45" a="1"/>
  <c r="E12" i="45" s="1"/>
  <c r="H12" i="45" s="1"/>
  <c r="I12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T28" i="8"/>
  <c r="R4" i="8"/>
  <c r="I12" i="8"/>
  <c r="L20" i="16"/>
  <c r="F23" i="34" s="1"/>
  <c r="U21" i="8"/>
  <c r="H10" i="9"/>
  <c r="Y10" i="9"/>
  <c r="G11" i="8"/>
  <c r="F18" i="9"/>
  <c r="D5" i="26"/>
  <c r="G24" i="8"/>
  <c r="P12" i="8"/>
  <c r="L11" i="16"/>
  <c r="F14" i="34" s="1"/>
  <c r="L28" i="8"/>
  <c r="K13" i="9"/>
  <c r="L11" i="8"/>
  <c r="B10" i="22"/>
  <c r="D13" i="39" s="1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L8" i="16"/>
  <c r="F11" i="34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F6" i="27"/>
  <c r="G3" i="10"/>
  <c r="F12" i="27"/>
  <c r="G9" i="10"/>
  <c r="F10" i="27"/>
  <c r="G7" i="10"/>
  <c r="F5" i="27"/>
  <c r="G2" i="10"/>
  <c r="C26" i="17"/>
  <c r="I26" i="17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5" i="23" s="1" a="1"/>
  <c r="C5" i="23" s="1"/>
  <c r="E8" i="24" s="1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G17" i="8"/>
  <c r="S17" i="8" s="1"/>
  <c r="Q17" i="8"/>
  <c r="Q33" i="8"/>
  <c r="G33" i="8"/>
  <c r="S33" i="8" s="1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E31" i="17"/>
  <c r="P31" i="17"/>
  <c r="K31" i="17"/>
  <c r="G31" i="17"/>
  <c r="L31" i="17"/>
  <c r="H31" i="17"/>
  <c r="I31" i="17"/>
  <c r="D20" i="17"/>
  <c r="C20" i="17"/>
  <c r="I20" i="17" s="1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U22" i="8"/>
  <c r="Q8" i="8"/>
  <c r="G8" i="8"/>
  <c r="S8" i="8" s="1"/>
  <c r="G23" i="8"/>
  <c r="R23" i="8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M27" i="17"/>
  <c r="E27" i="17"/>
  <c r="P27" i="17"/>
  <c r="L27" i="17"/>
  <c r="H27" i="17"/>
  <c r="J27" i="17"/>
  <c r="F27" i="17"/>
  <c r="N27" i="17" s="1"/>
  <c r="K27" i="17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35" i="17"/>
  <c r="C35" i="17"/>
  <c r="I35" i="17" s="1"/>
  <c r="G10" i="29" a="1"/>
  <c r="G10" i="29" s="1"/>
  <c r="F10" i="29"/>
  <c r="E10" i="29"/>
  <c r="P24" i="17"/>
  <c r="L24" i="17"/>
  <c r="M24" i="17"/>
  <c r="J24" i="17"/>
  <c r="E24" i="17"/>
  <c r="F24" i="17"/>
  <c r="N24" i="17" s="1"/>
  <c r="K24" i="17"/>
  <c r="G24" i="17"/>
  <c r="H24" i="17"/>
  <c r="D8" i="42"/>
  <c r="J5" i="27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D5" i="17"/>
  <c r="L4" i="16"/>
  <c r="F7" i="34" s="1"/>
  <c r="I9" i="17"/>
  <c r="I27" i="17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M29" i="17"/>
  <c r="G8" i="35" s="1" a="1"/>
  <c r="G8" i="35" s="1"/>
  <c r="E29" i="17"/>
  <c r="J29" i="17"/>
  <c r="K29" i="17"/>
  <c r="H8" i="35" s="1" a="1"/>
  <c r="H8" i="35" s="1"/>
  <c r="G29" i="17"/>
  <c r="H29" i="17"/>
  <c r="F29" i="17"/>
  <c r="N29" i="17" s="1"/>
  <c r="I29" i="17"/>
  <c r="E8" i="35" s="1" a="1"/>
  <c r="E8" i="35" s="1"/>
  <c r="P29" i="17"/>
  <c r="L29" i="17"/>
  <c r="F8" i="35" s="1" a="1"/>
  <c r="F8" i="35" s="1"/>
  <c r="D25" i="17"/>
  <c r="C25" i="17"/>
  <c r="I25" i="17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G21" i="17"/>
  <c r="H21" i="17"/>
  <c r="L21" i="17"/>
  <c r="D6" i="35" a="1"/>
  <c r="D6" i="35" s="1"/>
  <c r="M21" i="17"/>
  <c r="E21" i="17"/>
  <c r="P21" i="17"/>
  <c r="J21" i="17"/>
  <c r="F21" i="17"/>
  <c r="N21" i="17" s="1"/>
  <c r="F17" i="30"/>
  <c r="F5" i="41"/>
  <c r="F5" i="30"/>
  <c r="F22" i="41"/>
  <c r="B28" i="21"/>
  <c r="E13" i="32" s="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D9" i="45" s="1" a="1"/>
  <c r="D9" i="4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C13" i="32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D12" i="39"/>
  <c r="C9" i="22"/>
  <c r="U10" i="8"/>
  <c r="E10" i="43" a="1"/>
  <c r="E10" i="43" s="1"/>
  <c r="N25" i="8"/>
  <c r="M25" i="8"/>
  <c r="I25" i="8"/>
  <c r="P25" i="8"/>
  <c r="O25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E15" i="45" a="1"/>
  <c r="E15" i="45" s="1"/>
  <c r="Q30" i="8"/>
  <c r="U34" i="8"/>
  <c r="U35" i="8"/>
  <c r="G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F7" i="24" l="1"/>
  <c r="G7" i="24" s="1"/>
  <c r="H16" i="43"/>
  <c r="I16" i="43" s="1"/>
  <c r="H14" i="46"/>
  <c r="I14" i="46" s="1"/>
  <c r="D5" i="24"/>
  <c r="E10" i="42" a="1"/>
  <c r="E10" i="42" s="1"/>
  <c r="E9" i="42" a="1"/>
  <c r="E9" i="42" s="1"/>
  <c r="F9" i="42" s="1"/>
  <c r="E6" i="42" a="1"/>
  <c r="E6" i="42" s="1"/>
  <c r="S19" i="8"/>
  <c r="E6" i="35" a="1"/>
  <c r="E6" i="35" s="1"/>
  <c r="H11" i="45"/>
  <c r="I11" i="45" s="1"/>
  <c r="E16" i="35" a="1"/>
  <c r="E16" i="35" s="1"/>
  <c r="D9" i="43" a="1"/>
  <c r="D9" i="43" s="1"/>
  <c r="D16" i="43" a="1"/>
  <c r="D16" i="43" s="1"/>
  <c r="D9" i="46" a="1"/>
  <c r="D9" i="46" s="1"/>
  <c r="D9" i="47" a="1"/>
  <c r="D9" i="47" s="1"/>
  <c r="C4" i="22"/>
  <c r="D4" i="22" s="1"/>
  <c r="J13" i="45"/>
  <c r="D16" i="46" a="1"/>
  <c r="D16" i="46" s="1"/>
  <c r="D16" i="45" a="1"/>
  <c r="D16" i="45" s="1"/>
  <c r="E15" i="47" a="1"/>
  <c r="E15" i="47" s="1"/>
  <c r="D16" i="35" a="1"/>
  <c r="D16" i="35" s="1"/>
  <c r="D9" i="35" a="1"/>
  <c r="D9" i="35" s="1"/>
  <c r="F10" i="42"/>
  <c r="C10" i="22"/>
  <c r="D10" i="22" s="1"/>
  <c r="E10" i="22" s="1"/>
  <c r="F10" i="22" s="1"/>
  <c r="G10" i="22" s="1"/>
  <c r="H10" i="22" s="1"/>
  <c r="H7" i="45"/>
  <c r="I7" i="45" s="1"/>
  <c r="D16" i="47" a="1"/>
  <c r="D16" i="47" s="1"/>
  <c r="I30" i="17"/>
  <c r="E15" i="35" s="1" a="1"/>
  <c r="E15" i="35" s="1"/>
  <c r="D9" i="44" a="1"/>
  <c r="D9" i="44" s="1"/>
  <c r="D14" i="35" a="1"/>
  <c r="D14" i="35" s="1"/>
  <c r="D16" i="44" a="1"/>
  <c r="D16" i="44" s="1"/>
  <c r="E9" i="47" a="1"/>
  <c r="E9" i="47" s="1"/>
  <c r="H9" i="47" s="1"/>
  <c r="I9" i="47" s="1"/>
  <c r="D14" i="47" a="1"/>
  <c r="D14" i="47" s="1"/>
  <c r="D6" i="46" a="1"/>
  <c r="D6" i="46" s="1"/>
  <c r="D4" i="23"/>
  <c r="E4" i="23" s="1"/>
  <c r="E11" i="35" a="1"/>
  <c r="E11" i="35" s="1"/>
  <c r="D12" i="35" a="1"/>
  <c r="D12" i="35" s="1"/>
  <c r="D12" i="43" a="1"/>
  <c r="D12" i="43" s="1"/>
  <c r="E13" i="47" a="1"/>
  <c r="E13" i="47" s="1"/>
  <c r="H13" i="47" s="1"/>
  <c r="I13" i="47" s="1"/>
  <c r="S21" i="8"/>
  <c r="D12" i="44" a="1"/>
  <c r="D12" i="44" s="1"/>
  <c r="D14" i="46" a="1"/>
  <c r="D14" i="46" s="1"/>
  <c r="D14" i="43" a="1"/>
  <c r="D14" i="43" s="1"/>
  <c r="E11" i="47" a="1"/>
  <c r="E11" i="47" s="1"/>
  <c r="D14" i="44" a="1"/>
  <c r="D14" i="44" s="1"/>
  <c r="E12" i="35" a="1"/>
  <c r="E12" i="35" s="1"/>
  <c r="E8" i="47" a="1"/>
  <c r="E8" i="47" s="1"/>
  <c r="H8" i="47" s="1"/>
  <c r="I8" i="47" s="1"/>
  <c r="B19" i="23" a="1"/>
  <c r="B19" i="23" s="1"/>
  <c r="C19" i="23" s="1"/>
  <c r="D14" i="45" a="1"/>
  <c r="D14" i="45" s="1"/>
  <c r="D12" i="45" a="1"/>
  <c r="D12" i="45" s="1"/>
  <c r="P19" i="16"/>
  <c r="H22" i="34" s="1"/>
  <c r="D12" i="46" a="1"/>
  <c r="D12" i="46" s="1"/>
  <c r="F7" i="32"/>
  <c r="E10" i="35" a="1"/>
  <c r="E10" i="35" s="1"/>
  <c r="D12" i="47" a="1"/>
  <c r="D12" i="47" s="1"/>
  <c r="I5" i="17"/>
  <c r="E7" i="35" s="1" a="1"/>
  <c r="E7" i="35" s="1"/>
  <c r="D7" i="46" a="1"/>
  <c r="D7" i="46" s="1"/>
  <c r="D7" i="43" a="1"/>
  <c r="D7" i="43" s="1"/>
  <c r="D7" i="45" a="1"/>
  <c r="D7" i="45" s="1"/>
  <c r="D7" i="35" a="1"/>
  <c r="D7" i="35" s="1"/>
  <c r="D7" i="44" a="1"/>
  <c r="D7" i="44" s="1"/>
  <c r="D7" i="47" a="1"/>
  <c r="D7" i="47" s="1"/>
  <c r="B18" i="23" a="1"/>
  <c r="B18" i="23" s="1"/>
  <c r="C18" i="23" s="1"/>
  <c r="D6" i="44" a="1"/>
  <c r="D6" i="44" s="1"/>
  <c r="E5" i="47" a="1"/>
  <c r="E5" i="47" s="1"/>
  <c r="J9" i="47" s="1"/>
  <c r="D6" i="43" a="1"/>
  <c r="D6" i="43" s="1"/>
  <c r="J16" i="44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F9" i="22" s="1"/>
  <c r="G9" i="22" s="1"/>
  <c r="H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S9" i="8"/>
  <c r="P15" i="16"/>
  <c r="H18" i="34" s="1"/>
  <c r="S27" i="8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E30" i="17"/>
  <c r="P30" i="17"/>
  <c r="J30" i="17"/>
  <c r="K30" i="17"/>
  <c r="G30" i="17"/>
  <c r="H30" i="17"/>
  <c r="L30" i="17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G20" i="17"/>
  <c r="H20" i="17"/>
  <c r="P20" i="17"/>
  <c r="M20" i="17"/>
  <c r="J20" i="17"/>
  <c r="E20" i="17"/>
  <c r="F20" i="17"/>
  <c r="N20" i="17" s="1"/>
  <c r="L20" i="17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E5" i="35" s="1" a="1"/>
  <c r="E5" i="35" s="1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F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H7" i="35" s="1" a="1"/>
  <c r="H7" i="35" s="1"/>
  <c r="M5" i="17"/>
  <c r="G7" i="35" s="1" a="1"/>
  <c r="G7" i="35" s="1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E14" i="35" s="1" a="1"/>
  <c r="E14" i="35" s="1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D20" i="22"/>
  <c r="E20" i="22" s="1"/>
  <c r="J29" i="8"/>
  <c r="G37" i="17"/>
  <c r="H37" i="17"/>
  <c r="L37" i="17"/>
  <c r="F16" i="35" s="1" a="1"/>
  <c r="F16" i="35" s="1"/>
  <c r="P37" i="17"/>
  <c r="M37" i="17"/>
  <c r="G16" i="35" s="1" a="1"/>
  <c r="G16" i="35" s="1"/>
  <c r="J37" i="17"/>
  <c r="E37" i="17"/>
  <c r="F37" i="17"/>
  <c r="N37" i="17" s="1"/>
  <c r="K37" i="17"/>
  <c r="H16" i="35" s="1" a="1"/>
  <c r="H16" i="35" s="1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H6" i="35" s="1" a="1"/>
  <c r="H6" i="35" s="1"/>
  <c r="P4" i="17"/>
  <c r="M4" i="17"/>
  <c r="G6" i="35" s="1" a="1"/>
  <c r="G6" i="35" s="1"/>
  <c r="J4" i="17"/>
  <c r="G4" i="17"/>
  <c r="L4" i="17"/>
  <c r="F6" i="35" s="1" a="1"/>
  <c r="F6" i="35" s="1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P10" i="17"/>
  <c r="L10" i="17"/>
  <c r="F12" i="35" s="1" a="1"/>
  <c r="F12" i="35" s="1"/>
  <c r="H10" i="17"/>
  <c r="E10" i="17"/>
  <c r="M10" i="17"/>
  <c r="G12" i="35" s="1" a="1"/>
  <c r="G12" i="35" s="1"/>
  <c r="J10" i="17"/>
  <c r="G10" i="17"/>
  <c r="K10" i="17"/>
  <c r="H12" i="35" s="1" a="1"/>
  <c r="H12" i="35" s="1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B3" i="20" a="1"/>
  <c r="H9" i="35" l="1" a="1"/>
  <c r="H9" i="35" s="1"/>
  <c r="G9" i="35" a="1"/>
  <c r="G9" i="35" s="1"/>
  <c r="B3" i="20"/>
  <c r="J15" i="47"/>
  <c r="H15" i="47"/>
  <c r="I15" i="47" s="1"/>
  <c r="F14" i="35" a="1"/>
  <c r="F14" i="35" s="1"/>
  <c r="G14" i="35" a="1"/>
  <c r="G14" i="35" s="1"/>
  <c r="E9" i="35" a="1"/>
  <c r="E9" i="35" s="1"/>
  <c r="G5" i="35" a="1"/>
  <c r="G5" i="35" s="1"/>
  <c r="J7" i="47"/>
  <c r="E12" i="39"/>
  <c r="F15" i="35" a="1"/>
  <c r="F15" i="35" s="1"/>
  <c r="H15" i="35" a="1"/>
  <c r="H15" i="35" s="1"/>
  <c r="F9" i="35" a="1"/>
  <c r="F9" i="35" s="1"/>
  <c r="G15" i="35" a="1"/>
  <c r="G15" i="35" s="1"/>
  <c r="H14" i="35" a="1"/>
  <c r="H14" i="35" s="1"/>
  <c r="F7" i="35" a="1"/>
  <c r="F7" i="35" s="1"/>
  <c r="B10" i="23" a="1"/>
  <c r="B10" i="23" s="1"/>
  <c r="C10" i="23" s="1"/>
  <c r="F5" i="35" a="1"/>
  <c r="F5" i="35" s="1"/>
  <c r="J13" i="47"/>
  <c r="H5" i="35" a="1"/>
  <c r="H5" i="35" s="1"/>
  <c r="E10" i="39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B13" i="21"/>
  <c r="D8" i="33" s="1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B3" i="21" l="1"/>
  <c r="J9" i="22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  <c r="B14" i="21" l="1"/>
  <c r="D9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<sst xmlns="http://schemas.openxmlformats.org/spreadsheetml/2006/main" count="18064" uniqueCount="327">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</sst>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6798.5</v>
          </cell>
          <cell r="C2">
            <v>6323.7</v>
          </cell>
          <cell r="D2">
            <v>316.18</v>
          </cell>
          <cell r="E2">
            <v>474.80000000000018</v>
          </cell>
          <cell r="F2">
            <v>7.5082625678004999E-2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7958.7</v>
          </cell>
          <cell r="C3">
            <v>7709.2</v>
          </cell>
          <cell r="D3">
            <v>385.46</v>
          </cell>
          <cell r="E3">
            <v>249.5</v>
          </cell>
          <cell r="F3">
            <v>3.2363928812328129E-2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9113.2999999999993</v>
          </cell>
          <cell r="C4">
            <v>8614</v>
          </cell>
          <cell r="D4">
            <v>430.7</v>
          </cell>
          <cell r="E4">
            <v>499.29999999999927</v>
          </cell>
          <cell r="F4">
            <v>5.7963779893197037E-2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10267.6</v>
          </cell>
          <cell r="C5">
            <v>9793.2999999999993</v>
          </cell>
          <cell r="D5">
            <v>489.67</v>
          </cell>
          <cell r="E5">
            <v>474.30000000000109</v>
          </cell>
          <cell r="F5">
            <v>4.8431070221478065E-2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11395</v>
          </cell>
          <cell r="C6">
            <v>10921.7</v>
          </cell>
          <cell r="D6">
            <v>546.08000000000004</v>
          </cell>
          <cell r="E6">
            <v>473.29999999999927</v>
          </cell>
          <cell r="F6">
            <v>4.3335744435390025E-2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12562.7</v>
          </cell>
          <cell r="C7">
            <v>12114.9</v>
          </cell>
          <cell r="D7">
            <v>605.75</v>
          </cell>
          <cell r="E7">
            <v>447.80000000000109</v>
          </cell>
          <cell r="F7">
            <v>3.6962748351203979E-2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13727.2</v>
          </cell>
          <cell r="C8">
            <v>12964.3</v>
          </cell>
          <cell r="D8">
            <v>648.22</v>
          </cell>
          <cell r="E8">
            <v>762.90000000000146</v>
          </cell>
          <cell r="F8">
            <v>5.884621614742034E-2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14918.2</v>
          </cell>
          <cell r="C9">
            <v>14038</v>
          </cell>
          <cell r="D9">
            <v>701.9</v>
          </cell>
          <cell r="E9">
            <v>880.20000000000073</v>
          </cell>
          <cell r="F9">
            <v>6.2701239492805289E-2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16079.5</v>
          </cell>
          <cell r="C10">
            <v>15275.1</v>
          </cell>
          <cell r="D10">
            <v>763.76</v>
          </cell>
          <cell r="E10">
            <v>804.39999999999964</v>
          </cell>
          <cell r="F10">
            <v>5.2660866377306832E-2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17142.600000000002</v>
          </cell>
          <cell r="C11">
            <v>16243.5</v>
          </cell>
          <cell r="D11">
            <v>812.17</v>
          </cell>
          <cell r="E11">
            <v>899.10000000000218</v>
          </cell>
          <cell r="F11">
            <v>5.5351371317758004E-2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18454.5</v>
          </cell>
          <cell r="C12">
            <v>17446.099999999999</v>
          </cell>
          <cell r="D12">
            <v>872.31</v>
          </cell>
          <cell r="E12">
            <v>1008.4000000000015</v>
          </cell>
          <cell r="F12">
            <v>5.7800883865161932E-2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19546.399999999998</v>
          </cell>
          <cell r="C13">
            <v>18586.900000000001</v>
          </cell>
          <cell r="D13">
            <v>929.34</v>
          </cell>
          <cell r="E13">
            <v>959.49999999999636</v>
          </cell>
          <cell r="F13">
            <v>5.162237920255644E-2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20600.5</v>
          </cell>
          <cell r="C14">
            <v>19786.3</v>
          </cell>
          <cell r="D14">
            <v>989.32</v>
          </cell>
          <cell r="E14">
            <v>814.20000000000073</v>
          </cell>
          <cell r="F14">
            <v>4.1149684377574422E-2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21844.999999999996</v>
          </cell>
          <cell r="C15">
            <v>20887.599999999999</v>
          </cell>
          <cell r="D15">
            <v>1044.3800000000001</v>
          </cell>
          <cell r="E15">
            <v>957.39999999999782</v>
          </cell>
          <cell r="F15">
            <v>4.5835806890212272E-2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22950.5</v>
          </cell>
          <cell r="C16">
            <v>21864.2</v>
          </cell>
          <cell r="D16">
            <v>1093.21</v>
          </cell>
          <cell r="E16">
            <v>1086.2999999999993</v>
          </cell>
          <cell r="F16">
            <v>4.9683958251388077E-2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24210.6</v>
          </cell>
          <cell r="C17">
            <v>22871.7</v>
          </cell>
          <cell r="D17">
            <v>1143.58</v>
          </cell>
          <cell r="E17">
            <v>1338.8999999999978</v>
          </cell>
          <cell r="F17">
            <v>5.8539592596964708E-2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25351.600000000002</v>
          </cell>
          <cell r="C18">
            <v>24056.9</v>
          </cell>
          <cell r="D18">
            <v>1202.8399999999999</v>
          </cell>
          <cell r="E18">
            <v>1294.7000000000007</v>
          </cell>
          <cell r="F18">
            <v>5.3818239257759755E-2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26492.400000000001</v>
          </cell>
          <cell r="C19">
            <v>25208</v>
          </cell>
          <cell r="D19">
            <v>1260.4000000000001</v>
          </cell>
          <cell r="E19">
            <v>1284.4000000000015</v>
          </cell>
          <cell r="F19">
            <v>5.0952078705173022E-2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27612.3</v>
          </cell>
          <cell r="C20">
            <v>26129.7</v>
          </cell>
          <cell r="D20">
            <v>1306.49</v>
          </cell>
          <cell r="E20">
            <v>1482.5999999999985</v>
          </cell>
          <cell r="F20">
            <v>5.6740031458455263E-2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28772.399999999998</v>
          </cell>
          <cell r="C21">
            <v>27587.9</v>
          </cell>
          <cell r="D21">
            <v>1379.39</v>
          </cell>
          <cell r="E21">
            <v>1184.4999999999964</v>
          </cell>
          <cell r="F21">
            <v>4.2935489834311287E-2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5.3818239257759755E-2</v>
          </cell>
        </row>
        <row r="3">
          <cell r="B3">
            <v>9</v>
          </cell>
        </row>
        <row r="4">
          <cell r="B4">
            <v>17376.499999999996</v>
          </cell>
        </row>
        <row r="5">
          <cell r="B5">
            <v>12</v>
          </cell>
        </row>
        <row r="6">
          <cell r="B6" t="str">
            <v>18</v>
          </cell>
        </row>
        <row r="7">
          <cell r="B7" t="str">
            <v>05%</v>
          </cell>
        </row>
        <row r="8">
          <cell r="B8">
            <v>16921.150000000001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355799.5</v>
          </cell>
        </row>
        <row r="3">
          <cell r="B3">
            <v>49350.8</v>
          </cell>
        </row>
        <row r="4">
          <cell r="B4">
            <v>17376.499999999996</v>
          </cell>
        </row>
        <row r="5">
          <cell r="B5">
            <v>4109.7999999999975</v>
          </cell>
        </row>
        <row r="6">
          <cell r="B6">
            <v>9</v>
          </cell>
        </row>
        <row r="7">
          <cell r="B7" t="str">
            <v>Sud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40</v>
      </c>
    </row>
    <row r="3" spans="1:2" x14ac:dyDescent="0.25">
      <c r="A3" t="s">
        <v>118</v>
      </c>
      <c r="B3">
        <v>18</v>
      </c>
    </row>
    <row r="4" spans="1:2" x14ac:dyDescent="0.25">
      <c r="A4" t="s">
        <v>119</v>
      </c>
      <c r="B4" s="2">
        <v>0.05</v>
      </c>
    </row>
    <row r="5" spans="1:2" x14ac:dyDescent="0.25">
      <c r="A5" t="s">
        <v>8</v>
      </c>
      <c r="B5" t="s">
        <v>31</v>
      </c>
    </row>
    <row r="6" spans="1:2" x14ac:dyDescent="0.25">
      <c r="A6" t="s">
        <v>120</v>
      </c>
      <c r="B6">
        <f>MATCH(B2,Banks!$A$2:$A$21,0)</f>
        <v>17</v>
      </c>
    </row>
    <row r="7" spans="1:2" x14ac:dyDescent="0.25">
      <c r="A7" t="s">
        <v>45</v>
      </c>
      <c r="B7" t="str">
        <f>VLOOKUP(B2,Banks!$A$2:$H$21,2,FALSE)</f>
        <v>B117</v>
      </c>
    </row>
    <row r="8" spans="1:2" x14ac:dyDescent="0.25">
      <c r="A8" t="s">
        <v>121</v>
      </c>
      <c r="B8" t="str">
        <f>_xlfn.XLOOKUP(B2,Banks!$A$2:$A$21,Banks!$C$2:$C$21,"n.d.",0)</f>
        <v>Isole</v>
      </c>
    </row>
    <row r="9" spans="1:2" x14ac:dyDescent="0.25">
      <c r="A9" t="s">
        <v>122</v>
      </c>
      <c r="B9" s="1">
        <f>EOMONTH(DATE(2024,B3,1),0)</f>
        <v>45838</v>
      </c>
    </row>
    <row r="10" spans="1:2" x14ac:dyDescent="0.25">
      <c r="A10" t="s">
        <v>123</v>
      </c>
      <c r="B10" t="str">
        <f>TEXT(B9,"mmmm aaaa")</f>
        <v>giugno 2025</v>
      </c>
    </row>
    <row r="11" spans="1:2" x14ac:dyDescent="0.25">
      <c r="A11" t="s">
        <v>9</v>
      </c>
      <c r="B11">
        <f>YEAR(B9)</f>
        <v>2025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17</v>
      </c>
    </row>
    <row r="14" spans="1:2" x14ac:dyDescent="0.25">
      <c r="A14" t="s">
        <v>126</v>
      </c>
      <c r="B14">
        <f>MAX(1,B3-12)</f>
        <v>6</v>
      </c>
    </row>
    <row r="15" spans="1:2" x14ac:dyDescent="0.25">
      <c r="A15" t="s">
        <v>127</v>
      </c>
      <c r="B15">
        <f>_xlfn.XLOOKUP(B3,FX!$A$2:$A$37,FX!$C$2:$C$37)</f>
        <v>1.0341</v>
      </c>
    </row>
    <row r="16" spans="1:2" x14ac:dyDescent="0.25">
      <c r="A16" t="s">
        <v>128</v>
      </c>
      <c r="B16" t="str">
        <f>B2&amp;" ("&amp;B7&amp;") - "&amp;B10</f>
        <v>Banca Sicula (B117) - giugno 2025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5.3818239257759755E-2</v>
      </c>
    </row>
    <row r="19" spans="1:2" x14ac:dyDescent="0.25">
      <c r="A19" t="s">
        <v>131</v>
      </c>
      <c r="B19">
        <f>[2]Summary!$B$2</f>
        <v>355799.5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16</v>
      </c>
    </row>
    <row r="22" spans="1:2" x14ac:dyDescent="0.25">
      <c r="A22" t="s">
        <v>134</v>
      </c>
      <c r="B22">
        <f>B3-B12+1</f>
        <v>13</v>
      </c>
    </row>
    <row r="23" spans="1:2" x14ac:dyDescent="0.25">
      <c r="A23" t="s">
        <v>46</v>
      </c>
      <c r="B23" t="str" cm="1">
        <f t="array" ref="B23">TRIM(INDEX(Banks!$D$2:$D$21,B6))</f>
        <v>Rizzo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4.0741237836483535E-3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22352.400000000001</v>
      </c>
      <c r="D2">
        <f>SUMIFS(Data!$F$2:$F$5761,Data!$A$2:$A$5761,Control!$B$2,Data!$B$2:$B$5761,A2)</f>
        <v>1204.8200000000002</v>
      </c>
      <c r="E2">
        <f>SUMIFS(Data!$G$2:$G$5761,Data!$A$2:$A$5761,Control!$B$2,Data!$B$2:$B$5761,A2)</f>
        <v>727.36</v>
      </c>
      <c r="F2">
        <f>SUMIFS(Data!$H$2:$H$5761,Data!$A$2:$A$5761,Control!$B$2,Data!$B$2:$B$5761,A2)</f>
        <v>2373</v>
      </c>
      <c r="G2">
        <f t="shared" ref="G2:G37" si="2">D2-E2</f>
        <v>477.46000000000015</v>
      </c>
      <c r="H2" cm="1">
        <f t="array" ref="H2">INDEX(Budget!$B$2:$AK$21,Control!$B$6,MATCH(A2,Budget!$B$1:$AK$1,0))</f>
        <v>22340</v>
      </c>
      <c r="I2">
        <f t="shared" ref="I2:I37" si="3">IFERROR(C2/H2-1,0)</f>
        <v>5.5505819158474523E-4</v>
      </c>
      <c r="J2">
        <f t="shared" ref="J2:J37" si="4">SUMIFS($C$2:$C$37,$K$2:$K$37,K2,$A$2:$A$37,"&lt;="&amp;A2)</f>
        <v>22352.400000000001</v>
      </c>
      <c r="K2">
        <f t="shared" ref="K2:K37" si="5">YEAR(B2)</f>
        <v>2024</v>
      </c>
      <c r="L2">
        <f t="shared" ref="L2:L37" ca="1" si="6">AVERAGE(OFFSET(C2,-MIN(2,A2-1),0,MIN(3,A2),1))</f>
        <v>22352.400000000001</v>
      </c>
      <c r="M2">
        <f>C2*_xlfn.XLOOKUP(A2,FX!$A$2:$A$37,FX!$C$2:$C$37)</f>
        <v>23648.839200000002</v>
      </c>
      <c r="N2">
        <f>C2*(1+Control!$B$4)^(A2/12)</f>
        <v>22443.466444461625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0.60370843777493721</v>
      </c>
      <c r="R2">
        <f t="shared" ref="R2:R37" si="10">ROUND(IFERROR(D2/F2,0),2)</f>
        <v>0.51</v>
      </c>
      <c r="S2" t="str">
        <f t="shared" ref="S2:S37" si="11">IF(AND(I2&gt;0,G2&gt;0),"sopra",IF(OR(I2&lt;-0.05,G2&lt;0),"sotto","in linea"))</f>
        <v>sopra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22352.400000000001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22527.8</v>
      </c>
      <c r="D3">
        <f>SUMIFS(Data!$F$2:$F$5761,Data!$A$2:$A$5761,Control!$B$2,Data!$B$2:$B$5761,A3)</f>
        <v>1214.73</v>
      </c>
      <c r="E3">
        <f>SUMIFS(Data!$G$2:$G$5761,Data!$A$2:$A$5761,Control!$B$2,Data!$B$2:$B$5761,A3)</f>
        <v>732.24</v>
      </c>
      <c r="F3">
        <f>SUMIFS(Data!$H$2:$H$5761,Data!$A$2:$A$5761,Control!$B$2,Data!$B$2:$B$5761,A3)</f>
        <v>2381</v>
      </c>
      <c r="G3">
        <f t="shared" si="2"/>
        <v>482.49</v>
      </c>
      <c r="H3" cm="1">
        <f t="array" ref="H3">INDEX(Budget!$B$2:$AK$21,Control!$B$6,MATCH(A3,Budget!$B$1:$AK$1,0))</f>
        <v>22539</v>
      </c>
      <c r="I3">
        <f t="shared" si="3"/>
        <v>-4.9691645592087053E-4</v>
      </c>
      <c r="J3">
        <f t="shared" si="4"/>
        <v>44880.2</v>
      </c>
      <c r="K3">
        <f t="shared" si="5"/>
        <v>2024</v>
      </c>
      <c r="L3">
        <f t="shared" ca="1" si="6"/>
        <v>22440.1</v>
      </c>
      <c r="M3">
        <f>C3*_xlfn.XLOOKUP(A3,FX!$A$2:$A$37,FX!$C$2:$C$37)</f>
        <v>24010.129240000002</v>
      </c>
      <c r="N3">
        <f>C3*(1+Control!$B$4)^(A3/12)</f>
        <v>22711.736018888016</v>
      </c>
      <c r="O3">
        <f t="shared" si="7"/>
        <v>35</v>
      </c>
      <c r="P3">
        <f t="shared" si="8"/>
        <v>175.39999999999782</v>
      </c>
      <c r="Q3">
        <f t="shared" si="9"/>
        <v>0.60280062236052456</v>
      </c>
      <c r="R3">
        <f t="shared" si="10"/>
        <v>0.51</v>
      </c>
      <c r="S3" t="str">
        <f t="shared" si="11"/>
        <v>in linea</v>
      </c>
      <c r="T3" t="str">
        <f t="shared" si="12"/>
        <v>T1-2024</v>
      </c>
      <c r="U3">
        <f t="shared" si="13"/>
        <v>22440.1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22604.6</v>
      </c>
      <c r="D4">
        <f>SUMIFS(Data!$F$2:$F$5761,Data!$A$2:$A$5761,Control!$B$2,Data!$B$2:$B$5761,A4)</f>
        <v>1217.3400000000001</v>
      </c>
      <c r="E4">
        <f>SUMIFS(Data!$G$2:$G$5761,Data!$A$2:$A$5761,Control!$B$2,Data!$B$2:$B$5761,A4)</f>
        <v>735.52</v>
      </c>
      <c r="F4">
        <f>SUMIFS(Data!$H$2:$H$5761,Data!$A$2:$A$5761,Control!$B$2,Data!$B$2:$B$5761,A4)</f>
        <v>2384</v>
      </c>
      <c r="G4">
        <f t="shared" si="2"/>
        <v>481.82000000000016</v>
      </c>
      <c r="H4" cm="1">
        <f t="array" ref="H4">INDEX(Budget!$B$2:$AK$21,Control!$B$6,MATCH(A4,Budget!$B$1:$AK$1,0))</f>
        <v>22739</v>
      </c>
      <c r="I4">
        <f t="shared" si="3"/>
        <v>-5.9105501561195206E-3</v>
      </c>
      <c r="J4">
        <f t="shared" si="4"/>
        <v>67484.799999999988</v>
      </c>
      <c r="K4">
        <f t="shared" si="5"/>
        <v>2024</v>
      </c>
      <c r="L4">
        <f t="shared" ca="1" si="6"/>
        <v>22494.933333333331</v>
      </c>
      <c r="M4">
        <f>C4*_xlfn.XLOOKUP(A4,FX!$A$2:$A$37,FX!$C$2:$C$37)</f>
        <v>24252.475339999997</v>
      </c>
      <c r="N4">
        <f>C4*(1+Control!$B$4)^(A4/12)</f>
        <v>22882.00895037466</v>
      </c>
      <c r="O4">
        <f t="shared" si="7"/>
        <v>34</v>
      </c>
      <c r="P4">
        <f t="shared" si="8"/>
        <v>76.799999999999272</v>
      </c>
      <c r="Q4">
        <f t="shared" si="9"/>
        <v>0.60420260568123929</v>
      </c>
      <c r="R4">
        <f t="shared" si="10"/>
        <v>0.51</v>
      </c>
      <c r="S4" t="str">
        <f t="shared" si="11"/>
        <v>in linea</v>
      </c>
      <c r="T4" t="str">
        <f t="shared" si="12"/>
        <v>T1-2024</v>
      </c>
      <c r="U4">
        <f t="shared" si="13"/>
        <v>22494.933333333331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22888.9</v>
      </c>
      <c r="D5">
        <f>SUMIFS(Data!$F$2:$F$5761,Data!$A$2:$A$5761,Control!$B$2,Data!$B$2:$B$5761,A5)</f>
        <v>1234.55</v>
      </c>
      <c r="E5">
        <f>SUMIFS(Data!$G$2:$G$5761,Data!$A$2:$A$5761,Control!$B$2,Data!$B$2:$B$5761,A5)</f>
        <v>745.04</v>
      </c>
      <c r="F5">
        <f>SUMIFS(Data!$H$2:$H$5761,Data!$A$2:$A$5761,Control!$B$2,Data!$B$2:$B$5761,A5)</f>
        <v>2372</v>
      </c>
      <c r="G5">
        <f t="shared" si="2"/>
        <v>489.51</v>
      </c>
      <c r="H5" cm="1">
        <f t="array" ref="H5">INDEX(Budget!$B$2:$AK$21,Control!$B$6,MATCH(A5,Budget!$B$1:$AK$1,0))</f>
        <v>22938</v>
      </c>
      <c r="I5">
        <f t="shared" si="3"/>
        <v>-2.1405527944894365E-3</v>
      </c>
      <c r="J5">
        <f t="shared" si="4"/>
        <v>90373.699999999983</v>
      </c>
      <c r="K5">
        <f t="shared" si="5"/>
        <v>2024</v>
      </c>
      <c r="L5">
        <f t="shared" ca="1" si="6"/>
        <v>22673.766666666663</v>
      </c>
      <c r="M5">
        <f>C5*_xlfn.XLOOKUP(A5,FX!$A$2:$A$37,FX!$C$2:$C$37)</f>
        <v>24699.411990000001</v>
      </c>
      <c r="N5">
        <f>C5*(1+Control!$B$4)^(A5/12)</f>
        <v>23264.194571499502</v>
      </c>
      <c r="O5">
        <f t="shared" si="7"/>
        <v>33</v>
      </c>
      <c r="P5">
        <f t="shared" si="8"/>
        <v>284.30000000000291</v>
      </c>
      <c r="Q5">
        <f t="shared" si="9"/>
        <v>0.60349115062168401</v>
      </c>
      <c r="R5">
        <f t="shared" si="10"/>
        <v>0.52</v>
      </c>
      <c r="S5" t="str">
        <f t="shared" si="11"/>
        <v>in linea</v>
      </c>
      <c r="T5" t="str">
        <f t="shared" si="12"/>
        <v>T2-2024</v>
      </c>
      <c r="U5">
        <f t="shared" si="13"/>
        <v>22593.424999999996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23053.699999999997</v>
      </c>
      <c r="D6">
        <f>SUMIFS(Data!$F$2:$F$5761,Data!$A$2:$A$5761,Control!$B$2,Data!$B$2:$B$5761,A6)</f>
        <v>1242.24</v>
      </c>
      <c r="E6">
        <f>SUMIFS(Data!$G$2:$G$5761,Data!$A$2:$A$5761,Control!$B$2,Data!$B$2:$B$5761,A6)</f>
        <v>750.74</v>
      </c>
      <c r="F6">
        <f>SUMIFS(Data!$H$2:$H$5761,Data!$A$2:$A$5761,Control!$B$2,Data!$B$2:$B$5761,A6)</f>
        <v>2374</v>
      </c>
      <c r="G6">
        <f t="shared" si="2"/>
        <v>491.5</v>
      </c>
      <c r="H6" cm="1">
        <f t="array" ref="H6">INDEX(Budget!$B$2:$AK$21,Control!$B$6,MATCH(A6,Budget!$B$1:$AK$1,0))</f>
        <v>23137</v>
      </c>
      <c r="I6">
        <f t="shared" si="3"/>
        <v>-3.6002939015431501E-3</v>
      </c>
      <c r="J6">
        <f t="shared" si="4"/>
        <v>113427.39999999998</v>
      </c>
      <c r="K6">
        <f t="shared" si="5"/>
        <v>2024</v>
      </c>
      <c r="L6">
        <f t="shared" ca="1" si="6"/>
        <v>22849.066666666666</v>
      </c>
      <c r="M6">
        <f>C6*_xlfn.XLOOKUP(A6,FX!$A$2:$A$37,FX!$C$2:$C$37)</f>
        <v>24994.821539999997</v>
      </c>
      <c r="N6">
        <f>C6*(1+Control!$B$4)^(A6/12)</f>
        <v>23527.160323883036</v>
      </c>
      <c r="O6">
        <f t="shared" si="7"/>
        <v>32</v>
      </c>
      <c r="P6">
        <f t="shared" si="8"/>
        <v>164.79999999999563</v>
      </c>
      <c r="Q6">
        <f t="shared" si="9"/>
        <v>0.60434376609994844</v>
      </c>
      <c r="R6">
        <f t="shared" si="10"/>
        <v>0.52</v>
      </c>
      <c r="S6" t="str">
        <f t="shared" si="11"/>
        <v>in linea</v>
      </c>
      <c r="T6" t="str">
        <f t="shared" si="12"/>
        <v>T2-2024</v>
      </c>
      <c r="U6">
        <f t="shared" si="13"/>
        <v>22685.479999999996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23190</v>
      </c>
      <c r="D7">
        <f>SUMIFS(Data!$F$2:$F$5761,Data!$A$2:$A$5761,Control!$B$2,Data!$B$2:$B$5761,A7)</f>
        <v>1250.8799999999999</v>
      </c>
      <c r="E7">
        <f>SUMIFS(Data!$G$2:$G$5761,Data!$A$2:$A$5761,Control!$B$2,Data!$B$2:$B$5761,A7)</f>
        <v>753.26</v>
      </c>
      <c r="F7">
        <f>SUMIFS(Data!$H$2:$H$5761,Data!$A$2:$A$5761,Control!$B$2,Data!$B$2:$B$5761,A7)</f>
        <v>2393</v>
      </c>
      <c r="G7">
        <f t="shared" si="2"/>
        <v>497.61999999999989</v>
      </c>
      <c r="H7" cm="1">
        <f t="array" ref="H7">INDEX(Budget!$B$2:$AK$21,Control!$B$6,MATCH(A7,Budget!$B$1:$AK$1,0))</f>
        <v>23336</v>
      </c>
      <c r="I7">
        <f t="shared" si="3"/>
        <v>-6.2564278368186788E-3</v>
      </c>
      <c r="J7">
        <f t="shared" si="4"/>
        <v>136617.39999999997</v>
      </c>
      <c r="K7">
        <f t="shared" si="5"/>
        <v>2024</v>
      </c>
      <c r="L7">
        <f t="shared" ca="1" si="6"/>
        <v>23044.2</v>
      </c>
      <c r="M7">
        <f>C7*_xlfn.XLOOKUP(A7,FX!$A$2:$A$37,FX!$C$2:$C$37)</f>
        <v>25228.401000000002</v>
      </c>
      <c r="N7">
        <f>C7*(1+Control!$B$4)^(A7/12)</f>
        <v>23762.678826260311</v>
      </c>
      <c r="O7">
        <f t="shared" si="7"/>
        <v>31</v>
      </c>
      <c r="P7">
        <f t="shared" si="8"/>
        <v>136.30000000000291</v>
      </c>
      <c r="Q7">
        <f t="shared" si="9"/>
        <v>0.60218406242005629</v>
      </c>
      <c r="R7">
        <f t="shared" si="10"/>
        <v>0.52</v>
      </c>
      <c r="S7" t="str">
        <f t="shared" si="11"/>
        <v>in linea</v>
      </c>
      <c r="T7" t="str">
        <f t="shared" si="12"/>
        <v>T2-2024</v>
      </c>
      <c r="U7">
        <f t="shared" si="13"/>
        <v>22769.566666666662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23314.9</v>
      </c>
      <c r="D8">
        <f>SUMIFS(Data!$F$2:$F$5761,Data!$A$2:$A$5761,Control!$B$2,Data!$B$2:$B$5761,A8)</f>
        <v>1258.05</v>
      </c>
      <c r="E8">
        <f>SUMIFS(Data!$G$2:$G$5761,Data!$A$2:$A$5761,Control!$B$2,Data!$B$2:$B$5761,A8)</f>
        <v>758.63</v>
      </c>
      <c r="F8">
        <f>SUMIFS(Data!$H$2:$H$5761,Data!$A$2:$A$5761,Control!$B$2,Data!$B$2:$B$5761,A8)</f>
        <v>2354</v>
      </c>
      <c r="G8">
        <f t="shared" si="2"/>
        <v>499.41999999999996</v>
      </c>
      <c r="H8" cm="1">
        <f t="array" ref="H8">INDEX(Budget!$B$2:$AK$21,Control!$B$6,MATCH(A8,Budget!$B$1:$AK$1,0))</f>
        <v>23536</v>
      </c>
      <c r="I8">
        <f t="shared" si="3"/>
        <v>-9.394119646498944E-3</v>
      </c>
      <c r="J8">
        <f t="shared" si="4"/>
        <v>159932.29999999996</v>
      </c>
      <c r="K8">
        <f t="shared" si="5"/>
        <v>2024</v>
      </c>
      <c r="L8">
        <f t="shared" ca="1" si="6"/>
        <v>23186.2</v>
      </c>
      <c r="M8">
        <f>C8*_xlfn.XLOOKUP(A8,FX!$A$2:$A$37,FX!$C$2:$C$37)</f>
        <v>25415.572490000002</v>
      </c>
      <c r="N8">
        <f>C8*(1+Control!$B$4)^(A8/12)</f>
        <v>23987.996760645772</v>
      </c>
      <c r="O8">
        <f t="shared" si="7"/>
        <v>30</v>
      </c>
      <c r="P8">
        <f t="shared" si="8"/>
        <v>124.90000000000146</v>
      </c>
      <c r="Q8">
        <f t="shared" si="9"/>
        <v>0.60302054767298596</v>
      </c>
      <c r="R8">
        <f t="shared" si="10"/>
        <v>0.53</v>
      </c>
      <c r="S8" t="str">
        <f t="shared" si="11"/>
        <v>in linea</v>
      </c>
      <c r="T8" t="str">
        <f t="shared" si="12"/>
        <v>T3-2024</v>
      </c>
      <c r="U8">
        <f t="shared" si="13"/>
        <v>22847.471428571422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23536.5</v>
      </c>
      <c r="D9">
        <f>SUMIFS(Data!$F$2:$F$5761,Data!$A$2:$A$5761,Control!$B$2,Data!$B$2:$B$5761,A9)</f>
        <v>1267.0899999999999</v>
      </c>
      <c r="E9">
        <f>SUMIFS(Data!$G$2:$G$5761,Data!$A$2:$A$5761,Control!$B$2,Data!$B$2:$B$5761,A9)</f>
        <v>766.85</v>
      </c>
      <c r="F9">
        <f>SUMIFS(Data!$H$2:$H$5761,Data!$A$2:$A$5761,Control!$B$2,Data!$B$2:$B$5761,A9)</f>
        <v>2393</v>
      </c>
      <c r="G9">
        <f t="shared" si="2"/>
        <v>500.2399999999999</v>
      </c>
      <c r="H9" cm="1">
        <f t="array" ref="H9">INDEX(Budget!$B$2:$AK$21,Control!$B$6,MATCH(A9,Budget!$B$1:$AK$1,0))</f>
        <v>23735</v>
      </c>
      <c r="I9">
        <f t="shared" si="3"/>
        <v>-8.363176743206191E-3</v>
      </c>
      <c r="J9">
        <f t="shared" si="4"/>
        <v>183468.79999999996</v>
      </c>
      <c r="K9">
        <f t="shared" si="5"/>
        <v>2024</v>
      </c>
      <c r="L9">
        <f t="shared" ca="1" si="6"/>
        <v>23347.133333333331</v>
      </c>
      <c r="M9">
        <f>C9*_xlfn.XLOOKUP(A9,FX!$A$2:$A$37,FX!$C$2:$C$37)</f>
        <v>25673.6142</v>
      </c>
      <c r="N9">
        <f>C9*(1+Control!$B$4)^(A9/12)</f>
        <v>24314.653269169259</v>
      </c>
      <c r="O9">
        <f t="shared" si="7"/>
        <v>29</v>
      </c>
      <c r="P9">
        <f t="shared" si="8"/>
        <v>221.59999999999854</v>
      </c>
      <c r="Q9">
        <f t="shared" si="9"/>
        <v>0.60520562864516336</v>
      </c>
      <c r="R9">
        <f t="shared" si="10"/>
        <v>0.53</v>
      </c>
      <c r="S9" t="str">
        <f t="shared" si="11"/>
        <v>in linea</v>
      </c>
      <c r="T9" t="str">
        <f t="shared" si="12"/>
        <v>T3-2024</v>
      </c>
      <c r="U9">
        <f t="shared" si="13"/>
        <v>22933.599999999995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23738.1</v>
      </c>
      <c r="D10">
        <f>SUMIFS(Data!$F$2:$F$5761,Data!$A$2:$A$5761,Control!$B$2,Data!$B$2:$B$5761,A10)</f>
        <v>1278.95</v>
      </c>
      <c r="E10">
        <f>SUMIFS(Data!$G$2:$G$5761,Data!$A$2:$A$5761,Control!$B$2,Data!$B$2:$B$5761,A10)</f>
        <v>772.94</v>
      </c>
      <c r="F10">
        <f>SUMIFS(Data!$H$2:$H$5761,Data!$A$2:$A$5761,Control!$B$2,Data!$B$2:$B$5761,A10)</f>
        <v>2384</v>
      </c>
      <c r="G10">
        <f t="shared" si="2"/>
        <v>506.01</v>
      </c>
      <c r="H10" cm="1">
        <f t="array" ref="H10">INDEX(Budget!$B$2:$AK$21,Control!$B$6,MATCH(A10,Budget!$B$1:$AK$1,0))</f>
        <v>23934</v>
      </c>
      <c r="I10">
        <f t="shared" si="3"/>
        <v>-8.1850087741288657E-3</v>
      </c>
      <c r="J10">
        <f t="shared" si="4"/>
        <v>207206.89999999997</v>
      </c>
      <c r="K10">
        <f t="shared" si="5"/>
        <v>2024</v>
      </c>
      <c r="L10">
        <f t="shared" ca="1" si="6"/>
        <v>23529.833333333332</v>
      </c>
      <c r="M10">
        <f>C10*_xlfn.XLOOKUP(A10,FX!$A$2:$A$37,FX!$C$2:$C$37)</f>
        <v>25872.155190000001</v>
      </c>
      <c r="N10">
        <f>C10*(1+Control!$B$4)^(A10/12)</f>
        <v>24622.827883902857</v>
      </c>
      <c r="O10">
        <f t="shared" si="7"/>
        <v>28</v>
      </c>
      <c r="P10">
        <f t="shared" si="8"/>
        <v>201.59999999999854</v>
      </c>
      <c r="Q10">
        <f t="shared" si="9"/>
        <v>0.60435513507173855</v>
      </c>
      <c r="R10">
        <f t="shared" si="10"/>
        <v>0.54</v>
      </c>
      <c r="S10" t="str">
        <f t="shared" si="11"/>
        <v>in linea</v>
      </c>
      <c r="T10" t="str">
        <f t="shared" si="12"/>
        <v>T3-2024</v>
      </c>
      <c r="U10">
        <f t="shared" si="13"/>
        <v>23022.988888888885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23994.5</v>
      </c>
      <c r="D11">
        <f>SUMIFS(Data!$F$2:$F$5761,Data!$A$2:$A$5761,Control!$B$2,Data!$B$2:$B$5761,A11)</f>
        <v>1291.22</v>
      </c>
      <c r="E11">
        <f>SUMIFS(Data!$G$2:$G$5761,Data!$A$2:$A$5761,Control!$B$2,Data!$B$2:$B$5761,A11)</f>
        <v>779.37</v>
      </c>
      <c r="F11">
        <f>SUMIFS(Data!$H$2:$H$5761,Data!$A$2:$A$5761,Control!$B$2,Data!$B$2:$B$5761,A11)</f>
        <v>2402</v>
      </c>
      <c r="G11">
        <f t="shared" si="2"/>
        <v>511.85</v>
      </c>
      <c r="H11" cm="1">
        <f t="array" ref="H11">INDEX(Budget!$B$2:$AK$21,Control!$B$6,MATCH(A11,Budget!$B$1:$AK$1,0))</f>
        <v>24133</v>
      </c>
      <c r="I11">
        <f t="shared" si="3"/>
        <v>-5.7390295446069217E-3</v>
      </c>
      <c r="J11">
        <f t="shared" si="4"/>
        <v>231201.39999999997</v>
      </c>
      <c r="K11">
        <f t="shared" si="5"/>
        <v>2024</v>
      </c>
      <c r="L11">
        <f t="shared" ca="1" si="6"/>
        <v>23756.366666666669</v>
      </c>
      <c r="M11">
        <f>C11*_xlfn.XLOOKUP(A11,FX!$A$2:$A$37,FX!$C$2:$C$37)</f>
        <v>26091.619299999998</v>
      </c>
      <c r="N11">
        <f>C11*(1+Control!$B$4)^(A11/12)</f>
        <v>24990.183994873179</v>
      </c>
      <c r="O11">
        <f t="shared" si="7"/>
        <v>27</v>
      </c>
      <c r="P11">
        <f t="shared" si="8"/>
        <v>256.40000000000146</v>
      </c>
      <c r="Q11">
        <f t="shared" si="9"/>
        <v>0.60359195179752478</v>
      </c>
      <c r="R11">
        <f t="shared" si="10"/>
        <v>0.54</v>
      </c>
      <c r="S11" t="str">
        <f t="shared" si="11"/>
        <v>in linea</v>
      </c>
      <c r="T11" t="str">
        <f t="shared" si="12"/>
        <v>T4-2024</v>
      </c>
      <c r="U11">
        <f t="shared" si="13"/>
        <v>23120.139999999996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24051.800000000003</v>
      </c>
      <c r="D12">
        <f>SUMIFS(Data!$F$2:$F$5761,Data!$A$2:$A$5761,Control!$B$2,Data!$B$2:$B$5761,A12)</f>
        <v>1295.7199999999998</v>
      </c>
      <c r="E12">
        <f>SUMIFS(Data!$G$2:$G$5761,Data!$A$2:$A$5761,Control!$B$2,Data!$B$2:$B$5761,A12)</f>
        <v>783.67</v>
      </c>
      <c r="F12">
        <f>SUMIFS(Data!$H$2:$H$5761,Data!$A$2:$A$5761,Control!$B$2,Data!$B$2:$B$5761,A12)</f>
        <v>2339</v>
      </c>
      <c r="G12">
        <f t="shared" si="2"/>
        <v>512.04999999999984</v>
      </c>
      <c r="H12" cm="1">
        <f t="array" ref="H12">INDEX(Budget!$B$2:$AK$21,Control!$B$6,MATCH(A12,Budget!$B$1:$AK$1,0))</f>
        <v>24333</v>
      </c>
      <c r="I12">
        <f t="shared" si="3"/>
        <v>-1.1556322689351806E-2</v>
      </c>
      <c r="J12">
        <f t="shared" si="4"/>
        <v>255253.19999999995</v>
      </c>
      <c r="K12">
        <f t="shared" si="5"/>
        <v>2024</v>
      </c>
      <c r="L12">
        <f t="shared" ca="1" si="6"/>
        <v>23928.133333333331</v>
      </c>
      <c r="M12">
        <f>C12*_xlfn.XLOOKUP(A12,FX!$A$2:$A$37,FX!$C$2:$C$37)</f>
        <v>26057.720120000002</v>
      </c>
      <c r="N12">
        <f>C12*(1+Control!$B$4)^(A12/12)</f>
        <v>25151.917972782721</v>
      </c>
      <c r="O12">
        <f t="shared" si="7"/>
        <v>26</v>
      </c>
      <c r="P12">
        <f t="shared" si="8"/>
        <v>57.30000000000291</v>
      </c>
      <c r="Q12">
        <f t="shared" si="9"/>
        <v>0.60481431173401667</v>
      </c>
      <c r="R12">
        <f t="shared" si="10"/>
        <v>0.55000000000000004</v>
      </c>
      <c r="S12" t="str">
        <f t="shared" si="11"/>
        <v>in linea</v>
      </c>
      <c r="T12" t="str">
        <f t="shared" si="12"/>
        <v>T4-2024</v>
      </c>
      <c r="U12">
        <f t="shared" si="13"/>
        <v>23204.836363636361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24182.800000000003</v>
      </c>
      <c r="D13">
        <f>SUMIFS(Data!$F$2:$F$5761,Data!$A$2:$A$5761,Control!$B$2,Data!$B$2:$B$5761,A13)</f>
        <v>1301.8599999999999</v>
      </c>
      <c r="E13">
        <f>SUMIFS(Data!$G$2:$G$5761,Data!$A$2:$A$5761,Control!$B$2,Data!$B$2:$B$5761,A13)</f>
        <v>786.72</v>
      </c>
      <c r="F13">
        <f>SUMIFS(Data!$H$2:$H$5761,Data!$A$2:$A$5761,Control!$B$2,Data!$B$2:$B$5761,A13)</f>
        <v>2312</v>
      </c>
      <c r="G13">
        <f t="shared" si="2"/>
        <v>515.13999999999987</v>
      </c>
      <c r="H13" cm="1">
        <f t="array" ref="H13">INDEX(Budget!$B$2:$AK$21,Control!$B$6,MATCH(A13,Budget!$B$1:$AK$1,0))</f>
        <v>24532</v>
      </c>
      <c r="I13">
        <f t="shared" si="3"/>
        <v>-1.4234469264633787E-2</v>
      </c>
      <c r="J13">
        <f t="shared" si="4"/>
        <v>279435.99999999994</v>
      </c>
      <c r="K13">
        <f t="shared" si="5"/>
        <v>2024</v>
      </c>
      <c r="L13">
        <f t="shared" ca="1" si="6"/>
        <v>24076.366666666669</v>
      </c>
      <c r="M13">
        <f>C13*_xlfn.XLOOKUP(A13,FX!$A$2:$A$37,FX!$C$2:$C$37)</f>
        <v>26073.894960000005</v>
      </c>
      <c r="N13">
        <f>C13*(1+Control!$B$4)^(A13/12)</f>
        <v>25391.940000000002</v>
      </c>
      <c r="O13">
        <f t="shared" si="7"/>
        <v>25</v>
      </c>
      <c r="P13">
        <f t="shared" si="8"/>
        <v>131</v>
      </c>
      <c r="Q13">
        <f t="shared" si="9"/>
        <v>0.6043046103267633</v>
      </c>
      <c r="R13">
        <f t="shared" si="10"/>
        <v>0.56000000000000005</v>
      </c>
      <c r="S13" t="str">
        <f t="shared" si="11"/>
        <v>in linea</v>
      </c>
      <c r="T13" t="str">
        <f t="shared" si="12"/>
        <v>T4-2024</v>
      </c>
      <c r="U13">
        <f t="shared" si="13"/>
        <v>23286.333333333328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24517.8</v>
      </c>
      <c r="D14">
        <f>SUMIFS(Data!$F$2:$F$5761,Data!$A$2:$A$5761,Control!$B$2,Data!$B$2:$B$5761,A14)</f>
        <v>1321.49</v>
      </c>
      <c r="E14">
        <f>SUMIFS(Data!$G$2:$G$5761,Data!$A$2:$A$5761,Control!$B$2,Data!$B$2:$B$5761,A14)</f>
        <v>797.52</v>
      </c>
      <c r="F14">
        <f>SUMIFS(Data!$H$2:$H$5761,Data!$A$2:$A$5761,Control!$B$2,Data!$B$2:$B$5761,A14)</f>
        <v>2365</v>
      </c>
      <c r="G14">
        <f t="shared" si="2"/>
        <v>523.97</v>
      </c>
      <c r="H14" cm="1">
        <f t="array" ref="H14">INDEX(Budget!$B$2:$AK$21,Control!$B$6,MATCH(A14,Budget!$B$1:$AK$1,0))</f>
        <v>24731</v>
      </c>
      <c r="I14">
        <f t="shared" si="3"/>
        <v>-8.6207593708301777E-3</v>
      </c>
      <c r="J14">
        <f t="shared" si="4"/>
        <v>24517.8</v>
      </c>
      <c r="K14">
        <f t="shared" si="5"/>
        <v>2025</v>
      </c>
      <c r="L14">
        <f t="shared" ca="1" si="6"/>
        <v>24250.800000000003</v>
      </c>
      <c r="M14">
        <f>C14*_xlfn.XLOOKUP(A14,FX!$A$2:$A$37,FX!$C$2:$C$37)</f>
        <v>26280.629820000002</v>
      </c>
      <c r="N14">
        <f>C14*(1+Control!$B$4)^(A14/12)</f>
        <v>25848.572979707871</v>
      </c>
      <c r="O14">
        <f t="shared" si="7"/>
        <v>24</v>
      </c>
      <c r="P14">
        <f t="shared" si="8"/>
        <v>334.99999999999636</v>
      </c>
      <c r="Q14">
        <f t="shared" si="9"/>
        <v>0.60350059402643985</v>
      </c>
      <c r="R14">
        <f t="shared" si="10"/>
        <v>0.56000000000000005</v>
      </c>
      <c r="S14" t="str">
        <f t="shared" si="11"/>
        <v>in linea</v>
      </c>
      <c r="T14" t="str">
        <f t="shared" si="12"/>
        <v>T1-2025</v>
      </c>
      <c r="U14">
        <f t="shared" si="13"/>
        <v>23466.783333333329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24570.6</v>
      </c>
      <c r="D15">
        <f>SUMIFS(Data!$F$2:$F$5761,Data!$A$2:$A$5761,Control!$B$2,Data!$B$2:$B$5761,A15)</f>
        <v>1324.81</v>
      </c>
      <c r="E15">
        <f>SUMIFS(Data!$G$2:$G$5761,Data!$A$2:$A$5761,Control!$B$2,Data!$B$2:$B$5761,A15)</f>
        <v>799.17000000000007</v>
      </c>
      <c r="F15">
        <f>SUMIFS(Data!$H$2:$H$5761,Data!$A$2:$A$5761,Control!$B$2,Data!$B$2:$B$5761,A15)</f>
        <v>2358</v>
      </c>
      <c r="G15">
        <f t="shared" si="2"/>
        <v>525.63999999999987</v>
      </c>
      <c r="H15" cm="1">
        <f t="array" ref="H15">INDEX(Budget!$B$2:$AK$21,Control!$B$6,MATCH(A15,Budget!$B$1:$AK$1,0))</f>
        <v>24931</v>
      </c>
      <c r="I15">
        <f t="shared" si="3"/>
        <v>-1.4455898279250756E-2</v>
      </c>
      <c r="J15">
        <f t="shared" si="4"/>
        <v>49088.399999999994</v>
      </c>
      <c r="K15">
        <f t="shared" si="5"/>
        <v>2025</v>
      </c>
      <c r="L15">
        <f t="shared" ca="1" si="6"/>
        <v>24423.733333333337</v>
      </c>
      <c r="M15">
        <f>C15*_xlfn.XLOOKUP(A15,FX!$A$2:$A$37,FX!$C$2:$C$37)</f>
        <v>26162.774879999997</v>
      </c>
      <c r="N15">
        <f>C15*(1+Control!$B$4)^(A15/12)</f>
        <v>26009.775924722981</v>
      </c>
      <c r="O15">
        <f t="shared" si="7"/>
        <v>23</v>
      </c>
      <c r="P15">
        <f t="shared" si="8"/>
        <v>52.799999999999272</v>
      </c>
      <c r="Q15">
        <f t="shared" si="9"/>
        <v>0.60323367124342364</v>
      </c>
      <c r="R15">
        <f t="shared" si="10"/>
        <v>0.56000000000000005</v>
      </c>
      <c r="S15" t="str">
        <f t="shared" si="11"/>
        <v>in linea</v>
      </c>
      <c r="T15" t="str">
        <f t="shared" si="12"/>
        <v>T1-2025</v>
      </c>
      <c r="U15">
        <f t="shared" si="13"/>
        <v>23637.016666666663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24765.1</v>
      </c>
      <c r="D16">
        <f>SUMIFS(Data!$F$2:$F$5761,Data!$A$2:$A$5761,Control!$B$2,Data!$B$2:$B$5761,A16)</f>
        <v>1334.6200000000001</v>
      </c>
      <c r="E16">
        <f>SUMIFS(Data!$G$2:$G$5761,Data!$A$2:$A$5761,Control!$B$2,Data!$B$2:$B$5761,A16)</f>
        <v>806.02</v>
      </c>
      <c r="F16">
        <f>SUMIFS(Data!$H$2:$H$5761,Data!$A$2:$A$5761,Control!$B$2,Data!$B$2:$B$5761,A16)</f>
        <v>2318</v>
      </c>
      <c r="G16">
        <f t="shared" si="2"/>
        <v>528.60000000000014</v>
      </c>
      <c r="H16" cm="1">
        <f t="array" ref="H16">INDEX(Budget!$B$2:$AK$21,Control!$B$6,MATCH(A16,Budget!$B$1:$AK$1,0))</f>
        <v>25130</v>
      </c>
      <c r="I16">
        <f t="shared" si="3"/>
        <v>-1.4520493434142523E-2</v>
      </c>
      <c r="J16">
        <f t="shared" si="4"/>
        <v>73853.5</v>
      </c>
      <c r="K16">
        <f t="shared" si="5"/>
        <v>2025</v>
      </c>
      <c r="L16">
        <f t="shared" ca="1" si="6"/>
        <v>24617.833333333332</v>
      </c>
      <c r="M16">
        <f>C16*_xlfn.XLOOKUP(A16,FX!$A$2:$A$37,FX!$C$2:$C$37)</f>
        <v>26179.187209999996</v>
      </c>
      <c r="N16">
        <f>C16*(1+Control!$B$4)^(A16/12)</f>
        <v>26322.47426850153</v>
      </c>
      <c r="O16">
        <f t="shared" si="7"/>
        <v>22</v>
      </c>
      <c r="P16">
        <f t="shared" si="8"/>
        <v>194.5</v>
      </c>
      <c r="Q16">
        <f t="shared" si="9"/>
        <v>0.60393220542176795</v>
      </c>
      <c r="R16">
        <f t="shared" si="10"/>
        <v>0.57999999999999996</v>
      </c>
      <c r="S16" t="str">
        <f t="shared" si="11"/>
        <v>in linea</v>
      </c>
      <c r="T16" t="str">
        <f t="shared" si="12"/>
        <v>T1-2025</v>
      </c>
      <c r="U16">
        <f t="shared" si="13"/>
        <v>23817.058333333334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25016.400000000001</v>
      </c>
      <c r="D17">
        <f>SUMIFS(Data!$F$2:$F$5761,Data!$A$2:$A$5761,Control!$B$2,Data!$B$2:$B$5761,A17)</f>
        <v>1347.28</v>
      </c>
      <c r="E17">
        <f>SUMIFS(Data!$G$2:$G$5761,Data!$A$2:$A$5761,Control!$B$2,Data!$B$2:$B$5761,A17)</f>
        <v>813.58999999999992</v>
      </c>
      <c r="F17">
        <f>SUMIFS(Data!$H$2:$H$5761,Data!$A$2:$A$5761,Control!$B$2,Data!$B$2:$B$5761,A17)</f>
        <v>2329</v>
      </c>
      <c r="G17">
        <f t="shared" si="2"/>
        <v>533.69000000000005</v>
      </c>
      <c r="H17" cm="1">
        <f t="array" ref="H17">INDEX(Budget!$B$2:$AK$21,Control!$B$6,MATCH(A17,Budget!$B$1:$AK$1,0))</f>
        <v>25329</v>
      </c>
      <c r="I17">
        <f t="shared" si="3"/>
        <v>-1.2341584744758882E-2</v>
      </c>
      <c r="J17">
        <f t="shared" si="4"/>
        <v>98869.9</v>
      </c>
      <c r="K17">
        <f t="shared" si="5"/>
        <v>2025</v>
      </c>
      <c r="L17">
        <f t="shared" ca="1" si="6"/>
        <v>24784.033333333336</v>
      </c>
      <c r="M17">
        <f>C17*_xlfn.XLOOKUP(A17,FX!$A$2:$A$37,FX!$C$2:$C$37)</f>
        <v>26249.70852</v>
      </c>
      <c r="N17">
        <f>C17*(1+Control!$B$4)^(A17/12)</f>
        <v>26697.906711654257</v>
      </c>
      <c r="O17">
        <f t="shared" si="7"/>
        <v>21</v>
      </c>
      <c r="P17">
        <f t="shared" si="8"/>
        <v>251.30000000000291</v>
      </c>
      <c r="Q17">
        <f t="shared" si="9"/>
        <v>0.6038759574847099</v>
      </c>
      <c r="R17">
        <f t="shared" si="10"/>
        <v>0.57999999999999996</v>
      </c>
      <c r="S17" t="str">
        <f t="shared" si="11"/>
        <v>in linea</v>
      </c>
      <c r="T17" t="str">
        <f t="shared" si="12"/>
        <v>T2-2025</v>
      </c>
      <c r="U17">
        <f t="shared" si="13"/>
        <v>23994.350000000002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25168.5</v>
      </c>
      <c r="D18">
        <f>SUMIFS(Data!$F$2:$F$5761,Data!$A$2:$A$5761,Control!$B$2,Data!$B$2:$B$5761,A18)</f>
        <v>1356.2800000000002</v>
      </c>
      <c r="E18">
        <f>SUMIFS(Data!$G$2:$G$5761,Data!$A$2:$A$5761,Control!$B$2,Data!$B$2:$B$5761,A18)</f>
        <v>817.63</v>
      </c>
      <c r="F18">
        <f>SUMIFS(Data!$H$2:$H$5761,Data!$A$2:$A$5761,Control!$B$2,Data!$B$2:$B$5761,A18)</f>
        <v>2437</v>
      </c>
      <c r="G18">
        <f t="shared" si="2"/>
        <v>538.6500000000002</v>
      </c>
      <c r="H18" cm="1">
        <f t="array" ref="H18">INDEX(Budget!$B$2:$AK$21,Control!$B$6,MATCH(A18,Budget!$B$1:$AK$1,0))</f>
        <v>25528</v>
      </c>
      <c r="I18">
        <f t="shared" si="3"/>
        <v>-1.4082575994985858E-2</v>
      </c>
      <c r="J18">
        <f t="shared" si="4"/>
        <v>124038.39999999999</v>
      </c>
      <c r="K18">
        <f t="shared" si="5"/>
        <v>2025</v>
      </c>
      <c r="L18">
        <f t="shared" ca="1" si="6"/>
        <v>24983.333333333332</v>
      </c>
      <c r="M18">
        <f>C18*_xlfn.XLOOKUP(A18,FX!$A$2:$A$37,FX!$C$2:$C$37)</f>
        <v>26212.992750000001</v>
      </c>
      <c r="N18">
        <f>C18*(1+Control!$B$4)^(A18/12)</f>
        <v>26969.662194885543</v>
      </c>
      <c r="O18">
        <f t="shared" si="7"/>
        <v>20</v>
      </c>
      <c r="P18">
        <f t="shared" si="8"/>
        <v>152.09999999999854</v>
      </c>
      <c r="Q18">
        <f t="shared" si="9"/>
        <v>0.60284749461763043</v>
      </c>
      <c r="R18">
        <f t="shared" si="10"/>
        <v>0.56000000000000005</v>
      </c>
      <c r="S18" t="str">
        <f t="shared" si="11"/>
        <v>in linea</v>
      </c>
      <c r="T18" t="str">
        <f t="shared" si="12"/>
        <v>T2-2025</v>
      </c>
      <c r="U18">
        <f t="shared" si="13"/>
        <v>24170.583333333332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25351.600000000002</v>
      </c>
      <c r="D19">
        <f>SUMIFS(Data!$F$2:$F$5761,Data!$A$2:$A$5761,Control!$B$2,Data!$B$2:$B$5761,A19)</f>
        <v>1365.5</v>
      </c>
      <c r="E19">
        <f>SUMIFS(Data!$G$2:$G$5761,Data!$A$2:$A$5761,Control!$B$2,Data!$B$2:$B$5761,A19)</f>
        <v>824.63000000000011</v>
      </c>
      <c r="F19">
        <f>SUMIFS(Data!$H$2:$H$5761,Data!$A$2:$A$5761,Control!$B$2,Data!$B$2:$B$5761,A19)</f>
        <v>2374</v>
      </c>
      <c r="G19">
        <f t="shared" si="2"/>
        <v>540.86999999999989</v>
      </c>
      <c r="H19" cm="1">
        <f t="array" ref="H19">INDEX(Budget!$B$2:$AK$21,Control!$B$6,MATCH(A19,Budget!$B$1:$AK$1,0))</f>
        <v>25728</v>
      </c>
      <c r="I19">
        <f t="shared" si="3"/>
        <v>-1.4629975124378025E-2</v>
      </c>
      <c r="J19">
        <f t="shared" si="4"/>
        <v>149390</v>
      </c>
      <c r="K19">
        <f t="shared" si="5"/>
        <v>2025</v>
      </c>
      <c r="L19">
        <f t="shared" ca="1" si="6"/>
        <v>25178.833333333332</v>
      </c>
      <c r="M19">
        <f>C19*_xlfn.XLOOKUP(A19,FX!$A$2:$A$37,FX!$C$2:$C$37)</f>
        <v>26216.089560000004</v>
      </c>
      <c r="N19">
        <f>C19*(1+Control!$B$4)^(A19/12)</f>
        <v>27276.542689021644</v>
      </c>
      <c r="O19">
        <f t="shared" si="7"/>
        <v>19</v>
      </c>
      <c r="P19">
        <f t="shared" si="8"/>
        <v>183.10000000000218</v>
      </c>
      <c r="Q19">
        <f t="shared" si="9"/>
        <v>0.60390333211277925</v>
      </c>
      <c r="R19">
        <f t="shared" si="10"/>
        <v>0.57999999999999996</v>
      </c>
      <c r="S19" t="str">
        <f t="shared" si="11"/>
        <v>in linea</v>
      </c>
      <c r="T19" t="str">
        <f t="shared" si="12"/>
        <v>T2-2025</v>
      </c>
      <c r="U19">
        <f t="shared" si="13"/>
        <v>24350.716666666664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25454.799999999999</v>
      </c>
      <c r="D20">
        <f>SUMIFS(Data!$F$2:$F$5761,Data!$A$2:$A$5761,Control!$B$2,Data!$B$2:$B$5761,A20)</f>
        <v>1372.1</v>
      </c>
      <c r="E20">
        <f>SUMIFS(Data!$G$2:$G$5761,Data!$A$2:$A$5761,Control!$B$2,Data!$B$2:$B$5761,A20)</f>
        <v>826.91000000000008</v>
      </c>
      <c r="F20">
        <f>SUMIFS(Data!$H$2:$H$5761,Data!$A$2:$A$5761,Control!$B$2,Data!$B$2:$B$5761,A20)</f>
        <v>2339</v>
      </c>
      <c r="G20">
        <f t="shared" si="2"/>
        <v>545.18999999999983</v>
      </c>
      <c r="H20" cm="1">
        <f t="array" ref="H20">INDEX(Budget!$B$2:$AK$21,Control!$B$6,MATCH(A20,Budget!$B$1:$AK$1,0))</f>
        <v>25927</v>
      </c>
      <c r="I20">
        <f t="shared" si="3"/>
        <v>-1.8212674046360955E-2</v>
      </c>
      <c r="J20">
        <f t="shared" si="4"/>
        <v>174844.79999999999</v>
      </c>
      <c r="K20">
        <f t="shared" si="5"/>
        <v>2025</v>
      </c>
      <c r="L20">
        <f t="shared" ca="1" si="6"/>
        <v>25324.966666666671</v>
      </c>
      <c r="M20">
        <f>C20*_xlfn.XLOOKUP(A20,FX!$A$2:$A$37,FX!$C$2:$C$37)</f>
        <v>26152.26152</v>
      </c>
      <c r="N20">
        <f>C20*(1+Control!$B$4)^(A20/12)</f>
        <v>27499.159033065989</v>
      </c>
      <c r="O20">
        <f t="shared" si="7"/>
        <v>18</v>
      </c>
      <c r="P20">
        <f t="shared" si="8"/>
        <v>103.19999999999709</v>
      </c>
      <c r="Q20">
        <f t="shared" si="9"/>
        <v>0.60266015596530875</v>
      </c>
      <c r="R20">
        <f t="shared" si="10"/>
        <v>0.59</v>
      </c>
      <c r="S20" t="str">
        <f t="shared" si="11"/>
        <v>in linea</v>
      </c>
      <c r="T20" t="str">
        <f t="shared" si="12"/>
        <v>T3-2025</v>
      </c>
      <c r="U20">
        <f t="shared" si="13"/>
        <v>24529.041666666668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25585.800000000003</v>
      </c>
      <c r="D21">
        <f>SUMIFS(Data!$F$2:$F$5761,Data!$A$2:$A$5761,Control!$B$2,Data!$B$2:$B$5761,A21)</f>
        <v>1378.29</v>
      </c>
      <c r="E21">
        <f>SUMIFS(Data!$G$2:$G$5761,Data!$A$2:$A$5761,Control!$B$2,Data!$B$2:$B$5761,A21)</f>
        <v>830.93000000000006</v>
      </c>
      <c r="F21">
        <f>SUMIFS(Data!$H$2:$H$5761,Data!$A$2:$A$5761,Control!$B$2,Data!$B$2:$B$5761,A21)</f>
        <v>2331</v>
      </c>
      <c r="G21">
        <f t="shared" si="2"/>
        <v>547.3599999999999</v>
      </c>
      <c r="H21" cm="1">
        <f t="array" ref="H21">INDEX(Budget!$B$2:$AK$21,Control!$B$6,MATCH(A21,Budget!$B$1:$AK$1,0))</f>
        <v>26126</v>
      </c>
      <c r="I21">
        <f t="shared" si="3"/>
        <v>-2.0676720508305824E-2</v>
      </c>
      <c r="J21">
        <f t="shared" si="4"/>
        <v>200430.59999999998</v>
      </c>
      <c r="K21">
        <f t="shared" si="5"/>
        <v>2025</v>
      </c>
      <c r="L21">
        <f t="shared" ca="1" si="6"/>
        <v>25464.066666666669</v>
      </c>
      <c r="M21">
        <f>C21*_xlfn.XLOOKUP(A21,FX!$A$2:$A$37,FX!$C$2:$C$37)</f>
        <v>26141.011860000006</v>
      </c>
      <c r="N21">
        <f>C21*(1+Control!$B$4)^(A21/12)</f>
        <v>27753.291627685787</v>
      </c>
      <c r="O21">
        <f t="shared" si="7"/>
        <v>17</v>
      </c>
      <c r="P21">
        <f t="shared" si="8"/>
        <v>131.00000000000364</v>
      </c>
      <c r="Q21">
        <f t="shared" si="9"/>
        <v>0.6028702232476475</v>
      </c>
      <c r="R21">
        <f t="shared" si="10"/>
        <v>0.59</v>
      </c>
      <c r="S21" t="str">
        <f t="shared" si="11"/>
        <v>in linea</v>
      </c>
      <c r="T21" t="str">
        <f t="shared" si="12"/>
        <v>T3-2025</v>
      </c>
      <c r="U21">
        <f t="shared" si="13"/>
        <v>24699.816666666666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25837.4</v>
      </c>
      <c r="D22">
        <f>SUMIFS(Data!$F$2:$F$5761,Data!$A$2:$A$5761,Control!$B$2,Data!$B$2:$B$5761,A22)</f>
        <v>1390.74</v>
      </c>
      <c r="E22">
        <f>SUMIFS(Data!$G$2:$G$5761,Data!$A$2:$A$5761,Control!$B$2,Data!$B$2:$B$5761,A22)</f>
        <v>840.74</v>
      </c>
      <c r="F22">
        <f>SUMIFS(Data!$H$2:$H$5761,Data!$A$2:$A$5761,Control!$B$2,Data!$B$2:$B$5761,A22)</f>
        <v>2297</v>
      </c>
      <c r="G22">
        <f t="shared" si="2"/>
        <v>550</v>
      </c>
      <c r="H22" cm="1">
        <f t="array" ref="H22">INDEX(Budget!$B$2:$AK$21,Control!$B$6,MATCH(A22,Budget!$B$1:$AK$1,0))</f>
        <v>26325</v>
      </c>
      <c r="I22">
        <f t="shared" si="3"/>
        <v>-1.8522317188983783E-2</v>
      </c>
      <c r="J22">
        <f t="shared" si="4"/>
        <v>226267.99999999997</v>
      </c>
      <c r="K22">
        <f t="shared" si="5"/>
        <v>2025</v>
      </c>
      <c r="L22">
        <f t="shared" ca="1" si="6"/>
        <v>25626</v>
      </c>
      <c r="M22">
        <f>C22*_xlfn.XLOOKUP(A22,FX!$A$2:$A$37,FX!$C$2:$C$37)</f>
        <v>26281.803280000004</v>
      </c>
      <c r="N22">
        <f>C22*(1+Control!$B$4)^(A22/12)</f>
        <v>28140.388060793801</v>
      </c>
      <c r="O22">
        <f t="shared" si="7"/>
        <v>16</v>
      </c>
      <c r="P22">
        <f t="shared" si="8"/>
        <v>251.59999999999854</v>
      </c>
      <c r="Q22">
        <f t="shared" si="9"/>
        <v>0.60452708629938023</v>
      </c>
      <c r="R22">
        <f t="shared" si="10"/>
        <v>0.61</v>
      </c>
      <c r="S22" t="str">
        <f t="shared" si="11"/>
        <v>in linea</v>
      </c>
      <c r="T22" t="str">
        <f t="shared" si="12"/>
        <v>T3-2025</v>
      </c>
      <c r="U22">
        <f t="shared" si="13"/>
        <v>24874.758333333335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26018.6</v>
      </c>
      <c r="D23">
        <f>SUMIFS(Data!$F$2:$F$5761,Data!$A$2:$A$5761,Control!$B$2,Data!$B$2:$B$5761,A23)</f>
        <v>1400.62</v>
      </c>
      <c r="E23">
        <f>SUMIFS(Data!$G$2:$G$5761,Data!$A$2:$A$5761,Control!$B$2,Data!$B$2:$B$5761,A23)</f>
        <v>846.21</v>
      </c>
      <c r="F23">
        <f>SUMIFS(Data!$H$2:$H$5761,Data!$A$2:$A$5761,Control!$B$2,Data!$B$2:$B$5761,A23)</f>
        <v>2413</v>
      </c>
      <c r="G23">
        <f t="shared" si="2"/>
        <v>554.40999999999985</v>
      </c>
      <c r="H23" cm="1">
        <f t="array" ref="H23">INDEX(Budget!$B$2:$AK$21,Control!$B$6,MATCH(A23,Budget!$B$1:$AK$1,0))</f>
        <v>26525</v>
      </c>
      <c r="I23">
        <f t="shared" si="3"/>
        <v>-1.9091423185673917E-2</v>
      </c>
      <c r="J23">
        <f t="shared" si="4"/>
        <v>252286.59999999998</v>
      </c>
      <c r="K23">
        <f t="shared" si="5"/>
        <v>2025</v>
      </c>
      <c r="L23">
        <f t="shared" ca="1" si="6"/>
        <v>25813.933333333334</v>
      </c>
      <c r="M23">
        <f>C23*_xlfn.XLOOKUP(A23,FX!$A$2:$A$37,FX!$C$2:$C$37)</f>
        <v>26385.46226</v>
      </c>
      <c r="N23">
        <f>C23*(1+Control!$B$4)^(A23/12)</f>
        <v>28453.190579235146</v>
      </c>
      <c r="O23">
        <f t="shared" si="7"/>
        <v>15</v>
      </c>
      <c r="P23">
        <f t="shared" si="8"/>
        <v>181.19999999999709</v>
      </c>
      <c r="Q23">
        <f t="shared" si="9"/>
        <v>0.60416815410318292</v>
      </c>
      <c r="R23">
        <f t="shared" si="10"/>
        <v>0.57999999999999996</v>
      </c>
      <c r="S23" t="str">
        <f t="shared" si="11"/>
        <v>in linea</v>
      </c>
      <c r="T23" t="str">
        <f t="shared" si="12"/>
        <v>T4-2025</v>
      </c>
      <c r="U23">
        <f t="shared" si="13"/>
        <v>25043.433333333334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26251.800000000003</v>
      </c>
      <c r="D24">
        <f>SUMIFS(Data!$F$2:$F$5761,Data!$A$2:$A$5761,Control!$B$2,Data!$B$2:$B$5761,A24)</f>
        <v>1413.9299999999998</v>
      </c>
      <c r="E24">
        <f>SUMIFS(Data!$G$2:$G$5761,Data!$A$2:$A$5761,Control!$B$2,Data!$B$2:$B$5761,A24)</f>
        <v>854.32999999999993</v>
      </c>
      <c r="F24">
        <f>SUMIFS(Data!$H$2:$H$5761,Data!$A$2:$A$5761,Control!$B$2,Data!$B$2:$B$5761,A24)</f>
        <v>2362</v>
      </c>
      <c r="G24">
        <f t="shared" si="2"/>
        <v>559.59999999999991</v>
      </c>
      <c r="H24" cm="1">
        <f t="array" ref="H24">INDEX(Budget!$B$2:$AK$21,Control!$B$6,MATCH(A24,Budget!$B$1:$AK$1,0))</f>
        <v>26724</v>
      </c>
      <c r="I24">
        <f t="shared" si="3"/>
        <v>-1.7669510552312473E-2</v>
      </c>
      <c r="J24">
        <f t="shared" si="4"/>
        <v>278538.39999999997</v>
      </c>
      <c r="K24">
        <f t="shared" si="5"/>
        <v>2025</v>
      </c>
      <c r="L24">
        <f t="shared" ca="1" si="6"/>
        <v>26035.933333333334</v>
      </c>
      <c r="M24">
        <f>C24*_xlfn.XLOOKUP(A24,FX!$A$2:$A$37,FX!$C$2:$C$37)</f>
        <v>26582.572680000001</v>
      </c>
      <c r="N24">
        <f>C24*(1+Control!$B$4)^(A24/12)</f>
        <v>28825.172180451871</v>
      </c>
      <c r="O24">
        <f t="shared" si="7"/>
        <v>14</v>
      </c>
      <c r="P24">
        <f t="shared" si="8"/>
        <v>233.20000000000437</v>
      </c>
      <c r="Q24">
        <f t="shared" si="9"/>
        <v>0.60422368858430053</v>
      </c>
      <c r="R24">
        <f t="shared" si="10"/>
        <v>0.6</v>
      </c>
      <c r="S24" t="str">
        <f t="shared" si="11"/>
        <v>in linea</v>
      </c>
      <c r="T24" t="str">
        <f t="shared" si="12"/>
        <v>T4-2025</v>
      </c>
      <c r="U24">
        <f t="shared" si="13"/>
        <v>25226.766666666666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26310.5</v>
      </c>
      <c r="D25">
        <f>SUMIFS(Data!$F$2:$F$5761,Data!$A$2:$A$5761,Control!$B$2,Data!$B$2:$B$5761,A25)</f>
        <v>1418.28</v>
      </c>
      <c r="E25">
        <f>SUMIFS(Data!$G$2:$G$5761,Data!$A$2:$A$5761,Control!$B$2,Data!$B$2:$B$5761,A25)</f>
        <v>855.96</v>
      </c>
      <c r="F25">
        <f>SUMIFS(Data!$H$2:$H$5761,Data!$A$2:$A$5761,Control!$B$2,Data!$B$2:$B$5761,A25)</f>
        <v>2381</v>
      </c>
      <c r="G25">
        <f t="shared" si="2"/>
        <v>562.31999999999994</v>
      </c>
      <c r="H25" cm="1">
        <f t="array" ref="H25">INDEX(Budget!$B$2:$AK$21,Control!$B$6,MATCH(A25,Budget!$B$1:$AK$1,0))</f>
        <v>26923</v>
      </c>
      <c r="I25">
        <f t="shared" si="3"/>
        <v>-2.2750065000185726E-2</v>
      </c>
      <c r="J25">
        <f t="shared" si="4"/>
        <v>304848.89999999997</v>
      </c>
      <c r="K25">
        <f t="shared" si="5"/>
        <v>2025</v>
      </c>
      <c r="L25">
        <f t="shared" ca="1" si="6"/>
        <v>26193.633333333331</v>
      </c>
      <c r="M25">
        <f>C25*_xlfn.XLOOKUP(A25,FX!$A$2:$A$37,FX!$C$2:$C$37)</f>
        <v>26642.012299999999</v>
      </c>
      <c r="N25">
        <f>C25*(1+Control!$B$4)^(A25/12)</f>
        <v>29007.326250000002</v>
      </c>
      <c r="O25">
        <f t="shared" si="7"/>
        <v>13</v>
      </c>
      <c r="P25">
        <f t="shared" si="8"/>
        <v>58.69999999999709</v>
      </c>
      <c r="Q25">
        <f t="shared" si="9"/>
        <v>0.60351975632456223</v>
      </c>
      <c r="R25">
        <f t="shared" si="10"/>
        <v>0.6</v>
      </c>
      <c r="S25" t="str">
        <f t="shared" si="11"/>
        <v>in linea</v>
      </c>
      <c r="T25" t="str">
        <f t="shared" si="12"/>
        <v>T4-2025</v>
      </c>
      <c r="U25">
        <f t="shared" si="13"/>
        <v>25404.074999999997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26558.7</v>
      </c>
      <c r="D26">
        <f>SUMIFS(Data!$F$2:$F$5761,Data!$A$2:$A$5761,Control!$B$2,Data!$B$2:$B$5761,A26)</f>
        <v>1429.37</v>
      </c>
      <c r="E26">
        <f>SUMIFS(Data!$G$2:$G$5761,Data!$A$2:$A$5761,Control!$B$2,Data!$B$2:$B$5761,A26)</f>
        <v>862.70999999999992</v>
      </c>
      <c r="F26">
        <f>SUMIFS(Data!$H$2:$H$5761,Data!$A$2:$A$5761,Control!$B$2,Data!$B$2:$B$5761,A26)</f>
        <v>2399</v>
      </c>
      <c r="G26">
        <f t="shared" si="2"/>
        <v>566.66</v>
      </c>
      <c r="H26" cm="1">
        <f t="array" ref="H26">INDEX(Budget!$B$2:$AK$21,Control!$B$6,MATCH(A26,Budget!$B$1:$AK$1,0))</f>
        <v>27122</v>
      </c>
      <c r="I26">
        <f t="shared" si="3"/>
        <v>-2.0769117321731367E-2</v>
      </c>
      <c r="J26">
        <f t="shared" si="4"/>
        <v>26558.7</v>
      </c>
      <c r="K26">
        <f t="shared" si="5"/>
        <v>2026</v>
      </c>
      <c r="L26">
        <f t="shared" ca="1" si="6"/>
        <v>26373.666666666668</v>
      </c>
      <c r="M26">
        <f>C26*_xlfn.XLOOKUP(A26,FX!$A$2:$A$37,FX!$C$2:$C$37)</f>
        <v>26933.177670000001</v>
      </c>
      <c r="N26">
        <f>C26*(1+Control!$B$4)^(A26/12)</f>
        <v>29400.261033044393</v>
      </c>
      <c r="O26">
        <f t="shared" si="7"/>
        <v>12</v>
      </c>
      <c r="P26">
        <f t="shared" si="8"/>
        <v>248.20000000000073</v>
      </c>
      <c r="Q26">
        <f t="shared" si="9"/>
        <v>0.60355961017791049</v>
      </c>
      <c r="R26">
        <f t="shared" si="10"/>
        <v>0.6</v>
      </c>
      <c r="S26" t="str">
        <f t="shared" si="11"/>
        <v>in linea</v>
      </c>
      <c r="T26" t="str">
        <f t="shared" si="12"/>
        <v>T1-2026</v>
      </c>
      <c r="U26">
        <f t="shared" si="13"/>
        <v>25574.149999999998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26724.6</v>
      </c>
      <c r="D27">
        <f>SUMIFS(Data!$F$2:$F$5761,Data!$A$2:$A$5761,Control!$B$2,Data!$B$2:$B$5761,A27)</f>
        <v>1440.1200000000001</v>
      </c>
      <c r="E27">
        <f>SUMIFS(Data!$G$2:$G$5761,Data!$A$2:$A$5761,Control!$B$2,Data!$B$2:$B$5761,A27)</f>
        <v>867.69</v>
      </c>
      <c r="F27">
        <f>SUMIFS(Data!$H$2:$H$5761,Data!$A$2:$A$5761,Control!$B$2,Data!$B$2:$B$5761,A27)</f>
        <v>2370</v>
      </c>
      <c r="G27">
        <f t="shared" si="2"/>
        <v>572.43000000000006</v>
      </c>
      <c r="H27" cm="1">
        <f t="array" ref="H27">INDEX(Budget!$B$2:$AK$21,Control!$B$6,MATCH(A27,Budget!$B$1:$AK$1,0))</f>
        <v>27322</v>
      </c>
      <c r="I27">
        <f t="shared" si="3"/>
        <v>-2.1865163604421367E-2</v>
      </c>
      <c r="J27">
        <f t="shared" si="4"/>
        <v>53283.3</v>
      </c>
      <c r="K27">
        <f t="shared" si="5"/>
        <v>2026</v>
      </c>
      <c r="L27">
        <f t="shared" ca="1" si="6"/>
        <v>26531.266666666663</v>
      </c>
      <c r="M27">
        <f>C27*_xlfn.XLOOKUP(A27,FX!$A$2:$A$37,FX!$C$2:$C$37)</f>
        <v>27186.935580000001</v>
      </c>
      <c r="N27">
        <f>C27*(1+Control!$B$4)^(A27/12)</f>
        <v>29704.4394748905</v>
      </c>
      <c r="O27">
        <f t="shared" si="7"/>
        <v>11</v>
      </c>
      <c r="P27">
        <f t="shared" si="8"/>
        <v>165.89999999999782</v>
      </c>
      <c r="Q27">
        <f t="shared" si="9"/>
        <v>0.60251229064244649</v>
      </c>
      <c r="R27">
        <f t="shared" si="10"/>
        <v>0.61</v>
      </c>
      <c r="S27" t="str">
        <f t="shared" si="11"/>
        <v>in linea</v>
      </c>
      <c r="T27" t="str">
        <f t="shared" si="12"/>
        <v>T1-2026</v>
      </c>
      <c r="U27">
        <f t="shared" si="13"/>
        <v>25753.649999999998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26847.7</v>
      </c>
      <c r="D28">
        <f>SUMIFS(Data!$F$2:$F$5761,Data!$A$2:$A$5761,Control!$B$2,Data!$B$2:$B$5761,A28)</f>
        <v>1446.4499999999998</v>
      </c>
      <c r="E28">
        <f>SUMIFS(Data!$G$2:$G$5761,Data!$A$2:$A$5761,Control!$B$2,Data!$B$2:$B$5761,A28)</f>
        <v>872.14</v>
      </c>
      <c r="F28">
        <f>SUMIFS(Data!$H$2:$H$5761,Data!$A$2:$A$5761,Control!$B$2,Data!$B$2:$B$5761,A28)</f>
        <v>2326</v>
      </c>
      <c r="G28">
        <f t="shared" si="2"/>
        <v>574.30999999999983</v>
      </c>
      <c r="H28" cm="1">
        <f t="array" ref="H28">INDEX(Budget!$B$2:$AK$21,Control!$B$6,MATCH(A28,Budget!$B$1:$AK$1,0))</f>
        <v>27521</v>
      </c>
      <c r="I28">
        <f t="shared" si="3"/>
        <v>-2.4464954035100406E-2</v>
      </c>
      <c r="J28">
        <f t="shared" si="4"/>
        <v>80131</v>
      </c>
      <c r="K28">
        <f t="shared" si="5"/>
        <v>2026</v>
      </c>
      <c r="L28">
        <f t="shared" ca="1" si="6"/>
        <v>26710.333333333332</v>
      </c>
      <c r="M28">
        <f>C28*_xlfn.XLOOKUP(A28,FX!$A$2:$A$37,FX!$C$2:$C$37)</f>
        <v>27432.979860000003</v>
      </c>
      <c r="N28">
        <f>C28*(1+Control!$B$4)^(A28/12)</f>
        <v>29962.842348279279</v>
      </c>
      <c r="O28">
        <f t="shared" si="7"/>
        <v>10</v>
      </c>
      <c r="P28">
        <f t="shared" si="8"/>
        <v>123.10000000000218</v>
      </c>
      <c r="Q28">
        <f t="shared" si="9"/>
        <v>0.60295205503128357</v>
      </c>
      <c r="R28">
        <f t="shared" si="10"/>
        <v>0.62</v>
      </c>
      <c r="S28" t="str">
        <f t="shared" si="11"/>
        <v>in linea</v>
      </c>
      <c r="T28" t="str">
        <f t="shared" si="12"/>
        <v>T1-2026</v>
      </c>
      <c r="U28">
        <f t="shared" si="13"/>
        <v>25927.200000000001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27070.5</v>
      </c>
      <c r="D29">
        <f>SUMIFS(Data!$F$2:$F$5761,Data!$A$2:$A$5761,Control!$B$2,Data!$B$2:$B$5761,A29)</f>
        <v>1458.21</v>
      </c>
      <c r="E29">
        <f>SUMIFS(Data!$G$2:$G$5761,Data!$A$2:$A$5761,Control!$B$2,Data!$B$2:$B$5761,A29)</f>
        <v>880.25</v>
      </c>
      <c r="F29">
        <f>SUMIFS(Data!$H$2:$H$5761,Data!$A$2:$A$5761,Control!$B$2,Data!$B$2:$B$5761,A29)</f>
        <v>2372</v>
      </c>
      <c r="G29">
        <f t="shared" si="2"/>
        <v>577.96</v>
      </c>
      <c r="H29" cm="1">
        <f t="array" ref="H29">INDEX(Budget!$B$2:$AK$21,Control!$B$6,MATCH(A29,Budget!$B$1:$AK$1,0))</f>
        <v>27720</v>
      </c>
      <c r="I29">
        <f t="shared" si="3"/>
        <v>-2.3430735930735969E-2</v>
      </c>
      <c r="J29">
        <f t="shared" si="4"/>
        <v>107201.5</v>
      </c>
      <c r="K29">
        <f t="shared" si="5"/>
        <v>2026</v>
      </c>
      <c r="L29">
        <f t="shared" ca="1" si="6"/>
        <v>26880.933333333334</v>
      </c>
      <c r="M29">
        <f>C29*_xlfn.XLOOKUP(A29,FX!$A$2:$A$37,FX!$C$2:$C$37)</f>
        <v>27814.938750000001</v>
      </c>
      <c r="N29">
        <f>C29*(1+Control!$B$4)^(A29/12)</f>
        <v>30334.579228815033</v>
      </c>
      <c r="O29">
        <f t="shared" si="7"/>
        <v>9</v>
      </c>
      <c r="P29">
        <f t="shared" si="8"/>
        <v>222.79999999999927</v>
      </c>
      <c r="Q29">
        <f t="shared" si="9"/>
        <v>0.60365105163179511</v>
      </c>
      <c r="R29">
        <f t="shared" si="10"/>
        <v>0.61</v>
      </c>
      <c r="S29" t="str">
        <f t="shared" si="11"/>
        <v>in linea</v>
      </c>
      <c r="T29" t="str">
        <f t="shared" si="12"/>
        <v>T2-2026</v>
      </c>
      <c r="U29">
        <f t="shared" si="13"/>
        <v>26098.375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27210.699999999997</v>
      </c>
      <c r="D30">
        <f>SUMIFS(Data!$F$2:$F$5761,Data!$A$2:$A$5761,Control!$B$2,Data!$B$2:$B$5761,A30)</f>
        <v>1464.85</v>
      </c>
      <c r="E30">
        <f>SUMIFS(Data!$G$2:$G$5761,Data!$A$2:$A$5761,Control!$B$2,Data!$B$2:$B$5761,A30)</f>
        <v>883.93</v>
      </c>
      <c r="F30">
        <f>SUMIFS(Data!$H$2:$H$5761,Data!$A$2:$A$5761,Control!$B$2,Data!$B$2:$B$5761,A30)</f>
        <v>2398</v>
      </c>
      <c r="G30">
        <f t="shared" si="2"/>
        <v>580.91999999999996</v>
      </c>
      <c r="H30" cm="1">
        <f t="array" ref="H30">INDEX(Budget!$B$2:$AK$21,Control!$B$6,MATCH(A30,Budget!$B$1:$AK$1,0))</f>
        <v>27920</v>
      </c>
      <c r="I30">
        <f t="shared" si="3"/>
        <v>-2.5404727793696402E-2</v>
      </c>
      <c r="J30">
        <f t="shared" si="4"/>
        <v>134412.20000000001</v>
      </c>
      <c r="K30">
        <f t="shared" si="5"/>
        <v>2026</v>
      </c>
      <c r="L30">
        <f t="shared" ca="1" si="6"/>
        <v>27042.966666666664</v>
      </c>
      <c r="M30">
        <f>C30*_xlfn.XLOOKUP(A30,FX!$A$2:$A$37,FX!$C$2:$C$37)</f>
        <v>28144.027009999998</v>
      </c>
      <c r="N30">
        <f>C30*(1+Control!$B$4)^(A30/12)</f>
        <v>30615.911017370549</v>
      </c>
      <c r="O30">
        <f t="shared" si="7"/>
        <v>8</v>
      </c>
      <c r="P30">
        <f t="shared" si="8"/>
        <v>140.19999999999709</v>
      </c>
      <c r="Q30">
        <f t="shared" si="9"/>
        <v>0.60342697204491924</v>
      </c>
      <c r="R30">
        <f t="shared" si="10"/>
        <v>0.61</v>
      </c>
      <c r="S30" t="str">
        <f t="shared" si="11"/>
        <v>in linea</v>
      </c>
      <c r="T30" t="str">
        <f t="shared" si="12"/>
        <v>T2-2026</v>
      </c>
      <c r="U30">
        <f t="shared" si="13"/>
        <v>26268.558333333334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27574.800000000003</v>
      </c>
      <c r="D31">
        <f>SUMIFS(Data!$F$2:$F$5761,Data!$A$2:$A$5761,Control!$B$2,Data!$B$2:$B$5761,A31)</f>
        <v>1484.77</v>
      </c>
      <c r="E31">
        <f>SUMIFS(Data!$G$2:$G$5761,Data!$A$2:$A$5761,Control!$B$2,Data!$B$2:$B$5761,A31)</f>
        <v>895.27</v>
      </c>
      <c r="F31">
        <f>SUMIFS(Data!$H$2:$H$5761,Data!$A$2:$A$5761,Control!$B$2,Data!$B$2:$B$5761,A31)</f>
        <v>2387</v>
      </c>
      <c r="G31">
        <f t="shared" si="2"/>
        <v>589.5</v>
      </c>
      <c r="H31" cm="1">
        <f t="array" ref="H31">INDEX(Budget!$B$2:$AK$21,Control!$B$6,MATCH(A31,Budget!$B$1:$AK$1,0))</f>
        <v>28119</v>
      </c>
      <c r="I31">
        <f t="shared" si="3"/>
        <v>-1.9353462071908578E-2</v>
      </c>
      <c r="J31">
        <f t="shared" si="4"/>
        <v>161987</v>
      </c>
      <c r="K31">
        <f t="shared" si="5"/>
        <v>2026</v>
      </c>
      <c r="L31">
        <f t="shared" ca="1" si="6"/>
        <v>27285.333333333332</v>
      </c>
      <c r="M31">
        <f>C31*_xlfn.XLOOKUP(A31,FX!$A$2:$A$37,FX!$C$2:$C$37)</f>
        <v>28727.426640000005</v>
      </c>
      <c r="N31">
        <f>C31*(1+Control!$B$4)^(A31/12)</f>
        <v>31151.977382425404</v>
      </c>
      <c r="O31">
        <f t="shared" si="7"/>
        <v>7</v>
      </c>
      <c r="P31">
        <f t="shared" si="8"/>
        <v>364.10000000000582</v>
      </c>
      <c r="Q31">
        <f t="shared" si="9"/>
        <v>0.6029688099840379</v>
      </c>
      <c r="R31">
        <f t="shared" si="10"/>
        <v>0.62</v>
      </c>
      <c r="S31" t="str">
        <f t="shared" si="11"/>
        <v>in linea</v>
      </c>
      <c r="T31" t="str">
        <f t="shared" si="12"/>
        <v>T2-2026</v>
      </c>
      <c r="U31">
        <f t="shared" si="13"/>
        <v>26453.825000000001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27660.1</v>
      </c>
      <c r="D32">
        <f>SUMIFS(Data!$F$2:$F$5761,Data!$A$2:$A$5761,Control!$B$2,Data!$B$2:$B$5761,A32)</f>
        <v>1489.02</v>
      </c>
      <c r="E32">
        <f>SUMIFS(Data!$G$2:$G$5761,Data!$A$2:$A$5761,Control!$B$2,Data!$B$2:$B$5761,A32)</f>
        <v>897.75</v>
      </c>
      <c r="F32">
        <f>SUMIFS(Data!$H$2:$H$5761,Data!$A$2:$A$5761,Control!$B$2,Data!$B$2:$B$5761,A32)</f>
        <v>2387</v>
      </c>
      <c r="G32">
        <f t="shared" si="2"/>
        <v>591.27</v>
      </c>
      <c r="H32" cm="1">
        <f t="array" ref="H32">INDEX(Budget!$B$2:$AK$21,Control!$B$6,MATCH(A32,Budget!$B$1:$AK$1,0))</f>
        <v>28318</v>
      </c>
      <c r="I32">
        <f t="shared" si="3"/>
        <v>-2.3232572921816574E-2</v>
      </c>
      <c r="J32">
        <f t="shared" si="4"/>
        <v>189647.1</v>
      </c>
      <c r="K32">
        <f t="shared" si="5"/>
        <v>2026</v>
      </c>
      <c r="L32">
        <f t="shared" ca="1" si="6"/>
        <v>27481.866666666669</v>
      </c>
      <c r="M32">
        <f>C32*_xlfn.XLOOKUP(A32,FX!$A$2:$A$37,FX!$C$2:$C$37)</f>
        <v>29037.572980000001</v>
      </c>
      <c r="N32">
        <f>C32*(1+Control!$B$4)^(A32/12)</f>
        <v>31375.652655256927</v>
      </c>
      <c r="O32">
        <f t="shared" si="7"/>
        <v>6</v>
      </c>
      <c r="P32">
        <f t="shared" si="8"/>
        <v>85.299999999995634</v>
      </c>
      <c r="Q32">
        <f t="shared" si="9"/>
        <v>0.60291332554297461</v>
      </c>
      <c r="R32">
        <f t="shared" si="10"/>
        <v>0.62</v>
      </c>
      <c r="S32" t="str">
        <f t="shared" si="11"/>
        <v>in linea</v>
      </c>
      <c r="T32" t="str">
        <f t="shared" si="12"/>
        <v>T3-2026</v>
      </c>
      <c r="U32">
        <f t="shared" si="13"/>
        <v>26637.600000000002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27832.899999999998</v>
      </c>
      <c r="D33">
        <f>SUMIFS(Data!$F$2:$F$5761,Data!$A$2:$A$5761,Control!$B$2,Data!$B$2:$B$5761,A33)</f>
        <v>1498.0100000000002</v>
      </c>
      <c r="E33">
        <f>SUMIFS(Data!$G$2:$G$5761,Data!$A$2:$A$5761,Control!$B$2,Data!$B$2:$B$5761,A33)</f>
        <v>904.04</v>
      </c>
      <c r="F33">
        <f>SUMIFS(Data!$H$2:$H$5761,Data!$A$2:$A$5761,Control!$B$2,Data!$B$2:$B$5761,A33)</f>
        <v>2366</v>
      </c>
      <c r="G33">
        <f t="shared" si="2"/>
        <v>593.97000000000025</v>
      </c>
      <c r="H33" cm="1">
        <f t="array" ref="H33">INDEX(Budget!$B$2:$AK$21,Control!$B$6,MATCH(A33,Budget!$B$1:$AK$1,0))</f>
        <v>28517</v>
      </c>
      <c r="I33">
        <f t="shared" si="3"/>
        <v>-2.3989199424904517E-2</v>
      </c>
      <c r="J33">
        <f t="shared" si="4"/>
        <v>217480</v>
      </c>
      <c r="K33">
        <f t="shared" si="5"/>
        <v>2026</v>
      </c>
      <c r="L33">
        <f t="shared" ca="1" si="6"/>
        <v>27689.266666666666</v>
      </c>
      <c r="M33">
        <f>C33*_xlfn.XLOOKUP(A33,FX!$A$2:$A$37,FX!$C$2:$C$37)</f>
        <v>29444.424909999998</v>
      </c>
      <c r="N33">
        <f>C33*(1+Control!$B$4)^(A33/12)</f>
        <v>31700.291570770751</v>
      </c>
      <c r="O33">
        <f t="shared" si="7"/>
        <v>5</v>
      </c>
      <c r="P33">
        <f t="shared" si="8"/>
        <v>172.79999999999927</v>
      </c>
      <c r="Q33">
        <f t="shared" si="9"/>
        <v>0.60349396866509553</v>
      </c>
      <c r="R33">
        <f t="shared" si="10"/>
        <v>0.63</v>
      </c>
      <c r="S33" t="str">
        <f t="shared" si="11"/>
        <v>in linea</v>
      </c>
      <c r="T33" t="str">
        <f t="shared" si="12"/>
        <v>T3-2026</v>
      </c>
      <c r="U33">
        <f t="shared" si="13"/>
        <v>26824.858333333334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28034.400000000001</v>
      </c>
      <c r="D34">
        <f>SUMIFS(Data!$F$2:$F$5761,Data!$A$2:$A$5761,Control!$B$2,Data!$B$2:$B$5761,A34)</f>
        <v>1508.11</v>
      </c>
      <c r="E34">
        <f>SUMIFS(Data!$G$2:$G$5761,Data!$A$2:$A$5761,Control!$B$2,Data!$B$2:$B$5761,A34)</f>
        <v>911.23</v>
      </c>
      <c r="F34">
        <f>SUMIFS(Data!$H$2:$H$5761,Data!$A$2:$A$5761,Control!$B$2,Data!$B$2:$B$5761,A34)</f>
        <v>2374</v>
      </c>
      <c r="G34">
        <f t="shared" si="2"/>
        <v>596.87999999999988</v>
      </c>
      <c r="H34" cm="1">
        <f t="array" ref="H34">INDEX(Budget!$B$2:$AK$21,Control!$B$6,MATCH(A34,Budget!$B$1:$AK$1,0))</f>
        <v>28717</v>
      </c>
      <c r="I34">
        <f t="shared" si="3"/>
        <v>-2.3769892398230907E-2</v>
      </c>
      <c r="J34">
        <f t="shared" si="4"/>
        <v>245514.4</v>
      </c>
      <c r="K34">
        <f t="shared" si="5"/>
        <v>2026</v>
      </c>
      <c r="L34">
        <f t="shared" ca="1" si="6"/>
        <v>27842.466666666664</v>
      </c>
      <c r="M34">
        <f>C34*_xlfn.XLOOKUP(A34,FX!$A$2:$A$37,FX!$C$2:$C$37)</f>
        <v>29879.063520000003</v>
      </c>
      <c r="N34">
        <f>C34*(1+Control!$B$4)^(A34/12)</f>
        <v>32059.875986132265</v>
      </c>
      <c r="O34">
        <f t="shared" si="7"/>
        <v>4</v>
      </c>
      <c r="P34">
        <f t="shared" si="8"/>
        <v>201.50000000000364</v>
      </c>
      <c r="Q34">
        <f t="shared" si="9"/>
        <v>0.6042198513371041</v>
      </c>
      <c r="R34">
        <f t="shared" si="10"/>
        <v>0.64</v>
      </c>
      <c r="S34" t="str">
        <f t="shared" si="11"/>
        <v>in linea</v>
      </c>
      <c r="T34" t="str">
        <f t="shared" si="12"/>
        <v>T3-2026</v>
      </c>
      <c r="U34">
        <f t="shared" si="13"/>
        <v>27007.941666666666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28186.5</v>
      </c>
      <c r="D35">
        <f>SUMIFS(Data!$F$2:$F$5761,Data!$A$2:$A$5761,Control!$B$2,Data!$B$2:$B$5761,A35)</f>
        <v>1517.39</v>
      </c>
      <c r="E35">
        <f>SUMIFS(Data!$G$2:$G$5761,Data!$A$2:$A$5761,Control!$B$2,Data!$B$2:$B$5761,A35)</f>
        <v>914.17000000000007</v>
      </c>
      <c r="F35">
        <f>SUMIFS(Data!$H$2:$H$5761,Data!$A$2:$A$5761,Control!$B$2,Data!$B$2:$B$5761,A35)</f>
        <v>2361</v>
      </c>
      <c r="G35">
        <f t="shared" si="2"/>
        <v>603.22</v>
      </c>
      <c r="H35" cm="1">
        <f t="array" ref="H35">INDEX(Budget!$B$2:$AK$21,Control!$B$6,MATCH(A35,Budget!$B$1:$AK$1,0))</f>
        <v>28916</v>
      </c>
      <c r="I35">
        <f t="shared" si="3"/>
        <v>-2.5228247337114373E-2</v>
      </c>
      <c r="J35">
        <f t="shared" si="4"/>
        <v>273700.90000000002</v>
      </c>
      <c r="K35">
        <f t="shared" si="5"/>
        <v>2026</v>
      </c>
      <c r="L35">
        <f t="shared" ca="1" si="6"/>
        <v>28017.933333333334</v>
      </c>
      <c r="M35">
        <f>C35*_xlfn.XLOOKUP(A35,FX!$A$2:$A$37,FX!$C$2:$C$37)</f>
        <v>30249.751799999998</v>
      </c>
      <c r="N35">
        <f>C35*(1+Control!$B$4)^(A35/12)</f>
        <v>32365.140671469337</v>
      </c>
      <c r="O35">
        <f t="shared" si="7"/>
        <v>3</v>
      </c>
      <c r="P35">
        <f t="shared" si="8"/>
        <v>152.09999999999854</v>
      </c>
      <c r="Q35">
        <f t="shared" si="9"/>
        <v>0.60246212246027719</v>
      </c>
      <c r="R35">
        <f t="shared" si="10"/>
        <v>0.64</v>
      </c>
      <c r="S35" t="str">
        <f t="shared" si="11"/>
        <v>in linea</v>
      </c>
      <c r="T35" t="str">
        <f t="shared" si="12"/>
        <v>T4-2026</v>
      </c>
      <c r="U35">
        <f t="shared" si="13"/>
        <v>27188.600000000002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28351.799999999996</v>
      </c>
      <c r="D36">
        <f>SUMIFS(Data!$F$2:$F$5761,Data!$A$2:$A$5761,Control!$B$2,Data!$B$2:$B$5761,A36)</f>
        <v>1527.49</v>
      </c>
      <c r="E36">
        <f>SUMIFS(Data!$G$2:$G$5761,Data!$A$2:$A$5761,Control!$B$2,Data!$B$2:$B$5761,A36)</f>
        <v>921.32999999999993</v>
      </c>
      <c r="F36">
        <f>SUMIFS(Data!$H$2:$H$5761,Data!$A$2:$A$5761,Control!$B$2,Data!$B$2:$B$5761,A36)</f>
        <v>2316</v>
      </c>
      <c r="G36">
        <f t="shared" si="2"/>
        <v>606.16000000000008</v>
      </c>
      <c r="H36" cm="1">
        <f t="array" ref="H36">INDEX(Budget!$B$2:$AK$21,Control!$B$6,MATCH(A36,Budget!$B$1:$AK$1,0))</f>
        <v>29115</v>
      </c>
      <c r="I36">
        <f t="shared" si="3"/>
        <v>-2.621329211746537E-2</v>
      </c>
      <c r="J36">
        <f t="shared" si="4"/>
        <v>302052.7</v>
      </c>
      <c r="K36">
        <f t="shared" si="5"/>
        <v>2026</v>
      </c>
      <c r="L36">
        <f t="shared" ca="1" si="6"/>
        <v>28190.899999999998</v>
      </c>
      <c r="M36">
        <f>C36*_xlfn.XLOOKUP(A36,FX!$A$2:$A$37,FX!$C$2:$C$37)</f>
        <v>30614.273639999999</v>
      </c>
      <c r="N36">
        <f>C36*(1+Control!$B$4)^(A36/12)</f>
        <v>32687.579231024989</v>
      </c>
      <c r="O36">
        <f t="shared" si="7"/>
        <v>2</v>
      </c>
      <c r="P36">
        <f t="shared" si="8"/>
        <v>165.29999999999563</v>
      </c>
      <c r="Q36">
        <f t="shared" si="9"/>
        <v>0.60316597817334316</v>
      </c>
      <c r="R36">
        <f t="shared" si="10"/>
        <v>0.66</v>
      </c>
      <c r="S36" t="str">
        <f t="shared" si="11"/>
        <v>in linea</v>
      </c>
      <c r="T36" t="str">
        <f t="shared" si="12"/>
        <v>T4-2026</v>
      </c>
      <c r="U36">
        <f t="shared" si="13"/>
        <v>27363.600000000002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28525.599999999999</v>
      </c>
      <c r="D37">
        <f>SUMIFS(Data!$F$2:$F$5761,Data!$A$2:$A$5761,Control!$B$2,Data!$B$2:$B$5761,A37)</f>
        <v>1535.73</v>
      </c>
      <c r="E37">
        <f>SUMIFS(Data!$G$2:$G$5761,Data!$A$2:$A$5761,Control!$B$2,Data!$B$2:$B$5761,A37)</f>
        <v>926.84</v>
      </c>
      <c r="F37">
        <f>SUMIFS(Data!$H$2:$H$5761,Data!$A$2:$A$5761,Control!$B$2,Data!$B$2:$B$5761,A37)</f>
        <v>2444</v>
      </c>
      <c r="G37">
        <f t="shared" si="2"/>
        <v>608.89</v>
      </c>
      <c r="H37" cm="1">
        <f t="array" ref="H37">INDEX(Budget!$B$2:$AK$21,Control!$B$6,MATCH(A37,Budget!$B$1:$AK$1,0))</f>
        <v>29314</v>
      </c>
      <c r="I37">
        <f t="shared" si="3"/>
        <v>-2.6894998976598306E-2</v>
      </c>
      <c r="J37">
        <f t="shared" si="4"/>
        <v>330578.3</v>
      </c>
      <c r="K37">
        <f t="shared" si="5"/>
        <v>2026</v>
      </c>
      <c r="L37">
        <f t="shared" ca="1" si="6"/>
        <v>28354.633333333331</v>
      </c>
      <c r="M37">
        <f>C37*_xlfn.XLOOKUP(A37,FX!$A$2:$A$37,FX!$C$2:$C$37)</f>
        <v>30958.833679999996</v>
      </c>
      <c r="N37">
        <f>C37*(1+Control!$B$4)^(A37/12)</f>
        <v>33021.947700000004</v>
      </c>
      <c r="O37">
        <f t="shared" si="7"/>
        <v>1</v>
      </c>
      <c r="P37">
        <f t="shared" si="8"/>
        <v>173.80000000000291</v>
      </c>
      <c r="Q37">
        <f t="shared" si="9"/>
        <v>0.60351754540186098</v>
      </c>
      <c r="R37">
        <f t="shared" si="10"/>
        <v>0.63</v>
      </c>
      <c r="S37" t="str">
        <f t="shared" si="11"/>
        <v>in linea</v>
      </c>
      <c r="T37" t="str">
        <f t="shared" si="12"/>
        <v>T4-2026</v>
      </c>
      <c r="U37">
        <f t="shared" si="13"/>
        <v>27548.191666666666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6798.5</v>
      </c>
      <c r="D2">
        <f>SUMIFS(Data!$F$2:$F$5761,Data!$A$2:$A$5761,A2,Data!$B$2:$B$5761,Control!$B$3)</f>
        <v>367.57000000000005</v>
      </c>
      <c r="E2">
        <f>SUMIFS(Data!$G$2:$G$5761,Data!$A$2:$A$5761,A2,Data!$B$2:$B$5761,Control!$B$3)</f>
        <v>223.27</v>
      </c>
      <c r="F2">
        <f t="shared" ref="F2:F21" si="0">D2-E2</f>
        <v>144.30000000000004</v>
      </c>
      <c r="G2">
        <f>SUMIFS(Data!$E$2:$E$5761,Data!$A$2:$A$5761,A2,Data!$B$2:$B$5761,Control!$B$13)</f>
        <v>6732.4</v>
      </c>
      <c r="H2">
        <f t="shared" ref="H2:H21" si="1">IFERROR(C2/G2-1,0)</f>
        <v>9.8181926207594472E-3</v>
      </c>
      <c r="I2">
        <f>SUMIFS(Data!$E$2:$E$5761,Data!$A$2:$A$5761,A2,Data!$B$2:$B$5761,Control!$B$14)</f>
        <v>6214.5</v>
      </c>
      <c r="J2">
        <f t="shared" ref="J2:J21" si="2">IFERROR(C2/I2-1,0)</f>
        <v>9.3973771019390195E-2</v>
      </c>
      <c r="K2">
        <f t="shared" ref="K2:K21" si="3">C2/SUM($C$2:$C$21)</f>
        <v>1.9107671595940973E-2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849.8125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6879</v>
      </c>
      <c r="Q2">
        <f t="shared" ref="Q2:Q21" si="5">C2-P2</f>
        <v>-80.5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757</v>
      </c>
      <c r="X2">
        <f t="shared" ref="X2:X21" si="8">IFERROR(D2/W2,0)</f>
        <v>0.4855614266842801</v>
      </c>
      <c r="Y2">
        <f>C2*(1+Control!$B$4)</f>
        <v>7138.4250000000002</v>
      </c>
      <c r="Z2">
        <f>IF(B2=Control!$B$5,C2,0)</f>
        <v>0</v>
      </c>
      <c r="AA2">
        <f t="shared" ref="AA2:AA21" si="9">_xlfn.LET(_xlpm.v,C2,_xlpm.b,P2,IF(_xlpm.b=0,0,ROUND((_xlpm.v-_xlpm.b)/_xlpm.b,4)))</f>
        <v>-1.17E-2</v>
      </c>
      <c r="AB2" cm="1">
        <f t="array" ref="AB2">SUMPRODUCT((Data!$A$2:$A$5761=A2)*(Data!$B$2:$B$5761&lt;=Control!$B$3)*(Data!$J$2:$J$5761=Control!$B$11)*Data!$E$2:$E$5761)</f>
        <v>39920.399999999994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7958.7</v>
      </c>
      <c r="D3">
        <f>SUMIFS(Data!$F$2:$F$5761,Data!$A$2:$A$5761,A3,Data!$B$2:$B$5761,Control!$B$3)</f>
        <v>432.68999999999994</v>
      </c>
      <c r="E3">
        <f>SUMIFS(Data!$G$2:$G$5761,Data!$A$2:$A$5761,A3,Data!$B$2:$B$5761,Control!$B$3)</f>
        <v>260.78000000000003</v>
      </c>
      <c r="F3">
        <f t="shared" si="0"/>
        <v>171.90999999999991</v>
      </c>
      <c r="G3">
        <f>SUMIFS(Data!$E$2:$E$5761,Data!$A$2:$A$5761,A3,Data!$B$2:$B$5761,Control!$B$13)</f>
        <v>7877.8</v>
      </c>
      <c r="H3">
        <f t="shared" si="1"/>
        <v>1.0269364543400439E-2</v>
      </c>
      <c r="I3">
        <f>SUMIFS(Data!$E$2:$E$5761,Data!$A$2:$A$5761,A3,Data!$B$2:$B$5761,Control!$B$14)</f>
        <v>7279.3</v>
      </c>
      <c r="J3">
        <f t="shared" si="2"/>
        <v>9.3333150165537893E-2</v>
      </c>
      <c r="K3">
        <f t="shared" si="3"/>
        <v>2.2368496864104644E-2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994.83749999999998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8057</v>
      </c>
      <c r="Q3">
        <f t="shared" si="5"/>
        <v>-98.300000000000182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859</v>
      </c>
      <c r="X3">
        <f t="shared" si="8"/>
        <v>0.50371362048894053</v>
      </c>
      <c r="Y3">
        <f>C3*(1+Control!$B$4)</f>
        <v>8356.6350000000002</v>
      </c>
      <c r="Z3">
        <f>IF(B3=Control!$B$5,C3,0)</f>
        <v>0</v>
      </c>
      <c r="AA3">
        <f t="shared" si="9"/>
        <v>-1.2200000000000001E-2</v>
      </c>
      <c r="AB3" cm="1">
        <f t="array" ref="AB3">SUMPRODUCT((Data!$A$2:$A$5761=A3)*(Data!$B$2:$B$5761&lt;=Control!$B$3)*(Data!$J$2:$J$5761=Control!$B$11)*Data!$E$2:$E$5761)</f>
        <v>46859.19999999999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9113.2999999999993</v>
      </c>
      <c r="D4">
        <f>SUMIFS(Data!$F$2:$F$5761,Data!$A$2:$A$5761,A4,Data!$B$2:$B$5761,Control!$B$3)</f>
        <v>493.34000000000003</v>
      </c>
      <c r="E4">
        <f>SUMIFS(Data!$G$2:$G$5761,Data!$A$2:$A$5761,A4,Data!$B$2:$B$5761,Control!$B$3)</f>
        <v>300.03000000000003</v>
      </c>
      <c r="F4">
        <f t="shared" si="0"/>
        <v>193.31</v>
      </c>
      <c r="G4">
        <f>SUMIFS(Data!$E$2:$E$5761,Data!$A$2:$A$5761,A4,Data!$B$2:$B$5761,Control!$B$13)</f>
        <v>9056.2999999999993</v>
      </c>
      <c r="H4">
        <f t="shared" si="1"/>
        <v>6.2939611099455117E-3</v>
      </c>
      <c r="I4">
        <f>SUMIFS(Data!$E$2:$E$5761,Data!$A$2:$A$5761,A4,Data!$B$2:$B$5761,Control!$B$14)</f>
        <v>8343.2999999999993</v>
      </c>
      <c r="J4">
        <f t="shared" si="2"/>
        <v>9.2289621612551498E-2</v>
      </c>
      <c r="K4">
        <f t="shared" si="3"/>
        <v>2.5613582930836043E-2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1139.1624999999999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9235</v>
      </c>
      <c r="Q4">
        <f t="shared" si="5"/>
        <v>-121.70000000000073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896</v>
      </c>
      <c r="X4">
        <f t="shared" si="8"/>
        <v>0.55060267857142864</v>
      </c>
      <c r="Y4">
        <f>C4*(1+Control!$B$4)</f>
        <v>9568.9650000000001</v>
      </c>
      <c r="Z4">
        <f>IF(B4=Control!$B$5,C4,0)</f>
        <v>0</v>
      </c>
      <c r="AA4">
        <f t="shared" si="9"/>
        <v>-1.32E-2</v>
      </c>
      <c r="AB4" cm="1">
        <f t="array" ref="AB4">SUMPRODUCT((Data!$A$2:$A$5761=A4)*(Data!$B$2:$B$5761&lt;=Control!$B$3)*(Data!$J$2:$J$5761=Control!$B$11)*Data!$E$2:$E$5761)</f>
        <v>53404.400000000009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10267.6</v>
      </c>
      <c r="D5">
        <f>SUMIFS(Data!$F$2:$F$5761,Data!$A$2:$A$5761,A5,Data!$B$2:$B$5761,Control!$B$3)</f>
        <v>553.87</v>
      </c>
      <c r="E5">
        <f>SUMIFS(Data!$G$2:$G$5761,Data!$A$2:$A$5761,A5,Data!$B$2:$B$5761,Control!$B$3)</f>
        <v>335.98999999999995</v>
      </c>
      <c r="F5">
        <f t="shared" si="0"/>
        <v>217.88000000000005</v>
      </c>
      <c r="G5">
        <f>SUMIFS(Data!$E$2:$E$5761,Data!$A$2:$A$5761,A5,Data!$B$2:$B$5761,Control!$B$13)</f>
        <v>10246.4</v>
      </c>
      <c r="H5">
        <f t="shared" si="1"/>
        <v>2.0690193628982723E-3</v>
      </c>
      <c r="I5">
        <f>SUMIFS(Data!$E$2:$E$5761,Data!$A$2:$A$5761,A5,Data!$B$2:$B$5761,Control!$B$14)</f>
        <v>9433</v>
      </c>
      <c r="J5">
        <f t="shared" si="2"/>
        <v>8.847662461571093E-2</v>
      </c>
      <c r="K5">
        <f t="shared" si="3"/>
        <v>2.8857825826062153E-2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1283.45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10413</v>
      </c>
      <c r="Q5">
        <f t="shared" si="5"/>
        <v>-145.39999999999964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1083</v>
      </c>
      <c r="X5">
        <f t="shared" si="8"/>
        <v>0.51142197599261308</v>
      </c>
      <c r="Y5">
        <f>C5*(1+Control!$B$4)</f>
        <v>10780.980000000001</v>
      </c>
      <c r="Z5">
        <f>IF(B5=Control!$B$5,C5,0)</f>
        <v>0</v>
      </c>
      <c r="AA5">
        <f t="shared" si="9"/>
        <v>-1.4E-2</v>
      </c>
      <c r="AB5" cm="1">
        <f t="array" ref="AB5">SUMPRODUCT((Data!$A$2:$A$5761=A5)*(Data!$B$2:$B$5761&lt;=Control!$B$3)*(Data!$J$2:$J$5761=Control!$B$11)*Data!$E$2:$E$5761)</f>
        <v>60292.799999999981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11395</v>
      </c>
      <c r="D6">
        <f>SUMIFS(Data!$F$2:$F$5761,Data!$A$2:$A$5761,A6,Data!$B$2:$B$5761,Control!$B$3)</f>
        <v>615.66999999999996</v>
      </c>
      <c r="E6">
        <f>SUMIFS(Data!$G$2:$G$5761,Data!$A$2:$A$5761,A6,Data!$B$2:$B$5761,Control!$B$3)</f>
        <v>373.98</v>
      </c>
      <c r="F6">
        <f t="shared" si="0"/>
        <v>241.68999999999994</v>
      </c>
      <c r="G6">
        <f>SUMIFS(Data!$E$2:$E$5761,Data!$A$2:$A$5761,A6,Data!$B$2:$B$5761,Control!$B$13)</f>
        <v>11408.8</v>
      </c>
      <c r="H6">
        <f t="shared" si="1"/>
        <v>-1.2095925951896014E-3</v>
      </c>
      <c r="I6">
        <f>SUMIFS(Data!$E$2:$E$5761,Data!$A$2:$A$5761,A6,Data!$B$2:$B$5761,Control!$B$14)</f>
        <v>10429.799999999999</v>
      </c>
      <c r="J6">
        <f t="shared" si="2"/>
        <v>9.2542522387773607E-2</v>
      </c>
      <c r="K6">
        <f t="shared" si="3"/>
        <v>3.2026464342979684E-2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1424.375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11591</v>
      </c>
      <c r="Q6">
        <f t="shared" si="5"/>
        <v>-196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1122</v>
      </c>
      <c r="X6">
        <f t="shared" si="8"/>
        <v>0.54872549019607841</v>
      </c>
      <c r="Y6">
        <f>C6*(1+Control!$B$4)</f>
        <v>11964.75</v>
      </c>
      <c r="Z6">
        <f>IF(B6=Control!$B$5,C6,0)</f>
        <v>0</v>
      </c>
      <c r="AA6">
        <f t="shared" si="9"/>
        <v>-1.6899999999999998E-2</v>
      </c>
      <c r="AB6" cm="1">
        <f t="array" ref="AB6">SUMPRODUCT((Data!$A$2:$A$5761=A6)*(Data!$B$2:$B$5761&lt;=Control!$B$3)*(Data!$J$2:$J$5761=Control!$B$11)*Data!$E$2:$E$5761)</f>
        <v>67308.899999999994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12562.7</v>
      </c>
      <c r="D7">
        <f>SUMIFS(Data!$F$2:$F$5761,Data!$A$2:$A$5761,A7,Data!$B$2:$B$5761,Control!$B$3)</f>
        <v>678.64</v>
      </c>
      <c r="E7">
        <f>SUMIFS(Data!$G$2:$G$5761,Data!$A$2:$A$5761,A7,Data!$B$2:$B$5761,Control!$B$3)</f>
        <v>410.62</v>
      </c>
      <c r="F7">
        <f t="shared" si="0"/>
        <v>268.02</v>
      </c>
      <c r="G7">
        <f>SUMIFS(Data!$E$2:$E$5761,Data!$A$2:$A$5761,A7,Data!$B$2:$B$5761,Control!$B$13)</f>
        <v>12466.399999999998</v>
      </c>
      <c r="H7">
        <f t="shared" si="1"/>
        <v>7.7247641660787014E-3</v>
      </c>
      <c r="I7">
        <f>SUMIFS(Data!$E$2:$E$5761,Data!$A$2:$A$5761,A7,Data!$B$2:$B$5761,Control!$B$14)</f>
        <v>11471.8</v>
      </c>
      <c r="J7">
        <f t="shared" si="2"/>
        <v>9.5094056730417265E-2</v>
      </c>
      <c r="K7">
        <f t="shared" si="3"/>
        <v>3.5308368898775859E-2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1570.3375000000001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12769</v>
      </c>
      <c r="Q7">
        <f t="shared" si="5"/>
        <v>-206.29999999999927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1280</v>
      </c>
      <c r="X7">
        <f t="shared" si="8"/>
        <v>0.53018750000000003</v>
      </c>
      <c r="Y7">
        <f>C7*(1+Control!$B$4)</f>
        <v>13190.835000000001</v>
      </c>
      <c r="Z7">
        <f>IF(B7=Control!$B$5,C7,0)</f>
        <v>0</v>
      </c>
      <c r="AA7">
        <f t="shared" si="9"/>
        <v>-1.6199999999999999E-2</v>
      </c>
      <c r="AB7" cm="1">
        <f t="array" ref="AB7">SUMPRODUCT((Data!$A$2:$A$5761=A7)*(Data!$B$2:$B$5761&lt;=Control!$B$3)*(Data!$J$2:$J$5761=Control!$B$11)*Data!$E$2:$E$5761)</f>
        <v>74170.600000000006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13727.2</v>
      </c>
      <c r="D8">
        <f>SUMIFS(Data!$F$2:$F$5761,Data!$A$2:$A$5761,A8,Data!$B$2:$B$5761,Control!$B$3)</f>
        <v>741.21</v>
      </c>
      <c r="E8">
        <f>SUMIFS(Data!$G$2:$G$5761,Data!$A$2:$A$5761,A8,Data!$B$2:$B$5761,Control!$B$3)</f>
        <v>448.38</v>
      </c>
      <c r="F8">
        <f t="shared" si="0"/>
        <v>292.83000000000004</v>
      </c>
      <c r="G8">
        <f>SUMIFS(Data!$E$2:$E$5761,Data!$A$2:$A$5761,A8,Data!$B$2:$B$5761,Control!$B$13)</f>
        <v>13633.5</v>
      </c>
      <c r="H8">
        <f t="shared" si="1"/>
        <v>6.8727766164229376E-3</v>
      </c>
      <c r="I8">
        <f>SUMIFS(Data!$E$2:$E$5761,Data!$A$2:$A$5761,A8,Data!$B$2:$B$5761,Control!$B$14)</f>
        <v>12622.900000000001</v>
      </c>
      <c r="J8">
        <f t="shared" si="2"/>
        <v>8.7483858701249195E-2</v>
      </c>
      <c r="K8">
        <f t="shared" si="3"/>
        <v>3.8581279625182159E-2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1715.9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13947</v>
      </c>
      <c r="Q8">
        <f t="shared" si="5"/>
        <v>-219.79999999999927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1341</v>
      </c>
      <c r="X8">
        <f t="shared" si="8"/>
        <v>0.5527293064876958</v>
      </c>
      <c r="Y8">
        <f>C8*(1+Control!$B$4)</f>
        <v>14413.560000000001</v>
      </c>
      <c r="Z8">
        <f>IF(B8=Control!$B$5,C8,0)</f>
        <v>0</v>
      </c>
      <c r="AA8">
        <f t="shared" si="9"/>
        <v>-1.5800000000000002E-2</v>
      </c>
      <c r="AB8" cm="1">
        <f t="array" ref="AB8">SUMPRODUCT((Data!$A$2:$A$5761=A8)*(Data!$B$2:$B$5761&lt;=Control!$B$3)*(Data!$J$2:$J$5761=Control!$B$11)*Data!$E$2:$E$5761)</f>
        <v>80806.099999999977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14918.2</v>
      </c>
      <c r="D9">
        <f>SUMIFS(Data!$F$2:$F$5761,Data!$A$2:$A$5761,A9,Data!$B$2:$B$5761,Control!$B$3)</f>
        <v>805.31</v>
      </c>
      <c r="E9">
        <f>SUMIFS(Data!$G$2:$G$5761,Data!$A$2:$A$5761,A9,Data!$B$2:$B$5761,Control!$B$3)</f>
        <v>486.65999999999997</v>
      </c>
      <c r="F9">
        <f t="shared" si="0"/>
        <v>318.64999999999998</v>
      </c>
      <c r="G9">
        <f>SUMIFS(Data!$E$2:$E$5761,Data!$A$2:$A$5761,A9,Data!$B$2:$B$5761,Control!$B$13)</f>
        <v>14791.500000000002</v>
      </c>
      <c r="H9">
        <f t="shared" si="1"/>
        <v>8.5657303180879385E-3</v>
      </c>
      <c r="I9">
        <f>SUMIFS(Data!$E$2:$E$5761,Data!$A$2:$A$5761,A9,Data!$B$2:$B$5761,Control!$B$14)</f>
        <v>13682.499999999998</v>
      </c>
      <c r="J9">
        <f t="shared" si="2"/>
        <v>9.0312442901516743E-2</v>
      </c>
      <c r="K9">
        <f t="shared" si="3"/>
        <v>4.19286705012233E-2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1864.7750000000001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15125</v>
      </c>
      <c r="Q9">
        <f t="shared" si="5"/>
        <v>-206.79999999999927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1504</v>
      </c>
      <c r="X9">
        <f t="shared" si="8"/>
        <v>0.5354454787234042</v>
      </c>
      <c r="Y9">
        <f>C9*(1+Control!$B$4)</f>
        <v>15664.11</v>
      </c>
      <c r="Z9">
        <f>IF(B9=Control!$B$5,C9,0)</f>
        <v>14918.2</v>
      </c>
      <c r="AA9">
        <f t="shared" si="9"/>
        <v>-1.37E-2</v>
      </c>
      <c r="AB9" cm="1">
        <f t="array" ref="AB9">SUMPRODUCT((Data!$A$2:$A$5761=A9)*(Data!$B$2:$B$5761&lt;=Control!$B$3)*(Data!$J$2:$J$5761=Control!$B$11)*Data!$E$2:$E$5761)</f>
        <v>87881.200000000012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16079.5</v>
      </c>
      <c r="D10">
        <f>SUMIFS(Data!$F$2:$F$5761,Data!$A$2:$A$5761,A10,Data!$B$2:$B$5761,Control!$B$3)</f>
        <v>866.67</v>
      </c>
      <c r="E10">
        <f>SUMIFS(Data!$G$2:$G$5761,Data!$A$2:$A$5761,A10,Data!$B$2:$B$5761,Control!$B$3)</f>
        <v>523.53</v>
      </c>
      <c r="F10">
        <f t="shared" si="0"/>
        <v>343.14</v>
      </c>
      <c r="G10">
        <f>SUMIFS(Data!$E$2:$E$5761,Data!$A$2:$A$5761,A10,Data!$B$2:$B$5761,Control!$B$13)</f>
        <v>15919.8</v>
      </c>
      <c r="H10">
        <f t="shared" si="1"/>
        <v>1.0031533059460696E-2</v>
      </c>
      <c r="I10">
        <f>SUMIFS(Data!$E$2:$E$5761,Data!$A$2:$A$5761,A10,Data!$B$2:$B$5761,Control!$B$14)</f>
        <v>14712.6</v>
      </c>
      <c r="J10">
        <f t="shared" si="2"/>
        <v>9.2906760191944215E-2</v>
      </c>
      <c r="K10">
        <f t="shared" si="3"/>
        <v>4.5192587398239739E-2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2009.9375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16303</v>
      </c>
      <c r="Q10">
        <f t="shared" si="5"/>
        <v>-223.5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1566</v>
      </c>
      <c r="X10">
        <f t="shared" si="8"/>
        <v>0.55342911877394629</v>
      </c>
      <c r="Y10">
        <f>C10*(1+Control!$B$4)</f>
        <v>16883.475000000002</v>
      </c>
      <c r="Z10">
        <f>IF(B10=Control!$B$5,C10,0)</f>
        <v>16079.5</v>
      </c>
      <c r="AA10">
        <f t="shared" si="9"/>
        <v>-1.37E-2</v>
      </c>
      <c r="AB10" cm="1">
        <f t="array" ref="AB10">SUMPRODUCT((Data!$A$2:$A$5761=A10)*(Data!$B$2:$B$5761&lt;=Control!$B$3)*(Data!$J$2:$J$5761=Control!$B$11)*Data!$E$2:$E$5761)</f>
        <v>94494.799999999959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17142.600000000002</v>
      </c>
      <c r="D11">
        <f>SUMIFS(Data!$F$2:$F$5761,Data!$A$2:$A$5761,A11,Data!$B$2:$B$5761,Control!$B$3)</f>
        <v>924.66000000000008</v>
      </c>
      <c r="E11">
        <f>SUMIFS(Data!$G$2:$G$5761,Data!$A$2:$A$5761,A11,Data!$B$2:$B$5761,Control!$B$3)</f>
        <v>556.91000000000008</v>
      </c>
      <c r="F11">
        <f t="shared" si="0"/>
        <v>367.75</v>
      </c>
      <c r="G11">
        <f>SUMIFS(Data!$E$2:$E$5761,Data!$A$2:$A$5761,A11,Data!$B$2:$B$5761,Control!$B$13)</f>
        <v>17103.399999999998</v>
      </c>
      <c r="H11">
        <f t="shared" si="1"/>
        <v>2.2919419530622598E-3</v>
      </c>
      <c r="I11">
        <f>SUMIFS(Data!$E$2:$E$5761,Data!$A$2:$A$5761,A11,Data!$B$2:$B$5761,Control!$B$14)</f>
        <v>15784.800000000001</v>
      </c>
      <c r="J11">
        <f t="shared" si="2"/>
        <v>8.6019461760681315E-2</v>
      </c>
      <c r="K11">
        <f t="shared" si="3"/>
        <v>4.818050615585464E-2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2142.8250000000003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17481</v>
      </c>
      <c r="Q11">
        <f t="shared" si="5"/>
        <v>-338.39999999999782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1617</v>
      </c>
      <c r="X11">
        <f t="shared" si="8"/>
        <v>0.57183673469387764</v>
      </c>
      <c r="Y11">
        <f>C11*(1+Control!$B$4)</f>
        <v>17999.730000000003</v>
      </c>
      <c r="Z11">
        <f>IF(B11=Control!$B$5,C11,0)</f>
        <v>0</v>
      </c>
      <c r="AA11">
        <f t="shared" si="9"/>
        <v>-1.9400000000000001E-2</v>
      </c>
      <c r="AB11" cm="1">
        <f t="array" ref="AB11">SUMPRODUCT((Data!$A$2:$A$5761=A11)*(Data!$B$2:$B$5761&lt;=Control!$B$3)*(Data!$J$2:$J$5761=Control!$B$11)*Data!$E$2:$E$5761)</f>
        <v>101289.00000000003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18454.5</v>
      </c>
      <c r="D12">
        <f>SUMIFS(Data!$F$2:$F$5761,Data!$A$2:$A$5761,A12,Data!$B$2:$B$5761,Control!$B$3)</f>
        <v>993.82</v>
      </c>
      <c r="E12">
        <f>SUMIFS(Data!$G$2:$G$5761,Data!$A$2:$A$5761,A12,Data!$B$2:$B$5761,Control!$B$3)</f>
        <v>602.15</v>
      </c>
      <c r="F12">
        <f t="shared" si="0"/>
        <v>391.67000000000007</v>
      </c>
      <c r="G12">
        <f>SUMIFS(Data!$E$2:$E$5761,Data!$A$2:$A$5761,A12,Data!$B$2:$B$5761,Control!$B$13)</f>
        <v>18236.900000000001</v>
      </c>
      <c r="H12">
        <f t="shared" si="1"/>
        <v>1.1931852452993663E-2</v>
      </c>
      <c r="I12">
        <f>SUMIFS(Data!$E$2:$E$5761,Data!$A$2:$A$5761,A12,Data!$B$2:$B$5761,Control!$B$14)</f>
        <v>16806.199999999997</v>
      </c>
      <c r="J12">
        <f t="shared" si="2"/>
        <v>9.8076900191596206E-2</v>
      </c>
      <c r="K12">
        <f t="shared" si="3"/>
        <v>5.1867695148531685E-2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2306.8125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18659</v>
      </c>
      <c r="Q12">
        <f t="shared" si="5"/>
        <v>-204.5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1757</v>
      </c>
      <c r="X12">
        <f t="shared" si="8"/>
        <v>0.56563460443938529</v>
      </c>
      <c r="Y12">
        <f>C12*(1+Control!$B$4)</f>
        <v>19377.225000000002</v>
      </c>
      <c r="Z12">
        <f>IF(B12=Control!$B$5,C12,0)</f>
        <v>0</v>
      </c>
      <c r="AA12">
        <f t="shared" si="9"/>
        <v>-1.0999999999999999E-2</v>
      </c>
      <c r="AB12" cm="1">
        <f t="array" ref="AB12">SUMPRODUCT((Data!$A$2:$A$5761=A12)*(Data!$B$2:$B$5761&lt;=Control!$B$3)*(Data!$J$2:$J$5761=Control!$B$11)*Data!$E$2:$E$5761)</f>
        <v>108352.30000000002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19546.399999999998</v>
      </c>
      <c r="D13">
        <f>SUMIFS(Data!$F$2:$F$5761,Data!$A$2:$A$5761,A13,Data!$B$2:$B$5761,Control!$B$3)</f>
        <v>1053.3699999999999</v>
      </c>
      <c r="E13">
        <f>SUMIFS(Data!$G$2:$G$5761,Data!$A$2:$A$5761,A13,Data!$B$2:$B$5761,Control!$B$3)</f>
        <v>635.79999999999995</v>
      </c>
      <c r="F13">
        <f t="shared" si="0"/>
        <v>417.56999999999994</v>
      </c>
      <c r="G13">
        <f>SUMIFS(Data!$E$2:$E$5761,Data!$A$2:$A$5761,A13,Data!$B$2:$B$5761,Control!$B$13)</f>
        <v>19301.899999999998</v>
      </c>
      <c r="H13">
        <f t="shared" si="1"/>
        <v>1.2667146757573189E-2</v>
      </c>
      <c r="I13">
        <f>SUMIFS(Data!$E$2:$E$5761,Data!$A$2:$A$5761,A13,Data!$B$2:$B$5761,Control!$B$14)</f>
        <v>17910.400000000001</v>
      </c>
      <c r="J13">
        <f t="shared" si="2"/>
        <v>9.1343576916204983E-2</v>
      </c>
      <c r="K13">
        <f t="shared" si="3"/>
        <v>5.4936558370655378E-2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2443.2999999999997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19837</v>
      </c>
      <c r="Q13">
        <f t="shared" si="5"/>
        <v>-290.60000000000218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1886</v>
      </c>
      <c r="X13">
        <f t="shared" si="8"/>
        <v>0.55852067868504762</v>
      </c>
      <c r="Y13">
        <f>C13*(1+Control!$B$4)</f>
        <v>20523.719999999998</v>
      </c>
      <c r="Z13">
        <f>IF(B13=Control!$B$5,C13,0)</f>
        <v>0</v>
      </c>
      <c r="AA13">
        <f t="shared" si="9"/>
        <v>-1.46E-2</v>
      </c>
      <c r="AB13" cm="1">
        <f t="array" ref="AB13">SUMPRODUCT((Data!$A$2:$A$5761=A13)*(Data!$B$2:$B$5761&lt;=Control!$B$3)*(Data!$J$2:$J$5761=Control!$B$11)*Data!$E$2:$E$5761)</f>
        <v>115196.50000000001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20600.5</v>
      </c>
      <c r="D14">
        <f>SUMIFS(Data!$F$2:$F$5761,Data!$A$2:$A$5761,A14,Data!$B$2:$B$5761,Control!$B$3)</f>
        <v>1110.5200000000002</v>
      </c>
      <c r="E14">
        <f>SUMIFS(Data!$G$2:$G$5761,Data!$A$2:$A$5761,A14,Data!$B$2:$B$5761,Control!$B$3)</f>
        <v>670.1</v>
      </c>
      <c r="F14">
        <f t="shared" si="0"/>
        <v>440.42000000000019</v>
      </c>
      <c r="G14">
        <f>SUMIFS(Data!$E$2:$E$5761,Data!$A$2:$A$5761,A14,Data!$B$2:$B$5761,Control!$B$13)</f>
        <v>20526.099999999999</v>
      </c>
      <c r="H14">
        <f t="shared" si="1"/>
        <v>3.6246534899471161E-3</v>
      </c>
      <c r="I14">
        <f>SUMIFS(Data!$E$2:$E$5761,Data!$A$2:$A$5761,A14,Data!$B$2:$B$5761,Control!$B$14)</f>
        <v>18941.2</v>
      </c>
      <c r="J14">
        <f t="shared" si="2"/>
        <v>8.7602686207843172E-2</v>
      </c>
      <c r="K14">
        <f t="shared" si="3"/>
        <v>5.7899181983111274E-2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2575.0625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21015</v>
      </c>
      <c r="Q14">
        <f t="shared" si="5"/>
        <v>-414.5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1937</v>
      </c>
      <c r="X14">
        <f t="shared" si="8"/>
        <v>0.57331956633970071</v>
      </c>
      <c r="Y14">
        <f>C14*(1+Control!$B$4)</f>
        <v>21630.525000000001</v>
      </c>
      <c r="Z14">
        <f>IF(B14=Control!$B$5,C14,0)</f>
        <v>0</v>
      </c>
      <c r="AA14">
        <f t="shared" si="9"/>
        <v>-1.9699999999999999E-2</v>
      </c>
      <c r="AB14" cm="1">
        <f t="array" ref="AB14">SUMPRODUCT((Data!$A$2:$A$5761=A14)*(Data!$B$2:$B$5761&lt;=Control!$B$3)*(Data!$J$2:$J$5761=Control!$B$11)*Data!$E$2:$E$5761)</f>
        <v>121799.80000000003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21844.999999999996</v>
      </c>
      <c r="D15">
        <f>SUMIFS(Data!$F$2:$F$5761,Data!$A$2:$A$5761,A15,Data!$B$2:$B$5761,Control!$B$3)</f>
        <v>1177.1199999999999</v>
      </c>
      <c r="E15">
        <f>SUMIFS(Data!$G$2:$G$5761,Data!$A$2:$A$5761,A15,Data!$B$2:$B$5761,Control!$B$3)</f>
        <v>710.31</v>
      </c>
      <c r="F15">
        <f t="shared" si="0"/>
        <v>466.80999999999995</v>
      </c>
      <c r="G15">
        <f>SUMIFS(Data!$E$2:$E$5761,Data!$A$2:$A$5761,A15,Data!$B$2:$B$5761,Control!$B$13)</f>
        <v>21618.7</v>
      </c>
      <c r="H15">
        <f t="shared" si="1"/>
        <v>1.0467789460050669E-2</v>
      </c>
      <c r="I15">
        <f>SUMIFS(Data!$E$2:$E$5761,Data!$A$2:$A$5761,A15,Data!$B$2:$B$5761,Control!$B$14)</f>
        <v>19948</v>
      </c>
      <c r="J15">
        <f t="shared" si="2"/>
        <v>9.5097252857429204E-2</v>
      </c>
      <c r="K15">
        <f t="shared" si="3"/>
        <v>6.1396938444264249E-2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2730.6249999999995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22194</v>
      </c>
      <c r="Q15">
        <f t="shared" si="5"/>
        <v>-349.00000000000364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2049</v>
      </c>
      <c r="X15">
        <f t="shared" si="8"/>
        <v>0.57448511469009267</v>
      </c>
      <c r="Y15">
        <f>C15*(1+Control!$B$4)</f>
        <v>22937.249999999996</v>
      </c>
      <c r="Z15">
        <f>IF(B15=Control!$B$5,C15,0)</f>
        <v>0</v>
      </c>
      <c r="AA15">
        <f t="shared" si="9"/>
        <v>-1.5699999999999999E-2</v>
      </c>
      <c r="AB15" cm="1">
        <f t="array" ref="AB15">SUMPRODUCT((Data!$A$2:$A$5761=A15)*(Data!$B$2:$B$5761&lt;=Control!$B$3)*(Data!$J$2:$J$5761=Control!$B$11)*Data!$E$2:$E$5761)</f>
        <v>128864.2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22950.5</v>
      </c>
      <c r="D16">
        <f>SUMIFS(Data!$F$2:$F$5761,Data!$A$2:$A$5761,A16,Data!$B$2:$B$5761,Control!$B$3)</f>
        <v>1237.0700000000002</v>
      </c>
      <c r="E16">
        <f>SUMIFS(Data!$G$2:$G$5761,Data!$A$2:$A$5761,A16,Data!$B$2:$B$5761,Control!$B$3)</f>
        <v>745.56999999999994</v>
      </c>
      <c r="F16">
        <f t="shared" si="0"/>
        <v>491.50000000000023</v>
      </c>
      <c r="G16">
        <f>SUMIFS(Data!$E$2:$E$5761,Data!$A$2:$A$5761,A16,Data!$B$2:$B$5761,Control!$B$13)</f>
        <v>22847.800000000003</v>
      </c>
      <c r="H16">
        <f t="shared" si="1"/>
        <v>4.4949623158465624E-3</v>
      </c>
      <c r="I16">
        <f>SUMIFS(Data!$E$2:$E$5761,Data!$A$2:$A$5761,A16,Data!$B$2:$B$5761,Control!$B$14)</f>
        <v>21151.200000000001</v>
      </c>
      <c r="J16">
        <f t="shared" si="2"/>
        <v>8.5068459472748659E-2</v>
      </c>
      <c r="K16">
        <f t="shared" si="3"/>
        <v>6.4504025441294882E-2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2868.8125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23372</v>
      </c>
      <c r="Q16">
        <f t="shared" si="5"/>
        <v>-421.5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2159</v>
      </c>
      <c r="X16">
        <f t="shared" si="8"/>
        <v>0.57298286243631313</v>
      </c>
      <c r="Y16">
        <f>C16*(1+Control!$B$4)</f>
        <v>24098.025000000001</v>
      </c>
      <c r="Z16">
        <f>IF(B16=Control!$B$5,C16,0)</f>
        <v>22950.5</v>
      </c>
      <c r="AA16">
        <f t="shared" si="9"/>
        <v>-1.7999999999999999E-2</v>
      </c>
      <c r="AB16" cm="1">
        <f t="array" ref="AB16">SUMPRODUCT((Data!$A$2:$A$5761=A16)*(Data!$B$2:$B$5761&lt;=Control!$B$3)*(Data!$J$2:$J$5761=Control!$B$11)*Data!$E$2:$E$5761)</f>
        <v>135583.89999999997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24210.6</v>
      </c>
      <c r="D17">
        <f>SUMIFS(Data!$F$2:$F$5761,Data!$A$2:$A$5761,A17,Data!$B$2:$B$5761,Control!$B$3)</f>
        <v>1302.77</v>
      </c>
      <c r="E17">
        <f>SUMIFS(Data!$G$2:$G$5761,Data!$A$2:$A$5761,A17,Data!$B$2:$B$5761,Control!$B$3)</f>
        <v>786.66</v>
      </c>
      <c r="F17">
        <f t="shared" si="0"/>
        <v>516.11</v>
      </c>
      <c r="G17">
        <f>SUMIFS(Data!$E$2:$E$5761,Data!$A$2:$A$5761,A17,Data!$B$2:$B$5761,Control!$B$13)</f>
        <v>23982.799999999999</v>
      </c>
      <c r="H17">
        <f t="shared" si="1"/>
        <v>9.4984739062995427E-3</v>
      </c>
      <c r="I17">
        <f>SUMIFS(Data!$E$2:$E$5761,Data!$A$2:$A$5761,A17,Data!$B$2:$B$5761,Control!$B$14)</f>
        <v>22260.199999999997</v>
      </c>
      <c r="J17">
        <f t="shared" si="2"/>
        <v>8.7618260392988478E-2</v>
      </c>
      <c r="K17">
        <f t="shared" si="3"/>
        <v>6.8045626820723459E-2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3026.3249999999998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24550</v>
      </c>
      <c r="Q17">
        <f t="shared" si="5"/>
        <v>-339.40000000000146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2277</v>
      </c>
      <c r="X17">
        <f t="shared" si="8"/>
        <v>0.57214317083882305</v>
      </c>
      <c r="Y17">
        <f>C17*(1+Control!$B$4)</f>
        <v>25421.13</v>
      </c>
      <c r="Z17">
        <f>IF(B17=Control!$B$5,C17,0)</f>
        <v>24210.6</v>
      </c>
      <c r="AA17">
        <f t="shared" si="9"/>
        <v>-1.38E-2</v>
      </c>
      <c r="AB17" cm="1">
        <f t="array" ref="AB17">SUMPRODUCT((Data!$A$2:$A$5761=A17)*(Data!$B$2:$B$5761&lt;=Control!$B$3)*(Data!$J$2:$J$5761=Control!$B$11)*Data!$E$2:$E$5761)</f>
        <v>142693.30000000002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25351.600000000002</v>
      </c>
      <c r="D18">
        <f>SUMIFS(Data!$F$2:$F$5761,Data!$A$2:$A$5761,A18,Data!$B$2:$B$5761,Control!$B$3)</f>
        <v>1365.5</v>
      </c>
      <c r="E18">
        <f>SUMIFS(Data!$G$2:$G$5761,Data!$A$2:$A$5761,A18,Data!$B$2:$B$5761,Control!$B$3)</f>
        <v>824.63000000000011</v>
      </c>
      <c r="F18">
        <f t="shared" si="0"/>
        <v>540.86999999999989</v>
      </c>
      <c r="G18">
        <f>SUMIFS(Data!$E$2:$E$5761,Data!$A$2:$A$5761,A18,Data!$B$2:$B$5761,Control!$B$13)</f>
        <v>25168.5</v>
      </c>
      <c r="H18">
        <f t="shared" si="1"/>
        <v>7.2749667242784088E-3</v>
      </c>
      <c r="I18">
        <f>SUMIFS(Data!$E$2:$E$5761,Data!$A$2:$A$5761,A18,Data!$B$2:$B$5761,Control!$B$14)</f>
        <v>23190</v>
      </c>
      <c r="J18">
        <f t="shared" si="2"/>
        <v>9.3212591634325159E-2</v>
      </c>
      <c r="K18">
        <f t="shared" si="3"/>
        <v>7.1252489112547945E-2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3168.9500000000003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25728</v>
      </c>
      <c r="Q18">
        <f t="shared" si="5"/>
        <v>-376.39999999999782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>&lt;&lt;</v>
      </c>
      <c r="W18">
        <f>SUMIFS(Data!$H$2:$H$5761,Data!$A$2:$A$5761,A18,Data!$B$2:$B$5761,Control!$B$3)</f>
        <v>2374</v>
      </c>
      <c r="X18">
        <f t="shared" si="8"/>
        <v>0.57518955349620893</v>
      </c>
      <c r="Y18">
        <f>C18*(1+Control!$B$4)</f>
        <v>26619.180000000004</v>
      </c>
      <c r="Z18">
        <f>IF(B18=Control!$B$5,C18,0)</f>
        <v>0</v>
      </c>
      <c r="AA18">
        <f t="shared" si="9"/>
        <v>-1.46E-2</v>
      </c>
      <c r="AB18" cm="1">
        <f t="array" ref="AB18">SUMPRODUCT((Data!$A$2:$A$5761=A18)*(Data!$B$2:$B$5761&lt;=Control!$B$3)*(Data!$J$2:$J$5761=Control!$B$11)*Data!$E$2:$E$5761)</f>
        <v>149390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26492.400000000001</v>
      </c>
      <c r="D19">
        <f>SUMIFS(Data!$F$2:$F$5761,Data!$A$2:$A$5761,A19,Data!$B$2:$B$5761,Control!$B$3)</f>
        <v>1426.35</v>
      </c>
      <c r="E19">
        <f>SUMIFS(Data!$G$2:$G$5761,Data!$A$2:$A$5761,A19,Data!$B$2:$B$5761,Control!$B$3)</f>
        <v>861.46</v>
      </c>
      <c r="F19">
        <f t="shared" si="0"/>
        <v>564.88999999999987</v>
      </c>
      <c r="G19">
        <f>SUMIFS(Data!$E$2:$E$5761,Data!$A$2:$A$5761,A19,Data!$B$2:$B$5761,Control!$B$13)</f>
        <v>26307.200000000001</v>
      </c>
      <c r="H19">
        <f t="shared" si="1"/>
        <v>7.0398978226493547E-3</v>
      </c>
      <c r="I19">
        <f>SUMIFS(Data!$E$2:$E$5761,Data!$A$2:$A$5761,A19,Data!$B$2:$B$5761,Control!$B$14)</f>
        <v>24206.9</v>
      </c>
      <c r="J19">
        <f t="shared" si="2"/>
        <v>9.4415228715779342E-2</v>
      </c>
      <c r="K19">
        <f t="shared" si="3"/>
        <v>7.4458789290035549E-2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3311.55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26906</v>
      </c>
      <c r="Q19">
        <f t="shared" si="5"/>
        <v>-413.59999999999854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2428</v>
      </c>
      <c r="X19">
        <f t="shared" si="8"/>
        <v>0.58745881383855025</v>
      </c>
      <c r="Y19">
        <f>C19*(1+Control!$B$4)</f>
        <v>27817.020000000004</v>
      </c>
      <c r="Z19">
        <f>IF(B19=Control!$B$5,C19,0)</f>
        <v>0</v>
      </c>
      <c r="AA19">
        <f t="shared" si="9"/>
        <v>-1.54E-2</v>
      </c>
      <c r="AB19" cm="1">
        <f t="array" ref="AB19">SUMPRODUCT((Data!$A$2:$A$5761=A19)*(Data!$B$2:$B$5761&lt;=Control!$B$3)*(Data!$J$2:$J$5761=Control!$B$11)*Data!$E$2:$E$5761)</f>
        <v>156063.69999999998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27612.3</v>
      </c>
      <c r="D20">
        <f>SUMIFS(Data!$F$2:$F$5761,Data!$A$2:$A$5761,A20,Data!$B$2:$B$5761,Control!$B$3)</f>
        <v>1486.31</v>
      </c>
      <c r="E20">
        <f>SUMIFS(Data!$G$2:$G$5761,Data!$A$2:$A$5761,A20,Data!$B$2:$B$5761,Control!$B$3)</f>
        <v>897.92</v>
      </c>
      <c r="F20">
        <f t="shared" si="0"/>
        <v>588.39</v>
      </c>
      <c r="G20">
        <f>SUMIFS(Data!$E$2:$E$5761,Data!$A$2:$A$5761,A20,Data!$B$2:$B$5761,Control!$B$13)</f>
        <v>27512.699999999997</v>
      </c>
      <c r="H20">
        <f t="shared" si="1"/>
        <v>3.6201463324210259E-3</v>
      </c>
      <c r="I20">
        <f>SUMIFS(Data!$E$2:$E$5761,Data!$A$2:$A$5761,A20,Data!$B$2:$B$5761,Control!$B$14)</f>
        <v>25396.199999999997</v>
      </c>
      <c r="J20">
        <f t="shared" si="2"/>
        <v>8.7261086304250446E-2</v>
      </c>
      <c r="K20">
        <f t="shared" si="3"/>
        <v>7.7606348519320564E-2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3451.5374999999999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28084</v>
      </c>
      <c r="Q20">
        <f t="shared" si="5"/>
        <v>-471.70000000000073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2535</v>
      </c>
      <c r="X20">
        <f t="shared" si="8"/>
        <v>0.58631558185404342</v>
      </c>
      <c r="Y20">
        <f>C20*(1+Control!$B$4)</f>
        <v>28992.915000000001</v>
      </c>
      <c r="Z20">
        <f>IF(B20=Control!$B$5,C20,0)</f>
        <v>0</v>
      </c>
      <c r="AA20">
        <f t="shared" si="9"/>
        <v>-1.6799999999999999E-2</v>
      </c>
      <c r="AB20" cm="1">
        <f t="array" ref="AB20">SUMPRODUCT((Data!$A$2:$A$5761=A20)*(Data!$B$2:$B$5761&lt;=Control!$B$3)*(Data!$J$2:$J$5761=Control!$B$11)*Data!$E$2:$E$5761)</f>
        <v>163043.4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28772.399999999998</v>
      </c>
      <c r="D21">
        <f>SUMIFS(Data!$F$2:$F$5761,Data!$A$2:$A$5761,A21,Data!$B$2:$B$5761,Control!$B$3)</f>
        <v>1549.6100000000001</v>
      </c>
      <c r="E21">
        <f>SUMIFS(Data!$G$2:$G$5761,Data!$A$2:$A$5761,A21,Data!$B$2:$B$5761,Control!$B$3)</f>
        <v>935.1</v>
      </c>
      <c r="F21">
        <f t="shared" si="0"/>
        <v>614.5100000000001</v>
      </c>
      <c r="G21">
        <f>SUMIFS(Data!$E$2:$E$5761,Data!$A$2:$A$5761,A21,Data!$B$2:$B$5761,Control!$B$13)</f>
        <v>28604.6</v>
      </c>
      <c r="H21">
        <f t="shared" si="1"/>
        <v>5.8661893541598342E-3</v>
      </c>
      <c r="I21">
        <f>SUMIFS(Data!$E$2:$E$5761,Data!$A$2:$A$5761,A21,Data!$B$2:$B$5761,Control!$B$14)</f>
        <v>26442.400000000001</v>
      </c>
      <c r="J21">
        <f t="shared" si="2"/>
        <v>8.8116056031222412E-2</v>
      </c>
      <c r="K21">
        <f t="shared" si="3"/>
        <v>8.0866892730315804E-2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3596.5499999999997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29262</v>
      </c>
      <c r="Q21">
        <f t="shared" si="5"/>
        <v>-489.60000000000218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2636</v>
      </c>
      <c r="X21">
        <f t="shared" si="8"/>
        <v>0.58786418816388475</v>
      </c>
      <c r="Y21">
        <f>C21*(1+Control!$B$4)</f>
        <v>30211.02</v>
      </c>
      <c r="Z21">
        <f>IF(B21=Control!$B$5,C21,0)</f>
        <v>0</v>
      </c>
      <c r="AA21">
        <f t="shared" si="9"/>
        <v>-1.67E-2</v>
      </c>
      <c r="AB21" cm="1">
        <f t="array" ref="AB21">SUMPRODUCT((Data!$A$2:$A$5761=A21)*(Data!$B$2:$B$5761&lt;=Control!$B$3)*(Data!$J$2:$J$5761=Control!$B$11)*Data!$E$2:$E$5761)</f>
        <v>169677.89999999997</v>
      </c>
    </row>
    <row r="23" spans="1:28" x14ac:dyDescent="0.25">
      <c r="A23" t="s">
        <v>162</v>
      </c>
      <c r="C23">
        <f t="shared" ref="C23:G23" si="10">SUM(C2:C21)</f>
        <v>355799.5</v>
      </c>
      <c r="D23">
        <f t="shared" si="10"/>
        <v>19182.07</v>
      </c>
      <c r="E23">
        <f t="shared" si="10"/>
        <v>11589.849999999999</v>
      </c>
      <c r="F23">
        <f t="shared" si="10"/>
        <v>7592.22</v>
      </c>
      <c r="G23">
        <f t="shared" si="10"/>
        <v>353343.5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1381.9</v>
      </c>
      <c r="C2">
        <f>SUMIFS(Data!$F$2:$F$5761,Data!$A$2:$A$5761,Control!$B$2,Data!$B$2:$B$5761,Control!$B$3,Data!$C$2:$C$5761,A2)</f>
        <v>62.63</v>
      </c>
      <c r="D2">
        <f>SUMIFS(Data!$G$2:$G$5761,Data!$A$2:$A$5761,Control!$B$2,Data!$B$2:$B$5761,Control!$B$3,Data!$C$2:$C$5761,A2)</f>
        <v>39.549999999999997</v>
      </c>
      <c r="E2">
        <f t="shared" ref="E2:E9" si="0">C2-D2</f>
        <v>23.080000000000005</v>
      </c>
      <c r="F2">
        <f>VLOOKUP(A2,Products!$A$2:$C$9,3,FALSE)</f>
        <v>0.6</v>
      </c>
      <c r="G2">
        <f t="shared" ref="G2:G9" si="1">E2*F2</f>
        <v>13.848000000000003</v>
      </c>
      <c r="H2">
        <f t="shared" ref="H2:H9" si="2">B2/SUM($B$2:$B$9)</f>
        <v>5.4509380078574921E-2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8097.1</v>
      </c>
      <c r="K2">
        <f>SUMIFS(Data!$E$2:$E$5761,Data!$C$2:$C$5761,A2,Data!$B$2:$B$5761,Control!$B$3)</f>
        <v>19188.099999999999</v>
      </c>
      <c r="L2">
        <f t="shared" ref="L2:L9" si="4">B2/K2</f>
        <v>7.2018594858271542E-2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4745</v>
      </c>
      <c r="O2" cm="1">
        <f t="array" ref="O2">INDEX(Data!$E$2:$E$5761,N2)</f>
        <v>1381.9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1857.2</v>
      </c>
      <c r="C3">
        <f>SUMIFS(Data!$F$2:$F$5761,Data!$A$2:$A$5761,Control!$B$2,Data!$B$2:$B$5761,Control!$B$3,Data!$C$2:$C$5761,A3)</f>
        <v>88.2</v>
      </c>
      <c r="D3">
        <f>SUMIFS(Data!$G$2:$G$5761,Data!$A$2:$A$5761,Control!$B$2,Data!$B$2:$B$5761,Control!$B$3,Data!$C$2:$C$5761,A3)</f>
        <v>53.97</v>
      </c>
      <c r="E3">
        <f t="shared" si="0"/>
        <v>34.230000000000004</v>
      </c>
      <c r="F3">
        <f>VLOOKUP(A3,Products!$A$2:$C$9,3,FALSE)</f>
        <v>0.65</v>
      </c>
      <c r="G3">
        <f t="shared" si="1"/>
        <v>22.249500000000005</v>
      </c>
      <c r="H3">
        <f t="shared" si="2"/>
        <v>7.3257703655785031E-2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11011.800000000001</v>
      </c>
      <c r="K3">
        <f>SUMIFS(Data!$E$2:$E$5761,Data!$C$2:$C$5761,A3,Data!$B$2:$B$5761,Control!$B$3)</f>
        <v>26437.700000000004</v>
      </c>
      <c r="L3">
        <f t="shared" si="4"/>
        <v>7.0248168335369551E-2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4746</v>
      </c>
      <c r="O3" cm="1">
        <f t="array" ref="O3">INDEX(Data!$E$2:$E$5761,N3)</f>
        <v>1857.2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2378.4</v>
      </c>
      <c r="C4">
        <f>SUMIFS(Data!$F$2:$F$5761,Data!$A$2:$A$5761,Control!$B$2,Data!$B$2:$B$5761,Control!$B$3,Data!$C$2:$C$5761,A4)</f>
        <v>117.23</v>
      </c>
      <c r="D4">
        <f>SUMIFS(Data!$G$2:$G$5761,Data!$A$2:$A$5761,Control!$B$2,Data!$B$2:$B$5761,Control!$B$3,Data!$C$2:$C$5761,A4)</f>
        <v>72.2</v>
      </c>
      <c r="E4">
        <f t="shared" si="0"/>
        <v>45.03</v>
      </c>
      <c r="F4">
        <f>VLOOKUP(A4,Products!$A$2:$C$9,3,FALSE)</f>
        <v>0.7</v>
      </c>
      <c r="G4">
        <f t="shared" si="1"/>
        <v>31.520999999999997</v>
      </c>
      <c r="H4">
        <f t="shared" si="2"/>
        <v>9.3816563846068887E-2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14102.800000000001</v>
      </c>
      <c r="K4">
        <f>SUMIFS(Data!$E$2:$E$5761,Data!$C$2:$C$5761,A4,Data!$B$2:$B$5761,Control!$B$3)</f>
        <v>33719.700000000004</v>
      </c>
      <c r="L4">
        <f t="shared" si="4"/>
        <v>7.0534435359745185E-2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4747</v>
      </c>
      <c r="O4" cm="1">
        <f t="array" ref="O4">INDEX(Data!$E$2:$E$5761,N4)</f>
        <v>2378.4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2912.6</v>
      </c>
      <c r="C5">
        <f>SUMIFS(Data!$F$2:$F$5761,Data!$A$2:$A$5761,Control!$B$2,Data!$B$2:$B$5761,Control!$B$3,Data!$C$2:$C$5761,A5)</f>
        <v>149.32</v>
      </c>
      <c r="D5">
        <f>SUMIFS(Data!$G$2:$G$5761,Data!$A$2:$A$5761,Control!$B$2,Data!$B$2:$B$5761,Control!$B$3,Data!$C$2:$C$5761,A5)</f>
        <v>90.48</v>
      </c>
      <c r="E5">
        <f t="shared" si="0"/>
        <v>58.839999999999989</v>
      </c>
      <c r="F5">
        <f>VLOOKUP(A5,Products!$A$2:$C$9,3,FALSE)</f>
        <v>0.75</v>
      </c>
      <c r="G5">
        <f t="shared" si="1"/>
        <v>44.129999999999995</v>
      </c>
      <c r="H5">
        <f t="shared" si="2"/>
        <v>0.11488821218384637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17159.199999999997</v>
      </c>
      <c r="K5">
        <f>SUMIFS(Data!$E$2:$E$5761,Data!$C$2:$C$5761,A5,Data!$B$2:$B$5761,Control!$B$3)</f>
        <v>40840.5</v>
      </c>
      <c r="L5">
        <f t="shared" si="4"/>
        <v>7.1316462824891957E-2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4748</v>
      </c>
      <c r="O5" cm="1">
        <f t="array" ref="O5">INDEX(Data!$E$2:$E$5761,N5)</f>
        <v>2912.6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3434.6</v>
      </c>
      <c r="C6">
        <f>SUMIFS(Data!$F$2:$F$5761,Data!$A$2:$A$5761,Control!$B$2,Data!$B$2:$B$5761,Control!$B$3,Data!$C$2:$C$5761,A6)</f>
        <v>182.11</v>
      </c>
      <c r="D6">
        <f>SUMIFS(Data!$G$2:$G$5761,Data!$A$2:$A$5761,Control!$B$2,Data!$B$2:$B$5761,Control!$B$3,Data!$C$2:$C$5761,A6)</f>
        <v>110.03</v>
      </c>
      <c r="E6">
        <f t="shared" si="0"/>
        <v>72.080000000000013</v>
      </c>
      <c r="F6">
        <f>VLOOKUP(A6,Products!$A$2:$C$9,3,FALSE)</f>
        <v>0.8</v>
      </c>
      <c r="G6">
        <f t="shared" si="1"/>
        <v>57.664000000000016</v>
      </c>
      <c r="H6">
        <f t="shared" si="2"/>
        <v>0.13547862856782214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20211.599999999999</v>
      </c>
      <c r="K6">
        <f>SUMIFS(Data!$E$2:$E$5761,Data!$C$2:$C$5761,A6,Data!$B$2:$B$5761,Control!$B$3)</f>
        <v>48135.299999999996</v>
      </c>
      <c r="L6">
        <f t="shared" si="4"/>
        <v>7.1353040284365121E-2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4749</v>
      </c>
      <c r="O6" cm="1">
        <f t="array" ref="O6">INDEX(Data!$E$2:$E$5761,N6)</f>
        <v>3434.6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3965.6</v>
      </c>
      <c r="C7">
        <f>SUMIFS(Data!$F$2:$F$5761,Data!$A$2:$A$5761,Control!$B$2,Data!$B$2:$B$5761,Control!$B$3,Data!$C$2:$C$5761,A7)</f>
        <v>218.71</v>
      </c>
      <c r="D7">
        <f>SUMIFS(Data!$G$2:$G$5761,Data!$A$2:$A$5761,Control!$B$2,Data!$B$2:$B$5761,Control!$B$3,Data!$C$2:$C$5761,A7)</f>
        <v>131.46</v>
      </c>
      <c r="E7">
        <f t="shared" si="0"/>
        <v>87.25</v>
      </c>
      <c r="F7">
        <f>VLOOKUP(A7,Products!$A$2:$C$9,3,FALSE)</f>
        <v>0.85</v>
      </c>
      <c r="G7">
        <f t="shared" si="1"/>
        <v>74.162499999999994</v>
      </c>
      <c r="H7">
        <f t="shared" si="2"/>
        <v>0.15642405213083196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23323.399999999998</v>
      </c>
      <c r="K7">
        <f>SUMIFS(Data!$E$2:$E$5761,Data!$C$2:$C$5761,A7,Data!$B$2:$B$5761,Control!$B$3)</f>
        <v>55329.69999999999</v>
      </c>
      <c r="L7">
        <f t="shared" si="4"/>
        <v>7.1672176064572921E-2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4750</v>
      </c>
      <c r="O7" cm="1">
        <f t="array" ref="O7">INDEX(Data!$E$2:$E$5761,N7)</f>
        <v>3965.6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4474.8</v>
      </c>
      <c r="C8">
        <f>SUMIFS(Data!$F$2:$F$5761,Data!$A$2:$A$5761,Control!$B$2,Data!$B$2:$B$5761,Control!$B$3,Data!$C$2:$C$5761,A8)</f>
        <v>255.43</v>
      </c>
      <c r="D8">
        <f>SUMIFS(Data!$G$2:$G$5761,Data!$A$2:$A$5761,Control!$B$2,Data!$B$2:$B$5761,Control!$B$3,Data!$C$2:$C$5761,A8)</f>
        <v>152.96</v>
      </c>
      <c r="E8">
        <f t="shared" si="0"/>
        <v>102.47</v>
      </c>
      <c r="F8">
        <f>VLOOKUP(A8,Products!$A$2:$C$9,3,FALSE)</f>
        <v>0.9</v>
      </c>
      <c r="G8">
        <f t="shared" si="1"/>
        <v>92.222999999999999</v>
      </c>
      <c r="H8">
        <f t="shared" si="2"/>
        <v>0.17650956941573706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26268.799999999999</v>
      </c>
      <c r="K8">
        <f>SUMIFS(Data!$E$2:$E$5761,Data!$C$2:$C$5761,A8,Data!$B$2:$B$5761,Control!$B$3)</f>
        <v>62574.200000000004</v>
      </c>
      <c r="L8">
        <f t="shared" si="4"/>
        <v>7.1511901071048448E-2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4751</v>
      </c>
      <c r="O8" cm="1">
        <f t="array" ref="O8">INDEX(Data!$E$2:$E$5761,N8)</f>
        <v>4474.8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4946.5</v>
      </c>
      <c r="C9">
        <f>SUMIFS(Data!$F$2:$F$5761,Data!$A$2:$A$5761,Control!$B$2,Data!$B$2:$B$5761,Control!$B$3,Data!$C$2:$C$5761,A9)</f>
        <v>291.87</v>
      </c>
      <c r="D9">
        <f>SUMIFS(Data!$G$2:$G$5761,Data!$A$2:$A$5761,Control!$B$2,Data!$B$2:$B$5761,Control!$B$3,Data!$C$2:$C$5761,A9)</f>
        <v>173.98</v>
      </c>
      <c r="E9">
        <f t="shared" si="0"/>
        <v>117.89000000000001</v>
      </c>
      <c r="F9">
        <f>VLOOKUP(A9,Products!$A$2:$C$9,3,FALSE)</f>
        <v>0.95</v>
      </c>
      <c r="G9">
        <f t="shared" si="1"/>
        <v>111.99550000000001</v>
      </c>
      <c r="H9">
        <f t="shared" si="2"/>
        <v>0.19511589012133354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29215.3</v>
      </c>
      <c r="K9">
        <f>SUMIFS(Data!$E$2:$E$5761,Data!$C$2:$C$5761,A9,Data!$B$2:$B$5761,Control!$B$3)</f>
        <v>69574.3</v>
      </c>
      <c r="L9">
        <f t="shared" si="4"/>
        <v>7.1096654942989002E-2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4752</v>
      </c>
      <c r="O9" cm="1">
        <f t="array" ref="O9">INDEX(Data!$E$2:$E$5761,N9)</f>
        <v>4946.5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46771.4</v>
      </c>
      <c r="D2">
        <f>SUMIFS(Data!$F$2:$F$5761,Data!$I$2:$I$5761,A2,Data!$B$2:$B$5761,Control!$B$3)</f>
        <v>2524.7400000000002</v>
      </c>
      <c r="E2">
        <f>SUMIF(Calc_Bank!$B$2:$B$21,A2,Calc_Bank!$F$2:$F$21)</f>
        <v>997.95</v>
      </c>
      <c r="F2">
        <f t="shared" ref="F2:F6" si="0">IFERROR(C2/B2,0)</f>
        <v>11692.85</v>
      </c>
      <c r="G2">
        <f>_xlfn.MAXIFS(Calc_Bank!$C$2:$C$21,Calc_Bank!$B$2:$B$21,A2)</f>
        <v>17142.600000000002</v>
      </c>
      <c r="H2">
        <f>_xlfn.MINIFS(Calc_Bank!$C$2:$C$21,Calc_Bank!$B$2:$B$21,A2)</f>
        <v>6798.5</v>
      </c>
      <c r="I2">
        <f>VLOOKUP(A2,Aree!$A$2:$C$6,3,FALSE)</f>
        <v>42000</v>
      </c>
      <c r="J2">
        <f t="shared" ref="J2:J6" si="1">C2-I2</f>
        <v>4771.4000000000015</v>
      </c>
      <c r="K2">
        <f t="shared" ref="K2:K6" si="2">C2/SUM($C$2:$C$6)</f>
        <v>0.13145437247663361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73571.899999999994</v>
      </c>
      <c r="D3">
        <f>SUMIFS(Data!$F$2:$F$5761,Data!$I$2:$I$5761,A3,Data!$B$2:$B$5761,Control!$B$3)</f>
        <v>3966.1899999999996</v>
      </c>
      <c r="E3">
        <f>SUMIF(Calc_Bank!$B$2:$B$21,A3,Calc_Bank!$F$2:$F$21)</f>
        <v>1569.54</v>
      </c>
      <c r="F3">
        <f t="shared" si="0"/>
        <v>18392.974999999999</v>
      </c>
      <c r="G3">
        <f>_xlfn.MAXIFS(Calc_Bank!$C$2:$C$21,Calc_Bank!$B$2:$B$21,A3)</f>
        <v>27612.3</v>
      </c>
      <c r="H3">
        <f>_xlfn.MINIFS(Calc_Bank!$C$2:$C$21,Calc_Bank!$B$2:$B$21,A3)</f>
        <v>7958.7</v>
      </c>
      <c r="I3">
        <f>VLOOKUP(A3,Aree!$A$2:$C$6,3,FALSE)</f>
        <v>30000</v>
      </c>
      <c r="J3">
        <f t="shared" si="1"/>
        <v>43571.899999999994</v>
      </c>
      <c r="K3">
        <f t="shared" si="2"/>
        <v>0.20677909890261226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105453.40000000002</v>
      </c>
      <c r="D4">
        <f>SUMIFS(Data!$F$2:$F$5761,Data!$I$2:$I$5761,A4,Data!$B$2:$B$5761,Control!$B$3)</f>
        <v>5687.4700000000012</v>
      </c>
      <c r="E4">
        <f>SUMIF(Calc_Bank!$B$2:$B$21,A4,Calc_Bank!$F$2:$F$21)</f>
        <v>2249.5700000000002</v>
      </c>
      <c r="F4">
        <f t="shared" si="0"/>
        <v>17575.566666666669</v>
      </c>
      <c r="G4">
        <f>_xlfn.MAXIFS(Calc_Bank!$C$2:$C$21,Calc_Bank!$B$2:$B$21,A4)</f>
        <v>28772.399999999998</v>
      </c>
      <c r="H4">
        <f>_xlfn.MINIFS(Calc_Bank!$C$2:$C$21,Calc_Bank!$B$2:$B$21,A4)</f>
        <v>9113.2999999999993</v>
      </c>
      <c r="I4">
        <f>VLOOKUP(A4,Aree!$A$2:$C$6,3,FALSE)</f>
        <v>47000</v>
      </c>
      <c r="J4">
        <f t="shared" si="1"/>
        <v>58453.400000000023</v>
      </c>
      <c r="K4">
        <f t="shared" si="2"/>
        <v>0.29638434005668929</v>
      </c>
      <c r="L4" t="str">
        <f>IF(A4=Control!$B$5,"sì","no")</f>
        <v>no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78158.8</v>
      </c>
      <c r="D5">
        <f>SUMIFS(Data!$F$2:$F$5761,Data!$I$2:$I$5761,A5,Data!$B$2:$B$5761,Control!$B$3)</f>
        <v>4211.8200000000006</v>
      </c>
      <c r="E5">
        <f>SUMIF(Calc_Bank!$B$2:$B$21,A5,Calc_Bank!$F$2:$F$21)</f>
        <v>1669.4</v>
      </c>
      <c r="F5">
        <f t="shared" si="0"/>
        <v>19539.7</v>
      </c>
      <c r="G5">
        <f>_xlfn.MAXIFS(Calc_Bank!$C$2:$C$21,Calc_Bank!$B$2:$B$21,A5)</f>
        <v>24210.6</v>
      </c>
      <c r="H5">
        <f>_xlfn.MINIFS(Calc_Bank!$C$2:$C$21,Calc_Bank!$B$2:$B$21,A5)</f>
        <v>14918.2</v>
      </c>
      <c r="I5">
        <f>VLOOKUP(A5,Aree!$A$2:$C$6,3,FALSE)</f>
        <v>26000</v>
      </c>
      <c r="J5">
        <f t="shared" si="1"/>
        <v>52158.8</v>
      </c>
      <c r="K5">
        <f t="shared" si="2"/>
        <v>0.21967091016148141</v>
      </c>
      <c r="L5" t="str">
        <f>IF(A5=Control!$B$5,"sì","no")</f>
        <v>sì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51844</v>
      </c>
      <c r="D6">
        <f>SUMIFS(Data!$F$2:$F$5761,Data!$I$2:$I$5761,A6,Data!$B$2:$B$5761,Control!$B$3)</f>
        <v>2791.8500000000004</v>
      </c>
      <c r="E6">
        <f>SUMIF(Calc_Bank!$B$2:$B$21,A6,Calc_Bank!$F$2:$F$21)</f>
        <v>1105.7599999999998</v>
      </c>
      <c r="F6">
        <f t="shared" si="0"/>
        <v>25922</v>
      </c>
      <c r="G6">
        <f>_xlfn.MAXIFS(Calc_Bank!$C$2:$C$21,Calc_Bank!$B$2:$B$21,A6)</f>
        <v>26492.400000000001</v>
      </c>
      <c r="H6">
        <f>_xlfn.MINIFS(Calc_Bank!$C$2:$C$21,Calc_Bank!$B$2:$B$21,A6)</f>
        <v>25351.600000000002</v>
      </c>
      <c r="I6">
        <f>VLOOKUP(A6,Aree!$A$2:$C$6,3,FALSE)</f>
        <v>16000</v>
      </c>
      <c r="J6">
        <f t="shared" si="1"/>
        <v>35844</v>
      </c>
      <c r="K6">
        <f t="shared" si="2"/>
        <v>0.14571127840258347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5965.8068138729241</v>
      </c>
      <c r="C49">
        <f>C3*(1+Control!$B$4)^(C$48/12)</f>
        <v>6005.2347219927542</v>
      </c>
      <c r="D49">
        <f>D3*(1+Control!$B$4)^(D$48/12)</f>
        <v>6136.090603438508</v>
      </c>
      <c r="E49">
        <f>E3*(1+Control!$B$4)^(E$48/12)</f>
        <v>6203.066965641051</v>
      </c>
      <c r="F49">
        <f>F3*(1+Control!$B$4)^(F$48/12)</f>
        <v>6371.1121939632003</v>
      </c>
      <c r="G49">
        <f>G3*(1+Control!$B$4)^(G$48/12)</f>
        <v>6367.9675535055931</v>
      </c>
      <c r="H49">
        <f>H3*(1+Control!$B$4)^(H$48/12)</f>
        <v>6450.6021681647653</v>
      </c>
      <c r="I49">
        <f>I3*(1+Control!$B$4)^(I$48/12)</f>
        <v>6488.1430908171369</v>
      </c>
      <c r="J49">
        <f>J3*(1+Control!$B$4)^(J$48/12)</f>
        <v>6553.5779549874105</v>
      </c>
      <c r="K49">
        <f>K3*(1+Control!$B$4)^(K$48/12)</f>
        <v>6701.716516360435</v>
      </c>
      <c r="L49">
        <f>L3*(1+Control!$B$4)^(L$48/12)</f>
        <v>6688.6545932410691</v>
      </c>
      <c r="M49">
        <f>M3*(1+Control!$B$4)^(M$48/12)</f>
        <v>6878.6550000000007</v>
      </c>
      <c r="N49">
        <f>N3*(1+Control!$B$4)^(N$48/12)</f>
        <v>6897.2964192482532</v>
      </c>
      <c r="O49">
        <f>O3*(1+Control!$B$4)^(O$48/12)</f>
        <v>7049.144052661426</v>
      </c>
      <c r="P49">
        <f>P3*(1+Control!$B$4)^(P$48/12)</f>
        <v>6972.1059964087626</v>
      </c>
      <c r="Q49">
        <f>Q3*(1+Control!$B$4)^(Q$48/12)</f>
        <v>7074.1491353220863</v>
      </c>
      <c r="R49">
        <f>R3*(1+Control!$B$4)^(R$48/12)</f>
        <v>7214.1984528616094</v>
      </c>
      <c r="S49">
        <f>S3*(1+Control!$B$4)^(S$48/12)</f>
        <v>7314.7089521495145</v>
      </c>
      <c r="T49">
        <f>T3*(1+Control!$B$4)^(T$48/12)</f>
        <v>7299.4609171794818</v>
      </c>
      <c r="U49">
        <f>U3*(1+Control!$B$4)^(U$48/12)</f>
        <v>7340.2639137548831</v>
      </c>
      <c r="V49">
        <f>V3*(1+Control!$B$4)^(V$48/12)</f>
        <v>7494.8748883538028</v>
      </c>
      <c r="W49">
        <f>W3*(1+Control!$B$4)^(W$48/12)</f>
        <v>7578.9949232237395</v>
      </c>
      <c r="X49">
        <f>X3*(1+Control!$B$4)^(X$48/12)</f>
        <v>7780.6158080848527</v>
      </c>
      <c r="Y49">
        <f>Y3*(1+Control!$B$4)^(Y$48/12)</f>
        <v>7876.4805000000015</v>
      </c>
      <c r="Z49">
        <f>Z3*(1+Control!$B$4)^(Z$48/12)</f>
        <v>7778.2773309193017</v>
      </c>
      <c r="AA49">
        <f>AA3*(1+Control!$B$4)^(AA$48/12)</f>
        <v>7929.4534329370254</v>
      </c>
      <c r="AB49">
        <f>AB3*(1+Control!$B$4)^(AB$48/12)</f>
        <v>8063.8757654283945</v>
      </c>
      <c r="AC49">
        <f>AC3*(1+Control!$B$4)^(AC$48/12)</f>
        <v>8131.5789376560906</v>
      </c>
      <c r="AD49">
        <f>AD3*(1+Control!$B$4)^(AD$48/12)</f>
        <v>8225.5781980871834</v>
      </c>
      <c r="AE49">
        <f>AE3*(1+Control!$B$4)^(AE$48/12)</f>
        <v>8308.9111526561337</v>
      </c>
      <c r="AF49">
        <f>AF3*(1+Control!$B$4)^(AF$48/12)</f>
        <v>8469.9209623803945</v>
      </c>
      <c r="AG49">
        <f>AG3*(1+Control!$B$4)^(AG$48/12)</f>
        <v>8361.1485130972778</v>
      </c>
      <c r="AH49">
        <f>AH3*(1+Control!$B$4)^(AH$48/12)</f>
        <v>8555.4299085214134</v>
      </c>
      <c r="AI49">
        <f>AI3*(1+Control!$B$4)^(AI$48/12)</f>
        <v>8655.3915479917232</v>
      </c>
      <c r="AJ49">
        <f>AJ3*(1+Control!$B$4)^(AJ$48/12)</f>
        <v>8744.1505358341565</v>
      </c>
      <c r="AK49">
        <f>AK3*(1+Control!$B$4)^(AK$48/12)</f>
        <v>8793.0879750000022</v>
      </c>
    </row>
    <row r="50" spans="1:37" x14ac:dyDescent="0.25">
      <c r="A50" t="s">
        <v>22</v>
      </c>
      <c r="B50">
        <f>B4*(1+Control!$B$4)^(B$48/12)</f>
        <v>7008.6381988346229</v>
      </c>
      <c r="C50">
        <f>C4*(1+Control!$B$4)^(C$48/12)</f>
        <v>7070.4616983311935</v>
      </c>
      <c r="D50">
        <f>D4*(1+Control!$B$4)^(D$48/12)</f>
        <v>7222.2587109808665</v>
      </c>
      <c r="E50">
        <f>E4*(1+Control!$B$4)^(E$48/12)</f>
        <v>7323.0341112153374</v>
      </c>
      <c r="F50">
        <f>F4*(1+Control!$B$4)^(F$48/12)</f>
        <v>7393.6905499117374</v>
      </c>
      <c r="G50">
        <f>G4*(1+Control!$B$4)^(G$48/12)</f>
        <v>7459.0628710649717</v>
      </c>
      <c r="H50">
        <f>H4*(1+Control!$B$4)^(H$48/12)</f>
        <v>7408.9943972775454</v>
      </c>
      <c r="I50">
        <f>I4*(1+Control!$B$4)^(I$48/12)</f>
        <v>7644.7588068395653</v>
      </c>
      <c r="J50">
        <f>J4*(1+Control!$B$4)^(J$48/12)</f>
        <v>7770.2961046210403</v>
      </c>
      <c r="K50">
        <f>K4*(1+Control!$B$4)^(K$48/12)</f>
        <v>7772.5830559227761</v>
      </c>
      <c r="L50">
        <f>L4*(1+Control!$B$4)^(L$48/12)</f>
        <v>8027.6194845319897</v>
      </c>
      <c r="M50">
        <f>M4*(1+Control!$B$4)^(M$48/12)</f>
        <v>8050.14</v>
      </c>
      <c r="N50">
        <f>N4*(1+Control!$B$4)^(N$48/12)</f>
        <v>8064.8036881601674</v>
      </c>
      <c r="O50">
        <f>O4*(1+Control!$B$4)^(O$48/12)</f>
        <v>8162.3395123750124</v>
      </c>
      <c r="P50">
        <f>P4*(1+Control!$B$4)^(P$48/12)</f>
        <v>8285.9391908353846</v>
      </c>
      <c r="Q50">
        <f>Q4*(1+Control!$B$4)^(Q$48/12)</f>
        <v>8395.4694811631798</v>
      </c>
      <c r="R50">
        <f>R4*(1+Control!$B$4)^(R$48/12)</f>
        <v>8441.5680250658297</v>
      </c>
      <c r="S50">
        <f>S4*(1+Control!$B$4)^(S$48/12)</f>
        <v>8563.0027414094784</v>
      </c>
      <c r="T50">
        <f>T4*(1+Control!$B$4)^(T$48/12)</f>
        <v>8609.7729208568126</v>
      </c>
      <c r="U50">
        <f>U4*(1+Control!$B$4)^(U$48/12)</f>
        <v>8814.9334557601687</v>
      </c>
      <c r="V50">
        <f>V4*(1+Control!$B$4)^(V$48/12)</f>
        <v>8750.8640943771406</v>
      </c>
      <c r="W50">
        <f>W4*(1+Control!$B$4)^(W$48/12)</f>
        <v>8907.57452530505</v>
      </c>
      <c r="X50">
        <f>X4*(1+Control!$B$4)^(X$48/12)</f>
        <v>8997.0095693318763</v>
      </c>
      <c r="Y50">
        <f>Y4*(1+Control!$B$4)^(Y$48/12)</f>
        <v>9119.9902500000007</v>
      </c>
      <c r="Z50">
        <f>Z4*(1+Control!$B$4)^(Z$48/12)</f>
        <v>9205.6324565846171</v>
      </c>
      <c r="AA50">
        <f>AA4*(1+Control!$B$4)^(AA$48/12)</f>
        <v>9290.3761667873332</v>
      </c>
      <c r="AB50">
        <f>AB4*(1+Control!$B$4)^(AB$48/12)</f>
        <v>9429.0038307902414</v>
      </c>
      <c r="AC50">
        <f>AC4*(1+Control!$B$4)^(AC$48/12)</f>
        <v>9473.5819329620099</v>
      </c>
      <c r="AD50">
        <f>AD4*(1+Control!$B$4)^(AD$48/12)</f>
        <v>9558.7593718343614</v>
      </c>
      <c r="AE50">
        <f>AE4*(1+Control!$B$4)^(AE$48/12)</f>
        <v>9679.6080990744849</v>
      </c>
      <c r="AF50">
        <f>AF4*(1+Control!$B$4)^(AF$48/12)</f>
        <v>9746.8350803345129</v>
      </c>
      <c r="AG50">
        <f>AG4*(1+Control!$B$4)^(AG$48/12)</f>
        <v>9904.6540456400053</v>
      </c>
      <c r="AH50">
        <f>AH4*(1+Control!$B$4)^(AH$48/12)</f>
        <v>10001.385848254942</v>
      </c>
      <c r="AI50">
        <f>AI4*(1+Control!$B$4)^(AI$48/12)</f>
        <v>10096.444943861876</v>
      </c>
      <c r="AJ50">
        <f>AJ4*(1+Control!$B$4)^(AJ$48/12)</f>
        <v>10253.217771617727</v>
      </c>
      <c r="AK50">
        <f>AK4*(1+Control!$B$4)^(AK$48/12)</f>
        <v>10365.605775000002</v>
      </c>
    </row>
    <row r="51" spans="1:37" x14ac:dyDescent="0.25">
      <c r="A51" t="s">
        <v>24</v>
      </c>
      <c r="B51">
        <f>B5*(1+Control!$B$4)^(B$48/12)</f>
        <v>8044.7422871669696</v>
      </c>
      <c r="C51">
        <f>C5*(1+Control!$B$4)^(C$48/12)</f>
        <v>8192.8516214407737</v>
      </c>
      <c r="D51">
        <f>D5*(1+Control!$B$4)^(D$48/12)</f>
        <v>8263.6843857614622</v>
      </c>
      <c r="E51">
        <f>E5*(1+Control!$B$4)^(E$48/12)</f>
        <v>8344.3091705429033</v>
      </c>
      <c r="F51">
        <f>F5*(1+Control!$B$4)^(F$48/12)</f>
        <v>8496.1769749927826</v>
      </c>
      <c r="G51">
        <f>G5*(1+Control!$B$4)^(G$48/12)</f>
        <v>8549.3384325630723</v>
      </c>
      <c r="H51">
        <f>H5*(1+Control!$B$4)^(H$48/12)</f>
        <v>8647.6507629553507</v>
      </c>
      <c r="I51">
        <f>I5*(1+Control!$B$4)^(I$48/12)</f>
        <v>8719.6593539290061</v>
      </c>
      <c r="J51">
        <f>J5*(1+Control!$B$4)^(J$48/12)</f>
        <v>8816.3832776010186</v>
      </c>
      <c r="K51">
        <f>K5*(1+Control!$B$4)^(K$48/12)</f>
        <v>8947.0784815835941</v>
      </c>
      <c r="L51">
        <f>L5*(1+Control!$B$4)^(L$48/12)</f>
        <v>9040.3136431747007</v>
      </c>
      <c r="M51">
        <f>M5*(1+Control!$B$4)^(M$48/12)</f>
        <v>9154.635000000002</v>
      </c>
      <c r="N51">
        <f>N5*(1+Control!$B$4)^(N$48/12)</f>
        <v>9213.4393839155637</v>
      </c>
      <c r="O51">
        <f>O5*(1+Control!$B$4)^(O$48/12)</f>
        <v>9277.7579755741481</v>
      </c>
      <c r="P51">
        <f>P5*(1+Control!$B$4)^(P$48/12)</f>
        <v>9362.0048214781436</v>
      </c>
      <c r="Q51">
        <f>Q5*(1+Control!$B$4)^(Q$48/12)</f>
        <v>9522.9833696868136</v>
      </c>
      <c r="R51">
        <f>R5*(1+Control!$B$4)^(R$48/12)</f>
        <v>9704.4063704846103</v>
      </c>
      <c r="S51">
        <f>S5*(1+Control!$B$4)^(S$48/12)</f>
        <v>9805.2713236190575</v>
      </c>
      <c r="T51">
        <f>T5*(1+Control!$B$4)^(T$48/12)</f>
        <v>9893.7252799717535</v>
      </c>
      <c r="U51">
        <f>U5*(1+Control!$B$4)^(U$48/12)</f>
        <v>10054.97922289547</v>
      </c>
      <c r="V51">
        <f>V5*(1+Control!$B$4)^(V$48/12)</f>
        <v>10049.765175805718</v>
      </c>
      <c r="W51">
        <f>W5*(1+Control!$B$4)^(W$48/12)</f>
        <v>10207.283848766763</v>
      </c>
      <c r="X51">
        <f>X5*(1+Control!$B$4)^(X$48/12)</f>
        <v>10245.795112449981</v>
      </c>
      <c r="Y51">
        <f>Y5*(1+Control!$B$4)^(Y$48/12)</f>
        <v>10370.115</v>
      </c>
      <c r="Z51">
        <f>Z5*(1+Control!$B$4)^(Z$48/12)</f>
        <v>10590.368400973284</v>
      </c>
      <c r="AA51">
        <f>AA5*(1+Control!$B$4)^(AA$48/12)</f>
        <v>10688.423058846234</v>
      </c>
      <c r="AB51">
        <f>AB5*(1+Control!$B$4)^(AB$48/12)</f>
        <v>10857.968820071885</v>
      </c>
      <c r="AC51">
        <f>AC5*(1+Control!$B$4)^(AC$48/12)</f>
        <v>10831.048890638689</v>
      </c>
      <c r="AD51">
        <f>AD5*(1+Control!$B$4)^(AD$48/12)</f>
        <v>11007.042608265594</v>
      </c>
      <c r="AE51">
        <f>AE5*(1+Control!$B$4)^(AE$48/12)</f>
        <v>11145.653947065164</v>
      </c>
      <c r="AF51">
        <f>AF5*(1+Control!$B$4)^(AF$48/12)</f>
        <v>11236.209013774826</v>
      </c>
      <c r="AG51">
        <f>AG5*(1+Control!$B$4)^(AG$48/12)</f>
        <v>11328.455894984507</v>
      </c>
      <c r="AH51">
        <f>AH5*(1+Control!$B$4)^(AH$48/12)</f>
        <v>11469.527445399757</v>
      </c>
      <c r="AI51">
        <f>AI5*(1+Control!$B$4)^(AI$48/12)</f>
        <v>11582.624553642539</v>
      </c>
      <c r="AJ51">
        <f>AJ5*(1+Control!$B$4)^(AJ$48/12)</f>
        <v>11820.046691649715</v>
      </c>
      <c r="AK51">
        <f>AK5*(1+Control!$B$4)^(AK$48/12)</f>
        <v>11857.900162500002</v>
      </c>
    </row>
    <row r="52" spans="1:37" x14ac:dyDescent="0.25">
      <c r="A52" t="s">
        <v>26</v>
      </c>
      <c r="B52">
        <f>B6*(1+Control!$B$4)^(B$48/12)</f>
        <v>9061.1665226731566</v>
      </c>
      <c r="C52">
        <f>C6*(1+Control!$B$4)^(C$48/12)</f>
        <v>9188.414406917027</v>
      </c>
      <c r="D52">
        <f>D6*(1+Control!$B$4)^(D$48/12)</f>
        <v>9274.5394390623023</v>
      </c>
      <c r="E52">
        <f>E6*(1+Control!$B$4)^(E$48/12)</f>
        <v>9467.1222259162714</v>
      </c>
      <c r="F52">
        <f>F6*(1+Control!$B$4)^(F$48/12)</f>
        <v>9512.3259460685877</v>
      </c>
      <c r="G52">
        <f>G6*(1+Control!$B$4)^(G$48/12)</f>
        <v>9665.9486575296905</v>
      </c>
      <c r="H52">
        <f>H6*(1+Control!$B$4)^(H$48/12)</f>
        <v>9706.769346582505</v>
      </c>
      <c r="I52">
        <f>I6*(1+Control!$B$4)^(I$48/12)</f>
        <v>9783.6094485444937</v>
      </c>
      <c r="J52">
        <f>J6*(1+Control!$B$4)^(J$48/12)</f>
        <v>9997.4193263417274</v>
      </c>
      <c r="K52">
        <f>K6*(1+Control!$B$4)^(K$48/12)</f>
        <v>10042.524334833613</v>
      </c>
      <c r="L52">
        <f>L6*(1+Control!$B$4)^(L$48/12)</f>
        <v>10180.901746057403</v>
      </c>
      <c r="M52">
        <f>M6*(1+Control!$B$4)^(M$48/12)</f>
        <v>10314.045000000002</v>
      </c>
      <c r="N52">
        <f>N6*(1+Control!$B$4)^(N$48/12)</f>
        <v>10429.548860789226</v>
      </c>
      <c r="O52">
        <f>O6*(1+Control!$B$4)^(O$48/12)</f>
        <v>10546.669536584681</v>
      </c>
      <c r="P52">
        <f>P6*(1+Control!$B$4)^(P$48/12)</f>
        <v>10555.413049535913</v>
      </c>
      <c r="Q52">
        <f>Q6*(1+Control!$B$4)^(Q$48/12)</f>
        <v>10663.837460393648</v>
      </c>
      <c r="R52">
        <f>R6*(1+Control!$B$4)^(R$48/12)</f>
        <v>10979.674859990671</v>
      </c>
      <c r="S52">
        <f>S6*(1+Control!$B$4)^(S$48/12)</f>
        <v>11047.217126879512</v>
      </c>
      <c r="T52">
        <f>T6*(1+Control!$B$4)^(T$48/12)</f>
        <v>11167.954819371053</v>
      </c>
      <c r="U52">
        <f>U6*(1+Control!$B$4)^(U$48/12)</f>
        <v>11290.686131503357</v>
      </c>
      <c r="V52">
        <f>V6*(1+Control!$B$4)^(V$48/12)</f>
        <v>11340.9334065902</v>
      </c>
      <c r="W52">
        <f>W6*(1+Control!$B$4)^(W$48/12)</f>
        <v>11583.980581880734</v>
      </c>
      <c r="X52">
        <f>X6*(1+Control!$B$4)^(X$48/12)</f>
        <v>11614.485149816304</v>
      </c>
      <c r="Y52">
        <f>Y6*(1+Control!$B$4)^(Y$48/12)</f>
        <v>11852.205749999999</v>
      </c>
      <c r="Z52">
        <f>Z6*(1+Control!$B$4)^(Z$48/12)</f>
        <v>11879.681658971105</v>
      </c>
      <c r="AA52">
        <f>AA6*(1+Control!$B$4)^(AA$48/12)</f>
        <v>11967.205813905673</v>
      </c>
      <c r="AB52">
        <f>AB6*(1+Control!$B$4)^(AB$48/12)</f>
        <v>12207.13765445378</v>
      </c>
      <c r="AC52">
        <f>AC6*(1+Control!$B$4)^(AC$48/12)</f>
        <v>12265.723602470827</v>
      </c>
      <c r="AD52">
        <f>AD6*(1+Control!$B$4)^(AD$48/12)</f>
        <v>12450.262704109553</v>
      </c>
      <c r="AE52">
        <f>AE6*(1+Control!$B$4)^(AE$48/12)</f>
        <v>12570.916674833561</v>
      </c>
      <c r="AF52">
        <f>AF6*(1+Control!$B$4)^(AF$48/12)</f>
        <v>12732.162055222718</v>
      </c>
      <c r="AG52">
        <f>AG6*(1+Control!$B$4)^(AG$48/12)</f>
        <v>12873.328167963369</v>
      </c>
      <c r="AH52">
        <f>AH6*(1+Control!$B$4)^(AH$48/12)</f>
        <v>12987.98702842584</v>
      </c>
      <c r="AI52">
        <f>AI6*(1+Control!$B$4)^(AI$48/12)</f>
        <v>13010.932377644836</v>
      </c>
      <c r="AJ52">
        <f>AJ6*(1+Control!$B$4)^(AJ$48/12)</f>
        <v>13283.573278175551</v>
      </c>
      <c r="AK52">
        <f>AK6*(1+Control!$B$4)^(AK$48/12)</f>
        <v>13274.6016375</v>
      </c>
    </row>
    <row r="53" spans="1:37" x14ac:dyDescent="0.25">
      <c r="A53" t="s">
        <v>27</v>
      </c>
      <c r="B53">
        <f>B7*(1+Control!$B$4)^(B$48/12)</f>
        <v>10011.422273422</v>
      </c>
      <c r="C53">
        <f>C7*(1+Control!$B$4)^(C$48/12)</f>
        <v>10211.298459721284</v>
      </c>
      <c r="D53">
        <f>D7*(1+Control!$B$4)^(D$48/12)</f>
        <v>10365.667680553363</v>
      </c>
      <c r="E53">
        <f>E7*(1+Control!$B$4)^(E$48/12)</f>
        <v>10416.944621359751</v>
      </c>
      <c r="F53">
        <f>F7*(1+Control!$B$4)^(F$48/12)</f>
        <v>10504.288183575554</v>
      </c>
      <c r="G53">
        <f>G7*(1+Control!$B$4)^(G$48/12)</f>
        <v>10687.364709880541</v>
      </c>
      <c r="H53">
        <f>H7*(1+Control!$B$4)^(H$48/12)</f>
        <v>10847.168645292761</v>
      </c>
      <c r="I53">
        <f>I7*(1+Control!$B$4)^(I$48/12)</f>
        <v>10955.307863257462</v>
      </c>
      <c r="J53">
        <f>J7*(1+Control!$B$4)^(J$48/12)</f>
        <v>11132.815478591487</v>
      </c>
      <c r="K53">
        <f>K7*(1+Control!$B$4)^(K$48/12)</f>
        <v>11204.938402919131</v>
      </c>
      <c r="L53">
        <f>L7*(1+Control!$B$4)^(L$48/12)</f>
        <v>11333.72500141441</v>
      </c>
      <c r="M53">
        <f>M7*(1+Control!$B$4)^(M$48/12)</f>
        <v>11503.905000000001</v>
      </c>
      <c r="N53">
        <f>N7*(1+Control!$B$4)^(N$48/12)</f>
        <v>11585.564501354436</v>
      </c>
      <c r="O53">
        <f>O7*(1+Control!$B$4)^(O$48/12)</f>
        <v>11708.135929127233</v>
      </c>
      <c r="P53">
        <f>P7*(1+Control!$B$4)^(P$48/12)</f>
        <v>11882.213451285572</v>
      </c>
      <c r="Q53">
        <f>Q7*(1+Control!$B$4)^(Q$48/12)</f>
        <v>12034.463193503831</v>
      </c>
      <c r="R53">
        <f>R7*(1+Control!$B$4)^(R$48/12)</f>
        <v>12225.261022667626</v>
      </c>
      <c r="S53">
        <f>S7*(1+Control!$B$4)^(S$48/12)</f>
        <v>12260.22041770151</v>
      </c>
      <c r="T53">
        <f>T7*(1+Control!$B$4)^(T$48/12)</f>
        <v>12401.888672615551</v>
      </c>
      <c r="U53">
        <f>U7*(1+Control!$B$4)^(U$48/12)</f>
        <v>12496.237973345704</v>
      </c>
      <c r="V53">
        <f>V7*(1+Control!$B$4)^(V$48/12)</f>
        <v>12686.993985608799</v>
      </c>
      <c r="W53">
        <f>W7*(1+Control!$B$4)^(W$48/12)</f>
        <v>12827.699061958989</v>
      </c>
      <c r="X53">
        <f>X7*(1+Control!$B$4)^(X$48/12)</f>
        <v>13025.119799639422</v>
      </c>
      <c r="Y53">
        <f>Y7*(1+Control!$B$4)^(Y$48/12)</f>
        <v>13094.502750000001</v>
      </c>
      <c r="Z53">
        <f>Z7*(1+Control!$B$4)^(Z$48/12)</f>
        <v>13183.607207692356</v>
      </c>
      <c r="AA53">
        <f>AA7*(1+Control!$B$4)^(AA$48/12)</f>
        <v>13382.25868262899</v>
      </c>
      <c r="AB53">
        <f>AB7*(1+Control!$B$4)^(AB$48/12)</f>
        <v>13627.174402627761</v>
      </c>
      <c r="AC53">
        <f>AC7*(1+Control!$B$4)^(AC$48/12)</f>
        <v>13677.314428445163</v>
      </c>
      <c r="AD53">
        <f>AD7*(1+Control!$B$4)^(AD$48/12)</f>
        <v>13777.480623387275</v>
      </c>
      <c r="AE53">
        <f>AE7*(1+Control!$B$4)^(AE$48/12)</f>
        <v>13962.287612943541</v>
      </c>
      <c r="AF53">
        <f>AF7*(1+Control!$B$4)^(AF$48/12)</f>
        <v>14154.497146723712</v>
      </c>
      <c r="AG53">
        <f>AG7*(1+Control!$B$4)^(AG$48/12)</f>
        <v>14256.355594296485</v>
      </c>
      <c r="AH53">
        <f>AH7*(1+Control!$B$4)^(AH$48/12)</f>
        <v>14362.697274513845</v>
      </c>
      <c r="AI53">
        <f>AI7*(1+Control!$B$4)^(AI$48/12)</f>
        <v>14589.431264738618</v>
      </c>
      <c r="AJ53">
        <f>AJ7*(1+Control!$B$4)^(AJ$48/12)</f>
        <v>14756.207994552931</v>
      </c>
      <c r="AK53">
        <f>AK7*(1+Control!$B$4)^(AK$48/12)</f>
        <v>14863.210425000003</v>
      </c>
    </row>
    <row r="54" spans="1:37" x14ac:dyDescent="0.25">
      <c r="A54" t="s">
        <v>28</v>
      </c>
      <c r="B54">
        <f>B8*(1+Control!$B$4)^(B$48/12)</f>
        <v>11165.605478711304</v>
      </c>
      <c r="C54">
        <f>C8*(1+Control!$B$4)^(C$48/12)</f>
        <v>11211.59961997398</v>
      </c>
      <c r="D54">
        <f>D8*(1+Control!$B$4)^(D$48/12)</f>
        <v>11342.915295671155</v>
      </c>
      <c r="E54">
        <f>E8*(1+Control!$B$4)^(E$48/12)</f>
        <v>11527.256001544298</v>
      </c>
      <c r="F54">
        <f>F8*(1+Control!$B$4)^(F$48/12)</f>
        <v>11651.270034125018</v>
      </c>
      <c r="G54">
        <f>G8*(1+Control!$B$4)^(G$48/12)</f>
        <v>11755.096979693533</v>
      </c>
      <c r="H54">
        <f>H8*(1+Control!$B$4)^(H$48/12)</f>
        <v>11926.76173816237</v>
      </c>
      <c r="I54">
        <f>I8*(1+Control!$B$4)^(I$48/12)</f>
        <v>12028.038981083195</v>
      </c>
      <c r="J54">
        <f>J8*(1+Control!$B$4)^(J$48/12)</f>
        <v>12229.210264748986</v>
      </c>
      <c r="K54">
        <f>K8*(1+Control!$B$4)^(K$48/12)</f>
        <v>12214.356658262275</v>
      </c>
      <c r="L54">
        <f>L8*(1+Control!$B$4)^(L$48/12)</f>
        <v>12520.32564351673</v>
      </c>
      <c r="M54">
        <f>M8*(1+Control!$B$4)^(M$48/12)</f>
        <v>12720.014999999999</v>
      </c>
      <c r="N54">
        <f>N8*(1+Control!$B$4)^(N$48/12)</f>
        <v>12762.665698519104</v>
      </c>
      <c r="O54">
        <f>O8*(1+Control!$B$4)^(O$48/12)</f>
        <v>12863.250883139663</v>
      </c>
      <c r="P54">
        <f>P8*(1+Control!$B$4)^(P$48/12)</f>
        <v>13164.053781743065</v>
      </c>
      <c r="Q54">
        <f>Q8*(1+Control!$B$4)^(Q$48/12)</f>
        <v>13339.348410255228</v>
      </c>
      <c r="R54">
        <f>R8*(1+Control!$B$4)^(R$48/12)</f>
        <v>13358.547262900891</v>
      </c>
      <c r="S54">
        <f>S8*(1+Control!$B$4)^(S$48/12)</f>
        <v>13516.58368068967</v>
      </c>
      <c r="T54">
        <f>T8*(1+Control!$B$4)^(T$48/12)</f>
        <v>13564.197753954852</v>
      </c>
      <c r="U54">
        <f>U8*(1+Control!$B$4)^(U$48/12)</f>
        <v>13802.559804487275</v>
      </c>
      <c r="V54">
        <f>V8*(1+Control!$B$4)^(V$48/12)</f>
        <v>13962.260861547686</v>
      </c>
      <c r="W54">
        <f>W8*(1+Control!$B$4)^(W$48/12)</f>
        <v>14221.127433818407</v>
      </c>
      <c r="X54">
        <f>X8*(1+Control!$B$4)^(X$48/12)</f>
        <v>14329.026273263577</v>
      </c>
      <c r="Y54">
        <f>Y8*(1+Control!$B$4)^(Y$48/12)</f>
        <v>14428.968749999998</v>
      </c>
      <c r="Z54">
        <f>Z8*(1+Control!$B$4)^(Z$48/12)</f>
        <v>14604.098984684548</v>
      </c>
      <c r="AA54">
        <f>AA8*(1+Control!$B$4)^(AA$48/12)</f>
        <v>14735.845504976998</v>
      </c>
      <c r="AB54">
        <f>AB8*(1+Control!$B$4)^(AB$48/12)</f>
        <v>14854.137936848501</v>
      </c>
      <c r="AC54">
        <f>AC8*(1+Control!$B$4)^(AC$48/12)</f>
        <v>15011.585442565702</v>
      </c>
      <c r="AD54">
        <f>AD8*(1+Control!$B$4)^(AD$48/12)</f>
        <v>15339.85329438511</v>
      </c>
      <c r="AE54">
        <f>AE8*(1+Control!$B$4)^(AE$48/12)</f>
        <v>15355.466113168637</v>
      </c>
      <c r="AF54">
        <f>AF8*(1+Control!$B$4)^(AF$48/12)</f>
        <v>15534.181469072111</v>
      </c>
      <c r="AG54">
        <f>AG8*(1+Control!$B$4)^(AG$48/12)</f>
        <v>15782.549081314826</v>
      </c>
      <c r="AH54">
        <f>AH8*(1+Control!$B$4)^(AH$48/12)</f>
        <v>15883.444038716349</v>
      </c>
      <c r="AI54">
        <f>AI8*(1+Control!$B$4)^(AI$48/12)</f>
        <v>16079.285273616324</v>
      </c>
      <c r="AJ54">
        <f>AJ8*(1+Control!$B$4)^(AJ$48/12)</f>
        <v>16241.640209835652</v>
      </c>
      <c r="AK54">
        <f>AK8*(1+Control!$B$4)^(AK$48/12)</f>
        <v>16378.194262499999</v>
      </c>
    </row>
    <row r="55" spans="1:37" x14ac:dyDescent="0.25">
      <c r="A55" t="s">
        <v>29</v>
      </c>
      <c r="B55">
        <f>B9*(1+Control!$B$4)^(B$48/12)</f>
        <v>12082.023931488642</v>
      </c>
      <c r="C55">
        <f>C9*(1+Control!$B$4)^(C$48/12)</f>
        <v>12328.243003461068</v>
      </c>
      <c r="D55">
        <f>D9*(1+Control!$B$4)^(D$48/12)</f>
        <v>12506.62345637078</v>
      </c>
      <c r="E55">
        <f>E9*(1+Control!$B$4)^(E$48/12)</f>
        <v>12654.236281980606</v>
      </c>
      <c r="F55">
        <f>F9*(1+Control!$B$4)^(F$48/12)</f>
        <v>12680.583936130703</v>
      </c>
      <c r="G55">
        <f>G9*(1+Control!$B$4)^(G$48/12)</f>
        <v>12934.623482363144</v>
      </c>
      <c r="H55">
        <f>H9*(1+Control!$B$4)^(H$48/12)</f>
        <v>13085.989354417195</v>
      </c>
      <c r="I55">
        <f>I9*(1+Control!$B$4)^(I$48/12)</f>
        <v>13193.435720315871</v>
      </c>
      <c r="J55">
        <f>J9*(1+Control!$B$4)^(J$48/12)</f>
        <v>13361.079697724448</v>
      </c>
      <c r="K55">
        <f>K9*(1+Control!$B$4)^(K$48/12)</f>
        <v>13504.458177962601</v>
      </c>
      <c r="L55">
        <f>L9*(1+Control!$B$4)^(L$48/12)</f>
        <v>13581.542116245584</v>
      </c>
      <c r="M55">
        <f>M9*(1+Control!$B$4)^(M$48/12)</f>
        <v>13773.585000000003</v>
      </c>
      <c r="N55">
        <f>N9*(1+Control!$B$4)^(N$48/12)</f>
        <v>14022.422277553636</v>
      </c>
      <c r="O55">
        <f>O9*(1+Control!$B$4)^(O$48/12)</f>
        <v>13976.975629397428</v>
      </c>
      <c r="P55">
        <f>P9*(1+Control!$B$4)^(P$48/12)</f>
        <v>14237.993640693519</v>
      </c>
      <c r="Q55">
        <f>Q9*(1+Control!$B$4)^(Q$48/12)</f>
        <v>14456.19013703231</v>
      </c>
      <c r="R55">
        <f>R9*(1+Control!$B$4)^(R$48/12)</f>
        <v>14609.169777061486</v>
      </c>
      <c r="S55">
        <f>S9*(1+Control!$B$4)^(S$48/12)</f>
        <v>14769.503968220464</v>
      </c>
      <c r="T55">
        <f>T9*(1+Control!$B$4)^(T$48/12)</f>
        <v>14944.730122245117</v>
      </c>
      <c r="U55">
        <f>U9*(1+Control!$B$4)^(U$48/12)</f>
        <v>15065.276107428323</v>
      </c>
      <c r="V55">
        <f>V9*(1+Control!$B$4)^(V$48/12)</f>
        <v>15366.154450312933</v>
      </c>
      <c r="W55">
        <f>W9*(1+Control!$B$4)^(W$48/12)</f>
        <v>15319.510306754837</v>
      </c>
      <c r="X55">
        <f>X9*(1+Control!$B$4)^(X$48/12)</f>
        <v>15576.933395178399</v>
      </c>
      <c r="Y55">
        <f>Y9*(1+Control!$B$4)^(Y$48/12)</f>
        <v>15729.918750000001</v>
      </c>
      <c r="Z55">
        <f>Z9*(1+Control!$B$4)^(Z$48/12)</f>
        <v>15996.915968639954</v>
      </c>
      <c r="AA55">
        <f>AA9*(1+Control!$B$4)^(AA$48/12)</f>
        <v>16120.665526296911</v>
      </c>
      <c r="AB55">
        <f>AB9*(1+Control!$B$4)^(AB$48/12)</f>
        <v>16262.121559527137</v>
      </c>
      <c r="AC55">
        <f>AC9*(1+Control!$B$4)^(AC$48/12)</f>
        <v>16428.218864965289</v>
      </c>
      <c r="AD55">
        <f>AD9*(1+Control!$B$4)^(AD$48/12)</f>
        <v>16626.116032023536</v>
      </c>
      <c r="AE55">
        <f>AE9*(1+Control!$B$4)^(AE$48/12)</f>
        <v>16788.41097992627</v>
      </c>
      <c r="AF55">
        <f>AF9*(1+Control!$B$4)^(AF$48/12)</f>
        <v>16988.95836902428</v>
      </c>
      <c r="AG55">
        <f>AG9*(1+Control!$B$4)^(AG$48/12)</f>
        <v>17177.991066609506</v>
      </c>
      <c r="AH55">
        <f>AH9*(1+Control!$B$4)^(AH$48/12)</f>
        <v>17328.485105979311</v>
      </c>
      <c r="AI55">
        <f>AI9*(1+Control!$B$4)^(AI$48/12)</f>
        <v>17615.298921150588</v>
      </c>
      <c r="AJ55">
        <f>AJ9*(1+Control!$B$4)^(AJ$48/12)</f>
        <v>17738.140532279744</v>
      </c>
      <c r="AK55">
        <f>AK9*(1+Control!$B$4)^(AK$48/12)</f>
        <v>17831.708212500002</v>
      </c>
    </row>
    <row r="56" spans="1:37" x14ac:dyDescent="0.25">
      <c r="A56" t="s">
        <v>30</v>
      </c>
      <c r="B56">
        <f>B10*(1+Control!$B$4)^(B$48/12)</f>
        <v>13241.327914809242</v>
      </c>
      <c r="C56">
        <f>C10*(1+Control!$B$4)^(C$48/12)</f>
        <v>13310.296380000225</v>
      </c>
      <c r="D56">
        <f>D10*(1+Control!$B$4)^(D$48/12)</f>
        <v>13513.935556851116</v>
      </c>
      <c r="E56">
        <f>E10*(1+Control!$B$4)^(E$48/12)</f>
        <v>13636.278441935121</v>
      </c>
      <c r="F56">
        <f>F10*(1+Control!$B$4)^(F$48/12)</f>
        <v>13952.377496193641</v>
      </c>
      <c r="G56">
        <f>G10*(1+Control!$B$4)^(G$48/12)</f>
        <v>14020.390385524221</v>
      </c>
      <c r="H56">
        <f>H10*(1+Control!$B$4)^(H$48/12)</f>
        <v>14124.530541820777</v>
      </c>
      <c r="I56">
        <f>I10*(1+Control!$B$4)^(I$48/12)</f>
        <v>14333.315839161123</v>
      </c>
      <c r="J56">
        <f>J10*(1+Control!$B$4)^(J$48/12)</f>
        <v>14458.82293536918</v>
      </c>
      <c r="K56">
        <f>K10*(1+Control!$B$4)^(K$48/12)</f>
        <v>14622.816950751983</v>
      </c>
      <c r="L56">
        <f>L10*(1+Control!$B$4)^(L$48/12)</f>
        <v>14852.115642423709</v>
      </c>
      <c r="M56">
        <f>M10*(1+Control!$B$4)^(M$48/12)</f>
        <v>14976.57</v>
      </c>
      <c r="N56">
        <f>N10*(1+Control!$B$4)^(N$48/12)</f>
        <v>15159.777200528328</v>
      </c>
      <c r="O56">
        <f>O10*(1+Control!$B$4)^(O$48/12)</f>
        <v>15373.86867679002</v>
      </c>
      <c r="P56">
        <f>P10*(1+Control!$B$4)^(P$48/12)</f>
        <v>15513.881810412571</v>
      </c>
      <c r="Q56">
        <f>Q10*(1+Control!$B$4)^(Q$48/12)</f>
        <v>15659.262930721563</v>
      </c>
      <c r="R56">
        <f>R10*(1+Control!$B$4)^(R$48/12)</f>
        <v>15850.041057498442</v>
      </c>
      <c r="S56">
        <f>S10*(1+Control!$B$4)^(S$48/12)</f>
        <v>16050.936396257541</v>
      </c>
      <c r="T56">
        <f>T10*(1+Control!$B$4)^(T$48/12)</f>
        <v>16190.43939047855</v>
      </c>
      <c r="U56">
        <f>U10*(1+Control!$B$4)^(U$48/12)</f>
        <v>16459.45982375005</v>
      </c>
      <c r="V56">
        <f>V10*(1+Control!$B$4)^(V$48/12)</f>
        <v>16514.755054433826</v>
      </c>
      <c r="W56">
        <f>W10*(1+Control!$B$4)^(W$48/12)</f>
        <v>16792.769373282074</v>
      </c>
      <c r="X56">
        <f>X10*(1+Control!$B$4)^(X$48/12)</f>
        <v>16814.738673255462</v>
      </c>
      <c r="Y56">
        <f>Y10*(1+Control!$B$4)^(Y$48/12)</f>
        <v>17102.090250000005</v>
      </c>
      <c r="Z56">
        <f>Z10*(1+Control!$B$4)^(Z$48/12)</f>
        <v>17259.440026978169</v>
      </c>
      <c r="AA56">
        <f>AA10*(1+Control!$B$4)^(AA$48/12)</f>
        <v>17395.002274385264</v>
      </c>
      <c r="AB56">
        <f>AB10*(1+Control!$B$4)^(AB$48/12)</f>
        <v>17680.261056465737</v>
      </c>
      <c r="AC56">
        <f>AC10*(1+Control!$B$4)^(AC$48/12)</f>
        <v>17937.187830796076</v>
      </c>
      <c r="AD56">
        <f>AD10*(1+Control!$B$4)^(AD$48/12)</f>
        <v>18030.968773639481</v>
      </c>
      <c r="AE56">
        <f>AE10*(1+Control!$B$4)^(AE$48/12)</f>
        <v>18348.450057902945</v>
      </c>
      <c r="AF56">
        <f>AF10*(1+Control!$B$4)^(AF$48/12)</f>
        <v>18491.944250066485</v>
      </c>
      <c r="AG56">
        <f>AG10*(1+Control!$B$4)^(AG$48/12)</f>
        <v>18600.653965590558</v>
      </c>
      <c r="AH56">
        <f>AH10*(1+Control!$B$4)^(AH$48/12)</f>
        <v>18797.198498418227</v>
      </c>
      <c r="AI56">
        <f>AI10*(1+Control!$B$4)^(AI$48/12)</f>
        <v>19047.051494306357</v>
      </c>
      <c r="AJ56">
        <f>AJ10*(1+Control!$B$4)^(AJ$48/12)</f>
        <v>19135.489061403197</v>
      </c>
      <c r="AK56">
        <f>AK10*(1+Control!$B$4)^(AK$48/12)</f>
        <v>19348.428487500001</v>
      </c>
    </row>
    <row r="57" spans="1:37" x14ac:dyDescent="0.25">
      <c r="A57" t="s">
        <v>32</v>
      </c>
      <c r="B57">
        <f>B11*(1+Control!$B$4)^(B$48/12)</f>
        <v>14183.350257743059</v>
      </c>
      <c r="C57">
        <f>C11*(1+Control!$B$4)^(C$48/12)</f>
        <v>14421.798122772445</v>
      </c>
      <c r="D57">
        <f>D11*(1+Control!$B$4)^(D$48/12)</f>
        <v>14518.008386181282</v>
      </c>
      <c r="E57">
        <f>E11*(1+Control!$B$4)^(E$48/12)</f>
        <v>14723.822543727012</v>
      </c>
      <c r="F57">
        <f>F11*(1+Control!$B$4)^(F$48/12)</f>
        <v>14945.972593350823</v>
      </c>
      <c r="G57">
        <f>G11*(1+Control!$B$4)^(G$48/12)</f>
        <v>15075.928783925721</v>
      </c>
      <c r="H57">
        <f>H11*(1+Control!$B$4)^(H$48/12)</f>
        <v>15222.849065253831</v>
      </c>
      <c r="I57">
        <f>I11*(1+Control!$B$4)^(I$48/12)</f>
        <v>15333.939260507432</v>
      </c>
      <c r="J57">
        <f>J11*(1+Control!$B$4)^(J$48/12)</f>
        <v>15655.625493806761</v>
      </c>
      <c r="K57">
        <f>K11*(1+Control!$B$4)^(K$48/12)</f>
        <v>15764.192792714994</v>
      </c>
      <c r="L57">
        <f>L11*(1+Control!$B$4)^(L$48/12)</f>
        <v>16020.729564649268</v>
      </c>
      <c r="M57">
        <f>M11*(1+Control!$B$4)^(M$48/12)</f>
        <v>16127.580000000002</v>
      </c>
      <c r="N57">
        <f>N11*(1+Control!$B$4)^(N$48/12)</f>
        <v>16330.341875147158</v>
      </c>
      <c r="O57">
        <f>O11*(1+Control!$B$4)^(O$48/12)</f>
        <v>16425.137610834867</v>
      </c>
      <c r="P57">
        <f>P11*(1+Control!$B$4)^(P$48/12)</f>
        <v>16720.363534377993</v>
      </c>
      <c r="Q57">
        <f>Q11*(1+Control!$B$4)^(Q$48/12)</f>
        <v>16817.726088310214</v>
      </c>
      <c r="R57">
        <f>R11*(1+Control!$B$4)^(R$48/12)</f>
        <v>17059.086882815376</v>
      </c>
      <c r="S57">
        <f>S11*(1+Control!$B$4)^(S$48/12)</f>
        <v>17300.413708330972</v>
      </c>
      <c r="T57">
        <f>T11*(1+Control!$B$4)^(T$48/12)</f>
        <v>17489.192041827289</v>
      </c>
      <c r="U57">
        <f>U11*(1+Control!$B$4)^(U$48/12)</f>
        <v>17661.97446462321</v>
      </c>
      <c r="V57">
        <f>V11*(1+Control!$B$4)^(V$48/12)</f>
        <v>17798.952828299694</v>
      </c>
      <c r="W57">
        <f>W11*(1+Control!$B$4)^(W$48/12)</f>
        <v>18104.945407965886</v>
      </c>
      <c r="X57">
        <f>X11*(1+Control!$B$4)^(X$48/12)</f>
        <v>18226.690954883503</v>
      </c>
      <c r="Y57">
        <f>Y11*(1+Control!$B$4)^(Y$48/12)</f>
        <v>18324.6525</v>
      </c>
      <c r="Z57">
        <f>Z11*(1+Control!$B$4)^(Z$48/12)</f>
        <v>18698.972061579672</v>
      </c>
      <c r="AA57">
        <f>AA11*(1+Control!$B$4)^(AA$48/12)</f>
        <v>18856.071315259345</v>
      </c>
      <c r="AB57">
        <f>AB11*(1+Control!$B$4)^(AB$48/12)</f>
        <v>19031.885157152239</v>
      </c>
      <c r="AC57">
        <f>AC11*(1+Control!$B$4)^(AC$48/12)</f>
        <v>19183.26943632395</v>
      </c>
      <c r="AD57">
        <f>AD11*(1+Control!$B$4)^(AD$48/12)</f>
        <v>19415.2314102005</v>
      </c>
      <c r="AE57">
        <f>AE11*(1+Control!$B$4)^(AE$48/12)</f>
        <v>19697.004368411137</v>
      </c>
      <c r="AF57">
        <f>AF11*(1+Control!$B$4)^(AF$48/12)</f>
        <v>19904.637545349473</v>
      </c>
      <c r="AG57">
        <f>AG11*(1+Control!$B$4)^(AG$48/12)</f>
        <v>19995.754265776202</v>
      </c>
      <c r="AH57">
        <f>AH11*(1+Control!$B$4)^(AH$48/12)</f>
        <v>20194.780556270445</v>
      </c>
      <c r="AI57">
        <f>AI11*(1+Control!$B$4)^(AI$48/12)</f>
        <v>20519.796582388477</v>
      </c>
      <c r="AJ57">
        <f>AJ11*(1+Control!$B$4)^(AJ$48/12)</f>
        <v>20648.591544589348</v>
      </c>
      <c r="AK57">
        <f>AK11*(1+Control!$B$4)^(AK$48/12)</f>
        <v>20815.718175000005</v>
      </c>
    </row>
    <row r="58" spans="1:37" x14ac:dyDescent="0.25">
      <c r="A58" t="s">
        <v>33</v>
      </c>
      <c r="B58">
        <f>B12*(1+Control!$B$4)^(B$48/12)</f>
        <v>15235.017494994054</v>
      </c>
      <c r="C58">
        <f>C12*(1+Control!$B$4)^(C$48/12)</f>
        <v>15484.101421057334</v>
      </c>
      <c r="D58">
        <f>D12*(1+Control!$B$4)^(D$48/12)</f>
        <v>15605.289993181514</v>
      </c>
      <c r="E58">
        <f>E12*(1+Control!$B$4)^(E$48/12)</f>
        <v>15783.923943884904</v>
      </c>
      <c r="F58">
        <f>F12*(1+Control!$B$4)^(F$48/12)</f>
        <v>16013.04637476778</v>
      </c>
      <c r="G58">
        <f>G12*(1+Control!$B$4)^(G$48/12)</f>
        <v>16174.606845051909</v>
      </c>
      <c r="H58">
        <f>H12*(1+Control!$B$4)^(H$48/12)</f>
        <v>16384.545969055485</v>
      </c>
      <c r="I58">
        <f>I12*(1+Control!$B$4)^(I$48/12)</f>
        <v>16593.344601167439</v>
      </c>
      <c r="J58">
        <f>J12*(1+Control!$B$4)^(J$48/12)</f>
        <v>16691.547417113758</v>
      </c>
      <c r="K58">
        <f>K12*(1+Control!$B$4)^(K$48/12)</f>
        <v>16906.089382849357</v>
      </c>
      <c r="L58">
        <f>L12*(1+Control!$B$4)^(L$48/12)</f>
        <v>17034.678610725241</v>
      </c>
      <c r="M58">
        <f>M12*(1+Control!$B$4)^(M$48/12)</f>
        <v>17300.850000000002</v>
      </c>
      <c r="N58">
        <f>N12*(1+Control!$B$4)^(N$48/12)</f>
        <v>17551.617313387687</v>
      </c>
      <c r="O58">
        <f>O12*(1+Control!$B$4)^(O$48/12)</f>
        <v>17713.315202053454</v>
      </c>
      <c r="P58">
        <f>P12*(1+Control!$B$4)^(P$48/12)</f>
        <v>17783.461957697713</v>
      </c>
      <c r="Q58">
        <f>Q12*(1+Control!$B$4)^(Q$48/12)</f>
        <v>18068.503445006572</v>
      </c>
      <c r="R58">
        <f>R12*(1+Control!$B$4)^(R$48/12)</f>
        <v>18327.390205375978</v>
      </c>
      <c r="S58">
        <f>S12*(1+Control!$B$4)^(S$48/12)</f>
        <v>18444.234711056601</v>
      </c>
      <c r="T58">
        <f>T12*(1+Control!$B$4)^(T$48/12)</f>
        <v>18753.69876151095</v>
      </c>
      <c r="U58">
        <f>U12*(1+Control!$B$4)^(U$48/12)</f>
        <v>18899.850802494806</v>
      </c>
      <c r="V58">
        <f>V12*(1+Control!$B$4)^(V$48/12)</f>
        <v>19094.913248215729</v>
      </c>
      <c r="W58">
        <f>W12*(1+Control!$B$4)^(W$48/12)</f>
        <v>19363.864527165824</v>
      </c>
      <c r="X58">
        <f>X12*(1+Control!$B$4)^(X$48/12)</f>
        <v>19518.079926360871</v>
      </c>
      <c r="Y58">
        <f>Y12*(1+Control!$B$4)^(Y$48/12)</f>
        <v>19803.325499999999</v>
      </c>
      <c r="Z58">
        <f>Z12*(1+Control!$B$4)^(Z$48/12)</f>
        <v>19979.872182494313</v>
      </c>
      <c r="AA58">
        <f>AA12*(1+Control!$B$4)^(AA$48/12)</f>
        <v>20262.232170040479</v>
      </c>
      <c r="AB58">
        <f>AB12*(1+Control!$B$4)^(AB$48/12)</f>
        <v>20509.843869512188</v>
      </c>
      <c r="AC58">
        <f>AC12*(1+Control!$B$4)^(AC$48/12)</f>
        <v>20698.401575563374</v>
      </c>
      <c r="AD58">
        <f>AD12*(1+Control!$B$4)^(AD$48/12)</f>
        <v>20830.773004167357</v>
      </c>
      <c r="AE58">
        <f>AE12*(1+Control!$B$4)^(AE$48/12)</f>
        <v>20976.984291177137</v>
      </c>
      <c r="AF58">
        <f>AF12*(1+Control!$B$4)^(AF$48/12)</f>
        <v>21258.118868564234</v>
      </c>
      <c r="AG58">
        <f>AG12*(1+Control!$B$4)^(AG$48/12)</f>
        <v>21445.524183407288</v>
      </c>
      <c r="AH58">
        <f>AH12*(1+Control!$B$4)^(AH$48/12)</f>
        <v>21720.330400943436</v>
      </c>
      <c r="AI58">
        <f>AI12*(1+Control!$B$4)^(AI$48/12)</f>
        <v>22008.387516576575</v>
      </c>
      <c r="AJ58">
        <f>AJ12*(1+Control!$B$4)^(AJ$48/12)</f>
        <v>22261.652870576658</v>
      </c>
      <c r="AK58">
        <f>AK12*(1+Control!$B$4)^(AK$48/12)</f>
        <v>22471.816500000001</v>
      </c>
    </row>
    <row r="59" spans="1:37" x14ac:dyDescent="0.25">
      <c r="A59" t="s">
        <v>34</v>
      </c>
      <c r="B59">
        <f>B13*(1+Control!$B$4)^(B$48/12)</f>
        <v>16293.612843699151</v>
      </c>
      <c r="C59">
        <f>C13*(1+Control!$B$4)^(C$48/12)</f>
        <v>16411.814712394294</v>
      </c>
      <c r="D59">
        <f>D13*(1+Control!$B$4)^(D$48/12)</f>
        <v>16599.847463508042</v>
      </c>
      <c r="E59">
        <f>E13*(1+Control!$B$4)^(E$48/12)</f>
        <v>16765.356266025326</v>
      </c>
      <c r="F59">
        <f>F13*(1+Control!$B$4)^(F$48/12)</f>
        <v>17108.593146335399</v>
      </c>
      <c r="G59">
        <f>G13*(1+Control!$B$4)^(G$48/12)</f>
        <v>17221.230396287017</v>
      </c>
      <c r="H59">
        <f>H13*(1+Control!$B$4)^(H$48/12)</f>
        <v>17422.161173629011</v>
      </c>
      <c r="I59">
        <f>I13*(1+Control!$B$4)^(I$48/12)</f>
        <v>17613.906110508771</v>
      </c>
      <c r="J59">
        <f>J13*(1+Control!$B$4)^(J$48/12)</f>
        <v>17930.670606842941</v>
      </c>
      <c r="K59">
        <f>K13*(1+Control!$B$4)^(K$48/12)</f>
        <v>18023.61495856458</v>
      </c>
      <c r="L59">
        <f>L13*(1+Control!$B$4)^(L$48/12)</f>
        <v>18255.370361431189</v>
      </c>
      <c r="M59">
        <f>M13*(1+Control!$B$4)^(M$48/12)</f>
        <v>18490.710000000003</v>
      </c>
      <c r="N59">
        <f>N13*(1+Control!$B$4)^(N$48/12)</f>
        <v>18622.658160857089</v>
      </c>
      <c r="O59">
        <f>O13*(1+Control!$B$4)^(O$48/12)</f>
        <v>18888.331330126948</v>
      </c>
      <c r="P59">
        <f>P13*(1+Control!$B$4)^(P$48/12)</f>
        <v>19194.655495631727</v>
      </c>
      <c r="Q59">
        <f>Q13*(1+Control!$B$4)^(Q$48/12)</f>
        <v>19311.06323715808</v>
      </c>
      <c r="R59">
        <f>R13*(1+Control!$B$4)^(R$48/12)</f>
        <v>19542.008164249288</v>
      </c>
      <c r="S59">
        <f>S13*(1+Control!$B$4)^(S$48/12)</f>
        <v>19855.74705559215</v>
      </c>
      <c r="T59">
        <f>T13*(1+Control!$B$4)^(T$48/12)</f>
        <v>20002.540938319427</v>
      </c>
      <c r="U59">
        <f>U13*(1+Control!$B$4)^(U$48/12)</f>
        <v>20243.052931119408</v>
      </c>
      <c r="V59">
        <f>V13*(1+Control!$B$4)^(V$48/12)</f>
        <v>20423.438771548426</v>
      </c>
      <c r="W59">
        <f>W13*(1+Control!$B$4)^(W$48/12)</f>
        <v>20589.976511570771</v>
      </c>
      <c r="X59">
        <f>X13*(1+Control!$B$4)^(X$48/12)</f>
        <v>20918.173521744582</v>
      </c>
      <c r="Y59">
        <f>Y13*(1+Control!$B$4)^(Y$48/12)</f>
        <v>21092.03775</v>
      </c>
      <c r="Z59">
        <f>Z13*(1+Control!$B$4)^(Z$48/12)</f>
        <v>21294.756949258128</v>
      </c>
      <c r="AA59">
        <f>AA13*(1+Control!$B$4)^(AA$48/12)</f>
        <v>21628.490112256095</v>
      </c>
      <c r="AB59">
        <f>AB13*(1+Control!$B$4)^(AB$48/12)</f>
        <v>21852.539729091026</v>
      </c>
      <c r="AC59">
        <f>AC13*(1+Control!$B$4)^(AC$48/12)</f>
        <v>22005.554626685913</v>
      </c>
      <c r="AD59">
        <f>AD13*(1+Control!$B$4)^(AD$48/12)</f>
        <v>22301.109030712054</v>
      </c>
      <c r="AE59">
        <f>AE13*(1+Control!$B$4)^(AE$48/12)</f>
        <v>22444.272838121964</v>
      </c>
      <c r="AF59">
        <f>AF13*(1+Control!$B$4)^(AF$48/12)</f>
        <v>22732.633092539148</v>
      </c>
      <c r="AG59">
        <f>AG13*(1+Control!$B$4)^(AG$48/12)</f>
        <v>23015.339469345632</v>
      </c>
      <c r="AH59">
        <f>AH13*(1+Control!$B$4)^(AH$48/12)</f>
        <v>23018.648795738973</v>
      </c>
      <c r="AI59">
        <f>AI13*(1+Control!$B$4)^(AI$48/12)</f>
        <v>23432.217166679355</v>
      </c>
      <c r="AJ59">
        <f>AJ13*(1+Control!$B$4)^(AJ$48/12)</f>
        <v>23748.583892037484</v>
      </c>
      <c r="AK59">
        <f>AK13*(1+Control!$B$4)^(AK$48/12)</f>
        <v>23930.887050000005</v>
      </c>
    </row>
    <row r="60" spans="1:37" x14ac:dyDescent="0.25">
      <c r="A60" t="s">
        <v>35</v>
      </c>
      <c r="B60">
        <f>B14*(1+Control!$B$4)^(B$48/12)</f>
        <v>17302.004486215072</v>
      </c>
      <c r="C60">
        <f>C14*(1+Control!$B$4)^(C$48/12)</f>
        <v>17481.578430539965</v>
      </c>
      <c r="D60">
        <f>D14*(1+Control!$B$4)^(D$48/12)</f>
        <v>17663.948036339851</v>
      </c>
      <c r="E60">
        <f>E14*(1+Control!$B$4)^(E$48/12)</f>
        <v>17973.648255006821</v>
      </c>
      <c r="F60">
        <f>F14*(1+Control!$B$4)^(F$48/12)</f>
        <v>18132.294093293465</v>
      </c>
      <c r="G60">
        <f>G14*(1+Control!$B$4)^(G$48/12)</f>
        <v>18352.698699864282</v>
      </c>
      <c r="H60">
        <f>H14*(1+Control!$B$4)^(H$48/12)</f>
        <v>18507.00150253563</v>
      </c>
      <c r="I60">
        <f>I14*(1+Control!$B$4)^(I$48/12)</f>
        <v>18787.980566796279</v>
      </c>
      <c r="J60">
        <f>J14*(1+Control!$B$4)^(J$48/12)</f>
        <v>19033.392742286684</v>
      </c>
      <c r="K60">
        <f>K14*(1+Control!$B$4)^(K$48/12)</f>
        <v>19195.402493734386</v>
      </c>
      <c r="L60">
        <f>L14*(1+Control!$B$4)^(L$48/12)</f>
        <v>19360.194172465912</v>
      </c>
      <c r="M60">
        <f>M14*(1+Control!$B$4)^(M$48/12)</f>
        <v>19594.575000000001</v>
      </c>
      <c r="N60">
        <f>N14*(1+Control!$B$4)^(N$48/12)</f>
        <v>19969.708944213369</v>
      </c>
      <c r="O60">
        <f>O14*(1+Control!$B$4)^(O$48/12)</f>
        <v>20149.091878357151</v>
      </c>
      <c r="P60">
        <f>P14*(1+Control!$B$4)^(P$48/12)</f>
        <v>20344.37911541271</v>
      </c>
      <c r="Q60">
        <f>Q14*(1+Control!$B$4)^(Q$48/12)</f>
        <v>20524.381306124029</v>
      </c>
      <c r="R60">
        <f>R14*(1+Control!$B$4)^(R$48/12)</f>
        <v>20683.223979158916</v>
      </c>
      <c r="S60">
        <f>S14*(1+Control!$B$4)^(S$48/12)</f>
        <v>21030.554837434032</v>
      </c>
      <c r="T60">
        <f>T14*(1+Control!$B$4)^(T$48/12)</f>
        <v>21283.144326198977</v>
      </c>
      <c r="U60">
        <f>U14*(1+Control!$B$4)^(U$48/12)</f>
        <v>21367.034232646343</v>
      </c>
      <c r="V60">
        <f>V14*(1+Control!$B$4)^(V$48/12)</f>
        <v>21713.30004166067</v>
      </c>
      <c r="W60">
        <f>W14*(1+Control!$B$4)^(W$48/12)</f>
        <v>21976.406028007252</v>
      </c>
      <c r="X60">
        <f>X14*(1+Control!$B$4)^(X$48/12)</f>
        <v>22104.920567380781</v>
      </c>
      <c r="Y60">
        <f>Y14*(1+Control!$B$4)^(Y$48/12)</f>
        <v>22477.549500000001</v>
      </c>
      <c r="Z60">
        <f>Z14*(1+Control!$B$4)^(Z$48/12)</f>
        <v>22610.748707743409</v>
      </c>
      <c r="AA60">
        <f>AA14*(1+Control!$B$4)^(AA$48/12)</f>
        <v>22809.905314648691</v>
      </c>
      <c r="AB60">
        <f>AB14*(1+Control!$B$4)^(AB$48/12)</f>
        <v>23149.813162034625</v>
      </c>
      <c r="AC60">
        <f>AC14*(1+Control!$B$4)^(AC$48/12)</f>
        <v>23328.395755575893</v>
      </c>
      <c r="AD60">
        <f>AD14*(1+Control!$B$4)^(AD$48/12)</f>
        <v>23767.057002081114</v>
      </c>
      <c r="AE60">
        <f>AE14*(1+Control!$B$4)^(AE$48/12)</f>
        <v>23915.967317722378</v>
      </c>
      <c r="AF60">
        <f>AF14*(1+Control!$B$4)^(AF$48/12)</f>
        <v>24161.206993357675</v>
      </c>
      <c r="AG60">
        <f>AG14*(1+Control!$B$4)^(AG$48/12)</f>
        <v>24342.444432833523</v>
      </c>
      <c r="AH60">
        <f>AH14*(1+Control!$B$4)^(AH$48/12)</f>
        <v>24773.031117112911</v>
      </c>
      <c r="AI60">
        <f>AI14*(1+Control!$B$4)^(AI$48/12)</f>
        <v>24842.038170224667</v>
      </c>
      <c r="AJ60">
        <f>AJ14*(1+Control!$B$4)^(AJ$48/12)</f>
        <v>25298.349480195691</v>
      </c>
      <c r="AK60">
        <f>AK14*(1+Control!$B$4)^(AK$48/12)</f>
        <v>25380.349312500002</v>
      </c>
    </row>
    <row r="61" spans="1:37" x14ac:dyDescent="0.25">
      <c r="A61" t="s">
        <v>36</v>
      </c>
      <c r="B61">
        <f>B15*(1+Control!$B$4)^(B$48/12)</f>
        <v>18325.858870237258</v>
      </c>
      <c r="C61">
        <f>C15*(1+Control!$B$4)^(C$48/12)</f>
        <v>18476.737950077797</v>
      </c>
      <c r="D61">
        <f>D15*(1+Control!$B$4)^(D$48/12)</f>
        <v>18800.426073933333</v>
      </c>
      <c r="E61">
        <f>E15*(1+Control!$B$4)^(E$48/12)</f>
        <v>18924.385407171438</v>
      </c>
      <c r="F61">
        <f>F15*(1+Control!$B$4)^(F$48/12)</f>
        <v>19128.746694838526</v>
      </c>
      <c r="G61">
        <f>G15*(1+Control!$B$4)^(G$48/12)</f>
        <v>19408.954384819397</v>
      </c>
      <c r="H61">
        <f>H15*(1+Control!$B$4)^(H$48/12)</f>
        <v>19694.625925578977</v>
      </c>
      <c r="I61">
        <f>I15*(1+Control!$B$4)^(I$48/12)</f>
        <v>19798.934603684047</v>
      </c>
      <c r="J61">
        <f>J15*(1+Control!$B$4)^(J$48/12)</f>
        <v>20207.89398766619</v>
      </c>
      <c r="K61">
        <f>K15*(1+Control!$B$4)^(K$48/12)</f>
        <v>20363.23234280193</v>
      </c>
      <c r="L61">
        <f>L15*(1+Control!$B$4)^(L$48/12)</f>
        <v>20644.257738551602</v>
      </c>
      <c r="M61">
        <f>M15*(1+Control!$B$4)^(M$48/12)</f>
        <v>20698.020000000004</v>
      </c>
      <c r="N61">
        <f>N15*(1+Control!$B$4)^(N$48/12)</f>
        <v>21021.140224045277</v>
      </c>
      <c r="O61">
        <f>O15*(1+Control!$B$4)^(O$48/12)</f>
        <v>21287.057948338232</v>
      </c>
      <c r="P61">
        <f>P15*(1+Control!$B$4)^(P$48/12)</f>
        <v>21553.624342578125</v>
      </c>
      <c r="Q61">
        <f>Q15*(1+Control!$B$4)^(Q$48/12)</f>
        <v>21714.32734086502</v>
      </c>
      <c r="R61">
        <f>R15*(1+Control!$B$4)^(R$48/12)</f>
        <v>21995.032806024996</v>
      </c>
      <c r="S61">
        <f>S15*(1+Control!$B$4)^(S$48/12)</f>
        <v>22164.692471685823</v>
      </c>
      <c r="T61">
        <f>T15*(1+Control!$B$4)^(T$48/12)</f>
        <v>22467.383767563551</v>
      </c>
      <c r="U61">
        <f>U15*(1+Control!$B$4)^(U$48/12)</f>
        <v>22724.554594411416</v>
      </c>
      <c r="V61">
        <f>V15*(1+Control!$B$4)^(V$48/12)</f>
        <v>23015.904178327262</v>
      </c>
      <c r="W61">
        <f>W15*(1+Control!$B$4)^(W$48/12)</f>
        <v>23313.952913599194</v>
      </c>
      <c r="X61">
        <f>X15*(1+Control!$B$4)^(X$48/12)</f>
        <v>23491.947647365647</v>
      </c>
      <c r="Y61">
        <f>Y15*(1+Control!$B$4)^(Y$48/12)</f>
        <v>23695.260750000001</v>
      </c>
      <c r="Z61">
        <f>Z15*(1+Control!$B$4)^(Z$48/12)</f>
        <v>24062.457651281104</v>
      </c>
      <c r="AA61">
        <f>AA15*(1+Control!$B$4)^(AA$48/12)</f>
        <v>24400.019707858628</v>
      </c>
      <c r="AB61">
        <f>AB15*(1+Control!$B$4)^(AB$48/12)</f>
        <v>24473.313303231989</v>
      </c>
      <c r="AC61">
        <f>AC15*(1+Control!$B$4)^(AC$48/12)</f>
        <v>24721.497061324317</v>
      </c>
      <c r="AD61">
        <f>AD15*(1+Control!$B$4)^(AD$48/12)</f>
        <v>25055.682538660269</v>
      </c>
      <c r="AE61">
        <f>AE15*(1+Control!$B$4)^(AE$48/12)</f>
        <v>25289.940470474372</v>
      </c>
      <c r="AF61">
        <f>AF15*(1+Control!$B$4)^(AF$48/12)</f>
        <v>25602.258512811273</v>
      </c>
      <c r="AG61">
        <f>AG15*(1+Control!$B$4)^(AG$48/12)</f>
        <v>25824.44664575014</v>
      </c>
      <c r="AH61">
        <f>AH15*(1+Control!$B$4)^(AH$48/12)</f>
        <v>26094.106964613831</v>
      </c>
      <c r="AI61">
        <f>AI15*(1+Control!$B$4)^(AI$48/12)</f>
        <v>26375.296018436155</v>
      </c>
      <c r="AJ61">
        <f>AJ15*(1+Control!$B$4)^(AJ$48/12)</f>
        <v>26773.40534501462</v>
      </c>
      <c r="AK61">
        <f>AK15*(1+Control!$B$4)^(AK$48/12)</f>
        <v>26933.882062500004</v>
      </c>
    </row>
    <row r="62" spans="1:37" x14ac:dyDescent="0.25">
      <c r="A62" t="s">
        <v>37</v>
      </c>
      <c r="B62">
        <f>B16*(1+Control!$B$4)^(B$48/12)</f>
        <v>19338.065994423552</v>
      </c>
      <c r="C62">
        <f>C16*(1+Control!$B$4)^(C$48/12)</f>
        <v>19632.699762560904</v>
      </c>
      <c r="D62">
        <f>D16*(1+Control!$B$4)^(D$48/12)</f>
        <v>19723.517124509177</v>
      </c>
      <c r="E62">
        <f>E16*(1+Control!$B$4)^(E$48/12)</f>
        <v>20054.516516313874</v>
      </c>
      <c r="F62">
        <f>F16*(1+Control!$B$4)^(F$48/12)</f>
        <v>20221.027747105709</v>
      </c>
      <c r="G62">
        <f>G16*(1+Control!$B$4)^(G$48/12)</f>
        <v>20440.61738793621</v>
      </c>
      <c r="H62">
        <f>H16*(1+Control!$B$4)^(H$48/12)</f>
        <v>20738.002801095099</v>
      </c>
      <c r="I62">
        <f>I16*(1+Control!$B$4)^(I$48/12)</f>
        <v>21028.691077740052</v>
      </c>
      <c r="J62">
        <f>J16*(1+Control!$B$4)^(J$48/12)</f>
        <v>21295.264521562978</v>
      </c>
      <c r="K62">
        <f>K16*(1+Control!$B$4)^(K$48/12)</f>
        <v>21495.443016949197</v>
      </c>
      <c r="L62">
        <f>L16*(1+Control!$B$4)^(L$48/12)</f>
        <v>21799.172472964048</v>
      </c>
      <c r="M62">
        <f>M16*(1+Control!$B$4)^(M$48/12)</f>
        <v>22021.335000000003</v>
      </c>
      <c r="N62">
        <f>N16*(1+Control!$B$4)^(N$48/12)</f>
        <v>22295.129553784442</v>
      </c>
      <c r="O62">
        <f>O16*(1+Control!$B$4)^(O$48/12)</f>
        <v>22504.840429181244</v>
      </c>
      <c r="P62">
        <f>P16*(1+Control!$B$4)^(P$48/12)</f>
        <v>22810.699432820307</v>
      </c>
      <c r="Q62">
        <f>Q16*(1+Control!$B$4)^(Q$48/12)</f>
        <v>22979.832280771625</v>
      </c>
      <c r="R62">
        <f>R16*(1+Control!$B$4)^(R$48/12)</f>
        <v>23165.82379134919</v>
      </c>
      <c r="S62">
        <f>S16*(1+Control!$B$4)^(S$48/12)</f>
        <v>23503.687145650678</v>
      </c>
      <c r="T62">
        <f>T16*(1+Control!$B$4)^(T$48/12)</f>
        <v>23782.881275089225</v>
      </c>
      <c r="U62">
        <f>U16*(1+Control!$B$4)^(U$48/12)</f>
        <v>23931.516565275175</v>
      </c>
      <c r="V62">
        <f>V16*(1+Control!$B$4)^(V$48/12)</f>
        <v>24274.180565527025</v>
      </c>
      <c r="W62">
        <f>W16*(1+Control!$B$4)^(W$48/12)</f>
        <v>24476.637770733814</v>
      </c>
      <c r="X62">
        <f>X16*(1+Control!$B$4)^(X$48/12)</f>
        <v>24902.362691887949</v>
      </c>
      <c r="Y62">
        <f>Y16*(1+Control!$B$4)^(Y$48/12)</f>
        <v>25025.757750000001</v>
      </c>
      <c r="Z62">
        <f>Z16*(1+Control!$B$4)^(Z$48/12)</f>
        <v>25451.510863383504</v>
      </c>
      <c r="AA62">
        <f>AA16*(1+Control!$B$4)^(AA$48/12)</f>
        <v>25695.030388362542</v>
      </c>
      <c r="AB62">
        <f>AB16*(1+Control!$B$4)^(AB$48/12)</f>
        <v>25909.867297455148</v>
      </c>
      <c r="AC62">
        <f>AC16*(1+Control!$B$4)^(AC$48/12)</f>
        <v>26202.003371777042</v>
      </c>
      <c r="AD62">
        <f>AD16*(1+Control!$B$4)^(AD$48/12)</f>
        <v>26533.331990497703</v>
      </c>
      <c r="AE62">
        <f>AE16*(1+Control!$B$4)^(AE$48/12)</f>
        <v>26737.345834152929</v>
      </c>
      <c r="AF62">
        <f>AF16*(1+Control!$B$4)^(AF$48/12)</f>
        <v>27016.426435751127</v>
      </c>
      <c r="AG62">
        <f>AG16*(1+Control!$B$4)^(AG$48/12)</f>
        <v>27359.751735676055</v>
      </c>
      <c r="AH62">
        <f>AH16*(1+Control!$B$4)^(AH$48/12)</f>
        <v>27585.120373522863</v>
      </c>
      <c r="AI62">
        <f>AI16*(1+Control!$B$4)^(AI$48/12)</f>
        <v>27933.930185411566</v>
      </c>
      <c r="AJ62">
        <f>AJ16*(1+Control!$B$4)^(AJ$48/12)</f>
        <v>28092.008903396218</v>
      </c>
      <c r="AK62">
        <f>AK16*(1+Control!$B$4)^(AK$48/12)</f>
        <v>28544.485725000002</v>
      </c>
    </row>
    <row r="63" spans="1:37" x14ac:dyDescent="0.25">
      <c r="A63" t="s">
        <v>38</v>
      </c>
      <c r="B63">
        <f>B17*(1+Control!$B$4)^(B$48/12)</f>
        <v>20377.885157013901</v>
      </c>
      <c r="C63">
        <f>C17*(1+Control!$B$4)^(C$48/12)</f>
        <v>20579.669002457453</v>
      </c>
      <c r="D63">
        <f>D17*(1+Control!$B$4)^(D$48/12)</f>
        <v>20874.774336725317</v>
      </c>
      <c r="E63">
        <f>E17*(1+Control!$B$4)^(E$48/12)</f>
        <v>20998.748731794873</v>
      </c>
      <c r="F63">
        <f>F17*(1+Control!$B$4)^(F$48/12)</f>
        <v>21364.13155598591</v>
      </c>
      <c r="G63">
        <f>G17*(1+Control!$B$4)^(G$48/12)</f>
        <v>21673.530504096467</v>
      </c>
      <c r="H63">
        <f>H17*(1+Control!$B$4)^(H$48/12)</f>
        <v>21878.916534710948</v>
      </c>
      <c r="I63">
        <f>I17*(1+Control!$B$4)^(I$48/12)</f>
        <v>22121.876814337884</v>
      </c>
      <c r="J63">
        <f>J17*(1+Control!$B$4)^(J$48/12)</f>
        <v>22399.23138145647</v>
      </c>
      <c r="K63">
        <f>K17*(1+Control!$B$4)^(K$48/12)</f>
        <v>22720.346865596613</v>
      </c>
      <c r="L63">
        <f>L17*(1+Control!$B$4)^(L$48/12)</f>
        <v>22896.257811493651</v>
      </c>
      <c r="M63">
        <f>M17*(1+Control!$B$4)^(M$48/12)</f>
        <v>23138.219999999998</v>
      </c>
      <c r="N63">
        <f>N17*(1+Control!$B$4)^(N$48/12)</f>
        <v>23361.109867669973</v>
      </c>
      <c r="O63">
        <f>O17*(1+Control!$B$4)^(O$48/12)</f>
        <v>23732.361782437121</v>
      </c>
      <c r="P63">
        <f>P17*(1+Control!$B$4)^(P$48/12)</f>
        <v>23998.261788724256</v>
      </c>
      <c r="Q63">
        <f>Q17*(1+Control!$B$4)^(Q$48/12)</f>
        <v>24150.675145986275</v>
      </c>
      <c r="R63">
        <f>R17*(1+Control!$B$4)^(R$48/12)</f>
        <v>24482.883282528001</v>
      </c>
      <c r="S63">
        <f>S17*(1+Control!$B$4)^(S$48/12)</f>
        <v>24693.127573186357</v>
      </c>
      <c r="T63">
        <f>T17*(1+Control!$B$4)^(T$48/12)</f>
        <v>25083.79455304144</v>
      </c>
      <c r="U63">
        <f>U17*(1+Control!$B$4)^(U$48/12)</f>
        <v>25285.782783144685</v>
      </c>
      <c r="V63">
        <f>V17*(1+Control!$B$4)^(V$48/12)</f>
        <v>25654.113208634524</v>
      </c>
      <c r="W63">
        <f>W17*(1+Control!$B$4)^(W$48/12)</f>
        <v>25867.988357389546</v>
      </c>
      <c r="X63">
        <f>X17*(1+Control!$B$4)^(X$48/12)</f>
        <v>26129.407310224786</v>
      </c>
      <c r="Y63">
        <f>Y17*(1+Control!$B$4)^(Y$48/12)</f>
        <v>26537.174999999999</v>
      </c>
      <c r="Z63">
        <f>Z17*(1+Control!$B$4)^(Z$48/12)</f>
        <v>26672.965528855126</v>
      </c>
      <c r="AA63">
        <f>AA17*(1+Control!$B$4)^(AA$48/12)</f>
        <v>26990.152219040734</v>
      </c>
      <c r="AB63">
        <f>AB17*(1+Control!$B$4)^(AB$48/12)</f>
        <v>27273.767729664683</v>
      </c>
      <c r="AC63">
        <f>AC17*(1+Control!$B$4)^(AC$48/12)</f>
        <v>27537.058789785959</v>
      </c>
      <c r="AD63">
        <f>AD17*(1+Control!$B$4)^(AD$48/12)</f>
        <v>27887.328297770342</v>
      </c>
      <c r="AE63">
        <f>AE17*(1+Control!$B$4)^(AE$48/12)</f>
        <v>28141.821597597496</v>
      </c>
      <c r="AF63">
        <f>AF17*(1+Control!$B$4)^(AF$48/12)</f>
        <v>28486.857075445478</v>
      </c>
      <c r="AG63">
        <f>AG17*(1+Control!$B$4)^(AG$48/12)</f>
        <v>28759.863417460863</v>
      </c>
      <c r="AH63">
        <f>AH17*(1+Control!$B$4)^(AH$48/12)</f>
        <v>29100.14918478431</v>
      </c>
      <c r="AI63">
        <f>AI17*(1+Control!$B$4)^(AI$48/12)</f>
        <v>29391.403552246607</v>
      </c>
      <c r="AJ63">
        <f>AJ17*(1+Control!$B$4)^(AJ$48/12)</f>
        <v>29682.588136711987</v>
      </c>
      <c r="AK63">
        <f>AK17*(1+Control!$B$4)^(AK$48/12)</f>
        <v>29973.458025000004</v>
      </c>
    </row>
    <row r="64" spans="1:37" x14ac:dyDescent="0.25">
      <c r="A64" t="s">
        <v>39</v>
      </c>
      <c r="B64">
        <f>B18*(1+Control!$B$4)^(B$48/12)</f>
        <v>21388.084132952627</v>
      </c>
      <c r="C64">
        <f>C18*(1+Control!$B$4)^(C$48/12)</f>
        <v>21651.852316233653</v>
      </c>
      <c r="D64">
        <f>D18*(1+Control!$B$4)^(D$48/12)</f>
        <v>21878.94839327893</v>
      </c>
      <c r="E64">
        <f>E18*(1+Control!$B$4)^(E$48/12)</f>
        <v>22128.981480572991</v>
      </c>
      <c r="F64">
        <f>F18*(1+Control!$B$4)^(F$48/12)</f>
        <v>22499.377227799432</v>
      </c>
      <c r="G64">
        <f>G18*(1+Control!$B$4)^(G$48/12)</f>
        <v>22809.917344041383</v>
      </c>
      <c r="H64">
        <f>H18*(1+Control!$B$4)^(H$48/12)</f>
        <v>23028.061226816222</v>
      </c>
      <c r="I64">
        <f>I18*(1+Control!$B$4)^(I$48/12)</f>
        <v>23246.467622181772</v>
      </c>
      <c r="J64">
        <f>J18*(1+Control!$B$4)^(J$48/12)</f>
        <v>23500.605065412987</v>
      </c>
      <c r="K64">
        <f>K18*(1+Control!$B$4)^(K$48/12)</f>
        <v>23785.693474542652</v>
      </c>
      <c r="L64">
        <f>L18*(1+Control!$B$4)^(L$48/12)</f>
        <v>23991.879114684452</v>
      </c>
      <c r="M64">
        <f>M18*(1+Control!$B$4)^(M$48/12)</f>
        <v>24287.97</v>
      </c>
      <c r="N64">
        <f>N18*(1+Control!$B$4)^(N$48/12)</f>
        <v>24666.094965610344</v>
      </c>
      <c r="O64">
        <f>O18*(1+Control!$B$4)^(O$48/12)</f>
        <v>24947.391973250411</v>
      </c>
      <c r="P64">
        <f>P18*(1+Control!$B$4)^(P$48/12)</f>
        <v>25216.116391243486</v>
      </c>
      <c r="Q64">
        <f>Q18*(1+Control!$B$4)^(Q$48/12)</f>
        <v>25413.085158986385</v>
      </c>
      <c r="R64">
        <f>R18*(1+Control!$B$4)^(R$48/12)</f>
        <v>25699.108587619485</v>
      </c>
      <c r="S64">
        <f>S18*(1+Control!$B$4)^(S$48/12)</f>
        <v>26048.906752505853</v>
      </c>
      <c r="T64">
        <f>T18*(1+Control!$B$4)^(T$48/12)</f>
        <v>26205.051728914721</v>
      </c>
      <c r="U64">
        <f>U18*(1+Control!$B$4)^(U$48/12)</f>
        <v>26636.252499802707</v>
      </c>
      <c r="V64">
        <f>V18*(1+Control!$B$4)^(V$48/12)</f>
        <v>26879.933405806973</v>
      </c>
      <c r="W64">
        <f>W18*(1+Control!$B$4)^(W$48/12)</f>
        <v>27203.894886241738</v>
      </c>
      <c r="X64">
        <f>X18*(1+Control!$B$4)^(X$48/12)</f>
        <v>27435.180428905918</v>
      </c>
      <c r="Y64">
        <f>Y18*(1+Control!$B$4)^(Y$48/12)</f>
        <v>27790.607250000001</v>
      </c>
      <c r="Z64">
        <f>Z18*(1+Control!$B$4)^(Z$48/12)</f>
        <v>27978.883662675024</v>
      </c>
      <c r="AA64">
        <f>AA18*(1+Control!$B$4)^(AA$48/12)</f>
        <v>28467.004584662187</v>
      </c>
      <c r="AB64">
        <f>AB18*(1+Control!$B$4)^(AB$48/12)</f>
        <v>28649.051669286499</v>
      </c>
      <c r="AC64">
        <f>AC18*(1+Control!$B$4)^(AC$48/12)</f>
        <v>29014.539542383529</v>
      </c>
      <c r="AD64">
        <f>AD18*(1+Control!$B$4)^(AD$48/12)</f>
        <v>29296.906637267744</v>
      </c>
      <c r="AE64">
        <f>AE18*(1+Control!$B$4)^(AE$48/12)</f>
        <v>29492.522388117388</v>
      </c>
      <c r="AF64">
        <f>AF18*(1+Control!$B$4)^(AF$48/12)</f>
        <v>29960.123537556876</v>
      </c>
      <c r="AG64">
        <f>AG18*(1+Control!$B$4)^(AG$48/12)</f>
        <v>30235.487508342183</v>
      </c>
      <c r="AH64">
        <f>AH18*(1+Control!$B$4)^(AH$48/12)</f>
        <v>30572.522067105507</v>
      </c>
      <c r="AI64">
        <f>AI18*(1+Control!$B$4)^(AI$48/12)</f>
        <v>30891.362158641175</v>
      </c>
      <c r="AJ64">
        <f>AJ18*(1+Control!$B$4)^(AJ$48/12)</f>
        <v>31278.816716391379</v>
      </c>
      <c r="AK64">
        <f>AK18*(1+Control!$B$4)^(AK$48/12)</f>
        <v>31548.059550000002</v>
      </c>
    </row>
    <row r="65" spans="1:37" x14ac:dyDescent="0.25">
      <c r="A65" t="s">
        <v>40</v>
      </c>
      <c r="B65">
        <f>B19*(1+Control!$B$4)^(B$48/12)</f>
        <v>22443.466444461625</v>
      </c>
      <c r="C65">
        <f>C19*(1+Control!$B$4)^(C$48/12)</f>
        <v>22711.736018888016</v>
      </c>
      <c r="D65">
        <f>D19*(1+Control!$B$4)^(D$48/12)</f>
        <v>22882.00895037466</v>
      </c>
      <c r="E65">
        <f>E19*(1+Control!$B$4)^(E$48/12)</f>
        <v>23264.194571499502</v>
      </c>
      <c r="F65">
        <f>F19*(1+Control!$B$4)^(F$48/12)</f>
        <v>23527.160323883036</v>
      </c>
      <c r="G65">
        <f>G19*(1+Control!$B$4)^(G$48/12)</f>
        <v>23762.678826260311</v>
      </c>
      <c r="H65">
        <f>H19*(1+Control!$B$4)^(H$48/12)</f>
        <v>23987.996760645772</v>
      </c>
      <c r="I65">
        <f>I19*(1+Control!$B$4)^(I$48/12)</f>
        <v>24314.653269169259</v>
      </c>
      <c r="J65">
        <f>J19*(1+Control!$B$4)^(J$48/12)</f>
        <v>24622.827883902857</v>
      </c>
      <c r="K65">
        <f>K19*(1+Control!$B$4)^(K$48/12)</f>
        <v>24990.183994873179</v>
      </c>
      <c r="L65">
        <f>L19*(1+Control!$B$4)^(L$48/12)</f>
        <v>25151.917972782721</v>
      </c>
      <c r="M65">
        <f>M19*(1+Control!$B$4)^(M$48/12)</f>
        <v>25391.940000000002</v>
      </c>
      <c r="N65">
        <f>N19*(1+Control!$B$4)^(N$48/12)</f>
        <v>25848.572979707871</v>
      </c>
      <c r="O65">
        <f>O19*(1+Control!$B$4)^(O$48/12)</f>
        <v>26009.775924722981</v>
      </c>
      <c r="P65">
        <f>P19*(1+Control!$B$4)^(P$48/12)</f>
        <v>26322.47426850153</v>
      </c>
      <c r="Q65">
        <f>Q19*(1+Control!$B$4)^(Q$48/12)</f>
        <v>26697.906711654257</v>
      </c>
      <c r="R65">
        <f>R19*(1+Control!$B$4)^(R$48/12)</f>
        <v>26969.662194885543</v>
      </c>
      <c r="S65">
        <f>S19*(1+Control!$B$4)^(S$48/12)</f>
        <v>27276.542689021644</v>
      </c>
      <c r="T65">
        <f>T19*(1+Control!$B$4)^(T$48/12)</f>
        <v>27499.159033065989</v>
      </c>
      <c r="U65">
        <f>U19*(1+Control!$B$4)^(U$48/12)</f>
        <v>27753.291627685787</v>
      </c>
      <c r="V65">
        <f>V19*(1+Control!$B$4)^(V$48/12)</f>
        <v>28140.388060793801</v>
      </c>
      <c r="W65">
        <f>W19*(1+Control!$B$4)^(W$48/12)</f>
        <v>28453.190579235146</v>
      </c>
      <c r="X65">
        <f>X19*(1+Control!$B$4)^(X$48/12)</f>
        <v>28825.172180451871</v>
      </c>
      <c r="Y65">
        <f>Y19*(1+Control!$B$4)^(Y$48/12)</f>
        <v>29007.326250000002</v>
      </c>
      <c r="Z65">
        <f>Z19*(1+Control!$B$4)^(Z$48/12)</f>
        <v>29400.261033044393</v>
      </c>
      <c r="AA65">
        <f>AA19*(1+Control!$B$4)^(AA$48/12)</f>
        <v>29704.4394748905</v>
      </c>
      <c r="AB65">
        <f>AB19*(1+Control!$B$4)^(AB$48/12)</f>
        <v>29962.842348279279</v>
      </c>
      <c r="AC65">
        <f>AC19*(1+Control!$B$4)^(AC$48/12)</f>
        <v>30334.579228815033</v>
      </c>
      <c r="AD65">
        <f>AD19*(1+Control!$B$4)^(AD$48/12)</f>
        <v>30615.911017370549</v>
      </c>
      <c r="AE65">
        <f>AE19*(1+Control!$B$4)^(AE$48/12)</f>
        <v>31151.977382425404</v>
      </c>
      <c r="AF65">
        <f>AF19*(1+Control!$B$4)^(AF$48/12)</f>
        <v>31375.652655256927</v>
      </c>
      <c r="AG65">
        <f>AG19*(1+Control!$B$4)^(AG$48/12)</f>
        <v>31700.291570770751</v>
      </c>
      <c r="AH65">
        <f>AH19*(1+Control!$B$4)^(AH$48/12)</f>
        <v>32059.875986132265</v>
      </c>
      <c r="AI65">
        <f>AI19*(1+Control!$B$4)^(AI$48/12)</f>
        <v>32365.140671469337</v>
      </c>
      <c r="AJ65">
        <f>AJ19*(1+Control!$B$4)^(AJ$48/12)</f>
        <v>32687.579231024989</v>
      </c>
      <c r="AK65">
        <f>AK19*(1+Control!$B$4)^(AK$48/12)</f>
        <v>33021.947700000004</v>
      </c>
    </row>
    <row r="66" spans="1:37" x14ac:dyDescent="0.25">
      <c r="A66" t="s">
        <v>42</v>
      </c>
      <c r="B66">
        <f>B20*(1+Control!$B$4)^(B$48/12)</f>
        <v>23486.599051660458</v>
      </c>
      <c r="C66">
        <f>C20*(1+Control!$B$4)^(C$48/12)</f>
        <v>23627.552965041563</v>
      </c>
      <c r="D66">
        <f>D20*(1+Control!$B$4)^(D$48/12)</f>
        <v>23940.137117023336</v>
      </c>
      <c r="E66">
        <f>E20*(1+Control!$B$4)^(E$48/12)</f>
        <v>24245.728533275604</v>
      </c>
      <c r="F66">
        <f>F20*(1+Control!$B$4)^(F$48/12)</f>
        <v>24628.830319138971</v>
      </c>
      <c r="G66">
        <f>G20*(1+Control!$B$4)^(G$48/12)</f>
        <v>24804.691249650743</v>
      </c>
      <c r="H66">
        <f>H20*(1+Control!$B$4)^(H$48/12)</f>
        <v>25208.030582741245</v>
      </c>
      <c r="I66">
        <f>I20*(1+Control!$B$4)^(I$48/12)</f>
        <v>25518.169979749946</v>
      </c>
      <c r="J66">
        <f>J20*(1+Control!$B$4)^(J$48/12)</f>
        <v>25678.457944330949</v>
      </c>
      <c r="K66">
        <f>K20*(1+Control!$B$4)^(K$48/12)</f>
        <v>26049.07332649449</v>
      </c>
      <c r="L66">
        <f>L20*(1+Control!$B$4)^(L$48/12)</f>
        <v>26378.047569032802</v>
      </c>
      <c r="M66">
        <f>M20*(1+Control!$B$4)^(M$48/12)</f>
        <v>26675.25</v>
      </c>
      <c r="N66">
        <f>N20*(1+Control!$B$4)^(N$48/12)</f>
        <v>27017.977948713731</v>
      </c>
      <c r="O66">
        <f>O20*(1+Control!$B$4)^(O$48/12)</f>
        <v>27153.246574763511</v>
      </c>
      <c r="P66">
        <f>P20*(1+Control!$B$4)^(P$48/12)</f>
        <v>27468.47778782099</v>
      </c>
      <c r="Q66">
        <f>Q20*(1+Control!$B$4)^(Q$48/12)</f>
        <v>27900.23245402125</v>
      </c>
      <c r="R66">
        <f>R20*(1+Control!$B$4)^(R$48/12)</f>
        <v>28189.852287315214</v>
      </c>
      <c r="S66">
        <f>S20*(1+Control!$B$4)^(S$48/12)</f>
        <v>28503.963439571347</v>
      </c>
      <c r="T66">
        <f>T20*(1+Control!$B$4)^(T$48/12)</f>
        <v>28755.563402986627</v>
      </c>
      <c r="U66">
        <f>U20*(1+Control!$B$4)^(U$48/12)</f>
        <v>29113.957661883229</v>
      </c>
      <c r="V66">
        <f>V20*(1+Control!$B$4)^(V$48/12)</f>
        <v>29279.948853598366</v>
      </c>
      <c r="W66">
        <f>W20*(1+Control!$B$4)^(W$48/12)</f>
        <v>29816.108315735219</v>
      </c>
      <c r="X66">
        <f>X20*(1+Control!$B$4)^(X$48/12)</f>
        <v>30068.577393699859</v>
      </c>
      <c r="Y66">
        <f>Y20*(1+Control!$B$4)^(Y$48/12)</f>
        <v>30447.080999999995</v>
      </c>
      <c r="Z66">
        <f>Z20*(1+Control!$B$4)^(Z$48/12)</f>
        <v>30783.115091506559</v>
      </c>
      <c r="AA66">
        <f>AA20*(1+Control!$B$4)^(AA$48/12)</f>
        <v>31017.67878397588</v>
      </c>
      <c r="AB66">
        <f>AB20*(1+Control!$B$4)^(AB$48/12)</f>
        <v>31441.359075708457</v>
      </c>
      <c r="AC66">
        <f>AC20*(1+Control!$B$4)^(AC$48/12)</f>
        <v>31658.652992386738</v>
      </c>
      <c r="AD66">
        <f>AD20*(1+Control!$B$4)^(AD$48/12)</f>
        <v>32109.424976381441</v>
      </c>
      <c r="AE66">
        <f>AE20*(1+Control!$B$4)^(AE$48/12)</f>
        <v>32446.756720008914</v>
      </c>
      <c r="AF66">
        <f>AF20*(1+Control!$B$4)^(AF$48/12)</f>
        <v>32857.426584619519</v>
      </c>
      <c r="AG66">
        <f>AG20*(1+Control!$B$4)^(AG$48/12)</f>
        <v>33084.00236732194</v>
      </c>
      <c r="AH66">
        <f>AH20*(1+Control!$B$4)^(AH$48/12)</f>
        <v>33491.880120689624</v>
      </c>
      <c r="AI66">
        <f>AI20*(1+Control!$B$4)^(AI$48/12)</f>
        <v>33823.762288022212</v>
      </c>
      <c r="AJ66">
        <f>AJ20*(1+Control!$B$4)^(AJ$48/12)</f>
        <v>34240.803602671134</v>
      </c>
      <c r="AK66">
        <f>AK20*(1+Control!$B$4)^(AK$48/12)</f>
        <v>34472.567587500002</v>
      </c>
    </row>
    <row r="67" spans="1:37" x14ac:dyDescent="0.25">
      <c r="A67" t="s">
        <v>43</v>
      </c>
      <c r="B67">
        <f>B21*(1+Control!$B$4)^(B$48/12)</f>
        <v>24404.12198597395</v>
      </c>
      <c r="C67">
        <f>C21*(1+Control!$B$4)^(C$48/12)</f>
        <v>24774.743743364019</v>
      </c>
      <c r="D67">
        <f>D21*(1+Control!$B$4)^(D$48/12)</f>
        <v>24942.48908355497</v>
      </c>
      <c r="E67">
        <f>E21*(1+Control!$B$4)^(E$48/12)</f>
        <v>25416.922055233361</v>
      </c>
      <c r="F67">
        <f>F21*(1+Control!$B$4)^(F$48/12)</f>
        <v>25635.998562138586</v>
      </c>
      <c r="G67">
        <f>G21*(1+Control!$B$4)^(G$48/12)</f>
        <v>26023.361104246316</v>
      </c>
      <c r="H67">
        <f>H21*(1+Control!$B$4)^(H$48/12)</f>
        <v>26260.667286557971</v>
      </c>
      <c r="I67">
        <f>I21*(1+Control!$B$4)^(I$48/12)</f>
        <v>26598.545753076356</v>
      </c>
      <c r="J67">
        <f>J21*(1+Control!$B$4)^(J$48/12)</f>
        <v>26987.078249171343</v>
      </c>
      <c r="K67">
        <f>K21*(1+Control!$B$4)^(K$48/12)</f>
        <v>27102.026128962421</v>
      </c>
      <c r="L67">
        <f>L21*(1+Control!$B$4)^(L$48/12)</f>
        <v>27620.38612796252</v>
      </c>
      <c r="M67">
        <f>M21*(1+Control!$B$4)^(M$48/12)</f>
        <v>27850.724999999999</v>
      </c>
      <c r="N67">
        <f>N21*(1+Control!$B$4)^(N$48/12)</f>
        <v>28192.548879086466</v>
      </c>
      <c r="O67">
        <f>O21*(1+Control!$B$4)^(O$48/12)</f>
        <v>28476.462935206629</v>
      </c>
      <c r="P67">
        <f>P21*(1+Control!$B$4)^(P$48/12)</f>
        <v>28738.520085386215</v>
      </c>
      <c r="Q67">
        <f>Q21*(1+Control!$B$4)^(Q$48/12)</f>
        <v>29069.154330121524</v>
      </c>
      <c r="R67">
        <f>R21*(1+Control!$B$4)^(R$48/12)</f>
        <v>29481.62286466128</v>
      </c>
      <c r="S67">
        <f>S21*(1+Control!$B$4)^(S$48/12)</f>
        <v>29708.897256665154</v>
      </c>
      <c r="T67">
        <f>T21*(1+Control!$B$4)^(T$48/12)</f>
        <v>30149.383624888258</v>
      </c>
      <c r="U67">
        <f>U21*(1+Control!$B$4)^(U$48/12)</f>
        <v>30405.961259884331</v>
      </c>
      <c r="V67">
        <f>V21*(1+Control!$B$4)^(V$48/12)</f>
        <v>30577.434060965345</v>
      </c>
      <c r="W67">
        <f>W21*(1+Control!$B$4)^(W$48/12)</f>
        <v>31090.88421675274</v>
      </c>
      <c r="X67">
        <f>X21*(1+Control!$B$4)^(X$48/12)</f>
        <v>31426.177363374729</v>
      </c>
      <c r="Y67">
        <f>Y21*(1+Control!$B$4)^(Y$48/12)</f>
        <v>31824.213749999995</v>
      </c>
      <c r="Z67">
        <f>Z21*(1+Control!$B$4)^(Z$48/12)</f>
        <v>32088.147631949279</v>
      </c>
      <c r="AA67">
        <f>AA21*(1+Control!$B$4)^(AA$48/12)</f>
        <v>32375.267012597866</v>
      </c>
      <c r="AB67">
        <f>AB21*(1+Control!$B$4)^(AB$48/12)</f>
        <v>32746.221513593566</v>
      </c>
      <c r="AC67">
        <f>AC21*(1+Control!$B$4)^(AC$48/12)</f>
        <v>33060.606856303937</v>
      </c>
      <c r="AD67">
        <f>AD21*(1+Control!$B$4)^(AD$48/12)</f>
        <v>33613.515273507976</v>
      </c>
      <c r="AE67">
        <f>AE21*(1+Control!$B$4)^(AE$48/12)</f>
        <v>33868.630268811467</v>
      </c>
      <c r="AF67">
        <f>AF21*(1+Control!$B$4)^(AF$48/12)</f>
        <v>34180.848190213437</v>
      </c>
      <c r="AG67">
        <f>AG21*(1+Control!$B$4)^(AG$48/12)</f>
        <v>34641.744779407745</v>
      </c>
      <c r="AH67">
        <f>AH21*(1+Control!$B$4)^(AH$48/12)</f>
        <v>34914.621171482475</v>
      </c>
      <c r="AI67">
        <f>AI21*(1+Control!$B$4)^(AI$48/12)</f>
        <v>35383.659529687218</v>
      </c>
      <c r="AJ67">
        <f>AJ21*(1+Control!$B$4)^(AJ$48/12)</f>
        <v>35751.715522981598</v>
      </c>
      <c r="AK67">
        <f>AK21*(1+Control!$B$4)^(AK$48/12)</f>
        <v>35997.622762500003</v>
      </c>
    </row>
    <row r="68" spans="1:37" x14ac:dyDescent="0.25">
      <c r="A68" t="s">
        <v>44</v>
      </c>
      <c r="B68">
        <f>B22*(1+Control!$B$4)^(B$48/12)</f>
        <v>25568.145117676337</v>
      </c>
      <c r="C68">
        <f>C22*(1+Control!$B$4)^(C$48/12)</f>
        <v>25834.829078987597</v>
      </c>
      <c r="D68">
        <f>D22*(1+Control!$B$4)^(D$48/12)</f>
        <v>26062.669538174148</v>
      </c>
      <c r="E68">
        <f>E22*(1+Control!$B$4)^(E$48/12)</f>
        <v>26431.590538241628</v>
      </c>
      <c r="F68">
        <f>F22*(1+Control!$B$4)^(F$48/12)</f>
        <v>26722.870766814427</v>
      </c>
      <c r="G68">
        <f>G22*(1+Control!$B$4)^(G$48/12)</f>
        <v>27095.397093381012</v>
      </c>
      <c r="H68">
        <f>H22*(1+Control!$B$4)^(H$48/12)</f>
        <v>27402.712776966117</v>
      </c>
      <c r="I68">
        <f>I22*(1+Control!$B$4)^(I$48/12)</f>
        <v>27695.347205113703</v>
      </c>
      <c r="J68">
        <f>J22*(1+Control!$B$4)^(J$48/12)</f>
        <v>27990.429882709795</v>
      </c>
      <c r="K68">
        <f>K22*(1+Control!$B$4)^(K$48/12)</f>
        <v>28253.192036546799</v>
      </c>
      <c r="L68">
        <f>L22*(1+Control!$B$4)^(L$48/12)</f>
        <v>28649.916693001502</v>
      </c>
      <c r="M68">
        <f>M22*(1+Control!$B$4)^(M$48/12)</f>
        <v>28943.249999999996</v>
      </c>
      <c r="N68">
        <f>N22*(1+Control!$B$4)^(N$48/12)</f>
        <v>29195.48337873962</v>
      </c>
      <c r="O68">
        <f>O22*(1+Control!$B$4)^(O$48/12)</f>
        <v>29740.399202701901</v>
      </c>
      <c r="P68">
        <f>P22*(1+Control!$B$4)^(P$48/12)</f>
        <v>29959.988499782357</v>
      </c>
      <c r="Q68">
        <f>Q22*(1+Control!$B$4)^(Q$48/12)</f>
        <v>30230.285528146815</v>
      </c>
      <c r="R68">
        <f>R22*(1+Control!$B$4)^(R$48/12)</f>
        <v>30651.663755083653</v>
      </c>
      <c r="S68">
        <f>S22*(1+Control!$B$4)^(S$48/12)</f>
        <v>30957.083452942072</v>
      </c>
      <c r="T68">
        <f>T22*(1+Control!$B$4)^(T$48/12)</f>
        <v>31365.924433974778</v>
      </c>
      <c r="U68">
        <f>U22*(1+Control!$B$4)^(U$48/12)</f>
        <v>31677.355279880205</v>
      </c>
      <c r="V68">
        <f>V22*(1+Control!$B$4)^(V$48/12)</f>
        <v>31949.416026650044</v>
      </c>
      <c r="W68">
        <f>W22*(1+Control!$B$4)^(W$48/12)</f>
        <v>32434.664457955725</v>
      </c>
      <c r="X68">
        <f>X22*(1+Control!$B$4)^(X$48/12)</f>
        <v>32703.291990298731</v>
      </c>
      <c r="Y68">
        <f>Y22*(1+Control!$B$4)^(Y$48/12)</f>
        <v>33120.422999999995</v>
      </c>
      <c r="Z68">
        <f>Z22*(1+Control!$B$4)^(Z$48/12)</f>
        <v>33424.065241421049</v>
      </c>
      <c r="AA68">
        <f>AA22*(1+Control!$B$4)^(AA$48/12)</f>
        <v>33858.677238501674</v>
      </c>
      <c r="AB68">
        <f>AB22*(1+Control!$B$4)^(AB$48/12)</f>
        <v>34170.275970265997</v>
      </c>
      <c r="AC68">
        <f>AC22*(1+Control!$B$4)^(AC$48/12)</f>
        <v>34630.871383126068</v>
      </c>
      <c r="AD68">
        <f>AD22*(1+Control!$B$4)^(AD$48/12)</f>
        <v>34856.347516331109</v>
      </c>
      <c r="AE68">
        <f>AE22*(1+Control!$B$4)^(AE$48/12)</f>
        <v>35376.814908610766</v>
      </c>
      <c r="AF68">
        <f>AF22*(1+Control!$B$4)^(AF$48/12)</f>
        <v>35765.16545817694</v>
      </c>
      <c r="AG68">
        <f>AG22*(1+Control!$B$4)^(AG$48/12)</f>
        <v>36015.318917724253</v>
      </c>
      <c r="AH68">
        <f>AH22*(1+Control!$B$4)^(AH$48/12)</f>
        <v>36270.576531923827</v>
      </c>
      <c r="AI68">
        <f>AI22*(1+Control!$B$4)^(AI$48/12)</f>
        <v>36775.338187690912</v>
      </c>
      <c r="AJ68">
        <f>AJ22*(1+Control!$B$4)^(AJ$48/12)</f>
        <v>37158.979231437108</v>
      </c>
      <c r="AK68">
        <f>AK22*(1+Control!$B$4)^(AK$48/12)</f>
        <v>37546.409250000004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6311.8236090775536</v>
      </c>
      <c r="C3">
        <f>Calc_BankMonth!C3*(1+Control!$B$25)^C$2*HLOOKUP(C$2,FX!$B$40:$AK$43,2,FALSE)</f>
        <v>6400.3791666998786</v>
      </c>
      <c r="D3">
        <f>Calc_BankMonth!D3*(1+Control!$B$25)^D$2*HLOOKUP(D$2,FX!$B$40:$AK$43,2,FALSE)</f>
        <v>6583.4116084291763</v>
      </c>
      <c r="E3">
        <f>Calc_BankMonth!E3*(1+Control!$B$25)^E$2*HLOOKUP(E$2,FX!$B$40:$AK$43,2,FALSE)</f>
        <v>6693.7295626232599</v>
      </c>
      <c r="F3">
        <f>Calc_BankMonth!F3*(1+Control!$B$25)^F$2*HLOOKUP(F$2,FX!$B$40:$AK$43,2,FALSE)</f>
        <v>6907.5598406949048</v>
      </c>
      <c r="G3">
        <f>Calc_BankMonth!G3*(1+Control!$B$25)^G$2*HLOOKUP(G$2,FX!$B$40:$AK$43,2,FALSE)</f>
        <v>6927.7119014587379</v>
      </c>
      <c r="H3">
        <f>Calc_BankMonth!H3*(1+Control!$B$25)^H$2*HLOOKUP(H$2,FX!$B$40:$AK$43,2,FALSE)</f>
        <v>7031.8014235164137</v>
      </c>
      <c r="I3">
        <f>Calc_BankMonth!I3*(1+Control!$B$25)^I$2*HLOOKUP(I$2,FX!$B$40:$AK$43,2,FALSE)</f>
        <v>7077.266483463337</v>
      </c>
      <c r="J3">
        <f>Calc_BankMonth!J3*(1+Control!$B$25)^J$2*HLOOKUP(J$2,FX!$B$40:$AK$43,2,FALSE)</f>
        <v>7142.744613140786</v>
      </c>
      <c r="K3">
        <f>Calc_BankMonth!K3*(1+Control!$B$25)^K$2*HLOOKUP(K$2,FX!$B$40:$AK$43,2,FALSE)</f>
        <v>7287.4465398903421</v>
      </c>
      <c r="L3">
        <f>Calc_BankMonth!L3*(1+Control!$B$25)^L$2*HLOOKUP(L$2,FX!$B$40:$AK$43,2,FALSE)</f>
        <v>7246.4883863173809</v>
      </c>
      <c r="M3">
        <f>Calc_BankMonth!M3*(1+Control!$B$25)^M$2*HLOOKUP(M$2,FX!$B$40:$AK$43,2,FALSE)</f>
        <v>7416.5658210000092</v>
      </c>
      <c r="N3">
        <f>Calc_BankMonth!N3*(1+Control!$B$25)^N$2*HLOOKUP(N$2,FX!$B$40:$AK$43,2,FALSE)</f>
        <v>7393.2120317922108</v>
      </c>
      <c r="O3">
        <f>Calc_BankMonth!O3*(1+Control!$B$25)^O$2*HLOOKUP(O$2,FX!$B$40:$AK$43,2,FALSE)</f>
        <v>7505.9285872738947</v>
      </c>
      <c r="P3">
        <f>Calc_BankMonth!P3*(1+Control!$B$25)^P$2*HLOOKUP(P$2,FX!$B$40:$AK$43,2,FALSE)</f>
        <v>7370.2132488037114</v>
      </c>
      <c r="Q3">
        <f>Calc_BankMonth!Q3*(1+Control!$B$25)^Q$2*HLOOKUP(Q$2,FX!$B$40:$AK$43,2,FALSE)</f>
        <v>7422.9046876934754</v>
      </c>
      <c r="R3">
        <f>Calc_BankMonth!R3*(1+Control!$B$25)^R$2*HLOOKUP(R$2,FX!$B$40:$AK$43,2,FALSE)</f>
        <v>7513.587688655377</v>
      </c>
      <c r="S3">
        <f>Calc_BankMonth!S3*(1+Control!$B$25)^S$2*HLOOKUP(S$2,FX!$B$40:$AK$43,2,FALSE)</f>
        <v>7564.140527417826</v>
      </c>
      <c r="T3">
        <f>Calc_BankMonth!T3*(1+Control!$B$25)^T$2*HLOOKUP(T$2,FX!$B$40:$AK$43,2,FALSE)</f>
        <v>7499.4661463102129</v>
      </c>
      <c r="U3">
        <f>Calc_BankMonth!U3*(1+Control!$B$25)^U$2*HLOOKUP(U$2,FX!$B$40:$AK$43,2,FALSE)</f>
        <v>7499.5476406833768</v>
      </c>
      <c r="V3">
        <f>Calc_BankMonth!V3*(1+Control!$B$25)^V$2*HLOOKUP(V$2,FX!$B$40:$AK$43,2,FALSE)</f>
        <v>7623.7867364335025</v>
      </c>
      <c r="W3">
        <f>Calc_BankMonth!W3*(1+Control!$B$25)^W$2*HLOOKUP(W$2,FX!$B$40:$AK$43,2,FALSE)</f>
        <v>7685.8587516412081</v>
      </c>
      <c r="X3">
        <f>Calc_BankMonth!X3*(1+Control!$B$25)^X$2*HLOOKUP(X$2,FX!$B$40:$AK$43,2,FALSE)</f>
        <v>7878.6515672667365</v>
      </c>
      <c r="Y3">
        <f>Calc_BankMonth!Y3*(1+Control!$B$25)^Y$2*HLOOKUP(Y$2,FX!$B$40:$AK$43,2,FALSE)</f>
        <v>7975.7241543000182</v>
      </c>
      <c r="Z3">
        <f>Calc_BankMonth!Z3*(1+Control!$B$25)^Z$2*HLOOKUP(Z$2,FX!$B$40:$AK$43,2,FALSE)</f>
        <v>7887.9510412852815</v>
      </c>
      <c r="AA3">
        <f>Calc_BankMonth!AA3*(1+Control!$B$25)^AA$2*HLOOKUP(AA$2,FX!$B$40:$AK$43,2,FALSE)</f>
        <v>8066.6329773268544</v>
      </c>
      <c r="AB3">
        <f>Calc_BankMonth!AB3*(1+Control!$B$25)^AB$2*HLOOKUP(AB$2,FX!$B$40:$AK$43,2,FALSE)</f>
        <v>8239.6682571147521</v>
      </c>
      <c r="AC3">
        <f>Calc_BankMonth!AC3*(1+Control!$B$25)^AC$2*HLOOKUP(AC$2,FX!$B$40:$AK$43,2,FALSE)</f>
        <v>8355.1973584416537</v>
      </c>
      <c r="AD3">
        <f>Calc_BankMonth!AD3*(1+Control!$B$25)^AD$2*HLOOKUP(AD$2,FX!$B$40:$AK$43,2,FALSE)</f>
        <v>8507.7155302815936</v>
      </c>
      <c r="AE3">
        <f>Calc_BankMonth!AE3*(1+Control!$B$25)^AE$2*HLOOKUP(AE$2,FX!$B$40:$AK$43,2,FALSE)</f>
        <v>8656.2236388371839</v>
      </c>
      <c r="AF3">
        <f>Calc_BankMonth!AF3*(1+Control!$B$25)^AF$2*HLOOKUP(AF$2,FX!$B$40:$AK$43,2,FALSE)</f>
        <v>8891.7230263069614</v>
      </c>
      <c r="AG3">
        <f>Calc_BankMonth!AG3*(1+Control!$B$25)^AG$2*HLOOKUP(AG$2,FX!$B$40:$AK$43,2,FALSE)</f>
        <v>8845.2590120056357</v>
      </c>
      <c r="AH3">
        <f>Calc_BankMonth!AH3*(1+Control!$B$25)^AH$2*HLOOKUP(AH$2,FX!$B$40:$AK$43,2,FALSE)</f>
        <v>9118.3771965021497</v>
      </c>
      <c r="AI3">
        <f>Calc_BankMonth!AI3*(1+Control!$B$25)^AI$2*HLOOKUP(AI$2,FX!$B$40:$AK$43,2,FALSE)</f>
        <v>9288.9662093047446</v>
      </c>
      <c r="AJ3">
        <f>Calc_BankMonth!AJ3*(1+Control!$B$25)^AJ$2*HLOOKUP(AJ$2,FX!$B$40:$AK$43,2,FALSE)</f>
        <v>9441.933748593754</v>
      </c>
      <c r="AK3">
        <f>Calc_BankMonth!AK3*(1+Control!$B$25)^AK$2*HLOOKUP(AK$2,FX!$B$40:$AK$43,2,FALSE)</f>
        <v>9543.1383792675333</v>
      </c>
      <c r="AL3" cm="1">
        <f t="array" ref="AL3">INDEX(B3:AK3,Control!$B$3)</f>
        <v>7564.140527417826</v>
      </c>
    </row>
    <row r="4" spans="1:38" x14ac:dyDescent="0.25">
      <c r="A4" t="s">
        <v>22</v>
      </c>
      <c r="B4">
        <f>Calc_BankMonth!B4*(1+Control!$B$25)^B$2*HLOOKUP(B$2,FX!$B$40:$AK$43,2,FALSE)</f>
        <v>7415.1392143670319</v>
      </c>
      <c r="C4">
        <f>Calc_BankMonth!C4*(1+Control!$B$25)^C$2*HLOOKUP(C$2,FX!$B$40:$AK$43,2,FALSE)</f>
        <v>7535.6980780813874</v>
      </c>
      <c r="D4">
        <f>Calc_BankMonth!D4*(1+Control!$B$25)^D$2*HLOOKUP(D$2,FX!$B$40:$AK$43,2,FALSE)</f>
        <v>7748.7613710113737</v>
      </c>
      <c r="E4">
        <f>Calc_BankMonth!E4*(1+Control!$B$25)^E$2*HLOOKUP(E$2,FX!$B$40:$AK$43,2,FALSE)</f>
        <v>7902.2861094124719</v>
      </c>
      <c r="F4">
        <f>Calc_BankMonth!F4*(1+Control!$B$25)^F$2*HLOOKUP(F$2,FX!$B$40:$AK$43,2,FALSE)</f>
        <v>8016.2392942143097</v>
      </c>
      <c r="G4">
        <f>Calc_BankMonth!G4*(1+Control!$B$25)^G$2*HLOOKUP(G$2,FX!$B$40:$AK$43,2,FALSE)</f>
        <v>8114.7144974315861</v>
      </c>
      <c r="H4">
        <f>Calc_BankMonth!H4*(1+Control!$B$25)^H$2*HLOOKUP(H$2,FX!$B$40:$AK$43,2,FALSE)</f>
        <v>8076.5447924722557</v>
      </c>
      <c r="I4">
        <f>Calc_BankMonth!I4*(1+Control!$B$25)^I$2*HLOOKUP(I$2,FX!$B$40:$AK$43,2,FALSE)</f>
        <v>8338.9029065006034</v>
      </c>
      <c r="J4">
        <f>Calc_BankMonth!J4*(1+Control!$B$25)^J$2*HLOOKUP(J$2,FX!$B$40:$AK$43,2,FALSE)</f>
        <v>8468.8457244264791</v>
      </c>
      <c r="K4">
        <f>Calc_BankMonth!K4*(1+Control!$B$25)^K$2*HLOOKUP(K$2,FX!$B$40:$AK$43,2,FALSE)</f>
        <v>8451.9068150104322</v>
      </c>
      <c r="L4">
        <f>Calc_BankMonth!L4*(1+Control!$B$25)^L$2*HLOOKUP(L$2,FX!$B$40:$AK$43,2,FALSE)</f>
        <v>8697.1229495419648</v>
      </c>
      <c r="M4">
        <f>Calc_BankMonth!M4*(1+Control!$B$25)^M$2*HLOOKUP(M$2,FX!$B$40:$AK$43,2,FALSE)</f>
        <v>8679.6609480000097</v>
      </c>
      <c r="N4">
        <f>Calc_BankMonth!N4*(1+Control!$B$25)^N$2*HLOOKUP(N$2,FX!$B$40:$AK$43,2,FALSE)</f>
        <v>8644.663073338892</v>
      </c>
      <c r="O4">
        <f>Calc_BankMonth!O4*(1+Control!$B$25)^O$2*HLOOKUP(O$2,FX!$B$40:$AK$43,2,FALSE)</f>
        <v>8691.2591127769228</v>
      </c>
      <c r="P4">
        <f>Calc_BankMonth!P4*(1+Control!$B$25)^P$2*HLOOKUP(P$2,FX!$B$40:$AK$43,2,FALSE)</f>
        <v>8759.0663186320962</v>
      </c>
      <c r="Q4">
        <f>Calc_BankMonth!Q4*(1+Control!$B$25)^Q$2*HLOOKUP(Q$2,FX!$B$40:$AK$43,2,FALSE)</f>
        <v>8809.3661265845349</v>
      </c>
      <c r="R4">
        <f>Calc_BankMonth!R4*(1+Control!$B$25)^R$2*HLOOKUP(R$2,FX!$B$40:$AK$43,2,FALSE)</f>
        <v>8791.8930981060748</v>
      </c>
      <c r="S4">
        <f>Calc_BankMonth!S4*(1+Control!$B$25)^S$2*HLOOKUP(S$2,FX!$B$40:$AK$43,2,FALSE)</f>
        <v>8855.0011348915559</v>
      </c>
      <c r="T4">
        <f>Calc_BankMonth!T4*(1+Control!$B$25)^T$2*HLOOKUP(T$2,FX!$B$40:$AK$43,2,FALSE)</f>
        <v>8845.6806988883054</v>
      </c>
      <c r="U4">
        <f>Calc_BankMonth!U4*(1+Control!$B$25)^U$2*HLOOKUP(U$2,FX!$B$40:$AK$43,2,FALSE)</f>
        <v>9006.2175117501793</v>
      </c>
      <c r="V4">
        <f>Calc_BankMonth!V4*(1+Control!$B$25)^V$2*HLOOKUP(V$2,FX!$B$40:$AK$43,2,FALSE)</f>
        <v>8901.3789568004431</v>
      </c>
      <c r="W4">
        <f>Calc_BankMonth!W4*(1+Control!$B$25)^W$2*HLOOKUP(W$2,FX!$B$40:$AK$43,2,FALSE)</f>
        <v>9033.1713261118675</v>
      </c>
      <c r="X4">
        <f>Calc_BankMonth!X4*(1+Control!$B$25)^X$2*HLOOKUP(X$2,FX!$B$40:$AK$43,2,FALSE)</f>
        <v>9110.3718899054747</v>
      </c>
      <c r="Y4">
        <f>Calc_BankMonth!Y4*(1+Control!$B$25)^Y$2*HLOOKUP(Y$2,FX!$B$40:$AK$43,2,FALSE)</f>
        <v>9234.9021271500205</v>
      </c>
      <c r="Z4">
        <f>Calc_BankMonth!Z4*(1+Control!$B$25)^Z$2*HLOOKUP(Z$2,FX!$B$40:$AK$43,2,FALSE)</f>
        <v>9335.4318742224805</v>
      </c>
      <c r="AA4">
        <f>Calc_BankMonth!AA4*(1+Control!$B$25)^AA$2*HLOOKUP(AA$2,FX!$B$40:$AK$43,2,FALSE)</f>
        <v>9451.0996744727745</v>
      </c>
      <c r="AB4">
        <f>Calc_BankMonth!AB4*(1+Control!$B$25)^AB$2*HLOOKUP(AB$2,FX!$B$40:$AK$43,2,FALSE)</f>
        <v>9634.5561143014893</v>
      </c>
      <c r="AC4">
        <f>Calc_BankMonth!AC4*(1+Control!$B$25)^AC$2*HLOOKUP(AC$2,FX!$B$40:$AK$43,2,FALSE)</f>
        <v>9734.1054361184888</v>
      </c>
      <c r="AD4">
        <f>Calc_BankMonth!AD4*(1+Control!$B$25)^AD$2*HLOOKUP(AD$2,FX!$B$40:$AK$43,2,FALSE)</f>
        <v>9886.6248182883064</v>
      </c>
      <c r="AE4">
        <f>Calc_BankMonth!AE4*(1+Control!$B$25)^AE$2*HLOOKUP(AE$2,FX!$B$40:$AK$43,2,FALSE)</f>
        <v>10084.215717615823</v>
      </c>
      <c r="AF4">
        <f>Calc_BankMonth!AF4*(1+Control!$B$25)^AF$2*HLOOKUP(AF$2,FX!$B$40:$AK$43,2,FALSE)</f>
        <v>10232.227467335197</v>
      </c>
      <c r="AG4">
        <f>Calc_BankMonth!AG4*(1+Control!$B$25)^AG$2*HLOOKUP(AG$2,FX!$B$40:$AK$43,2,FALSE)</f>
        <v>10478.133514882593</v>
      </c>
      <c r="AH4">
        <f>Calc_BankMonth!AH4*(1+Control!$B$25)^AH$2*HLOOKUP(AH$2,FX!$B$40:$AK$43,2,FALSE)</f>
        <v>10659.47703707015</v>
      </c>
      <c r="AI4">
        <f>Calc_BankMonth!AI4*(1+Control!$B$25)^AI$2*HLOOKUP(AI$2,FX!$B$40:$AK$43,2,FALSE)</f>
        <v>10835.504713752598</v>
      </c>
      <c r="AJ4">
        <f>Calc_BankMonth!AJ4*(1+Control!$B$25)^AJ$2*HLOOKUP(AJ$2,FX!$B$40:$AK$43,2,FALSE)</f>
        <v>11071.424549792857</v>
      </c>
      <c r="AK4">
        <f>Calc_BankMonth!AK4*(1+Control!$B$25)^AK$2*HLOOKUP(AK$2,FX!$B$40:$AK$43,2,FALSE)</f>
        <v>11249.791947607539</v>
      </c>
      <c r="AL4" cm="1">
        <f t="array" ref="AL4">INDEX(B4:AK4,Control!$B$3)</f>
        <v>8855.0011348915559</v>
      </c>
    </row>
    <row r="5" spans="1:38" x14ac:dyDescent="0.25">
      <c r="A5" t="s">
        <v>24</v>
      </c>
      <c r="B5">
        <f>Calc_BankMonth!B5*(1+Control!$B$25)^B$2*HLOOKUP(B$2,FX!$B$40:$AK$43,2,FALSE)</f>
        <v>8511.337339822654</v>
      </c>
      <c r="C5">
        <f>Calc_BankMonth!C5*(1+Control!$B$25)^C$2*HLOOKUP(C$2,FX!$B$40:$AK$43,2,FALSE)</f>
        <v>8731.9412581315792</v>
      </c>
      <c r="D5">
        <f>Calc_BankMonth!D5*(1+Control!$B$25)^D$2*HLOOKUP(D$2,FX!$B$40:$AK$43,2,FALSE)</f>
        <v>8866.1069774834741</v>
      </c>
      <c r="E5">
        <f>Calc_BankMonth!E5*(1+Control!$B$25)^E$2*HLOOKUP(E$2,FX!$B$40:$AK$43,2,FALSE)</f>
        <v>9004.344025932849</v>
      </c>
      <c r="F5">
        <f>Calc_BankMonth!F5*(1+Control!$B$25)^F$2*HLOOKUP(F$2,FX!$B$40:$AK$43,2,FALSE)</f>
        <v>9211.555076287179</v>
      </c>
      <c r="G5">
        <f>Calc_BankMonth!G5*(1+Control!$B$25)^G$2*HLOOKUP(G$2,FX!$B$40:$AK$43,2,FALSE)</f>
        <v>9300.8252807853714</v>
      </c>
      <c r="H5">
        <f>Calc_BankMonth!H5*(1+Control!$B$25)^H$2*HLOOKUP(H$2,FX!$B$40:$AK$43,2,FALSE)</f>
        <v>9426.8040966976332</v>
      </c>
      <c r="I5">
        <f>Calc_BankMonth!I5*(1+Control!$B$25)^I$2*HLOOKUP(I$2,FX!$B$40:$AK$43,2,FALSE)</f>
        <v>9511.4044232657652</v>
      </c>
      <c r="J5">
        <f>Calc_BankMonth!J5*(1+Control!$B$25)^J$2*HLOOKUP(J$2,FX!$B$40:$AK$43,2,FALSE)</f>
        <v>9608.9761342573584</v>
      </c>
      <c r="K5">
        <f>Calc_BankMonth!K5*(1+Control!$B$25)^K$2*HLOOKUP(K$2,FX!$B$40:$AK$43,2,FALSE)</f>
        <v>9729.053140874008</v>
      </c>
      <c r="L5">
        <f>Calc_BankMonth!L5*(1+Control!$B$25)^L$2*HLOOKUP(L$2,FX!$B$40:$AK$43,2,FALSE)</f>
        <v>9794.2758010154776</v>
      </c>
      <c r="M5">
        <f>Calc_BankMonth!M5*(1+Control!$B$25)^M$2*HLOOKUP(M$2,FX!$B$40:$AK$43,2,FALSE)</f>
        <v>9870.5274570000129</v>
      </c>
      <c r="N5">
        <f>Calc_BankMonth!N5*(1+Control!$B$25)^N$2*HLOOKUP(N$2,FX!$B$40:$AK$43,2,FALSE)</f>
        <v>9875.8856756191053</v>
      </c>
      <c r="O5">
        <f>Calc_BankMonth!O5*(1+Control!$B$25)^O$2*HLOOKUP(O$2,FX!$B$40:$AK$43,2,FALSE)</f>
        <v>9878.9566923913644</v>
      </c>
      <c r="P5">
        <f>Calc_BankMonth!P5*(1+Control!$B$25)^P$2*HLOOKUP(P$2,FX!$B$40:$AK$43,2,FALSE)</f>
        <v>9896.5752967845565</v>
      </c>
      <c r="Q5">
        <f>Calc_BankMonth!Q5*(1+Control!$B$25)^Q$2*HLOOKUP(Q$2,FX!$B$40:$AK$43,2,FALSE)</f>
        <v>9992.4664498123875</v>
      </c>
      <c r="R5">
        <f>Calc_BankMonth!R5*(1+Control!$B$25)^R$2*HLOOKUP(R$2,FX!$B$40:$AK$43,2,FALSE)</f>
        <v>10107.139234859738</v>
      </c>
      <c r="S5">
        <f>Calc_BankMonth!S5*(1+Control!$B$25)^S$2*HLOOKUP(S$2,FX!$B$40:$AK$43,2,FALSE)</f>
        <v>10139.631075754485</v>
      </c>
      <c r="T5">
        <f>Calc_BankMonth!T5*(1+Control!$B$25)^T$2*HLOOKUP(T$2,FX!$B$40:$AK$43,2,FALSE)</f>
        <v>10164.813352642996</v>
      </c>
      <c r="U5">
        <f>Calc_BankMonth!U5*(1+Control!$B$25)^U$2*HLOOKUP(U$2,FX!$B$40:$AK$43,2,FALSE)</f>
        <v>10273.17227203232</v>
      </c>
      <c r="V5">
        <f>Calc_BankMonth!V5*(1+Control!$B$25)^V$2*HLOOKUP(V$2,FX!$B$40:$AK$43,2,FALSE)</f>
        <v>10222.621136829595</v>
      </c>
      <c r="W5">
        <f>Calc_BankMonth!W5*(1+Control!$B$25)^W$2*HLOOKUP(W$2,FX!$B$40:$AK$43,2,FALSE)</f>
        <v>10351.206551034395</v>
      </c>
      <c r="X5">
        <f>Calc_BankMonth!X5*(1+Control!$B$25)^X$2*HLOOKUP(X$2,FX!$B$40:$AK$43,2,FALSE)</f>
        <v>10374.892130866871</v>
      </c>
      <c r="Y5">
        <f>Calc_BankMonth!Y5*(1+Control!$B$25)^Y$2*HLOOKUP(Y$2,FX!$B$40:$AK$43,2,FALSE)</f>
        <v>10500.778449000023</v>
      </c>
      <c r="Z5">
        <f>Calc_BankMonth!Z5*(1+Control!$B$25)^Z$2*HLOOKUP(Z$2,FX!$B$40:$AK$43,2,FALSE)</f>
        <v>10739.69259542703</v>
      </c>
      <c r="AA5">
        <f>Calc_BankMonth!AA5*(1+Control!$B$25)^AA$2*HLOOKUP(AA$2,FX!$B$40:$AK$43,2,FALSE)</f>
        <v>10873.332777764299</v>
      </c>
      <c r="AB5">
        <f>Calc_BankMonth!AB5*(1+Control!$B$25)^AB$2*HLOOKUP(AB$2,FX!$B$40:$AK$43,2,FALSE)</f>
        <v>11094.672540349477</v>
      </c>
      <c r="AC5">
        <f>Calc_BankMonth!AC5*(1+Control!$B$25)^AC$2*HLOOKUP(AC$2,FX!$B$40:$AK$43,2,FALSE)</f>
        <v>11128.90273513128</v>
      </c>
      <c r="AD5">
        <f>Calc_BankMonth!AD5*(1+Control!$B$25)^AD$2*HLOOKUP(AD$2,FX!$B$40:$AK$43,2,FALSE)</f>
        <v>11384.584169729134</v>
      </c>
      <c r="AE5">
        <f>Calc_BankMonth!AE5*(1+Control!$B$25)^AE$2*HLOOKUP(AE$2,FX!$B$40:$AK$43,2,FALSE)</f>
        <v>11611.542282052518</v>
      </c>
      <c r="AF5">
        <f>Calc_BankMonth!AF5*(1+Control!$B$25)^AF$2*HLOOKUP(AF$2,FX!$B$40:$AK$43,2,FALSE)</f>
        <v>11795.772222660844</v>
      </c>
      <c r="AG5">
        <f>Calc_BankMonth!AG5*(1+Control!$B$25)^AG$2*HLOOKUP(AG$2,FX!$B$40:$AK$43,2,FALSE)</f>
        <v>11984.373491304144</v>
      </c>
      <c r="AH5">
        <f>Calc_BankMonth!AH5*(1+Control!$B$25)^AH$2*HLOOKUP(AH$2,FX!$B$40:$AK$43,2,FALSE)</f>
        <v>12224.222351307097</v>
      </c>
      <c r="AI5">
        <f>Calc_BankMonth!AI5*(1+Control!$B$25)^AI$2*HLOOKUP(AI$2,FX!$B$40:$AK$43,2,FALSE)</f>
        <v>12430.472670969211</v>
      </c>
      <c r="AJ5">
        <f>Calc_BankMonth!AJ5*(1+Control!$B$25)^AJ$2*HLOOKUP(AJ$2,FX!$B$40:$AK$43,2,FALSE)</f>
        <v>12763.286417643407</v>
      </c>
      <c r="AK5">
        <f>Calc_BankMonth!AK5*(1+Control!$B$25)^AK$2*HLOOKUP(AK$2,FX!$B$40:$AK$43,2,FALSE)</f>
        <v>12869.379046361295</v>
      </c>
      <c r="AL5" cm="1">
        <f t="array" ref="AL5">INDEX(B5:AK5,Control!$B$3)</f>
        <v>10139.631075754485</v>
      </c>
    </row>
    <row r="6" spans="1:38" x14ac:dyDescent="0.25">
      <c r="A6" t="s">
        <v>26</v>
      </c>
      <c r="B6">
        <f>Calc_BankMonth!B6*(1+Control!$B$25)^B$2*HLOOKUP(B$2,FX!$B$40:$AK$43,2,FALSE)</f>
        <v>9586.7141809881996</v>
      </c>
      <c r="C6">
        <f>Calc_BankMonth!C6*(1+Control!$B$25)^C$2*HLOOKUP(C$2,FX!$B$40:$AK$43,2,FALSE)</f>
        <v>9793.0120748921709</v>
      </c>
      <c r="D6">
        <f>Calc_BankMonth!D6*(1+Control!$B$25)^D$2*HLOOKUP(D$2,FX!$B$40:$AK$43,2,FALSE)</f>
        <v>9950.6533641699461</v>
      </c>
      <c r="E6">
        <f>Calc_BankMonth!E6*(1+Control!$B$25)^E$2*HLOOKUP(E$2,FX!$B$40:$AK$43,2,FALSE)</f>
        <v>10215.971593986251</v>
      </c>
      <c r="F6">
        <f>Calc_BankMonth!F6*(1+Control!$B$25)^F$2*HLOOKUP(F$2,FX!$B$40:$AK$43,2,FALSE)</f>
        <v>10313.263790727569</v>
      </c>
      <c r="G6">
        <f>Calc_BankMonth!G6*(1+Control!$B$25)^G$2*HLOOKUP(G$2,FX!$B$40:$AK$43,2,FALSE)</f>
        <v>10515.585544526555</v>
      </c>
      <c r="H6">
        <f>Calc_BankMonth!H6*(1+Control!$B$25)^H$2*HLOOKUP(H$2,FX!$B$40:$AK$43,2,FALSE)</f>
        <v>10581.349264709594</v>
      </c>
      <c r="I6">
        <f>Calc_BankMonth!I6*(1+Control!$B$25)^I$2*HLOOKUP(I$2,FX!$B$40:$AK$43,2,FALSE)</f>
        <v>10671.961186472339</v>
      </c>
      <c r="J6">
        <f>Calc_BankMonth!J6*(1+Control!$B$25)^J$2*HLOOKUP(J$2,FX!$B$40:$AK$43,2,FALSE)</f>
        <v>10896.187323779859</v>
      </c>
      <c r="K6">
        <f>Calc_BankMonth!K6*(1+Control!$B$25)^K$2*HLOOKUP(K$2,FX!$B$40:$AK$43,2,FALSE)</f>
        <v>10920.24096169808</v>
      </c>
      <c r="L6">
        <f>Calc_BankMonth!L6*(1+Control!$B$25)^L$2*HLOOKUP(L$2,FX!$B$40:$AK$43,2,FALSE)</f>
        <v>11029.988951678597</v>
      </c>
      <c r="M6">
        <f>Calc_BankMonth!M6*(1+Control!$B$25)^M$2*HLOOKUP(M$2,FX!$B$40:$AK$43,2,FALSE)</f>
        <v>11120.603319000014</v>
      </c>
      <c r="N6">
        <f>Calc_BankMonth!N6*(1+Control!$B$25)^N$2*HLOOKUP(N$2,FX!$B$40:$AK$43,2,FALSE)</f>
        <v>11179.433423879984</v>
      </c>
      <c r="O6">
        <f>Calc_BankMonth!O6*(1+Control!$B$25)^O$2*HLOOKUP(O$2,FX!$B$40:$AK$43,2,FALSE)</f>
        <v>11230.093722555381</v>
      </c>
      <c r="P6">
        <f>Calc_BankMonth!P6*(1+Control!$B$25)^P$2*HLOOKUP(P$2,FX!$B$40:$AK$43,2,FALSE)</f>
        <v>11158.127134664428</v>
      </c>
      <c r="Q6">
        <f>Calc_BankMonth!Q6*(1+Control!$B$25)^Q$2*HLOOKUP(Q$2,FX!$B$40:$AK$43,2,FALSE)</f>
        <v>11189.564647191071</v>
      </c>
      <c r="R6">
        <f>Calc_BankMonth!R6*(1+Control!$B$25)^R$2*HLOOKUP(R$2,FX!$B$40:$AK$43,2,FALSE)</f>
        <v>11435.331366680302</v>
      </c>
      <c r="S6">
        <f>Calc_BankMonth!S6*(1+Control!$B$25)^S$2*HLOOKUP(S$2,FX!$B$40:$AK$43,2,FALSE)</f>
        <v>11423.927230906122</v>
      </c>
      <c r="T6">
        <f>Calc_BankMonth!T6*(1+Control!$B$25)^T$2*HLOOKUP(T$2,FX!$B$40:$AK$43,2,FALSE)</f>
        <v>11473.956781421839</v>
      </c>
      <c r="U6">
        <f>Calc_BankMonth!U6*(1+Control!$B$25)^U$2*HLOOKUP(U$2,FX!$B$40:$AK$43,2,FALSE)</f>
        <v>11535.694020556999</v>
      </c>
      <c r="V6">
        <f>Calc_BankMonth!V6*(1+Control!$B$25)^V$2*HLOOKUP(V$2,FX!$B$40:$AK$43,2,FALSE)</f>
        <v>11535.997461183575</v>
      </c>
      <c r="W6">
        <f>Calc_BankMonth!W6*(1+Control!$B$25)^W$2*HLOOKUP(W$2,FX!$B$40:$AK$43,2,FALSE)</f>
        <v>11747.314708085274</v>
      </c>
      <c r="X6">
        <f>Calc_BankMonth!X6*(1+Control!$B$25)^X$2*HLOOKUP(X$2,FX!$B$40:$AK$43,2,FALSE)</f>
        <v>11760.827662704009</v>
      </c>
      <c r="Y6">
        <f>Calc_BankMonth!Y6*(1+Control!$B$25)^Y$2*HLOOKUP(Y$2,FX!$B$40:$AK$43,2,FALSE)</f>
        <v>12001.543542450027</v>
      </c>
      <c r="Z6">
        <f>Calc_BankMonth!Z6*(1+Control!$B$25)^Z$2*HLOOKUP(Z$2,FX!$B$40:$AK$43,2,FALSE)</f>
        <v>12047.185170362625</v>
      </c>
      <c r="AA6">
        <f>Calc_BankMonth!AA6*(1+Control!$B$25)^AA$2*HLOOKUP(AA$2,FX!$B$40:$AK$43,2,FALSE)</f>
        <v>12174.23847448627</v>
      </c>
      <c r="AB6">
        <f>Calc_BankMonth!AB6*(1+Control!$B$25)^AB$2*HLOOKUP(AB$2,FX!$B$40:$AK$43,2,FALSE)</f>
        <v>12473.253255320898</v>
      </c>
      <c r="AC6">
        <f>Calc_BankMonth!AC6*(1+Control!$B$25)^AC$2*HLOOKUP(AC$2,FX!$B$40:$AK$43,2,FALSE)</f>
        <v>12603.031001538806</v>
      </c>
      <c r="AD6">
        <f>Calc_BankMonth!AD6*(1+Control!$B$25)^AD$2*HLOOKUP(AD$2,FX!$B$40:$AK$43,2,FALSE)</f>
        <v>12877.306714860544</v>
      </c>
      <c r="AE6">
        <f>Calc_BankMonth!AE6*(1+Control!$B$25)^AE$2*HLOOKUP(AE$2,FX!$B$40:$AK$43,2,FALSE)</f>
        <v>13096.380991841637</v>
      </c>
      <c r="AF6">
        <f>Calc_BankMonth!AF6*(1+Control!$B$25)^AF$2*HLOOKUP(AF$2,FX!$B$40:$AK$43,2,FALSE)</f>
        <v>13366.223725572843</v>
      </c>
      <c r="AG6">
        <f>Calc_BankMonth!AG6*(1+Control!$B$25)^AG$2*HLOOKUP(AG$2,FX!$B$40:$AK$43,2,FALSE)</f>
        <v>13618.693868888489</v>
      </c>
      <c r="AH6">
        <f>Calc_BankMonth!AH6*(1+Control!$B$25)^AH$2*HLOOKUP(AH$2,FX!$B$40:$AK$43,2,FALSE)</f>
        <v>13842.596574896301</v>
      </c>
      <c r="AI6">
        <f>Calc_BankMonth!AI6*(1+Control!$B$25)^AI$2*HLOOKUP(AI$2,FX!$B$40:$AK$43,2,FALSE)</f>
        <v>13963.332627688482</v>
      </c>
      <c r="AJ6">
        <f>Calc_BankMonth!AJ6*(1+Control!$B$25)^AJ$2*HLOOKUP(AJ$2,FX!$B$40:$AK$43,2,FALSE)</f>
        <v>14343.602425774008</v>
      </c>
      <c r="AK6">
        <f>Calc_BankMonth!AK6*(1+Control!$B$25)^AK$2*HLOOKUP(AK$2,FX!$B$40:$AK$43,2,FALSE)</f>
        <v>14406.925157178797</v>
      </c>
      <c r="AL6" cm="1">
        <f t="array" ref="AL6">INDEX(B6:AK6,Control!$B$3)</f>
        <v>11423.927230906122</v>
      </c>
    </row>
    <row r="7" spans="1:38" x14ac:dyDescent="0.25">
      <c r="A7" t="s">
        <v>27</v>
      </c>
      <c r="B7">
        <f>Calc_BankMonth!B7*(1+Control!$B$25)^B$2*HLOOKUP(B$2,FX!$B$40:$AK$43,2,FALSE)</f>
        <v>10592.084765280477</v>
      </c>
      <c r="C7">
        <f>Calc_BankMonth!C7*(1+Control!$B$25)^C$2*HLOOKUP(C$2,FX!$B$40:$AK$43,2,FALSE)</f>
        <v>10883.201898370946</v>
      </c>
      <c r="D7">
        <f>Calc_BankMonth!D7*(1+Control!$B$25)^D$2*HLOOKUP(D$2,FX!$B$40:$AK$43,2,FALSE)</f>
        <v>11121.324854465704</v>
      </c>
      <c r="E7">
        <f>Calc_BankMonth!E7*(1+Control!$B$25)^E$2*HLOOKUP(E$2,FX!$B$40:$AK$43,2,FALSE)</f>
        <v>11240.924940909312</v>
      </c>
      <c r="F7">
        <f>Calc_BankMonth!F7*(1+Control!$B$25)^F$2*HLOOKUP(F$2,FX!$B$40:$AK$43,2,FALSE)</f>
        <v>11388.749248632623</v>
      </c>
      <c r="G7">
        <f>Calc_BankMonth!G7*(1+Control!$B$25)^G$2*HLOOKUP(G$2,FX!$B$40:$AK$43,2,FALSE)</f>
        <v>11626.784067879047</v>
      </c>
      <c r="H7">
        <f>Calc_BankMonth!H7*(1+Control!$B$25)^H$2*HLOOKUP(H$2,FX!$B$40:$AK$43,2,FALSE)</f>
        <v>11824.498540233644</v>
      </c>
      <c r="I7">
        <f>Calc_BankMonth!I7*(1+Control!$B$25)^I$2*HLOOKUP(I$2,FX!$B$40:$AK$43,2,FALSE)</f>
        <v>11950.049817241244</v>
      </c>
      <c r="J7">
        <f>Calc_BankMonth!J7*(1+Control!$B$25)^J$2*HLOOKUP(J$2,FX!$B$40:$AK$43,2,FALSE)</f>
        <v>12133.655590116874</v>
      </c>
      <c r="K7">
        <f>Calc_BankMonth!K7*(1+Control!$B$25)^K$2*HLOOKUP(K$2,FX!$B$40:$AK$43,2,FALSE)</f>
        <v>12184.250019334275</v>
      </c>
      <c r="L7">
        <f>Calc_BankMonth!L7*(1+Control!$B$25)^L$2*HLOOKUP(L$2,FX!$B$40:$AK$43,2,FALSE)</f>
        <v>12278.95766653238</v>
      </c>
      <c r="M7">
        <f>Calc_BankMonth!M7*(1+Control!$B$25)^M$2*HLOOKUP(M$2,FX!$B$40:$AK$43,2,FALSE)</f>
        <v>12403.510371000015</v>
      </c>
      <c r="N7">
        <f>Calc_BankMonth!N7*(1+Control!$B$25)^N$2*HLOOKUP(N$2,FX!$B$40:$AK$43,2,FALSE)</f>
        <v>12418.566589001834</v>
      </c>
      <c r="O7">
        <f>Calc_BankMonth!O7*(1+Control!$B$25)^O$2*HLOOKUP(O$2,FX!$B$40:$AK$43,2,FALSE)</f>
        <v>12466.823137334693</v>
      </c>
      <c r="P7">
        <f>Calc_BankMonth!P7*(1+Control!$B$25)^P$2*HLOOKUP(P$2,FX!$B$40:$AK$43,2,FALSE)</f>
        <v>12560.687839353992</v>
      </c>
      <c r="Q7">
        <f>Calc_BankMonth!Q7*(1+Control!$B$25)^Q$2*HLOOKUP(Q$2,FX!$B$40:$AK$43,2,FALSE)</f>
        <v>12627.762228943586</v>
      </c>
      <c r="R7">
        <f>Calc_BankMonth!R7*(1+Control!$B$25)^R$2*HLOOKUP(R$2,FX!$B$40:$AK$43,2,FALSE)</f>
        <v>12732.609355108352</v>
      </c>
      <c r="S7">
        <f>Calc_BankMonth!S7*(1+Control!$B$25)^S$2*HLOOKUP(S$2,FX!$B$40:$AK$43,2,FALSE)</f>
        <v>12678.293933945153</v>
      </c>
      <c r="T7">
        <f>Calc_BankMonth!T7*(1+Control!$B$25)^T$2*HLOOKUP(T$2,FX!$B$40:$AK$43,2,FALSE)</f>
        <v>12741.700422245238</v>
      </c>
      <c r="U7">
        <f>Calc_BankMonth!U7*(1+Control!$B$25)^U$2*HLOOKUP(U$2,FX!$B$40:$AK$43,2,FALSE)</f>
        <v>12767.406337367327</v>
      </c>
      <c r="V7">
        <f>Calc_BankMonth!V7*(1+Control!$B$25)^V$2*HLOOKUP(V$2,FX!$B$40:$AK$43,2,FALSE)</f>
        <v>12905.210282161295</v>
      </c>
      <c r="W7">
        <f>Calc_BankMonth!W7*(1+Control!$B$25)^W$2*HLOOKUP(W$2,FX!$B$40:$AK$43,2,FALSE)</f>
        <v>13008.569618732634</v>
      </c>
      <c r="X7">
        <f>Calc_BankMonth!X7*(1+Control!$B$25)^X$2*HLOOKUP(X$2,FX!$B$40:$AK$43,2,FALSE)</f>
        <v>13189.236309114902</v>
      </c>
      <c r="Y7">
        <f>Calc_BankMonth!Y7*(1+Control!$B$25)^Y$2*HLOOKUP(Y$2,FX!$B$40:$AK$43,2,FALSE)</f>
        <v>13259.493484650031</v>
      </c>
      <c r="Z7">
        <f>Calc_BankMonth!Z7*(1+Control!$B$25)^Z$2*HLOOKUP(Z$2,FX!$B$40:$AK$43,2,FALSE)</f>
        <v>13369.496069320847</v>
      </c>
      <c r="AA7">
        <f>Calc_BankMonth!AA7*(1+Control!$B$25)^AA$2*HLOOKUP(AA$2,FX!$B$40:$AK$43,2,FALSE)</f>
        <v>13613.771757838502</v>
      </c>
      <c r="AB7">
        <f>Calc_BankMonth!AB7*(1+Control!$B$25)^AB$2*HLOOKUP(AB$2,FX!$B$40:$AK$43,2,FALSE)</f>
        <v>13924.246804605076</v>
      </c>
      <c r="AC7">
        <f>Calc_BankMonth!AC7*(1+Control!$B$25)^AC$2*HLOOKUP(AC$2,FX!$B$40:$AK$43,2,FALSE)</f>
        <v>14053.44057522744</v>
      </c>
      <c r="AD7">
        <f>Calc_BankMonth!AD7*(1+Control!$B$25)^AD$2*HLOOKUP(AD$2,FX!$B$40:$AK$43,2,FALSE)</f>
        <v>14250.048208769496</v>
      </c>
      <c r="AE7">
        <f>Calc_BankMonth!AE7*(1+Control!$B$25)^AE$2*HLOOKUP(AE$2,FX!$B$40:$AK$43,2,FALSE)</f>
        <v>14545.911235164618</v>
      </c>
      <c r="AF7">
        <f>Calc_BankMonth!AF7*(1+Control!$B$25)^AF$2*HLOOKUP(AF$2,FX!$B$40:$AK$43,2,FALSE)</f>
        <v>14859.391104630589</v>
      </c>
      <c r="AG7">
        <f>Calc_BankMonth!AG7*(1+Control!$B$25)^AG$2*HLOOKUP(AG$2,FX!$B$40:$AK$43,2,FALSE)</f>
        <v>15081.798583206297</v>
      </c>
      <c r="AH7">
        <f>Calc_BankMonth!AH7*(1+Control!$B$25)^AH$2*HLOOKUP(AH$2,FX!$B$40:$AK$43,2,FALSE)</f>
        <v>15307.762755176902</v>
      </c>
      <c r="AI7">
        <f>Calc_BankMonth!AI7*(1+Control!$B$25)^AI$2*HLOOKUP(AI$2,FX!$B$40:$AK$43,2,FALSE)</f>
        <v>15657.377633317532</v>
      </c>
      <c r="AJ7">
        <f>Calc_BankMonth!AJ7*(1+Control!$B$25)^AJ$2*HLOOKUP(AJ$2,FX!$B$40:$AK$43,2,FALSE)</f>
        <v>15933.753392518309</v>
      </c>
      <c r="AK7">
        <f>Calc_BankMonth!AK7*(1+Control!$B$25)^AK$2*HLOOKUP(AK$2,FX!$B$40:$AK$43,2,FALSE)</f>
        <v>16131.042274252555</v>
      </c>
      <c r="AL7" cm="1">
        <f t="array" ref="AL7">INDEX(B7:AK7,Control!$B$3)</f>
        <v>12678.293933945153</v>
      </c>
    </row>
    <row r="8" spans="1:38" x14ac:dyDescent="0.25">
      <c r="A8" t="s">
        <v>28</v>
      </c>
      <c r="B8">
        <f>Calc_BankMonth!B8*(1+Control!$B$25)^B$2*HLOOKUP(B$2,FX!$B$40:$AK$43,2,FALSE)</f>
        <v>11813.210596476561</v>
      </c>
      <c r="C8">
        <f>Calc_BankMonth!C8*(1+Control!$B$25)^C$2*HLOOKUP(C$2,FX!$B$40:$AK$43,2,FALSE)</f>
        <v>11949.322874968271</v>
      </c>
      <c r="D8">
        <f>Calc_BankMonth!D8*(1+Control!$B$25)^D$2*HLOOKUP(D$2,FX!$B$40:$AK$43,2,FALSE)</f>
        <v>12169.813820725585</v>
      </c>
      <c r="E8">
        <f>Calc_BankMonth!E8*(1+Control!$B$25)^E$2*HLOOKUP(E$2,FX!$B$40:$AK$43,2,FALSE)</f>
        <v>12439.061951266453</v>
      </c>
      <c r="F8">
        <f>Calc_BankMonth!F8*(1+Control!$B$25)^F$2*HLOOKUP(F$2,FX!$B$40:$AK$43,2,FALSE)</f>
        <v>12632.30697099835</v>
      </c>
      <c r="G8">
        <f>Calc_BankMonth!G8*(1+Control!$B$25)^G$2*HLOOKUP(G$2,FX!$B$40:$AK$43,2,FALSE)</f>
        <v>12788.3700042086</v>
      </c>
      <c r="H8">
        <f>Calc_BankMonth!H8*(1+Control!$B$25)^H$2*HLOOKUP(H$2,FX!$B$40:$AK$43,2,FALSE)</f>
        <v>13001.362970770806</v>
      </c>
      <c r="I8">
        <f>Calc_BankMonth!I8*(1+Control!$B$25)^I$2*HLOOKUP(I$2,FX!$B$40:$AK$43,2,FALSE)</f>
        <v>13120.184920565556</v>
      </c>
      <c r="J8">
        <f>Calc_BankMonth!J8*(1+Control!$B$25)^J$2*HLOOKUP(J$2,FX!$B$40:$AK$43,2,FALSE)</f>
        <v>13328.616267549933</v>
      </c>
      <c r="K8">
        <f>Calc_BankMonth!K8*(1+Control!$B$25)^K$2*HLOOKUP(K$2,FX!$B$40:$AK$43,2,FALSE)</f>
        <v>13281.89143019441</v>
      </c>
      <c r="L8">
        <f>Calc_BankMonth!L8*(1+Control!$B$25)^L$2*HLOOKUP(L$2,FX!$B$40:$AK$43,2,FALSE)</f>
        <v>13564.520802186036</v>
      </c>
      <c r="M8">
        <f>Calc_BankMonth!M8*(1+Control!$B$25)^M$2*HLOOKUP(M$2,FX!$B$40:$AK$43,2,FALSE)</f>
        <v>13714.720173000016</v>
      </c>
      <c r="N8">
        <f>Calc_BankMonth!N8*(1+Control!$B$25)^N$2*HLOOKUP(N$2,FX!$B$40:$AK$43,2,FALSE)</f>
        <v>13680.301362242642</v>
      </c>
      <c r="O8">
        <f>Calc_BankMonth!O8*(1+Control!$B$25)^O$2*HLOOKUP(O$2,FX!$B$40:$AK$43,2,FALSE)</f>
        <v>13696.78954036713</v>
      </c>
      <c r="P8">
        <f>Calc_BankMonth!P8*(1+Control!$B$25)^P$2*HLOOKUP(P$2,FX!$B$40:$AK$43,2,FALSE)</f>
        <v>13915.721252680611</v>
      </c>
      <c r="Q8">
        <f>Calc_BankMonth!Q8*(1+Control!$B$25)^Q$2*HLOOKUP(Q$2,FX!$B$40:$AK$43,2,FALSE)</f>
        <v>13996.978286880831</v>
      </c>
      <c r="R8">
        <f>Calc_BankMonth!R8*(1+Control!$B$25)^R$2*HLOOKUP(R$2,FX!$B$40:$AK$43,2,FALSE)</f>
        <v>13912.9269743113</v>
      </c>
      <c r="S8">
        <f>Calc_BankMonth!S8*(1+Control!$B$25)^S$2*HLOOKUP(S$2,FX!$B$40:$AK$43,2,FALSE)</f>
        <v>13977.49918420121</v>
      </c>
      <c r="T8">
        <f>Calc_BankMonth!T8*(1+Control!$B$25)^T$2*HLOOKUP(T$2,FX!$B$40:$AK$43,2,FALSE)</f>
        <v>13935.856772413239</v>
      </c>
      <c r="U8">
        <f>Calc_BankMonth!U8*(1+Control!$B$25)^U$2*HLOOKUP(U$2,FX!$B$40:$AK$43,2,FALSE)</f>
        <v>14102.075352244674</v>
      </c>
      <c r="V8">
        <f>Calc_BankMonth!V8*(1+Control!$B$25)^V$2*HLOOKUP(V$2,FX!$B$40:$AK$43,2,FALSE)</f>
        <v>14202.411748366334</v>
      </c>
      <c r="W8">
        <f>Calc_BankMonth!W8*(1+Control!$B$25)^W$2*HLOOKUP(W$2,FX!$B$40:$AK$43,2,FALSE)</f>
        <v>14421.645330635272</v>
      </c>
      <c r="X8">
        <f>Calc_BankMonth!X8*(1+Control!$B$25)^X$2*HLOOKUP(X$2,FX!$B$40:$AK$43,2,FALSE)</f>
        <v>14509.572004306723</v>
      </c>
      <c r="Y8">
        <f>Calc_BankMonth!Y8*(1+Control!$B$25)^Y$2*HLOOKUP(Y$2,FX!$B$40:$AK$43,2,FALSE)</f>
        <v>14610.77375625003</v>
      </c>
      <c r="Z8">
        <f>Calc_BankMonth!Z8*(1+Control!$B$25)^Z$2*HLOOKUP(Z$2,FX!$B$40:$AK$43,2,FALSE)</f>
        <v>14810.016780368631</v>
      </c>
      <c r="AA8">
        <f>Calc_BankMonth!AA8*(1+Control!$B$25)^AA$2*HLOOKUP(AA$2,FX!$B$40:$AK$43,2,FALSE)</f>
        <v>14990.775632213134</v>
      </c>
      <c r="AB8">
        <f>Calc_BankMonth!AB8*(1+Control!$B$25)^AB$2*HLOOKUP(AB$2,FX!$B$40:$AK$43,2,FALSE)</f>
        <v>15177.958143871832</v>
      </c>
      <c r="AC8">
        <f>Calc_BankMonth!AC8*(1+Control!$B$25)^AC$2*HLOOKUP(AC$2,FX!$B$40:$AK$43,2,FALSE)</f>
        <v>15424.404042236298</v>
      </c>
      <c r="AD8">
        <f>Calc_BankMonth!AD8*(1+Control!$B$25)^AD$2*HLOOKUP(AD$2,FX!$B$40:$AK$43,2,FALSE)</f>
        <v>15866.010262382561</v>
      </c>
      <c r="AE8">
        <f>Calc_BankMonth!AE8*(1+Control!$B$25)^AE$2*HLOOKUP(AE$2,FX!$B$40:$AK$43,2,FALSE)</f>
        <v>15997.324596699127</v>
      </c>
      <c r="AF8">
        <f>Calc_BankMonth!AF8*(1+Control!$B$25)^AF$2*HLOOKUP(AF$2,FX!$B$40:$AK$43,2,FALSE)</f>
        <v>16307.783706231945</v>
      </c>
      <c r="AG8">
        <f>Calc_BankMonth!AG8*(1+Control!$B$25)^AG$2*HLOOKUP(AG$2,FX!$B$40:$AK$43,2,FALSE)</f>
        <v>16696.358673123006</v>
      </c>
      <c r="AH8">
        <f>Calc_BankMonth!AH8*(1+Control!$B$25)^AH$2*HLOOKUP(AH$2,FX!$B$40:$AK$43,2,FALSE)</f>
        <v>16928.574656463938</v>
      </c>
      <c r="AI8">
        <f>Calc_BankMonth!AI8*(1+Control!$B$25)^AI$2*HLOOKUP(AI$2,FX!$B$40:$AK$43,2,FALSE)</f>
        <v>17256.28895564509</v>
      </c>
      <c r="AJ8">
        <f>Calc_BankMonth!AJ8*(1+Control!$B$25)^AJ$2*HLOOKUP(AJ$2,FX!$B$40:$AK$43,2,FALSE)</f>
        <v>17537.723098580595</v>
      </c>
      <c r="AK8">
        <f>Calc_BankMonth!AK8*(1+Control!$B$25)^AK$2*HLOOKUP(AK$2,FX!$B$40:$AK$43,2,FALSE)</f>
        <v>17775.254233091306</v>
      </c>
      <c r="AL8" cm="1">
        <f t="array" ref="AL8">INDEX(B8:AK8,Control!$B$3)</f>
        <v>13977.49918420121</v>
      </c>
    </row>
    <row r="9" spans="1:38" x14ac:dyDescent="0.25">
      <c r="A9" t="s">
        <v>29</v>
      </c>
      <c r="B9">
        <f>Calc_BankMonth!B9*(1+Control!$B$25)^B$2*HLOOKUP(B$2,FX!$B$40:$AK$43,2,FALSE)</f>
        <v>12782.781319514985</v>
      </c>
      <c r="C9">
        <f>Calc_BankMonth!C9*(1+Control!$B$25)^C$2*HLOOKUP(C$2,FX!$B$40:$AK$43,2,FALSE)</f>
        <v>13139.441393088811</v>
      </c>
      <c r="D9">
        <f>Calc_BankMonth!D9*(1+Control!$B$25)^D$2*HLOOKUP(D$2,FX!$B$40:$AK$43,2,FALSE)</f>
        <v>13418.356306340214</v>
      </c>
      <c r="E9">
        <f>Calc_BankMonth!E9*(1+Control!$B$25)^E$2*HLOOKUP(E$2,FX!$B$40:$AK$43,2,FALSE)</f>
        <v>13655.186371885275</v>
      </c>
      <c r="F9">
        <f>Calc_BankMonth!F9*(1+Control!$B$25)^F$2*HLOOKUP(F$2,FX!$B$40:$AK$43,2,FALSE)</f>
        <v>13748.289103552914</v>
      </c>
      <c r="G9">
        <f>Calc_BankMonth!G9*(1+Control!$B$25)^G$2*HLOOKUP(G$2,FX!$B$40:$AK$43,2,FALSE)</f>
        <v>14071.576886462872</v>
      </c>
      <c r="H9">
        <f>Calc_BankMonth!H9*(1+Control!$B$25)^H$2*HLOOKUP(H$2,FX!$B$40:$AK$43,2,FALSE)</f>
        <v>14265.036995250191</v>
      </c>
      <c r="I9">
        <f>Calc_BankMonth!I9*(1+Control!$B$25)^I$2*HLOOKUP(I$2,FX!$B$40:$AK$43,2,FALSE)</f>
        <v>14391.39968372056</v>
      </c>
      <c r="J9">
        <f>Calc_BankMonth!J9*(1+Control!$B$25)^J$2*HLOOKUP(J$2,FX!$B$40:$AK$43,2,FALSE)</f>
        <v>14562.240762549889</v>
      </c>
      <c r="K9">
        <f>Calc_BankMonth!K9*(1+Control!$B$25)^K$2*HLOOKUP(K$2,FX!$B$40:$AK$43,2,FALSE)</f>
        <v>14684.747822716543</v>
      </c>
      <c r="L9">
        <f>Calc_BankMonth!L9*(1+Control!$B$25)^L$2*HLOOKUP(L$2,FX!$B$40:$AK$43,2,FALSE)</f>
        <v>14714.242728740479</v>
      </c>
      <c r="M9">
        <f>Calc_BankMonth!M9*(1+Control!$B$25)^M$2*HLOOKUP(M$2,FX!$B$40:$AK$43,2,FALSE)</f>
        <v>14850.679347000019</v>
      </c>
      <c r="N9">
        <f>Calc_BankMonth!N9*(1+Control!$B$25)^N$2*HLOOKUP(N$2,FX!$B$40:$AK$43,2,FALSE)</f>
        <v>15030.634439309759</v>
      </c>
      <c r="O9">
        <f>Calc_BankMonth!O9*(1+Control!$B$25)^O$2*HLOOKUP(O$2,FX!$B$40:$AK$43,2,FALSE)</f>
        <v>14882.6836501824</v>
      </c>
      <c r="P9">
        <f>Calc_BankMonth!P9*(1+Control!$B$25)^P$2*HLOOKUP(P$2,FX!$B$40:$AK$43,2,FALSE)</f>
        <v>15050.983077577137</v>
      </c>
      <c r="Q9">
        <f>Calc_BankMonth!Q9*(1+Control!$B$25)^Q$2*HLOOKUP(Q$2,FX!$B$40:$AK$43,2,FALSE)</f>
        <v>15168.880310788023</v>
      </c>
      <c r="R9">
        <f>Calc_BankMonth!R9*(1+Control!$B$25)^R$2*HLOOKUP(R$2,FX!$B$40:$AK$43,2,FALSE)</f>
        <v>15215.450322809562</v>
      </c>
      <c r="S9">
        <f>Calc_BankMonth!S9*(1+Control!$B$25)^S$2*HLOOKUP(S$2,FX!$B$40:$AK$43,2,FALSE)</f>
        <v>15273.144053536807</v>
      </c>
      <c r="T9">
        <f>Calc_BankMonth!T9*(1+Control!$B$25)^T$2*HLOOKUP(T$2,FX!$B$40:$AK$43,2,FALSE)</f>
        <v>15354.215727594661</v>
      </c>
      <c r="U9">
        <f>Calc_BankMonth!U9*(1+Control!$B$25)^U$2*HLOOKUP(U$2,FX!$B$40:$AK$43,2,FALSE)</f>
        <v>15392.192598959542</v>
      </c>
      <c r="V9">
        <f>Calc_BankMonth!V9*(1+Control!$B$25)^V$2*HLOOKUP(V$2,FX!$B$40:$AK$43,2,FALSE)</f>
        <v>15630.452306858346</v>
      </c>
      <c r="W9">
        <f>Calc_BankMonth!W9*(1+Control!$B$25)^W$2*HLOOKUP(W$2,FX!$B$40:$AK$43,2,FALSE)</f>
        <v>15535.515402080109</v>
      </c>
      <c r="X9">
        <f>Calc_BankMonth!X9*(1+Control!$B$25)^X$2*HLOOKUP(X$2,FX!$B$40:$AK$43,2,FALSE)</f>
        <v>15773.202755957676</v>
      </c>
      <c r="Y9">
        <f>Calc_BankMonth!Y9*(1+Control!$B$25)^Y$2*HLOOKUP(Y$2,FX!$B$40:$AK$43,2,FALSE)</f>
        <v>15928.115726250035</v>
      </c>
      <c r="Z9">
        <f>Calc_BankMonth!Z9*(1+Control!$B$25)^Z$2*HLOOKUP(Z$2,FX!$B$40:$AK$43,2,FALSE)</f>
        <v>16222.472483797814</v>
      </c>
      <c r="AA9">
        <f>Calc_BankMonth!AA9*(1+Control!$B$25)^AA$2*HLOOKUP(AA$2,FX!$B$40:$AK$43,2,FALSE)</f>
        <v>16399.553039901886</v>
      </c>
      <c r="AB9">
        <f>Calc_BankMonth!AB9*(1+Control!$B$25)^AB$2*HLOOKUP(AB$2,FX!$B$40:$AK$43,2,FALSE)</f>
        <v>16616.635809524865</v>
      </c>
      <c r="AC9">
        <f>Calc_BankMonth!AC9*(1+Control!$B$25)^AC$2*HLOOKUP(AC$2,FX!$B$40:$AK$43,2,FALSE)</f>
        <v>16879.994883751871</v>
      </c>
      <c r="AD9">
        <f>Calc_BankMonth!AD9*(1+Control!$B$25)^AD$2*HLOOKUP(AD$2,FX!$B$40:$AK$43,2,FALSE)</f>
        <v>17196.391811921989</v>
      </c>
      <c r="AE9">
        <f>Calc_BankMonth!AE9*(1+Control!$B$25)^AE$2*HLOOKUP(AE$2,FX!$B$40:$AK$43,2,FALSE)</f>
        <v>17490.166558887235</v>
      </c>
      <c r="AF9">
        <f>Calc_BankMonth!AF9*(1+Control!$B$25)^AF$2*HLOOKUP(AF$2,FX!$B$40:$AK$43,2,FALSE)</f>
        <v>17835.008495801736</v>
      </c>
      <c r="AG9">
        <f>Calc_BankMonth!AG9*(1+Control!$B$25)^AG$2*HLOOKUP(AG$2,FX!$B$40:$AK$43,2,FALSE)</f>
        <v>18172.59674936625</v>
      </c>
      <c r="AH9">
        <f>Calc_BankMonth!AH9*(1+Control!$B$25)^AH$2*HLOOKUP(AH$2,FX!$B$40:$AK$43,2,FALSE)</f>
        <v>18468.699425952804</v>
      </c>
      <c r="AI9">
        <f>Calc_BankMonth!AI9*(1+Control!$B$25)^AI$2*HLOOKUP(AI$2,FX!$B$40:$AK$43,2,FALSE)</f>
        <v>18904.738802178868</v>
      </c>
      <c r="AJ9">
        <f>Calc_BankMonth!AJ9*(1+Control!$B$25)^AJ$2*HLOOKUP(AJ$2,FX!$B$40:$AK$43,2,FALSE)</f>
        <v>19153.644146755731</v>
      </c>
      <c r="AK9">
        <f>Calc_BankMonth!AK9*(1+Control!$B$25)^AK$2*HLOOKUP(AK$2,FX!$B$40:$AK$43,2,FALSE)</f>
        <v>19352.752923026314</v>
      </c>
      <c r="AL9" cm="1">
        <f t="array" ref="AL9">INDEX(B9:AK9,Control!$B$3)</f>
        <v>15273.144053536807</v>
      </c>
    </row>
    <row r="10" spans="1:38" x14ac:dyDescent="0.25">
      <c r="A10" t="s">
        <v>30</v>
      </c>
      <c r="B10">
        <f>Calc_BankMonth!B10*(1+Control!$B$25)^B$2*HLOOKUP(B$2,FX!$B$40:$AK$43,2,FALSE)</f>
        <v>14009.32493386818</v>
      </c>
      <c r="C10">
        <f>Calc_BankMonth!C10*(1+Control!$B$25)^C$2*HLOOKUP(C$2,FX!$B$40:$AK$43,2,FALSE)</f>
        <v>14186.113881804245</v>
      </c>
      <c r="D10">
        <f>Calc_BankMonth!D10*(1+Control!$B$25)^D$2*HLOOKUP(D$2,FX!$B$40:$AK$43,2,FALSE)</f>
        <v>14499.101458945566</v>
      </c>
      <c r="E10">
        <f>Calc_BankMonth!E10*(1+Control!$B$25)^E$2*HLOOKUP(E$2,FX!$B$40:$AK$43,2,FALSE)</f>
        <v>14714.908066692191</v>
      </c>
      <c r="F10">
        <f>Calc_BankMonth!F10*(1+Control!$B$25)^F$2*HLOOKUP(F$2,FX!$B$40:$AK$43,2,FALSE)</f>
        <v>15127.167681373152</v>
      </c>
      <c r="G10">
        <f>Calc_BankMonth!G10*(1+Control!$B$25)^G$2*HLOOKUP(G$2,FX!$B$40:$AK$43,2,FALSE)</f>
        <v>15252.782700411806</v>
      </c>
      <c r="H10">
        <f>Calc_BankMonth!H10*(1+Control!$B$25)^H$2*HLOOKUP(H$2,FX!$B$40:$AK$43,2,FALSE)</f>
        <v>15397.150743638837</v>
      </c>
      <c r="I10">
        <f>Calc_BankMonth!I10*(1+Control!$B$25)^I$2*HLOOKUP(I$2,FX!$B$40:$AK$43,2,FALSE)</f>
        <v>15634.780917356962</v>
      </c>
      <c r="J10">
        <f>Calc_BankMonth!J10*(1+Control!$B$25)^J$2*HLOOKUP(J$2,FX!$B$40:$AK$43,2,FALSE)</f>
        <v>15758.671117258886</v>
      </c>
      <c r="K10">
        <f>Calc_BankMonth!K10*(1+Control!$B$25)^K$2*HLOOKUP(K$2,FX!$B$40:$AK$43,2,FALSE)</f>
        <v>15900.851152247717</v>
      </c>
      <c r="L10">
        <f>Calc_BankMonth!L10*(1+Control!$B$25)^L$2*HLOOKUP(L$2,FX!$B$40:$AK$43,2,FALSE)</f>
        <v>16090.782087001859</v>
      </c>
      <c r="M10">
        <f>Calc_BankMonth!M10*(1+Control!$B$25)^M$2*HLOOKUP(M$2,FX!$B$40:$AK$43,2,FALSE)</f>
        <v>16147.737774000017</v>
      </c>
      <c r="N10">
        <f>Calc_BankMonth!N10*(1+Control!$B$25)^N$2*HLOOKUP(N$2,FX!$B$40:$AK$43,2,FALSE)</f>
        <v>16249.765181246334</v>
      </c>
      <c r="O10">
        <f>Calc_BankMonth!O10*(1+Control!$B$25)^O$2*HLOOKUP(O$2,FX!$B$40:$AK$43,2,FALSE)</f>
        <v>16370.095367046031</v>
      </c>
      <c r="P10">
        <f>Calc_BankMonth!P10*(1+Control!$B$25)^P$2*HLOOKUP(P$2,FX!$B$40:$AK$43,2,FALSE)</f>
        <v>16399.724461787147</v>
      </c>
      <c r="Q10">
        <f>Calc_BankMonth!Q10*(1+Control!$B$25)^Q$2*HLOOKUP(Q$2,FX!$B$40:$AK$43,2,FALSE)</f>
        <v>16431.264593206157</v>
      </c>
      <c r="R10">
        <f>Calc_BankMonth!R10*(1+Control!$B$25)^R$2*HLOOKUP(R$2,FX!$B$40:$AK$43,2,FALSE)</f>
        <v>16507.817761384653</v>
      </c>
      <c r="S10">
        <f>Calc_BankMonth!S10*(1+Control!$B$25)^S$2*HLOOKUP(S$2,FX!$B$40:$AK$43,2,FALSE)</f>
        <v>16598.273327369952</v>
      </c>
      <c r="T10">
        <f>Calc_BankMonth!T10*(1+Control!$B$25)^T$2*HLOOKUP(T$2,FX!$B$40:$AK$43,2,FALSE)</f>
        <v>16634.057429777691</v>
      </c>
      <c r="U10">
        <f>Calc_BankMonth!U10*(1+Control!$B$25)^U$2*HLOOKUP(U$2,FX!$B$40:$AK$43,2,FALSE)</f>
        <v>16816.630101925453</v>
      </c>
      <c r="V10">
        <f>Calc_BankMonth!V10*(1+Control!$B$25)^V$2*HLOOKUP(V$2,FX!$B$40:$AK$43,2,FALSE)</f>
        <v>16798.808841370123</v>
      </c>
      <c r="W10">
        <f>Calc_BankMonth!W10*(1+Control!$B$25)^W$2*HLOOKUP(W$2,FX!$B$40:$AK$43,2,FALSE)</f>
        <v>17029.547421445382</v>
      </c>
      <c r="X10">
        <f>Calc_BankMonth!X10*(1+Control!$B$25)^X$2*HLOOKUP(X$2,FX!$B$40:$AK$43,2,FALSE)</f>
        <v>17026.604380538509</v>
      </c>
      <c r="Y10">
        <f>Calc_BankMonth!Y10*(1+Control!$B$25)^Y$2*HLOOKUP(Y$2,FX!$B$40:$AK$43,2,FALSE)</f>
        <v>17317.576587150041</v>
      </c>
      <c r="Z10">
        <f>Calc_BankMonth!Z10*(1+Control!$B$25)^Z$2*HLOOKUP(Z$2,FX!$B$40:$AK$43,2,FALSE)</f>
        <v>17502.798131358599</v>
      </c>
      <c r="AA10">
        <f>Calc_BankMonth!AA10*(1+Control!$B$25)^AA$2*HLOOKUP(AA$2,FX!$B$40:$AK$43,2,FALSE)</f>
        <v>17695.935813732169</v>
      </c>
      <c r="AB10">
        <f>Calc_BankMonth!AB10*(1+Control!$B$25)^AB$2*HLOOKUP(AB$2,FX!$B$40:$AK$43,2,FALSE)</f>
        <v>18065.690747496727</v>
      </c>
      <c r="AC10">
        <f>Calc_BankMonth!AC10*(1+Control!$B$25)^AC$2*HLOOKUP(AC$2,FX!$B$40:$AK$43,2,FALSE)</f>
        <v>18430.460496143012</v>
      </c>
      <c r="AD10">
        <f>Calc_BankMonth!AD10*(1+Control!$B$25)^AD$2*HLOOKUP(AD$2,FX!$B$40:$AK$43,2,FALSE)</f>
        <v>18649.431002575358</v>
      </c>
      <c r="AE10">
        <f>Calc_BankMonth!AE10*(1+Control!$B$25)^AE$2*HLOOKUP(AE$2,FX!$B$40:$AK$43,2,FALSE)</f>
        <v>19115.415270323338</v>
      </c>
      <c r="AF10">
        <f>Calc_BankMonth!AF10*(1+Control!$B$25)^AF$2*HLOOKUP(AF$2,FX!$B$40:$AK$43,2,FALSE)</f>
        <v>19412.843073719847</v>
      </c>
      <c r="AG10">
        <f>Calc_BankMonth!AG10*(1+Control!$B$25)^AG$2*HLOOKUP(AG$2,FX!$B$40:$AK$43,2,FALSE)</f>
        <v>19677.631830198312</v>
      </c>
      <c r="AH10">
        <f>Calc_BankMonth!AH10*(1+Control!$B$25)^AH$2*HLOOKUP(AH$2,FX!$B$40:$AK$43,2,FALSE)</f>
        <v>20034.05415961421</v>
      </c>
      <c r="AI10">
        <f>Calc_BankMonth!AI10*(1+Control!$B$25)^AI$2*HLOOKUP(AI$2,FX!$B$40:$AK$43,2,FALSE)</f>
        <v>20441.295663689645</v>
      </c>
      <c r="AJ10">
        <f>Calc_BankMonth!AJ10*(1+Control!$B$25)^AJ$2*HLOOKUP(AJ$2,FX!$B$40:$AK$43,2,FALSE)</f>
        <v>20662.501088503242</v>
      </c>
      <c r="AK10">
        <f>Calc_BankMonth!AK10*(1+Control!$B$25)^AK$2*HLOOKUP(AK$2,FX!$B$40:$AK$43,2,FALSE)</f>
        <v>20998.849437483816</v>
      </c>
      <c r="AL10" cm="1">
        <f t="array" ref="AL10">INDEX(B10:AK10,Control!$B$3)</f>
        <v>16598.273327369952</v>
      </c>
    </row>
    <row r="11" spans="1:38" x14ac:dyDescent="0.25">
      <c r="A11" t="s">
        <v>32</v>
      </c>
      <c r="B11">
        <f>Calc_BankMonth!B11*(1+Control!$B$25)^B$2*HLOOKUP(B$2,FX!$B$40:$AK$43,2,FALSE)</f>
        <v>15005.984572692158</v>
      </c>
      <c r="C11">
        <f>Calc_BankMonth!C11*(1+Control!$B$25)^C$2*HLOOKUP(C$2,FX!$B$40:$AK$43,2,FALSE)</f>
        <v>15370.752439250875</v>
      </c>
      <c r="D11">
        <f>Calc_BankMonth!D11*(1+Control!$B$25)^D$2*HLOOKUP(D$2,FX!$B$40:$AK$43,2,FALSE)</f>
        <v>15576.371197533901</v>
      </c>
      <c r="E11">
        <f>Calc_BankMonth!E11*(1+Control!$B$25)^E$2*HLOOKUP(E$2,FX!$B$40:$AK$43,2,FALSE)</f>
        <v>15888.476906935823</v>
      </c>
      <c r="F11">
        <f>Calc_BankMonth!F11*(1+Control!$B$25)^F$2*HLOOKUP(F$2,FX!$B$40:$AK$43,2,FALSE)</f>
        <v>16204.42348571097</v>
      </c>
      <c r="G11">
        <f>Calc_BankMonth!G11*(1+Control!$B$25)^G$2*HLOOKUP(G$2,FX!$B$40:$AK$43,2,FALSE)</f>
        <v>16401.102924032799</v>
      </c>
      <c r="H11">
        <f>Calc_BankMonth!H11*(1+Control!$B$25)^H$2*HLOOKUP(H$2,FX!$B$40:$AK$43,2,FALSE)</f>
        <v>16594.427766033208</v>
      </c>
      <c r="I11">
        <f>Calc_BankMonth!I11*(1+Control!$B$25)^I$2*HLOOKUP(I$2,FX!$B$40:$AK$43,2,FALSE)</f>
        <v>16726.260945361519</v>
      </c>
      <c r="J11">
        <f>Calc_BankMonth!J11*(1+Control!$B$25)^J$2*HLOOKUP(J$2,FX!$B$40:$AK$43,2,FALSE)</f>
        <v>17063.066225700008</v>
      </c>
      <c r="K11">
        <f>Calc_BankMonth!K11*(1+Control!$B$25)^K$2*HLOOKUP(K$2,FX!$B$40:$AK$43,2,FALSE)</f>
        <v>17141.983242798298</v>
      </c>
      <c r="L11">
        <f>Calc_BankMonth!L11*(1+Control!$B$25)^L$2*HLOOKUP(L$2,FX!$B$40:$AK$43,2,FALSE)</f>
        <v>17356.858410341029</v>
      </c>
      <c r="M11">
        <f>Calc_BankMonth!M11*(1+Control!$B$25)^M$2*HLOOKUP(M$2,FX!$B$40:$AK$43,2,FALSE)</f>
        <v>17388.756756000021</v>
      </c>
      <c r="N11">
        <f>Calc_BankMonth!N11*(1+Control!$B$25)^N$2*HLOOKUP(N$2,FX!$B$40:$AK$43,2,FALSE)</f>
        <v>17504.49345597026</v>
      </c>
      <c r="O11">
        <f>Calc_BankMonth!O11*(1+Control!$B$25)^O$2*HLOOKUP(O$2,FX!$B$40:$AK$43,2,FALSE)</f>
        <v>17489.486528016991</v>
      </c>
      <c r="P11">
        <f>Calc_BankMonth!P11*(1+Control!$B$25)^P$2*HLOOKUP(P$2,FX!$B$40:$AK$43,2,FALSE)</f>
        <v>17675.096292191</v>
      </c>
      <c r="Q11">
        <f>Calc_BankMonth!Q11*(1+Control!$B$25)^Q$2*HLOOKUP(Q$2,FX!$B$40:$AK$43,2,FALSE)</f>
        <v>17646.839984463928</v>
      </c>
      <c r="R11">
        <f>Calc_BankMonth!R11*(1+Control!$B$25)^R$2*HLOOKUP(R$2,FX!$B$40:$AK$43,2,FALSE)</f>
        <v>17767.038988452241</v>
      </c>
      <c r="S11">
        <f>Calc_BankMonth!S11*(1+Control!$B$25)^S$2*HLOOKUP(S$2,FX!$B$40:$AK$43,2,FALSE)</f>
        <v>17890.35781578509</v>
      </c>
      <c r="T11">
        <f>Calc_BankMonth!T11*(1+Control!$B$25)^T$2*HLOOKUP(T$2,FX!$B$40:$AK$43,2,FALSE)</f>
        <v>17968.395903773388</v>
      </c>
      <c r="U11">
        <f>Calc_BankMonth!U11*(1+Control!$B$25)^U$2*HLOOKUP(U$2,FX!$B$40:$AK$43,2,FALSE)</f>
        <v>18045.239310505563</v>
      </c>
      <c r="V11">
        <f>Calc_BankMonth!V11*(1+Control!$B$25)^V$2*HLOOKUP(V$2,FX!$B$40:$AK$43,2,FALSE)</f>
        <v>18105.094816946483</v>
      </c>
      <c r="W11">
        <f>Calc_BankMonth!W11*(1+Control!$B$25)^W$2*HLOOKUP(W$2,FX!$B$40:$AK$43,2,FALSE)</f>
        <v>18360.225138218237</v>
      </c>
      <c r="X11">
        <f>Calc_BankMonth!X11*(1+Control!$B$25)^X$2*HLOOKUP(X$2,FX!$B$40:$AK$43,2,FALSE)</f>
        <v>18456.34726091507</v>
      </c>
      <c r="Y11">
        <f>Calc_BankMonth!Y11*(1+Control!$B$25)^Y$2*HLOOKUP(Y$2,FX!$B$40:$AK$43,2,FALSE)</f>
        <v>18555.543121500039</v>
      </c>
      <c r="Z11">
        <f>Calc_BankMonth!Z11*(1+Control!$B$25)^Z$2*HLOOKUP(Z$2,FX!$B$40:$AK$43,2,FALSE)</f>
        <v>18962.627567647985</v>
      </c>
      <c r="AA11">
        <f>Calc_BankMonth!AA11*(1+Control!$B$25)^AA$2*HLOOKUP(AA$2,FX!$B$40:$AK$43,2,FALSE)</f>
        <v>19182.281349013374</v>
      </c>
      <c r="AB11">
        <f>Calc_BankMonth!AB11*(1+Control!$B$25)^AB$2*HLOOKUP(AB$2,FX!$B$40:$AK$43,2,FALSE)</f>
        <v>19446.780253578203</v>
      </c>
      <c r="AC11">
        <f>Calc_BankMonth!AC11*(1+Control!$B$25)^AC$2*HLOOKUP(AC$2,FX!$B$40:$AK$43,2,FALSE)</f>
        <v>19710.809345822909</v>
      </c>
      <c r="AD11">
        <f>Calc_BankMonth!AD11*(1+Control!$B$25)^AD$2*HLOOKUP(AD$2,FX!$B$40:$AK$43,2,FALSE)</f>
        <v>20081.17384757043</v>
      </c>
      <c r="AE11">
        <f>Calc_BankMonth!AE11*(1+Control!$B$25)^AE$2*HLOOKUP(AE$2,FX!$B$40:$AK$43,2,FALSE)</f>
        <v>20520.339151010776</v>
      </c>
      <c r="AF11">
        <f>Calc_BankMonth!AF11*(1+Control!$B$25)^AF$2*HLOOKUP(AF$2,FX!$B$40:$AK$43,2,FALSE)</f>
        <v>20895.888495107931</v>
      </c>
      <c r="AG11">
        <f>Calc_BankMonth!AG11*(1+Control!$B$25)^AG$2*HLOOKUP(AG$2,FX!$B$40:$AK$43,2,FALSE)</f>
        <v>21153.508437764707</v>
      </c>
      <c r="AH11">
        <f>Calc_BankMonth!AH11*(1+Control!$B$25)^AH$2*HLOOKUP(AH$2,FX!$B$40:$AK$43,2,FALSE)</f>
        <v>21523.597116873105</v>
      </c>
      <c r="AI11">
        <f>Calc_BankMonth!AI11*(1+Control!$B$25)^AI$2*HLOOKUP(AI$2,FX!$B$40:$AK$43,2,FALSE)</f>
        <v>22021.84569221938</v>
      </c>
      <c r="AJ11">
        <f>Calc_BankMonth!AJ11*(1+Control!$B$25)^AJ$2*HLOOKUP(AJ$2,FX!$B$40:$AK$43,2,FALSE)</f>
        <v>22296.349149847651</v>
      </c>
      <c r="AK11">
        <f>Calc_BankMonth!AK11*(1+Control!$B$25)^AK$2*HLOOKUP(AK$2,FX!$B$40:$AK$43,2,FALSE)</f>
        <v>22591.298935327577</v>
      </c>
      <c r="AL11" cm="1">
        <f t="array" ref="AL11">INDEX(B11:AK11,Control!$B$3)</f>
        <v>17890.35781578509</v>
      </c>
    </row>
    <row r="12" spans="1:38" x14ac:dyDescent="0.25">
      <c r="A12" t="s">
        <v>33</v>
      </c>
      <c r="B12">
        <f>Calc_BankMonth!B12*(1+Control!$B$25)^B$2*HLOOKUP(B$2,FX!$B$40:$AK$43,2,FALSE)</f>
        <v>16118.648509703709</v>
      </c>
      <c r="C12">
        <f>Calc_BankMonth!C12*(1+Control!$B$25)^C$2*HLOOKUP(C$2,FX!$B$40:$AK$43,2,FALSE)</f>
        <v>16502.955294562911</v>
      </c>
      <c r="D12">
        <f>Calc_BankMonth!D12*(1+Control!$B$25)^D$2*HLOOKUP(D$2,FX!$B$40:$AK$43,2,FALSE)</f>
        <v>16742.91563368445</v>
      </c>
      <c r="E12">
        <f>Calc_BankMonth!E12*(1+Control!$B$25)^E$2*HLOOKUP(E$2,FX!$B$40:$AK$43,2,FALSE)</f>
        <v>17032.432327846203</v>
      </c>
      <c r="F12">
        <f>Calc_BankMonth!F12*(1+Control!$B$25)^F$2*HLOOKUP(F$2,FX!$B$40:$AK$43,2,FALSE)</f>
        <v>17361.344879523236</v>
      </c>
      <c r="G12">
        <f>Calc_BankMonth!G12*(1+Control!$B$25)^G$2*HLOOKUP(G$2,FX!$B$40:$AK$43,2,FALSE)</f>
        <v>17596.354786731979</v>
      </c>
      <c r="H12">
        <f>Calc_BankMonth!H12*(1+Control!$B$25)^H$2*HLOOKUP(H$2,FX!$B$40:$AK$43,2,FALSE)</f>
        <v>17860.793560867394</v>
      </c>
      <c r="I12">
        <f>Calc_BankMonth!I12*(1+Control!$B$25)^I$2*HLOOKUP(I$2,FX!$B$40:$AK$43,2,FALSE)</f>
        <v>18100.020290953453</v>
      </c>
      <c r="J12">
        <f>Calc_BankMonth!J12*(1+Control!$B$25)^J$2*HLOOKUP(J$2,FX!$B$40:$AK$43,2,FALSE)</f>
        <v>18192.117529912299</v>
      </c>
      <c r="K12">
        <f>Calc_BankMonth!K12*(1+Control!$B$25)^K$2*HLOOKUP(K$2,FX!$B$40:$AK$43,2,FALSE)</f>
        <v>18383.681594910406</v>
      </c>
      <c r="L12">
        <f>Calc_BankMonth!L12*(1+Control!$B$25)^L$2*HLOOKUP(L$2,FX!$B$40:$AK$43,2,FALSE)</f>
        <v>18455.370806859741</v>
      </c>
      <c r="M12">
        <f>Calc_BankMonth!M12*(1+Control!$B$25)^M$2*HLOOKUP(M$2,FX!$B$40:$AK$43,2,FALSE)</f>
        <v>18653.776470000023</v>
      </c>
      <c r="N12">
        <f>Calc_BankMonth!N12*(1+Control!$B$25)^N$2*HLOOKUP(N$2,FX!$B$40:$AK$43,2,FALSE)</f>
        <v>18813.578598220283</v>
      </c>
      <c r="O12">
        <f>Calc_BankMonth!O12*(1+Control!$B$25)^O$2*HLOOKUP(O$2,FX!$B$40:$AK$43,2,FALSE)</f>
        <v>18861.138027146542</v>
      </c>
      <c r="P12">
        <f>Calc_BankMonth!P12*(1+Control!$B$25)^P$2*HLOOKUP(P$2,FX!$B$40:$AK$43,2,FALSE)</f>
        <v>18798.897635482277</v>
      </c>
      <c r="Q12">
        <f>Calc_BankMonth!Q12*(1+Control!$B$25)^Q$2*HLOOKUP(Q$2,FX!$B$40:$AK$43,2,FALSE)</f>
        <v>18959.280664845421</v>
      </c>
      <c r="R12">
        <f>Calc_BankMonth!R12*(1+Control!$B$25)^R$2*HLOOKUP(R$2,FX!$B$40:$AK$43,2,FALSE)</f>
        <v>19087.976898899113</v>
      </c>
      <c r="S12">
        <f>Calc_BankMonth!S12*(1+Control!$B$25)^S$2*HLOOKUP(S$2,FX!$B$40:$AK$43,2,FALSE)</f>
        <v>19073.183114703661</v>
      </c>
      <c r="T12">
        <f>Calc_BankMonth!T12*(1+Control!$B$25)^T$2*HLOOKUP(T$2,FX!$B$40:$AK$43,2,FALSE)</f>
        <v>19267.550107576386</v>
      </c>
      <c r="U12">
        <f>Calc_BankMonth!U12*(1+Control!$B$25)^U$2*HLOOKUP(U$2,FX!$B$40:$AK$43,2,FALSE)</f>
        <v>19309.977564908979</v>
      </c>
      <c r="V12">
        <f>Calc_BankMonth!V12*(1+Control!$B$25)^V$2*HLOOKUP(V$2,FX!$B$40:$AK$43,2,FALSE)</f>
        <v>19423.34575608508</v>
      </c>
      <c r="W12">
        <f>Calc_BankMonth!W12*(1+Control!$B$25)^W$2*HLOOKUP(W$2,FX!$B$40:$AK$43,2,FALSE)</f>
        <v>19636.8950169989</v>
      </c>
      <c r="X12">
        <f>Calc_BankMonth!X12*(1+Control!$B$25)^X$2*HLOOKUP(X$2,FX!$B$40:$AK$43,2,FALSE)</f>
        <v>19764.007733433049</v>
      </c>
      <c r="Y12">
        <f>Calc_BankMonth!Y12*(1+Control!$B$25)^Y$2*HLOOKUP(Y$2,FX!$B$40:$AK$43,2,FALSE)</f>
        <v>20052.847401300041</v>
      </c>
      <c r="Z12">
        <f>Calc_BankMonth!Z12*(1+Control!$B$25)^Z$2*HLOOKUP(Z$2,FX!$B$40:$AK$43,2,FALSE)</f>
        <v>20261.588380267527</v>
      </c>
      <c r="AA12">
        <f>Calc_BankMonth!AA12*(1+Control!$B$25)^AA$2*HLOOKUP(AA$2,FX!$B$40:$AK$43,2,FALSE)</f>
        <v>20612.76878658223</v>
      </c>
      <c r="AB12">
        <f>Calc_BankMonth!AB12*(1+Control!$B$25)^AB$2*HLOOKUP(AB$2,FX!$B$40:$AK$43,2,FALSE)</f>
        <v>20956.958465867603</v>
      </c>
      <c r="AC12">
        <f>Calc_BankMonth!AC12*(1+Control!$B$25)^AC$2*HLOOKUP(AC$2,FX!$B$40:$AK$43,2,FALSE)</f>
        <v>21267.607618891416</v>
      </c>
      <c r="AD12">
        <f>Calc_BankMonth!AD12*(1+Control!$B$25)^AD$2*HLOOKUP(AD$2,FX!$B$40:$AK$43,2,FALSE)</f>
        <v>21545.268518210352</v>
      </c>
      <c r="AE12">
        <f>Calc_BankMonth!AE12*(1+Control!$B$25)^AE$2*HLOOKUP(AE$2,FX!$B$40:$AK$43,2,FALSE)</f>
        <v>21853.822234548399</v>
      </c>
      <c r="AF12">
        <f>Calc_BankMonth!AF12*(1+Control!$B$25)^AF$2*HLOOKUP(AF$2,FX!$B$40:$AK$43,2,FALSE)</f>
        <v>22316.773188218791</v>
      </c>
      <c r="AG12">
        <f>Calc_BankMonth!AG12*(1+Control!$B$25)^AG$2*HLOOKUP(AG$2,FX!$B$40:$AK$43,2,FALSE)</f>
        <v>22687.220033626636</v>
      </c>
      <c r="AH12">
        <f>Calc_BankMonth!AH12*(1+Control!$B$25)^AH$2*HLOOKUP(AH$2,FX!$B$40:$AK$43,2,FALSE)</f>
        <v>23149.528141325583</v>
      </c>
      <c r="AI12">
        <f>Calc_BankMonth!AI12*(1+Control!$B$25)^AI$2*HLOOKUP(AI$2,FX!$B$40:$AK$43,2,FALSE)</f>
        <v>23619.401482790054</v>
      </c>
      <c r="AJ12">
        <f>Calc_BankMonth!AJ12*(1+Control!$B$25)^AJ$2*HLOOKUP(AJ$2,FX!$B$40:$AK$43,2,FALSE)</f>
        <v>24038.132769648757</v>
      </c>
      <c r="AK12">
        <f>Calc_BankMonth!AK12*(1+Control!$B$25)^AK$2*HLOOKUP(AK$2,FX!$B$40:$AK$43,2,FALSE)</f>
        <v>24388.662447450082</v>
      </c>
      <c r="AL12" cm="1">
        <f t="array" ref="AL12">INDEX(B12:AK12,Control!$B$3)</f>
        <v>19073.183114703661</v>
      </c>
    </row>
    <row r="13" spans="1:38" x14ac:dyDescent="0.25">
      <c r="A13" t="s">
        <v>34</v>
      </c>
      <c r="B13">
        <f>Calc_BankMonth!B13*(1+Control!$B$25)^B$2*HLOOKUP(B$2,FX!$B$40:$AK$43,2,FALSE)</f>
        <v>17238.642388633703</v>
      </c>
      <c r="C13">
        <f>Calc_BankMonth!C13*(1+Control!$B$25)^C$2*HLOOKUP(C$2,FX!$B$40:$AK$43,2,FALSE)</f>
        <v>17491.712120469845</v>
      </c>
      <c r="D13">
        <f>Calc_BankMonth!D13*(1+Control!$B$25)^D$2*HLOOKUP(D$2,FX!$B$40:$AK$43,2,FALSE)</f>
        <v>17809.97634359778</v>
      </c>
      <c r="E13">
        <f>Calc_BankMonth!E13*(1+Control!$B$25)^E$2*HLOOKUP(E$2,FX!$B$40:$AK$43,2,FALSE)</f>
        <v>18091.495946667932</v>
      </c>
      <c r="F13">
        <f>Calc_BankMonth!F13*(1+Control!$B$25)^F$2*HLOOKUP(F$2,FX!$B$40:$AK$43,2,FALSE)</f>
        <v>18549.136689256851</v>
      </c>
      <c r="G13">
        <f>Calc_BankMonth!G13*(1+Control!$B$25)^G$2*HLOOKUP(G$2,FX!$B$40:$AK$43,2,FALSE)</f>
        <v>18734.976548120656</v>
      </c>
      <c r="H13">
        <f>Calc_BankMonth!H13*(1+Control!$B$25)^H$2*HLOOKUP(H$2,FX!$B$40:$AK$43,2,FALSE)</f>
        <v>18991.897895372993</v>
      </c>
      <c r="I13">
        <f>Calc_BankMonth!I13*(1+Control!$B$25)^I$2*HLOOKUP(I$2,FX!$B$40:$AK$43,2,FALSE)</f>
        <v>19213.248785342985</v>
      </c>
      <c r="J13">
        <f>Calc_BankMonth!J13*(1+Control!$B$25)^J$2*HLOOKUP(J$2,FX!$B$40:$AK$43,2,FALSE)</f>
        <v>19542.63789439814</v>
      </c>
      <c r="K13">
        <f>Calc_BankMonth!K13*(1+Control!$B$25)^K$2*HLOOKUP(K$2,FX!$B$40:$AK$43,2,FALSE)</f>
        <v>19598.87890594314</v>
      </c>
      <c r="L13">
        <f>Calc_BankMonth!L13*(1+Control!$B$25)^L$2*HLOOKUP(L$2,FX!$B$40:$AK$43,2,FALSE)</f>
        <v>19777.868249574563</v>
      </c>
      <c r="M13">
        <f>Calc_BankMonth!M13*(1+Control!$B$25)^M$2*HLOOKUP(M$2,FX!$B$40:$AK$43,2,FALSE)</f>
        <v>19936.683522000025</v>
      </c>
      <c r="N13">
        <f>Calc_BankMonth!N13*(1+Control!$B$25)^N$2*HLOOKUP(N$2,FX!$B$40:$AK$43,2,FALSE)</f>
        <v>19961.627282622736</v>
      </c>
      <c r="O13">
        <f>Calc_BankMonth!O13*(1+Control!$B$25)^O$2*HLOOKUP(O$2,FX!$B$40:$AK$43,2,FALSE)</f>
        <v>20112.295200319197</v>
      </c>
      <c r="P13">
        <f>Calc_BankMonth!P13*(1+Control!$B$25)^P$2*HLOOKUP(P$2,FX!$B$40:$AK$43,2,FALSE)</f>
        <v>20290.670324432325</v>
      </c>
      <c r="Q13">
        <f>Calc_BankMonth!Q13*(1+Control!$B$25)^Q$2*HLOOKUP(Q$2,FX!$B$40:$AK$43,2,FALSE)</f>
        <v>20263.09865475</v>
      </c>
      <c r="R13">
        <f>Calc_BankMonth!R13*(1+Control!$B$25)^R$2*HLOOKUP(R$2,FX!$B$40:$AK$43,2,FALSE)</f>
        <v>20353.001503065665</v>
      </c>
      <c r="S13">
        <f>Calc_BankMonth!S13*(1+Control!$B$25)^S$2*HLOOKUP(S$2,FX!$B$40:$AK$43,2,FALSE)</f>
        <v>20532.828030187877</v>
      </c>
      <c r="T13">
        <f>Calc_BankMonth!T13*(1+Control!$B$25)^T$2*HLOOKUP(T$2,FX!$B$40:$AK$43,2,FALSE)</f>
        <v>20550.610560029414</v>
      </c>
      <c r="U13">
        <f>Calc_BankMonth!U13*(1+Control!$B$25)^U$2*HLOOKUP(U$2,FX!$B$40:$AK$43,2,FALSE)</f>
        <v>20682.327179724733</v>
      </c>
      <c r="V13">
        <f>Calc_BankMonth!V13*(1+Control!$B$25)^V$2*HLOOKUP(V$2,FX!$B$40:$AK$43,2,FALSE)</f>
        <v>20774.721918419102</v>
      </c>
      <c r="W13">
        <f>Calc_BankMonth!W13*(1+Control!$B$25)^W$2*HLOOKUP(W$2,FX!$B$40:$AK$43,2,FALSE)</f>
        <v>20880.295180383957</v>
      </c>
      <c r="X13">
        <f>Calc_BankMonth!X13*(1+Control!$B$25)^X$2*HLOOKUP(X$2,FX!$B$40:$AK$43,2,FALSE)</f>
        <v>21181.742508118601</v>
      </c>
      <c r="Y13">
        <f>Calc_BankMonth!Y13*(1+Control!$B$25)^Y$2*HLOOKUP(Y$2,FX!$B$40:$AK$43,2,FALSE)</f>
        <v>21357.797425650046</v>
      </c>
      <c r="Z13">
        <f>Calc_BankMonth!Z13*(1+Control!$B$25)^Z$2*HLOOKUP(Z$2,FX!$B$40:$AK$43,2,FALSE)</f>
        <v>21595.013022242714</v>
      </c>
      <c r="AA13">
        <f>Calc_BankMonth!AA13*(1+Control!$B$25)^AA$2*HLOOKUP(AA$2,FX!$B$40:$AK$43,2,FALSE)</f>
        <v>22002.662991198176</v>
      </c>
      <c r="AB13">
        <f>Calc_BankMonth!AB13*(1+Control!$B$25)^AB$2*HLOOKUP(AB$2,FX!$B$40:$AK$43,2,FALSE)</f>
        <v>22328.925095185259</v>
      </c>
      <c r="AC13">
        <f>Calc_BankMonth!AC13*(1+Control!$B$25)^AC$2*HLOOKUP(AC$2,FX!$B$40:$AK$43,2,FALSE)</f>
        <v>22610.707378919833</v>
      </c>
      <c r="AD13">
        <f>Calc_BankMonth!AD13*(1+Control!$B$25)^AD$2*HLOOKUP(AD$2,FX!$B$40:$AK$43,2,FALSE)</f>
        <v>23066.037070465536</v>
      </c>
      <c r="AE13">
        <f>Calc_BankMonth!AE13*(1+Control!$B$25)^AE$2*HLOOKUP(AE$2,FX!$B$40:$AK$43,2,FALSE)</f>
        <v>23382.443442755524</v>
      </c>
      <c r="AF13">
        <f>Calc_BankMonth!AF13*(1+Control!$B$25)^AF$2*HLOOKUP(AF$2,FX!$B$40:$AK$43,2,FALSE)</f>
        <v>23864.71822054766</v>
      </c>
      <c r="AG13">
        <f>Calc_BankMonth!AG13*(1+Control!$B$25)^AG$2*HLOOKUP(AG$2,FX!$B$40:$AK$43,2,FALSE)</f>
        <v>24347.927624620814</v>
      </c>
      <c r="AH13">
        <f>Calc_BankMonth!AH13*(1+Control!$B$25)^AH$2*HLOOKUP(AH$2,FX!$B$40:$AK$43,2,FALSE)</f>
        <v>24533.275886498672</v>
      </c>
      <c r="AI13">
        <f>Calc_BankMonth!AI13*(1+Control!$B$25)^AI$2*HLOOKUP(AI$2,FX!$B$40:$AK$43,2,FALSE)</f>
        <v>25147.455463280359</v>
      </c>
      <c r="AJ13">
        <f>Calc_BankMonth!AJ13*(1+Control!$B$25)^AJ$2*HLOOKUP(AJ$2,FX!$B$40:$AK$43,2,FALSE)</f>
        <v>25643.720886622159</v>
      </c>
      <c r="AK13">
        <f>Calc_BankMonth!AK13*(1+Control!$B$25)^AK$2*HLOOKUP(AK$2,FX!$B$40:$AK$43,2,FALSE)</f>
        <v>25972.191715365087</v>
      </c>
      <c r="AL13" cm="1">
        <f t="array" ref="AL13">INDEX(B13:AK13,Control!$B$3)</f>
        <v>20532.828030187877</v>
      </c>
    </row>
    <row r="14" spans="1:38" x14ac:dyDescent="0.25">
      <c r="A14" t="s">
        <v>35</v>
      </c>
      <c r="B14">
        <f>Calc_BankMonth!B14*(1+Control!$B$25)^B$2*HLOOKUP(B$2,FX!$B$40:$AK$43,2,FALSE)</f>
        <v>18305.520746415546</v>
      </c>
      <c r="C14">
        <f>Calc_BankMonth!C14*(1+Control!$B$25)^C$2*HLOOKUP(C$2,FX!$B$40:$AK$43,2,FALSE)</f>
        <v>18631.8662912695</v>
      </c>
      <c r="D14">
        <f>Calc_BankMonth!D14*(1+Control!$B$25)^D$2*HLOOKUP(D$2,FX!$B$40:$AK$43,2,FALSE)</f>
        <v>18951.64984818903</v>
      </c>
      <c r="E14">
        <f>Calc_BankMonth!E14*(1+Control!$B$25)^E$2*HLOOKUP(E$2,FX!$B$40:$AK$43,2,FALSE)</f>
        <v>19395.363831977866</v>
      </c>
      <c r="F14">
        <f>Calc_BankMonth!F14*(1+Control!$B$25)^F$2*HLOOKUP(F$2,FX!$B$40:$AK$43,2,FALSE)</f>
        <v>19659.033255948783</v>
      </c>
      <c r="G14">
        <f>Calc_BankMonth!G14*(1+Control!$B$25)^G$2*HLOOKUP(G$2,FX!$B$40:$AK$43,2,FALSE)</f>
        <v>19965.900915582362</v>
      </c>
      <c r="H14">
        <f>Calc_BankMonth!H14*(1+Control!$B$25)^H$2*HLOOKUP(H$2,FX!$B$40:$AK$43,2,FALSE)</f>
        <v>20174.482337914098</v>
      </c>
      <c r="I14">
        <f>Calc_BankMonth!I14*(1+Control!$B$25)^I$2*HLOOKUP(I$2,FX!$B$40:$AK$43,2,FALSE)</f>
        <v>20493.929202261392</v>
      </c>
      <c r="J14">
        <f>Calc_BankMonth!J14*(1+Control!$B$25)^J$2*HLOOKUP(J$2,FX!$B$40:$AK$43,2,FALSE)</f>
        <v>20744.494749818274</v>
      </c>
      <c r="K14">
        <f>Calc_BankMonth!K14*(1+Control!$B$25)^K$2*HLOOKUP(K$2,FX!$B$40:$AK$43,2,FALSE)</f>
        <v>20873.080671686785</v>
      </c>
      <c r="L14">
        <f>Calc_BankMonth!L14*(1+Control!$B$25)^L$2*HLOOKUP(L$2,FX!$B$40:$AK$43,2,FALSE)</f>
        <v>20974.834366449584</v>
      </c>
      <c r="M14">
        <f>Calc_BankMonth!M14*(1+Control!$B$25)^M$2*HLOOKUP(M$2,FX!$B$40:$AK$43,2,FALSE)</f>
        <v>21126.870765000025</v>
      </c>
      <c r="N14">
        <f>Calc_BankMonth!N14*(1+Control!$B$25)^N$2*HLOOKUP(N$2,FX!$B$40:$AK$43,2,FALSE)</f>
        <v>21405.531017302335</v>
      </c>
      <c r="O14">
        <f>Calc_BankMonth!O14*(1+Control!$B$25)^O$2*HLOOKUP(O$2,FX!$B$40:$AK$43,2,FALSE)</f>
        <v>21454.753032074721</v>
      </c>
      <c r="P14">
        <f>Calc_BankMonth!P14*(1+Control!$B$25)^P$2*HLOOKUP(P$2,FX!$B$40:$AK$43,2,FALSE)</f>
        <v>21506.043162902803</v>
      </c>
      <c r="Q14">
        <f>Calc_BankMonth!Q14*(1+Control!$B$25)^Q$2*HLOOKUP(Q$2,FX!$B$40:$AK$43,2,FALSE)</f>
        <v>21536.233304515972</v>
      </c>
      <c r="R14">
        <f>Calc_BankMonth!R14*(1+Control!$B$25)^R$2*HLOOKUP(R$2,FX!$B$40:$AK$43,2,FALSE)</f>
        <v>21541.577774294045</v>
      </c>
      <c r="S14">
        <f>Calc_BankMonth!S14*(1+Control!$B$25)^S$2*HLOOKUP(S$2,FX!$B$40:$AK$43,2,FALSE)</f>
        <v>21747.696757390568</v>
      </c>
      <c r="T14">
        <f>Calc_BankMonth!T14*(1+Control!$B$25)^T$2*HLOOKUP(T$2,FX!$B$40:$AK$43,2,FALSE)</f>
        <v>21866.302480736864</v>
      </c>
      <c r="U14">
        <f>Calc_BankMonth!U14*(1+Control!$B$25)^U$2*HLOOKUP(U$2,FX!$B$40:$AK$43,2,FALSE)</f>
        <v>21830.698875494807</v>
      </c>
      <c r="V14">
        <f>Calc_BankMonth!V14*(1+Control!$B$25)^V$2*HLOOKUP(V$2,FX!$B$40:$AK$43,2,FALSE)</f>
        <v>22086.768802377275</v>
      </c>
      <c r="W14">
        <f>Calc_BankMonth!W14*(1+Control!$B$25)^W$2*HLOOKUP(W$2,FX!$B$40:$AK$43,2,FALSE)</f>
        <v>22286.273353002194</v>
      </c>
      <c r="X14">
        <f>Calc_BankMonth!X14*(1+Control!$B$25)^X$2*HLOOKUP(X$2,FX!$B$40:$AK$43,2,FALSE)</f>
        <v>22383.442566529819</v>
      </c>
      <c r="Y14">
        <f>Calc_BankMonth!Y14*(1+Control!$B$25)^Y$2*HLOOKUP(Y$2,FX!$B$40:$AK$43,2,FALSE)</f>
        <v>22760.766623700049</v>
      </c>
      <c r="Z14">
        <f>Calc_BankMonth!Z14*(1+Control!$B$25)^Z$2*HLOOKUP(Z$2,FX!$B$40:$AK$43,2,FALSE)</f>
        <v>22929.560264522643</v>
      </c>
      <c r="AA14">
        <f>Calc_BankMonth!AA14*(1+Control!$B$25)^AA$2*HLOOKUP(AA$2,FX!$B$40:$AK$43,2,FALSE)</f>
        <v>23204.516676592168</v>
      </c>
      <c r="AB14">
        <f>Calc_BankMonth!AB14*(1+Control!$B$25)^AB$2*HLOOKUP(AB$2,FX!$B$40:$AK$43,2,FALSE)</f>
        <v>23654.479088967033</v>
      </c>
      <c r="AC14">
        <f>Calc_BankMonth!AC14*(1+Control!$B$25)^AC$2*HLOOKUP(AC$2,FX!$B$40:$AK$43,2,FALSE)</f>
        <v>23969.926638854289</v>
      </c>
      <c r="AD14">
        <f>Calc_BankMonth!AD14*(1+Control!$B$25)^AD$2*HLOOKUP(AD$2,FX!$B$40:$AK$43,2,FALSE)</f>
        <v>24582.267057252557</v>
      </c>
      <c r="AE14">
        <f>Calc_BankMonth!AE14*(1+Control!$B$25)^AE$2*HLOOKUP(AE$2,FX!$B$40:$AK$43,2,FALSE)</f>
        <v>24915.654751603241</v>
      </c>
      <c r="AF14">
        <f>Calc_BankMonth!AF14*(1+Control!$B$25)^AF$2*HLOOKUP(AF$2,FX!$B$40:$AK$43,2,FALSE)</f>
        <v>25364.435101626954</v>
      </c>
      <c r="AG14">
        <f>Calc_BankMonth!AG14*(1+Control!$B$25)^AG$2*HLOOKUP(AG$2,FX!$B$40:$AK$43,2,FALSE)</f>
        <v>25751.871965494658</v>
      </c>
      <c r="AH14">
        <f>Calc_BankMonth!AH14*(1+Control!$B$25)^AH$2*HLOOKUP(AH$2,FX!$B$40:$AK$43,2,FALSE)</f>
        <v>26403.096564619016</v>
      </c>
      <c r="AI14">
        <f>Calc_BankMonth!AI14*(1+Control!$B$25)^AI$2*HLOOKUP(AI$2,FX!$B$40:$AK$43,2,FALSE)</f>
        <v>26660.475364285194</v>
      </c>
      <c r="AJ14">
        <f>Calc_BankMonth!AJ14*(1+Control!$B$25)^AJ$2*HLOOKUP(AJ$2,FX!$B$40:$AK$43,2,FALSE)</f>
        <v>27317.157768715399</v>
      </c>
      <c r="AK14">
        <f>Calc_BankMonth!AK14*(1+Control!$B$25)^AK$2*HLOOKUP(AK$2,FX!$B$40:$AK$43,2,FALSE)</f>
        <v>27545.293108856342</v>
      </c>
      <c r="AL14" cm="1">
        <f t="array" ref="AL14">INDEX(B14:AK14,Control!$B$3)</f>
        <v>21747.696757390568</v>
      </c>
    </row>
    <row r="15" spans="1:38" x14ac:dyDescent="0.25">
      <c r="A15" t="s">
        <v>36</v>
      </c>
      <c r="B15">
        <f>Calc_BankMonth!B15*(1+Control!$B$25)^B$2*HLOOKUP(B$2,FX!$B$40:$AK$43,2,FALSE)</f>
        <v>19388.758684711021</v>
      </c>
      <c r="C15">
        <f>Calc_BankMonth!C15*(1+Control!$B$25)^C$2*HLOOKUP(C$2,FX!$B$40:$AK$43,2,FALSE)</f>
        <v>19692.507307192922</v>
      </c>
      <c r="D15">
        <f>Calc_BankMonth!D15*(1+Control!$B$25)^D$2*HLOOKUP(D$2,FX!$B$40:$AK$43,2,FALSE)</f>
        <v>20170.977134723078</v>
      </c>
      <c r="E15">
        <f>Calc_BankMonth!E15*(1+Control!$B$25)^E$2*HLOOKUP(E$2,FX!$B$40:$AK$43,2,FALSE)</f>
        <v>20421.3042928787</v>
      </c>
      <c r="F15">
        <f>Calc_BankMonth!F15*(1+Control!$B$25)^F$2*HLOOKUP(F$2,FX!$B$40:$AK$43,2,FALSE)</f>
        <v>20739.38716654394</v>
      </c>
      <c r="G15">
        <f>Calc_BankMonth!G15*(1+Control!$B$25)^G$2*HLOOKUP(G$2,FX!$B$40:$AK$43,2,FALSE)</f>
        <v>21115.001475245033</v>
      </c>
      <c r="H15">
        <f>Calc_BankMonth!H15*(1+Control!$B$25)^H$2*HLOOKUP(H$2,FX!$B$40:$AK$43,2,FALSE)</f>
        <v>21469.111721473655</v>
      </c>
      <c r="I15">
        <f>Calc_BankMonth!I15*(1+Control!$B$25)^I$2*HLOOKUP(I$2,FX!$B$40:$AK$43,2,FALSE)</f>
        <v>21596.677865698573</v>
      </c>
      <c r="J15">
        <f>Calc_BankMonth!J15*(1+Control!$B$25)^J$2*HLOOKUP(J$2,FX!$B$40:$AK$43,2,FALSE)</f>
        <v>22024.583657157404</v>
      </c>
      <c r="K15">
        <f>Calc_BankMonth!K15*(1+Control!$B$25)^K$2*HLOOKUP(K$2,FX!$B$40:$AK$43,2,FALSE)</f>
        <v>22142.978849562835</v>
      </c>
      <c r="L15">
        <f>Calc_BankMonth!L15*(1+Control!$B$25)^L$2*HLOOKUP(L$2,FX!$B$40:$AK$43,2,FALSE)</f>
        <v>22365.988833946823</v>
      </c>
      <c r="M15">
        <f>Calc_BankMonth!M15*(1+Control!$B$25)^M$2*HLOOKUP(M$2,FX!$B$40:$AK$43,2,FALSE)</f>
        <v>22316.60516400003</v>
      </c>
      <c r="N15">
        <f>Calc_BankMonth!N15*(1+Control!$B$25)^N$2*HLOOKUP(N$2,FX!$B$40:$AK$43,2,FALSE)</f>
        <v>22532.560206154158</v>
      </c>
      <c r="O15">
        <f>Calc_BankMonth!O15*(1+Control!$B$25)^O$2*HLOOKUP(O$2,FX!$B$40:$AK$43,2,FALSE)</f>
        <v>22666.459303390577</v>
      </c>
      <c r="P15">
        <f>Calc_BankMonth!P15*(1+Control!$B$25)^P$2*HLOOKUP(P$2,FX!$B$40:$AK$43,2,FALSE)</f>
        <v>22784.336292539359</v>
      </c>
      <c r="Q15">
        <f>Calc_BankMonth!Q15*(1+Control!$B$25)^Q$2*HLOOKUP(Q$2,FX!$B$40:$AK$43,2,FALSE)</f>
        <v>22784.843678769696</v>
      </c>
      <c r="R15">
        <f>Calc_BankMonth!R15*(1+Control!$B$25)^R$2*HLOOKUP(R$2,FX!$B$40:$AK$43,2,FALSE)</f>
        <v>22907.82666747507</v>
      </c>
      <c r="S15">
        <f>Calc_BankMonth!S15*(1+Control!$B$25)^S$2*HLOOKUP(S$2,FX!$B$40:$AK$43,2,FALSE)</f>
        <v>22920.508484970353</v>
      </c>
      <c r="T15">
        <f>Calc_BankMonth!T15*(1+Control!$B$25)^T$2*HLOOKUP(T$2,FX!$B$40:$AK$43,2,FALSE)</f>
        <v>23082.990082794833</v>
      </c>
      <c r="U15">
        <f>Calc_BankMonth!U15*(1+Control!$B$25)^U$2*HLOOKUP(U$2,FX!$B$40:$AK$43,2,FALSE)</f>
        <v>23217.677429110183</v>
      </c>
      <c r="V15">
        <f>Calc_BankMonth!V15*(1+Control!$B$25)^V$2*HLOOKUP(V$2,FX!$B$40:$AK$43,2,FALSE)</f>
        <v>23411.777730194539</v>
      </c>
      <c r="W15">
        <f>Calc_BankMonth!W15*(1+Control!$B$25)^W$2*HLOOKUP(W$2,FX!$B$40:$AK$43,2,FALSE)</f>
        <v>23642.679649680984</v>
      </c>
      <c r="X15">
        <f>Calc_BankMonth!X15*(1+Control!$B$25)^X$2*HLOOKUP(X$2,FX!$B$40:$AK$43,2,FALSE)</f>
        <v>23787.946187722497</v>
      </c>
      <c r="Y15">
        <f>Calc_BankMonth!Y15*(1+Control!$B$25)^Y$2*HLOOKUP(Y$2,FX!$B$40:$AK$43,2,FALSE)</f>
        <v>23993.821035450052</v>
      </c>
      <c r="Z15">
        <f>Calc_BankMonth!Z15*(1+Control!$B$25)^Z$2*HLOOKUP(Z$2,FX!$B$40:$AK$43,2,FALSE)</f>
        <v>24401.738304164224</v>
      </c>
      <c r="AA15">
        <f>Calc_BankMonth!AA15*(1+Control!$B$25)^AA$2*HLOOKUP(AA$2,FX!$B$40:$AK$43,2,FALSE)</f>
        <v>24822.140048804638</v>
      </c>
      <c r="AB15">
        <f>Calc_BankMonth!AB15*(1+Control!$B$25)^AB$2*HLOOKUP(AB$2,FX!$B$40:$AK$43,2,FALSE)</f>
        <v>25006.831533242505</v>
      </c>
      <c r="AC15">
        <f>Calc_BankMonth!AC15*(1+Control!$B$25)^AC$2*HLOOKUP(AC$2,FX!$B$40:$AK$43,2,FALSE)</f>
        <v>25401.338230510799</v>
      </c>
      <c r="AD15">
        <f>Calc_BankMonth!AD15*(1+Control!$B$25)^AD$2*HLOOKUP(AD$2,FX!$B$40:$AK$43,2,FALSE)</f>
        <v>25915.092449736385</v>
      </c>
      <c r="AE15">
        <f>Calc_BankMonth!AE15*(1+Control!$B$25)^AE$2*HLOOKUP(AE$2,FX!$B$40:$AK$43,2,FALSE)</f>
        <v>26347.059982140272</v>
      </c>
      <c r="AF15">
        <f>Calc_BankMonth!AF15*(1+Control!$B$25)^AF$2*HLOOKUP(AF$2,FX!$B$40:$AK$43,2,FALSE)</f>
        <v>26877.250986749343</v>
      </c>
      <c r="AG15">
        <f>Calc_BankMonth!AG15*(1+Control!$B$25)^AG$2*HLOOKUP(AG$2,FX!$B$40:$AK$43,2,FALSE)</f>
        <v>27319.682106539156</v>
      </c>
      <c r="AH15">
        <f>Calc_BankMonth!AH15*(1+Control!$B$25)^AH$2*HLOOKUP(AH$2,FX!$B$40:$AK$43,2,FALSE)</f>
        <v>27811.099202885503</v>
      </c>
      <c r="AI15">
        <f>Calc_BankMonth!AI15*(1+Control!$B$25)^AI$2*HLOOKUP(AI$2,FX!$B$40:$AK$43,2,FALSE)</f>
        <v>28305.967686985765</v>
      </c>
      <c r="AJ15">
        <f>Calc_BankMonth!AJ15*(1+Control!$B$25)^AJ$2*HLOOKUP(AJ$2,FX!$B$40:$AK$43,2,FALSE)</f>
        <v>28909.923091546883</v>
      </c>
      <c r="AK15">
        <f>Calc_BankMonth!AK15*(1+Control!$B$25)^AK$2*HLOOKUP(AK$2,FX!$B$40:$AK$43,2,FALSE)</f>
        <v>29231.342202431348</v>
      </c>
      <c r="AL15" cm="1">
        <f t="array" ref="AL15">INDEX(B15:AK15,Control!$B$3)</f>
        <v>22920.508484970353</v>
      </c>
    </row>
    <row r="16" spans="1:38" x14ac:dyDescent="0.25">
      <c r="A16" t="s">
        <v>37</v>
      </c>
      <c r="B16">
        <f>Calc_BankMonth!B16*(1+Control!$B$25)^B$2*HLOOKUP(B$2,FX!$B$40:$AK$43,2,FALSE)</f>
        <v>20459.673822100118</v>
      </c>
      <c r="C16">
        <f>Calc_BankMonth!C16*(1+Control!$B$25)^C$2*HLOOKUP(C$2,FX!$B$40:$AK$43,2,FALSE)</f>
        <v>20924.531406937418</v>
      </c>
      <c r="D16">
        <f>Calc_BankMonth!D16*(1+Control!$B$25)^D$2*HLOOKUP(D$2,FX!$B$40:$AK$43,2,FALSE)</f>
        <v>21161.361522885898</v>
      </c>
      <c r="E16">
        <f>Calc_BankMonth!E16*(1+Control!$B$25)^E$2*HLOOKUP(E$2,FX!$B$40:$AK$43,2,FALSE)</f>
        <v>21640.828772754307</v>
      </c>
      <c r="F16">
        <f>Calc_BankMonth!F16*(1+Control!$B$25)^F$2*HLOOKUP(F$2,FX!$B$40:$AK$43,2,FALSE)</f>
        <v>21923.638283412023</v>
      </c>
      <c r="G16">
        <f>Calc_BankMonth!G16*(1+Control!$B$25)^G$2*HLOOKUP(G$2,FX!$B$40:$AK$43,2,FALSE)</f>
        <v>22237.347656335813</v>
      </c>
      <c r="H16">
        <f>Calc_BankMonth!H16*(1+Control!$B$25)^H$2*HLOOKUP(H$2,FX!$B$40:$AK$43,2,FALSE)</f>
        <v>22606.496853473782</v>
      </c>
      <c r="I16">
        <f>Calc_BankMonth!I16*(1+Control!$B$25)^I$2*HLOOKUP(I$2,FX!$B$40:$AK$43,2,FALSE)</f>
        <v>22938.096227598864</v>
      </c>
      <c r="J16">
        <f>Calc_BankMonth!J16*(1+Control!$B$25)^J$2*HLOOKUP(J$2,FX!$B$40:$AK$43,2,FALSE)</f>
        <v>23209.708802051511</v>
      </c>
      <c r="K16">
        <f>Calc_BankMonth!K16*(1+Control!$B$25)^K$2*HLOOKUP(K$2,FX!$B$40:$AK$43,2,FALSE)</f>
        <v>23374.144736630577</v>
      </c>
      <c r="L16">
        <f>Calc_BankMonth!L16*(1+Control!$B$25)^L$2*HLOOKUP(L$2,FX!$B$40:$AK$43,2,FALSE)</f>
        <v>23617.223457209268</v>
      </c>
      <c r="M16">
        <f>Calc_BankMonth!M16*(1+Control!$B$25)^M$2*HLOOKUP(M$2,FX!$B$40:$AK$43,2,FALSE)</f>
        <v>23743.403397000027</v>
      </c>
      <c r="N16">
        <f>Calc_BankMonth!N16*(1+Control!$B$25)^N$2*HLOOKUP(N$2,FX!$B$40:$AK$43,2,FALSE)</f>
        <v>23898.149368701568</v>
      </c>
      <c r="O16">
        <f>Calc_BankMonth!O16*(1+Control!$B$25)^O$2*HLOOKUP(O$2,FX!$B$40:$AK$43,2,FALSE)</f>
        <v>23963.154088992218</v>
      </c>
      <c r="P16">
        <f>Calc_BankMonth!P16*(1+Control!$B$25)^P$2*HLOOKUP(P$2,FX!$B$40:$AK$43,2,FALSE)</f>
        <v>24113.190370434375</v>
      </c>
      <c r="Q16">
        <f>Calc_BankMonth!Q16*(1+Control!$B$25)^Q$2*HLOOKUP(Q$2,FX!$B$40:$AK$43,2,FALSE)</f>
        <v>24112.738012213696</v>
      </c>
      <c r="R16">
        <f>Calc_BankMonth!R16*(1+Control!$B$25)^R$2*HLOOKUP(R$2,FX!$B$40:$AK$43,2,FALSE)</f>
        <v>24127.205478690219</v>
      </c>
      <c r="S16">
        <f>Calc_BankMonth!S16*(1+Control!$B$25)^S$2*HLOOKUP(S$2,FX!$B$40:$AK$43,2,FALSE)</f>
        <v>24305.162877317405</v>
      </c>
      <c r="T16">
        <f>Calc_BankMonth!T16*(1+Control!$B$25)^T$2*HLOOKUP(T$2,FX!$B$40:$AK$43,2,FALSE)</f>
        <v>24434.532222026712</v>
      </c>
      <c r="U16">
        <f>Calc_BankMonth!U16*(1+Control!$B$25)^U$2*HLOOKUP(U$2,FX!$B$40:$AK$43,2,FALSE)</f>
        <v>24450.830474741688</v>
      </c>
      <c r="V16">
        <f>Calc_BankMonth!V16*(1+Control!$B$25)^V$2*HLOOKUP(V$2,FX!$B$40:$AK$43,2,FALSE)</f>
        <v>24691.696471254138</v>
      </c>
      <c r="W16">
        <f>Calc_BankMonth!W16*(1+Control!$B$25)^W$2*HLOOKUP(W$2,FX!$B$40:$AK$43,2,FALSE)</f>
        <v>24821.758363301204</v>
      </c>
      <c r="X16">
        <f>Calc_BankMonth!X16*(1+Control!$B$25)^X$2*HLOOKUP(X$2,FX!$B$40:$AK$43,2,FALSE)</f>
        <v>25216.132461805781</v>
      </c>
      <c r="Y16">
        <f>Calc_BankMonth!Y16*(1+Control!$B$25)^Y$2*HLOOKUP(Y$2,FX!$B$40:$AK$43,2,FALSE)</f>
        <v>25341.082297650053</v>
      </c>
      <c r="Z16">
        <f>Calc_BankMonth!Z16*(1+Control!$B$25)^Z$2*HLOOKUP(Z$2,FX!$B$40:$AK$43,2,FALSE)</f>
        <v>25810.377166557268</v>
      </c>
      <c r="AA16">
        <f>Calc_BankMonth!AA16*(1+Control!$B$25)^AA$2*HLOOKUP(AA$2,FX!$B$40:$AK$43,2,FALSE)</f>
        <v>26139.554414081274</v>
      </c>
      <c r="AB16">
        <f>Calc_BankMonth!AB16*(1+Control!$B$25)^AB$2*HLOOKUP(AB$2,FX!$B$40:$AK$43,2,FALSE)</f>
        <v>26474.70240453973</v>
      </c>
      <c r="AC16">
        <f>Calc_BankMonth!AC16*(1+Control!$B$25)^AC$2*HLOOKUP(AC$2,FX!$B$40:$AK$43,2,FALSE)</f>
        <v>26922.558464500977</v>
      </c>
      <c r="AD16">
        <f>Calc_BankMonth!AD16*(1+Control!$B$25)^AD$2*HLOOKUP(AD$2,FX!$B$40:$AK$43,2,FALSE)</f>
        <v>27443.425277771847</v>
      </c>
      <c r="AE16">
        <f>Calc_BankMonth!AE16*(1+Control!$B$25)^AE$2*HLOOKUP(AE$2,FX!$B$40:$AK$43,2,FALSE)</f>
        <v>27854.966890020594</v>
      </c>
      <c r="AF16">
        <f>Calc_BankMonth!AF16*(1+Control!$B$25)^AF$2*HLOOKUP(AF$2,FX!$B$40:$AK$43,2,FALSE)</f>
        <v>28361.844472251607</v>
      </c>
      <c r="AG16">
        <f>Calc_BankMonth!AG16*(1+Control!$B$25)^AG$2*HLOOKUP(AG$2,FX!$B$40:$AK$43,2,FALSE)</f>
        <v>28943.881361171785</v>
      </c>
      <c r="AH16">
        <f>Calc_BankMonth!AH16*(1+Control!$B$25)^AH$2*HLOOKUP(AH$2,FX!$B$40:$AK$43,2,FALSE)</f>
        <v>29400.221294100756</v>
      </c>
      <c r="AI16">
        <f>Calc_BankMonth!AI16*(1+Control!$B$25)^AI$2*HLOOKUP(AI$2,FX!$B$40:$AK$43,2,FALSE)</f>
        <v>29978.693874983779</v>
      </c>
      <c r="AJ16">
        <f>Calc_BankMonth!AJ16*(1+Control!$B$25)^AJ$2*HLOOKUP(AJ$2,FX!$B$40:$AK$43,2,FALSE)</f>
        <v>30333.751213887339</v>
      </c>
      <c r="AK16">
        <f>Calc_BankMonth!AK16*(1+Control!$B$25)^AK$2*HLOOKUP(AK$2,FX!$B$40:$AK$43,2,FALSE)</f>
        <v>30979.330357342602</v>
      </c>
      <c r="AL16" cm="1">
        <f t="array" ref="AL16">INDEX(B16:AK16,Control!$B$3)</f>
        <v>24305.162877317405</v>
      </c>
    </row>
    <row r="17" spans="1:38" x14ac:dyDescent="0.25">
      <c r="A17" t="s">
        <v>38</v>
      </c>
      <c r="B17">
        <f>Calc_BankMonth!B17*(1+Control!$B$25)^B$2*HLOOKUP(B$2,FX!$B$40:$AK$43,2,FALSE)</f>
        <v>21559.802496120708</v>
      </c>
      <c r="C17">
        <f>Calc_BankMonth!C17*(1+Control!$B$25)^C$2*HLOOKUP(C$2,FX!$B$40:$AK$43,2,FALSE)</f>
        <v>21933.81122281916</v>
      </c>
      <c r="D17">
        <f>Calc_BankMonth!D17*(1+Control!$B$25)^D$2*HLOOKUP(D$2,FX!$B$40:$AK$43,2,FALSE)</f>
        <v>22396.5453858726</v>
      </c>
      <c r="E17">
        <f>Calc_BankMonth!E17*(1+Control!$B$25)^E$2*HLOOKUP(E$2,FX!$B$40:$AK$43,2,FALSE)</f>
        <v>22659.749756479854</v>
      </c>
      <c r="F17">
        <f>Calc_BankMonth!F17*(1+Control!$B$25)^F$2*HLOOKUP(F$2,FX!$B$40:$AK$43,2,FALSE)</f>
        <v>23162.991432999934</v>
      </c>
      <c r="G17">
        <f>Calc_BankMonth!G17*(1+Control!$B$25)^G$2*HLOOKUP(G$2,FX!$B$40:$AK$43,2,FALSE)</f>
        <v>23578.633835406559</v>
      </c>
      <c r="H17">
        <f>Calc_BankMonth!H17*(1+Control!$B$25)^H$2*HLOOKUP(H$2,FX!$B$40:$AK$43,2,FALSE)</f>
        <v>23850.206914488419</v>
      </c>
      <c r="I17">
        <f>Calc_BankMonth!I17*(1+Control!$B$25)^I$2*HLOOKUP(I$2,FX!$B$40:$AK$43,2,FALSE)</f>
        <v>24130.543229079776</v>
      </c>
      <c r="J17">
        <f>Calc_BankMonth!J17*(1+Control!$B$25)^J$2*HLOOKUP(J$2,FX!$B$40:$AK$43,2,FALSE)</f>
        <v>24412.92228264943</v>
      </c>
      <c r="K17">
        <f>Calc_BankMonth!K17*(1+Control!$B$25)^K$2*HLOOKUP(K$2,FX!$B$40:$AK$43,2,FALSE)</f>
        <v>24706.105181649778</v>
      </c>
      <c r="L17">
        <f>Calc_BankMonth!L17*(1+Control!$B$25)^L$2*HLOOKUP(L$2,FX!$B$40:$AK$43,2,FALSE)</f>
        <v>24805.805712972244</v>
      </c>
      <c r="M17">
        <f>Calc_BankMonth!M17*(1+Control!$B$25)^M$2*HLOOKUP(M$2,FX!$B$40:$AK$43,2,FALSE)</f>
        <v>24947.628804000025</v>
      </c>
      <c r="N17">
        <f>Calc_BankMonth!N17*(1+Control!$B$25)^N$2*HLOOKUP(N$2,FX!$B$40:$AK$43,2,FALSE)</f>
        <v>25040.77366715547</v>
      </c>
      <c r="O17">
        <f>Calc_BankMonth!O17*(1+Control!$B$25)^O$2*HLOOKUP(O$2,FX!$B$40:$AK$43,2,FALSE)</f>
        <v>25270.218825939079</v>
      </c>
      <c r="P17">
        <f>Calc_BankMonth!P17*(1+Control!$B$25)^P$2*HLOOKUP(P$2,FX!$B$40:$AK$43,2,FALSE)</f>
        <v>25368.562536860441</v>
      </c>
      <c r="Q17">
        <f>Calc_BankMonth!Q17*(1+Control!$B$25)^Q$2*HLOOKUP(Q$2,FX!$B$40:$AK$43,2,FALSE)</f>
        <v>25341.303430683434</v>
      </c>
      <c r="R17">
        <f>Calc_BankMonth!R17*(1+Control!$B$25)^R$2*HLOOKUP(R$2,FX!$B$40:$AK$43,2,FALSE)</f>
        <v>25498.922938752952</v>
      </c>
      <c r="S17">
        <f>Calc_BankMonth!S17*(1+Control!$B$25)^S$2*HLOOKUP(S$2,FX!$B$40:$AK$43,2,FALSE)</f>
        <v>25535.163223432053</v>
      </c>
      <c r="T17">
        <f>Calc_BankMonth!T17*(1+Control!$B$25)^T$2*HLOOKUP(T$2,FX!$B$40:$AK$43,2,FALSE)</f>
        <v>25771.090523794817</v>
      </c>
      <c r="U17">
        <f>Calc_BankMonth!U17*(1+Control!$B$25)^U$2*HLOOKUP(U$2,FX!$B$40:$AK$43,2,FALSE)</f>
        <v>25834.484269538971</v>
      </c>
      <c r="V17">
        <f>Calc_BankMonth!V17*(1+Control!$B$25)^V$2*HLOOKUP(V$2,FX!$B$40:$AK$43,2,FALSE)</f>
        <v>26095.363955823086</v>
      </c>
      <c r="W17">
        <f>Calc_BankMonth!W17*(1+Control!$B$25)^W$2*HLOOKUP(W$2,FX!$B$40:$AK$43,2,FALSE)</f>
        <v>26232.726993228785</v>
      </c>
      <c r="X17">
        <f>Calc_BankMonth!X17*(1+Control!$B$25)^X$2*HLOOKUP(X$2,FX!$B$40:$AK$43,2,FALSE)</f>
        <v>26458.637842333665</v>
      </c>
      <c r="Y17">
        <f>Calc_BankMonth!Y17*(1+Control!$B$25)^Y$2*HLOOKUP(Y$2,FX!$B$40:$AK$43,2,FALSE)</f>
        <v>26871.543405000062</v>
      </c>
      <c r="Z17">
        <f>Calc_BankMonth!Z17*(1+Control!$B$25)^Z$2*HLOOKUP(Z$2,FX!$B$40:$AK$43,2,FALSE)</f>
        <v>27049.054342812047</v>
      </c>
      <c r="AA17">
        <f>Calc_BankMonth!AA17*(1+Control!$B$25)^AA$2*HLOOKUP(AA$2,FX!$B$40:$AK$43,2,FALSE)</f>
        <v>27457.081852430205</v>
      </c>
      <c r="AB17">
        <f>Calc_BankMonth!AB17*(1+Control!$B$25)^AB$2*HLOOKUP(AB$2,FX!$B$40:$AK$43,2,FALSE)</f>
        <v>27868.335866171437</v>
      </c>
      <c r="AC17">
        <f>Calc_BankMonth!AC17*(1+Control!$B$25)^AC$2*HLOOKUP(AC$2,FX!$B$40:$AK$43,2,FALSE)</f>
        <v>28294.327906505143</v>
      </c>
      <c r="AD17">
        <f>Calc_BankMonth!AD17*(1+Control!$B$25)^AD$2*HLOOKUP(AD$2,FX!$B$40:$AK$43,2,FALSE)</f>
        <v>28843.86365838394</v>
      </c>
      <c r="AE17">
        <f>Calc_BankMonth!AE17*(1+Control!$B$25)^AE$2*HLOOKUP(AE$2,FX!$B$40:$AK$43,2,FALSE)</f>
        <v>29318.14974037715</v>
      </c>
      <c r="AF17">
        <f>Calc_BankMonth!AF17*(1+Control!$B$25)^AF$2*HLOOKUP(AF$2,FX!$B$40:$AK$43,2,FALSE)</f>
        <v>29905.502557802742</v>
      </c>
      <c r="AG17">
        <f>Calc_BankMonth!AG17*(1+Control!$B$25)^AG$2*HLOOKUP(AG$2,FX!$B$40:$AK$43,2,FALSE)</f>
        <v>30425.059509331943</v>
      </c>
      <c r="AH17">
        <f>Calc_BankMonth!AH17*(1+Control!$B$25)^AH$2*HLOOKUP(AH$2,FX!$B$40:$AK$43,2,FALSE)</f>
        <v>31014.939001143208</v>
      </c>
      <c r="AI17">
        <f>Calc_BankMonth!AI17*(1+Control!$B$25)^AI$2*HLOOKUP(AI$2,FX!$B$40:$AK$43,2,FALSE)</f>
        <v>31542.854292271153</v>
      </c>
      <c r="AJ17">
        <f>Calc_BankMonth!AJ17*(1+Control!$B$25)^AJ$2*HLOOKUP(AJ$2,FX!$B$40:$AK$43,2,FALSE)</f>
        <v>32051.258670021714</v>
      </c>
      <c r="AK17">
        <f>Calc_BankMonth!AK17*(1+Control!$B$25)^AK$2*HLOOKUP(AK$2,FX!$B$40:$AK$43,2,FALSE)</f>
        <v>32530.193994532608</v>
      </c>
      <c r="AL17" cm="1">
        <f t="array" ref="AL17">INDEX(B17:AK17,Control!$B$3)</f>
        <v>25535.163223432053</v>
      </c>
    </row>
    <row r="18" spans="1:38" x14ac:dyDescent="0.25">
      <c r="A18" t="s">
        <v>39</v>
      </c>
      <c r="B18">
        <f>Calc_BankMonth!B18*(1+Control!$B$25)^B$2*HLOOKUP(B$2,FX!$B$40:$AK$43,2,FALSE)</f>
        <v>22628.593012663881</v>
      </c>
      <c r="C18">
        <f>Calc_BankMonth!C18*(1+Control!$B$25)^C$2*HLOOKUP(C$2,FX!$B$40:$AK$43,2,FALSE)</f>
        <v>23076.544198641834</v>
      </c>
      <c r="D18">
        <f>Calc_BankMonth!D18*(1+Control!$B$25)^D$2*HLOOKUP(D$2,FX!$B$40:$AK$43,2,FALSE)</f>
        <v>23473.923731148967</v>
      </c>
      <c r="E18">
        <f>Calc_BankMonth!E18*(1+Control!$B$25)^E$2*HLOOKUP(E$2,FX!$B$40:$AK$43,2,FALSE)</f>
        <v>23879.383915686318</v>
      </c>
      <c r="F18">
        <f>Calc_BankMonth!F18*(1+Control!$B$25)^F$2*HLOOKUP(F$2,FX!$B$40:$AK$43,2,FALSE)</f>
        <v>24393.824790380157</v>
      </c>
      <c r="G18">
        <f>Calc_BankMonth!G18*(1+Control!$B$25)^G$2*HLOOKUP(G$2,FX!$B$40:$AK$43,2,FALSE)</f>
        <v>24814.909078582634</v>
      </c>
      <c r="H18">
        <f>Calc_BankMonth!H18*(1+Control!$B$25)^H$2*HLOOKUP(H$2,FX!$B$40:$AK$43,2,FALSE)</f>
        <v>25102.889543352376</v>
      </c>
      <c r="I18">
        <f>Calc_BankMonth!I18*(1+Control!$B$25)^I$2*HLOOKUP(I$2,FX!$B$40:$AK$43,2,FALSE)</f>
        <v>25357.246882275893</v>
      </c>
      <c r="J18">
        <f>Calc_BankMonth!J18*(1+Control!$B$25)^J$2*HLOOKUP(J$2,FX!$B$40:$AK$43,2,FALSE)</f>
        <v>25613.30946079364</v>
      </c>
      <c r="K18">
        <f>Calc_BankMonth!K18*(1+Control!$B$25)^K$2*HLOOKUP(K$2,FX!$B$40:$AK$43,2,FALSE)</f>
        <v>25864.563084217702</v>
      </c>
      <c r="L18">
        <f>Calc_BankMonth!L18*(1+Control!$B$25)^L$2*HLOOKUP(L$2,FX!$B$40:$AK$43,2,FALSE)</f>
        <v>25992.801832849156</v>
      </c>
      <c r="M18">
        <f>Calc_BankMonth!M18*(1+Control!$B$25)^M$2*HLOOKUP(M$2,FX!$B$40:$AK$43,2,FALSE)</f>
        <v>26187.289254000028</v>
      </c>
      <c r="N18">
        <f>Calc_BankMonth!N18*(1+Control!$B$25)^N$2*HLOOKUP(N$2,FX!$B$40:$AK$43,2,FALSE)</f>
        <v>26439.587193637755</v>
      </c>
      <c r="O18">
        <f>Calc_BankMonth!O18*(1+Control!$B$25)^O$2*HLOOKUP(O$2,FX!$B$40:$AK$43,2,FALSE)</f>
        <v>26563.982973117072</v>
      </c>
      <c r="P18">
        <f>Calc_BankMonth!P18*(1+Control!$B$25)^P$2*HLOOKUP(P$2,FX!$B$40:$AK$43,2,FALSE)</f>
        <v>26655.956637183521</v>
      </c>
      <c r="Q18">
        <f>Calc_BankMonth!Q18*(1+Control!$B$25)^Q$2*HLOOKUP(Q$2,FX!$B$40:$AK$43,2,FALSE)</f>
        <v>26665.95025732445</v>
      </c>
      <c r="R18">
        <f>Calc_BankMonth!R18*(1+Control!$B$25)^R$2*HLOOKUP(R$2,FX!$B$40:$AK$43,2,FALSE)</f>
        <v>26765.621594005734</v>
      </c>
      <c r="S18">
        <f>Calc_BankMonth!S18*(1+Control!$B$25)^S$2*HLOOKUP(S$2,FX!$B$40:$AK$43,2,FALSE)</f>
        <v>26937.174472766343</v>
      </c>
      <c r="T18">
        <f>Calc_BankMonth!T18*(1+Control!$B$25)^T$2*HLOOKUP(T$2,FX!$B$40:$AK$43,2,FALSE)</f>
        <v>26923.070146287031</v>
      </c>
      <c r="U18">
        <f>Calc_BankMonth!U18*(1+Control!$B$25)^U$2*HLOOKUP(U$2,FX!$B$40:$AK$43,2,FALSE)</f>
        <v>27214.259179048473</v>
      </c>
      <c r="V18">
        <f>Calc_BankMonth!V18*(1+Control!$B$25)^V$2*HLOOKUP(V$2,FX!$B$40:$AK$43,2,FALSE)</f>
        <v>27342.268260386903</v>
      </c>
      <c r="W18">
        <f>Calc_BankMonth!W18*(1+Control!$B$25)^W$2*HLOOKUP(W$2,FX!$B$40:$AK$43,2,FALSE)</f>
        <v>27587.469804137796</v>
      </c>
      <c r="X18">
        <f>Calc_BankMonth!X18*(1+Control!$B$25)^X$2*HLOOKUP(X$2,FX!$B$40:$AK$43,2,FALSE)</f>
        <v>27780.863702310184</v>
      </c>
      <c r="Y18">
        <f>Calc_BankMonth!Y18*(1+Control!$B$25)^Y$2*HLOOKUP(Y$2,FX!$B$40:$AK$43,2,FALSE)</f>
        <v>28140.76890135006</v>
      </c>
      <c r="Z18">
        <f>Calc_BankMonth!Z18*(1+Control!$B$25)^Z$2*HLOOKUP(Z$2,FX!$B$40:$AK$43,2,FALSE)</f>
        <v>28373.385922318805</v>
      </c>
      <c r="AA18">
        <f>Calc_BankMonth!AA18*(1+Control!$B$25)^AA$2*HLOOKUP(AA$2,FX!$B$40:$AK$43,2,FALSE)</f>
        <v>28959.483763976907</v>
      </c>
      <c r="AB18">
        <f>Calc_BankMonth!AB18*(1+Control!$B$25)^AB$2*HLOOKUP(AB$2,FX!$B$40:$AK$43,2,FALSE)</f>
        <v>29273.600995677014</v>
      </c>
      <c r="AC18">
        <f>Calc_BankMonth!AC18*(1+Control!$B$25)^AC$2*HLOOKUP(AC$2,FX!$B$40:$AK$43,2,FALSE)</f>
        <v>29812.439379799151</v>
      </c>
      <c r="AD18">
        <f>Calc_BankMonth!AD18*(1+Control!$B$25)^AD$2*HLOOKUP(AD$2,FX!$B$40:$AK$43,2,FALSE)</f>
        <v>30301.790534926105</v>
      </c>
      <c r="AE18">
        <f>Calc_BankMonth!AE18*(1+Control!$B$25)^AE$2*HLOOKUP(AE$2,FX!$B$40:$AK$43,2,FALSE)</f>
        <v>30725.309823940777</v>
      </c>
      <c r="AF18">
        <f>Calc_BankMonth!AF18*(1+Control!$B$25)^AF$2*HLOOKUP(AF$2,FX!$B$40:$AK$43,2,FALSE)</f>
        <v>31452.137689727289</v>
      </c>
      <c r="AG18">
        <f>Calc_BankMonth!AG18*(1+Control!$B$25)^AG$2*HLOOKUP(AG$2,FX!$B$40:$AK$43,2,FALSE)</f>
        <v>31986.122235075294</v>
      </c>
      <c r="AH18">
        <f>Calc_BankMonth!AH18*(1+Control!$B$25)^AH$2*HLOOKUP(AH$2,FX!$B$40:$AK$43,2,FALSE)</f>
        <v>32584.194019121147</v>
      </c>
      <c r="AI18">
        <f>Calc_BankMonth!AI18*(1+Control!$B$25)^AI$2*HLOOKUP(AI$2,FX!$B$40:$AK$43,2,FALSE)</f>
        <v>33152.60986865381</v>
      </c>
      <c r="AJ18">
        <f>Calc_BankMonth!AJ18*(1+Control!$B$25)^AJ$2*HLOOKUP(AJ$2,FX!$B$40:$AK$43,2,FALSE)</f>
        <v>33774.866290359525</v>
      </c>
      <c r="AK18">
        <f>Calc_BankMonth!AK18*(1+Control!$B$25)^AK$2*HLOOKUP(AK$2,FX!$B$40:$AK$43,2,FALSE)</f>
        <v>34239.109029615109</v>
      </c>
      <c r="AL18" cm="1">
        <f t="array" ref="AL18">INDEX(B18:AK18,Control!$B$3)</f>
        <v>26937.174472766343</v>
      </c>
    </row>
    <row r="19" spans="1:38" x14ac:dyDescent="0.25">
      <c r="A19" t="s">
        <v>40</v>
      </c>
      <c r="B19">
        <f>Calc_BankMonth!B19*(1+Control!$B$25)^B$2*HLOOKUP(B$2,FX!$B$40:$AK$43,2,FALSE)</f>
        <v>23745.187498240401</v>
      </c>
      <c r="C19">
        <f>Calc_BankMonth!C19*(1+Control!$B$25)^C$2*HLOOKUP(C$2,FX!$B$40:$AK$43,2,FALSE)</f>
        <v>24206.168248930851</v>
      </c>
      <c r="D19">
        <f>Calc_BankMonth!D19*(1+Control!$B$25)^D$2*HLOOKUP(D$2,FX!$B$40:$AK$43,2,FALSE)</f>
        <v>24550.107402856978</v>
      </c>
      <c r="E19">
        <f>Calc_BankMonth!E19*(1+Control!$B$25)^E$2*HLOOKUP(E$2,FX!$B$40:$AK$43,2,FALSE)</f>
        <v>25104.392362105118</v>
      </c>
      <c r="F19">
        <f>Calc_BankMonth!F19*(1+Control!$B$25)^F$2*HLOOKUP(F$2,FX!$B$40:$AK$43,2,FALSE)</f>
        <v>25508.147223153999</v>
      </c>
      <c r="G19">
        <f>Calc_BankMonth!G19*(1+Control!$B$25)^G$2*HLOOKUP(G$2,FX!$B$40:$AK$43,2,FALSE)</f>
        <v>25851.418295088606</v>
      </c>
      <c r="H19">
        <f>Calc_BankMonth!H19*(1+Control!$B$25)^H$2*HLOOKUP(H$2,FX!$B$40:$AK$43,2,FALSE)</f>
        <v>26149.315268779967</v>
      </c>
      <c r="I19">
        <f>Calc_BankMonth!I19*(1+Control!$B$25)^I$2*HLOOKUP(I$2,FX!$B$40:$AK$43,2,FALSE)</f>
        <v>26522.423786009847</v>
      </c>
      <c r="J19">
        <f>Calc_BankMonth!J19*(1+Control!$B$25)^J$2*HLOOKUP(J$2,FX!$B$40:$AK$43,2,FALSE)</f>
        <v>26836.420110665749</v>
      </c>
      <c r="K19">
        <f>Calc_BankMonth!K19*(1+Control!$B$25)^K$2*HLOOKUP(K$2,FX!$B$40:$AK$43,2,FALSE)</f>
        <v>27174.326076025118</v>
      </c>
      <c r="L19">
        <f>Calc_BankMonth!L19*(1+Control!$B$25)^L$2*HLOOKUP(L$2,FX!$B$40:$AK$43,2,FALSE)</f>
        <v>27249.58793171282</v>
      </c>
      <c r="M19">
        <f>Calc_BankMonth!M19*(1+Control!$B$25)^M$2*HLOOKUP(M$2,FX!$B$40:$AK$43,2,FALSE)</f>
        <v>27377.589708000036</v>
      </c>
      <c r="N19">
        <f>Calc_BankMonth!N19*(1+Control!$B$25)^N$2*HLOOKUP(N$2,FX!$B$40:$AK$43,2,FALSE)</f>
        <v>27707.085376948897</v>
      </c>
      <c r="O19">
        <f>Calc_BankMonth!O19*(1+Control!$B$25)^O$2*HLOOKUP(O$2,FX!$B$40:$AK$43,2,FALSE)</f>
        <v>27695.209404645062</v>
      </c>
      <c r="P19">
        <f>Calc_BankMonth!P19*(1+Control!$B$25)^P$2*HLOOKUP(P$2,FX!$B$40:$AK$43,2,FALSE)</f>
        <v>27825.487549232999</v>
      </c>
      <c r="Q19">
        <f>Calc_BankMonth!Q19*(1+Control!$B$25)^Q$2*HLOOKUP(Q$2,FX!$B$40:$AK$43,2,FALSE)</f>
        <v>28014.11351253885</v>
      </c>
      <c r="R19">
        <f>Calc_BankMonth!R19*(1+Control!$B$25)^R$2*HLOOKUP(R$2,FX!$B$40:$AK$43,2,FALSE)</f>
        <v>28088.903175973337</v>
      </c>
      <c r="S19">
        <f>Calc_BankMonth!S19*(1+Control!$B$25)^S$2*HLOOKUP(S$2,FX!$B$40:$AK$43,2,FALSE)</f>
        <v>28206.672794717331</v>
      </c>
      <c r="T19">
        <f>Calc_BankMonth!T19*(1+Control!$B$25)^T$2*HLOOKUP(T$2,FX!$B$40:$AK$43,2,FALSE)</f>
        <v>28252.635990572046</v>
      </c>
      <c r="U19">
        <f>Calc_BankMonth!U19*(1+Control!$B$25)^U$2*HLOOKUP(U$2,FX!$B$40:$AK$43,2,FALSE)</f>
        <v>28355.538056006615</v>
      </c>
      <c r="V19">
        <f>Calc_BankMonth!V19*(1+Control!$B$25)^V$2*HLOOKUP(V$2,FX!$B$40:$AK$43,2,FALSE)</f>
        <v>28624.402735439511</v>
      </c>
      <c r="W19">
        <f>Calc_BankMonth!W19*(1+Control!$B$25)^W$2*HLOOKUP(W$2,FX!$B$40:$AK$43,2,FALSE)</f>
        <v>28854.380566402415</v>
      </c>
      <c r="X19">
        <f>Calc_BankMonth!X19*(1+Control!$B$25)^X$2*HLOOKUP(X$2,FX!$B$40:$AK$43,2,FALSE)</f>
        <v>29188.369349925615</v>
      </c>
      <c r="Y19">
        <f>Calc_BankMonth!Y19*(1+Control!$B$25)^Y$2*HLOOKUP(Y$2,FX!$B$40:$AK$43,2,FALSE)</f>
        <v>29372.818560750064</v>
      </c>
      <c r="Z19">
        <f>Calc_BankMonth!Z19*(1+Control!$B$25)^Z$2*HLOOKUP(Z$2,FX!$B$40:$AK$43,2,FALSE)</f>
        <v>29814.804713610385</v>
      </c>
      <c r="AA19">
        <f>Calc_BankMonth!AA19*(1+Control!$B$25)^AA$2*HLOOKUP(AA$2,FX!$B$40:$AK$43,2,FALSE)</f>
        <v>30218.326277806176</v>
      </c>
      <c r="AB19">
        <f>Calc_BankMonth!AB19*(1+Control!$B$25)^AB$2*HLOOKUP(AB$2,FX!$B$40:$AK$43,2,FALSE)</f>
        <v>30616.032311471834</v>
      </c>
      <c r="AC19">
        <f>Calc_BankMonth!AC19*(1+Control!$B$25)^AC$2*HLOOKUP(AC$2,FX!$B$40:$AK$43,2,FALSE)</f>
        <v>31168.780157607525</v>
      </c>
      <c r="AD19">
        <f>Calc_BankMonth!AD19*(1+Control!$B$25)^AD$2*HLOOKUP(AD$2,FX!$B$40:$AK$43,2,FALSE)</f>
        <v>31666.036765266439</v>
      </c>
      <c r="AE19">
        <f>Calc_BankMonth!AE19*(1+Control!$B$25)^AE$2*HLOOKUP(AE$2,FX!$B$40:$AK$43,2,FALSE)</f>
        <v>32454.130037010873</v>
      </c>
      <c r="AF19">
        <f>Calc_BankMonth!AF19*(1+Control!$B$25)^AF$2*HLOOKUP(AF$2,FX!$B$40:$AK$43,2,FALSE)</f>
        <v>32938.160157488805</v>
      </c>
      <c r="AG19">
        <f>Calc_BankMonth!AG19*(1+Control!$B$25)^AG$2*HLOOKUP(AG$2,FX!$B$40:$AK$43,2,FALSE)</f>
        <v>33535.738452718477</v>
      </c>
      <c r="AH19">
        <f>Calc_BankMonth!AH19*(1+Control!$B$25)^AH$2*HLOOKUP(AH$2,FX!$B$40:$AK$43,2,FALSE)</f>
        <v>34169.415826019867</v>
      </c>
      <c r="AI19">
        <f>Calc_BankMonth!AI19*(1+Control!$B$25)^AI$2*HLOOKUP(AI$2,FX!$B$40:$AK$43,2,FALSE)</f>
        <v>34734.268968620992</v>
      </c>
      <c r="AJ19">
        <f>Calc_BankMonth!AJ19*(1+Control!$B$25)^AJ$2*HLOOKUP(AJ$2,FX!$B$40:$AK$43,2,FALSE)</f>
        <v>35296.048053660903</v>
      </c>
      <c r="AK19">
        <f>Calc_BankMonth!AK19*(1+Control!$B$25)^AK$2*HLOOKUP(AK$2,FX!$B$40:$AK$43,2,FALSE)</f>
        <v>35838.71983881011</v>
      </c>
      <c r="AL19" cm="1">
        <f t="array" ref="AL19">INDEX(B19:AK19,Control!$B$3)</f>
        <v>28206.672794717331</v>
      </c>
    </row>
    <row r="20" spans="1:38" x14ac:dyDescent="0.25">
      <c r="A20" t="s">
        <v>42</v>
      </c>
      <c r="B20">
        <f>Calc_BankMonth!B20*(1+Control!$B$25)^B$2*HLOOKUP(B$2,FX!$B$40:$AK$43,2,FALSE)</f>
        <v>24848.821796656764</v>
      </c>
      <c r="C20">
        <f>Calc_BankMonth!C20*(1+Control!$B$25)^C$2*HLOOKUP(C$2,FX!$B$40:$AK$43,2,FALSE)</f>
        <v>25182.245950141307</v>
      </c>
      <c r="D20">
        <f>Calc_BankMonth!D20*(1+Control!$B$25)^D$2*HLOOKUP(D$2,FX!$B$40:$AK$43,2,FALSE)</f>
        <v>25685.37311285434</v>
      </c>
      <c r="E20">
        <f>Calc_BankMonth!E20*(1+Control!$B$25)^E$2*HLOOKUP(E$2,FX!$B$40:$AK$43,2,FALSE)</f>
        <v>26163.565660257707</v>
      </c>
      <c r="F20">
        <f>Calc_BankMonth!F20*(1+Control!$B$25)^F$2*HLOOKUP(F$2,FX!$B$40:$AK$43,2,FALSE)</f>
        <v>26702.577832010487</v>
      </c>
      <c r="G20">
        <f>Calc_BankMonth!G20*(1+Control!$B$25)^G$2*HLOOKUP(G$2,FX!$B$40:$AK$43,2,FALSE)</f>
        <v>26985.023610495056</v>
      </c>
      <c r="H20">
        <f>Calc_BankMonth!H20*(1+Control!$B$25)^H$2*HLOOKUP(H$2,FX!$B$40:$AK$43,2,FALSE)</f>
        <v>27479.274138246245</v>
      </c>
      <c r="I20">
        <f>Calc_BankMonth!I20*(1+Control!$B$25)^I$2*HLOOKUP(I$2,FX!$B$40:$AK$43,2,FALSE)</f>
        <v>27835.219813911255</v>
      </c>
      <c r="J20">
        <f>Calc_BankMonth!J20*(1+Control!$B$25)^J$2*HLOOKUP(J$2,FX!$B$40:$AK$43,2,FALSE)</f>
        <v>27986.951313526326</v>
      </c>
      <c r="K20">
        <f>Calc_BankMonth!K20*(1+Control!$B$25)^K$2*HLOOKUP(K$2,FX!$B$40:$AK$43,2,FALSE)</f>
        <v>28325.762335230131</v>
      </c>
      <c r="L20">
        <f>Calc_BankMonth!L20*(1+Control!$B$25)^L$2*HLOOKUP(L$2,FX!$B$40:$AK$43,2,FALSE)</f>
        <v>28577.976736290162</v>
      </c>
      <c r="M20">
        <f>Calc_BankMonth!M20*(1+Control!$B$25)^M$2*HLOOKUP(M$2,FX!$B$40:$AK$43,2,FALSE)</f>
        <v>28761.254550000034</v>
      </c>
      <c r="N20">
        <f>Calc_BankMonth!N20*(1+Control!$B$25)^N$2*HLOOKUP(N$2,FX!$B$40:$AK$43,2,FALSE)</f>
        <v>28960.570563226283</v>
      </c>
      <c r="O20">
        <f>Calc_BankMonth!O20*(1+Control!$B$25)^O$2*HLOOKUP(O$2,FX!$B$40:$AK$43,2,FALSE)</f>
        <v>28912.776952808221</v>
      </c>
      <c r="P20">
        <f>Calc_BankMonth!P20*(1+Control!$B$25)^P$2*HLOOKUP(P$2,FX!$B$40:$AK$43,2,FALSE)</f>
        <v>29036.927869505605</v>
      </c>
      <c r="Q20">
        <f>Calc_BankMonth!Q20*(1+Control!$B$25)^Q$2*HLOOKUP(Q$2,FX!$B$40:$AK$43,2,FALSE)</f>
        <v>29275.713914004536</v>
      </c>
      <c r="R20">
        <f>Calc_BankMonth!R20*(1+Control!$B$25)^R$2*HLOOKUP(R$2,FX!$B$40:$AK$43,2,FALSE)</f>
        <v>29359.731157238839</v>
      </c>
      <c r="S20">
        <f>Calc_BankMonth!S20*(1+Control!$B$25)^S$2*HLOOKUP(S$2,FX!$B$40:$AK$43,2,FALSE)</f>
        <v>29475.948592860779</v>
      </c>
      <c r="T20">
        <f>Calc_BankMonth!T20*(1+Control!$B$25)^T$2*HLOOKUP(T$2,FX!$B$40:$AK$43,2,FALSE)</f>
        <v>29543.465840228513</v>
      </c>
      <c r="U20">
        <f>Calc_BankMonth!U20*(1+Control!$B$25)^U$2*HLOOKUP(U$2,FX!$B$40:$AK$43,2,FALSE)</f>
        <v>29745.730543146146</v>
      </c>
      <c r="V20">
        <f>Calc_BankMonth!V20*(1+Control!$B$25)^V$2*HLOOKUP(V$2,FX!$B$40:$AK$43,2,FALSE)</f>
        <v>29783.563973880315</v>
      </c>
      <c r="W20">
        <f>Calc_BankMonth!W20*(1+Control!$B$25)^W$2*HLOOKUP(W$2,FX!$B$40:$AK$43,2,FALSE)</f>
        <v>30236.51544298714</v>
      </c>
      <c r="X20">
        <f>Calc_BankMonth!X20*(1+Control!$B$25)^X$2*HLOOKUP(X$2,FX!$B$40:$AK$43,2,FALSE)</f>
        <v>30447.441468860532</v>
      </c>
      <c r="Y20">
        <f>Calc_BankMonth!Y20*(1+Control!$B$25)^Y$2*HLOOKUP(Y$2,FX!$B$40:$AK$43,2,FALSE)</f>
        <v>30830.714220600064</v>
      </c>
      <c r="Z20">
        <f>Calc_BankMonth!Z20*(1+Control!$B$25)^Z$2*HLOOKUP(Z$2,FX!$B$40:$AK$43,2,FALSE)</f>
        <v>31217.15701429687</v>
      </c>
      <c r="AA20">
        <f>Calc_BankMonth!AA20*(1+Control!$B$25)^AA$2*HLOOKUP(AA$2,FX!$B$40:$AK$43,2,FALSE)</f>
        <v>31554.284626938734</v>
      </c>
      <c r="AB20">
        <f>Calc_BankMonth!AB20*(1+Control!$B$25)^AB$2*HLOOKUP(AB$2,FX!$B$40:$AK$43,2,FALSE)</f>
        <v>32126.780703558972</v>
      </c>
      <c r="AC20">
        <f>Calc_BankMonth!AC20*(1+Control!$B$25)^AC$2*HLOOKUP(AC$2,FX!$B$40:$AK$43,2,FALSE)</f>
        <v>32529.265949677454</v>
      </c>
      <c r="AD20">
        <f>Calc_BankMonth!AD20*(1+Control!$B$25)^AD$2*HLOOKUP(AD$2,FX!$B$40:$AK$43,2,FALSE)</f>
        <v>33210.77825307141</v>
      </c>
      <c r="AE20">
        <f>Calc_BankMonth!AE20*(1+Control!$B$25)^AE$2*HLOOKUP(AE$2,FX!$B$40:$AK$43,2,FALSE)</f>
        <v>33803.031150905372</v>
      </c>
      <c r="AF20">
        <f>Calc_BankMonth!AF20*(1+Control!$B$25)^AF$2*HLOOKUP(AF$2,FX!$B$40:$AK$43,2,FALSE)</f>
        <v>34493.726428533664</v>
      </c>
      <c r="AG20">
        <f>Calc_BankMonth!AG20*(1+Control!$B$25)^AG$2*HLOOKUP(AG$2,FX!$B$40:$AK$43,2,FALSE)</f>
        <v>34999.566104389982</v>
      </c>
      <c r="AH20">
        <f>Calc_BankMonth!AH20*(1+Control!$B$25)^AH$2*HLOOKUP(AH$2,FX!$B$40:$AK$43,2,FALSE)</f>
        <v>35695.645832631104</v>
      </c>
      <c r="AI20">
        <f>Calc_BankMonth!AI20*(1+Control!$B$25)^AI$2*HLOOKUP(AI$2,FX!$B$40:$AK$43,2,FALSE)</f>
        <v>36299.661687505548</v>
      </c>
      <c r="AJ20">
        <f>Calc_BankMonth!AJ20*(1+Control!$B$25)^AJ$2*HLOOKUP(AJ$2,FX!$B$40:$AK$43,2,FALSE)</f>
        <v>36973.219730164412</v>
      </c>
      <c r="AK20">
        <f>Calc_BankMonth!AK20*(1+Control!$B$25)^AK$2*HLOOKUP(AK$2,FX!$B$40:$AK$43,2,FALSE)</f>
        <v>37413.077602713878</v>
      </c>
      <c r="AL20" cm="1">
        <f t="array" ref="AL20">INDEX(B20:AK20,Control!$B$3)</f>
        <v>29475.948592860779</v>
      </c>
    </row>
    <row r="21" spans="1:38" x14ac:dyDescent="0.25">
      <c r="A21" t="s">
        <v>43</v>
      </c>
      <c r="B21">
        <f>Calc_BankMonth!B21*(1+Control!$B$25)^B$2*HLOOKUP(B$2,FX!$B$40:$AK$43,2,FALSE)</f>
        <v>25819.561061160442</v>
      </c>
      <c r="C21">
        <f>Calc_BankMonth!C21*(1+Control!$B$25)^C$2*HLOOKUP(C$2,FX!$B$40:$AK$43,2,FALSE)</f>
        <v>26404.921881677383</v>
      </c>
      <c r="D21">
        <f>Calc_BankMonth!D21*(1+Control!$B$25)^D$2*HLOOKUP(D$2,FX!$B$40:$AK$43,2,FALSE)</f>
        <v>26760.796537746133</v>
      </c>
      <c r="E21">
        <f>Calc_BankMonth!E21*(1+Control!$B$25)^E$2*HLOOKUP(E$2,FX!$B$40:$AK$43,2,FALSE)</f>
        <v>27427.400589802328</v>
      </c>
      <c r="F21">
        <f>Calc_BankMonth!F21*(1+Control!$B$25)^F$2*HLOOKUP(F$2,FX!$B$40:$AK$43,2,FALSE)</f>
        <v>27794.549641070669</v>
      </c>
      <c r="G21">
        <f>Calc_BankMonth!G21*(1+Control!$B$25)^G$2*HLOOKUP(G$2,FX!$B$40:$AK$43,2,FALSE)</f>
        <v>28310.814545309582</v>
      </c>
      <c r="H21">
        <f>Calc_BankMonth!H21*(1+Control!$B$25)^H$2*HLOOKUP(H$2,FX!$B$40:$AK$43,2,FALSE)</f>
        <v>28626.753409076857</v>
      </c>
      <c r="I21">
        <f>Calc_BankMonth!I21*(1+Control!$B$25)^I$2*HLOOKUP(I$2,FX!$B$40:$AK$43,2,FALSE)</f>
        <v>29013.69370745571</v>
      </c>
      <c r="J21">
        <f>Calc_BankMonth!J21*(1+Control!$B$25)^J$2*HLOOKUP(J$2,FX!$B$40:$AK$43,2,FALSE)</f>
        <v>29413.216583771875</v>
      </c>
      <c r="K21">
        <f>Calc_BankMonth!K21*(1+Control!$B$25)^K$2*HLOOKUP(K$2,FX!$B$40:$AK$43,2,FALSE)</f>
        <v>29470.743212633759</v>
      </c>
      <c r="L21">
        <f>Calc_BankMonth!L21*(1+Control!$B$25)^L$2*HLOOKUP(L$2,FX!$B$40:$AK$43,2,FALSE)</f>
        <v>29923.926331034618</v>
      </c>
      <c r="M21">
        <f>Calc_BankMonth!M21*(1+Control!$B$25)^M$2*HLOOKUP(M$2,FX!$B$40:$AK$43,2,FALSE)</f>
        <v>30028.65169500003</v>
      </c>
      <c r="N21">
        <f>Calc_BankMonth!N21*(1+Control!$B$25)^N$2*HLOOKUP(N$2,FX!$B$40:$AK$43,2,FALSE)</f>
        <v>30219.593143492817</v>
      </c>
      <c r="O21">
        <f>Calc_BankMonth!O21*(1+Control!$B$25)^O$2*HLOOKUP(O$2,FX!$B$40:$AK$43,2,FALSE)</f>
        <v>30321.737733408056</v>
      </c>
      <c r="P21">
        <f>Calc_BankMonth!P21*(1+Control!$B$25)^P$2*HLOOKUP(P$2,FX!$B$40:$AK$43,2,FALSE)</f>
        <v>30379.489582261805</v>
      </c>
      <c r="Q21">
        <f>Calc_BankMonth!Q21*(1+Control!$B$25)^Q$2*HLOOKUP(Q$2,FX!$B$40:$AK$43,2,FALSE)</f>
        <v>30502.26363859656</v>
      </c>
      <c r="R21">
        <f>Calc_BankMonth!R21*(1+Control!$B$25)^R$2*HLOOKUP(R$2,FX!$B$40:$AK$43,2,FALSE)</f>
        <v>30705.110213544769</v>
      </c>
      <c r="S21">
        <f>Calc_BankMonth!S21*(1+Control!$B$25)^S$2*HLOOKUP(S$2,FX!$B$40:$AK$43,2,FALSE)</f>
        <v>30721.970653117485</v>
      </c>
      <c r="T21">
        <f>Calc_BankMonth!T21*(1+Control!$B$25)^T$2*HLOOKUP(T$2,FX!$B$40:$AK$43,2,FALSE)</f>
        <v>30975.47673621025</v>
      </c>
      <c r="U21">
        <f>Calc_BankMonth!U21*(1+Control!$B$25)^U$2*HLOOKUP(U$2,FX!$B$40:$AK$43,2,FALSE)</f>
        <v>31065.770619223869</v>
      </c>
      <c r="V21">
        <f>Calc_BankMonth!V21*(1+Control!$B$25)^V$2*HLOOKUP(V$2,FX!$B$40:$AK$43,2,FALSE)</f>
        <v>31103.365926814007</v>
      </c>
      <c r="W21">
        <f>Calc_BankMonth!W21*(1+Control!$B$25)^W$2*HLOOKUP(W$2,FX!$B$40:$AK$43,2,FALSE)</f>
        <v>31529.265684209007</v>
      </c>
      <c r="X21">
        <f>Calc_BankMonth!X21*(1+Control!$B$25)^X$2*HLOOKUP(X$2,FX!$B$40:$AK$43,2,FALSE)</f>
        <v>31822.147198153303</v>
      </c>
      <c r="Y21">
        <f>Calc_BankMonth!Y21*(1+Control!$B$25)^Y$2*HLOOKUP(Y$2,FX!$B$40:$AK$43,2,FALSE)</f>
        <v>32225.198843250066</v>
      </c>
      <c r="Z21">
        <f>Calc_BankMonth!Z21*(1+Control!$B$25)^Z$2*HLOOKUP(Z$2,FX!$B$40:$AK$43,2,FALSE)</f>
        <v>32540.590513559833</v>
      </c>
      <c r="AA21">
        <f>Calc_BankMonth!AA21*(1+Control!$B$25)^AA$2*HLOOKUP(AA$2,FX!$B$40:$AK$43,2,FALSE)</f>
        <v>32935.359131915888</v>
      </c>
      <c r="AB21">
        <f>Calc_BankMonth!AB21*(1+Control!$B$25)^AB$2*HLOOKUP(AB$2,FX!$B$40:$AK$43,2,FALSE)</f>
        <v>33460.089142589983</v>
      </c>
      <c r="AC21">
        <f>Calc_BankMonth!AC21*(1+Control!$B$25)^AC$2*HLOOKUP(AC$2,FX!$B$40:$AK$43,2,FALSE)</f>
        <v>33969.773544852374</v>
      </c>
      <c r="AD21">
        <f>Calc_BankMonth!AD21*(1+Control!$B$25)^AD$2*HLOOKUP(AD$2,FX!$B$40:$AK$43,2,FALSE)</f>
        <v>34766.458847389389</v>
      </c>
      <c r="AE21">
        <f>Calc_BankMonth!AE21*(1+Control!$B$25)^AE$2*HLOOKUP(AE$2,FX!$B$40:$AK$43,2,FALSE)</f>
        <v>35284.339014047873</v>
      </c>
      <c r="AF21">
        <f>Calc_BankMonth!AF21*(1+Control!$B$25)^AF$2*HLOOKUP(AF$2,FX!$B$40:$AK$43,2,FALSE)</f>
        <v>35883.054430086158</v>
      </c>
      <c r="AG21">
        <f>Calc_BankMonth!AG21*(1+Control!$B$25)^AG$2*HLOOKUP(AG$2,FX!$B$40:$AK$43,2,FALSE)</f>
        <v>36647.501802135565</v>
      </c>
      <c r="AH21">
        <f>Calc_BankMonth!AH21*(1+Control!$B$25)^AH$2*HLOOKUP(AH$2,FX!$B$40:$AK$43,2,FALSE)</f>
        <v>37212.003244566135</v>
      </c>
      <c r="AI21">
        <f>Calc_BankMonth!AI21*(1+Control!$B$25)^AI$2*HLOOKUP(AI$2,FX!$B$40:$AK$43,2,FALSE)</f>
        <v>37973.743407260445</v>
      </c>
      <c r="AJ21">
        <f>Calc_BankMonth!AJ21*(1+Control!$B$25)^AJ$2*HLOOKUP(AJ$2,FX!$B$40:$AK$43,2,FALSE)</f>
        <v>38604.702421715658</v>
      </c>
      <c r="AK21">
        <f>Calc_BankMonth!AK21*(1+Control!$B$25)^AK$2*HLOOKUP(AK$2,FX!$B$40:$AK$43,2,FALSE)</f>
        <v>39068.219984141375</v>
      </c>
      <c r="AL21" cm="1">
        <f t="array" ref="AL21">INDEX(B21:AK21,Control!$B$3)</f>
        <v>30721.970653117485</v>
      </c>
    </row>
    <row r="22" spans="1:38" x14ac:dyDescent="0.25">
      <c r="A22" t="s">
        <v>44</v>
      </c>
      <c r="B22">
        <f>Calc_BankMonth!B22*(1+Control!$B$25)^B$2*HLOOKUP(B$2,FX!$B$40:$AK$43,2,FALSE)</f>
        <v>27051.097534501565</v>
      </c>
      <c r="C22">
        <f>Calc_BankMonth!C22*(1+Control!$B$25)^C$2*HLOOKUP(C$2,FX!$B$40:$AK$43,2,FALSE)</f>
        <v>27534.760832384993</v>
      </c>
      <c r="D22">
        <f>Calc_BankMonth!D22*(1+Control!$B$25)^D$2*HLOOKUP(D$2,FX!$B$40:$AK$43,2,FALSE)</f>
        <v>27962.638147507052</v>
      </c>
      <c r="E22">
        <f>Calc_BankMonth!E22*(1+Control!$B$25)^E$2*HLOOKUP(E$2,FX!$B$40:$AK$43,2,FALSE)</f>
        <v>28522.329349816548</v>
      </c>
      <c r="F22">
        <f>Calc_BankMonth!F22*(1+Control!$B$25)^F$2*HLOOKUP(F$2,FX!$B$40:$AK$43,2,FALSE)</f>
        <v>28972.936485380214</v>
      </c>
      <c r="G22">
        <f>Calc_BankMonth!G22*(1+Control!$B$25)^G$2*HLOOKUP(G$2,FX!$B$40:$AK$43,2,FALSE)</f>
        <v>29477.082497889216</v>
      </c>
      <c r="H22">
        <f>Calc_BankMonth!H22*(1+Control!$B$25)^H$2*HLOOKUP(H$2,FX!$B$40:$AK$43,2,FALSE)</f>
        <v>29871.697198170776</v>
      </c>
      <c r="I22">
        <f>Calc_BankMonth!I22*(1+Control!$B$25)^I$2*HLOOKUP(I$2,FX!$B$40:$AK$43,2,FALSE)</f>
        <v>30210.084731338047</v>
      </c>
      <c r="J22">
        <f>Calc_BankMonth!J22*(1+Control!$B$25)^J$2*HLOOKUP(J$2,FX!$B$40:$AK$43,2,FALSE)</f>
        <v>30506.769529165438</v>
      </c>
      <c r="K22">
        <f>Calc_BankMonth!K22*(1+Control!$B$25)^K$2*HLOOKUP(K$2,FX!$B$40:$AK$43,2,FALSE)</f>
        <v>30722.521020541015</v>
      </c>
      <c r="L22">
        <f>Calc_BankMonth!L22*(1+Control!$B$25)^L$2*HLOOKUP(L$2,FX!$B$40:$AK$43,2,FALSE)</f>
        <v>31039.319745197852</v>
      </c>
      <c r="M22">
        <f>Calc_BankMonth!M22*(1+Control!$B$25)^M$2*HLOOKUP(M$2,FX!$B$40:$AK$43,2,FALSE)</f>
        <v>31206.612150000034</v>
      </c>
      <c r="N22">
        <f>Calc_BankMonth!N22*(1+Control!$B$25)^N$2*HLOOKUP(N$2,FX!$B$40:$AK$43,2,FALSE)</f>
        <v>31294.638633671035</v>
      </c>
      <c r="O22">
        <f>Calc_BankMonth!O22*(1+Control!$B$25)^O$2*HLOOKUP(O$2,FX!$B$40:$AK$43,2,FALSE)</f>
        <v>31667.577071037023</v>
      </c>
      <c r="P22">
        <f>Calc_BankMonth!P22*(1+Control!$B$25)^P$2*HLOOKUP(P$2,FX!$B$40:$AK$43,2,FALSE)</f>
        <v>31670.703843119965</v>
      </c>
      <c r="Q22">
        <f>Calc_BankMonth!Q22*(1+Control!$B$25)^Q$2*HLOOKUP(Q$2,FX!$B$40:$AK$43,2,FALSE)</f>
        <v>31720.6386046845</v>
      </c>
      <c r="R22">
        <f>Calc_BankMonth!R22*(1+Control!$B$25)^R$2*HLOOKUP(R$2,FX!$B$40:$AK$43,2,FALSE)</f>
        <v>31923.707800919674</v>
      </c>
      <c r="S22">
        <f>Calc_BankMonth!S22*(1+Control!$B$25)^S$2*HLOOKUP(S$2,FX!$B$40:$AK$43,2,FALSE)</f>
        <v>32012.719998687451</v>
      </c>
      <c r="T22">
        <f>Calc_BankMonth!T22*(1+Control!$B$25)^T$2*HLOOKUP(T$2,FX!$B$40:$AK$43,2,FALSE)</f>
        <v>32225.350763465744</v>
      </c>
      <c r="U22">
        <f>Calc_BankMonth!U22*(1+Control!$B$25)^U$2*HLOOKUP(U$2,FX!$B$40:$AK$43,2,FALSE)</f>
        <v>32364.753889453659</v>
      </c>
      <c r="V22">
        <f>Calc_BankMonth!V22*(1+Control!$B$25)^V$2*HLOOKUP(V$2,FX!$B$40:$AK$43,2,FALSE)</f>
        <v>32498.945982308487</v>
      </c>
      <c r="W22">
        <f>Calc_BankMonth!W22*(1+Control!$B$25)^W$2*HLOOKUP(W$2,FX!$B$40:$AK$43,2,FALSE)</f>
        <v>32891.993226812963</v>
      </c>
      <c r="X22">
        <f>Calc_BankMonth!X22*(1+Control!$B$25)^X$2*HLOOKUP(X$2,FX!$B$40:$AK$43,2,FALSE)</f>
        <v>33115.353469376554</v>
      </c>
      <c r="Y22">
        <f>Calc_BankMonth!Y22*(1+Control!$B$25)^Y$2*HLOOKUP(Y$2,FX!$B$40:$AK$43,2,FALSE)</f>
        <v>33537.740329800065</v>
      </c>
      <c r="Z22">
        <f>Calc_BankMonth!Z22*(1+Control!$B$25)^Z$2*HLOOKUP(Z$2,FX!$B$40:$AK$43,2,FALSE)</f>
        <v>33895.344561325161</v>
      </c>
      <c r="AA22">
        <f>Calc_BankMonth!AA22*(1+Control!$B$25)^AA$2*HLOOKUP(AA$2,FX!$B$40:$AK$43,2,FALSE)</f>
        <v>34444.432354727833</v>
      </c>
      <c r="AB22">
        <f>Calc_BankMonth!AB22*(1+Control!$B$25)^AB$2*HLOOKUP(AB$2,FX!$B$40:$AK$43,2,FALSE)</f>
        <v>34915.18798641787</v>
      </c>
      <c r="AC22">
        <f>Calc_BankMonth!AC22*(1+Control!$B$25)^AC$2*HLOOKUP(AC$2,FX!$B$40:$AK$43,2,FALSE)</f>
        <v>35583.220346162117</v>
      </c>
      <c r="AD22">
        <f>Calc_BankMonth!AD22*(1+Control!$B$25)^AD$2*HLOOKUP(AD$2,FX!$B$40:$AK$43,2,FALSE)</f>
        <v>36051.920236141363</v>
      </c>
      <c r="AE22">
        <f>Calc_BankMonth!AE22*(1+Control!$B$25)^AE$2*HLOOKUP(AE$2,FX!$B$40:$AK$43,2,FALSE)</f>
        <v>36855.565771790796</v>
      </c>
      <c r="AF22">
        <f>Calc_BankMonth!AF22*(1+Control!$B$25)^AF$2*HLOOKUP(AF$2,FX!$B$40:$AK$43,2,FALSE)</f>
        <v>37546.270697994245</v>
      </c>
      <c r="AG22">
        <f>Calc_BankMonth!AG22*(1+Control!$B$25)^AG$2*HLOOKUP(AG$2,FX!$B$40:$AK$43,2,FALSE)</f>
        <v>38100.605883060605</v>
      </c>
      <c r="AH22">
        <f>Calc_BankMonth!AH22*(1+Control!$B$25)^AH$2*HLOOKUP(AH$2,FX!$B$40:$AK$43,2,FALSE)</f>
        <v>38657.180467724524</v>
      </c>
      <c r="AI22">
        <f>Calc_BankMonth!AI22*(1+Control!$B$25)^AI$2*HLOOKUP(AI$2,FX!$B$40:$AK$43,2,FALSE)</f>
        <v>39467.292943029999</v>
      </c>
      <c r="AJ22">
        <f>Calc_BankMonth!AJ22*(1+Control!$B$25)^AJ$2*HLOOKUP(AJ$2,FX!$B$40:$AK$43,2,FALSE)</f>
        <v>40124.265774105923</v>
      </c>
      <c r="AK22">
        <f>Calc_BankMonth!AK22*(1+Control!$B$25)^AK$2*HLOOKUP(AK$2,FX!$B$40:$AK$43,2,FALSE)</f>
        <v>40749.117959025134</v>
      </c>
      <c r="AL22" cm="1">
        <f t="array" ref="AL22">INDEX(B22:AK22,Control!$B$3)</f>
        <v>32012.719998687451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28772.399999999998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8.0866892730315804E-2</v>
      </c>
      <c r="F2">
        <f>_xlfn.XLOOKUP(C2,Calc_Bank!$A$2:$A$21,Calc_Bank!$H$2:$H$21)</f>
        <v>5.8661893541598342E-3</v>
      </c>
      <c r="H2" t="s">
        <v>181</v>
      </c>
      <c r="I2">
        <f>MEDIAN(Calc_Bank!C2:C21)</f>
        <v>17798.550000000003</v>
      </c>
    </row>
    <row r="3" spans="1:9" x14ac:dyDescent="0.25">
      <c r="A3">
        <v>2</v>
      </c>
      <c r="B3">
        <f>LARGE(Calc_Bank!$C$2:$C$21,A3)</f>
        <v>27612.3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7.7606348519320564E-2</v>
      </c>
      <c r="F3">
        <f>_xlfn.XLOOKUP(C3,Calc_Bank!$A$2:$A$21,Calc_Bank!$H$2:$H$21)</f>
        <v>3.6201463324210259E-3</v>
      </c>
      <c r="H3" t="s">
        <v>182</v>
      </c>
      <c r="I3">
        <f>_xlfn.STDEV.S(Calc_Bank!C2:C21)</f>
        <v>6849.4406663590962</v>
      </c>
    </row>
    <row r="4" spans="1:9" x14ac:dyDescent="0.25">
      <c r="A4">
        <v>3</v>
      </c>
      <c r="B4">
        <f>LARGE(Calc_Bank!$C$2:$C$21,A4)</f>
        <v>26492.400000000001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7.4458789290035549E-2</v>
      </c>
      <c r="F4">
        <f>_xlfn.XLOOKUP(C4,Calc_Bank!$A$2:$A$21,Calc_Bank!$H$2:$H$21)</f>
        <v>7.0398978226493547E-3</v>
      </c>
      <c r="H4" t="s">
        <v>183</v>
      </c>
      <c r="I4">
        <f>_xlfn.PERCENTILE.INC(Calc_Bank!C2:C21,0.9)</f>
        <v>26604.390000000003</v>
      </c>
    </row>
    <row r="5" spans="1:9" x14ac:dyDescent="0.25">
      <c r="A5">
        <v>4</v>
      </c>
      <c r="B5">
        <f>LARGE(Calc_Bank!$C$2:$C$21,A5)</f>
        <v>25351.600000000002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7.1252489112547945E-2</v>
      </c>
      <c r="F5">
        <f>_xlfn.XLOOKUP(C5,Calc_Bank!$A$2:$A$21,Calc_Bank!$H$2:$H$21)</f>
        <v>7.2749667242784088E-3</v>
      </c>
      <c r="H5" t="s">
        <v>184</v>
      </c>
      <c r="I5">
        <f>_xlfn.QUARTILE.INC(Calc_Bank!C2:C21,1)</f>
        <v>12270.775000000001</v>
      </c>
    </row>
    <row r="6" spans="1:9" x14ac:dyDescent="0.25">
      <c r="A6">
        <v>5</v>
      </c>
      <c r="B6">
        <f>LARGE(Calc_Bank!$C$2:$C$21,A6)</f>
        <v>24210.6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6.8045626820723459E-2</v>
      </c>
      <c r="F6">
        <f>_xlfn.XLOOKUP(C6,Calc_Bank!$A$2:$A$21,Calc_Bank!$H$2:$H$21)</f>
        <v>9.4984739062995427E-3</v>
      </c>
      <c r="H6" t="s">
        <v>56</v>
      </c>
      <c r="I6">
        <f>AVERAGE(Calc_Bank!C2:C21)</f>
        <v>17789.974999999999</v>
      </c>
    </row>
    <row r="7" spans="1:9" x14ac:dyDescent="0.25">
      <c r="A7">
        <v>6</v>
      </c>
      <c r="B7">
        <f>LARGE(Calc_Bank!$C$2:$C$21,A7)</f>
        <v>22950.5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6.4504025441294882E-2</v>
      </c>
      <c r="F7">
        <f>_xlfn.XLOOKUP(C7,Calc_Bank!$A$2:$A$21,Calc_Bank!$H$2:$H$21)</f>
        <v>4.4949623158465624E-3</v>
      </c>
      <c r="H7" t="s">
        <v>185</v>
      </c>
      <c r="I7">
        <f>MAX(Calc_Bank!C2:C21)-MIN(Calc_Bank!C2:C21)</f>
        <v>21973.899999999998</v>
      </c>
    </row>
    <row r="8" spans="1:9" x14ac:dyDescent="0.25">
      <c r="A8">
        <v>7</v>
      </c>
      <c r="B8">
        <f>LARGE(Calc_Bank!$C$2:$C$21,A8)</f>
        <v>21844.999999999996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6.1396938444264249E-2</v>
      </c>
      <c r="F8">
        <f>_xlfn.XLOOKUP(C8,Calc_Bank!$A$2:$A$21,Calc_Bank!$H$2:$H$21)</f>
        <v>1.0467789460050669E-2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20600.5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5.7899181983111274E-2</v>
      </c>
      <c r="F9">
        <f>_xlfn.XLOOKUP(C9,Calc_Bank!$A$2:$A$21,Calc_Bank!$H$2:$H$21)</f>
        <v>3.6246534899471161E-3</v>
      </c>
      <c r="H9" t="s">
        <v>187</v>
      </c>
      <c r="I9">
        <f>SUMPRODUCT(Calc_Bank!K2:K21,Calc_Bank!K2:K21)</f>
        <v>5.7041304892505022E-2</v>
      </c>
    </row>
    <row r="10" spans="1:9" x14ac:dyDescent="0.25">
      <c r="A10">
        <v>9</v>
      </c>
      <c r="B10">
        <f>LARGE(Calc_Bank!$C$2:$C$21,A10)</f>
        <v>19546.399999999998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5.4936558370655378E-2</v>
      </c>
      <c r="F10">
        <f>_xlfn.XLOOKUP(C10,Calc_Bank!$A$2:$A$21,Calc_Bank!$H$2:$H$21)</f>
        <v>1.2667146757573189E-2</v>
      </c>
      <c r="H10" t="s">
        <v>188</v>
      </c>
      <c r="I10">
        <f>SQRT(I9)</f>
        <v>0.23883321563908363</v>
      </c>
    </row>
    <row r="11" spans="1:9" x14ac:dyDescent="0.25">
      <c r="A11">
        <v>10</v>
      </c>
      <c r="B11">
        <f>LARGE(Calc_Bank!$C$2:$C$21,A11)</f>
        <v>18454.5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5.1867695148531685E-2</v>
      </c>
      <c r="F11">
        <f>_xlfn.XLOOKUP(C11,Calc_Bank!$A$2:$A$21,Calc_Bank!$H$2:$H$21)</f>
        <v>1.1931852452993663E-2</v>
      </c>
      <c r="H11" t="s">
        <v>189</v>
      </c>
      <c r="I11">
        <f>ROUNDDOWN(I6,-1)</f>
        <v>17780</v>
      </c>
    </row>
    <row r="12" spans="1:9" x14ac:dyDescent="0.25">
      <c r="H12" t="s">
        <v>190</v>
      </c>
      <c r="I12">
        <f>PERCENTRANK(Calc_Bank!C2:C21,_xlfn.XLOOKUP(Control!B2,Calc_Bank!A2:A21,Calc_Bank!C2:C21))</f>
        <v>0.84199999999999997</v>
      </c>
    </row>
    <row r="13" spans="1:9" x14ac:dyDescent="0.25">
      <c r="H13" t="s">
        <v>152</v>
      </c>
      <c r="I13">
        <f>AVERAGE(Calc_Product!B2:B9)</f>
        <v>3168.9500000000003</v>
      </c>
    </row>
    <row r="14" spans="1:9" x14ac:dyDescent="0.25">
      <c r="A14">
        <v>1</v>
      </c>
      <c r="B14">
        <f>SMALL(Calc_Bank!$C$2:$C$21,A14)</f>
        <v>6798.5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7958.7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9113.2999999999993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10267.6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11395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6.798,5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7.958,7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9.113,3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10.267,6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11.395,0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12.562,7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13.727,2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14.918,2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16.079,5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17.142,6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18.454,5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19.546,4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20.600,5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21.845,0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22.950,5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24.210,6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25.351,6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26.492,4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27.612,3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28.772,4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16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45838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16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45808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14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45777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14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45747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12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45716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12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45688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10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45657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9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45626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9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45596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7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45565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7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45535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5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45504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4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45473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4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45443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2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45412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2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45382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0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45351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0</v>
      </c>
      <c r="L19" t="str">
        <f>IF(C19=Control!$B$9,"corrente",IF(C19&lt;Control!$B$9,"passato","futuro"))</f>
        <v>corrente</v>
      </c>
      <c r="M19" t="str">
        <f t="shared" si="10"/>
        <v>giu-25</v>
      </c>
      <c r="N19">
        <f t="shared" si="11"/>
        <v>2</v>
      </c>
      <c r="O19" s="1">
        <f>EOMONTH(Control!$B$9,-(A19-1))</f>
        <v>45322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-1</v>
      </c>
      <c r="L20" t="str">
        <f>IF(C20=Control!$B$9,"corrente",IF(C20&lt;Control!$B$9,"passato","futuro"))</f>
        <v>futuro</v>
      </c>
      <c r="M20" t="str">
        <f t="shared" si="10"/>
        <v>lug-25</v>
      </c>
      <c r="N20">
        <f t="shared" si="11"/>
        <v>3</v>
      </c>
      <c r="O20" s="1">
        <f>EOMONTH(Control!$B$9,-(A20-1))</f>
        <v>45291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-2</v>
      </c>
      <c r="L21" t="str">
        <f>IF(C21=Control!$B$9,"corrente",IF(C21&lt;Control!$B$9,"passato","futuro"))</f>
        <v>futuro</v>
      </c>
      <c r="M21" t="str">
        <f t="shared" si="10"/>
        <v>ago-25</v>
      </c>
      <c r="N21">
        <f t="shared" si="11"/>
        <v>3</v>
      </c>
      <c r="O21" s="1">
        <f>EOMONTH(Control!$B$9,-(A21-1))</f>
        <v>45260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-3</v>
      </c>
      <c r="L22" t="str">
        <f>IF(C22=Control!$B$9,"corrente",IF(C22&lt;Control!$B$9,"passato","futuro"))</f>
        <v>futuro</v>
      </c>
      <c r="M22" t="str">
        <f t="shared" si="10"/>
        <v>set-25</v>
      </c>
      <c r="N22">
        <f t="shared" si="11"/>
        <v>3</v>
      </c>
      <c r="O22" s="1">
        <f>EOMONTH(Control!$B$9,-(A22-1))</f>
        <v>45230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-4</v>
      </c>
      <c r="L23" t="str">
        <f>IF(C23=Control!$B$9,"corrente",IF(C23&lt;Control!$B$9,"passato","futuro"))</f>
        <v>futuro</v>
      </c>
      <c r="M23" t="str">
        <f t="shared" si="10"/>
        <v>ott-25</v>
      </c>
      <c r="N23">
        <f t="shared" si="11"/>
        <v>4</v>
      </c>
      <c r="O23" s="1">
        <f>EOMONTH(Control!$B$9,-(A23-1))</f>
        <v>45199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-5</v>
      </c>
      <c r="L24" t="str">
        <f>IF(C24=Control!$B$9,"corrente",IF(C24&lt;Control!$B$9,"passato","futuro"))</f>
        <v>futuro</v>
      </c>
      <c r="M24" t="str">
        <f t="shared" si="10"/>
        <v>nov-25</v>
      </c>
      <c r="N24">
        <f t="shared" si="11"/>
        <v>4</v>
      </c>
      <c r="O24" s="1">
        <f>EOMONTH(Control!$B$9,-(A24-1))</f>
        <v>45169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-6</v>
      </c>
      <c r="L25" t="str">
        <f>IF(C25=Control!$B$9,"corrente",IF(C25&lt;Control!$B$9,"passato","futuro"))</f>
        <v>futuro</v>
      </c>
      <c r="M25" t="str">
        <f t="shared" si="10"/>
        <v>dic-25</v>
      </c>
      <c r="N25">
        <f t="shared" si="11"/>
        <v>4</v>
      </c>
      <c r="O25" s="1">
        <f>EOMONTH(Control!$B$9,-(A25-1))</f>
        <v>45138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-7</v>
      </c>
      <c r="L26" t="str">
        <f>IF(C26=Control!$B$9,"corrente",IF(C26&lt;Control!$B$9,"passato","futuro"))</f>
        <v>futuro</v>
      </c>
      <c r="M26" t="str">
        <f t="shared" si="10"/>
        <v>gen-26</v>
      </c>
      <c r="N26">
        <f t="shared" si="11"/>
        <v>1</v>
      </c>
      <c r="O26" s="1">
        <f>EOMONTH(Control!$B$9,-(A26-1))</f>
        <v>45107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-7</v>
      </c>
      <c r="L27" t="str">
        <f>IF(C27=Control!$B$9,"corrente",IF(C27&lt;Control!$B$9,"passato","futuro"))</f>
        <v>futuro</v>
      </c>
      <c r="M27" t="str">
        <f t="shared" si="10"/>
        <v>feb-26</v>
      </c>
      <c r="N27">
        <f t="shared" si="11"/>
        <v>1</v>
      </c>
      <c r="O27" s="1">
        <f>EOMONTH(Control!$B$9,-(A27-1))</f>
        <v>45077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-9</v>
      </c>
      <c r="L28" t="str">
        <f>IF(C28=Control!$B$9,"corrente",IF(C28&lt;Control!$B$9,"passato","futuro"))</f>
        <v>futuro</v>
      </c>
      <c r="M28" t="str">
        <f t="shared" si="10"/>
        <v>mar-26</v>
      </c>
      <c r="N28">
        <f t="shared" si="11"/>
        <v>1</v>
      </c>
      <c r="O28" s="1">
        <f>EOMONTH(Control!$B$9,-(A28-1))</f>
        <v>45046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-10</v>
      </c>
      <c r="L29" t="str">
        <f>IF(C29=Control!$B$9,"corrente",IF(C29&lt;Control!$B$9,"passato","futuro"))</f>
        <v>futuro</v>
      </c>
      <c r="M29" t="str">
        <f t="shared" si="10"/>
        <v>apr-26</v>
      </c>
      <c r="N29">
        <f t="shared" si="11"/>
        <v>2</v>
      </c>
      <c r="O29" s="1">
        <f>EOMONTH(Control!$B$9,-(A29-1))</f>
        <v>45016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-11</v>
      </c>
      <c r="L30" t="str">
        <f>IF(C30=Control!$B$9,"corrente",IF(C30&lt;Control!$B$9,"passato","futuro"))</f>
        <v>futuro</v>
      </c>
      <c r="M30" t="str">
        <f t="shared" si="10"/>
        <v>mag-26</v>
      </c>
      <c r="N30">
        <f t="shared" si="11"/>
        <v>2</v>
      </c>
      <c r="O30" s="1">
        <f>EOMONTH(Control!$B$9,-(A30-1))</f>
        <v>44985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-12</v>
      </c>
      <c r="L31" t="str">
        <f>IF(C31=Control!$B$9,"corrente",IF(C31&lt;Control!$B$9,"passato","futuro"))</f>
        <v>futuro</v>
      </c>
      <c r="M31" t="str">
        <f t="shared" si="10"/>
        <v>giu-26</v>
      </c>
      <c r="N31">
        <f t="shared" si="11"/>
        <v>2</v>
      </c>
      <c r="O31" s="1">
        <f>EOMONTH(Control!$B$9,-(A31-1))</f>
        <v>44957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-13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44926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-14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44895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-15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44865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-16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44834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-17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44804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-18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44773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5">_xlfn._xlws.FILTER(Banks!A2:A21,Banks!C2:C21=Control!B5,"nessuna")</f>
        <v>Banca Irpina</v>
      </c>
      <c r="C2" t="str" cm="1">
        <f t="array" ref="C2:E21">_xlfn._xlws.SORT(Calc_Bank!A2:C21,3,-1)</f>
        <v>Banca Città</v>
      </c>
      <c r="D2" t="str">
        <v>Centro</v>
      </c>
      <c r="E2">
        <v>28772.399999999998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7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17</v>
      </c>
    </row>
    <row r="3" spans="1:17" x14ac:dyDescent="0.25">
      <c r="A3" t="str">
        <v>Banca Sannita</v>
      </c>
      <c r="C3" t="str">
        <v>Banca Romagnola</v>
      </c>
      <c r="D3" t="str">
        <v>Nord-Est</v>
      </c>
      <c r="E3">
        <v>27612.3</v>
      </c>
      <c r="G3" t="str">
        <v>Prestiti</v>
      </c>
      <c r="I3">
        <v>2</v>
      </c>
      <c r="J3">
        <v>8</v>
      </c>
      <c r="L3" t="str">
        <v>Banca Romagnola</v>
      </c>
      <c r="P3" t="s">
        <v>221</v>
      </c>
      <c r="Q3">
        <f>_xlfn.LET(_xlpm.x,Calc_Bank!C2:C21,SUM(_xlpm.x)/COUNT(_xlpm.x))</f>
        <v>17789.974999999999</v>
      </c>
    </row>
    <row r="4" spans="1:17" x14ac:dyDescent="0.25">
      <c r="A4" t="str">
        <v>Banca Lucana</v>
      </c>
      <c r="C4" t="str">
        <v>Banca Sarda</v>
      </c>
      <c r="D4" t="str">
        <v>Isole</v>
      </c>
      <c r="E4">
        <v>26492.400000000001</v>
      </c>
      <c r="G4" t="str">
        <v>Conti</v>
      </c>
      <c r="I4">
        <v>3</v>
      </c>
      <c r="J4">
        <v>9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Calabra</v>
      </c>
      <c r="C5" t="str">
        <v>Banca Sicula</v>
      </c>
      <c r="D5" t="str">
        <v>Isole</v>
      </c>
      <c r="E5">
        <v>25351.600000000002</v>
      </c>
      <c r="G5" t="str">
        <v>Carte</v>
      </c>
      <c r="I5">
        <v>4</v>
      </c>
      <c r="J5">
        <v>10</v>
      </c>
      <c r="L5" t="str">
        <v>Banca Sicula</v>
      </c>
      <c r="P5" t="s">
        <v>223</v>
      </c>
      <c r="Q5">
        <f>_xlfn.XLOOKUP(Control!B3+0.5,FX!A2:A37,FX!C2:C37,,1)</f>
        <v>1.0274000000000001</v>
      </c>
    </row>
    <row r="6" spans="1:17" x14ac:dyDescent="0.25">
      <c r="C6" t="str">
        <v>Banca Calabra</v>
      </c>
      <c r="D6" t="str">
        <v>Sud</v>
      </c>
      <c r="E6">
        <v>24210.6</v>
      </c>
      <c r="G6" t="str">
        <v>Leasing</v>
      </c>
      <c r="I6">
        <v>5</v>
      </c>
      <c r="J6">
        <v>11</v>
      </c>
      <c r="L6" t="str">
        <v>Banca Calabra</v>
      </c>
      <c r="P6" t="s">
        <v>224</v>
      </c>
      <c r="Q6">
        <f>_xlfn.XLOOKUP(Control!B3-0.5,FX!A2:A37,FX!C2:C37,,-1)</f>
        <v>1.0415000000000001</v>
      </c>
    </row>
    <row r="7" spans="1:17" x14ac:dyDescent="0.25">
      <c r="C7" t="str">
        <v>Banca Lucana</v>
      </c>
      <c r="D7" t="str">
        <v>Sud</v>
      </c>
      <c r="E7">
        <v>22950.5</v>
      </c>
      <c r="G7" t="str">
        <v>Factoring</v>
      </c>
      <c r="I7">
        <v>6</v>
      </c>
      <c r="J7">
        <v>12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21844.999999999996</v>
      </c>
      <c r="G8" t="str">
        <v>Risparmio</v>
      </c>
      <c r="I8">
        <v>7</v>
      </c>
      <c r="J8">
        <v>13</v>
      </c>
      <c r="L8" t="str">
        <v>Banca Marchigiana</v>
      </c>
      <c r="P8" t="s">
        <v>226</v>
      </c>
      <c r="Q8">
        <f>_xlfn.XLOOKUP(Control!B2,Data!A2:A5761,Data!E2:E5761,0,0,-1)</f>
        <v>5599.6</v>
      </c>
    </row>
    <row r="9" spans="1:17" x14ac:dyDescent="0.25">
      <c r="C9" t="str">
        <v>Banca Umbra</v>
      </c>
      <c r="D9" t="str">
        <v>Centro</v>
      </c>
      <c r="E9">
        <v>20600.5</v>
      </c>
      <c r="G9" t="str">
        <v>Assicurazioni</v>
      </c>
      <c r="I9">
        <v>8</v>
      </c>
      <c r="J9">
        <v>14</v>
      </c>
      <c r="L9" t="str">
        <v>Banca Umbra</v>
      </c>
      <c r="P9" t="s">
        <v>227</v>
      </c>
      <c r="Q9" cm="1">
        <f t="array" ref="Q9">SUM(_xlfn._xlws.FILTER(Calc_Bank!C2:C21,Calc_Bank!B2:B21=Control!B5,0))</f>
        <v>78158.799999999988</v>
      </c>
    </row>
    <row r="10" spans="1:17" x14ac:dyDescent="0.25">
      <c r="C10" t="str">
        <v>Banca Friulana</v>
      </c>
      <c r="D10" t="str">
        <v>Nord-Est</v>
      </c>
      <c r="E10">
        <v>19546.399999999998</v>
      </c>
      <c r="I10">
        <v>9</v>
      </c>
      <c r="J10">
        <v>15</v>
      </c>
      <c r="L10" t="str">
        <v>Banca Friulana</v>
      </c>
      <c r="P10" t="s">
        <v>228</v>
      </c>
      <c r="Q10" cm="1">
        <f t="array" ref="Q10">ROWS(_xlfn._xlws.FILTER(Banks!A2:A21,Banks!C2:C21=Control!B5))</f>
        <v>4</v>
      </c>
    </row>
    <row r="11" spans="1:17" x14ac:dyDescent="0.25">
      <c r="C11" t="str">
        <v>Banca Veneta</v>
      </c>
      <c r="D11" t="str">
        <v>Nord-Est</v>
      </c>
      <c r="E11">
        <v>18454.5</v>
      </c>
      <c r="I11">
        <v>10</v>
      </c>
      <c r="J11">
        <v>16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17142.600000000002</v>
      </c>
      <c r="I12">
        <v>11</v>
      </c>
      <c r="J12">
        <v>17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16079.5</v>
      </c>
      <c r="I13">
        <v>12</v>
      </c>
      <c r="J13">
        <v>18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14918.2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13727.2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12562.7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11395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10267.6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9113.2999999999993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7958.7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6798.5</v>
      </c>
      <c r="L21" t="str">
        <v>Banca Alpi</v>
      </c>
    </row>
    <row r="30" spans="1:12" x14ac:dyDescent="0.25">
      <c r="A30" cm="1">
        <f t="array" ref="A30:L30">TRANSPOSE(Calc_Month!C2:C13)</f>
        <v>22352.400000000001</v>
      </c>
      <c r="B30">
        <v>22527.8</v>
      </c>
      <c r="C30">
        <v>22604.6</v>
      </c>
      <c r="D30">
        <v>22888.9</v>
      </c>
      <c r="E30">
        <v>23053.699999999997</v>
      </c>
      <c r="F30">
        <v>23190</v>
      </c>
      <c r="G30">
        <v>23314.9</v>
      </c>
      <c r="H30">
        <v>23536.5</v>
      </c>
      <c r="I30">
        <v>23738.1</v>
      </c>
      <c r="J30">
        <v>23994.5</v>
      </c>
      <c r="K30">
        <v>24051.800000000003</v>
      </c>
      <c r="L30">
        <v>24182.800000000003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25351.600000000002</v>
      </c>
    </row>
    <row r="3" spans="1:2" x14ac:dyDescent="0.25">
      <c r="A3" t="s">
        <v>141</v>
      </c>
      <c r="B3">
        <f>B2*(1+Rate)</f>
        <v>26619.180000000004</v>
      </c>
    </row>
    <row r="4" spans="1:2" x14ac:dyDescent="0.25">
      <c r="A4" t="s">
        <v>231</v>
      </c>
      <c r="B4">
        <f>COUNTIF(BankRegion,SelRegion)</f>
        <v>4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6084.384</v>
      </c>
    </row>
    <row r="7" spans="1:2" x14ac:dyDescent="0.25">
      <c r="A7" t="s">
        <v>234</v>
      </c>
      <c r="B7">
        <f>SUM(Calc_Bank!C2:C21)*(1-TaxRate)</f>
        <v>270407.62</v>
      </c>
    </row>
    <row r="8" spans="1:2" x14ac:dyDescent="0.25">
      <c r="A8" t="s">
        <v>123</v>
      </c>
      <c r="B8" t="str">
        <f>SelBank&amp;" / "&amp;SelRegion</f>
        <v>Banca Sicula / Sud</v>
      </c>
    </row>
    <row r="9" spans="1:2" x14ac:dyDescent="0.25">
      <c r="A9" t="s">
        <v>235</v>
      </c>
      <c r="B9" cm="1">
        <f t="array" ref="B9">VolSel</f>
        <v>25351.600000000002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6798.5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7958.7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9113.2999999999993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10267.6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11395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12562.7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13727.2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14918.2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16079.5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17142.600000000002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18454.5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19546.399999999998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20600.5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21844.999999999996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22950.5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24210.6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25351.600000000002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26492.400000000001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27612.3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28772.399999999998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25351.600000000002</v>
      </c>
    </row>
    <row r="3" spans="1:2" x14ac:dyDescent="0.25">
      <c r="A3" t="s">
        <v>237</v>
      </c>
      <c r="B3" cm="1">
        <f t="array" aca="1" ref="B3" ca="1">INDIRECT("'SLIDE Sintesi'!D5")</f>
        <v>25351.600000000002</v>
      </c>
    </row>
    <row r="4" spans="1:2" x14ac:dyDescent="0.25">
      <c r="A4" t="s">
        <v>238</v>
      </c>
      <c r="B4">
        <f ca="1">SUM(INDIRECT("Calc_BankMonth!B"&amp;(Control!$B$6+2)&amp;":AK"&amp;(Control!$B$6+2)))</f>
        <v>914863.19999999984</v>
      </c>
    </row>
    <row r="5" spans="1:2" x14ac:dyDescent="0.25">
      <c r="A5" t="s">
        <v>239</v>
      </c>
      <c r="B5">
        <f ca="1">OFFSET(Calc_BankMonth!$A$2,Control!$B$6,Control!$B$3)</f>
        <v>25351.600000000002</v>
      </c>
    </row>
    <row r="6" spans="1:2" x14ac:dyDescent="0.25">
      <c r="A6" t="s">
        <v>240</v>
      </c>
      <c r="B6">
        <f ca="1">SUM(OFFSET(Calc_Month!$C$1,Control!$B$3-2,0,3,1))</f>
        <v>75536.5</v>
      </c>
    </row>
    <row r="7" spans="1:2" x14ac:dyDescent="0.25">
      <c r="A7" t="s">
        <v>241</v>
      </c>
      <c r="B7" cm="1">
        <f t="array" aca="1" ref="B7" ca="1">INDIRECT(ADDRESS(Control!$B$3+1,3,1,1,"Calc_Month"))</f>
        <v>25351.600000000002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6798.5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7958.7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9113.2999999999993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10267.6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11395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12562.7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13727.2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14918.2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16079.5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17142.600000000002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18454.5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19546.399999999998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20600.5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21844.999999999996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22950.5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24210.6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25351.600000000002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26492.400000000001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27612.3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28772.399999999998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5.3818239257759755E-2</v>
      </c>
      <c r="C2">
        <f>_xlfn.XLOOKUP(Control!B2,[1]Compare!$A$2:$A$21,[1]Compare!$E$2:$E$21)</f>
        <v>1294.7000000000007</v>
      </c>
    </row>
    <row r="3" spans="1:3" x14ac:dyDescent="0.25">
      <c r="A3" t="s">
        <v>286</v>
      </c>
      <c r="B3">
        <f>[1]Summary!$B$3</f>
        <v>9</v>
      </c>
    </row>
    <row r="4" spans="1:3" x14ac:dyDescent="0.25">
      <c r="A4" t="s">
        <v>322</v>
      </c>
      <c r="B4">
        <f>[1]Summary!$B$4</f>
        <v>17376.499999999996</v>
      </c>
    </row>
    <row r="5" spans="1:3" x14ac:dyDescent="0.25">
      <c r="A5" t="s">
        <v>323</v>
      </c>
      <c r="B5">
        <f>[1]Summary!$B$5</f>
        <v>12</v>
      </c>
    </row>
    <row r="6" spans="1:3" x14ac:dyDescent="0.25">
      <c r="A6" t="s">
        <v>324</v>
      </c>
      <c r="B6" t="str">
        <f>[1]Summary!$B$6</f>
        <v>18</v>
      </c>
    </row>
    <row r="7" spans="1:3" x14ac:dyDescent="0.25">
      <c r="A7" t="s">
        <v>325</v>
      </c>
      <c r="B7" t="str">
        <f>[1]Summary!$B$7</f>
        <v>05%</v>
      </c>
    </row>
    <row r="8" spans="1:3" x14ac:dyDescent="0.25">
      <c r="A8" t="s">
        <v>326</v>
      </c>
      <c r="B8">
        <f>[1]Summary!$B$8</f>
        <v>16921.150000000001</v>
      </c>
    </row>
    <row r="10" spans="1:3" x14ac:dyDescent="0.25">
      <c r="A10" t="s">
        <v>131</v>
      </c>
      <c r="B10">
        <f>[2]Summary!B2</f>
        <v>355799.5</v>
      </c>
    </row>
    <row r="11" spans="1:3" x14ac:dyDescent="0.25">
      <c r="A11" t="s">
        <v>283</v>
      </c>
      <c r="B11">
        <f>[2]Summary!B3</f>
        <v>49350.8</v>
      </c>
    </row>
    <row r="12" spans="1:3" x14ac:dyDescent="0.25">
      <c r="A12" t="s">
        <v>284</v>
      </c>
      <c r="B12">
        <f>[2]Summary!B4</f>
        <v>17376.499999999996</v>
      </c>
    </row>
    <row r="13" spans="1:3" x14ac:dyDescent="0.25">
      <c r="A13" t="s">
        <v>285</v>
      </c>
      <c r="B13">
        <f>[2]Summary!B5</f>
        <v>4109.7999999999975</v>
      </c>
    </row>
    <row r="14" spans="1:3" x14ac:dyDescent="0.25">
      <c r="A14" t="s">
        <v>286</v>
      </c>
      <c r="B14">
        <f>[2]Summary!B6</f>
        <v>9</v>
      </c>
    </row>
    <row r="15" spans="1:3" x14ac:dyDescent="0.25">
      <c r="A15" t="s">
        <v>287</v>
      </c>
      <c r="B15" t="str">
        <f>[2]Summary!B7</f>
        <v>Sud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6323.7</v>
      </c>
      <c r="C20">
        <f>IFERROR(INDEX([1]Compare!$F$2:$F$21,MATCH(A20,[1]Compare!$A$2:$A$21,0)),0)</f>
        <v>7.5082625678004999E-2</v>
      </c>
    </row>
    <row r="21" spans="1:3" x14ac:dyDescent="0.25">
      <c r="A21" t="str">
        <f>Calc_Bank!A3</f>
        <v>Banca Adriatica</v>
      </c>
      <c r="B21">
        <f>VLOOKUP(A21,[1]Compare!$A$2:$H$21,3,FALSE)</f>
        <v>7709.2</v>
      </c>
      <c r="C21">
        <f>IFERROR(INDEX([1]Compare!$F$2:$F$21,MATCH(A21,[1]Compare!$A$2:$A$21,0)),0)</f>
        <v>3.2363928812328129E-2</v>
      </c>
    </row>
    <row r="22" spans="1:3" x14ac:dyDescent="0.25">
      <c r="A22" t="str">
        <f>Calc_Bank!A4</f>
        <v>Banca Tirrena</v>
      </c>
      <c r="B22">
        <f>VLOOKUP(A22,[1]Compare!$A$2:$H$21,3,FALSE)</f>
        <v>8614</v>
      </c>
      <c r="C22">
        <f>IFERROR(INDEX([1]Compare!$F$2:$F$21,MATCH(A22,[1]Compare!$A$2:$A$21,0)),0)</f>
        <v>5.7963779893197037E-2</v>
      </c>
    </row>
    <row r="23" spans="1:3" x14ac:dyDescent="0.25">
      <c r="A23" t="str">
        <f>Calc_Bank!A5</f>
        <v>Banca Padana</v>
      </c>
      <c r="B23">
        <f>VLOOKUP(A23,[1]Compare!$A$2:$H$21,3,FALSE)</f>
        <v>9793.2999999999993</v>
      </c>
      <c r="C23">
        <f>IFERROR(INDEX([1]Compare!$F$2:$F$21,MATCH(A23,[1]Compare!$A$2:$A$21,0)),0)</f>
        <v>4.8431070221478065E-2</v>
      </c>
    </row>
    <row r="24" spans="1:3" x14ac:dyDescent="0.25">
      <c r="A24" t="str">
        <f>Calc_Bank!A6</f>
        <v>Banca Etrusca</v>
      </c>
      <c r="B24">
        <f>VLOOKUP(A24,[1]Compare!$A$2:$H$21,3,FALSE)</f>
        <v>10921.7</v>
      </c>
      <c r="C24">
        <f>IFERROR(INDEX([1]Compare!$F$2:$F$21,MATCH(A24,[1]Compare!$A$2:$A$21,0)),0)</f>
        <v>4.3335744435390025E-2</v>
      </c>
    </row>
    <row r="25" spans="1:3" x14ac:dyDescent="0.25">
      <c r="A25" t="str">
        <f>Calc_Bank!A7</f>
        <v>Banca Lariana</v>
      </c>
      <c r="B25">
        <f>VLOOKUP(A25,[1]Compare!$A$2:$H$21,3,FALSE)</f>
        <v>12114.9</v>
      </c>
      <c r="C25">
        <f>IFERROR(INDEX([1]Compare!$F$2:$F$21,MATCH(A25,[1]Compare!$A$2:$A$21,0)),0)</f>
        <v>3.6962748351203979E-2</v>
      </c>
    </row>
    <row r="26" spans="1:3" x14ac:dyDescent="0.25">
      <c r="A26" t="str">
        <f>Calc_Bank!A8</f>
        <v>Banca Sabina</v>
      </c>
      <c r="B26">
        <f>VLOOKUP(A26,[1]Compare!$A$2:$H$21,3,FALSE)</f>
        <v>12964.3</v>
      </c>
      <c r="C26">
        <f>IFERROR(INDEX([1]Compare!$F$2:$F$21,MATCH(A26,[1]Compare!$A$2:$A$21,0)),0)</f>
        <v>5.884621614742034E-2</v>
      </c>
    </row>
    <row r="27" spans="1:3" x14ac:dyDescent="0.25">
      <c r="A27" t="str">
        <f>Calc_Bank!A9</f>
        <v>Banca Irpina</v>
      </c>
      <c r="B27">
        <f>VLOOKUP(A27,[1]Compare!$A$2:$H$21,3,FALSE)</f>
        <v>14038</v>
      </c>
      <c r="C27">
        <f>IFERROR(INDEX([1]Compare!$F$2:$F$21,MATCH(A27,[1]Compare!$A$2:$A$21,0)),0)</f>
        <v>6.2701239492805289E-2</v>
      </c>
    </row>
    <row r="28" spans="1:3" x14ac:dyDescent="0.25">
      <c r="A28" t="str">
        <f>Calc_Bank!A10</f>
        <v>Banca Sannita</v>
      </c>
      <c r="B28">
        <f>VLOOKUP(A28,[1]Compare!$A$2:$H$21,3,FALSE)</f>
        <v>15275.1</v>
      </c>
      <c r="C28">
        <f>IFERROR(INDEX([1]Compare!$F$2:$F$21,MATCH(A28,[1]Compare!$A$2:$A$21,0)),0)</f>
        <v>5.2660866377306832E-2</v>
      </c>
    </row>
    <row r="29" spans="1:3" x14ac:dyDescent="0.25">
      <c r="A29" t="str">
        <f>Calc_Bank!A11</f>
        <v>Banca Ligure</v>
      </c>
      <c r="B29">
        <f>VLOOKUP(A29,[1]Compare!$A$2:$H$21,3,FALSE)</f>
        <v>16243.5</v>
      </c>
      <c r="C29">
        <f>IFERROR(INDEX([1]Compare!$F$2:$F$21,MATCH(A29,[1]Compare!$A$2:$A$21,0)),0)</f>
        <v>5.5351371317758004E-2</v>
      </c>
    </row>
    <row r="30" spans="1:3" x14ac:dyDescent="0.25">
      <c r="A30" t="str">
        <f>Calc_Bank!A12</f>
        <v>Banca Veneta</v>
      </c>
      <c r="B30">
        <f>VLOOKUP(A30,[1]Compare!$A$2:$H$21,3,FALSE)</f>
        <v>17446.099999999999</v>
      </c>
      <c r="C30">
        <f>IFERROR(INDEX([1]Compare!$F$2:$F$21,MATCH(A30,[1]Compare!$A$2:$A$21,0)),0)</f>
        <v>5.7800883865161932E-2</v>
      </c>
    </row>
    <row r="31" spans="1:3" x14ac:dyDescent="0.25">
      <c r="A31" t="str">
        <f>Calc_Bank!A13</f>
        <v>Banca Friulana</v>
      </c>
      <c r="B31">
        <f>VLOOKUP(A31,[1]Compare!$A$2:$H$21,3,FALSE)</f>
        <v>18586.900000000001</v>
      </c>
      <c r="C31">
        <f>IFERROR(INDEX([1]Compare!$F$2:$F$21,MATCH(A31,[1]Compare!$A$2:$A$21,0)),0)</f>
        <v>5.162237920255644E-2</v>
      </c>
    </row>
    <row r="32" spans="1:3" x14ac:dyDescent="0.25">
      <c r="A32" t="str">
        <f>Calc_Bank!A14</f>
        <v>Banca Umbra</v>
      </c>
      <c r="B32">
        <f>VLOOKUP(A32,[1]Compare!$A$2:$H$21,3,FALSE)</f>
        <v>19786.3</v>
      </c>
      <c r="C32">
        <f>IFERROR(INDEX([1]Compare!$F$2:$F$21,MATCH(A32,[1]Compare!$A$2:$A$21,0)),0)</f>
        <v>4.1149684377574422E-2</v>
      </c>
    </row>
    <row r="33" spans="1:3" x14ac:dyDescent="0.25">
      <c r="A33" t="str">
        <f>Calc_Bank!A15</f>
        <v>Banca Marchigiana</v>
      </c>
      <c r="B33">
        <f>VLOOKUP(A33,[1]Compare!$A$2:$H$21,3,FALSE)</f>
        <v>20887.599999999999</v>
      </c>
      <c r="C33">
        <f>IFERROR(INDEX([1]Compare!$F$2:$F$21,MATCH(A33,[1]Compare!$A$2:$A$21,0)),0)</f>
        <v>4.5835806890212272E-2</v>
      </c>
    </row>
    <row r="34" spans="1:3" x14ac:dyDescent="0.25">
      <c r="A34" t="str">
        <f>Calc_Bank!A16</f>
        <v>Banca Lucana</v>
      </c>
      <c r="B34">
        <f>VLOOKUP(A34,[1]Compare!$A$2:$H$21,3,FALSE)</f>
        <v>21864.2</v>
      </c>
      <c r="C34">
        <f>IFERROR(INDEX([1]Compare!$F$2:$F$21,MATCH(A34,[1]Compare!$A$2:$A$21,0)),0)</f>
        <v>4.9683958251388077E-2</v>
      </c>
    </row>
    <row r="35" spans="1:3" x14ac:dyDescent="0.25">
      <c r="A35" t="str">
        <f>Calc_Bank!A17</f>
        <v>Banca Calabra</v>
      </c>
      <c r="B35">
        <f>VLOOKUP(A35,[1]Compare!$A$2:$H$21,3,FALSE)</f>
        <v>22871.7</v>
      </c>
      <c r="C35">
        <f>IFERROR(INDEX([1]Compare!$F$2:$F$21,MATCH(A35,[1]Compare!$A$2:$A$21,0)),0)</f>
        <v>5.8539592596964708E-2</v>
      </c>
    </row>
    <row r="36" spans="1:3" x14ac:dyDescent="0.25">
      <c r="A36" t="str">
        <f>Calc_Bank!A18</f>
        <v>Banca Sicula</v>
      </c>
      <c r="B36">
        <f>VLOOKUP(A36,[1]Compare!$A$2:$H$21,3,FALSE)</f>
        <v>24056.9</v>
      </c>
      <c r="C36">
        <f>IFERROR(INDEX([1]Compare!$F$2:$F$21,MATCH(A36,[1]Compare!$A$2:$A$21,0)),0)</f>
        <v>5.3818239257759755E-2</v>
      </c>
    </row>
    <row r="37" spans="1:3" x14ac:dyDescent="0.25">
      <c r="A37" t="str">
        <f>Calc_Bank!A19</f>
        <v>Banca Sarda</v>
      </c>
      <c r="B37">
        <f>VLOOKUP(A37,[1]Compare!$A$2:$H$21,3,FALSE)</f>
        <v>25208</v>
      </c>
      <c r="C37">
        <f>IFERROR(INDEX([1]Compare!$F$2:$F$21,MATCH(A37,[1]Compare!$A$2:$A$21,0)),0)</f>
        <v>5.0952078705173022E-2</v>
      </c>
    </row>
    <row r="38" spans="1:3" x14ac:dyDescent="0.25">
      <c r="A38" t="str">
        <f>Calc_Bank!A20</f>
        <v>Banca Romagnola</v>
      </c>
      <c r="B38">
        <f>VLOOKUP(A38,[1]Compare!$A$2:$H$21,3,FALSE)</f>
        <v>26129.7</v>
      </c>
      <c r="C38">
        <f>IFERROR(INDEX([1]Compare!$F$2:$F$21,MATCH(A38,[1]Compare!$A$2:$A$21,0)),0)</f>
        <v>5.6740031458455263E-2</v>
      </c>
    </row>
    <row r="39" spans="1:3" x14ac:dyDescent="0.25">
      <c r="A39" t="str">
        <f>Calc_Bank!A21</f>
        <v>Banca Città</v>
      </c>
      <c r="B39">
        <f>VLOOKUP(A39,[1]Compare!$A$2:$H$21,3,FALSE)</f>
        <v>27587.9</v>
      </c>
      <c r="C39">
        <f>IFERROR(INDEX([1]Compare!$F$2:$F$21,MATCH(A39,[1]Compare!$A$2:$A$21,0)),0)</f>
        <v>4.2935489834311287E-2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7030.3288499999999</v>
      </c>
      <c r="C2">
        <f>B2+Calc_Scenario!AL3/100</f>
        <v>7105.9702552741783</v>
      </c>
      <c r="D2">
        <f>C2*(1+Calc_Growth!AM3)</f>
        <v>7156.4105781651806</v>
      </c>
      <c r="E2">
        <f>D2-_xlfn.XLOOKUP(Calc_Bank!B2,Calc_Region!$A$2:$A$6,Calc_Region!$F$2:$F$6)*0.01</f>
        <v>7039.4820781651806</v>
      </c>
      <c r="F2">
        <f>E2+Calc_Stats!$I$2*0.001</f>
        <v>7057.280628165181</v>
      </c>
      <c r="G2">
        <f t="shared" ref="G2:G21" si="0">ROUND(F2,2)</f>
        <v>7057.28</v>
      </c>
      <c r="H2">
        <f>G2/MAX(1,Calc_Month!$C$2)*1000</f>
        <v>315.72806499525774</v>
      </c>
      <c r="I2" s="1">
        <f>H2+Calc_Dates!$J$2</f>
        <v>346.72806499525774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8230.0916699999998</v>
      </c>
      <c r="C3">
        <f>B3+Calc_Scenario!AL4/100</f>
        <v>8318.6416813489159</v>
      </c>
      <c r="D3">
        <f>C3*(1+Calc_Growth!AM4)</f>
        <v>8378.3286125126378</v>
      </c>
      <c r="E3">
        <f>D3-_xlfn.XLOOKUP(Calc_Bank!B3,Calc_Region!$A$2:$A$6,Calc_Region!$F$2:$F$6)*0.01</f>
        <v>8194.3988625126385</v>
      </c>
      <c r="F3">
        <f>E3+Calc_Stats!$I$2*0.001</f>
        <v>8212.197412512638</v>
      </c>
      <c r="G3">
        <f t="shared" si="0"/>
        <v>8212.2000000000007</v>
      </c>
      <c r="H3">
        <f>G3/MAX(1,Calc_Month!$C$2)*1000</f>
        <v>367.39678960648519</v>
      </c>
      <c r="I3" s="1">
        <f>H3+Calc_Dates!$J$2</f>
        <v>398.39678960648519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9424.0635299999994</v>
      </c>
      <c r="C4">
        <f>B4+Calc_Scenario!AL5/100</f>
        <v>9525.459840757545</v>
      </c>
      <c r="D4">
        <f>C4*(1+Calc_Growth!AM5)</f>
        <v>9592.6979051046201</v>
      </c>
      <c r="E4">
        <f>D4-_xlfn.XLOOKUP(Calc_Bank!B4,Calc_Region!$A$2:$A$6,Calc_Region!$F$2:$F$6)*0.01</f>
        <v>9416.9422384379541</v>
      </c>
      <c r="F4">
        <f>E4+Calc_Stats!$I$2*0.001</f>
        <v>9434.7407884379536</v>
      </c>
      <c r="G4">
        <f t="shared" si="0"/>
        <v>9434.74</v>
      </c>
      <c r="H4">
        <f>G4/MAX(1,Calc_Month!$C$2)*1000</f>
        <v>422.09069272203431</v>
      </c>
      <c r="I4" s="1">
        <f>H4+Calc_Dates!$J$2</f>
        <v>453.09069272203431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10617.72516</v>
      </c>
      <c r="C5">
        <f>B5+Calc_Scenario!AL6/100</f>
        <v>10731.964432309062</v>
      </c>
      <c r="D5">
        <f>C5*(1+Calc_Growth!AM6)</f>
        <v>10805.931307803479</v>
      </c>
      <c r="E5">
        <f>D5-_xlfn.XLOOKUP(Calc_Bank!B5,Calc_Region!$A$2:$A$6,Calc_Region!$F$2:$F$6)*0.01</f>
        <v>10689.002807803479</v>
      </c>
      <c r="F5">
        <f>E5+Calc_Stats!$I$2*0.001</f>
        <v>10706.801357803479</v>
      </c>
      <c r="G5">
        <f t="shared" si="0"/>
        <v>10706.8</v>
      </c>
      <c r="H5">
        <f>G5/MAX(1,Calc_Month!$C$2)*1000</f>
        <v>479.00001789517006</v>
      </c>
      <c r="I5" s="1">
        <f>H5+Calc_Dates!$J$2</f>
        <v>510.00001789517006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11783.5695</v>
      </c>
      <c r="C6">
        <f>B6+Calc_Scenario!AL7/100</f>
        <v>11910.352439339451</v>
      </c>
      <c r="D6">
        <f>C6*(1+Calc_Growth!AM7)</f>
        <v>11996.826957347428</v>
      </c>
      <c r="E6">
        <f>D6-_xlfn.XLOOKUP(Calc_Bank!B6,Calc_Region!$A$2:$A$6,Calc_Region!$F$2:$F$6)*0.01</f>
        <v>11821.071290680762</v>
      </c>
      <c r="F6">
        <f>E6+Calc_Stats!$I$2*0.001</f>
        <v>11838.869840680762</v>
      </c>
      <c r="G6">
        <f t="shared" si="0"/>
        <v>11838.87</v>
      </c>
      <c r="H6">
        <f>G6/MAX(1,Calc_Month!$C$2)*1000</f>
        <v>529.64648091480103</v>
      </c>
      <c r="I6" s="1">
        <f>H6+Calc_Dates!$J$2</f>
        <v>560.64648091480103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12991.088070000002</v>
      </c>
      <c r="C7">
        <f>B7+Calc_Scenario!AL8/100</f>
        <v>13130.863061842014</v>
      </c>
      <c r="D7">
        <f>C7*(1+Calc_Growth!AM8)</f>
        <v>13221.756799979807</v>
      </c>
      <c r="E7">
        <f>D7-_xlfn.XLOOKUP(Calc_Bank!B7,Calc_Region!$A$2:$A$6,Calc_Region!$F$2:$F$6)*0.01</f>
        <v>13104.828299979807</v>
      </c>
      <c r="F7">
        <f>E7+Calc_Stats!$I$2*0.001</f>
        <v>13122.626849979806</v>
      </c>
      <c r="G7">
        <f t="shared" si="0"/>
        <v>13122.63</v>
      </c>
      <c r="H7">
        <f>G7/MAX(1,Calc_Month!$C$2)*1000</f>
        <v>587.07923981317435</v>
      </c>
      <c r="I7" s="1">
        <f>H7+Calc_Dates!$J$2</f>
        <v>618.07923981317435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14195.297520000002</v>
      </c>
      <c r="C8">
        <f>B8+Calc_Scenario!AL9/100</f>
        <v>14348.02896053537</v>
      </c>
      <c r="D8">
        <f>C8*(1+Calc_Growth!AM9)</f>
        <v>14449.847565921516</v>
      </c>
      <c r="E8">
        <f>D8-_xlfn.XLOOKUP(Calc_Bank!B8,Calc_Region!$A$2:$A$6,Calc_Region!$F$2:$F$6)*0.01</f>
        <v>14274.09189925485</v>
      </c>
      <c r="F8">
        <f>E8+Calc_Stats!$I$2*0.001</f>
        <v>14291.89044925485</v>
      </c>
      <c r="G8">
        <f t="shared" si="0"/>
        <v>14291.89</v>
      </c>
      <c r="H8">
        <f>G8/MAX(1,Calc_Month!$C$2)*1000</f>
        <v>639.38950627225711</v>
      </c>
      <c r="I8" s="1">
        <f>H8+Calc_Dates!$J$2</f>
        <v>670.38950627225711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15426.910620000001</v>
      </c>
      <c r="C9">
        <f>B9+Calc_Scenario!AL10/100</f>
        <v>15592.893353273699</v>
      </c>
      <c r="D9">
        <f>C9*(1+Calc_Growth!AM10)</f>
        <v>15698.996611804534</v>
      </c>
      <c r="E9">
        <f>D9-_xlfn.XLOOKUP(Calc_Bank!B9,Calc_Region!$A$2:$A$6,Calc_Region!$F$2:$F$6)*0.01</f>
        <v>15503.599611804533</v>
      </c>
      <c r="F9">
        <f>E9+Calc_Stats!$I$2*0.001</f>
        <v>15521.398161804533</v>
      </c>
      <c r="G9">
        <f t="shared" si="0"/>
        <v>15521.4</v>
      </c>
      <c r="H9">
        <f>G9/MAX(1,Calc_Month!$C$2)*1000</f>
        <v>694.39523272668703</v>
      </c>
      <c r="I9" s="1">
        <f>H9+Calc_Dates!$J$2</f>
        <v>725.39523272668703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16627.810949999999</v>
      </c>
      <c r="C10">
        <f>B10+Calc_Scenario!AL11/100</f>
        <v>16806.714528157849</v>
      </c>
      <c r="D10">
        <f>C10*(1+Calc_Growth!AM11)</f>
        <v>16923.169523945213</v>
      </c>
      <c r="E10">
        <f>D10-_xlfn.XLOOKUP(Calc_Bank!B10,Calc_Region!$A$2:$A$6,Calc_Region!$F$2:$F$6)*0.01</f>
        <v>16727.772523945212</v>
      </c>
      <c r="F10">
        <f>E10+Calc_Stats!$I$2*0.001</f>
        <v>16745.571073945212</v>
      </c>
      <c r="G10">
        <f t="shared" si="0"/>
        <v>16745.57</v>
      </c>
      <c r="H10">
        <f>G10/MAX(1,Calc_Month!$C$2)*1000</f>
        <v>749.16205866036751</v>
      </c>
      <c r="I10" s="1">
        <f>H10+Calc_Dates!$J$2</f>
        <v>780.16205866036751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17727.162660000002</v>
      </c>
      <c r="C11">
        <f>B11+Calc_Scenario!AL12/100</f>
        <v>17917.894491147039</v>
      </c>
      <c r="D11">
        <f>C11*(1+Calc_Growth!AM12)</f>
        <v>18044.561266381439</v>
      </c>
      <c r="E11">
        <f>D11-_xlfn.XLOOKUP(Calc_Bank!B11,Calc_Region!$A$2:$A$6,Calc_Region!$F$2:$F$6)*0.01</f>
        <v>17927.632766381437</v>
      </c>
      <c r="F11">
        <f>E11+Calc_Stats!$I$2*0.001</f>
        <v>17945.431316381437</v>
      </c>
      <c r="G11">
        <f t="shared" si="0"/>
        <v>17945.43</v>
      </c>
      <c r="H11">
        <f>G11/MAX(1,Calc_Month!$C$2)*1000</f>
        <v>802.84130563160988</v>
      </c>
      <c r="I11" s="1">
        <f>H11+Calc_Dates!$J$2</f>
        <v>833.84130563160988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19083.798450000002</v>
      </c>
      <c r="C12">
        <f>B12+Calc_Scenario!AL13/100</f>
        <v>19289.126730301879</v>
      </c>
      <c r="D12">
        <f>C12*(1+Calc_Growth!AM13)</f>
        <v>19423.182257343782</v>
      </c>
      <c r="E12">
        <f>D12-_xlfn.XLOOKUP(Calc_Bank!B12,Calc_Region!$A$2:$A$6,Calc_Region!$F$2:$F$6)*0.01</f>
        <v>19239.252507343783</v>
      </c>
      <c r="F12">
        <f>E12+Calc_Stats!$I$2*0.001</f>
        <v>19257.051057343782</v>
      </c>
      <c r="G12">
        <f t="shared" si="0"/>
        <v>19257.05</v>
      </c>
      <c r="H12">
        <f>G12/MAX(1,Calc_Month!$C$2)*1000</f>
        <v>861.5204631270019</v>
      </c>
      <c r="I12" s="1">
        <f>H12+Calc_Dates!$J$2</f>
        <v>892.5204631270019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20212.932239999998</v>
      </c>
      <c r="C13">
        <f>B13+Calc_Scenario!AL14/100</f>
        <v>20430.409207573903</v>
      </c>
      <c r="D13">
        <f>C13*(1+Calc_Growth!AM14)</f>
        <v>20571.693598035694</v>
      </c>
      <c r="E13">
        <f>D13-_xlfn.XLOOKUP(Calc_Bank!B13,Calc_Region!$A$2:$A$6,Calc_Region!$F$2:$F$6)*0.01</f>
        <v>20387.763848035695</v>
      </c>
      <c r="F13">
        <f>E13+Calc_Stats!$I$2*0.001</f>
        <v>20405.562398035694</v>
      </c>
      <c r="G13">
        <f t="shared" si="0"/>
        <v>20405.560000000001</v>
      </c>
      <c r="H13">
        <f>G13/MAX(1,Calc_Month!$C$2)*1000</f>
        <v>912.90241763747963</v>
      </c>
      <c r="I13" s="1">
        <f>H13+Calc_Dates!$J$2</f>
        <v>943.90241763747963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21302.977050000001</v>
      </c>
      <c r="C14">
        <f>B14+Calc_Scenario!AL15/100</f>
        <v>21532.182134849703</v>
      </c>
      <c r="D14">
        <f>C14*(1+Calc_Growth!AM15)</f>
        <v>21682.219309787375</v>
      </c>
      <c r="E14">
        <f>D14-_xlfn.XLOOKUP(Calc_Bank!B14,Calc_Region!$A$2:$A$6,Calc_Region!$F$2:$F$6)*0.01</f>
        <v>21506.463643120707</v>
      </c>
      <c r="F14">
        <f>E14+Calc_Stats!$I$2*0.001</f>
        <v>21524.262193120707</v>
      </c>
      <c r="G14">
        <f t="shared" si="0"/>
        <v>21524.26</v>
      </c>
      <c r="H14">
        <f>G14/MAX(1,Calc_Month!$C$2)*1000</f>
        <v>962.95073459673222</v>
      </c>
      <c r="I14" s="1">
        <f>H14+Calc_Dates!$J$2</f>
        <v>993.95073459673222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22589.914499999995</v>
      </c>
      <c r="C15">
        <f>B15+Calc_Scenario!AL16/100</f>
        <v>22832.966128773169</v>
      </c>
      <c r="D15">
        <f>C15*(1+Calc_Growth!AM16)</f>
        <v>22994.863665686669</v>
      </c>
      <c r="E15">
        <f>D15-_xlfn.XLOOKUP(Calc_Bank!B15,Calc_Region!$A$2:$A$6,Calc_Region!$F$2:$F$6)*0.01</f>
        <v>22819.107999020001</v>
      </c>
      <c r="F15">
        <f>E15+Calc_Stats!$I$2*0.001</f>
        <v>22836.906549020001</v>
      </c>
      <c r="G15">
        <f t="shared" si="0"/>
        <v>22836.91</v>
      </c>
      <c r="H15">
        <f>G15/MAX(1,Calc_Month!$C$2)*1000</f>
        <v>1021.6759721551152</v>
      </c>
      <c r="I15" s="1">
        <f>H15+Calc_Dates!$J$2</f>
        <v>1052.6759721551152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23733.11205</v>
      </c>
      <c r="C16">
        <f>B16+Calc_Scenario!AL17/100</f>
        <v>23988.46368223432</v>
      </c>
      <c r="D16">
        <f>C16*(1+Calc_Growth!AM17)</f>
        <v>24156.078868791305</v>
      </c>
      <c r="E16">
        <f>D16-_xlfn.XLOOKUP(Calc_Bank!B16,Calc_Region!$A$2:$A$6,Calc_Region!$F$2:$F$6)*0.01</f>
        <v>23960.681868791304</v>
      </c>
      <c r="F16">
        <f>E16+Calc_Stats!$I$2*0.001</f>
        <v>23978.480418791303</v>
      </c>
      <c r="G16">
        <f t="shared" si="0"/>
        <v>23978.48</v>
      </c>
      <c r="H16">
        <f>G16/MAX(1,Calc_Month!$C$2)*1000</f>
        <v>1072.7474454644689</v>
      </c>
      <c r="I16" s="1">
        <f>H16+Calc_Dates!$J$2</f>
        <v>1103.7474454644689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25036.18146</v>
      </c>
      <c r="C17">
        <f>B17+Calc_Scenario!AL18/100</f>
        <v>25305.553204727665</v>
      </c>
      <c r="D17">
        <f>C17*(1+Calc_Growth!AM18)</f>
        <v>25484.42091902392</v>
      </c>
      <c r="E17">
        <f>D17-_xlfn.XLOOKUP(Calc_Bank!B17,Calc_Region!$A$2:$A$6,Calc_Region!$F$2:$F$6)*0.01</f>
        <v>25289.023919023919</v>
      </c>
      <c r="F17">
        <f>E17+Calc_Stats!$I$2*0.001</f>
        <v>25306.822469023919</v>
      </c>
      <c r="G17">
        <f t="shared" si="0"/>
        <v>25306.82</v>
      </c>
      <c r="H17">
        <f>G17/MAX(1,Calc_Month!$C$2)*1000</f>
        <v>1132.1746210697731</v>
      </c>
      <c r="I17" s="1">
        <f>H17+Calc_Dates!$J$2</f>
        <v>1163.1746210697731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26216.089560000004</v>
      </c>
      <c r="C18">
        <f>B18+Calc_Scenario!AL19/100</f>
        <v>26498.156287947178</v>
      </c>
      <c r="D18">
        <f>C18*(1+Calc_Growth!AM19)</f>
        <v>26683.544843644475</v>
      </c>
      <c r="E18">
        <f>D18-_xlfn.XLOOKUP(Calc_Bank!B18,Calc_Region!$A$2:$A$6,Calc_Region!$F$2:$F$6)*0.01</f>
        <v>26424.324843644474</v>
      </c>
      <c r="F18">
        <f>E18+Calc_Stats!$I$2*0.001</f>
        <v>26442.123393644473</v>
      </c>
      <c r="G18">
        <f t="shared" si="0"/>
        <v>26442.12</v>
      </c>
      <c r="H18">
        <f>G18/MAX(1,Calc_Month!$C$2)*1000</f>
        <v>1182.96558758791</v>
      </c>
      <c r="I18" s="1">
        <f>H18+Calc_Dates!$J$2</f>
        <v>1213.96558758791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27395.790840000001</v>
      </c>
      <c r="C19">
        <f>B19+Calc_Scenario!AL20/100</f>
        <v>27690.550325928609</v>
      </c>
      <c r="D19">
        <f>C19*(1+Calc_Growth!AM20)</f>
        <v>27882.36947300917</v>
      </c>
      <c r="E19">
        <f>D19-_xlfn.XLOOKUP(Calc_Bank!B19,Calc_Region!$A$2:$A$6,Calc_Region!$F$2:$F$6)*0.01</f>
        <v>27623.149473009169</v>
      </c>
      <c r="F19">
        <f>E19+Calc_Stats!$I$2*0.001</f>
        <v>27640.948023009169</v>
      </c>
      <c r="G19">
        <f t="shared" si="0"/>
        <v>27640.95</v>
      </c>
      <c r="H19">
        <f>G19/MAX(1,Calc_Month!$C$2)*1000</f>
        <v>1236.5987544961615</v>
      </c>
      <c r="I19" s="1">
        <f>H19+Calc_Dates!$J$2</f>
        <v>1267.5987544961615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28553.879430000001</v>
      </c>
      <c r="C20">
        <f>B20+Calc_Scenario!AL21/100</f>
        <v>28861.099136531175</v>
      </c>
      <c r="D20">
        <f>C20*(1+Calc_Growth!AM21)</f>
        <v>29065.186990722501</v>
      </c>
      <c r="E20">
        <f>D20-_xlfn.XLOOKUP(Calc_Bank!B20,Calc_Region!$A$2:$A$6,Calc_Region!$F$2:$F$6)*0.01</f>
        <v>28881.257240722502</v>
      </c>
      <c r="F20">
        <f>E20+Calc_Stats!$I$2*0.001</f>
        <v>28899.055790722501</v>
      </c>
      <c r="G20">
        <f t="shared" si="0"/>
        <v>28899.06</v>
      </c>
      <c r="H20">
        <f>G20/MAX(1,Calc_Month!$C$2)*1000</f>
        <v>1292.8839856122831</v>
      </c>
      <c r="I20" s="1">
        <f>H20+Calc_Dates!$J$2</f>
        <v>1323.8839856122831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29753.538839999997</v>
      </c>
      <c r="C21">
        <f>B21+Calc_Scenario!AL22/100</f>
        <v>30073.666039986871</v>
      </c>
      <c r="D21">
        <f>C21*(1+Calc_Growth!AM22)</f>
        <v>30282.370170569131</v>
      </c>
      <c r="E21">
        <f>D21-_xlfn.XLOOKUP(Calc_Bank!B21,Calc_Region!$A$2:$A$6,Calc_Region!$F$2:$F$6)*0.01</f>
        <v>30106.614503902463</v>
      </c>
      <c r="F21">
        <f>E21+Calc_Stats!$I$2*0.001</f>
        <v>30124.413053902463</v>
      </c>
      <c r="G21">
        <f t="shared" si="0"/>
        <v>30124.41</v>
      </c>
      <c r="H21">
        <f>G21/MAX(1,Calc_Month!$C$2)*1000</f>
        <v>1347.7036022977397</v>
      </c>
      <c r="I21" s="1">
        <f>H21+Calc_Dates!$J$2</f>
        <v>1378.7036022977397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25351.600000000002</v>
      </c>
      <c r="C2" cm="1">
        <f t="array" ref="C2">INDEX(Calc_Month!$C$2:$C$37,Control!$B$13)</f>
        <v>25168.5</v>
      </c>
      <c r="D2">
        <f>B2-C2</f>
        <v>183.10000000000218</v>
      </c>
      <c r="E2">
        <f>IFERROR(D2/C2,0)</f>
        <v>7.2749667242784505E-3</v>
      </c>
    </row>
    <row r="3" spans="1:5" x14ac:dyDescent="0.25">
      <c r="A3" t="s">
        <v>5</v>
      </c>
      <c r="B3" cm="1">
        <f t="array" ref="B3">INDEX(Calc_Month!$D$2:$D$37,Control!$B$3)</f>
        <v>1365.5</v>
      </c>
      <c r="C3" cm="1">
        <f t="array" ref="C3">INDEX(Calc_Month!$D$2:$D$37,Control!$B$13)</f>
        <v>1356.2800000000002</v>
      </c>
      <c r="D3">
        <f>B3-C3</f>
        <v>9.2199999999997999</v>
      </c>
      <c r="E3">
        <f>IFERROR(D3/C3,0)</f>
        <v>6.7980063113809823E-3</v>
      </c>
    </row>
    <row r="4" spans="1:5" x14ac:dyDescent="0.25">
      <c r="A4" t="s">
        <v>6</v>
      </c>
      <c r="B4" cm="1">
        <f t="array" ref="B4">INDEX(Calc_Month!$E$2:$E$37,Control!$B$3)</f>
        <v>824.63000000000011</v>
      </c>
      <c r="C4" cm="1">
        <f t="array" ref="C4">INDEX(Calc_Month!$E$2:$E$37,Control!$B$13)</f>
        <v>817.63</v>
      </c>
      <c r="D4">
        <f>B4-C4</f>
        <v>7.0000000000001137</v>
      </c>
      <c r="E4">
        <f>IFERROR(D4/C4,0)</f>
        <v>8.5613296968067628E-3</v>
      </c>
    </row>
    <row r="5" spans="1:5" x14ac:dyDescent="0.25">
      <c r="A5" t="s">
        <v>10</v>
      </c>
      <c r="B5" cm="1">
        <f t="array" ref="B5">INDEX(Calc_Month!$G$2:$G$37,Control!$B$3)</f>
        <v>540.86999999999989</v>
      </c>
      <c r="C5" cm="1">
        <f t="array" ref="C5">INDEX(Calc_Month!$G$2:$G$37,Control!$B$13)</f>
        <v>538.6500000000002</v>
      </c>
      <c r="D5">
        <f>B5-C5</f>
        <v>2.2199999999996862</v>
      </c>
      <c r="E5">
        <f>IFERROR(D5/C5,0)</f>
        <v>4.1214146477298527E-3</v>
      </c>
    </row>
    <row r="6" spans="1:5" x14ac:dyDescent="0.25">
      <c r="A6" t="s">
        <v>7</v>
      </c>
      <c r="B6" cm="1">
        <f t="array" ref="B6">INDEX(Calc_Month!$F$2:$F$37,Control!$B$3)</f>
        <v>2374</v>
      </c>
      <c r="C6" cm="1">
        <f t="array" ref="C6">INDEX(Calc_Month!$F$2:$F$37,Control!$B$13)</f>
        <v>2437</v>
      </c>
      <c r="D6">
        <f>B6-C6</f>
        <v>-63</v>
      </c>
      <c r="E6">
        <f>IFERROR(D6/C6,0)</f>
        <v>-2.5851456709068528E-2</v>
      </c>
    </row>
    <row r="7" spans="1:5" x14ac:dyDescent="0.25">
      <c r="A7" t="s">
        <v>136</v>
      </c>
      <c r="B7" cm="1">
        <f t="array" ref="B7">INDEX(Calc_Month!$H$2:$H$37,Control!$B$3)</f>
        <v>25728</v>
      </c>
      <c r="C7">
        <f t="shared" ref="C7:C19" si="0">IF(ISNUMBER(B7),ROUND(B7,2),B7)</f>
        <v>25728</v>
      </c>
    </row>
    <row r="8" spans="1:5" x14ac:dyDescent="0.25">
      <c r="A8" t="s">
        <v>142</v>
      </c>
      <c r="B8">
        <f>_xlfn.XLOOKUP(Control!$B$2,Calc_Bank!$A$2:$A$21,Calc_Bank!$L$2:$L$21)</f>
        <v>4</v>
      </c>
      <c r="C8">
        <f t="shared" si="0"/>
        <v>4</v>
      </c>
    </row>
    <row r="9" spans="1:5" x14ac:dyDescent="0.25">
      <c r="A9" t="s">
        <v>150</v>
      </c>
      <c r="B9">
        <f>_xlfn.XLOOKUP(Control!$B$2,Calc_Bank!$A$2:$A$21,Calc_Bank!$K$2:$K$21)</f>
        <v>7.1252489112547945E-2</v>
      </c>
      <c r="C9">
        <f t="shared" si="0"/>
        <v>7.0000000000000007E-2</v>
      </c>
    </row>
    <row r="10" spans="1:5" x14ac:dyDescent="0.25">
      <c r="A10" t="s">
        <v>161</v>
      </c>
      <c r="B10" cm="1">
        <f t="array" ref="B10">INDEX(Calc_Month!$J$2:$J$37,Control!$B$3)</f>
        <v>149390</v>
      </c>
      <c r="C10">
        <f t="shared" si="0"/>
        <v>149390</v>
      </c>
    </row>
    <row r="11" spans="1:5" x14ac:dyDescent="0.25">
      <c r="A11" t="s">
        <v>141</v>
      </c>
      <c r="B11" cm="1">
        <f t="array" ref="B11">INDEX(Calc_Scenario!$B$3:$AK$22,Control!$B$6,Control!$B$3)</f>
        <v>28206.672794717331</v>
      </c>
      <c r="C11">
        <f t="shared" si="0"/>
        <v>28206.67</v>
      </c>
    </row>
    <row r="12" spans="1:5" x14ac:dyDescent="0.25">
      <c r="A12" t="s">
        <v>257</v>
      </c>
      <c r="B12">
        <f>_xlfn.XLOOKUP(Control!$B$8,Calc_Region!$A$2:$A$6,Calc_Region!$K$2:$K$6)</f>
        <v>0.14571127840258347</v>
      </c>
      <c r="C12">
        <f t="shared" si="0"/>
        <v>0.15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1213.96558758791</v>
      </c>
      <c r="C14">
        <f t="shared" si="0"/>
        <v>1213.97</v>
      </c>
    </row>
    <row r="15" spans="1:5" x14ac:dyDescent="0.25">
      <c r="A15" t="s">
        <v>260</v>
      </c>
      <c r="B15" cm="1">
        <f t="array" ref="B15">INDEX(Calc_Growth!$AM$3:$AM$22,Control!$B$6)</f>
        <v>6.9962813141689712E-3</v>
      </c>
      <c r="C15">
        <f t="shared" si="0"/>
        <v>0.01</v>
      </c>
    </row>
    <row r="16" spans="1:5" x14ac:dyDescent="0.25">
      <c r="A16" t="s">
        <v>261</v>
      </c>
      <c r="B16">
        <f>Calc_Stats!$I$2</f>
        <v>17798.550000000003</v>
      </c>
      <c r="C16">
        <f t="shared" si="0"/>
        <v>17798.55</v>
      </c>
    </row>
    <row r="17" spans="1:3" x14ac:dyDescent="0.25">
      <c r="A17" t="s">
        <v>128</v>
      </c>
      <c r="B17" t="str">
        <f>Control!$B$16</f>
        <v>Banca Sicula (B117) - giugno 2025</v>
      </c>
      <c r="C17" t="str">
        <f t="shared" si="0"/>
        <v>Banca Sicula (B117) - giugno 2025</v>
      </c>
    </row>
    <row r="18" spans="1:3" x14ac:dyDescent="0.25">
      <c r="A18" t="s">
        <v>147</v>
      </c>
      <c r="B18" cm="1">
        <f t="array" ref="B18">INDEX(Calc_Month!$U$2:$U$37,Control!$B$3)</f>
        <v>24350.716666666664</v>
      </c>
      <c r="C18">
        <f t="shared" si="0"/>
        <v>24350.720000000001</v>
      </c>
    </row>
    <row r="19" spans="1:3" x14ac:dyDescent="0.25">
      <c r="A19" t="s">
        <v>262</v>
      </c>
      <c r="B19" cm="1">
        <f t="array" aca="1" ref="B19" ca="1">INDEX(Calc_Month!$L$2:$L$37,Control!$B$3)</f>
        <v>25178.833333333332</v>
      </c>
      <c r="C19">
        <f t="shared" ca="1" si="0"/>
        <v>25178.83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Sicula (B117) - giugno 2025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25351.600000000002</v>
      </c>
      <c r="E5" s="3">
        <f>Calc_Summary!C2</f>
        <v>25168.5</v>
      </c>
      <c r="F5" s="3">
        <f t="shared" ref="F5:F9" si="0">D5-E5</f>
        <v>183.10000000000218</v>
      </c>
      <c r="G5" s="2">
        <f t="shared" ref="G5:G9" si="1">IFERROR(F5/E5,"-")</f>
        <v>7.2749667242784505E-3</v>
      </c>
    </row>
    <row r="6" spans="2:8" x14ac:dyDescent="0.25">
      <c r="C6" t="s">
        <v>5</v>
      </c>
      <c r="D6" s="3">
        <f>Calc_Summary!B3</f>
        <v>1365.5</v>
      </c>
      <c r="E6" s="3">
        <f>Calc_Summary!C3</f>
        <v>1356.2800000000002</v>
      </c>
      <c r="F6" s="3">
        <f t="shared" si="0"/>
        <v>9.2199999999997999</v>
      </c>
      <c r="G6" s="2">
        <f t="shared" si="1"/>
        <v>6.7980063113809823E-3</v>
      </c>
    </row>
    <row r="7" spans="2:8" x14ac:dyDescent="0.25">
      <c r="C7" t="s">
        <v>6</v>
      </c>
      <c r="D7" s="3">
        <f>Calc_Summary!B4</f>
        <v>824.63000000000011</v>
      </c>
      <c r="E7" s="3">
        <f>Calc_Summary!C4</f>
        <v>817.63</v>
      </c>
      <c r="F7" s="3">
        <f t="shared" si="0"/>
        <v>7.0000000000001137</v>
      </c>
      <c r="G7" s="2">
        <f t="shared" si="1"/>
        <v>8.5613296968067628E-3</v>
      </c>
    </row>
    <row r="8" spans="2:8" x14ac:dyDescent="0.25">
      <c r="C8" t="s">
        <v>10</v>
      </c>
      <c r="D8" s="3">
        <f>Calc_Summary!B5</f>
        <v>540.86999999999989</v>
      </c>
      <c r="E8" s="3">
        <f>Calc_Summary!C5</f>
        <v>538.6500000000002</v>
      </c>
      <c r="F8" s="3">
        <f t="shared" si="0"/>
        <v>2.2199999999996862</v>
      </c>
      <c r="G8" s="2">
        <f t="shared" si="1"/>
        <v>4.1214146477298527E-3</v>
      </c>
    </row>
    <row r="9" spans="2:8" x14ac:dyDescent="0.25">
      <c r="C9" t="s">
        <v>7</v>
      </c>
      <c r="D9" s="3">
        <f>Calc_Summary!B6</f>
        <v>2374</v>
      </c>
      <c r="E9" s="3">
        <f>Calc_Summary!C6</f>
        <v>2437</v>
      </c>
      <c r="F9" s="3">
        <f t="shared" si="0"/>
        <v>-63</v>
      </c>
      <c r="G9" s="2">
        <f t="shared" si="1"/>
        <v>-2.5851456709068528E-2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2025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28772.399999999998</v>
      </c>
      <c r="G5">
        <f>Calc_Stats!E2</f>
        <v>8.0866892730315804E-2</v>
      </c>
      <c r="H5">
        <f>Calc_Stats!F2</f>
        <v>5.8661893541598342E-3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27612.3</v>
      </c>
      <c r="G6">
        <f>Calc_Stats!E3</f>
        <v>7.7606348519320564E-2</v>
      </c>
      <c r="H6">
        <f>Calc_Stats!F3</f>
        <v>3.6201463324210259E-3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26492.400000000001</v>
      </c>
      <c r="G7">
        <f>Calc_Stats!E4</f>
        <v>7.4458789290035549E-2</v>
      </c>
      <c r="H7">
        <f>Calc_Stats!F4</f>
        <v>7.0398978226493547E-3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25351.600000000002</v>
      </c>
      <c r="G8">
        <f>Calc_Stats!E5</f>
        <v>7.1252489112547945E-2</v>
      </c>
      <c r="H8">
        <f>Calc_Stats!F5</f>
        <v>7.2749667242784088E-3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24210.6</v>
      </c>
      <c r="G9">
        <f>Calc_Stats!E6</f>
        <v>6.8045626820723459E-2</v>
      </c>
      <c r="H9">
        <f>Calc_Stats!F6</f>
        <v>9.4984739062995427E-3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22950.5</v>
      </c>
      <c r="G10">
        <f>Calc_Stats!E7</f>
        <v>6.4504025441294882E-2</v>
      </c>
      <c r="H10">
        <f>Calc_Stats!F7</f>
        <v>4.4949623158465624E-3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21844.999999999996</v>
      </c>
      <c r="G11">
        <f>Calc_Stats!E8</f>
        <v>6.1396938444264249E-2</v>
      </c>
      <c r="H11">
        <f>Calc_Stats!F8</f>
        <v>1.0467789460050669E-2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20600.5</v>
      </c>
      <c r="G12">
        <f>Calc_Stats!E9</f>
        <v>5.7899181983111274E-2</v>
      </c>
      <c r="H12">
        <f>Calc_Stats!F9</f>
        <v>3.6246534899471161E-3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19546.399999999998</v>
      </c>
      <c r="G13">
        <f>Calc_Stats!E10</f>
        <v>5.4936558370655378E-2</v>
      </c>
      <c r="H13">
        <f>Calc_Stats!F10</f>
        <v>1.2667146757573189E-2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18454.5</v>
      </c>
      <c r="G14">
        <f>Calc_Stats!E11</f>
        <v>5.1867695148531685E-2</v>
      </c>
      <c r="H14">
        <f>Calc_Stats!F11</f>
        <v>1.1931852452993663E-2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18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46771.4</v>
      </c>
      <c r="F5">
        <f>Calc_Region!I2</f>
        <v>42000</v>
      </c>
      <c r="G5">
        <f>Calc_Region!J2</f>
        <v>4771.4000000000015</v>
      </c>
      <c r="H5">
        <f>Calc_Region!K2</f>
        <v>0.13145437247663361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73571.899999999994</v>
      </c>
      <c r="F6">
        <f>Calc_Region!I3</f>
        <v>30000</v>
      </c>
      <c r="G6">
        <f>Calc_Region!J3</f>
        <v>43571.899999999994</v>
      </c>
      <c r="H6">
        <f>Calc_Region!K3</f>
        <v>0.20677909890261226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105453.40000000002</v>
      </c>
      <c r="F7">
        <f>Calc_Region!I4</f>
        <v>47000</v>
      </c>
      <c r="G7">
        <f>Calc_Region!J4</f>
        <v>58453.400000000023</v>
      </c>
      <c r="H7">
        <f>Calc_Region!K4</f>
        <v>0.29638434005668929</v>
      </c>
      <c r="I7" t="str">
        <f>Calc_Region!M4</f>
        <v>Banca Città</v>
      </c>
      <c r="J7" t="str">
        <f>Calc_Region!L4</f>
        <v>no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78158.8</v>
      </c>
      <c r="F8">
        <f>Calc_Region!I5</f>
        <v>26000</v>
      </c>
      <c r="G8">
        <f>Calc_Region!J5</f>
        <v>52158.8</v>
      </c>
      <c r="H8">
        <f>Calc_Region!K5</f>
        <v>0.21967091016148141</v>
      </c>
      <c r="I8" t="str">
        <f>Calc_Region!M5</f>
        <v>Banca Calabra</v>
      </c>
      <c r="J8" t="str">
        <f>Calc_Region!L5</f>
        <v>sì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51844</v>
      </c>
      <c r="F9">
        <f>Calc_Region!I6</f>
        <v>16000</v>
      </c>
      <c r="G9">
        <f>Calc_Region!J6</f>
        <v>35844</v>
      </c>
      <c r="H9">
        <f>Calc_Region!K6</f>
        <v>0.14571127840258347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Sicula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1381.9</v>
      </c>
      <c r="F5">
        <f>Calc_Product!E2</f>
        <v>23.080000000000005</v>
      </c>
      <c r="G5">
        <f>Calc_Product!H2</f>
        <v>5.4509380078574921E-2</v>
      </c>
      <c r="H5">
        <f>Calc_Product!L2</f>
        <v>7.2018594858271542E-2</v>
      </c>
      <c r="I5">
        <f>Calc_Product!J2</f>
        <v>8097.1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1857.2</v>
      </c>
      <c r="F6">
        <f>Calc_Product!E3</f>
        <v>34.230000000000004</v>
      </c>
      <c r="G6">
        <f>Calc_Product!H3</f>
        <v>7.3257703655785031E-2</v>
      </c>
      <c r="H6">
        <f>Calc_Product!L3</f>
        <v>7.0248168335369551E-2</v>
      </c>
      <c r="I6">
        <f>Calc_Product!J3</f>
        <v>11011.800000000001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2378.4</v>
      </c>
      <c r="F7">
        <f>Calc_Product!E4</f>
        <v>45.03</v>
      </c>
      <c r="G7">
        <f>Calc_Product!H4</f>
        <v>9.3816563846068887E-2</v>
      </c>
      <c r="H7">
        <f>Calc_Product!L4</f>
        <v>7.0534435359745185E-2</v>
      </c>
      <c r="I7">
        <f>Calc_Product!J4</f>
        <v>14102.800000000001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2912.6</v>
      </c>
      <c r="F8">
        <f>Calc_Product!E5</f>
        <v>58.839999999999989</v>
      </c>
      <c r="G8">
        <f>Calc_Product!H5</f>
        <v>0.11488821218384637</v>
      </c>
      <c r="H8">
        <f>Calc_Product!L5</f>
        <v>7.1316462824891957E-2</v>
      </c>
      <c r="I8">
        <f>Calc_Product!J5</f>
        <v>17159.199999999997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3434.6</v>
      </c>
      <c r="F9">
        <f>Calc_Product!E6</f>
        <v>72.080000000000013</v>
      </c>
      <c r="G9">
        <f>Calc_Product!H6</f>
        <v>0.13547862856782214</v>
      </c>
      <c r="H9">
        <f>Calc_Product!L6</f>
        <v>7.1353040284365121E-2</v>
      </c>
      <c r="I9">
        <f>Calc_Product!J6</f>
        <v>20211.599999999999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3965.6</v>
      </c>
      <c r="F10">
        <f>Calc_Product!E7</f>
        <v>87.25</v>
      </c>
      <c r="G10">
        <f>Calc_Product!H7</f>
        <v>0.15642405213083196</v>
      </c>
      <c r="H10">
        <f>Calc_Product!L7</f>
        <v>7.1672176064572921E-2</v>
      </c>
      <c r="I10">
        <f>Calc_Product!J7</f>
        <v>23323.399999999998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4474.8</v>
      </c>
      <c r="F11">
        <f>Calc_Product!E8</f>
        <v>102.47</v>
      </c>
      <c r="G11">
        <f>Calc_Product!H8</f>
        <v>0.17650956941573706</v>
      </c>
      <c r="H11">
        <f>Calc_Product!L8</f>
        <v>7.1511901071048448E-2</v>
      </c>
      <c r="I11">
        <f>Calc_Product!J8</f>
        <v>26268.799999999999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4946.5</v>
      </c>
      <c r="F12">
        <f>Calc_Product!E9</f>
        <v>117.89000000000001</v>
      </c>
      <c r="G12">
        <f>Calc_Product!H9</f>
        <v>0.19511589012133354</v>
      </c>
      <c r="H12">
        <f>Calc_Product!L9</f>
        <v>7.1096654942989002E-2</v>
      </c>
      <c r="I12">
        <f>Calc_Product!J9</f>
        <v>29215.3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Sicula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13</v>
      </c>
      <c r="D5" cm="1">
        <f t="array" ref="D5">INDEX(Calc_Month!$C$2:$C$37,C5)</f>
        <v>24517.8</v>
      </c>
      <c r="E5" cm="1">
        <f t="array" ref="E5">INDEX(Budget!$B$2:$AK$21,Control!$B$6,MATCH(C5,Budget!$B$1:$AK$1,0))</f>
        <v>24731</v>
      </c>
      <c r="F5">
        <f>HLOOKUP(C5,Budget!$B$1:$AK$21,Control!$B$6+1,FALSE)</f>
        <v>24731</v>
      </c>
      <c r="G5">
        <f t="shared" ref="G5:G10" si="0">IFERROR(D5/E5-1,0)</f>
        <v>-8.6207593708301777E-3</v>
      </c>
      <c r="H5" cm="1">
        <f t="array" ref="H5">INDEX(Budget!$B$25:$AK$44,MATCH(Control!$B$2,Budget!$A$25:$A$44,0),C5)</f>
        <v>1286</v>
      </c>
    </row>
    <row r="6" spans="2:9" x14ac:dyDescent="0.25">
      <c r="C6">
        <f>Control!$B$3-6+ROW()-4</f>
        <v>14</v>
      </c>
      <c r="D6" cm="1">
        <f t="array" ref="D6">INDEX(Calc_Month!$C$2:$C$37,C6)</f>
        <v>24570.6</v>
      </c>
      <c r="E6" cm="1">
        <f t="array" ref="E6">INDEX(Budget!$B$2:$AK$21,Control!$B$6,MATCH(C6,Budget!$B$1:$AK$1,0))</f>
        <v>24931</v>
      </c>
      <c r="F6">
        <f>HLOOKUP(C6,Budget!$B$1:$AK$21,Control!$B$6+1,FALSE)</f>
        <v>24931</v>
      </c>
      <c r="G6">
        <f t="shared" si="0"/>
        <v>-1.4455898279250756E-2</v>
      </c>
      <c r="H6" cm="1">
        <f t="array" ref="H6">INDEX(Budget!$B$25:$AK$44,MATCH(Control!$B$2,Budget!$A$25:$A$44,0),C6)</f>
        <v>1296.4000000000001</v>
      </c>
    </row>
    <row r="7" spans="2:9" x14ac:dyDescent="0.25">
      <c r="C7">
        <f>Control!$B$3-6+ROW()-4</f>
        <v>15</v>
      </c>
      <c r="D7" cm="1">
        <f t="array" ref="D7">INDEX(Calc_Month!$C$2:$C$37,C7)</f>
        <v>24765.1</v>
      </c>
      <c r="E7" cm="1">
        <f t="array" ref="E7">INDEX(Budget!$B$2:$AK$21,Control!$B$6,MATCH(C7,Budget!$B$1:$AK$1,0))</f>
        <v>25130</v>
      </c>
      <c r="F7">
        <f>HLOOKUP(C7,Budget!$B$1:$AK$21,Control!$B$6+1,FALSE)</f>
        <v>25130</v>
      </c>
      <c r="G7">
        <f t="shared" si="0"/>
        <v>-1.4520493434142523E-2</v>
      </c>
      <c r="H7" cm="1">
        <f t="array" ref="H7">INDEX(Budget!$B$25:$AK$44,MATCH(Control!$B$2,Budget!$A$25:$A$44,0),C7)</f>
        <v>1306.8</v>
      </c>
    </row>
    <row r="8" spans="2:9" x14ac:dyDescent="0.25">
      <c r="C8">
        <f>Control!$B$3-6+ROW()-4</f>
        <v>16</v>
      </c>
      <c r="D8" cm="1">
        <f t="array" ref="D8">INDEX(Calc_Month!$C$2:$C$37,C8)</f>
        <v>25016.400000000001</v>
      </c>
      <c r="E8" cm="1">
        <f t="array" ref="E8">INDEX(Budget!$B$2:$AK$21,Control!$B$6,MATCH(C8,Budget!$B$1:$AK$1,0))</f>
        <v>25329</v>
      </c>
      <c r="F8">
        <f>HLOOKUP(C8,Budget!$B$1:$AK$21,Control!$B$6+1,FALSE)</f>
        <v>25329</v>
      </c>
      <c r="G8">
        <f t="shared" si="0"/>
        <v>-1.2341584744758882E-2</v>
      </c>
      <c r="H8" cm="1">
        <f t="array" ref="H8">INDEX(Budget!$B$25:$AK$44,MATCH(Control!$B$2,Budget!$A$25:$A$44,0),C8)</f>
        <v>1317.1</v>
      </c>
    </row>
    <row r="9" spans="2:9" x14ac:dyDescent="0.25">
      <c r="C9">
        <f>Control!$B$3-6+ROW()-4</f>
        <v>17</v>
      </c>
      <c r="D9" cm="1">
        <f t="array" ref="D9">INDEX(Calc_Month!$C$2:$C$37,C9)</f>
        <v>25168.5</v>
      </c>
      <c r="E9" cm="1">
        <f t="array" ref="E9">INDEX(Budget!$B$2:$AK$21,Control!$B$6,MATCH(C9,Budget!$B$1:$AK$1,0))</f>
        <v>25528</v>
      </c>
      <c r="F9">
        <f>HLOOKUP(C9,Budget!$B$1:$AK$21,Control!$B$6+1,FALSE)</f>
        <v>25528</v>
      </c>
      <c r="G9">
        <f t="shared" si="0"/>
        <v>-1.4082575994985858E-2</v>
      </c>
      <c r="H9" cm="1">
        <f t="array" ref="H9">INDEX(Budget!$B$25:$AK$44,MATCH(Control!$B$2,Budget!$A$25:$A$44,0),C9)</f>
        <v>1327.5</v>
      </c>
    </row>
    <row r="10" spans="2:9" x14ac:dyDescent="0.25">
      <c r="C10">
        <f>Control!$B$3-6+ROW()-4</f>
        <v>18</v>
      </c>
      <c r="D10" cm="1">
        <f t="array" ref="D10">INDEX(Calc_Month!$C$2:$C$37,C10)</f>
        <v>25351.600000000002</v>
      </c>
      <c r="E10" cm="1">
        <f t="array" ref="E10">INDEX(Budget!$B$2:$AK$21,Control!$B$6,MATCH(C10,Budget!$B$1:$AK$1,0))</f>
        <v>25728</v>
      </c>
      <c r="F10">
        <f>HLOOKUP(C10,Budget!$B$1:$AK$21,Control!$B$6+1,FALSE)</f>
        <v>25728</v>
      </c>
      <c r="G10">
        <f t="shared" si="0"/>
        <v>-1.4629975124378025E-2</v>
      </c>
      <c r="H10" cm="1">
        <f t="array" ref="H10">INDEX(Budget!$B$25:$AK$44,MATCH(Control!$B$2,Budget!$A$25:$A$44,0),C10)</f>
        <v>1337.8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Sicula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13</v>
      </c>
      <c r="D5" cm="1">
        <f t="array" ref="D5">INDEX(Calc_Month!$C$2:$C$37,C5)</f>
        <v>24517.8</v>
      </c>
      <c r="E5">
        <f>D5*VLOOKUP(C5,FX!$A$2:$E$37,3,FALSE)</f>
        <v>26280.629820000002</v>
      </c>
      <c r="F5">
        <f>D5*_xlfn.XLOOKUP(C5,FX!$A$2:$A$37,FX!$D$2:$D$37)</f>
        <v>20597.403779999997</v>
      </c>
      <c r="G5" cm="1">
        <f t="array" ref="G5">D5*INDEX(FX!$E$2:$E$37,C5)</f>
        <v>22654.447199999999</v>
      </c>
    </row>
    <row r="6" spans="2:8" x14ac:dyDescent="0.25">
      <c r="C6">
        <f>Control!$B$3-6+ROW()-4</f>
        <v>14</v>
      </c>
      <c r="D6" cm="1">
        <f t="array" ref="D6">INDEX(Calc_Month!$C$2:$C$37,C6)</f>
        <v>24570.6</v>
      </c>
      <c r="E6">
        <f>D6*VLOOKUP(C6,FX!$A$2:$E$37,3,FALSE)</f>
        <v>26162.774879999997</v>
      </c>
      <c r="F6">
        <f>D6*_xlfn.XLOOKUP(C6,FX!$A$2:$A$37,FX!$D$2:$D$37)</f>
        <v>20654.04636</v>
      </c>
      <c r="G6" cm="1">
        <f t="array" ref="G6">D6*INDEX(FX!$E$2:$E$37,C6)</f>
        <v>22654.093199999999</v>
      </c>
    </row>
    <row r="7" spans="2:8" x14ac:dyDescent="0.25">
      <c r="C7">
        <f>Control!$B$3-6+ROW()-4</f>
        <v>15</v>
      </c>
      <c r="D7" cm="1">
        <f t="array" ref="D7">INDEX(Calc_Month!$C$2:$C$37,C7)</f>
        <v>24765.1</v>
      </c>
      <c r="E7">
        <f>D7*VLOOKUP(C7,FX!$A$2:$E$37,3,FALSE)</f>
        <v>26179.187209999996</v>
      </c>
      <c r="F7">
        <f>D7*_xlfn.XLOOKUP(C7,FX!$A$2:$A$37,FX!$D$2:$D$37)</f>
        <v>20847.261179999998</v>
      </c>
      <c r="G7" cm="1">
        <f t="array" ref="G7">D7*INDEX(FX!$E$2:$E$37,C7)</f>
        <v>22783.892</v>
      </c>
    </row>
    <row r="8" spans="2:8" x14ac:dyDescent="0.25">
      <c r="C8">
        <f>Control!$B$3-6+ROW()-4</f>
        <v>16</v>
      </c>
      <c r="D8" cm="1">
        <f t="array" ref="D8">INDEX(Calc_Month!$C$2:$C$37,C8)</f>
        <v>25016.400000000001</v>
      </c>
      <c r="E8">
        <f>D8*VLOOKUP(C8,FX!$A$2:$E$37,3,FALSE)</f>
        <v>26249.70852</v>
      </c>
      <c r="F8">
        <f>D8*_xlfn.XLOOKUP(C8,FX!$A$2:$A$37,FX!$D$2:$D$37)</f>
        <v>21101.333400000003</v>
      </c>
      <c r="G8" cm="1">
        <f t="array" ref="G8">D8*INDEX(FX!$E$2:$E$37,C8)</f>
        <v>22965.055200000003</v>
      </c>
    </row>
    <row r="9" spans="2:8" x14ac:dyDescent="0.25">
      <c r="C9">
        <f>Control!$B$3-6+ROW()-4</f>
        <v>17</v>
      </c>
      <c r="D9" cm="1">
        <f t="array" ref="D9">INDEX(Calc_Month!$C$2:$C$37,C9)</f>
        <v>25168.5</v>
      </c>
      <c r="E9">
        <f>D9*VLOOKUP(C9,FX!$A$2:$E$37,3,FALSE)</f>
        <v>26212.992750000001</v>
      </c>
      <c r="F9">
        <f>D9*_xlfn.XLOOKUP(C9,FX!$A$2:$A$37,FX!$D$2:$D$37)</f>
        <v>21279.96675</v>
      </c>
      <c r="G9" cm="1">
        <f t="array" ref="G9">D9*INDEX(FX!$E$2:$E$37,C9)</f>
        <v>23054.346000000001</v>
      </c>
    </row>
    <row r="10" spans="2:8" x14ac:dyDescent="0.25">
      <c r="C10">
        <f>Control!$B$3-6+ROW()-4</f>
        <v>18</v>
      </c>
      <c r="D10" cm="1">
        <f t="array" ref="D10">INDEX(Calc_Month!$C$2:$C$37,C10)</f>
        <v>25351.600000000002</v>
      </c>
      <c r="E10">
        <f>D10*VLOOKUP(C10,FX!$A$2:$E$37,3,FALSE)</f>
        <v>26216.089560000004</v>
      </c>
      <c r="F10">
        <f>D10*_xlfn.XLOOKUP(C10,FX!$A$2:$A$37,FX!$D$2:$D$37)</f>
        <v>21495.621640000001</v>
      </c>
      <c r="G10" cm="1">
        <f t="array" ref="G10">D10*INDEX(FX!$E$2:$E$37,C10)</f>
        <v>23171.362400000002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5,0%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6798.5</v>
      </c>
      <c r="E5" cm="1">
        <f t="array" ref="E5">INDEX(Calc_BankMonth!$B49:$AK49,Control!$B$3)</f>
        <v>7314.7089521495145</v>
      </c>
      <c r="F5">
        <f t="shared" ref="F5:F24" si="0">E5-D5</f>
        <v>516.20895214951452</v>
      </c>
      <c r="G5">
        <f>Calc_Scenario!AL3</f>
        <v>7564.140527417826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7958.7</v>
      </c>
      <c r="E6" cm="1">
        <f t="array" ref="E6">INDEX(Calc_BankMonth!$B50:$AK50,Control!$B$3)</f>
        <v>8563.0027414094784</v>
      </c>
      <c r="F6">
        <f t="shared" si="0"/>
        <v>604.30274140947859</v>
      </c>
      <c r="G6">
        <f>Calc_Scenario!AL4</f>
        <v>8855.0011348915559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9113.2999999999993</v>
      </c>
      <c r="E7" cm="1">
        <f t="array" ref="E7">INDEX(Calc_BankMonth!$B51:$AK51,Control!$B$3)</f>
        <v>9805.2713236190575</v>
      </c>
      <c r="F7">
        <f t="shared" si="0"/>
        <v>691.97132361905824</v>
      </c>
      <c r="G7">
        <f>Calc_Scenario!AL5</f>
        <v>10139.631075754485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10267.6</v>
      </c>
      <c r="E8" cm="1">
        <f t="array" ref="E8">INDEX(Calc_BankMonth!$B52:$AK52,Control!$B$3)</f>
        <v>11047.217126879512</v>
      </c>
      <c r="F8">
        <f t="shared" si="0"/>
        <v>779.61712687951149</v>
      </c>
      <c r="G8">
        <f>Calc_Scenario!AL6</f>
        <v>11423.927230906122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11395</v>
      </c>
      <c r="E9" cm="1">
        <f t="array" ref="E9">INDEX(Calc_BankMonth!$B53:$AK53,Control!$B$3)</f>
        <v>12260.22041770151</v>
      </c>
      <c r="F9">
        <f t="shared" si="0"/>
        <v>865.22041770151009</v>
      </c>
      <c r="G9">
        <f>Calc_Scenario!AL7</f>
        <v>12678.293933945153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12562.7</v>
      </c>
      <c r="E10" cm="1">
        <f t="array" ref="E10">INDEX(Calc_BankMonth!$B54:$AK54,Control!$B$3)</f>
        <v>13516.58368068967</v>
      </c>
      <c r="F10">
        <f t="shared" si="0"/>
        <v>953.88368068966884</v>
      </c>
      <c r="G10">
        <f>Calc_Scenario!AL8</f>
        <v>13977.49918420121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13727.2</v>
      </c>
      <c r="E11" cm="1">
        <f t="array" ref="E11">INDEX(Calc_BankMonth!$B55:$AK55,Control!$B$3)</f>
        <v>14769.503968220464</v>
      </c>
      <c r="F11">
        <f t="shared" si="0"/>
        <v>1042.3039682204635</v>
      </c>
      <c r="G11">
        <f>Calc_Scenario!AL9</f>
        <v>15273.144053536807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14918.2</v>
      </c>
      <c r="E12" cm="1">
        <f t="array" ref="E12">INDEX(Calc_BankMonth!$B56:$AK56,Control!$B$3)</f>
        <v>16050.936396257541</v>
      </c>
      <c r="F12">
        <f t="shared" si="0"/>
        <v>1132.73639625754</v>
      </c>
      <c r="G12">
        <f>Calc_Scenario!AL10</f>
        <v>16598.273327369952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16079.5</v>
      </c>
      <c r="E13" cm="1">
        <f t="array" ref="E13">INDEX(Calc_BankMonth!$B57:$AK57,Control!$B$3)</f>
        <v>17300.413708330972</v>
      </c>
      <c r="F13">
        <f t="shared" si="0"/>
        <v>1220.9137083309724</v>
      </c>
      <c r="G13">
        <f>Calc_Scenario!AL11</f>
        <v>17890.35781578509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17142.600000000002</v>
      </c>
      <c r="E14" cm="1">
        <f t="array" ref="E14">INDEX(Calc_BankMonth!$B58:$AK58,Control!$B$3)</f>
        <v>18444.234711056601</v>
      </c>
      <c r="F14">
        <f t="shared" si="0"/>
        <v>1301.6347110565985</v>
      </c>
      <c r="G14">
        <f>Calc_Scenario!AL12</f>
        <v>19073.183114703661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18454.5</v>
      </c>
      <c r="E15" cm="1">
        <f t="array" ref="E15">INDEX(Calc_BankMonth!$B59:$AK59,Control!$B$3)</f>
        <v>19855.74705559215</v>
      </c>
      <c r="F15">
        <f t="shared" si="0"/>
        <v>1401.24705559215</v>
      </c>
      <c r="G15">
        <f>Calc_Scenario!AL13</f>
        <v>20532.828030187877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19546.399999999998</v>
      </c>
      <c r="E16" cm="1">
        <f t="array" ref="E16">INDEX(Calc_BankMonth!$B60:$AK60,Control!$B$3)</f>
        <v>21030.554837434032</v>
      </c>
      <c r="F16">
        <f t="shared" si="0"/>
        <v>1484.1548374340346</v>
      </c>
      <c r="G16">
        <f>Calc_Scenario!AL14</f>
        <v>21747.696757390568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20600.5</v>
      </c>
      <c r="E17" cm="1">
        <f t="array" ref="E17">INDEX(Calc_BankMonth!$B61:$AK61,Control!$B$3)</f>
        <v>22164.692471685823</v>
      </c>
      <c r="F17">
        <f t="shared" si="0"/>
        <v>1564.192471685823</v>
      </c>
      <c r="G17">
        <f>Calc_Scenario!AL15</f>
        <v>22920.508484970353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21844.999999999996</v>
      </c>
      <c r="E18" cm="1">
        <f t="array" ref="E18">INDEX(Calc_BankMonth!$B62:$AK62,Control!$B$3)</f>
        <v>23503.687145650678</v>
      </c>
      <c r="F18">
        <f t="shared" si="0"/>
        <v>1658.6871456506815</v>
      </c>
      <c r="G18">
        <f>Calc_Scenario!AL16</f>
        <v>24305.162877317405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22950.5</v>
      </c>
      <c r="E19" cm="1">
        <f t="array" ref="E19">INDEX(Calc_BankMonth!$B63:$AK63,Control!$B$3)</f>
        <v>24693.127573186357</v>
      </c>
      <c r="F19">
        <f t="shared" si="0"/>
        <v>1742.627573186357</v>
      </c>
      <c r="G19">
        <f>Calc_Scenario!AL17</f>
        <v>25535.163223432053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24210.6</v>
      </c>
      <c r="E20" cm="1">
        <f t="array" ref="E20">INDEX(Calc_BankMonth!$B64:$AK64,Control!$B$3)</f>
        <v>26048.906752505853</v>
      </c>
      <c r="F20">
        <f t="shared" si="0"/>
        <v>1838.3067525058541</v>
      </c>
      <c r="G20">
        <f>Calc_Scenario!AL18</f>
        <v>26937.174472766343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25351.600000000002</v>
      </c>
      <c r="E21" cm="1">
        <f t="array" ref="E21">INDEX(Calc_BankMonth!$B65:$AK65,Control!$B$3)</f>
        <v>27276.542689021644</v>
      </c>
      <c r="F21">
        <f t="shared" si="0"/>
        <v>1924.9426890216419</v>
      </c>
      <c r="G21">
        <f>Calc_Scenario!AL19</f>
        <v>28206.672794717331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26492.400000000001</v>
      </c>
      <c r="E22" cm="1">
        <f t="array" ref="E22">INDEX(Calc_BankMonth!$B66:$AK66,Control!$B$3)</f>
        <v>28503.963439571347</v>
      </c>
      <c r="F22">
        <f t="shared" si="0"/>
        <v>2011.563439571346</v>
      </c>
      <c r="G22">
        <f>Calc_Scenario!AL20</f>
        <v>29475.948592860779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27612.3</v>
      </c>
      <c r="E23" cm="1">
        <f t="array" ref="E23">INDEX(Calc_BankMonth!$B67:$AK67,Control!$B$3)</f>
        <v>29708.897256665154</v>
      </c>
      <c r="F23">
        <f t="shared" si="0"/>
        <v>2096.5972566651544</v>
      </c>
      <c r="G23">
        <f>Calc_Scenario!AL21</f>
        <v>30721.970653117485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28772.399999999998</v>
      </c>
      <c r="E24" cm="1">
        <f t="array" ref="E24">INDEX(Calc_BankMonth!$B68:$AK68,Control!$B$3)</f>
        <v>30957.083452942072</v>
      </c>
      <c r="F24">
        <f t="shared" si="0"/>
        <v>2184.6834529420739</v>
      </c>
      <c r="G24">
        <f>Calc_Scenario!AL22</f>
        <v>32012.719998687451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-1.3585504724398234E-3</v>
      </c>
      <c r="E5" cm="1">
        <f t="array" ref="E5">INDEX(Calc_Growth!$C3:$AK3,Control!$B$3-1-4)</f>
        <v>1.7868606890648397E-2</v>
      </c>
      <c r="F5" cm="1">
        <f t="array" ref="F5">INDEX(Calc_Growth!$C3:$AK3,Control!$B$3-1-3)</f>
        <v>-1.4941959123605408E-2</v>
      </c>
      <c r="G5" cm="1">
        <f t="array" ref="G5">INDEX(Calc_Growth!$C3:$AK3,Control!$B$3-1-2)</f>
        <v>1.0518934081346742E-2</v>
      </c>
      <c r="H5" cm="1">
        <f t="array" ref="H5">INDEX(Calc_Growth!$C3:$AK3,Control!$B$3-1-1)</f>
        <v>1.5659415261140897E-2</v>
      </c>
      <c r="I5" cm="1">
        <f t="array" ref="I5">INDEX(Calc_Growth!$C3:$AK3,Control!$B$3-1-0)</f>
        <v>9.8181926207594472E-3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-2.2434392445348506E-3</v>
      </c>
      <c r="E6" cm="1">
        <f t="array" ref="E6">INDEX(Calc_Growth!$C4:$AK4,Control!$B$3-1-4)</f>
        <v>7.9873457435681861E-3</v>
      </c>
      <c r="F6" cm="1">
        <f t="array" ref="F6">INDEX(Calc_Growth!$C4:$AK4,Control!$B$3-1-3)</f>
        <v>1.1023642470852302E-2</v>
      </c>
      <c r="G6" cm="1">
        <f t="array" ref="G6">INDEX(Calc_Growth!$C4:$AK4,Control!$B$3-1-2)</f>
        <v>9.1075849506780937E-3</v>
      </c>
      <c r="H6" cm="1">
        <f t="array" ref="H6">INDEX(Calc_Growth!$C4:$AK4,Control!$B$3-1-1)</f>
        <v>1.4110109702925033E-3</v>
      </c>
      <c r="I6" cm="1">
        <f t="array" ref="I6">INDEX(Calc_Growth!$C4:$AK4,Control!$B$3-1-0)</f>
        <v>1.0269364543400439E-2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2.3397983644348752E-3</v>
      </c>
      <c r="E7" cm="1">
        <f t="array" ref="E7">INDEX(Calc_Growth!$C5:$AK5,Control!$B$3-1-4)</f>
        <v>2.8950349578336088E-3</v>
      </c>
      <c r="F7" cm="1">
        <f t="array" ref="F7">INDEX(Calc_Growth!$C5:$AK5,Control!$B$3-1-3)</f>
        <v>4.9860800511156711E-3</v>
      </c>
      <c r="G7" cm="1">
        <f t="array" ref="G7">INDEX(Calc_Growth!$C5:$AK5,Control!$B$3-1-2)</f>
        <v>1.3067517398757778E-2</v>
      </c>
      <c r="H7" cm="1">
        <f t="array" ref="H7">INDEX(Calc_Growth!$C5:$AK5,Control!$B$3-1-1)</f>
        <v>1.4916173570019842E-2</v>
      </c>
      <c r="I7" cm="1">
        <f t="array" ref="I7">INDEX(Calc_Growth!$C5:$AK5,Control!$B$3-1-0)</f>
        <v>6.2939611099455117E-3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7.0956642132158354E-3</v>
      </c>
      <c r="E8" cm="1">
        <f t="array" ref="E8">INDEX(Calc_Growth!$C6:$AK6,Control!$B$3-1-4)</f>
        <v>7.1265390291732622E-3</v>
      </c>
      <c r="F8" cm="1">
        <f t="array" ref="F8">INDEX(Calc_Growth!$C6:$AK6,Control!$B$3-1-3)</f>
        <v>-3.231925806225E-3</v>
      </c>
      <c r="G8" cm="1">
        <f t="array" ref="G8">INDEX(Calc_Growth!$C6:$AK6,Control!$B$3-1-2)</f>
        <v>6.1726530324544004E-3</v>
      </c>
      <c r="H8" cm="1">
        <f t="array" ref="H8">INDEX(Calc_Growth!$C6:$AK6,Control!$B$3-1-1)</f>
        <v>2.5439843077600388E-2</v>
      </c>
      <c r="I8" cm="1">
        <f t="array" ref="I8">INDEX(Calc_Growth!$C6:$AK6,Control!$B$3-1-0)</f>
        <v>2.0690193628982723E-3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3.0120207007968691E-3</v>
      </c>
      <c r="E9" cm="1">
        <f t="array" ref="E9">INDEX(Calc_Growth!$C7:$AK7,Control!$B$3-1-4)</f>
        <v>6.479147518904993E-3</v>
      </c>
      <c r="F9" cm="1">
        <f t="array" ref="F9">INDEX(Calc_Growth!$C7:$AK7,Control!$B$3-1-3)</f>
        <v>1.0750160483892879E-2</v>
      </c>
      <c r="G9" cm="1">
        <f t="array" ref="G9">INDEX(Calc_Growth!$C7:$AK7,Control!$B$3-1-2)</f>
        <v>8.7036639473307975E-3</v>
      </c>
      <c r="H9" cm="1">
        <f t="array" ref="H9">INDEX(Calc_Growth!$C7:$AK7,Control!$B$3-1-1)</f>
        <v>1.1732363765352583E-2</v>
      </c>
      <c r="I9" cm="1">
        <f t="array" ref="I9">INDEX(Calc_Growth!$C7:$AK7,Control!$B$3-1-0)</f>
        <v>-1.2095925951896014E-3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-7.1815953047205117E-4</v>
      </c>
      <c r="E10" cm="1">
        <f t="array" ref="E10">INDEX(Calc_Growth!$C8:$AK8,Control!$B$3-1-4)</f>
        <v>3.7916336241077264E-3</v>
      </c>
      <c r="F10" cm="1">
        <f t="array" ref="F10">INDEX(Calc_Growth!$C8:$AK8,Control!$B$3-1-3)</f>
        <v>1.9232193556351085E-2</v>
      </c>
      <c r="G10" cm="1">
        <f t="array" ref="G10">INDEX(Calc_Growth!$C8:$AK8,Control!$B$3-1-2)</f>
        <v>9.204534444336776E-3</v>
      </c>
      <c r="H10" cm="1">
        <f t="array" ref="H10">INDEX(Calc_Growth!$C8:$AK8,Control!$B$3-1-1)</f>
        <v>-2.6241679467488011E-3</v>
      </c>
      <c r="I10" cm="1">
        <f t="array" ref="I10">INDEX(Calc_Growth!$C8:$AK8,Control!$B$3-1-0)</f>
        <v>7.7247641660787014E-3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1.3935369767565708E-2</v>
      </c>
      <c r="E11" cm="1">
        <f t="array" ref="E11">INDEX(Calc_Growth!$C9:$AK9,Control!$B$3-1-4)</f>
        <v>-7.2854403969774273E-3</v>
      </c>
      <c r="F11" cm="1">
        <f t="array" ref="F11">INDEX(Calc_Growth!$C9:$AK9,Control!$B$3-1-3)</f>
        <v>1.4541488684903792E-2</v>
      </c>
      <c r="G11" cm="1">
        <f t="array" ref="G11">INDEX(Calc_Growth!$C9:$AK9,Control!$B$3-1-2)</f>
        <v>1.1205171847472384E-2</v>
      </c>
      <c r="H11" cm="1">
        <f t="array" ref="H11">INDEX(Calc_Growth!$C9:$AK9,Control!$B$3-1-1)</f>
        <v>6.4817617398877925E-3</v>
      </c>
      <c r="I11" cm="1">
        <f t="array" ref="I11">INDEX(Calc_Growth!$C9:$AK9,Control!$B$3-1-0)</f>
        <v>6.8727766164229376E-3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8.1256923314216856E-3</v>
      </c>
      <c r="E12" cm="1">
        <f t="array" ref="E12">INDEX(Calc_Growth!$C10:$AK10,Control!$B$3-1-4)</f>
        <v>1.0007441252355864E-2</v>
      </c>
      <c r="F12" cm="1">
        <f t="array" ref="F12">INDEX(Calc_Growth!$C10:$AK10,Control!$B$3-1-3)</f>
        <v>5.0126693841576753E-3</v>
      </c>
      <c r="G12" cm="1">
        <f t="array" ref="G12">INDEX(Calc_Growth!$C10:$AK10,Control!$B$3-1-2)</f>
        <v>5.2754179227185727E-3</v>
      </c>
      <c r="H12" cm="1">
        <f t="array" ref="H12">INDEX(Calc_Growth!$C10:$AK10,Control!$B$3-1-1)</f>
        <v>8.0760580658352232E-3</v>
      </c>
      <c r="I12" cm="1">
        <f t="array" ref="I12">INDEX(Calc_Growth!$C10:$AK10,Control!$B$3-1-0)</f>
        <v>8.5657303180879385E-3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8.4637620771372823E-3</v>
      </c>
      <c r="E13" cm="1">
        <f t="array" ref="E13">INDEX(Calc_Growth!$C11:$AK11,Control!$B$3-1-4)</f>
        <v>1.7237372172296261E-3</v>
      </c>
      <c r="F13" cm="1">
        <f t="array" ref="F13">INDEX(Calc_Growth!$C11:$AK11,Control!$B$3-1-3)</f>
        <v>1.3843506506061365E-2</v>
      </c>
      <c r="G13" cm="1">
        <f t="array" ref="G13">INDEX(Calc_Growth!$C11:$AK11,Control!$B$3-1-2)</f>
        <v>1.7417726668826905E-3</v>
      </c>
      <c r="H13" cm="1">
        <f t="array" ref="H13">INDEX(Calc_Growth!$C11:$AK11,Control!$B$3-1-1)</f>
        <v>1.023574578798736E-2</v>
      </c>
      <c r="I13" cm="1">
        <f t="array" ref="I13">INDEX(Calc_Growth!$C11:$AK11,Control!$B$3-1-0)</f>
        <v>1.0031533059460696E-2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1.0378102809977641E-2</v>
      </c>
      <c r="E14" cm="1">
        <f t="array" ref="E14">INDEX(Calc_Growth!$C12:$AK12,Control!$B$3-1-4)</f>
        <v>5.1177318596828947E-3</v>
      </c>
      <c r="F14" cm="1">
        <f t="array" ref="F14">INDEX(Calc_Growth!$C12:$AK12,Control!$B$3-1-3)</f>
        <v>-1.1354672148788936E-4</v>
      </c>
      <c r="G14" cm="1">
        <f t="array" ref="G14">INDEX(Calc_Growth!$C12:$AK12,Control!$B$3-1-2)</f>
        <v>1.1905829194384321E-2</v>
      </c>
      <c r="H14" cm="1">
        <f t="array" ref="H14">INDEX(Calc_Growth!$C12:$AK12,Control!$B$3-1-1)</f>
        <v>1.0212338678715849E-2</v>
      </c>
      <c r="I14" cm="1">
        <f t="array" ref="I14">INDEX(Calc_Growth!$C12:$AK12,Control!$B$3-1-0)</f>
        <v>2.2919419530622598E-3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3.0493691156261438E-3</v>
      </c>
      <c r="E15" cm="1">
        <f t="array" ref="E15">INDEX(Calc_Growth!$C13:$AK13,Control!$B$3-1-4)</f>
        <v>1.0150646233278104E-2</v>
      </c>
      <c r="F15" cm="1">
        <f t="array" ref="F15">INDEX(Calc_Growth!$C13:$AK13,Control!$B$3-1-3)</f>
        <v>1.2094243185079012E-2</v>
      </c>
      <c r="G15" cm="1">
        <f t="array" ref="G15">INDEX(Calc_Growth!$C13:$AK13,Control!$B$3-1-2)</f>
        <v>1.9823910515530674E-3</v>
      </c>
      <c r="H15" cm="1">
        <f t="array" ref="H15">INDEX(Calc_Growth!$C13:$AK13,Control!$B$3-1-1)</f>
        <v>7.8530848641600315E-3</v>
      </c>
      <c r="I15" cm="1">
        <f t="array" ref="I15">INDEX(Calc_Growth!$C13:$AK13,Control!$B$3-1-0)</f>
        <v>1.1931852452993663E-2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1.5009511561235644E-2</v>
      </c>
      <c r="E16" cm="1">
        <f t="array" ref="E16">INDEX(Calc_Growth!$C14:$AK14,Control!$B$3-1-4)</f>
        <v>4.888710562993781E-3</v>
      </c>
      <c r="F16" cm="1">
        <f t="array" ref="F16">INDEX(Calc_Growth!$C14:$AK14,Control!$B$3-1-3)</f>
        <v>5.5951918126320166E-3</v>
      </c>
      <c r="G16" cm="1">
        <f t="array" ref="G16">INDEX(Calc_Growth!$C14:$AK14,Control!$B$3-1-2)</f>
        <v>4.7542670853208957E-3</v>
      </c>
      <c r="H16" cm="1">
        <f t="array" ref="H16">INDEX(Calc_Growth!$C14:$AK14,Control!$B$3-1-1)</f>
        <v>3.6502233291906272E-3</v>
      </c>
      <c r="I16" cm="1">
        <f t="array" ref="I16">INDEX(Calc_Growth!$C14:$AK14,Control!$B$3-1-0)</f>
        <v>1.2667146757573189E-2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1.1490229500213056E-2</v>
      </c>
      <c r="E17" cm="1">
        <f t="array" ref="E17">INDEX(Calc_Growth!$C15:$AK15,Control!$B$3-1-4)</f>
        <v>8.5410930392346707E-3</v>
      </c>
      <c r="F17" cm="1">
        <f t="array" ref="F17">INDEX(Calc_Growth!$C15:$AK15,Control!$B$3-1-3)</f>
        <v>8.4140592365684608E-3</v>
      </c>
      <c r="G17" cm="1">
        <f t="array" ref="G17">INDEX(Calc_Growth!$C15:$AK15,Control!$B$3-1-2)</f>
        <v>3.3681158276785972E-3</v>
      </c>
      <c r="H17" cm="1">
        <f t="array" ref="H17">INDEX(Calc_Growth!$C15:$AK15,Control!$B$3-1-1)</f>
        <v>8.8171546245827681E-3</v>
      </c>
      <c r="I17" cm="1">
        <f t="array" ref="I17">INDEX(Calc_Growth!$C15:$AK15,Control!$B$3-1-0)</f>
        <v>3.6246534899471161E-3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8.3251083551472149E-3</v>
      </c>
      <c r="E18" cm="1">
        <f t="array" ref="E18">INDEX(Calc_Growth!$C16:$AK16,Control!$B$3-1-4)</f>
        <v>5.3103705910448884E-3</v>
      </c>
      <c r="F18" cm="1">
        <f t="array" ref="F18">INDEX(Calc_Growth!$C16:$AK16,Control!$B$3-1-3)</f>
        <v>9.4780710831812165E-3</v>
      </c>
      <c r="G18" cm="1">
        <f t="array" ref="G18">INDEX(Calc_Growth!$C16:$AK16,Control!$B$3-1-2)</f>
        <v>3.3269496903700624E-3</v>
      </c>
      <c r="H18" cm="1">
        <f t="array" ref="H18">INDEX(Calc_Growth!$C16:$AK16,Control!$B$3-1-1)</f>
        <v>4.0032508998026906E-3</v>
      </c>
      <c r="I18" cm="1">
        <f t="array" ref="I18">INDEX(Calc_Growth!$C16:$AK16,Control!$B$3-1-0)</f>
        <v>1.0467789460050669E-2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5.5362944945636094E-3</v>
      </c>
      <c r="E19" cm="1">
        <f t="array" ref="E19">INDEX(Calc_Growth!$C17:$AK17,Control!$B$3-1-4)</f>
        <v>1.1769802873853763E-2</v>
      </c>
      <c r="F19" cm="1">
        <f t="array" ref="F19">INDEX(Calc_Growth!$C17:$AK17,Control!$B$3-1-3)</f>
        <v>7.1010562375106723E-3</v>
      </c>
      <c r="G19" cm="1">
        <f t="array" ref="G19">INDEX(Calc_Growth!$C17:$AK17,Control!$B$3-1-2)</f>
        <v>2.2676540410302426E-3</v>
      </c>
      <c r="H19" cm="1">
        <f t="array" ref="H19">INDEX(Calc_Growth!$C17:$AK17,Control!$B$3-1-1)</f>
        <v>9.6422384841094999E-3</v>
      </c>
      <c r="I19" cm="1">
        <f t="array" ref="I19">INDEX(Calc_Growth!$C17:$AK17,Control!$B$3-1-0)</f>
        <v>4.4949623158465624E-3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1.144764259837272E-2</v>
      </c>
      <c r="E20" cm="1">
        <f t="array" ref="E20">INDEX(Calc_Growth!$C18:$AK18,Control!$B$3-1-4)</f>
        <v>7.3003308229542263E-3</v>
      </c>
      <c r="F20" cm="1">
        <f t="array" ref="F20">INDEX(Calc_Growth!$C18:$AK18,Control!$B$3-1-3)</f>
        <v>6.6703441252600193E-3</v>
      </c>
      <c r="G20" cm="1">
        <f t="array" ref="G20">INDEX(Calc_Growth!$C18:$AK18,Control!$B$3-1-2)</f>
        <v>3.7219379367903205E-3</v>
      </c>
      <c r="H20" cm="1">
        <f t="array" ref="H20">INDEX(Calc_Growth!$C18:$AK18,Control!$B$3-1-1)</f>
        <v>7.1517060367454199E-3</v>
      </c>
      <c r="I20" cm="1">
        <f t="array" ref="I20">INDEX(Calc_Growth!$C18:$AK18,Control!$B$3-1-0)</f>
        <v>9.4984739062995427E-3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1.3852821013282002E-2</v>
      </c>
      <c r="E21" cm="1">
        <f t="array" ref="E21">INDEX(Calc_Growth!$C19:$AK19,Control!$B$3-1-4)</f>
        <v>2.1535374299488375E-3</v>
      </c>
      <c r="F21" cm="1">
        <f t="array" ref="F21">INDEX(Calc_Growth!$C19:$AK19,Control!$B$3-1-3)</f>
        <v>7.9159646081088386E-3</v>
      </c>
      <c r="G21" cm="1">
        <f t="array" ref="G21">INDEX(Calc_Growth!$C19:$AK19,Control!$B$3-1-2)</f>
        <v>1.0147344448437678E-2</v>
      </c>
      <c r="H21" cm="1">
        <f t="array" ref="H21">INDEX(Calc_Growth!$C19:$AK19,Control!$B$3-1-1)</f>
        <v>6.0800115124477472E-3</v>
      </c>
      <c r="I21" cm="1">
        <f t="array" ref="I21">INDEX(Calc_Growth!$C19:$AK19,Control!$B$3-1-0)</f>
        <v>7.2749667242784088E-3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8.7384373154888451E-3</v>
      </c>
      <c r="E22" cm="1">
        <f t="array" ref="E22">INDEX(Calc_Growth!$C20:$AK20,Control!$B$3-1-4)</f>
        <v>9.2870800327782277E-4</v>
      </c>
      <c r="F22" cm="1">
        <f t="array" ref="F22">INDEX(Calc_Growth!$C20:$AK20,Control!$B$3-1-3)</f>
        <v>7.504639231525001E-3</v>
      </c>
      <c r="G22" cm="1">
        <f t="array" ref="G22">INDEX(Calc_Growth!$C20:$AK20,Control!$B$3-1-2)</f>
        <v>1.1596816196074E-2</v>
      </c>
      <c r="H22" cm="1">
        <f t="array" ref="H22">INDEX(Calc_Growth!$C20:$AK20,Control!$B$3-1-1)</f>
        <v>6.2808399954099592E-3</v>
      </c>
      <c r="I22" cm="1">
        <f t="array" ref="I22">INDEX(Calc_Growth!$C20:$AK20,Control!$B$3-1-0)</f>
        <v>7.0398978226493547E-3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8.1660351750270088E-3</v>
      </c>
      <c r="E23" cm="1">
        <f t="array" ref="E23">INDEX(Calc_Growth!$C21:$AK21,Control!$B$3-1-4)</f>
        <v>5.9720804304983499E-3</v>
      </c>
      <c r="F23" cm="1">
        <f t="array" ref="F23">INDEX(Calc_Growth!$C21:$AK21,Control!$B$3-1-3)</f>
        <v>5.1076547909356673E-3</v>
      </c>
      <c r="G23" cm="1">
        <f t="array" ref="G23">INDEX(Calc_Growth!$C21:$AK21,Control!$B$3-1-2)</f>
        <v>7.4006405751860793E-3</v>
      </c>
      <c r="H23" cm="1">
        <f t="array" ref="H23">INDEX(Calc_Growth!$C21:$AK21,Control!$B$3-1-1)</f>
        <v>1.0074050142629964E-2</v>
      </c>
      <c r="I23" cm="1">
        <f t="array" ref="I23">INDEX(Calc_Growth!$C21:$AK21,Control!$B$3-1-0)</f>
        <v>3.6201463324210259E-3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4.6218030110649622E-3</v>
      </c>
      <c r="E24" cm="1">
        <f t="array" ref="E24">INDEX(Calc_Growth!$C22:$AK22,Control!$B$3-1-4)</f>
        <v>1.4531062674235651E-2</v>
      </c>
      <c r="F24" cm="1">
        <f t="array" ref="F24">INDEX(Calc_Growth!$C22:$AK22,Control!$B$3-1-3)</f>
        <v>3.2959835983881192E-3</v>
      </c>
      <c r="G24" cm="1">
        <f t="array" ref="G24">INDEX(Calc_Growth!$C22:$AK22,Control!$B$3-1-2)</f>
        <v>4.9277336682349571E-3</v>
      </c>
      <c r="H24" cm="1">
        <f t="array" ref="H24">INDEX(Calc_Growth!$C22:$AK22,Control!$B$3-1-1)</f>
        <v>9.8247918012588364E-3</v>
      </c>
      <c r="I24" cm="1">
        <f t="array" ref="I24">INDEX(Calc_Growth!$C22:$AK22,Control!$B$3-1-0)</f>
        <v>5.8661893541598342E-3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Sicula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6798.5</v>
      </c>
      <c r="E5">
        <f>Calc_Links!B20</f>
        <v>6323.7</v>
      </c>
      <c r="F5">
        <f t="shared" ref="F5:F24" si="0">D5-E5</f>
        <v>474.80000000000018</v>
      </c>
      <c r="G5">
        <f>Calc_Links!C20</f>
        <v>7.5082625678004999E-2</v>
      </c>
    </row>
    <row r="6" spans="2:7" x14ac:dyDescent="0.25">
      <c r="C6" t="str">
        <f>Calc_Links!A21</f>
        <v>Banca Adriatica</v>
      </c>
      <c r="D6">
        <f>Calc_Bank!C3</f>
        <v>7958.7</v>
      </c>
      <c r="E6">
        <f>Calc_Links!B21</f>
        <v>7709.2</v>
      </c>
      <c r="F6">
        <f t="shared" si="0"/>
        <v>249.5</v>
      </c>
      <c r="G6">
        <f>Calc_Links!C21</f>
        <v>3.2363928812328129E-2</v>
      </c>
    </row>
    <row r="7" spans="2:7" x14ac:dyDescent="0.25">
      <c r="C7" t="str">
        <f>Calc_Links!A22</f>
        <v>Banca Tirrena</v>
      </c>
      <c r="D7">
        <f>Calc_Bank!C4</f>
        <v>9113.2999999999993</v>
      </c>
      <c r="E7">
        <f>Calc_Links!B22</f>
        <v>8614</v>
      </c>
      <c r="F7">
        <f t="shared" si="0"/>
        <v>499.29999999999927</v>
      </c>
      <c r="G7">
        <f>Calc_Links!C22</f>
        <v>5.7963779893197037E-2</v>
      </c>
    </row>
    <row r="8" spans="2:7" x14ac:dyDescent="0.25">
      <c r="C8" t="str">
        <f>Calc_Links!A23</f>
        <v>Banca Padana</v>
      </c>
      <c r="D8">
        <f>Calc_Bank!C5</f>
        <v>10267.6</v>
      </c>
      <c r="E8">
        <f>Calc_Links!B23</f>
        <v>9793.2999999999993</v>
      </c>
      <c r="F8">
        <f t="shared" si="0"/>
        <v>474.30000000000109</v>
      </c>
      <c r="G8">
        <f>Calc_Links!C23</f>
        <v>4.8431070221478065E-2</v>
      </c>
    </row>
    <row r="9" spans="2:7" x14ac:dyDescent="0.25">
      <c r="C9" t="str">
        <f>Calc_Links!A24</f>
        <v>Banca Etrusca</v>
      </c>
      <c r="D9">
        <f>Calc_Bank!C6</f>
        <v>11395</v>
      </c>
      <c r="E9">
        <f>Calc_Links!B24</f>
        <v>10921.7</v>
      </c>
      <c r="F9">
        <f t="shared" si="0"/>
        <v>473.29999999999927</v>
      </c>
      <c r="G9">
        <f>Calc_Links!C24</f>
        <v>4.3335744435390025E-2</v>
      </c>
    </row>
    <row r="10" spans="2:7" x14ac:dyDescent="0.25">
      <c r="C10" t="str">
        <f>Calc_Links!A25</f>
        <v>Banca Lariana</v>
      </c>
      <c r="D10">
        <f>Calc_Bank!C7</f>
        <v>12562.7</v>
      </c>
      <c r="E10">
        <f>Calc_Links!B25</f>
        <v>12114.9</v>
      </c>
      <c r="F10">
        <f t="shared" si="0"/>
        <v>447.80000000000109</v>
      </c>
      <c r="G10">
        <f>Calc_Links!C25</f>
        <v>3.6962748351203979E-2</v>
      </c>
    </row>
    <row r="11" spans="2:7" x14ac:dyDescent="0.25">
      <c r="C11" t="str">
        <f>Calc_Links!A26</f>
        <v>Banca Sabina</v>
      </c>
      <c r="D11">
        <f>Calc_Bank!C8</f>
        <v>13727.2</v>
      </c>
      <c r="E11">
        <f>Calc_Links!B26</f>
        <v>12964.3</v>
      </c>
      <c r="F11">
        <f t="shared" si="0"/>
        <v>762.90000000000146</v>
      </c>
      <c r="G11">
        <f>Calc_Links!C26</f>
        <v>5.884621614742034E-2</v>
      </c>
    </row>
    <row r="12" spans="2:7" x14ac:dyDescent="0.25">
      <c r="C12" t="str">
        <f>Calc_Links!A27</f>
        <v>Banca Irpina</v>
      </c>
      <c r="D12">
        <f>Calc_Bank!C9</f>
        <v>14918.2</v>
      </c>
      <c r="E12">
        <f>Calc_Links!B27</f>
        <v>14038</v>
      </c>
      <c r="F12">
        <f t="shared" si="0"/>
        <v>880.20000000000073</v>
      </c>
      <c r="G12">
        <f>Calc_Links!C27</f>
        <v>6.2701239492805289E-2</v>
      </c>
    </row>
    <row r="13" spans="2:7" x14ac:dyDescent="0.25">
      <c r="C13" t="str">
        <f>Calc_Links!A28</f>
        <v>Banca Sannita</v>
      </c>
      <c r="D13">
        <f>Calc_Bank!C10</f>
        <v>16079.5</v>
      </c>
      <c r="E13">
        <f>Calc_Links!B28</f>
        <v>15275.1</v>
      </c>
      <c r="F13">
        <f t="shared" si="0"/>
        <v>804.39999999999964</v>
      </c>
      <c r="G13">
        <f>Calc_Links!C28</f>
        <v>5.2660866377306832E-2</v>
      </c>
    </row>
    <row r="14" spans="2:7" x14ac:dyDescent="0.25">
      <c r="C14" t="str">
        <f>Calc_Links!A29</f>
        <v>Banca Ligure</v>
      </c>
      <c r="D14">
        <f>Calc_Bank!C11</f>
        <v>17142.600000000002</v>
      </c>
      <c r="E14">
        <f>Calc_Links!B29</f>
        <v>16243.5</v>
      </c>
      <c r="F14">
        <f t="shared" si="0"/>
        <v>899.10000000000218</v>
      </c>
      <c r="G14">
        <f>Calc_Links!C29</f>
        <v>5.5351371317758004E-2</v>
      </c>
    </row>
    <row r="15" spans="2:7" x14ac:dyDescent="0.25">
      <c r="C15" t="str">
        <f>Calc_Links!A30</f>
        <v>Banca Veneta</v>
      </c>
      <c r="D15">
        <f>Calc_Bank!C12</f>
        <v>18454.5</v>
      </c>
      <c r="E15">
        <f>Calc_Links!B30</f>
        <v>17446.099999999999</v>
      </c>
      <c r="F15">
        <f t="shared" si="0"/>
        <v>1008.4000000000015</v>
      </c>
      <c r="G15">
        <f>Calc_Links!C30</f>
        <v>5.7800883865161932E-2</v>
      </c>
    </row>
    <row r="16" spans="2:7" x14ac:dyDescent="0.25">
      <c r="C16" t="str">
        <f>Calc_Links!A31</f>
        <v>Banca Friulana</v>
      </c>
      <c r="D16">
        <f>Calc_Bank!C13</f>
        <v>19546.399999999998</v>
      </c>
      <c r="E16">
        <f>Calc_Links!B31</f>
        <v>18586.900000000001</v>
      </c>
      <c r="F16">
        <f t="shared" si="0"/>
        <v>959.49999999999636</v>
      </c>
      <c r="G16">
        <f>Calc_Links!C31</f>
        <v>5.162237920255644E-2</v>
      </c>
    </row>
    <row r="17" spans="3:8" x14ac:dyDescent="0.25">
      <c r="C17" t="str">
        <f>Calc_Links!A32</f>
        <v>Banca Umbra</v>
      </c>
      <c r="D17">
        <f>Calc_Bank!C14</f>
        <v>20600.5</v>
      </c>
      <c r="E17">
        <f>Calc_Links!B32</f>
        <v>19786.3</v>
      </c>
      <c r="F17">
        <f t="shared" si="0"/>
        <v>814.20000000000073</v>
      </c>
      <c r="G17">
        <f>Calc_Links!C32</f>
        <v>4.1149684377574422E-2</v>
      </c>
    </row>
    <row r="18" spans="3:8" x14ac:dyDescent="0.25">
      <c r="C18" t="str">
        <f>Calc_Links!A33</f>
        <v>Banca Marchigiana</v>
      </c>
      <c r="D18">
        <f>Calc_Bank!C15</f>
        <v>21844.999999999996</v>
      </c>
      <c r="E18">
        <f>Calc_Links!B33</f>
        <v>20887.599999999999</v>
      </c>
      <c r="F18">
        <f t="shared" si="0"/>
        <v>957.39999999999782</v>
      </c>
      <c r="G18">
        <f>Calc_Links!C33</f>
        <v>4.5835806890212272E-2</v>
      </c>
    </row>
    <row r="19" spans="3:8" x14ac:dyDescent="0.25">
      <c r="C19" t="str">
        <f>Calc_Links!A34</f>
        <v>Banca Lucana</v>
      </c>
      <c r="D19">
        <f>Calc_Bank!C16</f>
        <v>22950.5</v>
      </c>
      <c r="E19">
        <f>Calc_Links!B34</f>
        <v>21864.2</v>
      </c>
      <c r="F19">
        <f t="shared" si="0"/>
        <v>1086.2999999999993</v>
      </c>
      <c r="G19">
        <f>Calc_Links!C34</f>
        <v>4.9683958251388077E-2</v>
      </c>
    </row>
    <row r="20" spans="3:8" x14ac:dyDescent="0.25">
      <c r="C20" t="str">
        <f>Calc_Links!A35</f>
        <v>Banca Calabra</v>
      </c>
      <c r="D20">
        <f>Calc_Bank!C17</f>
        <v>24210.6</v>
      </c>
      <c r="E20">
        <f>Calc_Links!B35</f>
        <v>22871.7</v>
      </c>
      <c r="F20">
        <f t="shared" si="0"/>
        <v>1338.8999999999978</v>
      </c>
      <c r="G20">
        <f>Calc_Links!C35</f>
        <v>5.8539592596964708E-2</v>
      </c>
    </row>
    <row r="21" spans="3:8" x14ac:dyDescent="0.25">
      <c r="C21" t="str">
        <f>Calc_Links!A36</f>
        <v>Banca Sicula</v>
      </c>
      <c r="D21">
        <f>Calc_Bank!C18</f>
        <v>25351.600000000002</v>
      </c>
      <c r="E21">
        <f>Calc_Links!B36</f>
        <v>24056.9</v>
      </c>
      <c r="F21">
        <f t="shared" si="0"/>
        <v>1294.7000000000007</v>
      </c>
      <c r="G21">
        <f>Calc_Links!C36</f>
        <v>5.3818239257759755E-2</v>
      </c>
    </row>
    <row r="22" spans="3:8" x14ac:dyDescent="0.25">
      <c r="C22" t="str">
        <f>Calc_Links!A37</f>
        <v>Banca Sarda</v>
      </c>
      <c r="D22">
        <f>Calc_Bank!C19</f>
        <v>26492.400000000001</v>
      </c>
      <c r="E22">
        <f>Calc_Links!B37</f>
        <v>25208</v>
      </c>
      <c r="F22">
        <f t="shared" si="0"/>
        <v>1284.4000000000015</v>
      </c>
      <c r="G22">
        <f>Calc_Links!C37</f>
        <v>5.0952078705173022E-2</v>
      </c>
    </row>
    <row r="23" spans="3:8" x14ac:dyDescent="0.25">
      <c r="C23" t="str">
        <f>Calc_Links!A38</f>
        <v>Banca Romagnola</v>
      </c>
      <c r="D23">
        <f>Calc_Bank!C20</f>
        <v>27612.3</v>
      </c>
      <c r="E23">
        <f>Calc_Links!B38</f>
        <v>26129.7</v>
      </c>
      <c r="F23">
        <f t="shared" si="0"/>
        <v>1482.5999999999985</v>
      </c>
      <c r="G23">
        <f>Calc_Links!C38</f>
        <v>5.6740031458455263E-2</v>
      </c>
    </row>
    <row r="24" spans="3:8" x14ac:dyDescent="0.25">
      <c r="C24" t="str">
        <f>Calc_Links!A39</f>
        <v>Banca Città</v>
      </c>
      <c r="D24">
        <f>Calc_Bank!C21</f>
        <v>28772.399999999998</v>
      </c>
      <c r="E24">
        <f>Calc_Links!B39</f>
        <v>27587.9</v>
      </c>
      <c r="F24">
        <f t="shared" si="0"/>
        <v>1184.4999999999964</v>
      </c>
      <c r="G24">
        <f>Calc_Links!C39</f>
        <v>4.2935489834311287E-2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355799.5</v>
      </c>
    </row>
    <row r="6" spans="2:5" x14ac:dyDescent="0.25">
      <c r="C6" t="s">
        <v>283</v>
      </c>
      <c r="D6">
        <f>Calc_Links!B11</f>
        <v>49350.8</v>
      </c>
    </row>
    <row r="7" spans="2:5" x14ac:dyDescent="0.25">
      <c r="C7" t="s">
        <v>284</v>
      </c>
      <c r="D7">
        <f>Calc_Links!B12</f>
        <v>17376.499999999996</v>
      </c>
    </row>
    <row r="8" spans="2:5" x14ac:dyDescent="0.25">
      <c r="C8" t="s">
        <v>285</v>
      </c>
      <c r="D8">
        <f>Calc_Links!B13</f>
        <v>4109.7999999999975</v>
      </c>
    </row>
    <row r="9" spans="2:5" x14ac:dyDescent="0.25">
      <c r="C9" t="s">
        <v>286</v>
      </c>
      <c r="D9">
        <f>Calc_Links!B14</f>
        <v>9</v>
      </c>
    </row>
    <row r="10" spans="2:5" x14ac:dyDescent="0.25">
      <c r="C10" t="s">
        <v>287</v>
      </c>
      <c r="D10" t="str">
        <f>Calc_Links!B15</f>
        <v>Sud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6.798,5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7.958,7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9.113,3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10.267,6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11.395,0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12.562,7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13.727,2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14.918,2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16.079,5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17.142,6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18.454,5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19.546,4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20.600,5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21.845,0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22.950,5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24.210,6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25.351,6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26.492,4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27.612,3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28.772,4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2025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lug-24</v>
      </c>
      <c r="H5" cm="1">
        <f t="array" ref="H5">INDEX(Calc_Dates!$K$2:$K$37,C5)</f>
        <v>10</v>
      </c>
    </row>
    <row r="6" spans="2:9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INDEX(Calc_Dates!$I$2:$I$37,C6)</f>
        <v>22</v>
      </c>
      <c r="F6" t="str" cm="1">
        <f t="array" ref="F6">INDEX(Calc_Dates!$L$2:$L$37,C6)</f>
        <v>passato</v>
      </c>
      <c r="G6" t="str" cm="1">
        <f t="array" ref="G6">INDEX(Calc_Dates!$M$2:$M$37,C6)</f>
        <v>ago-24</v>
      </c>
      <c r="H6" cm="1">
        <f t="array" ref="H6">INDEX(Calc_Dates!$K$2:$K$37,C6)</f>
        <v>9</v>
      </c>
    </row>
    <row r="7" spans="2:9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INDEX(Calc_Dates!$I$2:$I$37,C7)</f>
        <v>21</v>
      </c>
      <c r="F7" t="str" cm="1">
        <f t="array" ref="F7">INDEX(Calc_Dates!$L$2:$L$37,C7)</f>
        <v>passato</v>
      </c>
      <c r="G7" t="str" cm="1">
        <f t="array" ref="G7">INDEX(Calc_Dates!$M$2:$M$37,C7)</f>
        <v>set-24</v>
      </c>
      <c r="H7" cm="1">
        <f t="array" ref="H7">INDEX(Calc_Dates!$K$2:$K$37,C7)</f>
        <v>9</v>
      </c>
    </row>
    <row r="8" spans="2:9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ott-24</v>
      </c>
      <c r="H8" cm="1">
        <f t="array" ref="H8">INDEX(Calc_Dates!$K$2:$K$37,C8)</f>
        <v>7</v>
      </c>
    </row>
    <row r="9" spans="2:9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INDEX(Calc_Dates!$I$2:$I$37,C9)</f>
        <v>21</v>
      </c>
      <c r="F9" t="str" cm="1">
        <f t="array" ref="F9">INDEX(Calc_Dates!$L$2:$L$37,C9)</f>
        <v>passato</v>
      </c>
      <c r="G9" t="str" cm="1">
        <f t="array" ref="G9">INDEX(Calc_Dates!$M$2:$M$37,C9)</f>
        <v>nov-24</v>
      </c>
      <c r="H9" cm="1">
        <f t="array" ref="H9">INDEX(Calc_Dates!$K$2:$K$37,C9)</f>
        <v>7</v>
      </c>
    </row>
    <row r="10" spans="2:9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INDEX(Calc_Dates!$I$2:$I$37,C10)</f>
        <v>22</v>
      </c>
      <c r="F10" t="str" cm="1">
        <f t="array" ref="F10">INDEX(Calc_Dates!$L$2:$L$37,C10)</f>
        <v>passato</v>
      </c>
      <c r="G10" t="str" cm="1">
        <f t="array" ref="G10">INDEX(Calc_Dates!$M$2:$M$37,C10)</f>
        <v>dic-24</v>
      </c>
      <c r="H10" cm="1">
        <f t="array" ref="H10">INDEX(Calc_Dates!$K$2:$K$37,C10)</f>
        <v>5</v>
      </c>
    </row>
    <row r="11" spans="2:9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INDEX(Calc_Dates!$I$2:$I$37,C11)</f>
        <v>23</v>
      </c>
      <c r="F11" t="str" cm="1">
        <f t="array" ref="F11">INDEX(Calc_Dates!$L$2:$L$37,C11)</f>
        <v>passato</v>
      </c>
      <c r="G11" t="str" cm="1">
        <f t="array" ref="G11">INDEX(Calc_Dates!$M$2:$M$37,C11)</f>
        <v>gen-25</v>
      </c>
      <c r="H11" cm="1">
        <f t="array" ref="H11">INDEX(Calc_Dates!$K$2:$K$37,C11)</f>
        <v>4</v>
      </c>
    </row>
    <row r="12" spans="2:9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feb-25</v>
      </c>
      <c r="H12" cm="1">
        <f t="array" ref="H12">INDEX(Calc_Dates!$K$2:$K$37,C12)</f>
        <v>4</v>
      </c>
    </row>
    <row r="13" spans="2:9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INDEX(Calc_Dates!$I$2:$I$37,C13)</f>
        <v>21</v>
      </c>
      <c r="F13" t="str" cm="1">
        <f t="array" ref="F13">INDEX(Calc_Dates!$L$2:$L$37,C13)</f>
        <v>passato</v>
      </c>
      <c r="G13" t="str" cm="1">
        <f t="array" ref="G13">INDEX(Calc_Dates!$M$2:$M$37,C13)</f>
        <v>mar-25</v>
      </c>
      <c r="H13" cm="1">
        <f t="array" ref="H13">INDEX(Calc_Dates!$K$2:$K$37,C13)</f>
        <v>2</v>
      </c>
    </row>
    <row r="14" spans="2:9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apr-25</v>
      </c>
      <c r="H14" cm="1">
        <f t="array" ref="H14">INDEX(Calc_Dates!$K$2:$K$37,C14)</f>
        <v>2</v>
      </c>
    </row>
    <row r="15" spans="2:9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INDEX(Calc_Dates!$I$2:$I$37,C15)</f>
        <v>22</v>
      </c>
      <c r="F15" t="str" cm="1">
        <f t="array" ref="F15">INDEX(Calc_Dates!$L$2:$L$37,C15)</f>
        <v>passato</v>
      </c>
      <c r="G15" t="str" cm="1">
        <f t="array" ref="G15">INDEX(Calc_Dates!$M$2:$M$37,C15)</f>
        <v>mag-25</v>
      </c>
      <c r="H15" cm="1">
        <f t="array" ref="H15">INDEX(Calc_Dates!$K$2:$K$37,C15)</f>
        <v>0</v>
      </c>
    </row>
    <row r="16" spans="2:9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INDEX(Calc_Dates!$I$2:$I$37,C16)</f>
        <v>21</v>
      </c>
      <c r="F16" t="str" cm="1">
        <f t="array" ref="F16">INDEX(Calc_Dates!$L$2:$L$37,C16)</f>
        <v>corrente</v>
      </c>
      <c r="G16" t="str" cm="1">
        <f t="array" ref="G16">INDEX(Calc_Dates!$M$2:$M$37,C16)</f>
        <v>giu-25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Sud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Irpina</v>
      </c>
      <c r="D5">
        <f>IF(C5="","",SUMIFS(Calc_Bank!$C$2:$C$21,Calc_Bank!$A$2:$A$21,C5))</f>
        <v>14918.2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8">_xlfn._xlws.FILTER(Calc_Bank!A2:A21,Calc_Bank!B2:B21=Control!B5)</f>
        <v>Banca Irpina</v>
      </c>
    </row>
    <row r="6" spans="2:8" x14ac:dyDescent="0.25">
      <c r="C6" t="str" cm="1">
        <f t="array" ref="C6">IFERROR(INDEX(Calc_Dynamic!$A$2:$A$21,ROW()-4)&amp;"","")</f>
        <v>Banca Sannita</v>
      </c>
      <c r="D6">
        <f>IF(C6="","",SUMIFS(Calc_Bank!$C$2:$C$21,Calc_Bank!$A$2:$A$21,C6))</f>
        <v>16079.5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Sannita</v>
      </c>
    </row>
    <row r="7" spans="2:8" x14ac:dyDescent="0.25">
      <c r="C7" t="str" cm="1">
        <f t="array" ref="C7">IFERROR(INDEX(Calc_Dynamic!$A$2:$A$21,ROW()-4)&amp;"","")</f>
        <v>Banca Lucana</v>
      </c>
      <c r="D7">
        <f>IF(C7="","",SUMIFS(Calc_Bank!$C$2:$C$21,Calc_Bank!$A$2:$A$21,C7))</f>
        <v>22950.5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Lucana</v>
      </c>
    </row>
    <row r="8" spans="2:8" x14ac:dyDescent="0.25">
      <c r="C8" t="str" cm="1">
        <f t="array" ref="C8">IFERROR(INDEX(Calc_Dynamic!$A$2:$A$21,ROW()-4)&amp;"","")</f>
        <v>Banca Calabra</v>
      </c>
      <c r="D8">
        <f>IF(C8="","",SUMIFS(Calc_Bank!$C$2:$C$21,Calc_Bank!$A$2:$A$21,C8))</f>
        <v>24210.6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Calabra</v>
      </c>
    </row>
    <row r="9" spans="2:8" x14ac:dyDescent="0.25">
      <c r="C9" t="str" cm="1">
        <f t="array" ref="C9">IFERROR(INDEX(Calc_Dynamic!$A$2:$A$21,ROW()-4)&amp;"","")</f>
        <v/>
      </c>
      <c r="D9" t="str">
        <f>IF(C9="","",SUMIFS(Calc_Bank!$C$2:$C$21,Calc_Bank!$A$2:$A$21,C9))</f>
        <v/>
      </c>
      <c r="E9" t="str" cm="1">
        <f t="array" ref="E9">INDEX(Calc_Dynamic!$L$2:$L$21,ROW()-4)</f>
        <v>Banca Calabra</v>
      </c>
      <c r="F9" t="str">
        <f>IF(C9=Control!$B$2,"&lt;&lt;","")</f>
        <v/>
      </c>
    </row>
    <row r="10" spans="2:8" x14ac:dyDescent="0.25">
      <c r="C10" t="str" cm="1">
        <f t="array" ref="C10">IFERROR(INDEX(Calc_Dynamic!$A$2:$A$21,ROW()-4)&amp;"","")</f>
        <v/>
      </c>
      <c r="D10" t="str">
        <f>IF(C10="","",SUMIFS(Calc_Bank!$C$2:$C$21,Calc_Bank!$A$2:$A$21,C10))</f>
        <v/>
      </c>
      <c r="E10" t="str" cm="1">
        <f t="array" ref="E10">INDEX(Calc_Dynamic!$L$2:$L$21,ROW()-4)</f>
        <v>Banca Lucana</v>
      </c>
      <c r="F10" t="str">
        <f>IF(C10=Control!$B$2,"&lt;&lt;","")</f>
        <v/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Sicula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67484.799999999988</v>
      </c>
      <c r="E5">
        <f>SUMIF(Calc_Month!$T$2:$T$37,C5,Calc_Month!$D$2:$D$37)</f>
        <v>3636.8900000000003</v>
      </c>
      <c r="F5">
        <f>SUMIF(Calc_Month!$T$2:$T$37,C5,Calc_Month!$G$2:$G$37)</f>
        <v>1441.7700000000004</v>
      </c>
      <c r="G5">
        <f>AVERAGEIF(Calc_Month!$T$2:$T$37,C5,Calc_Month!$C$2:$C$37)</f>
        <v>22494.933333333331</v>
      </c>
    </row>
    <row r="6" spans="2:8" x14ac:dyDescent="0.25">
      <c r="C6" t="s">
        <v>291</v>
      </c>
      <c r="D6">
        <f>SUMIF(Calc_Month!$T$2:$T$37,C6,Calc_Month!$C$2:$C$37)</f>
        <v>69132.600000000006</v>
      </c>
      <c r="E6">
        <f>SUMIF(Calc_Month!$T$2:$T$37,C6,Calc_Month!$D$2:$D$37)</f>
        <v>3727.67</v>
      </c>
      <c r="F6">
        <f>SUMIF(Calc_Month!$T$2:$T$37,C6,Calc_Month!$G$2:$G$37)</f>
        <v>1478.6299999999999</v>
      </c>
      <c r="G6">
        <f>AVERAGEIF(Calc_Month!$T$2:$T$37,C6,Calc_Month!$C$2:$C$37)</f>
        <v>23044.2</v>
      </c>
    </row>
    <row r="7" spans="2:8" x14ac:dyDescent="0.25">
      <c r="C7" t="s">
        <v>292</v>
      </c>
      <c r="D7">
        <f>SUMIF(Calc_Month!$T$2:$T$37,C7,Calc_Month!$C$2:$C$37)</f>
        <v>70589.5</v>
      </c>
      <c r="E7">
        <f>SUMIF(Calc_Month!$T$2:$T$37,C7,Calc_Month!$D$2:$D$37)</f>
        <v>3804.09</v>
      </c>
      <c r="F7">
        <f>SUMIF(Calc_Month!$T$2:$T$37,C7,Calc_Month!$G$2:$G$37)</f>
        <v>1505.6699999999998</v>
      </c>
      <c r="G7">
        <f>AVERAGEIF(Calc_Month!$T$2:$T$37,C7,Calc_Month!$C$2:$C$37)</f>
        <v>23529.833333333332</v>
      </c>
    </row>
    <row r="8" spans="2:8" x14ac:dyDescent="0.25">
      <c r="C8" t="s">
        <v>293</v>
      </c>
      <c r="D8">
        <f>SUMIF(Calc_Month!$T$2:$T$37,C8,Calc_Month!$C$2:$C$37)</f>
        <v>72229.100000000006</v>
      </c>
      <c r="E8">
        <f>SUMIF(Calc_Month!$T$2:$T$37,C8,Calc_Month!$D$2:$D$37)</f>
        <v>3888.7999999999993</v>
      </c>
      <c r="F8">
        <f>SUMIF(Calc_Month!$T$2:$T$37,C8,Calc_Month!$G$2:$G$37)</f>
        <v>1539.0399999999997</v>
      </c>
      <c r="G8">
        <f>AVERAGEIF(Calc_Month!$T$2:$T$37,C8,Calc_Month!$C$2:$C$37)</f>
        <v>24076.366666666669</v>
      </c>
    </row>
    <row r="9" spans="2:8" x14ac:dyDescent="0.25">
      <c r="C9" t="s">
        <v>294</v>
      </c>
      <c r="D9">
        <f>SUMIF(Calc_Month!$T$2:$T$37,C9,Calc_Month!$C$2:$C$37)</f>
        <v>73853.5</v>
      </c>
      <c r="E9">
        <f>SUMIF(Calc_Month!$T$2:$T$37,C9,Calc_Month!$D$2:$D$37)</f>
        <v>3980.92</v>
      </c>
      <c r="F9">
        <f>SUMIF(Calc_Month!$T$2:$T$37,C9,Calc_Month!$G$2:$G$37)</f>
        <v>1578.21</v>
      </c>
      <c r="G9">
        <f>AVERAGEIF(Calc_Month!$T$2:$T$37,C9,Calc_Month!$C$2:$C$37)</f>
        <v>24617.833333333332</v>
      </c>
    </row>
    <row r="10" spans="2:8" x14ac:dyDescent="0.25">
      <c r="C10" t="s">
        <v>295</v>
      </c>
      <c r="D10">
        <f>SUMIF(Calc_Month!$T$2:$T$37,C10,Calc_Month!$C$2:$C$37)</f>
        <v>75536.5</v>
      </c>
      <c r="E10">
        <f>SUMIF(Calc_Month!$T$2:$T$37,C10,Calc_Month!$D$2:$D$37)</f>
        <v>4069.0600000000004</v>
      </c>
      <c r="F10">
        <f>SUMIF(Calc_Month!$T$2:$T$37,C10,Calc_Month!$G$2:$G$37)</f>
        <v>1613.21</v>
      </c>
      <c r="G10">
        <f>AVERAGEIF(Calc_Month!$T$2:$T$37,C10,Calc_Month!$C$2:$C$37)</f>
        <v>25178.833333333332</v>
      </c>
    </row>
    <row r="11" spans="2:8" x14ac:dyDescent="0.25">
      <c r="C11" t="s">
        <v>296</v>
      </c>
      <c r="D11">
        <f>SUMIF(Calc_Month!$T$2:$T$37,C11,Calc_Month!$C$2:$C$37)</f>
        <v>76878</v>
      </c>
      <c r="E11">
        <f>SUMIF(Calc_Month!$T$2:$T$37,C11,Calc_Month!$D$2:$D$37)</f>
        <v>4141.13</v>
      </c>
      <c r="F11">
        <f>SUMIF(Calc_Month!$T$2:$T$37,C11,Calc_Month!$G$2:$G$37)</f>
        <v>1642.5499999999997</v>
      </c>
      <c r="G11">
        <f>AVERAGEIF(Calc_Month!$T$2:$T$37,C11,Calc_Month!$C$2:$C$37)</f>
        <v>25626</v>
      </c>
    </row>
    <row r="12" spans="2:8" x14ac:dyDescent="0.25">
      <c r="C12" t="s">
        <v>297</v>
      </c>
      <c r="D12">
        <f>SUMIF(Calc_Month!$T$2:$T$37,C12,Calc_Month!$C$2:$C$37)</f>
        <v>78580.899999999994</v>
      </c>
      <c r="E12">
        <f>SUMIF(Calc_Month!$T$2:$T$37,C12,Calc_Month!$D$2:$D$37)</f>
        <v>4232.83</v>
      </c>
      <c r="F12">
        <f>SUMIF(Calc_Month!$T$2:$T$37,C12,Calc_Month!$G$2:$G$37)</f>
        <v>1676.3299999999997</v>
      </c>
      <c r="G12">
        <f>AVERAGEIF(Calc_Month!$T$2:$T$37,C12,Calc_Month!$C$2:$C$37)</f>
        <v>26193.633333333331</v>
      </c>
    </row>
    <row r="13" spans="2:8" x14ac:dyDescent="0.25">
      <c r="C13" t="s">
        <v>298</v>
      </c>
      <c r="D13">
        <f>SUMIF(Calc_Month!$T$2:$T$37,C13,Calc_Month!$C$2:$C$37)</f>
        <v>80131</v>
      </c>
      <c r="E13">
        <f>SUMIF(Calc_Month!$T$2:$T$37,C13,Calc_Month!$D$2:$D$37)</f>
        <v>4315.9399999999996</v>
      </c>
      <c r="F13">
        <f>SUMIF(Calc_Month!$T$2:$T$37,C13,Calc_Month!$G$2:$G$37)</f>
        <v>1713.4</v>
      </c>
      <c r="G13">
        <f>AVERAGEIF(Calc_Month!$T$2:$T$37,C13,Calc_Month!$C$2:$C$37)</f>
        <v>26710.333333333332</v>
      </c>
    </row>
    <row r="14" spans="2:8" x14ac:dyDescent="0.25">
      <c r="C14" t="s">
        <v>299</v>
      </c>
      <c r="D14">
        <f>SUMIF(Calc_Month!$T$2:$T$37,C14,Calc_Month!$C$2:$C$37)</f>
        <v>81856</v>
      </c>
      <c r="E14">
        <f>SUMIF(Calc_Month!$T$2:$T$37,C14,Calc_Month!$D$2:$D$37)</f>
        <v>4407.83</v>
      </c>
      <c r="F14">
        <f>SUMIF(Calc_Month!$T$2:$T$37,C14,Calc_Month!$G$2:$G$37)</f>
        <v>1748.38</v>
      </c>
      <c r="G14">
        <f>AVERAGEIF(Calc_Month!$T$2:$T$37,C14,Calc_Month!$C$2:$C$37)</f>
        <v>27285.333333333332</v>
      </c>
    </row>
    <row r="15" spans="2:8" x14ac:dyDescent="0.25">
      <c r="C15" t="s">
        <v>300</v>
      </c>
      <c r="D15">
        <f>SUMIF(Calc_Month!$T$2:$T$37,C15,Calc_Month!$C$2:$C$37)</f>
        <v>83527.399999999994</v>
      </c>
      <c r="E15">
        <f>SUMIF(Calc_Month!$T$2:$T$37,C15,Calc_Month!$D$2:$D$37)</f>
        <v>4495.1400000000003</v>
      </c>
      <c r="F15">
        <f>SUMIF(Calc_Month!$T$2:$T$37,C15,Calc_Month!$G$2:$G$37)</f>
        <v>1782.1200000000001</v>
      </c>
      <c r="G15">
        <f>AVERAGEIF(Calc_Month!$T$2:$T$37,C15,Calc_Month!$C$2:$C$37)</f>
        <v>27842.466666666664</v>
      </c>
    </row>
    <row r="16" spans="2:8" x14ac:dyDescent="0.25">
      <c r="C16" t="s">
        <v>301</v>
      </c>
      <c r="D16">
        <f>SUMIF(Calc_Month!$T$2:$T$37,C16,Calc_Month!$C$2:$C$37)</f>
        <v>85063.9</v>
      </c>
      <c r="E16">
        <f>SUMIF(Calc_Month!$T$2:$T$37,C16,Calc_Month!$D$2:$D$37)</f>
        <v>4580.6100000000006</v>
      </c>
      <c r="F16">
        <f>SUMIF(Calc_Month!$T$2:$T$37,C16,Calc_Month!$G$2:$G$37)</f>
        <v>1818.27</v>
      </c>
      <c r="G16">
        <f>AVERAGEIF(Calc_Month!$T$2:$T$37,C16,Calc_Month!$C$2:$C$37)</f>
        <v>28354.633333333331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18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98757.9</v>
      </c>
      <c r="F5">
        <f>SUMIF(Calc_Bank!$R$2:$R$21,C5,Calc_Bank!$F$2:$F$21)</f>
        <v>2102.54</v>
      </c>
      <c r="G5">
        <f>E5/Calc_Bank!$C$23</f>
        <v>0.27756615734423457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148071.9</v>
      </c>
      <c r="F6">
        <f>SUMIF(Calc_Bank!$R$2:$R$21,C6,Calc_Bank!$F$2:$F$21)</f>
        <v>3162.1499999999992</v>
      </c>
      <c r="G6">
        <f>E6/Calc_Bank!$C$23</f>
        <v>0.41616668938545442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108969.70000000001</v>
      </c>
      <c r="F7">
        <f>SUMIF(Calc_Bank!$R$2:$R$21,C7,Calc_Bank!$F$2:$F$21)</f>
        <v>2327.5300000000002</v>
      </c>
      <c r="G7">
        <f>E7/Calc_Bank!$C$23</f>
        <v>0.30626715327031095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7030.3288499999999</v>
      </c>
      <c r="E5">
        <f>Calc_Deep!E2</f>
        <v>7039.4820781651806</v>
      </c>
      <c r="F5">
        <f>Calc_Deep!H2</f>
        <v>315.72806499525774</v>
      </c>
      <c r="G5" s="1">
        <f>Calc_Deep!I2</f>
        <v>346.72806499525774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8230.0916699999998</v>
      </c>
      <c r="E6">
        <f>Calc_Deep!E3</f>
        <v>8194.3988625126385</v>
      </c>
      <c r="F6">
        <f>Calc_Deep!H3</f>
        <v>367.39678960648519</v>
      </c>
      <c r="G6" s="1">
        <f>Calc_Deep!I3</f>
        <v>398.39678960648519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9424.0635299999994</v>
      </c>
      <c r="E7">
        <f>Calc_Deep!E4</f>
        <v>9416.9422384379541</v>
      </c>
      <c r="F7">
        <f>Calc_Deep!H4</f>
        <v>422.09069272203431</v>
      </c>
      <c r="G7" s="1">
        <f>Calc_Deep!I4</f>
        <v>453.09069272203431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10617.72516</v>
      </c>
      <c r="E8">
        <f>Calc_Deep!E5</f>
        <v>10689.002807803479</v>
      </c>
      <c r="F8">
        <f>Calc_Deep!H5</f>
        <v>479.00001789517006</v>
      </c>
      <c r="G8" s="1">
        <f>Calc_Deep!I5</f>
        <v>510.00001789517006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11783.5695</v>
      </c>
      <c r="E9">
        <f>Calc_Deep!E6</f>
        <v>11821.071290680762</v>
      </c>
      <c r="F9">
        <f>Calc_Deep!H6</f>
        <v>529.64648091480103</v>
      </c>
      <c r="G9" s="1">
        <f>Calc_Deep!I6</f>
        <v>560.64648091480103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12991.088070000002</v>
      </c>
      <c r="E10">
        <f>Calc_Deep!E7</f>
        <v>13104.828299979807</v>
      </c>
      <c r="F10">
        <f>Calc_Deep!H7</f>
        <v>587.07923981317435</v>
      </c>
      <c r="G10" s="1">
        <f>Calc_Deep!I7</f>
        <v>618.07923981317435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14195.297520000002</v>
      </c>
      <c r="E11">
        <f>Calc_Deep!E8</f>
        <v>14274.09189925485</v>
      </c>
      <c r="F11">
        <f>Calc_Deep!H8</f>
        <v>639.38950627225711</v>
      </c>
      <c r="G11" s="1">
        <f>Calc_Deep!I8</f>
        <v>670.38950627225711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15426.910620000001</v>
      </c>
      <c r="E12">
        <f>Calc_Deep!E9</f>
        <v>15503.599611804533</v>
      </c>
      <c r="F12">
        <f>Calc_Deep!H9</f>
        <v>694.39523272668703</v>
      </c>
      <c r="G12" s="1">
        <f>Calc_Deep!I9</f>
        <v>725.39523272668703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16627.810949999999</v>
      </c>
      <c r="E13">
        <f>Calc_Deep!E10</f>
        <v>16727.772523945212</v>
      </c>
      <c r="F13">
        <f>Calc_Deep!H10</f>
        <v>749.16205866036751</v>
      </c>
      <c r="G13" s="1">
        <f>Calc_Deep!I10</f>
        <v>780.16205866036751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17727.162660000002</v>
      </c>
      <c r="E14">
        <f>Calc_Deep!E11</f>
        <v>17927.632766381437</v>
      </c>
      <c r="F14">
        <f>Calc_Deep!H11</f>
        <v>802.84130563160988</v>
      </c>
      <c r="G14" s="1">
        <f>Calc_Deep!I11</f>
        <v>833.84130563160988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19083.798450000002</v>
      </c>
      <c r="E15">
        <f>Calc_Deep!E12</f>
        <v>19239.252507343783</v>
      </c>
      <c r="F15">
        <f>Calc_Deep!H12</f>
        <v>861.5204631270019</v>
      </c>
      <c r="G15" s="1">
        <f>Calc_Deep!I12</f>
        <v>892.5204631270019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20212.932239999998</v>
      </c>
      <c r="E16">
        <f>Calc_Deep!E13</f>
        <v>20387.763848035695</v>
      </c>
      <c r="F16">
        <f>Calc_Deep!H13</f>
        <v>912.90241763747963</v>
      </c>
      <c r="G16" s="1">
        <f>Calc_Deep!I13</f>
        <v>943.90241763747963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21302.977050000001</v>
      </c>
      <c r="E17">
        <f>Calc_Deep!E14</f>
        <v>21506.463643120707</v>
      </c>
      <c r="F17">
        <f>Calc_Deep!H14</f>
        <v>962.95073459673222</v>
      </c>
      <c r="G17" s="1">
        <f>Calc_Deep!I14</f>
        <v>993.95073459673222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22589.914499999995</v>
      </c>
      <c r="E18">
        <f>Calc_Deep!E15</f>
        <v>22819.107999020001</v>
      </c>
      <c r="F18">
        <f>Calc_Deep!H15</f>
        <v>1021.6759721551152</v>
      </c>
      <c r="G18" s="1">
        <f>Calc_Deep!I15</f>
        <v>1052.6759721551152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23733.11205</v>
      </c>
      <c r="E19">
        <f>Calc_Deep!E16</f>
        <v>23960.681868791304</v>
      </c>
      <c r="F19">
        <f>Calc_Deep!H16</f>
        <v>1072.7474454644689</v>
      </c>
      <c r="G19" s="1">
        <f>Calc_Deep!I16</f>
        <v>1103.7474454644689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25036.18146</v>
      </c>
      <c r="E20">
        <f>Calc_Deep!E17</f>
        <v>25289.023919023919</v>
      </c>
      <c r="F20">
        <f>Calc_Deep!H17</f>
        <v>1132.1746210697731</v>
      </c>
      <c r="G20" s="1">
        <f>Calc_Deep!I17</f>
        <v>1163.1746210697731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26216.089560000004</v>
      </c>
      <c r="E21">
        <f>Calc_Deep!E18</f>
        <v>26424.324843644474</v>
      </c>
      <c r="F21">
        <f>Calc_Deep!H18</f>
        <v>1182.96558758791</v>
      </c>
      <c r="G21" s="1">
        <f>Calc_Deep!I18</f>
        <v>1213.96558758791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27395.790840000001</v>
      </c>
      <c r="E22">
        <f>Calc_Deep!E19</f>
        <v>27623.149473009169</v>
      </c>
      <c r="F22">
        <f>Calc_Deep!H19</f>
        <v>1236.5987544961615</v>
      </c>
      <c r="G22" s="1">
        <f>Calc_Deep!I19</f>
        <v>1267.5987544961615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28553.879430000001</v>
      </c>
      <c r="E23">
        <f>Calc_Deep!E20</f>
        <v>28881.257240722502</v>
      </c>
      <c r="F23">
        <f>Calc_Deep!H20</f>
        <v>1292.8839856122831</v>
      </c>
      <c r="G23" s="1">
        <f>Calc_Deep!I20</f>
        <v>1323.8839856122831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29753.538839999997</v>
      </c>
      <c r="E24">
        <f>Calc_Deep!E21</f>
        <v>30106.614503902463</v>
      </c>
      <c r="F24">
        <f>Calc_Deep!H21</f>
        <v>1347.7036022977397</v>
      </c>
      <c r="G24" s="1">
        <f>Calc_Deep!I21</f>
        <v>1378.7036022977397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Sicula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6798.5</v>
      </c>
      <c r="E5">
        <f t="shared" ref="E5:E24" si="0">D5*(1-TaxRate)</f>
        <v>5166.8599999999997</v>
      </c>
    </row>
    <row r="6" spans="2:5" x14ac:dyDescent="0.25">
      <c r="C6" t="str">
        <f>Calc_Names!A12</f>
        <v>Banca Adriatica</v>
      </c>
      <c r="D6">
        <f>Calc_Names!B12</f>
        <v>7958.7</v>
      </c>
      <c r="E6">
        <f t="shared" si="0"/>
        <v>6048.6120000000001</v>
      </c>
    </row>
    <row r="7" spans="2:5" x14ac:dyDescent="0.25">
      <c r="C7" t="str">
        <f>Calc_Names!A13</f>
        <v>Banca Tirrena</v>
      </c>
      <c r="D7">
        <f>Calc_Names!B13</f>
        <v>9113.2999999999993</v>
      </c>
      <c r="E7">
        <f t="shared" si="0"/>
        <v>6926.1079999999993</v>
      </c>
    </row>
    <row r="8" spans="2:5" x14ac:dyDescent="0.25">
      <c r="C8" t="str">
        <f>Calc_Names!A14</f>
        <v>Banca Padana</v>
      </c>
      <c r="D8">
        <f>Calc_Names!B14</f>
        <v>10267.6</v>
      </c>
      <c r="E8">
        <f t="shared" si="0"/>
        <v>7803.3760000000002</v>
      </c>
    </row>
    <row r="9" spans="2:5" x14ac:dyDescent="0.25">
      <c r="C9" t="str">
        <f>Calc_Names!A15</f>
        <v>Banca Etrusca</v>
      </c>
      <c r="D9">
        <f>Calc_Names!B15</f>
        <v>11395</v>
      </c>
      <c r="E9">
        <f t="shared" si="0"/>
        <v>8660.2000000000007</v>
      </c>
    </row>
    <row r="10" spans="2:5" x14ac:dyDescent="0.25">
      <c r="C10" t="str">
        <f>Calc_Names!A16</f>
        <v>Banca Lariana</v>
      </c>
      <c r="D10">
        <f>Calc_Names!B16</f>
        <v>12562.7</v>
      </c>
      <c r="E10">
        <f t="shared" si="0"/>
        <v>9547.652</v>
      </c>
    </row>
    <row r="11" spans="2:5" x14ac:dyDescent="0.25">
      <c r="C11" t="str">
        <f>Calc_Names!A17</f>
        <v>Banca Sabina</v>
      </c>
      <c r="D11">
        <f>Calc_Names!B17</f>
        <v>13727.2</v>
      </c>
      <c r="E11">
        <f t="shared" si="0"/>
        <v>10432.672</v>
      </c>
    </row>
    <row r="12" spans="2:5" x14ac:dyDescent="0.25">
      <c r="C12" t="str">
        <f>Calc_Names!A18</f>
        <v>Banca Irpina</v>
      </c>
      <c r="D12">
        <f>Calc_Names!B18</f>
        <v>14918.2</v>
      </c>
      <c r="E12">
        <f t="shared" si="0"/>
        <v>11337.832</v>
      </c>
    </row>
    <row r="13" spans="2:5" x14ac:dyDescent="0.25">
      <c r="C13" t="str">
        <f>Calc_Names!A19</f>
        <v>Banca Sannita</v>
      </c>
      <c r="D13">
        <f>Calc_Names!B19</f>
        <v>16079.5</v>
      </c>
      <c r="E13">
        <f t="shared" si="0"/>
        <v>12220.42</v>
      </c>
    </row>
    <row r="14" spans="2:5" x14ac:dyDescent="0.25">
      <c r="C14" t="str">
        <f>Calc_Names!A20</f>
        <v>Banca Ligure</v>
      </c>
      <c r="D14">
        <f>Calc_Names!B20</f>
        <v>17142.600000000002</v>
      </c>
      <c r="E14">
        <f t="shared" si="0"/>
        <v>13028.376000000002</v>
      </c>
    </row>
    <row r="15" spans="2:5" x14ac:dyDescent="0.25">
      <c r="C15" t="str">
        <f>Calc_Names!A21</f>
        <v>Banca Veneta</v>
      </c>
      <c r="D15">
        <f>Calc_Names!B21</f>
        <v>18454.5</v>
      </c>
      <c r="E15">
        <f t="shared" si="0"/>
        <v>14025.42</v>
      </c>
    </row>
    <row r="16" spans="2:5" x14ac:dyDescent="0.25">
      <c r="C16" t="str">
        <f>Calc_Names!A22</f>
        <v>Banca Friulana</v>
      </c>
      <c r="D16">
        <f>Calc_Names!B22</f>
        <v>19546.399999999998</v>
      </c>
      <c r="E16">
        <f t="shared" si="0"/>
        <v>14855.263999999999</v>
      </c>
    </row>
    <row r="17" spans="3:6" x14ac:dyDescent="0.25">
      <c r="C17" t="str">
        <f>Calc_Names!A23</f>
        <v>Banca Umbra</v>
      </c>
      <c r="D17">
        <f>Calc_Names!B23</f>
        <v>20600.5</v>
      </c>
      <c r="E17">
        <f t="shared" si="0"/>
        <v>15656.380000000001</v>
      </c>
    </row>
    <row r="18" spans="3:6" x14ac:dyDescent="0.25">
      <c r="C18" t="str">
        <f>Calc_Names!A24</f>
        <v>Banca Marchigiana</v>
      </c>
      <c r="D18">
        <f>Calc_Names!B24</f>
        <v>21844.999999999996</v>
      </c>
      <c r="E18">
        <f t="shared" si="0"/>
        <v>16602.199999999997</v>
      </c>
    </row>
    <row r="19" spans="3:6" x14ac:dyDescent="0.25">
      <c r="C19" t="str">
        <f>Calc_Names!A25</f>
        <v>Banca Lucana</v>
      </c>
      <c r="D19">
        <f>Calc_Names!B25</f>
        <v>22950.5</v>
      </c>
      <c r="E19">
        <f t="shared" si="0"/>
        <v>17442.38</v>
      </c>
    </row>
    <row r="20" spans="3:6" x14ac:dyDescent="0.25">
      <c r="C20" t="str">
        <f>Calc_Names!A26</f>
        <v>Banca Calabra</v>
      </c>
      <c r="D20">
        <f>Calc_Names!B26</f>
        <v>24210.6</v>
      </c>
      <c r="E20">
        <f t="shared" si="0"/>
        <v>18400.056</v>
      </c>
    </row>
    <row r="21" spans="3:6" x14ac:dyDescent="0.25">
      <c r="C21" t="str">
        <f>Calc_Names!A27</f>
        <v>Banca Sicula</v>
      </c>
      <c r="D21">
        <f>Calc_Names!B27</f>
        <v>25351.600000000002</v>
      </c>
      <c r="E21">
        <f t="shared" si="0"/>
        <v>19267.216</v>
      </c>
    </row>
    <row r="22" spans="3:6" x14ac:dyDescent="0.25">
      <c r="C22" t="str">
        <f>Calc_Names!A28</f>
        <v>Banca Sarda</v>
      </c>
      <c r="D22">
        <f>Calc_Names!B28</f>
        <v>26492.400000000001</v>
      </c>
      <c r="E22">
        <f t="shared" si="0"/>
        <v>20134.224000000002</v>
      </c>
    </row>
    <row r="23" spans="3:6" x14ac:dyDescent="0.25">
      <c r="C23" t="str">
        <f>Calc_Names!A29</f>
        <v>Banca Romagnola</v>
      </c>
      <c r="D23">
        <f>Calc_Names!B29</f>
        <v>27612.3</v>
      </c>
      <c r="E23">
        <f t="shared" si="0"/>
        <v>20985.347999999998</v>
      </c>
    </row>
    <row r="24" spans="3:6" x14ac:dyDescent="0.25">
      <c r="C24" t="str">
        <f>Calc_Names!A30</f>
        <v>Banca Città</v>
      </c>
      <c r="D24">
        <f>Calc_Names!B30</f>
        <v>28772.399999999998</v>
      </c>
      <c r="E24">
        <f t="shared" si="0"/>
        <v>21867.023999999998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6798.5</v>
      </c>
      <c r="E5" cm="1">
        <f t="array" ref="E5">INDEX(Calc_BankMonth!$B$3:$AK$22,ROW()-4,Control!$B$3)</f>
        <v>6798.5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7958.7</v>
      </c>
      <c r="E6" cm="1">
        <f t="array" ref="E6">INDEX(Calc_BankMonth!$B$3:$AK$22,ROW()-4,Control!$B$3)</f>
        <v>7958.7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9113.2999999999993</v>
      </c>
      <c r="E7" cm="1">
        <f t="array" ref="E7">INDEX(Calc_BankMonth!$B$3:$AK$22,ROW()-4,Control!$B$3)</f>
        <v>9113.2999999999993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10267.6</v>
      </c>
      <c r="E8" cm="1">
        <f t="array" ref="E8">INDEX(Calc_BankMonth!$B$3:$AK$22,ROW()-4,Control!$B$3)</f>
        <v>10267.6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11395</v>
      </c>
      <c r="E9" cm="1">
        <f t="array" ref="E9">INDEX(Calc_BankMonth!$B$3:$AK$22,ROW()-4,Control!$B$3)</f>
        <v>11395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12562.7</v>
      </c>
      <c r="E10" cm="1">
        <f t="array" ref="E10">INDEX(Calc_BankMonth!$B$3:$AK$22,ROW()-4,Control!$B$3)</f>
        <v>12562.7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13727.2</v>
      </c>
      <c r="E11" cm="1">
        <f t="array" ref="E11">INDEX(Calc_BankMonth!$B$3:$AK$22,ROW()-4,Control!$B$3)</f>
        <v>13727.2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14918.2</v>
      </c>
      <c r="E12" cm="1">
        <f t="array" ref="E12">INDEX(Calc_BankMonth!$B$3:$AK$22,ROW()-4,Control!$B$3)</f>
        <v>14918.2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16079.5</v>
      </c>
      <c r="E13" cm="1">
        <f t="array" ref="E13">INDEX(Calc_BankMonth!$B$3:$AK$22,ROW()-4,Control!$B$3)</f>
        <v>16079.5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17142.600000000002</v>
      </c>
      <c r="E14" cm="1">
        <f t="array" ref="E14">INDEX(Calc_BankMonth!$B$3:$AK$22,ROW()-4,Control!$B$3)</f>
        <v>17142.600000000002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18454.5</v>
      </c>
      <c r="E15" cm="1">
        <f t="array" ref="E15">INDEX(Calc_BankMonth!$B$3:$AK$22,ROW()-4,Control!$B$3)</f>
        <v>18454.5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19546.399999999998</v>
      </c>
      <c r="E16" cm="1">
        <f t="array" ref="E16">INDEX(Calc_BankMonth!$B$3:$AK$22,ROW()-4,Control!$B$3)</f>
        <v>19546.399999999998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20600.5</v>
      </c>
      <c r="E17" cm="1">
        <f t="array" ref="E17">INDEX(Calc_BankMonth!$B$3:$AK$22,ROW()-4,Control!$B$3)</f>
        <v>20600.5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21844.999999999996</v>
      </c>
      <c r="E18" cm="1">
        <f t="array" ref="E18">INDEX(Calc_BankMonth!$B$3:$AK$22,ROW()-4,Control!$B$3)</f>
        <v>21844.999999999996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22950.5</v>
      </c>
      <c r="E19" cm="1">
        <f t="array" ref="E19">INDEX(Calc_BankMonth!$B$3:$AK$22,ROW()-4,Control!$B$3)</f>
        <v>22950.5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24210.6</v>
      </c>
      <c r="E20" cm="1">
        <f t="array" ref="E20">INDEX(Calc_BankMonth!$B$3:$AK$22,ROW()-4,Control!$B$3)</f>
        <v>24210.6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25351.600000000002</v>
      </c>
      <c r="E21" cm="1">
        <f t="array" ref="E21">INDEX(Calc_BankMonth!$B$3:$AK$22,ROW()-4,Control!$B$3)</f>
        <v>25351.600000000002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26492.400000000001</v>
      </c>
      <c r="E22" cm="1">
        <f t="array" ref="E22">INDEX(Calc_BankMonth!$B$3:$AK$22,ROW()-4,Control!$B$3)</f>
        <v>26492.400000000001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27612.3</v>
      </c>
      <c r="E23" cm="1">
        <f t="array" ref="E23">INDEX(Calc_BankMonth!$B$3:$AK$22,ROW()-4,Control!$B$3)</f>
        <v>27612.3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28772.399999999998</v>
      </c>
      <c r="E24" cm="1">
        <f t="array" ref="E24">INDEX(Calc_BankMonth!$B$3:$AK$22,ROW()-4,Control!$B$3)</f>
        <v>28772.399999999998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355799.5</v>
      </c>
      <c r="E5" cm="1">
        <f t="array" ref="E5">CHOOSE(ROW()-4,INDEX(Calc_BankMonth!$B$23:$AK$23,Control!$B$3),Calc_Summary!$B$2,Calc_Bank!$C$23,SUM(Calc_Product!$B$2:$B$9),Calc_Summary!$B$2,Calc_Summary!$B$2)</f>
        <v>355799.5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25351.600000000002</v>
      </c>
      <c r="E6" cm="1">
        <f t="array" ref="E6">CHOOSE(ROW()-4,INDEX(Calc_BankMonth!$B$23:$AK$23,Control!$B$3),Calc_Summary!$B$2,Calc_Bank!$C$23,SUM(Calc_Product!$B$2:$B$9),Calc_Summary!$B$2,Calc_Summary!$B$2)</f>
        <v>25351.600000000002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355799.5</v>
      </c>
      <c r="E7" cm="1">
        <f t="array" ref="E7">CHOOSE(ROW()-4,INDEX(Calc_BankMonth!$B$23:$AK$23,Control!$B$3),Calc_Summary!$B$2,Calc_Bank!$C$23,SUM(Calc_Product!$B$2:$B$9),Calc_Summary!$B$2,Calc_Summary!$B$2)</f>
        <v>355799.5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25351.600000000002</v>
      </c>
      <c r="E8" cm="1">
        <f t="array" ref="E8">CHOOSE(ROW()-4,INDEX(Calc_BankMonth!$B$23:$AK$23,Control!$B$3),Calc_Summary!$B$2,Calc_Bank!$C$23,SUM(Calc_Product!$B$2:$B$9),Calc_Summary!$B$2,Calc_Summary!$B$2)</f>
        <v>25351.600000000002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25351.600000000002</v>
      </c>
      <c r="E9" cm="1">
        <f t="array" ref="E9">CHOOSE(ROW()-4,INDEX(Calc_BankMonth!$B$23:$AK$23,Control!$B$3),Calc_Summary!$B$2,Calc_Bank!$C$23,SUM(Calc_Product!$B$2:$B$9),Calc_Summary!$B$2,Calc_Summary!$B$2)</f>
        <v>25351.600000000002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25351.600000000002</v>
      </c>
      <c r="E10" cm="1">
        <f t="array" ref="E10">CHOOSE(ROW()-4,INDEX(Calc_BankMonth!$B$23:$AK$23,Control!$B$3),Calc_Summary!$B$2,Calc_Bank!$C$23,SUM(Calc_Product!$B$2:$B$9),Calc_Summary!$B$2,Calc_Summary!$B$2)</f>
        <v>25351.600000000002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Sicula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INDEX(Calc_Month!$C$2:$C$37,C5)</f>
        <v>23314.9</v>
      </c>
      <c r="F5">
        <f>SUMIFS(Data!$E$2:$E$5761,Data!$B$2:$B$5761,C5)/20</f>
        <v>16422.584999999999</v>
      </c>
      <c r="G5">
        <f>SUMIFS(Data!$E$2:$E$5761,Data!$I$2:$I$5761,Control!$B$8,Data!$B$2:$B$5761,C5)/COUNTIF(Banks!$C$2:$C$21,Control!$B$8)</f>
        <v>23907.8</v>
      </c>
      <c r="H5">
        <f t="shared" ref="H5:H16" si="0">E5-F5</f>
        <v>6892.3150000000023</v>
      </c>
      <c r="I5">
        <f t="shared" ref="I5:I16" si="1">IFERROR(H5/F5,0)</f>
        <v>0.41968514700943871</v>
      </c>
      <c r="J5">
        <f t="shared" ref="J5:J16" si="2">ROUND(E5/$E$5*100,1)</f>
        <v>100</v>
      </c>
    </row>
    <row r="6" spans="2:11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INDEX(Calc_Month!$C$2:$C$37,C6)</f>
        <v>23536.5</v>
      </c>
      <c r="F6">
        <f>SUMIFS(Data!$E$2:$E$5761,Data!$B$2:$B$5761,C6)/20</f>
        <v>16542.970000000005</v>
      </c>
      <c r="G6">
        <f>SUMIFS(Data!$E$2:$E$5761,Data!$I$2:$I$5761,Control!$B$8,Data!$B$2:$B$5761,C6)/COUNTIF(Banks!$C$2:$C$21,Control!$B$8)</f>
        <v>24119</v>
      </c>
      <c r="H6">
        <f t="shared" si="0"/>
        <v>6993.5299999999952</v>
      </c>
      <c r="I6">
        <f t="shared" si="1"/>
        <v>0.42274936120902068</v>
      </c>
      <c r="J6">
        <f t="shared" si="2"/>
        <v>101</v>
      </c>
    </row>
    <row r="7" spans="2:11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INDEX(Calc_Month!$C$2:$C$37,C7)</f>
        <v>23738.1</v>
      </c>
      <c r="F7">
        <f>SUMIFS(Data!$E$2:$E$5761,Data!$B$2:$B$5761,C7)/20</f>
        <v>16693.46000000001</v>
      </c>
      <c r="G7">
        <f>SUMIFS(Data!$E$2:$E$5761,Data!$I$2:$I$5761,Control!$B$8,Data!$B$2:$B$5761,C7)/COUNTIF(Banks!$C$2:$C$21,Control!$B$8)</f>
        <v>24246.950000000004</v>
      </c>
      <c r="H7">
        <f t="shared" si="0"/>
        <v>7044.6399999999885</v>
      </c>
      <c r="I7">
        <f t="shared" si="1"/>
        <v>0.4219999928115552</v>
      </c>
      <c r="J7">
        <f t="shared" si="2"/>
        <v>101.8</v>
      </c>
    </row>
    <row r="8" spans="2:11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INDEX(Calc_Month!$C$2:$C$37,C8)</f>
        <v>23994.5</v>
      </c>
      <c r="F8">
        <f>SUMIFS(Data!$E$2:$E$5761,Data!$B$2:$B$5761,C8)/20</f>
        <v>16786.374999999993</v>
      </c>
      <c r="G8">
        <f>SUMIFS(Data!$E$2:$E$5761,Data!$I$2:$I$5761,Control!$B$8,Data!$B$2:$B$5761,C8)/COUNTIF(Banks!$C$2:$C$21,Control!$B$8)</f>
        <v>24502.850000000002</v>
      </c>
      <c r="H8">
        <f t="shared" si="0"/>
        <v>7208.1250000000073</v>
      </c>
      <c r="I8">
        <f t="shared" si="1"/>
        <v>0.42940331072074883</v>
      </c>
      <c r="J8">
        <f t="shared" si="2"/>
        <v>102.9</v>
      </c>
    </row>
    <row r="9" spans="2:11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INDEX(Calc_Month!$C$2:$C$37,C9)</f>
        <v>24051.800000000003</v>
      </c>
      <c r="F9">
        <f>SUMIFS(Data!$E$2:$E$5761,Data!$B$2:$B$5761,C9)/20</f>
        <v>16927.159999999996</v>
      </c>
      <c r="G9">
        <f>SUMIFS(Data!$E$2:$E$5761,Data!$I$2:$I$5761,Control!$B$8,Data!$B$2:$B$5761,C9)/COUNTIF(Banks!$C$2:$C$21,Control!$B$8)</f>
        <v>24638.050000000003</v>
      </c>
      <c r="H9">
        <f t="shared" si="0"/>
        <v>7124.6400000000067</v>
      </c>
      <c r="I9">
        <f t="shared" si="1"/>
        <v>0.42089990287797885</v>
      </c>
      <c r="J9">
        <f t="shared" si="2"/>
        <v>103.2</v>
      </c>
    </row>
    <row r="10" spans="2:11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INDEX(Calc_Month!$C$2:$C$37,C10)</f>
        <v>24182.800000000003</v>
      </c>
      <c r="F10">
        <f>SUMIFS(Data!$E$2:$E$5761,Data!$B$2:$B$5761,C10)/20</f>
        <v>17042.475000000006</v>
      </c>
      <c r="G10">
        <f>SUMIFS(Data!$E$2:$E$5761,Data!$I$2:$I$5761,Control!$B$8,Data!$B$2:$B$5761,C10)/COUNTIF(Banks!$C$2:$C$21,Control!$B$8)</f>
        <v>24793.900000000005</v>
      </c>
      <c r="H10">
        <f t="shared" si="0"/>
        <v>7140.3249999999971</v>
      </c>
      <c r="I10">
        <f t="shared" si="1"/>
        <v>0.41897230302523514</v>
      </c>
      <c r="J10">
        <f t="shared" si="2"/>
        <v>103.7</v>
      </c>
    </row>
    <row r="11" spans="2:11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INDEX(Calc_Month!$C$2:$C$37,C11)</f>
        <v>24517.8</v>
      </c>
      <c r="F11">
        <f>SUMIFS(Data!$E$2:$E$5761,Data!$B$2:$B$5761,C11)/20</f>
        <v>17178.009999999995</v>
      </c>
      <c r="G11">
        <f>SUMIFS(Data!$E$2:$E$5761,Data!$I$2:$I$5761,Control!$B$8,Data!$B$2:$B$5761,C11)/COUNTIF(Banks!$C$2:$C$21,Control!$B$8)</f>
        <v>25072.400000000001</v>
      </c>
      <c r="H11">
        <f t="shared" si="0"/>
        <v>7339.7900000000045</v>
      </c>
      <c r="I11">
        <f t="shared" si="1"/>
        <v>0.42727824701464295</v>
      </c>
      <c r="J11">
        <f t="shared" si="2"/>
        <v>105.2</v>
      </c>
    </row>
    <row r="12" spans="2:11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INDEX(Calc_Month!$C$2:$C$37,C12)</f>
        <v>24570.6</v>
      </c>
      <c r="F12">
        <f>SUMIFS(Data!$E$2:$E$5761,Data!$B$2:$B$5761,C12)/20</f>
        <v>17286.740000000005</v>
      </c>
      <c r="G12">
        <f>SUMIFS(Data!$E$2:$E$5761,Data!$I$2:$I$5761,Control!$B$8,Data!$B$2:$B$5761,C12)/COUNTIF(Banks!$C$2:$C$21,Control!$B$8)</f>
        <v>25110.699999999997</v>
      </c>
      <c r="H12">
        <f t="shared" si="0"/>
        <v>7283.8599999999933</v>
      </c>
      <c r="I12">
        <f t="shared" si="1"/>
        <v>0.42135532784087637</v>
      </c>
      <c r="J12">
        <f t="shared" si="2"/>
        <v>105.4</v>
      </c>
    </row>
    <row r="13" spans="2:11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INDEX(Calc_Month!$C$2:$C$37,C13)</f>
        <v>24765.1</v>
      </c>
      <c r="F13">
        <f>SUMIFS(Data!$E$2:$E$5761,Data!$B$2:$B$5761,C13)/20</f>
        <v>17409.424999999999</v>
      </c>
      <c r="G13">
        <f>SUMIFS(Data!$E$2:$E$5761,Data!$I$2:$I$5761,Control!$B$8,Data!$B$2:$B$5761,C13)/COUNTIF(Banks!$C$2:$C$21,Control!$B$8)</f>
        <v>25304.199999999997</v>
      </c>
      <c r="H13">
        <f t="shared" si="0"/>
        <v>7355.6749999999993</v>
      </c>
      <c r="I13">
        <f t="shared" si="1"/>
        <v>0.42251108235912443</v>
      </c>
      <c r="J13">
        <f t="shared" si="2"/>
        <v>106.2</v>
      </c>
    </row>
    <row r="14" spans="2:11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INDEX(Calc_Month!$C$2:$C$37,C14)</f>
        <v>25016.400000000001</v>
      </c>
      <c r="F14">
        <f>SUMIFS(Data!$E$2:$E$5761,Data!$B$2:$B$5761,C14)/20</f>
        <v>17523.294999999998</v>
      </c>
      <c r="G14">
        <f>SUMIFS(Data!$E$2:$E$5761,Data!$I$2:$I$5761,Control!$B$8,Data!$B$2:$B$5761,C14)/COUNTIF(Banks!$C$2:$C$21,Control!$B$8)</f>
        <v>25579.7</v>
      </c>
      <c r="H14">
        <f t="shared" si="0"/>
        <v>7493.1050000000032</v>
      </c>
      <c r="I14">
        <f t="shared" si="1"/>
        <v>0.42760822094246564</v>
      </c>
      <c r="J14">
        <f t="shared" si="2"/>
        <v>107.3</v>
      </c>
    </row>
    <row r="15" spans="2:11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INDEX(Calc_Month!$C$2:$C$37,C15)</f>
        <v>25168.5</v>
      </c>
      <c r="F15">
        <f>SUMIFS(Data!$E$2:$E$5761,Data!$B$2:$B$5761,C15)/20</f>
        <v>17667.174999999999</v>
      </c>
      <c r="G15">
        <f>SUMIFS(Data!$E$2:$E$5761,Data!$I$2:$I$5761,Control!$B$8,Data!$B$2:$B$5761,C15)/COUNTIF(Banks!$C$2:$C$21,Control!$B$8)</f>
        <v>25737.85</v>
      </c>
      <c r="H15">
        <f t="shared" si="0"/>
        <v>7501.3250000000007</v>
      </c>
      <c r="I15">
        <f t="shared" si="1"/>
        <v>0.42459108487916153</v>
      </c>
      <c r="J15">
        <f t="shared" si="2"/>
        <v>108</v>
      </c>
    </row>
    <row r="16" spans="2:11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INDEX(Calc_Month!$C$2:$C$37,C16)</f>
        <v>25351.600000000002</v>
      </c>
      <c r="F16">
        <f>SUMIFS(Data!$E$2:$E$5761,Data!$B$2:$B$5761,C16)/20</f>
        <v>17789.975000000006</v>
      </c>
      <c r="G16">
        <f>SUMIFS(Data!$E$2:$E$5761,Data!$I$2:$I$5761,Control!$B$8,Data!$B$2:$B$5761,C16)/COUNTIF(Banks!$C$2:$C$21,Control!$B$8)</f>
        <v>25922</v>
      </c>
      <c r="H16">
        <f t="shared" si="0"/>
        <v>7561.6249999999964</v>
      </c>
      <c r="I16">
        <f t="shared" si="1"/>
        <v>0.42504978225095841</v>
      </c>
      <c r="J16">
        <f t="shared" si="2"/>
        <v>108.7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Sicula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INDEX(Calc_Month!$D$2:$D$37,C5)</f>
        <v>1258.05</v>
      </c>
      <c r="F5">
        <f>SUMIFS(Data!$F$2:$F$5761,Data!$B$2:$B$5761,C5)/20</f>
        <v>885.98700000000031</v>
      </c>
      <c r="G5">
        <f>SUMIFS(Data!$F$2:$F$5761,Data!$I$2:$I$5761,Control!$B$8,Data!$B$2:$B$5761,C5)/COUNTIF(Banks!$C$2:$C$21,Control!$B$8)</f>
        <v>1289.3149999999998</v>
      </c>
      <c r="H5">
        <f t="shared" ref="H5:H16" si="0">E5-F5</f>
        <v>372.06299999999965</v>
      </c>
      <c r="I5">
        <f t="shared" ref="I5:I16" si="1">IFERROR(H5/F5,0)</f>
        <v>0.41994182758889187</v>
      </c>
      <c r="J5">
        <f t="shared" ref="J5:J16" si="2">ROUND(E5/$E$5*100,1)</f>
        <v>100</v>
      </c>
    </row>
    <row r="6" spans="2:11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INDEX(Calc_Month!$D$2:$D$37,C6)</f>
        <v>1267.0899999999999</v>
      </c>
      <c r="F6">
        <f>SUMIFS(Data!$F$2:$F$5761,Data!$B$2:$B$5761,C6)/20</f>
        <v>892.35349999999994</v>
      </c>
      <c r="G6">
        <f>SUMIFS(Data!$F$2:$F$5761,Data!$I$2:$I$5761,Control!$B$8,Data!$B$2:$B$5761,C6)/COUNTIF(Banks!$C$2:$C$21,Control!$B$8)</f>
        <v>1298.415</v>
      </c>
      <c r="H6">
        <f t="shared" si="0"/>
        <v>374.73649999999998</v>
      </c>
      <c r="I6">
        <f t="shared" si="1"/>
        <v>0.41994176074840295</v>
      </c>
      <c r="J6">
        <f t="shared" si="2"/>
        <v>100.7</v>
      </c>
    </row>
    <row r="7" spans="2:11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INDEX(Calc_Month!$D$2:$D$37,C7)</f>
        <v>1278.95</v>
      </c>
      <c r="F7">
        <f>SUMIFS(Data!$F$2:$F$5761,Data!$B$2:$B$5761,C7)/20</f>
        <v>900.25100000000043</v>
      </c>
      <c r="G7">
        <f>SUMIFS(Data!$F$2:$F$5761,Data!$I$2:$I$5761,Control!$B$8,Data!$B$2:$B$5761,C7)/COUNTIF(Banks!$C$2:$C$21,Control!$B$8)</f>
        <v>1306.4900000000002</v>
      </c>
      <c r="H7">
        <f t="shared" si="0"/>
        <v>378.69899999999961</v>
      </c>
      <c r="I7">
        <f t="shared" si="1"/>
        <v>0.42065934944809774</v>
      </c>
      <c r="J7">
        <f t="shared" si="2"/>
        <v>101.7</v>
      </c>
    </row>
    <row r="8" spans="2:11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INDEX(Calc_Month!$D$2:$D$37,C8)</f>
        <v>1291.22</v>
      </c>
      <c r="F8">
        <f>SUMIFS(Data!$F$2:$F$5761,Data!$B$2:$B$5761,C8)/20</f>
        <v>905.24250000000006</v>
      </c>
      <c r="G8">
        <f>SUMIFS(Data!$F$2:$F$5761,Data!$I$2:$I$5761,Control!$B$8,Data!$B$2:$B$5761,C8)/COUNTIF(Banks!$C$2:$C$21,Control!$B$8)</f>
        <v>1319.17</v>
      </c>
      <c r="H8">
        <f t="shared" si="0"/>
        <v>385.97749999999996</v>
      </c>
      <c r="I8">
        <f t="shared" si="1"/>
        <v>0.42638022408360182</v>
      </c>
      <c r="J8">
        <f t="shared" si="2"/>
        <v>102.6</v>
      </c>
    </row>
    <row r="9" spans="2:11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INDEX(Calc_Month!$D$2:$D$37,C9)</f>
        <v>1295.7199999999998</v>
      </c>
      <c r="F9">
        <f>SUMIFS(Data!$F$2:$F$5761,Data!$B$2:$B$5761,C9)/20</f>
        <v>913.05099999999982</v>
      </c>
      <c r="G9">
        <f>SUMIFS(Data!$F$2:$F$5761,Data!$I$2:$I$5761,Control!$B$8,Data!$B$2:$B$5761,C9)/COUNTIF(Banks!$C$2:$C$21,Control!$B$8)</f>
        <v>1327.0149999999996</v>
      </c>
      <c r="H9">
        <f t="shared" si="0"/>
        <v>382.66899999999998</v>
      </c>
      <c r="I9">
        <f t="shared" si="1"/>
        <v>0.41911021399680859</v>
      </c>
      <c r="J9">
        <f t="shared" si="2"/>
        <v>103</v>
      </c>
    </row>
    <row r="10" spans="2:11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INDEX(Calc_Month!$D$2:$D$37,C10)</f>
        <v>1301.8599999999999</v>
      </c>
      <c r="F10">
        <f>SUMIFS(Data!$F$2:$F$5761,Data!$B$2:$B$5761,C10)/20</f>
        <v>919.29099999999983</v>
      </c>
      <c r="G10">
        <f>SUMIFS(Data!$F$2:$F$5761,Data!$I$2:$I$5761,Control!$B$8,Data!$B$2:$B$5761,C10)/COUNTIF(Banks!$C$2:$C$21,Control!$B$8)</f>
        <v>1335.3449999999998</v>
      </c>
      <c r="H10">
        <f t="shared" si="0"/>
        <v>382.56900000000007</v>
      </c>
      <c r="I10">
        <f t="shared" si="1"/>
        <v>0.41615658153946916</v>
      </c>
      <c r="J10">
        <f t="shared" si="2"/>
        <v>103.5</v>
      </c>
    </row>
    <row r="11" spans="2:11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INDEX(Calc_Month!$D$2:$D$37,C11)</f>
        <v>1321.49</v>
      </c>
      <c r="F11">
        <f>SUMIFS(Data!$F$2:$F$5761,Data!$B$2:$B$5761,C11)/20</f>
        <v>926.52149999999983</v>
      </c>
      <c r="G11">
        <f>SUMIFS(Data!$F$2:$F$5761,Data!$I$2:$I$5761,Control!$B$8,Data!$B$2:$B$5761,C11)/COUNTIF(Banks!$C$2:$C$21,Control!$B$8)</f>
        <v>1350.5350000000001</v>
      </c>
      <c r="H11">
        <f t="shared" si="0"/>
        <v>394.96850000000018</v>
      </c>
      <c r="I11">
        <f t="shared" si="1"/>
        <v>0.42629178060088219</v>
      </c>
      <c r="J11">
        <f t="shared" si="2"/>
        <v>105</v>
      </c>
    </row>
    <row r="12" spans="2:11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INDEX(Calc_Month!$D$2:$D$37,C12)</f>
        <v>1324.81</v>
      </c>
      <c r="F12">
        <f>SUMIFS(Data!$F$2:$F$5761,Data!$B$2:$B$5761,C12)/20</f>
        <v>932.30199999999968</v>
      </c>
      <c r="G12">
        <f>SUMIFS(Data!$F$2:$F$5761,Data!$I$2:$I$5761,Control!$B$8,Data!$B$2:$B$5761,C12)/COUNTIF(Banks!$C$2:$C$21,Control!$B$8)</f>
        <v>1352.95</v>
      </c>
      <c r="H12">
        <f t="shared" si="0"/>
        <v>392.50800000000027</v>
      </c>
      <c r="I12">
        <f t="shared" si="1"/>
        <v>0.42100950121312664</v>
      </c>
      <c r="J12">
        <f t="shared" si="2"/>
        <v>105.3</v>
      </c>
    </row>
    <row r="13" spans="2:11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INDEX(Calc_Month!$D$2:$D$37,C13)</f>
        <v>1334.6200000000001</v>
      </c>
      <c r="F13">
        <f>SUMIFS(Data!$F$2:$F$5761,Data!$B$2:$B$5761,C13)/20</f>
        <v>938.8389999999996</v>
      </c>
      <c r="G13">
        <f>SUMIFS(Data!$F$2:$F$5761,Data!$I$2:$I$5761,Control!$B$8,Data!$B$2:$B$5761,C13)/COUNTIF(Banks!$C$2:$C$21,Control!$B$8)</f>
        <v>1362.5099999999998</v>
      </c>
      <c r="H13">
        <f t="shared" si="0"/>
        <v>395.78100000000052</v>
      </c>
      <c r="I13">
        <f t="shared" si="1"/>
        <v>0.42156429377135024</v>
      </c>
      <c r="J13">
        <f t="shared" si="2"/>
        <v>106.1</v>
      </c>
    </row>
    <row r="14" spans="2:11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INDEX(Calc_Month!$D$2:$D$37,C14)</f>
        <v>1347.28</v>
      </c>
      <c r="F14">
        <f>SUMIFS(Data!$F$2:$F$5761,Data!$B$2:$B$5761,C14)/20</f>
        <v>944.84249999999952</v>
      </c>
      <c r="G14">
        <f>SUMIFS(Data!$F$2:$F$5761,Data!$I$2:$I$5761,Control!$B$8,Data!$B$2:$B$5761,C14)/COUNTIF(Banks!$C$2:$C$21,Control!$B$8)</f>
        <v>1377.1249999999998</v>
      </c>
      <c r="H14">
        <f t="shared" si="0"/>
        <v>402.43750000000045</v>
      </c>
      <c r="I14">
        <f t="shared" si="1"/>
        <v>0.42593077682259284</v>
      </c>
      <c r="J14">
        <f t="shared" si="2"/>
        <v>107.1</v>
      </c>
    </row>
    <row r="15" spans="2:11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INDEX(Calc_Month!$D$2:$D$37,C15)</f>
        <v>1356.2800000000002</v>
      </c>
      <c r="F15">
        <f>SUMIFS(Data!$F$2:$F$5761,Data!$B$2:$B$5761,C15)/20</f>
        <v>952.7085000000003</v>
      </c>
      <c r="G15">
        <f>SUMIFS(Data!$F$2:$F$5761,Data!$I$2:$I$5761,Control!$B$8,Data!$B$2:$B$5761,C15)/COUNTIF(Banks!$C$2:$C$21,Control!$B$8)</f>
        <v>1386.9699999999998</v>
      </c>
      <c r="H15">
        <f t="shared" si="0"/>
        <v>403.5714999999999</v>
      </c>
      <c r="I15">
        <f t="shared" si="1"/>
        <v>0.42360438686124852</v>
      </c>
      <c r="J15">
        <f t="shared" si="2"/>
        <v>107.8</v>
      </c>
    </row>
    <row r="16" spans="2:11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INDEX(Calc_Month!$D$2:$D$37,C16)</f>
        <v>1365.5</v>
      </c>
      <c r="F16">
        <f>SUMIFS(Data!$F$2:$F$5761,Data!$B$2:$B$5761,C16)/20</f>
        <v>959.10350000000039</v>
      </c>
      <c r="G16">
        <f>SUMIFS(Data!$F$2:$F$5761,Data!$I$2:$I$5761,Control!$B$8,Data!$B$2:$B$5761,C16)/COUNTIF(Banks!$C$2:$C$21,Control!$B$8)</f>
        <v>1395.9250000000002</v>
      </c>
      <c r="H16">
        <f t="shared" si="0"/>
        <v>406.39649999999961</v>
      </c>
      <c r="I16">
        <f t="shared" si="1"/>
        <v>0.42372538521650627</v>
      </c>
      <c r="J16">
        <f t="shared" si="2"/>
        <v>108.5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Sicula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INDEX(Calc_Month!$E$2:$E$37,C5)</f>
        <v>758.63</v>
      </c>
      <c r="F5">
        <f>SUMIFS(Data!$G$2:$G$5761,Data!$B$2:$B$5761,C5)/20</f>
        <v>535.61399999999981</v>
      </c>
      <c r="G5">
        <f>SUMIFS(Data!$G$2:$G$5761,Data!$I$2:$I$5761,Control!$B$8,Data!$B$2:$B$5761,C5)/COUNTIF(Banks!$C$2:$C$21,Control!$B$8)</f>
        <v>778.21999999999991</v>
      </c>
      <c r="H5">
        <f t="shared" ref="H5:H16" si="0">E5-F5</f>
        <v>223.01600000000019</v>
      </c>
      <c r="I5">
        <f t="shared" ref="I5:I16" si="1">IFERROR(H5/F5,0)</f>
        <v>0.41637447863573446</v>
      </c>
      <c r="J5">
        <f t="shared" ref="J5:J16" si="2">ROUND(E5/$E$5*100,1)</f>
        <v>100</v>
      </c>
    </row>
    <row r="6" spans="2:11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INDEX(Calc_Month!$E$2:$E$37,C6)</f>
        <v>766.85</v>
      </c>
      <c r="F6">
        <f>SUMIFS(Data!$G$2:$G$5761,Data!$B$2:$B$5761,C6)/20</f>
        <v>538.95249999999987</v>
      </c>
      <c r="G6">
        <f>SUMIFS(Data!$G$2:$G$5761,Data!$I$2:$I$5761,Control!$B$8,Data!$B$2:$B$5761,C6)/COUNTIF(Banks!$C$2:$C$21,Control!$B$8)</f>
        <v>785.45</v>
      </c>
      <c r="H6">
        <f t="shared" si="0"/>
        <v>227.89750000000015</v>
      </c>
      <c r="I6">
        <f t="shared" si="1"/>
        <v>0.42285266326809917</v>
      </c>
      <c r="J6">
        <f t="shared" si="2"/>
        <v>101.1</v>
      </c>
    </row>
    <row r="7" spans="2:11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INDEX(Calc_Month!$E$2:$E$37,C7)</f>
        <v>772.94</v>
      </c>
      <c r="F7">
        <f>SUMIFS(Data!$G$2:$G$5761,Data!$B$2:$B$5761,C7)/20</f>
        <v>544.07500000000005</v>
      </c>
      <c r="G7">
        <f>SUMIFS(Data!$G$2:$G$5761,Data!$I$2:$I$5761,Control!$B$8,Data!$B$2:$B$5761,C7)/COUNTIF(Banks!$C$2:$C$21,Control!$B$8)</f>
        <v>789.45500000000015</v>
      </c>
      <c r="H7">
        <f t="shared" si="0"/>
        <v>228.86500000000001</v>
      </c>
      <c r="I7">
        <f t="shared" si="1"/>
        <v>0.42064972660019295</v>
      </c>
      <c r="J7">
        <f t="shared" si="2"/>
        <v>101.9</v>
      </c>
    </row>
    <row r="8" spans="2:11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INDEX(Calc_Month!$E$2:$E$37,C8)</f>
        <v>779.37</v>
      </c>
      <c r="F8">
        <f>SUMIFS(Data!$G$2:$G$5761,Data!$B$2:$B$5761,C8)/20</f>
        <v>547.2254999999999</v>
      </c>
      <c r="G8">
        <f>SUMIFS(Data!$G$2:$G$5761,Data!$I$2:$I$5761,Control!$B$8,Data!$B$2:$B$5761,C8)/COUNTIF(Banks!$C$2:$C$21,Control!$B$8)</f>
        <v>796.11000000000013</v>
      </c>
      <c r="H8">
        <f t="shared" si="0"/>
        <v>232.14450000000011</v>
      </c>
      <c r="I8">
        <f t="shared" si="1"/>
        <v>0.42422091075799673</v>
      </c>
      <c r="J8">
        <f t="shared" si="2"/>
        <v>102.7</v>
      </c>
    </row>
    <row r="9" spans="2:11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INDEX(Calc_Month!$E$2:$E$37,C9)</f>
        <v>783.67</v>
      </c>
      <c r="F9">
        <f>SUMIFS(Data!$G$2:$G$5761,Data!$B$2:$B$5761,C9)/20</f>
        <v>551.55500000000006</v>
      </c>
      <c r="G9">
        <f>SUMIFS(Data!$G$2:$G$5761,Data!$I$2:$I$5761,Control!$B$8,Data!$B$2:$B$5761,C9)/COUNTIF(Banks!$C$2:$C$21,Control!$B$8)</f>
        <v>802.39999999999986</v>
      </c>
      <c r="H9">
        <f t="shared" si="0"/>
        <v>232.1149999999999</v>
      </c>
      <c r="I9">
        <f t="shared" si="1"/>
        <v>0.42083745048091281</v>
      </c>
      <c r="J9">
        <f t="shared" si="2"/>
        <v>103.3</v>
      </c>
    </row>
    <row r="10" spans="2:11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INDEX(Calc_Month!$E$2:$E$37,C10)</f>
        <v>786.72</v>
      </c>
      <c r="F10">
        <f>SUMIFS(Data!$G$2:$G$5761,Data!$B$2:$B$5761,C10)/20</f>
        <v>555.31299999999987</v>
      </c>
      <c r="G10">
        <f>SUMIFS(Data!$G$2:$G$5761,Data!$I$2:$I$5761,Control!$B$8,Data!$B$2:$B$5761,C10)/COUNTIF(Banks!$C$2:$C$21,Control!$B$8)</f>
        <v>806.28999999999985</v>
      </c>
      <c r="H10">
        <f t="shared" si="0"/>
        <v>231.40700000000015</v>
      </c>
      <c r="I10">
        <f t="shared" si="1"/>
        <v>0.41671453756710214</v>
      </c>
      <c r="J10">
        <f t="shared" si="2"/>
        <v>103.7</v>
      </c>
    </row>
    <row r="11" spans="2:11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INDEX(Calc_Month!$E$2:$E$37,C11)</f>
        <v>797.52</v>
      </c>
      <c r="F11">
        <f>SUMIFS(Data!$G$2:$G$5761,Data!$B$2:$B$5761,C11)/20</f>
        <v>559.61449999999991</v>
      </c>
      <c r="G11">
        <f>SUMIFS(Data!$G$2:$G$5761,Data!$I$2:$I$5761,Control!$B$8,Data!$B$2:$B$5761,C11)/COUNTIF(Banks!$C$2:$C$21,Control!$B$8)</f>
        <v>815.15499999999986</v>
      </c>
      <c r="H11">
        <f t="shared" si="0"/>
        <v>237.90550000000007</v>
      </c>
      <c r="I11">
        <f t="shared" si="1"/>
        <v>0.42512390225771512</v>
      </c>
      <c r="J11">
        <f t="shared" si="2"/>
        <v>105.1</v>
      </c>
    </row>
    <row r="12" spans="2:11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INDEX(Calc_Month!$E$2:$E$37,C12)</f>
        <v>799.17000000000007</v>
      </c>
      <c r="F12">
        <f>SUMIFS(Data!$G$2:$G$5761,Data!$B$2:$B$5761,C12)/20</f>
        <v>563.26099999999974</v>
      </c>
      <c r="G12">
        <f>SUMIFS(Data!$G$2:$G$5761,Data!$I$2:$I$5761,Control!$B$8,Data!$B$2:$B$5761,C12)/COUNTIF(Banks!$C$2:$C$21,Control!$B$8)</f>
        <v>816.55500000000006</v>
      </c>
      <c r="H12">
        <f t="shared" si="0"/>
        <v>235.90900000000033</v>
      </c>
      <c r="I12">
        <f t="shared" si="1"/>
        <v>0.41882715117858405</v>
      </c>
      <c r="J12">
        <f t="shared" si="2"/>
        <v>105.3</v>
      </c>
    </row>
    <row r="13" spans="2:11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INDEX(Calc_Month!$E$2:$E$37,C13)</f>
        <v>806.02</v>
      </c>
      <c r="F13">
        <f>SUMIFS(Data!$G$2:$G$5761,Data!$B$2:$B$5761,C13)/20</f>
        <v>566.96550000000002</v>
      </c>
      <c r="G13">
        <f>SUMIFS(Data!$G$2:$G$5761,Data!$I$2:$I$5761,Control!$B$8,Data!$B$2:$B$5761,C13)/COUNTIF(Banks!$C$2:$C$21,Control!$B$8)</f>
        <v>822.53499999999997</v>
      </c>
      <c r="H13">
        <f t="shared" si="0"/>
        <v>239.05449999999996</v>
      </c>
      <c r="I13">
        <f t="shared" si="1"/>
        <v>0.42163853003401436</v>
      </c>
      <c r="J13">
        <f t="shared" si="2"/>
        <v>106.2</v>
      </c>
    </row>
    <row r="14" spans="2:11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INDEX(Calc_Month!$E$2:$E$37,C14)</f>
        <v>813.58999999999992</v>
      </c>
      <c r="F14">
        <f>SUMIFS(Data!$G$2:$G$5761,Data!$B$2:$B$5761,C14)/20</f>
        <v>571.10950000000003</v>
      </c>
      <c r="G14">
        <f>SUMIFS(Data!$G$2:$G$5761,Data!$I$2:$I$5761,Control!$B$8,Data!$B$2:$B$5761,C14)/COUNTIF(Banks!$C$2:$C$21,Control!$B$8)</f>
        <v>831.91499999999996</v>
      </c>
      <c r="H14">
        <f t="shared" si="0"/>
        <v>242.48049999999989</v>
      </c>
      <c r="I14">
        <f t="shared" si="1"/>
        <v>0.42457794871211191</v>
      </c>
      <c r="J14">
        <f t="shared" si="2"/>
        <v>107.2</v>
      </c>
    </row>
    <row r="15" spans="2:11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INDEX(Calc_Month!$E$2:$E$37,C15)</f>
        <v>817.63</v>
      </c>
      <c r="F15">
        <f>SUMIFS(Data!$G$2:$G$5761,Data!$B$2:$B$5761,C15)/20</f>
        <v>575.71199999999999</v>
      </c>
      <c r="G15">
        <f>SUMIFS(Data!$G$2:$G$5761,Data!$I$2:$I$5761,Control!$B$8,Data!$B$2:$B$5761,C15)/COUNTIF(Banks!$C$2:$C$21,Control!$B$8)</f>
        <v>836.85</v>
      </c>
      <c r="H15">
        <f t="shared" si="0"/>
        <v>241.91800000000001</v>
      </c>
      <c r="I15">
        <f t="shared" si="1"/>
        <v>0.42020663109332446</v>
      </c>
      <c r="J15">
        <f t="shared" si="2"/>
        <v>107.8</v>
      </c>
    </row>
    <row r="16" spans="2:11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INDEX(Calc_Month!$E$2:$E$37,C16)</f>
        <v>824.63000000000011</v>
      </c>
      <c r="F16">
        <f>SUMIFS(Data!$G$2:$G$5761,Data!$B$2:$B$5761,C16)/20</f>
        <v>579.4925000000004</v>
      </c>
      <c r="G16">
        <f>SUMIFS(Data!$G$2:$G$5761,Data!$I$2:$I$5761,Control!$B$8,Data!$B$2:$B$5761,C16)/COUNTIF(Banks!$C$2:$C$21,Control!$B$8)</f>
        <v>843.04500000000007</v>
      </c>
      <c r="H16">
        <f t="shared" si="0"/>
        <v>245.1374999999997</v>
      </c>
      <c r="I16">
        <f t="shared" si="1"/>
        <v>0.42302100544873233</v>
      </c>
      <c r="J16">
        <f t="shared" si="2"/>
        <v>108.7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Sicula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INDEX(Calc_Month!$F$2:$F$37,C5)</f>
        <v>2354</v>
      </c>
      <c r="F5">
        <f>SUMIFS(Data!$H$2:$H$5761,Data!$B$2:$B$5761,C5)/20</f>
        <v>1705.25</v>
      </c>
      <c r="G5">
        <f>SUMIFS(Data!$H$2:$H$5761,Data!$I$2:$I$5761,Control!$B$8,Data!$B$2:$B$5761,C5)/COUNTIF(Banks!$C$2:$C$21,Control!$B$8)</f>
        <v>2391.5</v>
      </c>
      <c r="H5">
        <f t="shared" ref="H5:H16" si="0">E5-F5</f>
        <v>648.75</v>
      </c>
      <c r="I5">
        <f t="shared" ref="I5:I16" si="1">IFERROR(H5/F5,0)</f>
        <v>0.38044275032986363</v>
      </c>
      <c r="J5">
        <f t="shared" ref="J5:J16" si="2">ROUND(E5/$E$5*100,1)</f>
        <v>100</v>
      </c>
    </row>
    <row r="6" spans="2:11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INDEX(Calc_Month!$F$2:$F$37,C6)</f>
        <v>2393</v>
      </c>
      <c r="F6">
        <f>SUMIFS(Data!$H$2:$H$5761,Data!$B$2:$B$5761,C6)/20</f>
        <v>1709.1</v>
      </c>
      <c r="G6">
        <f>SUMIFS(Data!$H$2:$H$5761,Data!$I$2:$I$5761,Control!$B$8,Data!$B$2:$B$5761,C6)/COUNTIF(Banks!$C$2:$C$21,Control!$B$8)</f>
        <v>2415</v>
      </c>
      <c r="H6">
        <f t="shared" si="0"/>
        <v>683.90000000000009</v>
      </c>
      <c r="I6">
        <f t="shared" si="1"/>
        <v>0.40015212685038914</v>
      </c>
      <c r="J6">
        <f t="shared" si="2"/>
        <v>101.7</v>
      </c>
    </row>
    <row r="7" spans="2:11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INDEX(Calc_Month!$F$2:$F$37,C7)</f>
        <v>2384</v>
      </c>
      <c r="F7">
        <f>SUMIFS(Data!$H$2:$H$5761,Data!$B$2:$B$5761,C7)/20</f>
        <v>1705.85</v>
      </c>
      <c r="G7">
        <f>SUMIFS(Data!$H$2:$H$5761,Data!$I$2:$I$5761,Control!$B$8,Data!$B$2:$B$5761,C7)/COUNTIF(Banks!$C$2:$C$21,Control!$B$8)</f>
        <v>2431.5</v>
      </c>
      <c r="H7">
        <f t="shared" si="0"/>
        <v>678.15000000000009</v>
      </c>
      <c r="I7">
        <f t="shared" si="1"/>
        <v>0.39754374651933061</v>
      </c>
      <c r="J7">
        <f t="shared" si="2"/>
        <v>101.3</v>
      </c>
    </row>
    <row r="8" spans="2:11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INDEX(Calc_Month!$F$2:$F$37,C8)</f>
        <v>2402</v>
      </c>
      <c r="F8">
        <f>SUMIFS(Data!$H$2:$H$5761,Data!$B$2:$B$5761,C8)/20</f>
        <v>1712.8</v>
      </c>
      <c r="G8">
        <f>SUMIFS(Data!$H$2:$H$5761,Data!$I$2:$I$5761,Control!$B$8,Data!$B$2:$B$5761,C8)/COUNTIF(Banks!$C$2:$C$21,Control!$B$8)</f>
        <v>2437</v>
      </c>
      <c r="H8">
        <f t="shared" si="0"/>
        <v>689.2</v>
      </c>
      <c r="I8">
        <f t="shared" si="1"/>
        <v>0.40238206445586178</v>
      </c>
      <c r="J8">
        <f t="shared" si="2"/>
        <v>102</v>
      </c>
    </row>
    <row r="9" spans="2:11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INDEX(Calc_Month!$F$2:$F$37,C9)</f>
        <v>2339</v>
      </c>
      <c r="F9">
        <f>SUMIFS(Data!$H$2:$H$5761,Data!$B$2:$B$5761,C9)/20</f>
        <v>1701.8</v>
      </c>
      <c r="G9">
        <f>SUMIFS(Data!$H$2:$H$5761,Data!$I$2:$I$5761,Control!$B$8,Data!$B$2:$B$5761,C9)/COUNTIF(Banks!$C$2:$C$21,Control!$B$8)</f>
        <v>2415</v>
      </c>
      <c r="H9">
        <f t="shared" si="0"/>
        <v>637.20000000000005</v>
      </c>
      <c r="I9">
        <f t="shared" si="1"/>
        <v>0.3744270772123634</v>
      </c>
      <c r="J9">
        <f t="shared" si="2"/>
        <v>99.4</v>
      </c>
    </row>
    <row r="10" spans="2:11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INDEX(Calc_Month!$F$2:$F$37,C10)</f>
        <v>2312</v>
      </c>
      <c r="F10">
        <f>SUMIFS(Data!$H$2:$H$5761,Data!$B$2:$B$5761,C10)/20</f>
        <v>1705.6</v>
      </c>
      <c r="G10">
        <f>SUMIFS(Data!$H$2:$H$5761,Data!$I$2:$I$5761,Control!$B$8,Data!$B$2:$B$5761,C10)/COUNTIF(Banks!$C$2:$C$21,Control!$B$8)</f>
        <v>2382</v>
      </c>
      <c r="H10">
        <f t="shared" si="0"/>
        <v>606.40000000000009</v>
      </c>
      <c r="I10">
        <f t="shared" si="1"/>
        <v>0.35553470919324587</v>
      </c>
      <c r="J10">
        <f t="shared" si="2"/>
        <v>98.2</v>
      </c>
    </row>
    <row r="11" spans="2:11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INDEX(Calc_Month!$F$2:$F$37,C11)</f>
        <v>2365</v>
      </c>
      <c r="F11">
        <f>SUMIFS(Data!$H$2:$H$5761,Data!$B$2:$B$5761,C11)/20</f>
        <v>1716.9</v>
      </c>
      <c r="G11">
        <f>SUMIFS(Data!$H$2:$H$5761,Data!$I$2:$I$5761,Control!$B$8,Data!$B$2:$B$5761,C11)/COUNTIF(Banks!$C$2:$C$21,Control!$B$8)</f>
        <v>2408</v>
      </c>
      <c r="H11">
        <f t="shared" si="0"/>
        <v>648.09999999999991</v>
      </c>
      <c r="I11">
        <f t="shared" si="1"/>
        <v>0.37748267225813958</v>
      </c>
      <c r="J11">
        <f t="shared" si="2"/>
        <v>100.5</v>
      </c>
    </row>
    <row r="12" spans="2:11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INDEX(Calc_Month!$F$2:$F$37,C12)</f>
        <v>2358</v>
      </c>
      <c r="F12">
        <f>SUMIFS(Data!$H$2:$H$5761,Data!$B$2:$B$5761,C12)/20</f>
        <v>1707.15</v>
      </c>
      <c r="G12">
        <f>SUMIFS(Data!$H$2:$H$5761,Data!$I$2:$I$5761,Control!$B$8,Data!$B$2:$B$5761,C12)/COUNTIF(Banks!$C$2:$C$21,Control!$B$8)</f>
        <v>2406.5</v>
      </c>
      <c r="H12">
        <f t="shared" si="0"/>
        <v>650.84999999999991</v>
      </c>
      <c r="I12">
        <f t="shared" si="1"/>
        <v>0.38124945083911776</v>
      </c>
      <c r="J12">
        <f t="shared" si="2"/>
        <v>100.2</v>
      </c>
    </row>
    <row r="13" spans="2:11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INDEX(Calc_Month!$F$2:$F$37,C13)</f>
        <v>2318</v>
      </c>
      <c r="F13">
        <f>SUMIFS(Data!$H$2:$H$5761,Data!$B$2:$B$5761,C13)/20</f>
        <v>1710.65</v>
      </c>
      <c r="G13">
        <f>SUMIFS(Data!$H$2:$H$5761,Data!$I$2:$I$5761,Control!$B$8,Data!$B$2:$B$5761,C13)/COUNTIF(Banks!$C$2:$C$21,Control!$B$8)</f>
        <v>2386.5</v>
      </c>
      <c r="H13">
        <f t="shared" si="0"/>
        <v>607.34999999999991</v>
      </c>
      <c r="I13">
        <f t="shared" si="1"/>
        <v>0.35504048168824709</v>
      </c>
      <c r="J13">
        <f t="shared" si="2"/>
        <v>98.5</v>
      </c>
    </row>
    <row r="14" spans="2:11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INDEX(Calc_Month!$F$2:$F$37,C14)</f>
        <v>2329</v>
      </c>
      <c r="F14">
        <f>SUMIFS(Data!$H$2:$H$5761,Data!$B$2:$B$5761,C14)/20</f>
        <v>1715.85</v>
      </c>
      <c r="G14">
        <f>SUMIFS(Data!$H$2:$H$5761,Data!$I$2:$I$5761,Control!$B$8,Data!$B$2:$B$5761,C14)/COUNTIF(Banks!$C$2:$C$21,Control!$B$8)</f>
        <v>2393</v>
      </c>
      <c r="H14">
        <f t="shared" si="0"/>
        <v>613.15000000000009</v>
      </c>
      <c r="I14">
        <f t="shared" si="1"/>
        <v>0.35734475624326145</v>
      </c>
      <c r="J14">
        <f t="shared" si="2"/>
        <v>98.9</v>
      </c>
    </row>
    <row r="15" spans="2:11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INDEX(Calc_Month!$F$2:$F$37,C15)</f>
        <v>2437</v>
      </c>
      <c r="F15">
        <f>SUMIFS(Data!$H$2:$H$5761,Data!$B$2:$B$5761,C15)/20</f>
        <v>1722.2</v>
      </c>
      <c r="G15">
        <f>SUMIFS(Data!$H$2:$H$5761,Data!$I$2:$I$5761,Control!$B$8,Data!$B$2:$B$5761,C15)/COUNTIF(Banks!$C$2:$C$21,Control!$B$8)</f>
        <v>2467</v>
      </c>
      <c r="H15">
        <f t="shared" si="0"/>
        <v>714.8</v>
      </c>
      <c r="I15">
        <f t="shared" si="1"/>
        <v>0.41505051678086163</v>
      </c>
      <c r="J15">
        <f t="shared" si="2"/>
        <v>103.5</v>
      </c>
    </row>
    <row r="16" spans="2:11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INDEX(Calc_Month!$F$2:$F$37,C16)</f>
        <v>2374</v>
      </c>
      <c r="F16">
        <f>SUMIFS(Data!$H$2:$H$5761,Data!$B$2:$B$5761,C16)/20</f>
        <v>1703.15</v>
      </c>
      <c r="G16">
        <f>SUMIFS(Data!$H$2:$H$5761,Data!$I$2:$I$5761,Control!$B$8,Data!$B$2:$B$5761,C16)/COUNTIF(Banks!$C$2:$C$21,Control!$B$8)</f>
        <v>2401</v>
      </c>
      <c r="H16">
        <f t="shared" si="0"/>
        <v>670.84999999999991</v>
      </c>
      <c r="I16">
        <f t="shared" si="1"/>
        <v>0.39388779614244185</v>
      </c>
      <c r="J16">
        <f t="shared" si="2"/>
        <v>100.8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Sicula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7</v>
      </c>
      <c r="D5" s="1" cm="1">
        <f t="array" ref="D5">INDEX(Calc_Dates!$C$2:$C$37,C5)</f>
        <v>45504</v>
      </c>
      <c r="E5" cm="1">
        <f t="array" ref="E5">INDEX(Calc_Month!$G$2:$G$37,C5)</f>
        <v>499.41999999999996</v>
      </c>
      <c r="F5">
        <f>SUMIFS(Data!$K$2:$K$5761,Data!$B$2:$B$5761,C5)/20</f>
        <v>350.3730000000001</v>
      </c>
      <c r="G5">
        <f>SUMIFS(Data!$K$2:$K$5761,Data!$I$2:$I$5761,Control!$B$8,Data!$B$2:$B$5761,C5)/COUNTIF(Banks!$C$2:$C$21,Control!$B$8)</f>
        <v>511.09499999999997</v>
      </c>
      <c r="H5">
        <f t="shared" ref="H5:H16" si="0">E5-F5</f>
        <v>149.04699999999985</v>
      </c>
      <c r="I5">
        <f t="shared" ref="I5:I16" si="1">IFERROR(H5/F5,0)</f>
        <v>0.4253952216637692</v>
      </c>
      <c r="J5">
        <f t="shared" ref="J5:J16" si="2">ROUND(E5/$E$5*100,1)</f>
        <v>100</v>
      </c>
    </row>
    <row r="6" spans="2:11" x14ac:dyDescent="0.25">
      <c r="C6">
        <f>Control!$B$3-12+ROW()-4</f>
        <v>8</v>
      </c>
      <c r="D6" s="1" cm="1">
        <f t="array" ref="D6">INDEX(Calc_Dates!$C$2:$C$37,C6)</f>
        <v>45535</v>
      </c>
      <c r="E6" cm="1">
        <f t="array" ref="E6">INDEX(Calc_Month!$G$2:$G$37,C6)</f>
        <v>500.2399999999999</v>
      </c>
      <c r="F6">
        <f>SUMIFS(Data!$K$2:$K$5761,Data!$B$2:$B$5761,C6)/20</f>
        <v>353.40100000000007</v>
      </c>
      <c r="G6">
        <f>SUMIFS(Data!$K$2:$K$5761,Data!$I$2:$I$5761,Control!$B$8,Data!$B$2:$B$5761,C6)/COUNTIF(Banks!$C$2:$C$21,Control!$B$8)</f>
        <v>512.96500000000003</v>
      </c>
      <c r="H6">
        <f t="shared" si="0"/>
        <v>146.83899999999983</v>
      </c>
      <c r="I6">
        <f t="shared" si="1"/>
        <v>0.41550250282257212</v>
      </c>
      <c r="J6">
        <f t="shared" si="2"/>
        <v>100.2</v>
      </c>
    </row>
    <row r="7" spans="2:11" x14ac:dyDescent="0.25">
      <c r="C7">
        <f>Control!$B$3-12+ROW()-4</f>
        <v>9</v>
      </c>
      <c r="D7" s="1" cm="1">
        <f t="array" ref="D7">INDEX(Calc_Dates!$C$2:$C$37,C7)</f>
        <v>45565</v>
      </c>
      <c r="E7" cm="1">
        <f t="array" ref="E7">INDEX(Calc_Month!$G$2:$G$37,C7)</f>
        <v>506.01</v>
      </c>
      <c r="F7">
        <f>SUMIFS(Data!$K$2:$K$5761,Data!$B$2:$B$5761,C7)/20</f>
        <v>356.17600000000022</v>
      </c>
      <c r="G7">
        <f>SUMIFS(Data!$K$2:$K$5761,Data!$I$2:$I$5761,Control!$B$8,Data!$B$2:$B$5761,C7)/COUNTIF(Banks!$C$2:$C$21,Control!$B$8)</f>
        <v>517.03499999999997</v>
      </c>
      <c r="H7">
        <f t="shared" si="0"/>
        <v>149.83399999999978</v>
      </c>
      <c r="I7">
        <f t="shared" si="1"/>
        <v>0.42067404878486953</v>
      </c>
      <c r="J7">
        <f t="shared" si="2"/>
        <v>101.3</v>
      </c>
    </row>
    <row r="8" spans="2:11" x14ac:dyDescent="0.25">
      <c r="C8">
        <f>Control!$B$3-12+ROW()-4</f>
        <v>10</v>
      </c>
      <c r="D8" s="1" cm="1">
        <f t="array" ref="D8">INDEX(Calc_Dates!$C$2:$C$37,C8)</f>
        <v>45596</v>
      </c>
      <c r="E8" cm="1">
        <f t="array" ref="E8">INDEX(Calc_Month!$G$2:$G$37,C8)</f>
        <v>511.85</v>
      </c>
      <c r="F8">
        <f>SUMIFS(Data!$K$2:$K$5761,Data!$B$2:$B$5761,C8)/20</f>
        <v>358.017</v>
      </c>
      <c r="G8">
        <f>SUMIFS(Data!$K$2:$K$5761,Data!$I$2:$I$5761,Control!$B$8,Data!$B$2:$B$5761,C8)/COUNTIF(Banks!$C$2:$C$21,Control!$B$8)</f>
        <v>523.06000000000006</v>
      </c>
      <c r="H8">
        <f t="shared" si="0"/>
        <v>153.83300000000003</v>
      </c>
      <c r="I8">
        <f t="shared" si="1"/>
        <v>0.42968071348567255</v>
      </c>
      <c r="J8">
        <f t="shared" si="2"/>
        <v>102.5</v>
      </c>
    </row>
    <row r="9" spans="2:11" x14ac:dyDescent="0.25">
      <c r="C9">
        <f>Control!$B$3-12+ROW()-4</f>
        <v>11</v>
      </c>
      <c r="D9" s="1" cm="1">
        <f t="array" ref="D9">INDEX(Calc_Dates!$C$2:$C$37,C9)</f>
        <v>45626</v>
      </c>
      <c r="E9" cm="1">
        <f t="array" ref="E9">INDEX(Calc_Month!$G$2:$G$37,C9)</f>
        <v>512.04999999999984</v>
      </c>
      <c r="F9">
        <f>SUMIFS(Data!$K$2:$K$5761,Data!$B$2:$B$5761,C9)/20</f>
        <v>361.49599999999998</v>
      </c>
      <c r="G9">
        <f>SUMIFS(Data!$K$2:$K$5761,Data!$I$2:$I$5761,Control!$B$8,Data!$B$2:$B$5761,C9)/COUNTIF(Banks!$C$2:$C$21,Control!$B$8)</f>
        <v>524.6149999999999</v>
      </c>
      <c r="H9">
        <f t="shared" si="0"/>
        <v>150.55399999999986</v>
      </c>
      <c r="I9">
        <f t="shared" si="1"/>
        <v>0.4164748710912427</v>
      </c>
      <c r="J9">
        <f t="shared" si="2"/>
        <v>102.5</v>
      </c>
    </row>
    <row r="10" spans="2:11" x14ac:dyDescent="0.25">
      <c r="C10">
        <f>Control!$B$3-12+ROW()-4</f>
        <v>12</v>
      </c>
      <c r="D10" s="1" cm="1">
        <f t="array" ref="D10">INDEX(Calc_Dates!$C$2:$C$37,C10)</f>
        <v>45657</v>
      </c>
      <c r="E10" cm="1">
        <f t="array" ref="E10">INDEX(Calc_Month!$G$2:$G$37,C10)</f>
        <v>515.13999999999987</v>
      </c>
      <c r="F10">
        <f>SUMIFS(Data!$K$2:$K$5761,Data!$B$2:$B$5761,C10)/20</f>
        <v>363.97799999999995</v>
      </c>
      <c r="G10">
        <f>SUMIFS(Data!$K$2:$K$5761,Data!$I$2:$I$5761,Control!$B$8,Data!$B$2:$B$5761,C10)/COUNTIF(Banks!$C$2:$C$21,Control!$B$8)</f>
        <v>529.05500000000006</v>
      </c>
      <c r="H10">
        <f t="shared" si="0"/>
        <v>151.16199999999992</v>
      </c>
      <c r="I10">
        <f t="shared" si="1"/>
        <v>0.41530532065124798</v>
      </c>
      <c r="J10">
        <f t="shared" si="2"/>
        <v>103.1</v>
      </c>
    </row>
    <row r="11" spans="2:11" x14ac:dyDescent="0.25">
      <c r="C11">
        <f>Control!$B$3-12+ROW()-4</f>
        <v>13</v>
      </c>
      <c r="D11" s="1" cm="1">
        <f t="array" ref="D11">INDEX(Calc_Dates!$C$2:$C$37,C11)</f>
        <v>45688</v>
      </c>
      <c r="E11" cm="1">
        <f t="array" ref="E11">INDEX(Calc_Month!$G$2:$G$37,C11)</f>
        <v>523.97</v>
      </c>
      <c r="F11">
        <f>SUMIFS(Data!$K$2:$K$5761,Data!$B$2:$B$5761,C11)/20</f>
        <v>366.90699999999998</v>
      </c>
      <c r="G11">
        <f>SUMIFS(Data!$K$2:$K$5761,Data!$I$2:$I$5761,Control!$B$8,Data!$B$2:$B$5761,C11)/COUNTIF(Banks!$C$2:$C$21,Control!$B$8)</f>
        <v>535.38000000000011</v>
      </c>
      <c r="H11">
        <f t="shared" si="0"/>
        <v>157.06300000000005</v>
      </c>
      <c r="I11">
        <f t="shared" si="1"/>
        <v>0.42807305393464845</v>
      </c>
      <c r="J11">
        <f t="shared" si="2"/>
        <v>104.9</v>
      </c>
    </row>
    <row r="12" spans="2:11" x14ac:dyDescent="0.25">
      <c r="C12">
        <f>Control!$B$3-12+ROW()-4</f>
        <v>14</v>
      </c>
      <c r="D12" s="1" cm="1">
        <f t="array" ref="D12">INDEX(Calc_Dates!$C$2:$C$37,C12)</f>
        <v>45716</v>
      </c>
      <c r="E12" cm="1">
        <f t="array" ref="E12">INDEX(Calc_Month!$G$2:$G$37,C12)</f>
        <v>525.63999999999987</v>
      </c>
      <c r="F12">
        <f>SUMIFS(Data!$K$2:$K$5761,Data!$B$2:$B$5761,C12)/20</f>
        <v>369.04100000000005</v>
      </c>
      <c r="G12">
        <f>SUMIFS(Data!$K$2:$K$5761,Data!$I$2:$I$5761,Control!$B$8,Data!$B$2:$B$5761,C12)/COUNTIF(Banks!$C$2:$C$21,Control!$B$8)</f>
        <v>536.39499999999998</v>
      </c>
      <c r="H12">
        <f t="shared" si="0"/>
        <v>156.59899999999982</v>
      </c>
      <c r="I12">
        <f t="shared" si="1"/>
        <v>0.42434038494367782</v>
      </c>
      <c r="J12">
        <f t="shared" si="2"/>
        <v>105.3</v>
      </c>
    </row>
    <row r="13" spans="2:11" x14ac:dyDescent="0.25">
      <c r="C13">
        <f>Control!$B$3-12+ROW()-4</f>
        <v>15</v>
      </c>
      <c r="D13" s="1" cm="1">
        <f t="array" ref="D13">INDEX(Calc_Dates!$C$2:$C$37,C13)</f>
        <v>45747</v>
      </c>
      <c r="E13" cm="1">
        <f t="array" ref="E13">INDEX(Calc_Month!$G$2:$G$37,C13)</f>
        <v>528.60000000000014</v>
      </c>
      <c r="F13">
        <f>SUMIFS(Data!$K$2:$K$5761,Data!$B$2:$B$5761,C13)/20</f>
        <v>371.87349999999992</v>
      </c>
      <c r="G13">
        <f>SUMIFS(Data!$K$2:$K$5761,Data!$I$2:$I$5761,Control!$B$8,Data!$B$2:$B$5761,C13)/COUNTIF(Banks!$C$2:$C$21,Control!$B$8)</f>
        <v>539.97499999999991</v>
      </c>
      <c r="H13">
        <f t="shared" si="0"/>
        <v>156.72650000000021</v>
      </c>
      <c r="I13">
        <f t="shared" si="1"/>
        <v>0.42145111173557742</v>
      </c>
      <c r="J13">
        <f t="shared" si="2"/>
        <v>105.8</v>
      </c>
    </row>
    <row r="14" spans="2:11" x14ac:dyDescent="0.25">
      <c r="C14">
        <f>Control!$B$3-12+ROW()-4</f>
        <v>16</v>
      </c>
      <c r="D14" s="1" cm="1">
        <f t="array" ref="D14">INDEX(Calc_Dates!$C$2:$C$37,C14)</f>
        <v>45777</v>
      </c>
      <c r="E14" cm="1">
        <f t="array" ref="E14">INDEX(Calc_Month!$G$2:$G$37,C14)</f>
        <v>533.69000000000005</v>
      </c>
      <c r="F14">
        <f>SUMIFS(Data!$K$2:$K$5761,Data!$B$2:$B$5761,C14)/20</f>
        <v>373.733</v>
      </c>
      <c r="G14">
        <f>SUMIFS(Data!$K$2:$K$5761,Data!$I$2:$I$5761,Control!$B$8,Data!$B$2:$B$5761,C14)/COUNTIF(Banks!$C$2:$C$21,Control!$B$8)</f>
        <v>545.21</v>
      </c>
      <c r="H14">
        <f t="shared" si="0"/>
        <v>159.95700000000005</v>
      </c>
      <c r="I14">
        <f t="shared" si="1"/>
        <v>0.42799806278814034</v>
      </c>
      <c r="J14">
        <f t="shared" si="2"/>
        <v>106.9</v>
      </c>
    </row>
    <row r="15" spans="2:11" x14ac:dyDescent="0.25">
      <c r="C15">
        <f>Control!$B$3-12+ROW()-4</f>
        <v>17</v>
      </c>
      <c r="D15" s="1" cm="1">
        <f t="array" ref="D15">INDEX(Calc_Dates!$C$2:$C$37,C15)</f>
        <v>45808</v>
      </c>
      <c r="E15" cm="1">
        <f t="array" ref="E15">INDEX(Calc_Month!$G$2:$G$37,C15)</f>
        <v>538.6500000000002</v>
      </c>
      <c r="F15">
        <f>SUMIFS(Data!$K$2:$K$5761,Data!$B$2:$B$5761,C15)/20</f>
        <v>376.99649999999997</v>
      </c>
      <c r="G15">
        <f>SUMIFS(Data!$K$2:$K$5761,Data!$I$2:$I$5761,Control!$B$8,Data!$B$2:$B$5761,C15)/COUNTIF(Banks!$C$2:$C$21,Control!$B$8)</f>
        <v>550.12</v>
      </c>
      <c r="H15">
        <f t="shared" si="0"/>
        <v>161.65350000000024</v>
      </c>
      <c r="I15">
        <f t="shared" si="1"/>
        <v>0.42879310550628519</v>
      </c>
      <c r="J15">
        <f t="shared" si="2"/>
        <v>107.9</v>
      </c>
    </row>
    <row r="16" spans="2:11" x14ac:dyDescent="0.25">
      <c r="C16">
        <f>Control!$B$3-12+ROW()-4</f>
        <v>18</v>
      </c>
      <c r="D16" s="1" cm="1">
        <f t="array" ref="D16">INDEX(Calc_Dates!$C$2:$C$37,C16)</f>
        <v>45838</v>
      </c>
      <c r="E16" cm="1">
        <f t="array" ref="E16">INDEX(Calc_Month!$G$2:$G$37,C16)</f>
        <v>540.86999999999989</v>
      </c>
      <c r="F16">
        <f>SUMIFS(Data!$K$2:$K$5761,Data!$B$2:$B$5761,C16)/20</f>
        <v>379.61099999999999</v>
      </c>
      <c r="G16">
        <f>SUMIFS(Data!$K$2:$K$5761,Data!$I$2:$I$5761,Control!$B$8,Data!$B$2:$B$5761,C16)/COUNTIF(Banks!$C$2:$C$21,Control!$B$8)</f>
        <v>552.88</v>
      </c>
      <c r="H16">
        <f t="shared" si="0"/>
        <v>161.2589999999999</v>
      </c>
      <c r="I16">
        <f t="shared" si="1"/>
        <v>0.42480065119293148</v>
      </c>
      <c r="J16">
        <f t="shared" si="2"/>
        <v>108.3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2026-10-17T11:54:48Z</dcterms:modified>
</cp:coreProperties>
</file>