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A33041F4-7CEF-4060-A8A9-C10E1FC9ECC2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F15" i="43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H5" i="28" a="1"/>
  <c r="H5" i="28" s="1"/>
  <c r="C5" i="28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B11" i="19"/>
  <c r="D5" i="40" s="1"/>
  <c r="E5" i="40" s="1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/>
  <c r="A16" i="19" a="1"/>
  <c r="A16" i="19" s="1"/>
  <c r="A17" i="19" a="1"/>
  <c r="A17" i="19"/>
  <c r="A18" i="19" a="1"/>
  <c r="A18" i="19" s="1"/>
  <c r="A19" i="19" a="1"/>
  <c r="A19" i="19" s="1"/>
  <c r="A20" i="19" a="1"/>
  <c r="A20" i="19"/>
  <c r="C14" i="40" s="1"/>
  <c r="A21" i="19" a="1"/>
  <c r="A21" i="19" s="1"/>
  <c r="A22" i="19" a="1"/>
  <c r="A22" i="19" s="1"/>
  <c r="A23" i="19" a="1"/>
  <c r="A23" i="19" s="1"/>
  <c r="C17" i="40" s="1"/>
  <c r="A24" i="19" a="1"/>
  <c r="A24" i="19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6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/>
  <c r="I2" i="18" a="1"/>
  <c r="I2" i="18" s="1"/>
  <c r="G2" i="18" a="1"/>
  <c r="G2" i="18" s="1"/>
  <c r="A2" i="18" a="1"/>
  <c r="A2" i="18"/>
  <c r="C5" i="36" s="1" a="1"/>
  <c r="C5" i="36" s="1"/>
  <c r="B2" i="17"/>
  <c r="C2" i="17" s="1"/>
  <c r="B6" i="17"/>
  <c r="D6" i="17" s="1"/>
  <c r="B7" i="17"/>
  <c r="D7" i="17" s="1"/>
  <c r="B8" i="17"/>
  <c r="B13" i="17"/>
  <c r="C13" i="17" s="1"/>
  <c r="M13" i="17" s="1"/>
  <c r="B15" i="17"/>
  <c r="B29" i="17"/>
  <c r="D29" i="17" s="1"/>
  <c r="A2" i="17"/>
  <c r="A3" i="17"/>
  <c r="A4" i="17"/>
  <c r="A5" i="17"/>
  <c r="A6" i="17"/>
  <c r="A7" i="17"/>
  <c r="A8" i="17"/>
  <c r="A9" i="17"/>
  <c r="B9" i="17" s="1"/>
  <c r="A10" i="17"/>
  <c r="A11" i="17"/>
  <c r="B11" i="17" s="1"/>
  <c r="A12" i="17"/>
  <c r="A13" i="17"/>
  <c r="A14" i="17"/>
  <c r="B14" i="17" s="1"/>
  <c r="A15" i="17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N8" i="16"/>
  <c r="N14" i="16"/>
  <c r="N18" i="16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I13" i="16"/>
  <c r="I15" i="16"/>
  <c r="G5" i="16"/>
  <c r="G7" i="16"/>
  <c r="G8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E15" i="16"/>
  <c r="N15" i="16" s="1"/>
  <c r="E16" i="16"/>
  <c r="N16" i="16" s="1"/>
  <c r="E17" i="16"/>
  <c r="N17" i="16" s="1"/>
  <c r="E18" i="16"/>
  <c r="E19" i="16"/>
  <c r="N19" i="16" s="1"/>
  <c r="E20" i="16"/>
  <c r="N20" i="16" s="1"/>
  <c r="E21" i="16"/>
  <c r="N21" i="16" s="1"/>
  <c r="D7" i="16"/>
  <c r="D8" i="16"/>
  <c r="C4" i="16"/>
  <c r="H4" i="16" s="1"/>
  <c r="E7" i="34" s="1"/>
  <c r="C7" i="16"/>
  <c r="H7" i="16" s="1"/>
  <c r="E10" i="34" s="1"/>
  <c r="C10" i="16"/>
  <c r="H10" i="16" s="1"/>
  <c r="E13" i="34" s="1"/>
  <c r="C15" i="16"/>
  <c r="H15" i="16" s="1"/>
  <c r="E18" i="34" s="1"/>
  <c r="C17" i="16"/>
  <c r="H17" i="16" s="1"/>
  <c r="E20" i="34" s="1"/>
  <c r="C20" i="16"/>
  <c r="H20" i="16" s="1"/>
  <c r="E23" i="34" s="1"/>
  <c r="B5" i="16"/>
  <c r="D8" i="34" s="1"/>
  <c r="B7" i="16"/>
  <c r="D10" i="34" s="1"/>
  <c r="B8" i="16"/>
  <c r="A2" i="16"/>
  <c r="A3" i="16"/>
  <c r="A4" i="16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Q3" i="13" s="1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D3" i="13" s="1"/>
  <c r="H5" i="31" s="1" a="1"/>
  <c r="H5" i="31" s="1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I5" i="13" s="1"/>
  <c r="J5" i="12"/>
  <c r="K5" i="12"/>
  <c r="L5" i="12"/>
  <c r="M5" i="12"/>
  <c r="M5" i="13" s="1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Y5" i="13" s="1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R6" i="13" s="1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Q7" i="13" s="1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F8" i="13" s="1"/>
  <c r="AG8" i="12"/>
  <c r="AH8" i="12"/>
  <c r="AI8" i="12"/>
  <c r="AJ8" i="12"/>
  <c r="AK8" i="12"/>
  <c r="B9" i="12"/>
  <c r="C9" i="12"/>
  <c r="D9" i="12"/>
  <c r="E9" i="12"/>
  <c r="E55" i="12" s="1"/>
  <c r="F9" i="12"/>
  <c r="F9" i="13" s="1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H10" i="13" s="1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X10" i="13" s="1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AK10" i="13" s="1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N11" i="13" s="1"/>
  <c r="O11" i="12"/>
  <c r="P11" i="12"/>
  <c r="P57" i="12" s="1"/>
  <c r="Q11" i="12"/>
  <c r="Q11" i="13" s="1"/>
  <c r="R11" i="12"/>
  <c r="S11" i="12"/>
  <c r="S57" i="12" s="1"/>
  <c r="T11" i="12"/>
  <c r="T57" i="12" s="1"/>
  <c r="U11" i="12"/>
  <c r="U11" i="13" s="1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C12" i="13" s="1"/>
  <c r="G14" i="31" s="1" a="1"/>
  <c r="G14" i="31" s="1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F13" i="13" s="1"/>
  <c r="G13" i="12"/>
  <c r="H13" i="12"/>
  <c r="I13" i="12"/>
  <c r="J13" i="12"/>
  <c r="K13" i="12"/>
  <c r="L13" i="12"/>
  <c r="M13" i="12"/>
  <c r="M13" i="13" s="1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Y13" i="13" s="1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L3" i="11"/>
  <c r="J6" i="26" s="1"/>
  <c r="I3" i="11"/>
  <c r="F6" i="26" s="1"/>
  <c r="D3" i="11"/>
  <c r="B3" i="11"/>
  <c r="A2" i="11"/>
  <c r="D2" i="11" s="1"/>
  <c r="A3" i="11"/>
  <c r="A4" i="11"/>
  <c r="B4" i="11" s="1"/>
  <c r="A5" i="11"/>
  <c r="B5" i="11" s="1"/>
  <c r="A6" i="11"/>
  <c r="M8" i="10"/>
  <c r="D11" i="27" s="1"/>
  <c r="M9" i="10"/>
  <c r="D12" i="27" s="1"/>
  <c r="K2" i="10"/>
  <c r="D6" i="10"/>
  <c r="C2" i="10"/>
  <c r="C3" i="10"/>
  <c r="C9" i="10"/>
  <c r="B5" i="10"/>
  <c r="E8" i="27" s="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W4" i="9"/>
  <c r="W8" i="9"/>
  <c r="W17" i="9"/>
  <c r="W19" i="9"/>
  <c r="W20" i="9"/>
  <c r="V8" i="9"/>
  <c r="V19" i="9"/>
  <c r="R2" i="9"/>
  <c r="R4" i="9"/>
  <c r="S4" i="9" s="1"/>
  <c r="R9" i="9"/>
  <c r="S9" i="9" s="1"/>
  <c r="R19" i="9"/>
  <c r="S19" i="9" s="1"/>
  <c r="R20" i="9"/>
  <c r="S20" i="9" s="1"/>
  <c r="P2" i="9"/>
  <c r="P17" i="9"/>
  <c r="P18" i="9"/>
  <c r="N19" i="9"/>
  <c r="O19" i="9" s="1"/>
  <c r="N20" i="9"/>
  <c r="O20" i="9" s="1"/>
  <c r="M2" i="9"/>
  <c r="M17" i="9"/>
  <c r="M18" i="9"/>
  <c r="G3" i="9"/>
  <c r="G20" i="9"/>
  <c r="E17" i="9"/>
  <c r="D3" i="9"/>
  <c r="D10" i="9"/>
  <c r="D18" i="9"/>
  <c r="D19" i="9"/>
  <c r="C7" i="9"/>
  <c r="C8" i="9"/>
  <c r="B2" i="9"/>
  <c r="B3" i="9"/>
  <c r="B4" i="9"/>
  <c r="T4" i="9" s="1" a="1"/>
  <c r="T4" i="9" s="1"/>
  <c r="B10" i="9"/>
  <c r="B11" i="9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A8" i="9"/>
  <c r="A9" i="9"/>
  <c r="G9" i="9" s="1"/>
  <c r="A10" i="9"/>
  <c r="V10" i="9" s="1"/>
  <c r="A11" i="9"/>
  <c r="E11" i="9" s="1"/>
  <c r="A12" i="9"/>
  <c r="W12" i="9" s="1"/>
  <c r="A13" i="9"/>
  <c r="C13" i="9" s="1"/>
  <c r="A14" i="9"/>
  <c r="G14" i="9" s="1"/>
  <c r="A15" i="9"/>
  <c r="A16" i="9"/>
  <c r="M16" i="9" s="1"/>
  <c r="A17" i="9"/>
  <c r="D17" i="9" s="1"/>
  <c r="X17" i="9" s="1"/>
  <c r="A18" i="9"/>
  <c r="E18" i="9" s="1"/>
  <c r="A19" i="9"/>
  <c r="C19" i="9" s="1"/>
  <c r="A20" i="9"/>
  <c r="V20" i="9" s="1"/>
  <c r="A21" i="9"/>
  <c r="R21" i="9" s="1"/>
  <c r="S21" i="9" s="1"/>
  <c r="M17" i="8"/>
  <c r="K2" i="8"/>
  <c r="H5" i="8" a="1"/>
  <c r="H5" i="8" s="1"/>
  <c r="F2" i="8"/>
  <c r="F3" i="8"/>
  <c r="F17" i="8"/>
  <c r="F18" i="8"/>
  <c r="F19" i="8"/>
  <c r="F24" i="8"/>
  <c r="F27" i="8"/>
  <c r="F28" i="8"/>
  <c r="F34" i="8"/>
  <c r="F35" i="8"/>
  <c r="D2" i="8"/>
  <c r="D3" i="8"/>
  <c r="D5" i="8"/>
  <c r="D6" i="8"/>
  <c r="D17" i="8"/>
  <c r="D18" i="8"/>
  <c r="D19" i="8"/>
  <c r="D33" i="8"/>
  <c r="D34" i="8"/>
  <c r="D37" i="8"/>
  <c r="C2" i="8"/>
  <c r="N2" i="8" s="1"/>
  <c r="C17" i="8"/>
  <c r="C18" i="8"/>
  <c r="C23" i="8"/>
  <c r="N23" i="8" s="1"/>
  <c r="C24" i="8"/>
  <c r="M24" i="8" s="1"/>
  <c r="C27" i="8"/>
  <c r="M27" i="8" s="1"/>
  <c r="B2" i="8"/>
  <c r="T2" i="8" s="1"/>
  <c r="B3" i="8"/>
  <c r="T3" i="8" s="1"/>
  <c r="B8" i="8"/>
  <c r="K8" i="8" s="1"/>
  <c r="B17" i="8"/>
  <c r="B18" i="8"/>
  <c r="T18" i="8" s="1"/>
  <c r="B19" i="8"/>
  <c r="T19" i="8" s="1"/>
  <c r="B27" i="8"/>
  <c r="T27" i="8" s="1"/>
  <c r="B33" i="8"/>
  <c r="B34" i="8"/>
  <c r="T34" i="8" s="1"/>
  <c r="A2" i="8"/>
  <c r="A3" i="8"/>
  <c r="A4" i="8"/>
  <c r="B4" i="8" s="1"/>
  <c r="T4" i="8" s="1"/>
  <c r="A5" i="8"/>
  <c r="C5" i="8" s="1"/>
  <c r="A6" i="8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A18" i="8"/>
  <c r="A19" i="8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R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H13" i="8" s="1" a="1"/>
  <c r="H13" i="8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AB9" i="9" l="1" a="1"/>
  <c r="AB9" i="9" s="1"/>
  <c r="AB3" i="9" a="1"/>
  <c r="AB3" i="9" s="1"/>
  <c r="AB19" i="9" a="1"/>
  <c r="AB19" i="9" s="1"/>
  <c r="C23" i="17"/>
  <c r="D23" i="17"/>
  <c r="Y19" i="9"/>
  <c r="I22" i="17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R33" i="8"/>
  <c r="K27" i="8"/>
  <c r="P9" i="9"/>
  <c r="C16" i="8"/>
  <c r="B20" i="9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F18" i="9"/>
  <c r="I17" i="9"/>
  <c r="P20" i="9"/>
  <c r="R11" i="9"/>
  <c r="S11" i="9" s="1"/>
  <c r="V4" i="9"/>
  <c r="Z10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H17" i="8" a="1"/>
  <c r="H17" i="8" s="1"/>
  <c r="I21" i="9"/>
  <c r="V9" i="9"/>
  <c r="L2" i="11"/>
  <c r="J5" i="26" s="1"/>
  <c r="B35" i="8"/>
  <c r="T35" i="8" s="1"/>
  <c r="H11" i="8" a="1"/>
  <c r="H11" i="8" s="1"/>
  <c r="M2" i="8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C28" i="8"/>
  <c r="M28" i="8" s="1"/>
  <c r="D4" i="8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N18" i="9"/>
  <c r="P8" i="9"/>
  <c r="T10" i="9" a="1"/>
  <c r="T10" i="9" s="1"/>
  <c r="W10" i="9"/>
  <c r="X10" i="9" s="1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L28" i="8"/>
  <c r="B11" i="8"/>
  <c r="K3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C9" i="9"/>
  <c r="Y9" i="9" s="1"/>
  <c r="D2" i="9"/>
  <c r="F2" i="9" s="1"/>
  <c r="V13" i="9"/>
  <c r="W3" i="9"/>
  <c r="X3" i="9" s="1"/>
  <c r="I2" i="11"/>
  <c r="F5" i="26" s="1"/>
  <c r="L13" i="13"/>
  <c r="AF12" i="13"/>
  <c r="H3" i="8" a="1"/>
  <c r="H3" i="8" s="1"/>
  <c r="W11" i="9"/>
  <c r="C10" i="9"/>
  <c r="Q10" i="9" s="1"/>
  <c r="C12" i="8"/>
  <c r="H19" i="8" a="1"/>
  <c r="H19" i="8" s="1"/>
  <c r="H8" i="9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T19" i="9" a="1"/>
  <c r="T19" i="9" s="1"/>
  <c r="F15" i="47"/>
  <c r="C36" i="8"/>
  <c r="C20" i="8"/>
  <c r="P21" i="8" s="1"/>
  <c r="C4" i="8"/>
  <c r="L6" i="8" s="1"/>
  <c r="T17" i="8"/>
  <c r="K17" i="8"/>
  <c r="M5" i="8"/>
  <c r="I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Y10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18" i="8"/>
  <c r="L2" i="8"/>
  <c r="B13" i="8"/>
  <c r="E9" i="43" a="1"/>
  <c r="E9" i="43" s="1"/>
  <c r="N24" i="8"/>
  <c r="H35" i="8" a="1"/>
  <c r="H35" i="8" s="1"/>
  <c r="H8" i="8" a="1"/>
  <c r="H8" i="8" s="1"/>
  <c r="M26" i="8"/>
  <c r="D23" i="32"/>
  <c r="B20" i="22"/>
  <c r="K20" i="16"/>
  <c r="G23" i="34" s="1"/>
  <c r="H20" i="9"/>
  <c r="Q20" i="9"/>
  <c r="D14" i="9"/>
  <c r="E7" i="9"/>
  <c r="H10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Q4" i="8" s="1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H21" i="8" a="1"/>
  <c r="H21" i="8" s="1"/>
  <c r="N31" i="8"/>
  <c r="R32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R35" i="8"/>
  <c r="R11" i="8"/>
  <c r="G11" i="8"/>
  <c r="F8" i="8"/>
  <c r="R8" i="8" s="1"/>
  <c r="H6" i="8" a="1"/>
  <c r="H6" i="8" s="1"/>
  <c r="K35" i="8"/>
  <c r="A36" i="21"/>
  <c r="A18" i="22"/>
  <c r="C21" i="39" s="1"/>
  <c r="V18" i="9"/>
  <c r="O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Z20" i="9"/>
  <c r="P17" i="8"/>
  <c r="A32" i="21"/>
  <c r="A14" i="22"/>
  <c r="C17" i="39" s="1"/>
  <c r="R14" i="9"/>
  <c r="S14" i="9" s="1"/>
  <c r="N14" i="9"/>
  <c r="O14" i="9" s="1"/>
  <c r="B14" i="9"/>
  <c r="F7" i="47"/>
  <c r="P28" i="8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Q31" i="8" s="1"/>
  <c r="F31" i="8"/>
  <c r="B31" i="8"/>
  <c r="D15" i="8"/>
  <c r="F15" i="8"/>
  <c r="B15" i="8"/>
  <c r="B10" i="8"/>
  <c r="M21" i="8"/>
  <c r="I21" i="8"/>
  <c r="D10" i="8"/>
  <c r="E22" i="8"/>
  <c r="Q22" i="8" s="1"/>
  <c r="F30" i="8"/>
  <c r="E15" i="46" s="1" a="1"/>
  <c r="E15" i="46" s="1"/>
  <c r="F4" i="8"/>
  <c r="R4" i="8" s="1"/>
  <c r="G16" i="8"/>
  <c r="H32" i="8" a="1"/>
  <c r="H32" i="8" s="1"/>
  <c r="I32" i="8" s="1"/>
  <c r="H20" i="8" a="1"/>
  <c r="H20" i="8" s="1"/>
  <c r="I17" i="8"/>
  <c r="K34" i="8"/>
  <c r="K4" i="8"/>
  <c r="M18" i="8"/>
  <c r="N28" i="8"/>
  <c r="R30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F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F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K10" i="16"/>
  <c r="G13" i="34" s="1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K28" i="8"/>
  <c r="T28" i="8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P16" i="8"/>
  <c r="M16" i="8"/>
  <c r="I16" i="8"/>
  <c r="M15" i="8"/>
  <c r="I15" i="8"/>
  <c r="G4" i="8"/>
  <c r="E14" i="8"/>
  <c r="Q14" i="8" s="1"/>
  <c r="H29" i="8" a="1"/>
  <c r="H29" i="8" s="1"/>
  <c r="N18" i="8"/>
  <c r="T8" i="8"/>
  <c r="D5" i="26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B25" i="8"/>
  <c r="C9" i="8"/>
  <c r="L10" i="8" s="1"/>
  <c r="F9" i="8"/>
  <c r="R9" i="8" s="1"/>
  <c r="B9" i="8"/>
  <c r="B26" i="8"/>
  <c r="E10" i="8"/>
  <c r="Q10" i="8" s="1"/>
  <c r="F20" i="8"/>
  <c r="E5" i="46" s="1" a="1"/>
  <c r="E5" i="46" s="1"/>
  <c r="J14" i="46" s="1"/>
  <c r="G32" i="8"/>
  <c r="H28" i="8" a="1"/>
  <c r="H28" i="8" s="1"/>
  <c r="I28" i="8" s="1"/>
  <c r="S28" i="8" s="1"/>
  <c r="H14" i="8" a="1"/>
  <c r="H14" i="8" s="1"/>
  <c r="L29" i="8"/>
  <c r="N16" i="8"/>
  <c r="I12" i="9"/>
  <c r="R24" i="8"/>
  <c r="B24" i="8"/>
  <c r="P33" i="8"/>
  <c r="E36" i="8"/>
  <c r="E9" i="8"/>
  <c r="Q9" i="8" s="1"/>
  <c r="H27" i="8" a="1"/>
  <c r="H27" i="8" s="1"/>
  <c r="I27" i="8" s="1"/>
  <c r="I33" i="8"/>
  <c r="N15" i="8"/>
  <c r="D7" i="32"/>
  <c r="B4" i="22"/>
  <c r="K4" i="16"/>
  <c r="G7" i="34" s="1"/>
  <c r="H4" i="9"/>
  <c r="Q4" i="9"/>
  <c r="E21" i="9"/>
  <c r="N16" i="9"/>
  <c r="O16" i="9" s="1"/>
  <c r="O6" i="9"/>
  <c r="X2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P37" i="8"/>
  <c r="C14" i="8"/>
  <c r="P15" i="8" s="1"/>
  <c r="D26" i="8"/>
  <c r="R3" i="8"/>
  <c r="E13" i="8"/>
  <c r="Q13" i="8" s="1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P12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Q32" i="8"/>
  <c r="E8" i="8"/>
  <c r="H25" i="8" a="1"/>
  <c r="H25" i="8" s="1"/>
  <c r="K19" i="8"/>
  <c r="M33" i="8"/>
  <c r="B6" i="9"/>
  <c r="I6" i="9"/>
  <c r="T20" i="9" a="1"/>
  <c r="T20" i="9" s="1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D12" i="32"/>
  <c r="B9" i="22"/>
  <c r="K9" i="16"/>
  <c r="G12" i="34" s="1"/>
  <c r="Q9" i="9"/>
  <c r="H9" i="9"/>
  <c r="F5" i="47"/>
  <c r="N6" i="10"/>
  <c r="O6" i="10" s="1" a="1"/>
  <c r="O6" i="10" s="1"/>
  <c r="J9" i="27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B4" i="23" a="1"/>
  <c r="B4" i="23" s="1"/>
  <c r="Q7" i="8"/>
  <c r="G28" i="8"/>
  <c r="E13" i="47" s="1" a="1"/>
  <c r="E13" i="47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B7" i="23" s="1" a="1"/>
  <c r="B7" i="23" s="1"/>
  <c r="C7" i="23" s="1"/>
  <c r="U21" i="8"/>
  <c r="C30" i="8"/>
  <c r="L32" i="8" s="1"/>
  <c r="C6" i="8"/>
  <c r="R19" i="8"/>
  <c r="G19" i="8"/>
  <c r="E30" i="8"/>
  <c r="G30" i="8" s="1"/>
  <c r="E6" i="8"/>
  <c r="Q6" i="8" s="1"/>
  <c r="F14" i="8"/>
  <c r="R14" i="8" s="1"/>
  <c r="G24" i="8"/>
  <c r="E9" i="47" s="1" a="1"/>
  <c r="E9" i="47" s="1"/>
  <c r="H37" i="8" a="1"/>
  <c r="H37" i="8" s="1"/>
  <c r="I37" i="8" s="1"/>
  <c r="H24" i="8" a="1"/>
  <c r="H24" i="8" s="1"/>
  <c r="I24" i="8" s="1"/>
  <c r="H12" i="8" a="1"/>
  <c r="H12" i="8" s="1"/>
  <c r="I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F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F21" i="30" s="1"/>
  <c r="AE19" i="13"/>
  <c r="I21" i="31" s="1" a="1"/>
  <c r="I21" i="31" s="1"/>
  <c r="O19" i="14"/>
  <c r="AI18" i="13"/>
  <c r="C18" i="13"/>
  <c r="AE15" i="13"/>
  <c r="I17" i="31" s="1" a="1"/>
  <c r="I17" i="31" s="1"/>
  <c r="F13" i="30"/>
  <c r="AE23" i="12"/>
  <c r="E5" i="42" s="1" a="1"/>
  <c r="E5" i="42" s="1"/>
  <c r="C35" i="8"/>
  <c r="L37" i="8" s="1"/>
  <c r="C19" i="8"/>
  <c r="L19" i="8" s="1"/>
  <c r="C3" i="8"/>
  <c r="O12" i="8" s="1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J3" i="9" s="1"/>
  <c r="M19" i="9"/>
  <c r="M3" i="9"/>
  <c r="O11" i="9"/>
  <c r="Q19" i="9"/>
  <c r="Q3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Y3" i="9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L6" i="10"/>
  <c r="H9" i="27" s="1"/>
  <c r="B3" i="22"/>
  <c r="D6" i="32"/>
  <c r="K3" i="16"/>
  <c r="G6" i="34" s="1"/>
  <c r="F6" i="47"/>
  <c r="B4" i="10"/>
  <c r="D4" i="10"/>
  <c r="F4" i="10"/>
  <c r="N4" i="10"/>
  <c r="O4" i="10" s="1" a="1"/>
  <c r="O4" i="10" s="1"/>
  <c r="J7" i="27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N11" i="8"/>
  <c r="A29" i="21"/>
  <c r="A11" i="22"/>
  <c r="C14" i="39" s="1"/>
  <c r="M11" i="9"/>
  <c r="F12" i="47"/>
  <c r="C6" i="23" a="1"/>
  <c r="C6" i="23" s="1"/>
  <c r="E9" i="24" s="1"/>
  <c r="C4" i="23" a="1"/>
  <c r="C4" i="23" s="1"/>
  <c r="E7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J9" i="9" s="1"/>
  <c r="M9" i="9"/>
  <c r="N13" i="9"/>
  <c r="O13" i="9" s="1"/>
  <c r="R13" i="9"/>
  <c r="S13" i="9" s="1"/>
  <c r="X9" i="9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F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I24" i="17"/>
  <c r="E9" i="35" s="1" a="1"/>
  <c r="E9" i="3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F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F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L20" i="16"/>
  <c r="F23" i="34" s="1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L2" i="16"/>
  <c r="F5" i="34" s="1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I17" i="17"/>
  <c r="C17" i="17"/>
  <c r="D34" i="17"/>
  <c r="K33" i="17"/>
  <c r="C14" i="34"/>
  <c r="L11" i="16"/>
  <c r="F14" i="34" s="1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D6" i="43" a="1"/>
  <c r="D6" i="43" s="1"/>
  <c r="E6" i="43" a="1"/>
  <c r="E6" i="43" s="1"/>
  <c r="F8" i="44"/>
  <c r="D8" i="44" a="1"/>
  <c r="D8" i="44" s="1"/>
  <c r="E8" i="44" a="1"/>
  <c r="E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E7" i="35" a="1"/>
  <c r="E7" i="35" s="1"/>
  <c r="F11" i="36"/>
  <c r="D11" i="36"/>
  <c r="F13" i="43"/>
  <c r="E13" i="43" a="1"/>
  <c r="E13" i="43" s="1"/>
  <c r="D16" i="45" a="1"/>
  <c r="D16" i="45" s="1"/>
  <c r="F16" i="45"/>
  <c r="F5" i="44"/>
  <c r="F10" i="46"/>
  <c r="E10" i="46" a="1"/>
  <c r="E10" i="46" s="1"/>
  <c r="D5" i="29" a="1"/>
  <c r="D5" i="29" s="1"/>
  <c r="F7" i="45"/>
  <c r="E7" i="45" a="1"/>
  <c r="E7" i="45" s="1"/>
  <c r="D7" i="45" a="1"/>
  <c r="D7" i="45" s="1"/>
  <c r="E12" i="43" a="1"/>
  <c r="E12" i="43" s="1"/>
  <c r="F14" i="47"/>
  <c r="D14" i="47" a="1"/>
  <c r="D14" i="47" s="1"/>
  <c r="F11" i="47"/>
  <c r="E16" i="44" a="1"/>
  <c r="E16" i="44" s="1"/>
  <c r="F13" i="46"/>
  <c r="E13" i="46" a="1"/>
  <c r="E13" i="46" s="1"/>
  <c r="F9" i="45"/>
  <c r="D9" i="45" a="1"/>
  <c r="D9" i="45" s="1"/>
  <c r="F16" i="47"/>
  <c r="D9" i="35" a="1"/>
  <c r="D9" i="35" s="1"/>
  <c r="F9" i="44"/>
  <c r="D9" i="44" a="1"/>
  <c r="D9" i="44" s="1"/>
  <c r="F13" i="47"/>
  <c r="D6" i="44" a="1"/>
  <c r="D6" i="44" s="1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D14" i="46" a="1"/>
  <c r="D14" i="46" s="1"/>
  <c r="F14" i="46"/>
  <c r="H14" i="46" s="1"/>
  <c r="I14" i="46" s="1"/>
  <c r="E12" i="46" a="1"/>
  <c r="E12" i="46" s="1"/>
  <c r="F12" i="46"/>
  <c r="B6" i="21"/>
  <c r="E7" i="43" a="1"/>
  <c r="E7" i="43" s="1"/>
  <c r="D8" i="46" a="1"/>
  <c r="D8" i="46" s="1"/>
  <c r="F8" i="46"/>
  <c r="F12" i="45"/>
  <c r="E12" i="45" a="1"/>
  <c r="E12" i="45" s="1"/>
  <c r="E13" i="45" a="1"/>
  <c r="E13" i="45" s="1"/>
  <c r="E9" i="46" a="1"/>
  <c r="E9" i="46" s="1"/>
  <c r="F9" i="46"/>
  <c r="F10" i="47"/>
  <c r="F7" i="46"/>
  <c r="D7" i="46" a="1"/>
  <c r="D7" i="46" s="1"/>
  <c r="F8" i="47"/>
  <c r="D6" i="46" a="1"/>
  <c r="D6" i="46" s="1"/>
  <c r="D7" i="47" a="1"/>
  <c r="D7" i="47" s="1"/>
  <c r="B15" i="21"/>
  <c r="D10" i="33" s="1"/>
  <c r="B4" i="20"/>
  <c r="K13" i="9" l="1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D23" i="9"/>
  <c r="S24" i="8"/>
  <c r="L19" i="16"/>
  <c r="F22" i="34" s="1"/>
  <c r="F23" i="41"/>
  <c r="E5" i="10"/>
  <c r="L22" i="8"/>
  <c r="F11" i="9"/>
  <c r="AA20" i="9"/>
  <c r="I6" i="10"/>
  <c r="S32" i="8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S11" i="8" s="1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J8" i="16"/>
  <c r="I11" i="34" s="1"/>
  <c r="F10" i="27"/>
  <c r="G7" i="10"/>
  <c r="F5" i="27"/>
  <c r="G2" i="10"/>
  <c r="C26" i="17"/>
  <c r="I26" i="17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P17" i="16" s="1"/>
  <c r="H20" i="34" s="1"/>
  <c r="K10" i="8"/>
  <c r="T10" i="8"/>
  <c r="H3" i="11"/>
  <c r="D6" i="38"/>
  <c r="O13" i="8"/>
  <c r="N13" i="8"/>
  <c r="P13" i="8"/>
  <c r="M13" i="8"/>
  <c r="I13" i="8"/>
  <c r="H4" i="11"/>
  <c r="R36" i="8"/>
  <c r="G36" i="8"/>
  <c r="B23" i="21"/>
  <c r="E8" i="32" s="1"/>
  <c r="C8" i="32"/>
  <c r="O11" i="8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J11" i="8" s="1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O23" i="8"/>
  <c r="B24" i="21"/>
  <c r="E9" i="32" s="1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9" i="45"/>
  <c r="H9" i="45"/>
  <c r="I9" i="45" s="1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H12" i="45"/>
  <c r="I12" i="45" s="1"/>
  <c r="J10" i="46"/>
  <c r="H10" i="46"/>
  <c r="I10" i="46" s="1"/>
  <c r="H7" i="44"/>
  <c r="I7" i="44" s="1"/>
  <c r="AN18" i="13"/>
  <c r="AP18" i="13" s="1"/>
  <c r="AO18" i="13"/>
  <c r="AM18" i="13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B21" i="21"/>
  <c r="E6" i="32" s="1"/>
  <c r="F6" i="32" s="1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B20" i="21"/>
  <c r="E5" i="32" s="1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J15" i="44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S36" i="8" s="1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/>
  <c r="P8" i="17"/>
  <c r="L8" i="17"/>
  <c r="E8" i="17"/>
  <c r="M8" i="17"/>
  <c r="J8" i="17"/>
  <c r="F8" i="17"/>
  <c r="N8" i="17" s="1"/>
  <c r="H8" i="17"/>
  <c r="G8" i="17"/>
  <c r="K8" i="17"/>
  <c r="I36" i="17"/>
  <c r="D36" i="17"/>
  <c r="C36" i="17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B22" i="21"/>
  <c r="E7" i="32" s="1"/>
  <c r="F7" i="32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F8" i="27"/>
  <c r="G5" i="10"/>
  <c r="D8" i="42"/>
  <c r="F8" i="42" s="1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D7" i="22" s="1"/>
  <c r="E7" i="22" s="1"/>
  <c r="J10" i="27"/>
  <c r="E16" i="46" a="1"/>
  <c r="E16" i="46" s="1"/>
  <c r="B6" i="23" a="1"/>
  <c r="B6" i="23" s="1"/>
  <c r="A30" i="18" a="1"/>
  <c r="A30" i="18" s="1"/>
  <c r="E8" i="26"/>
  <c r="J5" i="11"/>
  <c r="G8" i="26" s="1"/>
  <c r="F5" i="11"/>
  <c r="K5" i="11"/>
  <c r="H8" i="26" s="1"/>
  <c r="L35" i="8"/>
  <c r="U36" i="8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B37" i="21"/>
  <c r="E22" i="32" s="1"/>
  <c r="F22" i="32" s="1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S31" i="8" s="1"/>
  <c r="R31" i="8"/>
  <c r="B32" i="21"/>
  <c r="E17" i="32" s="1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S22" i="8" s="1"/>
  <c r="L24" i="8"/>
  <c r="O22" i="8"/>
  <c r="P22" i="8"/>
  <c r="P23" i="8"/>
  <c r="N22" i="8"/>
  <c r="D8" i="32"/>
  <c r="F8" i="32" s="1"/>
  <c r="B5" i="22"/>
  <c r="K5" i="16"/>
  <c r="G8" i="34" s="1"/>
  <c r="L5" i="9"/>
  <c r="H5" i="9"/>
  <c r="K5" i="9"/>
  <c r="U5" i="9"/>
  <c r="J5" i="9"/>
  <c r="Y5" i="9"/>
  <c r="Q5" i="9"/>
  <c r="F21" i="9"/>
  <c r="X21" i="9"/>
  <c r="B33" i="21"/>
  <c r="E18" i="32" s="1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J9" i="44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J27" i="8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S12" i="8" s="1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J13" i="44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F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I28" i="17"/>
  <c r="E13" i="35" s="1" a="1"/>
  <c r="E13" i="35" s="1"/>
  <c r="D28" i="17"/>
  <c r="C28" i="17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16" i="44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D9" i="22" s="1"/>
  <c r="E9" i="22" s="1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F7" i="38" s="1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J12" i="44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D10" i="22" l="1"/>
  <c r="E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E13" i="39"/>
  <c r="F10" i="22"/>
  <c r="G10" i="22" s="1"/>
  <c r="H10" i="22" s="1"/>
  <c r="J20" i="16"/>
  <c r="I23" i="34" s="1"/>
  <c r="F13" i="25"/>
  <c r="E10" i="15"/>
  <c r="G13" i="25" s="1"/>
  <c r="C10" i="15"/>
  <c r="F7" i="22"/>
  <c r="G7" i="22" s="1"/>
  <c r="H7" i="22" s="1"/>
  <c r="E10" i="39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4" i="32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C2" i="2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7" i="39" l="1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3" i="21" l="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18" i="1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J9" i="22" s="1"/>
  <c r="H12" i="39" s="1"/>
  <c r="F8" i="39"/>
  <c r="F14" i="39"/>
  <c r="I11" i="22"/>
  <c r="K9" i="22" l="1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<sst xmlns="http://schemas.openxmlformats.org/spreadsheetml/2006/main" count="18064" uniqueCount="327">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</sst>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6.212633220691445E-2</v>
          </cell>
        </row>
        <row r="3">
          <cell r="B3">
            <v>4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06%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4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12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1</v>
      </c>
    </row>
    <row r="7" spans="1:2" x14ac:dyDescent="0.25">
      <c r="A7" t="s">
        <v>45</v>
      </c>
      <c r="B7" t="str">
        <f>VLOOKUP(B2,Banks!$A$2:$H$21,2,FALSE)</f>
        <v>B101</v>
      </c>
    </row>
    <row r="8" spans="1:2" x14ac:dyDescent="0.25">
      <c r="A8" t="s">
        <v>121</v>
      </c>
      <c r="B8" t="str">
        <f>_xlfn.XLOOKUP(B2,Banks!$A$2:$A$21,Banks!$C$2:$C$21,"n.d.",0)</f>
        <v>Nord-Ovest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Alpi (B101)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6.212633220691445E-2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Rossi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5941.5999999999995</v>
      </c>
      <c r="D2">
        <f>SUMIFS(Data!$F$2:$F$5761,Data!$A$2:$A$5761,Control!$B$2,Data!$B$2:$B$5761,A2)</f>
        <v>322.67999999999995</v>
      </c>
      <c r="E2">
        <f>SUMIFS(Data!$G$2:$G$5761,Data!$A$2:$A$5761,Control!$B$2,Data!$B$2:$B$5761,A2)</f>
        <v>195.26</v>
      </c>
      <c r="F2">
        <f>SUMIFS(Data!$H$2:$H$5761,Data!$A$2:$A$5761,Control!$B$2,Data!$B$2:$B$5761,A2)</f>
        <v>744</v>
      </c>
      <c r="G2">
        <f t="shared" ref="G2:G37" si="2">D2-E2</f>
        <v>127.41999999999996</v>
      </c>
      <c r="H2" cm="1">
        <f t="array" ref="H2">INDEX(Budget!$B$2:$AK$21,Control!$B$6,MATCH(A2,Budget!$B$1:$AK$1,0))</f>
        <v>5973</v>
      </c>
      <c r="I2">
        <f t="shared" ref="I2:I37" si="3">IFERROR(C2/H2-1,0)</f>
        <v>-5.2569897873766536E-3</v>
      </c>
      <c r="J2">
        <f t="shared" ref="J2:J37" si="4">SUMIFS($C$2:$C$37,$K$2:$K$37,K2,$A$2:$A$37,"&lt;="&amp;A2)</f>
        <v>5941.5999999999995</v>
      </c>
      <c r="K2">
        <f t="shared" ref="K2:K37" si="5">YEAR(B2)</f>
        <v>2024</v>
      </c>
      <c r="L2">
        <f t="shared" ref="L2:L37" ca="1" si="6">AVERAGE(OFFSET(C2,-MIN(2,A2-1),0,MIN(3,A2),1))</f>
        <v>5941.5999999999995</v>
      </c>
      <c r="M2">
        <f>C2*_xlfn.XLOOKUP(A2,FX!$A$2:$A$37,FX!$C$2:$C$37)</f>
        <v>6286.2127999999993</v>
      </c>
      <c r="N2">
        <f>C2*(1+Control!$B$4)^(A2/12)</f>
        <v>5956.2535884791187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0.60511962315606804</v>
      </c>
      <c r="R2">
        <f t="shared" ref="R2:R37" si="10">ROUND(IFERROR(D2/F2,0),2)</f>
        <v>0.43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5941.5999999999995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5956.6</v>
      </c>
      <c r="D3">
        <f>SUMIFS(Data!$F$2:$F$5761,Data!$A$2:$A$5761,Control!$B$2,Data!$B$2:$B$5761,A3)</f>
        <v>324.37</v>
      </c>
      <c r="E3">
        <f>SUMIFS(Data!$G$2:$G$5761,Data!$A$2:$A$5761,Control!$B$2,Data!$B$2:$B$5761,A3)</f>
        <v>196.75</v>
      </c>
      <c r="F3">
        <f>SUMIFS(Data!$H$2:$H$5761,Data!$A$2:$A$5761,Control!$B$2,Data!$B$2:$B$5761,A3)</f>
        <v>751</v>
      </c>
      <c r="G3">
        <f t="shared" si="2"/>
        <v>127.62</v>
      </c>
      <c r="H3" cm="1">
        <f t="array" ref="H3">INDEX(Budget!$B$2:$AK$21,Control!$B$6,MATCH(A3,Budget!$B$1:$AK$1,0))</f>
        <v>6027</v>
      </c>
      <c r="I3">
        <f t="shared" si="3"/>
        <v>-1.168076986892308E-2</v>
      </c>
      <c r="J3">
        <f t="shared" si="4"/>
        <v>11898.2</v>
      </c>
      <c r="K3">
        <f t="shared" si="5"/>
        <v>2024</v>
      </c>
      <c r="L3">
        <f t="shared" ca="1" si="6"/>
        <v>5949.1</v>
      </c>
      <c r="M3">
        <f>C3*_xlfn.XLOOKUP(A3,FX!$A$2:$A$37,FX!$C$2:$C$37)</f>
        <v>6348.544280000001</v>
      </c>
      <c r="N3">
        <f>C3*(1+Control!$B$4)^(A3/12)</f>
        <v>5986.017395991028</v>
      </c>
      <c r="O3">
        <f t="shared" si="7"/>
        <v>35</v>
      </c>
      <c r="P3">
        <f t="shared" si="8"/>
        <v>15.000000000000909</v>
      </c>
      <c r="Q3">
        <f t="shared" si="9"/>
        <v>0.60656040940900824</v>
      </c>
      <c r="R3">
        <f t="shared" si="10"/>
        <v>0.43</v>
      </c>
      <c r="S3" t="str">
        <f t="shared" si="11"/>
        <v>in linea</v>
      </c>
      <c r="T3" t="str">
        <f t="shared" si="12"/>
        <v>T1-2024</v>
      </c>
      <c r="U3">
        <f t="shared" si="13"/>
        <v>5949.1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6061.7</v>
      </c>
      <c r="D4">
        <f>SUMIFS(Data!$F$2:$F$5761,Data!$A$2:$A$5761,Control!$B$2,Data!$B$2:$B$5761,A4)</f>
        <v>329.47</v>
      </c>
      <c r="E4">
        <f>SUMIFS(Data!$G$2:$G$5761,Data!$A$2:$A$5761,Control!$B$2,Data!$B$2:$B$5761,A4)</f>
        <v>199.27</v>
      </c>
      <c r="F4">
        <f>SUMIFS(Data!$H$2:$H$5761,Data!$A$2:$A$5761,Control!$B$2,Data!$B$2:$B$5761,A4)</f>
        <v>786</v>
      </c>
      <c r="G4">
        <f t="shared" si="2"/>
        <v>130.20000000000002</v>
      </c>
      <c r="H4" cm="1">
        <f t="array" ref="H4">INDEX(Budget!$B$2:$AK$21,Control!$B$6,MATCH(A4,Budget!$B$1:$AK$1,0))</f>
        <v>6080</v>
      </c>
      <c r="I4">
        <f t="shared" si="3"/>
        <v>-3.0098684210526638E-3</v>
      </c>
      <c r="J4">
        <f t="shared" si="4"/>
        <v>17959.900000000001</v>
      </c>
      <c r="K4">
        <f t="shared" si="5"/>
        <v>2024</v>
      </c>
      <c r="L4">
        <f t="shared" ca="1" si="6"/>
        <v>5986.6333333333341</v>
      </c>
      <c r="M4">
        <f>C4*_xlfn.XLOOKUP(A4,FX!$A$2:$A$37,FX!$C$2:$C$37)</f>
        <v>6503.5979299999999</v>
      </c>
      <c r="N4">
        <f>C4*(1+Control!$B$4)^(A4/12)</f>
        <v>6106.660063995083</v>
      </c>
      <c r="O4">
        <f t="shared" si="7"/>
        <v>34</v>
      </c>
      <c r="P4">
        <f t="shared" si="8"/>
        <v>105.09999999999945</v>
      </c>
      <c r="Q4">
        <f t="shared" si="9"/>
        <v>0.60481986220293193</v>
      </c>
      <c r="R4">
        <f t="shared" si="10"/>
        <v>0.42</v>
      </c>
      <c r="S4" t="str">
        <f t="shared" si="11"/>
        <v>in linea</v>
      </c>
      <c r="T4" t="str">
        <f t="shared" si="12"/>
        <v>T1-2024</v>
      </c>
      <c r="U4">
        <f t="shared" si="13"/>
        <v>5986.6333333333341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6103</v>
      </c>
      <c r="D5">
        <f>SUMIFS(Data!$F$2:$F$5761,Data!$A$2:$A$5761,Control!$B$2,Data!$B$2:$B$5761,A5)</f>
        <v>332.94</v>
      </c>
      <c r="E5">
        <f>SUMIFS(Data!$G$2:$G$5761,Data!$A$2:$A$5761,Control!$B$2,Data!$B$2:$B$5761,A5)</f>
        <v>200.5</v>
      </c>
      <c r="F5">
        <f>SUMIFS(Data!$H$2:$H$5761,Data!$A$2:$A$5761,Control!$B$2,Data!$B$2:$B$5761,A5)</f>
        <v>773</v>
      </c>
      <c r="G5">
        <f t="shared" si="2"/>
        <v>132.44</v>
      </c>
      <c r="H5" cm="1">
        <f t="array" ref="H5">INDEX(Budget!$B$2:$AK$21,Control!$B$6,MATCH(A5,Budget!$B$1:$AK$1,0))</f>
        <v>6133</v>
      </c>
      <c r="I5">
        <f t="shared" si="3"/>
        <v>-4.891570194032302E-3</v>
      </c>
      <c r="J5">
        <f t="shared" si="4"/>
        <v>24062.9</v>
      </c>
      <c r="K5">
        <f t="shared" si="5"/>
        <v>2024</v>
      </c>
      <c r="L5">
        <f t="shared" ca="1" si="6"/>
        <v>6040.4333333333334</v>
      </c>
      <c r="M5">
        <f>C5*_xlfn.XLOOKUP(A5,FX!$A$2:$A$37,FX!$C$2:$C$37)</f>
        <v>6585.7473</v>
      </c>
      <c r="N5">
        <f>C5*(1+Control!$B$4)^(A5/12)</f>
        <v>6163.4296726069115</v>
      </c>
      <c r="O5">
        <f t="shared" si="7"/>
        <v>33</v>
      </c>
      <c r="P5">
        <f t="shared" si="8"/>
        <v>41.300000000000182</v>
      </c>
      <c r="Q5">
        <f t="shared" si="9"/>
        <v>0.6022106085180513</v>
      </c>
      <c r="R5">
        <f t="shared" si="10"/>
        <v>0.43</v>
      </c>
      <c r="S5" t="str">
        <f t="shared" si="11"/>
        <v>in linea</v>
      </c>
      <c r="T5" t="str">
        <f t="shared" si="12"/>
        <v>T2-2024</v>
      </c>
      <c r="U5">
        <f t="shared" si="13"/>
        <v>6015.7250000000004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6242.9</v>
      </c>
      <c r="D6">
        <f>SUMIFS(Data!$F$2:$F$5761,Data!$A$2:$A$5761,Control!$B$2,Data!$B$2:$B$5761,A6)</f>
        <v>340.05</v>
      </c>
      <c r="E6">
        <f>SUMIFS(Data!$G$2:$G$5761,Data!$A$2:$A$5761,Control!$B$2,Data!$B$2:$B$5761,A6)</f>
        <v>205.85</v>
      </c>
      <c r="F6">
        <f>SUMIFS(Data!$H$2:$H$5761,Data!$A$2:$A$5761,Control!$B$2,Data!$B$2:$B$5761,A6)</f>
        <v>748</v>
      </c>
      <c r="G6">
        <f t="shared" si="2"/>
        <v>134.20000000000002</v>
      </c>
      <c r="H6" cm="1">
        <f t="array" ref="H6">INDEX(Budget!$B$2:$AK$21,Control!$B$6,MATCH(A6,Budget!$B$1:$AK$1,0))</f>
        <v>6186</v>
      </c>
      <c r="I6">
        <f t="shared" si="3"/>
        <v>9.1981894600710046E-3</v>
      </c>
      <c r="J6">
        <f t="shared" si="4"/>
        <v>30305.800000000003</v>
      </c>
      <c r="K6">
        <f t="shared" si="5"/>
        <v>2024</v>
      </c>
      <c r="L6">
        <f t="shared" ca="1" si="6"/>
        <v>6135.8666666666659</v>
      </c>
      <c r="M6">
        <f>C6*_xlfn.XLOOKUP(A6,FX!$A$2:$A$37,FX!$C$2:$C$37)</f>
        <v>6768.5521799999997</v>
      </c>
      <c r="N6">
        <f>C6*(1+Control!$B$4)^(A6/12)</f>
        <v>6320.2640390190109</v>
      </c>
      <c r="O6">
        <f t="shared" si="7"/>
        <v>31</v>
      </c>
      <c r="P6">
        <f t="shared" si="8"/>
        <v>139.89999999999964</v>
      </c>
      <c r="Q6">
        <f t="shared" si="9"/>
        <v>0.60535215409498599</v>
      </c>
      <c r="R6">
        <f t="shared" si="10"/>
        <v>0.45</v>
      </c>
      <c r="S6" t="str">
        <f t="shared" si="11"/>
        <v>sopra</v>
      </c>
      <c r="T6" t="str">
        <f t="shared" si="12"/>
        <v>T2-2024</v>
      </c>
      <c r="U6">
        <f t="shared" si="13"/>
        <v>6061.1600000000008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6214.5</v>
      </c>
      <c r="D7">
        <f>SUMIFS(Data!$F$2:$F$5761,Data!$A$2:$A$5761,Control!$B$2,Data!$B$2:$B$5761,A7)</f>
        <v>337.69000000000005</v>
      </c>
      <c r="E7">
        <f>SUMIFS(Data!$G$2:$G$5761,Data!$A$2:$A$5761,Control!$B$2,Data!$B$2:$B$5761,A7)</f>
        <v>204.42000000000002</v>
      </c>
      <c r="F7">
        <f>SUMIFS(Data!$H$2:$H$5761,Data!$A$2:$A$5761,Control!$B$2,Data!$B$2:$B$5761,A7)</f>
        <v>769</v>
      </c>
      <c r="G7">
        <f t="shared" si="2"/>
        <v>133.27000000000004</v>
      </c>
      <c r="H7" cm="1">
        <f t="array" ref="H7">INDEX(Budget!$B$2:$AK$21,Control!$B$6,MATCH(A7,Budget!$B$1:$AK$1,0))</f>
        <v>6240</v>
      </c>
      <c r="I7">
        <f t="shared" si="3"/>
        <v>-4.0865384615385025E-3</v>
      </c>
      <c r="J7">
        <f t="shared" si="4"/>
        <v>36520.300000000003</v>
      </c>
      <c r="K7">
        <f t="shared" si="5"/>
        <v>2024</v>
      </c>
      <c r="L7">
        <f t="shared" ca="1" si="6"/>
        <v>6186.8</v>
      </c>
      <c r="M7">
        <f>C7*_xlfn.XLOOKUP(A7,FX!$A$2:$A$37,FX!$C$2:$C$37)</f>
        <v>6760.7545500000006</v>
      </c>
      <c r="N7">
        <f>C7*(1+Control!$B$4)^(A7/12)</f>
        <v>6307.0286631265599</v>
      </c>
      <c r="O7">
        <f t="shared" si="7"/>
        <v>32</v>
      </c>
      <c r="P7">
        <f t="shared" si="8"/>
        <v>-28.399999999999636</v>
      </c>
      <c r="Q7">
        <f t="shared" si="9"/>
        <v>0.60534810032870379</v>
      </c>
      <c r="R7">
        <f t="shared" si="10"/>
        <v>0.44</v>
      </c>
      <c r="S7" t="str">
        <f t="shared" si="11"/>
        <v>in linea</v>
      </c>
      <c r="T7" t="str">
        <f t="shared" si="12"/>
        <v>T2-2024</v>
      </c>
      <c r="U7">
        <f t="shared" si="13"/>
        <v>6086.7166666666672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6269.5999999999985</v>
      </c>
      <c r="D8">
        <f>SUMIFS(Data!$F$2:$F$5761,Data!$A$2:$A$5761,Control!$B$2,Data!$B$2:$B$5761,A8)</f>
        <v>339.48000000000008</v>
      </c>
      <c r="E8">
        <f>SUMIFS(Data!$G$2:$G$5761,Data!$A$2:$A$5761,Control!$B$2,Data!$B$2:$B$5761,A8)</f>
        <v>205.63</v>
      </c>
      <c r="F8">
        <f>SUMIFS(Data!$H$2:$H$5761,Data!$A$2:$A$5761,Control!$B$2,Data!$B$2:$B$5761,A8)</f>
        <v>730</v>
      </c>
      <c r="G8">
        <f t="shared" si="2"/>
        <v>133.85000000000008</v>
      </c>
      <c r="H8" cm="1">
        <f t="array" ref="H8">INDEX(Budget!$B$2:$AK$21,Control!$B$6,MATCH(A8,Budget!$B$1:$AK$1,0))</f>
        <v>6293</v>
      </c>
      <c r="I8">
        <f t="shared" si="3"/>
        <v>-3.7184172890515343E-3</v>
      </c>
      <c r="J8">
        <f t="shared" si="4"/>
        <v>42789.9</v>
      </c>
      <c r="K8">
        <f t="shared" si="5"/>
        <v>2024</v>
      </c>
      <c r="L8">
        <f t="shared" ca="1" si="6"/>
        <v>6242.333333333333</v>
      </c>
      <c r="M8">
        <f>C8*_xlfn.XLOOKUP(A8,FX!$A$2:$A$37,FX!$C$2:$C$37)</f>
        <v>6834.4909599999992</v>
      </c>
      <c r="N8">
        <f>C8*(1+Control!$B$4)^(A8/12)</f>
        <v>6378.6418045688742</v>
      </c>
      <c r="O8">
        <f t="shared" si="7"/>
        <v>30</v>
      </c>
      <c r="P8">
        <f t="shared" si="8"/>
        <v>55.099999999998545</v>
      </c>
      <c r="Q8">
        <f t="shared" si="9"/>
        <v>0.6057205137268763</v>
      </c>
      <c r="R8">
        <f t="shared" si="10"/>
        <v>0.47</v>
      </c>
      <c r="S8" t="str">
        <f t="shared" si="11"/>
        <v>in linea</v>
      </c>
      <c r="T8" t="str">
        <f t="shared" si="12"/>
        <v>T3-2024</v>
      </c>
      <c r="U8">
        <f t="shared" si="13"/>
        <v>6112.8428571428576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6280.5</v>
      </c>
      <c r="D9">
        <f>SUMIFS(Data!$F$2:$F$5761,Data!$A$2:$A$5761,Control!$B$2,Data!$B$2:$B$5761,A9)</f>
        <v>342.5</v>
      </c>
      <c r="E9">
        <f>SUMIFS(Data!$G$2:$G$5761,Data!$A$2:$A$5761,Control!$B$2,Data!$B$2:$B$5761,A9)</f>
        <v>207.15</v>
      </c>
      <c r="F9">
        <f>SUMIFS(Data!$H$2:$H$5761,Data!$A$2:$A$5761,Control!$B$2,Data!$B$2:$B$5761,A9)</f>
        <v>768</v>
      </c>
      <c r="G9">
        <f t="shared" si="2"/>
        <v>135.35</v>
      </c>
      <c r="H9" cm="1">
        <f t="array" ref="H9">INDEX(Budget!$B$2:$AK$21,Control!$B$6,MATCH(A9,Budget!$B$1:$AK$1,0))</f>
        <v>6346</v>
      </c>
      <c r="I9">
        <f t="shared" si="3"/>
        <v>-1.0321462338480969E-2</v>
      </c>
      <c r="J9">
        <f t="shared" si="4"/>
        <v>49070.400000000001</v>
      </c>
      <c r="K9">
        <f t="shared" si="5"/>
        <v>2024</v>
      </c>
      <c r="L9">
        <f t="shared" ca="1" si="6"/>
        <v>6254.8666666666659</v>
      </c>
      <c r="M9">
        <f>C9*_xlfn.XLOOKUP(A9,FX!$A$2:$A$37,FX!$C$2:$C$37)</f>
        <v>6850.7694000000001</v>
      </c>
      <c r="N9">
        <f>C9*(1+Control!$B$4)^(A9/12)</f>
        <v>6405.4901803238154</v>
      </c>
      <c r="O9">
        <f t="shared" si="7"/>
        <v>29</v>
      </c>
      <c r="P9">
        <f t="shared" si="8"/>
        <v>10.900000000001455</v>
      </c>
      <c r="Q9">
        <f t="shared" si="9"/>
        <v>0.6048175182481752</v>
      </c>
      <c r="R9">
        <f t="shared" si="10"/>
        <v>0.45</v>
      </c>
      <c r="S9" t="str">
        <f t="shared" si="11"/>
        <v>in linea</v>
      </c>
      <c r="T9" t="str">
        <f t="shared" si="12"/>
        <v>T3-2024</v>
      </c>
      <c r="U9">
        <f t="shared" si="13"/>
        <v>6133.8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6318.1</v>
      </c>
      <c r="D10">
        <f>SUMIFS(Data!$F$2:$F$5761,Data!$A$2:$A$5761,Control!$B$2,Data!$B$2:$B$5761,A10)</f>
        <v>342.46</v>
      </c>
      <c r="E10">
        <f>SUMIFS(Data!$G$2:$G$5761,Data!$A$2:$A$5761,Control!$B$2,Data!$B$2:$B$5761,A10)</f>
        <v>208.98000000000002</v>
      </c>
      <c r="F10">
        <f>SUMIFS(Data!$H$2:$H$5761,Data!$A$2:$A$5761,Control!$B$2,Data!$B$2:$B$5761,A10)</f>
        <v>766</v>
      </c>
      <c r="G10">
        <f t="shared" si="2"/>
        <v>133.47999999999996</v>
      </c>
      <c r="H10" cm="1">
        <f t="array" ref="H10">INDEX(Budget!$B$2:$AK$21,Control!$B$6,MATCH(A10,Budget!$B$1:$AK$1,0))</f>
        <v>6400</v>
      </c>
      <c r="I10">
        <f t="shared" si="3"/>
        <v>-1.279687499999993E-2</v>
      </c>
      <c r="J10">
        <f t="shared" si="4"/>
        <v>55388.5</v>
      </c>
      <c r="K10">
        <f t="shared" si="5"/>
        <v>2024</v>
      </c>
      <c r="L10">
        <f t="shared" ca="1" si="6"/>
        <v>6289.3999999999987</v>
      </c>
      <c r="M10">
        <f>C10*_xlfn.XLOOKUP(A10,FX!$A$2:$A$37,FX!$C$2:$C$37)</f>
        <v>6886.0971900000013</v>
      </c>
      <c r="N10">
        <f>C10*(1+Control!$B$4)^(A10/12)</f>
        <v>6459.7307136321642</v>
      </c>
      <c r="O10">
        <f t="shared" si="7"/>
        <v>28</v>
      </c>
      <c r="P10">
        <f t="shared" si="8"/>
        <v>37.600000000000364</v>
      </c>
      <c r="Q10">
        <f t="shared" si="9"/>
        <v>0.61023185189511198</v>
      </c>
      <c r="R10">
        <f t="shared" si="10"/>
        <v>0.45</v>
      </c>
      <c r="S10" t="str">
        <f t="shared" si="11"/>
        <v>in linea</v>
      </c>
      <c r="T10" t="str">
        <f t="shared" si="12"/>
        <v>T3-2024</v>
      </c>
      <c r="U10">
        <f t="shared" si="13"/>
        <v>6154.2777777777774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6434.7</v>
      </c>
      <c r="D11">
        <f>SUMIFS(Data!$F$2:$F$5761,Data!$A$2:$A$5761,Control!$B$2,Data!$B$2:$B$5761,A11)</f>
        <v>348.41</v>
      </c>
      <c r="E11">
        <f>SUMIFS(Data!$G$2:$G$5761,Data!$A$2:$A$5761,Control!$B$2,Data!$B$2:$B$5761,A11)</f>
        <v>210.18000000000004</v>
      </c>
      <c r="F11">
        <f>SUMIFS(Data!$H$2:$H$5761,Data!$A$2:$A$5761,Control!$B$2,Data!$B$2:$B$5761,A11)</f>
        <v>744</v>
      </c>
      <c r="G11">
        <f t="shared" si="2"/>
        <v>138.22999999999999</v>
      </c>
      <c r="H11" cm="1">
        <f t="array" ref="H11">INDEX(Budget!$B$2:$AK$21,Control!$B$6,MATCH(A11,Budget!$B$1:$AK$1,0))</f>
        <v>6453</v>
      </c>
      <c r="I11">
        <f t="shared" si="3"/>
        <v>-2.8358902835891042E-3</v>
      </c>
      <c r="J11">
        <f t="shared" si="4"/>
        <v>61823.199999999997</v>
      </c>
      <c r="K11">
        <f t="shared" si="5"/>
        <v>2024</v>
      </c>
      <c r="L11">
        <f t="shared" ca="1" si="6"/>
        <v>6344.4333333333334</v>
      </c>
      <c r="M11">
        <f>C11*_xlfn.XLOOKUP(A11,FX!$A$2:$A$37,FX!$C$2:$C$37)</f>
        <v>6997.092779999999</v>
      </c>
      <c r="N11">
        <f>C11*(1+Control!$B$4)^(A11/12)</f>
        <v>6595.1699483933753</v>
      </c>
      <c r="O11">
        <f t="shared" si="7"/>
        <v>26</v>
      </c>
      <c r="P11">
        <f t="shared" si="8"/>
        <v>116.59999999999945</v>
      </c>
      <c r="Q11">
        <f t="shared" si="9"/>
        <v>0.60325478602795568</v>
      </c>
      <c r="R11">
        <f t="shared" si="10"/>
        <v>0.47</v>
      </c>
      <c r="S11" t="str">
        <f t="shared" si="11"/>
        <v>in linea</v>
      </c>
      <c r="T11" t="str">
        <f t="shared" si="12"/>
        <v>T4-2024</v>
      </c>
      <c r="U11">
        <f t="shared" si="13"/>
        <v>6182.32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6396.1</v>
      </c>
      <c r="D12">
        <f>SUMIFS(Data!$F$2:$F$5761,Data!$A$2:$A$5761,Control!$B$2,Data!$B$2:$B$5761,A12)</f>
        <v>348.39000000000004</v>
      </c>
      <c r="E12">
        <f>SUMIFS(Data!$G$2:$G$5761,Data!$A$2:$A$5761,Control!$B$2,Data!$B$2:$B$5761,A12)</f>
        <v>209.59</v>
      </c>
      <c r="F12">
        <f>SUMIFS(Data!$H$2:$H$5761,Data!$A$2:$A$5761,Control!$B$2,Data!$B$2:$B$5761,A12)</f>
        <v>797</v>
      </c>
      <c r="G12">
        <f t="shared" si="2"/>
        <v>138.80000000000004</v>
      </c>
      <c r="H12" cm="1">
        <f t="array" ref="H12">INDEX(Budget!$B$2:$AK$21,Control!$B$6,MATCH(A12,Budget!$B$1:$AK$1,0))</f>
        <v>6506</v>
      </c>
      <c r="I12">
        <f t="shared" si="3"/>
        <v>-1.6892099600368859E-2</v>
      </c>
      <c r="J12">
        <f t="shared" si="4"/>
        <v>68219.3</v>
      </c>
      <c r="K12">
        <f t="shared" si="5"/>
        <v>2024</v>
      </c>
      <c r="L12">
        <f t="shared" ca="1" si="6"/>
        <v>6382.9666666666672</v>
      </c>
      <c r="M12">
        <f>C12*_xlfn.XLOOKUP(A12,FX!$A$2:$A$37,FX!$C$2:$C$37)</f>
        <v>6929.5347400000001</v>
      </c>
      <c r="N12">
        <f>C12*(1+Control!$B$4)^(A12/12)</f>
        <v>6571.7752294013544</v>
      </c>
      <c r="O12">
        <f t="shared" si="7"/>
        <v>27</v>
      </c>
      <c r="P12">
        <f t="shared" si="8"/>
        <v>-38.599999999999454</v>
      </c>
      <c r="Q12">
        <f t="shared" si="9"/>
        <v>0.60159591262665402</v>
      </c>
      <c r="R12">
        <f t="shared" si="10"/>
        <v>0.44</v>
      </c>
      <c r="S12" t="str">
        <f t="shared" si="11"/>
        <v>in linea</v>
      </c>
      <c r="T12" t="str">
        <f t="shared" si="12"/>
        <v>T4-2024</v>
      </c>
      <c r="U12">
        <f t="shared" si="13"/>
        <v>6201.7545454545461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6551.1</v>
      </c>
      <c r="D13">
        <f>SUMIFS(Data!$F$2:$F$5761,Data!$A$2:$A$5761,Control!$B$2,Data!$B$2:$B$5761,A13)</f>
        <v>357.51</v>
      </c>
      <c r="E13">
        <f>SUMIFS(Data!$G$2:$G$5761,Data!$A$2:$A$5761,Control!$B$2,Data!$B$2:$B$5761,A13)</f>
        <v>216.44000000000003</v>
      </c>
      <c r="F13">
        <f>SUMIFS(Data!$H$2:$H$5761,Data!$A$2:$A$5761,Control!$B$2,Data!$B$2:$B$5761,A13)</f>
        <v>744</v>
      </c>
      <c r="G13">
        <f t="shared" si="2"/>
        <v>141.06999999999996</v>
      </c>
      <c r="H13" cm="1">
        <f t="array" ref="H13">INDEX(Budget!$B$2:$AK$21,Control!$B$6,MATCH(A13,Budget!$B$1:$AK$1,0))</f>
        <v>6559</v>
      </c>
      <c r="I13">
        <f t="shared" si="3"/>
        <v>-1.2044518981551011E-3</v>
      </c>
      <c r="J13">
        <f t="shared" si="4"/>
        <v>74770.400000000009</v>
      </c>
      <c r="K13">
        <f t="shared" si="5"/>
        <v>2024</v>
      </c>
      <c r="L13">
        <f t="shared" ca="1" si="6"/>
        <v>6460.6333333333341</v>
      </c>
      <c r="M13">
        <f>C13*_xlfn.XLOOKUP(A13,FX!$A$2:$A$37,FX!$C$2:$C$37)</f>
        <v>7063.396020000001</v>
      </c>
      <c r="N13">
        <f>C13*(1+Control!$B$4)^(A13/12)</f>
        <v>6747.6330000000007</v>
      </c>
      <c r="O13">
        <f t="shared" si="7"/>
        <v>24</v>
      </c>
      <c r="P13">
        <f t="shared" si="8"/>
        <v>155</v>
      </c>
      <c r="Q13">
        <f t="shared" si="9"/>
        <v>0.6054096388912199</v>
      </c>
      <c r="R13">
        <f t="shared" si="10"/>
        <v>0.48</v>
      </c>
      <c r="S13" t="str">
        <f t="shared" si="11"/>
        <v>in linea</v>
      </c>
      <c r="T13" t="str">
        <f t="shared" si="12"/>
        <v>T4-2024</v>
      </c>
      <c r="U13">
        <f t="shared" si="13"/>
        <v>6230.8666666666677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6542.2</v>
      </c>
      <c r="D14">
        <f>SUMIFS(Data!$F$2:$F$5761,Data!$A$2:$A$5761,Control!$B$2,Data!$B$2:$B$5761,A14)</f>
        <v>355.71999999999997</v>
      </c>
      <c r="E14">
        <f>SUMIFS(Data!$G$2:$G$5761,Data!$A$2:$A$5761,Control!$B$2,Data!$B$2:$B$5761,A14)</f>
        <v>216.07000000000002</v>
      </c>
      <c r="F14">
        <f>SUMIFS(Data!$H$2:$H$5761,Data!$A$2:$A$5761,Control!$B$2,Data!$B$2:$B$5761,A14)</f>
        <v>690</v>
      </c>
      <c r="G14">
        <f t="shared" si="2"/>
        <v>139.64999999999995</v>
      </c>
      <c r="H14" cm="1">
        <f t="array" ref="H14">INDEX(Budget!$B$2:$AK$21,Control!$B$6,MATCH(A14,Budget!$B$1:$AK$1,0))</f>
        <v>6613</v>
      </c>
      <c r="I14">
        <f t="shared" si="3"/>
        <v>-1.0706184787539708E-2</v>
      </c>
      <c r="J14">
        <f t="shared" si="4"/>
        <v>6542.2</v>
      </c>
      <c r="K14">
        <f t="shared" si="5"/>
        <v>2025</v>
      </c>
      <c r="L14">
        <f t="shared" ca="1" si="6"/>
        <v>6496.4666666666672</v>
      </c>
      <c r="M14">
        <f>C14*_xlfn.XLOOKUP(A14,FX!$A$2:$A$37,FX!$C$2:$C$37)</f>
        <v>7012.5841800000007</v>
      </c>
      <c r="N14">
        <f>C14*(1+Control!$B$4)^(A14/12)</f>
        <v>6755.0848750074956</v>
      </c>
      <c r="O14">
        <f t="shared" si="7"/>
        <v>25</v>
      </c>
      <c r="P14">
        <f t="shared" si="8"/>
        <v>-8.9000000000005457</v>
      </c>
      <c r="Q14">
        <f t="shared" si="9"/>
        <v>0.60741594512537966</v>
      </c>
      <c r="R14">
        <f t="shared" si="10"/>
        <v>0.52</v>
      </c>
      <c r="S14" t="str">
        <f t="shared" si="11"/>
        <v>in linea</v>
      </c>
      <c r="T14" t="str">
        <f t="shared" si="12"/>
        <v>T1-2025</v>
      </c>
      <c r="U14">
        <f t="shared" si="13"/>
        <v>6280.9166666666652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6659.1</v>
      </c>
      <c r="D15">
        <f>SUMIFS(Data!$F$2:$F$5761,Data!$A$2:$A$5761,Control!$B$2,Data!$B$2:$B$5761,A15)</f>
        <v>360.96</v>
      </c>
      <c r="E15">
        <f>SUMIFS(Data!$G$2:$G$5761,Data!$A$2:$A$5761,Control!$B$2,Data!$B$2:$B$5761,A15)</f>
        <v>219.76</v>
      </c>
      <c r="F15">
        <f>SUMIFS(Data!$H$2:$H$5761,Data!$A$2:$A$5761,Control!$B$2,Data!$B$2:$B$5761,A15)</f>
        <v>753</v>
      </c>
      <c r="G15">
        <f t="shared" si="2"/>
        <v>141.19999999999999</v>
      </c>
      <c r="H15" cm="1">
        <f t="array" ref="H15">INDEX(Budget!$B$2:$AK$21,Control!$B$6,MATCH(A15,Budget!$B$1:$AK$1,0))</f>
        <v>6666</v>
      </c>
      <c r="I15">
        <f t="shared" si="3"/>
        <v>-1.0351035103509654E-3</v>
      </c>
      <c r="J15">
        <f t="shared" si="4"/>
        <v>13201.3</v>
      </c>
      <c r="K15">
        <f t="shared" si="5"/>
        <v>2025</v>
      </c>
      <c r="L15">
        <f t="shared" ca="1" si="6"/>
        <v>6584.1333333333341</v>
      </c>
      <c r="M15">
        <f>C15*_xlfn.XLOOKUP(A15,FX!$A$2:$A$37,FX!$C$2:$C$37)</f>
        <v>7090.6096800000005</v>
      </c>
      <c r="N15">
        <f>C15*(1+Control!$B$4)^(A15/12)</f>
        <v>6892.7463813069826</v>
      </c>
      <c r="O15">
        <f t="shared" si="7"/>
        <v>21</v>
      </c>
      <c r="P15">
        <f t="shared" si="8"/>
        <v>116.90000000000055</v>
      </c>
      <c r="Q15">
        <f t="shared" si="9"/>
        <v>0.60882092198581561</v>
      </c>
      <c r="R15">
        <f t="shared" si="10"/>
        <v>0.48</v>
      </c>
      <c r="S15" t="str">
        <f t="shared" si="11"/>
        <v>in linea</v>
      </c>
      <c r="T15" t="str">
        <f t="shared" si="12"/>
        <v>T1-2025</v>
      </c>
      <c r="U15">
        <f t="shared" si="13"/>
        <v>6339.458333333333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6559.5999999999995</v>
      </c>
      <c r="D16">
        <f>SUMIFS(Data!$F$2:$F$5761,Data!$A$2:$A$5761,Control!$B$2,Data!$B$2:$B$5761,A16)</f>
        <v>356.59</v>
      </c>
      <c r="E16">
        <f>SUMIFS(Data!$G$2:$G$5761,Data!$A$2:$A$5761,Control!$B$2,Data!$B$2:$B$5761,A16)</f>
        <v>217.03</v>
      </c>
      <c r="F16">
        <f>SUMIFS(Data!$H$2:$H$5761,Data!$A$2:$A$5761,Control!$B$2,Data!$B$2:$B$5761,A16)</f>
        <v>780</v>
      </c>
      <c r="G16">
        <f t="shared" si="2"/>
        <v>139.55999999999997</v>
      </c>
      <c r="H16" cm="1">
        <f t="array" ref="H16">INDEX(Budget!$B$2:$AK$21,Control!$B$6,MATCH(A16,Budget!$B$1:$AK$1,0))</f>
        <v>6719</v>
      </c>
      <c r="I16">
        <f t="shared" si="3"/>
        <v>-2.3723768417919455E-2</v>
      </c>
      <c r="J16">
        <f t="shared" si="4"/>
        <v>19760.899999999998</v>
      </c>
      <c r="K16">
        <f t="shared" si="5"/>
        <v>2025</v>
      </c>
      <c r="L16">
        <f t="shared" ca="1" si="6"/>
        <v>6586.9666666666662</v>
      </c>
      <c r="M16">
        <f>C16*_xlfn.XLOOKUP(A16,FX!$A$2:$A$37,FX!$C$2:$C$37)</f>
        <v>6934.1531599999989</v>
      </c>
      <c r="N16">
        <f>C16*(1+Control!$B$4)^(A16/12)</f>
        <v>6806.5006147542135</v>
      </c>
      <c r="O16">
        <f t="shared" si="7"/>
        <v>23</v>
      </c>
      <c r="P16">
        <f t="shared" si="8"/>
        <v>-99.500000000000909</v>
      </c>
      <c r="Q16">
        <f t="shared" si="9"/>
        <v>0.60862615328528569</v>
      </c>
      <c r="R16">
        <f t="shared" si="10"/>
        <v>0.46</v>
      </c>
      <c r="S16" t="str">
        <f t="shared" si="11"/>
        <v>in linea</v>
      </c>
      <c r="T16" t="str">
        <f t="shared" si="12"/>
        <v>T1-2025</v>
      </c>
      <c r="U16">
        <f t="shared" si="13"/>
        <v>6380.95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6628.6000000000013</v>
      </c>
      <c r="D17">
        <f>SUMIFS(Data!$F$2:$F$5761,Data!$A$2:$A$5761,Control!$B$2,Data!$B$2:$B$5761,A17)</f>
        <v>361.30999999999995</v>
      </c>
      <c r="E17">
        <f>SUMIFS(Data!$G$2:$G$5761,Data!$A$2:$A$5761,Control!$B$2,Data!$B$2:$B$5761,A17)</f>
        <v>219.11</v>
      </c>
      <c r="F17">
        <f>SUMIFS(Data!$H$2:$H$5761,Data!$A$2:$A$5761,Control!$B$2,Data!$B$2:$B$5761,A17)</f>
        <v>802</v>
      </c>
      <c r="G17">
        <f t="shared" si="2"/>
        <v>142.19999999999993</v>
      </c>
      <c r="H17" cm="1">
        <f t="array" ref="H17">INDEX(Budget!$B$2:$AK$21,Control!$B$6,MATCH(A17,Budget!$B$1:$AK$1,0))</f>
        <v>6772</v>
      </c>
      <c r="I17">
        <f t="shared" si="3"/>
        <v>-2.117542823390417E-2</v>
      </c>
      <c r="J17">
        <f t="shared" si="4"/>
        <v>26389.5</v>
      </c>
      <c r="K17">
        <f t="shared" si="5"/>
        <v>2025</v>
      </c>
      <c r="L17">
        <f t="shared" ca="1" si="6"/>
        <v>6615.7666666666673</v>
      </c>
      <c r="M17">
        <f>C17*_xlfn.XLOOKUP(A17,FX!$A$2:$A$37,FX!$C$2:$C$37)</f>
        <v>6955.3899800000008</v>
      </c>
      <c r="N17">
        <f>C17*(1+Control!$B$4)^(A17/12)</f>
        <v>6895.0609906074797</v>
      </c>
      <c r="O17">
        <f t="shared" si="7"/>
        <v>22</v>
      </c>
      <c r="P17">
        <f t="shared" si="8"/>
        <v>69.000000000001819</v>
      </c>
      <c r="Q17">
        <f t="shared" si="9"/>
        <v>0.60643214967756232</v>
      </c>
      <c r="R17">
        <f t="shared" si="10"/>
        <v>0.45</v>
      </c>
      <c r="S17" t="str">
        <f t="shared" si="11"/>
        <v>in linea</v>
      </c>
      <c r="T17" t="str">
        <f t="shared" si="12"/>
        <v>T2-2025</v>
      </c>
      <c r="U17">
        <f t="shared" si="13"/>
        <v>6424.75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6732.4</v>
      </c>
      <c r="D18">
        <f>SUMIFS(Data!$F$2:$F$5761,Data!$A$2:$A$5761,Control!$B$2,Data!$B$2:$B$5761,A18)</f>
        <v>364.04</v>
      </c>
      <c r="E18">
        <f>SUMIFS(Data!$G$2:$G$5761,Data!$A$2:$A$5761,Control!$B$2,Data!$B$2:$B$5761,A18)</f>
        <v>222.55</v>
      </c>
      <c r="F18">
        <f>SUMIFS(Data!$H$2:$H$5761,Data!$A$2:$A$5761,Control!$B$2,Data!$B$2:$B$5761,A18)</f>
        <v>720</v>
      </c>
      <c r="G18">
        <f t="shared" si="2"/>
        <v>141.49</v>
      </c>
      <c r="H18" cm="1">
        <f t="array" ref="H18">INDEX(Budget!$B$2:$AK$21,Control!$B$6,MATCH(A18,Budget!$B$1:$AK$1,0))</f>
        <v>6826</v>
      </c>
      <c r="I18">
        <f t="shared" si="3"/>
        <v>-1.3712276589510797E-2</v>
      </c>
      <c r="J18">
        <f t="shared" si="4"/>
        <v>33121.9</v>
      </c>
      <c r="K18">
        <f t="shared" si="5"/>
        <v>2025</v>
      </c>
      <c r="L18">
        <f t="shared" ca="1" si="6"/>
        <v>6640.2</v>
      </c>
      <c r="M18">
        <f>C18*_xlfn.XLOOKUP(A18,FX!$A$2:$A$37,FX!$C$2:$C$37)</f>
        <v>7011.7946000000002</v>
      </c>
      <c r="N18">
        <f>C18*(1+Control!$B$4)^(A18/12)</f>
        <v>7020.3049840267086</v>
      </c>
      <c r="O18">
        <f t="shared" si="7"/>
        <v>20</v>
      </c>
      <c r="P18">
        <f t="shared" si="8"/>
        <v>103.79999999999836</v>
      </c>
      <c r="Q18">
        <f t="shared" si="9"/>
        <v>0.61133391934952208</v>
      </c>
      <c r="R18">
        <f t="shared" si="10"/>
        <v>0.51</v>
      </c>
      <c r="S18" t="str">
        <f t="shared" si="11"/>
        <v>in linea</v>
      </c>
      <c r="T18" t="str">
        <f t="shared" si="12"/>
        <v>T2-2025</v>
      </c>
      <c r="U18">
        <f t="shared" si="13"/>
        <v>6465.5416666666652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6798.5</v>
      </c>
      <c r="D19">
        <f>SUMIFS(Data!$F$2:$F$5761,Data!$A$2:$A$5761,Control!$B$2,Data!$B$2:$B$5761,A19)</f>
        <v>367.57000000000005</v>
      </c>
      <c r="E19">
        <f>SUMIFS(Data!$G$2:$G$5761,Data!$A$2:$A$5761,Control!$B$2,Data!$B$2:$B$5761,A19)</f>
        <v>223.27</v>
      </c>
      <c r="F19">
        <f>SUMIFS(Data!$H$2:$H$5761,Data!$A$2:$A$5761,Control!$B$2,Data!$B$2:$B$5761,A19)</f>
        <v>757</v>
      </c>
      <c r="G19">
        <f t="shared" si="2"/>
        <v>144.30000000000004</v>
      </c>
      <c r="H19" cm="1">
        <f t="array" ref="H19">INDEX(Budget!$B$2:$AK$21,Control!$B$6,MATCH(A19,Budget!$B$1:$AK$1,0))</f>
        <v>6879</v>
      </c>
      <c r="I19">
        <f t="shared" si="3"/>
        <v>-1.1702282308475032E-2</v>
      </c>
      <c r="J19">
        <f t="shared" si="4"/>
        <v>39920.400000000001</v>
      </c>
      <c r="K19">
        <f t="shared" si="5"/>
        <v>2025</v>
      </c>
      <c r="L19">
        <f t="shared" ca="1" si="6"/>
        <v>6719.833333333333</v>
      </c>
      <c r="M19">
        <f>C19*_xlfn.XLOOKUP(A19,FX!$A$2:$A$37,FX!$C$2:$C$37)</f>
        <v>7030.3288499999999</v>
      </c>
      <c r="N19">
        <f>C19*(1+Control!$B$4)^(A19/12)</f>
        <v>7106.7156484437846</v>
      </c>
      <c r="O19">
        <f t="shared" si="7"/>
        <v>17</v>
      </c>
      <c r="P19">
        <f t="shared" si="8"/>
        <v>66.100000000000364</v>
      </c>
      <c r="Q19">
        <f t="shared" si="9"/>
        <v>0.60742171559158797</v>
      </c>
      <c r="R19">
        <f t="shared" si="10"/>
        <v>0.49</v>
      </c>
      <c r="S19" t="str">
        <f t="shared" si="11"/>
        <v>in linea</v>
      </c>
      <c r="T19" t="str">
        <f t="shared" si="12"/>
        <v>T2-2025</v>
      </c>
      <c r="U19">
        <f t="shared" si="13"/>
        <v>6514.2083333333321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6756.8</v>
      </c>
      <c r="D20">
        <f>SUMIFS(Data!$F$2:$F$5761,Data!$A$2:$A$5761,Control!$B$2,Data!$B$2:$B$5761,A20)</f>
        <v>364.69</v>
      </c>
      <c r="E20">
        <f>SUMIFS(Data!$G$2:$G$5761,Data!$A$2:$A$5761,Control!$B$2,Data!$B$2:$B$5761,A20)</f>
        <v>221.70999999999998</v>
      </c>
      <c r="F20">
        <f>SUMIFS(Data!$H$2:$H$5761,Data!$A$2:$A$5761,Control!$B$2,Data!$B$2:$B$5761,A20)</f>
        <v>733</v>
      </c>
      <c r="G20">
        <f t="shared" si="2"/>
        <v>142.98000000000002</v>
      </c>
      <c r="H20" cm="1">
        <f t="array" ref="H20">INDEX(Budget!$B$2:$AK$21,Control!$B$6,MATCH(A20,Budget!$B$1:$AK$1,0))</f>
        <v>6932</v>
      </c>
      <c r="I20">
        <f t="shared" si="3"/>
        <v>-2.5274091171379132E-2</v>
      </c>
      <c r="J20">
        <f t="shared" si="4"/>
        <v>46677.200000000004</v>
      </c>
      <c r="K20">
        <f t="shared" si="5"/>
        <v>2025</v>
      </c>
      <c r="L20">
        <f t="shared" ca="1" si="6"/>
        <v>6762.5666666666666</v>
      </c>
      <c r="M20">
        <f>C20*_xlfn.XLOOKUP(A20,FX!$A$2:$A$37,FX!$C$2:$C$37)</f>
        <v>6941.9363200000007</v>
      </c>
      <c r="N20">
        <f>C20*(1+Control!$B$4)^(A20/12)</f>
        <v>7080.5447163238987</v>
      </c>
      <c r="O20">
        <f t="shared" si="7"/>
        <v>19</v>
      </c>
      <c r="P20">
        <f t="shared" si="8"/>
        <v>-41.699999999999818</v>
      </c>
      <c r="Q20">
        <f t="shared" si="9"/>
        <v>0.6079409909786393</v>
      </c>
      <c r="R20">
        <f t="shared" si="10"/>
        <v>0.5</v>
      </c>
      <c r="S20" t="str">
        <f t="shared" si="11"/>
        <v>in linea</v>
      </c>
      <c r="T20" t="str">
        <f t="shared" si="12"/>
        <v>T3-2025</v>
      </c>
      <c r="U20">
        <f t="shared" si="13"/>
        <v>6554.8083333333334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6767</v>
      </c>
      <c r="D21">
        <f>SUMIFS(Data!$F$2:$F$5761,Data!$A$2:$A$5761,Control!$B$2,Data!$B$2:$B$5761,A21)</f>
        <v>367.14</v>
      </c>
      <c r="E21">
        <f>SUMIFS(Data!$G$2:$G$5761,Data!$A$2:$A$5761,Control!$B$2,Data!$B$2:$B$5761,A21)</f>
        <v>223.88</v>
      </c>
      <c r="F21">
        <f>SUMIFS(Data!$H$2:$H$5761,Data!$A$2:$A$5761,Control!$B$2,Data!$B$2:$B$5761,A21)</f>
        <v>691</v>
      </c>
      <c r="G21">
        <f t="shared" si="2"/>
        <v>143.26</v>
      </c>
      <c r="H21" cm="1">
        <f t="array" ref="H21">INDEX(Budget!$B$2:$AK$21,Control!$B$6,MATCH(A21,Budget!$B$1:$AK$1,0))</f>
        <v>6986</v>
      </c>
      <c r="I21">
        <f t="shared" si="3"/>
        <v>-3.1348411107930185E-2</v>
      </c>
      <c r="J21">
        <f t="shared" si="4"/>
        <v>53444.200000000004</v>
      </c>
      <c r="K21">
        <f t="shared" si="5"/>
        <v>2025</v>
      </c>
      <c r="L21">
        <f t="shared" ca="1" si="6"/>
        <v>6774.0999999999995</v>
      </c>
      <c r="M21">
        <f>C21*_xlfn.XLOOKUP(A21,FX!$A$2:$A$37,FX!$C$2:$C$37)</f>
        <v>6913.8439000000008</v>
      </c>
      <c r="N21">
        <f>C21*(1+Control!$B$4)^(A21/12)</f>
        <v>7108.7223328968703</v>
      </c>
      <c r="O21">
        <f t="shared" si="7"/>
        <v>18</v>
      </c>
      <c r="P21">
        <f t="shared" si="8"/>
        <v>10.199999999999818</v>
      </c>
      <c r="Q21">
        <f t="shared" si="9"/>
        <v>0.60979462875197477</v>
      </c>
      <c r="R21">
        <f t="shared" si="10"/>
        <v>0.53</v>
      </c>
      <c r="S21" t="str">
        <f t="shared" si="11"/>
        <v>in linea</v>
      </c>
      <c r="T21" t="str">
        <f t="shared" si="12"/>
        <v>T3-2025</v>
      </c>
      <c r="U21">
        <f t="shared" si="13"/>
        <v>6595.3499999999995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6881.5</v>
      </c>
      <c r="D22">
        <f>SUMIFS(Data!$F$2:$F$5761,Data!$A$2:$A$5761,Control!$B$2,Data!$B$2:$B$5761,A22)</f>
        <v>374.05999999999995</v>
      </c>
      <c r="E22">
        <f>SUMIFS(Data!$G$2:$G$5761,Data!$A$2:$A$5761,Control!$B$2,Data!$B$2:$B$5761,A22)</f>
        <v>227.22</v>
      </c>
      <c r="F22">
        <f>SUMIFS(Data!$H$2:$H$5761,Data!$A$2:$A$5761,Control!$B$2,Data!$B$2:$B$5761,A22)</f>
        <v>754</v>
      </c>
      <c r="G22">
        <f t="shared" si="2"/>
        <v>146.83999999999995</v>
      </c>
      <c r="H22" cm="1">
        <f t="array" ref="H22">INDEX(Budget!$B$2:$AK$21,Control!$B$6,MATCH(A22,Budget!$B$1:$AK$1,0))</f>
        <v>7039</v>
      </c>
      <c r="I22">
        <f t="shared" si="3"/>
        <v>-2.237533740588149E-2</v>
      </c>
      <c r="J22">
        <f t="shared" si="4"/>
        <v>60325.700000000004</v>
      </c>
      <c r="K22">
        <f t="shared" si="5"/>
        <v>2025</v>
      </c>
      <c r="L22">
        <f t="shared" ca="1" si="6"/>
        <v>6801.7666666666664</v>
      </c>
      <c r="M22">
        <f>C22*_xlfn.XLOOKUP(A22,FX!$A$2:$A$37,FX!$C$2:$C$37)</f>
        <v>6999.8618000000006</v>
      </c>
      <c r="N22">
        <f>C22*(1+Control!$B$4)^(A22/12)</f>
        <v>7246.8330689662289</v>
      </c>
      <c r="O22">
        <f t="shared" si="7"/>
        <v>16</v>
      </c>
      <c r="P22">
        <f t="shared" si="8"/>
        <v>114.5</v>
      </c>
      <c r="Q22">
        <f t="shared" si="9"/>
        <v>0.60744265625835436</v>
      </c>
      <c r="R22">
        <f t="shared" si="10"/>
        <v>0.5</v>
      </c>
      <c r="S22" t="str">
        <f t="shared" si="11"/>
        <v>in linea</v>
      </c>
      <c r="T22" t="str">
        <f t="shared" si="12"/>
        <v>T3-2025</v>
      </c>
      <c r="U22">
        <f t="shared" si="13"/>
        <v>6642.3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6930.5</v>
      </c>
      <c r="D23">
        <f>SUMIFS(Data!$F$2:$F$5761,Data!$A$2:$A$5761,Control!$B$2,Data!$B$2:$B$5761,A23)</f>
        <v>376.02</v>
      </c>
      <c r="E23">
        <f>SUMIFS(Data!$G$2:$G$5761,Data!$A$2:$A$5761,Control!$B$2,Data!$B$2:$B$5761,A23)</f>
        <v>229.17999999999998</v>
      </c>
      <c r="F23">
        <f>SUMIFS(Data!$H$2:$H$5761,Data!$A$2:$A$5761,Control!$B$2,Data!$B$2:$B$5761,A23)</f>
        <v>747</v>
      </c>
      <c r="G23">
        <f t="shared" si="2"/>
        <v>146.84</v>
      </c>
      <c r="H23" cm="1">
        <f t="array" ref="H23">INDEX(Budget!$B$2:$AK$21,Control!$B$6,MATCH(A23,Budget!$B$1:$AK$1,0))</f>
        <v>7092</v>
      </c>
      <c r="I23">
        <f t="shared" si="3"/>
        <v>-2.2772137619853305E-2</v>
      </c>
      <c r="J23">
        <f t="shared" si="4"/>
        <v>67256.200000000012</v>
      </c>
      <c r="K23">
        <f t="shared" si="5"/>
        <v>2025</v>
      </c>
      <c r="L23">
        <f t="shared" ca="1" si="6"/>
        <v>6859.666666666667</v>
      </c>
      <c r="M23">
        <f>C23*_xlfn.XLOOKUP(A23,FX!$A$2:$A$37,FX!$C$2:$C$37)</f>
        <v>7028.2200499999999</v>
      </c>
      <c r="N23">
        <f>C23*(1+Control!$B$4)^(A23/12)</f>
        <v>7316.4343461483068</v>
      </c>
      <c r="O23">
        <f t="shared" si="7"/>
        <v>15</v>
      </c>
      <c r="P23">
        <f t="shared" si="8"/>
        <v>49</v>
      </c>
      <c r="Q23">
        <f t="shared" si="9"/>
        <v>0.60948885697569277</v>
      </c>
      <c r="R23">
        <f t="shared" si="10"/>
        <v>0.5</v>
      </c>
      <c r="S23" t="str">
        <f t="shared" si="11"/>
        <v>in linea</v>
      </c>
      <c r="T23" t="str">
        <f t="shared" si="12"/>
        <v>T4-2025</v>
      </c>
      <c r="U23">
        <f t="shared" si="13"/>
        <v>6683.6166666666659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7086</v>
      </c>
      <c r="D24">
        <f>SUMIFS(Data!$F$2:$F$5761,Data!$A$2:$A$5761,Control!$B$2,Data!$B$2:$B$5761,A24)</f>
        <v>384.93000000000006</v>
      </c>
      <c r="E24">
        <f>SUMIFS(Data!$G$2:$G$5761,Data!$A$2:$A$5761,Control!$B$2,Data!$B$2:$B$5761,A24)</f>
        <v>233.15</v>
      </c>
      <c r="F24">
        <f>SUMIFS(Data!$H$2:$H$5761,Data!$A$2:$A$5761,Control!$B$2,Data!$B$2:$B$5761,A24)</f>
        <v>771</v>
      </c>
      <c r="G24">
        <f t="shared" si="2"/>
        <v>151.78000000000006</v>
      </c>
      <c r="H24" cm="1">
        <f t="array" ref="H24">INDEX(Budget!$B$2:$AK$21,Control!$B$6,MATCH(A24,Budget!$B$1:$AK$1,0))</f>
        <v>7145</v>
      </c>
      <c r="I24">
        <f t="shared" si="3"/>
        <v>-8.2575227431770371E-3</v>
      </c>
      <c r="J24">
        <f t="shared" si="4"/>
        <v>74342.200000000012</v>
      </c>
      <c r="K24">
        <f t="shared" si="5"/>
        <v>2025</v>
      </c>
      <c r="L24">
        <f t="shared" ca="1" si="6"/>
        <v>6966</v>
      </c>
      <c r="M24">
        <f>C24*_xlfn.XLOOKUP(A24,FX!$A$2:$A$37,FX!$C$2:$C$37)</f>
        <v>7175.2835999999998</v>
      </c>
      <c r="N24">
        <f>C24*(1+Control!$B$4)^(A24/12)</f>
        <v>7499.0427375751051</v>
      </c>
      <c r="O24">
        <f t="shared" si="7"/>
        <v>13</v>
      </c>
      <c r="P24">
        <f t="shared" si="8"/>
        <v>155.5</v>
      </c>
      <c r="Q24">
        <f t="shared" si="9"/>
        <v>0.60569454186475458</v>
      </c>
      <c r="R24">
        <f t="shared" si="10"/>
        <v>0.5</v>
      </c>
      <c r="S24" t="str">
        <f t="shared" si="11"/>
        <v>in linea</v>
      </c>
      <c r="T24" t="str">
        <f t="shared" si="12"/>
        <v>T4-2025</v>
      </c>
      <c r="U24">
        <f t="shared" si="13"/>
        <v>6741.1083333333336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7144.2000000000007</v>
      </c>
      <c r="D25">
        <f>SUMIFS(Data!$F$2:$F$5761,Data!$A$2:$A$5761,Control!$B$2,Data!$B$2:$B$5761,A25)</f>
        <v>387.14000000000004</v>
      </c>
      <c r="E25">
        <f>SUMIFS(Data!$G$2:$G$5761,Data!$A$2:$A$5761,Control!$B$2,Data!$B$2:$B$5761,A25)</f>
        <v>236.08</v>
      </c>
      <c r="F25">
        <f>SUMIFS(Data!$H$2:$H$5761,Data!$A$2:$A$5761,Control!$B$2,Data!$B$2:$B$5761,A25)</f>
        <v>757</v>
      </c>
      <c r="G25">
        <f t="shared" si="2"/>
        <v>151.06000000000003</v>
      </c>
      <c r="H25" cm="1">
        <f t="array" ref="H25">INDEX(Budget!$B$2:$AK$21,Control!$B$6,MATCH(A25,Budget!$B$1:$AK$1,0))</f>
        <v>7199</v>
      </c>
      <c r="I25">
        <f t="shared" si="3"/>
        <v>-7.6121683567160758E-3</v>
      </c>
      <c r="J25">
        <f t="shared" si="4"/>
        <v>81486.400000000009</v>
      </c>
      <c r="K25">
        <f t="shared" si="5"/>
        <v>2025</v>
      </c>
      <c r="L25">
        <f t="shared" ca="1" si="6"/>
        <v>7053.5666666666666</v>
      </c>
      <c r="M25">
        <f>C25*_xlfn.XLOOKUP(A25,FX!$A$2:$A$37,FX!$C$2:$C$37)</f>
        <v>7234.2169200000008</v>
      </c>
      <c r="N25">
        <f>C25*(1+Control!$B$4)^(A25/12)</f>
        <v>7579.2817800000003</v>
      </c>
      <c r="O25">
        <f t="shared" si="7"/>
        <v>11</v>
      </c>
      <c r="P25">
        <f t="shared" si="8"/>
        <v>58.200000000000728</v>
      </c>
      <c r="Q25">
        <f t="shared" si="9"/>
        <v>0.60980523841504364</v>
      </c>
      <c r="R25">
        <f t="shared" si="10"/>
        <v>0.51</v>
      </c>
      <c r="S25" t="str">
        <f t="shared" si="11"/>
        <v>in linea</v>
      </c>
      <c r="T25" t="str">
        <f t="shared" si="12"/>
        <v>T4-2025</v>
      </c>
      <c r="U25">
        <f t="shared" si="13"/>
        <v>6790.5333333333338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7026.5000000000009</v>
      </c>
      <c r="D26">
        <f>SUMIFS(Data!$F$2:$F$5761,Data!$A$2:$A$5761,Control!$B$2,Data!$B$2:$B$5761,A26)</f>
        <v>380.71999999999997</v>
      </c>
      <c r="E26">
        <f>SUMIFS(Data!$G$2:$G$5761,Data!$A$2:$A$5761,Control!$B$2,Data!$B$2:$B$5761,A26)</f>
        <v>231.7</v>
      </c>
      <c r="F26">
        <f>SUMIFS(Data!$H$2:$H$5761,Data!$A$2:$A$5761,Control!$B$2,Data!$B$2:$B$5761,A26)</f>
        <v>721</v>
      </c>
      <c r="G26">
        <f t="shared" si="2"/>
        <v>149.01999999999998</v>
      </c>
      <c r="H26" cm="1">
        <f t="array" ref="H26">INDEX(Budget!$B$2:$AK$21,Control!$B$6,MATCH(A26,Budget!$B$1:$AK$1,0))</f>
        <v>7252</v>
      </c>
      <c r="I26">
        <f t="shared" si="3"/>
        <v>-3.1094870380584561E-2</v>
      </c>
      <c r="J26">
        <f t="shared" si="4"/>
        <v>7026.5000000000009</v>
      </c>
      <c r="K26">
        <f t="shared" si="5"/>
        <v>2026</v>
      </c>
      <c r="L26">
        <f t="shared" ca="1" si="6"/>
        <v>7085.5666666666666</v>
      </c>
      <c r="M26">
        <f>C26*_xlfn.XLOOKUP(A26,FX!$A$2:$A$37,FX!$C$2:$C$37)</f>
        <v>7125.5736500000012</v>
      </c>
      <c r="N26">
        <f>C26*(1+Control!$B$4)^(A26/12)</f>
        <v>7472.7984455484975</v>
      </c>
      <c r="O26">
        <f t="shared" si="7"/>
        <v>14</v>
      </c>
      <c r="P26">
        <f t="shared" si="8"/>
        <v>-117.69999999999982</v>
      </c>
      <c r="Q26">
        <f t="shared" si="9"/>
        <v>0.60858373607900818</v>
      </c>
      <c r="R26">
        <f t="shared" si="10"/>
        <v>0.53</v>
      </c>
      <c r="S26" t="str">
        <f t="shared" si="11"/>
        <v>in linea</v>
      </c>
      <c r="T26" t="str">
        <f t="shared" si="12"/>
        <v>T1-2026</v>
      </c>
      <c r="U26">
        <f t="shared" si="13"/>
        <v>6830.8916666666664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7134</v>
      </c>
      <c r="D27">
        <f>SUMIFS(Data!$F$2:$F$5761,Data!$A$2:$A$5761,Control!$B$2,Data!$B$2:$B$5761,A27)</f>
        <v>387.35</v>
      </c>
      <c r="E27">
        <f>SUMIFS(Data!$G$2:$G$5761,Data!$A$2:$A$5761,Control!$B$2,Data!$B$2:$B$5761,A27)</f>
        <v>234.98000000000002</v>
      </c>
      <c r="F27">
        <f>SUMIFS(Data!$H$2:$H$5761,Data!$A$2:$A$5761,Control!$B$2,Data!$B$2:$B$5761,A27)</f>
        <v>728</v>
      </c>
      <c r="G27">
        <f t="shared" si="2"/>
        <v>152.37</v>
      </c>
      <c r="H27" cm="1">
        <f t="array" ref="H27">INDEX(Budget!$B$2:$AK$21,Control!$B$6,MATCH(A27,Budget!$B$1:$AK$1,0))</f>
        <v>7305</v>
      </c>
      <c r="I27">
        <f t="shared" si="3"/>
        <v>-2.3408624229979469E-2</v>
      </c>
      <c r="J27">
        <f t="shared" si="4"/>
        <v>14160.5</v>
      </c>
      <c r="K27">
        <f t="shared" si="5"/>
        <v>2026</v>
      </c>
      <c r="L27">
        <f t="shared" ca="1" si="6"/>
        <v>7101.5666666666666</v>
      </c>
      <c r="M27">
        <f>C27*_xlfn.XLOOKUP(A27,FX!$A$2:$A$37,FX!$C$2:$C$37)</f>
        <v>7257.418200000001</v>
      </c>
      <c r="N27">
        <f>C27*(1+Control!$B$4)^(A27/12)</f>
        <v>7605.8383662614069</v>
      </c>
      <c r="O27">
        <f t="shared" si="7"/>
        <v>12</v>
      </c>
      <c r="P27">
        <f t="shared" si="8"/>
        <v>107.49999999999909</v>
      </c>
      <c r="Q27">
        <f t="shared" si="9"/>
        <v>0.60663482638440691</v>
      </c>
      <c r="R27">
        <f t="shared" si="10"/>
        <v>0.53</v>
      </c>
      <c r="S27" t="str">
        <f t="shared" si="11"/>
        <v>in linea</v>
      </c>
      <c r="T27" t="str">
        <f t="shared" si="12"/>
        <v>T1-2026</v>
      </c>
      <c r="U27">
        <f t="shared" si="13"/>
        <v>6870.4666666666672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7225.5</v>
      </c>
      <c r="D28">
        <f>SUMIFS(Data!$F$2:$F$5761,Data!$A$2:$A$5761,Control!$B$2,Data!$B$2:$B$5761,A28)</f>
        <v>392.38</v>
      </c>
      <c r="E28">
        <f>SUMIFS(Data!$G$2:$G$5761,Data!$A$2:$A$5761,Control!$B$2,Data!$B$2:$B$5761,A28)</f>
        <v>236.67000000000002</v>
      </c>
      <c r="F28">
        <f>SUMIFS(Data!$H$2:$H$5761,Data!$A$2:$A$5761,Control!$B$2,Data!$B$2:$B$5761,A28)</f>
        <v>718</v>
      </c>
      <c r="G28">
        <f t="shared" si="2"/>
        <v>155.70999999999998</v>
      </c>
      <c r="H28" cm="1">
        <f t="array" ref="H28">INDEX(Budget!$B$2:$AK$21,Control!$B$6,MATCH(A28,Budget!$B$1:$AK$1,0))</f>
        <v>7359</v>
      </c>
      <c r="I28">
        <f t="shared" si="3"/>
        <v>-1.8141051773338801E-2</v>
      </c>
      <c r="J28">
        <f t="shared" si="4"/>
        <v>21386</v>
      </c>
      <c r="K28">
        <f t="shared" si="5"/>
        <v>2026</v>
      </c>
      <c r="L28">
        <f t="shared" ca="1" si="6"/>
        <v>7128.666666666667</v>
      </c>
      <c r="M28">
        <f>C28*_xlfn.XLOOKUP(A28,FX!$A$2:$A$37,FX!$C$2:$C$37)</f>
        <v>7383.0159000000003</v>
      </c>
      <c r="N28">
        <f>C28*(1+Control!$B$4)^(A28/12)</f>
        <v>7722.3887581047265</v>
      </c>
      <c r="O28">
        <f t="shared" si="7"/>
        <v>10</v>
      </c>
      <c r="P28">
        <f t="shared" si="8"/>
        <v>91.5</v>
      </c>
      <c r="Q28">
        <f t="shared" si="9"/>
        <v>0.60316529894490045</v>
      </c>
      <c r="R28">
        <f t="shared" si="10"/>
        <v>0.55000000000000004</v>
      </c>
      <c r="S28" t="str">
        <f t="shared" si="11"/>
        <v>in linea</v>
      </c>
      <c r="T28" t="str">
        <f t="shared" si="12"/>
        <v>T1-2026</v>
      </c>
      <c r="U28">
        <f t="shared" si="13"/>
        <v>6925.958333333333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7256.6</v>
      </c>
      <c r="D29">
        <f>SUMIFS(Data!$F$2:$F$5761,Data!$A$2:$A$5761,Control!$B$2,Data!$B$2:$B$5761,A29)</f>
        <v>392.7</v>
      </c>
      <c r="E29">
        <f>SUMIFS(Data!$G$2:$G$5761,Data!$A$2:$A$5761,Control!$B$2,Data!$B$2:$B$5761,A29)</f>
        <v>239.05999999999997</v>
      </c>
      <c r="F29">
        <f>SUMIFS(Data!$H$2:$H$5761,Data!$A$2:$A$5761,Control!$B$2,Data!$B$2:$B$5761,A29)</f>
        <v>766</v>
      </c>
      <c r="G29">
        <f t="shared" si="2"/>
        <v>153.64000000000001</v>
      </c>
      <c r="H29" cm="1">
        <f t="array" ref="H29">INDEX(Budget!$B$2:$AK$21,Control!$B$6,MATCH(A29,Budget!$B$1:$AK$1,0))</f>
        <v>7412</v>
      </c>
      <c r="I29">
        <f t="shared" si="3"/>
        <v>-2.0966001079330776E-2</v>
      </c>
      <c r="J29">
        <f t="shared" si="4"/>
        <v>28642.6</v>
      </c>
      <c r="K29">
        <f t="shared" si="5"/>
        <v>2026</v>
      </c>
      <c r="L29">
        <f t="shared" ca="1" si="6"/>
        <v>7205.3666666666659</v>
      </c>
      <c r="M29">
        <f>C29*_xlfn.XLOOKUP(A29,FX!$A$2:$A$37,FX!$C$2:$C$37)</f>
        <v>7456.156500000001</v>
      </c>
      <c r="N29">
        <f>C29*(1+Control!$B$4)^(A29/12)</f>
        <v>7774.7549364836477</v>
      </c>
      <c r="O29">
        <f t="shared" si="7"/>
        <v>9</v>
      </c>
      <c r="P29">
        <f t="shared" si="8"/>
        <v>31.100000000000364</v>
      </c>
      <c r="Q29">
        <f t="shared" si="9"/>
        <v>0.60875986758339695</v>
      </c>
      <c r="R29">
        <f t="shared" si="10"/>
        <v>0.51</v>
      </c>
      <c r="S29" t="str">
        <f t="shared" si="11"/>
        <v>in linea</v>
      </c>
      <c r="T29" t="str">
        <f t="shared" si="12"/>
        <v>T2-2026</v>
      </c>
      <c r="U29">
        <f t="shared" si="13"/>
        <v>6978.291666666667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7310.7000000000007</v>
      </c>
      <c r="D30">
        <f>SUMIFS(Data!$F$2:$F$5761,Data!$A$2:$A$5761,Control!$B$2,Data!$B$2:$B$5761,A30)</f>
        <v>397.70000000000005</v>
      </c>
      <c r="E30">
        <f>SUMIFS(Data!$G$2:$G$5761,Data!$A$2:$A$5761,Control!$B$2,Data!$B$2:$B$5761,A30)</f>
        <v>241.54</v>
      </c>
      <c r="F30">
        <f>SUMIFS(Data!$H$2:$H$5761,Data!$A$2:$A$5761,Control!$B$2,Data!$B$2:$B$5761,A30)</f>
        <v>749</v>
      </c>
      <c r="G30">
        <f t="shared" si="2"/>
        <v>156.16000000000005</v>
      </c>
      <c r="H30" cm="1">
        <f t="array" ref="H30">INDEX(Budget!$B$2:$AK$21,Control!$B$6,MATCH(A30,Budget!$B$1:$AK$1,0))</f>
        <v>7465</v>
      </c>
      <c r="I30">
        <f t="shared" si="3"/>
        <v>-2.0669792364366946E-2</v>
      </c>
      <c r="J30">
        <f t="shared" si="4"/>
        <v>35953.300000000003</v>
      </c>
      <c r="K30">
        <f t="shared" si="5"/>
        <v>2026</v>
      </c>
      <c r="L30">
        <f t="shared" ca="1" si="6"/>
        <v>7264.2666666666673</v>
      </c>
      <c r="M30">
        <f>C30*_xlfn.XLOOKUP(A30,FX!$A$2:$A$37,FX!$C$2:$C$37)</f>
        <v>7561.457010000001</v>
      </c>
      <c r="N30">
        <f>C30*(1+Control!$B$4)^(A30/12)</f>
        <v>7852.0355231605063</v>
      </c>
      <c r="O30">
        <f t="shared" si="7"/>
        <v>8</v>
      </c>
      <c r="P30">
        <f t="shared" si="8"/>
        <v>54.100000000000364</v>
      </c>
      <c r="Q30">
        <f t="shared" si="9"/>
        <v>0.60734221775207431</v>
      </c>
      <c r="R30">
        <f t="shared" si="10"/>
        <v>0.53</v>
      </c>
      <c r="S30" t="str">
        <f t="shared" si="11"/>
        <v>in linea</v>
      </c>
      <c r="T30" t="str">
        <f t="shared" si="12"/>
        <v>T2-2026</v>
      </c>
      <c r="U30">
        <f t="shared" si="13"/>
        <v>7026.4833333333336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7354.8</v>
      </c>
      <c r="D31">
        <f>SUMIFS(Data!$F$2:$F$5761,Data!$A$2:$A$5761,Control!$B$2,Data!$B$2:$B$5761,A31)</f>
        <v>399.43</v>
      </c>
      <c r="E31">
        <f>SUMIFS(Data!$G$2:$G$5761,Data!$A$2:$A$5761,Control!$B$2,Data!$B$2:$B$5761,A31)</f>
        <v>242.63999999999996</v>
      </c>
      <c r="F31">
        <f>SUMIFS(Data!$H$2:$H$5761,Data!$A$2:$A$5761,Control!$B$2,Data!$B$2:$B$5761,A31)</f>
        <v>730</v>
      </c>
      <c r="G31">
        <f t="shared" si="2"/>
        <v>156.79000000000005</v>
      </c>
      <c r="H31" cm="1">
        <f t="array" ref="H31">INDEX(Budget!$B$2:$AK$21,Control!$B$6,MATCH(A31,Budget!$B$1:$AK$1,0))</f>
        <v>7518</v>
      </c>
      <c r="I31">
        <f t="shared" si="3"/>
        <v>-2.1707901037509969E-2</v>
      </c>
      <c r="J31">
        <f t="shared" si="4"/>
        <v>43308.100000000006</v>
      </c>
      <c r="K31">
        <f t="shared" si="5"/>
        <v>2026</v>
      </c>
      <c r="L31">
        <f t="shared" ca="1" si="6"/>
        <v>7307.3666666666677</v>
      </c>
      <c r="M31">
        <f>C31*_xlfn.XLOOKUP(A31,FX!$A$2:$A$37,FX!$C$2:$C$37)</f>
        <v>7662.2306400000007</v>
      </c>
      <c r="N31">
        <f>C31*(1+Control!$B$4)^(A31/12)</f>
        <v>7918.8830504831321</v>
      </c>
      <c r="O31">
        <f t="shared" si="7"/>
        <v>6</v>
      </c>
      <c r="P31">
        <f t="shared" si="8"/>
        <v>44.099999999999454</v>
      </c>
      <c r="Q31">
        <f t="shared" si="9"/>
        <v>0.60746563853491209</v>
      </c>
      <c r="R31">
        <f t="shared" si="10"/>
        <v>0.55000000000000004</v>
      </c>
      <c r="S31" t="str">
        <f t="shared" si="11"/>
        <v>in linea</v>
      </c>
      <c r="T31" t="str">
        <f t="shared" si="12"/>
        <v>T2-2026</v>
      </c>
      <c r="U31">
        <f t="shared" si="13"/>
        <v>7072.8416666666672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7466.9</v>
      </c>
      <c r="D32">
        <f>SUMIFS(Data!$F$2:$F$5761,Data!$A$2:$A$5761,Control!$B$2,Data!$B$2:$B$5761,A32)</f>
        <v>405.23</v>
      </c>
      <c r="E32">
        <f>SUMIFS(Data!$G$2:$G$5761,Data!$A$2:$A$5761,Control!$B$2,Data!$B$2:$B$5761,A32)</f>
        <v>245.23000000000002</v>
      </c>
      <c r="F32">
        <f>SUMIFS(Data!$H$2:$H$5761,Data!$A$2:$A$5761,Control!$B$2,Data!$B$2:$B$5761,A32)</f>
        <v>756</v>
      </c>
      <c r="G32">
        <f t="shared" si="2"/>
        <v>160</v>
      </c>
      <c r="H32" cm="1">
        <f t="array" ref="H32">INDEX(Budget!$B$2:$AK$21,Control!$B$6,MATCH(A32,Budget!$B$1:$AK$1,0))</f>
        <v>7572</v>
      </c>
      <c r="I32">
        <f t="shared" si="3"/>
        <v>-1.3880084521922909E-2</v>
      </c>
      <c r="J32">
        <f t="shared" si="4"/>
        <v>50775.000000000007</v>
      </c>
      <c r="K32">
        <f t="shared" si="5"/>
        <v>2026</v>
      </c>
      <c r="L32">
        <f t="shared" ca="1" si="6"/>
        <v>7377.4666666666672</v>
      </c>
      <c r="M32">
        <f>C32*_xlfn.XLOOKUP(A32,FX!$A$2:$A$37,FX!$C$2:$C$37)</f>
        <v>7838.75162</v>
      </c>
      <c r="N32">
        <f>C32*(1+Control!$B$4)^(A32/12)</f>
        <v>8059.4084363291022</v>
      </c>
      <c r="O32">
        <f t="shared" si="7"/>
        <v>5</v>
      </c>
      <c r="P32">
        <f t="shared" si="8"/>
        <v>112.09999999999945</v>
      </c>
      <c r="Q32">
        <f t="shared" si="9"/>
        <v>0.60516250030846686</v>
      </c>
      <c r="R32">
        <f t="shared" si="10"/>
        <v>0.54</v>
      </c>
      <c r="S32" t="str">
        <f t="shared" si="11"/>
        <v>in linea</v>
      </c>
      <c r="T32" t="str">
        <f t="shared" si="12"/>
        <v>T3-2026</v>
      </c>
      <c r="U32">
        <f t="shared" si="13"/>
        <v>7132.0166666666664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7341.1</v>
      </c>
      <c r="D33">
        <f>SUMIFS(Data!$F$2:$F$5761,Data!$A$2:$A$5761,Control!$B$2,Data!$B$2:$B$5761,A33)</f>
        <v>397.9</v>
      </c>
      <c r="E33">
        <f>SUMIFS(Data!$G$2:$G$5761,Data!$A$2:$A$5761,Control!$B$2,Data!$B$2:$B$5761,A33)</f>
        <v>241.38</v>
      </c>
      <c r="F33">
        <f>SUMIFS(Data!$H$2:$H$5761,Data!$A$2:$A$5761,Control!$B$2,Data!$B$2:$B$5761,A33)</f>
        <v>734</v>
      </c>
      <c r="G33">
        <f t="shared" si="2"/>
        <v>156.51999999999998</v>
      </c>
      <c r="H33" cm="1">
        <f t="array" ref="H33">INDEX(Budget!$B$2:$AK$21,Control!$B$6,MATCH(A33,Budget!$B$1:$AK$1,0))</f>
        <v>7625</v>
      </c>
      <c r="I33">
        <f t="shared" si="3"/>
        <v>-3.7232786885245894E-2</v>
      </c>
      <c r="J33">
        <f t="shared" si="4"/>
        <v>58116.100000000006</v>
      </c>
      <c r="K33">
        <f t="shared" si="5"/>
        <v>2026</v>
      </c>
      <c r="L33">
        <f t="shared" ca="1" si="6"/>
        <v>7387.6000000000013</v>
      </c>
      <c r="M33">
        <f>C33*_xlfn.XLOOKUP(A33,FX!$A$2:$A$37,FX!$C$2:$C$37)</f>
        <v>7766.1496900000011</v>
      </c>
      <c r="N33">
        <f>C33*(1+Control!$B$4)^(A33/12)</f>
        <v>7943.1678385651103</v>
      </c>
      <c r="O33">
        <f t="shared" si="7"/>
        <v>7</v>
      </c>
      <c r="P33">
        <f t="shared" si="8"/>
        <v>-125.79999999999927</v>
      </c>
      <c r="Q33">
        <f t="shared" si="9"/>
        <v>0.60663483287258102</v>
      </c>
      <c r="R33">
        <f t="shared" si="10"/>
        <v>0.54</v>
      </c>
      <c r="S33" t="str">
        <f t="shared" si="11"/>
        <v>in linea</v>
      </c>
      <c r="T33" t="str">
        <f t="shared" si="12"/>
        <v>T3-2026</v>
      </c>
      <c r="U33">
        <f t="shared" si="13"/>
        <v>7179.8583333333336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7481.2000000000007</v>
      </c>
      <c r="D34">
        <f>SUMIFS(Data!$F$2:$F$5761,Data!$A$2:$A$5761,Control!$B$2,Data!$B$2:$B$5761,A34)</f>
        <v>405.95</v>
      </c>
      <c r="E34">
        <f>SUMIFS(Data!$G$2:$G$5761,Data!$A$2:$A$5761,Control!$B$2,Data!$B$2:$B$5761,A34)</f>
        <v>245.13</v>
      </c>
      <c r="F34">
        <f>SUMIFS(Data!$H$2:$H$5761,Data!$A$2:$A$5761,Control!$B$2,Data!$B$2:$B$5761,A34)</f>
        <v>760</v>
      </c>
      <c r="G34">
        <f t="shared" si="2"/>
        <v>160.82</v>
      </c>
      <c r="H34" cm="1">
        <f t="array" ref="H34">INDEX(Budget!$B$2:$AK$21,Control!$B$6,MATCH(A34,Budget!$B$1:$AK$1,0))</f>
        <v>7678</v>
      </c>
      <c r="I34">
        <f t="shared" si="3"/>
        <v>-2.5631674915342462E-2</v>
      </c>
      <c r="J34">
        <f t="shared" si="4"/>
        <v>65597.3</v>
      </c>
      <c r="K34">
        <f t="shared" si="5"/>
        <v>2026</v>
      </c>
      <c r="L34">
        <f t="shared" ca="1" si="6"/>
        <v>7429.7333333333336</v>
      </c>
      <c r="M34">
        <f>C34*_xlfn.XLOOKUP(A34,FX!$A$2:$A$37,FX!$C$2:$C$37)</f>
        <v>7973.4629600000017</v>
      </c>
      <c r="N34">
        <f>C34*(1+Control!$B$4)^(A34/12)</f>
        <v>8114.7217586596907</v>
      </c>
      <c r="O34">
        <f t="shared" si="7"/>
        <v>4</v>
      </c>
      <c r="P34">
        <f t="shared" si="8"/>
        <v>140.10000000000036</v>
      </c>
      <c r="Q34">
        <f t="shared" si="9"/>
        <v>0.60384283778790493</v>
      </c>
      <c r="R34">
        <f t="shared" si="10"/>
        <v>0.53</v>
      </c>
      <c r="S34" t="str">
        <f t="shared" si="11"/>
        <v>in linea</v>
      </c>
      <c r="T34" t="str">
        <f t="shared" si="12"/>
        <v>T3-2026</v>
      </c>
      <c r="U34">
        <f t="shared" si="13"/>
        <v>7229.833333333333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7537.9</v>
      </c>
      <c r="D35">
        <f>SUMIFS(Data!$F$2:$F$5761,Data!$A$2:$A$5761,Control!$B$2,Data!$B$2:$B$5761,A35)</f>
        <v>407.57000000000005</v>
      </c>
      <c r="E35">
        <f>SUMIFS(Data!$G$2:$G$5761,Data!$A$2:$A$5761,Control!$B$2,Data!$B$2:$B$5761,A35)</f>
        <v>247.45999999999998</v>
      </c>
      <c r="F35">
        <f>SUMIFS(Data!$H$2:$H$5761,Data!$A$2:$A$5761,Control!$B$2,Data!$B$2:$B$5761,A35)</f>
        <v>746</v>
      </c>
      <c r="G35">
        <f t="shared" si="2"/>
        <v>160.11000000000007</v>
      </c>
      <c r="H35" cm="1">
        <f t="array" ref="H35">INDEX(Budget!$B$2:$AK$21,Control!$B$6,MATCH(A35,Budget!$B$1:$AK$1,0))</f>
        <v>7732</v>
      </c>
      <c r="I35">
        <f t="shared" si="3"/>
        <v>-2.5103466114847484E-2</v>
      </c>
      <c r="J35">
        <f t="shared" si="4"/>
        <v>73135.199999999997</v>
      </c>
      <c r="K35">
        <f t="shared" si="5"/>
        <v>2026</v>
      </c>
      <c r="L35">
        <f t="shared" ca="1" si="6"/>
        <v>7453.4000000000005</v>
      </c>
      <c r="M35">
        <f>C35*_xlfn.XLOOKUP(A35,FX!$A$2:$A$37,FX!$C$2:$C$37)</f>
        <v>8089.6742799999993</v>
      </c>
      <c r="N35">
        <f>C35*(1+Control!$B$4)^(A35/12)</f>
        <v>8196.3879909914522</v>
      </c>
      <c r="O35">
        <f t="shared" si="7"/>
        <v>3</v>
      </c>
      <c r="P35">
        <f t="shared" si="8"/>
        <v>56.699999999998909</v>
      </c>
      <c r="Q35">
        <f t="shared" si="9"/>
        <v>0.60715950634246862</v>
      </c>
      <c r="R35">
        <f t="shared" si="10"/>
        <v>0.55000000000000004</v>
      </c>
      <c r="S35" t="str">
        <f t="shared" si="11"/>
        <v>in linea</v>
      </c>
      <c r="T35" t="str">
        <f t="shared" si="12"/>
        <v>T4-2026</v>
      </c>
      <c r="U35">
        <f t="shared" si="13"/>
        <v>7280.45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7584.2999999999993</v>
      </c>
      <c r="D36">
        <f>SUMIFS(Data!$F$2:$F$5761,Data!$A$2:$A$5761,Control!$B$2,Data!$B$2:$B$5761,A36)</f>
        <v>411.28000000000003</v>
      </c>
      <c r="E36">
        <f>SUMIFS(Data!$G$2:$G$5761,Data!$A$2:$A$5761,Control!$B$2,Data!$B$2:$B$5761,A36)</f>
        <v>250.1</v>
      </c>
      <c r="F36">
        <f>SUMIFS(Data!$H$2:$H$5761,Data!$A$2:$A$5761,Control!$B$2,Data!$B$2:$B$5761,A36)</f>
        <v>758</v>
      </c>
      <c r="G36">
        <f t="shared" si="2"/>
        <v>161.18000000000004</v>
      </c>
      <c r="H36" cm="1">
        <f t="array" ref="H36">INDEX(Budget!$B$2:$AK$21,Control!$B$6,MATCH(A36,Budget!$B$1:$AK$1,0))</f>
        <v>7785</v>
      </c>
      <c r="I36">
        <f t="shared" si="3"/>
        <v>-2.5780346820809319E-2</v>
      </c>
      <c r="J36">
        <f t="shared" si="4"/>
        <v>80719.5</v>
      </c>
      <c r="K36">
        <f t="shared" si="5"/>
        <v>2026</v>
      </c>
      <c r="L36">
        <f t="shared" ca="1" si="6"/>
        <v>7534.4666666666672</v>
      </c>
      <c r="M36">
        <f>C36*_xlfn.XLOOKUP(A36,FX!$A$2:$A$37,FX!$C$2:$C$37)</f>
        <v>8189.5271400000001</v>
      </c>
      <c r="N36">
        <f>C36*(1+Control!$B$4)^(A36/12)</f>
        <v>8267.1802892504384</v>
      </c>
      <c r="O36">
        <f t="shared" si="7"/>
        <v>2</v>
      </c>
      <c r="P36">
        <f t="shared" si="8"/>
        <v>46.399999999999636</v>
      </c>
      <c r="Q36">
        <f t="shared" si="9"/>
        <v>0.60810153666601818</v>
      </c>
      <c r="R36">
        <f t="shared" si="10"/>
        <v>0.54</v>
      </c>
      <c r="S36" t="str">
        <f t="shared" si="11"/>
        <v>in linea</v>
      </c>
      <c r="T36" t="str">
        <f t="shared" si="12"/>
        <v>T4-2026</v>
      </c>
      <c r="U36">
        <f t="shared" si="13"/>
        <v>7321.9749999999995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7595.8000000000011</v>
      </c>
      <c r="D37">
        <f>SUMIFS(Data!$F$2:$F$5761,Data!$A$2:$A$5761,Control!$B$2,Data!$B$2:$B$5761,A37)</f>
        <v>411.70000000000005</v>
      </c>
      <c r="E37">
        <f>SUMIFS(Data!$G$2:$G$5761,Data!$A$2:$A$5761,Control!$B$2,Data!$B$2:$B$5761,A37)</f>
        <v>249.94</v>
      </c>
      <c r="F37">
        <f>SUMIFS(Data!$H$2:$H$5761,Data!$A$2:$A$5761,Control!$B$2,Data!$B$2:$B$5761,A37)</f>
        <v>700</v>
      </c>
      <c r="G37">
        <f t="shared" si="2"/>
        <v>161.76000000000005</v>
      </c>
      <c r="H37" cm="1">
        <f t="array" ref="H37">INDEX(Budget!$B$2:$AK$21,Control!$B$6,MATCH(A37,Budget!$B$1:$AK$1,0))</f>
        <v>7838</v>
      </c>
      <c r="I37">
        <f t="shared" si="3"/>
        <v>-3.0900739984689785E-2</v>
      </c>
      <c r="J37">
        <f t="shared" si="4"/>
        <v>88315.3</v>
      </c>
      <c r="K37">
        <f t="shared" si="5"/>
        <v>2026</v>
      </c>
      <c r="L37">
        <f t="shared" ca="1" si="6"/>
        <v>7572.666666666667</v>
      </c>
      <c r="M37">
        <f>C37*_xlfn.XLOOKUP(A37,FX!$A$2:$A$37,FX!$C$2:$C$37)</f>
        <v>8243.7217400000009</v>
      </c>
      <c r="N37">
        <f>C37*(1+Control!$B$4)^(A37/12)</f>
        <v>8300.1357466000009</v>
      </c>
      <c r="O37">
        <f t="shared" si="7"/>
        <v>1</v>
      </c>
      <c r="P37">
        <f t="shared" si="8"/>
        <v>11.500000000001819</v>
      </c>
      <c r="Q37">
        <f t="shared" si="9"/>
        <v>0.6070925431139178</v>
      </c>
      <c r="R37">
        <f t="shared" si="10"/>
        <v>0.59</v>
      </c>
      <c r="S37" t="str">
        <f t="shared" si="11"/>
        <v>in linea</v>
      </c>
      <c r="T37" t="str">
        <f t="shared" si="12"/>
        <v>T4-2026</v>
      </c>
      <c r="U37">
        <f t="shared" si="13"/>
        <v>7359.6083333333336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>&lt;&lt;</v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/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373.5</v>
      </c>
      <c r="C2">
        <f>SUMIFS(Data!$F$2:$F$5761,Data!$A$2:$A$5761,Control!$B$2,Data!$B$2:$B$5761,Control!$B$3,Data!$C$2:$C$5761,A2)</f>
        <v>17.71</v>
      </c>
      <c r="D2">
        <f>SUMIFS(Data!$G$2:$G$5761,Data!$A$2:$A$5761,Control!$B$2,Data!$B$2:$B$5761,Control!$B$3,Data!$C$2:$C$5761,A2)</f>
        <v>10.5</v>
      </c>
      <c r="E2">
        <f t="shared" ref="E2:E9" si="0">C2-D2</f>
        <v>7.2100000000000009</v>
      </c>
      <c r="F2">
        <f>VLOOKUP(A2,Products!$A$2:$C$9,3,FALSE)</f>
        <v>0.6</v>
      </c>
      <c r="G2">
        <f t="shared" ref="G2:G9" si="1">E2*F2</f>
        <v>4.3260000000000005</v>
      </c>
      <c r="H2">
        <f t="shared" ref="H2:H9" si="2">B2/SUM($B$2:$B$9)</f>
        <v>5.0783162016642194E-2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2365.4</v>
      </c>
      <c r="K2">
        <f>SUMIFS(Data!$E$2:$E$5761,Data!$C$2:$C$5761,A2,Data!$B$2:$B$5761,Control!$B$3)</f>
        <v>20838.499999999996</v>
      </c>
      <c r="L2">
        <f t="shared" ref="L2:L9" si="4">B2/K2</f>
        <v>1.7923554958370329E-2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233</v>
      </c>
      <c r="O2" cm="1">
        <f t="array" ref="O2">INDEX(Data!$E$2:$E$5761,N2)</f>
        <v>373.5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521.70000000000005</v>
      </c>
      <c r="C3">
        <f>SUMIFS(Data!$F$2:$F$5761,Data!$A$2:$A$5761,Control!$B$2,Data!$B$2:$B$5761,Control!$B$3,Data!$C$2:$C$5761,A3)</f>
        <v>24.79</v>
      </c>
      <c r="D3">
        <f>SUMIFS(Data!$G$2:$G$5761,Data!$A$2:$A$5761,Control!$B$2,Data!$B$2:$B$5761,Control!$B$3,Data!$C$2:$C$5761,A3)</f>
        <v>15.86</v>
      </c>
      <c r="E3">
        <f t="shared" si="0"/>
        <v>8.93</v>
      </c>
      <c r="F3">
        <f>VLOOKUP(A3,Products!$A$2:$C$9,3,FALSE)</f>
        <v>0.65</v>
      </c>
      <c r="G3">
        <f t="shared" si="1"/>
        <v>5.8045</v>
      </c>
      <c r="H3">
        <f t="shared" si="2"/>
        <v>7.0933268069831953E-2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3135.5</v>
      </c>
      <c r="K3">
        <f>SUMIFS(Data!$E$2:$E$5761,Data!$C$2:$C$5761,A3,Data!$B$2:$B$5761,Control!$B$3)</f>
        <v>28660.2</v>
      </c>
      <c r="L3">
        <f t="shared" si="4"/>
        <v>1.8202943454686291E-2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234</v>
      </c>
      <c r="O3" cm="1">
        <f t="array" ref="O3">INDEX(Data!$E$2:$E$5761,N3)</f>
        <v>521.70000000000005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723.2</v>
      </c>
      <c r="C4">
        <f>SUMIFS(Data!$F$2:$F$5761,Data!$A$2:$A$5761,Control!$B$2,Data!$B$2:$B$5761,Control!$B$3,Data!$C$2:$C$5761,A4)</f>
        <v>35.729999999999997</v>
      </c>
      <c r="D4">
        <f>SUMIFS(Data!$G$2:$G$5761,Data!$A$2:$A$5761,Control!$B$2,Data!$B$2:$B$5761,Control!$B$3,Data!$C$2:$C$5761,A4)</f>
        <v>22.61</v>
      </c>
      <c r="E4">
        <f t="shared" si="0"/>
        <v>13.119999999999997</v>
      </c>
      <c r="F4">
        <f>VLOOKUP(A4,Products!$A$2:$C$9,3,FALSE)</f>
        <v>0.7</v>
      </c>
      <c r="G4">
        <f t="shared" si="1"/>
        <v>9.1839999999999975</v>
      </c>
      <c r="H4">
        <f t="shared" si="2"/>
        <v>9.8330342089519768E-2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4130.1000000000004</v>
      </c>
      <c r="K4">
        <f>SUMIFS(Data!$E$2:$E$5761,Data!$C$2:$C$5761,A4,Data!$B$2:$B$5761,Control!$B$3)</f>
        <v>36478.399999999994</v>
      </c>
      <c r="L4">
        <f t="shared" si="4"/>
        <v>1.9825430939953512E-2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235</v>
      </c>
      <c r="O4" cm="1">
        <f t="array" ref="O4">INDEX(Data!$E$2:$E$5761,N4)</f>
        <v>723.2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868.1</v>
      </c>
      <c r="C5">
        <f>SUMIFS(Data!$F$2:$F$5761,Data!$A$2:$A$5761,Control!$B$2,Data!$B$2:$B$5761,Control!$B$3,Data!$C$2:$C$5761,A5)</f>
        <v>44.58</v>
      </c>
      <c r="D5">
        <f>SUMIFS(Data!$G$2:$G$5761,Data!$A$2:$A$5761,Control!$B$2,Data!$B$2:$B$5761,Control!$B$3,Data!$C$2:$C$5761,A5)</f>
        <v>27.91</v>
      </c>
      <c r="E5">
        <f t="shared" si="0"/>
        <v>16.669999999999998</v>
      </c>
      <c r="F5">
        <f>VLOOKUP(A5,Products!$A$2:$C$9,3,FALSE)</f>
        <v>0.75</v>
      </c>
      <c r="G5">
        <f t="shared" si="1"/>
        <v>12.502499999999998</v>
      </c>
      <c r="H5">
        <f t="shared" si="2"/>
        <v>0.11803176157067494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4973.8</v>
      </c>
      <c r="K5">
        <f>SUMIFS(Data!$E$2:$E$5761,Data!$C$2:$C$5761,A5,Data!$B$2:$B$5761,Control!$B$3)</f>
        <v>44314.299999999996</v>
      </c>
      <c r="L5">
        <f t="shared" si="4"/>
        <v>1.9589613285102104E-2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236</v>
      </c>
      <c r="O5" cm="1">
        <f t="array" ref="O5">INDEX(Data!$E$2:$E$5761,N5)</f>
        <v>868.1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1012.3</v>
      </c>
      <c r="C6">
        <f>SUMIFS(Data!$F$2:$F$5761,Data!$A$2:$A$5761,Control!$B$2,Data!$B$2:$B$5761,Control!$B$3,Data!$C$2:$C$5761,A6)</f>
        <v>54.57</v>
      </c>
      <c r="D6">
        <f>SUMIFS(Data!$G$2:$G$5761,Data!$A$2:$A$5761,Control!$B$2,Data!$B$2:$B$5761,Control!$B$3,Data!$C$2:$C$5761,A6)</f>
        <v>33.07</v>
      </c>
      <c r="E6">
        <f t="shared" si="0"/>
        <v>21.5</v>
      </c>
      <c r="F6">
        <f>VLOOKUP(A6,Products!$A$2:$C$9,3,FALSE)</f>
        <v>0.8</v>
      </c>
      <c r="G6">
        <f t="shared" si="1"/>
        <v>17.2</v>
      </c>
      <c r="H6">
        <f t="shared" si="2"/>
        <v>0.13763800511230759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5930.8</v>
      </c>
      <c r="K6">
        <f>SUMIFS(Data!$E$2:$E$5761,Data!$C$2:$C$5761,A6,Data!$B$2:$B$5761,Control!$B$3)</f>
        <v>52140</v>
      </c>
      <c r="L6">
        <f t="shared" si="4"/>
        <v>1.9415036440352897E-2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237</v>
      </c>
      <c r="O6" cm="1">
        <f t="array" ref="O6">INDEX(Data!$E$2:$E$5761,N6)</f>
        <v>1012.3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1160.2</v>
      </c>
      <c r="C7">
        <f>SUMIFS(Data!$F$2:$F$5761,Data!$A$2:$A$5761,Control!$B$2,Data!$B$2:$B$5761,Control!$B$3,Data!$C$2:$C$5761,A7)</f>
        <v>64.260000000000005</v>
      </c>
      <c r="D7">
        <f>SUMIFS(Data!$G$2:$G$5761,Data!$A$2:$A$5761,Control!$B$2,Data!$B$2:$B$5761,Control!$B$3,Data!$C$2:$C$5761,A7)</f>
        <v>39.14</v>
      </c>
      <c r="E7">
        <f t="shared" si="0"/>
        <v>25.120000000000005</v>
      </c>
      <c r="F7">
        <f>VLOOKUP(A7,Products!$A$2:$C$9,3,FALSE)</f>
        <v>0.85</v>
      </c>
      <c r="G7">
        <f t="shared" si="1"/>
        <v>21.352000000000004</v>
      </c>
      <c r="H7">
        <f t="shared" si="2"/>
        <v>0.15774732147713058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6766.6</v>
      </c>
      <c r="K7">
        <f>SUMIFS(Data!$E$2:$E$5761,Data!$C$2:$C$5761,A7,Data!$B$2:$B$5761,Control!$B$3)</f>
        <v>59931.599999999991</v>
      </c>
      <c r="L7">
        <f t="shared" si="4"/>
        <v>1.935873562527949E-2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238</v>
      </c>
      <c r="O7" cm="1">
        <f t="array" ref="O7">INDEX(Data!$E$2:$E$5761,N7)</f>
        <v>1160.2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1277.5999999999999</v>
      </c>
      <c r="C8">
        <f>SUMIFS(Data!$F$2:$F$5761,Data!$A$2:$A$5761,Control!$B$2,Data!$B$2:$B$5761,Control!$B$3,Data!$C$2:$C$5761,A8)</f>
        <v>73.290000000000006</v>
      </c>
      <c r="D8">
        <f>SUMIFS(Data!$G$2:$G$5761,Data!$A$2:$A$5761,Control!$B$2,Data!$B$2:$B$5761,Control!$B$3,Data!$C$2:$C$5761,A8)</f>
        <v>43.57</v>
      </c>
      <c r="E8">
        <f t="shared" si="0"/>
        <v>29.720000000000006</v>
      </c>
      <c r="F8">
        <f>VLOOKUP(A8,Products!$A$2:$C$9,3,FALSE)</f>
        <v>0.9</v>
      </c>
      <c r="G8">
        <f t="shared" si="1"/>
        <v>26.748000000000005</v>
      </c>
      <c r="H8">
        <f t="shared" si="2"/>
        <v>0.17370968619133081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7548.1</v>
      </c>
      <c r="K8">
        <f>SUMIFS(Data!$E$2:$E$5761,Data!$C$2:$C$5761,A8,Data!$B$2:$B$5761,Control!$B$3)</f>
        <v>67800.800000000003</v>
      </c>
      <c r="L8">
        <f t="shared" si="4"/>
        <v>1.8843435475687599E-2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239</v>
      </c>
      <c r="O8" cm="1">
        <f t="array" ref="O8">INDEX(Data!$E$2:$E$5761,N8)</f>
        <v>1277.5999999999999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1418.2</v>
      </c>
      <c r="C9">
        <f>SUMIFS(Data!$F$2:$F$5761,Data!$A$2:$A$5761,Control!$B$2,Data!$B$2:$B$5761,Control!$B$3,Data!$C$2:$C$5761,A9)</f>
        <v>84.5</v>
      </c>
      <c r="D9">
        <f>SUMIFS(Data!$G$2:$G$5761,Data!$A$2:$A$5761,Control!$B$2,Data!$B$2:$B$5761,Control!$B$3,Data!$C$2:$C$5761,A9)</f>
        <v>49.98</v>
      </c>
      <c r="E9">
        <f t="shared" si="0"/>
        <v>34.520000000000003</v>
      </c>
      <c r="F9">
        <f>VLOOKUP(A9,Products!$A$2:$C$9,3,FALSE)</f>
        <v>0.95</v>
      </c>
      <c r="G9">
        <f t="shared" si="1"/>
        <v>32.794000000000004</v>
      </c>
      <c r="H9">
        <f t="shared" si="2"/>
        <v>0.19282645347256214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8457.8000000000011</v>
      </c>
      <c r="K9">
        <f>SUMIFS(Data!$E$2:$E$5761,Data!$C$2:$C$5761,A9,Data!$B$2:$B$5761,Control!$B$3)</f>
        <v>75504.599999999991</v>
      </c>
      <c r="L9">
        <f t="shared" si="4"/>
        <v>1.8782961567904474E-2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240</v>
      </c>
      <c r="O9" cm="1">
        <f t="array" ref="O9">INDEX(Data!$E$2:$E$5761,N9)</f>
        <v>1418.2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</v>
      </c>
    </row>
    <row r="13" spans="1:9" x14ac:dyDescent="0.25">
      <c r="H13" t="s">
        <v>152</v>
      </c>
      <c r="I13">
        <f>AVERAGE(Calc_Product!B2:B9)</f>
        <v>919.35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1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1488.4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5941.5999999999995</v>
      </c>
      <c r="B30">
        <v>5956.6</v>
      </c>
      <c r="C30">
        <v>6061.7</v>
      </c>
      <c r="D30">
        <v>6103</v>
      </c>
      <c r="E30">
        <v>6242.9</v>
      </c>
      <c r="F30">
        <v>6214.5</v>
      </c>
      <c r="G30">
        <v>6269.5999999999985</v>
      </c>
      <c r="H30">
        <v>6280.5</v>
      </c>
      <c r="I30">
        <v>6318.1</v>
      </c>
      <c r="J30">
        <v>6434.7</v>
      </c>
      <c r="K30">
        <v>6396.1</v>
      </c>
      <c r="L30">
        <v>6551.1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7354.8</v>
      </c>
    </row>
    <row r="3" spans="1:2" x14ac:dyDescent="0.25">
      <c r="A3" t="s">
        <v>141</v>
      </c>
      <c r="B3">
        <f>B2*(1+Rate)</f>
        <v>7575.4440000000004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1765.152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Alpi / Centro</v>
      </c>
    </row>
    <row r="9" spans="1:2" x14ac:dyDescent="0.25">
      <c r="A9" t="s">
        <v>235</v>
      </c>
      <c r="B9" cm="1">
        <f t="array" ref="B9">VolSel</f>
        <v>7354.8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7354.8</v>
      </c>
    </row>
    <row r="3" spans="1:2" x14ac:dyDescent="0.25">
      <c r="A3" t="s">
        <v>237</v>
      </c>
      <c r="B3" cm="1">
        <f t="array" aca="1" ref="B3" ca="1">INDIRECT("'SLIDE Sintesi'!D5")</f>
        <v>7354.8</v>
      </c>
    </row>
    <row r="4" spans="1:2" x14ac:dyDescent="0.25">
      <c r="A4" t="s">
        <v>238</v>
      </c>
      <c r="B4">
        <f ca="1">SUM(INDIRECT("Calc_BankMonth!B"&amp;(Control!$B$6+2)&amp;":AK"&amp;(Control!$B$6+2)))</f>
        <v>244572.10000000003</v>
      </c>
    </row>
    <row r="5" spans="1:2" x14ac:dyDescent="0.25">
      <c r="A5" t="s">
        <v>239</v>
      </c>
      <c r="B5">
        <f ca="1">OFFSET(Calc_BankMonth!$A$2,Control!$B$6,Control!$B$3)</f>
        <v>7354.8</v>
      </c>
    </row>
    <row r="6" spans="1:2" x14ac:dyDescent="0.25">
      <c r="A6" t="s">
        <v>240</v>
      </c>
      <c r="B6">
        <f ca="1">SUM(OFFSET(Calc_Month!$C$1,Control!$B$3-2,0,3,1))</f>
        <v>21922.100000000002</v>
      </c>
    </row>
    <row r="7" spans="1:2" x14ac:dyDescent="0.25">
      <c r="A7" t="s">
        <v>241</v>
      </c>
      <c r="B7" cm="1">
        <f t="array" aca="1" ref="B7" ca="1">INDIRECT(ADDRESS(Control!$B$3+1,3,1,1,"Calc_Month"))</f>
        <v>7354.8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6.212633220691445E-2</v>
      </c>
      <c r="C2">
        <f>_xlfn.XLOOKUP(Control!B2,[1]Compare!$A$2:$A$21,[1]Compare!$E$2:$E$21)</f>
        <v>430.19999999999982</v>
      </c>
    </row>
    <row r="3" spans="1:3" x14ac:dyDescent="0.25">
      <c r="A3" t="s">
        <v>286</v>
      </c>
      <c r="B3">
        <f>[1]Summary!$B$3</f>
        <v>4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06%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4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1294.6546384812173</v>
      </c>
      <c r="I2" s="1">
        <f>H2+Calc_Dates!$J$2</f>
        <v>1325.6546384812173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1499.1500605897404</v>
      </c>
      <c r="I3" s="1">
        <f>H3+Calc_Dates!$J$2</f>
        <v>1530.1500605897404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1731.9661370674567</v>
      </c>
      <c r="I4" s="1">
        <f>H4+Calc_Dates!$J$2</f>
        <v>1762.9661370674567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1967.6030025582336</v>
      </c>
      <c r="I5" s="1">
        <f>H5+Calc_Dates!$J$2</f>
        <v>1998.6030025582336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2177.3916116870878</v>
      </c>
      <c r="I6" s="1">
        <f>H6+Calc_Dates!$J$2</f>
        <v>2208.3916116870878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2407.5164938737043</v>
      </c>
      <c r="I7" s="1">
        <f>H7+Calc_Dates!$J$2</f>
        <v>2438.5164938737043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2623.5306988016696</v>
      </c>
      <c r="I8" s="1">
        <f>H8+Calc_Dates!$J$2</f>
        <v>2654.5306988016696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2865.632152955433</v>
      </c>
      <c r="I9" s="1">
        <f>H9+Calc_Dates!$J$2</f>
        <v>2896.632152955433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3079.0123872357613</v>
      </c>
      <c r="I10" s="1">
        <f>H10+Calc_Dates!$J$2</f>
        <v>3110.0123872357613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3295.9909788609129</v>
      </c>
      <c r="I11" s="1">
        <f>H11+Calc_Dates!$J$2</f>
        <v>3326.9909788609129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3515.2046586777974</v>
      </c>
      <c r="I12" s="1">
        <f>H12+Calc_Dates!$J$2</f>
        <v>3546.2046586777974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3747.5545307661241</v>
      </c>
      <c r="I13" s="1">
        <f>H13+Calc_Dates!$J$2</f>
        <v>3778.5545307661241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3966.1791436650064</v>
      </c>
      <c r="I14" s="1">
        <f>H14+Calc_Dates!$J$2</f>
        <v>3997.1791436650064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4195.3396391544366</v>
      </c>
      <c r="I15" s="1">
        <f>H15+Calc_Dates!$J$2</f>
        <v>4226.3396391544366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4413.2455904133576</v>
      </c>
      <c r="I16" s="1">
        <f>H16+Calc_Dates!$J$2</f>
        <v>4444.2455904133576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4626.9944122795214</v>
      </c>
      <c r="I17" s="1">
        <f>H17+Calc_Dates!$J$2</f>
        <v>4657.9944122795214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4877.0735155513676</v>
      </c>
      <c r="I18" s="1">
        <f>H18+Calc_Dates!$J$2</f>
        <v>4908.0735155513676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5081.2643059108668</v>
      </c>
      <c r="I19" s="1">
        <f>H19+Calc_Dates!$J$2</f>
        <v>5112.2643059108668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5320.5230914231861</v>
      </c>
      <c r="I20" s="1">
        <f>H20+Calc_Dates!$J$2</f>
        <v>5351.5230914231861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5559.4452672680763</v>
      </c>
      <c r="I21" s="1">
        <f>H21+Calc_Dates!$J$2</f>
        <v>5590.4452672680763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7354.8</v>
      </c>
      <c r="C2" cm="1">
        <f t="array" ref="C2">INDEX(Calc_Month!$C$2:$C$37,Control!$B$13)</f>
        <v>7310.7000000000007</v>
      </c>
      <c r="D2">
        <f>B2-C2</f>
        <v>44.099999999999454</v>
      </c>
      <c r="E2">
        <f>IFERROR(D2/C2,0)</f>
        <v>6.0322540933152027E-3</v>
      </c>
    </row>
    <row r="3" spans="1:5" x14ac:dyDescent="0.25">
      <c r="A3" t="s">
        <v>5</v>
      </c>
      <c r="B3" cm="1">
        <f t="array" ref="B3">INDEX(Calc_Month!$D$2:$D$37,Control!$B$3)</f>
        <v>399.43</v>
      </c>
      <c r="C3" cm="1">
        <f t="array" ref="C3">INDEX(Calc_Month!$D$2:$D$37,Control!$B$13)</f>
        <v>397.70000000000005</v>
      </c>
      <c r="D3">
        <f>B3-C3</f>
        <v>1.7299999999999613</v>
      </c>
      <c r="E3">
        <f>IFERROR(D3/C3,0)</f>
        <v>4.3500125722905738E-3</v>
      </c>
    </row>
    <row r="4" spans="1:5" x14ac:dyDescent="0.25">
      <c r="A4" t="s">
        <v>6</v>
      </c>
      <c r="B4" cm="1">
        <f t="array" ref="B4">INDEX(Calc_Month!$E$2:$E$37,Control!$B$3)</f>
        <v>242.63999999999996</v>
      </c>
      <c r="C4" cm="1">
        <f t="array" ref="C4">INDEX(Calc_Month!$E$2:$E$37,Control!$B$13)</f>
        <v>241.54</v>
      </c>
      <c r="D4">
        <f>B4-C4</f>
        <v>1.0999999999999659</v>
      </c>
      <c r="E4">
        <f>IFERROR(D4/C4,0)</f>
        <v>4.5541111203111946E-3</v>
      </c>
    </row>
    <row r="5" spans="1:5" x14ac:dyDescent="0.25">
      <c r="A5" t="s">
        <v>10</v>
      </c>
      <c r="B5" cm="1">
        <f t="array" ref="B5">INDEX(Calc_Month!$G$2:$G$37,Control!$B$3)</f>
        <v>156.79000000000005</v>
      </c>
      <c r="C5" cm="1">
        <f t="array" ref="C5">INDEX(Calc_Month!$G$2:$G$37,Control!$B$13)</f>
        <v>156.16000000000005</v>
      </c>
      <c r="D5">
        <f>B5-C5</f>
        <v>0.62999999999999545</v>
      </c>
      <c r="E5">
        <f>IFERROR(D5/C5,0)</f>
        <v>4.0343237704917731E-3</v>
      </c>
    </row>
    <row r="6" spans="1:5" x14ac:dyDescent="0.25">
      <c r="A6" t="s">
        <v>7</v>
      </c>
      <c r="B6" cm="1">
        <f t="array" ref="B6">INDEX(Calc_Month!$F$2:$F$37,Control!$B$3)</f>
        <v>730</v>
      </c>
      <c r="C6" cm="1">
        <f t="array" ref="C6">INDEX(Calc_Month!$F$2:$F$37,Control!$B$13)</f>
        <v>749</v>
      </c>
      <c r="D6">
        <f>B6-C6</f>
        <v>-19</v>
      </c>
      <c r="E6">
        <f>IFERROR(D6/C6,0)</f>
        <v>-2.5367156208277702E-2</v>
      </c>
    </row>
    <row r="7" spans="1:5" x14ac:dyDescent="0.25">
      <c r="A7" t="s">
        <v>136</v>
      </c>
      <c r="B7" cm="1">
        <f t="array" ref="B7">INDEX(Calc_Month!$H$2:$H$37,Control!$B$3)</f>
        <v>7518</v>
      </c>
      <c r="C7">
        <f t="shared" ref="C7:C19" si="0">IF(ISNUMBER(B7),ROUND(B7,2),B7)</f>
        <v>7518</v>
      </c>
    </row>
    <row r="8" spans="1:5" x14ac:dyDescent="0.25">
      <c r="A8" t="s">
        <v>142</v>
      </c>
      <c r="B8">
        <f>_xlfn.XLOOKUP(Control!$B$2,Calc_Bank!$A$2:$A$21,Calc_Bank!$L$2:$L$21)</f>
        <v>20</v>
      </c>
      <c r="C8">
        <f t="shared" si="0"/>
        <v>20</v>
      </c>
    </row>
    <row r="9" spans="1:5" x14ac:dyDescent="0.25">
      <c r="A9" t="s">
        <v>150</v>
      </c>
      <c r="B9">
        <f>_xlfn.XLOOKUP(Control!$B$2,Calc_Bank!$A$2:$A$21,Calc_Bank!$K$2:$K$21)</f>
        <v>1.9070268655663778E-2</v>
      </c>
      <c r="C9">
        <f t="shared" si="0"/>
        <v>0.02</v>
      </c>
    </row>
    <row r="10" spans="1:5" x14ac:dyDescent="0.25">
      <c r="A10" t="s">
        <v>161</v>
      </c>
      <c r="B10" cm="1">
        <f t="array" ref="B10">INDEX(Calc_Month!$J$2:$J$37,Control!$B$3)</f>
        <v>43308.100000000006</v>
      </c>
      <c r="C10">
        <f t="shared" si="0"/>
        <v>43308.1</v>
      </c>
    </row>
    <row r="11" spans="1:5" x14ac:dyDescent="0.25">
      <c r="A11" t="s">
        <v>141</v>
      </c>
      <c r="B11" cm="1">
        <f t="array" ref="B11">INDEX(Calc_Scenario!$B$3:$AK$22,Control!$B$6,Control!$B$3)</f>
        <v>8249.8923619933339</v>
      </c>
      <c r="C11">
        <f t="shared" si="0"/>
        <v>8249.89</v>
      </c>
    </row>
    <row r="12" spans="1:5" x14ac:dyDescent="0.25">
      <c r="A12" t="s">
        <v>257</v>
      </c>
      <c r="B12">
        <f>_xlfn.XLOOKUP(Control!$B$8,Calc_Region!$A$2:$A$6,Calc_Region!$K$2:$K$6)</f>
        <v>0.13131125080509576</v>
      </c>
      <c r="C12">
        <f t="shared" si="0"/>
        <v>0.13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1325.6546384812173</v>
      </c>
      <c r="C14">
        <f t="shared" si="0"/>
        <v>1325.65</v>
      </c>
    </row>
    <row r="15" spans="1:5" x14ac:dyDescent="0.25">
      <c r="A15" t="s">
        <v>260</v>
      </c>
      <c r="B15" cm="1">
        <f t="array" ref="B15">INDEX(Calc_Growth!$AM$3:$AM$22,Control!$B$6)</f>
        <v>7.0983020022585865E-3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Alpi (B101) - giugno 2026</v>
      </c>
      <c r="C17" t="str">
        <f t="shared" si="0"/>
        <v>Banca Alpi (B101) - giugno 2026</v>
      </c>
    </row>
    <row r="18" spans="1:3" x14ac:dyDescent="0.25">
      <c r="A18" t="s">
        <v>147</v>
      </c>
      <c r="B18" cm="1">
        <f t="array" ref="B18">INDEX(Calc_Month!$U$2:$U$37,Control!$B$3)</f>
        <v>7072.8416666666672</v>
      </c>
      <c r="C18">
        <f t="shared" si="0"/>
        <v>7072.84</v>
      </c>
    </row>
    <row r="19" spans="1:3" x14ac:dyDescent="0.25">
      <c r="A19" t="s">
        <v>262</v>
      </c>
      <c r="B19" cm="1">
        <f t="array" aca="1" ref="B19" ca="1">INDEX(Calc_Month!$L$2:$L$37,Control!$B$3)</f>
        <v>7307.3666666666677</v>
      </c>
      <c r="C19">
        <f t="shared" ca="1" si="0"/>
        <v>7307.37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Alpi (B101)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7354.8</v>
      </c>
      <c r="E5" s="3">
        <f>Calc_Summary!C2</f>
        <v>7310.7000000000007</v>
      </c>
      <c r="F5" s="3">
        <f t="shared" ref="F5:F9" si="0">D5-E5</f>
        <v>44.099999999999454</v>
      </c>
      <c r="G5" s="2">
        <f t="shared" ref="G5:G9" si="1">IFERROR(F5/E5,"-")</f>
        <v>6.0322540933152027E-3</v>
      </c>
    </row>
    <row r="6" spans="2:8" x14ac:dyDescent="0.25">
      <c r="C6" t="s">
        <v>5</v>
      </c>
      <c r="D6" s="3">
        <f>Calc_Summary!B3</f>
        <v>399.43</v>
      </c>
      <c r="E6" s="3">
        <f>Calc_Summary!C3</f>
        <v>397.70000000000005</v>
      </c>
      <c r="F6" s="3">
        <f t="shared" si="0"/>
        <v>1.7299999999999613</v>
      </c>
      <c r="G6" s="2">
        <f t="shared" si="1"/>
        <v>4.3500125722905738E-3</v>
      </c>
    </row>
    <row r="7" spans="2:8" x14ac:dyDescent="0.25">
      <c r="C7" t="s">
        <v>6</v>
      </c>
      <c r="D7" s="3">
        <f>Calc_Summary!B4</f>
        <v>242.63999999999996</v>
      </c>
      <c r="E7" s="3">
        <f>Calc_Summary!C4</f>
        <v>241.54</v>
      </c>
      <c r="F7" s="3">
        <f t="shared" si="0"/>
        <v>1.0999999999999659</v>
      </c>
      <c r="G7" s="2">
        <f t="shared" si="1"/>
        <v>4.5541111203111946E-3</v>
      </c>
    </row>
    <row r="8" spans="2:8" x14ac:dyDescent="0.25">
      <c r="C8" t="s">
        <v>10</v>
      </c>
      <c r="D8" s="3">
        <f>Calc_Summary!B5</f>
        <v>156.79000000000005</v>
      </c>
      <c r="E8" s="3">
        <f>Calc_Summary!C5</f>
        <v>156.16000000000005</v>
      </c>
      <c r="F8" s="3">
        <f t="shared" si="0"/>
        <v>0.62999999999999545</v>
      </c>
      <c r="G8" s="2">
        <f t="shared" si="1"/>
        <v>4.0343237704917731E-3</v>
      </c>
    </row>
    <row r="9" spans="2:8" x14ac:dyDescent="0.25">
      <c r="C9" t="s">
        <v>7</v>
      </c>
      <c r="D9" s="3">
        <f>Calc_Summary!B6</f>
        <v>730</v>
      </c>
      <c r="E9" s="3">
        <f>Calc_Summary!C6</f>
        <v>749</v>
      </c>
      <c r="F9" s="3">
        <f t="shared" si="0"/>
        <v>-19</v>
      </c>
      <c r="G9" s="2">
        <f t="shared" si="1"/>
        <v>-2.5367156208277702E-2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Alpi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373.5</v>
      </c>
      <c r="F5">
        <f>Calc_Product!E2</f>
        <v>7.2100000000000009</v>
      </c>
      <c r="G5">
        <f>Calc_Product!H2</f>
        <v>5.0783162016642194E-2</v>
      </c>
      <c r="H5">
        <f>Calc_Product!L2</f>
        <v>1.7923554958370329E-2</v>
      </c>
      <c r="I5">
        <f>Calc_Product!J2</f>
        <v>2365.4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521.70000000000005</v>
      </c>
      <c r="F6">
        <f>Calc_Product!E3</f>
        <v>8.93</v>
      </c>
      <c r="G6">
        <f>Calc_Product!H3</f>
        <v>7.0933268069831953E-2</v>
      </c>
      <c r="H6">
        <f>Calc_Product!L3</f>
        <v>1.8202943454686291E-2</v>
      </c>
      <c r="I6">
        <f>Calc_Product!J3</f>
        <v>3135.5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723.2</v>
      </c>
      <c r="F7">
        <f>Calc_Product!E4</f>
        <v>13.119999999999997</v>
      </c>
      <c r="G7">
        <f>Calc_Product!H4</f>
        <v>9.8330342089519768E-2</v>
      </c>
      <c r="H7">
        <f>Calc_Product!L4</f>
        <v>1.9825430939953512E-2</v>
      </c>
      <c r="I7">
        <f>Calc_Product!J4</f>
        <v>4130.1000000000004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868.1</v>
      </c>
      <c r="F8">
        <f>Calc_Product!E5</f>
        <v>16.669999999999998</v>
      </c>
      <c r="G8">
        <f>Calc_Product!H5</f>
        <v>0.11803176157067494</v>
      </c>
      <c r="H8">
        <f>Calc_Product!L5</f>
        <v>1.9589613285102104E-2</v>
      </c>
      <c r="I8">
        <f>Calc_Product!J5</f>
        <v>4973.8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1012.3</v>
      </c>
      <c r="F9">
        <f>Calc_Product!E6</f>
        <v>21.5</v>
      </c>
      <c r="G9">
        <f>Calc_Product!H6</f>
        <v>0.13763800511230759</v>
      </c>
      <c r="H9">
        <f>Calc_Product!L6</f>
        <v>1.9415036440352897E-2</v>
      </c>
      <c r="I9">
        <f>Calc_Product!J6</f>
        <v>5930.8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1160.2</v>
      </c>
      <c r="F10">
        <f>Calc_Product!E7</f>
        <v>25.120000000000005</v>
      </c>
      <c r="G10">
        <f>Calc_Product!H7</f>
        <v>0.15774732147713058</v>
      </c>
      <c r="H10">
        <f>Calc_Product!L7</f>
        <v>1.935873562527949E-2</v>
      </c>
      <c r="I10">
        <f>Calc_Product!J7</f>
        <v>6766.6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1277.5999999999999</v>
      </c>
      <c r="F11">
        <f>Calc_Product!E8</f>
        <v>29.720000000000006</v>
      </c>
      <c r="G11">
        <f>Calc_Product!H8</f>
        <v>0.17370968619133081</v>
      </c>
      <c r="H11">
        <f>Calc_Product!L8</f>
        <v>1.8843435475687599E-2</v>
      </c>
      <c r="I11">
        <f>Calc_Product!J8</f>
        <v>7548.1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1418.2</v>
      </c>
      <c r="F12">
        <f>Calc_Product!E9</f>
        <v>34.520000000000003</v>
      </c>
      <c r="G12">
        <f>Calc_Product!H9</f>
        <v>0.19282645347256214</v>
      </c>
      <c r="H12">
        <f>Calc_Product!L9</f>
        <v>1.8782961567904474E-2</v>
      </c>
      <c r="I12">
        <f>Calc_Product!J9</f>
        <v>8457.8000000000011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Alpi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7026.5000000000009</v>
      </c>
      <c r="E5" cm="1">
        <f t="array" ref="E5">INDEX(Budget!$B$2:$AK$21,Control!$B$6,MATCH(C5,Budget!$B$1:$AK$1,0))</f>
        <v>7252</v>
      </c>
      <c r="F5">
        <f>HLOOKUP(C5,Budget!$B$1:$AK$21,Control!$B$6+1,FALSE)</f>
        <v>7252</v>
      </c>
      <c r="G5">
        <f t="shared" ref="G5:G10" si="0">IFERROR(D5/E5-1,0)</f>
        <v>-3.1094870380584561E-2</v>
      </c>
      <c r="H5" cm="1">
        <f t="array" ref="H5">INDEX(Budget!$B$25:$AK$44,MATCH(Control!$B$2,Budget!$A$25:$A$44,0),C5)</f>
        <v>377.1</v>
      </c>
    </row>
    <row r="6" spans="2:9" x14ac:dyDescent="0.25">
      <c r="C6">
        <f>Control!$B$3-6+ROW()-4</f>
        <v>26</v>
      </c>
      <c r="D6" cm="1">
        <f t="array" ref="D6">INDEX(Calc_Month!$C$2:$C$37,C6)</f>
        <v>7134</v>
      </c>
      <c r="E6" cm="1">
        <f t="array" ref="E6">INDEX(Budget!$B$2:$AK$21,Control!$B$6,MATCH(C6,Budget!$B$1:$AK$1,0))</f>
        <v>7305</v>
      </c>
      <c r="F6">
        <f>HLOOKUP(C6,Budget!$B$1:$AK$21,Control!$B$6+1,FALSE)</f>
        <v>7305</v>
      </c>
      <c r="G6">
        <f t="shared" si="0"/>
        <v>-2.3408624229979469E-2</v>
      </c>
      <c r="H6" cm="1">
        <f t="array" ref="H6">INDEX(Budget!$B$25:$AK$44,MATCH(Control!$B$2,Budget!$A$25:$A$44,0),C6)</f>
        <v>379.9</v>
      </c>
    </row>
    <row r="7" spans="2:9" x14ac:dyDescent="0.25">
      <c r="C7">
        <f>Control!$B$3-6+ROW()-4</f>
        <v>27</v>
      </c>
      <c r="D7" cm="1">
        <f t="array" ref="D7">INDEX(Calc_Month!$C$2:$C$37,C7)</f>
        <v>7225.5</v>
      </c>
      <c r="E7" cm="1">
        <f t="array" ref="E7">INDEX(Budget!$B$2:$AK$21,Control!$B$6,MATCH(C7,Budget!$B$1:$AK$1,0))</f>
        <v>7359</v>
      </c>
      <c r="F7">
        <f>HLOOKUP(C7,Budget!$B$1:$AK$21,Control!$B$6+1,FALSE)</f>
        <v>7359</v>
      </c>
      <c r="G7">
        <f t="shared" si="0"/>
        <v>-1.8141051773338801E-2</v>
      </c>
      <c r="H7" cm="1">
        <f t="array" ref="H7">INDEX(Budget!$B$25:$AK$44,MATCH(Control!$B$2,Budget!$A$25:$A$44,0),C7)</f>
        <v>382.6</v>
      </c>
    </row>
    <row r="8" spans="2:9" x14ac:dyDescent="0.25">
      <c r="C8">
        <f>Control!$B$3-6+ROW()-4</f>
        <v>28</v>
      </c>
      <c r="D8" cm="1">
        <f t="array" ref="D8">INDEX(Calc_Month!$C$2:$C$37,C8)</f>
        <v>7256.6</v>
      </c>
      <c r="E8" cm="1">
        <f t="array" ref="E8">INDEX(Budget!$B$2:$AK$21,Control!$B$6,MATCH(C8,Budget!$B$1:$AK$1,0))</f>
        <v>7412</v>
      </c>
      <c r="F8">
        <f>HLOOKUP(C8,Budget!$B$1:$AK$21,Control!$B$6+1,FALSE)</f>
        <v>7412</v>
      </c>
      <c r="G8">
        <f t="shared" si="0"/>
        <v>-2.0966001079330776E-2</v>
      </c>
      <c r="H8" cm="1">
        <f t="array" ref="H8">INDEX(Budget!$B$25:$AK$44,MATCH(Control!$B$2,Budget!$A$25:$A$44,0),C8)</f>
        <v>385.4</v>
      </c>
    </row>
    <row r="9" spans="2:9" x14ac:dyDescent="0.25">
      <c r="C9">
        <f>Control!$B$3-6+ROW()-4</f>
        <v>29</v>
      </c>
      <c r="D9" cm="1">
        <f t="array" ref="D9">INDEX(Calc_Month!$C$2:$C$37,C9)</f>
        <v>7310.7000000000007</v>
      </c>
      <c r="E9" cm="1">
        <f t="array" ref="E9">INDEX(Budget!$B$2:$AK$21,Control!$B$6,MATCH(C9,Budget!$B$1:$AK$1,0))</f>
        <v>7465</v>
      </c>
      <c r="F9">
        <f>HLOOKUP(C9,Budget!$B$1:$AK$21,Control!$B$6+1,FALSE)</f>
        <v>7465</v>
      </c>
      <c r="G9">
        <f t="shared" si="0"/>
        <v>-2.0669792364366946E-2</v>
      </c>
      <c r="H9" cm="1">
        <f t="array" ref="H9">INDEX(Budget!$B$25:$AK$44,MATCH(Control!$B$2,Budget!$A$25:$A$44,0),C9)</f>
        <v>388.2</v>
      </c>
    </row>
    <row r="10" spans="2:9" x14ac:dyDescent="0.25">
      <c r="C10">
        <f>Control!$B$3-6+ROW()-4</f>
        <v>30</v>
      </c>
      <c r="D10" cm="1">
        <f t="array" ref="D10">INDEX(Calc_Month!$C$2:$C$37,C10)</f>
        <v>7354.8</v>
      </c>
      <c r="E10" cm="1">
        <f t="array" ref="E10">INDEX(Budget!$B$2:$AK$21,Control!$B$6,MATCH(C10,Budget!$B$1:$AK$1,0))</f>
        <v>7518</v>
      </c>
      <c r="F10">
        <f>HLOOKUP(C10,Budget!$B$1:$AK$21,Control!$B$6+1,FALSE)</f>
        <v>7518</v>
      </c>
      <c r="G10">
        <f t="shared" si="0"/>
        <v>-2.1707901037509969E-2</v>
      </c>
      <c r="H10" cm="1">
        <f t="array" ref="H10">INDEX(Budget!$B$25:$AK$44,MATCH(Control!$B$2,Budget!$A$25:$A$44,0),C10)</f>
        <v>391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Alpi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7026.5000000000009</v>
      </c>
      <c r="E5">
        <f>D5*VLOOKUP(C5,FX!$A$2:$E$37,3,FALSE)</f>
        <v>7125.5736500000012</v>
      </c>
      <c r="F5">
        <f>D5*_xlfn.XLOOKUP(C5,FX!$A$2:$A$37,FX!$D$2:$D$37)</f>
        <v>6042.7900000000009</v>
      </c>
      <c r="G5" cm="1">
        <f t="array" ref="G5">D5*INDEX(FX!$E$2:$E$37,C5)</f>
        <v>6323.8500000000013</v>
      </c>
    </row>
    <row r="6" spans="2:8" x14ac:dyDescent="0.25">
      <c r="C6">
        <f>Control!$B$3-6+ROW()-4</f>
        <v>26</v>
      </c>
      <c r="D6" cm="1">
        <f t="array" ref="D6">INDEX(Calc_Month!$C$2:$C$37,C6)</f>
        <v>7134</v>
      </c>
      <c r="E6">
        <f>D6*VLOOKUP(C6,FX!$A$2:$E$37,3,FALSE)</f>
        <v>7257.418200000001</v>
      </c>
      <c r="F6">
        <f>D6*_xlfn.XLOOKUP(C6,FX!$A$2:$A$37,FX!$D$2:$D$37)</f>
        <v>6133.8132000000005</v>
      </c>
      <c r="G6" cm="1">
        <f t="array" ref="G6">D6*INDEX(FX!$E$2:$E$37,C6)</f>
        <v>6406.3320000000003</v>
      </c>
    </row>
    <row r="7" spans="2:8" x14ac:dyDescent="0.25">
      <c r="C7">
        <f>Control!$B$3-6+ROW()-4</f>
        <v>27</v>
      </c>
      <c r="D7" cm="1">
        <f t="array" ref="D7">INDEX(Calc_Month!$C$2:$C$37,C7)</f>
        <v>7225.5</v>
      </c>
      <c r="E7">
        <f>D7*VLOOKUP(C7,FX!$A$2:$E$37,3,FALSE)</f>
        <v>7383.0159000000003</v>
      </c>
      <c r="F7">
        <f>D7*_xlfn.XLOOKUP(C7,FX!$A$2:$A$37,FX!$D$2:$D$37)</f>
        <v>6205.9819500000003</v>
      </c>
      <c r="G7" cm="1">
        <f t="array" ref="G7">D7*INDEX(FX!$E$2:$E$37,C7)</f>
        <v>6474.0479999999998</v>
      </c>
    </row>
    <row r="8" spans="2:8" x14ac:dyDescent="0.25">
      <c r="C8">
        <f>Control!$B$3-6+ROW()-4</f>
        <v>28</v>
      </c>
      <c r="D8" cm="1">
        <f t="array" ref="D8">INDEX(Calc_Month!$C$2:$C$37,C8)</f>
        <v>7256.6</v>
      </c>
      <c r="E8">
        <f>D8*VLOOKUP(C8,FX!$A$2:$E$37,3,FALSE)</f>
        <v>7456.156500000001</v>
      </c>
      <c r="F8">
        <f>D8*_xlfn.XLOOKUP(C8,FX!$A$2:$A$37,FX!$D$2:$D$37)</f>
        <v>6222.5345000000007</v>
      </c>
      <c r="G8" cm="1">
        <f t="array" ref="G8">D8*INDEX(FX!$E$2:$E$37,C8)</f>
        <v>6487.4004000000004</v>
      </c>
    </row>
    <row r="9" spans="2:8" x14ac:dyDescent="0.25">
      <c r="C9">
        <f>Control!$B$3-6+ROW()-4</f>
        <v>29</v>
      </c>
      <c r="D9" cm="1">
        <f t="array" ref="D9">INDEX(Calc_Month!$C$2:$C$37,C9)</f>
        <v>7310.7000000000007</v>
      </c>
      <c r="E9">
        <f>D9*VLOOKUP(C9,FX!$A$2:$E$37,3,FALSE)</f>
        <v>7561.457010000001</v>
      </c>
      <c r="F9">
        <f>D9*_xlfn.XLOOKUP(C9,FX!$A$2:$A$37,FX!$D$2:$D$37)</f>
        <v>6255.7659900000008</v>
      </c>
      <c r="G9" cm="1">
        <f t="array" ref="G9">D9*INDEX(FX!$E$2:$E$37,C9)</f>
        <v>6521.144400000001</v>
      </c>
    </row>
    <row r="10" spans="2:8" x14ac:dyDescent="0.25">
      <c r="C10">
        <f>Control!$B$3-6+ROW()-4</f>
        <v>30</v>
      </c>
      <c r="D10" cm="1">
        <f t="array" ref="D10">INDEX(Calc_Month!$C$2:$C$37,C10)</f>
        <v>7354.8</v>
      </c>
      <c r="E10">
        <f>D10*VLOOKUP(C10,FX!$A$2:$E$37,3,FALSE)</f>
        <v>7662.2306400000007</v>
      </c>
      <c r="F10">
        <f>D10*_xlfn.XLOOKUP(C10,FX!$A$2:$A$37,FX!$D$2:$D$37)</f>
        <v>6277.3218000000006</v>
      </c>
      <c r="G10" cm="1">
        <f t="array" ref="G10">D10*INDEX(FX!$E$2:$E$37,C10)</f>
        <v>6545.7719999999999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Alpi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4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Alpi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17959.900000000001</v>
      </c>
      <c r="E5">
        <f>SUMIF(Calc_Month!$T$2:$T$37,C5,Calc_Month!$D$2:$D$37)</f>
        <v>976.52</v>
      </c>
      <c r="F5">
        <f>SUMIF(Calc_Month!$T$2:$T$37,C5,Calc_Month!$G$2:$G$37)</f>
        <v>385.24</v>
      </c>
      <c r="G5">
        <f>AVERAGEIF(Calc_Month!$T$2:$T$37,C5,Calc_Month!$C$2:$C$37)</f>
        <v>5986.6333333333341</v>
      </c>
    </row>
    <row r="6" spans="2:8" x14ac:dyDescent="0.25">
      <c r="C6" t="s">
        <v>291</v>
      </c>
      <c r="D6">
        <f>SUMIF(Calc_Month!$T$2:$T$37,C6,Calc_Month!$C$2:$C$37)</f>
        <v>18560.400000000001</v>
      </c>
      <c r="E6">
        <f>SUMIF(Calc_Month!$T$2:$T$37,C6,Calc_Month!$D$2:$D$37)</f>
        <v>1010.6800000000001</v>
      </c>
      <c r="F6">
        <f>SUMIF(Calc_Month!$T$2:$T$37,C6,Calc_Month!$G$2:$G$37)</f>
        <v>399.91</v>
      </c>
      <c r="G6">
        <f>AVERAGEIF(Calc_Month!$T$2:$T$37,C6,Calc_Month!$C$2:$C$37)</f>
        <v>6186.8</v>
      </c>
    </row>
    <row r="7" spans="2:8" x14ac:dyDescent="0.25">
      <c r="C7" t="s">
        <v>292</v>
      </c>
      <c r="D7">
        <f>SUMIF(Calc_Month!$T$2:$T$37,C7,Calc_Month!$C$2:$C$37)</f>
        <v>18868.199999999997</v>
      </c>
      <c r="E7">
        <f>SUMIF(Calc_Month!$T$2:$T$37,C7,Calc_Month!$D$2:$D$37)</f>
        <v>1024.44</v>
      </c>
      <c r="F7">
        <f>SUMIF(Calc_Month!$T$2:$T$37,C7,Calc_Month!$G$2:$G$37)</f>
        <v>402.68</v>
      </c>
      <c r="G7">
        <f>AVERAGEIF(Calc_Month!$T$2:$T$37,C7,Calc_Month!$C$2:$C$37)</f>
        <v>6289.3999999999987</v>
      </c>
    </row>
    <row r="8" spans="2:8" x14ac:dyDescent="0.25">
      <c r="C8" t="s">
        <v>293</v>
      </c>
      <c r="D8">
        <f>SUMIF(Calc_Month!$T$2:$T$37,C8,Calc_Month!$C$2:$C$37)</f>
        <v>19381.900000000001</v>
      </c>
      <c r="E8">
        <f>SUMIF(Calc_Month!$T$2:$T$37,C8,Calc_Month!$D$2:$D$37)</f>
        <v>1054.31</v>
      </c>
      <c r="F8">
        <f>SUMIF(Calc_Month!$T$2:$T$37,C8,Calc_Month!$G$2:$G$37)</f>
        <v>418.1</v>
      </c>
      <c r="G8">
        <f>AVERAGEIF(Calc_Month!$T$2:$T$37,C8,Calc_Month!$C$2:$C$37)</f>
        <v>6460.6333333333341</v>
      </c>
    </row>
    <row r="9" spans="2:8" x14ac:dyDescent="0.25">
      <c r="C9" t="s">
        <v>294</v>
      </c>
      <c r="D9">
        <f>SUMIF(Calc_Month!$T$2:$T$37,C9,Calc_Month!$C$2:$C$37)</f>
        <v>19760.899999999998</v>
      </c>
      <c r="E9">
        <f>SUMIF(Calc_Month!$T$2:$T$37,C9,Calc_Month!$D$2:$D$37)</f>
        <v>1073.27</v>
      </c>
      <c r="F9">
        <f>SUMIF(Calc_Month!$T$2:$T$37,C9,Calc_Month!$G$2:$G$37)</f>
        <v>420.40999999999985</v>
      </c>
      <c r="G9">
        <f>AVERAGEIF(Calc_Month!$T$2:$T$37,C9,Calc_Month!$C$2:$C$37)</f>
        <v>6586.9666666666662</v>
      </c>
    </row>
    <row r="10" spans="2:8" x14ac:dyDescent="0.25">
      <c r="C10" t="s">
        <v>295</v>
      </c>
      <c r="D10">
        <f>SUMIF(Calc_Month!$T$2:$T$37,C10,Calc_Month!$C$2:$C$37)</f>
        <v>20159.5</v>
      </c>
      <c r="E10">
        <f>SUMIF(Calc_Month!$T$2:$T$37,C10,Calc_Month!$D$2:$D$37)</f>
        <v>1092.92</v>
      </c>
      <c r="F10">
        <f>SUMIF(Calc_Month!$T$2:$T$37,C10,Calc_Month!$G$2:$G$37)</f>
        <v>427.99</v>
      </c>
      <c r="G10">
        <f>AVERAGEIF(Calc_Month!$T$2:$T$37,C10,Calc_Month!$C$2:$C$37)</f>
        <v>6719.833333333333</v>
      </c>
    </row>
    <row r="11" spans="2:8" x14ac:dyDescent="0.25">
      <c r="C11" t="s">
        <v>296</v>
      </c>
      <c r="D11">
        <f>SUMIF(Calc_Month!$T$2:$T$37,C11,Calc_Month!$C$2:$C$37)</f>
        <v>20405.3</v>
      </c>
      <c r="E11">
        <f>SUMIF(Calc_Month!$T$2:$T$37,C11,Calc_Month!$D$2:$D$37)</f>
        <v>1105.8899999999999</v>
      </c>
      <c r="F11">
        <f>SUMIF(Calc_Month!$T$2:$T$37,C11,Calc_Month!$G$2:$G$37)</f>
        <v>433.07999999999993</v>
      </c>
      <c r="G11">
        <f>AVERAGEIF(Calc_Month!$T$2:$T$37,C11,Calc_Month!$C$2:$C$37)</f>
        <v>6801.7666666666664</v>
      </c>
    </row>
    <row r="12" spans="2:8" x14ac:dyDescent="0.25">
      <c r="C12" t="s">
        <v>297</v>
      </c>
      <c r="D12">
        <f>SUMIF(Calc_Month!$T$2:$T$37,C12,Calc_Month!$C$2:$C$37)</f>
        <v>21160.7</v>
      </c>
      <c r="E12">
        <f>SUMIF(Calc_Month!$T$2:$T$37,C12,Calc_Month!$D$2:$D$37)</f>
        <v>1148.0900000000001</v>
      </c>
      <c r="F12">
        <f>SUMIF(Calc_Month!$T$2:$T$37,C12,Calc_Month!$G$2:$G$37)</f>
        <v>449.68000000000006</v>
      </c>
      <c r="G12">
        <f>AVERAGEIF(Calc_Month!$T$2:$T$37,C12,Calc_Month!$C$2:$C$37)</f>
        <v>7053.5666666666666</v>
      </c>
    </row>
    <row r="13" spans="2:8" x14ac:dyDescent="0.25">
      <c r="C13" t="s">
        <v>298</v>
      </c>
      <c r="D13">
        <f>SUMIF(Calc_Month!$T$2:$T$37,C13,Calc_Month!$C$2:$C$37)</f>
        <v>21386</v>
      </c>
      <c r="E13">
        <f>SUMIF(Calc_Month!$T$2:$T$37,C13,Calc_Month!$D$2:$D$37)</f>
        <v>1160.4499999999998</v>
      </c>
      <c r="F13">
        <f>SUMIF(Calc_Month!$T$2:$T$37,C13,Calc_Month!$G$2:$G$37)</f>
        <v>457.09999999999997</v>
      </c>
      <c r="G13">
        <f>AVERAGEIF(Calc_Month!$T$2:$T$37,C13,Calc_Month!$C$2:$C$37)</f>
        <v>7128.666666666667</v>
      </c>
    </row>
    <row r="14" spans="2:8" x14ac:dyDescent="0.25">
      <c r="C14" t="s">
        <v>299</v>
      </c>
      <c r="D14">
        <f>SUMIF(Calc_Month!$T$2:$T$37,C14,Calc_Month!$C$2:$C$37)</f>
        <v>21922.100000000002</v>
      </c>
      <c r="E14">
        <f>SUMIF(Calc_Month!$T$2:$T$37,C14,Calc_Month!$D$2:$D$37)</f>
        <v>1189.8300000000002</v>
      </c>
      <c r="F14">
        <f>SUMIF(Calc_Month!$T$2:$T$37,C14,Calc_Month!$G$2:$G$37)</f>
        <v>466.59000000000015</v>
      </c>
      <c r="G14">
        <f>AVERAGEIF(Calc_Month!$T$2:$T$37,C14,Calc_Month!$C$2:$C$37)</f>
        <v>7307.3666666666677</v>
      </c>
    </row>
    <row r="15" spans="2:8" x14ac:dyDescent="0.25">
      <c r="C15" t="s">
        <v>300</v>
      </c>
      <c r="D15">
        <f>SUMIF(Calc_Month!$T$2:$T$37,C15,Calc_Month!$C$2:$C$37)</f>
        <v>22289.200000000001</v>
      </c>
      <c r="E15">
        <f>SUMIF(Calc_Month!$T$2:$T$37,C15,Calc_Month!$D$2:$D$37)</f>
        <v>1209.08</v>
      </c>
      <c r="F15">
        <f>SUMIF(Calc_Month!$T$2:$T$37,C15,Calc_Month!$G$2:$G$37)</f>
        <v>477.34</v>
      </c>
      <c r="G15">
        <f>AVERAGEIF(Calc_Month!$T$2:$T$37,C15,Calc_Month!$C$2:$C$37)</f>
        <v>7429.7333333333336</v>
      </c>
    </row>
    <row r="16" spans="2:8" x14ac:dyDescent="0.25">
      <c r="C16" t="s">
        <v>301</v>
      </c>
      <c r="D16">
        <f>SUMIF(Calc_Month!$T$2:$T$37,C16,Calc_Month!$C$2:$C$37)</f>
        <v>22718</v>
      </c>
      <c r="E16">
        <f>SUMIF(Calc_Month!$T$2:$T$37,C16,Calc_Month!$D$2:$D$37)</f>
        <v>1230.5500000000002</v>
      </c>
      <c r="F16">
        <f>SUMIF(Calc_Month!$T$2:$T$37,C16,Calc_Month!$G$2:$G$37)</f>
        <v>483.05000000000013</v>
      </c>
      <c r="G16">
        <f>AVERAGEIF(Calc_Month!$T$2:$T$37,C16,Calc_Month!$C$2:$C$37)</f>
        <v>7572.666666666667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1294.6546384812173</v>
      </c>
      <c r="G5" s="1">
        <f>Calc_Deep!I2</f>
        <v>1325.6546384812173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1499.1500605897404</v>
      </c>
      <c r="G6" s="1">
        <f>Calc_Deep!I3</f>
        <v>1530.1500605897404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1731.9661370674567</v>
      </c>
      <c r="G7" s="1">
        <f>Calc_Deep!I4</f>
        <v>1762.9661370674567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1967.6030025582336</v>
      </c>
      <c r="G8" s="1">
        <f>Calc_Deep!I5</f>
        <v>1998.6030025582336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2177.3916116870878</v>
      </c>
      <c r="G9" s="1">
        <f>Calc_Deep!I6</f>
        <v>2208.3916116870878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2407.5164938737043</v>
      </c>
      <c r="G10" s="1">
        <f>Calc_Deep!I7</f>
        <v>2438.5164938737043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2623.5306988016696</v>
      </c>
      <c r="G11" s="1">
        <f>Calc_Deep!I8</f>
        <v>2654.5306988016696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2865.632152955433</v>
      </c>
      <c r="G12" s="1">
        <f>Calc_Deep!I9</f>
        <v>2896.632152955433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3079.0123872357613</v>
      </c>
      <c r="G13" s="1">
        <f>Calc_Deep!I10</f>
        <v>3110.0123872357613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3295.9909788609129</v>
      </c>
      <c r="G14" s="1">
        <f>Calc_Deep!I11</f>
        <v>3326.9909788609129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3515.2046586777974</v>
      </c>
      <c r="G15" s="1">
        <f>Calc_Deep!I12</f>
        <v>3546.2046586777974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3747.5545307661241</v>
      </c>
      <c r="G16" s="1">
        <f>Calc_Deep!I13</f>
        <v>3778.5545307661241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3966.1791436650064</v>
      </c>
      <c r="G17" s="1">
        <f>Calc_Deep!I14</f>
        <v>3997.1791436650064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4195.3396391544366</v>
      </c>
      <c r="G18" s="1">
        <f>Calc_Deep!I15</f>
        <v>4226.3396391544366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4413.2455904133576</v>
      </c>
      <c r="G19" s="1">
        <f>Calc_Deep!I16</f>
        <v>4444.2455904133576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4626.9944122795214</v>
      </c>
      <c r="G20" s="1">
        <f>Calc_Deep!I17</f>
        <v>4657.9944122795214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4877.0735155513676</v>
      </c>
      <c r="G21" s="1">
        <f>Calc_Deep!I18</f>
        <v>4908.0735155513676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5081.2643059108668</v>
      </c>
      <c r="G22" s="1">
        <f>Calc_Deep!I19</f>
        <v>5112.2643059108668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5320.5230914231861</v>
      </c>
      <c r="G23" s="1">
        <f>Calc_Deep!I20</f>
        <v>5351.5230914231861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5559.4452672680763</v>
      </c>
      <c r="G24" s="1">
        <f>Calc_Deep!I21</f>
        <v>5590.4452672680763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Alpi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7354.8</v>
      </c>
      <c r="E6" cm="1">
        <f t="array" ref="E6">CHOOSE(ROW()-4,INDEX(Calc_BankMonth!$B$23:$AK$23,Control!$B$3),Calc_Summary!$B$2,Calc_Bank!$C$23,SUM(Calc_Product!$B$2:$B$9),Calc_Summary!$B$2,Calc_Summary!$B$2)</f>
        <v>7354.8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7354.8</v>
      </c>
      <c r="E8" cm="1">
        <f t="array" ref="E8">CHOOSE(ROW()-4,INDEX(Calc_BankMonth!$B$23:$AK$23,Control!$B$3),Calc_Summary!$B$2,Calc_Bank!$C$23,SUM(Calc_Product!$B$2:$B$9),Calc_Summary!$B$2,Calc_Summary!$B$2)</f>
        <v>7354.8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7354.8</v>
      </c>
      <c r="E9" cm="1">
        <f t="array" ref="E9">CHOOSE(ROW()-4,INDEX(Calc_BankMonth!$B$23:$AK$23,Control!$B$3),Calc_Summary!$B$2,Calc_Bank!$C$23,SUM(Calc_Product!$B$2:$B$9),Calc_Summary!$B$2,Calc_Summary!$B$2)</f>
        <v>7354.8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7354.8</v>
      </c>
      <c r="E10" cm="1">
        <f t="array" ref="E10">CHOOSE(ROW()-4,INDEX(Calc_BankMonth!$B$23:$AK$23,Control!$B$3),Calc_Summary!$B$2,Calc_Bank!$C$23,SUM(Calc_Product!$B$2:$B$9),Calc_Summary!$B$2,Calc_Summary!$B$2)</f>
        <v>7354.8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Alpi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6756.8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11752.450000000003</v>
      </c>
      <c r="H5">
        <f t="shared" ref="H5:H16" si="0">E5-F5</f>
        <v>-11150.5</v>
      </c>
      <c r="I5">
        <f t="shared" ref="I5:I16" si="1">IFERROR(H5/F5,0)</f>
        <v>-0.6226790191709527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6767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11831.075000000001</v>
      </c>
      <c r="H6">
        <f t="shared" si="0"/>
        <v>-11257.325000000008</v>
      </c>
      <c r="I6">
        <f t="shared" si="1"/>
        <v>-0.62456291705792055</v>
      </c>
      <c r="J6">
        <f t="shared" si="2"/>
        <v>100.2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6881.5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11911.525</v>
      </c>
      <c r="H7">
        <f t="shared" si="0"/>
        <v>-11250.730000000003</v>
      </c>
      <c r="I7">
        <f t="shared" si="1"/>
        <v>-0.62048242273564813</v>
      </c>
      <c r="J7">
        <f t="shared" si="2"/>
        <v>101.8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6930.5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12058.650000000001</v>
      </c>
      <c r="H8">
        <f t="shared" si="0"/>
        <v>-11364.214999999993</v>
      </c>
      <c r="I8">
        <f t="shared" si="1"/>
        <v>-0.62117474910103809</v>
      </c>
      <c r="J8">
        <f t="shared" si="2"/>
        <v>102.6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7086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12122.25</v>
      </c>
      <c r="H9">
        <f t="shared" si="0"/>
        <v>-11316.729999999992</v>
      </c>
      <c r="I9">
        <f t="shared" si="1"/>
        <v>-0.61494843428121793</v>
      </c>
      <c r="J9">
        <f t="shared" si="2"/>
        <v>104.9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7144.2000000000007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12236.050000000001</v>
      </c>
      <c r="H10">
        <f t="shared" si="0"/>
        <v>-11391.84</v>
      </c>
      <c r="I10">
        <f t="shared" si="1"/>
        <v>-0.61457787100157313</v>
      </c>
      <c r="J10">
        <f t="shared" si="2"/>
        <v>105.7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7026.5000000000009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12249.85</v>
      </c>
      <c r="H11">
        <f t="shared" si="0"/>
        <v>-11625.119999999999</v>
      </c>
      <c r="I11">
        <f t="shared" si="1"/>
        <v>-0.62327669124719465</v>
      </c>
      <c r="J11">
        <f t="shared" si="2"/>
        <v>104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7134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12346.974999999997</v>
      </c>
      <c r="H12">
        <f t="shared" si="0"/>
        <v>-11650.23499999999</v>
      </c>
      <c r="I12">
        <f t="shared" si="1"/>
        <v>-0.62021343962104369</v>
      </c>
      <c r="J12">
        <f t="shared" si="2"/>
        <v>105.6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7225.5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12462.699999999999</v>
      </c>
      <c r="H13">
        <f t="shared" si="0"/>
        <v>-11687.629999999994</v>
      </c>
      <c r="I13">
        <f t="shared" si="1"/>
        <v>-0.61796381667127531</v>
      </c>
      <c r="J13">
        <f t="shared" si="2"/>
        <v>106.9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7256.6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12517.5</v>
      </c>
      <c r="H14">
        <f t="shared" si="0"/>
        <v>-11757.340000000009</v>
      </c>
      <c r="I14">
        <f t="shared" si="1"/>
        <v>-0.61835369208065261</v>
      </c>
      <c r="J14">
        <f t="shared" si="2"/>
        <v>107.4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7310.7000000000007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12630.95</v>
      </c>
      <c r="H15">
        <f t="shared" si="0"/>
        <v>-11855.705000000005</v>
      </c>
      <c r="I15">
        <f t="shared" si="1"/>
        <v>-0.6185669665229343</v>
      </c>
      <c r="J15">
        <f t="shared" si="2"/>
        <v>108.2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7354.8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12660.65</v>
      </c>
      <c r="H16">
        <f t="shared" si="0"/>
        <v>-11928.62000000001</v>
      </c>
      <c r="I16">
        <f t="shared" si="1"/>
        <v>-0.61859462688672462</v>
      </c>
      <c r="J16">
        <f t="shared" si="2"/>
        <v>108.9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Alpi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364.69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634.15750000000003</v>
      </c>
      <c r="H5">
        <f t="shared" ref="H5:H16" si="0">E5-F5</f>
        <v>-600.54950000000008</v>
      </c>
      <c r="I5">
        <f t="shared" ref="I5:I16" si="1">IFERROR(H5/F5,0)</f>
        <v>-0.62217667221451267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367.14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638.80500000000006</v>
      </c>
      <c r="H6">
        <f t="shared" si="0"/>
        <v>-604.8394999999997</v>
      </c>
      <c r="I6">
        <f t="shared" si="1"/>
        <v>-0.62227598421571639</v>
      </c>
      <c r="J6">
        <f t="shared" si="2"/>
        <v>100.7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374.05999999999995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643.93499999999995</v>
      </c>
      <c r="H7">
        <f t="shared" si="0"/>
        <v>-603.6990000000003</v>
      </c>
      <c r="I7">
        <f t="shared" si="1"/>
        <v>-0.61743128930544244</v>
      </c>
      <c r="J7">
        <f t="shared" si="2"/>
        <v>102.6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376.02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651.28499999999997</v>
      </c>
      <c r="H8">
        <f t="shared" si="0"/>
        <v>-610.19049999999993</v>
      </c>
      <c r="I8">
        <f t="shared" si="1"/>
        <v>-0.61872237215077308</v>
      </c>
      <c r="J8">
        <f t="shared" si="2"/>
        <v>103.1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384.93000000000006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655.245</v>
      </c>
      <c r="H9">
        <f t="shared" si="0"/>
        <v>-607.36250000000007</v>
      </c>
      <c r="I9">
        <f t="shared" si="1"/>
        <v>-0.61208010742800134</v>
      </c>
      <c r="J9">
        <f t="shared" si="2"/>
        <v>105.5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387.14000000000004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661.02499999999998</v>
      </c>
      <c r="H10">
        <f t="shared" si="0"/>
        <v>-612.36849999999981</v>
      </c>
      <c r="I10">
        <f t="shared" si="1"/>
        <v>-0.61266962712173023</v>
      </c>
      <c r="J10">
        <f t="shared" si="2"/>
        <v>106.2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380.71999999999997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661.42750000000001</v>
      </c>
      <c r="H11">
        <f t="shared" si="0"/>
        <v>-624.76550000000043</v>
      </c>
      <c r="I11">
        <f t="shared" si="1"/>
        <v>-0.62135704592458096</v>
      </c>
      <c r="J11">
        <f t="shared" si="2"/>
        <v>104.4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387.35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667.32500000000005</v>
      </c>
      <c r="H12">
        <f t="shared" si="0"/>
        <v>-625.43399999999986</v>
      </c>
      <c r="I12">
        <f t="shared" si="1"/>
        <v>-0.61753937660942504</v>
      </c>
      <c r="J12">
        <f t="shared" si="2"/>
        <v>106.2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392.38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673.89499999999998</v>
      </c>
      <c r="H13">
        <f t="shared" si="0"/>
        <v>-627.61850000000038</v>
      </c>
      <c r="I13">
        <f t="shared" si="1"/>
        <v>-0.61531315977425471</v>
      </c>
      <c r="J13">
        <f t="shared" si="2"/>
        <v>107.6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392.7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675.745</v>
      </c>
      <c r="H14">
        <f t="shared" si="0"/>
        <v>-632.47700000000009</v>
      </c>
      <c r="I14">
        <f t="shared" si="1"/>
        <v>-0.61694419597786532</v>
      </c>
      <c r="J14">
        <f t="shared" si="2"/>
        <v>107.7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397.70000000000005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682.23250000000019</v>
      </c>
      <c r="H15">
        <f t="shared" si="0"/>
        <v>-635.58750000000009</v>
      </c>
      <c r="I15">
        <f t="shared" si="1"/>
        <v>-0.61511196061115614</v>
      </c>
      <c r="J15">
        <f t="shared" si="2"/>
        <v>109.1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399.43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683.92750000000001</v>
      </c>
      <c r="H16">
        <f t="shared" si="0"/>
        <v>-640.26350000000025</v>
      </c>
      <c r="I16">
        <f t="shared" si="1"/>
        <v>-0.6158194698726116</v>
      </c>
      <c r="J16">
        <f t="shared" si="2"/>
        <v>109.5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Alpi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221.70999999999998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384.46500000000003</v>
      </c>
      <c r="H5">
        <f t="shared" ref="H5:H16" si="0">E5-F5</f>
        <v>-361.25750000000022</v>
      </c>
      <c r="I5">
        <f t="shared" ref="I5:I16" si="1">IFERROR(H5/F5,0)</f>
        <v>-0.61968720383211773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223.88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386.48250000000013</v>
      </c>
      <c r="H6">
        <f t="shared" si="0"/>
        <v>-363.00850000000014</v>
      </c>
      <c r="I6">
        <f t="shared" si="1"/>
        <v>-0.61853060675068616</v>
      </c>
      <c r="J6">
        <f t="shared" si="2"/>
        <v>101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227.22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389.79</v>
      </c>
      <c r="H7">
        <f t="shared" si="0"/>
        <v>-363.26750000000004</v>
      </c>
      <c r="I7">
        <f t="shared" si="1"/>
        <v>-0.61519930565846015</v>
      </c>
      <c r="J7">
        <f t="shared" si="2"/>
        <v>102.5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229.17999999999998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394.21249999999998</v>
      </c>
      <c r="H8">
        <f t="shared" si="0"/>
        <v>-366.77350000000013</v>
      </c>
      <c r="I8">
        <f t="shared" si="1"/>
        <v>-0.61543979521892245</v>
      </c>
      <c r="J8">
        <f t="shared" si="2"/>
        <v>103.4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233.15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396.48500000000007</v>
      </c>
      <c r="H9">
        <f t="shared" si="0"/>
        <v>-366.35249999999985</v>
      </c>
      <c r="I9">
        <f t="shared" si="1"/>
        <v>-0.61109419893995431</v>
      </c>
      <c r="J9">
        <f t="shared" si="2"/>
        <v>105.2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236.08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399.71250000000003</v>
      </c>
      <c r="H10">
        <f t="shared" si="0"/>
        <v>-367.69850000000019</v>
      </c>
      <c r="I10">
        <f t="shared" si="1"/>
        <v>-0.60899568301951801</v>
      </c>
      <c r="J10">
        <f t="shared" si="2"/>
        <v>106.5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231.7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401.22</v>
      </c>
      <c r="H11">
        <f t="shared" si="0"/>
        <v>-375.8015000000002</v>
      </c>
      <c r="I11">
        <f t="shared" si="1"/>
        <v>-0.61860176476930528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234.98000000000002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403.65499999999992</v>
      </c>
      <c r="H12">
        <f t="shared" si="0"/>
        <v>-376.51049999999998</v>
      </c>
      <c r="I12">
        <f t="shared" si="1"/>
        <v>-0.61572583711439499</v>
      </c>
      <c r="J12">
        <f t="shared" si="2"/>
        <v>106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236.67000000000002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406.97</v>
      </c>
      <c r="H13">
        <f t="shared" si="0"/>
        <v>-379.2200000000002</v>
      </c>
      <c r="I13">
        <f t="shared" si="1"/>
        <v>-0.61572683433730058</v>
      </c>
      <c r="J13">
        <f t="shared" si="2"/>
        <v>106.7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239.05999999999997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408.53499999999997</v>
      </c>
      <c r="H14">
        <f t="shared" si="0"/>
        <v>-380.06649999999991</v>
      </c>
      <c r="I14">
        <f t="shared" si="1"/>
        <v>-0.61387535503649093</v>
      </c>
      <c r="J14">
        <f t="shared" si="2"/>
        <v>107.8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241.54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412.40000000000003</v>
      </c>
      <c r="H15">
        <f t="shared" si="0"/>
        <v>-382.42750000000012</v>
      </c>
      <c r="I15">
        <f t="shared" si="1"/>
        <v>-0.61289650502630355</v>
      </c>
      <c r="J15">
        <f t="shared" si="2"/>
        <v>108.9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242.63999999999996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413.25750000000005</v>
      </c>
      <c r="H16">
        <f t="shared" si="0"/>
        <v>-385.27099999999996</v>
      </c>
      <c r="I16">
        <f t="shared" si="1"/>
        <v>-0.61357580931055511</v>
      </c>
      <c r="J16">
        <f t="shared" si="2"/>
        <v>109.4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Alpi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733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1179</v>
      </c>
      <c r="H5">
        <f t="shared" ref="H5:H16" si="0">E5-F5</f>
        <v>-965.59999999999991</v>
      </c>
      <c r="I5">
        <f t="shared" ref="I5:I16" si="1">IFERROR(H5/F5,0)</f>
        <v>-0.5684681502413752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691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1151.25</v>
      </c>
      <c r="H6">
        <f t="shared" si="0"/>
        <v>-1012.6500000000001</v>
      </c>
      <c r="I6">
        <f t="shared" si="1"/>
        <v>-0.59440025826901066</v>
      </c>
      <c r="J6">
        <f t="shared" si="2"/>
        <v>94.3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754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1191</v>
      </c>
      <c r="H7">
        <f t="shared" si="0"/>
        <v>-943.55</v>
      </c>
      <c r="I7">
        <f t="shared" si="1"/>
        <v>-0.55583046154752436</v>
      </c>
      <c r="J7">
        <f t="shared" si="2"/>
        <v>102.9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747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1172.75</v>
      </c>
      <c r="H8">
        <f t="shared" si="0"/>
        <v>-964.34999999999991</v>
      </c>
      <c r="I8">
        <f t="shared" si="1"/>
        <v>-0.56350249802787267</v>
      </c>
      <c r="J8">
        <f t="shared" si="2"/>
        <v>101.9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771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1192</v>
      </c>
      <c r="H9">
        <f t="shared" si="0"/>
        <v>-939.40000000000009</v>
      </c>
      <c r="I9">
        <f t="shared" si="1"/>
        <v>-0.54922825070159031</v>
      </c>
      <c r="J9">
        <f t="shared" si="2"/>
        <v>105.2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757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1170</v>
      </c>
      <c r="H10">
        <f t="shared" si="0"/>
        <v>-961.59999999999991</v>
      </c>
      <c r="I10">
        <f t="shared" si="1"/>
        <v>-0.55952519492610264</v>
      </c>
      <c r="J10">
        <f t="shared" si="2"/>
        <v>103.3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721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1160.5</v>
      </c>
      <c r="H11">
        <f t="shared" si="0"/>
        <v>-986</v>
      </c>
      <c r="I11">
        <f t="shared" si="1"/>
        <v>-0.57762155828939665</v>
      </c>
      <c r="J11">
        <f t="shared" si="2"/>
        <v>98.4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728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1170.5</v>
      </c>
      <c r="H12">
        <f t="shared" si="0"/>
        <v>-966.95</v>
      </c>
      <c r="I12">
        <f t="shared" si="1"/>
        <v>-0.57048880497949794</v>
      </c>
      <c r="J12">
        <f t="shared" si="2"/>
        <v>99.3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718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1176.75</v>
      </c>
      <c r="H13">
        <f t="shared" si="0"/>
        <v>-985.84999999999991</v>
      </c>
      <c r="I13">
        <f t="shared" si="1"/>
        <v>-0.5786014027056372</v>
      </c>
      <c r="J13">
        <f t="shared" si="2"/>
        <v>98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766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1180.75</v>
      </c>
      <c r="H14">
        <f t="shared" si="0"/>
        <v>-946.05</v>
      </c>
      <c r="I14">
        <f t="shared" si="1"/>
        <v>-0.55258316053853562</v>
      </c>
      <c r="J14">
        <f t="shared" si="2"/>
        <v>104.5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749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1168.25</v>
      </c>
      <c r="H15">
        <f t="shared" si="0"/>
        <v>-962</v>
      </c>
      <c r="I15">
        <f t="shared" si="1"/>
        <v>-0.56224430157802452</v>
      </c>
      <c r="J15">
        <f t="shared" si="2"/>
        <v>102.2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730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1147.25</v>
      </c>
      <c r="H16">
        <f t="shared" si="0"/>
        <v>-980.2</v>
      </c>
      <c r="I16">
        <f t="shared" si="1"/>
        <v>-0.57314933925856626</v>
      </c>
      <c r="J16">
        <f t="shared" si="2"/>
        <v>99.6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Alpi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142.98000000000002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249.6925</v>
      </c>
      <c r="H5">
        <f t="shared" ref="H5:H16" si="0">E5-F5</f>
        <v>-239.29200000000009</v>
      </c>
      <c r="I5">
        <f t="shared" ref="I5:I16" si="1">IFERROR(H5/F5,0)</f>
        <v>-0.62597312908086389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143.26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252.32249999999999</v>
      </c>
      <c r="H6">
        <f t="shared" si="0"/>
        <v>-241.83099999999985</v>
      </c>
      <c r="I6">
        <f t="shared" si="1"/>
        <v>-0.62798403494239008</v>
      </c>
      <c r="J6">
        <f t="shared" si="2"/>
        <v>100.2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146.83999999999995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254.14500000000004</v>
      </c>
      <c r="H7">
        <f t="shared" si="0"/>
        <v>-240.43150000000023</v>
      </c>
      <c r="I7">
        <f t="shared" si="1"/>
        <v>-0.6208344791702981</v>
      </c>
      <c r="J7">
        <f t="shared" si="2"/>
        <v>102.7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146.84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257.07249999999999</v>
      </c>
      <c r="H8">
        <f t="shared" si="0"/>
        <v>-243.41700000000017</v>
      </c>
      <c r="I8">
        <f t="shared" si="1"/>
        <v>-0.62373512838975353</v>
      </c>
      <c r="J8">
        <f t="shared" si="2"/>
        <v>102.7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151.78000000000006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258.76000000000005</v>
      </c>
      <c r="H9">
        <f t="shared" si="0"/>
        <v>-241.01000000000013</v>
      </c>
      <c r="I9">
        <f t="shared" si="1"/>
        <v>-0.61358486723185424</v>
      </c>
      <c r="J9">
        <f t="shared" si="2"/>
        <v>106.2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151.06000000000003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261.3125</v>
      </c>
      <c r="H10">
        <f t="shared" si="0"/>
        <v>-244.67000000000016</v>
      </c>
      <c r="I10">
        <f t="shared" si="1"/>
        <v>-0.61827508654890972</v>
      </c>
      <c r="J10">
        <f t="shared" si="2"/>
        <v>105.7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149.01999999999998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260.2075000000001</v>
      </c>
      <c r="H11">
        <f t="shared" si="0"/>
        <v>-248.96399999999988</v>
      </c>
      <c r="I11">
        <f t="shared" si="1"/>
        <v>-0.62556283669695256</v>
      </c>
      <c r="J11">
        <f t="shared" si="2"/>
        <v>104.2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152.37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263.66999999999996</v>
      </c>
      <c r="H12">
        <f t="shared" si="0"/>
        <v>-248.92350000000005</v>
      </c>
      <c r="I12">
        <f t="shared" si="1"/>
        <v>-0.62030284567280558</v>
      </c>
      <c r="J12">
        <f t="shared" si="2"/>
        <v>106.6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155.70999999999998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266.92500000000001</v>
      </c>
      <c r="H13">
        <f t="shared" si="0"/>
        <v>-248.39849999999996</v>
      </c>
      <c r="I13">
        <f t="shared" si="1"/>
        <v>-0.61468269041606394</v>
      </c>
      <c r="J13">
        <f t="shared" si="2"/>
        <v>108.9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153.64000000000001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267.20999999999998</v>
      </c>
      <c r="H14">
        <f t="shared" si="0"/>
        <v>-252.4105000000001</v>
      </c>
      <c r="I14">
        <f t="shared" si="1"/>
        <v>-0.62162341876195204</v>
      </c>
      <c r="J14">
        <f t="shared" si="2"/>
        <v>107.5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156.16000000000005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269.83250000000004</v>
      </c>
      <c r="H15">
        <f t="shared" si="0"/>
        <v>-253.15999999999977</v>
      </c>
      <c r="I15">
        <f t="shared" si="1"/>
        <v>-0.61848920160265775</v>
      </c>
      <c r="J15">
        <f t="shared" si="2"/>
        <v>109.2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156.79000000000005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270.66999999999996</v>
      </c>
      <c r="H16">
        <f t="shared" si="0"/>
        <v>-254.99250000000009</v>
      </c>
      <c r="I16">
        <f t="shared" si="1"/>
        <v>-0.61924073995373774</v>
      </c>
      <c r="J16">
        <f t="shared" si="2"/>
        <v>109.7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2026-10-17T11:54:46Z</dcterms:modified>
</cp:coreProperties>
</file>