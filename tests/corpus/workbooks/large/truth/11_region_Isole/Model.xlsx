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B95B4576-A3B9-4FD0-9865-5BAC77BC510F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E17" i="9" l="1"/>
  <c r="R20" i="9"/>
  <c r="S20" i="9" s="1"/>
  <c r="F13" i="13"/>
  <c r="N11" i="13"/>
  <c r="F9" i="13"/>
  <c r="AD3" i="13"/>
  <c r="P17" i="9"/>
  <c r="I13" i="16"/>
  <c r="W17" i="9"/>
  <c r="M17" i="9"/>
  <c r="Y13" i="13"/>
  <c r="AC12" i="13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E14" i="46" s="1" a="1"/>
  <c r="E14" i="46" s="1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E6" i="44" s="1" a="1"/>
  <c r="E6" i="44" s="1"/>
  <c r="H6" i="44" s="1"/>
  <c r="I6" i="44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X11" i="9" s="1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Q8" i="9" s="1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K10" i="13"/>
  <c r="AI8" i="13"/>
  <c r="G7" i="13"/>
  <c r="AE5" i="13"/>
  <c r="W46" i="12"/>
  <c r="G46" i="12"/>
  <c r="G9" i="16"/>
  <c r="B3" i="19"/>
  <c r="B11" i="8"/>
  <c r="D4" i="9"/>
  <c r="G4" i="9"/>
  <c r="N10" i="9"/>
  <c r="O10" i="9" s="1"/>
  <c r="P3" i="9"/>
  <c r="F5" i="10"/>
  <c r="AD13" i="13"/>
  <c r="AH12" i="13"/>
  <c r="F11" i="13"/>
  <c r="F7" i="13"/>
  <c r="AD5" i="13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R61" i="12"/>
  <c r="R15" i="14"/>
  <c r="R15" i="13"/>
  <c r="V14" i="13"/>
  <c r="V60" i="12"/>
  <c r="V14" i="14"/>
  <c r="AD58" i="12"/>
  <c r="AD12" i="14"/>
  <c r="AD12" i="13"/>
  <c r="N58" i="12"/>
  <c r="N12" i="14"/>
  <c r="N12" i="13"/>
  <c r="V56" i="12"/>
  <c r="V10" i="13"/>
  <c r="V10" i="14"/>
  <c r="F56" i="12"/>
  <c r="F10" i="13"/>
  <c r="F10" i="14"/>
  <c r="Z55" i="12"/>
  <c r="Z9" i="13"/>
  <c r="Z9" i="14"/>
  <c r="J55" i="12"/>
  <c r="J9" i="13"/>
  <c r="J9" i="14"/>
  <c r="AD54" i="12"/>
  <c r="AD8" i="14"/>
  <c r="AD8" i="13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AC66" i="12"/>
  <c r="B8" i="10"/>
  <c r="F8" i="10"/>
  <c r="K8" i="10"/>
  <c r="Z67" i="12"/>
  <c r="Z21" i="14"/>
  <c r="Z21" i="13"/>
  <c r="AD66" i="12"/>
  <c r="AD20" i="14"/>
  <c r="AD20" i="13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AH61" i="12"/>
  <c r="AH15" i="14"/>
  <c r="AH15" i="13"/>
  <c r="F14" i="13"/>
  <c r="F60" i="12"/>
  <c r="F14" i="14"/>
  <c r="AH57" i="12"/>
  <c r="AH11" i="14"/>
  <c r="AH11" i="13"/>
  <c r="P2" i="8"/>
  <c r="E26" i="8"/>
  <c r="E5" i="45" s="1" a="1"/>
  <c r="E5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Z18" i="9" s="1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Z13" i="14"/>
  <c r="B57" i="12"/>
  <c r="B11" i="14"/>
  <c r="H22" i="8" a="1"/>
  <c r="H22" i="8" s="1"/>
  <c r="N5" i="8"/>
  <c r="Z2" i="9"/>
  <c r="L17" i="8"/>
  <c r="B36" i="8"/>
  <c r="X13" i="9"/>
  <c r="G15" i="9"/>
  <c r="D31" i="8"/>
  <c r="E16" i="44" s="1" a="1"/>
  <c r="E16" i="44" s="1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E18" i="13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AA61" i="12"/>
  <c r="K15" i="14"/>
  <c r="K15" i="13"/>
  <c r="K61" i="12"/>
  <c r="E13" i="44" a="1"/>
  <c r="E13" i="44" s="1"/>
  <c r="N21" i="9"/>
  <c r="O21" i="9" s="1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Y8" i="9"/>
  <c r="M22" i="13"/>
  <c r="M22" i="14"/>
  <c r="M68" i="12"/>
  <c r="AK20" i="13"/>
  <c r="AK66" i="12"/>
  <c r="AK20" i="14"/>
  <c r="E20" i="13"/>
  <c r="E20" i="14"/>
  <c r="E66" i="12"/>
  <c r="AC18" i="14"/>
  <c r="AC18" i="13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E12" i="44" a="1"/>
  <c r="E12" i="44" s="1"/>
  <c r="R27" i="8"/>
  <c r="D4" i="1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D5" i="28" s="1" a="1"/>
  <c r="D5" i="28" s="1"/>
  <c r="F9" i="8"/>
  <c r="R9" i="8" s="1"/>
  <c r="B9" i="8"/>
  <c r="B26" i="8"/>
  <c r="E10" i="8"/>
  <c r="F20" i="8"/>
  <c r="E5" i="46" s="1" a="1"/>
  <c r="E5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B23" i="8"/>
  <c r="D23" i="8"/>
  <c r="F7" i="8"/>
  <c r="B7" i="8"/>
  <c r="D7" i="8"/>
  <c r="B20" i="8"/>
  <c r="P32" i="8"/>
  <c r="M32" i="8"/>
  <c r="E8" i="8"/>
  <c r="E10" i="45" s="1" a="1"/>
  <c r="E10" i="45" s="1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B22" i="8"/>
  <c r="F6" i="8"/>
  <c r="R6" i="8" s="1"/>
  <c r="B6" i="8"/>
  <c r="E16" i="43" a="1"/>
  <c r="E16" i="43" s="1"/>
  <c r="M31" i="8"/>
  <c r="D20" i="8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E65" i="12"/>
  <c r="E21" i="30" s="1" a="1"/>
  <c r="E21" i="30" s="1"/>
  <c r="AE19" i="13"/>
  <c r="I21" i="31" s="1" a="1"/>
  <c r="I21" i="31" s="1"/>
  <c r="O19" i="14"/>
  <c r="AI18" i="13"/>
  <c r="C18" i="13"/>
  <c r="AE15" i="13"/>
  <c r="AE23" i="12"/>
  <c r="C35" i="8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J20" i="14"/>
  <c r="J20" i="13"/>
  <c r="J66" i="12"/>
  <c r="AD19" i="14"/>
  <c r="AD19" i="13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Z62" i="12"/>
  <c r="J16" i="14"/>
  <c r="J16" i="13"/>
  <c r="J62" i="12"/>
  <c r="AD15" i="14"/>
  <c r="AD61" i="12"/>
  <c r="AD15" i="13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E14" i="13"/>
  <c r="AE60" i="12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E10" i="13"/>
  <c r="AE56" i="12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AE6" i="14"/>
  <c r="AL6" i="14" s="1" a="1"/>
  <c r="AL6" i="14" s="1"/>
  <c r="G8" i="30" s="1"/>
  <c r="AE52" i="12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AE21" i="14"/>
  <c r="AE21" i="13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AE17" i="13"/>
  <c r="I19" i="31" s="1" a="1"/>
  <c r="I19" i="31" s="1"/>
  <c r="AE17" i="14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Z22" i="14"/>
  <c r="Z22" i="13"/>
  <c r="D24" i="31" s="1" a="1"/>
  <c r="D24" i="31" s="1"/>
  <c r="Z68" i="12"/>
  <c r="J22" i="14"/>
  <c r="J22" i="13"/>
  <c r="J68" i="12"/>
  <c r="AD21" i="13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Z64" i="12"/>
  <c r="Z18" i="14"/>
  <c r="J18" i="13"/>
  <c r="J18" i="14"/>
  <c r="J64" i="12"/>
  <c r="AD17" i="13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AE20" i="14"/>
  <c r="AE66" i="12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O16" i="13"/>
  <c r="O62" i="12"/>
  <c r="O16" i="14"/>
  <c r="AE8" i="13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24" i="17"/>
  <c r="W4" i="13"/>
  <c r="W4" i="14"/>
  <c r="G4" i="13"/>
  <c r="G4" i="14"/>
  <c r="AA3" i="13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AD6" i="13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F11" i="14"/>
  <c r="P7" i="14"/>
  <c r="T16" i="14"/>
  <c r="D16" i="13"/>
  <c r="D16" i="14"/>
  <c r="X15" i="13"/>
  <c r="X15" i="14"/>
  <c r="H15" i="13"/>
  <c r="H61" i="12"/>
  <c r="H15" i="14"/>
  <c r="AB14" i="14"/>
  <c r="AB14" i="13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E13" i="30" s="1" a="1"/>
  <c r="E13" i="30" s="1"/>
  <c r="AD56" i="12"/>
  <c r="H56" i="12"/>
  <c r="W55" i="12"/>
  <c r="O50" i="12"/>
  <c r="AG11" i="13"/>
  <c r="I10" i="13"/>
  <c r="C10" i="40"/>
  <c r="B16" i="19"/>
  <c r="D10" i="40" s="1"/>
  <c r="E10" i="40" s="1"/>
  <c r="AA14" i="13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AE9" i="14"/>
  <c r="O9" i="13"/>
  <c r="O9" i="14"/>
  <c r="AI8" i="14"/>
  <c r="S8" i="14"/>
  <c r="S8" i="13"/>
  <c r="C8" i="14"/>
  <c r="W53" i="12"/>
  <c r="W7" i="14"/>
  <c r="W7" i="13"/>
  <c r="G7" i="14"/>
  <c r="AA6" i="14"/>
  <c r="AA6" i="13"/>
  <c r="K6" i="14"/>
  <c r="K6" i="13"/>
  <c r="E7" i="41" a="1"/>
  <c r="E7" i="41" s="1"/>
  <c r="D7" i="30" a="1"/>
  <c r="D7" i="30" s="1"/>
  <c r="B14" i="20" a="1"/>
  <c r="B14" i="20" s="1"/>
  <c r="D7" i="41" s="1"/>
  <c r="AE5" i="14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J10" i="13"/>
  <c r="J56" i="12"/>
  <c r="AD9" i="13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AD13" i="14"/>
  <c r="J10" i="14"/>
  <c r="I14" i="16"/>
  <c r="AB17" i="14"/>
  <c r="AB17" i="13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K59" i="12"/>
  <c r="X57" i="12"/>
  <c r="D57" i="12"/>
  <c r="AH55" i="12"/>
  <c r="N55" i="12"/>
  <c r="V53" i="12"/>
  <c r="AK52" i="12"/>
  <c r="AE51" i="12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AE7" i="14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7" a="1"/>
  <c r="D8" i="47" s="1"/>
  <c r="D8" i="45" a="1"/>
  <c r="D8" i="45" s="1"/>
  <c r="P23" i="17"/>
  <c r="L23" i="17"/>
  <c r="H23" i="17"/>
  <c r="K23" i="17"/>
  <c r="G23" i="17"/>
  <c r="M23" i="17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K22" i="17"/>
  <c r="G22" i="17"/>
  <c r="F22" i="17"/>
  <c r="N22" i="17" s="1"/>
  <c r="L22" i="17"/>
  <c r="P22" i="17"/>
  <c r="M22" i="17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8" i="43" s="1" a="1"/>
  <c r="D8" i="43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O27" i="17"/>
  <c r="B23" i="19"/>
  <c r="D17" i="40" s="1"/>
  <c r="E17" i="40" s="1"/>
  <c r="O23" i="17"/>
  <c r="O7" i="17"/>
  <c r="C31" i="17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E7" i="44" a="1"/>
  <c r="E7" i="44" s="1"/>
  <c r="F7" i="44"/>
  <c r="D7" i="28" a="1"/>
  <c r="D7" i="28" s="1"/>
  <c r="D8" i="35" a="1"/>
  <c r="D8" i="35" s="1"/>
  <c r="B20" i="19"/>
  <c r="D14" i="40" s="1"/>
  <c r="E14" i="40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12" i="43" a="1"/>
  <c r="E12" i="43" s="1"/>
  <c r="F14" i="47"/>
  <c r="F11" i="47"/>
  <c r="F13" i="46"/>
  <c r="E13" i="46" a="1"/>
  <c r="E13" i="46" s="1"/>
  <c r="F9" i="45"/>
  <c r="F16" i="47"/>
  <c r="F9" i="44"/>
  <c r="F13" i="47"/>
  <c r="F5" i="45"/>
  <c r="E9" i="44" a="1"/>
  <c r="E9" i="44" s="1"/>
  <c r="F9" i="47"/>
  <c r="F12" i="36"/>
  <c r="F14" i="43"/>
  <c r="F10" i="44"/>
  <c r="E11" i="46" a="1"/>
  <c r="E11" i="46" s="1"/>
  <c r="F14" i="46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F8" i="47"/>
  <c r="B15" i="21"/>
  <c r="D10" i="33" s="1"/>
  <c r="B2" i="20" a="1"/>
  <c r="B7" i="20" a="1"/>
  <c r="B4" i="20"/>
  <c r="E14" i="43" l="1" a="1"/>
  <c r="E14" i="43" s="1"/>
  <c r="N8" i="8"/>
  <c r="AL19" i="14" a="1"/>
  <c r="AL19" i="14" s="1"/>
  <c r="G21" i="30" s="1"/>
  <c r="E6" i="30" a="1"/>
  <c r="E6" i="30" s="1"/>
  <c r="D12" i="31" a="1"/>
  <c r="D12" i="31" s="1"/>
  <c r="H14" i="46"/>
  <c r="I14" i="46" s="1"/>
  <c r="H15" i="31" a="1"/>
  <c r="H15" i="31" s="1"/>
  <c r="E16" i="31" a="1"/>
  <c r="E16" i="31" s="1"/>
  <c r="E19" i="31" a="1"/>
  <c r="E19" i="31" s="1"/>
  <c r="E12" i="30" a="1"/>
  <c r="E12" i="30" s="1"/>
  <c r="AL14" i="14" a="1"/>
  <c r="AL14" i="14" s="1"/>
  <c r="G16" i="30" s="1"/>
  <c r="F18" i="31" a="1"/>
  <c r="F18" i="31" s="1"/>
  <c r="G12" i="31" a="1"/>
  <c r="G12" i="31" s="1"/>
  <c r="D23" i="31" a="1"/>
  <c r="D23" i="31" s="1"/>
  <c r="E15" i="44" a="1"/>
  <c r="E15" i="44" s="1"/>
  <c r="H15" i="44" s="1"/>
  <c r="I15" i="44" s="1"/>
  <c r="G8" i="31" a="1"/>
  <c r="G8" i="31" s="1"/>
  <c r="J14" i="46"/>
  <c r="I13" i="31" a="1"/>
  <c r="I13" i="31" s="1"/>
  <c r="E22" i="30" a="1"/>
  <c r="E22" i="30" s="1"/>
  <c r="D17" i="31" a="1"/>
  <c r="D17" i="31" s="1"/>
  <c r="Q13" i="9"/>
  <c r="D7" i="31" a="1"/>
  <c r="D7" i="31" s="1"/>
  <c r="F11" i="31" a="1"/>
  <c r="F11" i="31" s="1"/>
  <c r="I11" i="31" a="1"/>
  <c r="I11" i="31" s="1"/>
  <c r="AL20" i="14" a="1"/>
  <c r="AL20" i="14" s="1"/>
  <c r="G22" i="30" s="1"/>
  <c r="E10" i="30" a="1"/>
  <c r="E10" i="30" s="1"/>
  <c r="F8" i="31" a="1"/>
  <c r="F8" i="31" s="1"/>
  <c r="H17" i="31" a="1"/>
  <c r="H17" i="31" s="1"/>
  <c r="D22" i="31" a="1"/>
  <c r="D22" i="31" s="1"/>
  <c r="G18" i="31" a="1"/>
  <c r="G18" i="31" s="1"/>
  <c r="AA8" i="9"/>
  <c r="E9" i="43" a="1"/>
  <c r="E9" i="43" s="1"/>
  <c r="D9" i="31" a="1"/>
  <c r="D9" i="31" s="1"/>
  <c r="F23" i="31" a="1"/>
  <c r="F23" i="31" s="1"/>
  <c r="G23" i="31" a="1"/>
  <c r="G23" i="31" s="1"/>
  <c r="E8" i="43" a="1"/>
  <c r="E8" i="43" s="1"/>
  <c r="E10" i="46" a="1"/>
  <c r="E10" i="46" s="1"/>
  <c r="H7" i="31" a="1"/>
  <c r="H7" i="31" s="1"/>
  <c r="D5" i="36"/>
  <c r="G15" i="31" a="1"/>
  <c r="G15" i="31" s="1"/>
  <c r="E10" i="31" a="1"/>
  <c r="E10" i="31" s="1"/>
  <c r="AL21" i="14" a="1"/>
  <c r="AL21" i="14" s="1"/>
  <c r="G23" i="30" s="1"/>
  <c r="D21" i="31" a="1"/>
  <c r="D21" i="31" s="1"/>
  <c r="B7" i="20"/>
  <c r="B2" i="20"/>
  <c r="D10" i="42" s="1"/>
  <c r="H18" i="31" a="1"/>
  <c r="H18" i="31" s="1"/>
  <c r="E8" i="45" a="1"/>
  <c r="E8" i="45" s="1"/>
  <c r="I23" i="31" a="1"/>
  <c r="I23" i="31" s="1"/>
  <c r="E6" i="31" a="1"/>
  <c r="E6" i="31" s="1"/>
  <c r="E7" i="30" a="1"/>
  <c r="E7" i="30" s="1"/>
  <c r="E9" i="31" a="1"/>
  <c r="E9" i="31" s="1"/>
  <c r="D18" i="31" a="1"/>
  <c r="D18" i="31" s="1"/>
  <c r="G14" i="31" a="1"/>
  <c r="G14" i="31" s="1"/>
  <c r="E23" i="31" a="1"/>
  <c r="E23" i="31" s="1"/>
  <c r="F24" i="31" a="1"/>
  <c r="F24" i="31" s="1"/>
  <c r="I9" i="31" a="1"/>
  <c r="I9" i="31" s="1"/>
  <c r="H9" i="31" a="1"/>
  <c r="H9" i="31" s="1"/>
  <c r="G11" i="31" a="1"/>
  <c r="G11" i="31" s="1"/>
  <c r="AL5" i="14" a="1"/>
  <c r="AL5" i="14" s="1"/>
  <c r="G7" i="30" s="1"/>
  <c r="H8" i="31" a="1"/>
  <c r="H8" i="31" s="1"/>
  <c r="I10" i="31" a="1"/>
  <c r="I10" i="31" s="1"/>
  <c r="H23" i="31" a="1"/>
  <c r="H23" i="31" s="1"/>
  <c r="AL17" i="14" a="1"/>
  <c r="AL17" i="14" s="1"/>
  <c r="G19" i="30" s="1"/>
  <c r="E23" i="30" a="1"/>
  <c r="E23" i="30" s="1"/>
  <c r="E16" i="30" a="1"/>
  <c r="E16" i="30" s="1"/>
  <c r="F22" i="31" a="1"/>
  <c r="F22" i="31" s="1"/>
  <c r="G22" i="31" a="1"/>
  <c r="G22" i="31" s="1"/>
  <c r="E20" i="31" a="1"/>
  <c r="E20" i="31" s="1"/>
  <c r="AL7" i="14" a="1"/>
  <c r="AL7" i="14" s="1"/>
  <c r="G9" i="30" s="1"/>
  <c r="I16" i="31" a="1"/>
  <c r="I16" i="31" s="1"/>
  <c r="D6" i="31" a="1"/>
  <c r="D6" i="31" s="1"/>
  <c r="AL9" i="14" a="1"/>
  <c r="AL9" i="14" s="1"/>
  <c r="G11" i="30" s="1"/>
  <c r="G9" i="31" a="1"/>
  <c r="G9" i="31" s="1"/>
  <c r="F19" i="31" a="1"/>
  <c r="F19" i="31" s="1"/>
  <c r="D6" i="32"/>
  <c r="E19" i="30" a="1"/>
  <c r="E19" i="30" s="1"/>
  <c r="F19" i="30" s="1"/>
  <c r="J4" i="9"/>
  <c r="Z4" i="9"/>
  <c r="H10" i="31" a="1"/>
  <c r="H10" i="31" s="1"/>
  <c r="F14" i="31" a="1"/>
  <c r="F14" i="31" s="1"/>
  <c r="E11" i="30" a="1"/>
  <c r="E11" i="30" s="1"/>
  <c r="F11" i="30" s="1"/>
  <c r="G13" i="31" a="1"/>
  <c r="G13" i="31" s="1"/>
  <c r="AL15" i="14" a="1"/>
  <c r="AL15" i="14" s="1"/>
  <c r="G17" i="30" s="1"/>
  <c r="G6" i="31" a="1"/>
  <c r="G6" i="31" s="1"/>
  <c r="G10" i="31" a="1"/>
  <c r="G10" i="31" s="1"/>
  <c r="F6" i="30"/>
  <c r="D5" i="31" a="1"/>
  <c r="D5" i="31" s="1"/>
  <c r="B3" i="22"/>
  <c r="F20" i="31" a="1"/>
  <c r="F20" i="31" s="1"/>
  <c r="I12" i="31" a="1"/>
  <c r="I12" i="31" s="1"/>
  <c r="F13" i="31" a="1"/>
  <c r="F13" i="31" s="1"/>
  <c r="H21" i="31" a="1"/>
  <c r="H21" i="31" s="1"/>
  <c r="E16" i="45" a="1"/>
  <c r="E16" i="45" s="1"/>
  <c r="F21" i="31" a="1"/>
  <c r="F21" i="31" s="1"/>
  <c r="G17" i="31" a="1"/>
  <c r="G17" i="31" s="1"/>
  <c r="F13" i="30"/>
  <c r="F10" i="31" a="1"/>
  <c r="F10" i="31" s="1"/>
  <c r="D14" i="31" a="1"/>
  <c r="D14" i="31" s="1"/>
  <c r="G5" i="31" a="1"/>
  <c r="G5" i="31" s="1"/>
  <c r="E18" i="30" a="1"/>
  <c r="E18" i="30" s="1"/>
  <c r="I22" i="31" a="1"/>
  <c r="I22" i="31" s="1"/>
  <c r="E8" i="30" a="1"/>
  <c r="E8" i="30" s="1"/>
  <c r="AL10" i="14" a="1"/>
  <c r="AL10" i="14" s="1"/>
  <c r="G12" i="30" s="1"/>
  <c r="G16" i="31" a="1"/>
  <c r="G16" i="31" s="1"/>
  <c r="E21" i="31" a="1"/>
  <c r="E21" i="31" s="1"/>
  <c r="H14" i="31" a="1"/>
  <c r="H14" i="31" s="1"/>
  <c r="H5" i="31" a="1"/>
  <c r="H5" i="31" s="1"/>
  <c r="G24" i="31" a="1"/>
  <c r="G24" i="31" s="1"/>
  <c r="E8" i="46" a="1"/>
  <c r="E8" i="46" s="1"/>
  <c r="E8" i="31" a="1"/>
  <c r="E8" i="31" s="1"/>
  <c r="H19" i="31" a="1"/>
  <c r="H19" i="31" s="1"/>
  <c r="I8" i="31" a="1"/>
  <c r="I8" i="31" s="1"/>
  <c r="G20" i="31" a="1"/>
  <c r="G20" i="31" s="1"/>
  <c r="D10" i="28" a="1"/>
  <c r="D10" i="28" s="1"/>
  <c r="L6" i="16"/>
  <c r="F9" i="34" s="1"/>
  <c r="E15" i="30" a="1"/>
  <c r="E15" i="30" s="1"/>
  <c r="E14" i="31" a="1"/>
  <c r="E14" i="31" s="1"/>
  <c r="D8" i="31" a="1"/>
  <c r="D8" i="31" s="1"/>
  <c r="D16" i="31" a="1"/>
  <c r="D16" i="31" s="1"/>
  <c r="E5" i="42" a="1"/>
  <c r="E5" i="42" s="1"/>
  <c r="B2" i="23" a="1"/>
  <c r="B2" i="23" s="1"/>
  <c r="E17" i="31" a="1"/>
  <c r="E17" i="31" s="1"/>
  <c r="F17" i="31" a="1"/>
  <c r="F17" i="31" s="1"/>
  <c r="D19" i="31" a="1"/>
  <c r="D19" i="31" s="1"/>
  <c r="H22" i="31" a="1"/>
  <c r="H22" i="31" s="1"/>
  <c r="I15" i="31" a="1"/>
  <c r="I15" i="31" s="1"/>
  <c r="F16" i="31" a="1"/>
  <c r="F16" i="31" s="1"/>
  <c r="I17" i="31" a="1"/>
  <c r="I17" i="31" s="1"/>
  <c r="I7" i="31" a="1"/>
  <c r="I7" i="31" s="1"/>
  <c r="H11" i="31" a="1"/>
  <c r="H11" i="31" s="1"/>
  <c r="I24" i="31" a="1"/>
  <c r="I24" i="31" s="1"/>
  <c r="D15" i="31" a="1"/>
  <c r="D15" i="31" s="1"/>
  <c r="D11" i="31" a="1"/>
  <c r="D11" i="31" s="1"/>
  <c r="E11" i="45" a="1"/>
  <c r="E11" i="45" s="1"/>
  <c r="J11" i="45" s="1"/>
  <c r="B4" i="23" a="1"/>
  <c r="B4" i="23" s="1"/>
  <c r="D7" i="24" s="1"/>
  <c r="F7" i="24" s="1"/>
  <c r="G7" i="24" s="1"/>
  <c r="E5" i="31" a="1"/>
  <c r="E5" i="31" s="1"/>
  <c r="D20" i="31" a="1"/>
  <c r="D20" i="31" s="1"/>
  <c r="E13" i="31" a="1"/>
  <c r="E13" i="31" s="1"/>
  <c r="F5" i="31" a="1"/>
  <c r="F5" i="31" s="1"/>
  <c r="I20" i="31" a="1"/>
  <c r="I20" i="31" s="1"/>
  <c r="E12" i="31" a="1"/>
  <c r="E12" i="31" s="1"/>
  <c r="E7" i="46" a="1"/>
  <c r="E7" i="46" s="1"/>
  <c r="AL18" i="14" a="1"/>
  <c r="AL18" i="14" s="1"/>
  <c r="G20" i="30" s="1"/>
  <c r="Q13" i="8"/>
  <c r="Q10" i="9"/>
  <c r="K3" i="8"/>
  <c r="L37" i="8"/>
  <c r="X3" i="9"/>
  <c r="E7" i="45" a="1"/>
  <c r="E7" i="45" s="1"/>
  <c r="J7" i="45" s="1"/>
  <c r="N15" i="8"/>
  <c r="F20" i="41"/>
  <c r="K27" i="8"/>
  <c r="D12" i="32"/>
  <c r="P17" i="8"/>
  <c r="J9" i="9"/>
  <c r="I15" i="8"/>
  <c r="H9" i="9"/>
  <c r="F21" i="41"/>
  <c r="Q4" i="9"/>
  <c r="B4" i="22"/>
  <c r="D7" i="39" s="1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K3" i="16"/>
  <c r="G6" i="34" s="1"/>
  <c r="M16" i="8"/>
  <c r="R30" i="8"/>
  <c r="J9" i="27"/>
  <c r="G32" i="8"/>
  <c r="S32" i="8" s="1"/>
  <c r="B20" i="22"/>
  <c r="T10" i="9" a="1"/>
  <c r="T10" i="9" s="1"/>
  <c r="I22" i="17"/>
  <c r="E13" i="45" a="1"/>
  <c r="E13" i="45" s="1"/>
  <c r="H13" i="45" s="1"/>
  <c r="I13" i="45" s="1"/>
  <c r="G28" i="8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F20" i="30"/>
  <c r="G19" i="8"/>
  <c r="R32" i="8"/>
  <c r="E12" i="45" a="1"/>
  <c r="E12" i="45" s="1"/>
  <c r="H12" i="45" s="1"/>
  <c r="I12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T28" i="8"/>
  <c r="R4" i="8"/>
  <c r="I12" i="8"/>
  <c r="L20" i="16"/>
  <c r="F23" i="34" s="1"/>
  <c r="U21" i="8"/>
  <c r="H10" i="9"/>
  <c r="Y10" i="9"/>
  <c r="G11" i="8"/>
  <c r="F18" i="9"/>
  <c r="D5" i="26"/>
  <c r="G24" i="8"/>
  <c r="P12" i="8"/>
  <c r="L11" i="16"/>
  <c r="F14" i="34" s="1"/>
  <c r="L28" i="8"/>
  <c r="K13" i="9"/>
  <c r="L11" i="8"/>
  <c r="B10" i="22"/>
  <c r="D13" i="39" s="1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L8" i="16"/>
  <c r="F11" i="34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F6" i="27"/>
  <c r="G3" i="10"/>
  <c r="F12" i="27"/>
  <c r="G9" i="10"/>
  <c r="F10" i="27"/>
  <c r="G7" i="10"/>
  <c r="F5" i="27"/>
  <c r="G2" i="10"/>
  <c r="C26" i="17"/>
  <c r="I26" i="17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5" i="23" s="1" a="1"/>
  <c r="C5" i="23" s="1"/>
  <c r="E8" i="24" s="1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G17" i="8"/>
  <c r="S17" i="8" s="1"/>
  <c r="Q17" i="8"/>
  <c r="Q33" i="8"/>
  <c r="G33" i="8"/>
  <c r="S33" i="8" s="1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E31" i="17"/>
  <c r="P31" i="17"/>
  <c r="K31" i="17"/>
  <c r="G31" i="17"/>
  <c r="L31" i="17"/>
  <c r="H31" i="17"/>
  <c r="I31" i="17"/>
  <c r="D20" i="17"/>
  <c r="C20" i="17"/>
  <c r="I20" i="17" s="1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U22" i="8"/>
  <c r="Q8" i="8"/>
  <c r="G8" i="8"/>
  <c r="S8" i="8" s="1"/>
  <c r="G23" i="8"/>
  <c r="R23" i="8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M27" i="17"/>
  <c r="E27" i="17"/>
  <c r="P27" i="17"/>
  <c r="L27" i="17"/>
  <c r="H27" i="17"/>
  <c r="J27" i="17"/>
  <c r="F27" i="17"/>
  <c r="N27" i="17" s="1"/>
  <c r="K27" i="17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35" i="17"/>
  <c r="C35" i="17"/>
  <c r="I35" i="17" s="1"/>
  <c r="G10" i="29" a="1"/>
  <c r="G10" i="29" s="1"/>
  <c r="F10" i="29"/>
  <c r="E10" i="29"/>
  <c r="P24" i="17"/>
  <c r="L24" i="17"/>
  <c r="M24" i="17"/>
  <c r="J24" i="17"/>
  <c r="E24" i="17"/>
  <c r="F24" i="17"/>
  <c r="N24" i="17" s="1"/>
  <c r="K24" i="17"/>
  <c r="G24" i="17"/>
  <c r="H24" i="17"/>
  <c r="D8" i="42"/>
  <c r="J5" i="27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D5" i="17"/>
  <c r="L4" i="16"/>
  <c r="F7" i="34" s="1"/>
  <c r="I9" i="17"/>
  <c r="I27" i="17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M29" i="17"/>
  <c r="G8" i="35" s="1" a="1"/>
  <c r="G8" i="35" s="1"/>
  <c r="E29" i="17"/>
  <c r="J29" i="17"/>
  <c r="K29" i="17"/>
  <c r="H8" i="35" s="1" a="1"/>
  <c r="H8" i="35" s="1"/>
  <c r="G29" i="17"/>
  <c r="H29" i="17"/>
  <c r="F29" i="17"/>
  <c r="N29" i="17" s="1"/>
  <c r="I29" i="17"/>
  <c r="E8" i="35" s="1" a="1"/>
  <c r="E8" i="35" s="1"/>
  <c r="P29" i="17"/>
  <c r="L29" i="17"/>
  <c r="F8" i="35" s="1" a="1"/>
  <c r="F8" i="35" s="1"/>
  <c r="D25" i="17"/>
  <c r="C25" i="17"/>
  <c r="I25" i="17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G21" i="17"/>
  <c r="H21" i="17"/>
  <c r="L21" i="17"/>
  <c r="D6" i="35" a="1"/>
  <c r="D6" i="35" s="1"/>
  <c r="M21" i="17"/>
  <c r="E21" i="17"/>
  <c r="P21" i="17"/>
  <c r="J21" i="17"/>
  <c r="F21" i="17"/>
  <c r="N21" i="17" s="1"/>
  <c r="F17" i="30"/>
  <c r="F5" i="41"/>
  <c r="F5" i="30"/>
  <c r="F22" i="41"/>
  <c r="B28" i="21"/>
  <c r="E13" i="32" s="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D9" i="45" s="1" a="1"/>
  <c r="D9" i="4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C13" i="32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D12" i="39"/>
  <c r="C9" i="22"/>
  <c r="U10" i="8"/>
  <c r="E10" i="43" a="1"/>
  <c r="E10" i="43" s="1"/>
  <c r="N25" i="8"/>
  <c r="M25" i="8"/>
  <c r="I25" i="8"/>
  <c r="P25" i="8"/>
  <c r="O25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E15" i="45" a="1"/>
  <c r="E15" i="45" s="1"/>
  <c r="Q30" i="8"/>
  <c r="U34" i="8"/>
  <c r="U35" i="8"/>
  <c r="G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D5" i="24" l="1"/>
  <c r="E10" i="42" a="1"/>
  <c r="E10" i="42" s="1"/>
  <c r="E9" i="42" a="1"/>
  <c r="E9" i="42" s="1"/>
  <c r="F9" i="42" s="1"/>
  <c r="E6" i="42" a="1"/>
  <c r="E6" i="42" s="1"/>
  <c r="S19" i="8"/>
  <c r="E6" i="35" a="1"/>
  <c r="E6" i="35" s="1"/>
  <c r="H11" i="45"/>
  <c r="I11" i="45" s="1"/>
  <c r="E16" i="35" a="1"/>
  <c r="E16" i="35" s="1"/>
  <c r="D9" i="43" a="1"/>
  <c r="D9" i="43" s="1"/>
  <c r="D16" i="43" a="1"/>
  <c r="D16" i="43" s="1"/>
  <c r="D9" i="46" a="1"/>
  <c r="D9" i="46" s="1"/>
  <c r="D9" i="47" a="1"/>
  <c r="D9" i="47" s="1"/>
  <c r="C4" i="22"/>
  <c r="D4" i="22" s="1"/>
  <c r="J13" i="45"/>
  <c r="D16" i="46" a="1"/>
  <c r="D16" i="46" s="1"/>
  <c r="D16" i="45" a="1"/>
  <c r="D16" i="45" s="1"/>
  <c r="E15" i="47" a="1"/>
  <c r="E15" i="47" s="1"/>
  <c r="D16" i="35" a="1"/>
  <c r="D16" i="35" s="1"/>
  <c r="D9" i="35" a="1"/>
  <c r="D9" i="35" s="1"/>
  <c r="F10" i="42"/>
  <c r="C10" i="22"/>
  <c r="D10" i="22" s="1"/>
  <c r="E10" i="22" s="1"/>
  <c r="F10" i="22" s="1"/>
  <c r="G10" i="22" s="1"/>
  <c r="H10" i="22" s="1"/>
  <c r="H7" i="45"/>
  <c r="I7" i="45" s="1"/>
  <c r="D16" i="47" a="1"/>
  <c r="D16" i="47" s="1"/>
  <c r="I30" i="17"/>
  <c r="E15" i="35" s="1" a="1"/>
  <c r="E15" i="35" s="1"/>
  <c r="D9" i="44" a="1"/>
  <c r="D9" i="44" s="1"/>
  <c r="D14" i="35" a="1"/>
  <c r="D14" i="35" s="1"/>
  <c r="D16" i="44" a="1"/>
  <c r="D16" i="44" s="1"/>
  <c r="E9" i="47" a="1"/>
  <c r="E9" i="47" s="1"/>
  <c r="H9" i="47" s="1"/>
  <c r="I9" i="47" s="1"/>
  <c r="D14" i="47" a="1"/>
  <c r="D14" i="47" s="1"/>
  <c r="D6" i="46" a="1"/>
  <c r="D6" i="46" s="1"/>
  <c r="D4" i="23"/>
  <c r="E4" i="23" s="1"/>
  <c r="E11" i="35" a="1"/>
  <c r="E11" i="35" s="1"/>
  <c r="D12" i="35" a="1"/>
  <c r="D12" i="35" s="1"/>
  <c r="D12" i="43" a="1"/>
  <c r="D12" i="43" s="1"/>
  <c r="E13" i="47" a="1"/>
  <c r="E13" i="47" s="1"/>
  <c r="H13" i="47" s="1"/>
  <c r="I13" i="47" s="1"/>
  <c r="S21" i="8"/>
  <c r="D12" i="44" a="1"/>
  <c r="D12" i="44" s="1"/>
  <c r="D14" i="46" a="1"/>
  <c r="D14" i="46" s="1"/>
  <c r="D14" i="43" a="1"/>
  <c r="D14" i="43" s="1"/>
  <c r="E11" i="47" a="1"/>
  <c r="E11" i="47" s="1"/>
  <c r="D14" i="44" a="1"/>
  <c r="D14" i="44" s="1"/>
  <c r="E12" i="35" a="1"/>
  <c r="E12" i="35" s="1"/>
  <c r="E8" i="47" a="1"/>
  <c r="E8" i="47" s="1"/>
  <c r="H8" i="47" s="1"/>
  <c r="I8" i="47" s="1"/>
  <c r="B19" i="23" a="1"/>
  <c r="B19" i="23" s="1"/>
  <c r="C19" i="23" s="1"/>
  <c r="D14" i="45" a="1"/>
  <c r="D14" i="45" s="1"/>
  <c r="D12" i="45" a="1"/>
  <c r="D12" i="45" s="1"/>
  <c r="P19" i="16"/>
  <c r="H22" i="34" s="1"/>
  <c r="D12" i="46" a="1"/>
  <c r="D12" i="46" s="1"/>
  <c r="F7" i="32"/>
  <c r="E10" i="35" a="1"/>
  <c r="E10" i="35" s="1"/>
  <c r="D12" i="47" a="1"/>
  <c r="D12" i="47" s="1"/>
  <c r="I5" i="17"/>
  <c r="E7" i="35" s="1" a="1"/>
  <c r="E7" i="35" s="1"/>
  <c r="D7" i="46" a="1"/>
  <c r="D7" i="46" s="1"/>
  <c r="D7" i="43" a="1"/>
  <c r="D7" i="43" s="1"/>
  <c r="D7" i="45" a="1"/>
  <c r="D7" i="45" s="1"/>
  <c r="D7" i="35" a="1"/>
  <c r="D7" i="35" s="1"/>
  <c r="D7" i="44" a="1"/>
  <c r="D7" i="44" s="1"/>
  <c r="D7" i="47" a="1"/>
  <c r="D7" i="47" s="1"/>
  <c r="B18" i="23" a="1"/>
  <c r="B18" i="23" s="1"/>
  <c r="C18" i="23" s="1"/>
  <c r="D6" i="44" a="1"/>
  <c r="D6" i="44" s="1"/>
  <c r="E5" i="47" a="1"/>
  <c r="E5" i="47" s="1"/>
  <c r="J9" i="47" s="1"/>
  <c r="D6" i="43" a="1"/>
  <c r="D6" i="43" s="1"/>
  <c r="J16" i="44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F9" i="22" s="1"/>
  <c r="G9" i="22" s="1"/>
  <c r="H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S9" i="8"/>
  <c r="P15" i="16"/>
  <c r="H18" i="34" s="1"/>
  <c r="S27" i="8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9" i="35" s="1" a="1"/>
  <c r="G9" i="35" s="1"/>
  <c r="E30" i="17"/>
  <c r="P30" i="17"/>
  <c r="J30" i="17"/>
  <c r="K30" i="17"/>
  <c r="H9" i="35" s="1" a="1"/>
  <c r="H9" i="35" s="1"/>
  <c r="G30" i="17"/>
  <c r="H30" i="17"/>
  <c r="L30" i="17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G20" i="17"/>
  <c r="H20" i="17"/>
  <c r="P20" i="17"/>
  <c r="M20" i="17"/>
  <c r="J20" i="17"/>
  <c r="E20" i="17"/>
  <c r="F20" i="17"/>
  <c r="N20" i="17" s="1"/>
  <c r="L20" i="17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E5" i="35" s="1" a="1"/>
  <c r="E5" i="35" s="1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F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H7" i="35" s="1" a="1"/>
  <c r="H7" i="35" s="1"/>
  <c r="M5" i="17"/>
  <c r="G7" i="35" s="1" a="1"/>
  <c r="G7" i="35" s="1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E14" i="35" s="1" a="1"/>
  <c r="E14" i="35" s="1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D20" i="22"/>
  <c r="E20" i="22" s="1"/>
  <c r="J29" i="8"/>
  <c r="G37" i="17"/>
  <c r="H37" i="17"/>
  <c r="L37" i="17"/>
  <c r="F16" i="35" s="1" a="1"/>
  <c r="F16" i="35" s="1"/>
  <c r="P37" i="17"/>
  <c r="M37" i="17"/>
  <c r="G16" i="35" s="1" a="1"/>
  <c r="G16" i="35" s="1"/>
  <c r="J37" i="17"/>
  <c r="E37" i="17"/>
  <c r="F37" i="17"/>
  <c r="N37" i="17" s="1"/>
  <c r="K37" i="17"/>
  <c r="H16" i="35" s="1" a="1"/>
  <c r="H16" i="35" s="1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H6" i="35" s="1" a="1"/>
  <c r="H6" i="35" s="1"/>
  <c r="P4" i="17"/>
  <c r="M4" i="17"/>
  <c r="G6" i="35" s="1" a="1"/>
  <c r="G6" i="35" s="1"/>
  <c r="J4" i="17"/>
  <c r="G4" i="17"/>
  <c r="L4" i="17"/>
  <c r="F6" i="35" s="1" a="1"/>
  <c r="F6" i="35" s="1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P10" i="17"/>
  <c r="L10" i="17"/>
  <c r="F12" i="35" s="1" a="1"/>
  <c r="F12" i="35" s="1"/>
  <c r="H10" i="17"/>
  <c r="E10" i="17"/>
  <c r="M10" i="17"/>
  <c r="G12" i="35" s="1" a="1"/>
  <c r="G12" i="35" s="1"/>
  <c r="J10" i="17"/>
  <c r="G10" i="17"/>
  <c r="K10" i="17"/>
  <c r="H12" i="35" s="1" a="1"/>
  <c r="H12" i="35" s="1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B3" i="20" a="1"/>
  <c r="B3" i="20" l="1"/>
  <c r="J15" i="47"/>
  <c r="H15" i="47"/>
  <c r="I15" i="47" s="1"/>
  <c r="F14" i="35" a="1"/>
  <c r="F14" i="35" s="1"/>
  <c r="G14" i="35" a="1"/>
  <c r="G14" i="35" s="1"/>
  <c r="E9" i="35" a="1"/>
  <c r="E9" i="35" s="1"/>
  <c r="G5" i="35" a="1"/>
  <c r="G5" i="35" s="1"/>
  <c r="J7" i="47"/>
  <c r="E12" i="39"/>
  <c r="F15" i="35" a="1"/>
  <c r="F15" i="35" s="1"/>
  <c r="H15" i="35" a="1"/>
  <c r="H15" i="35" s="1"/>
  <c r="F9" i="35" a="1"/>
  <c r="F9" i="35" s="1"/>
  <c r="G15" i="35" a="1"/>
  <c r="G15" i="35" s="1"/>
  <c r="H14" i="35" a="1"/>
  <c r="H14" i="35" s="1"/>
  <c r="F7" i="35" a="1"/>
  <c r="F7" i="35" s="1"/>
  <c r="B10" i="23" a="1"/>
  <c r="B10" i="23" s="1"/>
  <c r="C10" i="23" s="1"/>
  <c r="F5" i="35" a="1"/>
  <c r="F5" i="35" s="1"/>
  <c r="J13" i="47"/>
  <c r="H5" i="35" a="1"/>
  <c r="H5" i="35" s="1"/>
  <c r="E10" i="39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B3" i="21" l="1"/>
  <c r="J9" i="22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  <c r="B14" i="21" l="1"/>
  <c r="D9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<sst xmlns="http://schemas.openxmlformats.org/spreadsheetml/2006/main" count="18064" uniqueCount="327">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</sst>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3.9862557443399692E-2</v>
          </cell>
        </row>
        <row r="3">
          <cell r="B3">
            <v>20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04%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37415.700000000004</v>
          </cell>
        </row>
        <row r="4">
          <cell r="B4">
            <v>19659.800000000014</v>
          </cell>
        </row>
        <row r="5">
          <cell r="B5">
            <v>3161.7000000000044</v>
          </cell>
        </row>
        <row r="6">
          <cell r="B6">
            <v>20</v>
          </cell>
        </row>
        <row r="7">
          <cell r="B7" t="str">
            <v>Isole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41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Tirrena (B103)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3.9862557443399692E-2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8031.860000042675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8166.6337119365216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8224.0492654575228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8290.9894450599641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8428.3685751239136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8467.5246995033904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8551.1809951833293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8608.5790010415094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8690.1326622858051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8804.8342515840886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8882.3407514972805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8980.2610000000004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9023.4725675121517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9071.9145806981305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9139.6332192232148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9281.9008887832497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9443.5844612383517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9526.4590305159563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9597.0051830803841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9737.8045528674629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9717.1696254119142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9853.670953540679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9875.0095524396093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9978.8253999999997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10174.449323115827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10252.209545506441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10398.158254304435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10355.768722828368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10507.187152526378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10622.466470802263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10691.622521649086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10762.137089741867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10878.708015599303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10968.3870763381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11175.294458480457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11193.130479100002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0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0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0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0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0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27574.800000000003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28720.9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0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541.6</v>
      </c>
      <c r="C2">
        <f>SUMIFS(Data!$F$2:$F$5761,Data!$A$2:$A$5761,Control!$B$2,Data!$B$2:$B$5761,Control!$B$3,Data!$C$2:$C$5761,A2)</f>
        <v>25.23</v>
      </c>
      <c r="D2">
        <f>SUMIFS(Data!$G$2:$G$5761,Data!$A$2:$A$5761,Control!$B$2,Data!$B$2:$B$5761,Control!$B$3,Data!$C$2:$C$5761,A2)</f>
        <v>16.13</v>
      </c>
      <c r="E2">
        <f t="shared" ref="E2:E9" si="0">C2-D2</f>
        <v>9.1000000000000014</v>
      </c>
      <c r="F2">
        <f>VLOOKUP(A2,Products!$A$2:$C$9,3,FALSE)</f>
        <v>0.6</v>
      </c>
      <c r="G2">
        <f t="shared" ref="G2:G9" si="1">E2*F2</f>
        <v>5.4600000000000009</v>
      </c>
      <c r="H2">
        <f t="shared" ref="H2:H9" si="2">B2/SUM($B$2:$B$9)</f>
        <v>5.4896713900545326E-2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3149.7</v>
      </c>
      <c r="K2">
        <f>SUMIFS(Data!$E$2:$E$5761,Data!$C$2:$C$5761,A2,Data!$B$2:$B$5761,Control!$B$3)</f>
        <v>20838.499999999996</v>
      </c>
      <c r="L2">
        <f t="shared" ref="L2:L9" si="4">B2/K2</f>
        <v>2.5990354392110761E-2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809</v>
      </c>
      <c r="O2" cm="1">
        <f t="array" ref="O2">INDEX(Data!$E$2:$E$5761,N2)</f>
        <v>541.6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745.5</v>
      </c>
      <c r="C3">
        <f>SUMIFS(Data!$F$2:$F$5761,Data!$A$2:$A$5761,Control!$B$2,Data!$B$2:$B$5761,Control!$B$3,Data!$C$2:$C$5761,A3)</f>
        <v>35.729999999999997</v>
      </c>
      <c r="D3">
        <f>SUMIFS(Data!$G$2:$G$5761,Data!$A$2:$A$5761,Control!$B$2,Data!$B$2:$B$5761,Control!$B$3,Data!$C$2:$C$5761,A3)</f>
        <v>22.25</v>
      </c>
      <c r="E3">
        <f t="shared" si="0"/>
        <v>13.479999999999997</v>
      </c>
      <c r="F3">
        <f>VLOOKUP(A3,Products!$A$2:$C$9,3,FALSE)</f>
        <v>0.65</v>
      </c>
      <c r="G3">
        <f t="shared" si="1"/>
        <v>8.7619999999999987</v>
      </c>
      <c r="H3">
        <f t="shared" si="2"/>
        <v>7.5564069816943386E-2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4363.7999999999993</v>
      </c>
      <c r="K3">
        <f>SUMIFS(Data!$E$2:$E$5761,Data!$C$2:$C$5761,A3,Data!$B$2:$B$5761,Control!$B$3)</f>
        <v>28660.2</v>
      </c>
      <c r="L3">
        <f t="shared" si="4"/>
        <v>2.6011681704942741E-2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810</v>
      </c>
      <c r="O3" cm="1">
        <f t="array" ref="O3">INDEX(Data!$E$2:$E$5761,N3)</f>
        <v>745.5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936.7</v>
      </c>
      <c r="C4">
        <f>SUMIFS(Data!$F$2:$F$5761,Data!$A$2:$A$5761,Control!$B$2,Data!$B$2:$B$5761,Control!$B$3,Data!$C$2:$C$5761,A4)</f>
        <v>46.69</v>
      </c>
      <c r="D4">
        <f>SUMIFS(Data!$G$2:$G$5761,Data!$A$2:$A$5761,Control!$B$2,Data!$B$2:$B$5761,Control!$B$3,Data!$C$2:$C$5761,A4)</f>
        <v>28.53</v>
      </c>
      <c r="E4">
        <f t="shared" si="0"/>
        <v>18.159999999999997</v>
      </c>
      <c r="F4">
        <f>VLOOKUP(A4,Products!$A$2:$C$9,3,FALSE)</f>
        <v>0.7</v>
      </c>
      <c r="G4">
        <f t="shared" si="1"/>
        <v>12.711999999999996</v>
      </c>
      <c r="H4">
        <f t="shared" si="2"/>
        <v>9.4944150499706073E-2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5472.9</v>
      </c>
      <c r="K4">
        <f>SUMIFS(Data!$E$2:$E$5761,Data!$C$2:$C$5761,A4,Data!$B$2:$B$5761,Control!$B$3)</f>
        <v>36478.399999999994</v>
      </c>
      <c r="L4">
        <f t="shared" si="4"/>
        <v>2.5678209570595207E-2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811</v>
      </c>
      <c r="O4" cm="1">
        <f t="array" ref="O4">INDEX(Data!$E$2:$E$5761,N4)</f>
        <v>936.7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1116.3</v>
      </c>
      <c r="C5">
        <f>SUMIFS(Data!$F$2:$F$5761,Data!$A$2:$A$5761,Control!$B$2,Data!$B$2:$B$5761,Control!$B$3,Data!$C$2:$C$5761,A5)</f>
        <v>56.94</v>
      </c>
      <c r="D5">
        <f>SUMIFS(Data!$G$2:$G$5761,Data!$A$2:$A$5761,Control!$B$2,Data!$B$2:$B$5761,Control!$B$3,Data!$C$2:$C$5761,A5)</f>
        <v>35.270000000000003</v>
      </c>
      <c r="E5">
        <f t="shared" si="0"/>
        <v>21.669999999999995</v>
      </c>
      <c r="F5">
        <f>VLOOKUP(A5,Products!$A$2:$C$9,3,FALSE)</f>
        <v>0.75</v>
      </c>
      <c r="G5">
        <f t="shared" si="1"/>
        <v>16.252499999999998</v>
      </c>
      <c r="H5">
        <f t="shared" si="2"/>
        <v>0.113148452228912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6578.1000000000013</v>
      </c>
      <c r="K5">
        <f>SUMIFS(Data!$E$2:$E$5761,Data!$C$2:$C$5761,A5,Data!$B$2:$B$5761,Control!$B$3)</f>
        <v>44314.299999999996</v>
      </c>
      <c r="L5">
        <f t="shared" si="4"/>
        <v>2.5190514122980619E-2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812</v>
      </c>
      <c r="O5" cm="1">
        <f t="array" ref="O5">INDEX(Data!$E$2:$E$5761,N5)</f>
        <v>1116.3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1330.6</v>
      </c>
      <c r="C6">
        <f>SUMIFS(Data!$F$2:$F$5761,Data!$A$2:$A$5761,Control!$B$2,Data!$B$2:$B$5761,Control!$B$3,Data!$C$2:$C$5761,A6)</f>
        <v>71.37</v>
      </c>
      <c r="D6">
        <f>SUMIFS(Data!$G$2:$G$5761,Data!$A$2:$A$5761,Control!$B$2,Data!$B$2:$B$5761,Control!$B$3,Data!$C$2:$C$5761,A6)</f>
        <v>43.04</v>
      </c>
      <c r="E6">
        <f t="shared" si="0"/>
        <v>28.330000000000005</v>
      </c>
      <c r="F6">
        <f>VLOOKUP(A6,Products!$A$2:$C$9,3,FALSE)</f>
        <v>0.8</v>
      </c>
      <c r="G6">
        <f t="shared" si="1"/>
        <v>22.664000000000005</v>
      </c>
      <c r="H6">
        <f t="shared" si="2"/>
        <v>0.13486995479332645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7946.8000000000011</v>
      </c>
      <c r="K6">
        <f>SUMIFS(Data!$E$2:$E$5761,Data!$C$2:$C$5761,A6,Data!$B$2:$B$5761,Control!$B$3)</f>
        <v>52140</v>
      </c>
      <c r="L6">
        <f t="shared" si="4"/>
        <v>2.5519754507096277E-2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813</v>
      </c>
      <c r="O6" cm="1">
        <f t="array" ref="O6">INDEX(Data!$E$2:$E$5761,N6)</f>
        <v>1330.6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1509.9</v>
      </c>
      <c r="C7">
        <f>SUMIFS(Data!$F$2:$F$5761,Data!$A$2:$A$5761,Control!$B$2,Data!$B$2:$B$5761,Control!$B$3,Data!$C$2:$C$5761,A7)</f>
        <v>83.37</v>
      </c>
      <c r="D7">
        <f>SUMIFS(Data!$G$2:$G$5761,Data!$A$2:$A$5761,Control!$B$2,Data!$B$2:$B$5761,Control!$B$3,Data!$C$2:$C$5761,A7)</f>
        <v>50.39</v>
      </c>
      <c r="E7">
        <f t="shared" si="0"/>
        <v>32.980000000000004</v>
      </c>
      <c r="F7">
        <f>VLOOKUP(A7,Products!$A$2:$C$9,3,FALSE)</f>
        <v>0.85</v>
      </c>
      <c r="G7">
        <f t="shared" si="1"/>
        <v>28.033000000000001</v>
      </c>
      <c r="H7">
        <f t="shared" si="2"/>
        <v>0.15304384844614732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9018.6999999999989</v>
      </c>
      <c r="K7">
        <f>SUMIFS(Data!$E$2:$E$5761,Data!$C$2:$C$5761,A7,Data!$B$2:$B$5761,Control!$B$3)</f>
        <v>59931.599999999991</v>
      </c>
      <c r="L7">
        <f t="shared" si="4"/>
        <v>2.5193720841759613E-2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814</v>
      </c>
      <c r="O7" cm="1">
        <f t="array" ref="O7">INDEX(Data!$E$2:$E$5761,N7)</f>
        <v>1509.9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1734.2</v>
      </c>
      <c r="C8">
        <f>SUMIFS(Data!$F$2:$F$5761,Data!$A$2:$A$5761,Control!$B$2,Data!$B$2:$B$5761,Control!$B$3,Data!$C$2:$C$5761,A8)</f>
        <v>99.74</v>
      </c>
      <c r="D8">
        <f>SUMIFS(Data!$G$2:$G$5761,Data!$A$2:$A$5761,Control!$B$2,Data!$B$2:$B$5761,Control!$B$3,Data!$C$2:$C$5761,A8)</f>
        <v>59.88</v>
      </c>
      <c r="E8">
        <f t="shared" si="0"/>
        <v>39.859999999999992</v>
      </c>
      <c r="F8">
        <f>VLOOKUP(A8,Products!$A$2:$C$9,3,FALSE)</f>
        <v>0.9</v>
      </c>
      <c r="G8">
        <f t="shared" si="1"/>
        <v>35.873999999999995</v>
      </c>
      <c r="H8">
        <f t="shared" si="2"/>
        <v>0.17577895355673134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10288.300000000001</v>
      </c>
      <c r="K8">
        <f>SUMIFS(Data!$E$2:$E$5761,Data!$C$2:$C$5761,A8,Data!$B$2:$B$5761,Control!$B$3)</f>
        <v>67800.800000000003</v>
      </c>
      <c r="L8">
        <f t="shared" si="4"/>
        <v>2.557786928767802E-2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815</v>
      </c>
      <c r="O8" cm="1">
        <f t="array" ref="O8">INDEX(Data!$E$2:$E$5761,N8)</f>
        <v>1734.2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1951</v>
      </c>
      <c r="C9">
        <f>SUMIFS(Data!$F$2:$F$5761,Data!$A$2:$A$5761,Control!$B$2,Data!$B$2:$B$5761,Control!$B$3,Data!$C$2:$C$5761,A9)</f>
        <v>115.59</v>
      </c>
      <c r="D9">
        <f>SUMIFS(Data!$G$2:$G$5761,Data!$A$2:$A$5761,Control!$B$2,Data!$B$2:$B$5761,Control!$B$3,Data!$C$2:$C$5761,A9)</f>
        <v>69.150000000000006</v>
      </c>
      <c r="E9">
        <f t="shared" si="0"/>
        <v>46.44</v>
      </c>
      <c r="F9">
        <f>VLOOKUP(A9,Products!$A$2:$C$9,3,FALSE)</f>
        <v>0.95</v>
      </c>
      <c r="G9">
        <f t="shared" si="1"/>
        <v>44.117999999999995</v>
      </c>
      <c r="H9">
        <f t="shared" si="2"/>
        <v>0.1977538567576882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11408</v>
      </c>
      <c r="K9">
        <f>SUMIFS(Data!$E$2:$E$5761,Data!$C$2:$C$5761,A9,Data!$B$2:$B$5761,Control!$B$3)</f>
        <v>75504.599999999991</v>
      </c>
      <c r="L9">
        <f t="shared" si="4"/>
        <v>2.5839485276393757E-2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816</v>
      </c>
      <c r="O9" cm="1">
        <f t="array" ref="O9">INDEX(Data!$E$2:$E$5761,N9)</f>
        <v>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no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sì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1233.2249999999999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3">_xlfn._xlws.FILTER(Banks!A2:A21,Banks!C2:C21=Control!B5,"nessuna")</f>
        <v>Banca Sicula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Sarda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56295.700000000004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2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9865.7999999999993</v>
      </c>
    </row>
    <row r="3" spans="1:2" x14ac:dyDescent="0.25">
      <c r="A3" t="s">
        <v>141</v>
      </c>
      <c r="B3">
        <f>B2*(1+Rate)</f>
        <v>10161.773999999999</v>
      </c>
    </row>
    <row r="4" spans="1:2" x14ac:dyDescent="0.25">
      <c r="A4" t="s">
        <v>231</v>
      </c>
      <c r="B4">
        <f>COUNTIF(BankRegion,SelRegion)</f>
        <v>2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2367.7919999999999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Tirrena / Isole</v>
      </c>
    </row>
    <row r="9" spans="1:2" x14ac:dyDescent="0.25">
      <c r="A9" t="s">
        <v>235</v>
      </c>
      <c r="B9" cm="1">
        <f t="array" ref="B9">VolSel</f>
        <v>9865.7999999999993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9865.7999999999993</v>
      </c>
    </row>
    <row r="3" spans="1:2" x14ac:dyDescent="0.25">
      <c r="A3" t="s">
        <v>237</v>
      </c>
      <c r="B3" cm="1">
        <f t="array" aca="1" ref="B3" ca="1">INDIRECT("'SLIDE Sintesi'!D5")</f>
        <v>9865.7999999999993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9865.7999999999993</v>
      </c>
    </row>
    <row r="6" spans="1:2" x14ac:dyDescent="0.25">
      <c r="A6" t="s">
        <v>240</v>
      </c>
      <c r="B6">
        <f ca="1">SUM(OFFSET(Calc_Month!$C$1,Control!$B$3-2,0,3,1))</f>
        <v>29314.2</v>
      </c>
    </row>
    <row r="7" spans="1:2" x14ac:dyDescent="0.25">
      <c r="A7" t="s">
        <v>241</v>
      </c>
      <c r="B7" cm="1">
        <f t="array" aca="1" ref="B7" ca="1">INDIRECT(ADDRESS(Control!$B$3+1,3,1,1,"Calc_Month"))</f>
        <v>9865.7999999999993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3.9862557443399692E-2</v>
      </c>
      <c r="C2">
        <f>_xlfn.XLOOKUP(Control!B2,[1]Compare!$A$2:$A$21,[1]Compare!$E$2:$E$21)</f>
        <v>378.19999999999891</v>
      </c>
    </row>
    <row r="3" spans="1:3" x14ac:dyDescent="0.25">
      <c r="A3" t="s">
        <v>286</v>
      </c>
      <c r="B3">
        <f>[1]Summary!$B$3</f>
        <v>20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04%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37415.700000000004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3161.7000000000044</v>
      </c>
    </row>
    <row r="14" spans="1:3" x14ac:dyDescent="0.25">
      <c r="A14" t="s">
        <v>286</v>
      </c>
      <c r="B14">
        <f>[2]Summary!B6</f>
        <v>20</v>
      </c>
    </row>
    <row r="15" spans="1:3" x14ac:dyDescent="0.25">
      <c r="A15" t="s">
        <v>287</v>
      </c>
      <c r="B15" t="str">
        <f>[2]Summary!B7</f>
        <v>Isole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960.08786710100969</v>
      </c>
      <c r="I2" s="1">
        <f>H2+Calc_Dates!$J$2</f>
        <v>991.08786710100969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1111.7372474132874</v>
      </c>
      <c r="I3" s="1">
        <f>H3+Calc_Dates!$J$2</f>
        <v>1142.7372474132874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1284.3886122240112</v>
      </c>
      <c r="I4" s="1">
        <f>H4+Calc_Dates!$J$2</f>
        <v>1315.3886122240112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1459.1318131326368</v>
      </c>
      <c r="I5" s="1">
        <f>H5+Calc_Dates!$J$2</f>
        <v>1490.1318131326368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1614.7065064090561</v>
      </c>
      <c r="I6" s="1">
        <f>H6+Calc_Dates!$J$2</f>
        <v>1645.7065064090561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1785.3621397636075</v>
      </c>
      <c r="I7" s="1">
        <f>H7+Calc_Dates!$J$2</f>
        <v>1816.3621397636075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1945.5536001797279</v>
      </c>
      <c r="I8" s="1">
        <f>H8+Calc_Dates!$J$2</f>
        <v>1976.5536001797279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2125.0908001647508</v>
      </c>
      <c r="I9" s="1">
        <f>H9+Calc_Dates!$J$2</f>
        <v>2156.0908001647508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2283.3289649405269</v>
      </c>
      <c r="I10" s="1">
        <f>H10+Calc_Dates!$J$2</f>
        <v>2314.3289649405269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2444.2355936645822</v>
      </c>
      <c r="I11" s="1">
        <f>H11+Calc_Dates!$J$2</f>
        <v>2475.2355936645822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2606.7997154304112</v>
      </c>
      <c r="I12" s="1">
        <f>H12+Calc_Dates!$J$2</f>
        <v>2637.7997154304112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2779.1053531533553</v>
      </c>
      <c r="I13" s="1">
        <f>H13+Calc_Dates!$J$2</f>
        <v>2810.1053531533553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2941.2326356385965</v>
      </c>
      <c r="I14" s="1">
        <f>H14+Calc_Dates!$J$2</f>
        <v>2972.2326356385965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3111.1731006852133</v>
      </c>
      <c r="I15" s="1">
        <f>H15+Calc_Dates!$J$2</f>
        <v>3142.1731006852133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3272.7674392481372</v>
      </c>
      <c r="I16" s="1">
        <f>H16+Calc_Dates!$J$2</f>
        <v>3303.7674392481372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3431.2789406023389</v>
      </c>
      <c r="I17" s="1">
        <f>H17+Calc_Dates!$J$2</f>
        <v>3462.2789406023389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3616.7321925587544</v>
      </c>
      <c r="I18" s="1">
        <f>H18+Calc_Dates!$J$2</f>
        <v>3647.7321925587544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3768.1556645573569</v>
      </c>
      <c r="I19" s="1">
        <f>H19+Calc_Dates!$J$2</f>
        <v>3799.1556645573569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3945.5848029854842</v>
      </c>
      <c r="I20" s="1">
        <f>H20+Calc_Dates!$J$2</f>
        <v>3976.5848029854842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4122.7643189675618</v>
      </c>
      <c r="I21" s="1">
        <f>H21+Calc_Dates!$J$2</f>
        <v>4153.7643189675618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9865.7999999999993</v>
      </c>
      <c r="C2" cm="1">
        <f t="array" ref="C2">INDEX(Calc_Month!$C$2:$C$37,Control!$B$13)</f>
        <v>9782.7999999999993</v>
      </c>
      <c r="D2">
        <f>B2-C2</f>
        <v>83</v>
      </c>
      <c r="E2">
        <f>IFERROR(D2/C2,0)</f>
        <v>8.4842785296643086E-3</v>
      </c>
    </row>
    <row r="3" spans="1:5" x14ac:dyDescent="0.25">
      <c r="A3" t="s">
        <v>5</v>
      </c>
      <c r="B3" cm="1">
        <f t="array" ref="B3">INDEX(Calc_Month!$D$2:$D$37,Control!$B$3)</f>
        <v>534.66</v>
      </c>
      <c r="C3" cm="1">
        <f t="array" ref="C3">INDEX(Calc_Month!$D$2:$D$37,Control!$B$13)</f>
        <v>530.4</v>
      </c>
      <c r="D3">
        <f>B3-C3</f>
        <v>4.2599999999999909</v>
      </c>
      <c r="E3">
        <f>IFERROR(D3/C3,0)</f>
        <v>8.03167420814478E-3</v>
      </c>
    </row>
    <row r="4" spans="1:5" x14ac:dyDescent="0.25">
      <c r="A4" t="s">
        <v>6</v>
      </c>
      <c r="B4" cm="1">
        <f t="array" ref="B4">INDEX(Calc_Month!$E$2:$E$37,Control!$B$3)</f>
        <v>324.64</v>
      </c>
      <c r="C4" cm="1">
        <f t="array" ref="C4">INDEX(Calc_Month!$E$2:$E$37,Control!$B$13)</f>
        <v>321.5</v>
      </c>
      <c r="D4">
        <f>B4-C4</f>
        <v>3.1399999999999864</v>
      </c>
      <c r="E4">
        <f>IFERROR(D4/C4,0)</f>
        <v>9.7667185069984022E-3</v>
      </c>
    </row>
    <row r="5" spans="1:5" x14ac:dyDescent="0.25">
      <c r="A5" t="s">
        <v>10</v>
      </c>
      <c r="B5" cm="1">
        <f t="array" ref="B5">INDEX(Calc_Month!$G$2:$G$37,Control!$B$3)</f>
        <v>210.01999999999998</v>
      </c>
      <c r="C5" cm="1">
        <f t="array" ref="C5">INDEX(Calc_Month!$G$2:$G$37,Control!$B$13)</f>
        <v>208.89999999999998</v>
      </c>
      <c r="D5">
        <f>B5-C5</f>
        <v>1.1200000000000045</v>
      </c>
      <c r="E5">
        <f>IFERROR(D5/C5,0)</f>
        <v>5.3614169459071546E-3</v>
      </c>
    </row>
    <row r="6" spans="1:5" x14ac:dyDescent="0.25">
      <c r="A6" t="s">
        <v>7</v>
      </c>
      <c r="B6" cm="1">
        <f t="array" ref="B6">INDEX(Calc_Month!$F$2:$F$37,Control!$B$3)</f>
        <v>989</v>
      </c>
      <c r="C6" cm="1">
        <f t="array" ref="C6">INDEX(Calc_Month!$F$2:$F$37,Control!$B$13)</f>
        <v>961</v>
      </c>
      <c r="D6">
        <f>B6-C6</f>
        <v>28</v>
      </c>
      <c r="E6">
        <f>IFERROR(D6/C6,0)</f>
        <v>2.9136316337148804E-2</v>
      </c>
    </row>
    <row r="7" spans="1:5" x14ac:dyDescent="0.25">
      <c r="A7" t="s">
        <v>136</v>
      </c>
      <c r="B7" cm="1">
        <f t="array" ref="B7">INDEX(Calc_Month!$H$2:$H$37,Control!$B$3)</f>
        <v>10093</v>
      </c>
      <c r="C7">
        <f t="shared" ref="C7:C19" si="0">IF(ISNUMBER(B7),ROUND(B7,2),B7)</f>
        <v>10093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2.558104319669436E-2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58226.3</v>
      </c>
      <c r="C10">
        <f t="shared" si="0"/>
        <v>58226.3</v>
      </c>
    </row>
    <row r="11" spans="1:5" x14ac:dyDescent="0.25">
      <c r="A11" t="s">
        <v>141</v>
      </c>
      <c r="B11" cm="1">
        <f t="array" ref="B11">INDEX(Calc_Scenario!$B$3:$AK$22,Control!$B$6,Control!$B$3)</f>
        <v>11066.485569281806</v>
      </c>
      <c r="C11">
        <f t="shared" si="0"/>
        <v>11066.49</v>
      </c>
    </row>
    <row r="12" spans="1:5" x14ac:dyDescent="0.25">
      <c r="A12" t="s">
        <v>257</v>
      </c>
      <c r="B12">
        <f>_xlfn.XLOOKUP(Control!$B$8,Calc_Region!$A$2:$A$6,Calc_Region!$K$2:$K$6)</f>
        <v>0.29676504478977273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1315.3886122240112</v>
      </c>
      <c r="C14">
        <f t="shared" si="0"/>
        <v>1315.39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Tirrena (B103) - giugno 2026</v>
      </c>
      <c r="C17" t="str">
        <f t="shared" si="0"/>
        <v>Banca Tirrena (B103) - giugno 2026</v>
      </c>
    </row>
    <row r="18" spans="1:3" x14ac:dyDescent="0.25">
      <c r="A18" t="s">
        <v>147</v>
      </c>
      <c r="B18" cm="1">
        <f t="array" ref="B18">INDEX(Calc_Month!$U$2:$U$37,Control!$B$3)</f>
        <v>9496.0416666666697</v>
      </c>
      <c r="C18">
        <f t="shared" si="0"/>
        <v>9496.0400000000009</v>
      </c>
    </row>
    <row r="19" spans="1:3" x14ac:dyDescent="0.25">
      <c r="A19" t="s">
        <v>262</v>
      </c>
      <c r="B19" cm="1">
        <f t="array" aca="1" ref="B19" ca="1">INDEX(Calc_Month!$L$2:$L$37,Control!$B$3)</f>
        <v>9771.4</v>
      </c>
      <c r="C19">
        <f t="shared" ca="1" si="0"/>
        <v>9771.4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9865.7999999999993</v>
      </c>
      <c r="E5" s="3">
        <f>Calc_Summary!C2</f>
        <v>9782.7999999999993</v>
      </c>
      <c r="F5" s="3">
        <f t="shared" ref="F5:F9" si="0">D5-E5</f>
        <v>83</v>
      </c>
      <c r="G5" s="2">
        <f t="shared" ref="G5:G9" si="1">IFERROR(F5/E5,"-")</f>
        <v>8.4842785296643086E-3</v>
      </c>
    </row>
    <row r="6" spans="2:8" x14ac:dyDescent="0.25">
      <c r="C6" t="s">
        <v>5</v>
      </c>
      <c r="D6" s="3">
        <f>Calc_Summary!B3</f>
        <v>534.66</v>
      </c>
      <c r="E6" s="3">
        <f>Calc_Summary!C3</f>
        <v>530.4</v>
      </c>
      <c r="F6" s="3">
        <f t="shared" si="0"/>
        <v>4.2599999999999909</v>
      </c>
      <c r="G6" s="2">
        <f t="shared" si="1"/>
        <v>8.03167420814478E-3</v>
      </c>
    </row>
    <row r="7" spans="2:8" x14ac:dyDescent="0.25">
      <c r="C7" t="s">
        <v>6</v>
      </c>
      <c r="D7" s="3">
        <f>Calc_Summary!B4</f>
        <v>324.64</v>
      </c>
      <c r="E7" s="3">
        <f>Calc_Summary!C4</f>
        <v>321.5</v>
      </c>
      <c r="F7" s="3">
        <f t="shared" si="0"/>
        <v>3.1399999999999864</v>
      </c>
      <c r="G7" s="2">
        <f t="shared" si="1"/>
        <v>9.7667185069984022E-3</v>
      </c>
    </row>
    <row r="8" spans="2:8" x14ac:dyDescent="0.25">
      <c r="C8" t="s">
        <v>10</v>
      </c>
      <c r="D8" s="3">
        <f>Calc_Summary!B5</f>
        <v>210.01999999999998</v>
      </c>
      <c r="E8" s="3">
        <f>Calc_Summary!C5</f>
        <v>208.89999999999998</v>
      </c>
      <c r="F8" s="3">
        <f t="shared" si="0"/>
        <v>1.1200000000000045</v>
      </c>
      <c r="G8" s="2">
        <f t="shared" si="1"/>
        <v>5.3614169459071546E-3</v>
      </c>
    </row>
    <row r="9" spans="2:8" x14ac:dyDescent="0.25">
      <c r="C9" t="s">
        <v>7</v>
      </c>
      <c r="D9" s="3">
        <f>Calc_Summary!B6</f>
        <v>989</v>
      </c>
      <c r="E9" s="3">
        <f>Calc_Summary!C6</f>
        <v>961</v>
      </c>
      <c r="F9" s="3">
        <f t="shared" si="0"/>
        <v>28</v>
      </c>
      <c r="G9" s="2">
        <f t="shared" si="1"/>
        <v>2.9136316337148804E-2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no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sì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541.6</v>
      </c>
      <c r="F5">
        <f>Calc_Product!E2</f>
        <v>9.1000000000000014</v>
      </c>
      <c r="G5">
        <f>Calc_Product!H2</f>
        <v>5.4896713900545326E-2</v>
      </c>
      <c r="H5">
        <f>Calc_Product!L2</f>
        <v>2.5990354392110761E-2</v>
      </c>
      <c r="I5">
        <f>Calc_Product!J2</f>
        <v>3149.7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745.5</v>
      </c>
      <c r="F6">
        <f>Calc_Product!E3</f>
        <v>13.479999999999997</v>
      </c>
      <c r="G6">
        <f>Calc_Product!H3</f>
        <v>7.5564069816943386E-2</v>
      </c>
      <c r="H6">
        <f>Calc_Product!L3</f>
        <v>2.6011681704942741E-2</v>
      </c>
      <c r="I6">
        <f>Calc_Product!J3</f>
        <v>4363.7999999999993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936.7</v>
      </c>
      <c r="F7">
        <f>Calc_Product!E4</f>
        <v>18.159999999999997</v>
      </c>
      <c r="G7">
        <f>Calc_Product!H4</f>
        <v>9.4944150499706073E-2</v>
      </c>
      <c r="H7">
        <f>Calc_Product!L4</f>
        <v>2.5678209570595207E-2</v>
      </c>
      <c r="I7">
        <f>Calc_Product!J4</f>
        <v>5472.9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1116.3</v>
      </c>
      <c r="F8">
        <f>Calc_Product!E5</f>
        <v>21.669999999999995</v>
      </c>
      <c r="G8">
        <f>Calc_Product!H5</f>
        <v>0.113148452228912</v>
      </c>
      <c r="H8">
        <f>Calc_Product!L5</f>
        <v>2.5190514122980619E-2</v>
      </c>
      <c r="I8">
        <f>Calc_Product!J5</f>
        <v>6578.1000000000013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1330.6</v>
      </c>
      <c r="F9">
        <f>Calc_Product!E6</f>
        <v>28.330000000000005</v>
      </c>
      <c r="G9">
        <f>Calc_Product!H6</f>
        <v>0.13486995479332645</v>
      </c>
      <c r="H9">
        <f>Calc_Product!L6</f>
        <v>2.5519754507096277E-2</v>
      </c>
      <c r="I9">
        <f>Calc_Product!J6</f>
        <v>7946.8000000000011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1509.9</v>
      </c>
      <c r="F10">
        <f>Calc_Product!E7</f>
        <v>32.980000000000004</v>
      </c>
      <c r="G10">
        <f>Calc_Product!H7</f>
        <v>0.15304384844614732</v>
      </c>
      <c r="H10">
        <f>Calc_Product!L7</f>
        <v>2.5193720841759613E-2</v>
      </c>
      <c r="I10">
        <f>Calc_Product!J7</f>
        <v>9018.6999999999989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1734.2</v>
      </c>
      <c r="F11">
        <f>Calc_Product!E8</f>
        <v>39.859999999999992</v>
      </c>
      <c r="G11">
        <f>Calc_Product!H8</f>
        <v>0.17577895355673134</v>
      </c>
      <c r="H11">
        <f>Calc_Product!L8</f>
        <v>2.557786928767802E-2</v>
      </c>
      <c r="I11">
        <f>Calc_Product!J8</f>
        <v>10288.300000000001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1951</v>
      </c>
      <c r="F12">
        <f>Calc_Product!E9</f>
        <v>46.44</v>
      </c>
      <c r="G12">
        <f>Calc_Product!H9</f>
        <v>0.1977538567576882</v>
      </c>
      <c r="H12">
        <f>Calc_Product!L9</f>
        <v>2.5839485276393757E-2</v>
      </c>
      <c r="I12">
        <f>Calc_Product!J9</f>
        <v>11408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9566.8000000000011</v>
      </c>
      <c r="E5" cm="1">
        <f t="array" ref="E5">INDEX(Budget!$B$2:$AK$21,Control!$B$6,MATCH(C5,Budget!$B$1:$AK$1,0))</f>
        <v>9736</v>
      </c>
      <c r="F5">
        <f>HLOOKUP(C5,Budget!$B$1:$AK$21,Control!$B$6+1,FALSE)</f>
        <v>9736</v>
      </c>
      <c r="G5">
        <f t="shared" ref="G5:G10" si="0">IFERROR(D5/E5-1,0)</f>
        <v>-1.7378800328677002E-2</v>
      </c>
      <c r="H5" cm="1">
        <f t="array" ref="H5">INDEX(Budget!$B$25:$AK$44,MATCH(Control!$B$2,Budget!$A$25:$A$44,0),C5)</f>
        <v>506.3</v>
      </c>
    </row>
    <row r="6" spans="2:9" x14ac:dyDescent="0.25">
      <c r="C6">
        <f>Control!$B$3-6+ROW()-4</f>
        <v>26</v>
      </c>
      <c r="D6" cm="1">
        <f t="array" ref="D6">INDEX(Calc_Month!$C$2:$C$37,C6)</f>
        <v>9616.2000000000007</v>
      </c>
      <c r="E6" cm="1">
        <f t="array" ref="E6">INDEX(Budget!$B$2:$AK$21,Control!$B$6,MATCH(C6,Budget!$B$1:$AK$1,0))</f>
        <v>9807</v>
      </c>
      <c r="F6">
        <f>HLOOKUP(C6,Budget!$B$1:$AK$21,Control!$B$6+1,FALSE)</f>
        <v>9807</v>
      </c>
      <c r="G6">
        <f t="shared" si="0"/>
        <v>-1.9455490975833545E-2</v>
      </c>
      <c r="H6" cm="1">
        <f t="array" ref="H6">INDEX(Budget!$B$25:$AK$44,MATCH(Control!$B$2,Budget!$A$25:$A$44,0),C6)</f>
        <v>510</v>
      </c>
    </row>
    <row r="7" spans="2:9" x14ac:dyDescent="0.25">
      <c r="C7">
        <f>Control!$B$3-6+ROW()-4</f>
        <v>27</v>
      </c>
      <c r="D7" cm="1">
        <f t="array" ref="D7">INDEX(Calc_Month!$C$2:$C$37,C7)</f>
        <v>9729.1</v>
      </c>
      <c r="E7" cm="1">
        <f t="array" ref="E7">INDEX(Budget!$B$2:$AK$21,Control!$B$6,MATCH(C7,Budget!$B$1:$AK$1,0))</f>
        <v>9879</v>
      </c>
      <c r="F7">
        <f>HLOOKUP(C7,Budget!$B$1:$AK$21,Control!$B$6+1,FALSE)</f>
        <v>9879</v>
      </c>
      <c r="G7">
        <f t="shared" si="0"/>
        <v>-1.5173600566858902E-2</v>
      </c>
      <c r="H7" cm="1">
        <f t="array" ref="H7">INDEX(Budget!$B$25:$AK$44,MATCH(Control!$B$2,Budget!$A$25:$A$44,0),C7)</f>
        <v>513.70000000000005</v>
      </c>
    </row>
    <row r="8" spans="2:9" x14ac:dyDescent="0.25">
      <c r="C8">
        <f>Control!$B$3-6+ROW()-4</f>
        <v>28</v>
      </c>
      <c r="D8" cm="1">
        <f t="array" ref="D8">INDEX(Calc_Month!$C$2:$C$37,C8)</f>
        <v>9665.6</v>
      </c>
      <c r="E8" cm="1">
        <f t="array" ref="E8">INDEX(Budget!$B$2:$AK$21,Control!$B$6,MATCH(C8,Budget!$B$1:$AK$1,0))</f>
        <v>9950</v>
      </c>
      <c r="F8">
        <f>HLOOKUP(C8,Budget!$B$1:$AK$21,Control!$B$6+1,FALSE)</f>
        <v>9950</v>
      </c>
      <c r="G8">
        <f t="shared" si="0"/>
        <v>-2.8582914572864326E-2</v>
      </c>
      <c r="H8" cm="1">
        <f t="array" ref="H8">INDEX(Budget!$B$25:$AK$44,MATCH(Control!$B$2,Budget!$A$25:$A$44,0),C8)</f>
        <v>517.4</v>
      </c>
    </row>
    <row r="9" spans="2:9" x14ac:dyDescent="0.25">
      <c r="C9">
        <f>Control!$B$3-6+ROW()-4</f>
        <v>29</v>
      </c>
      <c r="D9" cm="1">
        <f t="array" ref="D9">INDEX(Calc_Month!$C$2:$C$37,C9)</f>
        <v>9782.7999999999993</v>
      </c>
      <c r="E9" cm="1">
        <f t="array" ref="E9">INDEX(Budget!$B$2:$AK$21,Control!$B$6,MATCH(C9,Budget!$B$1:$AK$1,0))</f>
        <v>10022</v>
      </c>
      <c r="F9">
        <f>HLOOKUP(C9,Budget!$B$1:$AK$21,Control!$B$6+1,FALSE)</f>
        <v>10022</v>
      </c>
      <c r="G9">
        <f t="shared" si="0"/>
        <v>-2.3867491518658968E-2</v>
      </c>
      <c r="H9" cm="1">
        <f t="array" ref="H9">INDEX(Budget!$B$25:$AK$44,MATCH(Control!$B$2,Budget!$A$25:$A$44,0),C9)</f>
        <v>521.1</v>
      </c>
    </row>
    <row r="10" spans="2:9" x14ac:dyDescent="0.25">
      <c r="C10">
        <f>Control!$B$3-6+ROW()-4</f>
        <v>30</v>
      </c>
      <c r="D10" cm="1">
        <f t="array" ref="D10">INDEX(Calc_Month!$C$2:$C$37,C10)</f>
        <v>9865.7999999999993</v>
      </c>
      <c r="E10" cm="1">
        <f t="array" ref="E10">INDEX(Budget!$B$2:$AK$21,Control!$B$6,MATCH(C10,Budget!$B$1:$AK$1,0))</f>
        <v>10093</v>
      </c>
      <c r="F10">
        <f>HLOOKUP(C10,Budget!$B$1:$AK$21,Control!$B$6+1,FALSE)</f>
        <v>10093</v>
      </c>
      <c r="G10">
        <f t="shared" si="0"/>
        <v>-2.2510650946200417E-2</v>
      </c>
      <c r="H10" cm="1">
        <f t="array" ref="H10">INDEX(Budget!$B$25:$AK$44,MATCH(Control!$B$2,Budget!$A$25:$A$44,0),C10)</f>
        <v>524.9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9566.8000000000011</v>
      </c>
      <c r="E5">
        <f>D5*VLOOKUP(C5,FX!$A$2:$E$37,3,FALSE)</f>
        <v>9701.6918800000003</v>
      </c>
      <c r="F5">
        <f>D5*_xlfn.XLOOKUP(C5,FX!$A$2:$A$37,FX!$D$2:$D$37)</f>
        <v>8227.4480000000003</v>
      </c>
      <c r="G5" cm="1">
        <f t="array" ref="G5">D5*INDEX(FX!$E$2:$E$37,C5)</f>
        <v>8610.1200000000008</v>
      </c>
    </row>
    <row r="6" spans="2:8" x14ac:dyDescent="0.25">
      <c r="C6">
        <f>Control!$B$3-6+ROW()-4</f>
        <v>26</v>
      </c>
      <c r="D6" cm="1">
        <f t="array" ref="D6">INDEX(Calc_Month!$C$2:$C$37,C6)</f>
        <v>9616.2000000000007</v>
      </c>
      <c r="E6">
        <f>D6*VLOOKUP(C6,FX!$A$2:$E$37,3,FALSE)</f>
        <v>9782.560260000002</v>
      </c>
      <c r="F6">
        <f>D6*_xlfn.XLOOKUP(C6,FX!$A$2:$A$37,FX!$D$2:$D$37)</f>
        <v>8268.0087600000006</v>
      </c>
      <c r="G6" cm="1">
        <f t="array" ref="G6">D6*INDEX(FX!$E$2:$E$37,C6)</f>
        <v>8635.347600000001</v>
      </c>
    </row>
    <row r="7" spans="2:8" x14ac:dyDescent="0.25">
      <c r="C7">
        <f>Control!$B$3-6+ROW()-4</f>
        <v>27</v>
      </c>
      <c r="D7" cm="1">
        <f t="array" ref="D7">INDEX(Calc_Month!$C$2:$C$37,C7)</f>
        <v>9729.1</v>
      </c>
      <c r="E7">
        <f>D7*VLOOKUP(C7,FX!$A$2:$E$37,3,FALSE)</f>
        <v>9941.1943800000008</v>
      </c>
      <c r="F7">
        <f>D7*_xlfn.XLOOKUP(C7,FX!$A$2:$A$37,FX!$D$2:$D$37)</f>
        <v>8356.3239900000008</v>
      </c>
      <c r="G7" cm="1">
        <f t="array" ref="G7">D7*INDEX(FX!$E$2:$E$37,C7)</f>
        <v>8717.2736000000004</v>
      </c>
    </row>
    <row r="8" spans="2:8" x14ac:dyDescent="0.25">
      <c r="C8">
        <f>Control!$B$3-6+ROW()-4</f>
        <v>28</v>
      </c>
      <c r="D8" cm="1">
        <f t="array" ref="D8">INDEX(Calc_Month!$C$2:$C$37,C8)</f>
        <v>9665.6</v>
      </c>
      <c r="E8">
        <f>D8*VLOOKUP(C8,FX!$A$2:$E$37,3,FALSE)</f>
        <v>9931.4040000000005</v>
      </c>
      <c r="F8">
        <f>D8*_xlfn.XLOOKUP(C8,FX!$A$2:$A$37,FX!$D$2:$D$37)</f>
        <v>8288.2520000000004</v>
      </c>
      <c r="G8" cm="1">
        <f t="array" ref="G8">D8*INDEX(FX!$E$2:$E$37,C8)</f>
        <v>8641.0464000000011</v>
      </c>
    </row>
    <row r="9" spans="2:8" x14ac:dyDescent="0.25">
      <c r="C9">
        <f>Control!$B$3-6+ROW()-4</f>
        <v>29</v>
      </c>
      <c r="D9" cm="1">
        <f t="array" ref="D9">INDEX(Calc_Month!$C$2:$C$37,C9)</f>
        <v>9782.7999999999993</v>
      </c>
      <c r="E9">
        <f>D9*VLOOKUP(C9,FX!$A$2:$E$37,3,FALSE)</f>
        <v>10118.350039999999</v>
      </c>
      <c r="F9">
        <f>D9*_xlfn.XLOOKUP(C9,FX!$A$2:$A$37,FX!$D$2:$D$37)</f>
        <v>8371.141959999999</v>
      </c>
      <c r="G9" cm="1">
        <f t="array" ref="G9">D9*INDEX(FX!$E$2:$E$37,C9)</f>
        <v>8726.257599999999</v>
      </c>
    </row>
    <row r="10" spans="2:8" x14ac:dyDescent="0.25">
      <c r="C10">
        <f>Control!$B$3-6+ROW()-4</f>
        <v>30</v>
      </c>
      <c r="D10" cm="1">
        <f t="array" ref="D10">INDEX(Calc_Month!$C$2:$C$37,C10)</f>
        <v>9865.7999999999993</v>
      </c>
      <c r="E10">
        <f>D10*VLOOKUP(C10,FX!$A$2:$E$37,3,FALSE)</f>
        <v>10278.19044</v>
      </c>
      <c r="F10">
        <f>D10*_xlfn.XLOOKUP(C10,FX!$A$2:$A$37,FX!$D$2:$D$37)</f>
        <v>8420.4603000000006</v>
      </c>
      <c r="G10" cm="1">
        <f t="array" ref="G10">D10*INDEX(FX!$E$2:$E$37,C10)</f>
        <v>8780.5619999999999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37415.700000000004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3161.7000000000044</v>
      </c>
    </row>
    <row r="9" spans="2:5" x14ac:dyDescent="0.25">
      <c r="C9" t="s">
        <v>286</v>
      </c>
      <c r="D9">
        <f>Calc_Links!B14</f>
        <v>20</v>
      </c>
    </row>
    <row r="10" spans="2:5" x14ac:dyDescent="0.25">
      <c r="C10" t="s">
        <v>287</v>
      </c>
      <c r="D10" t="str">
        <f>Calc_Links!B15</f>
        <v>Isole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Isole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Sicula</v>
      </c>
      <c r="D5">
        <f>IF(C5="","",SUMIFS(Calc_Bank!$C$2:$C$21,Calc_Bank!$A$2:$A$21,C5))</f>
        <v>27574.800000000003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6">_xlfn._xlws.FILTER(Calc_Bank!A2:A21,Calc_Bank!B2:B21=Control!B5)</f>
        <v>Banca Sicula</v>
      </c>
    </row>
    <row r="6" spans="2:8" x14ac:dyDescent="0.25">
      <c r="C6" t="str" cm="1">
        <f t="array" ref="C6">IFERROR(INDEX(Calc_Dynamic!$A$2:$A$21,ROW()-4)&amp;"","")</f>
        <v>Banca Sarda</v>
      </c>
      <c r="D6">
        <f>IF(C6="","",SUMIFS(Calc_Bank!$C$2:$C$21,Calc_Bank!$A$2:$A$21,C6))</f>
        <v>28720.9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Sarda</v>
      </c>
    </row>
    <row r="7" spans="2:8" x14ac:dyDescent="0.25">
      <c r="C7" t="str" cm="1">
        <f t="array" ref="C7">IFERROR(INDEX(Calc_Dynamic!$A$2:$A$21,ROW()-4)&amp;"","")</f>
        <v/>
      </c>
      <c r="D7" t="str">
        <f>IF(C7="","",SUMIFS(Calc_Bank!$C$2:$C$21,Calc_Bank!$A$2:$A$21,C7))</f>
        <v/>
      </c>
      <c r="E7" t="str" cm="1">
        <f t="array" ref="E7">INDEX(Calc_Dynamic!$L$2:$L$21,ROW()-4)</f>
        <v>Banca Sarda</v>
      </c>
      <c r="F7" t="str">
        <f>IF(C7=Control!$B$2,"&lt;&lt;","")</f>
        <v/>
      </c>
    </row>
    <row r="8" spans="2:8" x14ac:dyDescent="0.25">
      <c r="C8" t="str" cm="1">
        <f t="array" ref="C8">IFERROR(INDEX(Calc_Dynamic!$A$2:$A$21,ROW()-4)&amp;"","")</f>
        <v/>
      </c>
      <c r="D8" t="str">
        <f>IF(C8="","",SUMIFS(Calc_Bank!$C$2:$C$21,Calc_Bank!$A$2:$A$21,C8))</f>
        <v/>
      </c>
      <c r="E8" t="str" cm="1">
        <f t="array" ref="E8">INDEX(Calc_Dynamic!$L$2:$L$21,ROW()-4)</f>
        <v>Banca Sicula</v>
      </c>
      <c r="F8" t="str">
        <f>IF(C8=Control!$B$2,"&lt;&lt;","")</f>
        <v/>
      </c>
    </row>
    <row r="9" spans="2:8" x14ac:dyDescent="0.25">
      <c r="C9" t="str" cm="1">
        <f t="array" ref="C9">IFERROR(INDEX(Calc_Dynamic!$A$2:$A$21,ROW()-4)&amp;"","")</f>
        <v/>
      </c>
      <c r="D9" t="str">
        <f>IF(C9="","",SUMIFS(Calc_Bank!$C$2:$C$21,Calc_Bank!$A$2:$A$21,C9))</f>
        <v/>
      </c>
      <c r="E9" t="str" cm="1">
        <f t="array" ref="E9">INDEX(Calc_Dynamic!$L$2:$L$21,ROW()-4)</f>
        <v>Banca Calabra</v>
      </c>
      <c r="F9" t="str">
        <f>IF(C9=Control!$B$2,"&lt;&lt;","")</f>
        <v/>
      </c>
    </row>
    <row r="10" spans="2:8" x14ac:dyDescent="0.25">
      <c r="C10" t="str" cm="1">
        <f t="array" ref="C10">IFERROR(INDEX(Calc_Dynamic!$A$2:$A$21,ROW()-4)&amp;"","")</f>
        <v/>
      </c>
      <c r="D10" t="str">
        <f>IF(C10="","",SUMIFS(Calc_Bank!$C$2:$C$21,Calc_Bank!$A$2:$A$21,C10))</f>
        <v/>
      </c>
      <c r="E10" t="str" cm="1">
        <f t="array" ref="E10">INDEX(Calc_Dynamic!$L$2:$L$21,ROW()-4)</f>
        <v>Banca Lucana</v>
      </c>
      <c r="F10" t="str">
        <f>IF(C10=Control!$B$2,"&lt;&lt;","")</f>
        <v/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960.08786710100969</v>
      </c>
      <c r="G5" s="1">
        <f>Calc_Deep!I2</f>
        <v>991.08786710100969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1111.7372474132874</v>
      </c>
      <c r="G6" s="1">
        <f>Calc_Deep!I3</f>
        <v>1142.7372474132874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1284.3886122240112</v>
      </c>
      <c r="G7" s="1">
        <f>Calc_Deep!I4</f>
        <v>1315.3886122240112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1459.1318131326368</v>
      </c>
      <c r="G8" s="1">
        <f>Calc_Deep!I5</f>
        <v>1490.1318131326368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1614.7065064090561</v>
      </c>
      <c r="G9" s="1">
        <f>Calc_Deep!I6</f>
        <v>1645.7065064090561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1785.3621397636075</v>
      </c>
      <c r="G10" s="1">
        <f>Calc_Deep!I7</f>
        <v>1816.3621397636075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1945.5536001797279</v>
      </c>
      <c r="G11" s="1">
        <f>Calc_Deep!I8</f>
        <v>1976.5536001797279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2125.0908001647508</v>
      </c>
      <c r="G12" s="1">
        <f>Calc_Deep!I9</f>
        <v>2156.0908001647508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2283.3289649405269</v>
      </c>
      <c r="G13" s="1">
        <f>Calc_Deep!I10</f>
        <v>2314.3289649405269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2444.2355936645822</v>
      </c>
      <c r="G14" s="1">
        <f>Calc_Deep!I11</f>
        <v>2475.2355936645822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2606.7997154304112</v>
      </c>
      <c r="G15" s="1">
        <f>Calc_Deep!I12</f>
        <v>2637.7997154304112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2779.1053531533553</v>
      </c>
      <c r="G16" s="1">
        <f>Calc_Deep!I13</f>
        <v>2810.1053531533553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2941.2326356385965</v>
      </c>
      <c r="G17" s="1">
        <f>Calc_Deep!I14</f>
        <v>2972.2326356385965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3111.1731006852133</v>
      </c>
      <c r="G18" s="1">
        <f>Calc_Deep!I15</f>
        <v>3142.1731006852133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3272.7674392481372</v>
      </c>
      <c r="G19" s="1">
        <f>Calc_Deep!I16</f>
        <v>3303.7674392481372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3431.2789406023389</v>
      </c>
      <c r="G20" s="1">
        <f>Calc_Deep!I17</f>
        <v>3462.2789406023389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3616.7321925587544</v>
      </c>
      <c r="G21" s="1">
        <f>Calc_Deep!I18</f>
        <v>3647.7321925587544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3768.1556645573569</v>
      </c>
      <c r="G22" s="1">
        <f>Calc_Deep!I19</f>
        <v>3799.1556645573569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3945.5848029854842</v>
      </c>
      <c r="G23" s="1">
        <f>Calc_Deep!I20</f>
        <v>3976.5848029854842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4122.7643189675618</v>
      </c>
      <c r="G24" s="1">
        <f>Calc_Deep!I21</f>
        <v>4153.7643189675618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9865.7999999999993</v>
      </c>
      <c r="E6" cm="1">
        <f t="array" ref="E6">CHOOSE(ROW()-4,INDEX(Calc_BankMonth!$B$23:$AK$23,Control!$B$3),Calc_Summary!$B$2,Calc_Bank!$C$23,SUM(Calc_Product!$B$2:$B$9),Calc_Summary!$B$2,Calc_Summary!$B$2)</f>
        <v>9865.7999999999993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9865.7999999999993</v>
      </c>
      <c r="E8" cm="1">
        <f t="array" ref="E8">CHOOSE(ROW()-4,INDEX(Calc_BankMonth!$B$23:$AK$23,Control!$B$3),Calc_Summary!$B$2,Calc_Bank!$C$23,SUM(Calc_Product!$B$2:$B$9),Calc_Summary!$B$2,Calc_Summary!$B$2)</f>
        <v>9865.7999999999993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9865.7999999999993</v>
      </c>
      <c r="E9" cm="1">
        <f t="array" ref="E9">CHOOSE(ROW()-4,INDEX(Calc_BankMonth!$B$23:$AK$23,Control!$B$3),Calc_Summary!$B$2,Calc_Bank!$C$23,SUM(Calc_Product!$B$2:$B$9),Calc_Summary!$B$2,Calc_Summary!$B$2)</f>
        <v>9865.7999999999993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9865.7999999999993</v>
      </c>
      <c r="E10" cm="1">
        <f t="array" ref="E10">CHOOSE(ROW()-4,INDEX(Calc_BankMonth!$B$23:$AK$23,Control!$B$3),Calc_Summary!$B$2,Calc_Bank!$C$23,SUM(Calc_Product!$B$2:$B$9),Calc_Summary!$B$2,Calc_Summary!$B$2)</f>
        <v>9865.7999999999993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9158.2000000000007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17719.633333333335</v>
      </c>
      <c r="H5">
        <f t="shared" ref="H5:H16" si="0">E5-F5</f>
        <v>-8749.0999999999985</v>
      </c>
      <c r="I5">
        <f t="shared" ref="I5:I16" si="1">IFERROR(H5/F5,0)</f>
        <v>-0.48857728412435147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9269.7000000000007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17815.73333333333</v>
      </c>
      <c r="H6">
        <f t="shared" si="0"/>
        <v>-8754.6250000000073</v>
      </c>
      <c r="I6">
        <f t="shared" si="1"/>
        <v>-0.48571167020124212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9227.3000000000011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17956.533333333336</v>
      </c>
      <c r="H7">
        <f t="shared" si="0"/>
        <v>-8904.9300000000021</v>
      </c>
      <c r="I7">
        <f t="shared" si="1"/>
        <v>-0.49111058044156736</v>
      </c>
      <c r="J7">
        <f t="shared" si="2"/>
        <v>100.8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9333.9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18072.25</v>
      </c>
      <c r="H8">
        <f t="shared" si="0"/>
        <v>-8960.8149999999932</v>
      </c>
      <c r="I8">
        <f t="shared" si="1"/>
        <v>-0.48980347603119245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9331.1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18206.216666666667</v>
      </c>
      <c r="H9">
        <f t="shared" si="0"/>
        <v>-9071.6299999999919</v>
      </c>
      <c r="I9">
        <f t="shared" si="1"/>
        <v>-0.4929502307538064</v>
      </c>
      <c r="J9">
        <f t="shared" si="2"/>
        <v>101.9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9406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18297.199999999997</v>
      </c>
      <c r="H10">
        <f t="shared" si="0"/>
        <v>-9130.0400000000009</v>
      </c>
      <c r="I10">
        <f t="shared" si="1"/>
        <v>-0.49255612309856905</v>
      </c>
      <c r="J10">
        <f t="shared" si="2"/>
        <v>102.7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9566.8000000000011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18474.833333333332</v>
      </c>
      <c r="H11">
        <f t="shared" si="0"/>
        <v>-9084.8199999999979</v>
      </c>
      <c r="I11">
        <f t="shared" si="1"/>
        <v>-0.48707940650731668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9616.2000000000007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18615.216666666667</v>
      </c>
      <c r="H12">
        <f t="shared" si="0"/>
        <v>-9168.0349999999889</v>
      </c>
      <c r="I12">
        <f t="shared" si="1"/>
        <v>-0.48807071461786938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9729.1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18712.266666666666</v>
      </c>
      <c r="H13">
        <f t="shared" si="0"/>
        <v>-9184.0299999999934</v>
      </c>
      <c r="I13">
        <f t="shared" si="1"/>
        <v>-0.48559016936911004</v>
      </c>
      <c r="J13">
        <f t="shared" si="2"/>
        <v>106.2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9665.6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18813.366666666672</v>
      </c>
      <c r="H14">
        <f t="shared" si="0"/>
        <v>-9348.3400000000092</v>
      </c>
      <c r="I14">
        <f t="shared" si="1"/>
        <v>-0.49165717363155687</v>
      </c>
      <c r="J14">
        <f t="shared" si="2"/>
        <v>105.5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9782.7999999999993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18939.233333333334</v>
      </c>
      <c r="H15">
        <f t="shared" si="0"/>
        <v>-9383.6050000000068</v>
      </c>
      <c r="I15">
        <f t="shared" si="1"/>
        <v>-0.48958607521859232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9865.7999999999993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19075.483333333334</v>
      </c>
      <c r="H16">
        <f t="shared" si="0"/>
        <v>-9417.6200000000099</v>
      </c>
      <c r="I16">
        <f t="shared" si="1"/>
        <v>-0.48837913606611305</v>
      </c>
      <c r="J16">
        <f t="shared" si="2"/>
        <v>107.7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494.5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955.30000000000007</v>
      </c>
      <c r="H5">
        <f t="shared" ref="H5:H16" si="0">E5-F5</f>
        <v>-470.73950000000002</v>
      </c>
      <c r="I5">
        <f t="shared" ref="I5:I16" si="1">IFERROR(H5/F5,0)</f>
        <v>-0.48769191480456409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501.26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960.37500000000034</v>
      </c>
      <c r="H6">
        <f t="shared" si="0"/>
        <v>-470.7194999999997</v>
      </c>
      <c r="I6">
        <f t="shared" si="1"/>
        <v>-0.4842895349130304</v>
      </c>
      <c r="J6">
        <f t="shared" si="2"/>
        <v>101.4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500.09000000000003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968.79666666666674</v>
      </c>
      <c r="H7">
        <f t="shared" si="0"/>
        <v>-477.66900000000021</v>
      </c>
      <c r="I7">
        <f t="shared" si="1"/>
        <v>-0.48853449571929286</v>
      </c>
      <c r="J7">
        <f t="shared" si="2"/>
        <v>101.1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505.79999999999995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974.70333333333338</v>
      </c>
      <c r="H8">
        <f t="shared" si="0"/>
        <v>-480.41049999999996</v>
      </c>
      <c r="I8">
        <f t="shared" si="1"/>
        <v>-0.48712774808217923</v>
      </c>
      <c r="J8">
        <f t="shared" si="2"/>
        <v>102.3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505.18999999999994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981.60500000000002</v>
      </c>
      <c r="H9">
        <f t="shared" si="0"/>
        <v>-487.10250000000019</v>
      </c>
      <c r="I9">
        <f t="shared" si="1"/>
        <v>-0.49088600387486564</v>
      </c>
      <c r="J9">
        <f t="shared" si="2"/>
        <v>102.2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509.76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986.54666666666662</v>
      </c>
      <c r="H10">
        <f t="shared" si="0"/>
        <v>-489.74849999999992</v>
      </c>
      <c r="I10">
        <f t="shared" si="1"/>
        <v>-0.48998932975557485</v>
      </c>
      <c r="J10">
        <f t="shared" si="2"/>
        <v>103.1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516.95000000000005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996.00666666666666</v>
      </c>
      <c r="H11">
        <f t="shared" si="0"/>
        <v>-488.5355000000003</v>
      </c>
      <c r="I11">
        <f t="shared" si="1"/>
        <v>-0.48587025869592365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517.99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1003.1649999999998</v>
      </c>
      <c r="H12">
        <f t="shared" si="0"/>
        <v>-494.79399999999987</v>
      </c>
      <c r="I12">
        <f t="shared" si="1"/>
        <v>-0.48854839728905664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526.02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1008.77</v>
      </c>
      <c r="H13">
        <f t="shared" si="0"/>
        <v>-493.97850000000039</v>
      </c>
      <c r="I13">
        <f t="shared" si="1"/>
        <v>-0.48429335925494027</v>
      </c>
      <c r="J13">
        <f t="shared" si="2"/>
        <v>106.4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523.44000000000005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1014.8533333333334</v>
      </c>
      <c r="H14">
        <f t="shared" si="0"/>
        <v>-501.73700000000008</v>
      </c>
      <c r="I14">
        <f t="shared" si="1"/>
        <v>-0.4894149985807329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530.4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1021.2833333333333</v>
      </c>
      <c r="H15">
        <f t="shared" si="0"/>
        <v>-502.88750000000016</v>
      </c>
      <c r="I15">
        <f t="shared" si="1"/>
        <v>-0.48668690950001825</v>
      </c>
      <c r="J15">
        <f t="shared" si="2"/>
        <v>107.3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534.66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1028.7149999999999</v>
      </c>
      <c r="H16">
        <f t="shared" si="0"/>
        <v>-505.03350000000034</v>
      </c>
      <c r="I16">
        <f t="shared" si="1"/>
        <v>-0.48575229142050058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300.25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576.65999999999985</v>
      </c>
      <c r="H5">
        <f t="shared" ref="H5:H16" si="0">E5-F5</f>
        <v>-282.7175000000002</v>
      </c>
      <c r="I5">
        <f t="shared" ref="I5:I16" si="1">IFERROR(H5/F5,0)</f>
        <v>-0.48496271232958971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303.89999999999998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579.79333333333329</v>
      </c>
      <c r="H6">
        <f t="shared" si="0"/>
        <v>-282.98850000000016</v>
      </c>
      <c r="I6">
        <f t="shared" si="1"/>
        <v>-0.48218443537401073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301.48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584.33333333333337</v>
      </c>
      <c r="H7">
        <f t="shared" si="0"/>
        <v>-289.00750000000005</v>
      </c>
      <c r="I7">
        <f t="shared" si="1"/>
        <v>-0.48943881115180254</v>
      </c>
      <c r="J7">
        <f t="shared" si="2"/>
        <v>100.4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305.60000000000002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588.55666666666673</v>
      </c>
      <c r="H8">
        <f t="shared" si="0"/>
        <v>-290.35350000000005</v>
      </c>
      <c r="I8">
        <f t="shared" si="1"/>
        <v>-0.48720831407148379</v>
      </c>
      <c r="J8">
        <f t="shared" si="2"/>
        <v>101.8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306.32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592.90500000000009</v>
      </c>
      <c r="H9">
        <f t="shared" si="0"/>
        <v>-293.18249999999983</v>
      </c>
      <c r="I9">
        <f t="shared" si="1"/>
        <v>-0.48904299815263474</v>
      </c>
      <c r="J9">
        <f t="shared" si="2"/>
        <v>102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308.97000000000003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596.1816666666665</v>
      </c>
      <c r="H10">
        <f t="shared" si="0"/>
        <v>-294.80850000000021</v>
      </c>
      <c r="I10">
        <f t="shared" si="1"/>
        <v>-0.48827260328083905</v>
      </c>
      <c r="J10">
        <f t="shared" si="2"/>
        <v>102.9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313.31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601.28666666666663</v>
      </c>
      <c r="H11">
        <f t="shared" si="0"/>
        <v>-294.19150000000019</v>
      </c>
      <c r="I11">
        <f t="shared" si="1"/>
        <v>-0.48426464790621931</v>
      </c>
      <c r="J11">
        <f t="shared" si="2"/>
        <v>104.3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314.75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606.13333333333333</v>
      </c>
      <c r="H12">
        <f t="shared" si="0"/>
        <v>-296.7405</v>
      </c>
      <c r="I12">
        <f t="shared" si="1"/>
        <v>-0.48527409665399546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319.24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609.37</v>
      </c>
      <c r="H13">
        <f t="shared" si="0"/>
        <v>-296.6500000000002</v>
      </c>
      <c r="I13">
        <f t="shared" si="1"/>
        <v>-0.48166068616149005</v>
      </c>
      <c r="J13">
        <f t="shared" si="2"/>
        <v>106.3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317.67999999999995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612.49166666666667</v>
      </c>
      <c r="H14">
        <f t="shared" si="0"/>
        <v>-301.4464999999999</v>
      </c>
      <c r="I14">
        <f t="shared" si="1"/>
        <v>-0.48688999743994155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321.5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616.76499999999999</v>
      </c>
      <c r="H15">
        <f t="shared" si="0"/>
        <v>-302.46750000000009</v>
      </c>
      <c r="I15">
        <f t="shared" si="1"/>
        <v>-0.48474880502590284</v>
      </c>
      <c r="J15">
        <f t="shared" si="2"/>
        <v>107.1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324.64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621.17500000000007</v>
      </c>
      <c r="H16">
        <f t="shared" si="0"/>
        <v>-303.27099999999996</v>
      </c>
      <c r="I16">
        <f t="shared" si="1"/>
        <v>-0.48298405347254625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934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1659.1666666666667</v>
      </c>
      <c r="H5">
        <f t="shared" ref="H5:H16" si="0">E5-F5</f>
        <v>-764.59999999999991</v>
      </c>
      <c r="I5">
        <f t="shared" ref="I5:I16" si="1">IFERROR(H5/F5,0)</f>
        <v>-0.45013540562816434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945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1696.1666666666667</v>
      </c>
      <c r="H6">
        <f t="shared" si="0"/>
        <v>-758.65000000000009</v>
      </c>
      <c r="I6">
        <f t="shared" si="1"/>
        <v>-0.44530860211897988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960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1693.3333333333333</v>
      </c>
      <c r="H7">
        <f t="shared" si="0"/>
        <v>-737.55</v>
      </c>
      <c r="I7">
        <f t="shared" si="1"/>
        <v>-0.43447910223557479</v>
      </c>
      <c r="J7">
        <f t="shared" si="2"/>
        <v>102.8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947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1698.6666666666667</v>
      </c>
      <c r="H8">
        <f t="shared" si="0"/>
        <v>-764.34999999999991</v>
      </c>
      <c r="I8">
        <f t="shared" si="1"/>
        <v>-0.44663569696438482</v>
      </c>
      <c r="J8">
        <f t="shared" si="2"/>
        <v>101.4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966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1707.3333333333333</v>
      </c>
      <c r="H9">
        <f t="shared" si="0"/>
        <v>-744.40000000000009</v>
      </c>
      <c r="I9">
        <f t="shared" si="1"/>
        <v>-0.43521983161833494</v>
      </c>
      <c r="J9">
        <f t="shared" si="2"/>
        <v>103.4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913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1727.6666666666667</v>
      </c>
      <c r="H10">
        <f t="shared" si="0"/>
        <v>-805.59999999999991</v>
      </c>
      <c r="I10">
        <f t="shared" si="1"/>
        <v>-0.46875363668101938</v>
      </c>
      <c r="J10">
        <f t="shared" si="2"/>
        <v>97.8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908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1696.6666666666667</v>
      </c>
      <c r="H11">
        <f t="shared" si="0"/>
        <v>-799</v>
      </c>
      <c r="I11">
        <f t="shared" si="1"/>
        <v>-0.46807264206209725</v>
      </c>
      <c r="J11">
        <f t="shared" si="2"/>
        <v>97.2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1005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1675.6666666666667</v>
      </c>
      <c r="H12">
        <f t="shared" si="0"/>
        <v>-689.95</v>
      </c>
      <c r="I12">
        <f t="shared" si="1"/>
        <v>-0.4070621552258179</v>
      </c>
      <c r="J12">
        <f t="shared" si="2"/>
        <v>107.6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913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1698.1666666666667</v>
      </c>
      <c r="H13">
        <f t="shared" si="0"/>
        <v>-790.84999999999991</v>
      </c>
      <c r="I13">
        <f t="shared" si="1"/>
        <v>-0.46415470845438267</v>
      </c>
      <c r="J13">
        <f t="shared" si="2"/>
        <v>97.8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989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1710</v>
      </c>
      <c r="H14">
        <f t="shared" si="0"/>
        <v>-723.05</v>
      </c>
      <c r="I14">
        <f t="shared" si="1"/>
        <v>-0.42232995531672557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961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1691</v>
      </c>
      <c r="H15">
        <f t="shared" si="0"/>
        <v>-750</v>
      </c>
      <c r="I15">
        <f t="shared" si="1"/>
        <v>-0.43834015195791937</v>
      </c>
      <c r="J15">
        <f t="shared" si="2"/>
        <v>102.9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989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1704.3333333333333</v>
      </c>
      <c r="H16">
        <f t="shared" si="0"/>
        <v>-721.2</v>
      </c>
      <c r="I16">
        <f t="shared" si="1"/>
        <v>-0.42170506373523564</v>
      </c>
      <c r="J16">
        <f t="shared" si="2"/>
        <v>105.9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194.25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378.63999999999993</v>
      </c>
      <c r="H5">
        <f t="shared" ref="H5:H16" si="0">E5-F5</f>
        <v>-188.02200000000011</v>
      </c>
      <c r="I5">
        <f t="shared" ref="I5:I16" si="1">IFERROR(H5/F5,0)</f>
        <v>-0.49185396785534918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197.36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380.58166666666665</v>
      </c>
      <c r="H6">
        <f t="shared" si="0"/>
        <v>-187.73099999999982</v>
      </c>
      <c r="I6">
        <f t="shared" si="1"/>
        <v>-0.4874977602696503</v>
      </c>
      <c r="J6">
        <f t="shared" si="2"/>
        <v>101.6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198.61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384.46333333333331</v>
      </c>
      <c r="H7">
        <f t="shared" si="0"/>
        <v>-188.66150000000016</v>
      </c>
      <c r="I7">
        <f t="shared" si="1"/>
        <v>-0.48715565178434272</v>
      </c>
      <c r="J7">
        <f t="shared" si="2"/>
        <v>102.2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200.19999999999993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386.1466666666667</v>
      </c>
      <c r="H8">
        <f t="shared" si="0"/>
        <v>-190.05700000000024</v>
      </c>
      <c r="I8">
        <f t="shared" si="1"/>
        <v>-0.4870047174041725</v>
      </c>
      <c r="J8">
        <f t="shared" si="2"/>
        <v>103.1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198.86999999999995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388.7</v>
      </c>
      <c r="H9">
        <f t="shared" si="0"/>
        <v>-193.92000000000024</v>
      </c>
      <c r="I9">
        <f t="shared" si="1"/>
        <v>-0.49369892308867369</v>
      </c>
      <c r="J9">
        <f t="shared" si="2"/>
        <v>102.4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200.78999999999996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390.36499999999995</v>
      </c>
      <c r="H10">
        <f t="shared" si="0"/>
        <v>-194.94000000000023</v>
      </c>
      <c r="I10">
        <f t="shared" si="1"/>
        <v>-0.49260859677052571</v>
      </c>
      <c r="J10">
        <f t="shared" si="2"/>
        <v>103.4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203.64000000000004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394.71999999999997</v>
      </c>
      <c r="H11">
        <f t="shared" si="0"/>
        <v>-194.34399999999982</v>
      </c>
      <c r="I11">
        <f t="shared" si="1"/>
        <v>-0.48832113853823239</v>
      </c>
      <c r="J11">
        <f t="shared" si="2"/>
        <v>104.8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203.24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397.03166666666675</v>
      </c>
      <c r="H12">
        <f t="shared" si="0"/>
        <v>-198.05350000000004</v>
      </c>
      <c r="I12">
        <f t="shared" si="1"/>
        <v>-0.49353777222905432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206.77999999999997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399.40000000000009</v>
      </c>
      <c r="H13">
        <f t="shared" si="0"/>
        <v>-197.32849999999996</v>
      </c>
      <c r="I13">
        <f t="shared" si="1"/>
        <v>-0.48830573967140012</v>
      </c>
      <c r="J13">
        <f t="shared" si="2"/>
        <v>106.5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205.7600000000001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402.36166666666668</v>
      </c>
      <c r="H14">
        <f t="shared" si="0"/>
        <v>-200.29050000000001</v>
      </c>
      <c r="I14">
        <f t="shared" si="1"/>
        <v>-0.49326500028937276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208.89999999999998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404.51833333333337</v>
      </c>
      <c r="H15">
        <f t="shared" si="0"/>
        <v>-200.41999999999985</v>
      </c>
      <c r="I15">
        <f t="shared" si="1"/>
        <v>-0.48964135639597367</v>
      </c>
      <c r="J15">
        <f t="shared" si="2"/>
        <v>107.5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210.01999999999998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407.54</v>
      </c>
      <c r="H16">
        <f t="shared" si="0"/>
        <v>-201.76250000000016</v>
      </c>
      <c r="I16">
        <f t="shared" si="1"/>
        <v>-0.48997346900366112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2026-10-17T11:54:48Z</dcterms:modified>
</cp:coreProperties>
</file>