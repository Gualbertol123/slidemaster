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22765F18-901D-4D14-9BD1-6CD2D600B234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42" i="5" a="1"/>
  <c r="C42" i="5" s="1"/>
  <c r="D42" i="5" s="1"/>
  <c r="C26" i="5" a="1"/>
  <c r="C26" i="5" s="1"/>
  <c r="D26" i="5" s="1"/>
  <c r="C10" i="5" a="1"/>
  <c r="C10" i="5" s="1"/>
  <c r="D10" i="5" s="1"/>
  <c r="A6" i="3"/>
  <c r="A5" i="3"/>
  <c r="C23" i="3"/>
  <c r="A16" i="3"/>
  <c r="B13" i="3"/>
  <c r="A31" i="3"/>
  <c r="A15" i="3"/>
  <c r="A4" i="3"/>
  <c r="A26" i="3"/>
  <c r="A28" i="3"/>
  <c r="A12" i="3"/>
  <c r="A24" i="3"/>
  <c r="B12" i="3"/>
  <c r="A27" i="3"/>
  <c r="B5" i="3"/>
  <c r="B4" i="3"/>
  <c r="C18" i="3"/>
  <c r="B28" i="3"/>
  <c r="C17" i="3"/>
  <c r="A22" i="3"/>
  <c r="B21" i="3"/>
  <c r="A17" i="3"/>
  <c r="B14" i="3"/>
  <c r="C40" i="5" a="1"/>
  <c r="C40" i="5" s="1"/>
  <c r="D40" i="5" s="1"/>
  <c r="C24" i="5" a="1"/>
  <c r="C24" i="5" s="1"/>
  <c r="D24" i="5" s="1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C17" i="5" a="1"/>
  <c r="C17" i="5" s="1"/>
  <c r="D17" i="5" s="1"/>
  <c r="A23" i="3"/>
  <c r="C29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30" i="5" a="1"/>
  <c r="C30" i="5" s="1"/>
  <c r="D30" i="5" s="1"/>
  <c r="C14" i="5" a="1"/>
  <c r="C14" i="5" s="1"/>
  <c r="D14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1" i="5" a="1"/>
  <c r="C11" i="5" s="1"/>
  <c r="D11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B23" i="5" a="1"/>
  <c r="B23" i="5" s="1"/>
  <c r="B15" i="5" a="1"/>
  <c r="B15" i="5" s="1"/>
  <c r="C7" i="7"/>
  <c r="C3" i="8"/>
  <c r="B38" i="5" a="1"/>
  <c r="B38" i="5" s="1"/>
  <c r="B30" i="5" a="1"/>
  <c r="B30" i="5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B29" i="5" a="1"/>
  <c r="B29" i="5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D13" i="8" s="1" a="1"/>
  <c r="D13" i="8" s="1"/>
  <c r="B28" i="5" a="1"/>
  <c r="B28" i="5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D8" i="8" l="1" a="1"/>
  <c r="D8" i="8" s="1"/>
  <c r="D7" i="8" a="1"/>
  <c r="D7" i="8" s="1"/>
  <c r="C14" i="3"/>
  <c r="D5" i="8" a="1"/>
  <c r="D5" i="8" s="1"/>
  <c r="D6" i="8" a="1"/>
  <c r="D6" i="8" s="1"/>
  <c r="D14" i="8" a="1"/>
  <c r="D14" i="8" s="1"/>
  <c r="C13" i="3"/>
  <c r="C19" i="3"/>
  <c r="B30" i="3"/>
  <c r="C30" i="3"/>
  <c r="C20" i="3"/>
  <c r="E5" i="8" a="1"/>
  <c r="E5" i="8" s="1"/>
  <c r="F5" i="8" s="1"/>
  <c r="B19" i="3"/>
  <c r="E7" i="8" a="1"/>
  <c r="E7" i="8" s="1"/>
  <c r="F7" i="8" s="1"/>
  <c r="E6" i="8" a="1"/>
  <c r="E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E10" i="8" l="1" a="1"/>
  <c r="E10" i="8" s="1"/>
  <c r="F6" i="8"/>
  <c r="F12" i="8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B16" i="4"/>
  <c r="B8" i="4"/>
  <c r="D3" i="3"/>
  <c r="B5" i="4"/>
  <c r="B7" i="4"/>
  <c r="D11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9" i="4" l="1"/>
  <c r="C19" i="4"/>
  <c r="C20" i="4"/>
  <c r="C13" i="4"/>
  <c r="C2" i="5"/>
  <c r="D5" i="9" s="1"/>
  <c r="C6" i="5"/>
  <c r="D9" i="9" s="1"/>
  <c r="C5" i="5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G3" i="5" s="1"/>
  <c r="E6" i="9" s="1"/>
  <c r="F7" i="7"/>
  <c r="B3" i="6"/>
  <c r="C14" i="4"/>
  <c r="C3" i="5"/>
  <c r="D6" i="9" s="1"/>
  <c r="F6" i="7"/>
  <c r="C5" i="4"/>
  <c r="C4" i="5"/>
  <c r="D7" i="9" s="1"/>
  <c r="F9" i="7"/>
  <c r="C6" i="4"/>
  <c r="C8" i="4"/>
  <c r="G4" i="5" l="1"/>
  <c r="E7" i="9" s="1"/>
  <c r="B5" i="6"/>
  <c r="H4" i="5"/>
  <c r="H7" i="7" s="1"/>
  <c r="G2" i="5"/>
  <c r="B24" i="4"/>
  <c r="B4" i="6" s="1"/>
  <c r="H6" i="5"/>
  <c r="H9" i="7" s="1"/>
  <c r="H3" i="5"/>
  <c r="H6" i="7" s="1"/>
  <c r="G5" i="5"/>
  <c r="E8" i="9" l="1"/>
  <c r="H5" i="5"/>
  <c r="H8" i="7" s="1"/>
  <c r="E5" i="9"/>
  <c r="H2" i="5"/>
  <c r="H5" i="7" s="1"/>
  <c r="B25" i="4" l="1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<sst xmlns="http://schemas.openxmlformats.org/spreadsheetml/2006/main" count="76" uniqueCount="41">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</sst>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30</v>
          </cell>
        </row>
        <row r="5">
          <cell r="B5" t="str">
            <v>Isole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7354.8</v>
          </cell>
        </row>
        <row r="3">
          <cell r="A3" t="str">
            <v>Banca Adriatica</v>
          </cell>
          <cell r="B3" t="str">
            <v>Nord-Est</v>
          </cell>
          <cell r="C3">
            <v>8568.1</v>
          </cell>
        </row>
        <row r="4">
          <cell r="A4" t="str">
            <v>Banca Tirrena</v>
          </cell>
          <cell r="B4" t="str">
            <v>Centro</v>
          </cell>
          <cell r="C4">
            <v>9865.7999999999993</v>
          </cell>
        </row>
        <row r="5">
          <cell r="A5" t="str">
            <v>Banca Padana</v>
          </cell>
          <cell r="B5" t="str">
            <v>Nord-Ovest</v>
          </cell>
          <cell r="C5">
            <v>11127.400000000001</v>
          </cell>
        </row>
        <row r="6">
          <cell r="A6" t="str">
            <v>Banca Etrusca</v>
          </cell>
          <cell r="B6" t="str">
            <v>Centro</v>
          </cell>
          <cell r="C6">
            <v>12359</v>
          </cell>
        </row>
        <row r="7">
          <cell r="A7" t="str">
            <v>Banca Lariana</v>
          </cell>
          <cell r="B7" t="str">
            <v>Nord-Ovest</v>
          </cell>
          <cell r="C7">
            <v>13592.199999999999</v>
          </cell>
        </row>
        <row r="8">
          <cell r="A8" t="str">
            <v>Banca Sabina</v>
          </cell>
          <cell r="B8" t="str">
            <v>Centro</v>
          </cell>
          <cell r="C8">
            <v>14860.6</v>
          </cell>
        </row>
        <row r="9">
          <cell r="A9" t="str">
            <v>Banca Irpina</v>
          </cell>
          <cell r="B9" t="str">
            <v>Sud</v>
          </cell>
          <cell r="C9">
            <v>16241.5</v>
          </cell>
        </row>
        <row r="10">
          <cell r="A10" t="str">
            <v>Banca Sannita</v>
          </cell>
          <cell r="B10" t="str">
            <v>Sud</v>
          </cell>
          <cell r="C10">
            <v>17435.2</v>
          </cell>
        </row>
        <row r="11">
          <cell r="A11" t="str">
            <v>Banca Ligure</v>
          </cell>
          <cell r="B11" t="str">
            <v>Nord-Ovest</v>
          </cell>
          <cell r="C11">
            <v>18568.2</v>
          </cell>
        </row>
        <row r="12">
          <cell r="A12" t="str">
            <v>Banca Veneta</v>
          </cell>
          <cell r="B12" t="str">
            <v>Nord-Est</v>
          </cell>
          <cell r="C12">
            <v>19867.000000000004</v>
          </cell>
        </row>
        <row r="13">
          <cell r="A13" t="str">
            <v>Banca Friulana</v>
          </cell>
          <cell r="B13" t="str">
            <v>Nord-Est</v>
          </cell>
          <cell r="C13">
            <v>21169.7</v>
          </cell>
        </row>
        <row r="14">
          <cell r="A14" t="str">
            <v>Banca Umbra</v>
          </cell>
          <cell r="B14" t="str">
            <v>Centro</v>
          </cell>
          <cell r="C14">
            <v>22385.899999999998</v>
          </cell>
        </row>
        <row r="15">
          <cell r="A15" t="str">
            <v>Banca Marchigiana</v>
          </cell>
          <cell r="B15" t="str">
            <v>Centro</v>
          </cell>
          <cell r="C15">
            <v>23667.1</v>
          </cell>
        </row>
        <row r="16">
          <cell r="A16" t="str">
            <v>Banca Lucana</v>
          </cell>
          <cell r="B16" t="str">
            <v>Sud</v>
          </cell>
          <cell r="C16">
            <v>24910.3</v>
          </cell>
        </row>
        <row r="17">
          <cell r="A17" t="str">
            <v>Banca Calabra</v>
          </cell>
          <cell r="B17" t="str">
            <v>Sud</v>
          </cell>
          <cell r="C17">
            <v>26105.9</v>
          </cell>
        </row>
        <row r="18">
          <cell r="A18" t="str">
            <v>Banca Sicula</v>
          </cell>
          <cell r="B18" t="str">
            <v>Isole</v>
          </cell>
          <cell r="C18">
            <v>27574.800000000003</v>
          </cell>
        </row>
        <row r="19">
          <cell r="A19" t="str">
            <v>Banca Sarda</v>
          </cell>
          <cell r="B19" t="str">
            <v>Isole</v>
          </cell>
          <cell r="C19">
            <v>28720.9</v>
          </cell>
        </row>
        <row r="20">
          <cell r="A20" t="str">
            <v>Banca Romagnola</v>
          </cell>
          <cell r="B20" t="str">
            <v>Nord-Est</v>
          </cell>
          <cell r="C20">
            <v>29979.5</v>
          </cell>
        </row>
        <row r="21">
          <cell r="A21" t="str">
            <v>Banca Città</v>
          </cell>
          <cell r="B21" t="str">
            <v>Centro</v>
          </cell>
          <cell r="C21">
            <v>31314.5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50642.6</v>
          </cell>
          <cell r="E2">
            <v>1082.6800000000003</v>
          </cell>
        </row>
        <row r="3">
          <cell r="A3" t="str">
            <v>Nord-Est</v>
          </cell>
          <cell r="B3">
            <v>4</v>
          </cell>
          <cell r="C3">
            <v>79584.299999999988</v>
          </cell>
          <cell r="E3">
            <v>1698.1000000000001</v>
          </cell>
        </row>
        <row r="4">
          <cell r="A4" t="str">
            <v>Centro</v>
          </cell>
          <cell r="B4">
            <v>6</v>
          </cell>
          <cell r="C4">
            <v>114452.9</v>
          </cell>
          <cell r="E4">
            <v>2445.2399999999998</v>
          </cell>
        </row>
        <row r="5">
          <cell r="A5" t="str">
            <v>Sud</v>
          </cell>
          <cell r="B5">
            <v>4</v>
          </cell>
          <cell r="C5">
            <v>84692.900000000009</v>
          </cell>
          <cell r="E5">
            <v>1807.46</v>
          </cell>
        </row>
        <row r="6">
          <cell r="A6" t="str">
            <v>Isole</v>
          </cell>
          <cell r="B6">
            <v>2</v>
          </cell>
          <cell r="C6">
            <v>56295.700000000004</v>
          </cell>
          <cell r="E6">
            <v>1202.1699999999998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6924.6</v>
          </cell>
          <cell r="E2">
            <v>430.19999999999982</v>
          </cell>
          <cell r="G2" t="str">
            <v>G1</v>
          </cell>
        </row>
        <row r="3">
          <cell r="A3" t="str">
            <v>Banca Adriatica</v>
          </cell>
          <cell r="C3">
            <v>8011.7</v>
          </cell>
          <cell r="E3">
            <v>556.40000000000055</v>
          </cell>
          <cell r="G3" t="str">
            <v>G2</v>
          </cell>
        </row>
        <row r="4">
          <cell r="A4" t="str">
            <v>Banca Tirrena</v>
          </cell>
          <cell r="C4">
            <v>9487.6</v>
          </cell>
          <cell r="E4">
            <v>378.19999999999891</v>
          </cell>
          <cell r="G4" t="str">
            <v>G3</v>
          </cell>
        </row>
        <row r="5">
          <cell r="A5" t="str">
            <v>Banca Padana</v>
          </cell>
          <cell r="C5">
            <v>10580.4</v>
          </cell>
          <cell r="E5">
            <v>547.00000000000182</v>
          </cell>
          <cell r="G5" t="str">
            <v>G4</v>
          </cell>
        </row>
        <row r="6">
          <cell r="A6" t="str">
            <v>Banca Etrusca</v>
          </cell>
          <cell r="C6">
            <v>11564</v>
          </cell>
          <cell r="E6">
            <v>795</v>
          </cell>
          <cell r="G6" t="str">
            <v>G1</v>
          </cell>
        </row>
        <row r="7">
          <cell r="A7" t="str">
            <v>Banca Lariana</v>
          </cell>
          <cell r="C7">
            <v>12936.3</v>
          </cell>
          <cell r="E7">
            <v>655.89999999999964</v>
          </cell>
          <cell r="G7" t="str">
            <v>G2</v>
          </cell>
        </row>
        <row r="8">
          <cell r="A8" t="str">
            <v>Banca Sabina</v>
          </cell>
          <cell r="C8">
            <v>14236.8</v>
          </cell>
          <cell r="E8">
            <v>623.80000000000109</v>
          </cell>
          <cell r="G8" t="str">
            <v>G3</v>
          </cell>
        </row>
        <row r="9">
          <cell r="A9" t="str">
            <v>Banca Irpina</v>
          </cell>
          <cell r="C9">
            <v>15498</v>
          </cell>
          <cell r="E9">
            <v>743.5</v>
          </cell>
          <cell r="G9" t="str">
            <v>G4</v>
          </cell>
        </row>
        <row r="10">
          <cell r="A10" t="str">
            <v>Banca Sannita</v>
          </cell>
          <cell r="C10">
            <v>16513.099999999999</v>
          </cell>
          <cell r="E10">
            <v>922.10000000000218</v>
          </cell>
          <cell r="G10" t="str">
            <v>G1</v>
          </cell>
        </row>
        <row r="11">
          <cell r="A11" t="str">
            <v>Banca Ligure</v>
          </cell>
          <cell r="C11">
            <v>17729.8</v>
          </cell>
          <cell r="E11">
            <v>838.40000000000146</v>
          </cell>
          <cell r="G11" t="str">
            <v>G2</v>
          </cell>
        </row>
        <row r="12">
          <cell r="A12" t="str">
            <v>Banca Veneta</v>
          </cell>
          <cell r="C12">
            <v>18788.599999999999</v>
          </cell>
          <cell r="E12">
            <v>1078.4000000000051</v>
          </cell>
          <cell r="G12" t="str">
            <v>G3</v>
          </cell>
        </row>
        <row r="13">
          <cell r="A13" t="str">
            <v>Banca Friulana</v>
          </cell>
          <cell r="C13">
            <v>20151.900000000001</v>
          </cell>
          <cell r="E13">
            <v>1017.7999999999993</v>
          </cell>
          <cell r="G13" t="str">
            <v>G4</v>
          </cell>
        </row>
        <row r="14">
          <cell r="A14" t="str">
            <v>Banca Umbra</v>
          </cell>
          <cell r="C14">
            <v>21171.9</v>
          </cell>
          <cell r="E14">
            <v>1213.9999999999964</v>
          </cell>
          <cell r="G14" t="str">
            <v>G1</v>
          </cell>
        </row>
        <row r="15">
          <cell r="A15" t="str">
            <v>Banca Marchigiana</v>
          </cell>
          <cell r="C15">
            <v>22595.599999999999</v>
          </cell>
          <cell r="E15">
            <v>1071.5</v>
          </cell>
          <cell r="G15" t="str">
            <v>G2</v>
          </cell>
        </row>
        <row r="16">
          <cell r="A16" t="str">
            <v>Banca Lucana</v>
          </cell>
          <cell r="C16">
            <v>23678.400000000001</v>
          </cell>
          <cell r="E16">
            <v>1231.8999999999978</v>
          </cell>
          <cell r="G16" t="str">
            <v>G3</v>
          </cell>
        </row>
        <row r="17">
          <cell r="A17" t="str">
            <v>Banca Calabra</v>
          </cell>
          <cell r="C17">
            <v>24927</v>
          </cell>
          <cell r="E17">
            <v>1178.9000000000015</v>
          </cell>
          <cell r="G17" t="str">
            <v>G4</v>
          </cell>
        </row>
        <row r="18">
          <cell r="A18" t="str">
            <v>Banca Sicula</v>
          </cell>
          <cell r="C18">
            <v>25824.400000000001</v>
          </cell>
          <cell r="E18">
            <v>1750.4000000000015</v>
          </cell>
          <cell r="G18" t="str">
            <v>G1</v>
          </cell>
        </row>
        <row r="19">
          <cell r="A19" t="str">
            <v>Banca Sarda</v>
          </cell>
          <cell r="C19">
            <v>27309.599999999999</v>
          </cell>
          <cell r="E19">
            <v>1411.3000000000029</v>
          </cell>
          <cell r="G19" t="str">
            <v>G2</v>
          </cell>
        </row>
        <row r="20">
          <cell r="A20" t="str">
            <v>Banca Romagnola</v>
          </cell>
          <cell r="C20">
            <v>28539.8</v>
          </cell>
          <cell r="E20">
            <v>1439.7000000000007</v>
          </cell>
          <cell r="G20" t="str">
            <v>G3</v>
          </cell>
        </row>
        <row r="21">
          <cell r="A21" t="str">
            <v>Banca Città</v>
          </cell>
          <cell r="C21">
            <v>29539.1</v>
          </cell>
          <cell r="E21">
            <v>1775.4000000000015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20</v>
          </cell>
        </row>
        <row r="4">
          <cell r="B4">
            <v>19659.800000000014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50642.6</v>
      </c>
      <c r="D2">
        <f>[1]Calc_Region!E2</f>
        <v>1082.6800000000003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79584.299999999988</v>
      </c>
      <c r="D3">
        <f>[1]Calc_Region!E3</f>
        <v>1698.1000000000001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114452.9</v>
      </c>
      <c r="D4">
        <f>[1]Calc_Region!E4</f>
        <v>2445.2399999999998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84692.900000000009</v>
      </c>
      <c r="D5">
        <f>[1]Calc_Region!E5</f>
        <v>1807.46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56295.700000000004</v>
      </c>
      <c r="D6">
        <f>[1]Calc_Region!E6</f>
        <v>1202.1699999999998</v>
      </c>
    </row>
    <row r="9" spans="1:4" x14ac:dyDescent="0.25">
      <c r="A9" t="s">
        <v>17</v>
      </c>
      <c r="B9">
        <f>[1]Control!$B$3</f>
        <v>30</v>
      </c>
    </row>
    <row r="10" spans="1:4" x14ac:dyDescent="0.25">
      <c r="A10" t="s">
        <v>0</v>
      </c>
      <c r="B10" t="str">
        <f>[1]Control!$B$5</f>
        <v>Isole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7354.8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8568.1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9865.7999999999993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11127.400000000001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12359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13592.199999999999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14860.6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16241.5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17435.2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18568.2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19867.000000000004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21169.7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22385.899999999998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23667.1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24910.3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26105.9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27574.800000000003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28720.9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29979.5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31314.5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6924.6</v>
      </c>
      <c r="C2">
        <f>[2]Compare!E2</f>
        <v>430.19999999999982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8011.7</v>
      </c>
      <c r="C3">
        <f>[2]Compare!E3</f>
        <v>556.40000000000055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9487.6</v>
      </c>
      <c r="C4">
        <f>[2]Compare!E4</f>
        <v>378.19999999999891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10580.4</v>
      </c>
      <c r="C5">
        <f>[2]Compare!E5</f>
        <v>547.00000000000182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11564</v>
      </c>
      <c r="C6">
        <f>[2]Compare!E6</f>
        <v>795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12936.3</v>
      </c>
      <c r="C7">
        <f>[2]Compare!E7</f>
        <v>655.89999999999964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14236.8</v>
      </c>
      <c r="C8">
        <f>[2]Compare!E8</f>
        <v>623.80000000000109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15498</v>
      </c>
      <c r="C9">
        <f>[2]Compare!E9</f>
        <v>743.5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16513.099999999999</v>
      </c>
      <c r="C10">
        <f>[2]Compare!E10</f>
        <v>922.10000000000218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17729.8</v>
      </c>
      <c r="C11">
        <f>[2]Compare!E11</f>
        <v>838.40000000000146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18788.599999999999</v>
      </c>
      <c r="C12">
        <f>[2]Compare!E12</f>
        <v>1078.4000000000051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20151.900000000001</v>
      </c>
      <c r="C13">
        <f>[2]Compare!E13</f>
        <v>1017.7999999999993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21171.9</v>
      </c>
      <c r="C14">
        <f>[2]Compare!E14</f>
        <v>1213.9999999999964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22595.599999999999</v>
      </c>
      <c r="C15">
        <f>[2]Compare!E15</f>
        <v>1071.5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23678.400000000001</v>
      </c>
      <c r="C16">
        <f>[2]Compare!E16</f>
        <v>1231.8999999999978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24927</v>
      </c>
      <c r="C17">
        <f>[2]Compare!E17</f>
        <v>1178.9000000000015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25824.400000000001</v>
      </c>
      <c r="C18">
        <f>[2]Compare!E18</f>
        <v>1750.4000000000015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27309.599999999999</v>
      </c>
      <c r="C19">
        <f>[2]Compare!E19</f>
        <v>1411.3000000000029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28539.8</v>
      </c>
      <c r="C20">
        <f>[2]Compare!E20</f>
        <v>1439.7000000000007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29539.1</v>
      </c>
      <c r="C21">
        <f>[2]Compare!E21</f>
        <v>1775.4000000000015</v>
      </c>
      <c r="D21" t="str">
        <f>[2]Compare!G21</f>
        <v>G4</v>
      </c>
    </row>
    <row r="24" spans="1:4" x14ac:dyDescent="0.25">
      <c r="A24" t="s">
        <v>22</v>
      </c>
      <c r="B24">
        <f>[2]Summary!B4</f>
        <v>19659.800000000014</v>
      </c>
    </row>
    <row r="25" spans="1:4" x14ac:dyDescent="0.25">
      <c r="A25" t="s">
        <v>23</v>
      </c>
      <c r="B25">
        <f>[2]Summary!$B$3</f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50642.6</v>
      </c>
      <c r="C2">
        <f>SUMIFS(FromPeers!$B$2:$B$21,FromModel!$B$12:$B$31,A2)</f>
        <v>48171.1</v>
      </c>
      <c r="D2" cm="1">
        <f t="array" ref="D2">INDEX(RegTargets!$B$2:$AK$6,MATCH(A2,RegTargets!$A$2:$A$6,0),FromModel!$B$9)</f>
        <v>49560</v>
      </c>
      <c r="E2">
        <f t="shared" ref="E2:E6" si="0">B2-D2</f>
        <v>1082.5999999999985</v>
      </c>
      <c r="F2">
        <f t="shared" ref="F2:F6" si="1">B2/SUM($B$2:$B$6)</f>
        <v>0.13131125080509576</v>
      </c>
      <c r="G2">
        <f>SUMIFS(FromPeers!$C$2:$C$21,FromModel!$B$12:$B$31,A2)</f>
        <v>2471.5000000000027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79584.299999999988</v>
      </c>
      <c r="C3">
        <f>SUMIFS(FromPeers!$B$2:$B$21,FromModel!$B$12:$B$31,A3)</f>
        <v>75492</v>
      </c>
      <c r="D3" cm="1">
        <f t="array" ref="D3">INDEX(RegTargets!$B$2:$AK$6,MATCH(A3,RegTargets!$A$2:$A$6,0),FromModel!$B$9)</f>
        <v>35400</v>
      </c>
      <c r="E3">
        <f t="shared" si="0"/>
        <v>44184.299999999988</v>
      </c>
      <c r="F3">
        <f t="shared" si="1"/>
        <v>0.2063542151755238</v>
      </c>
      <c r="G3">
        <f>SUMIFS(FromPeers!$C$2:$C$21,FromModel!$B$12:$B$31,A3)</f>
        <v>4092.3000000000056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114452.9</v>
      </c>
      <c r="C4">
        <f>SUMIFS(FromPeers!$B$2:$B$21,FromModel!$B$12:$B$31,A4)</f>
        <v>108595</v>
      </c>
      <c r="D4" cm="1">
        <f t="array" ref="D4">INDEX(RegTargets!$B$2:$AK$6,MATCH(A4,RegTargets!$A$2:$A$6,0),FromModel!$B$9)</f>
        <v>55460</v>
      </c>
      <c r="E4">
        <f t="shared" si="0"/>
        <v>58992.899999999994</v>
      </c>
      <c r="F4">
        <f t="shared" si="1"/>
        <v>0.29676504478977273</v>
      </c>
      <c r="G4">
        <f>SUMIFS(FromPeers!$C$2:$C$21,FromModel!$B$12:$B$31,A4)</f>
        <v>5857.8999999999978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/>
      </c>
    </row>
    <row r="5" spans="1:11" x14ac:dyDescent="0.25">
      <c r="A5" t="str">
        <f>RegMaster!A5</f>
        <v>Sud</v>
      </c>
      <c r="B5">
        <f>_xlfn.XLOOKUP(A5,FromModel!$A$2:$A$6,FromModel!$C$2:$C$6)</f>
        <v>84692.900000000009</v>
      </c>
      <c r="C5">
        <f>SUMIFS(FromPeers!$B$2:$B$21,FromModel!$B$12:$B$31,A5)</f>
        <v>80616.5</v>
      </c>
      <c r="D5" cm="1">
        <f t="array" ref="D5">INDEX(RegTargets!$B$2:$AK$6,MATCH(A5,RegTargets!$A$2:$A$6,0),FromModel!$B$9)</f>
        <v>30680</v>
      </c>
      <c r="E5">
        <f t="shared" si="0"/>
        <v>54012.900000000009</v>
      </c>
      <c r="F5">
        <f t="shared" si="1"/>
        <v>0.21960030948866954</v>
      </c>
      <c r="G5">
        <f>SUMIFS(FromPeers!$C$2:$C$21,FromModel!$B$12:$B$31,A5)</f>
        <v>4076.4000000000015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56295.700000000004</v>
      </c>
      <c r="C6">
        <f>SUMIFS(FromPeers!$B$2:$B$21,FromModel!$B$12:$B$31,A6)</f>
        <v>53134</v>
      </c>
      <c r="D6" cm="1">
        <f t="array" ref="D6">INDEX(RegTargets!$B$2:$AK$6,MATCH(A6,RegTargets!$A$2:$A$6,0),FromModel!$B$9)</f>
        <v>18880</v>
      </c>
      <c r="E6">
        <f t="shared" si="0"/>
        <v>37415.700000000004</v>
      </c>
      <c r="F6">
        <f t="shared" si="1"/>
        <v>0.14596917974093807</v>
      </c>
      <c r="G6">
        <f>SUMIFS(FromPeers!$C$2:$C$21,FromModel!$B$12:$B$31,A6)</f>
        <v>3161.7000000000044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>*</v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16096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16192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16288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16384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16480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16576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16672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16768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16864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16960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17056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17152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17248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17344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17440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17536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17632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17728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17824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17920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18016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18112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18208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18304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18400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18496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18592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18688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18784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18880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18976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19072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19168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19264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19360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19456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385668.4</v>
      </c>
    </row>
    <row r="3" spans="1:2" x14ac:dyDescent="0.25">
      <c r="A3" t="s">
        <v>36</v>
      </c>
      <c r="B3">
        <f>_xlfn.XLOOKUP(FromModel!B10,RegCalc!A2:A6,RegCalc!E2:E6,"n/a")</f>
        <v>37415.700000000004</v>
      </c>
    </row>
    <row r="4" spans="1:2" x14ac:dyDescent="0.25">
      <c r="A4" t="s">
        <v>37</v>
      </c>
      <c r="B4">
        <f>FromPeers!B24*1</f>
        <v>19659.800000000014</v>
      </c>
    </row>
    <row r="5" spans="1:2" x14ac:dyDescent="0.25">
      <c r="A5" t="s">
        <v>38</v>
      </c>
      <c r="B5">
        <f>_xlfn.XLOOKUP(FromModel!B10,RegCalc!A2:A6,RegCalc!G2:G6,"n/a")</f>
        <v>3161.7000000000044</v>
      </c>
    </row>
    <row r="6" spans="1:2" x14ac:dyDescent="0.25">
      <c r="A6" t="s">
        <v>23</v>
      </c>
      <c r="B6">
        <f>FromPeers!B25</f>
        <v>20</v>
      </c>
    </row>
    <row r="7" spans="1:2" x14ac:dyDescent="0.25">
      <c r="A7" t="s">
        <v>39</v>
      </c>
      <c r="B7" t="str">
        <f>FromModel!B10</f>
        <v>Isole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30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50642.6</v>
      </c>
      <c r="E5">
        <f>RegCalc!D2</f>
        <v>49560</v>
      </c>
      <c r="F5">
        <f>RegCalc!E2</f>
        <v>1082.5999999999985</v>
      </c>
      <c r="G5">
        <f>RegCalc!F2</f>
        <v>0.13131125080509576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79584.299999999988</v>
      </c>
      <c r="E6">
        <f>RegCalc!D3</f>
        <v>35400</v>
      </c>
      <c r="F6">
        <f>RegCalc!E3</f>
        <v>44184.299999999988</v>
      </c>
      <c r="G6">
        <f>RegCalc!F3</f>
        <v>0.2063542151755238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114452.9</v>
      </c>
      <c r="E7">
        <f>RegCalc!D4</f>
        <v>55460</v>
      </c>
      <c r="F7">
        <f>RegCalc!E4</f>
        <v>58992.899999999994</v>
      </c>
      <c r="G7">
        <f>RegCalc!F4</f>
        <v>0.29676504478977273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84692.900000000009</v>
      </c>
      <c r="E8">
        <f>RegCalc!D5</f>
        <v>30680</v>
      </c>
      <c r="F8">
        <f>RegCalc!E5</f>
        <v>54012.900000000009</v>
      </c>
      <c r="G8">
        <f>RegCalc!F5</f>
        <v>0.21960030948866954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56295.700000000004</v>
      </c>
      <c r="E9">
        <f>RegCalc!D6</f>
        <v>18880</v>
      </c>
      <c r="F9">
        <f>RegCalc!E6</f>
        <v>37415.700000000004</v>
      </c>
      <c r="G9">
        <f>RegCalc!F6</f>
        <v>0.14596917974093807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Isole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19</v>
      </c>
      <c r="D5" cm="1">
        <f t="array" ref="D5">INDEX(RegCalc!$B$10:$B$45,C5)</f>
        <v>17824</v>
      </c>
      <c r="E5" cm="1">
        <f t="array" ref="E5">INDEX(RegCalc!$C$10:$C$45,C5)</f>
        <v>358146</v>
      </c>
      <c r="F5">
        <f t="shared" ref="F5:F16" si="0">IFERROR(E5/D5,0)</f>
        <v>20.093469479353679</v>
      </c>
    </row>
    <row r="6" spans="2:7" x14ac:dyDescent="0.25">
      <c r="C6">
        <f>FromModel!$B$9-12+ROW()-4</f>
        <v>20</v>
      </c>
      <c r="D6" cm="1">
        <f t="array" ref="D6">INDEX(RegCalc!$B$10:$B$45,C6)</f>
        <v>17920</v>
      </c>
      <c r="E6" cm="1">
        <f t="array" ref="E6">INDEX(RegCalc!$C$10:$C$45,C6)</f>
        <v>360486.5</v>
      </c>
      <c r="F6">
        <f t="shared" si="0"/>
        <v>20.116434151785715</v>
      </c>
    </row>
    <row r="7" spans="2:7" x14ac:dyDescent="0.25">
      <c r="C7">
        <f>FromModel!$B$9-12+ROW()-4</f>
        <v>21</v>
      </c>
      <c r="D7" cm="1">
        <f t="array" ref="D7">INDEX(RegCalc!$B$10:$B$45,C7)</f>
        <v>18016</v>
      </c>
      <c r="E7" cm="1">
        <f t="array" ref="E7">INDEX(RegCalc!$C$10:$C$45,C7)</f>
        <v>362644.60000000003</v>
      </c>
      <c r="F7">
        <f t="shared" si="0"/>
        <v>20.129029751332151</v>
      </c>
    </row>
    <row r="8" spans="2:7" x14ac:dyDescent="0.25">
      <c r="C8">
        <f>FromModel!$B$9-12+ROW()-4</f>
        <v>22</v>
      </c>
      <c r="D8" cm="1">
        <f t="array" ref="D8">INDEX(RegCalc!$B$10:$B$45,C8)</f>
        <v>18112</v>
      </c>
      <c r="E8" cm="1">
        <f t="array" ref="E8">INDEX(RegCalc!$C$10:$C$45,C8)</f>
        <v>365894.3</v>
      </c>
      <c r="F8">
        <f t="shared" si="0"/>
        <v>20.201761263250884</v>
      </c>
    </row>
    <row r="9" spans="2:7" x14ac:dyDescent="0.25">
      <c r="C9">
        <f>FromModel!$B$9-12+ROW()-4</f>
        <v>23</v>
      </c>
      <c r="D9" cm="1">
        <f t="array" ref="D9">INDEX(RegCalc!$B$10:$B$45,C9)</f>
        <v>18208</v>
      </c>
      <c r="E9" cm="1">
        <f t="array" ref="E9">INDEX(RegCalc!$C$10:$C$45,C9)</f>
        <v>368054.60000000003</v>
      </c>
      <c r="F9">
        <f t="shared" si="0"/>
        <v>20.213894991212655</v>
      </c>
    </row>
    <row r="10" spans="2:7" x14ac:dyDescent="0.25">
      <c r="C10">
        <f>FromModel!$B$9-12+ROW()-4</f>
        <v>24</v>
      </c>
      <c r="D10" cm="1">
        <f t="array" ref="D10">INDEX(RegCalc!$B$10:$B$45,C10)</f>
        <v>18304</v>
      </c>
      <c r="E10" cm="1">
        <f t="array" ref="E10">INDEX(RegCalc!$C$10:$C$45,C10)</f>
        <v>370720.8</v>
      </c>
      <c r="F10">
        <f t="shared" si="0"/>
        <v>20.253540209790209</v>
      </c>
    </row>
    <row r="11" spans="2:7" x14ac:dyDescent="0.25">
      <c r="C11">
        <f>FromModel!$B$9-12+ROW()-4</f>
        <v>25</v>
      </c>
      <c r="D11" cm="1">
        <f t="array" ref="D11">INDEX(RegCalc!$B$10:$B$45,C11)</f>
        <v>18400</v>
      </c>
      <c r="E11" cm="1">
        <f t="array" ref="E11">INDEX(RegCalc!$C$10:$C$45,C11)</f>
        <v>373032.39999999997</v>
      </c>
      <c r="F11">
        <f t="shared" si="0"/>
        <v>20.273499999999999</v>
      </c>
    </row>
    <row r="12" spans="2:7" x14ac:dyDescent="0.25">
      <c r="C12">
        <f>FromModel!$B$9-12+ROW()-4</f>
        <v>26</v>
      </c>
      <c r="D12" cm="1">
        <f t="array" ref="D12">INDEX(RegCalc!$B$10:$B$45,C12)</f>
        <v>18496</v>
      </c>
      <c r="E12" cm="1">
        <f t="array" ref="E12">INDEX(RegCalc!$C$10:$C$45,C12)</f>
        <v>375684.69999999995</v>
      </c>
      <c r="F12">
        <f t="shared" si="0"/>
        <v>20.311672794117644</v>
      </c>
    </row>
    <row r="13" spans="2:7" x14ac:dyDescent="0.25">
      <c r="C13">
        <f>FromModel!$B$9-12+ROW()-4</f>
        <v>27</v>
      </c>
      <c r="D13" cm="1">
        <f t="array" ref="D13">INDEX(RegCalc!$B$10:$B$45,C13)</f>
        <v>18592</v>
      </c>
      <c r="E13" cm="1">
        <f t="array" ref="E13">INDEX(RegCalc!$C$10:$C$45,C13)</f>
        <v>378262.60000000003</v>
      </c>
      <c r="F13">
        <f t="shared" si="0"/>
        <v>20.345449655765922</v>
      </c>
    </row>
    <row r="14" spans="2:7" x14ac:dyDescent="0.25">
      <c r="C14">
        <f>FromModel!$B$9-12+ROW()-4</f>
        <v>28</v>
      </c>
      <c r="D14" cm="1">
        <f t="array" ref="D14">INDEX(RegCalc!$B$10:$B$45,C14)</f>
        <v>18688</v>
      </c>
      <c r="E14" cm="1">
        <f t="array" ref="E14">INDEX(RegCalc!$C$10:$C$45,C14)</f>
        <v>380278.8</v>
      </c>
      <c r="F14">
        <f t="shared" si="0"/>
        <v>20.348822773972604</v>
      </c>
    </row>
    <row r="15" spans="2:7" x14ac:dyDescent="0.25">
      <c r="C15">
        <f>FromModel!$B$9-12+ROW()-4</f>
        <v>29</v>
      </c>
      <c r="D15" cm="1">
        <f t="array" ref="D15">INDEX(RegCalc!$B$10:$B$45,C15)</f>
        <v>18784</v>
      </c>
      <c r="E15" cm="1">
        <f t="array" ref="E15">INDEX(RegCalc!$C$10:$C$45,C15)</f>
        <v>383328.10000000003</v>
      </c>
      <c r="F15">
        <f t="shared" si="0"/>
        <v>20.407160349233394</v>
      </c>
    </row>
    <row r="16" spans="2:7" x14ac:dyDescent="0.25">
      <c r="C16">
        <f>FromModel!$B$9-12+ROW()-4</f>
        <v>30</v>
      </c>
      <c r="D16" cm="1">
        <f t="array" ref="D16">INDEX(RegCalc!$B$10:$B$45,C16)</f>
        <v>18880</v>
      </c>
      <c r="E16" cm="1">
        <f t="array" ref="E16">INDEX(RegCalc!$C$10:$C$45,C16)</f>
        <v>385668.4</v>
      </c>
      <c r="F16">
        <f t="shared" si="0"/>
        <v>20.427351694915256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48171.1</v>
      </c>
      <c r="E5">
        <f>RegCalc!G2</f>
        <v>2471.5000000000027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75492</v>
      </c>
      <c r="E6">
        <f>RegCalc!G3</f>
        <v>4092.3000000000056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108595</v>
      </c>
      <c r="E7">
        <f>RegCalc!G4</f>
        <v>5857.8999999999978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80616.5</v>
      </c>
      <c r="E8">
        <f>RegCalc!G5</f>
        <v>4076.4000000000015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53134</v>
      </c>
      <c r="E9">
        <f>RegCalc!G6</f>
        <v>3161.7000000000044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2026-10-17T11:54:48Z</dcterms:modified>
</cp:coreProperties>
</file>