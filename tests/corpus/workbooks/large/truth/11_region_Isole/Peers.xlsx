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3BF327F1-FA39-4ADE-94EF-9B07D4296D91}" xr6:coauthVersionLast="47" xr6:coauthVersionMax="47" xr10:uidLastSave="{00000000-0000-0000-0000-000000000000}"/>
  <bookViews>
    <workbookView xWindow="2280" yWindow="2280" windowWidth="14400" windowHeight="8170" firstSheet="10" activeTab="10" xr2:uid="{14EA2F4C-F467-4B30-AB1F-30276CFEA1BE}"/>
  </bookViews>
  <sheets>
    <sheet name="PeerData" sheetId="1" r:id="rId1"/>
    <sheet name="PeerMaster" sheetId="2" r:id="rId2"/>
    <sheet name="Link" sheetId="3" r:id="rId3"/>
    <sheet name="Compare" sheetId="4" r:id="rId4"/>
    <sheet name="PeerTrend" sheetId="5" r:id="rId5"/>
    <sheet name="PeerGrid" sheetId="6" r:id="rId6"/>
    <sheet name="Summary" sheetId="7" r:id="rId7"/>
    <sheet name="SLIDE Peer Overview" sheetId="8" r:id="rId8"/>
    <sheet name="SLIDE Peer Trend" sheetId="9" r:id="rId9"/>
    <sheet name="SLIDE Peer Gap" sheetId="10" r:id="rId10"/>
    <sheet name="SLIDE Peer Rank" sheetId="11" r:id="rId11"/>
  </sheets>
  <externalReferences>
    <externalReference r:id="rId12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1" l="1"/>
  <c r="C3" i="10"/>
  <c r="B10" i="7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B5" i="3"/>
  <c r="B4" i="3"/>
  <c r="B3" i="3"/>
  <c r="B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D20" i="3"/>
  <c r="D27" i="3"/>
  <c r="C46" i="3" a="1"/>
  <c r="C46" i="3" s="1"/>
  <c r="C48" i="3" a="1"/>
  <c r="C48" i="3" s="1"/>
  <c r="C50" i="3" a="1"/>
  <c r="C50" i="3" s="1"/>
  <c r="D26" i="3" l="1"/>
  <c r="B50" i="3"/>
  <c r="B18" i="5" s="1"/>
  <c r="C66" i="3" a="1"/>
  <c r="C66" i="3" s="1"/>
  <c r="C27" i="3"/>
  <c r="D11" i="3"/>
  <c r="B40" i="3"/>
  <c r="B8" i="5" s="1"/>
  <c r="C44" i="3" a="1"/>
  <c r="C44" i="3" s="1"/>
  <c r="C64" i="3" a="1"/>
  <c r="C64" i="3" s="1"/>
  <c r="C29" i="3"/>
  <c r="C18" i="3"/>
  <c r="C17" i="3"/>
  <c r="C13" i="3"/>
  <c r="B44" i="3"/>
  <c r="B12" i="5" s="1"/>
  <c r="A24" i="3"/>
  <c r="A15" i="4" s="1"/>
  <c r="D24" i="3"/>
  <c r="B37" i="3"/>
  <c r="B5" i="5" s="1"/>
  <c r="D23" i="3"/>
  <c r="B8" i="3"/>
  <c r="C26" i="3"/>
  <c r="D21" i="3"/>
  <c r="B56" i="3"/>
  <c r="B24" i="5" s="1"/>
  <c r="D16" i="3"/>
  <c r="B22" i="3"/>
  <c r="B13" i="4" s="1"/>
  <c r="A15" i="3"/>
  <c r="A6" i="4" s="1"/>
  <c r="B34" i="3"/>
  <c r="B2" i="5" s="1"/>
  <c r="A30" i="3"/>
  <c r="A21" i="4" s="1"/>
  <c r="A14" i="3"/>
  <c r="A5" i="4" s="1"/>
  <c r="B55" i="3"/>
  <c r="B23" i="5" s="1"/>
  <c r="D15" i="3"/>
  <c r="A25" i="3"/>
  <c r="A16" i="4" s="1"/>
  <c r="C67" i="3" a="1"/>
  <c r="C67" i="3" s="1"/>
  <c r="A27" i="3"/>
  <c r="A18" i="4" s="1"/>
  <c r="A11" i="3"/>
  <c r="A2" i="4" s="1"/>
  <c r="D14" i="3"/>
  <c r="B49" i="3"/>
  <c r="B17" i="5" s="1"/>
  <c r="A23" i="3"/>
  <c r="A14" i="4" s="1"/>
  <c r="C22" i="3"/>
  <c r="C47" i="3" a="1"/>
  <c r="C47" i="3" s="1"/>
  <c r="B53" i="3"/>
  <c r="B21" i="5" s="1"/>
  <c r="C42" i="3" a="1"/>
  <c r="C42" i="3" s="1"/>
  <c r="A26" i="3"/>
  <c r="A17" i="4" s="1"/>
  <c r="C60" i="3" a="1"/>
  <c r="C60" i="3" s="1"/>
  <c r="B17" i="3"/>
  <c r="B8" i="4" s="1"/>
  <c r="B48" i="3"/>
  <c r="B16" i="5" s="1"/>
  <c r="B47" i="3"/>
  <c r="B15" i="5" s="1"/>
  <c r="C36" i="3" a="1"/>
  <c r="C36" i="3" s="1"/>
  <c r="B58" i="3"/>
  <c r="B26" i="5" s="1"/>
  <c r="B16" i="3"/>
  <c r="B7" i="4" s="1"/>
  <c r="B65" i="3"/>
  <c r="B33" i="5" s="1"/>
  <c r="D30" i="3"/>
  <c r="B42" i="3"/>
  <c r="B10" i="5" s="1"/>
  <c r="B69" i="3"/>
  <c r="B37" i="5" s="1"/>
  <c r="A21" i="3"/>
  <c r="A12" i="4" s="1"/>
  <c r="C12" i="3"/>
  <c r="B66" i="3"/>
  <c r="B34" i="5" s="1"/>
  <c r="C55" i="3" a="1"/>
  <c r="C55" i="3" s="1"/>
  <c r="C39" i="3" a="1"/>
  <c r="C39" i="3" s="1"/>
  <c r="B64" i="3"/>
  <c r="B32" i="5" s="1"/>
  <c r="C62" i="3" a="1"/>
  <c r="C62" i="3" s="1"/>
  <c r="C19" i="3"/>
  <c r="B63" i="3"/>
  <c r="B31" i="5" s="1"/>
  <c r="B39" i="3"/>
  <c r="B7" i="5" s="1"/>
  <c r="B6" i="3"/>
  <c r="G13" i="5" s="1"/>
  <c r="A16" i="3"/>
  <c r="A7" i="4" s="1"/>
  <c r="C28" i="3"/>
  <c r="D25" i="3"/>
  <c r="A29" i="3"/>
  <c r="A20" i="4" s="1"/>
  <c r="A13" i="3"/>
  <c r="A4" i="4" s="1"/>
  <c r="A28" i="3"/>
  <c r="A19" i="4" s="1"/>
  <c r="A12" i="3"/>
  <c r="A3" i="4" s="1"/>
  <c r="D28" i="3"/>
  <c r="D12" i="3"/>
  <c r="A22" i="3"/>
  <c r="A13" i="4" s="1"/>
  <c r="D22" i="3"/>
  <c r="B28" i="3"/>
  <c r="B19" i="4" s="1"/>
  <c r="B59" i="3"/>
  <c r="B27" i="5" s="1"/>
  <c r="A20" i="3"/>
  <c r="A11" i="4" s="1"/>
  <c r="A19" i="3"/>
  <c r="A10" i="4" s="1"/>
  <c r="D19" i="3"/>
  <c r="A18" i="3"/>
  <c r="A9" i="4" s="1"/>
  <c r="A17" i="3"/>
  <c r="A8" i="4" s="1"/>
  <c r="D17" i="3"/>
  <c r="C40" i="3" a="1"/>
  <c r="C40" i="3" s="1"/>
  <c r="C56" i="3" a="1"/>
  <c r="C56" i="3" s="1"/>
  <c r="C11" i="5"/>
  <c r="C27" i="5"/>
  <c r="C12" i="5"/>
  <c r="C28" i="5"/>
  <c r="C13" i="5"/>
  <c r="C29" i="5"/>
  <c r="C14" i="5"/>
  <c r="C30" i="5"/>
  <c r="C15" i="5"/>
  <c r="C31" i="5"/>
  <c r="C16" i="5"/>
  <c r="C32" i="5"/>
  <c r="C17" i="5"/>
  <c r="C33" i="5"/>
  <c r="C2" i="5"/>
  <c r="H2" i="5" s="1"/>
  <c r="C18" i="5"/>
  <c r="C34" i="5"/>
  <c r="C3" i="5"/>
  <c r="C19" i="5"/>
  <c r="C35" i="5"/>
  <c r="C3" i="8"/>
  <c r="C4" i="5"/>
  <c r="C20" i="5"/>
  <c r="C36" i="5"/>
  <c r="C5" i="5"/>
  <c r="C21" i="5"/>
  <c r="C37" i="5"/>
  <c r="C6" i="5"/>
  <c r="C22" i="5"/>
  <c r="C3" i="9"/>
  <c r="C7" i="5"/>
  <c r="C23" i="5"/>
  <c r="C9" i="5"/>
  <c r="C25" i="5"/>
  <c r="C10" i="5"/>
  <c r="C26" i="5"/>
  <c r="C24" i="5"/>
  <c r="C8" i="5"/>
  <c r="C69" i="3" a="1"/>
  <c r="C69" i="3" s="1"/>
  <c r="C53" i="3" a="1"/>
  <c r="C53" i="3" s="1"/>
  <c r="C37" i="3" a="1"/>
  <c r="C37" i="3" s="1"/>
  <c r="C41" i="3" a="1"/>
  <c r="C41" i="3" s="1"/>
  <c r="C38" i="3" a="1"/>
  <c r="C38" i="3" s="1"/>
  <c r="C5" i="9"/>
  <c r="C6" i="9"/>
  <c r="C7" i="9"/>
  <c r="C8" i="9"/>
  <c r="C9" i="9"/>
  <c r="C10" i="9"/>
  <c r="C11" i="9"/>
  <c r="C12" i="9"/>
  <c r="C13" i="9"/>
  <c r="C14" i="9"/>
  <c r="C15" i="9"/>
  <c r="C16" i="9"/>
  <c r="B6" i="7"/>
  <c r="C59" i="3" a="1"/>
  <c r="C59" i="3" s="1"/>
  <c r="C43" i="3" a="1"/>
  <c r="C43" i="3" s="1"/>
  <c r="C54" i="3" a="1"/>
  <c r="C54" i="3" s="1"/>
  <c r="C51" i="3" a="1"/>
  <c r="C51" i="3" s="1"/>
  <c r="C35" i="3" a="1"/>
  <c r="C35" i="3" s="1"/>
  <c r="C34" i="3" a="1"/>
  <c r="C34" i="3" s="1"/>
  <c r="C65" i="3" a="1"/>
  <c r="C65" i="3" s="1"/>
  <c r="C49" i="3" a="1"/>
  <c r="C49" i="3" s="1"/>
  <c r="B12" i="3" l="1"/>
  <c r="B3" i="4" s="1"/>
  <c r="B9" i="7"/>
  <c r="G28" i="5"/>
  <c r="B18" i="3"/>
  <c r="B9" i="4" s="1"/>
  <c r="D12" i="8" s="1"/>
  <c r="C11" i="3"/>
  <c r="B24" i="6"/>
  <c r="B13" i="3"/>
  <c r="B4" i="4" s="1"/>
  <c r="G29" i="5"/>
  <c r="H12" i="5"/>
  <c r="G32" i="5"/>
  <c r="G12" i="5"/>
  <c r="H3" i="5"/>
  <c r="G16" i="5"/>
  <c r="H33" i="5"/>
  <c r="B60" i="3"/>
  <c r="B28" i="5" s="1"/>
  <c r="E28" i="5" s="1"/>
  <c r="G15" i="5"/>
  <c r="H24" i="5"/>
  <c r="G9" i="5"/>
  <c r="H19" i="5"/>
  <c r="H8" i="5"/>
  <c r="H34" i="5"/>
  <c r="G25" i="5"/>
  <c r="H30" i="5"/>
  <c r="G2" i="5"/>
  <c r="G30" i="5"/>
  <c r="G18" i="5"/>
  <c r="G11" i="5"/>
  <c r="B29" i="3"/>
  <c r="B20" i="4" s="1"/>
  <c r="D23" i="8" s="1"/>
  <c r="G31" i="5"/>
  <c r="G19" i="5"/>
  <c r="G35" i="5"/>
  <c r="G4" i="5"/>
  <c r="G20" i="5"/>
  <c r="G3" i="5"/>
  <c r="H32" i="5"/>
  <c r="H23" i="5"/>
  <c r="B19" i="3"/>
  <c r="B10" i="4" s="1"/>
  <c r="D13" i="8" s="1"/>
  <c r="H18" i="5"/>
  <c r="H17" i="5"/>
  <c r="H22" i="5"/>
  <c r="H16" i="5"/>
  <c r="H10" i="5"/>
  <c r="H6" i="5"/>
  <c r="G14" i="5"/>
  <c r="C20" i="3"/>
  <c r="B43" i="3"/>
  <c r="B11" i="5" s="1"/>
  <c r="H15" i="5"/>
  <c r="H13" i="5"/>
  <c r="H29" i="5"/>
  <c r="G34" i="5"/>
  <c r="G36" i="5"/>
  <c r="G27" i="5"/>
  <c r="H7" i="5"/>
  <c r="H25" i="5"/>
  <c r="H20" i="5"/>
  <c r="E17" i="3"/>
  <c r="B67" i="3"/>
  <c r="B35" i="5" s="1"/>
  <c r="D13" i="3"/>
  <c r="D32" i="5"/>
  <c r="E32" i="5"/>
  <c r="E21" i="5"/>
  <c r="D21" i="5"/>
  <c r="D29" i="3"/>
  <c r="D34" i="5"/>
  <c r="E34" i="5"/>
  <c r="C58" i="3" a="1"/>
  <c r="C58" i="3" s="1"/>
  <c r="C8" i="8"/>
  <c r="G5" i="4"/>
  <c r="P5" i="4"/>
  <c r="I8" i="8" s="1"/>
  <c r="C5" i="4"/>
  <c r="D5" i="4"/>
  <c r="H5" i="4"/>
  <c r="K5" i="4" s="1" a="1"/>
  <c r="K5" i="4" s="1"/>
  <c r="B45" i="3"/>
  <c r="B13" i="5" s="1"/>
  <c r="C68" i="3" a="1"/>
  <c r="C68" i="3" s="1"/>
  <c r="C9" i="8"/>
  <c r="P6" i="4"/>
  <c r="I9" i="8" s="1"/>
  <c r="G6" i="4"/>
  <c r="C6" i="4"/>
  <c r="H6" i="4"/>
  <c r="K6" i="4" s="1" a="1"/>
  <c r="K6" i="4" s="1"/>
  <c r="D6" i="4"/>
  <c r="B7" i="3"/>
  <c r="C45" i="3" a="1"/>
  <c r="C45" i="3" s="1"/>
  <c r="B36" i="3"/>
  <c r="B4" i="5" s="1"/>
  <c r="B38" i="3"/>
  <c r="B6" i="5" s="1"/>
  <c r="B46" i="3"/>
  <c r="B14" i="5" s="1"/>
  <c r="H9" i="5"/>
  <c r="E9" i="9" a="1"/>
  <c r="E9" i="9" s="1"/>
  <c r="H26" i="5"/>
  <c r="B62" i="3"/>
  <c r="B30" i="5" s="1"/>
  <c r="D9" i="9" s="1" a="1"/>
  <c r="D9" i="9" s="1"/>
  <c r="C5" i="8"/>
  <c r="H2" i="4"/>
  <c r="K2" i="4" s="1" a="1"/>
  <c r="K2" i="4" s="1"/>
  <c r="P2" i="4"/>
  <c r="I5" i="8" s="1"/>
  <c r="G2" i="4"/>
  <c r="C2" i="4"/>
  <c r="D2" i="4"/>
  <c r="D6" i="8"/>
  <c r="B52" i="3"/>
  <c r="B20" i="5" s="1"/>
  <c r="H31" i="5"/>
  <c r="E11" i="9" a="1"/>
  <c r="E11" i="9" s="1"/>
  <c r="B20" i="3"/>
  <c r="B11" i="4" s="1"/>
  <c r="H28" i="5"/>
  <c r="C6" i="8"/>
  <c r="D3" i="4"/>
  <c r="G3" i="4"/>
  <c r="C3" i="4"/>
  <c r="E3" i="4" s="1"/>
  <c r="P3" i="4"/>
  <c r="I6" i="8" s="1"/>
  <c r="H3" i="4"/>
  <c r="K3" i="4" s="1" a="1"/>
  <c r="K3" i="4" s="1"/>
  <c r="C7" i="8"/>
  <c r="G4" i="4"/>
  <c r="H4" i="4"/>
  <c r="K4" i="4" s="1" a="1"/>
  <c r="K4" i="4" s="1"/>
  <c r="P4" i="4"/>
  <c r="I7" i="8" s="1"/>
  <c r="C4" i="4"/>
  <c r="D4" i="4"/>
  <c r="D15" i="5"/>
  <c r="E15" i="5"/>
  <c r="D11" i="8"/>
  <c r="C25" i="3"/>
  <c r="D12" i="9" a="1"/>
  <c r="D12" i="9" s="1"/>
  <c r="E12" i="9" a="1"/>
  <c r="E12" i="9" s="1"/>
  <c r="E10" i="9" a="1"/>
  <c r="E10" i="9" s="1"/>
  <c r="H37" i="5"/>
  <c r="E27" i="5"/>
  <c r="D27" i="5"/>
  <c r="C15" i="8"/>
  <c r="G12" i="4"/>
  <c r="C12" i="4"/>
  <c r="P12" i="4"/>
  <c r="I15" i="8" s="1"/>
  <c r="D12" i="4"/>
  <c r="H12" i="4"/>
  <c r="K12" i="4" s="1" a="1"/>
  <c r="K12" i="4" s="1"/>
  <c r="D33" i="5"/>
  <c r="E33" i="5"/>
  <c r="B30" i="3"/>
  <c r="B21" i="4" s="1"/>
  <c r="C16" i="8"/>
  <c r="D13" i="4"/>
  <c r="C13" i="4"/>
  <c r="H13" i="4"/>
  <c r="K13" i="4" s="1" a="1"/>
  <c r="K13" i="4" s="1"/>
  <c r="P13" i="4"/>
  <c r="I16" i="8" s="1"/>
  <c r="G13" i="4"/>
  <c r="C52" i="3" a="1"/>
  <c r="C52" i="3" s="1"/>
  <c r="E37" i="5"/>
  <c r="D37" i="5"/>
  <c r="B27" i="3"/>
  <c r="B18" i="4" s="1"/>
  <c r="B68" i="3"/>
  <c r="B36" i="5" s="1"/>
  <c r="E8" i="9" a="1"/>
  <c r="E8" i="9" s="1"/>
  <c r="H21" i="5"/>
  <c r="B26" i="3"/>
  <c r="B17" i="4" s="1"/>
  <c r="D16" i="8"/>
  <c r="H14" i="5"/>
  <c r="E7" i="9" a="1"/>
  <c r="E7" i="9" s="1"/>
  <c r="H27" i="5"/>
  <c r="G12" i="9" s="1" a="1"/>
  <c r="G12" i="9" s="1"/>
  <c r="H5" i="5"/>
  <c r="E6" i="9" a="1"/>
  <c r="E6" i="9" s="1"/>
  <c r="D6" i="9" a="1"/>
  <c r="D6" i="9" s="1"/>
  <c r="H11" i="5"/>
  <c r="H36" i="5"/>
  <c r="C17" i="8"/>
  <c r="D14" i="4"/>
  <c r="P14" i="4"/>
  <c r="I17" i="8" s="1"/>
  <c r="H14" i="4"/>
  <c r="K14" i="4" s="1" a="1"/>
  <c r="K14" i="4" s="1"/>
  <c r="G14" i="4"/>
  <c r="C14" i="4"/>
  <c r="E23" i="5"/>
  <c r="D23" i="5"/>
  <c r="C18" i="8"/>
  <c r="H15" i="4"/>
  <c r="K15" i="4" s="1" a="1"/>
  <c r="K15" i="4" s="1"/>
  <c r="D15" i="4"/>
  <c r="C15" i="4"/>
  <c r="P15" i="4"/>
  <c r="I18" i="8" s="1"/>
  <c r="G15" i="4"/>
  <c r="D2" i="5"/>
  <c r="E2" i="5"/>
  <c r="F7" i="5"/>
  <c r="F23" i="5"/>
  <c r="F8" i="5"/>
  <c r="F24" i="5"/>
  <c r="F9" i="5"/>
  <c r="F25" i="5"/>
  <c r="F10" i="5"/>
  <c r="F26" i="5"/>
  <c r="F11" i="5"/>
  <c r="F27" i="5"/>
  <c r="H4" i="5"/>
  <c r="F12" i="5"/>
  <c r="F28" i="5"/>
  <c r="F13" i="5"/>
  <c r="F29" i="5"/>
  <c r="F14" i="5"/>
  <c r="F30" i="5"/>
  <c r="F15" i="5"/>
  <c r="F31" i="5"/>
  <c r="F16" i="5"/>
  <c r="F32" i="5"/>
  <c r="F17" i="5"/>
  <c r="F33" i="5"/>
  <c r="F2" i="5"/>
  <c r="F18" i="5"/>
  <c r="F34" i="5"/>
  <c r="F3" i="5"/>
  <c r="F19" i="5"/>
  <c r="F35" i="5"/>
  <c r="F5" i="5"/>
  <c r="F21" i="5"/>
  <c r="F37" i="5"/>
  <c r="F6" i="5"/>
  <c r="F22" i="5"/>
  <c r="F4" i="5"/>
  <c r="F20" i="5"/>
  <c r="F36" i="5"/>
  <c r="C14" i="8"/>
  <c r="P11" i="4"/>
  <c r="I14" i="8" s="1"/>
  <c r="C11" i="4"/>
  <c r="H11" i="4"/>
  <c r="K11" i="4" s="1" a="1"/>
  <c r="K11" i="4" s="1"/>
  <c r="G11" i="4"/>
  <c r="D11" i="4"/>
  <c r="D10" i="8"/>
  <c r="D16" i="5"/>
  <c r="E16" i="5"/>
  <c r="B24" i="3"/>
  <c r="B15" i="4" s="1"/>
  <c r="B54" i="3"/>
  <c r="B22" i="5" s="1"/>
  <c r="B14" i="3"/>
  <c r="B5" i="4" s="1"/>
  <c r="C30" i="3"/>
  <c r="C21" i="3"/>
  <c r="B25" i="3"/>
  <c r="B16" i="4" s="1"/>
  <c r="C63" i="3" a="1"/>
  <c r="C63" i="3" s="1"/>
  <c r="P10" i="4"/>
  <c r="I13" i="8" s="1"/>
  <c r="C13" i="8"/>
  <c r="C10" i="4"/>
  <c r="G10" i="4"/>
  <c r="H10" i="4"/>
  <c r="K10" i="4" s="1" a="1"/>
  <c r="K10" i="4" s="1"/>
  <c r="D10" i="4"/>
  <c r="E7" i="5"/>
  <c r="D7" i="5"/>
  <c r="B41" i="3"/>
  <c r="B9" i="5" s="1"/>
  <c r="D11" i="9" s="1" a="1"/>
  <c r="D11" i="9" s="1"/>
  <c r="C20" i="8"/>
  <c r="C17" i="4"/>
  <c r="D17" i="4"/>
  <c r="P17" i="4"/>
  <c r="I20" i="8" s="1"/>
  <c r="H17" i="4"/>
  <c r="K17" i="4" s="1" a="1"/>
  <c r="K17" i="4" s="1"/>
  <c r="G17" i="4"/>
  <c r="B11" i="3"/>
  <c r="B2" i="4" s="1"/>
  <c r="C23" i="3"/>
  <c r="E10" i="5"/>
  <c r="D10" i="5"/>
  <c r="D7" i="8"/>
  <c r="E4" i="4"/>
  <c r="B15" i="3"/>
  <c r="B6" i="4" s="1"/>
  <c r="C21" i="8"/>
  <c r="H18" i="4"/>
  <c r="K18" i="4" s="1" a="1"/>
  <c r="K18" i="4" s="1"/>
  <c r="D18" i="4"/>
  <c r="P18" i="4"/>
  <c r="I21" i="8" s="1"/>
  <c r="C18" i="4"/>
  <c r="G18" i="4"/>
  <c r="D18" i="3"/>
  <c r="B21" i="3"/>
  <c r="B12" i="4" s="1"/>
  <c r="C24" i="3"/>
  <c r="B61" i="3"/>
  <c r="B29" i="5" s="1"/>
  <c r="D14" i="9" s="1" a="1"/>
  <c r="D14" i="9" s="1"/>
  <c r="C22" i="8"/>
  <c r="G19" i="4"/>
  <c r="D19" i="4"/>
  <c r="P19" i="4"/>
  <c r="I22" i="8" s="1"/>
  <c r="H19" i="4"/>
  <c r="K19" i="4" s="1" a="1"/>
  <c r="K19" i="4" s="1"/>
  <c r="C19" i="4"/>
  <c r="C23" i="8"/>
  <c r="D20" i="4"/>
  <c r="H20" i="4"/>
  <c r="K20" i="4" s="1" a="1"/>
  <c r="K20" i="4" s="1"/>
  <c r="C20" i="4"/>
  <c r="P20" i="4"/>
  <c r="I23" i="8" s="1"/>
  <c r="G20" i="4"/>
  <c r="C12" i="8"/>
  <c r="H9" i="4"/>
  <c r="K9" i="4" s="1" a="1"/>
  <c r="K9" i="4" s="1"/>
  <c r="G9" i="4"/>
  <c r="D9" i="4"/>
  <c r="P9" i="4"/>
  <c r="I12" i="8" s="1"/>
  <c r="C9" i="4"/>
  <c r="E8" i="5"/>
  <c r="D8" i="5"/>
  <c r="H35" i="5"/>
  <c r="E15" i="9" a="1"/>
  <c r="E15" i="9" s="1"/>
  <c r="C11" i="8"/>
  <c r="H8" i="4"/>
  <c r="K8" i="4" s="1" a="1"/>
  <c r="K8" i="4" s="1"/>
  <c r="P8" i="4"/>
  <c r="I11" i="8" s="1"/>
  <c r="G8" i="4"/>
  <c r="C8" i="4"/>
  <c r="D8" i="4"/>
  <c r="C10" i="8"/>
  <c r="H7" i="4"/>
  <c r="K7" i="4" s="1" a="1"/>
  <c r="K7" i="4" s="1"/>
  <c r="P7" i="4"/>
  <c r="I10" i="8" s="1"/>
  <c r="G7" i="4"/>
  <c r="D7" i="4"/>
  <c r="C7" i="4"/>
  <c r="D17" i="5"/>
  <c r="E17" i="5"/>
  <c r="C14" i="3"/>
  <c r="C24" i="8"/>
  <c r="H21" i="4"/>
  <c r="K21" i="4" s="1" a="1"/>
  <c r="K21" i="4" s="1"/>
  <c r="C21" i="4"/>
  <c r="D21" i="4"/>
  <c r="P21" i="4"/>
  <c r="I24" i="8" s="1"/>
  <c r="G21" i="4"/>
  <c r="E24" i="5"/>
  <c r="D24" i="5"/>
  <c r="C61" i="3" a="1"/>
  <c r="C61" i="3" s="1"/>
  <c r="G16" i="9" a="1"/>
  <c r="G16" i="9" s="1"/>
  <c r="E16" i="9" a="1"/>
  <c r="E16" i="9" s="1"/>
  <c r="D16" i="9" a="1"/>
  <c r="D16" i="9" s="1"/>
  <c r="E14" i="9" a="1"/>
  <c r="E14" i="9" s="1"/>
  <c r="G14" i="9" a="1"/>
  <c r="G14" i="9" s="1"/>
  <c r="G17" i="5"/>
  <c r="G33" i="5"/>
  <c r="G5" i="5"/>
  <c r="G21" i="5"/>
  <c r="G37" i="5"/>
  <c r="G6" i="5"/>
  <c r="G22" i="5"/>
  <c r="G7" i="5"/>
  <c r="G23" i="5"/>
  <c r="G10" i="5"/>
  <c r="G26" i="5"/>
  <c r="G8" i="5"/>
  <c r="G24" i="5"/>
  <c r="B57" i="3"/>
  <c r="B25" i="5" s="1"/>
  <c r="D10" i="9" s="1" a="1"/>
  <c r="D10" i="9" s="1"/>
  <c r="E26" i="5"/>
  <c r="D26" i="5"/>
  <c r="C19" i="8"/>
  <c r="D16" i="4"/>
  <c r="H16" i="4"/>
  <c r="K16" i="4" s="1" a="1"/>
  <c r="K16" i="4" s="1"/>
  <c r="C16" i="4"/>
  <c r="P16" i="4"/>
  <c r="I19" i="8" s="1"/>
  <c r="G16" i="4"/>
  <c r="C15" i="3"/>
  <c r="E5" i="9" a="1"/>
  <c r="E5" i="9" s="1"/>
  <c r="C16" i="3"/>
  <c r="B35" i="3"/>
  <c r="B3" i="5" s="1"/>
  <c r="E13" i="9" a="1"/>
  <c r="E13" i="9" s="1"/>
  <c r="C57" i="3" a="1"/>
  <c r="C57" i="3" s="1"/>
  <c r="D22" i="8"/>
  <c r="B51" i="3"/>
  <c r="B19" i="5" s="1"/>
  <c r="D31" i="5"/>
  <c r="E31" i="5"/>
  <c r="E12" i="5"/>
  <c r="D12" i="5"/>
  <c r="B23" i="3"/>
  <c r="B14" i="4" s="1"/>
  <c r="E5" i="5"/>
  <c r="D5" i="5"/>
  <c r="D18" i="5"/>
  <c r="E18" i="5"/>
  <c r="G10" i="9" l="1" a="1"/>
  <c r="G10" i="9" s="1"/>
  <c r="D8" i="9" a="1"/>
  <c r="D8" i="9" s="1"/>
  <c r="G11" i="9" a="1"/>
  <c r="G11" i="9" s="1"/>
  <c r="G5" i="9" a="1"/>
  <c r="G5" i="9" s="1"/>
  <c r="D5" i="9" a="1"/>
  <c r="D5" i="9" s="1"/>
  <c r="F5" i="9" s="1"/>
  <c r="G9" i="9" a="1"/>
  <c r="G9" i="9" s="1"/>
  <c r="G6" i="9" a="1"/>
  <c r="G6" i="9" s="1"/>
  <c r="G7" i="9" a="1"/>
  <c r="G7" i="9" s="1"/>
  <c r="G8" i="9" a="1"/>
  <c r="G8" i="9" s="1"/>
  <c r="G13" i="9" a="1"/>
  <c r="G13" i="9" s="1"/>
  <c r="G15" i="9" a="1"/>
  <c r="G15" i="9" s="1"/>
  <c r="F10" i="9"/>
  <c r="E10" i="4"/>
  <c r="D28" i="5"/>
  <c r="D13" i="9" a="1"/>
  <c r="D13" i="9" s="1"/>
  <c r="F13" i="9" s="1"/>
  <c r="F14" i="9"/>
  <c r="E19" i="4"/>
  <c r="F22" i="8" s="1"/>
  <c r="E20" i="4"/>
  <c r="F23" i="8" s="1"/>
  <c r="F8" i="9"/>
  <c r="E9" i="4"/>
  <c r="F12" i="8" s="1"/>
  <c r="E13" i="4"/>
  <c r="F13" i="4" s="1"/>
  <c r="F9" i="9"/>
  <c r="E11" i="5"/>
  <c r="D11" i="5"/>
  <c r="E23" i="3"/>
  <c r="E29" i="3"/>
  <c r="E9" i="8"/>
  <c r="L6" i="4"/>
  <c r="F16" i="9"/>
  <c r="L18" i="4"/>
  <c r="E21" i="8"/>
  <c r="E28" i="3"/>
  <c r="E20" i="8"/>
  <c r="L17" i="4"/>
  <c r="E27" i="3"/>
  <c r="E4" i="5"/>
  <c r="D4" i="5"/>
  <c r="M6" i="4"/>
  <c r="M12" i="4"/>
  <c r="D14" i="8"/>
  <c r="E11" i="4"/>
  <c r="E18" i="3"/>
  <c r="E22" i="3"/>
  <c r="D5" i="10"/>
  <c r="D6" i="10"/>
  <c r="D7" i="10"/>
  <c r="D8" i="10"/>
  <c r="M2" i="4"/>
  <c r="E25" i="3"/>
  <c r="E18" i="8"/>
  <c r="L15" i="4"/>
  <c r="E17" i="8"/>
  <c r="L14" i="4"/>
  <c r="F12" i="9"/>
  <c r="F11" i="9"/>
  <c r="M14" i="4"/>
  <c r="E36" i="5"/>
  <c r="D36" i="5"/>
  <c r="E16" i="3"/>
  <c r="E19" i="8"/>
  <c r="L16" i="4"/>
  <c r="E11" i="8"/>
  <c r="L8" i="4"/>
  <c r="E26" i="3"/>
  <c r="E30" i="3"/>
  <c r="E8" i="8"/>
  <c r="L5" i="4"/>
  <c r="E10" i="8"/>
  <c r="L7" i="4"/>
  <c r="M11" i="4"/>
  <c r="E30" i="5"/>
  <c r="D30" i="5"/>
  <c r="E13" i="5"/>
  <c r="D13" i="5"/>
  <c r="M20" i="4"/>
  <c r="D15" i="8"/>
  <c r="E12" i="4"/>
  <c r="E22" i="5"/>
  <c r="D22" i="5"/>
  <c r="M16" i="4"/>
  <c r="E24" i="3"/>
  <c r="E12" i="8"/>
  <c r="L9" i="4"/>
  <c r="M8" i="4"/>
  <c r="D15" i="9" a="1"/>
  <c r="D15" i="9" s="1"/>
  <c r="F15" i="9" s="1"/>
  <c r="E15" i="3"/>
  <c r="D5" i="8"/>
  <c r="E2" i="4"/>
  <c r="E7" i="4"/>
  <c r="D21" i="8"/>
  <c r="E18" i="4"/>
  <c r="M13" i="4"/>
  <c r="E9" i="5"/>
  <c r="D9" i="5"/>
  <c r="M4" i="4"/>
  <c r="E3" i="5"/>
  <c r="D3" i="5"/>
  <c r="M21" i="4"/>
  <c r="E14" i="8"/>
  <c r="L11" i="4"/>
  <c r="E11" i="3"/>
  <c r="D7" i="9" a="1"/>
  <c r="D7" i="9" s="1"/>
  <c r="F7" i="9" s="1"/>
  <c r="E8" i="4"/>
  <c r="E6" i="8"/>
  <c r="L3" i="4"/>
  <c r="E6" i="5"/>
  <c r="D6" i="5"/>
  <c r="M5" i="4"/>
  <c r="M7" i="4"/>
  <c r="D20" i="8"/>
  <c r="E17" i="4"/>
  <c r="B8" i="7"/>
  <c r="E5" i="8"/>
  <c r="L2" i="4"/>
  <c r="E23" i="8"/>
  <c r="L20" i="4"/>
  <c r="D17" i="8"/>
  <c r="E14" i="4"/>
  <c r="M9" i="4"/>
  <c r="E22" i="8"/>
  <c r="L19" i="4"/>
  <c r="F7" i="8"/>
  <c r="F4" i="4"/>
  <c r="M10" i="4"/>
  <c r="D8" i="8"/>
  <c r="E5" i="4"/>
  <c r="M3" i="4"/>
  <c r="F13" i="8"/>
  <c r="F10" i="4"/>
  <c r="E15" i="8"/>
  <c r="L12" i="4"/>
  <c r="M15" i="4"/>
  <c r="F6" i="8"/>
  <c r="F3" i="4"/>
  <c r="E24" i="8"/>
  <c r="L21" i="4"/>
  <c r="E12" i="3"/>
  <c r="E14" i="3"/>
  <c r="E25" i="5"/>
  <c r="D25" i="5"/>
  <c r="E21" i="3"/>
  <c r="E13" i="8"/>
  <c r="L10" i="4"/>
  <c r="D19" i="8"/>
  <c r="E16" i="4"/>
  <c r="E16" i="8"/>
  <c r="L13" i="4"/>
  <c r="D24" i="8"/>
  <c r="E21" i="4"/>
  <c r="E13" i="3"/>
  <c r="M18" i="4"/>
  <c r="E19" i="5"/>
  <c r="D19" i="5"/>
  <c r="D9" i="8"/>
  <c r="E6" i="4"/>
  <c r="M17" i="4"/>
  <c r="E19" i="3"/>
  <c r="E20" i="5"/>
  <c r="D20" i="5"/>
  <c r="M19" i="4"/>
  <c r="E29" i="5"/>
  <c r="D29" i="5"/>
  <c r="D18" i="8"/>
  <c r="E15" i="4"/>
  <c r="F6" i="9"/>
  <c r="E7" i="8"/>
  <c r="L4" i="4"/>
  <c r="E20" i="3"/>
  <c r="E14" i="5"/>
  <c r="D14" i="5"/>
  <c r="E35" i="5"/>
  <c r="D35" i="5"/>
  <c r="F9" i="4" l="1"/>
  <c r="F19" i="4"/>
  <c r="F20" i="4"/>
  <c r="F16" i="8"/>
  <c r="G16" i="8"/>
  <c r="J13" i="4" a="1"/>
  <c r="J13" i="4" s="1"/>
  <c r="H16" i="8" s="1"/>
  <c r="F21" i="8"/>
  <c r="F18" i="4"/>
  <c r="F24" i="8"/>
  <c r="F21" i="4"/>
  <c r="B4" i="7"/>
  <c r="F5" i="8"/>
  <c r="F2" i="4"/>
  <c r="G7" i="8"/>
  <c r="J4" i="4" a="1"/>
  <c r="J4" i="4" s="1"/>
  <c r="G12" i="8"/>
  <c r="J9" i="4" a="1"/>
  <c r="J9" i="4" s="1"/>
  <c r="H12" i="8" s="1"/>
  <c r="F10" i="8"/>
  <c r="F7" i="4"/>
  <c r="F14" i="8"/>
  <c r="F11" i="4"/>
  <c r="F18" i="8"/>
  <c r="F15" i="4"/>
  <c r="F20" i="8"/>
  <c r="F17" i="4"/>
  <c r="F19" i="8"/>
  <c r="F16" i="4"/>
  <c r="G23" i="8"/>
  <c r="J20" i="4" a="1"/>
  <c r="J20" i="4" s="1"/>
  <c r="H23" i="8" s="1"/>
  <c r="F15" i="8"/>
  <c r="F12" i="4"/>
  <c r="F17" i="8"/>
  <c r="F14" i="4"/>
  <c r="G6" i="8"/>
  <c r="J3" i="4" a="1"/>
  <c r="J3" i="4" s="1"/>
  <c r="G22" i="8"/>
  <c r="J19" i="4" a="1"/>
  <c r="J19" i="4" s="1"/>
  <c r="H22" i="8" s="1"/>
  <c r="F8" i="8"/>
  <c r="F5" i="4"/>
  <c r="F9" i="8"/>
  <c r="F6" i="4"/>
  <c r="F11" i="8"/>
  <c r="F8" i="4"/>
  <c r="G13" i="8"/>
  <c r="J10" i="4" a="1"/>
  <c r="J10" i="4" s="1"/>
  <c r="H13" i="8" s="1"/>
  <c r="I20" i="4" l="1"/>
  <c r="O3" i="4"/>
  <c r="N16" i="4"/>
  <c r="B2" i="7"/>
  <c r="F6" i="10"/>
  <c r="I13" i="4"/>
  <c r="G21" i="8"/>
  <c r="I18" i="4"/>
  <c r="J18" i="4" a="1"/>
  <c r="J18" i="4" s="1"/>
  <c r="H21" i="8" s="1"/>
  <c r="B7" i="7"/>
  <c r="G15" i="8"/>
  <c r="J12" i="4" a="1"/>
  <c r="J12" i="4" s="1"/>
  <c r="H15" i="8" s="1"/>
  <c r="I12" i="4"/>
  <c r="G19" i="8"/>
  <c r="J16" i="4" a="1"/>
  <c r="J16" i="4" s="1"/>
  <c r="H19" i="8" s="1"/>
  <c r="I16" i="4"/>
  <c r="I4" i="4"/>
  <c r="I19" i="4"/>
  <c r="H7" i="8"/>
  <c r="G24" i="8"/>
  <c r="I21" i="4"/>
  <c r="J21" i="4" a="1"/>
  <c r="J21" i="4" s="1"/>
  <c r="H24" i="8" s="1"/>
  <c r="O12" i="4"/>
  <c r="G20" i="8"/>
  <c r="J17" i="4" a="1"/>
  <c r="J17" i="4" s="1"/>
  <c r="H20" i="8" s="1"/>
  <c r="I17" i="4"/>
  <c r="G10" i="8"/>
  <c r="J7" i="4" a="1"/>
  <c r="J7" i="4" s="1"/>
  <c r="H10" i="8" s="1"/>
  <c r="I7" i="4"/>
  <c r="O7" i="4"/>
  <c r="O15" i="4"/>
  <c r="O19" i="4"/>
  <c r="N7" i="4"/>
  <c r="O11" i="4"/>
  <c r="N19" i="4"/>
  <c r="N3" i="4"/>
  <c r="N15" i="4"/>
  <c r="H6" i="8"/>
  <c r="G5" i="8"/>
  <c r="J2" i="4" a="1"/>
  <c r="J2" i="4" s="1"/>
  <c r="I2" i="4"/>
  <c r="F5" i="10"/>
  <c r="N14" i="4"/>
  <c r="E5" i="10"/>
  <c r="N2" i="4"/>
  <c r="O14" i="4"/>
  <c r="O6" i="4"/>
  <c r="N18" i="4"/>
  <c r="O10" i="4"/>
  <c r="N10" i="4"/>
  <c r="N6" i="4"/>
  <c r="O18" i="4"/>
  <c r="O2" i="4"/>
  <c r="O16" i="4"/>
  <c r="I3" i="4"/>
  <c r="G8" i="8"/>
  <c r="J5" i="4" a="1"/>
  <c r="J5" i="4" s="1"/>
  <c r="I5" i="4"/>
  <c r="O13" i="4"/>
  <c r="N5" i="4"/>
  <c r="O5" i="4"/>
  <c r="N9" i="4"/>
  <c r="N21" i="4"/>
  <c r="N17" i="4"/>
  <c r="O9" i="4"/>
  <c r="F8" i="10"/>
  <c r="O21" i="4"/>
  <c r="E8" i="10"/>
  <c r="O17" i="4"/>
  <c r="N13" i="4"/>
  <c r="N20" i="4"/>
  <c r="G14" i="8"/>
  <c r="I11" i="4"/>
  <c r="J11" i="4" a="1"/>
  <c r="J11" i="4" s="1"/>
  <c r="H14" i="8" s="1"/>
  <c r="I10" i="4"/>
  <c r="O8" i="4"/>
  <c r="G18" i="8"/>
  <c r="I15" i="4"/>
  <c r="J15" i="4" a="1"/>
  <c r="J15" i="4" s="1"/>
  <c r="H18" i="8" s="1"/>
  <c r="N11" i="4"/>
  <c r="G11" i="8"/>
  <c r="J8" i="4" a="1"/>
  <c r="J8" i="4" s="1"/>
  <c r="H11" i="8" s="1"/>
  <c r="I8" i="4"/>
  <c r="O20" i="4"/>
  <c r="N8" i="4"/>
  <c r="F7" i="10"/>
  <c r="E7" i="10"/>
  <c r="N12" i="4"/>
  <c r="N4" i="4"/>
  <c r="O4" i="4"/>
  <c r="G9" i="8"/>
  <c r="I6" i="4"/>
  <c r="J6" i="4" a="1"/>
  <c r="J6" i="4" s="1"/>
  <c r="H9" i="8" s="1"/>
  <c r="G17" i="8"/>
  <c r="J14" i="4" a="1"/>
  <c r="J14" i="4" s="1"/>
  <c r="H17" i="8" s="1"/>
  <c r="I14" i="4"/>
  <c r="I9" i="4"/>
  <c r="E6" i="10"/>
  <c r="B3" i="7" l="1"/>
  <c r="G7" i="10"/>
  <c r="H5" i="8"/>
  <c r="B5" i="7"/>
  <c r="G5" i="10"/>
  <c r="H8" i="8"/>
  <c r="G8" i="10"/>
  <c r="G6" i="10"/>
  <c r="D5" i="11"/>
  <c r="D6" i="11"/>
  <c r="D7" i="11"/>
  <c r="D8" i="11"/>
  <c r="D9" i="11"/>
  <c r="D10" i="11"/>
  <c r="D11" i="11"/>
  <c r="D12" i="11"/>
  <c r="D13" i="11"/>
  <c r="D14" i="11"/>
  <c r="F11" i="11" l="1"/>
  <c r="E11" i="11"/>
  <c r="F12" i="11"/>
  <c r="E12" i="11"/>
  <c r="F10" i="11"/>
  <c r="E10" i="11"/>
  <c r="E7" i="11"/>
  <c r="F7" i="11"/>
  <c r="E6" i="11"/>
  <c r="F6" i="11"/>
  <c r="F14" i="11"/>
  <c r="E14" i="11"/>
  <c r="F13" i="11"/>
  <c r="E13" i="11"/>
  <c r="F9" i="11"/>
  <c r="E9" i="11"/>
  <c r="E8" i="11"/>
  <c r="F8" i="11"/>
  <c r="E5" i="11"/>
  <c r="F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<sst xmlns="http://schemas.openxmlformats.org/spreadsheetml/2006/main" count="1594" uniqueCount="78">
  <si>
    <t>Bank</t>
  </si>
  <si>
    <t>Month</t>
  </si>
  <si>
    <t>PeerVolume</t>
  </si>
  <si>
    <t>PeerRevenue</t>
  </si>
  <si>
    <t>PeerCost</t>
  </si>
  <si>
    <t>PeerGroup</t>
  </si>
  <si>
    <t>Key</t>
  </si>
  <si>
    <t>Banca Alpi</t>
  </si>
  <si>
    <t>G1</t>
  </si>
  <si>
    <t>Banca Adriatica</t>
  </si>
  <si>
    <t>G2</t>
  </si>
  <si>
    <t>Banca Tirrena</t>
  </si>
  <si>
    <t>G3</t>
  </si>
  <si>
    <t>Banca Padana</t>
  </si>
  <si>
    <t>G4</t>
  </si>
  <si>
    <t>Banca Etrusca</t>
  </si>
  <si>
    <t>Banca Lariana</t>
  </si>
  <si>
    <t>Banca Sabina</t>
  </si>
  <si>
    <t>Banca Irpina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</si>
  <si>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</si>
  <si>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</si>
  <si>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</si>
  <si>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</si>
  <si>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</si>
  <si>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</si>
  <si>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</si>
  <si>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</si>
  <si>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</si>
  <si>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Banca Sarda</t>
  </si>
  <si>
    <t>Banca Romagnola</t>
  </si>
  <si>
    <t>Banca Città</t>
  </si>
  <si>
    <t>Tier</t>
  </si>
  <si>
    <t>Weight</t>
  </si>
  <si>
    <t>Rate</t>
  </si>
  <si>
    <t>Region</t>
  </si>
  <si>
    <t>Bank index</t>
  </si>
  <si>
    <t>Label</t>
  </si>
  <si>
    <t>Bank region</t>
  </si>
  <si>
    <t>Volume</t>
  </si>
  <si>
    <t>Revenue</t>
  </si>
  <si>
    <t>Cost</t>
  </si>
  <si>
    <t>Rank</t>
  </si>
  <si>
    <t>Own volume</t>
  </si>
  <si>
    <t>Peer volume</t>
  </si>
  <si>
    <t>Peer revenue</t>
  </si>
  <si>
    <t>Gap</t>
  </si>
  <si>
    <t>Gap %</t>
  </si>
  <si>
    <t>Group</t>
  </si>
  <si>
    <t>Position</t>
  </si>
  <si>
    <t>Tier name</t>
  </si>
  <si>
    <t>Ratio</t>
  </si>
  <si>
    <t>Group avg</t>
  </si>
  <si>
    <t>Ahead in group</t>
  </si>
  <si>
    <t>Best in group</t>
  </si>
  <si>
    <t>Selected</t>
  </si>
  <si>
    <t>Banca \ mese</t>
  </si>
  <si>
    <t>Selected (HLOOKUP)</t>
  </si>
  <si>
    <t>Own</t>
  </si>
  <si>
    <t>Peer</t>
  </si>
  <si>
    <t>Cumulative peer</t>
  </si>
  <si>
    <t>Grid</t>
  </si>
  <si>
    <t>Rolling 3</t>
  </si>
  <si>
    <t>Gap % selected</t>
  </si>
  <si>
    <t>Peer rank selected</t>
  </si>
  <si>
    <t>Total gap</t>
  </si>
  <si>
    <t>Banks ahead</t>
  </si>
  <si>
    <t>Month code</t>
  </si>
  <si>
    <t>Gap label</t>
  </si>
  <si>
    <t>Peer avg volume</t>
  </si>
  <si>
    <t>Model check</t>
  </si>
  <si>
    <t>Days since 2026</t>
  </si>
  <si>
    <t>x</t>
  </si>
  <si>
    <t>Sel.</t>
  </si>
  <si>
    <t>Rolling</t>
  </si>
  <si>
    <t>Banks</t>
  </si>
  <si>
    <t>Avg gap %</t>
  </si>
  <si>
    <t>Best</t>
  </si>
  <si>
    <t>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</si>
</sst>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2">
          <cell r="B2" t="str">
            <v>Banca Tirrena</v>
          </cell>
        </row>
        <row r="3">
          <cell r="B3">
            <v>30</v>
          </cell>
        </row>
        <row r="4">
          <cell r="B4">
            <v>0.03</v>
          </cell>
        </row>
        <row r="5">
          <cell r="B5" t="str">
            <v>Isole</v>
          </cell>
        </row>
        <row r="6">
          <cell r="B6">
            <v>3</v>
          </cell>
        </row>
        <row r="8">
          <cell r="B8" t="str">
            <v>Centro</v>
          </cell>
        </row>
        <row r="10">
          <cell r="B10" t="str">
            <v>giugno 2026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C2">
            <v>8012.1</v>
          </cell>
          <cell r="D2">
            <v>433.36</v>
          </cell>
        </row>
        <row r="3">
          <cell r="C3">
            <v>8126.5</v>
          </cell>
          <cell r="D3">
            <v>440.85999999999996</v>
          </cell>
        </row>
        <row r="4">
          <cell r="C4">
            <v>8163.5</v>
          </cell>
          <cell r="D4">
            <v>443.09000000000003</v>
          </cell>
        </row>
        <row r="5">
          <cell r="C5">
            <v>8209.7000000000007</v>
          </cell>
          <cell r="D5">
            <v>444.15</v>
          </cell>
        </row>
        <row r="6">
          <cell r="C6">
            <v>8325.2000000000007</v>
          </cell>
          <cell r="D6">
            <v>451.45</v>
          </cell>
        </row>
        <row r="7">
          <cell r="C7">
            <v>8343.2999999999993</v>
          </cell>
          <cell r="D7">
            <v>451.67000000000007</v>
          </cell>
        </row>
        <row r="8">
          <cell r="C8">
            <v>8405</v>
          </cell>
          <cell r="D8">
            <v>455.92000000000007</v>
          </cell>
        </row>
        <row r="9">
          <cell r="C9">
            <v>8440.6</v>
          </cell>
          <cell r="D9">
            <v>457.53</v>
          </cell>
        </row>
        <row r="10">
          <cell r="C10">
            <v>8499.6</v>
          </cell>
          <cell r="D10">
            <v>458.83999999999992</v>
          </cell>
        </row>
        <row r="11">
          <cell r="C11">
            <v>8590.6</v>
          </cell>
          <cell r="D11">
            <v>465</v>
          </cell>
        </row>
        <row r="12">
          <cell r="C12">
            <v>8644.8999999999978</v>
          </cell>
          <cell r="D12">
            <v>468.26</v>
          </cell>
        </row>
        <row r="13">
          <cell r="C13">
            <v>8718.7000000000007</v>
          </cell>
          <cell r="D13">
            <v>472.51</v>
          </cell>
        </row>
        <row r="14">
          <cell r="C14">
            <v>8739.0999999999985</v>
          </cell>
          <cell r="D14">
            <v>472.04</v>
          </cell>
        </row>
        <row r="15">
          <cell r="C15">
            <v>8764.4000000000015</v>
          </cell>
          <cell r="D15">
            <v>473.7</v>
          </cell>
        </row>
        <row r="16">
          <cell r="C16">
            <v>8808.1</v>
          </cell>
          <cell r="D16">
            <v>475.75</v>
          </cell>
        </row>
        <row r="17">
          <cell r="C17">
            <v>8923.1999999999989</v>
          </cell>
          <cell r="D17">
            <v>482.73</v>
          </cell>
        </row>
        <row r="18">
          <cell r="C18">
            <v>9056.2999999999993</v>
          </cell>
          <cell r="D18">
            <v>489.62</v>
          </cell>
        </row>
        <row r="19">
          <cell r="C19">
            <v>9113.2999999999993</v>
          </cell>
          <cell r="D19">
            <v>493.34000000000003</v>
          </cell>
        </row>
        <row r="20">
          <cell r="C20">
            <v>9158.2000000000007</v>
          </cell>
          <cell r="D20">
            <v>494.5</v>
          </cell>
        </row>
        <row r="21">
          <cell r="C21">
            <v>9269.7000000000007</v>
          </cell>
          <cell r="D21">
            <v>501.26</v>
          </cell>
        </row>
        <row r="22">
          <cell r="C22">
            <v>9227.3000000000011</v>
          </cell>
          <cell r="D22">
            <v>500.09000000000003</v>
          </cell>
        </row>
        <row r="23">
          <cell r="C23">
            <v>9333.9</v>
          </cell>
          <cell r="D23">
            <v>505.79999999999995</v>
          </cell>
        </row>
        <row r="24">
          <cell r="C24">
            <v>9331.1</v>
          </cell>
          <cell r="D24">
            <v>505.18999999999994</v>
          </cell>
        </row>
        <row r="25">
          <cell r="C25">
            <v>9406</v>
          </cell>
          <cell r="D25">
            <v>509.76</v>
          </cell>
        </row>
        <row r="26">
          <cell r="C26">
            <v>9566.8000000000011</v>
          </cell>
          <cell r="D26">
            <v>516.95000000000005</v>
          </cell>
        </row>
        <row r="27">
          <cell r="C27">
            <v>9616.2000000000007</v>
          </cell>
          <cell r="D27">
            <v>517.99</v>
          </cell>
        </row>
        <row r="28">
          <cell r="C28">
            <v>9729.1</v>
          </cell>
          <cell r="D28">
            <v>526.02</v>
          </cell>
        </row>
        <row r="29">
          <cell r="C29">
            <v>9665.6</v>
          </cell>
          <cell r="D29">
            <v>523.44000000000005</v>
          </cell>
        </row>
        <row r="30">
          <cell r="C30">
            <v>9782.7999999999993</v>
          </cell>
          <cell r="D30">
            <v>530.4</v>
          </cell>
        </row>
        <row r="31">
          <cell r="C31">
            <v>9865.7999999999993</v>
          </cell>
          <cell r="D31">
            <v>534.66</v>
          </cell>
        </row>
        <row r="32">
          <cell r="C32">
            <v>9905.6</v>
          </cell>
          <cell r="D32">
            <v>535</v>
          </cell>
        </row>
        <row r="33">
          <cell r="C33">
            <v>9946.4000000000015</v>
          </cell>
          <cell r="D33">
            <v>539.58999999999992</v>
          </cell>
        </row>
        <row r="34">
          <cell r="C34">
            <v>10029.400000000001</v>
          </cell>
          <cell r="D34">
            <v>542.69000000000005</v>
          </cell>
        </row>
        <row r="35">
          <cell r="C35">
            <v>10087.199999999999</v>
          </cell>
          <cell r="D35">
            <v>546.29</v>
          </cell>
        </row>
        <row r="36">
          <cell r="C36">
            <v>10252.199999999999</v>
          </cell>
          <cell r="D36">
            <v>553.17999999999995</v>
          </cell>
        </row>
        <row r="37">
          <cell r="C37">
            <v>10243.300000000001</v>
          </cell>
          <cell r="D37">
            <v>555.09</v>
          </cell>
        </row>
      </sheetData>
      <sheetData sheetId="8">
        <row r="2">
          <cell r="A2" t="str">
            <v>Banca Alpi</v>
          </cell>
          <cell r="C2">
            <v>7354.8</v>
          </cell>
          <cell r="D2">
            <v>399.43</v>
          </cell>
          <cell r="E2">
            <v>242.63999999999996</v>
          </cell>
          <cell r="L2">
            <v>20</v>
          </cell>
        </row>
        <row r="3">
          <cell r="A3" t="str">
            <v>Banca Adriatica</v>
          </cell>
          <cell r="C3">
            <v>8568.1</v>
          </cell>
          <cell r="D3">
            <v>465.18</v>
          </cell>
          <cell r="E3">
            <v>282.69</v>
          </cell>
          <cell r="L3">
            <v>19</v>
          </cell>
        </row>
        <row r="4">
          <cell r="A4" t="str">
            <v>Banca Tirrena</v>
          </cell>
          <cell r="C4">
            <v>9865.7999999999993</v>
          </cell>
          <cell r="D4">
            <v>534.66</v>
          </cell>
          <cell r="E4">
            <v>324.64</v>
          </cell>
          <cell r="L4">
            <v>18</v>
          </cell>
        </row>
        <row r="5">
          <cell r="A5" t="str">
            <v>Banca Padana</v>
          </cell>
          <cell r="C5">
            <v>11127.400000000001</v>
          </cell>
          <cell r="D5">
            <v>601.19000000000005</v>
          </cell>
          <cell r="E5">
            <v>362.15999999999997</v>
          </cell>
          <cell r="L5">
            <v>17</v>
          </cell>
        </row>
        <row r="6">
          <cell r="A6" t="str">
            <v>Banca Etrusca</v>
          </cell>
          <cell r="C6">
            <v>12359</v>
          </cell>
          <cell r="D6">
            <v>666.75</v>
          </cell>
          <cell r="E6">
            <v>405.01</v>
          </cell>
          <cell r="L6">
            <v>16</v>
          </cell>
        </row>
        <row r="7">
          <cell r="A7" t="str">
            <v>Banca Lariana</v>
          </cell>
          <cell r="C7">
            <v>13592.199999999999</v>
          </cell>
          <cell r="D7">
            <v>733.9</v>
          </cell>
          <cell r="E7">
            <v>442.82</v>
          </cell>
          <cell r="L7">
            <v>15</v>
          </cell>
        </row>
        <row r="8">
          <cell r="A8" t="str">
            <v>Banca Sabina</v>
          </cell>
          <cell r="C8">
            <v>14860.6</v>
          </cell>
          <cell r="D8">
            <v>802.63</v>
          </cell>
          <cell r="E8">
            <v>484.20000000000005</v>
          </cell>
          <cell r="L8">
            <v>14</v>
          </cell>
        </row>
        <row r="9">
          <cell r="A9" t="str">
            <v>Banca Irpina</v>
          </cell>
          <cell r="C9">
            <v>16241.5</v>
          </cell>
          <cell r="D9">
            <v>874.53</v>
          </cell>
          <cell r="E9">
            <v>530.55999999999995</v>
          </cell>
          <cell r="L9">
            <v>13</v>
          </cell>
        </row>
        <row r="10">
          <cell r="A10" t="str">
            <v>Banca Sannita</v>
          </cell>
          <cell r="C10">
            <v>17435.2</v>
          </cell>
          <cell r="D10">
            <v>941.11</v>
          </cell>
          <cell r="E10">
            <v>567.67000000000007</v>
          </cell>
          <cell r="L10">
            <v>12</v>
          </cell>
        </row>
        <row r="11">
          <cell r="A11" t="str">
            <v>Banca Ligure</v>
          </cell>
          <cell r="C11">
            <v>18568.2</v>
          </cell>
          <cell r="D11">
            <v>1001.19</v>
          </cell>
          <cell r="E11">
            <v>605.41</v>
          </cell>
          <cell r="L11">
            <v>11</v>
          </cell>
        </row>
        <row r="12">
          <cell r="A12" t="str">
            <v>Banca Veneta</v>
          </cell>
          <cell r="C12">
            <v>19867.000000000004</v>
          </cell>
          <cell r="D12">
            <v>1070.72</v>
          </cell>
          <cell r="E12">
            <v>647.33999999999992</v>
          </cell>
          <cell r="L12">
            <v>10</v>
          </cell>
        </row>
        <row r="13">
          <cell r="A13" t="str">
            <v>Banca Friulana</v>
          </cell>
          <cell r="C13">
            <v>21169.7</v>
          </cell>
          <cell r="D13">
            <v>1141.53</v>
          </cell>
          <cell r="E13">
            <v>688.67000000000007</v>
          </cell>
          <cell r="L13">
            <v>9</v>
          </cell>
        </row>
        <row r="14">
          <cell r="A14" t="str">
            <v>Banca Umbra</v>
          </cell>
          <cell r="C14">
            <v>22385.899999999998</v>
          </cell>
          <cell r="D14">
            <v>1205.6399999999999</v>
          </cell>
          <cell r="E14">
            <v>728.57999999999993</v>
          </cell>
          <cell r="L14">
            <v>8</v>
          </cell>
        </row>
        <row r="15">
          <cell r="A15" t="str">
            <v>Banca Marchigiana</v>
          </cell>
          <cell r="C15">
            <v>23667.1</v>
          </cell>
          <cell r="D15">
            <v>1276.6399999999999</v>
          </cell>
          <cell r="E15">
            <v>769.13</v>
          </cell>
          <cell r="L15">
            <v>7</v>
          </cell>
        </row>
        <row r="16">
          <cell r="A16" t="str">
            <v>Banca Lucana</v>
          </cell>
          <cell r="C16">
            <v>24910.3</v>
          </cell>
          <cell r="D16">
            <v>1342.7800000000002</v>
          </cell>
          <cell r="E16">
            <v>810.42000000000007</v>
          </cell>
          <cell r="L16">
            <v>6</v>
          </cell>
        </row>
        <row r="17">
          <cell r="A17" t="str">
            <v>Banca Calabra</v>
          </cell>
          <cell r="C17">
            <v>26105.9</v>
          </cell>
          <cell r="D17">
            <v>1406.3700000000001</v>
          </cell>
          <cell r="E17">
            <v>848.68</v>
          </cell>
          <cell r="L17">
            <v>5</v>
          </cell>
        </row>
        <row r="18">
          <cell r="A18" t="str">
            <v>Banca Sicula</v>
          </cell>
          <cell r="C18">
            <v>27574.800000000003</v>
          </cell>
          <cell r="D18">
            <v>1484.77</v>
          </cell>
          <cell r="E18">
            <v>895.27</v>
          </cell>
          <cell r="L18">
            <v>4</v>
          </cell>
        </row>
        <row r="19">
          <cell r="A19" t="str">
            <v>Banca Sarda</v>
          </cell>
          <cell r="C19">
            <v>28720.9</v>
          </cell>
          <cell r="D19">
            <v>1546.53</v>
          </cell>
          <cell r="E19">
            <v>933.86000000000013</v>
          </cell>
          <cell r="L19">
            <v>3</v>
          </cell>
        </row>
        <row r="20">
          <cell r="A20" t="str">
            <v>Banca Romagnola</v>
          </cell>
          <cell r="C20">
            <v>29979.5</v>
          </cell>
          <cell r="D20">
            <v>1612.3500000000001</v>
          </cell>
          <cell r="E20">
            <v>972.98</v>
          </cell>
          <cell r="L20">
            <v>2</v>
          </cell>
        </row>
        <row r="21">
          <cell r="A21" t="str">
            <v>Banca Città</v>
          </cell>
          <cell r="C21">
            <v>31314.5</v>
          </cell>
          <cell r="D21">
            <v>1685.97</v>
          </cell>
          <cell r="E21">
            <v>1015.4899999999999</v>
          </cell>
          <cell r="L21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>
            <v>9865.7999999999993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91D2-9039-4701-A606-FB1531D62A74}">
  <dimension ref="A1:G721"/>
  <sheetViews>
    <sheetView workbookViewId="0"/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5626</v>
      </c>
      <c r="D2">
        <v>281.3</v>
      </c>
      <c r="E2">
        <v>174.4</v>
      </c>
      <c r="F2" t="s">
        <v>8</v>
      </c>
      <c r="G2" t="str">
        <f t="shared" ref="G2:G65" si="0">A2&amp;"|"&amp;B2</f>
        <v>Banca Alpi|1</v>
      </c>
    </row>
    <row r="3" spans="1:7" x14ac:dyDescent="0.25">
      <c r="A3" t="s">
        <v>7</v>
      </c>
      <c r="B3">
        <v>2</v>
      </c>
      <c r="C3">
        <v>5886.4</v>
      </c>
      <c r="D3">
        <v>294.32</v>
      </c>
      <c r="E3">
        <v>182.48</v>
      </c>
      <c r="F3" t="s">
        <v>8</v>
      </c>
      <c r="G3" t="str">
        <f t="shared" si="0"/>
        <v>Banca Alpi|2</v>
      </c>
    </row>
    <row r="4" spans="1:7" x14ac:dyDescent="0.25">
      <c r="A4" t="s">
        <v>7</v>
      </c>
      <c r="B4">
        <v>3</v>
      </c>
      <c r="C4">
        <v>5918</v>
      </c>
      <c r="D4">
        <v>295.89999999999998</v>
      </c>
      <c r="E4">
        <v>183.46</v>
      </c>
      <c r="F4" t="s">
        <v>8</v>
      </c>
      <c r="G4" t="str">
        <f t="shared" si="0"/>
        <v>Banca Alpi|3</v>
      </c>
    </row>
    <row r="5" spans="1:7" x14ac:dyDescent="0.25">
      <c r="A5" t="s">
        <v>7</v>
      </c>
      <c r="B5">
        <v>4</v>
      </c>
      <c r="C5">
        <v>6016.9</v>
      </c>
      <c r="D5">
        <v>300.85000000000002</v>
      </c>
      <c r="E5">
        <v>186.52</v>
      </c>
      <c r="F5" t="s">
        <v>8</v>
      </c>
      <c r="G5" t="str">
        <f t="shared" si="0"/>
        <v>Banca Alpi|4</v>
      </c>
    </row>
    <row r="6" spans="1:7" x14ac:dyDescent="0.25">
      <c r="A6" t="s">
        <v>7</v>
      </c>
      <c r="B6">
        <v>5</v>
      </c>
      <c r="C6">
        <v>5982.7</v>
      </c>
      <c r="D6">
        <v>299.14</v>
      </c>
      <c r="E6">
        <v>185.46</v>
      </c>
      <c r="F6" t="s">
        <v>8</v>
      </c>
      <c r="G6" t="str">
        <f t="shared" si="0"/>
        <v>Banca Alpi|5</v>
      </c>
    </row>
    <row r="7" spans="1:7" x14ac:dyDescent="0.25">
      <c r="A7" t="s">
        <v>7</v>
      </c>
      <c r="B7">
        <v>6</v>
      </c>
      <c r="C7">
        <v>6035.5</v>
      </c>
      <c r="D7">
        <v>301.77999999999997</v>
      </c>
      <c r="E7">
        <v>187.1</v>
      </c>
      <c r="F7" t="s">
        <v>8</v>
      </c>
      <c r="G7" t="str">
        <f t="shared" si="0"/>
        <v>Banca Alpi|6</v>
      </c>
    </row>
    <row r="8" spans="1:7" x14ac:dyDescent="0.25">
      <c r="A8" t="s">
        <v>7</v>
      </c>
      <c r="B8">
        <v>7</v>
      </c>
      <c r="C8">
        <v>5946.4</v>
      </c>
      <c r="D8">
        <v>297.32</v>
      </c>
      <c r="E8">
        <v>184.34</v>
      </c>
      <c r="F8" t="s">
        <v>8</v>
      </c>
      <c r="G8" t="str">
        <f t="shared" si="0"/>
        <v>Banca Alpi|7</v>
      </c>
    </row>
    <row r="9" spans="1:7" x14ac:dyDescent="0.25">
      <c r="A9" t="s">
        <v>7</v>
      </c>
      <c r="B9">
        <v>8</v>
      </c>
      <c r="C9">
        <v>5987.2</v>
      </c>
      <c r="D9">
        <v>299.36</v>
      </c>
      <c r="E9">
        <v>185.6</v>
      </c>
      <c r="F9" t="s">
        <v>8</v>
      </c>
      <c r="G9" t="str">
        <f t="shared" si="0"/>
        <v>Banca Alpi|8</v>
      </c>
    </row>
    <row r="10" spans="1:7" x14ac:dyDescent="0.25">
      <c r="A10" t="s">
        <v>7</v>
      </c>
      <c r="B10">
        <v>9</v>
      </c>
      <c r="C10">
        <v>5989.5</v>
      </c>
      <c r="D10">
        <v>299.47000000000003</v>
      </c>
      <c r="E10">
        <v>185.67</v>
      </c>
      <c r="F10" t="s">
        <v>8</v>
      </c>
      <c r="G10" t="str">
        <f t="shared" si="0"/>
        <v>Banca Alpi|9</v>
      </c>
    </row>
    <row r="11" spans="1:7" x14ac:dyDescent="0.25">
      <c r="A11" t="s">
        <v>7</v>
      </c>
      <c r="B11">
        <v>10</v>
      </c>
      <c r="C11">
        <v>6075.2</v>
      </c>
      <c r="D11">
        <v>303.76</v>
      </c>
      <c r="E11">
        <v>188.33</v>
      </c>
      <c r="F11" t="s">
        <v>8</v>
      </c>
      <c r="G11" t="str">
        <f t="shared" si="0"/>
        <v>Banca Alpi|10</v>
      </c>
    </row>
    <row r="12" spans="1:7" x14ac:dyDescent="0.25">
      <c r="A12" t="s">
        <v>7</v>
      </c>
      <c r="B12">
        <v>11</v>
      </c>
      <c r="C12">
        <v>6183</v>
      </c>
      <c r="D12">
        <v>309.14999999999998</v>
      </c>
      <c r="E12">
        <v>191.67</v>
      </c>
      <c r="F12" t="s">
        <v>8</v>
      </c>
      <c r="G12" t="str">
        <f t="shared" si="0"/>
        <v>Banca Alpi|11</v>
      </c>
    </row>
    <row r="13" spans="1:7" x14ac:dyDescent="0.25">
      <c r="A13" t="s">
        <v>7</v>
      </c>
      <c r="B13">
        <v>12</v>
      </c>
      <c r="C13">
        <v>6160.7</v>
      </c>
      <c r="D13">
        <v>308.04000000000002</v>
      </c>
      <c r="E13">
        <v>190.98</v>
      </c>
      <c r="F13" t="s">
        <v>8</v>
      </c>
      <c r="G13" t="str">
        <f t="shared" si="0"/>
        <v>Banca Alpi|12</v>
      </c>
    </row>
    <row r="14" spans="1:7" x14ac:dyDescent="0.25">
      <c r="A14" t="s">
        <v>7</v>
      </c>
      <c r="B14">
        <v>13</v>
      </c>
      <c r="C14">
        <v>6339</v>
      </c>
      <c r="D14">
        <v>316.95</v>
      </c>
      <c r="E14">
        <v>196.51</v>
      </c>
      <c r="F14" t="s">
        <v>8</v>
      </c>
      <c r="G14" t="str">
        <f t="shared" si="0"/>
        <v>Banca Alpi|13</v>
      </c>
    </row>
    <row r="15" spans="1:7" x14ac:dyDescent="0.25">
      <c r="A15" t="s">
        <v>7</v>
      </c>
      <c r="B15">
        <v>14</v>
      </c>
      <c r="C15">
        <v>6366.9</v>
      </c>
      <c r="D15">
        <v>318.35000000000002</v>
      </c>
      <c r="E15">
        <v>197.37</v>
      </c>
      <c r="F15" t="s">
        <v>8</v>
      </c>
      <c r="G15" t="str">
        <f t="shared" si="0"/>
        <v>Banca Alpi|14</v>
      </c>
    </row>
    <row r="16" spans="1:7" x14ac:dyDescent="0.25">
      <c r="A16" t="s">
        <v>7</v>
      </c>
      <c r="B16">
        <v>15</v>
      </c>
      <c r="C16">
        <v>6180.6</v>
      </c>
      <c r="D16">
        <v>309.02999999999997</v>
      </c>
      <c r="E16">
        <v>191.6</v>
      </c>
      <c r="F16" t="s">
        <v>8</v>
      </c>
      <c r="G16" t="str">
        <f t="shared" si="0"/>
        <v>Banca Alpi|15</v>
      </c>
    </row>
    <row r="17" spans="1:7" x14ac:dyDescent="0.25">
      <c r="A17" t="s">
        <v>7</v>
      </c>
      <c r="B17">
        <v>16</v>
      </c>
      <c r="C17">
        <v>6386.2</v>
      </c>
      <c r="D17">
        <v>319.31</v>
      </c>
      <c r="E17">
        <v>197.97</v>
      </c>
      <c r="F17" t="s">
        <v>8</v>
      </c>
      <c r="G17" t="str">
        <f t="shared" si="0"/>
        <v>Banca Alpi|16</v>
      </c>
    </row>
    <row r="18" spans="1:7" x14ac:dyDescent="0.25">
      <c r="A18" t="s">
        <v>7</v>
      </c>
      <c r="B18">
        <v>17</v>
      </c>
      <c r="C18">
        <v>6242.4</v>
      </c>
      <c r="D18">
        <v>312.12</v>
      </c>
      <c r="E18">
        <v>193.52</v>
      </c>
      <c r="F18" t="s">
        <v>8</v>
      </c>
      <c r="G18" t="str">
        <f t="shared" si="0"/>
        <v>Banca Alpi|17</v>
      </c>
    </row>
    <row r="19" spans="1:7" x14ac:dyDescent="0.25">
      <c r="A19" t="s">
        <v>7</v>
      </c>
      <c r="B19">
        <v>18</v>
      </c>
      <c r="C19">
        <v>6323.7</v>
      </c>
      <c r="D19">
        <v>316.18</v>
      </c>
      <c r="E19">
        <v>196.03</v>
      </c>
      <c r="F19" t="s">
        <v>8</v>
      </c>
      <c r="G19" t="str">
        <f t="shared" si="0"/>
        <v>Banca Alpi|18</v>
      </c>
    </row>
    <row r="20" spans="1:7" x14ac:dyDescent="0.25">
      <c r="A20" t="s">
        <v>7</v>
      </c>
      <c r="B20">
        <v>19</v>
      </c>
      <c r="C20">
        <v>6462.9</v>
      </c>
      <c r="D20">
        <v>323.14999999999998</v>
      </c>
      <c r="E20">
        <v>200.35</v>
      </c>
      <c r="F20" t="s">
        <v>8</v>
      </c>
      <c r="G20" t="str">
        <f t="shared" si="0"/>
        <v>Banca Alpi|19</v>
      </c>
    </row>
    <row r="21" spans="1:7" x14ac:dyDescent="0.25">
      <c r="A21" t="s">
        <v>7</v>
      </c>
      <c r="B21">
        <v>20</v>
      </c>
      <c r="C21">
        <v>6568</v>
      </c>
      <c r="D21">
        <v>328.4</v>
      </c>
      <c r="E21">
        <v>203.61</v>
      </c>
      <c r="F21" t="s">
        <v>8</v>
      </c>
      <c r="G21" t="str">
        <f t="shared" si="0"/>
        <v>Banca Alpi|20</v>
      </c>
    </row>
    <row r="22" spans="1:7" x14ac:dyDescent="0.25">
      <c r="A22" t="s">
        <v>7</v>
      </c>
      <c r="B22">
        <v>21</v>
      </c>
      <c r="C22">
        <v>6486</v>
      </c>
      <c r="D22">
        <v>324.3</v>
      </c>
      <c r="E22">
        <v>201.07</v>
      </c>
      <c r="F22" t="s">
        <v>8</v>
      </c>
      <c r="G22" t="str">
        <f t="shared" si="0"/>
        <v>Banca Alpi|21</v>
      </c>
    </row>
    <row r="23" spans="1:7" x14ac:dyDescent="0.25">
      <c r="A23" t="s">
        <v>7</v>
      </c>
      <c r="B23">
        <v>22</v>
      </c>
      <c r="C23">
        <v>6700.1</v>
      </c>
      <c r="D23">
        <v>335.01</v>
      </c>
      <c r="E23">
        <v>207.7</v>
      </c>
      <c r="F23" t="s">
        <v>8</v>
      </c>
      <c r="G23" t="str">
        <f t="shared" si="0"/>
        <v>Banca Alpi|22</v>
      </c>
    </row>
    <row r="24" spans="1:7" x14ac:dyDescent="0.25">
      <c r="A24" t="s">
        <v>7</v>
      </c>
      <c r="B24">
        <v>23</v>
      </c>
      <c r="C24">
        <v>6791.2</v>
      </c>
      <c r="D24">
        <v>339.56</v>
      </c>
      <c r="E24">
        <v>210.53</v>
      </c>
      <c r="F24" t="s">
        <v>8</v>
      </c>
      <c r="G24" t="str">
        <f t="shared" si="0"/>
        <v>Banca Alpi|23</v>
      </c>
    </row>
    <row r="25" spans="1:7" x14ac:dyDescent="0.25">
      <c r="A25" t="s">
        <v>7</v>
      </c>
      <c r="B25">
        <v>24</v>
      </c>
      <c r="C25">
        <v>6616.9</v>
      </c>
      <c r="D25">
        <v>330.84</v>
      </c>
      <c r="E25">
        <v>205.12</v>
      </c>
      <c r="F25" t="s">
        <v>8</v>
      </c>
      <c r="G25" t="str">
        <f t="shared" si="0"/>
        <v>Banca Alpi|24</v>
      </c>
    </row>
    <row r="26" spans="1:7" x14ac:dyDescent="0.25">
      <c r="A26" t="s">
        <v>7</v>
      </c>
      <c r="B26">
        <v>25</v>
      </c>
      <c r="C26">
        <v>6576.1</v>
      </c>
      <c r="D26">
        <v>328.8</v>
      </c>
      <c r="E26">
        <v>203.86</v>
      </c>
      <c r="F26" t="s">
        <v>8</v>
      </c>
      <c r="G26" t="str">
        <f t="shared" si="0"/>
        <v>Banca Alpi|25</v>
      </c>
    </row>
    <row r="27" spans="1:7" x14ac:dyDescent="0.25">
      <c r="A27" t="s">
        <v>7</v>
      </c>
      <c r="B27">
        <v>26</v>
      </c>
      <c r="C27">
        <v>6959</v>
      </c>
      <c r="D27">
        <v>347.95</v>
      </c>
      <c r="E27">
        <v>215.73</v>
      </c>
      <c r="F27" t="s">
        <v>8</v>
      </c>
      <c r="G27" t="str">
        <f t="shared" si="0"/>
        <v>Banca Alpi|26</v>
      </c>
    </row>
    <row r="28" spans="1:7" x14ac:dyDescent="0.25">
      <c r="A28" t="s">
        <v>7</v>
      </c>
      <c r="B28">
        <v>27</v>
      </c>
      <c r="C28">
        <v>6949.4</v>
      </c>
      <c r="D28">
        <v>347.47</v>
      </c>
      <c r="E28">
        <v>215.43</v>
      </c>
      <c r="F28" t="s">
        <v>8</v>
      </c>
      <c r="G28" t="str">
        <f t="shared" si="0"/>
        <v>Banca Alpi|27</v>
      </c>
    </row>
    <row r="29" spans="1:7" x14ac:dyDescent="0.25">
      <c r="A29" t="s">
        <v>7</v>
      </c>
      <c r="B29">
        <v>28</v>
      </c>
      <c r="C29">
        <v>6841.6</v>
      </c>
      <c r="D29">
        <v>342.08</v>
      </c>
      <c r="E29">
        <v>212.09</v>
      </c>
      <c r="F29" t="s">
        <v>8</v>
      </c>
      <c r="G29" t="str">
        <f t="shared" si="0"/>
        <v>Banca Alpi|28</v>
      </c>
    </row>
    <row r="30" spans="1:7" x14ac:dyDescent="0.25">
      <c r="A30" t="s">
        <v>7</v>
      </c>
      <c r="B30">
        <v>29</v>
      </c>
      <c r="C30">
        <v>7092.7</v>
      </c>
      <c r="D30">
        <v>354.63</v>
      </c>
      <c r="E30">
        <v>219.87</v>
      </c>
      <c r="F30" t="s">
        <v>8</v>
      </c>
      <c r="G30" t="str">
        <f t="shared" si="0"/>
        <v>Banca Alpi|29</v>
      </c>
    </row>
    <row r="31" spans="1:7" x14ac:dyDescent="0.25">
      <c r="A31" t="s">
        <v>7</v>
      </c>
      <c r="B31">
        <v>30</v>
      </c>
      <c r="C31">
        <v>6924.6</v>
      </c>
      <c r="D31">
        <v>346.23</v>
      </c>
      <c r="E31">
        <v>214.66</v>
      </c>
      <c r="F31" t="s">
        <v>8</v>
      </c>
      <c r="G31" t="str">
        <f t="shared" si="0"/>
        <v>Banca Alpi|30</v>
      </c>
    </row>
    <row r="32" spans="1:7" x14ac:dyDescent="0.25">
      <c r="A32" t="s">
        <v>7</v>
      </c>
      <c r="B32">
        <v>31</v>
      </c>
      <c r="C32">
        <v>6999</v>
      </c>
      <c r="D32">
        <v>349.95</v>
      </c>
      <c r="E32">
        <v>216.97</v>
      </c>
      <c r="F32" t="s">
        <v>8</v>
      </c>
      <c r="G32" t="str">
        <f t="shared" si="0"/>
        <v>Banca Alpi|31</v>
      </c>
    </row>
    <row r="33" spans="1:7" x14ac:dyDescent="0.25">
      <c r="A33" t="s">
        <v>7</v>
      </c>
      <c r="B33">
        <v>32</v>
      </c>
      <c r="C33">
        <v>6986.4</v>
      </c>
      <c r="D33">
        <v>349.32</v>
      </c>
      <c r="E33">
        <v>216.58</v>
      </c>
      <c r="F33" t="s">
        <v>8</v>
      </c>
      <c r="G33" t="str">
        <f t="shared" si="0"/>
        <v>Banca Alpi|32</v>
      </c>
    </row>
    <row r="34" spans="1:7" x14ac:dyDescent="0.25">
      <c r="A34" t="s">
        <v>7</v>
      </c>
      <c r="B34">
        <v>33</v>
      </c>
      <c r="C34">
        <v>6955</v>
      </c>
      <c r="D34">
        <v>347.75</v>
      </c>
      <c r="E34">
        <v>215.6</v>
      </c>
      <c r="F34" t="s">
        <v>8</v>
      </c>
      <c r="G34" t="str">
        <f t="shared" si="0"/>
        <v>Banca Alpi|33</v>
      </c>
    </row>
    <row r="35" spans="1:7" x14ac:dyDescent="0.25">
      <c r="A35" t="s">
        <v>7</v>
      </c>
      <c r="B35">
        <v>34</v>
      </c>
      <c r="C35">
        <v>7252.6</v>
      </c>
      <c r="D35">
        <v>362.63</v>
      </c>
      <c r="E35">
        <v>224.83</v>
      </c>
      <c r="F35" t="s">
        <v>8</v>
      </c>
      <c r="G35" t="str">
        <f t="shared" si="0"/>
        <v>Banca Alpi|34</v>
      </c>
    </row>
    <row r="36" spans="1:7" x14ac:dyDescent="0.25">
      <c r="A36" t="s">
        <v>7</v>
      </c>
      <c r="B36">
        <v>35</v>
      </c>
      <c r="C36">
        <v>7366.5</v>
      </c>
      <c r="D36">
        <v>368.33</v>
      </c>
      <c r="E36">
        <v>228.36</v>
      </c>
      <c r="F36" t="s">
        <v>8</v>
      </c>
      <c r="G36" t="str">
        <f t="shared" si="0"/>
        <v>Banca Alpi|35</v>
      </c>
    </row>
    <row r="37" spans="1:7" x14ac:dyDescent="0.25">
      <c r="A37" t="s">
        <v>7</v>
      </c>
      <c r="B37">
        <v>36</v>
      </c>
      <c r="C37">
        <v>7400.4</v>
      </c>
      <c r="D37">
        <v>370.02</v>
      </c>
      <c r="E37">
        <v>229.41</v>
      </c>
      <c r="F37" t="s">
        <v>8</v>
      </c>
      <c r="G37" t="str">
        <f t="shared" si="0"/>
        <v>Banca Alpi|36</v>
      </c>
    </row>
    <row r="38" spans="1:7" x14ac:dyDescent="0.25">
      <c r="A38" t="s">
        <v>9</v>
      </c>
      <c r="B38">
        <v>1</v>
      </c>
      <c r="C38">
        <v>6690.1</v>
      </c>
      <c r="D38">
        <v>334.5</v>
      </c>
      <c r="E38">
        <v>207.39</v>
      </c>
      <c r="F38" t="s">
        <v>10</v>
      </c>
      <c r="G38" t="str">
        <f t="shared" si="0"/>
        <v>Banca Adriatica|1</v>
      </c>
    </row>
    <row r="39" spans="1:7" x14ac:dyDescent="0.25">
      <c r="A39" t="s">
        <v>9</v>
      </c>
      <c r="B39">
        <v>2</v>
      </c>
      <c r="C39">
        <v>6926.7</v>
      </c>
      <c r="D39">
        <v>346.33</v>
      </c>
      <c r="E39">
        <v>214.73</v>
      </c>
      <c r="F39" t="s">
        <v>10</v>
      </c>
      <c r="G39" t="str">
        <f t="shared" si="0"/>
        <v>Banca Adriatica|2</v>
      </c>
    </row>
    <row r="40" spans="1:7" x14ac:dyDescent="0.25">
      <c r="A40" t="s">
        <v>9</v>
      </c>
      <c r="B40">
        <v>3</v>
      </c>
      <c r="C40">
        <v>6888.9</v>
      </c>
      <c r="D40">
        <v>344.44</v>
      </c>
      <c r="E40">
        <v>213.56</v>
      </c>
      <c r="F40" t="s">
        <v>10</v>
      </c>
      <c r="G40" t="str">
        <f t="shared" si="0"/>
        <v>Banca Adriatica|3</v>
      </c>
    </row>
    <row r="41" spans="1:7" x14ac:dyDescent="0.25">
      <c r="A41" t="s">
        <v>9</v>
      </c>
      <c r="B41">
        <v>4</v>
      </c>
      <c r="C41">
        <v>6926.7</v>
      </c>
      <c r="D41">
        <v>346.33</v>
      </c>
      <c r="E41">
        <v>214.73</v>
      </c>
      <c r="F41" t="s">
        <v>10</v>
      </c>
      <c r="G41" t="str">
        <f t="shared" si="0"/>
        <v>Banca Adriatica|4</v>
      </c>
    </row>
    <row r="42" spans="1:7" x14ac:dyDescent="0.25">
      <c r="A42" t="s">
        <v>9</v>
      </c>
      <c r="B42">
        <v>5</v>
      </c>
      <c r="C42">
        <v>7064.4</v>
      </c>
      <c r="D42">
        <v>353.22</v>
      </c>
      <c r="E42">
        <v>219</v>
      </c>
      <c r="F42" t="s">
        <v>10</v>
      </c>
      <c r="G42" t="str">
        <f t="shared" si="0"/>
        <v>Banca Adriatica|5</v>
      </c>
    </row>
    <row r="43" spans="1:7" x14ac:dyDescent="0.25">
      <c r="A43" t="s">
        <v>9</v>
      </c>
      <c r="B43">
        <v>6</v>
      </c>
      <c r="C43">
        <v>6923.1</v>
      </c>
      <c r="D43">
        <v>346.16</v>
      </c>
      <c r="E43">
        <v>214.62</v>
      </c>
      <c r="F43" t="s">
        <v>10</v>
      </c>
      <c r="G43" t="str">
        <f t="shared" si="0"/>
        <v>Banca Adriatica|6</v>
      </c>
    </row>
    <row r="44" spans="1:7" x14ac:dyDescent="0.25">
      <c r="A44" t="s">
        <v>9</v>
      </c>
      <c r="B44">
        <v>7</v>
      </c>
      <c r="C44">
        <v>7059.2</v>
      </c>
      <c r="D44">
        <v>352.96</v>
      </c>
      <c r="E44">
        <v>218.83</v>
      </c>
      <c r="F44" t="s">
        <v>10</v>
      </c>
      <c r="G44" t="str">
        <f t="shared" si="0"/>
        <v>Banca Adriatica|7</v>
      </c>
    </row>
    <row r="45" spans="1:7" x14ac:dyDescent="0.25">
      <c r="A45" t="s">
        <v>9</v>
      </c>
      <c r="B45">
        <v>8</v>
      </c>
      <c r="C45">
        <v>7168.7</v>
      </c>
      <c r="D45">
        <v>358.44</v>
      </c>
      <c r="E45">
        <v>222.23</v>
      </c>
      <c r="F45" t="s">
        <v>10</v>
      </c>
      <c r="G45" t="str">
        <f t="shared" si="0"/>
        <v>Banca Adriatica|8</v>
      </c>
    </row>
    <row r="46" spans="1:7" x14ac:dyDescent="0.25">
      <c r="A46" t="s">
        <v>9</v>
      </c>
      <c r="B46">
        <v>9</v>
      </c>
      <c r="C46">
        <v>7223.1</v>
      </c>
      <c r="D46">
        <v>361.16</v>
      </c>
      <c r="E46">
        <v>223.92</v>
      </c>
      <c r="F46" t="s">
        <v>10</v>
      </c>
      <c r="G46" t="str">
        <f t="shared" si="0"/>
        <v>Banca Adriatica|9</v>
      </c>
    </row>
    <row r="47" spans="1:7" x14ac:dyDescent="0.25">
      <c r="A47" t="s">
        <v>9</v>
      </c>
      <c r="B47">
        <v>10</v>
      </c>
      <c r="C47">
        <v>7321.8</v>
      </c>
      <c r="D47">
        <v>366.09</v>
      </c>
      <c r="E47">
        <v>226.98</v>
      </c>
      <c r="F47" t="s">
        <v>10</v>
      </c>
      <c r="G47" t="str">
        <f t="shared" si="0"/>
        <v>Banca Adriatica|10</v>
      </c>
    </row>
    <row r="48" spans="1:7" x14ac:dyDescent="0.25">
      <c r="A48" t="s">
        <v>9</v>
      </c>
      <c r="B48">
        <v>11</v>
      </c>
      <c r="C48">
        <v>7053.6</v>
      </c>
      <c r="D48">
        <v>352.68</v>
      </c>
      <c r="E48">
        <v>218.66</v>
      </c>
      <c r="F48" t="s">
        <v>10</v>
      </c>
      <c r="G48" t="str">
        <f t="shared" si="0"/>
        <v>Banca Adriatica|11</v>
      </c>
    </row>
    <row r="49" spans="1:7" x14ac:dyDescent="0.25">
      <c r="A49" t="s">
        <v>9</v>
      </c>
      <c r="B49">
        <v>12</v>
      </c>
      <c r="C49">
        <v>7240.3</v>
      </c>
      <c r="D49">
        <v>362.02</v>
      </c>
      <c r="E49">
        <v>224.45</v>
      </c>
      <c r="F49" t="s">
        <v>10</v>
      </c>
      <c r="G49" t="str">
        <f t="shared" si="0"/>
        <v>Banca Adriatica|12</v>
      </c>
    </row>
    <row r="50" spans="1:7" x14ac:dyDescent="0.25">
      <c r="A50" t="s">
        <v>9</v>
      </c>
      <c r="B50">
        <v>13</v>
      </c>
      <c r="C50">
        <v>7115.9</v>
      </c>
      <c r="D50">
        <v>355.79</v>
      </c>
      <c r="E50">
        <v>220.59</v>
      </c>
      <c r="F50" t="s">
        <v>10</v>
      </c>
      <c r="G50" t="str">
        <f t="shared" si="0"/>
        <v>Banca Adriatica|13</v>
      </c>
    </row>
    <row r="51" spans="1:7" x14ac:dyDescent="0.25">
      <c r="A51" t="s">
        <v>9</v>
      </c>
      <c r="B51">
        <v>14</v>
      </c>
      <c r="C51">
        <v>7456.9</v>
      </c>
      <c r="D51">
        <v>372.85</v>
      </c>
      <c r="E51">
        <v>231.16</v>
      </c>
      <c r="F51" t="s">
        <v>10</v>
      </c>
      <c r="G51" t="str">
        <f t="shared" si="0"/>
        <v>Banca Adriatica|14</v>
      </c>
    </row>
    <row r="52" spans="1:7" x14ac:dyDescent="0.25">
      <c r="A52" t="s">
        <v>9</v>
      </c>
      <c r="B52">
        <v>15</v>
      </c>
      <c r="C52">
        <v>7429.2</v>
      </c>
      <c r="D52">
        <v>371.46</v>
      </c>
      <c r="E52">
        <v>230.31</v>
      </c>
      <c r="F52" t="s">
        <v>10</v>
      </c>
      <c r="G52" t="str">
        <f t="shared" si="0"/>
        <v>Banca Adriatica|15</v>
      </c>
    </row>
    <row r="53" spans="1:7" x14ac:dyDescent="0.25">
      <c r="A53" t="s">
        <v>9</v>
      </c>
      <c r="B53">
        <v>16</v>
      </c>
      <c r="C53">
        <v>7447.6</v>
      </c>
      <c r="D53">
        <v>372.38</v>
      </c>
      <c r="E53">
        <v>230.87</v>
      </c>
      <c r="F53" t="s">
        <v>10</v>
      </c>
      <c r="G53" t="str">
        <f t="shared" si="0"/>
        <v>Banca Adriatica|16</v>
      </c>
    </row>
    <row r="54" spans="1:7" x14ac:dyDescent="0.25">
      <c r="A54" t="s">
        <v>9</v>
      </c>
      <c r="B54">
        <v>17</v>
      </c>
      <c r="C54">
        <v>7350.1</v>
      </c>
      <c r="D54">
        <v>367.5</v>
      </c>
      <c r="E54">
        <v>227.85</v>
      </c>
      <c r="F54" t="s">
        <v>10</v>
      </c>
      <c r="G54" t="str">
        <f t="shared" si="0"/>
        <v>Banca Adriatica|17</v>
      </c>
    </row>
    <row r="55" spans="1:7" x14ac:dyDescent="0.25">
      <c r="A55" t="s">
        <v>9</v>
      </c>
      <c r="B55">
        <v>18</v>
      </c>
      <c r="C55">
        <v>7709.2</v>
      </c>
      <c r="D55">
        <v>385.46</v>
      </c>
      <c r="E55">
        <v>238.98</v>
      </c>
      <c r="F55" t="s">
        <v>10</v>
      </c>
      <c r="G55" t="str">
        <f t="shared" si="0"/>
        <v>Banca Adriatica|18</v>
      </c>
    </row>
    <row r="56" spans="1:7" x14ac:dyDescent="0.25">
      <c r="A56" t="s">
        <v>9</v>
      </c>
      <c r="B56">
        <v>19</v>
      </c>
      <c r="C56">
        <v>7520.9</v>
      </c>
      <c r="D56">
        <v>376.05</v>
      </c>
      <c r="E56">
        <v>233.15</v>
      </c>
      <c r="F56" t="s">
        <v>10</v>
      </c>
      <c r="G56" t="str">
        <f t="shared" si="0"/>
        <v>Banca Adriatica|19</v>
      </c>
    </row>
    <row r="57" spans="1:7" x14ac:dyDescent="0.25">
      <c r="A57" t="s">
        <v>9</v>
      </c>
      <c r="B57">
        <v>20</v>
      </c>
      <c r="C57">
        <v>7498.1</v>
      </c>
      <c r="D57">
        <v>374.9</v>
      </c>
      <c r="E57">
        <v>232.44</v>
      </c>
      <c r="F57" t="s">
        <v>10</v>
      </c>
      <c r="G57" t="str">
        <f t="shared" si="0"/>
        <v>Banca Adriatica|20</v>
      </c>
    </row>
    <row r="58" spans="1:7" x14ac:dyDescent="0.25">
      <c r="A58" t="s">
        <v>9</v>
      </c>
      <c r="B58">
        <v>21</v>
      </c>
      <c r="C58">
        <v>7741.5</v>
      </c>
      <c r="D58">
        <v>387.08</v>
      </c>
      <c r="E58">
        <v>239.99</v>
      </c>
      <c r="F58" t="s">
        <v>10</v>
      </c>
      <c r="G58" t="str">
        <f t="shared" si="0"/>
        <v>Banca Adriatica|21</v>
      </c>
    </row>
    <row r="59" spans="1:7" x14ac:dyDescent="0.25">
      <c r="A59" t="s">
        <v>9</v>
      </c>
      <c r="B59">
        <v>22</v>
      </c>
      <c r="C59">
        <v>7822.6</v>
      </c>
      <c r="D59">
        <v>391.13</v>
      </c>
      <c r="E59">
        <v>242.5</v>
      </c>
      <c r="F59" t="s">
        <v>10</v>
      </c>
      <c r="G59" t="str">
        <f t="shared" si="0"/>
        <v>Banca Adriatica|22</v>
      </c>
    </row>
    <row r="60" spans="1:7" x14ac:dyDescent="0.25">
      <c r="A60" t="s">
        <v>9</v>
      </c>
      <c r="B60">
        <v>23</v>
      </c>
      <c r="C60">
        <v>7990.6</v>
      </c>
      <c r="D60">
        <v>399.53</v>
      </c>
      <c r="E60">
        <v>247.71</v>
      </c>
      <c r="F60" t="s">
        <v>10</v>
      </c>
      <c r="G60" t="str">
        <f t="shared" si="0"/>
        <v>Banca Adriatica|23</v>
      </c>
    </row>
    <row r="61" spans="1:7" x14ac:dyDescent="0.25">
      <c r="A61" t="s">
        <v>9</v>
      </c>
      <c r="B61">
        <v>24</v>
      </c>
      <c r="C61">
        <v>7853.2</v>
      </c>
      <c r="D61">
        <v>392.66</v>
      </c>
      <c r="E61">
        <v>243.45</v>
      </c>
      <c r="F61" t="s">
        <v>10</v>
      </c>
      <c r="G61" t="str">
        <f t="shared" si="0"/>
        <v>Banca Adriatica|24</v>
      </c>
    </row>
    <row r="62" spans="1:7" x14ac:dyDescent="0.25">
      <c r="A62" t="s">
        <v>9</v>
      </c>
      <c r="B62">
        <v>25</v>
      </c>
      <c r="C62">
        <v>7848</v>
      </c>
      <c r="D62">
        <v>392.4</v>
      </c>
      <c r="E62">
        <v>243.29</v>
      </c>
      <c r="F62" t="s">
        <v>10</v>
      </c>
      <c r="G62" t="str">
        <f t="shared" si="0"/>
        <v>Banca Adriatica|25</v>
      </c>
    </row>
    <row r="63" spans="1:7" x14ac:dyDescent="0.25">
      <c r="A63" t="s">
        <v>9</v>
      </c>
      <c r="B63">
        <v>26</v>
      </c>
      <c r="C63">
        <v>7907.6</v>
      </c>
      <c r="D63">
        <v>395.38</v>
      </c>
      <c r="E63">
        <v>245.14</v>
      </c>
      <c r="F63" t="s">
        <v>10</v>
      </c>
      <c r="G63" t="str">
        <f t="shared" si="0"/>
        <v>Banca Adriatica|26</v>
      </c>
    </row>
    <row r="64" spans="1:7" x14ac:dyDescent="0.25">
      <c r="A64" t="s">
        <v>9</v>
      </c>
      <c r="B64">
        <v>27</v>
      </c>
      <c r="C64">
        <v>8048.7</v>
      </c>
      <c r="D64">
        <v>402.43</v>
      </c>
      <c r="E64">
        <v>249.51</v>
      </c>
      <c r="F64" t="s">
        <v>10</v>
      </c>
      <c r="G64" t="str">
        <f t="shared" si="0"/>
        <v>Banca Adriatica|27</v>
      </c>
    </row>
    <row r="65" spans="1:7" x14ac:dyDescent="0.25">
      <c r="A65" t="s">
        <v>9</v>
      </c>
      <c r="B65">
        <v>28</v>
      </c>
      <c r="C65">
        <v>8106.2</v>
      </c>
      <c r="D65">
        <v>405.31</v>
      </c>
      <c r="E65">
        <v>251.29</v>
      </c>
      <c r="F65" t="s">
        <v>10</v>
      </c>
      <c r="G65" t="str">
        <f t="shared" si="0"/>
        <v>Banca Adriatica|28</v>
      </c>
    </row>
    <row r="66" spans="1:7" x14ac:dyDescent="0.25">
      <c r="A66" t="s">
        <v>9</v>
      </c>
      <c r="B66">
        <v>29</v>
      </c>
      <c r="C66">
        <v>8293.7000000000007</v>
      </c>
      <c r="D66">
        <v>414.69</v>
      </c>
      <c r="E66">
        <v>257.11</v>
      </c>
      <c r="F66" t="s">
        <v>10</v>
      </c>
      <c r="G66" t="str">
        <f t="shared" ref="G66:G129" si="1">A66&amp;"|"&amp;B66</f>
        <v>Banca Adriatica|29</v>
      </c>
    </row>
    <row r="67" spans="1:7" x14ac:dyDescent="0.25">
      <c r="A67" t="s">
        <v>9</v>
      </c>
      <c r="B67">
        <v>30</v>
      </c>
      <c r="C67">
        <v>8011.7</v>
      </c>
      <c r="D67">
        <v>400.59</v>
      </c>
      <c r="E67">
        <v>248.36</v>
      </c>
      <c r="F67" t="s">
        <v>10</v>
      </c>
      <c r="G67" t="str">
        <f t="shared" si="1"/>
        <v>Banca Adriatica|30</v>
      </c>
    </row>
    <row r="68" spans="1:7" x14ac:dyDescent="0.25">
      <c r="A68" t="s">
        <v>9</v>
      </c>
      <c r="B68">
        <v>31</v>
      </c>
      <c r="C68">
        <v>8287.5</v>
      </c>
      <c r="D68">
        <v>414.37</v>
      </c>
      <c r="E68">
        <v>256.91000000000003</v>
      </c>
      <c r="F68" t="s">
        <v>10</v>
      </c>
      <c r="G68" t="str">
        <f t="shared" si="1"/>
        <v>Banca Adriatica|31</v>
      </c>
    </row>
    <row r="69" spans="1:7" x14ac:dyDescent="0.25">
      <c r="A69" t="s">
        <v>9</v>
      </c>
      <c r="B69">
        <v>32</v>
      </c>
      <c r="C69">
        <v>8373.2000000000007</v>
      </c>
      <c r="D69">
        <v>418.66</v>
      </c>
      <c r="E69">
        <v>259.57</v>
      </c>
      <c r="F69" t="s">
        <v>10</v>
      </c>
      <c r="G69" t="str">
        <f t="shared" si="1"/>
        <v>Banca Adriatica|32</v>
      </c>
    </row>
    <row r="70" spans="1:7" x14ac:dyDescent="0.25">
      <c r="A70" t="s">
        <v>9</v>
      </c>
      <c r="B70">
        <v>33</v>
      </c>
      <c r="C70">
        <v>8401.1</v>
      </c>
      <c r="D70">
        <v>420.06</v>
      </c>
      <c r="E70">
        <v>260.44</v>
      </c>
      <c r="F70" t="s">
        <v>10</v>
      </c>
      <c r="G70" t="str">
        <f t="shared" si="1"/>
        <v>Banca Adriatica|33</v>
      </c>
    </row>
    <row r="71" spans="1:7" x14ac:dyDescent="0.25">
      <c r="A71" t="s">
        <v>9</v>
      </c>
      <c r="B71">
        <v>34</v>
      </c>
      <c r="C71">
        <v>8524.6</v>
      </c>
      <c r="D71">
        <v>426.23</v>
      </c>
      <c r="E71">
        <v>264.26</v>
      </c>
      <c r="F71" t="s">
        <v>10</v>
      </c>
      <c r="G71" t="str">
        <f t="shared" si="1"/>
        <v>Banca Adriatica|34</v>
      </c>
    </row>
    <row r="72" spans="1:7" x14ac:dyDescent="0.25">
      <c r="A72" t="s">
        <v>9</v>
      </c>
      <c r="B72">
        <v>35</v>
      </c>
      <c r="C72">
        <v>8318.5</v>
      </c>
      <c r="D72">
        <v>415.92</v>
      </c>
      <c r="E72">
        <v>257.87</v>
      </c>
      <c r="F72" t="s">
        <v>10</v>
      </c>
      <c r="G72" t="str">
        <f t="shared" si="1"/>
        <v>Banca Adriatica|35</v>
      </c>
    </row>
    <row r="73" spans="1:7" x14ac:dyDescent="0.25">
      <c r="A73" t="s">
        <v>9</v>
      </c>
      <c r="B73">
        <v>36</v>
      </c>
      <c r="C73">
        <v>8472.5</v>
      </c>
      <c r="D73">
        <v>423.63</v>
      </c>
      <c r="E73">
        <v>262.64999999999998</v>
      </c>
      <c r="F73" t="s">
        <v>10</v>
      </c>
      <c r="G73" t="str">
        <f t="shared" si="1"/>
        <v>Banca Adriatica|36</v>
      </c>
    </row>
    <row r="74" spans="1:7" x14ac:dyDescent="0.25">
      <c r="A74" t="s">
        <v>11</v>
      </c>
      <c r="B74">
        <v>1</v>
      </c>
      <c r="C74">
        <v>7577.1</v>
      </c>
      <c r="D74">
        <v>378.85</v>
      </c>
      <c r="E74">
        <v>234.89</v>
      </c>
      <c r="F74" t="s">
        <v>12</v>
      </c>
      <c r="G74" t="str">
        <f t="shared" si="1"/>
        <v>Banca Tirrena|1</v>
      </c>
    </row>
    <row r="75" spans="1:7" x14ac:dyDescent="0.25">
      <c r="A75" t="s">
        <v>11</v>
      </c>
      <c r="B75">
        <v>2</v>
      </c>
      <c r="C75">
        <v>7755.9</v>
      </c>
      <c r="D75">
        <v>387.79</v>
      </c>
      <c r="E75">
        <v>240.43</v>
      </c>
      <c r="F75" t="s">
        <v>12</v>
      </c>
      <c r="G75" t="str">
        <f t="shared" si="1"/>
        <v>Banca Tirrena|2</v>
      </c>
    </row>
    <row r="76" spans="1:7" x14ac:dyDescent="0.25">
      <c r="A76" t="s">
        <v>11</v>
      </c>
      <c r="B76">
        <v>3</v>
      </c>
      <c r="C76">
        <v>7725.2</v>
      </c>
      <c r="D76">
        <v>386.26</v>
      </c>
      <c r="E76">
        <v>239.48</v>
      </c>
      <c r="F76" t="s">
        <v>12</v>
      </c>
      <c r="G76" t="str">
        <f t="shared" si="1"/>
        <v>Banca Tirrena|3</v>
      </c>
    </row>
    <row r="77" spans="1:7" x14ac:dyDescent="0.25">
      <c r="A77" t="s">
        <v>11</v>
      </c>
      <c r="B77">
        <v>4</v>
      </c>
      <c r="C77">
        <v>8011.9</v>
      </c>
      <c r="D77">
        <v>400.6</v>
      </c>
      <c r="E77">
        <v>248.37</v>
      </c>
      <c r="F77" t="s">
        <v>12</v>
      </c>
      <c r="G77" t="str">
        <f t="shared" si="1"/>
        <v>Banca Tirrena|4</v>
      </c>
    </row>
    <row r="78" spans="1:7" x14ac:dyDescent="0.25">
      <c r="A78" t="s">
        <v>11</v>
      </c>
      <c r="B78">
        <v>5</v>
      </c>
      <c r="C78">
        <v>7731.1</v>
      </c>
      <c r="D78">
        <v>386.56</v>
      </c>
      <c r="E78">
        <v>239.67</v>
      </c>
      <c r="F78" t="s">
        <v>12</v>
      </c>
      <c r="G78" t="str">
        <f t="shared" si="1"/>
        <v>Banca Tirrena|5</v>
      </c>
    </row>
    <row r="79" spans="1:7" x14ac:dyDescent="0.25">
      <c r="A79" t="s">
        <v>11</v>
      </c>
      <c r="B79">
        <v>6</v>
      </c>
      <c r="C79">
        <v>7890.2</v>
      </c>
      <c r="D79">
        <v>394.51</v>
      </c>
      <c r="E79">
        <v>244.6</v>
      </c>
      <c r="F79" t="s">
        <v>12</v>
      </c>
      <c r="G79" t="str">
        <f t="shared" si="1"/>
        <v>Banca Tirrena|6</v>
      </c>
    </row>
    <row r="80" spans="1:7" x14ac:dyDescent="0.25">
      <c r="A80" t="s">
        <v>11</v>
      </c>
      <c r="B80">
        <v>7</v>
      </c>
      <c r="C80">
        <v>8103.6</v>
      </c>
      <c r="D80">
        <v>405.18</v>
      </c>
      <c r="E80">
        <v>251.21</v>
      </c>
      <c r="F80" t="s">
        <v>12</v>
      </c>
      <c r="G80" t="str">
        <f t="shared" si="1"/>
        <v>Banca Tirrena|7</v>
      </c>
    </row>
    <row r="81" spans="1:7" x14ac:dyDescent="0.25">
      <c r="A81" t="s">
        <v>11</v>
      </c>
      <c r="B81">
        <v>8</v>
      </c>
      <c r="C81">
        <v>8247.2000000000007</v>
      </c>
      <c r="D81">
        <v>412.36</v>
      </c>
      <c r="E81">
        <v>255.66</v>
      </c>
      <c r="F81" t="s">
        <v>12</v>
      </c>
      <c r="G81" t="str">
        <f t="shared" si="1"/>
        <v>Banca Tirrena|8</v>
      </c>
    </row>
    <row r="82" spans="1:7" x14ac:dyDescent="0.25">
      <c r="A82" t="s">
        <v>11</v>
      </c>
      <c r="B82">
        <v>9</v>
      </c>
      <c r="C82">
        <v>8146.5</v>
      </c>
      <c r="D82">
        <v>407.33</v>
      </c>
      <c r="E82">
        <v>252.54</v>
      </c>
      <c r="F82" t="s">
        <v>12</v>
      </c>
      <c r="G82" t="str">
        <f t="shared" si="1"/>
        <v>Banca Tirrena|9</v>
      </c>
    </row>
    <row r="83" spans="1:7" x14ac:dyDescent="0.25">
      <c r="A83" t="s">
        <v>11</v>
      </c>
      <c r="B83">
        <v>10</v>
      </c>
      <c r="C83">
        <v>8138.5</v>
      </c>
      <c r="D83">
        <v>406.93</v>
      </c>
      <c r="E83">
        <v>252.29</v>
      </c>
      <c r="F83" t="s">
        <v>12</v>
      </c>
      <c r="G83" t="str">
        <f t="shared" si="1"/>
        <v>Banca Tirrena|10</v>
      </c>
    </row>
    <row r="84" spans="1:7" x14ac:dyDescent="0.25">
      <c r="A84" t="s">
        <v>11</v>
      </c>
      <c r="B84">
        <v>11</v>
      </c>
      <c r="C84">
        <v>8084.5</v>
      </c>
      <c r="D84">
        <v>404.22</v>
      </c>
      <c r="E84">
        <v>250.62</v>
      </c>
      <c r="F84" t="s">
        <v>12</v>
      </c>
      <c r="G84" t="str">
        <f t="shared" si="1"/>
        <v>Banca Tirrena|11</v>
      </c>
    </row>
    <row r="85" spans="1:7" x14ac:dyDescent="0.25">
      <c r="A85" t="s">
        <v>11</v>
      </c>
      <c r="B85">
        <v>12</v>
      </c>
      <c r="C85">
        <v>8406.2999999999993</v>
      </c>
      <c r="D85">
        <v>420.31</v>
      </c>
      <c r="E85">
        <v>260.58999999999997</v>
      </c>
      <c r="F85" t="s">
        <v>12</v>
      </c>
      <c r="G85" t="str">
        <f t="shared" si="1"/>
        <v>Banca Tirrena|12</v>
      </c>
    </row>
    <row r="86" spans="1:7" x14ac:dyDescent="0.25">
      <c r="A86" t="s">
        <v>11</v>
      </c>
      <c r="B86">
        <v>13</v>
      </c>
      <c r="C86">
        <v>8260.7000000000007</v>
      </c>
      <c r="D86">
        <v>413.04</v>
      </c>
      <c r="E86">
        <v>256.08</v>
      </c>
      <c r="F86" t="s">
        <v>12</v>
      </c>
      <c r="G86" t="str">
        <f t="shared" si="1"/>
        <v>Banca Tirrena|13</v>
      </c>
    </row>
    <row r="87" spans="1:7" x14ac:dyDescent="0.25">
      <c r="A87" t="s">
        <v>11</v>
      </c>
      <c r="B87">
        <v>14</v>
      </c>
      <c r="C87">
        <v>8424.1</v>
      </c>
      <c r="D87">
        <v>421.21</v>
      </c>
      <c r="E87">
        <v>261.14999999999998</v>
      </c>
      <c r="F87" t="s">
        <v>12</v>
      </c>
      <c r="G87" t="str">
        <f t="shared" si="1"/>
        <v>Banca Tirrena|14</v>
      </c>
    </row>
    <row r="88" spans="1:7" x14ac:dyDescent="0.25">
      <c r="A88" t="s">
        <v>11</v>
      </c>
      <c r="B88">
        <v>15</v>
      </c>
      <c r="C88">
        <v>8426.2999999999993</v>
      </c>
      <c r="D88">
        <v>421.31</v>
      </c>
      <c r="E88">
        <v>261.20999999999998</v>
      </c>
      <c r="F88" t="s">
        <v>12</v>
      </c>
      <c r="G88" t="str">
        <f t="shared" si="1"/>
        <v>Banca Tirrena|15</v>
      </c>
    </row>
    <row r="89" spans="1:7" x14ac:dyDescent="0.25">
      <c r="A89" t="s">
        <v>11</v>
      </c>
      <c r="B89">
        <v>16</v>
      </c>
      <c r="C89">
        <v>8613.4</v>
      </c>
      <c r="D89">
        <v>430.67</v>
      </c>
      <c r="E89">
        <v>267.01</v>
      </c>
      <c r="F89" t="s">
        <v>12</v>
      </c>
      <c r="G89" t="str">
        <f t="shared" si="1"/>
        <v>Banca Tirrena|16</v>
      </c>
    </row>
    <row r="90" spans="1:7" x14ac:dyDescent="0.25">
      <c r="A90" t="s">
        <v>11</v>
      </c>
      <c r="B90">
        <v>17</v>
      </c>
      <c r="C90">
        <v>8555.5</v>
      </c>
      <c r="D90">
        <v>427.77</v>
      </c>
      <c r="E90">
        <v>265.22000000000003</v>
      </c>
      <c r="F90" t="s">
        <v>12</v>
      </c>
      <c r="G90" t="str">
        <f t="shared" si="1"/>
        <v>Banca Tirrena|17</v>
      </c>
    </row>
    <row r="91" spans="1:7" x14ac:dyDescent="0.25">
      <c r="A91" t="s">
        <v>11</v>
      </c>
      <c r="B91">
        <v>18</v>
      </c>
      <c r="C91">
        <v>8614</v>
      </c>
      <c r="D91">
        <v>430.7</v>
      </c>
      <c r="E91">
        <v>267.02999999999997</v>
      </c>
      <c r="F91" t="s">
        <v>12</v>
      </c>
      <c r="G91" t="str">
        <f t="shared" si="1"/>
        <v>Banca Tirrena|18</v>
      </c>
    </row>
    <row r="92" spans="1:7" x14ac:dyDescent="0.25">
      <c r="A92" t="s">
        <v>11</v>
      </c>
      <c r="B92">
        <v>19</v>
      </c>
      <c r="C92">
        <v>8625.6</v>
      </c>
      <c r="D92">
        <v>431.28</v>
      </c>
      <c r="E92">
        <v>267.39</v>
      </c>
      <c r="F92" t="s">
        <v>12</v>
      </c>
      <c r="G92" t="str">
        <f t="shared" si="1"/>
        <v>Banca Tirrena|19</v>
      </c>
    </row>
    <row r="93" spans="1:7" x14ac:dyDescent="0.25">
      <c r="A93" t="s">
        <v>11</v>
      </c>
      <c r="B93">
        <v>20</v>
      </c>
      <c r="C93">
        <v>8628</v>
      </c>
      <c r="D93">
        <v>431.4</v>
      </c>
      <c r="E93">
        <v>267.47000000000003</v>
      </c>
      <c r="F93" t="s">
        <v>12</v>
      </c>
      <c r="G93" t="str">
        <f t="shared" si="1"/>
        <v>Banca Tirrena|20</v>
      </c>
    </row>
    <row r="94" spans="1:7" x14ac:dyDescent="0.25">
      <c r="A94" t="s">
        <v>11</v>
      </c>
      <c r="B94">
        <v>21</v>
      </c>
      <c r="C94">
        <v>8694.7999999999993</v>
      </c>
      <c r="D94">
        <v>434.74</v>
      </c>
      <c r="E94">
        <v>269.54000000000002</v>
      </c>
      <c r="F94" t="s">
        <v>12</v>
      </c>
      <c r="G94" t="str">
        <f t="shared" si="1"/>
        <v>Banca Tirrena|21</v>
      </c>
    </row>
    <row r="95" spans="1:7" x14ac:dyDescent="0.25">
      <c r="A95" t="s">
        <v>11</v>
      </c>
      <c r="B95">
        <v>22</v>
      </c>
      <c r="C95">
        <v>8728.5</v>
      </c>
      <c r="D95">
        <v>436.43</v>
      </c>
      <c r="E95">
        <v>270.58</v>
      </c>
      <c r="F95" t="s">
        <v>12</v>
      </c>
      <c r="G95" t="str">
        <f t="shared" si="1"/>
        <v>Banca Tirrena|22</v>
      </c>
    </row>
    <row r="96" spans="1:7" x14ac:dyDescent="0.25">
      <c r="A96" t="s">
        <v>11</v>
      </c>
      <c r="B96">
        <v>23</v>
      </c>
      <c r="C96">
        <v>9025</v>
      </c>
      <c r="D96">
        <v>451.25</v>
      </c>
      <c r="E96">
        <v>279.77</v>
      </c>
      <c r="F96" t="s">
        <v>12</v>
      </c>
      <c r="G96" t="str">
        <f t="shared" si="1"/>
        <v>Banca Tirrena|23</v>
      </c>
    </row>
    <row r="97" spans="1:7" x14ac:dyDescent="0.25">
      <c r="A97" t="s">
        <v>11</v>
      </c>
      <c r="B97">
        <v>24</v>
      </c>
      <c r="C97">
        <v>8847.9</v>
      </c>
      <c r="D97">
        <v>442.39</v>
      </c>
      <c r="E97">
        <v>274.27999999999997</v>
      </c>
      <c r="F97" t="s">
        <v>12</v>
      </c>
      <c r="G97" t="str">
        <f t="shared" si="1"/>
        <v>Banca Tirrena|24</v>
      </c>
    </row>
    <row r="98" spans="1:7" x14ac:dyDescent="0.25">
      <c r="A98" t="s">
        <v>11</v>
      </c>
      <c r="B98">
        <v>25</v>
      </c>
      <c r="C98">
        <v>9248.7999999999993</v>
      </c>
      <c r="D98">
        <v>462.44</v>
      </c>
      <c r="E98">
        <v>286.70999999999998</v>
      </c>
      <c r="F98" t="s">
        <v>12</v>
      </c>
      <c r="G98" t="str">
        <f t="shared" si="1"/>
        <v>Banca Tirrena|25</v>
      </c>
    </row>
    <row r="99" spans="1:7" x14ac:dyDescent="0.25">
      <c r="A99" t="s">
        <v>11</v>
      </c>
      <c r="B99">
        <v>26</v>
      </c>
      <c r="C99">
        <v>9300.2000000000007</v>
      </c>
      <c r="D99">
        <v>465.01</v>
      </c>
      <c r="E99">
        <v>288.31</v>
      </c>
      <c r="F99" t="s">
        <v>12</v>
      </c>
      <c r="G99" t="str">
        <f t="shared" si="1"/>
        <v>Banca Tirrena|26</v>
      </c>
    </row>
    <row r="100" spans="1:7" x14ac:dyDescent="0.25">
      <c r="A100" t="s">
        <v>11</v>
      </c>
      <c r="B100">
        <v>27</v>
      </c>
      <c r="C100">
        <v>9006.9</v>
      </c>
      <c r="D100">
        <v>450.34</v>
      </c>
      <c r="E100">
        <v>279.20999999999998</v>
      </c>
      <c r="F100" t="s">
        <v>12</v>
      </c>
      <c r="G100" t="str">
        <f t="shared" si="1"/>
        <v>Banca Tirrena|27</v>
      </c>
    </row>
    <row r="101" spans="1:7" x14ac:dyDescent="0.25">
      <c r="A101" t="s">
        <v>11</v>
      </c>
      <c r="B101">
        <v>28</v>
      </c>
      <c r="C101">
        <v>9227</v>
      </c>
      <c r="D101">
        <v>461.35</v>
      </c>
      <c r="E101">
        <v>286.04000000000002</v>
      </c>
      <c r="F101" t="s">
        <v>12</v>
      </c>
      <c r="G101" t="str">
        <f t="shared" si="1"/>
        <v>Banca Tirrena|28</v>
      </c>
    </row>
    <row r="102" spans="1:7" x14ac:dyDescent="0.25">
      <c r="A102" t="s">
        <v>11</v>
      </c>
      <c r="B102">
        <v>29</v>
      </c>
      <c r="C102">
        <v>9375.9</v>
      </c>
      <c r="D102">
        <v>468.79</v>
      </c>
      <c r="E102">
        <v>290.64999999999998</v>
      </c>
      <c r="F102" t="s">
        <v>12</v>
      </c>
      <c r="G102" t="str">
        <f t="shared" si="1"/>
        <v>Banca Tirrena|29</v>
      </c>
    </row>
    <row r="103" spans="1:7" x14ac:dyDescent="0.25">
      <c r="A103" t="s">
        <v>11</v>
      </c>
      <c r="B103">
        <v>30</v>
      </c>
      <c r="C103">
        <v>9487.6</v>
      </c>
      <c r="D103">
        <v>474.38</v>
      </c>
      <c r="E103">
        <v>294.11</v>
      </c>
      <c r="F103" t="s">
        <v>12</v>
      </c>
      <c r="G103" t="str">
        <f t="shared" si="1"/>
        <v>Banca Tirrena|30</v>
      </c>
    </row>
    <row r="104" spans="1:7" x14ac:dyDescent="0.25">
      <c r="A104" t="s">
        <v>11</v>
      </c>
      <c r="B104">
        <v>31</v>
      </c>
      <c r="C104">
        <v>9489.1</v>
      </c>
      <c r="D104">
        <v>474.46</v>
      </c>
      <c r="E104">
        <v>294.16000000000003</v>
      </c>
      <c r="F104" t="s">
        <v>12</v>
      </c>
      <c r="G104" t="str">
        <f t="shared" si="1"/>
        <v>Banca Tirrena|31</v>
      </c>
    </row>
    <row r="105" spans="1:7" x14ac:dyDescent="0.25">
      <c r="A105" t="s">
        <v>11</v>
      </c>
      <c r="B105">
        <v>32</v>
      </c>
      <c r="C105">
        <v>9407.5</v>
      </c>
      <c r="D105">
        <v>470.38</v>
      </c>
      <c r="E105">
        <v>291.63</v>
      </c>
      <c r="F105" t="s">
        <v>12</v>
      </c>
      <c r="G105" t="str">
        <f t="shared" si="1"/>
        <v>Banca Tirrena|32</v>
      </c>
    </row>
    <row r="106" spans="1:7" x14ac:dyDescent="0.25">
      <c r="A106" t="s">
        <v>11</v>
      </c>
      <c r="B106">
        <v>33</v>
      </c>
      <c r="C106">
        <v>9354.1</v>
      </c>
      <c r="D106">
        <v>467.7</v>
      </c>
      <c r="E106">
        <v>289.98</v>
      </c>
      <c r="F106" t="s">
        <v>12</v>
      </c>
      <c r="G106" t="str">
        <f t="shared" si="1"/>
        <v>Banca Tirrena|33</v>
      </c>
    </row>
    <row r="107" spans="1:7" x14ac:dyDescent="0.25">
      <c r="A107" t="s">
        <v>11</v>
      </c>
      <c r="B107">
        <v>34</v>
      </c>
      <c r="C107">
        <v>9459.7999999999993</v>
      </c>
      <c r="D107">
        <v>472.99</v>
      </c>
      <c r="E107">
        <v>293.25</v>
      </c>
      <c r="F107" t="s">
        <v>12</v>
      </c>
      <c r="G107" t="str">
        <f t="shared" si="1"/>
        <v>Banca Tirrena|34</v>
      </c>
    </row>
    <row r="108" spans="1:7" x14ac:dyDescent="0.25">
      <c r="A108" t="s">
        <v>11</v>
      </c>
      <c r="B108">
        <v>35</v>
      </c>
      <c r="C108">
        <v>9611.7999999999993</v>
      </c>
      <c r="D108">
        <v>480.59</v>
      </c>
      <c r="E108">
        <v>297.97000000000003</v>
      </c>
      <c r="F108" t="s">
        <v>12</v>
      </c>
      <c r="G108" t="str">
        <f t="shared" si="1"/>
        <v>Banca Tirrena|35</v>
      </c>
    </row>
    <row r="109" spans="1:7" x14ac:dyDescent="0.25">
      <c r="A109" t="s">
        <v>11</v>
      </c>
      <c r="B109">
        <v>36</v>
      </c>
      <c r="C109">
        <v>9492.2000000000007</v>
      </c>
      <c r="D109">
        <v>474.61</v>
      </c>
      <c r="E109">
        <v>294.26</v>
      </c>
      <c r="F109" t="s">
        <v>12</v>
      </c>
      <c r="G109" t="str">
        <f t="shared" si="1"/>
        <v>Banca Tirrena|36</v>
      </c>
    </row>
    <row r="110" spans="1:7" x14ac:dyDescent="0.25">
      <c r="A110" t="s">
        <v>13</v>
      </c>
      <c r="B110">
        <v>1</v>
      </c>
      <c r="C110">
        <v>8576.2000000000007</v>
      </c>
      <c r="D110">
        <v>428.81</v>
      </c>
      <c r="E110">
        <v>265.86</v>
      </c>
      <c r="F110" t="s">
        <v>14</v>
      </c>
      <c r="G110" t="str">
        <f t="shared" si="1"/>
        <v>Banca Padana|1</v>
      </c>
    </row>
    <row r="111" spans="1:7" x14ac:dyDescent="0.25">
      <c r="A111" t="s">
        <v>13</v>
      </c>
      <c r="B111">
        <v>2</v>
      </c>
      <c r="C111">
        <v>8553.7000000000007</v>
      </c>
      <c r="D111">
        <v>427.69</v>
      </c>
      <c r="E111">
        <v>265.17</v>
      </c>
      <c r="F111" t="s">
        <v>14</v>
      </c>
      <c r="G111" t="str">
        <f t="shared" si="1"/>
        <v>Banca Padana|2</v>
      </c>
    </row>
    <row r="112" spans="1:7" x14ac:dyDescent="0.25">
      <c r="A112" t="s">
        <v>13</v>
      </c>
      <c r="B112">
        <v>3</v>
      </c>
      <c r="C112">
        <v>8930.4</v>
      </c>
      <c r="D112">
        <v>446.52</v>
      </c>
      <c r="E112">
        <v>276.83999999999997</v>
      </c>
      <c r="F112" t="s">
        <v>14</v>
      </c>
      <c r="G112" t="str">
        <f t="shared" si="1"/>
        <v>Banca Padana|3</v>
      </c>
    </row>
    <row r="113" spans="1:7" x14ac:dyDescent="0.25">
      <c r="A113" t="s">
        <v>13</v>
      </c>
      <c r="B113">
        <v>4</v>
      </c>
      <c r="C113">
        <v>9007.1</v>
      </c>
      <c r="D113">
        <v>450.35</v>
      </c>
      <c r="E113">
        <v>279.22000000000003</v>
      </c>
      <c r="F113" t="s">
        <v>14</v>
      </c>
      <c r="G113" t="str">
        <f t="shared" si="1"/>
        <v>Banca Padana|4</v>
      </c>
    </row>
    <row r="114" spans="1:7" x14ac:dyDescent="0.25">
      <c r="A114" t="s">
        <v>13</v>
      </c>
      <c r="B114">
        <v>5</v>
      </c>
      <c r="C114">
        <v>9017.1</v>
      </c>
      <c r="D114">
        <v>450.86</v>
      </c>
      <c r="E114">
        <v>279.52999999999997</v>
      </c>
      <c r="F114" t="s">
        <v>14</v>
      </c>
      <c r="G114" t="str">
        <f t="shared" si="1"/>
        <v>Banca Padana|5</v>
      </c>
    </row>
    <row r="115" spans="1:7" x14ac:dyDescent="0.25">
      <c r="A115" t="s">
        <v>13</v>
      </c>
      <c r="B115">
        <v>6</v>
      </c>
      <c r="C115">
        <v>8823.7000000000007</v>
      </c>
      <c r="D115">
        <v>441.19</v>
      </c>
      <c r="E115">
        <v>273.54000000000002</v>
      </c>
      <c r="F115" t="s">
        <v>14</v>
      </c>
      <c r="G115" t="str">
        <f t="shared" si="1"/>
        <v>Banca Padana|6</v>
      </c>
    </row>
    <row r="116" spans="1:7" x14ac:dyDescent="0.25">
      <c r="A116" t="s">
        <v>13</v>
      </c>
      <c r="B116">
        <v>7</v>
      </c>
      <c r="C116">
        <v>8869.2999999999993</v>
      </c>
      <c r="D116">
        <v>443.47</v>
      </c>
      <c r="E116">
        <v>274.95</v>
      </c>
      <c r="F116" t="s">
        <v>14</v>
      </c>
      <c r="G116" t="str">
        <f t="shared" si="1"/>
        <v>Banca Padana|7</v>
      </c>
    </row>
    <row r="117" spans="1:7" x14ac:dyDescent="0.25">
      <c r="A117" t="s">
        <v>13</v>
      </c>
      <c r="B117">
        <v>8</v>
      </c>
      <c r="C117">
        <v>9243.1</v>
      </c>
      <c r="D117">
        <v>462.15</v>
      </c>
      <c r="E117">
        <v>286.52999999999997</v>
      </c>
      <c r="F117" t="s">
        <v>14</v>
      </c>
      <c r="G117" t="str">
        <f t="shared" si="1"/>
        <v>Banca Padana|8</v>
      </c>
    </row>
    <row r="118" spans="1:7" x14ac:dyDescent="0.25">
      <c r="A118" t="s">
        <v>13</v>
      </c>
      <c r="B118">
        <v>9</v>
      </c>
      <c r="C118">
        <v>9106.6</v>
      </c>
      <c r="D118">
        <v>455.33</v>
      </c>
      <c r="E118">
        <v>282.3</v>
      </c>
      <c r="F118" t="s">
        <v>14</v>
      </c>
      <c r="G118" t="str">
        <f t="shared" si="1"/>
        <v>Banca Padana|9</v>
      </c>
    </row>
    <row r="119" spans="1:7" x14ac:dyDescent="0.25">
      <c r="A119" t="s">
        <v>13</v>
      </c>
      <c r="B119">
        <v>10</v>
      </c>
      <c r="C119">
        <v>9212.2999999999993</v>
      </c>
      <c r="D119">
        <v>460.61</v>
      </c>
      <c r="E119">
        <v>285.58</v>
      </c>
      <c r="F119" t="s">
        <v>14</v>
      </c>
      <c r="G119" t="str">
        <f t="shared" si="1"/>
        <v>Banca Padana|10</v>
      </c>
    </row>
    <row r="120" spans="1:7" x14ac:dyDescent="0.25">
      <c r="A120" t="s">
        <v>13</v>
      </c>
      <c r="B120">
        <v>11</v>
      </c>
      <c r="C120">
        <v>9379.1</v>
      </c>
      <c r="D120">
        <v>468.96</v>
      </c>
      <c r="E120">
        <v>290.75</v>
      </c>
      <c r="F120" t="s">
        <v>14</v>
      </c>
      <c r="G120" t="str">
        <f t="shared" si="1"/>
        <v>Banca Padana|11</v>
      </c>
    </row>
    <row r="121" spans="1:7" x14ac:dyDescent="0.25">
      <c r="A121" t="s">
        <v>13</v>
      </c>
      <c r="B121">
        <v>12</v>
      </c>
      <c r="C121">
        <v>9188.2999999999993</v>
      </c>
      <c r="D121">
        <v>459.41</v>
      </c>
      <c r="E121">
        <v>284.83999999999997</v>
      </c>
      <c r="F121" t="s">
        <v>14</v>
      </c>
      <c r="G121" t="str">
        <f t="shared" si="1"/>
        <v>Banca Padana|12</v>
      </c>
    </row>
    <row r="122" spans="1:7" x14ac:dyDescent="0.25">
      <c r="A122" t="s">
        <v>13</v>
      </c>
      <c r="B122">
        <v>13</v>
      </c>
      <c r="C122">
        <v>9250.5</v>
      </c>
      <c r="D122">
        <v>462.52</v>
      </c>
      <c r="E122">
        <v>286.77</v>
      </c>
      <c r="F122" t="s">
        <v>14</v>
      </c>
      <c r="G122" t="str">
        <f t="shared" si="1"/>
        <v>Banca Padana|13</v>
      </c>
    </row>
    <row r="123" spans="1:7" x14ac:dyDescent="0.25">
      <c r="A123" t="s">
        <v>13</v>
      </c>
      <c r="B123">
        <v>14</v>
      </c>
      <c r="C123">
        <v>9633.2000000000007</v>
      </c>
      <c r="D123">
        <v>481.66</v>
      </c>
      <c r="E123">
        <v>298.63</v>
      </c>
      <c r="F123" t="s">
        <v>14</v>
      </c>
      <c r="G123" t="str">
        <f t="shared" si="1"/>
        <v>Banca Padana|14</v>
      </c>
    </row>
    <row r="124" spans="1:7" x14ac:dyDescent="0.25">
      <c r="A124" t="s">
        <v>13</v>
      </c>
      <c r="B124">
        <v>15</v>
      </c>
      <c r="C124">
        <v>9750.6</v>
      </c>
      <c r="D124">
        <v>487.53</v>
      </c>
      <c r="E124">
        <v>302.27</v>
      </c>
      <c r="F124" t="s">
        <v>14</v>
      </c>
      <c r="G124" t="str">
        <f t="shared" si="1"/>
        <v>Banca Padana|15</v>
      </c>
    </row>
    <row r="125" spans="1:7" x14ac:dyDescent="0.25">
      <c r="A125" t="s">
        <v>13</v>
      </c>
      <c r="B125">
        <v>16</v>
      </c>
      <c r="C125">
        <v>9603.1</v>
      </c>
      <c r="D125">
        <v>480.15</v>
      </c>
      <c r="E125">
        <v>297.7</v>
      </c>
      <c r="F125" t="s">
        <v>14</v>
      </c>
      <c r="G125" t="str">
        <f t="shared" si="1"/>
        <v>Banca Padana|16</v>
      </c>
    </row>
    <row r="126" spans="1:7" x14ac:dyDescent="0.25">
      <c r="A126" t="s">
        <v>13</v>
      </c>
      <c r="B126">
        <v>17</v>
      </c>
      <c r="C126">
        <v>9743.4</v>
      </c>
      <c r="D126">
        <v>487.17</v>
      </c>
      <c r="E126">
        <v>302.04000000000002</v>
      </c>
      <c r="F126" t="s">
        <v>14</v>
      </c>
      <c r="G126" t="str">
        <f t="shared" si="1"/>
        <v>Banca Padana|17</v>
      </c>
    </row>
    <row r="127" spans="1:7" x14ac:dyDescent="0.25">
      <c r="A127" t="s">
        <v>13</v>
      </c>
      <c r="B127">
        <v>18</v>
      </c>
      <c r="C127">
        <v>9793.2999999999993</v>
      </c>
      <c r="D127">
        <v>489.67</v>
      </c>
      <c r="E127">
        <v>303.58999999999997</v>
      </c>
      <c r="F127" t="s">
        <v>14</v>
      </c>
      <c r="G127" t="str">
        <f t="shared" si="1"/>
        <v>Banca Padana|18</v>
      </c>
    </row>
    <row r="128" spans="1:7" x14ac:dyDescent="0.25">
      <c r="A128" t="s">
        <v>13</v>
      </c>
      <c r="B128">
        <v>19</v>
      </c>
      <c r="C128">
        <v>9727.2000000000007</v>
      </c>
      <c r="D128">
        <v>486.36</v>
      </c>
      <c r="E128">
        <v>301.54000000000002</v>
      </c>
      <c r="F128" t="s">
        <v>14</v>
      </c>
      <c r="G128" t="str">
        <f t="shared" si="1"/>
        <v>Banca Padana|19</v>
      </c>
    </row>
    <row r="129" spans="1:7" x14ac:dyDescent="0.25">
      <c r="A129" t="s">
        <v>13</v>
      </c>
      <c r="B129">
        <v>20</v>
      </c>
      <c r="C129">
        <v>9859.7000000000007</v>
      </c>
      <c r="D129">
        <v>492.99</v>
      </c>
      <c r="E129">
        <v>305.64999999999998</v>
      </c>
      <c r="F129" t="s">
        <v>14</v>
      </c>
      <c r="G129" t="str">
        <f t="shared" si="1"/>
        <v>Banca Padana|20</v>
      </c>
    </row>
    <row r="130" spans="1:7" x14ac:dyDescent="0.25">
      <c r="A130" t="s">
        <v>13</v>
      </c>
      <c r="B130">
        <v>21</v>
      </c>
      <c r="C130">
        <v>9782.1</v>
      </c>
      <c r="D130">
        <v>489.11</v>
      </c>
      <c r="E130">
        <v>303.25</v>
      </c>
      <c r="F130" t="s">
        <v>14</v>
      </c>
      <c r="G130" t="str">
        <f t="shared" ref="G130:G193" si="2">A130&amp;"|"&amp;B130</f>
        <v>Banca Padana|21</v>
      </c>
    </row>
    <row r="131" spans="1:7" x14ac:dyDescent="0.25">
      <c r="A131" t="s">
        <v>13</v>
      </c>
      <c r="B131">
        <v>22</v>
      </c>
      <c r="C131">
        <v>10102.9</v>
      </c>
      <c r="D131">
        <v>505.15</v>
      </c>
      <c r="E131">
        <v>313.19</v>
      </c>
      <c r="F131" t="s">
        <v>14</v>
      </c>
      <c r="G131" t="str">
        <f t="shared" si="2"/>
        <v>Banca Padana|22</v>
      </c>
    </row>
    <row r="132" spans="1:7" x14ac:dyDescent="0.25">
      <c r="A132" t="s">
        <v>13</v>
      </c>
      <c r="B132">
        <v>23</v>
      </c>
      <c r="C132">
        <v>10167.9</v>
      </c>
      <c r="D132">
        <v>508.4</v>
      </c>
      <c r="E132">
        <v>315.20999999999998</v>
      </c>
      <c r="F132" t="s">
        <v>14</v>
      </c>
      <c r="G132" t="str">
        <f t="shared" si="2"/>
        <v>Banca Padana|23</v>
      </c>
    </row>
    <row r="133" spans="1:7" x14ac:dyDescent="0.25">
      <c r="A133" t="s">
        <v>13</v>
      </c>
      <c r="B133">
        <v>24</v>
      </c>
      <c r="C133">
        <v>10337.1</v>
      </c>
      <c r="D133">
        <v>516.85</v>
      </c>
      <c r="E133">
        <v>320.45</v>
      </c>
      <c r="F133" t="s">
        <v>14</v>
      </c>
      <c r="G133" t="str">
        <f t="shared" si="2"/>
        <v>Banca Padana|24</v>
      </c>
    </row>
    <row r="134" spans="1:7" x14ac:dyDescent="0.25">
      <c r="A134" t="s">
        <v>13</v>
      </c>
      <c r="B134">
        <v>25</v>
      </c>
      <c r="C134">
        <v>10234.4</v>
      </c>
      <c r="D134">
        <v>511.72</v>
      </c>
      <c r="E134">
        <v>317.27</v>
      </c>
      <c r="F134" t="s">
        <v>14</v>
      </c>
      <c r="G134" t="str">
        <f t="shared" si="2"/>
        <v>Banca Padana|25</v>
      </c>
    </row>
    <row r="135" spans="1:7" x14ac:dyDescent="0.25">
      <c r="A135" t="s">
        <v>13</v>
      </c>
      <c r="B135">
        <v>26</v>
      </c>
      <c r="C135">
        <v>10296.1</v>
      </c>
      <c r="D135">
        <v>514.79999999999995</v>
      </c>
      <c r="E135">
        <v>319.18</v>
      </c>
      <c r="F135" t="s">
        <v>14</v>
      </c>
      <c r="G135" t="str">
        <f t="shared" si="2"/>
        <v>Banca Padana|26</v>
      </c>
    </row>
    <row r="136" spans="1:7" x14ac:dyDescent="0.25">
      <c r="A136" t="s">
        <v>13</v>
      </c>
      <c r="B136">
        <v>27</v>
      </c>
      <c r="C136">
        <v>10271.9</v>
      </c>
      <c r="D136">
        <v>513.6</v>
      </c>
      <c r="E136">
        <v>318.43</v>
      </c>
      <c r="F136" t="s">
        <v>14</v>
      </c>
      <c r="G136" t="str">
        <f t="shared" si="2"/>
        <v>Banca Padana|27</v>
      </c>
    </row>
    <row r="137" spans="1:7" x14ac:dyDescent="0.25">
      <c r="A137" t="s">
        <v>13</v>
      </c>
      <c r="B137">
        <v>28</v>
      </c>
      <c r="C137">
        <v>10321.299999999999</v>
      </c>
      <c r="D137">
        <v>516.05999999999995</v>
      </c>
      <c r="E137">
        <v>319.95999999999998</v>
      </c>
      <c r="F137" t="s">
        <v>14</v>
      </c>
      <c r="G137" t="str">
        <f t="shared" si="2"/>
        <v>Banca Padana|28</v>
      </c>
    </row>
    <row r="138" spans="1:7" x14ac:dyDescent="0.25">
      <c r="A138" t="s">
        <v>13</v>
      </c>
      <c r="B138">
        <v>29</v>
      </c>
      <c r="C138">
        <v>10487.9</v>
      </c>
      <c r="D138">
        <v>524.39</v>
      </c>
      <c r="E138">
        <v>325.12</v>
      </c>
      <c r="F138" t="s">
        <v>14</v>
      </c>
      <c r="G138" t="str">
        <f t="shared" si="2"/>
        <v>Banca Padana|29</v>
      </c>
    </row>
    <row r="139" spans="1:7" x14ac:dyDescent="0.25">
      <c r="A139" t="s">
        <v>13</v>
      </c>
      <c r="B139">
        <v>30</v>
      </c>
      <c r="C139">
        <v>10580.4</v>
      </c>
      <c r="D139">
        <v>529.02</v>
      </c>
      <c r="E139">
        <v>327.99</v>
      </c>
      <c r="F139" t="s">
        <v>14</v>
      </c>
      <c r="G139" t="str">
        <f t="shared" si="2"/>
        <v>Banca Padana|30</v>
      </c>
    </row>
    <row r="140" spans="1:7" x14ac:dyDescent="0.25">
      <c r="A140" t="s">
        <v>13</v>
      </c>
      <c r="B140">
        <v>31</v>
      </c>
      <c r="C140">
        <v>10784.7</v>
      </c>
      <c r="D140">
        <v>539.24</v>
      </c>
      <c r="E140">
        <v>334.33</v>
      </c>
      <c r="F140" t="s">
        <v>14</v>
      </c>
      <c r="G140" t="str">
        <f t="shared" si="2"/>
        <v>Banca Padana|31</v>
      </c>
    </row>
    <row r="141" spans="1:7" x14ac:dyDescent="0.25">
      <c r="A141" t="s">
        <v>13</v>
      </c>
      <c r="B141">
        <v>32</v>
      </c>
      <c r="C141">
        <v>10491.1</v>
      </c>
      <c r="D141">
        <v>524.55999999999995</v>
      </c>
      <c r="E141">
        <v>325.23</v>
      </c>
      <c r="F141" t="s">
        <v>14</v>
      </c>
      <c r="G141" t="str">
        <f t="shared" si="2"/>
        <v>Banca Padana|32</v>
      </c>
    </row>
    <row r="142" spans="1:7" x14ac:dyDescent="0.25">
      <c r="A142" t="s">
        <v>13</v>
      </c>
      <c r="B142">
        <v>33</v>
      </c>
      <c r="C142">
        <v>10593</v>
      </c>
      <c r="D142">
        <v>529.65</v>
      </c>
      <c r="E142">
        <v>328.38</v>
      </c>
      <c r="F142" t="s">
        <v>14</v>
      </c>
      <c r="G142" t="str">
        <f t="shared" si="2"/>
        <v>Banca Padana|33</v>
      </c>
    </row>
    <row r="143" spans="1:7" x14ac:dyDescent="0.25">
      <c r="A143" t="s">
        <v>13</v>
      </c>
      <c r="B143">
        <v>34</v>
      </c>
      <c r="C143">
        <v>10629.7</v>
      </c>
      <c r="D143">
        <v>531.48</v>
      </c>
      <c r="E143">
        <v>329.52</v>
      </c>
      <c r="F143" t="s">
        <v>14</v>
      </c>
      <c r="G143" t="str">
        <f t="shared" si="2"/>
        <v>Banca Padana|34</v>
      </c>
    </row>
    <row r="144" spans="1:7" x14ac:dyDescent="0.25">
      <c r="A144" t="s">
        <v>13</v>
      </c>
      <c r="B144">
        <v>35</v>
      </c>
      <c r="C144">
        <v>10745.4</v>
      </c>
      <c r="D144">
        <v>537.27</v>
      </c>
      <c r="E144">
        <v>333.11</v>
      </c>
      <c r="F144" t="s">
        <v>14</v>
      </c>
      <c r="G144" t="str">
        <f t="shared" si="2"/>
        <v>Banca Padana|35</v>
      </c>
    </row>
    <row r="145" spans="1:7" x14ac:dyDescent="0.25">
      <c r="A145" t="s">
        <v>13</v>
      </c>
      <c r="B145">
        <v>36</v>
      </c>
      <c r="C145">
        <v>11045.1</v>
      </c>
      <c r="D145">
        <v>552.25</v>
      </c>
      <c r="E145">
        <v>342.4</v>
      </c>
      <c r="F145" t="s">
        <v>14</v>
      </c>
      <c r="G145" t="str">
        <f t="shared" si="2"/>
        <v>Banca Padana|36</v>
      </c>
    </row>
    <row r="146" spans="1:7" x14ac:dyDescent="0.25">
      <c r="A146" t="s">
        <v>15</v>
      </c>
      <c r="B146">
        <v>1</v>
      </c>
      <c r="C146">
        <v>9719.1</v>
      </c>
      <c r="D146">
        <v>485.95</v>
      </c>
      <c r="E146">
        <v>301.29000000000002</v>
      </c>
      <c r="F146" t="s">
        <v>8</v>
      </c>
      <c r="G146" t="str">
        <f t="shared" si="2"/>
        <v>Banca Etrusca|1</v>
      </c>
    </row>
    <row r="147" spans="1:7" x14ac:dyDescent="0.25">
      <c r="A147" t="s">
        <v>15</v>
      </c>
      <c r="B147">
        <v>2</v>
      </c>
      <c r="C147">
        <v>9617.2000000000007</v>
      </c>
      <c r="D147">
        <v>480.86</v>
      </c>
      <c r="E147">
        <v>298.13</v>
      </c>
      <c r="F147" t="s">
        <v>8</v>
      </c>
      <c r="G147" t="str">
        <f t="shared" si="2"/>
        <v>Banca Etrusca|2</v>
      </c>
    </row>
    <row r="148" spans="1:7" x14ac:dyDescent="0.25">
      <c r="A148" t="s">
        <v>15</v>
      </c>
      <c r="B148">
        <v>3</v>
      </c>
      <c r="C148">
        <v>9976.1</v>
      </c>
      <c r="D148">
        <v>498.8</v>
      </c>
      <c r="E148">
        <v>309.26</v>
      </c>
      <c r="F148" t="s">
        <v>8</v>
      </c>
      <c r="G148" t="str">
        <f t="shared" si="2"/>
        <v>Banca Etrusca|3</v>
      </c>
    </row>
    <row r="149" spans="1:7" x14ac:dyDescent="0.25">
      <c r="A149" t="s">
        <v>15</v>
      </c>
      <c r="B149">
        <v>4</v>
      </c>
      <c r="C149">
        <v>9913.2999999999993</v>
      </c>
      <c r="D149">
        <v>495.66</v>
      </c>
      <c r="E149">
        <v>307.31</v>
      </c>
      <c r="F149" t="s">
        <v>8</v>
      </c>
      <c r="G149" t="str">
        <f t="shared" si="2"/>
        <v>Banca Etrusca|4</v>
      </c>
    </row>
    <row r="150" spans="1:7" x14ac:dyDescent="0.25">
      <c r="A150" t="s">
        <v>15</v>
      </c>
      <c r="B150">
        <v>5</v>
      </c>
      <c r="C150">
        <v>9771.2000000000007</v>
      </c>
      <c r="D150">
        <v>488.56</v>
      </c>
      <c r="E150">
        <v>302.91000000000003</v>
      </c>
      <c r="F150" t="s">
        <v>8</v>
      </c>
      <c r="G150" t="str">
        <f t="shared" si="2"/>
        <v>Banca Etrusca|5</v>
      </c>
    </row>
    <row r="151" spans="1:7" x14ac:dyDescent="0.25">
      <c r="A151" t="s">
        <v>15</v>
      </c>
      <c r="B151">
        <v>6</v>
      </c>
      <c r="C151">
        <v>10108.299999999999</v>
      </c>
      <c r="D151">
        <v>505.41</v>
      </c>
      <c r="E151">
        <v>313.36</v>
      </c>
      <c r="F151" t="s">
        <v>8</v>
      </c>
      <c r="G151" t="str">
        <f t="shared" si="2"/>
        <v>Banca Etrusca|6</v>
      </c>
    </row>
    <row r="152" spans="1:7" x14ac:dyDescent="0.25">
      <c r="A152" t="s">
        <v>15</v>
      </c>
      <c r="B152">
        <v>7</v>
      </c>
      <c r="C152">
        <v>10150.4</v>
      </c>
      <c r="D152">
        <v>507.52</v>
      </c>
      <c r="E152">
        <v>314.66000000000003</v>
      </c>
      <c r="F152" t="s">
        <v>8</v>
      </c>
      <c r="G152" t="str">
        <f t="shared" si="2"/>
        <v>Banca Etrusca|7</v>
      </c>
    </row>
    <row r="153" spans="1:7" x14ac:dyDescent="0.25">
      <c r="A153" t="s">
        <v>15</v>
      </c>
      <c r="B153">
        <v>8</v>
      </c>
      <c r="C153">
        <v>10303</v>
      </c>
      <c r="D153">
        <v>515.15</v>
      </c>
      <c r="E153">
        <v>319.39</v>
      </c>
      <c r="F153" t="s">
        <v>8</v>
      </c>
      <c r="G153" t="str">
        <f t="shared" si="2"/>
        <v>Banca Etrusca|8</v>
      </c>
    </row>
    <row r="154" spans="1:7" x14ac:dyDescent="0.25">
      <c r="A154" t="s">
        <v>15</v>
      </c>
      <c r="B154">
        <v>9</v>
      </c>
      <c r="C154">
        <v>10299.799999999999</v>
      </c>
      <c r="D154">
        <v>514.99</v>
      </c>
      <c r="E154">
        <v>319.29000000000002</v>
      </c>
      <c r="F154" t="s">
        <v>8</v>
      </c>
      <c r="G154" t="str">
        <f t="shared" si="2"/>
        <v>Banca Etrusca|9</v>
      </c>
    </row>
    <row r="155" spans="1:7" x14ac:dyDescent="0.25">
      <c r="A155" t="s">
        <v>15</v>
      </c>
      <c r="B155">
        <v>10</v>
      </c>
      <c r="C155">
        <v>10471.200000000001</v>
      </c>
      <c r="D155">
        <v>523.55999999999995</v>
      </c>
      <c r="E155">
        <v>324.61</v>
      </c>
      <c r="F155" t="s">
        <v>8</v>
      </c>
      <c r="G155" t="str">
        <f t="shared" si="2"/>
        <v>Banca Etrusca|10</v>
      </c>
    </row>
    <row r="156" spans="1:7" x14ac:dyDescent="0.25">
      <c r="A156" t="s">
        <v>15</v>
      </c>
      <c r="B156">
        <v>11</v>
      </c>
      <c r="C156">
        <v>10251.1</v>
      </c>
      <c r="D156">
        <v>512.54999999999995</v>
      </c>
      <c r="E156">
        <v>317.77999999999997</v>
      </c>
      <c r="F156" t="s">
        <v>8</v>
      </c>
      <c r="G156" t="str">
        <f t="shared" si="2"/>
        <v>Banca Etrusca|11</v>
      </c>
    </row>
    <row r="157" spans="1:7" x14ac:dyDescent="0.25">
      <c r="A157" t="s">
        <v>15</v>
      </c>
      <c r="B157">
        <v>12</v>
      </c>
      <c r="C157">
        <v>10616.7</v>
      </c>
      <c r="D157">
        <v>530.83000000000004</v>
      </c>
      <c r="E157">
        <v>329.12</v>
      </c>
      <c r="F157" t="s">
        <v>8</v>
      </c>
      <c r="G157" t="str">
        <f t="shared" si="2"/>
        <v>Banca Etrusca|12</v>
      </c>
    </row>
    <row r="158" spans="1:7" x14ac:dyDescent="0.25">
      <c r="A158" t="s">
        <v>15</v>
      </c>
      <c r="B158">
        <v>13</v>
      </c>
      <c r="C158">
        <v>10605.2</v>
      </c>
      <c r="D158">
        <v>530.26</v>
      </c>
      <c r="E158">
        <v>328.76</v>
      </c>
      <c r="F158" t="s">
        <v>8</v>
      </c>
      <c r="G158" t="str">
        <f t="shared" si="2"/>
        <v>Banca Etrusca|13</v>
      </c>
    </row>
    <row r="159" spans="1:7" x14ac:dyDescent="0.25">
      <c r="A159" t="s">
        <v>15</v>
      </c>
      <c r="B159">
        <v>14</v>
      </c>
      <c r="C159">
        <v>10759.6</v>
      </c>
      <c r="D159">
        <v>537.98</v>
      </c>
      <c r="E159">
        <v>333.55</v>
      </c>
      <c r="F159" t="s">
        <v>8</v>
      </c>
      <c r="G159" t="str">
        <f t="shared" si="2"/>
        <v>Banca Etrusca|14</v>
      </c>
    </row>
    <row r="160" spans="1:7" x14ac:dyDescent="0.25">
      <c r="A160" t="s">
        <v>15</v>
      </c>
      <c r="B160">
        <v>15</v>
      </c>
      <c r="C160">
        <v>10673.4</v>
      </c>
      <c r="D160">
        <v>533.66999999999996</v>
      </c>
      <c r="E160">
        <v>330.88</v>
      </c>
      <c r="F160" t="s">
        <v>8</v>
      </c>
      <c r="G160" t="str">
        <f t="shared" si="2"/>
        <v>Banca Etrusca|15</v>
      </c>
    </row>
    <row r="161" spans="1:7" x14ac:dyDescent="0.25">
      <c r="A161" t="s">
        <v>15</v>
      </c>
      <c r="B161">
        <v>16</v>
      </c>
      <c r="C161">
        <v>10546.5</v>
      </c>
      <c r="D161">
        <v>527.33000000000004</v>
      </c>
      <c r="E161">
        <v>326.94</v>
      </c>
      <c r="F161" t="s">
        <v>8</v>
      </c>
      <c r="G161" t="str">
        <f t="shared" si="2"/>
        <v>Banca Etrusca|16</v>
      </c>
    </row>
    <row r="162" spans="1:7" x14ac:dyDescent="0.25">
      <c r="A162" t="s">
        <v>15</v>
      </c>
      <c r="B162">
        <v>17</v>
      </c>
      <c r="C162">
        <v>10727.2</v>
      </c>
      <c r="D162">
        <v>536.36</v>
      </c>
      <c r="E162">
        <v>332.54</v>
      </c>
      <c r="F162" t="s">
        <v>8</v>
      </c>
      <c r="G162" t="str">
        <f t="shared" si="2"/>
        <v>Banca Etrusca|17</v>
      </c>
    </row>
    <row r="163" spans="1:7" x14ac:dyDescent="0.25">
      <c r="A163" t="s">
        <v>15</v>
      </c>
      <c r="B163">
        <v>18</v>
      </c>
      <c r="C163">
        <v>10921.7</v>
      </c>
      <c r="D163">
        <v>546.08000000000004</v>
      </c>
      <c r="E163">
        <v>338.57</v>
      </c>
      <c r="F163" t="s">
        <v>8</v>
      </c>
      <c r="G163" t="str">
        <f t="shared" si="2"/>
        <v>Banca Etrusca|18</v>
      </c>
    </row>
    <row r="164" spans="1:7" x14ac:dyDescent="0.25">
      <c r="A164" t="s">
        <v>15</v>
      </c>
      <c r="B164">
        <v>19</v>
      </c>
      <c r="C164">
        <v>10907.1</v>
      </c>
      <c r="D164">
        <v>545.35</v>
      </c>
      <c r="E164">
        <v>338.12</v>
      </c>
      <c r="F164" t="s">
        <v>8</v>
      </c>
      <c r="G164" t="str">
        <f t="shared" si="2"/>
        <v>Banca Etrusca|19</v>
      </c>
    </row>
    <row r="165" spans="1:7" x14ac:dyDescent="0.25">
      <c r="A165" t="s">
        <v>15</v>
      </c>
      <c r="B165">
        <v>20</v>
      </c>
      <c r="C165">
        <v>11056.1</v>
      </c>
      <c r="D165">
        <v>552.79999999999995</v>
      </c>
      <c r="E165">
        <v>342.74</v>
      </c>
      <c r="F165" t="s">
        <v>8</v>
      </c>
      <c r="G165" t="str">
        <f t="shared" si="2"/>
        <v>Banca Etrusca|20</v>
      </c>
    </row>
    <row r="166" spans="1:7" x14ac:dyDescent="0.25">
      <c r="A166" t="s">
        <v>15</v>
      </c>
      <c r="B166">
        <v>21</v>
      </c>
      <c r="C166">
        <v>10906.4</v>
      </c>
      <c r="D166">
        <v>545.32000000000005</v>
      </c>
      <c r="E166">
        <v>338.1</v>
      </c>
      <c r="F166" t="s">
        <v>8</v>
      </c>
      <c r="G166" t="str">
        <f t="shared" si="2"/>
        <v>Banca Etrusca|21</v>
      </c>
    </row>
    <row r="167" spans="1:7" x14ac:dyDescent="0.25">
      <c r="A167" t="s">
        <v>15</v>
      </c>
      <c r="B167">
        <v>22</v>
      </c>
      <c r="C167">
        <v>11214.4</v>
      </c>
      <c r="D167">
        <v>560.72</v>
      </c>
      <c r="E167">
        <v>347.65</v>
      </c>
      <c r="F167" t="s">
        <v>8</v>
      </c>
      <c r="G167" t="str">
        <f t="shared" si="2"/>
        <v>Banca Etrusca|22</v>
      </c>
    </row>
    <row r="168" spans="1:7" x14ac:dyDescent="0.25">
      <c r="A168" t="s">
        <v>15</v>
      </c>
      <c r="B168">
        <v>23</v>
      </c>
      <c r="C168">
        <v>11336</v>
      </c>
      <c r="D168">
        <v>566.79999999999995</v>
      </c>
      <c r="E168">
        <v>351.42</v>
      </c>
      <c r="F168" t="s">
        <v>8</v>
      </c>
      <c r="G168" t="str">
        <f t="shared" si="2"/>
        <v>Banca Etrusca|23</v>
      </c>
    </row>
    <row r="169" spans="1:7" x14ac:dyDescent="0.25">
      <c r="A169" t="s">
        <v>15</v>
      </c>
      <c r="B169">
        <v>24</v>
      </c>
      <c r="C169">
        <v>11412.6</v>
      </c>
      <c r="D169">
        <v>570.63</v>
      </c>
      <c r="E169">
        <v>353.79</v>
      </c>
      <c r="F169" t="s">
        <v>8</v>
      </c>
      <c r="G169" t="str">
        <f t="shared" si="2"/>
        <v>Banca Etrusca|24</v>
      </c>
    </row>
    <row r="170" spans="1:7" x14ac:dyDescent="0.25">
      <c r="A170" t="s">
        <v>15</v>
      </c>
      <c r="B170">
        <v>25</v>
      </c>
      <c r="C170">
        <v>11554.5</v>
      </c>
      <c r="D170">
        <v>577.72</v>
      </c>
      <c r="E170">
        <v>358.19</v>
      </c>
      <c r="F170" t="s">
        <v>8</v>
      </c>
      <c r="G170" t="str">
        <f t="shared" si="2"/>
        <v>Banca Etrusca|25</v>
      </c>
    </row>
    <row r="171" spans="1:7" x14ac:dyDescent="0.25">
      <c r="A171" t="s">
        <v>15</v>
      </c>
      <c r="B171">
        <v>26</v>
      </c>
      <c r="C171">
        <v>11375.3</v>
      </c>
      <c r="D171">
        <v>568.77</v>
      </c>
      <c r="E171">
        <v>352.64</v>
      </c>
      <c r="F171" t="s">
        <v>8</v>
      </c>
      <c r="G171" t="str">
        <f t="shared" si="2"/>
        <v>Banca Etrusca|26</v>
      </c>
    </row>
    <row r="172" spans="1:7" x14ac:dyDescent="0.25">
      <c r="A172" t="s">
        <v>15</v>
      </c>
      <c r="B172">
        <v>27</v>
      </c>
      <c r="C172">
        <v>11453.2</v>
      </c>
      <c r="D172">
        <v>572.66</v>
      </c>
      <c r="E172">
        <v>355.05</v>
      </c>
      <c r="F172" t="s">
        <v>8</v>
      </c>
      <c r="G172" t="str">
        <f t="shared" si="2"/>
        <v>Banca Etrusca|27</v>
      </c>
    </row>
    <row r="173" spans="1:7" x14ac:dyDescent="0.25">
      <c r="A173" t="s">
        <v>15</v>
      </c>
      <c r="B173">
        <v>28</v>
      </c>
      <c r="C173">
        <v>11479.7</v>
      </c>
      <c r="D173">
        <v>573.98</v>
      </c>
      <c r="E173">
        <v>355.87</v>
      </c>
      <c r="F173" t="s">
        <v>8</v>
      </c>
      <c r="G173" t="str">
        <f t="shared" si="2"/>
        <v>Banca Etrusca|28</v>
      </c>
    </row>
    <row r="174" spans="1:7" x14ac:dyDescent="0.25">
      <c r="A174" t="s">
        <v>15</v>
      </c>
      <c r="B174">
        <v>29</v>
      </c>
      <c r="C174">
        <v>11666.2</v>
      </c>
      <c r="D174">
        <v>583.30999999999995</v>
      </c>
      <c r="E174">
        <v>361.65</v>
      </c>
      <c r="F174" t="s">
        <v>8</v>
      </c>
      <c r="G174" t="str">
        <f t="shared" si="2"/>
        <v>Banca Etrusca|29</v>
      </c>
    </row>
    <row r="175" spans="1:7" x14ac:dyDescent="0.25">
      <c r="A175" t="s">
        <v>15</v>
      </c>
      <c r="B175">
        <v>30</v>
      </c>
      <c r="C175">
        <v>11564</v>
      </c>
      <c r="D175">
        <v>578.20000000000005</v>
      </c>
      <c r="E175">
        <v>358.48</v>
      </c>
      <c r="F175" t="s">
        <v>8</v>
      </c>
      <c r="G175" t="str">
        <f t="shared" si="2"/>
        <v>Banca Etrusca|30</v>
      </c>
    </row>
    <row r="176" spans="1:7" x14ac:dyDescent="0.25">
      <c r="A176" t="s">
        <v>15</v>
      </c>
      <c r="B176">
        <v>31</v>
      </c>
      <c r="C176">
        <v>11979.8</v>
      </c>
      <c r="D176">
        <v>598.99</v>
      </c>
      <c r="E176">
        <v>371.37</v>
      </c>
      <c r="F176" t="s">
        <v>8</v>
      </c>
      <c r="G176" t="str">
        <f t="shared" si="2"/>
        <v>Banca Etrusca|31</v>
      </c>
    </row>
    <row r="177" spans="1:7" x14ac:dyDescent="0.25">
      <c r="A177" t="s">
        <v>15</v>
      </c>
      <c r="B177">
        <v>32</v>
      </c>
      <c r="C177">
        <v>11992</v>
      </c>
      <c r="D177">
        <v>599.6</v>
      </c>
      <c r="E177">
        <v>371.75</v>
      </c>
      <c r="F177" t="s">
        <v>8</v>
      </c>
      <c r="G177" t="str">
        <f t="shared" si="2"/>
        <v>Banca Etrusca|32</v>
      </c>
    </row>
    <row r="178" spans="1:7" x14ac:dyDescent="0.25">
      <c r="A178" t="s">
        <v>15</v>
      </c>
      <c r="B178">
        <v>33</v>
      </c>
      <c r="C178">
        <v>11927.1</v>
      </c>
      <c r="D178">
        <v>596.35</v>
      </c>
      <c r="E178">
        <v>369.74</v>
      </c>
      <c r="F178" t="s">
        <v>8</v>
      </c>
      <c r="G178" t="str">
        <f t="shared" si="2"/>
        <v>Banca Etrusca|33</v>
      </c>
    </row>
    <row r="179" spans="1:7" x14ac:dyDescent="0.25">
      <c r="A179" t="s">
        <v>15</v>
      </c>
      <c r="B179">
        <v>34</v>
      </c>
      <c r="C179">
        <v>12000</v>
      </c>
      <c r="D179">
        <v>600</v>
      </c>
      <c r="E179">
        <v>372</v>
      </c>
      <c r="F179" t="s">
        <v>8</v>
      </c>
      <c r="G179" t="str">
        <f t="shared" si="2"/>
        <v>Banca Etrusca|34</v>
      </c>
    </row>
    <row r="180" spans="1:7" x14ac:dyDescent="0.25">
      <c r="A180" t="s">
        <v>15</v>
      </c>
      <c r="B180">
        <v>35</v>
      </c>
      <c r="C180">
        <v>12062.2</v>
      </c>
      <c r="D180">
        <v>603.11</v>
      </c>
      <c r="E180">
        <v>373.93</v>
      </c>
      <c r="F180" t="s">
        <v>8</v>
      </c>
      <c r="G180" t="str">
        <f t="shared" si="2"/>
        <v>Banca Etrusca|35</v>
      </c>
    </row>
    <row r="181" spans="1:7" x14ac:dyDescent="0.25">
      <c r="A181" t="s">
        <v>15</v>
      </c>
      <c r="B181">
        <v>36</v>
      </c>
      <c r="C181">
        <v>12156.2</v>
      </c>
      <c r="D181">
        <v>607.80999999999995</v>
      </c>
      <c r="E181">
        <v>376.84</v>
      </c>
      <c r="F181" t="s">
        <v>8</v>
      </c>
      <c r="G181" t="str">
        <f t="shared" si="2"/>
        <v>Banca Etrusca|36</v>
      </c>
    </row>
    <row r="182" spans="1:7" x14ac:dyDescent="0.25">
      <c r="A182" t="s">
        <v>16</v>
      </c>
      <c r="B182">
        <v>1</v>
      </c>
      <c r="C182">
        <v>10568.9</v>
      </c>
      <c r="D182">
        <v>528.45000000000005</v>
      </c>
      <c r="E182">
        <v>327.64</v>
      </c>
      <c r="F182" t="s">
        <v>10</v>
      </c>
      <c r="G182" t="str">
        <f t="shared" si="2"/>
        <v>Banca Lariana|1</v>
      </c>
    </row>
    <row r="183" spans="1:7" x14ac:dyDescent="0.25">
      <c r="A183" t="s">
        <v>16</v>
      </c>
      <c r="B183">
        <v>2</v>
      </c>
      <c r="C183">
        <v>10693.6</v>
      </c>
      <c r="D183">
        <v>534.67999999999995</v>
      </c>
      <c r="E183">
        <v>331.5</v>
      </c>
      <c r="F183" t="s">
        <v>10</v>
      </c>
      <c r="G183" t="str">
        <f t="shared" si="2"/>
        <v>Banca Lariana|2</v>
      </c>
    </row>
    <row r="184" spans="1:7" x14ac:dyDescent="0.25">
      <c r="A184" t="s">
        <v>16</v>
      </c>
      <c r="B184">
        <v>3</v>
      </c>
      <c r="C184">
        <v>10582.3</v>
      </c>
      <c r="D184">
        <v>529.11</v>
      </c>
      <c r="E184">
        <v>328.05</v>
      </c>
      <c r="F184" t="s">
        <v>10</v>
      </c>
      <c r="G184" t="str">
        <f t="shared" si="2"/>
        <v>Banca Lariana|3</v>
      </c>
    </row>
    <row r="185" spans="1:7" x14ac:dyDescent="0.25">
      <c r="A185" t="s">
        <v>16</v>
      </c>
      <c r="B185">
        <v>4</v>
      </c>
      <c r="C185">
        <v>10954.3</v>
      </c>
      <c r="D185">
        <v>547.71</v>
      </c>
      <c r="E185">
        <v>339.58</v>
      </c>
      <c r="F185" t="s">
        <v>10</v>
      </c>
      <c r="G185" t="str">
        <f t="shared" si="2"/>
        <v>Banca Lariana|4</v>
      </c>
    </row>
    <row r="186" spans="1:7" x14ac:dyDescent="0.25">
      <c r="A186" t="s">
        <v>16</v>
      </c>
      <c r="B186">
        <v>5</v>
      </c>
      <c r="C186">
        <v>10908.8</v>
      </c>
      <c r="D186">
        <v>545.44000000000005</v>
      </c>
      <c r="E186">
        <v>338.17</v>
      </c>
      <c r="F186" t="s">
        <v>10</v>
      </c>
      <c r="G186" t="str">
        <f t="shared" si="2"/>
        <v>Banca Lariana|5</v>
      </c>
    </row>
    <row r="187" spans="1:7" x14ac:dyDescent="0.25">
      <c r="A187" t="s">
        <v>16</v>
      </c>
      <c r="B187">
        <v>6</v>
      </c>
      <c r="C187">
        <v>11167.4</v>
      </c>
      <c r="D187">
        <v>558.37</v>
      </c>
      <c r="E187">
        <v>346.19</v>
      </c>
      <c r="F187" t="s">
        <v>10</v>
      </c>
      <c r="G187" t="str">
        <f t="shared" si="2"/>
        <v>Banca Lariana|6</v>
      </c>
    </row>
    <row r="188" spans="1:7" x14ac:dyDescent="0.25">
      <c r="A188" t="s">
        <v>16</v>
      </c>
      <c r="B188">
        <v>7</v>
      </c>
      <c r="C188">
        <v>11129.9</v>
      </c>
      <c r="D188">
        <v>556.49</v>
      </c>
      <c r="E188">
        <v>345.03</v>
      </c>
      <c r="F188" t="s">
        <v>10</v>
      </c>
      <c r="G188" t="str">
        <f t="shared" si="2"/>
        <v>Banca Lariana|7</v>
      </c>
    </row>
    <row r="189" spans="1:7" x14ac:dyDescent="0.25">
      <c r="A189" t="s">
        <v>16</v>
      </c>
      <c r="B189">
        <v>8</v>
      </c>
      <c r="C189">
        <v>11327.2</v>
      </c>
      <c r="D189">
        <v>566.36</v>
      </c>
      <c r="E189">
        <v>351.14</v>
      </c>
      <c r="F189" t="s">
        <v>10</v>
      </c>
      <c r="G189" t="str">
        <f t="shared" si="2"/>
        <v>Banca Lariana|8</v>
      </c>
    </row>
    <row r="190" spans="1:7" x14ac:dyDescent="0.25">
      <c r="A190" t="s">
        <v>16</v>
      </c>
      <c r="B190">
        <v>9</v>
      </c>
      <c r="C190">
        <v>11386.8</v>
      </c>
      <c r="D190">
        <v>569.34</v>
      </c>
      <c r="E190">
        <v>352.99</v>
      </c>
      <c r="F190" t="s">
        <v>10</v>
      </c>
      <c r="G190" t="str">
        <f t="shared" si="2"/>
        <v>Banca Lariana|9</v>
      </c>
    </row>
    <row r="191" spans="1:7" x14ac:dyDescent="0.25">
      <c r="A191" t="s">
        <v>16</v>
      </c>
      <c r="B191">
        <v>10</v>
      </c>
      <c r="C191">
        <v>11256</v>
      </c>
      <c r="D191">
        <v>562.79999999999995</v>
      </c>
      <c r="E191">
        <v>348.93</v>
      </c>
      <c r="F191" t="s">
        <v>10</v>
      </c>
      <c r="G191" t="str">
        <f t="shared" si="2"/>
        <v>Banca Lariana|10</v>
      </c>
    </row>
    <row r="192" spans="1:7" x14ac:dyDescent="0.25">
      <c r="A192" t="s">
        <v>16</v>
      </c>
      <c r="B192">
        <v>11</v>
      </c>
      <c r="C192">
        <v>11351.2</v>
      </c>
      <c r="D192">
        <v>567.55999999999995</v>
      </c>
      <c r="E192">
        <v>351.89</v>
      </c>
      <c r="F192" t="s">
        <v>10</v>
      </c>
      <c r="G192" t="str">
        <f t="shared" si="2"/>
        <v>Banca Lariana|11</v>
      </c>
    </row>
    <row r="193" spans="1:7" x14ac:dyDescent="0.25">
      <c r="A193" t="s">
        <v>16</v>
      </c>
      <c r="B193">
        <v>12</v>
      </c>
      <c r="C193">
        <v>11562.7</v>
      </c>
      <c r="D193">
        <v>578.13</v>
      </c>
      <c r="E193">
        <v>358.44</v>
      </c>
      <c r="F193" t="s">
        <v>10</v>
      </c>
      <c r="G193" t="str">
        <f t="shared" si="2"/>
        <v>Banca Lariana|12</v>
      </c>
    </row>
    <row r="194" spans="1:7" x14ac:dyDescent="0.25">
      <c r="A194" t="s">
        <v>16</v>
      </c>
      <c r="B194">
        <v>13</v>
      </c>
      <c r="C194">
        <v>11544</v>
      </c>
      <c r="D194">
        <v>577.20000000000005</v>
      </c>
      <c r="E194">
        <v>357.86</v>
      </c>
      <c r="F194" t="s">
        <v>10</v>
      </c>
      <c r="G194" t="str">
        <f t="shared" ref="G194:G257" si="3">A194&amp;"|"&amp;B194</f>
        <v>Banca Lariana|13</v>
      </c>
    </row>
    <row r="195" spans="1:7" x14ac:dyDescent="0.25">
      <c r="A195" t="s">
        <v>16</v>
      </c>
      <c r="B195">
        <v>14</v>
      </c>
      <c r="C195">
        <v>11834.8</v>
      </c>
      <c r="D195">
        <v>591.74</v>
      </c>
      <c r="E195">
        <v>366.88</v>
      </c>
      <c r="F195" t="s">
        <v>10</v>
      </c>
      <c r="G195" t="str">
        <f t="shared" si="3"/>
        <v>Banca Lariana|14</v>
      </c>
    </row>
    <row r="196" spans="1:7" x14ac:dyDescent="0.25">
      <c r="A196" t="s">
        <v>16</v>
      </c>
      <c r="B196">
        <v>15</v>
      </c>
      <c r="C196">
        <v>11846.8</v>
      </c>
      <c r="D196">
        <v>592.34</v>
      </c>
      <c r="E196">
        <v>367.25</v>
      </c>
      <c r="F196" t="s">
        <v>10</v>
      </c>
      <c r="G196" t="str">
        <f t="shared" si="3"/>
        <v>Banca Lariana|15</v>
      </c>
    </row>
    <row r="197" spans="1:7" x14ac:dyDescent="0.25">
      <c r="A197" t="s">
        <v>16</v>
      </c>
      <c r="B197">
        <v>16</v>
      </c>
      <c r="C197">
        <v>11858.6</v>
      </c>
      <c r="D197">
        <v>592.92999999999995</v>
      </c>
      <c r="E197">
        <v>367.62</v>
      </c>
      <c r="F197" t="s">
        <v>10</v>
      </c>
      <c r="G197" t="str">
        <f t="shared" si="3"/>
        <v>Banca Lariana|16</v>
      </c>
    </row>
    <row r="198" spans="1:7" x14ac:dyDescent="0.25">
      <c r="A198" t="s">
        <v>16</v>
      </c>
      <c r="B198">
        <v>17</v>
      </c>
      <c r="C198">
        <v>11951.9</v>
      </c>
      <c r="D198">
        <v>597.59</v>
      </c>
      <c r="E198">
        <v>370.51</v>
      </c>
      <c r="F198" t="s">
        <v>10</v>
      </c>
      <c r="G198" t="str">
        <f t="shared" si="3"/>
        <v>Banca Lariana|17</v>
      </c>
    </row>
    <row r="199" spans="1:7" x14ac:dyDescent="0.25">
      <c r="A199" t="s">
        <v>16</v>
      </c>
      <c r="B199">
        <v>18</v>
      </c>
      <c r="C199">
        <v>12114.9</v>
      </c>
      <c r="D199">
        <v>605.75</v>
      </c>
      <c r="E199">
        <v>375.56</v>
      </c>
      <c r="F199" t="s">
        <v>10</v>
      </c>
      <c r="G199" t="str">
        <f t="shared" si="3"/>
        <v>Banca Lariana|18</v>
      </c>
    </row>
    <row r="200" spans="1:7" x14ac:dyDescent="0.25">
      <c r="A200" t="s">
        <v>16</v>
      </c>
      <c r="B200">
        <v>19</v>
      </c>
      <c r="C200">
        <v>12160.2</v>
      </c>
      <c r="D200">
        <v>608.01</v>
      </c>
      <c r="E200">
        <v>376.97</v>
      </c>
      <c r="F200" t="s">
        <v>10</v>
      </c>
      <c r="G200" t="str">
        <f t="shared" si="3"/>
        <v>Banca Lariana|19</v>
      </c>
    </row>
    <row r="201" spans="1:7" x14ac:dyDescent="0.25">
      <c r="A201" t="s">
        <v>16</v>
      </c>
      <c r="B201">
        <v>20</v>
      </c>
      <c r="C201">
        <v>11934</v>
      </c>
      <c r="D201">
        <v>596.70000000000005</v>
      </c>
      <c r="E201">
        <v>369.95</v>
      </c>
      <c r="F201" t="s">
        <v>10</v>
      </c>
      <c r="G201" t="str">
        <f t="shared" si="3"/>
        <v>Banca Lariana|20</v>
      </c>
    </row>
    <row r="202" spans="1:7" x14ac:dyDescent="0.25">
      <c r="A202" t="s">
        <v>16</v>
      </c>
      <c r="B202">
        <v>21</v>
      </c>
      <c r="C202">
        <v>12402.7</v>
      </c>
      <c r="D202">
        <v>620.14</v>
      </c>
      <c r="E202">
        <v>384.48</v>
      </c>
      <c r="F202" t="s">
        <v>10</v>
      </c>
      <c r="G202" t="str">
        <f t="shared" si="3"/>
        <v>Banca Lariana|21</v>
      </c>
    </row>
    <row r="203" spans="1:7" x14ac:dyDescent="0.25">
      <c r="A203" t="s">
        <v>16</v>
      </c>
      <c r="B203">
        <v>22</v>
      </c>
      <c r="C203">
        <v>12214.2</v>
      </c>
      <c r="D203">
        <v>610.71</v>
      </c>
      <c r="E203">
        <v>378.64</v>
      </c>
      <c r="F203" t="s">
        <v>10</v>
      </c>
      <c r="G203" t="str">
        <f t="shared" si="3"/>
        <v>Banca Lariana|22</v>
      </c>
    </row>
    <row r="204" spans="1:7" x14ac:dyDescent="0.25">
      <c r="A204" t="s">
        <v>16</v>
      </c>
      <c r="B204">
        <v>23</v>
      </c>
      <c r="C204">
        <v>12528.7</v>
      </c>
      <c r="D204">
        <v>626.42999999999995</v>
      </c>
      <c r="E204">
        <v>388.39</v>
      </c>
      <c r="F204" t="s">
        <v>10</v>
      </c>
      <c r="G204" t="str">
        <f t="shared" si="3"/>
        <v>Banca Lariana|23</v>
      </c>
    </row>
    <row r="205" spans="1:7" x14ac:dyDescent="0.25">
      <c r="A205" t="s">
        <v>16</v>
      </c>
      <c r="B205">
        <v>24</v>
      </c>
      <c r="C205">
        <v>12479</v>
      </c>
      <c r="D205">
        <v>623.95000000000005</v>
      </c>
      <c r="E205">
        <v>386.85</v>
      </c>
      <c r="F205" t="s">
        <v>10</v>
      </c>
      <c r="G205" t="str">
        <f t="shared" si="3"/>
        <v>Banca Lariana|24</v>
      </c>
    </row>
    <row r="206" spans="1:7" x14ac:dyDescent="0.25">
      <c r="A206" t="s">
        <v>16</v>
      </c>
      <c r="B206">
        <v>25</v>
      </c>
      <c r="C206">
        <v>12578.8</v>
      </c>
      <c r="D206">
        <v>628.94000000000005</v>
      </c>
      <c r="E206">
        <v>389.94</v>
      </c>
      <c r="F206" t="s">
        <v>10</v>
      </c>
      <c r="G206" t="str">
        <f t="shared" si="3"/>
        <v>Banca Lariana|25</v>
      </c>
    </row>
    <row r="207" spans="1:7" x14ac:dyDescent="0.25">
      <c r="A207" t="s">
        <v>16</v>
      </c>
      <c r="B207">
        <v>26</v>
      </c>
      <c r="C207">
        <v>12715.3</v>
      </c>
      <c r="D207">
        <v>635.77</v>
      </c>
      <c r="E207">
        <v>394.17</v>
      </c>
      <c r="F207" t="s">
        <v>10</v>
      </c>
      <c r="G207" t="str">
        <f t="shared" si="3"/>
        <v>Banca Lariana|26</v>
      </c>
    </row>
    <row r="208" spans="1:7" x14ac:dyDescent="0.25">
      <c r="A208" t="s">
        <v>16</v>
      </c>
      <c r="B208">
        <v>27</v>
      </c>
      <c r="C208">
        <v>12780.4</v>
      </c>
      <c r="D208">
        <v>639.02</v>
      </c>
      <c r="E208">
        <v>396.19</v>
      </c>
      <c r="F208" t="s">
        <v>10</v>
      </c>
      <c r="G208" t="str">
        <f t="shared" si="3"/>
        <v>Banca Lariana|27</v>
      </c>
    </row>
    <row r="209" spans="1:7" x14ac:dyDescent="0.25">
      <c r="A209" t="s">
        <v>16</v>
      </c>
      <c r="B209">
        <v>28</v>
      </c>
      <c r="C209">
        <v>12925.1</v>
      </c>
      <c r="D209">
        <v>646.26</v>
      </c>
      <c r="E209">
        <v>400.68</v>
      </c>
      <c r="F209" t="s">
        <v>10</v>
      </c>
      <c r="G209" t="str">
        <f t="shared" si="3"/>
        <v>Banca Lariana|28</v>
      </c>
    </row>
    <row r="210" spans="1:7" x14ac:dyDescent="0.25">
      <c r="A210" t="s">
        <v>16</v>
      </c>
      <c r="B210">
        <v>29</v>
      </c>
      <c r="C210">
        <v>12895.9</v>
      </c>
      <c r="D210">
        <v>644.79999999999995</v>
      </c>
      <c r="E210">
        <v>399.77</v>
      </c>
      <c r="F210" t="s">
        <v>10</v>
      </c>
      <c r="G210" t="str">
        <f t="shared" si="3"/>
        <v>Banca Lariana|29</v>
      </c>
    </row>
    <row r="211" spans="1:7" x14ac:dyDescent="0.25">
      <c r="A211" t="s">
        <v>16</v>
      </c>
      <c r="B211">
        <v>30</v>
      </c>
      <c r="C211">
        <v>12936.3</v>
      </c>
      <c r="D211">
        <v>646.82000000000005</v>
      </c>
      <c r="E211">
        <v>401.03</v>
      </c>
      <c r="F211" t="s">
        <v>10</v>
      </c>
      <c r="G211" t="str">
        <f t="shared" si="3"/>
        <v>Banca Lariana|30</v>
      </c>
    </row>
    <row r="212" spans="1:7" x14ac:dyDescent="0.25">
      <c r="A212" t="s">
        <v>16</v>
      </c>
      <c r="B212">
        <v>31</v>
      </c>
      <c r="C212">
        <v>13023.3</v>
      </c>
      <c r="D212">
        <v>651.16999999999996</v>
      </c>
      <c r="E212">
        <v>403.72</v>
      </c>
      <c r="F212" t="s">
        <v>10</v>
      </c>
      <c r="G212" t="str">
        <f t="shared" si="3"/>
        <v>Banca Lariana|31</v>
      </c>
    </row>
    <row r="213" spans="1:7" x14ac:dyDescent="0.25">
      <c r="A213" t="s">
        <v>16</v>
      </c>
      <c r="B213">
        <v>32</v>
      </c>
      <c r="C213">
        <v>13152.2</v>
      </c>
      <c r="D213">
        <v>657.61</v>
      </c>
      <c r="E213">
        <v>407.72</v>
      </c>
      <c r="F213" t="s">
        <v>10</v>
      </c>
      <c r="G213" t="str">
        <f t="shared" si="3"/>
        <v>Banca Lariana|32</v>
      </c>
    </row>
    <row r="214" spans="1:7" x14ac:dyDescent="0.25">
      <c r="A214" t="s">
        <v>16</v>
      </c>
      <c r="B214">
        <v>33</v>
      </c>
      <c r="C214">
        <v>13059</v>
      </c>
      <c r="D214">
        <v>652.95000000000005</v>
      </c>
      <c r="E214">
        <v>404.83</v>
      </c>
      <c r="F214" t="s">
        <v>10</v>
      </c>
      <c r="G214" t="str">
        <f t="shared" si="3"/>
        <v>Banca Lariana|33</v>
      </c>
    </row>
    <row r="215" spans="1:7" x14ac:dyDescent="0.25">
      <c r="A215" t="s">
        <v>16</v>
      </c>
      <c r="B215">
        <v>34</v>
      </c>
      <c r="C215">
        <v>13327.6</v>
      </c>
      <c r="D215">
        <v>666.38</v>
      </c>
      <c r="E215">
        <v>413.16</v>
      </c>
      <c r="F215" t="s">
        <v>10</v>
      </c>
      <c r="G215" t="str">
        <f t="shared" si="3"/>
        <v>Banca Lariana|34</v>
      </c>
    </row>
    <row r="216" spans="1:7" x14ac:dyDescent="0.25">
      <c r="A216" t="s">
        <v>16</v>
      </c>
      <c r="B216">
        <v>35</v>
      </c>
      <c r="C216">
        <v>13496</v>
      </c>
      <c r="D216">
        <v>674.8</v>
      </c>
      <c r="E216">
        <v>418.38</v>
      </c>
      <c r="F216" t="s">
        <v>10</v>
      </c>
      <c r="G216" t="str">
        <f t="shared" si="3"/>
        <v>Banca Lariana|35</v>
      </c>
    </row>
    <row r="217" spans="1:7" x14ac:dyDescent="0.25">
      <c r="A217" t="s">
        <v>16</v>
      </c>
      <c r="B217">
        <v>36</v>
      </c>
      <c r="C217">
        <v>13305.8</v>
      </c>
      <c r="D217">
        <v>665.29</v>
      </c>
      <c r="E217">
        <v>412.48</v>
      </c>
      <c r="F217" t="s">
        <v>10</v>
      </c>
      <c r="G217" t="str">
        <f t="shared" si="3"/>
        <v>Banca Lariana|36</v>
      </c>
    </row>
    <row r="218" spans="1:7" x14ac:dyDescent="0.25">
      <c r="A218" t="s">
        <v>17</v>
      </c>
      <c r="B218">
        <v>1</v>
      </c>
      <c r="C218">
        <v>11640.9</v>
      </c>
      <c r="D218">
        <v>582.04</v>
      </c>
      <c r="E218">
        <v>360.87</v>
      </c>
      <c r="F218" t="s">
        <v>12</v>
      </c>
      <c r="G218" t="str">
        <f t="shared" si="3"/>
        <v>Banca Sabina|1</v>
      </c>
    </row>
    <row r="219" spans="1:7" x14ac:dyDescent="0.25">
      <c r="A219" t="s">
        <v>17</v>
      </c>
      <c r="B219">
        <v>2</v>
      </c>
      <c r="C219">
        <v>11768.7</v>
      </c>
      <c r="D219">
        <v>588.42999999999995</v>
      </c>
      <c r="E219">
        <v>364.83</v>
      </c>
      <c r="F219" t="s">
        <v>12</v>
      </c>
      <c r="G219" t="str">
        <f t="shared" si="3"/>
        <v>Banca Sabina|2</v>
      </c>
    </row>
    <row r="220" spans="1:7" x14ac:dyDescent="0.25">
      <c r="A220" t="s">
        <v>17</v>
      </c>
      <c r="B220">
        <v>3</v>
      </c>
      <c r="C220">
        <v>11792.9</v>
      </c>
      <c r="D220">
        <v>589.65</v>
      </c>
      <c r="E220">
        <v>365.58</v>
      </c>
      <c r="F220" t="s">
        <v>12</v>
      </c>
      <c r="G220" t="str">
        <f t="shared" si="3"/>
        <v>Banca Sabina|3</v>
      </c>
    </row>
    <row r="221" spans="1:7" x14ac:dyDescent="0.25">
      <c r="A221" t="s">
        <v>17</v>
      </c>
      <c r="B221">
        <v>4</v>
      </c>
      <c r="C221">
        <v>11805.7</v>
      </c>
      <c r="D221">
        <v>590.29</v>
      </c>
      <c r="E221">
        <v>365.98</v>
      </c>
      <c r="F221" t="s">
        <v>12</v>
      </c>
      <c r="G221" t="str">
        <f t="shared" si="3"/>
        <v>Banca Sabina|4</v>
      </c>
    </row>
    <row r="222" spans="1:7" x14ac:dyDescent="0.25">
      <c r="A222" t="s">
        <v>17</v>
      </c>
      <c r="B222">
        <v>5</v>
      </c>
      <c r="C222">
        <v>12104.4</v>
      </c>
      <c r="D222">
        <v>605.22</v>
      </c>
      <c r="E222">
        <v>375.24</v>
      </c>
      <c r="F222" t="s">
        <v>12</v>
      </c>
      <c r="G222" t="str">
        <f t="shared" si="3"/>
        <v>Banca Sabina|5</v>
      </c>
    </row>
    <row r="223" spans="1:7" x14ac:dyDescent="0.25">
      <c r="A223" t="s">
        <v>17</v>
      </c>
      <c r="B223">
        <v>6</v>
      </c>
      <c r="C223">
        <v>12080.8</v>
      </c>
      <c r="D223">
        <v>604.04</v>
      </c>
      <c r="E223">
        <v>374.51</v>
      </c>
      <c r="F223" t="s">
        <v>12</v>
      </c>
      <c r="G223" t="str">
        <f t="shared" si="3"/>
        <v>Banca Sabina|6</v>
      </c>
    </row>
    <row r="224" spans="1:7" x14ac:dyDescent="0.25">
      <c r="A224" t="s">
        <v>17</v>
      </c>
      <c r="B224">
        <v>7</v>
      </c>
      <c r="C224">
        <v>12078.6</v>
      </c>
      <c r="D224">
        <v>603.92999999999995</v>
      </c>
      <c r="E224">
        <v>374.44</v>
      </c>
      <c r="F224" t="s">
        <v>12</v>
      </c>
      <c r="G224" t="str">
        <f t="shared" si="3"/>
        <v>Banca Sabina|7</v>
      </c>
    </row>
    <row r="225" spans="1:7" x14ac:dyDescent="0.25">
      <c r="A225" t="s">
        <v>17</v>
      </c>
      <c r="B225">
        <v>8</v>
      </c>
      <c r="C225">
        <v>12073</v>
      </c>
      <c r="D225">
        <v>603.65</v>
      </c>
      <c r="E225">
        <v>374.26</v>
      </c>
      <c r="F225" t="s">
        <v>12</v>
      </c>
      <c r="G225" t="str">
        <f t="shared" si="3"/>
        <v>Banca Sabina|8</v>
      </c>
    </row>
    <row r="226" spans="1:7" x14ac:dyDescent="0.25">
      <c r="A226" t="s">
        <v>17</v>
      </c>
      <c r="B226">
        <v>9</v>
      </c>
      <c r="C226">
        <v>12157.9</v>
      </c>
      <c r="D226">
        <v>607.9</v>
      </c>
      <c r="E226">
        <v>376.9</v>
      </c>
      <c r="F226" t="s">
        <v>12</v>
      </c>
      <c r="G226" t="str">
        <f t="shared" si="3"/>
        <v>Banca Sabina|9</v>
      </c>
    </row>
    <row r="227" spans="1:7" x14ac:dyDescent="0.25">
      <c r="A227" t="s">
        <v>17</v>
      </c>
      <c r="B227">
        <v>10</v>
      </c>
      <c r="C227">
        <v>12335.5</v>
      </c>
      <c r="D227">
        <v>616.78</v>
      </c>
      <c r="E227">
        <v>382.4</v>
      </c>
      <c r="F227" t="s">
        <v>12</v>
      </c>
      <c r="G227" t="str">
        <f t="shared" si="3"/>
        <v>Banca Sabina|10</v>
      </c>
    </row>
    <row r="228" spans="1:7" x14ac:dyDescent="0.25">
      <c r="A228" t="s">
        <v>17</v>
      </c>
      <c r="B228">
        <v>11</v>
      </c>
      <c r="C228">
        <v>12552.8</v>
      </c>
      <c r="D228">
        <v>627.64</v>
      </c>
      <c r="E228">
        <v>389.14</v>
      </c>
      <c r="F228" t="s">
        <v>12</v>
      </c>
      <c r="G228" t="str">
        <f t="shared" si="3"/>
        <v>Banca Sabina|11</v>
      </c>
    </row>
    <row r="229" spans="1:7" x14ac:dyDescent="0.25">
      <c r="A229" t="s">
        <v>17</v>
      </c>
      <c r="B229">
        <v>12</v>
      </c>
      <c r="C229">
        <v>12525.2</v>
      </c>
      <c r="D229">
        <v>626.26</v>
      </c>
      <c r="E229">
        <v>388.28</v>
      </c>
      <c r="F229" t="s">
        <v>12</v>
      </c>
      <c r="G229" t="str">
        <f t="shared" si="3"/>
        <v>Banca Sabina|12</v>
      </c>
    </row>
    <row r="230" spans="1:7" x14ac:dyDescent="0.25">
      <c r="A230" t="s">
        <v>17</v>
      </c>
      <c r="B230">
        <v>13</v>
      </c>
      <c r="C230">
        <v>12804.1</v>
      </c>
      <c r="D230">
        <v>640.21</v>
      </c>
      <c r="E230">
        <v>396.93</v>
      </c>
      <c r="F230" t="s">
        <v>12</v>
      </c>
      <c r="G230" t="str">
        <f t="shared" si="3"/>
        <v>Banca Sabina|13</v>
      </c>
    </row>
    <row r="231" spans="1:7" x14ac:dyDescent="0.25">
      <c r="A231" t="s">
        <v>17</v>
      </c>
      <c r="B231">
        <v>14</v>
      </c>
      <c r="C231">
        <v>12849.4</v>
      </c>
      <c r="D231">
        <v>642.47</v>
      </c>
      <c r="E231">
        <v>398.33</v>
      </c>
      <c r="F231" t="s">
        <v>12</v>
      </c>
      <c r="G231" t="str">
        <f t="shared" si="3"/>
        <v>Banca Sabina|14</v>
      </c>
    </row>
    <row r="232" spans="1:7" x14ac:dyDescent="0.25">
      <c r="A232" t="s">
        <v>17</v>
      </c>
      <c r="B232">
        <v>15</v>
      </c>
      <c r="C232">
        <v>12880.9</v>
      </c>
      <c r="D232">
        <v>644.04</v>
      </c>
      <c r="E232">
        <v>399.31</v>
      </c>
      <c r="F232" t="s">
        <v>12</v>
      </c>
      <c r="G232" t="str">
        <f t="shared" si="3"/>
        <v>Banca Sabina|15</v>
      </c>
    </row>
    <row r="233" spans="1:7" x14ac:dyDescent="0.25">
      <c r="A233" t="s">
        <v>17</v>
      </c>
      <c r="B233">
        <v>16</v>
      </c>
      <c r="C233">
        <v>12967.9</v>
      </c>
      <c r="D233">
        <v>648.4</v>
      </c>
      <c r="E233">
        <v>402.01</v>
      </c>
      <c r="F233" t="s">
        <v>12</v>
      </c>
      <c r="G233" t="str">
        <f t="shared" si="3"/>
        <v>Banca Sabina|16</v>
      </c>
    </row>
    <row r="234" spans="1:7" x14ac:dyDescent="0.25">
      <c r="A234" t="s">
        <v>17</v>
      </c>
      <c r="B234">
        <v>17</v>
      </c>
      <c r="C234">
        <v>12826.7</v>
      </c>
      <c r="D234">
        <v>641.34</v>
      </c>
      <c r="E234">
        <v>397.63</v>
      </c>
      <c r="F234" t="s">
        <v>12</v>
      </c>
      <c r="G234" t="str">
        <f t="shared" si="3"/>
        <v>Banca Sabina|17</v>
      </c>
    </row>
    <row r="235" spans="1:7" x14ac:dyDescent="0.25">
      <c r="A235" t="s">
        <v>17</v>
      </c>
      <c r="B235">
        <v>18</v>
      </c>
      <c r="C235">
        <v>12964.3</v>
      </c>
      <c r="D235">
        <v>648.22</v>
      </c>
      <c r="E235">
        <v>401.89</v>
      </c>
      <c r="F235" t="s">
        <v>12</v>
      </c>
      <c r="G235" t="str">
        <f t="shared" si="3"/>
        <v>Banca Sabina|18</v>
      </c>
    </row>
    <row r="236" spans="1:7" x14ac:dyDescent="0.25">
      <c r="A236" t="s">
        <v>17</v>
      </c>
      <c r="B236">
        <v>19</v>
      </c>
      <c r="C236">
        <v>13000.4</v>
      </c>
      <c r="D236">
        <v>650.02</v>
      </c>
      <c r="E236">
        <v>403.01</v>
      </c>
      <c r="F236" t="s">
        <v>12</v>
      </c>
      <c r="G236" t="str">
        <f t="shared" si="3"/>
        <v>Banca Sabina|19</v>
      </c>
    </row>
    <row r="237" spans="1:7" x14ac:dyDescent="0.25">
      <c r="A237" t="s">
        <v>17</v>
      </c>
      <c r="B237">
        <v>20</v>
      </c>
      <c r="C237">
        <v>13422.7</v>
      </c>
      <c r="D237">
        <v>671.13</v>
      </c>
      <c r="E237">
        <v>416.1</v>
      </c>
      <c r="F237" t="s">
        <v>12</v>
      </c>
      <c r="G237" t="str">
        <f t="shared" si="3"/>
        <v>Banca Sabina|20</v>
      </c>
    </row>
    <row r="238" spans="1:7" x14ac:dyDescent="0.25">
      <c r="A238" t="s">
        <v>17</v>
      </c>
      <c r="B238">
        <v>21</v>
      </c>
      <c r="C238">
        <v>13464.5</v>
      </c>
      <c r="D238">
        <v>673.23</v>
      </c>
      <c r="E238">
        <v>417.4</v>
      </c>
      <c r="F238" t="s">
        <v>12</v>
      </c>
      <c r="G238" t="str">
        <f t="shared" si="3"/>
        <v>Banca Sabina|21</v>
      </c>
    </row>
    <row r="239" spans="1:7" x14ac:dyDescent="0.25">
      <c r="A239" t="s">
        <v>17</v>
      </c>
      <c r="B239">
        <v>22</v>
      </c>
      <c r="C239">
        <v>13466.6</v>
      </c>
      <c r="D239">
        <v>673.33</v>
      </c>
      <c r="E239">
        <v>417.47</v>
      </c>
      <c r="F239" t="s">
        <v>12</v>
      </c>
      <c r="G239" t="str">
        <f t="shared" si="3"/>
        <v>Banca Sabina|22</v>
      </c>
    </row>
    <row r="240" spans="1:7" x14ac:dyDescent="0.25">
      <c r="A240" t="s">
        <v>17</v>
      </c>
      <c r="B240">
        <v>23</v>
      </c>
      <c r="C240">
        <v>13647</v>
      </c>
      <c r="D240">
        <v>682.35</v>
      </c>
      <c r="E240">
        <v>423.06</v>
      </c>
      <c r="F240" t="s">
        <v>12</v>
      </c>
      <c r="G240" t="str">
        <f t="shared" si="3"/>
        <v>Banca Sabina|23</v>
      </c>
    </row>
    <row r="241" spans="1:7" x14ac:dyDescent="0.25">
      <c r="A241" t="s">
        <v>17</v>
      </c>
      <c r="B241">
        <v>24</v>
      </c>
      <c r="C241">
        <v>13728.6</v>
      </c>
      <c r="D241">
        <v>686.43</v>
      </c>
      <c r="E241">
        <v>425.59</v>
      </c>
      <c r="F241" t="s">
        <v>12</v>
      </c>
      <c r="G241" t="str">
        <f t="shared" si="3"/>
        <v>Banca Sabina|24</v>
      </c>
    </row>
    <row r="242" spans="1:7" x14ac:dyDescent="0.25">
      <c r="A242" t="s">
        <v>17</v>
      </c>
      <c r="B242">
        <v>25</v>
      </c>
      <c r="C242">
        <v>13793.4</v>
      </c>
      <c r="D242">
        <v>689.67</v>
      </c>
      <c r="E242">
        <v>427.59</v>
      </c>
      <c r="F242" t="s">
        <v>12</v>
      </c>
      <c r="G242" t="str">
        <f t="shared" si="3"/>
        <v>Banca Sabina|25</v>
      </c>
    </row>
    <row r="243" spans="1:7" x14ac:dyDescent="0.25">
      <c r="A243" t="s">
        <v>17</v>
      </c>
      <c r="B243">
        <v>26</v>
      </c>
      <c r="C243">
        <v>13696.4</v>
      </c>
      <c r="D243">
        <v>684.82</v>
      </c>
      <c r="E243">
        <v>424.59</v>
      </c>
      <c r="F243" t="s">
        <v>12</v>
      </c>
      <c r="G243" t="str">
        <f t="shared" si="3"/>
        <v>Banca Sabina|26</v>
      </c>
    </row>
    <row r="244" spans="1:7" x14ac:dyDescent="0.25">
      <c r="A244" t="s">
        <v>17</v>
      </c>
      <c r="B244">
        <v>27</v>
      </c>
      <c r="C244">
        <v>13828.9</v>
      </c>
      <c r="D244">
        <v>691.45</v>
      </c>
      <c r="E244">
        <v>428.7</v>
      </c>
      <c r="F244" t="s">
        <v>12</v>
      </c>
      <c r="G244" t="str">
        <f t="shared" si="3"/>
        <v>Banca Sabina|27</v>
      </c>
    </row>
    <row r="245" spans="1:7" x14ac:dyDescent="0.25">
      <c r="A245" t="s">
        <v>17</v>
      </c>
      <c r="B245">
        <v>28</v>
      </c>
      <c r="C245">
        <v>14072.7</v>
      </c>
      <c r="D245">
        <v>703.63</v>
      </c>
      <c r="E245">
        <v>436.25</v>
      </c>
      <c r="F245" t="s">
        <v>12</v>
      </c>
      <c r="G245" t="str">
        <f t="shared" si="3"/>
        <v>Banca Sabina|28</v>
      </c>
    </row>
    <row r="246" spans="1:7" x14ac:dyDescent="0.25">
      <c r="A246" t="s">
        <v>17</v>
      </c>
      <c r="B246">
        <v>29</v>
      </c>
      <c r="C246">
        <v>14168.2</v>
      </c>
      <c r="D246">
        <v>708.41</v>
      </c>
      <c r="E246">
        <v>439.21</v>
      </c>
      <c r="F246" t="s">
        <v>12</v>
      </c>
      <c r="G246" t="str">
        <f t="shared" si="3"/>
        <v>Banca Sabina|29</v>
      </c>
    </row>
    <row r="247" spans="1:7" x14ac:dyDescent="0.25">
      <c r="A247" t="s">
        <v>17</v>
      </c>
      <c r="B247">
        <v>30</v>
      </c>
      <c r="C247">
        <v>14236.8</v>
      </c>
      <c r="D247">
        <v>711.84</v>
      </c>
      <c r="E247">
        <v>441.34</v>
      </c>
      <c r="F247" t="s">
        <v>12</v>
      </c>
      <c r="G247" t="str">
        <f t="shared" si="3"/>
        <v>Banca Sabina|30</v>
      </c>
    </row>
    <row r="248" spans="1:7" x14ac:dyDescent="0.25">
      <c r="A248" t="s">
        <v>17</v>
      </c>
      <c r="B248">
        <v>31</v>
      </c>
      <c r="C248">
        <v>14312.1</v>
      </c>
      <c r="D248">
        <v>715.61</v>
      </c>
      <c r="E248">
        <v>443.68</v>
      </c>
      <c r="F248" t="s">
        <v>12</v>
      </c>
      <c r="G248" t="str">
        <f t="shared" si="3"/>
        <v>Banca Sabina|31</v>
      </c>
    </row>
    <row r="249" spans="1:7" x14ac:dyDescent="0.25">
      <c r="A249" t="s">
        <v>17</v>
      </c>
      <c r="B249">
        <v>32</v>
      </c>
      <c r="C249">
        <v>14218.9</v>
      </c>
      <c r="D249">
        <v>710.94</v>
      </c>
      <c r="E249">
        <v>440.79</v>
      </c>
      <c r="F249" t="s">
        <v>12</v>
      </c>
      <c r="G249" t="str">
        <f t="shared" si="3"/>
        <v>Banca Sabina|32</v>
      </c>
    </row>
    <row r="250" spans="1:7" x14ac:dyDescent="0.25">
      <c r="A250" t="s">
        <v>17</v>
      </c>
      <c r="B250">
        <v>33</v>
      </c>
      <c r="C250">
        <v>14426.3</v>
      </c>
      <c r="D250">
        <v>721.31</v>
      </c>
      <c r="E250">
        <v>447.21</v>
      </c>
      <c r="F250" t="s">
        <v>12</v>
      </c>
      <c r="G250" t="str">
        <f t="shared" si="3"/>
        <v>Banca Sabina|33</v>
      </c>
    </row>
    <row r="251" spans="1:7" x14ac:dyDescent="0.25">
      <c r="A251" t="s">
        <v>17</v>
      </c>
      <c r="B251">
        <v>34</v>
      </c>
      <c r="C251">
        <v>14370</v>
      </c>
      <c r="D251">
        <v>718.5</v>
      </c>
      <c r="E251">
        <v>445.47</v>
      </c>
      <c r="F251" t="s">
        <v>12</v>
      </c>
      <c r="G251" t="str">
        <f t="shared" si="3"/>
        <v>Banca Sabina|34</v>
      </c>
    </row>
    <row r="252" spans="1:7" x14ac:dyDescent="0.25">
      <c r="A252" t="s">
        <v>17</v>
      </c>
      <c r="B252">
        <v>35</v>
      </c>
      <c r="C252">
        <v>14562.9</v>
      </c>
      <c r="D252">
        <v>728.15</v>
      </c>
      <c r="E252">
        <v>451.45</v>
      </c>
      <c r="F252" t="s">
        <v>12</v>
      </c>
      <c r="G252" t="str">
        <f t="shared" si="3"/>
        <v>Banca Sabina|35</v>
      </c>
    </row>
    <row r="253" spans="1:7" x14ac:dyDescent="0.25">
      <c r="A253" t="s">
        <v>17</v>
      </c>
      <c r="B253">
        <v>36</v>
      </c>
      <c r="C253">
        <v>14723.6</v>
      </c>
      <c r="D253">
        <v>736.18</v>
      </c>
      <c r="E253">
        <v>456.43</v>
      </c>
      <c r="F253" t="s">
        <v>12</v>
      </c>
      <c r="G253" t="str">
        <f t="shared" si="3"/>
        <v>Banca Sabina|36</v>
      </c>
    </row>
    <row r="254" spans="1:7" x14ac:dyDescent="0.25">
      <c r="A254" t="s">
        <v>18</v>
      </c>
      <c r="B254">
        <v>1</v>
      </c>
      <c r="C254">
        <v>12552.9</v>
      </c>
      <c r="D254">
        <v>627.65</v>
      </c>
      <c r="E254">
        <v>389.14</v>
      </c>
      <c r="F254" t="s">
        <v>14</v>
      </c>
      <c r="G254" t="str">
        <f t="shared" si="3"/>
        <v>Banca Irpina|1</v>
      </c>
    </row>
    <row r="255" spans="1:7" x14ac:dyDescent="0.25">
      <c r="A255" t="s">
        <v>18</v>
      </c>
      <c r="B255">
        <v>2</v>
      </c>
      <c r="C255">
        <v>12776.4</v>
      </c>
      <c r="D255">
        <v>638.82000000000005</v>
      </c>
      <c r="E255">
        <v>396.07</v>
      </c>
      <c r="F255" t="s">
        <v>14</v>
      </c>
      <c r="G255" t="str">
        <f t="shared" si="3"/>
        <v>Banca Irpina|2</v>
      </c>
    </row>
    <row r="256" spans="1:7" x14ac:dyDescent="0.25">
      <c r="A256" t="s">
        <v>18</v>
      </c>
      <c r="B256">
        <v>3</v>
      </c>
      <c r="C256">
        <v>12921.1</v>
      </c>
      <c r="D256">
        <v>646.04999999999995</v>
      </c>
      <c r="E256">
        <v>400.55</v>
      </c>
      <c r="F256" t="s">
        <v>14</v>
      </c>
      <c r="G256" t="str">
        <f t="shared" si="3"/>
        <v>Banca Irpina|3</v>
      </c>
    </row>
    <row r="257" spans="1:7" x14ac:dyDescent="0.25">
      <c r="A257" t="s">
        <v>18</v>
      </c>
      <c r="B257">
        <v>4</v>
      </c>
      <c r="C257">
        <v>12928.2</v>
      </c>
      <c r="D257">
        <v>646.41</v>
      </c>
      <c r="E257">
        <v>400.77</v>
      </c>
      <c r="F257" t="s">
        <v>14</v>
      </c>
      <c r="G257" t="str">
        <f t="shared" si="3"/>
        <v>Banca Irpina|4</v>
      </c>
    </row>
    <row r="258" spans="1:7" x14ac:dyDescent="0.25">
      <c r="A258" t="s">
        <v>18</v>
      </c>
      <c r="B258">
        <v>5</v>
      </c>
      <c r="C258">
        <v>12851.6</v>
      </c>
      <c r="D258">
        <v>642.58000000000004</v>
      </c>
      <c r="E258">
        <v>398.4</v>
      </c>
      <c r="F258" t="s">
        <v>14</v>
      </c>
      <c r="G258" t="str">
        <f t="shared" ref="G258:G321" si="4">A258&amp;"|"&amp;B258</f>
        <v>Banca Irpina|5</v>
      </c>
    </row>
    <row r="259" spans="1:7" x14ac:dyDescent="0.25">
      <c r="A259" t="s">
        <v>18</v>
      </c>
      <c r="B259">
        <v>6</v>
      </c>
      <c r="C259">
        <v>12918.7</v>
      </c>
      <c r="D259">
        <v>645.92999999999995</v>
      </c>
      <c r="E259">
        <v>400.48</v>
      </c>
      <c r="F259" t="s">
        <v>14</v>
      </c>
      <c r="G259" t="str">
        <f t="shared" si="4"/>
        <v>Banca Irpina|6</v>
      </c>
    </row>
    <row r="260" spans="1:7" x14ac:dyDescent="0.25">
      <c r="A260" t="s">
        <v>18</v>
      </c>
      <c r="B260">
        <v>7</v>
      </c>
      <c r="C260">
        <v>13247.7</v>
      </c>
      <c r="D260">
        <v>662.38</v>
      </c>
      <c r="E260">
        <v>410.68</v>
      </c>
      <c r="F260" t="s">
        <v>14</v>
      </c>
      <c r="G260" t="str">
        <f t="shared" si="4"/>
        <v>Banca Irpina|7</v>
      </c>
    </row>
    <row r="261" spans="1:7" x14ac:dyDescent="0.25">
      <c r="A261" t="s">
        <v>18</v>
      </c>
      <c r="B261">
        <v>8</v>
      </c>
      <c r="C261">
        <v>13178.6</v>
      </c>
      <c r="D261">
        <v>658.93</v>
      </c>
      <c r="E261">
        <v>408.54</v>
      </c>
      <c r="F261" t="s">
        <v>14</v>
      </c>
      <c r="G261" t="str">
        <f t="shared" si="4"/>
        <v>Banca Irpina|8</v>
      </c>
    </row>
    <row r="262" spans="1:7" x14ac:dyDescent="0.25">
      <c r="A262" t="s">
        <v>18</v>
      </c>
      <c r="B262">
        <v>9</v>
      </c>
      <c r="C262">
        <v>13283</v>
      </c>
      <c r="D262">
        <v>664.15</v>
      </c>
      <c r="E262">
        <v>411.77</v>
      </c>
      <c r="F262" t="s">
        <v>14</v>
      </c>
      <c r="G262" t="str">
        <f t="shared" si="4"/>
        <v>Banca Irpina|9</v>
      </c>
    </row>
    <row r="263" spans="1:7" x14ac:dyDescent="0.25">
      <c r="A263" t="s">
        <v>18</v>
      </c>
      <c r="B263">
        <v>10</v>
      </c>
      <c r="C263">
        <v>13460.5</v>
      </c>
      <c r="D263">
        <v>673.02</v>
      </c>
      <c r="E263">
        <v>417.28</v>
      </c>
      <c r="F263" t="s">
        <v>14</v>
      </c>
      <c r="G263" t="str">
        <f t="shared" si="4"/>
        <v>Banca Irpina|10</v>
      </c>
    </row>
    <row r="264" spans="1:7" x14ac:dyDescent="0.25">
      <c r="A264" t="s">
        <v>18</v>
      </c>
      <c r="B264">
        <v>11</v>
      </c>
      <c r="C264">
        <v>13463.7</v>
      </c>
      <c r="D264">
        <v>673.19</v>
      </c>
      <c r="E264">
        <v>417.38</v>
      </c>
      <c r="F264" t="s">
        <v>14</v>
      </c>
      <c r="G264" t="str">
        <f t="shared" si="4"/>
        <v>Banca Irpina|11</v>
      </c>
    </row>
    <row r="265" spans="1:7" x14ac:dyDescent="0.25">
      <c r="A265" t="s">
        <v>18</v>
      </c>
      <c r="B265">
        <v>12</v>
      </c>
      <c r="C265">
        <v>13512.3</v>
      </c>
      <c r="D265">
        <v>675.62</v>
      </c>
      <c r="E265">
        <v>418.88</v>
      </c>
      <c r="F265" t="s">
        <v>14</v>
      </c>
      <c r="G265" t="str">
        <f t="shared" si="4"/>
        <v>Banca Irpina|12</v>
      </c>
    </row>
    <row r="266" spans="1:7" x14ac:dyDescent="0.25">
      <c r="A266" t="s">
        <v>18</v>
      </c>
      <c r="B266">
        <v>13</v>
      </c>
      <c r="C266">
        <v>13580.4</v>
      </c>
      <c r="D266">
        <v>679.02</v>
      </c>
      <c r="E266">
        <v>420.99</v>
      </c>
      <c r="F266" t="s">
        <v>14</v>
      </c>
      <c r="G266" t="str">
        <f t="shared" si="4"/>
        <v>Banca Irpina|13</v>
      </c>
    </row>
    <row r="267" spans="1:7" x14ac:dyDescent="0.25">
      <c r="A267" t="s">
        <v>18</v>
      </c>
      <c r="B267">
        <v>14</v>
      </c>
      <c r="C267">
        <v>13839.3</v>
      </c>
      <c r="D267">
        <v>691.96</v>
      </c>
      <c r="E267">
        <v>429.02</v>
      </c>
      <c r="F267" t="s">
        <v>14</v>
      </c>
      <c r="G267" t="str">
        <f t="shared" si="4"/>
        <v>Banca Irpina|14</v>
      </c>
    </row>
    <row r="268" spans="1:7" x14ac:dyDescent="0.25">
      <c r="A268" t="s">
        <v>18</v>
      </c>
      <c r="B268">
        <v>15</v>
      </c>
      <c r="C268">
        <v>13695.6</v>
      </c>
      <c r="D268">
        <v>684.78</v>
      </c>
      <c r="E268">
        <v>424.56</v>
      </c>
      <c r="F268" t="s">
        <v>14</v>
      </c>
      <c r="G268" t="str">
        <f t="shared" si="4"/>
        <v>Banca Irpina|15</v>
      </c>
    </row>
    <row r="269" spans="1:7" x14ac:dyDescent="0.25">
      <c r="A269" t="s">
        <v>18</v>
      </c>
      <c r="B269">
        <v>16</v>
      </c>
      <c r="C269">
        <v>14151.7</v>
      </c>
      <c r="D269">
        <v>707.58</v>
      </c>
      <c r="E269">
        <v>438.7</v>
      </c>
      <c r="F269" t="s">
        <v>14</v>
      </c>
      <c r="G269" t="str">
        <f t="shared" si="4"/>
        <v>Banca Irpina|16</v>
      </c>
    </row>
    <row r="270" spans="1:7" x14ac:dyDescent="0.25">
      <c r="A270" t="s">
        <v>18</v>
      </c>
      <c r="B270">
        <v>17</v>
      </c>
      <c r="C270">
        <v>13938.6</v>
      </c>
      <c r="D270">
        <v>696.93</v>
      </c>
      <c r="E270">
        <v>432.1</v>
      </c>
      <c r="F270" t="s">
        <v>14</v>
      </c>
      <c r="G270" t="str">
        <f t="shared" si="4"/>
        <v>Banca Irpina|17</v>
      </c>
    </row>
    <row r="271" spans="1:7" x14ac:dyDescent="0.25">
      <c r="A271" t="s">
        <v>18</v>
      </c>
      <c r="B271">
        <v>18</v>
      </c>
      <c r="C271">
        <v>14038</v>
      </c>
      <c r="D271">
        <v>701.9</v>
      </c>
      <c r="E271">
        <v>435.18</v>
      </c>
      <c r="F271" t="s">
        <v>14</v>
      </c>
      <c r="G271" t="str">
        <f t="shared" si="4"/>
        <v>Banca Irpina|18</v>
      </c>
    </row>
    <row r="272" spans="1:7" x14ac:dyDescent="0.25">
      <c r="A272" t="s">
        <v>18</v>
      </c>
      <c r="B272">
        <v>19</v>
      </c>
      <c r="C272">
        <v>14448.2</v>
      </c>
      <c r="D272">
        <v>722.41</v>
      </c>
      <c r="E272">
        <v>447.9</v>
      </c>
      <c r="F272" t="s">
        <v>14</v>
      </c>
      <c r="G272" t="str">
        <f t="shared" si="4"/>
        <v>Banca Irpina|19</v>
      </c>
    </row>
    <row r="273" spans="1:7" x14ac:dyDescent="0.25">
      <c r="A273" t="s">
        <v>18</v>
      </c>
      <c r="B273">
        <v>20</v>
      </c>
      <c r="C273">
        <v>14247.9</v>
      </c>
      <c r="D273">
        <v>712.4</v>
      </c>
      <c r="E273">
        <v>441.69</v>
      </c>
      <c r="F273" t="s">
        <v>14</v>
      </c>
      <c r="G273" t="str">
        <f t="shared" si="4"/>
        <v>Banca Irpina|20</v>
      </c>
    </row>
    <row r="274" spans="1:7" x14ac:dyDescent="0.25">
      <c r="A274" t="s">
        <v>18</v>
      </c>
      <c r="B274">
        <v>21</v>
      </c>
      <c r="C274">
        <v>14462.1</v>
      </c>
      <c r="D274">
        <v>723.11</v>
      </c>
      <c r="E274">
        <v>448.33</v>
      </c>
      <c r="F274" t="s">
        <v>14</v>
      </c>
      <c r="G274" t="str">
        <f t="shared" si="4"/>
        <v>Banca Irpina|21</v>
      </c>
    </row>
    <row r="275" spans="1:7" x14ac:dyDescent="0.25">
      <c r="A275" t="s">
        <v>18</v>
      </c>
      <c r="B275">
        <v>22</v>
      </c>
      <c r="C275">
        <v>14438</v>
      </c>
      <c r="D275">
        <v>721.9</v>
      </c>
      <c r="E275">
        <v>447.58</v>
      </c>
      <c r="F275" t="s">
        <v>14</v>
      </c>
      <c r="G275" t="str">
        <f t="shared" si="4"/>
        <v>Banca Irpina|22</v>
      </c>
    </row>
    <row r="276" spans="1:7" x14ac:dyDescent="0.25">
      <c r="A276" t="s">
        <v>18</v>
      </c>
      <c r="B276">
        <v>23</v>
      </c>
      <c r="C276">
        <v>14536.8</v>
      </c>
      <c r="D276">
        <v>726.84</v>
      </c>
      <c r="E276">
        <v>450.64</v>
      </c>
      <c r="F276" t="s">
        <v>14</v>
      </c>
      <c r="G276" t="str">
        <f t="shared" si="4"/>
        <v>Banca Irpina|23</v>
      </c>
    </row>
    <row r="277" spans="1:7" x14ac:dyDescent="0.25">
      <c r="A277" t="s">
        <v>18</v>
      </c>
      <c r="B277">
        <v>24</v>
      </c>
      <c r="C277">
        <v>14552.5</v>
      </c>
      <c r="D277">
        <v>727.62</v>
      </c>
      <c r="E277">
        <v>451.13</v>
      </c>
      <c r="F277" t="s">
        <v>14</v>
      </c>
      <c r="G277" t="str">
        <f t="shared" si="4"/>
        <v>Banca Irpina|24</v>
      </c>
    </row>
    <row r="278" spans="1:7" x14ac:dyDescent="0.25">
      <c r="A278" t="s">
        <v>18</v>
      </c>
      <c r="B278">
        <v>25</v>
      </c>
      <c r="C278">
        <v>14814.5</v>
      </c>
      <c r="D278">
        <v>740.72</v>
      </c>
      <c r="E278">
        <v>459.25</v>
      </c>
      <c r="F278" t="s">
        <v>14</v>
      </c>
      <c r="G278" t="str">
        <f t="shared" si="4"/>
        <v>Banca Irpina|25</v>
      </c>
    </row>
    <row r="279" spans="1:7" x14ac:dyDescent="0.25">
      <c r="A279" t="s">
        <v>18</v>
      </c>
      <c r="B279">
        <v>26</v>
      </c>
      <c r="C279">
        <v>15039.7</v>
      </c>
      <c r="D279">
        <v>751.98</v>
      </c>
      <c r="E279">
        <v>466.23</v>
      </c>
      <c r="F279" t="s">
        <v>14</v>
      </c>
      <c r="G279" t="str">
        <f t="shared" si="4"/>
        <v>Banca Irpina|26</v>
      </c>
    </row>
    <row r="280" spans="1:7" x14ac:dyDescent="0.25">
      <c r="A280" t="s">
        <v>18</v>
      </c>
      <c r="B280">
        <v>27</v>
      </c>
      <c r="C280">
        <v>14867.7</v>
      </c>
      <c r="D280">
        <v>743.39</v>
      </c>
      <c r="E280">
        <v>460.9</v>
      </c>
      <c r="F280" t="s">
        <v>14</v>
      </c>
      <c r="G280" t="str">
        <f t="shared" si="4"/>
        <v>Banca Irpina|27</v>
      </c>
    </row>
    <row r="281" spans="1:7" x14ac:dyDescent="0.25">
      <c r="A281" t="s">
        <v>18</v>
      </c>
      <c r="B281">
        <v>28</v>
      </c>
      <c r="C281">
        <v>15158.5</v>
      </c>
      <c r="D281">
        <v>757.93</v>
      </c>
      <c r="E281">
        <v>469.91</v>
      </c>
      <c r="F281" t="s">
        <v>14</v>
      </c>
      <c r="G281" t="str">
        <f t="shared" si="4"/>
        <v>Banca Irpina|28</v>
      </c>
    </row>
    <row r="282" spans="1:7" x14ac:dyDescent="0.25">
      <c r="A282" t="s">
        <v>18</v>
      </c>
      <c r="B282">
        <v>29</v>
      </c>
      <c r="C282">
        <v>15043.6</v>
      </c>
      <c r="D282">
        <v>752.18</v>
      </c>
      <c r="E282">
        <v>466.35</v>
      </c>
      <c r="F282" t="s">
        <v>14</v>
      </c>
      <c r="G282" t="str">
        <f t="shared" si="4"/>
        <v>Banca Irpina|29</v>
      </c>
    </row>
    <row r="283" spans="1:7" x14ac:dyDescent="0.25">
      <c r="A283" t="s">
        <v>18</v>
      </c>
      <c r="B283">
        <v>30</v>
      </c>
      <c r="C283">
        <v>15498</v>
      </c>
      <c r="D283">
        <v>774.9</v>
      </c>
      <c r="E283">
        <v>480.44</v>
      </c>
      <c r="F283" t="s">
        <v>14</v>
      </c>
      <c r="G283" t="str">
        <f t="shared" si="4"/>
        <v>Banca Irpina|30</v>
      </c>
    </row>
    <row r="284" spans="1:7" x14ac:dyDescent="0.25">
      <c r="A284" t="s">
        <v>18</v>
      </c>
      <c r="B284">
        <v>31</v>
      </c>
      <c r="C284">
        <v>15427.2</v>
      </c>
      <c r="D284">
        <v>771.36</v>
      </c>
      <c r="E284">
        <v>478.24</v>
      </c>
      <c r="F284" t="s">
        <v>14</v>
      </c>
      <c r="G284" t="str">
        <f t="shared" si="4"/>
        <v>Banca Irpina|31</v>
      </c>
    </row>
    <row r="285" spans="1:7" x14ac:dyDescent="0.25">
      <c r="A285" t="s">
        <v>18</v>
      </c>
      <c r="B285">
        <v>32</v>
      </c>
      <c r="C285">
        <v>15530.8</v>
      </c>
      <c r="D285">
        <v>776.54</v>
      </c>
      <c r="E285">
        <v>481.45</v>
      </c>
      <c r="F285" t="s">
        <v>14</v>
      </c>
      <c r="G285" t="str">
        <f t="shared" si="4"/>
        <v>Banca Irpina|32</v>
      </c>
    </row>
    <row r="286" spans="1:7" x14ac:dyDescent="0.25">
      <c r="A286" t="s">
        <v>18</v>
      </c>
      <c r="B286">
        <v>33</v>
      </c>
      <c r="C286">
        <v>15550</v>
      </c>
      <c r="D286">
        <v>777.5</v>
      </c>
      <c r="E286">
        <v>482.05</v>
      </c>
      <c r="F286" t="s">
        <v>14</v>
      </c>
      <c r="G286" t="str">
        <f t="shared" si="4"/>
        <v>Banca Irpina|33</v>
      </c>
    </row>
    <row r="287" spans="1:7" x14ac:dyDescent="0.25">
      <c r="A287" t="s">
        <v>18</v>
      </c>
      <c r="B287">
        <v>34</v>
      </c>
      <c r="C287">
        <v>15731</v>
      </c>
      <c r="D287">
        <v>786.55</v>
      </c>
      <c r="E287">
        <v>487.66</v>
      </c>
      <c r="F287" t="s">
        <v>14</v>
      </c>
      <c r="G287" t="str">
        <f t="shared" si="4"/>
        <v>Banca Irpina|34</v>
      </c>
    </row>
    <row r="288" spans="1:7" x14ac:dyDescent="0.25">
      <c r="A288" t="s">
        <v>18</v>
      </c>
      <c r="B288">
        <v>35</v>
      </c>
      <c r="C288">
        <v>15938.5</v>
      </c>
      <c r="D288">
        <v>796.92</v>
      </c>
      <c r="E288">
        <v>494.09</v>
      </c>
      <c r="F288" t="s">
        <v>14</v>
      </c>
      <c r="G288" t="str">
        <f t="shared" si="4"/>
        <v>Banca Irpina|35</v>
      </c>
    </row>
    <row r="289" spans="1:7" x14ac:dyDescent="0.25">
      <c r="A289" t="s">
        <v>18</v>
      </c>
      <c r="B289">
        <v>36</v>
      </c>
      <c r="C289">
        <v>15843.6</v>
      </c>
      <c r="D289">
        <v>792.18</v>
      </c>
      <c r="E289">
        <v>491.15</v>
      </c>
      <c r="F289" t="s">
        <v>14</v>
      </c>
      <c r="G289" t="str">
        <f t="shared" si="4"/>
        <v>Banca Irpina|36</v>
      </c>
    </row>
    <row r="290" spans="1:7" x14ac:dyDescent="0.25">
      <c r="A290" t="s">
        <v>19</v>
      </c>
      <c r="B290">
        <v>1</v>
      </c>
      <c r="C290">
        <v>13734.5</v>
      </c>
      <c r="D290">
        <v>686.72</v>
      </c>
      <c r="E290">
        <v>425.77</v>
      </c>
      <c r="F290" t="s">
        <v>8</v>
      </c>
      <c r="G290" t="str">
        <f t="shared" si="4"/>
        <v>Banca Sannita|1</v>
      </c>
    </row>
    <row r="291" spans="1:7" x14ac:dyDescent="0.25">
      <c r="A291" t="s">
        <v>19</v>
      </c>
      <c r="B291">
        <v>2</v>
      </c>
      <c r="C291">
        <v>13628.7</v>
      </c>
      <c r="D291">
        <v>681.43</v>
      </c>
      <c r="E291">
        <v>422.49</v>
      </c>
      <c r="F291" t="s">
        <v>8</v>
      </c>
      <c r="G291" t="str">
        <f t="shared" si="4"/>
        <v>Banca Sannita|2</v>
      </c>
    </row>
    <row r="292" spans="1:7" x14ac:dyDescent="0.25">
      <c r="A292" t="s">
        <v>19</v>
      </c>
      <c r="B292">
        <v>3</v>
      </c>
      <c r="C292">
        <v>13672.3</v>
      </c>
      <c r="D292">
        <v>683.61</v>
      </c>
      <c r="E292">
        <v>423.84</v>
      </c>
      <c r="F292" t="s">
        <v>8</v>
      </c>
      <c r="G292" t="str">
        <f t="shared" si="4"/>
        <v>Banca Sannita|3</v>
      </c>
    </row>
    <row r="293" spans="1:7" x14ac:dyDescent="0.25">
      <c r="A293" t="s">
        <v>19</v>
      </c>
      <c r="B293">
        <v>4</v>
      </c>
      <c r="C293">
        <v>13747.1</v>
      </c>
      <c r="D293">
        <v>687.35</v>
      </c>
      <c r="E293">
        <v>426.16</v>
      </c>
      <c r="F293" t="s">
        <v>8</v>
      </c>
      <c r="G293" t="str">
        <f t="shared" si="4"/>
        <v>Banca Sannita|4</v>
      </c>
    </row>
    <row r="294" spans="1:7" x14ac:dyDescent="0.25">
      <c r="A294" t="s">
        <v>19</v>
      </c>
      <c r="B294">
        <v>5</v>
      </c>
      <c r="C294">
        <v>14082.4</v>
      </c>
      <c r="D294">
        <v>704.12</v>
      </c>
      <c r="E294">
        <v>436.56</v>
      </c>
      <c r="F294" t="s">
        <v>8</v>
      </c>
      <c r="G294" t="str">
        <f t="shared" si="4"/>
        <v>Banca Sannita|5</v>
      </c>
    </row>
    <row r="295" spans="1:7" x14ac:dyDescent="0.25">
      <c r="A295" t="s">
        <v>19</v>
      </c>
      <c r="B295">
        <v>6</v>
      </c>
      <c r="C295">
        <v>14103.5</v>
      </c>
      <c r="D295">
        <v>705.17</v>
      </c>
      <c r="E295">
        <v>437.21</v>
      </c>
      <c r="F295" t="s">
        <v>8</v>
      </c>
      <c r="G295" t="str">
        <f t="shared" si="4"/>
        <v>Banca Sannita|6</v>
      </c>
    </row>
    <row r="296" spans="1:7" x14ac:dyDescent="0.25">
      <c r="A296" t="s">
        <v>19</v>
      </c>
      <c r="B296">
        <v>7</v>
      </c>
      <c r="C296">
        <v>14325.8</v>
      </c>
      <c r="D296">
        <v>716.29</v>
      </c>
      <c r="E296">
        <v>444.1</v>
      </c>
      <c r="F296" t="s">
        <v>8</v>
      </c>
      <c r="G296" t="str">
        <f t="shared" si="4"/>
        <v>Banca Sannita|7</v>
      </c>
    </row>
    <row r="297" spans="1:7" x14ac:dyDescent="0.25">
      <c r="A297" t="s">
        <v>19</v>
      </c>
      <c r="B297">
        <v>8</v>
      </c>
      <c r="C297">
        <v>14453.6</v>
      </c>
      <c r="D297">
        <v>722.68</v>
      </c>
      <c r="E297">
        <v>448.06</v>
      </c>
      <c r="F297" t="s">
        <v>8</v>
      </c>
      <c r="G297" t="str">
        <f t="shared" si="4"/>
        <v>Banca Sannita|8</v>
      </c>
    </row>
    <row r="298" spans="1:7" x14ac:dyDescent="0.25">
      <c r="A298" t="s">
        <v>19</v>
      </c>
      <c r="B298">
        <v>9</v>
      </c>
      <c r="C298">
        <v>14467.5</v>
      </c>
      <c r="D298">
        <v>723.37</v>
      </c>
      <c r="E298">
        <v>448.49</v>
      </c>
      <c r="F298" t="s">
        <v>8</v>
      </c>
      <c r="G298" t="str">
        <f t="shared" si="4"/>
        <v>Banca Sannita|9</v>
      </c>
    </row>
    <row r="299" spans="1:7" x14ac:dyDescent="0.25">
      <c r="A299" t="s">
        <v>19</v>
      </c>
      <c r="B299">
        <v>10</v>
      </c>
      <c r="C299">
        <v>14274.9</v>
      </c>
      <c r="D299">
        <v>713.74</v>
      </c>
      <c r="E299">
        <v>442.52</v>
      </c>
      <c r="F299" t="s">
        <v>8</v>
      </c>
      <c r="G299" t="str">
        <f t="shared" si="4"/>
        <v>Banca Sannita|10</v>
      </c>
    </row>
    <row r="300" spans="1:7" x14ac:dyDescent="0.25">
      <c r="A300" t="s">
        <v>19</v>
      </c>
      <c r="B300">
        <v>11</v>
      </c>
      <c r="C300">
        <v>14637.3</v>
      </c>
      <c r="D300">
        <v>731.87</v>
      </c>
      <c r="E300">
        <v>453.76</v>
      </c>
      <c r="F300" t="s">
        <v>8</v>
      </c>
      <c r="G300" t="str">
        <f t="shared" si="4"/>
        <v>Banca Sannita|11</v>
      </c>
    </row>
    <row r="301" spans="1:7" x14ac:dyDescent="0.25">
      <c r="A301" t="s">
        <v>19</v>
      </c>
      <c r="B301">
        <v>12</v>
      </c>
      <c r="C301">
        <v>14512.1</v>
      </c>
      <c r="D301">
        <v>725.6</v>
      </c>
      <c r="E301">
        <v>449.87</v>
      </c>
      <c r="F301" t="s">
        <v>8</v>
      </c>
      <c r="G301" t="str">
        <f t="shared" si="4"/>
        <v>Banca Sannita|12</v>
      </c>
    </row>
    <row r="302" spans="1:7" x14ac:dyDescent="0.25">
      <c r="A302" t="s">
        <v>19</v>
      </c>
      <c r="B302">
        <v>13</v>
      </c>
      <c r="C302">
        <v>14812.8</v>
      </c>
      <c r="D302">
        <v>740.64</v>
      </c>
      <c r="E302">
        <v>459.2</v>
      </c>
      <c r="F302" t="s">
        <v>8</v>
      </c>
      <c r="G302" t="str">
        <f t="shared" si="4"/>
        <v>Banca Sannita|13</v>
      </c>
    </row>
    <row r="303" spans="1:7" x14ac:dyDescent="0.25">
      <c r="A303" t="s">
        <v>19</v>
      </c>
      <c r="B303">
        <v>14</v>
      </c>
      <c r="C303">
        <v>14688.2</v>
      </c>
      <c r="D303">
        <v>734.41</v>
      </c>
      <c r="E303">
        <v>455.33</v>
      </c>
      <c r="F303" t="s">
        <v>8</v>
      </c>
      <c r="G303" t="str">
        <f t="shared" si="4"/>
        <v>Banca Sannita|14</v>
      </c>
    </row>
    <row r="304" spans="1:7" x14ac:dyDescent="0.25">
      <c r="A304" t="s">
        <v>19</v>
      </c>
      <c r="B304">
        <v>15</v>
      </c>
      <c r="C304">
        <v>15142.7</v>
      </c>
      <c r="D304">
        <v>757.13</v>
      </c>
      <c r="E304">
        <v>469.42</v>
      </c>
      <c r="F304" t="s">
        <v>8</v>
      </c>
      <c r="G304" t="str">
        <f t="shared" si="4"/>
        <v>Banca Sannita|15</v>
      </c>
    </row>
    <row r="305" spans="1:7" x14ac:dyDescent="0.25">
      <c r="A305" t="s">
        <v>19</v>
      </c>
      <c r="B305">
        <v>16</v>
      </c>
      <c r="C305">
        <v>15129.2</v>
      </c>
      <c r="D305">
        <v>756.46</v>
      </c>
      <c r="E305">
        <v>469.01</v>
      </c>
      <c r="F305" t="s">
        <v>8</v>
      </c>
      <c r="G305" t="str">
        <f t="shared" si="4"/>
        <v>Banca Sannita|16</v>
      </c>
    </row>
    <row r="306" spans="1:7" x14ac:dyDescent="0.25">
      <c r="A306" t="s">
        <v>19</v>
      </c>
      <c r="B306">
        <v>17</v>
      </c>
      <c r="C306">
        <v>15151</v>
      </c>
      <c r="D306">
        <v>757.55</v>
      </c>
      <c r="E306">
        <v>469.68</v>
      </c>
      <c r="F306" t="s">
        <v>8</v>
      </c>
      <c r="G306" t="str">
        <f t="shared" si="4"/>
        <v>Banca Sannita|17</v>
      </c>
    </row>
    <row r="307" spans="1:7" x14ac:dyDescent="0.25">
      <c r="A307" t="s">
        <v>19</v>
      </c>
      <c r="B307">
        <v>18</v>
      </c>
      <c r="C307">
        <v>15275.1</v>
      </c>
      <c r="D307">
        <v>763.76</v>
      </c>
      <c r="E307">
        <v>473.53</v>
      </c>
      <c r="F307" t="s">
        <v>8</v>
      </c>
      <c r="G307" t="str">
        <f t="shared" si="4"/>
        <v>Banca Sannita|18</v>
      </c>
    </row>
    <row r="308" spans="1:7" x14ac:dyDescent="0.25">
      <c r="A308" t="s">
        <v>19</v>
      </c>
      <c r="B308">
        <v>19</v>
      </c>
      <c r="C308">
        <v>15338.3</v>
      </c>
      <c r="D308">
        <v>766.92</v>
      </c>
      <c r="E308">
        <v>475.49</v>
      </c>
      <c r="F308" t="s">
        <v>8</v>
      </c>
      <c r="G308" t="str">
        <f t="shared" si="4"/>
        <v>Banca Sannita|19</v>
      </c>
    </row>
    <row r="309" spans="1:7" x14ac:dyDescent="0.25">
      <c r="A309" t="s">
        <v>19</v>
      </c>
      <c r="B309">
        <v>20</v>
      </c>
      <c r="C309">
        <v>15547.1</v>
      </c>
      <c r="D309">
        <v>777.36</v>
      </c>
      <c r="E309">
        <v>481.96</v>
      </c>
      <c r="F309" t="s">
        <v>8</v>
      </c>
      <c r="G309" t="str">
        <f t="shared" si="4"/>
        <v>Banca Sannita|20</v>
      </c>
    </row>
    <row r="310" spans="1:7" x14ac:dyDescent="0.25">
      <c r="A310" t="s">
        <v>19</v>
      </c>
      <c r="B310">
        <v>21</v>
      </c>
      <c r="C310">
        <v>15427.2</v>
      </c>
      <c r="D310">
        <v>771.36</v>
      </c>
      <c r="E310">
        <v>478.24</v>
      </c>
      <c r="F310" t="s">
        <v>8</v>
      </c>
      <c r="G310" t="str">
        <f t="shared" si="4"/>
        <v>Banca Sannita|21</v>
      </c>
    </row>
    <row r="311" spans="1:7" x14ac:dyDescent="0.25">
      <c r="A311" t="s">
        <v>19</v>
      </c>
      <c r="B311">
        <v>22</v>
      </c>
      <c r="C311">
        <v>15585.3</v>
      </c>
      <c r="D311">
        <v>779.27</v>
      </c>
      <c r="E311">
        <v>483.14</v>
      </c>
      <c r="F311" t="s">
        <v>8</v>
      </c>
      <c r="G311" t="str">
        <f t="shared" si="4"/>
        <v>Banca Sannita|22</v>
      </c>
    </row>
    <row r="312" spans="1:7" x14ac:dyDescent="0.25">
      <c r="A312" t="s">
        <v>19</v>
      </c>
      <c r="B312">
        <v>23</v>
      </c>
      <c r="C312">
        <v>15592.2</v>
      </c>
      <c r="D312">
        <v>779.61</v>
      </c>
      <c r="E312">
        <v>483.36</v>
      </c>
      <c r="F312" t="s">
        <v>8</v>
      </c>
      <c r="G312" t="str">
        <f t="shared" si="4"/>
        <v>Banca Sannita|23</v>
      </c>
    </row>
    <row r="313" spans="1:7" x14ac:dyDescent="0.25">
      <c r="A313" t="s">
        <v>19</v>
      </c>
      <c r="B313">
        <v>24</v>
      </c>
      <c r="C313">
        <v>15949.6</v>
      </c>
      <c r="D313">
        <v>797.48</v>
      </c>
      <c r="E313">
        <v>494.44</v>
      </c>
      <c r="F313" t="s">
        <v>8</v>
      </c>
      <c r="G313" t="str">
        <f t="shared" si="4"/>
        <v>Banca Sannita|24</v>
      </c>
    </row>
    <row r="314" spans="1:7" x14ac:dyDescent="0.25">
      <c r="A314" t="s">
        <v>19</v>
      </c>
      <c r="B314">
        <v>25</v>
      </c>
      <c r="C314">
        <v>15835</v>
      </c>
      <c r="D314">
        <v>791.75</v>
      </c>
      <c r="E314">
        <v>490.88</v>
      </c>
      <c r="F314" t="s">
        <v>8</v>
      </c>
      <c r="G314" t="str">
        <f t="shared" si="4"/>
        <v>Banca Sannita|25</v>
      </c>
    </row>
    <row r="315" spans="1:7" x14ac:dyDescent="0.25">
      <c r="A315" t="s">
        <v>19</v>
      </c>
      <c r="B315">
        <v>26</v>
      </c>
      <c r="C315">
        <v>16148.3</v>
      </c>
      <c r="D315">
        <v>807.42</v>
      </c>
      <c r="E315">
        <v>500.6</v>
      </c>
      <c r="F315" t="s">
        <v>8</v>
      </c>
      <c r="G315" t="str">
        <f t="shared" si="4"/>
        <v>Banca Sannita|26</v>
      </c>
    </row>
    <row r="316" spans="1:7" x14ac:dyDescent="0.25">
      <c r="A316" t="s">
        <v>19</v>
      </c>
      <c r="B316">
        <v>27</v>
      </c>
      <c r="C316">
        <v>16082.4</v>
      </c>
      <c r="D316">
        <v>804.12</v>
      </c>
      <c r="E316">
        <v>498.55</v>
      </c>
      <c r="F316" t="s">
        <v>8</v>
      </c>
      <c r="G316" t="str">
        <f t="shared" si="4"/>
        <v>Banca Sannita|27</v>
      </c>
    </row>
    <row r="317" spans="1:7" x14ac:dyDescent="0.25">
      <c r="A317" t="s">
        <v>19</v>
      </c>
      <c r="B317">
        <v>28</v>
      </c>
      <c r="C317">
        <v>16110.3</v>
      </c>
      <c r="D317">
        <v>805.51</v>
      </c>
      <c r="E317">
        <v>499.42</v>
      </c>
      <c r="F317" t="s">
        <v>8</v>
      </c>
      <c r="G317" t="str">
        <f t="shared" si="4"/>
        <v>Banca Sannita|28</v>
      </c>
    </row>
    <row r="318" spans="1:7" x14ac:dyDescent="0.25">
      <c r="A318" t="s">
        <v>19</v>
      </c>
      <c r="B318">
        <v>29</v>
      </c>
      <c r="C318">
        <v>16512</v>
      </c>
      <c r="D318">
        <v>825.6</v>
      </c>
      <c r="E318">
        <v>511.87</v>
      </c>
      <c r="F318" t="s">
        <v>8</v>
      </c>
      <c r="G318" t="str">
        <f t="shared" si="4"/>
        <v>Banca Sannita|29</v>
      </c>
    </row>
    <row r="319" spans="1:7" x14ac:dyDescent="0.25">
      <c r="A319" t="s">
        <v>19</v>
      </c>
      <c r="B319">
        <v>30</v>
      </c>
      <c r="C319">
        <v>16513.099999999999</v>
      </c>
      <c r="D319">
        <v>825.65</v>
      </c>
      <c r="E319">
        <v>511.9</v>
      </c>
      <c r="F319" t="s">
        <v>8</v>
      </c>
      <c r="G319" t="str">
        <f t="shared" si="4"/>
        <v>Banca Sannita|30</v>
      </c>
    </row>
    <row r="320" spans="1:7" x14ac:dyDescent="0.25">
      <c r="A320" t="s">
        <v>19</v>
      </c>
      <c r="B320">
        <v>31</v>
      </c>
      <c r="C320">
        <v>16693.5</v>
      </c>
      <c r="D320">
        <v>834.67</v>
      </c>
      <c r="E320">
        <v>517.5</v>
      </c>
      <c r="F320" t="s">
        <v>8</v>
      </c>
      <c r="G320" t="str">
        <f t="shared" si="4"/>
        <v>Banca Sannita|31</v>
      </c>
    </row>
    <row r="321" spans="1:7" x14ac:dyDescent="0.25">
      <c r="A321" t="s">
        <v>19</v>
      </c>
      <c r="B321">
        <v>32</v>
      </c>
      <c r="C321">
        <v>16775.5</v>
      </c>
      <c r="D321">
        <v>838.78</v>
      </c>
      <c r="E321">
        <v>520.04</v>
      </c>
      <c r="F321" t="s">
        <v>8</v>
      </c>
      <c r="G321" t="str">
        <f t="shared" si="4"/>
        <v>Banca Sannita|32</v>
      </c>
    </row>
    <row r="322" spans="1:7" x14ac:dyDescent="0.25">
      <c r="A322" t="s">
        <v>19</v>
      </c>
      <c r="B322">
        <v>33</v>
      </c>
      <c r="C322">
        <v>16755.7</v>
      </c>
      <c r="D322">
        <v>837.79</v>
      </c>
      <c r="E322">
        <v>519.42999999999995</v>
      </c>
      <c r="F322" t="s">
        <v>8</v>
      </c>
      <c r="G322" t="str">
        <f t="shared" ref="G322:G385" si="5">A322&amp;"|"&amp;B322</f>
        <v>Banca Sannita|33</v>
      </c>
    </row>
    <row r="323" spans="1:7" x14ac:dyDescent="0.25">
      <c r="A323" t="s">
        <v>19</v>
      </c>
      <c r="B323">
        <v>34</v>
      </c>
      <c r="C323">
        <v>16968.099999999999</v>
      </c>
      <c r="D323">
        <v>848.41</v>
      </c>
      <c r="E323">
        <v>526.01</v>
      </c>
      <c r="F323" t="s">
        <v>8</v>
      </c>
      <c r="G323" t="str">
        <f t="shared" si="5"/>
        <v>Banca Sannita|34</v>
      </c>
    </row>
    <row r="324" spans="1:7" x14ac:dyDescent="0.25">
      <c r="A324" t="s">
        <v>19</v>
      </c>
      <c r="B324">
        <v>35</v>
      </c>
      <c r="C324">
        <v>16797</v>
      </c>
      <c r="D324">
        <v>839.85</v>
      </c>
      <c r="E324">
        <v>520.71</v>
      </c>
      <c r="F324" t="s">
        <v>8</v>
      </c>
      <c r="G324" t="str">
        <f t="shared" si="5"/>
        <v>Banca Sannita|35</v>
      </c>
    </row>
    <row r="325" spans="1:7" x14ac:dyDescent="0.25">
      <c r="A325" t="s">
        <v>19</v>
      </c>
      <c r="B325">
        <v>36</v>
      </c>
      <c r="C325">
        <v>17269.5</v>
      </c>
      <c r="D325">
        <v>863.48</v>
      </c>
      <c r="E325">
        <v>535.35</v>
      </c>
      <c r="F325" t="s">
        <v>8</v>
      </c>
      <c r="G325" t="str">
        <f t="shared" si="5"/>
        <v>Banca Sannita|36</v>
      </c>
    </row>
    <row r="326" spans="1:7" x14ac:dyDescent="0.25">
      <c r="A326" t="s">
        <v>20</v>
      </c>
      <c r="B326">
        <v>1</v>
      </c>
      <c r="C326">
        <v>14565.3</v>
      </c>
      <c r="D326">
        <v>728.26</v>
      </c>
      <c r="E326">
        <v>451.52</v>
      </c>
      <c r="F326" t="s">
        <v>10</v>
      </c>
      <c r="G326" t="str">
        <f t="shared" si="5"/>
        <v>Banca Ligure|1</v>
      </c>
    </row>
    <row r="327" spans="1:7" x14ac:dyDescent="0.25">
      <c r="A327" t="s">
        <v>20</v>
      </c>
      <c r="B327">
        <v>2</v>
      </c>
      <c r="C327">
        <v>14659.1</v>
      </c>
      <c r="D327">
        <v>732.96</v>
      </c>
      <c r="E327">
        <v>454.43</v>
      </c>
      <c r="F327" t="s">
        <v>10</v>
      </c>
      <c r="G327" t="str">
        <f t="shared" si="5"/>
        <v>Banca Ligure|2</v>
      </c>
    </row>
    <row r="328" spans="1:7" x14ac:dyDescent="0.25">
      <c r="A328" t="s">
        <v>20</v>
      </c>
      <c r="B328">
        <v>3</v>
      </c>
      <c r="C328">
        <v>14922.6</v>
      </c>
      <c r="D328">
        <v>746.13</v>
      </c>
      <c r="E328">
        <v>462.6</v>
      </c>
      <c r="F328" t="s">
        <v>10</v>
      </c>
      <c r="G328" t="str">
        <f t="shared" si="5"/>
        <v>Banca Ligure|3</v>
      </c>
    </row>
    <row r="329" spans="1:7" x14ac:dyDescent="0.25">
      <c r="A329" t="s">
        <v>20</v>
      </c>
      <c r="B329">
        <v>4</v>
      </c>
      <c r="C329">
        <v>15021.4</v>
      </c>
      <c r="D329">
        <v>751.07</v>
      </c>
      <c r="E329">
        <v>465.66</v>
      </c>
      <c r="F329" t="s">
        <v>10</v>
      </c>
      <c r="G329" t="str">
        <f t="shared" si="5"/>
        <v>Banca Ligure|4</v>
      </c>
    </row>
    <row r="330" spans="1:7" x14ac:dyDescent="0.25">
      <c r="A330" t="s">
        <v>20</v>
      </c>
      <c r="B330">
        <v>5</v>
      </c>
      <c r="C330">
        <v>14776.7</v>
      </c>
      <c r="D330">
        <v>738.83</v>
      </c>
      <c r="E330">
        <v>458.08</v>
      </c>
      <c r="F330" t="s">
        <v>10</v>
      </c>
      <c r="G330" t="str">
        <f t="shared" si="5"/>
        <v>Banca Ligure|5</v>
      </c>
    </row>
    <row r="331" spans="1:7" x14ac:dyDescent="0.25">
      <c r="A331" t="s">
        <v>20</v>
      </c>
      <c r="B331">
        <v>6</v>
      </c>
      <c r="C331">
        <v>14894.4</v>
      </c>
      <c r="D331">
        <v>744.72</v>
      </c>
      <c r="E331">
        <v>461.73</v>
      </c>
      <c r="F331" t="s">
        <v>10</v>
      </c>
      <c r="G331" t="str">
        <f t="shared" si="5"/>
        <v>Banca Ligure|6</v>
      </c>
    </row>
    <row r="332" spans="1:7" x14ac:dyDescent="0.25">
      <c r="A332" t="s">
        <v>20</v>
      </c>
      <c r="B332">
        <v>7</v>
      </c>
      <c r="C332">
        <v>15387</v>
      </c>
      <c r="D332">
        <v>769.35</v>
      </c>
      <c r="E332">
        <v>477</v>
      </c>
      <c r="F332" t="s">
        <v>10</v>
      </c>
      <c r="G332" t="str">
        <f t="shared" si="5"/>
        <v>Banca Ligure|7</v>
      </c>
    </row>
    <row r="333" spans="1:7" x14ac:dyDescent="0.25">
      <c r="A333" t="s">
        <v>20</v>
      </c>
      <c r="B333">
        <v>8</v>
      </c>
      <c r="C333">
        <v>15491</v>
      </c>
      <c r="D333">
        <v>774.55</v>
      </c>
      <c r="E333">
        <v>480.22</v>
      </c>
      <c r="F333" t="s">
        <v>10</v>
      </c>
      <c r="G333" t="str">
        <f t="shared" si="5"/>
        <v>Banca Ligure|8</v>
      </c>
    </row>
    <row r="334" spans="1:7" x14ac:dyDescent="0.25">
      <c r="A334" t="s">
        <v>20</v>
      </c>
      <c r="B334">
        <v>9</v>
      </c>
      <c r="C334">
        <v>15216.3</v>
      </c>
      <c r="D334">
        <v>760.82</v>
      </c>
      <c r="E334">
        <v>471.71</v>
      </c>
      <c r="F334" t="s">
        <v>10</v>
      </c>
      <c r="G334" t="str">
        <f t="shared" si="5"/>
        <v>Banca Ligure|9</v>
      </c>
    </row>
    <row r="335" spans="1:7" x14ac:dyDescent="0.25">
      <c r="A335" t="s">
        <v>20</v>
      </c>
      <c r="B335">
        <v>10</v>
      </c>
      <c r="C335">
        <v>15483.8</v>
      </c>
      <c r="D335">
        <v>774.19</v>
      </c>
      <c r="E335">
        <v>480</v>
      </c>
      <c r="F335" t="s">
        <v>10</v>
      </c>
      <c r="G335" t="str">
        <f t="shared" si="5"/>
        <v>Banca Ligure|10</v>
      </c>
    </row>
    <row r="336" spans="1:7" x14ac:dyDescent="0.25">
      <c r="A336" t="s">
        <v>20</v>
      </c>
      <c r="B336">
        <v>11</v>
      </c>
      <c r="C336">
        <v>15786.2</v>
      </c>
      <c r="D336">
        <v>789.31</v>
      </c>
      <c r="E336">
        <v>489.37</v>
      </c>
      <c r="F336" t="s">
        <v>10</v>
      </c>
      <c r="G336" t="str">
        <f t="shared" si="5"/>
        <v>Banca Ligure|11</v>
      </c>
    </row>
    <row r="337" spans="1:7" x14ac:dyDescent="0.25">
      <c r="A337" t="s">
        <v>20</v>
      </c>
      <c r="B337">
        <v>12</v>
      </c>
      <c r="C337">
        <v>15754.4</v>
      </c>
      <c r="D337">
        <v>787.72</v>
      </c>
      <c r="E337">
        <v>488.39</v>
      </c>
      <c r="F337" t="s">
        <v>10</v>
      </c>
      <c r="G337" t="str">
        <f t="shared" si="5"/>
        <v>Banca Ligure|12</v>
      </c>
    </row>
    <row r="338" spans="1:7" x14ac:dyDescent="0.25">
      <c r="A338" t="s">
        <v>20</v>
      </c>
      <c r="B338">
        <v>13</v>
      </c>
      <c r="C338">
        <v>15908.8</v>
      </c>
      <c r="D338">
        <v>795.44</v>
      </c>
      <c r="E338">
        <v>493.17</v>
      </c>
      <c r="F338" t="s">
        <v>10</v>
      </c>
      <c r="G338" t="str">
        <f t="shared" si="5"/>
        <v>Banca Ligure|13</v>
      </c>
    </row>
    <row r="339" spans="1:7" x14ac:dyDescent="0.25">
      <c r="A339" t="s">
        <v>20</v>
      </c>
      <c r="B339">
        <v>14</v>
      </c>
      <c r="C339">
        <v>15808.5</v>
      </c>
      <c r="D339">
        <v>790.43</v>
      </c>
      <c r="E339">
        <v>490.06</v>
      </c>
      <c r="F339" t="s">
        <v>10</v>
      </c>
      <c r="G339" t="str">
        <f t="shared" si="5"/>
        <v>Banca Ligure|14</v>
      </c>
    </row>
    <row r="340" spans="1:7" x14ac:dyDescent="0.25">
      <c r="A340" t="s">
        <v>20</v>
      </c>
      <c r="B340">
        <v>15</v>
      </c>
      <c r="C340">
        <v>16182</v>
      </c>
      <c r="D340">
        <v>809.1</v>
      </c>
      <c r="E340">
        <v>501.64</v>
      </c>
      <c r="F340" t="s">
        <v>10</v>
      </c>
      <c r="G340" t="str">
        <f t="shared" si="5"/>
        <v>Banca Ligure|15</v>
      </c>
    </row>
    <row r="341" spans="1:7" x14ac:dyDescent="0.25">
      <c r="A341" t="s">
        <v>20</v>
      </c>
      <c r="B341">
        <v>16</v>
      </c>
      <c r="C341">
        <v>16338.8</v>
      </c>
      <c r="D341">
        <v>816.94</v>
      </c>
      <c r="E341">
        <v>506.5</v>
      </c>
      <c r="F341" t="s">
        <v>10</v>
      </c>
      <c r="G341" t="str">
        <f t="shared" si="5"/>
        <v>Banca Ligure|16</v>
      </c>
    </row>
    <row r="342" spans="1:7" x14ac:dyDescent="0.25">
      <c r="A342" t="s">
        <v>20</v>
      </c>
      <c r="B342">
        <v>17</v>
      </c>
      <c r="C342">
        <v>16226</v>
      </c>
      <c r="D342">
        <v>811.3</v>
      </c>
      <c r="E342">
        <v>503.01</v>
      </c>
      <c r="F342" t="s">
        <v>10</v>
      </c>
      <c r="G342" t="str">
        <f t="shared" si="5"/>
        <v>Banca Ligure|17</v>
      </c>
    </row>
    <row r="343" spans="1:7" x14ac:dyDescent="0.25">
      <c r="A343" t="s">
        <v>20</v>
      </c>
      <c r="B343">
        <v>18</v>
      </c>
      <c r="C343">
        <v>16243.5</v>
      </c>
      <c r="D343">
        <v>812.17</v>
      </c>
      <c r="E343">
        <v>503.55</v>
      </c>
      <c r="F343" t="s">
        <v>10</v>
      </c>
      <c r="G343" t="str">
        <f t="shared" si="5"/>
        <v>Banca Ligure|18</v>
      </c>
    </row>
    <row r="344" spans="1:7" x14ac:dyDescent="0.25">
      <c r="A344" t="s">
        <v>20</v>
      </c>
      <c r="B344">
        <v>19</v>
      </c>
      <c r="C344">
        <v>16412</v>
      </c>
      <c r="D344">
        <v>820.6</v>
      </c>
      <c r="E344">
        <v>508.77</v>
      </c>
      <c r="F344" t="s">
        <v>10</v>
      </c>
      <c r="G344" t="str">
        <f t="shared" si="5"/>
        <v>Banca Ligure|19</v>
      </c>
    </row>
    <row r="345" spans="1:7" x14ac:dyDescent="0.25">
      <c r="A345" t="s">
        <v>20</v>
      </c>
      <c r="B345">
        <v>20</v>
      </c>
      <c r="C345">
        <v>16740.7</v>
      </c>
      <c r="D345">
        <v>837.04</v>
      </c>
      <c r="E345">
        <v>518.96</v>
      </c>
      <c r="F345" t="s">
        <v>10</v>
      </c>
      <c r="G345" t="str">
        <f t="shared" si="5"/>
        <v>Banca Ligure|20</v>
      </c>
    </row>
    <row r="346" spans="1:7" x14ac:dyDescent="0.25">
      <c r="A346" t="s">
        <v>20</v>
      </c>
      <c r="B346">
        <v>21</v>
      </c>
      <c r="C346">
        <v>16757.2</v>
      </c>
      <c r="D346">
        <v>837.86</v>
      </c>
      <c r="E346">
        <v>519.47</v>
      </c>
      <c r="F346" t="s">
        <v>10</v>
      </c>
      <c r="G346" t="str">
        <f t="shared" si="5"/>
        <v>Banca Ligure|21</v>
      </c>
    </row>
    <row r="347" spans="1:7" x14ac:dyDescent="0.25">
      <c r="A347" t="s">
        <v>20</v>
      </c>
      <c r="B347">
        <v>22</v>
      </c>
      <c r="C347">
        <v>16855.599999999999</v>
      </c>
      <c r="D347">
        <v>842.78</v>
      </c>
      <c r="E347">
        <v>522.52</v>
      </c>
      <c r="F347" t="s">
        <v>10</v>
      </c>
      <c r="G347" t="str">
        <f t="shared" si="5"/>
        <v>Banca Ligure|22</v>
      </c>
    </row>
    <row r="348" spans="1:7" x14ac:dyDescent="0.25">
      <c r="A348" t="s">
        <v>20</v>
      </c>
      <c r="B348">
        <v>23</v>
      </c>
      <c r="C348">
        <v>16734.3</v>
      </c>
      <c r="D348">
        <v>836.72</v>
      </c>
      <c r="E348">
        <v>518.76</v>
      </c>
      <c r="F348" t="s">
        <v>10</v>
      </c>
      <c r="G348" t="str">
        <f t="shared" si="5"/>
        <v>Banca Ligure|23</v>
      </c>
    </row>
    <row r="349" spans="1:7" x14ac:dyDescent="0.25">
      <c r="A349" t="s">
        <v>20</v>
      </c>
      <c r="B349">
        <v>24</v>
      </c>
      <c r="C349">
        <v>16898</v>
      </c>
      <c r="D349">
        <v>844.9</v>
      </c>
      <c r="E349">
        <v>523.84</v>
      </c>
      <c r="F349" t="s">
        <v>10</v>
      </c>
      <c r="G349" t="str">
        <f t="shared" si="5"/>
        <v>Banca Ligure|24</v>
      </c>
    </row>
    <row r="350" spans="1:7" x14ac:dyDescent="0.25">
      <c r="A350" t="s">
        <v>20</v>
      </c>
      <c r="B350">
        <v>25</v>
      </c>
      <c r="C350">
        <v>17099.8</v>
      </c>
      <c r="D350">
        <v>854.99</v>
      </c>
      <c r="E350">
        <v>530.09</v>
      </c>
      <c r="F350" t="s">
        <v>10</v>
      </c>
      <c r="G350" t="str">
        <f t="shared" si="5"/>
        <v>Banca Ligure|25</v>
      </c>
    </row>
    <row r="351" spans="1:7" x14ac:dyDescent="0.25">
      <c r="A351" t="s">
        <v>20</v>
      </c>
      <c r="B351">
        <v>26</v>
      </c>
      <c r="C351">
        <v>17370.3</v>
      </c>
      <c r="D351">
        <v>868.51</v>
      </c>
      <c r="E351">
        <v>538.48</v>
      </c>
      <c r="F351" t="s">
        <v>10</v>
      </c>
      <c r="G351" t="str">
        <f t="shared" si="5"/>
        <v>Banca Ligure|26</v>
      </c>
    </row>
    <row r="352" spans="1:7" x14ac:dyDescent="0.25">
      <c r="A352" t="s">
        <v>20</v>
      </c>
      <c r="B352">
        <v>27</v>
      </c>
      <c r="C352">
        <v>17285.3</v>
      </c>
      <c r="D352">
        <v>864.26</v>
      </c>
      <c r="E352">
        <v>535.84</v>
      </c>
      <c r="F352" t="s">
        <v>10</v>
      </c>
      <c r="G352" t="str">
        <f t="shared" si="5"/>
        <v>Banca Ligure|27</v>
      </c>
    </row>
    <row r="353" spans="1:7" x14ac:dyDescent="0.25">
      <c r="A353" t="s">
        <v>20</v>
      </c>
      <c r="B353">
        <v>28</v>
      </c>
      <c r="C353">
        <v>17417</v>
      </c>
      <c r="D353">
        <v>870.85</v>
      </c>
      <c r="E353">
        <v>539.92999999999995</v>
      </c>
      <c r="F353" t="s">
        <v>10</v>
      </c>
      <c r="G353" t="str">
        <f t="shared" si="5"/>
        <v>Banca Ligure|28</v>
      </c>
    </row>
    <row r="354" spans="1:7" x14ac:dyDescent="0.25">
      <c r="A354" t="s">
        <v>20</v>
      </c>
      <c r="B354">
        <v>29</v>
      </c>
      <c r="C354">
        <v>17433.2</v>
      </c>
      <c r="D354">
        <v>871.66</v>
      </c>
      <c r="E354">
        <v>540.42999999999995</v>
      </c>
      <c r="F354" t="s">
        <v>10</v>
      </c>
      <c r="G354" t="str">
        <f t="shared" si="5"/>
        <v>Banca Ligure|29</v>
      </c>
    </row>
    <row r="355" spans="1:7" x14ac:dyDescent="0.25">
      <c r="A355" t="s">
        <v>20</v>
      </c>
      <c r="B355">
        <v>30</v>
      </c>
      <c r="C355">
        <v>17729.8</v>
      </c>
      <c r="D355">
        <v>886.49</v>
      </c>
      <c r="E355">
        <v>549.62</v>
      </c>
      <c r="F355" t="s">
        <v>10</v>
      </c>
      <c r="G355" t="str">
        <f t="shared" si="5"/>
        <v>Banca Ligure|30</v>
      </c>
    </row>
    <row r="356" spans="1:7" x14ac:dyDescent="0.25">
      <c r="A356" t="s">
        <v>20</v>
      </c>
      <c r="B356">
        <v>31</v>
      </c>
      <c r="C356">
        <v>17750.5</v>
      </c>
      <c r="D356">
        <v>887.53</v>
      </c>
      <c r="E356">
        <v>550.27</v>
      </c>
      <c r="F356" t="s">
        <v>10</v>
      </c>
      <c r="G356" t="str">
        <f t="shared" si="5"/>
        <v>Banca Ligure|31</v>
      </c>
    </row>
    <row r="357" spans="1:7" x14ac:dyDescent="0.25">
      <c r="A357" t="s">
        <v>20</v>
      </c>
      <c r="B357">
        <v>32</v>
      </c>
      <c r="C357">
        <v>17815.7</v>
      </c>
      <c r="D357">
        <v>890.78</v>
      </c>
      <c r="E357">
        <v>552.29</v>
      </c>
      <c r="F357" t="s">
        <v>10</v>
      </c>
      <c r="G357" t="str">
        <f t="shared" si="5"/>
        <v>Banca Ligure|32</v>
      </c>
    </row>
    <row r="358" spans="1:7" x14ac:dyDescent="0.25">
      <c r="A358" t="s">
        <v>20</v>
      </c>
      <c r="B358">
        <v>33</v>
      </c>
      <c r="C358">
        <v>17874.400000000001</v>
      </c>
      <c r="D358">
        <v>893.72</v>
      </c>
      <c r="E358">
        <v>554.11</v>
      </c>
      <c r="F358" t="s">
        <v>10</v>
      </c>
      <c r="G358" t="str">
        <f t="shared" si="5"/>
        <v>Banca Ligure|33</v>
      </c>
    </row>
    <row r="359" spans="1:7" x14ac:dyDescent="0.25">
      <c r="A359" t="s">
        <v>20</v>
      </c>
      <c r="B359">
        <v>34</v>
      </c>
      <c r="C359">
        <v>18004.7</v>
      </c>
      <c r="D359">
        <v>900.23</v>
      </c>
      <c r="E359">
        <v>558.14</v>
      </c>
      <c r="F359" t="s">
        <v>10</v>
      </c>
      <c r="G359" t="str">
        <f t="shared" si="5"/>
        <v>Banca Ligure|34</v>
      </c>
    </row>
    <row r="360" spans="1:7" x14ac:dyDescent="0.25">
      <c r="A360" t="s">
        <v>20</v>
      </c>
      <c r="B360">
        <v>35</v>
      </c>
      <c r="C360">
        <v>18333.7</v>
      </c>
      <c r="D360">
        <v>916.69</v>
      </c>
      <c r="E360">
        <v>568.35</v>
      </c>
      <c r="F360" t="s">
        <v>10</v>
      </c>
      <c r="G360" t="str">
        <f t="shared" si="5"/>
        <v>Banca Ligure|35</v>
      </c>
    </row>
    <row r="361" spans="1:7" x14ac:dyDescent="0.25">
      <c r="A361" t="s">
        <v>20</v>
      </c>
      <c r="B361">
        <v>36</v>
      </c>
      <c r="C361">
        <v>18254.8</v>
      </c>
      <c r="D361">
        <v>912.74</v>
      </c>
      <c r="E361">
        <v>565.9</v>
      </c>
      <c r="F361" t="s">
        <v>10</v>
      </c>
      <c r="G361" t="str">
        <f t="shared" si="5"/>
        <v>Banca Ligure|36</v>
      </c>
    </row>
    <row r="362" spans="1:7" x14ac:dyDescent="0.25">
      <c r="A362" t="s">
        <v>21</v>
      </c>
      <c r="B362">
        <v>1</v>
      </c>
      <c r="C362">
        <v>15671.7</v>
      </c>
      <c r="D362">
        <v>783.59</v>
      </c>
      <c r="E362">
        <v>485.82</v>
      </c>
      <c r="F362" t="s">
        <v>12</v>
      </c>
      <c r="G362" t="str">
        <f t="shared" si="5"/>
        <v>Banca Veneta|1</v>
      </c>
    </row>
    <row r="363" spans="1:7" x14ac:dyDescent="0.25">
      <c r="A363" t="s">
        <v>21</v>
      </c>
      <c r="B363">
        <v>2</v>
      </c>
      <c r="C363">
        <v>15543.6</v>
      </c>
      <c r="D363">
        <v>777.18</v>
      </c>
      <c r="E363">
        <v>481.85</v>
      </c>
      <c r="F363" t="s">
        <v>12</v>
      </c>
      <c r="G363" t="str">
        <f t="shared" si="5"/>
        <v>Banca Veneta|2</v>
      </c>
    </row>
    <row r="364" spans="1:7" x14ac:dyDescent="0.25">
      <c r="A364" t="s">
        <v>21</v>
      </c>
      <c r="B364">
        <v>3</v>
      </c>
      <c r="C364">
        <v>15739.6</v>
      </c>
      <c r="D364">
        <v>786.98</v>
      </c>
      <c r="E364">
        <v>487.93</v>
      </c>
      <c r="F364" t="s">
        <v>12</v>
      </c>
      <c r="G364" t="str">
        <f t="shared" si="5"/>
        <v>Banca Veneta|3</v>
      </c>
    </row>
    <row r="365" spans="1:7" x14ac:dyDescent="0.25">
      <c r="A365" t="s">
        <v>21</v>
      </c>
      <c r="B365">
        <v>4</v>
      </c>
      <c r="C365">
        <v>15681.8</v>
      </c>
      <c r="D365">
        <v>784.09</v>
      </c>
      <c r="E365">
        <v>486.13</v>
      </c>
      <c r="F365" t="s">
        <v>12</v>
      </c>
      <c r="G365" t="str">
        <f t="shared" si="5"/>
        <v>Banca Veneta|4</v>
      </c>
    </row>
    <row r="366" spans="1:7" x14ac:dyDescent="0.25">
      <c r="A366" t="s">
        <v>21</v>
      </c>
      <c r="B366">
        <v>5</v>
      </c>
      <c r="C366">
        <v>16162.4</v>
      </c>
      <c r="D366">
        <v>808.12</v>
      </c>
      <c r="E366">
        <v>501.04</v>
      </c>
      <c r="F366" t="s">
        <v>12</v>
      </c>
      <c r="G366" t="str">
        <f t="shared" si="5"/>
        <v>Banca Veneta|5</v>
      </c>
    </row>
    <row r="367" spans="1:7" x14ac:dyDescent="0.25">
      <c r="A367" t="s">
        <v>21</v>
      </c>
      <c r="B367">
        <v>6</v>
      </c>
      <c r="C367">
        <v>15998.1</v>
      </c>
      <c r="D367">
        <v>799.9</v>
      </c>
      <c r="E367">
        <v>495.94</v>
      </c>
      <c r="F367" t="s">
        <v>12</v>
      </c>
      <c r="G367" t="str">
        <f t="shared" si="5"/>
        <v>Banca Veneta|6</v>
      </c>
    </row>
    <row r="368" spans="1:7" x14ac:dyDescent="0.25">
      <c r="A368" t="s">
        <v>21</v>
      </c>
      <c r="B368">
        <v>7</v>
      </c>
      <c r="C368">
        <v>16030.5</v>
      </c>
      <c r="D368">
        <v>801.53</v>
      </c>
      <c r="E368">
        <v>496.95</v>
      </c>
      <c r="F368" t="s">
        <v>12</v>
      </c>
      <c r="G368" t="str">
        <f t="shared" si="5"/>
        <v>Banca Veneta|7</v>
      </c>
    </row>
    <row r="369" spans="1:7" x14ac:dyDescent="0.25">
      <c r="A369" t="s">
        <v>21</v>
      </c>
      <c r="B369">
        <v>8</v>
      </c>
      <c r="C369">
        <v>16156.8</v>
      </c>
      <c r="D369">
        <v>807.84</v>
      </c>
      <c r="E369">
        <v>500.86</v>
      </c>
      <c r="F369" t="s">
        <v>12</v>
      </c>
      <c r="G369" t="str">
        <f t="shared" si="5"/>
        <v>Banca Veneta|8</v>
      </c>
    </row>
    <row r="370" spans="1:7" x14ac:dyDescent="0.25">
      <c r="A370" t="s">
        <v>21</v>
      </c>
      <c r="B370">
        <v>9</v>
      </c>
      <c r="C370">
        <v>16644.599999999999</v>
      </c>
      <c r="D370">
        <v>832.23</v>
      </c>
      <c r="E370">
        <v>515.98</v>
      </c>
      <c r="F370" t="s">
        <v>12</v>
      </c>
      <c r="G370" t="str">
        <f t="shared" si="5"/>
        <v>Banca Veneta|9</v>
      </c>
    </row>
    <row r="371" spans="1:7" x14ac:dyDescent="0.25">
      <c r="A371" t="s">
        <v>21</v>
      </c>
      <c r="B371">
        <v>10</v>
      </c>
      <c r="C371">
        <v>16516.400000000001</v>
      </c>
      <c r="D371">
        <v>825.82</v>
      </c>
      <c r="E371">
        <v>512.01</v>
      </c>
      <c r="F371" t="s">
        <v>12</v>
      </c>
      <c r="G371" t="str">
        <f t="shared" si="5"/>
        <v>Banca Veneta|10</v>
      </c>
    </row>
    <row r="372" spans="1:7" x14ac:dyDescent="0.25">
      <c r="A372" t="s">
        <v>21</v>
      </c>
      <c r="B372">
        <v>11</v>
      </c>
      <c r="C372">
        <v>16536.099999999999</v>
      </c>
      <c r="D372">
        <v>826.81</v>
      </c>
      <c r="E372">
        <v>512.62</v>
      </c>
      <c r="F372" t="s">
        <v>12</v>
      </c>
      <c r="G372" t="str">
        <f t="shared" si="5"/>
        <v>Banca Veneta|11</v>
      </c>
    </row>
    <row r="373" spans="1:7" x14ac:dyDescent="0.25">
      <c r="A373" t="s">
        <v>21</v>
      </c>
      <c r="B373">
        <v>12</v>
      </c>
      <c r="C373">
        <v>16936</v>
      </c>
      <c r="D373">
        <v>846.8</v>
      </c>
      <c r="E373">
        <v>525.02</v>
      </c>
      <c r="F373" t="s">
        <v>12</v>
      </c>
      <c r="G373" t="str">
        <f t="shared" si="5"/>
        <v>Banca Veneta|12</v>
      </c>
    </row>
    <row r="374" spans="1:7" x14ac:dyDescent="0.25">
      <c r="A374" t="s">
        <v>21</v>
      </c>
      <c r="B374">
        <v>13</v>
      </c>
      <c r="C374">
        <v>16773.599999999999</v>
      </c>
      <c r="D374">
        <v>838.68</v>
      </c>
      <c r="E374">
        <v>519.98</v>
      </c>
      <c r="F374" t="s">
        <v>12</v>
      </c>
      <c r="G374" t="str">
        <f t="shared" si="5"/>
        <v>Banca Veneta|13</v>
      </c>
    </row>
    <row r="375" spans="1:7" x14ac:dyDescent="0.25">
      <c r="A375" t="s">
        <v>21</v>
      </c>
      <c r="B375">
        <v>14</v>
      </c>
      <c r="C375">
        <v>17019.099999999999</v>
      </c>
      <c r="D375">
        <v>850.96</v>
      </c>
      <c r="E375">
        <v>527.59</v>
      </c>
      <c r="F375" t="s">
        <v>12</v>
      </c>
      <c r="G375" t="str">
        <f t="shared" si="5"/>
        <v>Banca Veneta|14</v>
      </c>
    </row>
    <row r="376" spans="1:7" x14ac:dyDescent="0.25">
      <c r="A376" t="s">
        <v>21</v>
      </c>
      <c r="B376">
        <v>15</v>
      </c>
      <c r="C376">
        <v>17292.8</v>
      </c>
      <c r="D376">
        <v>864.64</v>
      </c>
      <c r="E376">
        <v>536.08000000000004</v>
      </c>
      <c r="F376" t="s">
        <v>12</v>
      </c>
      <c r="G376" t="str">
        <f t="shared" si="5"/>
        <v>Banca Veneta|15</v>
      </c>
    </row>
    <row r="377" spans="1:7" x14ac:dyDescent="0.25">
      <c r="A377" t="s">
        <v>21</v>
      </c>
      <c r="B377">
        <v>16</v>
      </c>
      <c r="C377">
        <v>17337.8</v>
      </c>
      <c r="D377">
        <v>866.89</v>
      </c>
      <c r="E377">
        <v>537.47</v>
      </c>
      <c r="F377" t="s">
        <v>12</v>
      </c>
      <c r="G377" t="str">
        <f t="shared" si="5"/>
        <v>Banca Veneta|16</v>
      </c>
    </row>
    <row r="378" spans="1:7" x14ac:dyDescent="0.25">
      <c r="A378" t="s">
        <v>21</v>
      </c>
      <c r="B378">
        <v>17</v>
      </c>
      <c r="C378">
        <v>17476.900000000001</v>
      </c>
      <c r="D378">
        <v>873.85</v>
      </c>
      <c r="E378">
        <v>541.79</v>
      </c>
      <c r="F378" t="s">
        <v>12</v>
      </c>
      <c r="G378" t="str">
        <f t="shared" si="5"/>
        <v>Banca Veneta|17</v>
      </c>
    </row>
    <row r="379" spans="1:7" x14ac:dyDescent="0.25">
      <c r="A379" t="s">
        <v>21</v>
      </c>
      <c r="B379">
        <v>18</v>
      </c>
      <c r="C379">
        <v>17446.099999999999</v>
      </c>
      <c r="D379">
        <v>872.31</v>
      </c>
      <c r="E379">
        <v>540.83000000000004</v>
      </c>
      <c r="F379" t="s">
        <v>12</v>
      </c>
      <c r="G379" t="str">
        <f t="shared" si="5"/>
        <v>Banca Veneta|18</v>
      </c>
    </row>
    <row r="380" spans="1:7" x14ac:dyDescent="0.25">
      <c r="A380" t="s">
        <v>21</v>
      </c>
      <c r="B380">
        <v>19</v>
      </c>
      <c r="C380">
        <v>17715.400000000001</v>
      </c>
      <c r="D380">
        <v>885.77</v>
      </c>
      <c r="E380">
        <v>549.17999999999995</v>
      </c>
      <c r="F380" t="s">
        <v>12</v>
      </c>
      <c r="G380" t="str">
        <f t="shared" si="5"/>
        <v>Banca Veneta|19</v>
      </c>
    </row>
    <row r="381" spans="1:7" x14ac:dyDescent="0.25">
      <c r="A381" t="s">
        <v>21</v>
      </c>
      <c r="B381">
        <v>20</v>
      </c>
      <c r="C381">
        <v>17529.3</v>
      </c>
      <c r="D381">
        <v>876.47</v>
      </c>
      <c r="E381">
        <v>543.41</v>
      </c>
      <c r="F381" t="s">
        <v>12</v>
      </c>
      <c r="G381" t="str">
        <f t="shared" si="5"/>
        <v>Banca Veneta|20</v>
      </c>
    </row>
    <row r="382" spans="1:7" x14ac:dyDescent="0.25">
      <c r="A382" t="s">
        <v>21</v>
      </c>
      <c r="B382">
        <v>21</v>
      </c>
      <c r="C382">
        <v>17804.7</v>
      </c>
      <c r="D382">
        <v>890.23</v>
      </c>
      <c r="E382">
        <v>551.94000000000005</v>
      </c>
      <c r="F382" t="s">
        <v>12</v>
      </c>
      <c r="G382" t="str">
        <f t="shared" si="5"/>
        <v>Banca Veneta|21</v>
      </c>
    </row>
    <row r="383" spans="1:7" x14ac:dyDescent="0.25">
      <c r="A383" t="s">
        <v>21</v>
      </c>
      <c r="B383">
        <v>22</v>
      </c>
      <c r="C383">
        <v>18091.900000000001</v>
      </c>
      <c r="D383">
        <v>904.59</v>
      </c>
      <c r="E383">
        <v>560.85</v>
      </c>
      <c r="F383" t="s">
        <v>12</v>
      </c>
      <c r="G383" t="str">
        <f t="shared" si="5"/>
        <v>Banca Veneta|22</v>
      </c>
    </row>
    <row r="384" spans="1:7" x14ac:dyDescent="0.25">
      <c r="A384" t="s">
        <v>21</v>
      </c>
      <c r="B384">
        <v>23</v>
      </c>
      <c r="C384">
        <v>18263.3</v>
      </c>
      <c r="D384">
        <v>913.16</v>
      </c>
      <c r="E384">
        <v>566.16</v>
      </c>
      <c r="F384" t="s">
        <v>12</v>
      </c>
      <c r="G384" t="str">
        <f t="shared" si="5"/>
        <v>Banca Veneta|23</v>
      </c>
    </row>
    <row r="385" spans="1:7" x14ac:dyDescent="0.25">
      <c r="A385" t="s">
        <v>21</v>
      </c>
      <c r="B385">
        <v>24</v>
      </c>
      <c r="C385">
        <v>18031.8</v>
      </c>
      <c r="D385">
        <v>901.59</v>
      </c>
      <c r="E385">
        <v>558.98</v>
      </c>
      <c r="F385" t="s">
        <v>12</v>
      </c>
      <c r="G385" t="str">
        <f t="shared" si="5"/>
        <v>Banca Veneta|24</v>
      </c>
    </row>
    <row r="386" spans="1:7" x14ac:dyDescent="0.25">
      <c r="A386" t="s">
        <v>21</v>
      </c>
      <c r="B386">
        <v>25</v>
      </c>
      <c r="C386">
        <v>18327.7</v>
      </c>
      <c r="D386">
        <v>916.39</v>
      </c>
      <c r="E386">
        <v>568.16</v>
      </c>
      <c r="F386" t="s">
        <v>12</v>
      </c>
      <c r="G386" t="str">
        <f t="shared" ref="G386:G449" si="6">A386&amp;"|"&amp;B386</f>
        <v>Banca Veneta|25</v>
      </c>
    </row>
    <row r="387" spans="1:7" x14ac:dyDescent="0.25">
      <c r="A387" t="s">
        <v>21</v>
      </c>
      <c r="B387">
        <v>26</v>
      </c>
      <c r="C387">
        <v>18459.5</v>
      </c>
      <c r="D387">
        <v>922.97</v>
      </c>
      <c r="E387">
        <v>572.24</v>
      </c>
      <c r="F387" t="s">
        <v>12</v>
      </c>
      <c r="G387" t="str">
        <f t="shared" si="6"/>
        <v>Banca Veneta|26</v>
      </c>
    </row>
    <row r="388" spans="1:7" x14ac:dyDescent="0.25">
      <c r="A388" t="s">
        <v>21</v>
      </c>
      <c r="B388">
        <v>27</v>
      </c>
      <c r="C388">
        <v>18350.400000000001</v>
      </c>
      <c r="D388">
        <v>917.52</v>
      </c>
      <c r="E388">
        <v>568.86</v>
      </c>
      <c r="F388" t="s">
        <v>12</v>
      </c>
      <c r="G388" t="str">
        <f t="shared" si="6"/>
        <v>Banca Veneta|27</v>
      </c>
    </row>
    <row r="389" spans="1:7" x14ac:dyDescent="0.25">
      <c r="A389" t="s">
        <v>21</v>
      </c>
      <c r="B389">
        <v>28</v>
      </c>
      <c r="C389">
        <v>18486.3</v>
      </c>
      <c r="D389">
        <v>924.31</v>
      </c>
      <c r="E389">
        <v>573.08000000000004</v>
      </c>
      <c r="F389" t="s">
        <v>12</v>
      </c>
      <c r="G389" t="str">
        <f t="shared" si="6"/>
        <v>Banca Veneta|28</v>
      </c>
    </row>
    <row r="390" spans="1:7" x14ac:dyDescent="0.25">
      <c r="A390" t="s">
        <v>21</v>
      </c>
      <c r="B390">
        <v>29</v>
      </c>
      <c r="C390">
        <v>18678.900000000001</v>
      </c>
      <c r="D390">
        <v>933.95</v>
      </c>
      <c r="E390">
        <v>579.04999999999995</v>
      </c>
      <c r="F390" t="s">
        <v>12</v>
      </c>
      <c r="G390" t="str">
        <f t="shared" si="6"/>
        <v>Banca Veneta|29</v>
      </c>
    </row>
    <row r="391" spans="1:7" x14ac:dyDescent="0.25">
      <c r="A391" t="s">
        <v>21</v>
      </c>
      <c r="B391">
        <v>30</v>
      </c>
      <c r="C391">
        <v>18788.599999999999</v>
      </c>
      <c r="D391">
        <v>939.43</v>
      </c>
      <c r="E391">
        <v>582.45000000000005</v>
      </c>
      <c r="F391" t="s">
        <v>12</v>
      </c>
      <c r="G391" t="str">
        <f t="shared" si="6"/>
        <v>Banca Veneta|30</v>
      </c>
    </row>
    <row r="392" spans="1:7" x14ac:dyDescent="0.25">
      <c r="A392" t="s">
        <v>21</v>
      </c>
      <c r="B392">
        <v>31</v>
      </c>
      <c r="C392">
        <v>18953.8</v>
      </c>
      <c r="D392">
        <v>947.69</v>
      </c>
      <c r="E392">
        <v>587.57000000000005</v>
      </c>
      <c r="F392" t="s">
        <v>12</v>
      </c>
      <c r="G392" t="str">
        <f t="shared" si="6"/>
        <v>Banca Veneta|31</v>
      </c>
    </row>
    <row r="393" spans="1:7" x14ac:dyDescent="0.25">
      <c r="A393" t="s">
        <v>21</v>
      </c>
      <c r="B393">
        <v>32</v>
      </c>
      <c r="C393">
        <v>19178.099999999999</v>
      </c>
      <c r="D393">
        <v>958.9</v>
      </c>
      <c r="E393">
        <v>594.52</v>
      </c>
      <c r="F393" t="s">
        <v>12</v>
      </c>
      <c r="G393" t="str">
        <f t="shared" si="6"/>
        <v>Banca Veneta|32</v>
      </c>
    </row>
    <row r="394" spans="1:7" x14ac:dyDescent="0.25">
      <c r="A394" t="s">
        <v>21</v>
      </c>
      <c r="B394">
        <v>33</v>
      </c>
      <c r="C394">
        <v>19404.5</v>
      </c>
      <c r="D394">
        <v>970.23</v>
      </c>
      <c r="E394">
        <v>601.54</v>
      </c>
      <c r="F394" t="s">
        <v>12</v>
      </c>
      <c r="G394" t="str">
        <f t="shared" si="6"/>
        <v>Banca Veneta|33</v>
      </c>
    </row>
    <row r="395" spans="1:7" x14ac:dyDescent="0.25">
      <c r="A395" t="s">
        <v>21</v>
      </c>
      <c r="B395">
        <v>34</v>
      </c>
      <c r="C395">
        <v>19525.3</v>
      </c>
      <c r="D395">
        <v>976.26</v>
      </c>
      <c r="E395">
        <v>605.28</v>
      </c>
      <c r="F395" t="s">
        <v>12</v>
      </c>
      <c r="G395" t="str">
        <f t="shared" si="6"/>
        <v>Banca Veneta|34</v>
      </c>
    </row>
    <row r="396" spans="1:7" x14ac:dyDescent="0.25">
      <c r="A396" t="s">
        <v>21</v>
      </c>
      <c r="B396">
        <v>35</v>
      </c>
      <c r="C396">
        <v>19354.2</v>
      </c>
      <c r="D396">
        <v>967.71</v>
      </c>
      <c r="E396">
        <v>599.98</v>
      </c>
      <c r="F396" t="s">
        <v>12</v>
      </c>
      <c r="G396" t="str">
        <f t="shared" si="6"/>
        <v>Banca Veneta|35</v>
      </c>
    </row>
    <row r="397" spans="1:7" x14ac:dyDescent="0.25">
      <c r="A397" t="s">
        <v>21</v>
      </c>
      <c r="B397">
        <v>36</v>
      </c>
      <c r="C397">
        <v>19587</v>
      </c>
      <c r="D397">
        <v>979.35</v>
      </c>
      <c r="E397">
        <v>607.20000000000005</v>
      </c>
      <c r="F397" t="s">
        <v>12</v>
      </c>
      <c r="G397" t="str">
        <f t="shared" si="6"/>
        <v>Banca Veneta|36</v>
      </c>
    </row>
    <row r="398" spans="1:7" x14ac:dyDescent="0.25">
      <c r="A398" t="s">
        <v>22</v>
      </c>
      <c r="B398">
        <v>1</v>
      </c>
      <c r="C398">
        <v>16553.7</v>
      </c>
      <c r="D398">
        <v>827.68</v>
      </c>
      <c r="E398">
        <v>513.16</v>
      </c>
      <c r="F398" t="s">
        <v>14</v>
      </c>
      <c r="G398" t="str">
        <f t="shared" si="6"/>
        <v>Banca Friulana|1</v>
      </c>
    </row>
    <row r="399" spans="1:7" x14ac:dyDescent="0.25">
      <c r="A399" t="s">
        <v>22</v>
      </c>
      <c r="B399">
        <v>2</v>
      </c>
      <c r="C399">
        <v>16590.5</v>
      </c>
      <c r="D399">
        <v>829.52</v>
      </c>
      <c r="E399">
        <v>514.30999999999995</v>
      </c>
      <c r="F399" t="s">
        <v>14</v>
      </c>
      <c r="G399" t="str">
        <f t="shared" si="6"/>
        <v>Banca Friulana|2</v>
      </c>
    </row>
    <row r="400" spans="1:7" x14ac:dyDescent="0.25">
      <c r="A400" t="s">
        <v>22</v>
      </c>
      <c r="B400">
        <v>3</v>
      </c>
      <c r="C400">
        <v>16626.400000000001</v>
      </c>
      <c r="D400">
        <v>831.32</v>
      </c>
      <c r="E400">
        <v>515.41999999999996</v>
      </c>
      <c r="F400" t="s">
        <v>14</v>
      </c>
      <c r="G400" t="str">
        <f t="shared" si="6"/>
        <v>Banca Friulana|3</v>
      </c>
    </row>
    <row r="401" spans="1:7" x14ac:dyDescent="0.25">
      <c r="A401" t="s">
        <v>22</v>
      </c>
      <c r="B401">
        <v>4</v>
      </c>
      <c r="C401">
        <v>16825.7</v>
      </c>
      <c r="D401">
        <v>841.28</v>
      </c>
      <c r="E401">
        <v>521.6</v>
      </c>
      <c r="F401" t="s">
        <v>14</v>
      </c>
      <c r="G401" t="str">
        <f t="shared" si="6"/>
        <v>Banca Friulana|4</v>
      </c>
    </row>
    <row r="402" spans="1:7" x14ac:dyDescent="0.25">
      <c r="A402" t="s">
        <v>22</v>
      </c>
      <c r="B402">
        <v>5</v>
      </c>
      <c r="C402">
        <v>16916.900000000001</v>
      </c>
      <c r="D402">
        <v>845.85</v>
      </c>
      <c r="E402">
        <v>524.41999999999996</v>
      </c>
      <c r="F402" t="s">
        <v>14</v>
      </c>
      <c r="G402" t="str">
        <f t="shared" si="6"/>
        <v>Banca Friulana|5</v>
      </c>
    </row>
    <row r="403" spans="1:7" x14ac:dyDescent="0.25">
      <c r="A403" t="s">
        <v>22</v>
      </c>
      <c r="B403">
        <v>6</v>
      </c>
      <c r="C403">
        <v>17239.8</v>
      </c>
      <c r="D403">
        <v>861.99</v>
      </c>
      <c r="E403">
        <v>534.42999999999995</v>
      </c>
      <c r="F403" t="s">
        <v>14</v>
      </c>
      <c r="G403" t="str">
        <f t="shared" si="6"/>
        <v>Banca Friulana|6</v>
      </c>
    </row>
    <row r="404" spans="1:7" x14ac:dyDescent="0.25">
      <c r="A404" t="s">
        <v>22</v>
      </c>
      <c r="B404">
        <v>7</v>
      </c>
      <c r="C404">
        <v>17411.2</v>
      </c>
      <c r="D404">
        <v>870.56</v>
      </c>
      <c r="E404">
        <v>539.75</v>
      </c>
      <c r="F404" t="s">
        <v>14</v>
      </c>
      <c r="G404" t="str">
        <f t="shared" si="6"/>
        <v>Banca Friulana|7</v>
      </c>
    </row>
    <row r="405" spans="1:7" x14ac:dyDescent="0.25">
      <c r="A405" t="s">
        <v>22</v>
      </c>
      <c r="B405">
        <v>8</v>
      </c>
      <c r="C405">
        <v>17520.8</v>
      </c>
      <c r="D405">
        <v>876.04</v>
      </c>
      <c r="E405">
        <v>543.14</v>
      </c>
      <c r="F405" t="s">
        <v>14</v>
      </c>
      <c r="G405" t="str">
        <f t="shared" si="6"/>
        <v>Banca Friulana|8</v>
      </c>
    </row>
    <row r="406" spans="1:7" x14ac:dyDescent="0.25">
      <c r="A406" t="s">
        <v>22</v>
      </c>
      <c r="B406">
        <v>9</v>
      </c>
      <c r="C406">
        <v>17461.900000000001</v>
      </c>
      <c r="D406">
        <v>873.1</v>
      </c>
      <c r="E406">
        <v>541.32000000000005</v>
      </c>
      <c r="F406" t="s">
        <v>14</v>
      </c>
      <c r="G406" t="str">
        <f t="shared" si="6"/>
        <v>Banca Friulana|9</v>
      </c>
    </row>
    <row r="407" spans="1:7" x14ac:dyDescent="0.25">
      <c r="A407" t="s">
        <v>22</v>
      </c>
      <c r="B407">
        <v>10</v>
      </c>
      <c r="C407">
        <v>17753.099999999999</v>
      </c>
      <c r="D407">
        <v>887.65</v>
      </c>
      <c r="E407">
        <v>550.35</v>
      </c>
      <c r="F407" t="s">
        <v>14</v>
      </c>
      <c r="G407" t="str">
        <f t="shared" si="6"/>
        <v>Banca Friulana|10</v>
      </c>
    </row>
    <row r="408" spans="1:7" x14ac:dyDescent="0.25">
      <c r="A408" t="s">
        <v>22</v>
      </c>
      <c r="B408">
        <v>11</v>
      </c>
      <c r="C408">
        <v>17786</v>
      </c>
      <c r="D408">
        <v>889.3</v>
      </c>
      <c r="E408">
        <v>551.37</v>
      </c>
      <c r="F408" t="s">
        <v>14</v>
      </c>
      <c r="G408" t="str">
        <f t="shared" si="6"/>
        <v>Banca Friulana|11</v>
      </c>
    </row>
    <row r="409" spans="1:7" x14ac:dyDescent="0.25">
      <c r="A409" t="s">
        <v>22</v>
      </c>
      <c r="B409">
        <v>12</v>
      </c>
      <c r="C409">
        <v>17989.7</v>
      </c>
      <c r="D409">
        <v>899.48</v>
      </c>
      <c r="E409">
        <v>557.67999999999995</v>
      </c>
      <c r="F409" t="s">
        <v>14</v>
      </c>
      <c r="G409" t="str">
        <f t="shared" si="6"/>
        <v>Banca Friulana|12</v>
      </c>
    </row>
    <row r="410" spans="1:7" x14ac:dyDescent="0.25">
      <c r="A410" t="s">
        <v>22</v>
      </c>
      <c r="B410">
        <v>13</v>
      </c>
      <c r="C410">
        <v>17926.2</v>
      </c>
      <c r="D410">
        <v>896.31</v>
      </c>
      <c r="E410">
        <v>555.71</v>
      </c>
      <c r="F410" t="s">
        <v>14</v>
      </c>
      <c r="G410" t="str">
        <f t="shared" si="6"/>
        <v>Banca Friulana|13</v>
      </c>
    </row>
    <row r="411" spans="1:7" x14ac:dyDescent="0.25">
      <c r="A411" t="s">
        <v>22</v>
      </c>
      <c r="B411">
        <v>14</v>
      </c>
      <c r="C411">
        <v>18209.3</v>
      </c>
      <c r="D411">
        <v>910.46</v>
      </c>
      <c r="E411">
        <v>564.49</v>
      </c>
      <c r="F411" t="s">
        <v>14</v>
      </c>
      <c r="G411" t="str">
        <f t="shared" si="6"/>
        <v>Banca Friulana|14</v>
      </c>
    </row>
    <row r="412" spans="1:7" x14ac:dyDescent="0.25">
      <c r="A412" t="s">
        <v>22</v>
      </c>
      <c r="B412">
        <v>15</v>
      </c>
      <c r="C412">
        <v>18256.099999999999</v>
      </c>
      <c r="D412">
        <v>912.8</v>
      </c>
      <c r="E412">
        <v>565.94000000000005</v>
      </c>
      <c r="F412" t="s">
        <v>14</v>
      </c>
      <c r="G412" t="str">
        <f t="shared" si="6"/>
        <v>Banca Friulana|15</v>
      </c>
    </row>
    <row r="413" spans="1:7" x14ac:dyDescent="0.25">
      <c r="A413" t="s">
        <v>22</v>
      </c>
      <c r="B413">
        <v>16</v>
      </c>
      <c r="C413">
        <v>18247.900000000001</v>
      </c>
      <c r="D413">
        <v>912.4</v>
      </c>
      <c r="E413">
        <v>565.69000000000005</v>
      </c>
      <c r="F413" t="s">
        <v>14</v>
      </c>
      <c r="G413" t="str">
        <f t="shared" si="6"/>
        <v>Banca Friulana|16</v>
      </c>
    </row>
    <row r="414" spans="1:7" x14ac:dyDescent="0.25">
      <c r="A414" t="s">
        <v>22</v>
      </c>
      <c r="B414">
        <v>17</v>
      </c>
      <c r="C414">
        <v>18403.7</v>
      </c>
      <c r="D414">
        <v>920.18</v>
      </c>
      <c r="E414">
        <v>570.51</v>
      </c>
      <c r="F414" t="s">
        <v>14</v>
      </c>
      <c r="G414" t="str">
        <f t="shared" si="6"/>
        <v>Banca Friulana|17</v>
      </c>
    </row>
    <row r="415" spans="1:7" x14ac:dyDescent="0.25">
      <c r="A415" t="s">
        <v>22</v>
      </c>
      <c r="B415">
        <v>18</v>
      </c>
      <c r="C415">
        <v>18586.900000000001</v>
      </c>
      <c r="D415">
        <v>929.34</v>
      </c>
      <c r="E415">
        <v>576.19000000000005</v>
      </c>
      <c r="F415" t="s">
        <v>14</v>
      </c>
      <c r="G415" t="str">
        <f t="shared" si="6"/>
        <v>Banca Friulana|18</v>
      </c>
    </row>
    <row r="416" spans="1:7" x14ac:dyDescent="0.25">
      <c r="A416" t="s">
        <v>22</v>
      </c>
      <c r="B416">
        <v>19</v>
      </c>
      <c r="C416">
        <v>18535.8</v>
      </c>
      <c r="D416">
        <v>926.79</v>
      </c>
      <c r="E416">
        <v>574.61</v>
      </c>
      <c r="F416" t="s">
        <v>14</v>
      </c>
      <c r="G416" t="str">
        <f t="shared" si="6"/>
        <v>Banca Friulana|19</v>
      </c>
    </row>
    <row r="417" spans="1:7" x14ac:dyDescent="0.25">
      <c r="A417" t="s">
        <v>22</v>
      </c>
      <c r="B417">
        <v>20</v>
      </c>
      <c r="C417">
        <v>18887.8</v>
      </c>
      <c r="D417">
        <v>944.39</v>
      </c>
      <c r="E417">
        <v>585.52</v>
      </c>
      <c r="F417" t="s">
        <v>14</v>
      </c>
      <c r="G417" t="str">
        <f t="shared" si="6"/>
        <v>Banca Friulana|20</v>
      </c>
    </row>
    <row r="418" spans="1:7" x14ac:dyDescent="0.25">
      <c r="A418" t="s">
        <v>22</v>
      </c>
      <c r="B418">
        <v>21</v>
      </c>
      <c r="C418">
        <v>18958.2</v>
      </c>
      <c r="D418">
        <v>947.91</v>
      </c>
      <c r="E418">
        <v>587.70000000000005</v>
      </c>
      <c r="F418" t="s">
        <v>14</v>
      </c>
      <c r="G418" t="str">
        <f t="shared" si="6"/>
        <v>Banca Friulana|21</v>
      </c>
    </row>
    <row r="419" spans="1:7" x14ac:dyDescent="0.25">
      <c r="A419" t="s">
        <v>22</v>
      </c>
      <c r="B419">
        <v>22</v>
      </c>
      <c r="C419">
        <v>19170.8</v>
      </c>
      <c r="D419">
        <v>958.54</v>
      </c>
      <c r="E419">
        <v>594.29</v>
      </c>
      <c r="F419" t="s">
        <v>14</v>
      </c>
      <c r="G419" t="str">
        <f t="shared" si="6"/>
        <v>Banca Friulana|22</v>
      </c>
    </row>
    <row r="420" spans="1:7" x14ac:dyDescent="0.25">
      <c r="A420" t="s">
        <v>22</v>
      </c>
      <c r="B420">
        <v>23</v>
      </c>
      <c r="C420">
        <v>19341.900000000001</v>
      </c>
      <c r="D420">
        <v>967.09</v>
      </c>
      <c r="E420">
        <v>599.6</v>
      </c>
      <c r="F420" t="s">
        <v>14</v>
      </c>
      <c r="G420" t="str">
        <f t="shared" si="6"/>
        <v>Banca Friulana|23</v>
      </c>
    </row>
    <row r="421" spans="1:7" x14ac:dyDescent="0.25">
      <c r="A421" t="s">
        <v>22</v>
      </c>
      <c r="B421">
        <v>24</v>
      </c>
      <c r="C421">
        <v>19314.400000000001</v>
      </c>
      <c r="D421">
        <v>965.72</v>
      </c>
      <c r="E421">
        <v>598.75</v>
      </c>
      <c r="F421" t="s">
        <v>14</v>
      </c>
      <c r="G421" t="str">
        <f t="shared" si="6"/>
        <v>Banca Friulana|24</v>
      </c>
    </row>
    <row r="422" spans="1:7" x14ac:dyDescent="0.25">
      <c r="A422" t="s">
        <v>22</v>
      </c>
      <c r="B422">
        <v>25</v>
      </c>
      <c r="C422">
        <v>19407.599999999999</v>
      </c>
      <c r="D422">
        <v>970.38</v>
      </c>
      <c r="E422">
        <v>601.63</v>
      </c>
      <c r="F422" t="s">
        <v>14</v>
      </c>
      <c r="G422" t="str">
        <f t="shared" si="6"/>
        <v>Banca Friulana|25</v>
      </c>
    </row>
    <row r="423" spans="1:7" x14ac:dyDescent="0.25">
      <c r="A423" t="s">
        <v>22</v>
      </c>
      <c r="B423">
        <v>26</v>
      </c>
      <c r="C423">
        <v>19391.400000000001</v>
      </c>
      <c r="D423">
        <v>969.57</v>
      </c>
      <c r="E423">
        <v>601.13</v>
      </c>
      <c r="F423" t="s">
        <v>14</v>
      </c>
      <c r="G423" t="str">
        <f t="shared" si="6"/>
        <v>Banca Friulana|26</v>
      </c>
    </row>
    <row r="424" spans="1:7" x14ac:dyDescent="0.25">
      <c r="A424" t="s">
        <v>22</v>
      </c>
      <c r="B424">
        <v>27</v>
      </c>
      <c r="C424">
        <v>19511.2</v>
      </c>
      <c r="D424">
        <v>975.56</v>
      </c>
      <c r="E424">
        <v>604.85</v>
      </c>
      <c r="F424" t="s">
        <v>14</v>
      </c>
      <c r="G424" t="str">
        <f t="shared" si="6"/>
        <v>Banca Friulana|27</v>
      </c>
    </row>
    <row r="425" spans="1:7" x14ac:dyDescent="0.25">
      <c r="A425" t="s">
        <v>22</v>
      </c>
      <c r="B425">
        <v>28</v>
      </c>
      <c r="C425">
        <v>19789.099999999999</v>
      </c>
      <c r="D425">
        <v>989.45</v>
      </c>
      <c r="E425">
        <v>613.46</v>
      </c>
      <c r="F425" t="s">
        <v>14</v>
      </c>
      <c r="G425" t="str">
        <f t="shared" si="6"/>
        <v>Banca Friulana|28</v>
      </c>
    </row>
    <row r="426" spans="1:7" x14ac:dyDescent="0.25">
      <c r="A426" t="s">
        <v>22</v>
      </c>
      <c r="B426">
        <v>29</v>
      </c>
      <c r="C426">
        <v>19859.900000000001</v>
      </c>
      <c r="D426">
        <v>993</v>
      </c>
      <c r="E426">
        <v>615.66</v>
      </c>
      <c r="F426" t="s">
        <v>14</v>
      </c>
      <c r="G426" t="str">
        <f t="shared" si="6"/>
        <v>Banca Friulana|29</v>
      </c>
    </row>
    <row r="427" spans="1:7" x14ac:dyDescent="0.25">
      <c r="A427" t="s">
        <v>22</v>
      </c>
      <c r="B427">
        <v>30</v>
      </c>
      <c r="C427">
        <v>20151.900000000001</v>
      </c>
      <c r="D427">
        <v>1007.59</v>
      </c>
      <c r="E427">
        <v>624.71</v>
      </c>
      <c r="F427" t="s">
        <v>14</v>
      </c>
      <c r="G427" t="str">
        <f t="shared" si="6"/>
        <v>Banca Friulana|30</v>
      </c>
    </row>
    <row r="428" spans="1:7" x14ac:dyDescent="0.25">
      <c r="A428" t="s">
        <v>22</v>
      </c>
      <c r="B428">
        <v>31</v>
      </c>
      <c r="C428">
        <v>20127.7</v>
      </c>
      <c r="D428">
        <v>1006.38</v>
      </c>
      <c r="E428">
        <v>623.96</v>
      </c>
      <c r="F428" t="s">
        <v>14</v>
      </c>
      <c r="G428" t="str">
        <f t="shared" si="6"/>
        <v>Banca Friulana|31</v>
      </c>
    </row>
    <row r="429" spans="1:7" x14ac:dyDescent="0.25">
      <c r="A429" t="s">
        <v>22</v>
      </c>
      <c r="B429">
        <v>32</v>
      </c>
      <c r="C429">
        <v>20119.5</v>
      </c>
      <c r="D429">
        <v>1005.97</v>
      </c>
      <c r="E429">
        <v>623.70000000000005</v>
      </c>
      <c r="F429" t="s">
        <v>14</v>
      </c>
      <c r="G429" t="str">
        <f t="shared" si="6"/>
        <v>Banca Friulana|32</v>
      </c>
    </row>
    <row r="430" spans="1:7" x14ac:dyDescent="0.25">
      <c r="A430" t="s">
        <v>22</v>
      </c>
      <c r="B430">
        <v>33</v>
      </c>
      <c r="C430">
        <v>20518.8</v>
      </c>
      <c r="D430">
        <v>1025.94</v>
      </c>
      <c r="E430">
        <v>636.08000000000004</v>
      </c>
      <c r="F430" t="s">
        <v>14</v>
      </c>
      <c r="G430" t="str">
        <f t="shared" si="6"/>
        <v>Banca Friulana|33</v>
      </c>
    </row>
    <row r="431" spans="1:7" x14ac:dyDescent="0.25">
      <c r="A431" t="s">
        <v>22</v>
      </c>
      <c r="B431">
        <v>34</v>
      </c>
      <c r="C431">
        <v>20616.900000000001</v>
      </c>
      <c r="D431">
        <v>1030.8399999999999</v>
      </c>
      <c r="E431">
        <v>639.12</v>
      </c>
      <c r="F431" t="s">
        <v>14</v>
      </c>
      <c r="G431" t="str">
        <f t="shared" si="6"/>
        <v>Banca Friulana|34</v>
      </c>
    </row>
    <row r="432" spans="1:7" x14ac:dyDescent="0.25">
      <c r="A432" t="s">
        <v>22</v>
      </c>
      <c r="B432">
        <v>35</v>
      </c>
      <c r="C432">
        <v>20518.3</v>
      </c>
      <c r="D432">
        <v>1025.92</v>
      </c>
      <c r="E432">
        <v>636.07000000000005</v>
      </c>
      <c r="F432" t="s">
        <v>14</v>
      </c>
      <c r="G432" t="str">
        <f t="shared" si="6"/>
        <v>Banca Friulana|35</v>
      </c>
    </row>
    <row r="433" spans="1:7" x14ac:dyDescent="0.25">
      <c r="A433" t="s">
        <v>22</v>
      </c>
      <c r="B433">
        <v>36</v>
      </c>
      <c r="C433">
        <v>20697.599999999999</v>
      </c>
      <c r="D433">
        <v>1034.8800000000001</v>
      </c>
      <c r="E433">
        <v>641.63</v>
      </c>
      <c r="F433" t="s">
        <v>14</v>
      </c>
      <c r="G433" t="str">
        <f t="shared" si="6"/>
        <v>Banca Friulana|36</v>
      </c>
    </row>
    <row r="434" spans="1:7" x14ac:dyDescent="0.25">
      <c r="A434" t="s">
        <v>23</v>
      </c>
      <c r="B434">
        <v>1</v>
      </c>
      <c r="C434">
        <v>17662.2</v>
      </c>
      <c r="D434">
        <v>883.11</v>
      </c>
      <c r="E434">
        <v>547.53</v>
      </c>
      <c r="F434" t="s">
        <v>8</v>
      </c>
      <c r="G434" t="str">
        <f t="shared" si="6"/>
        <v>Banca Umbra|1</v>
      </c>
    </row>
    <row r="435" spans="1:7" x14ac:dyDescent="0.25">
      <c r="A435" t="s">
        <v>23</v>
      </c>
      <c r="B435">
        <v>2</v>
      </c>
      <c r="C435">
        <v>17573.599999999999</v>
      </c>
      <c r="D435">
        <v>878.68</v>
      </c>
      <c r="E435">
        <v>544.78</v>
      </c>
      <c r="F435" t="s">
        <v>8</v>
      </c>
      <c r="G435" t="str">
        <f t="shared" si="6"/>
        <v>Banca Umbra|2</v>
      </c>
    </row>
    <row r="436" spans="1:7" x14ac:dyDescent="0.25">
      <c r="A436" t="s">
        <v>23</v>
      </c>
      <c r="B436">
        <v>3</v>
      </c>
      <c r="C436">
        <v>17654.2</v>
      </c>
      <c r="D436">
        <v>882.71</v>
      </c>
      <c r="E436">
        <v>547.28</v>
      </c>
      <c r="F436" t="s">
        <v>8</v>
      </c>
      <c r="G436" t="str">
        <f t="shared" si="6"/>
        <v>Banca Umbra|3</v>
      </c>
    </row>
    <row r="437" spans="1:7" x14ac:dyDescent="0.25">
      <c r="A437" t="s">
        <v>23</v>
      </c>
      <c r="B437">
        <v>4</v>
      </c>
      <c r="C437">
        <v>18049.7</v>
      </c>
      <c r="D437">
        <v>902.48</v>
      </c>
      <c r="E437">
        <v>559.54</v>
      </c>
      <c r="F437" t="s">
        <v>8</v>
      </c>
      <c r="G437" t="str">
        <f t="shared" si="6"/>
        <v>Banca Umbra|4</v>
      </c>
    </row>
    <row r="438" spans="1:7" x14ac:dyDescent="0.25">
      <c r="A438" t="s">
        <v>23</v>
      </c>
      <c r="B438">
        <v>5</v>
      </c>
      <c r="C438">
        <v>18200.5</v>
      </c>
      <c r="D438">
        <v>910.03</v>
      </c>
      <c r="E438">
        <v>564.22</v>
      </c>
      <c r="F438" t="s">
        <v>8</v>
      </c>
      <c r="G438" t="str">
        <f t="shared" si="6"/>
        <v>Banca Umbra|5</v>
      </c>
    </row>
    <row r="439" spans="1:7" x14ac:dyDescent="0.25">
      <c r="A439" t="s">
        <v>23</v>
      </c>
      <c r="B439">
        <v>6</v>
      </c>
      <c r="C439">
        <v>18060.2</v>
      </c>
      <c r="D439">
        <v>903.01</v>
      </c>
      <c r="E439">
        <v>559.87</v>
      </c>
      <c r="F439" t="s">
        <v>8</v>
      </c>
      <c r="G439" t="str">
        <f t="shared" si="6"/>
        <v>Banca Umbra|6</v>
      </c>
    </row>
    <row r="440" spans="1:7" x14ac:dyDescent="0.25">
      <c r="A440" t="s">
        <v>23</v>
      </c>
      <c r="B440">
        <v>7</v>
      </c>
      <c r="C440">
        <v>18303</v>
      </c>
      <c r="D440">
        <v>915.15</v>
      </c>
      <c r="E440">
        <v>567.39</v>
      </c>
      <c r="F440" t="s">
        <v>8</v>
      </c>
      <c r="G440" t="str">
        <f t="shared" si="6"/>
        <v>Banca Umbra|7</v>
      </c>
    </row>
    <row r="441" spans="1:7" x14ac:dyDescent="0.25">
      <c r="A441" t="s">
        <v>23</v>
      </c>
      <c r="B441">
        <v>8</v>
      </c>
      <c r="C441">
        <v>18451.2</v>
      </c>
      <c r="D441">
        <v>922.56</v>
      </c>
      <c r="E441">
        <v>571.99</v>
      </c>
      <c r="F441" t="s">
        <v>8</v>
      </c>
      <c r="G441" t="str">
        <f t="shared" si="6"/>
        <v>Banca Umbra|8</v>
      </c>
    </row>
    <row r="442" spans="1:7" x14ac:dyDescent="0.25">
      <c r="A442" t="s">
        <v>23</v>
      </c>
      <c r="B442">
        <v>9</v>
      </c>
      <c r="C442">
        <v>18377.5</v>
      </c>
      <c r="D442">
        <v>918.88</v>
      </c>
      <c r="E442">
        <v>569.70000000000005</v>
      </c>
      <c r="F442" t="s">
        <v>8</v>
      </c>
      <c r="G442" t="str">
        <f t="shared" si="6"/>
        <v>Banca Umbra|9</v>
      </c>
    </row>
    <row r="443" spans="1:7" x14ac:dyDescent="0.25">
      <c r="A443" t="s">
        <v>23</v>
      </c>
      <c r="B443">
        <v>10</v>
      </c>
      <c r="C443">
        <v>18706.3</v>
      </c>
      <c r="D443">
        <v>935.31</v>
      </c>
      <c r="E443">
        <v>579.89</v>
      </c>
      <c r="F443" t="s">
        <v>8</v>
      </c>
      <c r="G443" t="str">
        <f t="shared" si="6"/>
        <v>Banca Umbra|10</v>
      </c>
    </row>
    <row r="444" spans="1:7" x14ac:dyDescent="0.25">
      <c r="A444" t="s">
        <v>23</v>
      </c>
      <c r="B444">
        <v>11</v>
      </c>
      <c r="C444">
        <v>18704.900000000001</v>
      </c>
      <c r="D444">
        <v>935.24</v>
      </c>
      <c r="E444">
        <v>579.85</v>
      </c>
      <c r="F444" t="s">
        <v>8</v>
      </c>
      <c r="G444" t="str">
        <f t="shared" si="6"/>
        <v>Banca Umbra|11</v>
      </c>
    </row>
    <row r="445" spans="1:7" x14ac:dyDescent="0.25">
      <c r="A445" t="s">
        <v>23</v>
      </c>
      <c r="B445">
        <v>12</v>
      </c>
      <c r="C445">
        <v>19047.900000000001</v>
      </c>
      <c r="D445">
        <v>952.4</v>
      </c>
      <c r="E445">
        <v>590.49</v>
      </c>
      <c r="F445" t="s">
        <v>8</v>
      </c>
      <c r="G445" t="str">
        <f t="shared" si="6"/>
        <v>Banca Umbra|12</v>
      </c>
    </row>
    <row r="446" spans="1:7" x14ac:dyDescent="0.25">
      <c r="A446" t="s">
        <v>23</v>
      </c>
      <c r="B446">
        <v>13</v>
      </c>
      <c r="C446">
        <v>19110.3</v>
      </c>
      <c r="D446">
        <v>955.52</v>
      </c>
      <c r="E446">
        <v>592.41999999999996</v>
      </c>
      <c r="F446" t="s">
        <v>8</v>
      </c>
      <c r="G446" t="str">
        <f t="shared" si="6"/>
        <v>Banca Umbra|13</v>
      </c>
    </row>
    <row r="447" spans="1:7" x14ac:dyDescent="0.25">
      <c r="A447" t="s">
        <v>23</v>
      </c>
      <c r="B447">
        <v>14</v>
      </c>
      <c r="C447">
        <v>19265.099999999999</v>
      </c>
      <c r="D447">
        <v>963.26</v>
      </c>
      <c r="E447">
        <v>597.22</v>
      </c>
      <c r="F447" t="s">
        <v>8</v>
      </c>
      <c r="G447" t="str">
        <f t="shared" si="6"/>
        <v>Banca Umbra|14</v>
      </c>
    </row>
    <row r="448" spans="1:7" x14ac:dyDescent="0.25">
      <c r="A448" t="s">
        <v>23</v>
      </c>
      <c r="B448">
        <v>15</v>
      </c>
      <c r="C448">
        <v>19120.599999999999</v>
      </c>
      <c r="D448">
        <v>956.03</v>
      </c>
      <c r="E448">
        <v>592.74</v>
      </c>
      <c r="F448" t="s">
        <v>8</v>
      </c>
      <c r="G448" t="str">
        <f t="shared" si="6"/>
        <v>Banca Umbra|15</v>
      </c>
    </row>
    <row r="449" spans="1:7" x14ac:dyDescent="0.25">
      <c r="A449" t="s">
        <v>23</v>
      </c>
      <c r="B449">
        <v>16</v>
      </c>
      <c r="C449">
        <v>19347.099999999999</v>
      </c>
      <c r="D449">
        <v>967.36</v>
      </c>
      <c r="E449">
        <v>599.76</v>
      </c>
      <c r="F449" t="s">
        <v>8</v>
      </c>
      <c r="G449" t="str">
        <f t="shared" si="6"/>
        <v>Banca Umbra|16</v>
      </c>
    </row>
    <row r="450" spans="1:7" x14ac:dyDescent="0.25">
      <c r="A450" t="s">
        <v>23</v>
      </c>
      <c r="B450">
        <v>17</v>
      </c>
      <c r="C450">
        <v>19541.5</v>
      </c>
      <c r="D450">
        <v>977.07</v>
      </c>
      <c r="E450">
        <v>605.79</v>
      </c>
      <c r="F450" t="s">
        <v>8</v>
      </c>
      <c r="G450" t="str">
        <f t="shared" ref="G450:G513" si="7">A450&amp;"|"&amp;B450</f>
        <v>Banca Umbra|17</v>
      </c>
    </row>
    <row r="451" spans="1:7" x14ac:dyDescent="0.25">
      <c r="A451" t="s">
        <v>23</v>
      </c>
      <c r="B451">
        <v>18</v>
      </c>
      <c r="C451">
        <v>19786.3</v>
      </c>
      <c r="D451">
        <v>989.32</v>
      </c>
      <c r="E451">
        <v>613.38</v>
      </c>
      <c r="F451" t="s">
        <v>8</v>
      </c>
      <c r="G451" t="str">
        <f t="shared" si="7"/>
        <v>Banca Umbra|18</v>
      </c>
    </row>
    <row r="452" spans="1:7" x14ac:dyDescent="0.25">
      <c r="A452" t="s">
        <v>23</v>
      </c>
      <c r="B452">
        <v>19</v>
      </c>
      <c r="C452">
        <v>19725.599999999999</v>
      </c>
      <c r="D452">
        <v>986.28</v>
      </c>
      <c r="E452">
        <v>611.49</v>
      </c>
      <c r="F452" t="s">
        <v>8</v>
      </c>
      <c r="G452" t="str">
        <f t="shared" si="7"/>
        <v>Banca Umbra|19</v>
      </c>
    </row>
    <row r="453" spans="1:7" x14ac:dyDescent="0.25">
      <c r="A453" t="s">
        <v>23</v>
      </c>
      <c r="B453">
        <v>20</v>
      </c>
      <c r="C453">
        <v>19895.2</v>
      </c>
      <c r="D453">
        <v>994.76</v>
      </c>
      <c r="E453">
        <v>616.75</v>
      </c>
      <c r="F453" t="s">
        <v>8</v>
      </c>
      <c r="G453" t="str">
        <f t="shared" si="7"/>
        <v>Banca Umbra|20</v>
      </c>
    </row>
    <row r="454" spans="1:7" x14ac:dyDescent="0.25">
      <c r="A454" t="s">
        <v>23</v>
      </c>
      <c r="B454">
        <v>21</v>
      </c>
      <c r="C454">
        <v>20161.400000000001</v>
      </c>
      <c r="D454">
        <v>1008.07</v>
      </c>
      <c r="E454">
        <v>625</v>
      </c>
      <c r="F454" t="s">
        <v>8</v>
      </c>
      <c r="G454" t="str">
        <f t="shared" si="7"/>
        <v>Banca Umbra|21</v>
      </c>
    </row>
    <row r="455" spans="1:7" x14ac:dyDescent="0.25">
      <c r="A455" t="s">
        <v>23</v>
      </c>
      <c r="B455">
        <v>22</v>
      </c>
      <c r="C455">
        <v>20311.5</v>
      </c>
      <c r="D455">
        <v>1015.57</v>
      </c>
      <c r="E455">
        <v>629.66</v>
      </c>
      <c r="F455" t="s">
        <v>8</v>
      </c>
      <c r="G455" t="str">
        <f t="shared" si="7"/>
        <v>Banca Umbra|22</v>
      </c>
    </row>
    <row r="456" spans="1:7" x14ac:dyDescent="0.25">
      <c r="A456" t="s">
        <v>23</v>
      </c>
      <c r="B456">
        <v>23</v>
      </c>
      <c r="C456">
        <v>20290.8</v>
      </c>
      <c r="D456">
        <v>1014.54</v>
      </c>
      <c r="E456">
        <v>629.01</v>
      </c>
      <c r="F456" t="s">
        <v>8</v>
      </c>
      <c r="G456" t="str">
        <f t="shared" si="7"/>
        <v>Banca Umbra|23</v>
      </c>
    </row>
    <row r="457" spans="1:7" x14ac:dyDescent="0.25">
      <c r="A457" t="s">
        <v>23</v>
      </c>
      <c r="B457">
        <v>24</v>
      </c>
      <c r="C457">
        <v>20302</v>
      </c>
      <c r="D457">
        <v>1015.1</v>
      </c>
      <c r="E457">
        <v>629.36</v>
      </c>
      <c r="F457" t="s">
        <v>8</v>
      </c>
      <c r="G457" t="str">
        <f t="shared" si="7"/>
        <v>Banca Umbra|24</v>
      </c>
    </row>
    <row r="458" spans="1:7" x14ac:dyDescent="0.25">
      <c r="A458" t="s">
        <v>23</v>
      </c>
      <c r="B458">
        <v>25</v>
      </c>
      <c r="C458">
        <v>20599.900000000001</v>
      </c>
      <c r="D458">
        <v>1030</v>
      </c>
      <c r="E458">
        <v>638.6</v>
      </c>
      <c r="F458" t="s">
        <v>8</v>
      </c>
      <c r="G458" t="str">
        <f t="shared" si="7"/>
        <v>Banca Umbra|25</v>
      </c>
    </row>
    <row r="459" spans="1:7" x14ac:dyDescent="0.25">
      <c r="A459" t="s">
        <v>23</v>
      </c>
      <c r="B459">
        <v>26</v>
      </c>
      <c r="C459">
        <v>20631.400000000001</v>
      </c>
      <c r="D459">
        <v>1031.57</v>
      </c>
      <c r="E459">
        <v>639.57000000000005</v>
      </c>
      <c r="F459" t="s">
        <v>8</v>
      </c>
      <c r="G459" t="str">
        <f t="shared" si="7"/>
        <v>Banca Umbra|26</v>
      </c>
    </row>
    <row r="460" spans="1:7" x14ac:dyDescent="0.25">
      <c r="A460" t="s">
        <v>23</v>
      </c>
      <c r="B460">
        <v>27</v>
      </c>
      <c r="C460">
        <v>20803.099999999999</v>
      </c>
      <c r="D460">
        <v>1040.1500000000001</v>
      </c>
      <c r="E460">
        <v>644.9</v>
      </c>
      <c r="F460" t="s">
        <v>8</v>
      </c>
      <c r="G460" t="str">
        <f t="shared" si="7"/>
        <v>Banca Umbra|27</v>
      </c>
    </row>
    <row r="461" spans="1:7" x14ac:dyDescent="0.25">
      <c r="A461" t="s">
        <v>23</v>
      </c>
      <c r="B461">
        <v>28</v>
      </c>
      <c r="C461">
        <v>20844.5</v>
      </c>
      <c r="D461">
        <v>1042.22</v>
      </c>
      <c r="E461">
        <v>646.17999999999995</v>
      </c>
      <c r="F461" t="s">
        <v>8</v>
      </c>
      <c r="G461" t="str">
        <f t="shared" si="7"/>
        <v>Banca Umbra|28</v>
      </c>
    </row>
    <row r="462" spans="1:7" x14ac:dyDescent="0.25">
      <c r="A462" t="s">
        <v>23</v>
      </c>
      <c r="B462">
        <v>29</v>
      </c>
      <c r="C462">
        <v>21266.1</v>
      </c>
      <c r="D462">
        <v>1063.31</v>
      </c>
      <c r="E462">
        <v>659.25</v>
      </c>
      <c r="F462" t="s">
        <v>8</v>
      </c>
      <c r="G462" t="str">
        <f t="shared" si="7"/>
        <v>Banca Umbra|29</v>
      </c>
    </row>
    <row r="463" spans="1:7" x14ac:dyDescent="0.25">
      <c r="A463" t="s">
        <v>23</v>
      </c>
      <c r="B463">
        <v>30</v>
      </c>
      <c r="C463">
        <v>21171.9</v>
      </c>
      <c r="D463">
        <v>1058.5999999999999</v>
      </c>
      <c r="E463">
        <v>656.33</v>
      </c>
      <c r="F463" t="s">
        <v>8</v>
      </c>
      <c r="G463" t="str">
        <f t="shared" si="7"/>
        <v>Banca Umbra|30</v>
      </c>
    </row>
    <row r="464" spans="1:7" x14ac:dyDescent="0.25">
      <c r="A464" t="s">
        <v>23</v>
      </c>
      <c r="B464">
        <v>31</v>
      </c>
      <c r="C464">
        <v>21455.1</v>
      </c>
      <c r="D464">
        <v>1072.75</v>
      </c>
      <c r="E464">
        <v>665.11</v>
      </c>
      <c r="F464" t="s">
        <v>8</v>
      </c>
      <c r="G464" t="str">
        <f t="shared" si="7"/>
        <v>Banca Umbra|31</v>
      </c>
    </row>
    <row r="465" spans="1:7" x14ac:dyDescent="0.25">
      <c r="A465" t="s">
        <v>23</v>
      </c>
      <c r="B465">
        <v>32</v>
      </c>
      <c r="C465">
        <v>21572.9</v>
      </c>
      <c r="D465">
        <v>1078.6400000000001</v>
      </c>
      <c r="E465">
        <v>668.76</v>
      </c>
      <c r="F465" t="s">
        <v>8</v>
      </c>
      <c r="G465" t="str">
        <f t="shared" si="7"/>
        <v>Banca Umbra|32</v>
      </c>
    </row>
    <row r="466" spans="1:7" x14ac:dyDescent="0.25">
      <c r="A466" t="s">
        <v>23</v>
      </c>
      <c r="B466">
        <v>33</v>
      </c>
      <c r="C466">
        <v>21493</v>
      </c>
      <c r="D466">
        <v>1074.6500000000001</v>
      </c>
      <c r="E466">
        <v>666.28</v>
      </c>
      <c r="F466" t="s">
        <v>8</v>
      </c>
      <c r="G466" t="str">
        <f t="shared" si="7"/>
        <v>Banca Umbra|33</v>
      </c>
    </row>
    <row r="467" spans="1:7" x14ac:dyDescent="0.25">
      <c r="A467" t="s">
        <v>23</v>
      </c>
      <c r="B467">
        <v>34</v>
      </c>
      <c r="C467">
        <v>21763.200000000001</v>
      </c>
      <c r="D467">
        <v>1088.1600000000001</v>
      </c>
      <c r="E467">
        <v>674.66</v>
      </c>
      <c r="F467" t="s">
        <v>8</v>
      </c>
      <c r="G467" t="str">
        <f t="shared" si="7"/>
        <v>Banca Umbra|34</v>
      </c>
    </row>
    <row r="468" spans="1:7" x14ac:dyDescent="0.25">
      <c r="A468" t="s">
        <v>23</v>
      </c>
      <c r="B468">
        <v>35</v>
      </c>
      <c r="C468">
        <v>22046.7</v>
      </c>
      <c r="D468">
        <v>1102.33</v>
      </c>
      <c r="E468">
        <v>683.45</v>
      </c>
      <c r="F468" t="s">
        <v>8</v>
      </c>
      <c r="G468" t="str">
        <f t="shared" si="7"/>
        <v>Banca Umbra|35</v>
      </c>
    </row>
    <row r="469" spans="1:7" x14ac:dyDescent="0.25">
      <c r="A469" t="s">
        <v>23</v>
      </c>
      <c r="B469">
        <v>36</v>
      </c>
      <c r="C469">
        <v>22011.200000000001</v>
      </c>
      <c r="D469">
        <v>1100.56</v>
      </c>
      <c r="E469">
        <v>682.35</v>
      </c>
      <c r="F469" t="s">
        <v>8</v>
      </c>
      <c r="G469" t="str">
        <f t="shared" si="7"/>
        <v>Banca Umbra|36</v>
      </c>
    </row>
    <row r="470" spans="1:7" x14ac:dyDescent="0.25">
      <c r="A470" t="s">
        <v>24</v>
      </c>
      <c r="B470">
        <v>1</v>
      </c>
      <c r="C470">
        <v>18468.3</v>
      </c>
      <c r="D470">
        <v>923.41</v>
      </c>
      <c r="E470">
        <v>572.52</v>
      </c>
      <c r="F470" t="s">
        <v>10</v>
      </c>
      <c r="G470" t="str">
        <f t="shared" si="7"/>
        <v>Banca Marchigiana|1</v>
      </c>
    </row>
    <row r="471" spans="1:7" x14ac:dyDescent="0.25">
      <c r="A471" t="s">
        <v>24</v>
      </c>
      <c r="B471">
        <v>2</v>
      </c>
      <c r="C471">
        <v>18693.2</v>
      </c>
      <c r="D471">
        <v>934.66</v>
      </c>
      <c r="E471">
        <v>579.49</v>
      </c>
      <c r="F471" t="s">
        <v>10</v>
      </c>
      <c r="G471" t="str">
        <f t="shared" si="7"/>
        <v>Banca Marchigiana|2</v>
      </c>
    </row>
    <row r="472" spans="1:7" x14ac:dyDescent="0.25">
      <c r="A472" t="s">
        <v>24</v>
      </c>
      <c r="B472">
        <v>3</v>
      </c>
      <c r="C472">
        <v>18599.3</v>
      </c>
      <c r="D472">
        <v>929.96</v>
      </c>
      <c r="E472">
        <v>576.58000000000004</v>
      </c>
      <c r="F472" t="s">
        <v>10</v>
      </c>
      <c r="G472" t="str">
        <f t="shared" si="7"/>
        <v>Banca Marchigiana|3</v>
      </c>
    </row>
    <row r="473" spans="1:7" x14ac:dyDescent="0.25">
      <c r="A473" t="s">
        <v>24</v>
      </c>
      <c r="B473">
        <v>4</v>
      </c>
      <c r="C473">
        <v>18857.400000000001</v>
      </c>
      <c r="D473">
        <v>942.87</v>
      </c>
      <c r="E473">
        <v>584.58000000000004</v>
      </c>
      <c r="F473" t="s">
        <v>10</v>
      </c>
      <c r="G473" t="str">
        <f t="shared" si="7"/>
        <v>Banca Marchigiana|4</v>
      </c>
    </row>
    <row r="474" spans="1:7" x14ac:dyDescent="0.25">
      <c r="A474" t="s">
        <v>24</v>
      </c>
      <c r="B474">
        <v>5</v>
      </c>
      <c r="C474">
        <v>19207.900000000001</v>
      </c>
      <c r="D474">
        <v>960.39</v>
      </c>
      <c r="E474">
        <v>595.44000000000005</v>
      </c>
      <c r="F474" t="s">
        <v>10</v>
      </c>
      <c r="G474" t="str">
        <f t="shared" si="7"/>
        <v>Banca Marchigiana|5</v>
      </c>
    </row>
    <row r="475" spans="1:7" x14ac:dyDescent="0.25">
      <c r="A475" t="s">
        <v>24</v>
      </c>
      <c r="B475">
        <v>6</v>
      </c>
      <c r="C475">
        <v>19041.8</v>
      </c>
      <c r="D475">
        <v>952.09</v>
      </c>
      <c r="E475">
        <v>590.29999999999995</v>
      </c>
      <c r="F475" t="s">
        <v>10</v>
      </c>
      <c r="G475" t="str">
        <f t="shared" si="7"/>
        <v>Banca Marchigiana|6</v>
      </c>
    </row>
    <row r="476" spans="1:7" x14ac:dyDescent="0.25">
      <c r="A476" t="s">
        <v>24</v>
      </c>
      <c r="B476">
        <v>7</v>
      </c>
      <c r="C476">
        <v>19430.2</v>
      </c>
      <c r="D476">
        <v>971.51</v>
      </c>
      <c r="E476">
        <v>602.34</v>
      </c>
      <c r="F476" t="s">
        <v>10</v>
      </c>
      <c r="G476" t="str">
        <f t="shared" si="7"/>
        <v>Banca Marchigiana|7</v>
      </c>
    </row>
    <row r="477" spans="1:7" x14ac:dyDescent="0.25">
      <c r="A477" t="s">
        <v>24</v>
      </c>
      <c r="B477">
        <v>8</v>
      </c>
      <c r="C477">
        <v>19256.2</v>
      </c>
      <c r="D477">
        <v>962.81</v>
      </c>
      <c r="E477">
        <v>596.94000000000005</v>
      </c>
      <c r="F477" t="s">
        <v>10</v>
      </c>
      <c r="G477" t="str">
        <f t="shared" si="7"/>
        <v>Banca Marchigiana|8</v>
      </c>
    </row>
    <row r="478" spans="1:7" x14ac:dyDescent="0.25">
      <c r="A478" t="s">
        <v>24</v>
      </c>
      <c r="B478">
        <v>9</v>
      </c>
      <c r="C478">
        <v>19562.7</v>
      </c>
      <c r="D478">
        <v>978.14</v>
      </c>
      <c r="E478">
        <v>606.44000000000005</v>
      </c>
      <c r="F478" t="s">
        <v>10</v>
      </c>
      <c r="G478" t="str">
        <f t="shared" si="7"/>
        <v>Banca Marchigiana|9</v>
      </c>
    </row>
    <row r="479" spans="1:7" x14ac:dyDescent="0.25">
      <c r="A479" t="s">
        <v>24</v>
      </c>
      <c r="B479">
        <v>10</v>
      </c>
      <c r="C479">
        <v>19702.099999999999</v>
      </c>
      <c r="D479">
        <v>985.11</v>
      </c>
      <c r="E479">
        <v>610.77</v>
      </c>
      <c r="F479" t="s">
        <v>10</v>
      </c>
      <c r="G479" t="str">
        <f t="shared" si="7"/>
        <v>Banca Marchigiana|10</v>
      </c>
    </row>
    <row r="480" spans="1:7" x14ac:dyDescent="0.25">
      <c r="A480" t="s">
        <v>24</v>
      </c>
      <c r="B480">
        <v>11</v>
      </c>
      <c r="C480">
        <v>19709</v>
      </c>
      <c r="D480">
        <v>985.45</v>
      </c>
      <c r="E480">
        <v>610.98</v>
      </c>
      <c r="F480" t="s">
        <v>10</v>
      </c>
      <c r="G480" t="str">
        <f t="shared" si="7"/>
        <v>Banca Marchigiana|11</v>
      </c>
    </row>
    <row r="481" spans="1:7" x14ac:dyDescent="0.25">
      <c r="A481" t="s">
        <v>24</v>
      </c>
      <c r="B481">
        <v>12</v>
      </c>
      <c r="C481">
        <v>19863.8</v>
      </c>
      <c r="D481">
        <v>993.19</v>
      </c>
      <c r="E481">
        <v>615.78</v>
      </c>
      <c r="F481" t="s">
        <v>10</v>
      </c>
      <c r="G481" t="str">
        <f t="shared" si="7"/>
        <v>Banca Marchigiana|12</v>
      </c>
    </row>
    <row r="482" spans="1:7" x14ac:dyDescent="0.25">
      <c r="A482" t="s">
        <v>24</v>
      </c>
      <c r="B482">
        <v>13</v>
      </c>
      <c r="C482">
        <v>20070.599999999999</v>
      </c>
      <c r="D482">
        <v>1003.53</v>
      </c>
      <c r="E482">
        <v>622.19000000000005</v>
      </c>
      <c r="F482" t="s">
        <v>10</v>
      </c>
      <c r="G482" t="str">
        <f t="shared" si="7"/>
        <v>Banca Marchigiana|13</v>
      </c>
    </row>
    <row r="483" spans="1:7" x14ac:dyDescent="0.25">
      <c r="A483" t="s">
        <v>24</v>
      </c>
      <c r="B483">
        <v>14</v>
      </c>
      <c r="C483">
        <v>20383.7</v>
      </c>
      <c r="D483">
        <v>1019.19</v>
      </c>
      <c r="E483">
        <v>631.89</v>
      </c>
      <c r="F483" t="s">
        <v>10</v>
      </c>
      <c r="G483" t="str">
        <f t="shared" si="7"/>
        <v>Banca Marchigiana|14</v>
      </c>
    </row>
    <row r="484" spans="1:7" x14ac:dyDescent="0.25">
      <c r="A484" t="s">
        <v>24</v>
      </c>
      <c r="B484">
        <v>15</v>
      </c>
      <c r="C484">
        <v>20447.8</v>
      </c>
      <c r="D484">
        <v>1022.39</v>
      </c>
      <c r="E484">
        <v>633.88</v>
      </c>
      <c r="F484" t="s">
        <v>10</v>
      </c>
      <c r="G484" t="str">
        <f t="shared" si="7"/>
        <v>Banca Marchigiana|15</v>
      </c>
    </row>
    <row r="485" spans="1:7" x14ac:dyDescent="0.25">
      <c r="A485" t="s">
        <v>24</v>
      </c>
      <c r="B485">
        <v>16</v>
      </c>
      <c r="C485">
        <v>20439.3</v>
      </c>
      <c r="D485">
        <v>1021.97</v>
      </c>
      <c r="E485">
        <v>633.62</v>
      </c>
      <c r="F485" t="s">
        <v>10</v>
      </c>
      <c r="G485" t="str">
        <f t="shared" si="7"/>
        <v>Banca Marchigiana|16</v>
      </c>
    </row>
    <row r="486" spans="1:7" x14ac:dyDescent="0.25">
      <c r="A486" t="s">
        <v>24</v>
      </c>
      <c r="B486">
        <v>17</v>
      </c>
      <c r="C486">
        <v>20673.099999999999</v>
      </c>
      <c r="D486">
        <v>1033.6600000000001</v>
      </c>
      <c r="E486">
        <v>640.87</v>
      </c>
      <c r="F486" t="s">
        <v>10</v>
      </c>
      <c r="G486" t="str">
        <f t="shared" si="7"/>
        <v>Banca Marchigiana|17</v>
      </c>
    </row>
    <row r="487" spans="1:7" x14ac:dyDescent="0.25">
      <c r="A487" t="s">
        <v>24</v>
      </c>
      <c r="B487">
        <v>18</v>
      </c>
      <c r="C487">
        <v>20887.599999999999</v>
      </c>
      <c r="D487">
        <v>1044.3800000000001</v>
      </c>
      <c r="E487">
        <v>647.52</v>
      </c>
      <c r="F487" t="s">
        <v>10</v>
      </c>
      <c r="G487" t="str">
        <f t="shared" si="7"/>
        <v>Banca Marchigiana|18</v>
      </c>
    </row>
    <row r="488" spans="1:7" x14ac:dyDescent="0.25">
      <c r="A488" t="s">
        <v>24</v>
      </c>
      <c r="B488">
        <v>19</v>
      </c>
      <c r="C488">
        <v>20769.3</v>
      </c>
      <c r="D488">
        <v>1038.46</v>
      </c>
      <c r="E488">
        <v>643.85</v>
      </c>
      <c r="F488" t="s">
        <v>10</v>
      </c>
      <c r="G488" t="str">
        <f t="shared" si="7"/>
        <v>Banca Marchigiana|19</v>
      </c>
    </row>
    <row r="489" spans="1:7" x14ac:dyDescent="0.25">
      <c r="A489" t="s">
        <v>24</v>
      </c>
      <c r="B489">
        <v>20</v>
      </c>
      <c r="C489">
        <v>21234.799999999999</v>
      </c>
      <c r="D489">
        <v>1061.74</v>
      </c>
      <c r="E489">
        <v>658.28</v>
      </c>
      <c r="F489" t="s">
        <v>10</v>
      </c>
      <c r="G489" t="str">
        <f t="shared" si="7"/>
        <v>Banca Marchigiana|20</v>
      </c>
    </row>
    <row r="490" spans="1:7" x14ac:dyDescent="0.25">
      <c r="A490" t="s">
        <v>24</v>
      </c>
      <c r="B490">
        <v>21</v>
      </c>
      <c r="C490">
        <v>21063</v>
      </c>
      <c r="D490">
        <v>1053.1500000000001</v>
      </c>
      <c r="E490">
        <v>652.95000000000005</v>
      </c>
      <c r="F490" t="s">
        <v>10</v>
      </c>
      <c r="G490" t="str">
        <f t="shared" si="7"/>
        <v>Banca Marchigiana|21</v>
      </c>
    </row>
    <row r="491" spans="1:7" x14ac:dyDescent="0.25">
      <c r="A491" t="s">
        <v>24</v>
      </c>
      <c r="B491">
        <v>22</v>
      </c>
      <c r="C491">
        <v>21241.8</v>
      </c>
      <c r="D491">
        <v>1062.0899999999999</v>
      </c>
      <c r="E491">
        <v>658.5</v>
      </c>
      <c r="F491" t="s">
        <v>10</v>
      </c>
      <c r="G491" t="str">
        <f t="shared" si="7"/>
        <v>Banca Marchigiana|22</v>
      </c>
    </row>
    <row r="492" spans="1:7" x14ac:dyDescent="0.25">
      <c r="A492" t="s">
        <v>24</v>
      </c>
      <c r="B492">
        <v>23</v>
      </c>
      <c r="C492">
        <v>21683.7</v>
      </c>
      <c r="D492">
        <v>1084.19</v>
      </c>
      <c r="E492">
        <v>672.2</v>
      </c>
      <c r="F492" t="s">
        <v>10</v>
      </c>
      <c r="G492" t="str">
        <f t="shared" si="7"/>
        <v>Banca Marchigiana|23</v>
      </c>
    </row>
    <row r="493" spans="1:7" x14ac:dyDescent="0.25">
      <c r="A493" t="s">
        <v>24</v>
      </c>
      <c r="B493">
        <v>24</v>
      </c>
      <c r="C493">
        <v>21438.7</v>
      </c>
      <c r="D493">
        <v>1071.93</v>
      </c>
      <c r="E493">
        <v>664.6</v>
      </c>
      <c r="F493" t="s">
        <v>10</v>
      </c>
      <c r="G493" t="str">
        <f t="shared" si="7"/>
        <v>Banca Marchigiana|24</v>
      </c>
    </row>
    <row r="494" spans="1:7" x14ac:dyDescent="0.25">
      <c r="A494" t="s">
        <v>24</v>
      </c>
      <c r="B494">
        <v>25</v>
      </c>
      <c r="C494">
        <v>21888.9</v>
      </c>
      <c r="D494">
        <v>1094.44</v>
      </c>
      <c r="E494">
        <v>678.56</v>
      </c>
      <c r="F494" t="s">
        <v>10</v>
      </c>
      <c r="G494" t="str">
        <f t="shared" si="7"/>
        <v>Banca Marchigiana|25</v>
      </c>
    </row>
    <row r="495" spans="1:7" x14ac:dyDescent="0.25">
      <c r="A495" t="s">
        <v>24</v>
      </c>
      <c r="B495">
        <v>26</v>
      </c>
      <c r="C495">
        <v>21888.7</v>
      </c>
      <c r="D495">
        <v>1094.43</v>
      </c>
      <c r="E495">
        <v>678.55</v>
      </c>
      <c r="F495" t="s">
        <v>10</v>
      </c>
      <c r="G495" t="str">
        <f t="shared" si="7"/>
        <v>Banca Marchigiana|26</v>
      </c>
    </row>
    <row r="496" spans="1:7" x14ac:dyDescent="0.25">
      <c r="A496" t="s">
        <v>24</v>
      </c>
      <c r="B496">
        <v>27</v>
      </c>
      <c r="C496">
        <v>22148.7</v>
      </c>
      <c r="D496">
        <v>1107.44</v>
      </c>
      <c r="E496">
        <v>686.61</v>
      </c>
      <c r="F496" t="s">
        <v>10</v>
      </c>
      <c r="G496" t="str">
        <f t="shared" si="7"/>
        <v>Banca Marchigiana|27</v>
      </c>
    </row>
    <row r="497" spans="1:7" x14ac:dyDescent="0.25">
      <c r="A497" t="s">
        <v>24</v>
      </c>
      <c r="B497">
        <v>28</v>
      </c>
      <c r="C497">
        <v>22165.8</v>
      </c>
      <c r="D497">
        <v>1108.29</v>
      </c>
      <c r="E497">
        <v>687.14</v>
      </c>
      <c r="F497" t="s">
        <v>10</v>
      </c>
      <c r="G497" t="str">
        <f t="shared" si="7"/>
        <v>Banca Marchigiana|28</v>
      </c>
    </row>
    <row r="498" spans="1:7" x14ac:dyDescent="0.25">
      <c r="A498" t="s">
        <v>24</v>
      </c>
      <c r="B498">
        <v>29</v>
      </c>
      <c r="C498">
        <v>22315.1</v>
      </c>
      <c r="D498">
        <v>1115.75</v>
      </c>
      <c r="E498">
        <v>691.77</v>
      </c>
      <c r="F498" t="s">
        <v>10</v>
      </c>
      <c r="G498" t="str">
        <f t="shared" si="7"/>
        <v>Banca Marchigiana|29</v>
      </c>
    </row>
    <row r="499" spans="1:7" x14ac:dyDescent="0.25">
      <c r="A499" t="s">
        <v>24</v>
      </c>
      <c r="B499">
        <v>30</v>
      </c>
      <c r="C499">
        <v>22595.599999999999</v>
      </c>
      <c r="D499">
        <v>1129.78</v>
      </c>
      <c r="E499">
        <v>700.46</v>
      </c>
      <c r="F499" t="s">
        <v>10</v>
      </c>
      <c r="G499" t="str">
        <f t="shared" si="7"/>
        <v>Banca Marchigiana|30</v>
      </c>
    </row>
    <row r="500" spans="1:7" x14ac:dyDescent="0.25">
      <c r="A500" t="s">
        <v>24</v>
      </c>
      <c r="B500">
        <v>31</v>
      </c>
      <c r="C500">
        <v>22403.7</v>
      </c>
      <c r="D500">
        <v>1120.18</v>
      </c>
      <c r="E500">
        <v>694.51</v>
      </c>
      <c r="F500" t="s">
        <v>10</v>
      </c>
      <c r="G500" t="str">
        <f t="shared" si="7"/>
        <v>Banca Marchigiana|31</v>
      </c>
    </row>
    <row r="501" spans="1:7" x14ac:dyDescent="0.25">
      <c r="A501" t="s">
        <v>24</v>
      </c>
      <c r="B501">
        <v>32</v>
      </c>
      <c r="C501">
        <v>22881</v>
      </c>
      <c r="D501">
        <v>1144.05</v>
      </c>
      <c r="E501">
        <v>709.31</v>
      </c>
      <c r="F501" t="s">
        <v>10</v>
      </c>
      <c r="G501" t="str">
        <f t="shared" si="7"/>
        <v>Banca Marchigiana|32</v>
      </c>
    </row>
    <row r="502" spans="1:7" x14ac:dyDescent="0.25">
      <c r="A502" t="s">
        <v>24</v>
      </c>
      <c r="B502">
        <v>33</v>
      </c>
      <c r="C502">
        <v>22780.6</v>
      </c>
      <c r="D502">
        <v>1139.03</v>
      </c>
      <c r="E502">
        <v>706.2</v>
      </c>
      <c r="F502" t="s">
        <v>10</v>
      </c>
      <c r="G502" t="str">
        <f t="shared" si="7"/>
        <v>Banca Marchigiana|33</v>
      </c>
    </row>
    <row r="503" spans="1:7" x14ac:dyDescent="0.25">
      <c r="A503" t="s">
        <v>24</v>
      </c>
      <c r="B503">
        <v>34</v>
      </c>
      <c r="C503">
        <v>23016.3</v>
      </c>
      <c r="D503">
        <v>1150.81</v>
      </c>
      <c r="E503">
        <v>713.5</v>
      </c>
      <c r="F503" t="s">
        <v>10</v>
      </c>
      <c r="G503" t="str">
        <f t="shared" si="7"/>
        <v>Banca Marchigiana|34</v>
      </c>
    </row>
    <row r="504" spans="1:7" x14ac:dyDescent="0.25">
      <c r="A504" t="s">
        <v>24</v>
      </c>
      <c r="B504">
        <v>35</v>
      </c>
      <c r="C504">
        <v>23066.9</v>
      </c>
      <c r="D504">
        <v>1153.3499999999999</v>
      </c>
      <c r="E504">
        <v>715.07</v>
      </c>
      <c r="F504" t="s">
        <v>10</v>
      </c>
      <c r="G504" t="str">
        <f t="shared" si="7"/>
        <v>Banca Marchigiana|35</v>
      </c>
    </row>
    <row r="505" spans="1:7" x14ac:dyDescent="0.25">
      <c r="A505" t="s">
        <v>24</v>
      </c>
      <c r="B505">
        <v>36</v>
      </c>
      <c r="C505">
        <v>23290.5</v>
      </c>
      <c r="D505">
        <v>1164.53</v>
      </c>
      <c r="E505">
        <v>722.01</v>
      </c>
      <c r="F505" t="s">
        <v>10</v>
      </c>
      <c r="G505" t="str">
        <f t="shared" si="7"/>
        <v>Banca Marchigiana|36</v>
      </c>
    </row>
    <row r="506" spans="1:7" x14ac:dyDescent="0.25">
      <c r="A506" t="s">
        <v>25</v>
      </c>
      <c r="B506">
        <v>1</v>
      </c>
      <c r="C506">
        <v>19551.099999999999</v>
      </c>
      <c r="D506">
        <v>977.55</v>
      </c>
      <c r="E506">
        <v>606.08000000000004</v>
      </c>
      <c r="F506" t="s">
        <v>12</v>
      </c>
      <c r="G506" t="str">
        <f t="shared" si="7"/>
        <v>Banca Lucana|1</v>
      </c>
    </row>
    <row r="507" spans="1:7" x14ac:dyDescent="0.25">
      <c r="A507" t="s">
        <v>25</v>
      </c>
      <c r="B507">
        <v>2</v>
      </c>
      <c r="C507">
        <v>19602.7</v>
      </c>
      <c r="D507">
        <v>980.14</v>
      </c>
      <c r="E507">
        <v>607.67999999999995</v>
      </c>
      <c r="F507" t="s">
        <v>12</v>
      </c>
      <c r="G507" t="str">
        <f t="shared" si="7"/>
        <v>Banca Lucana|2</v>
      </c>
    </row>
    <row r="508" spans="1:7" x14ac:dyDescent="0.25">
      <c r="A508" t="s">
        <v>25</v>
      </c>
      <c r="B508">
        <v>3</v>
      </c>
      <c r="C508">
        <v>19888.099999999999</v>
      </c>
      <c r="D508">
        <v>994.41</v>
      </c>
      <c r="E508">
        <v>616.53</v>
      </c>
      <c r="F508" t="s">
        <v>12</v>
      </c>
      <c r="G508" t="str">
        <f t="shared" si="7"/>
        <v>Banca Lucana|3</v>
      </c>
    </row>
    <row r="509" spans="1:7" x14ac:dyDescent="0.25">
      <c r="A509" t="s">
        <v>25</v>
      </c>
      <c r="B509">
        <v>4</v>
      </c>
      <c r="C509">
        <v>19865.599999999999</v>
      </c>
      <c r="D509">
        <v>993.28</v>
      </c>
      <c r="E509">
        <v>615.83000000000004</v>
      </c>
      <c r="F509" t="s">
        <v>12</v>
      </c>
      <c r="G509" t="str">
        <f t="shared" si="7"/>
        <v>Banca Lucana|4</v>
      </c>
    </row>
    <row r="510" spans="1:7" x14ac:dyDescent="0.25">
      <c r="A510" t="s">
        <v>25</v>
      </c>
      <c r="B510">
        <v>5</v>
      </c>
      <c r="C510">
        <v>20143.2</v>
      </c>
      <c r="D510">
        <v>1007.16</v>
      </c>
      <c r="E510">
        <v>624.44000000000005</v>
      </c>
      <c r="F510" t="s">
        <v>12</v>
      </c>
      <c r="G510" t="str">
        <f t="shared" si="7"/>
        <v>Banca Lucana|5</v>
      </c>
    </row>
    <row r="511" spans="1:7" x14ac:dyDescent="0.25">
      <c r="A511" t="s">
        <v>25</v>
      </c>
      <c r="B511">
        <v>6</v>
      </c>
      <c r="C511">
        <v>20226</v>
      </c>
      <c r="D511">
        <v>1011.3</v>
      </c>
      <c r="E511">
        <v>627.01</v>
      </c>
      <c r="F511" t="s">
        <v>12</v>
      </c>
      <c r="G511" t="str">
        <f t="shared" si="7"/>
        <v>Banca Lucana|6</v>
      </c>
    </row>
    <row r="512" spans="1:7" x14ac:dyDescent="0.25">
      <c r="A512" t="s">
        <v>25</v>
      </c>
      <c r="B512">
        <v>7</v>
      </c>
      <c r="C512">
        <v>20357</v>
      </c>
      <c r="D512">
        <v>1017.85</v>
      </c>
      <c r="E512">
        <v>631.07000000000005</v>
      </c>
      <c r="F512" t="s">
        <v>12</v>
      </c>
      <c r="G512" t="str">
        <f t="shared" si="7"/>
        <v>Banca Lucana|7</v>
      </c>
    </row>
    <row r="513" spans="1:7" x14ac:dyDescent="0.25">
      <c r="A513" t="s">
        <v>25</v>
      </c>
      <c r="B513">
        <v>8</v>
      </c>
      <c r="C513">
        <v>20420.400000000001</v>
      </c>
      <c r="D513">
        <v>1021.02</v>
      </c>
      <c r="E513">
        <v>633.03</v>
      </c>
      <c r="F513" t="s">
        <v>12</v>
      </c>
      <c r="G513" t="str">
        <f t="shared" si="7"/>
        <v>Banca Lucana|8</v>
      </c>
    </row>
    <row r="514" spans="1:7" x14ac:dyDescent="0.25">
      <c r="A514" t="s">
        <v>25</v>
      </c>
      <c r="B514">
        <v>9</v>
      </c>
      <c r="C514">
        <v>20437.7</v>
      </c>
      <c r="D514">
        <v>1021.89</v>
      </c>
      <c r="E514">
        <v>633.57000000000005</v>
      </c>
      <c r="F514" t="s">
        <v>12</v>
      </c>
      <c r="G514" t="str">
        <f t="shared" ref="G514:G577" si="8">A514&amp;"|"&amp;B514</f>
        <v>Banca Lucana|9</v>
      </c>
    </row>
    <row r="515" spans="1:7" x14ac:dyDescent="0.25">
      <c r="A515" t="s">
        <v>25</v>
      </c>
      <c r="B515">
        <v>10</v>
      </c>
      <c r="C515">
        <v>20582.900000000001</v>
      </c>
      <c r="D515">
        <v>1029.1500000000001</v>
      </c>
      <c r="E515">
        <v>638.07000000000005</v>
      </c>
      <c r="F515" t="s">
        <v>12</v>
      </c>
      <c r="G515" t="str">
        <f t="shared" si="8"/>
        <v>Banca Lucana|10</v>
      </c>
    </row>
    <row r="516" spans="1:7" x14ac:dyDescent="0.25">
      <c r="A516" t="s">
        <v>25</v>
      </c>
      <c r="B516">
        <v>11</v>
      </c>
      <c r="C516">
        <v>21084.5</v>
      </c>
      <c r="D516">
        <v>1054.22</v>
      </c>
      <c r="E516">
        <v>653.62</v>
      </c>
      <c r="F516" t="s">
        <v>12</v>
      </c>
      <c r="G516" t="str">
        <f t="shared" si="8"/>
        <v>Banca Lucana|11</v>
      </c>
    </row>
    <row r="517" spans="1:7" x14ac:dyDescent="0.25">
      <c r="A517" t="s">
        <v>25</v>
      </c>
      <c r="B517">
        <v>12</v>
      </c>
      <c r="C517">
        <v>21203.7</v>
      </c>
      <c r="D517">
        <v>1060.19</v>
      </c>
      <c r="E517">
        <v>657.32</v>
      </c>
      <c r="F517" t="s">
        <v>12</v>
      </c>
      <c r="G517" t="str">
        <f t="shared" si="8"/>
        <v>Banca Lucana|12</v>
      </c>
    </row>
    <row r="518" spans="1:7" x14ac:dyDescent="0.25">
      <c r="A518" t="s">
        <v>25</v>
      </c>
      <c r="B518">
        <v>13</v>
      </c>
      <c r="C518">
        <v>21317.7</v>
      </c>
      <c r="D518">
        <v>1065.8800000000001</v>
      </c>
      <c r="E518">
        <v>660.85</v>
      </c>
      <c r="F518" t="s">
        <v>12</v>
      </c>
      <c r="G518" t="str">
        <f t="shared" si="8"/>
        <v>Banca Lucana|13</v>
      </c>
    </row>
    <row r="519" spans="1:7" x14ac:dyDescent="0.25">
      <c r="A519" t="s">
        <v>25</v>
      </c>
      <c r="B519">
        <v>14</v>
      </c>
      <c r="C519">
        <v>21437</v>
      </c>
      <c r="D519">
        <v>1071.8499999999999</v>
      </c>
      <c r="E519">
        <v>664.55</v>
      </c>
      <c r="F519" t="s">
        <v>12</v>
      </c>
      <c r="G519" t="str">
        <f t="shared" si="8"/>
        <v>Banca Lucana|14</v>
      </c>
    </row>
    <row r="520" spans="1:7" x14ac:dyDescent="0.25">
      <c r="A520" t="s">
        <v>25</v>
      </c>
      <c r="B520">
        <v>15</v>
      </c>
      <c r="C520">
        <v>21274.6</v>
      </c>
      <c r="D520">
        <v>1063.73</v>
      </c>
      <c r="E520">
        <v>659.51</v>
      </c>
      <c r="F520" t="s">
        <v>12</v>
      </c>
      <c r="G520" t="str">
        <f t="shared" si="8"/>
        <v>Banca Lucana|15</v>
      </c>
    </row>
    <row r="521" spans="1:7" x14ac:dyDescent="0.25">
      <c r="A521" t="s">
        <v>25</v>
      </c>
      <c r="B521">
        <v>16</v>
      </c>
      <c r="C521">
        <v>21708.9</v>
      </c>
      <c r="D521">
        <v>1085.44</v>
      </c>
      <c r="E521">
        <v>672.98</v>
      </c>
      <c r="F521" t="s">
        <v>12</v>
      </c>
      <c r="G521" t="str">
        <f t="shared" si="8"/>
        <v>Banca Lucana|16</v>
      </c>
    </row>
    <row r="522" spans="1:7" x14ac:dyDescent="0.25">
      <c r="A522" t="s">
        <v>25</v>
      </c>
      <c r="B522">
        <v>17</v>
      </c>
      <c r="C522">
        <v>21676.1</v>
      </c>
      <c r="D522">
        <v>1083.8</v>
      </c>
      <c r="E522">
        <v>671.96</v>
      </c>
      <c r="F522" t="s">
        <v>12</v>
      </c>
      <c r="G522" t="str">
        <f t="shared" si="8"/>
        <v>Banca Lucana|17</v>
      </c>
    </row>
    <row r="523" spans="1:7" x14ac:dyDescent="0.25">
      <c r="A523" t="s">
        <v>25</v>
      </c>
      <c r="B523">
        <v>18</v>
      </c>
      <c r="C523">
        <v>21864.2</v>
      </c>
      <c r="D523">
        <v>1093.21</v>
      </c>
      <c r="E523">
        <v>677.79</v>
      </c>
      <c r="F523" t="s">
        <v>12</v>
      </c>
      <c r="G523" t="str">
        <f t="shared" si="8"/>
        <v>Banca Lucana|18</v>
      </c>
    </row>
    <row r="524" spans="1:7" x14ac:dyDescent="0.25">
      <c r="A524" t="s">
        <v>25</v>
      </c>
      <c r="B524">
        <v>19</v>
      </c>
      <c r="C524">
        <v>21939.8</v>
      </c>
      <c r="D524">
        <v>1096.99</v>
      </c>
      <c r="E524">
        <v>680.13</v>
      </c>
      <c r="F524" t="s">
        <v>12</v>
      </c>
      <c r="G524" t="str">
        <f t="shared" si="8"/>
        <v>Banca Lucana|19</v>
      </c>
    </row>
    <row r="525" spans="1:7" x14ac:dyDescent="0.25">
      <c r="A525" t="s">
        <v>25</v>
      </c>
      <c r="B525">
        <v>20</v>
      </c>
      <c r="C525">
        <v>22191.8</v>
      </c>
      <c r="D525">
        <v>1109.5899999999999</v>
      </c>
      <c r="E525">
        <v>687.95</v>
      </c>
      <c r="F525" t="s">
        <v>12</v>
      </c>
      <c r="G525" t="str">
        <f t="shared" si="8"/>
        <v>Banca Lucana|20</v>
      </c>
    </row>
    <row r="526" spans="1:7" x14ac:dyDescent="0.25">
      <c r="A526" t="s">
        <v>25</v>
      </c>
      <c r="B526">
        <v>21</v>
      </c>
      <c r="C526">
        <v>22456.2</v>
      </c>
      <c r="D526">
        <v>1122.81</v>
      </c>
      <c r="E526">
        <v>696.14</v>
      </c>
      <c r="F526" t="s">
        <v>12</v>
      </c>
      <c r="G526" t="str">
        <f t="shared" si="8"/>
        <v>Banca Lucana|21</v>
      </c>
    </row>
    <row r="527" spans="1:7" x14ac:dyDescent="0.25">
      <c r="A527" t="s">
        <v>25</v>
      </c>
      <c r="B527">
        <v>22</v>
      </c>
      <c r="C527">
        <v>22485.200000000001</v>
      </c>
      <c r="D527">
        <v>1124.26</v>
      </c>
      <c r="E527">
        <v>697.04</v>
      </c>
      <c r="F527" t="s">
        <v>12</v>
      </c>
      <c r="G527" t="str">
        <f t="shared" si="8"/>
        <v>Banca Lucana|22</v>
      </c>
    </row>
    <row r="528" spans="1:7" x14ac:dyDescent="0.25">
      <c r="A528" t="s">
        <v>25</v>
      </c>
      <c r="B528">
        <v>23</v>
      </c>
      <c r="C528">
        <v>22562.7</v>
      </c>
      <c r="D528">
        <v>1128.1400000000001</v>
      </c>
      <c r="E528">
        <v>699.45</v>
      </c>
      <c r="F528" t="s">
        <v>12</v>
      </c>
      <c r="G528" t="str">
        <f t="shared" si="8"/>
        <v>Banca Lucana|23</v>
      </c>
    </row>
    <row r="529" spans="1:7" x14ac:dyDescent="0.25">
      <c r="A529" t="s">
        <v>25</v>
      </c>
      <c r="B529">
        <v>24</v>
      </c>
      <c r="C529">
        <v>22683.599999999999</v>
      </c>
      <c r="D529">
        <v>1134.18</v>
      </c>
      <c r="E529">
        <v>703.19</v>
      </c>
      <c r="F529" t="s">
        <v>12</v>
      </c>
      <c r="G529" t="str">
        <f t="shared" si="8"/>
        <v>Banca Lucana|24</v>
      </c>
    </row>
    <row r="530" spans="1:7" x14ac:dyDescent="0.25">
      <c r="A530" t="s">
        <v>25</v>
      </c>
      <c r="B530">
        <v>25</v>
      </c>
      <c r="C530">
        <v>22966.9</v>
      </c>
      <c r="D530">
        <v>1148.3499999999999</v>
      </c>
      <c r="E530">
        <v>711.97</v>
      </c>
      <c r="F530" t="s">
        <v>12</v>
      </c>
      <c r="G530" t="str">
        <f t="shared" si="8"/>
        <v>Banca Lucana|25</v>
      </c>
    </row>
    <row r="531" spans="1:7" x14ac:dyDescent="0.25">
      <c r="A531" t="s">
        <v>25</v>
      </c>
      <c r="B531">
        <v>26</v>
      </c>
      <c r="C531">
        <v>22937.9</v>
      </c>
      <c r="D531">
        <v>1146.8900000000001</v>
      </c>
      <c r="E531">
        <v>711.07</v>
      </c>
      <c r="F531" t="s">
        <v>12</v>
      </c>
      <c r="G531" t="str">
        <f t="shared" si="8"/>
        <v>Banca Lucana|26</v>
      </c>
    </row>
    <row r="532" spans="1:7" x14ac:dyDescent="0.25">
      <c r="A532" t="s">
        <v>25</v>
      </c>
      <c r="B532">
        <v>27</v>
      </c>
      <c r="C532">
        <v>23157.3</v>
      </c>
      <c r="D532">
        <v>1157.8699999999999</v>
      </c>
      <c r="E532">
        <v>717.88</v>
      </c>
      <c r="F532" t="s">
        <v>12</v>
      </c>
      <c r="G532" t="str">
        <f t="shared" si="8"/>
        <v>Banca Lucana|27</v>
      </c>
    </row>
    <row r="533" spans="1:7" x14ac:dyDescent="0.25">
      <c r="A533" t="s">
        <v>25</v>
      </c>
      <c r="B533">
        <v>28</v>
      </c>
      <c r="C533">
        <v>23413.5</v>
      </c>
      <c r="D533">
        <v>1170.68</v>
      </c>
      <c r="E533">
        <v>725.82</v>
      </c>
      <c r="F533" t="s">
        <v>12</v>
      </c>
      <c r="G533" t="str">
        <f t="shared" si="8"/>
        <v>Banca Lucana|28</v>
      </c>
    </row>
    <row r="534" spans="1:7" x14ac:dyDescent="0.25">
      <c r="A534" t="s">
        <v>25</v>
      </c>
      <c r="B534">
        <v>29</v>
      </c>
      <c r="C534">
        <v>23539.5</v>
      </c>
      <c r="D534">
        <v>1176.97</v>
      </c>
      <c r="E534">
        <v>729.72</v>
      </c>
      <c r="F534" t="s">
        <v>12</v>
      </c>
      <c r="G534" t="str">
        <f t="shared" si="8"/>
        <v>Banca Lucana|29</v>
      </c>
    </row>
    <row r="535" spans="1:7" x14ac:dyDescent="0.25">
      <c r="A535" t="s">
        <v>25</v>
      </c>
      <c r="B535">
        <v>30</v>
      </c>
      <c r="C535">
        <v>23678.400000000001</v>
      </c>
      <c r="D535">
        <v>1183.92</v>
      </c>
      <c r="E535">
        <v>734.03</v>
      </c>
      <c r="F535" t="s">
        <v>12</v>
      </c>
      <c r="G535" t="str">
        <f t="shared" si="8"/>
        <v>Banca Lucana|30</v>
      </c>
    </row>
    <row r="536" spans="1:7" x14ac:dyDescent="0.25">
      <c r="A536" t="s">
        <v>25</v>
      </c>
      <c r="B536">
        <v>31</v>
      </c>
      <c r="C536">
        <v>23729.1</v>
      </c>
      <c r="D536">
        <v>1186.45</v>
      </c>
      <c r="E536">
        <v>735.6</v>
      </c>
      <c r="F536" t="s">
        <v>12</v>
      </c>
      <c r="G536" t="str">
        <f t="shared" si="8"/>
        <v>Banca Lucana|31</v>
      </c>
    </row>
    <row r="537" spans="1:7" x14ac:dyDescent="0.25">
      <c r="A537" t="s">
        <v>25</v>
      </c>
      <c r="B537">
        <v>32</v>
      </c>
      <c r="C537">
        <v>24057.3</v>
      </c>
      <c r="D537">
        <v>1202.8699999999999</v>
      </c>
      <c r="E537">
        <v>745.78</v>
      </c>
      <c r="F537" t="s">
        <v>12</v>
      </c>
      <c r="G537" t="str">
        <f t="shared" si="8"/>
        <v>Banca Lucana|32</v>
      </c>
    </row>
    <row r="538" spans="1:7" x14ac:dyDescent="0.25">
      <c r="A538" t="s">
        <v>25</v>
      </c>
      <c r="B538">
        <v>33</v>
      </c>
      <c r="C538">
        <v>23887.3</v>
      </c>
      <c r="D538">
        <v>1194.3699999999999</v>
      </c>
      <c r="E538">
        <v>740.51</v>
      </c>
      <c r="F538" t="s">
        <v>12</v>
      </c>
      <c r="G538" t="str">
        <f t="shared" si="8"/>
        <v>Banca Lucana|33</v>
      </c>
    </row>
    <row r="539" spans="1:7" x14ac:dyDescent="0.25">
      <c r="A539" t="s">
        <v>25</v>
      </c>
      <c r="B539">
        <v>34</v>
      </c>
      <c r="C539">
        <v>24227.5</v>
      </c>
      <c r="D539">
        <v>1211.3800000000001</v>
      </c>
      <c r="E539">
        <v>751.05</v>
      </c>
      <c r="F539" t="s">
        <v>12</v>
      </c>
      <c r="G539" t="str">
        <f t="shared" si="8"/>
        <v>Banca Lucana|34</v>
      </c>
    </row>
    <row r="540" spans="1:7" x14ac:dyDescent="0.25">
      <c r="A540" t="s">
        <v>25</v>
      </c>
      <c r="B540">
        <v>35</v>
      </c>
      <c r="C540">
        <v>24447.599999999999</v>
      </c>
      <c r="D540">
        <v>1222.3800000000001</v>
      </c>
      <c r="E540">
        <v>757.88</v>
      </c>
      <c r="F540" t="s">
        <v>12</v>
      </c>
      <c r="G540" t="str">
        <f t="shared" si="8"/>
        <v>Banca Lucana|35</v>
      </c>
    </row>
    <row r="541" spans="1:7" x14ac:dyDescent="0.25">
      <c r="A541" t="s">
        <v>25</v>
      </c>
      <c r="B541">
        <v>36</v>
      </c>
      <c r="C541">
        <v>24520.3</v>
      </c>
      <c r="D541">
        <v>1226.01</v>
      </c>
      <c r="E541">
        <v>760.13</v>
      </c>
      <c r="F541" t="s">
        <v>12</v>
      </c>
      <c r="G541" t="str">
        <f t="shared" si="8"/>
        <v>Banca Lucana|36</v>
      </c>
    </row>
    <row r="542" spans="1:7" x14ac:dyDescent="0.25">
      <c r="A542" t="s">
        <v>26</v>
      </c>
      <c r="B542">
        <v>1</v>
      </c>
      <c r="C542">
        <v>20556.3</v>
      </c>
      <c r="D542">
        <v>1027.81</v>
      </c>
      <c r="E542">
        <v>637.24</v>
      </c>
      <c r="F542" t="s">
        <v>14</v>
      </c>
      <c r="G542" t="str">
        <f t="shared" si="8"/>
        <v>Banca Calabra|1</v>
      </c>
    </row>
    <row r="543" spans="1:7" x14ac:dyDescent="0.25">
      <c r="A543" t="s">
        <v>26</v>
      </c>
      <c r="B543">
        <v>2</v>
      </c>
      <c r="C543">
        <v>20380.5</v>
      </c>
      <c r="D543">
        <v>1019.03</v>
      </c>
      <c r="E543">
        <v>631.79999999999995</v>
      </c>
      <c r="F543" t="s">
        <v>14</v>
      </c>
      <c r="G543" t="str">
        <f t="shared" si="8"/>
        <v>Banca Calabra|2</v>
      </c>
    </row>
    <row r="544" spans="1:7" x14ac:dyDescent="0.25">
      <c r="A544" t="s">
        <v>26</v>
      </c>
      <c r="B544">
        <v>3</v>
      </c>
      <c r="C544">
        <v>20560.2</v>
      </c>
      <c r="D544">
        <v>1028.01</v>
      </c>
      <c r="E544">
        <v>637.37</v>
      </c>
      <c r="F544" t="s">
        <v>14</v>
      </c>
      <c r="G544" t="str">
        <f t="shared" si="8"/>
        <v>Banca Calabra|3</v>
      </c>
    </row>
    <row r="545" spans="1:7" x14ac:dyDescent="0.25">
      <c r="A545" t="s">
        <v>26</v>
      </c>
      <c r="B545">
        <v>4</v>
      </c>
      <c r="C545">
        <v>20998.400000000001</v>
      </c>
      <c r="D545">
        <v>1049.92</v>
      </c>
      <c r="E545">
        <v>650.95000000000005</v>
      </c>
      <c r="F545" t="s">
        <v>14</v>
      </c>
      <c r="G545" t="str">
        <f t="shared" si="8"/>
        <v>Banca Calabra|4</v>
      </c>
    </row>
    <row r="546" spans="1:7" x14ac:dyDescent="0.25">
      <c r="A546" t="s">
        <v>26</v>
      </c>
      <c r="B546">
        <v>5</v>
      </c>
      <c r="C546">
        <v>20852.2</v>
      </c>
      <c r="D546">
        <v>1042.6099999999999</v>
      </c>
      <c r="E546">
        <v>646.41999999999996</v>
      </c>
      <c r="F546" t="s">
        <v>14</v>
      </c>
      <c r="G546" t="str">
        <f t="shared" si="8"/>
        <v>Banca Calabra|5</v>
      </c>
    </row>
    <row r="547" spans="1:7" x14ac:dyDescent="0.25">
      <c r="A547" t="s">
        <v>26</v>
      </c>
      <c r="B547">
        <v>6</v>
      </c>
      <c r="C547">
        <v>21114.9</v>
      </c>
      <c r="D547">
        <v>1055.75</v>
      </c>
      <c r="E547">
        <v>654.55999999999995</v>
      </c>
      <c r="F547" t="s">
        <v>14</v>
      </c>
      <c r="G547" t="str">
        <f t="shared" si="8"/>
        <v>Banca Calabra|6</v>
      </c>
    </row>
    <row r="548" spans="1:7" x14ac:dyDescent="0.25">
      <c r="A548" t="s">
        <v>26</v>
      </c>
      <c r="B548">
        <v>7</v>
      </c>
      <c r="C548">
        <v>21360.400000000001</v>
      </c>
      <c r="D548">
        <v>1068.02</v>
      </c>
      <c r="E548">
        <v>662.17</v>
      </c>
      <c r="F548" t="s">
        <v>14</v>
      </c>
      <c r="G548" t="str">
        <f t="shared" si="8"/>
        <v>Banca Calabra|7</v>
      </c>
    </row>
    <row r="549" spans="1:7" x14ac:dyDescent="0.25">
      <c r="A549" t="s">
        <v>26</v>
      </c>
      <c r="B549">
        <v>8</v>
      </c>
      <c r="C549">
        <v>21673.3</v>
      </c>
      <c r="D549">
        <v>1083.6600000000001</v>
      </c>
      <c r="E549">
        <v>671.87</v>
      </c>
      <c r="F549" t="s">
        <v>14</v>
      </c>
      <c r="G549" t="str">
        <f t="shared" si="8"/>
        <v>Banca Calabra|8</v>
      </c>
    </row>
    <row r="550" spans="1:7" x14ac:dyDescent="0.25">
      <c r="A550" t="s">
        <v>26</v>
      </c>
      <c r="B550">
        <v>9</v>
      </c>
      <c r="C550">
        <v>21507</v>
      </c>
      <c r="D550">
        <v>1075.3499999999999</v>
      </c>
      <c r="E550">
        <v>666.72</v>
      </c>
      <c r="F550" t="s">
        <v>14</v>
      </c>
      <c r="G550" t="str">
        <f t="shared" si="8"/>
        <v>Banca Calabra|9</v>
      </c>
    </row>
    <row r="551" spans="1:7" x14ac:dyDescent="0.25">
      <c r="A551" t="s">
        <v>26</v>
      </c>
      <c r="B551">
        <v>10</v>
      </c>
      <c r="C551">
        <v>21843.599999999999</v>
      </c>
      <c r="D551">
        <v>1092.18</v>
      </c>
      <c r="E551">
        <v>677.15</v>
      </c>
      <c r="F551" t="s">
        <v>14</v>
      </c>
      <c r="G551" t="str">
        <f t="shared" si="8"/>
        <v>Banca Calabra|10</v>
      </c>
    </row>
    <row r="552" spans="1:7" x14ac:dyDescent="0.25">
      <c r="A552" t="s">
        <v>26</v>
      </c>
      <c r="B552">
        <v>11</v>
      </c>
      <c r="C552">
        <v>21920.799999999999</v>
      </c>
      <c r="D552">
        <v>1096.04</v>
      </c>
      <c r="E552">
        <v>679.54</v>
      </c>
      <c r="F552" t="s">
        <v>14</v>
      </c>
      <c r="G552" t="str">
        <f t="shared" si="8"/>
        <v>Banca Calabra|11</v>
      </c>
    </row>
    <row r="553" spans="1:7" x14ac:dyDescent="0.25">
      <c r="A553" t="s">
        <v>26</v>
      </c>
      <c r="B553">
        <v>12</v>
      </c>
      <c r="C553">
        <v>21898.1</v>
      </c>
      <c r="D553">
        <v>1094.9100000000001</v>
      </c>
      <c r="E553">
        <v>678.84</v>
      </c>
      <c r="F553" t="s">
        <v>14</v>
      </c>
      <c r="G553" t="str">
        <f t="shared" si="8"/>
        <v>Banca Calabra|12</v>
      </c>
    </row>
    <row r="554" spans="1:7" x14ac:dyDescent="0.25">
      <c r="A554" t="s">
        <v>26</v>
      </c>
      <c r="B554">
        <v>13</v>
      </c>
      <c r="C554">
        <v>22132.3</v>
      </c>
      <c r="D554">
        <v>1106.6199999999999</v>
      </c>
      <c r="E554">
        <v>686.1</v>
      </c>
      <c r="F554" t="s">
        <v>14</v>
      </c>
      <c r="G554" t="str">
        <f t="shared" si="8"/>
        <v>Banca Calabra|13</v>
      </c>
    </row>
    <row r="555" spans="1:7" x14ac:dyDescent="0.25">
      <c r="A555" t="s">
        <v>26</v>
      </c>
      <c r="B555">
        <v>14</v>
      </c>
      <c r="C555">
        <v>22293.9</v>
      </c>
      <c r="D555">
        <v>1114.7</v>
      </c>
      <c r="E555">
        <v>691.11</v>
      </c>
      <c r="F555" t="s">
        <v>14</v>
      </c>
      <c r="G555" t="str">
        <f t="shared" si="8"/>
        <v>Banca Calabra|14</v>
      </c>
    </row>
    <row r="556" spans="1:7" x14ac:dyDescent="0.25">
      <c r="A556" t="s">
        <v>26</v>
      </c>
      <c r="B556">
        <v>15</v>
      </c>
      <c r="C556">
        <v>22573.4</v>
      </c>
      <c r="D556">
        <v>1128.67</v>
      </c>
      <c r="E556">
        <v>699.78</v>
      </c>
      <c r="F556" t="s">
        <v>14</v>
      </c>
      <c r="G556" t="str">
        <f t="shared" si="8"/>
        <v>Banca Calabra|15</v>
      </c>
    </row>
    <row r="557" spans="1:7" x14ac:dyDescent="0.25">
      <c r="A557" t="s">
        <v>26</v>
      </c>
      <c r="B557">
        <v>16</v>
      </c>
      <c r="C557">
        <v>22693.4</v>
      </c>
      <c r="D557">
        <v>1134.67</v>
      </c>
      <c r="E557">
        <v>703.5</v>
      </c>
      <c r="F557" t="s">
        <v>14</v>
      </c>
      <c r="G557" t="str">
        <f t="shared" si="8"/>
        <v>Banca Calabra|16</v>
      </c>
    </row>
    <row r="558" spans="1:7" x14ac:dyDescent="0.25">
      <c r="A558" t="s">
        <v>26</v>
      </c>
      <c r="B558">
        <v>17</v>
      </c>
      <c r="C558">
        <v>22756.1</v>
      </c>
      <c r="D558">
        <v>1137.81</v>
      </c>
      <c r="E558">
        <v>705.44</v>
      </c>
      <c r="F558" t="s">
        <v>14</v>
      </c>
      <c r="G558" t="str">
        <f t="shared" si="8"/>
        <v>Banca Calabra|17</v>
      </c>
    </row>
    <row r="559" spans="1:7" x14ac:dyDescent="0.25">
      <c r="A559" t="s">
        <v>26</v>
      </c>
      <c r="B559">
        <v>18</v>
      </c>
      <c r="C559">
        <v>22871.7</v>
      </c>
      <c r="D559">
        <v>1143.58</v>
      </c>
      <c r="E559">
        <v>709.02</v>
      </c>
      <c r="F559" t="s">
        <v>14</v>
      </c>
      <c r="G559" t="str">
        <f t="shared" si="8"/>
        <v>Banca Calabra|18</v>
      </c>
    </row>
    <row r="560" spans="1:7" x14ac:dyDescent="0.25">
      <c r="A560" t="s">
        <v>26</v>
      </c>
      <c r="B560">
        <v>19</v>
      </c>
      <c r="C560">
        <v>23246.799999999999</v>
      </c>
      <c r="D560">
        <v>1162.3399999999999</v>
      </c>
      <c r="E560">
        <v>720.65</v>
      </c>
      <c r="F560" t="s">
        <v>14</v>
      </c>
      <c r="G560" t="str">
        <f t="shared" si="8"/>
        <v>Banca Calabra|19</v>
      </c>
    </row>
    <row r="561" spans="1:7" x14ac:dyDescent="0.25">
      <c r="A561" t="s">
        <v>26</v>
      </c>
      <c r="B561">
        <v>20</v>
      </c>
      <c r="C561">
        <v>23150</v>
      </c>
      <c r="D561">
        <v>1157.5</v>
      </c>
      <c r="E561">
        <v>717.65</v>
      </c>
      <c r="F561" t="s">
        <v>14</v>
      </c>
      <c r="G561" t="str">
        <f t="shared" si="8"/>
        <v>Banca Calabra|20</v>
      </c>
    </row>
    <row r="562" spans="1:7" x14ac:dyDescent="0.25">
      <c r="A562" t="s">
        <v>26</v>
      </c>
      <c r="B562">
        <v>21</v>
      </c>
      <c r="C562">
        <v>23502.9</v>
      </c>
      <c r="D562">
        <v>1175.1500000000001</v>
      </c>
      <c r="E562">
        <v>728.59</v>
      </c>
      <c r="F562" t="s">
        <v>14</v>
      </c>
      <c r="G562" t="str">
        <f t="shared" si="8"/>
        <v>Banca Calabra|21</v>
      </c>
    </row>
    <row r="563" spans="1:7" x14ac:dyDescent="0.25">
      <c r="A563" t="s">
        <v>26</v>
      </c>
      <c r="B563">
        <v>22</v>
      </c>
      <c r="C563">
        <v>23614.9</v>
      </c>
      <c r="D563">
        <v>1180.75</v>
      </c>
      <c r="E563">
        <v>732.06</v>
      </c>
      <c r="F563" t="s">
        <v>14</v>
      </c>
      <c r="G563" t="str">
        <f t="shared" si="8"/>
        <v>Banca Calabra|22</v>
      </c>
    </row>
    <row r="564" spans="1:7" x14ac:dyDescent="0.25">
      <c r="A564" t="s">
        <v>26</v>
      </c>
      <c r="B564">
        <v>23</v>
      </c>
      <c r="C564">
        <v>23640.799999999999</v>
      </c>
      <c r="D564">
        <v>1182.04</v>
      </c>
      <c r="E564">
        <v>732.86</v>
      </c>
      <c r="F564" t="s">
        <v>14</v>
      </c>
      <c r="G564" t="str">
        <f t="shared" si="8"/>
        <v>Banca Calabra|23</v>
      </c>
    </row>
    <row r="565" spans="1:7" x14ac:dyDescent="0.25">
      <c r="A565" t="s">
        <v>26</v>
      </c>
      <c r="B565">
        <v>24</v>
      </c>
      <c r="C565">
        <v>23912.5</v>
      </c>
      <c r="D565">
        <v>1195.6199999999999</v>
      </c>
      <c r="E565">
        <v>741.29</v>
      </c>
      <c r="F565" t="s">
        <v>14</v>
      </c>
      <c r="G565" t="str">
        <f t="shared" si="8"/>
        <v>Banca Calabra|24</v>
      </c>
    </row>
    <row r="566" spans="1:7" x14ac:dyDescent="0.25">
      <c r="A566" t="s">
        <v>26</v>
      </c>
      <c r="B566">
        <v>25</v>
      </c>
      <c r="C566">
        <v>24006.2</v>
      </c>
      <c r="D566">
        <v>1200.31</v>
      </c>
      <c r="E566">
        <v>744.19</v>
      </c>
      <c r="F566" t="s">
        <v>14</v>
      </c>
      <c r="G566" t="str">
        <f t="shared" si="8"/>
        <v>Banca Calabra|25</v>
      </c>
    </row>
    <row r="567" spans="1:7" x14ac:dyDescent="0.25">
      <c r="A567" t="s">
        <v>26</v>
      </c>
      <c r="B567">
        <v>26</v>
      </c>
      <c r="C567">
        <v>24268.7</v>
      </c>
      <c r="D567">
        <v>1213.44</v>
      </c>
      <c r="E567">
        <v>752.33</v>
      </c>
      <c r="F567" t="s">
        <v>14</v>
      </c>
      <c r="G567" t="str">
        <f t="shared" si="8"/>
        <v>Banca Calabra|26</v>
      </c>
    </row>
    <row r="568" spans="1:7" x14ac:dyDescent="0.25">
      <c r="A568" t="s">
        <v>26</v>
      </c>
      <c r="B568">
        <v>27</v>
      </c>
      <c r="C568">
        <v>24389</v>
      </c>
      <c r="D568">
        <v>1219.45</v>
      </c>
      <c r="E568">
        <v>756.06</v>
      </c>
      <c r="F568" t="s">
        <v>14</v>
      </c>
      <c r="G568" t="str">
        <f t="shared" si="8"/>
        <v>Banca Calabra|27</v>
      </c>
    </row>
    <row r="569" spans="1:7" x14ac:dyDescent="0.25">
      <c r="A569" t="s">
        <v>26</v>
      </c>
      <c r="B569">
        <v>28</v>
      </c>
      <c r="C569">
        <v>24571.200000000001</v>
      </c>
      <c r="D569">
        <v>1228.56</v>
      </c>
      <c r="E569">
        <v>761.71</v>
      </c>
      <c r="F569" t="s">
        <v>14</v>
      </c>
      <c r="G569" t="str">
        <f t="shared" si="8"/>
        <v>Banca Calabra|28</v>
      </c>
    </row>
    <row r="570" spans="1:7" x14ac:dyDescent="0.25">
      <c r="A570" t="s">
        <v>26</v>
      </c>
      <c r="B570">
        <v>29</v>
      </c>
      <c r="C570">
        <v>24766.1</v>
      </c>
      <c r="D570">
        <v>1238.3</v>
      </c>
      <c r="E570">
        <v>767.75</v>
      </c>
      <c r="F570" t="s">
        <v>14</v>
      </c>
      <c r="G570" t="str">
        <f t="shared" si="8"/>
        <v>Banca Calabra|29</v>
      </c>
    </row>
    <row r="571" spans="1:7" x14ac:dyDescent="0.25">
      <c r="A571" t="s">
        <v>26</v>
      </c>
      <c r="B571">
        <v>30</v>
      </c>
      <c r="C571">
        <v>24927</v>
      </c>
      <c r="D571">
        <v>1246.3499999999999</v>
      </c>
      <c r="E571">
        <v>772.74</v>
      </c>
      <c r="F571" t="s">
        <v>14</v>
      </c>
      <c r="G571" t="str">
        <f t="shared" si="8"/>
        <v>Banca Calabra|30</v>
      </c>
    </row>
    <row r="572" spans="1:7" x14ac:dyDescent="0.25">
      <c r="A572" t="s">
        <v>26</v>
      </c>
      <c r="B572">
        <v>31</v>
      </c>
      <c r="C572">
        <v>24949.200000000001</v>
      </c>
      <c r="D572">
        <v>1247.46</v>
      </c>
      <c r="E572">
        <v>773.42</v>
      </c>
      <c r="F572" t="s">
        <v>14</v>
      </c>
      <c r="G572" t="str">
        <f t="shared" si="8"/>
        <v>Banca Calabra|31</v>
      </c>
    </row>
    <row r="573" spans="1:7" x14ac:dyDescent="0.25">
      <c r="A573" t="s">
        <v>26</v>
      </c>
      <c r="B573">
        <v>32</v>
      </c>
      <c r="C573">
        <v>25021</v>
      </c>
      <c r="D573">
        <v>1251.05</v>
      </c>
      <c r="E573">
        <v>775.65</v>
      </c>
      <c r="F573" t="s">
        <v>14</v>
      </c>
      <c r="G573" t="str">
        <f t="shared" si="8"/>
        <v>Banca Calabra|32</v>
      </c>
    </row>
    <row r="574" spans="1:7" x14ac:dyDescent="0.25">
      <c r="A574" t="s">
        <v>26</v>
      </c>
      <c r="B574">
        <v>33</v>
      </c>
      <c r="C574">
        <v>25134.3</v>
      </c>
      <c r="D574">
        <v>1256.72</v>
      </c>
      <c r="E574">
        <v>779.16</v>
      </c>
      <c r="F574" t="s">
        <v>14</v>
      </c>
      <c r="G574" t="str">
        <f t="shared" si="8"/>
        <v>Banca Calabra|33</v>
      </c>
    </row>
    <row r="575" spans="1:7" x14ac:dyDescent="0.25">
      <c r="A575" t="s">
        <v>26</v>
      </c>
      <c r="B575">
        <v>34</v>
      </c>
      <c r="C575">
        <v>25629.9</v>
      </c>
      <c r="D575">
        <v>1281.5</v>
      </c>
      <c r="E575">
        <v>794.53</v>
      </c>
      <c r="F575" t="s">
        <v>14</v>
      </c>
      <c r="G575" t="str">
        <f t="shared" si="8"/>
        <v>Banca Calabra|34</v>
      </c>
    </row>
    <row r="576" spans="1:7" x14ac:dyDescent="0.25">
      <c r="A576" t="s">
        <v>26</v>
      </c>
      <c r="B576">
        <v>35</v>
      </c>
      <c r="C576">
        <v>25623.8</v>
      </c>
      <c r="D576">
        <v>1281.19</v>
      </c>
      <c r="E576">
        <v>794.34</v>
      </c>
      <c r="F576" t="s">
        <v>14</v>
      </c>
      <c r="G576" t="str">
        <f t="shared" si="8"/>
        <v>Banca Calabra|35</v>
      </c>
    </row>
    <row r="577" spans="1:7" x14ac:dyDescent="0.25">
      <c r="A577" t="s">
        <v>26</v>
      </c>
      <c r="B577">
        <v>36</v>
      </c>
      <c r="C577">
        <v>25881</v>
      </c>
      <c r="D577">
        <v>1294.05</v>
      </c>
      <c r="E577">
        <v>802.31</v>
      </c>
      <c r="F577" t="s">
        <v>14</v>
      </c>
      <c r="G577" t="str">
        <f t="shared" si="8"/>
        <v>Banca Calabra|36</v>
      </c>
    </row>
    <row r="578" spans="1:7" x14ac:dyDescent="0.25">
      <c r="A578" t="s">
        <v>27</v>
      </c>
      <c r="B578">
        <v>1</v>
      </c>
      <c r="C578">
        <v>21253.200000000001</v>
      </c>
      <c r="D578">
        <v>1062.6600000000001</v>
      </c>
      <c r="E578">
        <v>658.85</v>
      </c>
      <c r="F578" t="s">
        <v>8</v>
      </c>
      <c r="G578" t="str">
        <f t="shared" ref="G578:G641" si="9">A578&amp;"|"&amp;B578</f>
        <v>Banca Sicula|1</v>
      </c>
    </row>
    <row r="579" spans="1:7" x14ac:dyDescent="0.25">
      <c r="A579" t="s">
        <v>27</v>
      </c>
      <c r="B579">
        <v>2</v>
      </c>
      <c r="C579">
        <v>21454.5</v>
      </c>
      <c r="D579">
        <v>1072.72</v>
      </c>
      <c r="E579">
        <v>665.09</v>
      </c>
      <c r="F579" t="s">
        <v>8</v>
      </c>
      <c r="G579" t="str">
        <f t="shared" si="9"/>
        <v>Banca Sicula|2</v>
      </c>
    </row>
    <row r="580" spans="1:7" x14ac:dyDescent="0.25">
      <c r="A580" t="s">
        <v>27</v>
      </c>
      <c r="B580">
        <v>3</v>
      </c>
      <c r="C580">
        <v>21699.4</v>
      </c>
      <c r="D580">
        <v>1084.97</v>
      </c>
      <c r="E580">
        <v>672.68</v>
      </c>
      <c r="F580" t="s">
        <v>8</v>
      </c>
      <c r="G580" t="str">
        <f t="shared" si="9"/>
        <v>Banca Sicula|3</v>
      </c>
    </row>
    <row r="581" spans="1:7" x14ac:dyDescent="0.25">
      <c r="A581" t="s">
        <v>27</v>
      </c>
      <c r="B581">
        <v>4</v>
      </c>
      <c r="C581">
        <v>21720.1</v>
      </c>
      <c r="D581">
        <v>1086.01</v>
      </c>
      <c r="E581">
        <v>673.32</v>
      </c>
      <c r="F581" t="s">
        <v>8</v>
      </c>
      <c r="G581" t="str">
        <f t="shared" si="9"/>
        <v>Banca Sicula|4</v>
      </c>
    </row>
    <row r="582" spans="1:7" x14ac:dyDescent="0.25">
      <c r="A582" t="s">
        <v>27</v>
      </c>
      <c r="B582">
        <v>5</v>
      </c>
      <c r="C582">
        <v>22229.8</v>
      </c>
      <c r="D582">
        <v>1111.49</v>
      </c>
      <c r="E582">
        <v>689.12</v>
      </c>
      <c r="F582" t="s">
        <v>8</v>
      </c>
      <c r="G582" t="str">
        <f t="shared" si="9"/>
        <v>Banca Sicula|5</v>
      </c>
    </row>
    <row r="583" spans="1:7" x14ac:dyDescent="0.25">
      <c r="A583" t="s">
        <v>27</v>
      </c>
      <c r="B583">
        <v>6</v>
      </c>
      <c r="C583">
        <v>22280.7</v>
      </c>
      <c r="D583">
        <v>1114.04</v>
      </c>
      <c r="E583">
        <v>690.7</v>
      </c>
      <c r="F583" t="s">
        <v>8</v>
      </c>
      <c r="G583" t="str">
        <f t="shared" si="9"/>
        <v>Banca Sicula|6</v>
      </c>
    </row>
    <row r="584" spans="1:7" x14ac:dyDescent="0.25">
      <c r="A584" t="s">
        <v>27</v>
      </c>
      <c r="B584">
        <v>7</v>
      </c>
      <c r="C584">
        <v>22512.5</v>
      </c>
      <c r="D584">
        <v>1125.6199999999999</v>
      </c>
      <c r="E584">
        <v>697.89</v>
      </c>
      <c r="F584" t="s">
        <v>8</v>
      </c>
      <c r="G584" t="str">
        <f t="shared" si="9"/>
        <v>Banca Sicula|7</v>
      </c>
    </row>
    <row r="585" spans="1:7" x14ac:dyDescent="0.25">
      <c r="A585" t="s">
        <v>27</v>
      </c>
      <c r="B585">
        <v>8</v>
      </c>
      <c r="C585">
        <v>22687.3</v>
      </c>
      <c r="D585">
        <v>1134.3699999999999</v>
      </c>
      <c r="E585">
        <v>703.31</v>
      </c>
      <c r="F585" t="s">
        <v>8</v>
      </c>
      <c r="G585" t="str">
        <f t="shared" si="9"/>
        <v>Banca Sicula|8</v>
      </c>
    </row>
    <row r="586" spans="1:7" x14ac:dyDescent="0.25">
      <c r="A586" t="s">
        <v>27</v>
      </c>
      <c r="B586">
        <v>9</v>
      </c>
      <c r="C586">
        <v>22688.400000000001</v>
      </c>
      <c r="D586">
        <v>1134.42</v>
      </c>
      <c r="E586">
        <v>703.34</v>
      </c>
      <c r="F586" t="s">
        <v>8</v>
      </c>
      <c r="G586" t="str">
        <f t="shared" si="9"/>
        <v>Banca Sicula|9</v>
      </c>
    </row>
    <row r="587" spans="1:7" x14ac:dyDescent="0.25">
      <c r="A587" t="s">
        <v>27</v>
      </c>
      <c r="B587">
        <v>10</v>
      </c>
      <c r="C587">
        <v>23011.4</v>
      </c>
      <c r="D587">
        <v>1150.57</v>
      </c>
      <c r="E587">
        <v>713.35</v>
      </c>
      <c r="F587" t="s">
        <v>8</v>
      </c>
      <c r="G587" t="str">
        <f t="shared" si="9"/>
        <v>Banca Sicula|10</v>
      </c>
    </row>
    <row r="588" spans="1:7" x14ac:dyDescent="0.25">
      <c r="A588" t="s">
        <v>27</v>
      </c>
      <c r="B588">
        <v>11</v>
      </c>
      <c r="C588">
        <v>23182.2</v>
      </c>
      <c r="D588">
        <v>1159.1099999999999</v>
      </c>
      <c r="E588">
        <v>718.65</v>
      </c>
      <c r="F588" t="s">
        <v>8</v>
      </c>
      <c r="G588" t="str">
        <f t="shared" si="9"/>
        <v>Banca Sicula|11</v>
      </c>
    </row>
    <row r="589" spans="1:7" x14ac:dyDescent="0.25">
      <c r="A589" t="s">
        <v>27</v>
      </c>
      <c r="B589">
        <v>12</v>
      </c>
      <c r="C589">
        <v>23173.9</v>
      </c>
      <c r="D589">
        <v>1158.7</v>
      </c>
      <c r="E589">
        <v>718.39</v>
      </c>
      <c r="F589" t="s">
        <v>8</v>
      </c>
      <c r="G589" t="str">
        <f t="shared" si="9"/>
        <v>Banca Sicula|12</v>
      </c>
    </row>
    <row r="590" spans="1:7" x14ac:dyDescent="0.25">
      <c r="A590" t="s">
        <v>27</v>
      </c>
      <c r="B590">
        <v>13</v>
      </c>
      <c r="C590">
        <v>23360.400000000001</v>
      </c>
      <c r="D590">
        <v>1168.02</v>
      </c>
      <c r="E590">
        <v>724.17</v>
      </c>
      <c r="F590" t="s">
        <v>8</v>
      </c>
      <c r="G590" t="str">
        <f t="shared" si="9"/>
        <v>Banca Sicula|13</v>
      </c>
    </row>
    <row r="591" spans="1:7" x14ac:dyDescent="0.25">
      <c r="A591" t="s">
        <v>27</v>
      </c>
      <c r="B591">
        <v>14</v>
      </c>
      <c r="C591">
        <v>23534</v>
      </c>
      <c r="D591">
        <v>1176.7</v>
      </c>
      <c r="E591">
        <v>729.56</v>
      </c>
      <c r="F591" t="s">
        <v>8</v>
      </c>
      <c r="G591" t="str">
        <f t="shared" si="9"/>
        <v>Banca Sicula|14</v>
      </c>
    </row>
    <row r="592" spans="1:7" x14ac:dyDescent="0.25">
      <c r="A592" t="s">
        <v>27</v>
      </c>
      <c r="B592">
        <v>15</v>
      </c>
      <c r="C592">
        <v>23678.1</v>
      </c>
      <c r="D592">
        <v>1183.9100000000001</v>
      </c>
      <c r="E592">
        <v>734.02</v>
      </c>
      <c r="F592" t="s">
        <v>8</v>
      </c>
      <c r="G592" t="str">
        <f t="shared" si="9"/>
        <v>Banca Sicula|15</v>
      </c>
    </row>
    <row r="593" spans="1:7" x14ac:dyDescent="0.25">
      <c r="A593" t="s">
        <v>27</v>
      </c>
      <c r="B593">
        <v>16</v>
      </c>
      <c r="C593">
        <v>23875.4</v>
      </c>
      <c r="D593">
        <v>1193.77</v>
      </c>
      <c r="E593">
        <v>740.14</v>
      </c>
      <c r="F593" t="s">
        <v>8</v>
      </c>
      <c r="G593" t="str">
        <f t="shared" si="9"/>
        <v>Banca Sicula|16</v>
      </c>
    </row>
    <row r="594" spans="1:7" x14ac:dyDescent="0.25">
      <c r="A594" t="s">
        <v>27</v>
      </c>
      <c r="B594">
        <v>17</v>
      </c>
      <c r="C594">
        <v>23797.9</v>
      </c>
      <c r="D594">
        <v>1189.8900000000001</v>
      </c>
      <c r="E594">
        <v>737.73</v>
      </c>
      <c r="F594" t="s">
        <v>8</v>
      </c>
      <c r="G594" t="str">
        <f t="shared" si="9"/>
        <v>Banca Sicula|17</v>
      </c>
    </row>
    <row r="595" spans="1:7" x14ac:dyDescent="0.25">
      <c r="A595" t="s">
        <v>27</v>
      </c>
      <c r="B595">
        <v>18</v>
      </c>
      <c r="C595">
        <v>24056.9</v>
      </c>
      <c r="D595">
        <v>1202.8399999999999</v>
      </c>
      <c r="E595">
        <v>745.76</v>
      </c>
      <c r="F595" t="s">
        <v>8</v>
      </c>
      <c r="G595" t="str">
        <f t="shared" si="9"/>
        <v>Banca Sicula|18</v>
      </c>
    </row>
    <row r="596" spans="1:7" x14ac:dyDescent="0.25">
      <c r="A596" t="s">
        <v>27</v>
      </c>
      <c r="B596">
        <v>19</v>
      </c>
      <c r="C596">
        <v>24258.3</v>
      </c>
      <c r="D596">
        <v>1212.92</v>
      </c>
      <c r="E596">
        <v>752.01</v>
      </c>
      <c r="F596" t="s">
        <v>8</v>
      </c>
      <c r="G596" t="str">
        <f t="shared" si="9"/>
        <v>Banca Sicula|19</v>
      </c>
    </row>
    <row r="597" spans="1:7" x14ac:dyDescent="0.25">
      <c r="A597" t="s">
        <v>27</v>
      </c>
      <c r="B597">
        <v>20</v>
      </c>
      <c r="C597">
        <v>24407.200000000001</v>
      </c>
      <c r="D597">
        <v>1220.3599999999999</v>
      </c>
      <c r="E597">
        <v>756.62</v>
      </c>
      <c r="F597" t="s">
        <v>8</v>
      </c>
      <c r="G597" t="str">
        <f t="shared" si="9"/>
        <v>Banca Sicula|20</v>
      </c>
    </row>
    <row r="598" spans="1:7" x14ac:dyDescent="0.25">
      <c r="A598" t="s">
        <v>27</v>
      </c>
      <c r="B598">
        <v>21</v>
      </c>
      <c r="C598">
        <v>24641.1</v>
      </c>
      <c r="D598">
        <v>1232.06</v>
      </c>
      <c r="E598">
        <v>763.87</v>
      </c>
      <c r="F598" t="s">
        <v>8</v>
      </c>
      <c r="G598" t="str">
        <f t="shared" si="9"/>
        <v>Banca Sicula|21</v>
      </c>
    </row>
    <row r="599" spans="1:7" x14ac:dyDescent="0.25">
      <c r="A599" t="s">
        <v>27</v>
      </c>
      <c r="B599">
        <v>22</v>
      </c>
      <c r="C599">
        <v>24807.8</v>
      </c>
      <c r="D599">
        <v>1240.3900000000001</v>
      </c>
      <c r="E599">
        <v>769.04</v>
      </c>
      <c r="F599" t="s">
        <v>8</v>
      </c>
      <c r="G599" t="str">
        <f t="shared" si="9"/>
        <v>Banca Sicula|22</v>
      </c>
    </row>
    <row r="600" spans="1:7" x14ac:dyDescent="0.25">
      <c r="A600" t="s">
        <v>27</v>
      </c>
      <c r="B600">
        <v>23</v>
      </c>
      <c r="C600">
        <v>24730.3</v>
      </c>
      <c r="D600">
        <v>1236.51</v>
      </c>
      <c r="E600">
        <v>766.64</v>
      </c>
      <c r="F600" t="s">
        <v>8</v>
      </c>
      <c r="G600" t="str">
        <f t="shared" si="9"/>
        <v>Banca Sicula|23</v>
      </c>
    </row>
    <row r="601" spans="1:7" x14ac:dyDescent="0.25">
      <c r="A601" t="s">
        <v>27</v>
      </c>
      <c r="B601">
        <v>24</v>
      </c>
      <c r="C601">
        <v>25136.1</v>
      </c>
      <c r="D601">
        <v>1256.81</v>
      </c>
      <c r="E601">
        <v>779.22</v>
      </c>
      <c r="F601" t="s">
        <v>8</v>
      </c>
      <c r="G601" t="str">
        <f t="shared" si="9"/>
        <v>Banca Sicula|24</v>
      </c>
    </row>
    <row r="602" spans="1:7" x14ac:dyDescent="0.25">
      <c r="A602" t="s">
        <v>27</v>
      </c>
      <c r="B602">
        <v>25</v>
      </c>
      <c r="C602">
        <v>25404.7</v>
      </c>
      <c r="D602">
        <v>1270.24</v>
      </c>
      <c r="E602">
        <v>787.55</v>
      </c>
      <c r="F602" t="s">
        <v>8</v>
      </c>
      <c r="G602" t="str">
        <f t="shared" si="9"/>
        <v>Banca Sicula|25</v>
      </c>
    </row>
    <row r="603" spans="1:7" x14ac:dyDescent="0.25">
      <c r="A603" t="s">
        <v>27</v>
      </c>
      <c r="B603">
        <v>26</v>
      </c>
      <c r="C603">
        <v>25544.9</v>
      </c>
      <c r="D603">
        <v>1277.25</v>
      </c>
      <c r="E603">
        <v>791.89</v>
      </c>
      <c r="F603" t="s">
        <v>8</v>
      </c>
      <c r="G603" t="str">
        <f t="shared" si="9"/>
        <v>Banca Sicula|26</v>
      </c>
    </row>
    <row r="604" spans="1:7" x14ac:dyDescent="0.25">
      <c r="A604" t="s">
        <v>27</v>
      </c>
      <c r="B604">
        <v>27</v>
      </c>
      <c r="C604">
        <v>25495.8</v>
      </c>
      <c r="D604">
        <v>1274.79</v>
      </c>
      <c r="E604">
        <v>790.37</v>
      </c>
      <c r="F604" t="s">
        <v>8</v>
      </c>
      <c r="G604" t="str">
        <f t="shared" si="9"/>
        <v>Banca Sicula|27</v>
      </c>
    </row>
    <row r="605" spans="1:7" x14ac:dyDescent="0.25">
      <c r="A605" t="s">
        <v>27</v>
      </c>
      <c r="B605">
        <v>28</v>
      </c>
      <c r="C605">
        <v>25702.9</v>
      </c>
      <c r="D605">
        <v>1285.1500000000001</v>
      </c>
      <c r="E605">
        <v>796.79</v>
      </c>
      <c r="F605" t="s">
        <v>8</v>
      </c>
      <c r="G605" t="str">
        <f t="shared" si="9"/>
        <v>Banca Sicula|28</v>
      </c>
    </row>
    <row r="606" spans="1:7" x14ac:dyDescent="0.25">
      <c r="A606" t="s">
        <v>27</v>
      </c>
      <c r="B606">
        <v>29</v>
      </c>
      <c r="C606">
        <v>25714</v>
      </c>
      <c r="D606">
        <v>1285.7</v>
      </c>
      <c r="E606">
        <v>797.13</v>
      </c>
      <c r="F606" t="s">
        <v>8</v>
      </c>
      <c r="G606" t="str">
        <f t="shared" si="9"/>
        <v>Banca Sicula|29</v>
      </c>
    </row>
    <row r="607" spans="1:7" x14ac:dyDescent="0.25">
      <c r="A607" t="s">
        <v>27</v>
      </c>
      <c r="B607">
        <v>30</v>
      </c>
      <c r="C607">
        <v>25824.400000000001</v>
      </c>
      <c r="D607">
        <v>1291.22</v>
      </c>
      <c r="E607">
        <v>800.56</v>
      </c>
      <c r="F607" t="s">
        <v>8</v>
      </c>
      <c r="G607" t="str">
        <f t="shared" si="9"/>
        <v>Banca Sicula|30</v>
      </c>
    </row>
    <row r="608" spans="1:7" x14ac:dyDescent="0.25">
      <c r="A608" t="s">
        <v>27</v>
      </c>
      <c r="B608">
        <v>31</v>
      </c>
      <c r="C608">
        <v>26218</v>
      </c>
      <c r="D608">
        <v>1310.9</v>
      </c>
      <c r="E608">
        <v>812.76</v>
      </c>
      <c r="F608" t="s">
        <v>8</v>
      </c>
      <c r="G608" t="str">
        <f t="shared" si="9"/>
        <v>Banca Sicula|31</v>
      </c>
    </row>
    <row r="609" spans="1:7" x14ac:dyDescent="0.25">
      <c r="A609" t="s">
        <v>27</v>
      </c>
      <c r="B609">
        <v>32</v>
      </c>
      <c r="C609">
        <v>26144.5</v>
      </c>
      <c r="D609">
        <v>1307.22</v>
      </c>
      <c r="E609">
        <v>810.48</v>
      </c>
      <c r="F609" t="s">
        <v>8</v>
      </c>
      <c r="G609" t="str">
        <f t="shared" si="9"/>
        <v>Banca Sicula|32</v>
      </c>
    </row>
    <row r="610" spans="1:7" x14ac:dyDescent="0.25">
      <c r="A610" t="s">
        <v>27</v>
      </c>
      <c r="B610">
        <v>33</v>
      </c>
      <c r="C610">
        <v>26397.599999999999</v>
      </c>
      <c r="D610">
        <v>1319.88</v>
      </c>
      <c r="E610">
        <v>818.32</v>
      </c>
      <c r="F610" t="s">
        <v>8</v>
      </c>
      <c r="G610" t="str">
        <f t="shared" si="9"/>
        <v>Banca Sicula|33</v>
      </c>
    </row>
    <row r="611" spans="1:7" x14ac:dyDescent="0.25">
      <c r="A611" t="s">
        <v>27</v>
      </c>
      <c r="B611">
        <v>34</v>
      </c>
      <c r="C611">
        <v>26652</v>
      </c>
      <c r="D611">
        <v>1332.6</v>
      </c>
      <c r="E611">
        <v>826.21</v>
      </c>
      <c r="F611" t="s">
        <v>8</v>
      </c>
      <c r="G611" t="str">
        <f t="shared" si="9"/>
        <v>Banca Sicula|34</v>
      </c>
    </row>
    <row r="612" spans="1:7" x14ac:dyDescent="0.25">
      <c r="A612" t="s">
        <v>27</v>
      </c>
      <c r="B612">
        <v>35</v>
      </c>
      <c r="C612">
        <v>26868.6</v>
      </c>
      <c r="D612">
        <v>1343.43</v>
      </c>
      <c r="E612">
        <v>832.93</v>
      </c>
      <c r="F612" t="s">
        <v>8</v>
      </c>
      <c r="G612" t="str">
        <f t="shared" si="9"/>
        <v>Banca Sicula|35</v>
      </c>
    </row>
    <row r="613" spans="1:7" x14ac:dyDescent="0.25">
      <c r="A613" t="s">
        <v>27</v>
      </c>
      <c r="B613">
        <v>36</v>
      </c>
      <c r="C613">
        <v>26813.4</v>
      </c>
      <c r="D613">
        <v>1340.67</v>
      </c>
      <c r="E613">
        <v>831.22</v>
      </c>
      <c r="F613" t="s">
        <v>8</v>
      </c>
      <c r="G613" t="str">
        <f t="shared" si="9"/>
        <v>Banca Sicula|36</v>
      </c>
    </row>
    <row r="614" spans="1:7" x14ac:dyDescent="0.25">
      <c r="A614" t="s">
        <v>28</v>
      </c>
      <c r="B614">
        <v>1</v>
      </c>
      <c r="C614">
        <v>22514</v>
      </c>
      <c r="D614">
        <v>1125.7</v>
      </c>
      <c r="E614">
        <v>697.93</v>
      </c>
      <c r="F614" t="s">
        <v>10</v>
      </c>
      <c r="G614" t="str">
        <f t="shared" si="9"/>
        <v>Banca Sarda|1</v>
      </c>
    </row>
    <row r="615" spans="1:7" x14ac:dyDescent="0.25">
      <c r="A615" t="s">
        <v>28</v>
      </c>
      <c r="B615">
        <v>2</v>
      </c>
      <c r="C615">
        <v>22493</v>
      </c>
      <c r="D615">
        <v>1124.6500000000001</v>
      </c>
      <c r="E615">
        <v>697.28</v>
      </c>
      <c r="F615" t="s">
        <v>10</v>
      </c>
      <c r="G615" t="str">
        <f t="shared" si="9"/>
        <v>Banca Sarda|2</v>
      </c>
    </row>
    <row r="616" spans="1:7" x14ac:dyDescent="0.25">
      <c r="A616" t="s">
        <v>28</v>
      </c>
      <c r="B616">
        <v>3</v>
      </c>
      <c r="C616">
        <v>22844.799999999999</v>
      </c>
      <c r="D616">
        <v>1142.24</v>
      </c>
      <c r="E616">
        <v>708.19</v>
      </c>
      <c r="F616" t="s">
        <v>10</v>
      </c>
      <c r="G616" t="str">
        <f t="shared" si="9"/>
        <v>Banca Sarda|3</v>
      </c>
    </row>
    <row r="617" spans="1:7" x14ac:dyDescent="0.25">
      <c r="A617" t="s">
        <v>28</v>
      </c>
      <c r="B617">
        <v>4</v>
      </c>
      <c r="C617">
        <v>22996.400000000001</v>
      </c>
      <c r="D617">
        <v>1149.82</v>
      </c>
      <c r="E617">
        <v>712.89</v>
      </c>
      <c r="F617" t="s">
        <v>10</v>
      </c>
      <c r="G617" t="str">
        <f t="shared" si="9"/>
        <v>Banca Sarda|4</v>
      </c>
    </row>
    <row r="618" spans="1:7" x14ac:dyDescent="0.25">
      <c r="A618" t="s">
        <v>28</v>
      </c>
      <c r="B618">
        <v>5</v>
      </c>
      <c r="C618">
        <v>22956.5</v>
      </c>
      <c r="D618">
        <v>1147.83</v>
      </c>
      <c r="E618">
        <v>711.65</v>
      </c>
      <c r="F618" t="s">
        <v>10</v>
      </c>
      <c r="G618" t="str">
        <f t="shared" si="9"/>
        <v>Banca Sarda|5</v>
      </c>
    </row>
    <row r="619" spans="1:7" x14ac:dyDescent="0.25">
      <c r="A619" t="s">
        <v>28</v>
      </c>
      <c r="B619">
        <v>6</v>
      </c>
      <c r="C619">
        <v>23161.8</v>
      </c>
      <c r="D619">
        <v>1158.0899999999999</v>
      </c>
      <c r="E619">
        <v>718.02</v>
      </c>
      <c r="F619" t="s">
        <v>10</v>
      </c>
      <c r="G619" t="str">
        <f t="shared" si="9"/>
        <v>Banca Sarda|6</v>
      </c>
    </row>
    <row r="620" spans="1:7" x14ac:dyDescent="0.25">
      <c r="A620" t="s">
        <v>28</v>
      </c>
      <c r="B620">
        <v>7</v>
      </c>
      <c r="C620">
        <v>23245.599999999999</v>
      </c>
      <c r="D620">
        <v>1162.28</v>
      </c>
      <c r="E620">
        <v>720.61</v>
      </c>
      <c r="F620" t="s">
        <v>10</v>
      </c>
      <c r="G620" t="str">
        <f t="shared" si="9"/>
        <v>Banca Sarda|7</v>
      </c>
    </row>
    <row r="621" spans="1:7" x14ac:dyDescent="0.25">
      <c r="A621" t="s">
        <v>28</v>
      </c>
      <c r="B621">
        <v>8</v>
      </c>
      <c r="C621">
        <v>23607.1</v>
      </c>
      <c r="D621">
        <v>1180.3599999999999</v>
      </c>
      <c r="E621">
        <v>731.82</v>
      </c>
      <c r="F621" t="s">
        <v>10</v>
      </c>
      <c r="G621" t="str">
        <f t="shared" si="9"/>
        <v>Banca Sarda|8</v>
      </c>
    </row>
    <row r="622" spans="1:7" x14ac:dyDescent="0.25">
      <c r="A622" t="s">
        <v>28</v>
      </c>
      <c r="B622">
        <v>9</v>
      </c>
      <c r="C622">
        <v>23777.200000000001</v>
      </c>
      <c r="D622">
        <v>1188.8599999999999</v>
      </c>
      <c r="E622">
        <v>737.09</v>
      </c>
      <c r="F622" t="s">
        <v>10</v>
      </c>
      <c r="G622" t="str">
        <f t="shared" si="9"/>
        <v>Banca Sarda|9</v>
      </c>
    </row>
    <row r="623" spans="1:7" x14ac:dyDescent="0.25">
      <c r="A623" t="s">
        <v>28</v>
      </c>
      <c r="B623">
        <v>10</v>
      </c>
      <c r="C623">
        <v>23975.200000000001</v>
      </c>
      <c r="D623">
        <v>1198.76</v>
      </c>
      <c r="E623">
        <v>743.23</v>
      </c>
      <c r="F623" t="s">
        <v>10</v>
      </c>
      <c r="G623" t="str">
        <f t="shared" si="9"/>
        <v>Banca Sarda|10</v>
      </c>
    </row>
    <row r="624" spans="1:7" x14ac:dyDescent="0.25">
      <c r="A624" t="s">
        <v>28</v>
      </c>
      <c r="B624">
        <v>11</v>
      </c>
      <c r="C624">
        <v>24245.7</v>
      </c>
      <c r="D624">
        <v>1212.28</v>
      </c>
      <c r="E624">
        <v>751.62</v>
      </c>
      <c r="F624" t="s">
        <v>10</v>
      </c>
      <c r="G624" t="str">
        <f t="shared" si="9"/>
        <v>Banca Sarda|11</v>
      </c>
    </row>
    <row r="625" spans="1:7" x14ac:dyDescent="0.25">
      <c r="A625" t="s">
        <v>28</v>
      </c>
      <c r="B625">
        <v>12</v>
      </c>
      <c r="C625">
        <v>24370.2</v>
      </c>
      <c r="D625">
        <v>1218.51</v>
      </c>
      <c r="E625">
        <v>755.48</v>
      </c>
      <c r="F625" t="s">
        <v>10</v>
      </c>
      <c r="G625" t="str">
        <f t="shared" si="9"/>
        <v>Banca Sarda|12</v>
      </c>
    </row>
    <row r="626" spans="1:7" x14ac:dyDescent="0.25">
      <c r="A626" t="s">
        <v>28</v>
      </c>
      <c r="B626">
        <v>13</v>
      </c>
      <c r="C626">
        <v>24226.7</v>
      </c>
      <c r="D626">
        <v>1211.33</v>
      </c>
      <c r="E626">
        <v>751.03</v>
      </c>
      <c r="F626" t="s">
        <v>10</v>
      </c>
      <c r="G626" t="str">
        <f t="shared" si="9"/>
        <v>Banca Sarda|13</v>
      </c>
    </row>
    <row r="627" spans="1:7" x14ac:dyDescent="0.25">
      <c r="A627" t="s">
        <v>28</v>
      </c>
      <c r="B627">
        <v>14</v>
      </c>
      <c r="C627">
        <v>24437.9</v>
      </c>
      <c r="D627">
        <v>1221.9000000000001</v>
      </c>
      <c r="E627">
        <v>757.58</v>
      </c>
      <c r="F627" t="s">
        <v>10</v>
      </c>
      <c r="G627" t="str">
        <f t="shared" si="9"/>
        <v>Banca Sarda|14</v>
      </c>
    </row>
    <row r="628" spans="1:7" x14ac:dyDescent="0.25">
      <c r="A628" t="s">
        <v>28</v>
      </c>
      <c r="B628">
        <v>15</v>
      </c>
      <c r="C628">
        <v>24572.1</v>
      </c>
      <c r="D628">
        <v>1228.6099999999999</v>
      </c>
      <c r="E628">
        <v>761.74</v>
      </c>
      <c r="F628" t="s">
        <v>10</v>
      </c>
      <c r="G628" t="str">
        <f t="shared" si="9"/>
        <v>Banca Sarda|15</v>
      </c>
    </row>
    <row r="629" spans="1:7" x14ac:dyDescent="0.25">
      <c r="A629" t="s">
        <v>28</v>
      </c>
      <c r="B629">
        <v>16</v>
      </c>
      <c r="C629">
        <v>24883.7</v>
      </c>
      <c r="D629">
        <v>1244.18</v>
      </c>
      <c r="E629">
        <v>771.39</v>
      </c>
      <c r="F629" t="s">
        <v>10</v>
      </c>
      <c r="G629" t="str">
        <f t="shared" si="9"/>
        <v>Banca Sarda|16</v>
      </c>
    </row>
    <row r="630" spans="1:7" x14ac:dyDescent="0.25">
      <c r="A630" t="s">
        <v>28</v>
      </c>
      <c r="B630">
        <v>17</v>
      </c>
      <c r="C630">
        <v>24983.8</v>
      </c>
      <c r="D630">
        <v>1249.19</v>
      </c>
      <c r="E630">
        <v>774.5</v>
      </c>
      <c r="F630" t="s">
        <v>10</v>
      </c>
      <c r="G630" t="str">
        <f t="shared" si="9"/>
        <v>Banca Sarda|17</v>
      </c>
    </row>
    <row r="631" spans="1:7" x14ac:dyDescent="0.25">
      <c r="A631" t="s">
        <v>28</v>
      </c>
      <c r="B631">
        <v>18</v>
      </c>
      <c r="C631">
        <v>25208</v>
      </c>
      <c r="D631">
        <v>1260.4000000000001</v>
      </c>
      <c r="E631">
        <v>781.45</v>
      </c>
      <c r="F631" t="s">
        <v>10</v>
      </c>
      <c r="G631" t="str">
        <f t="shared" si="9"/>
        <v>Banca Sarda|18</v>
      </c>
    </row>
    <row r="632" spans="1:7" x14ac:dyDescent="0.25">
      <c r="A632" t="s">
        <v>28</v>
      </c>
      <c r="B632">
        <v>19</v>
      </c>
      <c r="C632">
        <v>25380.3</v>
      </c>
      <c r="D632">
        <v>1269.02</v>
      </c>
      <c r="E632">
        <v>786.79</v>
      </c>
      <c r="F632" t="s">
        <v>10</v>
      </c>
      <c r="G632" t="str">
        <f t="shared" si="9"/>
        <v>Banca Sarda|19</v>
      </c>
    </row>
    <row r="633" spans="1:7" x14ac:dyDescent="0.25">
      <c r="A633" t="s">
        <v>28</v>
      </c>
      <c r="B633">
        <v>20</v>
      </c>
      <c r="C633">
        <v>25678.3</v>
      </c>
      <c r="D633">
        <v>1283.92</v>
      </c>
      <c r="E633">
        <v>796.03</v>
      </c>
      <c r="F633" t="s">
        <v>10</v>
      </c>
      <c r="G633" t="str">
        <f t="shared" si="9"/>
        <v>Banca Sarda|20</v>
      </c>
    </row>
    <row r="634" spans="1:7" x14ac:dyDescent="0.25">
      <c r="A634" t="s">
        <v>28</v>
      </c>
      <c r="B634">
        <v>21</v>
      </c>
      <c r="C634">
        <v>25757.9</v>
      </c>
      <c r="D634">
        <v>1287.9000000000001</v>
      </c>
      <c r="E634">
        <v>798.5</v>
      </c>
      <c r="F634" t="s">
        <v>10</v>
      </c>
      <c r="G634" t="str">
        <f t="shared" si="9"/>
        <v>Banca Sarda|21</v>
      </c>
    </row>
    <row r="635" spans="1:7" x14ac:dyDescent="0.25">
      <c r="A635" t="s">
        <v>28</v>
      </c>
      <c r="B635">
        <v>22</v>
      </c>
      <c r="C635">
        <v>25774.6</v>
      </c>
      <c r="D635">
        <v>1288.73</v>
      </c>
      <c r="E635">
        <v>799.01</v>
      </c>
      <c r="F635" t="s">
        <v>10</v>
      </c>
      <c r="G635" t="str">
        <f t="shared" si="9"/>
        <v>Banca Sarda|22</v>
      </c>
    </row>
    <row r="636" spans="1:7" x14ac:dyDescent="0.25">
      <c r="A636" t="s">
        <v>28</v>
      </c>
      <c r="B636">
        <v>23</v>
      </c>
      <c r="C636">
        <v>26016</v>
      </c>
      <c r="D636">
        <v>1300.8</v>
      </c>
      <c r="E636">
        <v>806.49</v>
      </c>
      <c r="F636" t="s">
        <v>10</v>
      </c>
      <c r="G636" t="str">
        <f t="shared" si="9"/>
        <v>Banca Sarda|23</v>
      </c>
    </row>
    <row r="637" spans="1:7" x14ac:dyDescent="0.25">
      <c r="A637" t="s">
        <v>28</v>
      </c>
      <c r="B637">
        <v>24</v>
      </c>
      <c r="C637">
        <v>26317.599999999999</v>
      </c>
      <c r="D637">
        <v>1315.88</v>
      </c>
      <c r="E637">
        <v>815.85</v>
      </c>
      <c r="F637" t="s">
        <v>10</v>
      </c>
      <c r="G637" t="str">
        <f t="shared" si="9"/>
        <v>Banca Sarda|24</v>
      </c>
    </row>
    <row r="638" spans="1:7" x14ac:dyDescent="0.25">
      <c r="A638" t="s">
        <v>28</v>
      </c>
      <c r="B638">
        <v>25</v>
      </c>
      <c r="C638">
        <v>26194.6</v>
      </c>
      <c r="D638">
        <v>1309.73</v>
      </c>
      <c r="E638">
        <v>812.03</v>
      </c>
      <c r="F638" t="s">
        <v>10</v>
      </c>
      <c r="G638" t="str">
        <f t="shared" si="9"/>
        <v>Banca Sarda|25</v>
      </c>
    </row>
    <row r="639" spans="1:7" x14ac:dyDescent="0.25">
      <c r="A639" t="s">
        <v>28</v>
      </c>
      <c r="B639">
        <v>26</v>
      </c>
      <c r="C639">
        <v>26380.9</v>
      </c>
      <c r="D639">
        <v>1319.05</v>
      </c>
      <c r="E639">
        <v>817.81</v>
      </c>
      <c r="F639" t="s">
        <v>10</v>
      </c>
      <c r="G639" t="str">
        <f t="shared" si="9"/>
        <v>Banca Sarda|26</v>
      </c>
    </row>
    <row r="640" spans="1:7" x14ac:dyDescent="0.25">
      <c r="A640" t="s">
        <v>28</v>
      </c>
      <c r="B640">
        <v>27</v>
      </c>
      <c r="C640">
        <v>26645.599999999999</v>
      </c>
      <c r="D640">
        <v>1332.28</v>
      </c>
      <c r="E640">
        <v>826.01</v>
      </c>
      <c r="F640" t="s">
        <v>10</v>
      </c>
      <c r="G640" t="str">
        <f t="shared" si="9"/>
        <v>Banca Sarda|27</v>
      </c>
    </row>
    <row r="641" spans="1:7" x14ac:dyDescent="0.25">
      <c r="A641" t="s">
        <v>28</v>
      </c>
      <c r="B641">
        <v>28</v>
      </c>
      <c r="C641">
        <v>26900.1</v>
      </c>
      <c r="D641">
        <v>1345.01</v>
      </c>
      <c r="E641">
        <v>833.9</v>
      </c>
      <c r="F641" t="s">
        <v>10</v>
      </c>
      <c r="G641" t="str">
        <f t="shared" si="9"/>
        <v>Banca Sarda|28</v>
      </c>
    </row>
    <row r="642" spans="1:7" x14ac:dyDescent="0.25">
      <c r="A642" t="s">
        <v>28</v>
      </c>
      <c r="B642">
        <v>29</v>
      </c>
      <c r="C642">
        <v>27077.4</v>
      </c>
      <c r="D642">
        <v>1353.87</v>
      </c>
      <c r="E642">
        <v>839.4</v>
      </c>
      <c r="F642" t="s">
        <v>10</v>
      </c>
      <c r="G642" t="str">
        <f t="shared" ref="G642:G705" si="10">A642&amp;"|"&amp;B642</f>
        <v>Banca Sarda|29</v>
      </c>
    </row>
    <row r="643" spans="1:7" x14ac:dyDescent="0.25">
      <c r="A643" t="s">
        <v>28</v>
      </c>
      <c r="B643">
        <v>30</v>
      </c>
      <c r="C643">
        <v>27309.599999999999</v>
      </c>
      <c r="D643">
        <v>1365.48</v>
      </c>
      <c r="E643">
        <v>846.6</v>
      </c>
      <c r="F643" t="s">
        <v>10</v>
      </c>
      <c r="G643" t="str">
        <f t="shared" si="10"/>
        <v>Banca Sarda|30</v>
      </c>
    </row>
    <row r="644" spans="1:7" x14ac:dyDescent="0.25">
      <c r="A644" t="s">
        <v>28</v>
      </c>
      <c r="B644">
        <v>31</v>
      </c>
      <c r="C644">
        <v>27523.5</v>
      </c>
      <c r="D644">
        <v>1376.18</v>
      </c>
      <c r="E644">
        <v>853.23</v>
      </c>
      <c r="F644" t="s">
        <v>10</v>
      </c>
      <c r="G644" t="str">
        <f t="shared" si="10"/>
        <v>Banca Sarda|31</v>
      </c>
    </row>
    <row r="645" spans="1:7" x14ac:dyDescent="0.25">
      <c r="A645" t="s">
        <v>28</v>
      </c>
      <c r="B645">
        <v>32</v>
      </c>
      <c r="C645">
        <v>27690</v>
      </c>
      <c r="D645">
        <v>1384.5</v>
      </c>
      <c r="E645">
        <v>858.39</v>
      </c>
      <c r="F645" t="s">
        <v>10</v>
      </c>
      <c r="G645" t="str">
        <f t="shared" si="10"/>
        <v>Banca Sarda|32</v>
      </c>
    </row>
    <row r="646" spans="1:7" x14ac:dyDescent="0.25">
      <c r="A646" t="s">
        <v>28</v>
      </c>
      <c r="B646">
        <v>33</v>
      </c>
      <c r="C646">
        <v>27522.799999999999</v>
      </c>
      <c r="D646">
        <v>1376.14</v>
      </c>
      <c r="E646">
        <v>853.21</v>
      </c>
      <c r="F646" t="s">
        <v>10</v>
      </c>
      <c r="G646" t="str">
        <f t="shared" si="10"/>
        <v>Banca Sarda|33</v>
      </c>
    </row>
    <row r="647" spans="1:7" x14ac:dyDescent="0.25">
      <c r="A647" t="s">
        <v>28</v>
      </c>
      <c r="B647">
        <v>34</v>
      </c>
      <c r="C647">
        <v>28021.8</v>
      </c>
      <c r="D647">
        <v>1401.09</v>
      </c>
      <c r="E647">
        <v>868.67</v>
      </c>
      <c r="F647" t="s">
        <v>10</v>
      </c>
      <c r="G647" t="str">
        <f t="shared" si="10"/>
        <v>Banca Sarda|34</v>
      </c>
    </row>
    <row r="648" spans="1:7" x14ac:dyDescent="0.25">
      <c r="A648" t="s">
        <v>28</v>
      </c>
      <c r="B648">
        <v>35</v>
      </c>
      <c r="C648">
        <v>28214.3</v>
      </c>
      <c r="D648">
        <v>1410.72</v>
      </c>
      <c r="E648">
        <v>874.64</v>
      </c>
      <c r="F648" t="s">
        <v>10</v>
      </c>
      <c r="G648" t="str">
        <f t="shared" si="10"/>
        <v>Banca Sarda|35</v>
      </c>
    </row>
    <row r="649" spans="1:7" x14ac:dyDescent="0.25">
      <c r="A649" t="s">
        <v>28</v>
      </c>
      <c r="B649">
        <v>36</v>
      </c>
      <c r="C649">
        <v>28319.200000000001</v>
      </c>
      <c r="D649">
        <v>1415.96</v>
      </c>
      <c r="E649">
        <v>877.9</v>
      </c>
      <c r="F649" t="s">
        <v>10</v>
      </c>
      <c r="G649" t="str">
        <f t="shared" si="10"/>
        <v>Banca Sarda|36</v>
      </c>
    </row>
    <row r="650" spans="1:7" x14ac:dyDescent="0.25">
      <c r="A650" t="s">
        <v>29</v>
      </c>
      <c r="B650">
        <v>1</v>
      </c>
      <c r="C650">
        <v>23517.200000000001</v>
      </c>
      <c r="D650">
        <v>1175.8599999999999</v>
      </c>
      <c r="E650">
        <v>729.03</v>
      </c>
      <c r="F650" t="s">
        <v>12</v>
      </c>
      <c r="G650" t="str">
        <f t="shared" si="10"/>
        <v>Banca Romagnola|1</v>
      </c>
    </row>
    <row r="651" spans="1:7" x14ac:dyDescent="0.25">
      <c r="A651" t="s">
        <v>29</v>
      </c>
      <c r="B651">
        <v>2</v>
      </c>
      <c r="C651">
        <v>23524.400000000001</v>
      </c>
      <c r="D651">
        <v>1176.22</v>
      </c>
      <c r="E651">
        <v>729.26</v>
      </c>
      <c r="F651" t="s">
        <v>12</v>
      </c>
      <c r="G651" t="str">
        <f t="shared" si="10"/>
        <v>Banca Romagnola|2</v>
      </c>
    </row>
    <row r="652" spans="1:7" x14ac:dyDescent="0.25">
      <c r="A652" t="s">
        <v>29</v>
      </c>
      <c r="B652">
        <v>3</v>
      </c>
      <c r="C652">
        <v>23793.200000000001</v>
      </c>
      <c r="D652">
        <v>1189.6600000000001</v>
      </c>
      <c r="E652">
        <v>737.59</v>
      </c>
      <c r="F652" t="s">
        <v>12</v>
      </c>
      <c r="G652" t="str">
        <f t="shared" si="10"/>
        <v>Banca Romagnola|3</v>
      </c>
    </row>
    <row r="653" spans="1:7" x14ac:dyDescent="0.25">
      <c r="A653" t="s">
        <v>29</v>
      </c>
      <c r="B653">
        <v>4</v>
      </c>
      <c r="C653">
        <v>23853.599999999999</v>
      </c>
      <c r="D653">
        <v>1192.68</v>
      </c>
      <c r="E653">
        <v>739.46</v>
      </c>
      <c r="F653" t="s">
        <v>12</v>
      </c>
      <c r="G653" t="str">
        <f t="shared" si="10"/>
        <v>Banca Romagnola|4</v>
      </c>
    </row>
    <row r="654" spans="1:7" x14ac:dyDescent="0.25">
      <c r="A654" t="s">
        <v>29</v>
      </c>
      <c r="B654">
        <v>5</v>
      </c>
      <c r="C654">
        <v>24248.6</v>
      </c>
      <c r="D654">
        <v>1212.43</v>
      </c>
      <c r="E654">
        <v>751.71</v>
      </c>
      <c r="F654" t="s">
        <v>12</v>
      </c>
      <c r="G654" t="str">
        <f t="shared" si="10"/>
        <v>Banca Romagnola|5</v>
      </c>
    </row>
    <row r="655" spans="1:7" x14ac:dyDescent="0.25">
      <c r="A655" t="s">
        <v>29</v>
      </c>
      <c r="B655">
        <v>6</v>
      </c>
      <c r="C655">
        <v>24169</v>
      </c>
      <c r="D655">
        <v>1208.45</v>
      </c>
      <c r="E655">
        <v>749.24</v>
      </c>
      <c r="F655" t="s">
        <v>12</v>
      </c>
      <c r="G655" t="str">
        <f t="shared" si="10"/>
        <v>Banca Romagnola|6</v>
      </c>
    </row>
    <row r="656" spans="1:7" x14ac:dyDescent="0.25">
      <c r="A656" t="s">
        <v>29</v>
      </c>
      <c r="B656">
        <v>7</v>
      </c>
      <c r="C656">
        <v>24548.6</v>
      </c>
      <c r="D656">
        <v>1227.43</v>
      </c>
      <c r="E656">
        <v>761.01</v>
      </c>
      <c r="F656" t="s">
        <v>12</v>
      </c>
      <c r="G656" t="str">
        <f t="shared" si="10"/>
        <v>Banca Romagnola|7</v>
      </c>
    </row>
    <row r="657" spans="1:7" x14ac:dyDescent="0.25">
      <c r="A657" t="s">
        <v>29</v>
      </c>
      <c r="B657">
        <v>8</v>
      </c>
      <c r="C657">
        <v>24601.200000000001</v>
      </c>
      <c r="D657">
        <v>1230.06</v>
      </c>
      <c r="E657">
        <v>762.64</v>
      </c>
      <c r="F657" t="s">
        <v>12</v>
      </c>
      <c r="G657" t="str">
        <f t="shared" si="10"/>
        <v>Banca Romagnola|8</v>
      </c>
    </row>
    <row r="658" spans="1:7" x14ac:dyDescent="0.25">
      <c r="A658" t="s">
        <v>29</v>
      </c>
      <c r="B658">
        <v>9</v>
      </c>
      <c r="C658">
        <v>24881.4</v>
      </c>
      <c r="D658">
        <v>1244.07</v>
      </c>
      <c r="E658">
        <v>771.32</v>
      </c>
      <c r="F658" t="s">
        <v>12</v>
      </c>
      <c r="G658" t="str">
        <f t="shared" si="10"/>
        <v>Banca Romagnola|9</v>
      </c>
    </row>
    <row r="659" spans="1:7" x14ac:dyDescent="0.25">
      <c r="A659" t="s">
        <v>29</v>
      </c>
      <c r="B659">
        <v>10</v>
      </c>
      <c r="C659">
        <v>24863.7</v>
      </c>
      <c r="D659">
        <v>1243.19</v>
      </c>
      <c r="E659">
        <v>770.78</v>
      </c>
      <c r="F659" t="s">
        <v>12</v>
      </c>
      <c r="G659" t="str">
        <f t="shared" si="10"/>
        <v>Banca Romagnola|10</v>
      </c>
    </row>
    <row r="660" spans="1:7" x14ac:dyDescent="0.25">
      <c r="A660" t="s">
        <v>29</v>
      </c>
      <c r="B660">
        <v>11</v>
      </c>
      <c r="C660">
        <v>25265.4</v>
      </c>
      <c r="D660">
        <v>1263.27</v>
      </c>
      <c r="E660">
        <v>783.23</v>
      </c>
      <c r="F660" t="s">
        <v>12</v>
      </c>
      <c r="G660" t="str">
        <f t="shared" si="10"/>
        <v>Banca Romagnola|11</v>
      </c>
    </row>
    <row r="661" spans="1:7" x14ac:dyDescent="0.25">
      <c r="A661" t="s">
        <v>29</v>
      </c>
      <c r="B661">
        <v>12</v>
      </c>
      <c r="C661">
        <v>25150.799999999999</v>
      </c>
      <c r="D661">
        <v>1257.54</v>
      </c>
      <c r="E661">
        <v>779.67</v>
      </c>
      <c r="F661" t="s">
        <v>12</v>
      </c>
      <c r="G661" t="str">
        <f t="shared" si="10"/>
        <v>Banca Romagnola|12</v>
      </c>
    </row>
    <row r="662" spans="1:7" x14ac:dyDescent="0.25">
      <c r="A662" t="s">
        <v>29</v>
      </c>
      <c r="B662">
        <v>13</v>
      </c>
      <c r="C662">
        <v>25309.4</v>
      </c>
      <c r="D662">
        <v>1265.47</v>
      </c>
      <c r="E662">
        <v>784.59</v>
      </c>
      <c r="F662" t="s">
        <v>12</v>
      </c>
      <c r="G662" t="str">
        <f t="shared" si="10"/>
        <v>Banca Romagnola|13</v>
      </c>
    </row>
    <row r="663" spans="1:7" x14ac:dyDescent="0.25">
      <c r="A663" t="s">
        <v>29</v>
      </c>
      <c r="B663">
        <v>14</v>
      </c>
      <c r="C663">
        <v>25441.3</v>
      </c>
      <c r="D663">
        <v>1272.07</v>
      </c>
      <c r="E663">
        <v>788.68</v>
      </c>
      <c r="F663" t="s">
        <v>12</v>
      </c>
      <c r="G663" t="str">
        <f t="shared" si="10"/>
        <v>Banca Romagnola|14</v>
      </c>
    </row>
    <row r="664" spans="1:7" x14ac:dyDescent="0.25">
      <c r="A664" t="s">
        <v>29</v>
      </c>
      <c r="B664">
        <v>15</v>
      </c>
      <c r="C664">
        <v>25983.3</v>
      </c>
      <c r="D664">
        <v>1299.1600000000001</v>
      </c>
      <c r="E664">
        <v>805.48</v>
      </c>
      <c r="F664" t="s">
        <v>12</v>
      </c>
      <c r="G664" t="str">
        <f t="shared" si="10"/>
        <v>Banca Romagnola|15</v>
      </c>
    </row>
    <row r="665" spans="1:7" x14ac:dyDescent="0.25">
      <c r="A665" t="s">
        <v>29</v>
      </c>
      <c r="B665">
        <v>16</v>
      </c>
      <c r="C665">
        <v>26141.5</v>
      </c>
      <c r="D665">
        <v>1307.08</v>
      </c>
      <c r="E665">
        <v>810.39</v>
      </c>
      <c r="F665" t="s">
        <v>12</v>
      </c>
      <c r="G665" t="str">
        <f t="shared" si="10"/>
        <v>Banca Romagnola|16</v>
      </c>
    </row>
    <row r="666" spans="1:7" x14ac:dyDescent="0.25">
      <c r="A666" t="s">
        <v>29</v>
      </c>
      <c r="B666">
        <v>17</v>
      </c>
      <c r="C666">
        <v>26125.200000000001</v>
      </c>
      <c r="D666">
        <v>1306.26</v>
      </c>
      <c r="E666">
        <v>809.88</v>
      </c>
      <c r="F666" t="s">
        <v>12</v>
      </c>
      <c r="G666" t="str">
        <f t="shared" si="10"/>
        <v>Banca Romagnola|17</v>
      </c>
    </row>
    <row r="667" spans="1:7" x14ac:dyDescent="0.25">
      <c r="A667" t="s">
        <v>29</v>
      </c>
      <c r="B667">
        <v>18</v>
      </c>
      <c r="C667">
        <v>26129.7</v>
      </c>
      <c r="D667">
        <v>1306.49</v>
      </c>
      <c r="E667">
        <v>810.02</v>
      </c>
      <c r="F667" t="s">
        <v>12</v>
      </c>
      <c r="G667" t="str">
        <f t="shared" si="10"/>
        <v>Banca Romagnola|18</v>
      </c>
    </row>
    <row r="668" spans="1:7" x14ac:dyDescent="0.25">
      <c r="A668" t="s">
        <v>29</v>
      </c>
      <c r="B668">
        <v>19</v>
      </c>
      <c r="C668">
        <v>26509.5</v>
      </c>
      <c r="D668">
        <v>1325.48</v>
      </c>
      <c r="E668">
        <v>821.8</v>
      </c>
      <c r="F668" t="s">
        <v>12</v>
      </c>
      <c r="G668" t="str">
        <f t="shared" si="10"/>
        <v>Banca Romagnola|19</v>
      </c>
    </row>
    <row r="669" spans="1:7" x14ac:dyDescent="0.25">
      <c r="A669" t="s">
        <v>29</v>
      </c>
      <c r="B669">
        <v>20</v>
      </c>
      <c r="C669">
        <v>26540.6</v>
      </c>
      <c r="D669">
        <v>1327.03</v>
      </c>
      <c r="E669">
        <v>822.76</v>
      </c>
      <c r="F669" t="s">
        <v>12</v>
      </c>
      <c r="G669" t="str">
        <f t="shared" si="10"/>
        <v>Banca Romagnola|20</v>
      </c>
    </row>
    <row r="670" spans="1:7" x14ac:dyDescent="0.25">
      <c r="A670" t="s">
        <v>29</v>
      </c>
      <c r="B670">
        <v>21</v>
      </c>
      <c r="C670">
        <v>26677.200000000001</v>
      </c>
      <c r="D670">
        <v>1333.86</v>
      </c>
      <c r="E670">
        <v>826.99</v>
      </c>
      <c r="F670" t="s">
        <v>12</v>
      </c>
      <c r="G670" t="str">
        <f t="shared" si="10"/>
        <v>Banca Romagnola|21</v>
      </c>
    </row>
    <row r="671" spans="1:7" x14ac:dyDescent="0.25">
      <c r="A671" t="s">
        <v>29</v>
      </c>
      <c r="B671">
        <v>22</v>
      </c>
      <c r="C671">
        <v>26861.200000000001</v>
      </c>
      <c r="D671">
        <v>1343.06</v>
      </c>
      <c r="E671">
        <v>832.7</v>
      </c>
      <c r="F671" t="s">
        <v>12</v>
      </c>
      <c r="G671" t="str">
        <f t="shared" si="10"/>
        <v>Banca Romagnola|22</v>
      </c>
    </row>
    <row r="672" spans="1:7" x14ac:dyDescent="0.25">
      <c r="A672" t="s">
        <v>29</v>
      </c>
      <c r="B672">
        <v>23</v>
      </c>
      <c r="C672">
        <v>27016.6</v>
      </c>
      <c r="D672">
        <v>1350.83</v>
      </c>
      <c r="E672">
        <v>837.51</v>
      </c>
      <c r="F672" t="s">
        <v>12</v>
      </c>
      <c r="G672" t="str">
        <f t="shared" si="10"/>
        <v>Banca Romagnola|23</v>
      </c>
    </row>
    <row r="673" spans="1:7" x14ac:dyDescent="0.25">
      <c r="A673" t="s">
        <v>29</v>
      </c>
      <c r="B673">
        <v>24</v>
      </c>
      <c r="C673">
        <v>27352</v>
      </c>
      <c r="D673">
        <v>1367.6</v>
      </c>
      <c r="E673">
        <v>847.91</v>
      </c>
      <c r="F673" t="s">
        <v>12</v>
      </c>
      <c r="G673" t="str">
        <f t="shared" si="10"/>
        <v>Banca Romagnola|24</v>
      </c>
    </row>
    <row r="674" spans="1:7" x14ac:dyDescent="0.25">
      <c r="A674" t="s">
        <v>29</v>
      </c>
      <c r="B674">
        <v>25</v>
      </c>
      <c r="C674">
        <v>27708</v>
      </c>
      <c r="D674">
        <v>1385.4</v>
      </c>
      <c r="E674">
        <v>858.95</v>
      </c>
      <c r="F674" t="s">
        <v>12</v>
      </c>
      <c r="G674" t="str">
        <f t="shared" si="10"/>
        <v>Banca Romagnola|25</v>
      </c>
    </row>
    <row r="675" spans="1:7" x14ac:dyDescent="0.25">
      <c r="A675" t="s">
        <v>29</v>
      </c>
      <c r="B675">
        <v>26</v>
      </c>
      <c r="C675">
        <v>27901.7</v>
      </c>
      <c r="D675">
        <v>1395.08</v>
      </c>
      <c r="E675">
        <v>864.95</v>
      </c>
      <c r="F675" t="s">
        <v>12</v>
      </c>
      <c r="G675" t="str">
        <f t="shared" si="10"/>
        <v>Banca Romagnola|26</v>
      </c>
    </row>
    <row r="676" spans="1:7" x14ac:dyDescent="0.25">
      <c r="A676" t="s">
        <v>29</v>
      </c>
      <c r="B676">
        <v>27</v>
      </c>
      <c r="C676">
        <v>27842.1</v>
      </c>
      <c r="D676">
        <v>1392.1</v>
      </c>
      <c r="E676">
        <v>863.1</v>
      </c>
      <c r="F676" t="s">
        <v>12</v>
      </c>
      <c r="G676" t="str">
        <f t="shared" si="10"/>
        <v>Banca Romagnola|27</v>
      </c>
    </row>
    <row r="677" spans="1:7" x14ac:dyDescent="0.25">
      <c r="A677" t="s">
        <v>29</v>
      </c>
      <c r="B677">
        <v>28</v>
      </c>
      <c r="C677">
        <v>27896.400000000001</v>
      </c>
      <c r="D677">
        <v>1394.82</v>
      </c>
      <c r="E677">
        <v>864.79</v>
      </c>
      <c r="F677" t="s">
        <v>12</v>
      </c>
      <c r="G677" t="str">
        <f t="shared" si="10"/>
        <v>Banca Romagnola|28</v>
      </c>
    </row>
    <row r="678" spans="1:7" x14ac:dyDescent="0.25">
      <c r="A678" t="s">
        <v>29</v>
      </c>
      <c r="B678">
        <v>29</v>
      </c>
      <c r="C678">
        <v>28231.4</v>
      </c>
      <c r="D678">
        <v>1411.57</v>
      </c>
      <c r="E678">
        <v>875.17</v>
      </c>
      <c r="F678" t="s">
        <v>12</v>
      </c>
      <c r="G678" t="str">
        <f t="shared" si="10"/>
        <v>Banca Romagnola|29</v>
      </c>
    </row>
    <row r="679" spans="1:7" x14ac:dyDescent="0.25">
      <c r="A679" t="s">
        <v>29</v>
      </c>
      <c r="B679">
        <v>30</v>
      </c>
      <c r="C679">
        <v>28539.8</v>
      </c>
      <c r="D679">
        <v>1426.99</v>
      </c>
      <c r="E679">
        <v>884.73</v>
      </c>
      <c r="F679" t="s">
        <v>12</v>
      </c>
      <c r="G679" t="str">
        <f t="shared" si="10"/>
        <v>Banca Romagnola|30</v>
      </c>
    </row>
    <row r="680" spans="1:7" x14ac:dyDescent="0.25">
      <c r="A680" t="s">
        <v>29</v>
      </c>
      <c r="B680">
        <v>31</v>
      </c>
      <c r="C680">
        <v>28691.4</v>
      </c>
      <c r="D680">
        <v>1434.57</v>
      </c>
      <c r="E680">
        <v>889.43</v>
      </c>
      <c r="F680" t="s">
        <v>12</v>
      </c>
      <c r="G680" t="str">
        <f t="shared" si="10"/>
        <v>Banca Romagnola|31</v>
      </c>
    </row>
    <row r="681" spans="1:7" x14ac:dyDescent="0.25">
      <c r="A681" t="s">
        <v>29</v>
      </c>
      <c r="B681">
        <v>32</v>
      </c>
      <c r="C681">
        <v>28685.9</v>
      </c>
      <c r="D681">
        <v>1434.29</v>
      </c>
      <c r="E681">
        <v>889.26</v>
      </c>
      <c r="F681" t="s">
        <v>12</v>
      </c>
      <c r="G681" t="str">
        <f t="shared" si="10"/>
        <v>Banca Romagnola|32</v>
      </c>
    </row>
    <row r="682" spans="1:7" x14ac:dyDescent="0.25">
      <c r="A682" t="s">
        <v>29</v>
      </c>
      <c r="B682">
        <v>33</v>
      </c>
      <c r="C682">
        <v>28909.8</v>
      </c>
      <c r="D682">
        <v>1445.49</v>
      </c>
      <c r="E682">
        <v>896.2</v>
      </c>
      <c r="F682" t="s">
        <v>12</v>
      </c>
      <c r="G682" t="str">
        <f t="shared" si="10"/>
        <v>Banca Romagnola|33</v>
      </c>
    </row>
    <row r="683" spans="1:7" x14ac:dyDescent="0.25">
      <c r="A683" t="s">
        <v>29</v>
      </c>
      <c r="B683">
        <v>34</v>
      </c>
      <c r="C683">
        <v>29090.5</v>
      </c>
      <c r="D683">
        <v>1454.52</v>
      </c>
      <c r="E683">
        <v>901.8</v>
      </c>
      <c r="F683" t="s">
        <v>12</v>
      </c>
      <c r="G683" t="str">
        <f t="shared" si="10"/>
        <v>Banca Romagnola|34</v>
      </c>
    </row>
    <row r="684" spans="1:7" x14ac:dyDescent="0.25">
      <c r="A684" t="s">
        <v>29</v>
      </c>
      <c r="B684">
        <v>35</v>
      </c>
      <c r="C684">
        <v>29301.5</v>
      </c>
      <c r="D684">
        <v>1465.08</v>
      </c>
      <c r="E684">
        <v>908.35</v>
      </c>
      <c r="F684" t="s">
        <v>12</v>
      </c>
      <c r="G684" t="str">
        <f t="shared" si="10"/>
        <v>Banca Romagnola|35</v>
      </c>
    </row>
    <row r="685" spans="1:7" x14ac:dyDescent="0.25">
      <c r="A685" t="s">
        <v>29</v>
      </c>
      <c r="B685">
        <v>36</v>
      </c>
      <c r="C685">
        <v>29563.8</v>
      </c>
      <c r="D685">
        <v>1478.19</v>
      </c>
      <c r="E685">
        <v>916.48</v>
      </c>
      <c r="F685" t="s">
        <v>12</v>
      </c>
      <c r="G685" t="str">
        <f t="shared" si="10"/>
        <v>Banca Romagnola|36</v>
      </c>
    </row>
    <row r="686" spans="1:7" x14ac:dyDescent="0.25">
      <c r="A686" t="s">
        <v>30</v>
      </c>
      <c r="B686">
        <v>1</v>
      </c>
      <c r="C686">
        <v>24307.1</v>
      </c>
      <c r="D686">
        <v>1215.3499999999999</v>
      </c>
      <c r="E686">
        <v>753.52</v>
      </c>
      <c r="F686" t="s">
        <v>14</v>
      </c>
      <c r="G686" t="str">
        <f t="shared" si="10"/>
        <v>Banca Città|1</v>
      </c>
    </row>
    <row r="687" spans="1:7" x14ac:dyDescent="0.25">
      <c r="A687" t="s">
        <v>30</v>
      </c>
      <c r="B687">
        <v>2</v>
      </c>
      <c r="C687">
        <v>24680.2</v>
      </c>
      <c r="D687">
        <v>1234.01</v>
      </c>
      <c r="E687">
        <v>765.09</v>
      </c>
      <c r="F687" t="s">
        <v>14</v>
      </c>
      <c r="G687" t="str">
        <f t="shared" si="10"/>
        <v>Banca Città|2</v>
      </c>
    </row>
    <row r="688" spans="1:7" x14ac:dyDescent="0.25">
      <c r="A688" t="s">
        <v>30</v>
      </c>
      <c r="B688">
        <v>3</v>
      </c>
      <c r="C688">
        <v>24752.6</v>
      </c>
      <c r="D688">
        <v>1237.6300000000001</v>
      </c>
      <c r="E688">
        <v>767.33</v>
      </c>
      <c r="F688" t="s">
        <v>14</v>
      </c>
      <c r="G688" t="str">
        <f t="shared" si="10"/>
        <v>Banca Città|3</v>
      </c>
    </row>
    <row r="689" spans="1:7" x14ac:dyDescent="0.25">
      <c r="A689" t="s">
        <v>30</v>
      </c>
      <c r="B689">
        <v>4</v>
      </c>
      <c r="C689">
        <v>24737.4</v>
      </c>
      <c r="D689">
        <v>1236.8699999999999</v>
      </c>
      <c r="E689">
        <v>766.86</v>
      </c>
      <c r="F689" t="s">
        <v>14</v>
      </c>
      <c r="G689" t="str">
        <f t="shared" si="10"/>
        <v>Banca Città|4</v>
      </c>
    </row>
    <row r="690" spans="1:7" x14ac:dyDescent="0.25">
      <c r="A690" t="s">
        <v>30</v>
      </c>
      <c r="B690">
        <v>5</v>
      </c>
      <c r="C690">
        <v>25040</v>
      </c>
      <c r="D690">
        <v>1252</v>
      </c>
      <c r="E690">
        <v>776.24</v>
      </c>
      <c r="F690" t="s">
        <v>14</v>
      </c>
      <c r="G690" t="str">
        <f t="shared" si="10"/>
        <v>Banca Città|5</v>
      </c>
    </row>
    <row r="691" spans="1:7" x14ac:dyDescent="0.25">
      <c r="A691" t="s">
        <v>30</v>
      </c>
      <c r="B691">
        <v>6</v>
      </c>
      <c r="C691">
        <v>25052</v>
      </c>
      <c r="D691">
        <v>1252.5999999999999</v>
      </c>
      <c r="E691">
        <v>776.61</v>
      </c>
      <c r="F691" t="s">
        <v>14</v>
      </c>
      <c r="G691" t="str">
        <f t="shared" si="10"/>
        <v>Banca Città|6</v>
      </c>
    </row>
    <row r="692" spans="1:7" x14ac:dyDescent="0.25">
      <c r="A692" t="s">
        <v>30</v>
      </c>
      <c r="B692">
        <v>7</v>
      </c>
      <c r="C692">
        <v>25622.400000000001</v>
      </c>
      <c r="D692">
        <v>1281.1199999999999</v>
      </c>
      <c r="E692">
        <v>794.29</v>
      </c>
      <c r="F692" t="s">
        <v>14</v>
      </c>
      <c r="G692" t="str">
        <f t="shared" si="10"/>
        <v>Banca Città|7</v>
      </c>
    </row>
    <row r="693" spans="1:7" x14ac:dyDescent="0.25">
      <c r="A693" t="s">
        <v>30</v>
      </c>
      <c r="B693">
        <v>8</v>
      </c>
      <c r="C693">
        <v>25774.6</v>
      </c>
      <c r="D693">
        <v>1288.73</v>
      </c>
      <c r="E693">
        <v>799.01</v>
      </c>
      <c r="F693" t="s">
        <v>14</v>
      </c>
      <c r="G693" t="str">
        <f t="shared" si="10"/>
        <v>Banca Città|8</v>
      </c>
    </row>
    <row r="694" spans="1:7" x14ac:dyDescent="0.25">
      <c r="A694" t="s">
        <v>30</v>
      </c>
      <c r="B694">
        <v>9</v>
      </c>
      <c r="C694">
        <v>25985.1</v>
      </c>
      <c r="D694">
        <v>1299.25</v>
      </c>
      <c r="E694">
        <v>805.54</v>
      </c>
      <c r="F694" t="s">
        <v>14</v>
      </c>
      <c r="G694" t="str">
        <f t="shared" si="10"/>
        <v>Banca Città|9</v>
      </c>
    </row>
    <row r="695" spans="1:7" x14ac:dyDescent="0.25">
      <c r="A695" t="s">
        <v>30</v>
      </c>
      <c r="B695">
        <v>10</v>
      </c>
      <c r="C695">
        <v>25830.7</v>
      </c>
      <c r="D695">
        <v>1291.53</v>
      </c>
      <c r="E695">
        <v>800.75</v>
      </c>
      <c r="F695" t="s">
        <v>14</v>
      </c>
      <c r="G695" t="str">
        <f t="shared" si="10"/>
        <v>Banca Città|10</v>
      </c>
    </row>
    <row r="696" spans="1:7" x14ac:dyDescent="0.25">
      <c r="A696" t="s">
        <v>30</v>
      </c>
      <c r="B696">
        <v>11</v>
      </c>
      <c r="C696">
        <v>26245</v>
      </c>
      <c r="D696">
        <v>1312.25</v>
      </c>
      <c r="E696">
        <v>813.59</v>
      </c>
      <c r="F696" t="s">
        <v>14</v>
      </c>
      <c r="G696" t="str">
        <f t="shared" si="10"/>
        <v>Banca Città|11</v>
      </c>
    </row>
    <row r="697" spans="1:7" x14ac:dyDescent="0.25">
      <c r="A697" t="s">
        <v>30</v>
      </c>
      <c r="B697">
        <v>12</v>
      </c>
      <c r="C697">
        <v>26525.4</v>
      </c>
      <c r="D697">
        <v>1326.27</v>
      </c>
      <c r="E697">
        <v>822.29</v>
      </c>
      <c r="F697" t="s">
        <v>14</v>
      </c>
      <c r="G697" t="str">
        <f t="shared" si="10"/>
        <v>Banca Città|12</v>
      </c>
    </row>
    <row r="698" spans="1:7" x14ac:dyDescent="0.25">
      <c r="A698" t="s">
        <v>30</v>
      </c>
      <c r="B698">
        <v>13</v>
      </c>
      <c r="C698">
        <v>26362.1</v>
      </c>
      <c r="D698">
        <v>1318.11</v>
      </c>
      <c r="E698">
        <v>817.23</v>
      </c>
      <c r="F698" t="s">
        <v>14</v>
      </c>
      <c r="G698" t="str">
        <f t="shared" si="10"/>
        <v>Banca Città|13</v>
      </c>
    </row>
    <row r="699" spans="1:7" x14ac:dyDescent="0.25">
      <c r="A699" t="s">
        <v>30</v>
      </c>
      <c r="B699">
        <v>14</v>
      </c>
      <c r="C699">
        <v>26505.3</v>
      </c>
      <c r="D699">
        <v>1325.26</v>
      </c>
      <c r="E699">
        <v>821.66</v>
      </c>
      <c r="F699" t="s">
        <v>14</v>
      </c>
      <c r="G699" t="str">
        <f t="shared" si="10"/>
        <v>Banca Città|14</v>
      </c>
    </row>
    <row r="700" spans="1:7" x14ac:dyDescent="0.25">
      <c r="A700" t="s">
        <v>30</v>
      </c>
      <c r="B700">
        <v>15</v>
      </c>
      <c r="C700">
        <v>26864.1</v>
      </c>
      <c r="D700">
        <v>1343.21</v>
      </c>
      <c r="E700">
        <v>832.79</v>
      </c>
      <c r="F700" t="s">
        <v>14</v>
      </c>
      <c r="G700" t="str">
        <f t="shared" si="10"/>
        <v>Banca Città|15</v>
      </c>
    </row>
    <row r="701" spans="1:7" x14ac:dyDescent="0.25">
      <c r="A701" t="s">
        <v>30</v>
      </c>
      <c r="B701">
        <v>16</v>
      </c>
      <c r="C701">
        <v>27206.7</v>
      </c>
      <c r="D701">
        <v>1360.33</v>
      </c>
      <c r="E701">
        <v>843.41</v>
      </c>
      <c r="F701" t="s">
        <v>14</v>
      </c>
      <c r="G701" t="str">
        <f t="shared" si="10"/>
        <v>Banca Città|16</v>
      </c>
    </row>
    <row r="702" spans="1:7" x14ac:dyDescent="0.25">
      <c r="A702" t="s">
        <v>30</v>
      </c>
      <c r="B702">
        <v>17</v>
      </c>
      <c r="C702">
        <v>27336.6</v>
      </c>
      <c r="D702">
        <v>1366.83</v>
      </c>
      <c r="E702">
        <v>847.43</v>
      </c>
      <c r="F702" t="s">
        <v>14</v>
      </c>
      <c r="G702" t="str">
        <f t="shared" si="10"/>
        <v>Banca Città|17</v>
      </c>
    </row>
    <row r="703" spans="1:7" x14ac:dyDescent="0.25">
      <c r="A703" t="s">
        <v>30</v>
      </c>
      <c r="B703">
        <v>18</v>
      </c>
      <c r="C703">
        <v>27587.9</v>
      </c>
      <c r="D703">
        <v>1379.39</v>
      </c>
      <c r="E703">
        <v>855.22</v>
      </c>
      <c r="F703" t="s">
        <v>14</v>
      </c>
      <c r="G703" t="str">
        <f t="shared" si="10"/>
        <v>Banca Città|18</v>
      </c>
    </row>
    <row r="704" spans="1:7" x14ac:dyDescent="0.25">
      <c r="A704" t="s">
        <v>30</v>
      </c>
      <c r="B704">
        <v>19</v>
      </c>
      <c r="C704">
        <v>27760.9</v>
      </c>
      <c r="D704">
        <v>1388.05</v>
      </c>
      <c r="E704">
        <v>860.59</v>
      </c>
      <c r="F704" t="s">
        <v>14</v>
      </c>
      <c r="G704" t="str">
        <f t="shared" si="10"/>
        <v>Banca Città|19</v>
      </c>
    </row>
    <row r="705" spans="1:7" x14ac:dyDescent="0.25">
      <c r="A705" t="s">
        <v>30</v>
      </c>
      <c r="B705">
        <v>20</v>
      </c>
      <c r="C705">
        <v>27799.3</v>
      </c>
      <c r="D705">
        <v>1389.96</v>
      </c>
      <c r="E705">
        <v>861.78</v>
      </c>
      <c r="F705" t="s">
        <v>14</v>
      </c>
      <c r="G705" t="str">
        <f t="shared" si="10"/>
        <v>Banca Città|20</v>
      </c>
    </row>
    <row r="706" spans="1:7" x14ac:dyDescent="0.25">
      <c r="A706" t="s">
        <v>30</v>
      </c>
      <c r="B706">
        <v>21</v>
      </c>
      <c r="C706">
        <v>27823.3</v>
      </c>
      <c r="D706">
        <v>1391.17</v>
      </c>
      <c r="E706">
        <v>862.52</v>
      </c>
      <c r="F706" t="s">
        <v>14</v>
      </c>
      <c r="G706" t="str">
        <f t="shared" ref="G706:G721" si="11">A706&amp;"|"&amp;B706</f>
        <v>Banca Città|21</v>
      </c>
    </row>
    <row r="707" spans="1:7" x14ac:dyDescent="0.25">
      <c r="A707" t="s">
        <v>30</v>
      </c>
      <c r="B707">
        <v>22</v>
      </c>
      <c r="C707">
        <v>28095.1</v>
      </c>
      <c r="D707">
        <v>1404.75</v>
      </c>
      <c r="E707">
        <v>870.95</v>
      </c>
      <c r="F707" t="s">
        <v>14</v>
      </c>
      <c r="G707" t="str">
        <f t="shared" si="11"/>
        <v>Banca Città|22</v>
      </c>
    </row>
    <row r="708" spans="1:7" x14ac:dyDescent="0.25">
      <c r="A708" t="s">
        <v>30</v>
      </c>
      <c r="B708">
        <v>23</v>
      </c>
      <c r="C708">
        <v>28321</v>
      </c>
      <c r="D708">
        <v>1416.05</v>
      </c>
      <c r="E708">
        <v>877.95</v>
      </c>
      <c r="F708" t="s">
        <v>14</v>
      </c>
      <c r="G708" t="str">
        <f t="shared" si="11"/>
        <v>Banca Città|23</v>
      </c>
    </row>
    <row r="709" spans="1:7" x14ac:dyDescent="0.25">
      <c r="A709" t="s">
        <v>30</v>
      </c>
      <c r="B709">
        <v>24</v>
      </c>
      <c r="C709">
        <v>28324.2</v>
      </c>
      <c r="D709">
        <v>1416.21</v>
      </c>
      <c r="E709">
        <v>878.05</v>
      </c>
      <c r="F709" t="s">
        <v>14</v>
      </c>
      <c r="G709" t="str">
        <f t="shared" si="11"/>
        <v>Banca Città|24</v>
      </c>
    </row>
    <row r="710" spans="1:7" x14ac:dyDescent="0.25">
      <c r="A710" t="s">
        <v>30</v>
      </c>
      <c r="B710">
        <v>25</v>
      </c>
      <c r="C710">
        <v>28543.3</v>
      </c>
      <c r="D710">
        <v>1427.17</v>
      </c>
      <c r="E710">
        <v>884.84</v>
      </c>
      <c r="F710" t="s">
        <v>14</v>
      </c>
      <c r="G710" t="str">
        <f t="shared" si="11"/>
        <v>Banca Città|25</v>
      </c>
    </row>
    <row r="711" spans="1:7" x14ac:dyDescent="0.25">
      <c r="A711" t="s">
        <v>30</v>
      </c>
      <c r="B711">
        <v>26</v>
      </c>
      <c r="C711">
        <v>28993.4</v>
      </c>
      <c r="D711">
        <v>1449.67</v>
      </c>
      <c r="E711">
        <v>898.8</v>
      </c>
      <c r="F711" t="s">
        <v>14</v>
      </c>
      <c r="G711" t="str">
        <f t="shared" si="11"/>
        <v>Banca Città|26</v>
      </c>
    </row>
    <row r="712" spans="1:7" x14ac:dyDescent="0.25">
      <c r="A712" t="s">
        <v>30</v>
      </c>
      <c r="B712">
        <v>27</v>
      </c>
      <c r="C712">
        <v>29162.5</v>
      </c>
      <c r="D712">
        <v>1458.12</v>
      </c>
      <c r="E712">
        <v>904.04</v>
      </c>
      <c r="F712" t="s">
        <v>14</v>
      </c>
      <c r="G712" t="str">
        <f t="shared" si="11"/>
        <v>Banca Città|27</v>
      </c>
    </row>
    <row r="713" spans="1:7" x14ac:dyDescent="0.25">
      <c r="A713" t="s">
        <v>30</v>
      </c>
      <c r="B713">
        <v>28</v>
      </c>
      <c r="C713">
        <v>29247.200000000001</v>
      </c>
      <c r="D713">
        <v>1462.36</v>
      </c>
      <c r="E713">
        <v>906.66</v>
      </c>
      <c r="F713" t="s">
        <v>14</v>
      </c>
      <c r="G713" t="str">
        <f t="shared" si="11"/>
        <v>Banca Città|28</v>
      </c>
    </row>
    <row r="714" spans="1:7" x14ac:dyDescent="0.25">
      <c r="A714" t="s">
        <v>30</v>
      </c>
      <c r="B714">
        <v>29</v>
      </c>
      <c r="C714">
        <v>29461.7</v>
      </c>
      <c r="D714">
        <v>1473.08</v>
      </c>
      <c r="E714">
        <v>913.31</v>
      </c>
      <c r="F714" t="s">
        <v>14</v>
      </c>
      <c r="G714" t="str">
        <f t="shared" si="11"/>
        <v>Banca Città|29</v>
      </c>
    </row>
    <row r="715" spans="1:7" x14ac:dyDescent="0.25">
      <c r="A715" t="s">
        <v>30</v>
      </c>
      <c r="B715">
        <v>30</v>
      </c>
      <c r="C715">
        <v>29539.1</v>
      </c>
      <c r="D715">
        <v>1476.96</v>
      </c>
      <c r="E715">
        <v>915.71</v>
      </c>
      <c r="F715" t="s">
        <v>14</v>
      </c>
      <c r="G715" t="str">
        <f t="shared" si="11"/>
        <v>Banca Città|30</v>
      </c>
    </row>
    <row r="716" spans="1:7" x14ac:dyDescent="0.25">
      <c r="A716" t="s">
        <v>30</v>
      </c>
      <c r="B716">
        <v>31</v>
      </c>
      <c r="C716">
        <v>29856.9</v>
      </c>
      <c r="D716">
        <v>1492.85</v>
      </c>
      <c r="E716">
        <v>925.56</v>
      </c>
      <c r="F716" t="s">
        <v>14</v>
      </c>
      <c r="G716" t="str">
        <f t="shared" si="11"/>
        <v>Banca Città|31</v>
      </c>
    </row>
    <row r="717" spans="1:7" x14ac:dyDescent="0.25">
      <c r="A717" t="s">
        <v>30</v>
      </c>
      <c r="B717">
        <v>32</v>
      </c>
      <c r="C717">
        <v>30062.799999999999</v>
      </c>
      <c r="D717">
        <v>1503.14</v>
      </c>
      <c r="E717">
        <v>931.95</v>
      </c>
      <c r="F717" t="s">
        <v>14</v>
      </c>
      <c r="G717" t="str">
        <f t="shared" si="11"/>
        <v>Banca Città|32</v>
      </c>
    </row>
    <row r="718" spans="1:7" x14ac:dyDescent="0.25">
      <c r="A718" t="s">
        <v>30</v>
      </c>
      <c r="B718">
        <v>33</v>
      </c>
      <c r="C718">
        <v>30241.200000000001</v>
      </c>
      <c r="D718">
        <v>1512.06</v>
      </c>
      <c r="E718">
        <v>937.48</v>
      </c>
      <c r="F718" t="s">
        <v>14</v>
      </c>
      <c r="G718" t="str">
        <f t="shared" si="11"/>
        <v>Banca Città|33</v>
      </c>
    </row>
    <row r="719" spans="1:7" x14ac:dyDescent="0.25">
      <c r="A719" t="s">
        <v>30</v>
      </c>
      <c r="B719">
        <v>34</v>
      </c>
      <c r="C719">
        <v>30403.7</v>
      </c>
      <c r="D719">
        <v>1520.18</v>
      </c>
      <c r="E719">
        <v>942.51</v>
      </c>
      <c r="F719" t="s">
        <v>14</v>
      </c>
      <c r="G719" t="str">
        <f t="shared" si="11"/>
        <v>Banca Città|34</v>
      </c>
    </row>
    <row r="720" spans="1:7" x14ac:dyDescent="0.25">
      <c r="A720" t="s">
        <v>30</v>
      </c>
      <c r="B720">
        <v>35</v>
      </c>
      <c r="C720">
        <v>30579.7</v>
      </c>
      <c r="D720">
        <v>1528.99</v>
      </c>
      <c r="E720">
        <v>947.97</v>
      </c>
      <c r="F720" t="s">
        <v>14</v>
      </c>
      <c r="G720" t="str">
        <f t="shared" si="11"/>
        <v>Banca Città|35</v>
      </c>
    </row>
    <row r="721" spans="1:7" x14ac:dyDescent="0.25">
      <c r="A721" t="s">
        <v>30</v>
      </c>
      <c r="B721">
        <v>36</v>
      </c>
      <c r="C721">
        <v>30797.200000000001</v>
      </c>
      <c r="D721">
        <v>1539.86</v>
      </c>
      <c r="E721">
        <v>954.71</v>
      </c>
      <c r="F721" t="s">
        <v>14</v>
      </c>
      <c r="G721" t="str">
        <f t="shared" si="11"/>
        <v>Banca Città|36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AD34-DD98-4492-AE0F-D4245700B340}">
  <dimension ref="A1:D2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5</v>
      </c>
      <c r="C1" t="s">
        <v>31</v>
      </c>
      <c r="D1" t="s">
        <v>32</v>
      </c>
    </row>
    <row r="2" spans="1:4" x14ac:dyDescent="0.25">
      <c r="A2" t="s">
        <v>7</v>
      </c>
      <c r="B2" t="s">
        <v>8</v>
      </c>
      <c r="C2">
        <v>1</v>
      </c>
      <c r="D2">
        <v>1</v>
      </c>
    </row>
    <row r="3" spans="1:4" x14ac:dyDescent="0.25">
      <c r="A3" t="s">
        <v>9</v>
      </c>
      <c r="B3" t="s">
        <v>10</v>
      </c>
      <c r="C3">
        <v>2</v>
      </c>
      <c r="D3">
        <v>0.99</v>
      </c>
    </row>
    <row r="4" spans="1:4" x14ac:dyDescent="0.25">
      <c r="A4" t="s">
        <v>11</v>
      </c>
      <c r="B4" t="s">
        <v>12</v>
      </c>
      <c r="C4">
        <v>3</v>
      </c>
      <c r="D4">
        <v>0.98</v>
      </c>
    </row>
    <row r="5" spans="1:4" x14ac:dyDescent="0.25">
      <c r="A5" t="s">
        <v>13</v>
      </c>
      <c r="B5" t="s">
        <v>14</v>
      </c>
      <c r="C5">
        <v>1</v>
      </c>
      <c r="D5">
        <v>0.97</v>
      </c>
    </row>
    <row r="6" spans="1:4" x14ac:dyDescent="0.25">
      <c r="A6" t="s">
        <v>15</v>
      </c>
      <c r="B6" t="s">
        <v>8</v>
      </c>
      <c r="C6">
        <v>2</v>
      </c>
      <c r="D6">
        <v>0.96</v>
      </c>
    </row>
    <row r="7" spans="1:4" x14ac:dyDescent="0.25">
      <c r="A7" t="s">
        <v>16</v>
      </c>
      <c r="B7" t="s">
        <v>10</v>
      </c>
      <c r="C7">
        <v>3</v>
      </c>
      <c r="D7">
        <v>0.95</v>
      </c>
    </row>
    <row r="8" spans="1:4" x14ac:dyDescent="0.25">
      <c r="A8" t="s">
        <v>17</v>
      </c>
      <c r="B8" t="s">
        <v>12</v>
      </c>
      <c r="C8">
        <v>1</v>
      </c>
      <c r="D8">
        <v>0.94</v>
      </c>
    </row>
    <row r="9" spans="1:4" x14ac:dyDescent="0.25">
      <c r="A9" t="s">
        <v>18</v>
      </c>
      <c r="B9" t="s">
        <v>14</v>
      </c>
      <c r="C9">
        <v>2</v>
      </c>
      <c r="D9">
        <v>0.93</v>
      </c>
    </row>
    <row r="10" spans="1:4" x14ac:dyDescent="0.25">
      <c r="A10" t="s">
        <v>19</v>
      </c>
      <c r="B10" t="s">
        <v>8</v>
      </c>
      <c r="C10">
        <v>3</v>
      </c>
      <c r="D10">
        <v>0.92</v>
      </c>
    </row>
    <row r="11" spans="1:4" x14ac:dyDescent="0.25">
      <c r="A11" t="s">
        <v>20</v>
      </c>
      <c r="B11" t="s">
        <v>10</v>
      </c>
      <c r="C11">
        <v>1</v>
      </c>
      <c r="D11">
        <v>0.91</v>
      </c>
    </row>
    <row r="12" spans="1:4" x14ac:dyDescent="0.25">
      <c r="A12" t="s">
        <v>21</v>
      </c>
      <c r="B12" t="s">
        <v>12</v>
      </c>
      <c r="C12">
        <v>2</v>
      </c>
      <c r="D12">
        <v>0.9</v>
      </c>
    </row>
    <row r="13" spans="1:4" x14ac:dyDescent="0.25">
      <c r="A13" t="s">
        <v>22</v>
      </c>
      <c r="B13" t="s">
        <v>14</v>
      </c>
      <c r="C13">
        <v>3</v>
      </c>
      <c r="D13">
        <v>0.89</v>
      </c>
    </row>
    <row r="14" spans="1:4" x14ac:dyDescent="0.25">
      <c r="A14" t="s">
        <v>23</v>
      </c>
      <c r="B14" t="s">
        <v>8</v>
      </c>
      <c r="C14">
        <v>1</v>
      </c>
      <c r="D14">
        <v>0.88</v>
      </c>
    </row>
    <row r="15" spans="1:4" x14ac:dyDescent="0.25">
      <c r="A15" t="s">
        <v>24</v>
      </c>
      <c r="B15" t="s">
        <v>10</v>
      </c>
      <c r="C15">
        <v>2</v>
      </c>
      <c r="D15">
        <v>0.87</v>
      </c>
    </row>
    <row r="16" spans="1:4" x14ac:dyDescent="0.25">
      <c r="A16" t="s">
        <v>25</v>
      </c>
      <c r="B16" t="s">
        <v>12</v>
      </c>
      <c r="C16">
        <v>3</v>
      </c>
      <c r="D16">
        <v>0.86</v>
      </c>
    </row>
    <row r="17" spans="1:4" x14ac:dyDescent="0.25">
      <c r="A17" t="s">
        <v>26</v>
      </c>
      <c r="B17" t="s">
        <v>14</v>
      </c>
      <c r="C17">
        <v>1</v>
      </c>
      <c r="D17">
        <v>0.85</v>
      </c>
    </row>
    <row r="18" spans="1:4" x14ac:dyDescent="0.25">
      <c r="A18" t="s">
        <v>27</v>
      </c>
      <c r="B18" t="s">
        <v>8</v>
      </c>
      <c r="C18">
        <v>2</v>
      </c>
      <c r="D18">
        <v>0.84</v>
      </c>
    </row>
    <row r="19" spans="1:4" x14ac:dyDescent="0.25">
      <c r="A19" t="s">
        <v>28</v>
      </c>
      <c r="B19" t="s">
        <v>10</v>
      </c>
      <c r="C19">
        <v>3</v>
      </c>
      <c r="D19">
        <v>0.83</v>
      </c>
    </row>
    <row r="20" spans="1:4" x14ac:dyDescent="0.25">
      <c r="A20" t="s">
        <v>29</v>
      </c>
      <c r="B20" t="s">
        <v>12</v>
      </c>
      <c r="C20">
        <v>1</v>
      </c>
      <c r="D20">
        <v>0.82</v>
      </c>
    </row>
    <row r="21" spans="1:4" x14ac:dyDescent="0.25">
      <c r="A21" t="s">
        <v>30</v>
      </c>
      <c r="B21" t="s">
        <v>14</v>
      </c>
      <c r="C21">
        <v>2</v>
      </c>
      <c r="D21">
        <v>0.81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8F7E-E5EA-49E5-BE00-B65E41CB90C9}">
  <dimension ref="A2:E69"/>
  <sheetViews>
    <sheetView workbookViewId="0"/>
  </sheetViews>
  <sheetFormatPr defaultRowHeight="12.5" x14ac:dyDescent="0.25"/>
  <sheetData>
    <row r="2" spans="1:5" x14ac:dyDescent="0.25">
      <c r="A2" t="s">
        <v>0</v>
      </c>
      <c r="B2" t="str">
        <f>[1]Control!$B$2</f>
        <v>Banca Tirrena</v>
      </c>
    </row>
    <row r="3" spans="1:5" x14ac:dyDescent="0.25">
      <c r="A3" t="s">
        <v>1</v>
      </c>
      <c r="B3">
        <f>[1]Control!$B$3</f>
        <v>30</v>
      </c>
    </row>
    <row r="4" spans="1:5" x14ac:dyDescent="0.25">
      <c r="A4" t="s">
        <v>33</v>
      </c>
      <c r="B4">
        <f>[1]Control!$B$4</f>
        <v>0.03</v>
      </c>
    </row>
    <row r="5" spans="1:5" x14ac:dyDescent="0.25">
      <c r="A5" t="s">
        <v>34</v>
      </c>
      <c r="B5" t="str">
        <f>[1]Control!$B$5</f>
        <v>Isole</v>
      </c>
    </row>
    <row r="6" spans="1:5" x14ac:dyDescent="0.25">
      <c r="A6" t="s">
        <v>35</v>
      </c>
      <c r="B6">
        <f>[1]Control!$B$6</f>
        <v>3</v>
      </c>
    </row>
    <row r="7" spans="1:5" x14ac:dyDescent="0.25">
      <c r="A7" t="s">
        <v>36</v>
      </c>
      <c r="B7" t="str">
        <f>[1]Control!$B$10</f>
        <v>giugno 2026</v>
      </c>
    </row>
    <row r="8" spans="1:5" x14ac:dyDescent="0.25">
      <c r="A8" t="s">
        <v>37</v>
      </c>
      <c r="B8" t="str">
        <f>[1]Control!$B$8</f>
        <v>Centro</v>
      </c>
    </row>
    <row r="10" spans="1:5" x14ac:dyDescent="0.25">
      <c r="A10" t="s">
        <v>0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tr">
        <f>[1]Calc_Bank!A2</f>
        <v>Banca Alpi</v>
      </c>
      <c r="B11">
        <f>[1]Calc_Bank!C2</f>
        <v>7354.8</v>
      </c>
      <c r="C11">
        <f>[1]Calc_Bank!D2</f>
        <v>399.43</v>
      </c>
      <c r="D11">
        <f>[1]Calc_Bank!E2</f>
        <v>242.63999999999996</v>
      </c>
      <c r="E11">
        <f>[1]Calc_Bank!L2</f>
        <v>20</v>
      </c>
    </row>
    <row r="12" spans="1:5" x14ac:dyDescent="0.25">
      <c r="A12" t="str">
        <f>[1]Calc_Bank!A3</f>
        <v>Banca Adriatica</v>
      </c>
      <c r="B12">
        <f>[1]Calc_Bank!C3</f>
        <v>8568.1</v>
      </c>
      <c r="C12">
        <f>[1]Calc_Bank!D3</f>
        <v>465.18</v>
      </c>
      <c r="D12">
        <f>[1]Calc_Bank!E3</f>
        <v>282.69</v>
      </c>
      <c r="E12">
        <f>[1]Calc_Bank!L3</f>
        <v>19</v>
      </c>
    </row>
    <row r="13" spans="1:5" x14ac:dyDescent="0.25">
      <c r="A13" t="str">
        <f>[1]Calc_Bank!A4</f>
        <v>Banca Tirrena</v>
      </c>
      <c r="B13">
        <f>[1]Calc_Bank!C4</f>
        <v>9865.7999999999993</v>
      </c>
      <c r="C13">
        <f>[1]Calc_Bank!D4</f>
        <v>534.66</v>
      </c>
      <c r="D13">
        <f>[1]Calc_Bank!E4</f>
        <v>324.64</v>
      </c>
      <c r="E13">
        <f>[1]Calc_Bank!L4</f>
        <v>18</v>
      </c>
    </row>
    <row r="14" spans="1:5" x14ac:dyDescent="0.25">
      <c r="A14" t="str">
        <f>[1]Calc_Bank!A5</f>
        <v>Banca Padana</v>
      </c>
      <c r="B14">
        <f>[1]Calc_Bank!C5</f>
        <v>11127.400000000001</v>
      </c>
      <c r="C14">
        <f>[1]Calc_Bank!D5</f>
        <v>601.19000000000005</v>
      </c>
      <c r="D14">
        <f>[1]Calc_Bank!E5</f>
        <v>362.15999999999997</v>
      </c>
      <c r="E14">
        <f>[1]Calc_Bank!L5</f>
        <v>17</v>
      </c>
    </row>
    <row r="15" spans="1:5" x14ac:dyDescent="0.25">
      <c r="A15" t="str">
        <f>[1]Calc_Bank!A6</f>
        <v>Banca Etrusca</v>
      </c>
      <c r="B15">
        <f>[1]Calc_Bank!C6</f>
        <v>12359</v>
      </c>
      <c r="C15">
        <f>[1]Calc_Bank!D6</f>
        <v>666.75</v>
      </c>
      <c r="D15">
        <f>[1]Calc_Bank!E6</f>
        <v>405.01</v>
      </c>
      <c r="E15">
        <f>[1]Calc_Bank!L6</f>
        <v>16</v>
      </c>
    </row>
    <row r="16" spans="1:5" x14ac:dyDescent="0.25">
      <c r="A16" t="str">
        <f>[1]Calc_Bank!A7</f>
        <v>Banca Lariana</v>
      </c>
      <c r="B16">
        <f>[1]Calc_Bank!C7</f>
        <v>13592.199999999999</v>
      </c>
      <c r="C16">
        <f>[1]Calc_Bank!D7</f>
        <v>733.9</v>
      </c>
      <c r="D16">
        <f>[1]Calc_Bank!E7</f>
        <v>442.82</v>
      </c>
      <c r="E16">
        <f>[1]Calc_Bank!L7</f>
        <v>15</v>
      </c>
    </row>
    <row r="17" spans="1:5" x14ac:dyDescent="0.25">
      <c r="A17" t="str">
        <f>[1]Calc_Bank!A8</f>
        <v>Banca Sabina</v>
      </c>
      <c r="B17">
        <f>[1]Calc_Bank!C8</f>
        <v>14860.6</v>
      </c>
      <c r="C17">
        <f>[1]Calc_Bank!D8</f>
        <v>802.63</v>
      </c>
      <c r="D17">
        <f>[1]Calc_Bank!E8</f>
        <v>484.20000000000005</v>
      </c>
      <c r="E17">
        <f>[1]Calc_Bank!L8</f>
        <v>14</v>
      </c>
    </row>
    <row r="18" spans="1:5" x14ac:dyDescent="0.25">
      <c r="A18" t="str">
        <f>[1]Calc_Bank!A9</f>
        <v>Banca Irpina</v>
      </c>
      <c r="B18">
        <f>[1]Calc_Bank!C9</f>
        <v>16241.5</v>
      </c>
      <c r="C18">
        <f>[1]Calc_Bank!D9</f>
        <v>874.53</v>
      </c>
      <c r="D18">
        <f>[1]Calc_Bank!E9</f>
        <v>530.55999999999995</v>
      </c>
      <c r="E18">
        <f>[1]Calc_Bank!L9</f>
        <v>13</v>
      </c>
    </row>
    <row r="19" spans="1:5" x14ac:dyDescent="0.25">
      <c r="A19" t="str">
        <f>[1]Calc_Bank!A10</f>
        <v>Banca Sannita</v>
      </c>
      <c r="B19">
        <f>[1]Calc_Bank!C10</f>
        <v>17435.2</v>
      </c>
      <c r="C19">
        <f>[1]Calc_Bank!D10</f>
        <v>941.11</v>
      </c>
      <c r="D19">
        <f>[1]Calc_Bank!E10</f>
        <v>567.67000000000007</v>
      </c>
      <c r="E19">
        <f>[1]Calc_Bank!L10</f>
        <v>12</v>
      </c>
    </row>
    <row r="20" spans="1:5" x14ac:dyDescent="0.25">
      <c r="A20" t="str">
        <f>[1]Calc_Bank!A11</f>
        <v>Banca Ligure</v>
      </c>
      <c r="B20">
        <f>[1]Calc_Bank!C11</f>
        <v>18568.2</v>
      </c>
      <c r="C20">
        <f>[1]Calc_Bank!D11</f>
        <v>1001.19</v>
      </c>
      <c r="D20">
        <f>[1]Calc_Bank!E11</f>
        <v>605.41</v>
      </c>
      <c r="E20">
        <f>[1]Calc_Bank!L11</f>
        <v>11</v>
      </c>
    </row>
    <row r="21" spans="1:5" x14ac:dyDescent="0.25">
      <c r="A21" t="str">
        <f>[1]Calc_Bank!A12</f>
        <v>Banca Veneta</v>
      </c>
      <c r="B21">
        <f>[1]Calc_Bank!C12</f>
        <v>19867.000000000004</v>
      </c>
      <c r="C21">
        <f>[1]Calc_Bank!D12</f>
        <v>1070.72</v>
      </c>
      <c r="D21">
        <f>[1]Calc_Bank!E12</f>
        <v>647.33999999999992</v>
      </c>
      <c r="E21">
        <f>[1]Calc_Bank!L12</f>
        <v>10</v>
      </c>
    </row>
    <row r="22" spans="1:5" x14ac:dyDescent="0.25">
      <c r="A22" t="str">
        <f>[1]Calc_Bank!A13</f>
        <v>Banca Friulana</v>
      </c>
      <c r="B22">
        <f>[1]Calc_Bank!C13</f>
        <v>21169.7</v>
      </c>
      <c r="C22">
        <f>[1]Calc_Bank!D13</f>
        <v>1141.53</v>
      </c>
      <c r="D22">
        <f>[1]Calc_Bank!E13</f>
        <v>688.67000000000007</v>
      </c>
      <c r="E22">
        <f>[1]Calc_Bank!L13</f>
        <v>9</v>
      </c>
    </row>
    <row r="23" spans="1:5" x14ac:dyDescent="0.25">
      <c r="A23" t="str">
        <f>[1]Calc_Bank!A14</f>
        <v>Banca Umbra</v>
      </c>
      <c r="B23">
        <f>[1]Calc_Bank!C14</f>
        <v>22385.899999999998</v>
      </c>
      <c r="C23">
        <f>[1]Calc_Bank!D14</f>
        <v>1205.6399999999999</v>
      </c>
      <c r="D23">
        <f>[1]Calc_Bank!E14</f>
        <v>728.57999999999993</v>
      </c>
      <c r="E23">
        <f>[1]Calc_Bank!L14</f>
        <v>8</v>
      </c>
    </row>
    <row r="24" spans="1:5" x14ac:dyDescent="0.25">
      <c r="A24" t="str">
        <f>[1]Calc_Bank!A15</f>
        <v>Banca Marchigiana</v>
      </c>
      <c r="B24">
        <f>[1]Calc_Bank!C15</f>
        <v>23667.1</v>
      </c>
      <c r="C24">
        <f>[1]Calc_Bank!D15</f>
        <v>1276.6399999999999</v>
      </c>
      <c r="D24">
        <f>[1]Calc_Bank!E15</f>
        <v>769.13</v>
      </c>
      <c r="E24">
        <f>[1]Calc_Bank!L15</f>
        <v>7</v>
      </c>
    </row>
    <row r="25" spans="1:5" x14ac:dyDescent="0.25">
      <c r="A25" t="str">
        <f>[1]Calc_Bank!A16</f>
        <v>Banca Lucana</v>
      </c>
      <c r="B25">
        <f>[1]Calc_Bank!C16</f>
        <v>24910.3</v>
      </c>
      <c r="C25">
        <f>[1]Calc_Bank!D16</f>
        <v>1342.7800000000002</v>
      </c>
      <c r="D25">
        <f>[1]Calc_Bank!E16</f>
        <v>810.42000000000007</v>
      </c>
      <c r="E25">
        <f>[1]Calc_Bank!L16</f>
        <v>6</v>
      </c>
    </row>
    <row r="26" spans="1:5" x14ac:dyDescent="0.25">
      <c r="A26" t="str">
        <f>[1]Calc_Bank!A17</f>
        <v>Banca Calabra</v>
      </c>
      <c r="B26">
        <f>[1]Calc_Bank!C17</f>
        <v>26105.9</v>
      </c>
      <c r="C26">
        <f>[1]Calc_Bank!D17</f>
        <v>1406.3700000000001</v>
      </c>
      <c r="D26">
        <f>[1]Calc_Bank!E17</f>
        <v>848.68</v>
      </c>
      <c r="E26">
        <f>[1]Calc_Bank!L17</f>
        <v>5</v>
      </c>
    </row>
    <row r="27" spans="1:5" x14ac:dyDescent="0.25">
      <c r="A27" t="str">
        <f>[1]Calc_Bank!A18</f>
        <v>Banca Sicula</v>
      </c>
      <c r="B27">
        <f>[1]Calc_Bank!C18</f>
        <v>27574.800000000003</v>
      </c>
      <c r="C27">
        <f>[1]Calc_Bank!D18</f>
        <v>1484.77</v>
      </c>
      <c r="D27">
        <f>[1]Calc_Bank!E18</f>
        <v>895.27</v>
      </c>
      <c r="E27">
        <f>[1]Calc_Bank!L18</f>
        <v>4</v>
      </c>
    </row>
    <row r="28" spans="1:5" x14ac:dyDescent="0.25">
      <c r="A28" t="str">
        <f>[1]Calc_Bank!A19</f>
        <v>Banca Sarda</v>
      </c>
      <c r="B28">
        <f>[1]Calc_Bank!C19</f>
        <v>28720.9</v>
      </c>
      <c r="C28">
        <f>[1]Calc_Bank!D19</f>
        <v>1546.53</v>
      </c>
      <c r="D28">
        <f>[1]Calc_Bank!E19</f>
        <v>933.86000000000013</v>
      </c>
      <c r="E28">
        <f>[1]Calc_Bank!L19</f>
        <v>3</v>
      </c>
    </row>
    <row r="29" spans="1:5" x14ac:dyDescent="0.25">
      <c r="A29" t="str">
        <f>[1]Calc_Bank!A20</f>
        <v>Banca Romagnola</v>
      </c>
      <c r="B29">
        <f>[1]Calc_Bank!C20</f>
        <v>29979.5</v>
      </c>
      <c r="C29">
        <f>[1]Calc_Bank!D20</f>
        <v>1612.3500000000001</v>
      </c>
      <c r="D29">
        <f>[1]Calc_Bank!E20</f>
        <v>972.98</v>
      </c>
      <c r="E29">
        <f>[1]Calc_Bank!L20</f>
        <v>2</v>
      </c>
    </row>
    <row r="30" spans="1:5" x14ac:dyDescent="0.25">
      <c r="A30" t="str">
        <f>[1]Calc_Bank!A21</f>
        <v>Banca Città</v>
      </c>
      <c r="B30">
        <f>[1]Calc_Bank!C21</f>
        <v>31314.5</v>
      </c>
      <c r="C30">
        <f>[1]Calc_Bank!D21</f>
        <v>1685.97</v>
      </c>
      <c r="D30">
        <f>[1]Calc_Bank!E21</f>
        <v>1015.4899999999999</v>
      </c>
      <c r="E30">
        <f>[1]Calc_Bank!L21</f>
        <v>1</v>
      </c>
    </row>
    <row r="33" spans="1:3" x14ac:dyDescent="0.25">
      <c r="A33" t="s">
        <v>1</v>
      </c>
      <c r="B33" t="s">
        <v>38</v>
      </c>
      <c r="C33" t="s">
        <v>39</v>
      </c>
    </row>
    <row r="34" spans="1:3" x14ac:dyDescent="0.25">
      <c r="A34">
        <f t="shared" ref="A34:A69" si="0">ROW()-33</f>
        <v>1</v>
      </c>
      <c r="B34">
        <f>[1]Calc_Month!C2</f>
        <v>8012.1</v>
      </c>
      <c r="C34" cm="1">
        <f t="array" ref="C34">INDEX([1]Calc_Month!$D$2:$D$37,A34)</f>
        <v>433.36</v>
      </c>
    </row>
    <row r="35" spans="1:3" x14ac:dyDescent="0.25">
      <c r="A35">
        <f t="shared" si="0"/>
        <v>2</v>
      </c>
      <c r="B35">
        <f>[1]Calc_Month!C3</f>
        <v>8126.5</v>
      </c>
      <c r="C35" cm="1">
        <f t="array" ref="C35">INDEX([1]Calc_Month!$D$2:$D$37,A35)</f>
        <v>440.85999999999996</v>
      </c>
    </row>
    <row r="36" spans="1:3" x14ac:dyDescent="0.25">
      <c r="A36">
        <f t="shared" si="0"/>
        <v>3</v>
      </c>
      <c r="B36">
        <f>[1]Calc_Month!C4</f>
        <v>8163.5</v>
      </c>
      <c r="C36" cm="1">
        <f t="array" ref="C36">INDEX([1]Calc_Month!$D$2:$D$37,A36)</f>
        <v>443.09000000000003</v>
      </c>
    </row>
    <row r="37" spans="1:3" x14ac:dyDescent="0.25">
      <c r="A37">
        <f t="shared" si="0"/>
        <v>4</v>
      </c>
      <c r="B37">
        <f>[1]Calc_Month!C5</f>
        <v>8209.7000000000007</v>
      </c>
      <c r="C37" cm="1">
        <f t="array" ref="C37">INDEX([1]Calc_Month!$D$2:$D$37,A37)</f>
        <v>444.15</v>
      </c>
    </row>
    <row r="38" spans="1:3" x14ac:dyDescent="0.25">
      <c r="A38">
        <f t="shared" si="0"/>
        <v>5</v>
      </c>
      <c r="B38">
        <f>[1]Calc_Month!C6</f>
        <v>8325.2000000000007</v>
      </c>
      <c r="C38" cm="1">
        <f t="array" ref="C38">INDEX([1]Calc_Month!$D$2:$D$37,A38)</f>
        <v>451.45</v>
      </c>
    </row>
    <row r="39" spans="1:3" x14ac:dyDescent="0.25">
      <c r="A39">
        <f t="shared" si="0"/>
        <v>6</v>
      </c>
      <c r="B39">
        <f>[1]Calc_Month!C7</f>
        <v>8343.2999999999993</v>
      </c>
      <c r="C39" cm="1">
        <f t="array" ref="C39">INDEX([1]Calc_Month!$D$2:$D$37,A39)</f>
        <v>451.67000000000007</v>
      </c>
    </row>
    <row r="40" spans="1:3" x14ac:dyDescent="0.25">
      <c r="A40">
        <f t="shared" si="0"/>
        <v>7</v>
      </c>
      <c r="B40">
        <f>[1]Calc_Month!C8</f>
        <v>8405</v>
      </c>
      <c r="C40" cm="1">
        <f t="array" ref="C40">INDEX([1]Calc_Month!$D$2:$D$37,A40)</f>
        <v>455.92000000000007</v>
      </c>
    </row>
    <row r="41" spans="1:3" x14ac:dyDescent="0.25">
      <c r="A41">
        <f t="shared" si="0"/>
        <v>8</v>
      </c>
      <c r="B41">
        <f>[1]Calc_Month!C9</f>
        <v>8440.6</v>
      </c>
      <c r="C41" cm="1">
        <f t="array" ref="C41">INDEX([1]Calc_Month!$D$2:$D$37,A41)</f>
        <v>457.53</v>
      </c>
    </row>
    <row r="42" spans="1:3" x14ac:dyDescent="0.25">
      <c r="A42">
        <f t="shared" si="0"/>
        <v>9</v>
      </c>
      <c r="B42">
        <f>[1]Calc_Month!C10</f>
        <v>8499.6</v>
      </c>
      <c r="C42" cm="1">
        <f t="array" ref="C42">INDEX([1]Calc_Month!$D$2:$D$37,A42)</f>
        <v>458.83999999999992</v>
      </c>
    </row>
    <row r="43" spans="1:3" x14ac:dyDescent="0.25">
      <c r="A43">
        <f t="shared" si="0"/>
        <v>10</v>
      </c>
      <c r="B43">
        <f>[1]Calc_Month!C11</f>
        <v>8590.6</v>
      </c>
      <c r="C43" cm="1">
        <f t="array" ref="C43">INDEX([1]Calc_Month!$D$2:$D$37,A43)</f>
        <v>465</v>
      </c>
    </row>
    <row r="44" spans="1:3" x14ac:dyDescent="0.25">
      <c r="A44">
        <f t="shared" si="0"/>
        <v>11</v>
      </c>
      <c r="B44">
        <f>[1]Calc_Month!C12</f>
        <v>8644.8999999999978</v>
      </c>
      <c r="C44" cm="1">
        <f t="array" ref="C44">INDEX([1]Calc_Month!$D$2:$D$37,A44)</f>
        <v>468.26</v>
      </c>
    </row>
    <row r="45" spans="1:3" x14ac:dyDescent="0.25">
      <c r="A45">
        <f t="shared" si="0"/>
        <v>12</v>
      </c>
      <c r="B45">
        <f>[1]Calc_Month!C13</f>
        <v>8718.7000000000007</v>
      </c>
      <c r="C45" cm="1">
        <f t="array" ref="C45">INDEX([1]Calc_Month!$D$2:$D$37,A45)</f>
        <v>472.51</v>
      </c>
    </row>
    <row r="46" spans="1:3" x14ac:dyDescent="0.25">
      <c r="A46">
        <f t="shared" si="0"/>
        <v>13</v>
      </c>
      <c r="B46">
        <f>[1]Calc_Month!C14</f>
        <v>8739.0999999999985</v>
      </c>
      <c r="C46" cm="1">
        <f t="array" ref="C46">INDEX([1]Calc_Month!$D$2:$D$37,A46)</f>
        <v>472.04</v>
      </c>
    </row>
    <row r="47" spans="1:3" x14ac:dyDescent="0.25">
      <c r="A47">
        <f t="shared" si="0"/>
        <v>14</v>
      </c>
      <c r="B47">
        <f>[1]Calc_Month!C15</f>
        <v>8764.4000000000015</v>
      </c>
      <c r="C47" cm="1">
        <f t="array" ref="C47">INDEX([1]Calc_Month!$D$2:$D$37,A47)</f>
        <v>473.7</v>
      </c>
    </row>
    <row r="48" spans="1:3" x14ac:dyDescent="0.25">
      <c r="A48">
        <f t="shared" si="0"/>
        <v>15</v>
      </c>
      <c r="B48">
        <f>[1]Calc_Month!C16</f>
        <v>8808.1</v>
      </c>
      <c r="C48" cm="1">
        <f t="array" ref="C48">INDEX([1]Calc_Month!$D$2:$D$37,A48)</f>
        <v>475.75</v>
      </c>
    </row>
    <row r="49" spans="1:3" x14ac:dyDescent="0.25">
      <c r="A49">
        <f t="shared" si="0"/>
        <v>16</v>
      </c>
      <c r="B49">
        <f>[1]Calc_Month!C17</f>
        <v>8923.1999999999989</v>
      </c>
      <c r="C49" cm="1">
        <f t="array" ref="C49">INDEX([1]Calc_Month!$D$2:$D$37,A49)</f>
        <v>482.73</v>
      </c>
    </row>
    <row r="50" spans="1:3" x14ac:dyDescent="0.25">
      <c r="A50">
        <f t="shared" si="0"/>
        <v>17</v>
      </c>
      <c r="B50">
        <f>[1]Calc_Month!C18</f>
        <v>9056.2999999999993</v>
      </c>
      <c r="C50" cm="1">
        <f t="array" ref="C50">INDEX([1]Calc_Month!$D$2:$D$37,A50)</f>
        <v>489.62</v>
      </c>
    </row>
    <row r="51" spans="1:3" x14ac:dyDescent="0.25">
      <c r="A51">
        <f t="shared" si="0"/>
        <v>18</v>
      </c>
      <c r="B51">
        <f>[1]Calc_Month!C19</f>
        <v>9113.2999999999993</v>
      </c>
      <c r="C51" cm="1">
        <f t="array" ref="C51">INDEX([1]Calc_Month!$D$2:$D$37,A51)</f>
        <v>493.34000000000003</v>
      </c>
    </row>
    <row r="52" spans="1:3" x14ac:dyDescent="0.25">
      <c r="A52">
        <f t="shared" si="0"/>
        <v>19</v>
      </c>
      <c r="B52">
        <f>[1]Calc_Month!C20</f>
        <v>9158.2000000000007</v>
      </c>
      <c r="C52" cm="1">
        <f t="array" ref="C52">INDEX([1]Calc_Month!$D$2:$D$37,A52)</f>
        <v>494.5</v>
      </c>
    </row>
    <row r="53" spans="1:3" x14ac:dyDescent="0.25">
      <c r="A53">
        <f t="shared" si="0"/>
        <v>20</v>
      </c>
      <c r="B53">
        <f>[1]Calc_Month!C21</f>
        <v>9269.7000000000007</v>
      </c>
      <c r="C53" cm="1">
        <f t="array" ref="C53">INDEX([1]Calc_Month!$D$2:$D$37,A53)</f>
        <v>501.26</v>
      </c>
    </row>
    <row r="54" spans="1:3" x14ac:dyDescent="0.25">
      <c r="A54">
        <f t="shared" si="0"/>
        <v>21</v>
      </c>
      <c r="B54">
        <f>[1]Calc_Month!C22</f>
        <v>9227.3000000000011</v>
      </c>
      <c r="C54" cm="1">
        <f t="array" ref="C54">INDEX([1]Calc_Month!$D$2:$D$37,A54)</f>
        <v>500.09000000000003</v>
      </c>
    </row>
    <row r="55" spans="1:3" x14ac:dyDescent="0.25">
      <c r="A55">
        <f t="shared" si="0"/>
        <v>22</v>
      </c>
      <c r="B55">
        <f>[1]Calc_Month!C23</f>
        <v>9333.9</v>
      </c>
      <c r="C55" cm="1">
        <f t="array" ref="C55">INDEX([1]Calc_Month!$D$2:$D$37,A55)</f>
        <v>505.79999999999995</v>
      </c>
    </row>
    <row r="56" spans="1:3" x14ac:dyDescent="0.25">
      <c r="A56">
        <f t="shared" si="0"/>
        <v>23</v>
      </c>
      <c r="B56">
        <f>[1]Calc_Month!C24</f>
        <v>9331.1</v>
      </c>
      <c r="C56" cm="1">
        <f t="array" ref="C56">INDEX([1]Calc_Month!$D$2:$D$37,A56)</f>
        <v>505.18999999999994</v>
      </c>
    </row>
    <row r="57" spans="1:3" x14ac:dyDescent="0.25">
      <c r="A57">
        <f t="shared" si="0"/>
        <v>24</v>
      </c>
      <c r="B57">
        <f>[1]Calc_Month!C25</f>
        <v>9406</v>
      </c>
      <c r="C57" cm="1">
        <f t="array" ref="C57">INDEX([1]Calc_Month!$D$2:$D$37,A57)</f>
        <v>509.76</v>
      </c>
    </row>
    <row r="58" spans="1:3" x14ac:dyDescent="0.25">
      <c r="A58">
        <f t="shared" si="0"/>
        <v>25</v>
      </c>
      <c r="B58">
        <f>[1]Calc_Month!C26</f>
        <v>9566.8000000000011</v>
      </c>
      <c r="C58" cm="1">
        <f t="array" ref="C58">INDEX([1]Calc_Month!$D$2:$D$37,A58)</f>
        <v>516.95000000000005</v>
      </c>
    </row>
    <row r="59" spans="1:3" x14ac:dyDescent="0.25">
      <c r="A59">
        <f t="shared" si="0"/>
        <v>26</v>
      </c>
      <c r="B59">
        <f>[1]Calc_Month!C27</f>
        <v>9616.2000000000007</v>
      </c>
      <c r="C59" cm="1">
        <f t="array" ref="C59">INDEX([1]Calc_Month!$D$2:$D$37,A59)</f>
        <v>517.99</v>
      </c>
    </row>
    <row r="60" spans="1:3" x14ac:dyDescent="0.25">
      <c r="A60">
        <f t="shared" si="0"/>
        <v>27</v>
      </c>
      <c r="B60">
        <f>[1]Calc_Month!C28</f>
        <v>9729.1</v>
      </c>
      <c r="C60" cm="1">
        <f t="array" ref="C60">INDEX([1]Calc_Month!$D$2:$D$37,A60)</f>
        <v>526.02</v>
      </c>
    </row>
    <row r="61" spans="1:3" x14ac:dyDescent="0.25">
      <c r="A61">
        <f t="shared" si="0"/>
        <v>28</v>
      </c>
      <c r="B61">
        <f>[1]Calc_Month!C29</f>
        <v>9665.6</v>
      </c>
      <c r="C61" cm="1">
        <f t="array" ref="C61">INDEX([1]Calc_Month!$D$2:$D$37,A61)</f>
        <v>523.44000000000005</v>
      </c>
    </row>
    <row r="62" spans="1:3" x14ac:dyDescent="0.25">
      <c r="A62">
        <f t="shared" si="0"/>
        <v>29</v>
      </c>
      <c r="B62">
        <f>[1]Calc_Month!C30</f>
        <v>9782.7999999999993</v>
      </c>
      <c r="C62" cm="1">
        <f t="array" ref="C62">INDEX([1]Calc_Month!$D$2:$D$37,A62)</f>
        <v>530.4</v>
      </c>
    </row>
    <row r="63" spans="1:3" x14ac:dyDescent="0.25">
      <c r="A63">
        <f t="shared" si="0"/>
        <v>30</v>
      </c>
      <c r="B63">
        <f>[1]Calc_Month!C31</f>
        <v>9865.7999999999993</v>
      </c>
      <c r="C63" cm="1">
        <f t="array" ref="C63">INDEX([1]Calc_Month!$D$2:$D$37,A63)</f>
        <v>534.66</v>
      </c>
    </row>
    <row r="64" spans="1:3" x14ac:dyDescent="0.25">
      <c r="A64">
        <f t="shared" si="0"/>
        <v>31</v>
      </c>
      <c r="B64">
        <f>[1]Calc_Month!C32</f>
        <v>9905.6</v>
      </c>
      <c r="C64" cm="1">
        <f t="array" ref="C64">INDEX([1]Calc_Month!$D$2:$D$37,A64)</f>
        <v>535</v>
      </c>
    </row>
    <row r="65" spans="1:3" x14ac:dyDescent="0.25">
      <c r="A65">
        <f t="shared" si="0"/>
        <v>32</v>
      </c>
      <c r="B65">
        <f>[1]Calc_Month!C33</f>
        <v>9946.4000000000015</v>
      </c>
      <c r="C65" cm="1">
        <f t="array" ref="C65">INDEX([1]Calc_Month!$D$2:$D$37,A65)</f>
        <v>539.58999999999992</v>
      </c>
    </row>
    <row r="66" spans="1:3" x14ac:dyDescent="0.25">
      <c r="A66">
        <f t="shared" si="0"/>
        <v>33</v>
      </c>
      <c r="B66">
        <f>[1]Calc_Month!C34</f>
        <v>10029.400000000001</v>
      </c>
      <c r="C66" cm="1">
        <f t="array" ref="C66">INDEX([1]Calc_Month!$D$2:$D$37,A66)</f>
        <v>542.69000000000005</v>
      </c>
    </row>
    <row r="67" spans="1:3" x14ac:dyDescent="0.25">
      <c r="A67">
        <f t="shared" si="0"/>
        <v>34</v>
      </c>
      <c r="B67">
        <f>[1]Calc_Month!C35</f>
        <v>10087.199999999999</v>
      </c>
      <c r="C67" cm="1">
        <f t="array" ref="C67">INDEX([1]Calc_Month!$D$2:$D$37,A67)</f>
        <v>546.29</v>
      </c>
    </row>
    <row r="68" spans="1:3" x14ac:dyDescent="0.25">
      <c r="A68">
        <f t="shared" si="0"/>
        <v>35</v>
      </c>
      <c r="B68">
        <f>[1]Calc_Month!C36</f>
        <v>10252.199999999999</v>
      </c>
      <c r="C68" cm="1">
        <f t="array" ref="C68">INDEX([1]Calc_Month!$D$2:$D$37,A68)</f>
        <v>553.17999999999995</v>
      </c>
    </row>
    <row r="69" spans="1:3" x14ac:dyDescent="0.25">
      <c r="A69">
        <f t="shared" si="0"/>
        <v>36</v>
      </c>
      <c r="B69">
        <f>[1]Calc_Month!C37</f>
        <v>10243.300000000001</v>
      </c>
      <c r="C69" cm="1">
        <f t="array" ref="C69">INDEX([1]Calc_Month!$D$2:$D$37,A69)</f>
        <v>555.09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A6F6-A26E-409F-B1F4-797935EED3AA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31</v>
      </c>
      <c r="I1" t="s">
        <v>41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6" x14ac:dyDescent="0.25">
      <c r="A2" t="str">
        <f>Link!A11</f>
        <v>Banca Alpi</v>
      </c>
      <c r="B2">
        <f>Link!B11</f>
        <v>7354.8</v>
      </c>
      <c r="C2">
        <f>SUMIFS(PeerData!$C$2:$C$721,PeerData!$A$2:$A$721,A2,PeerData!$B$2:$B$721,Link!$B$3)</f>
        <v>6924.6</v>
      </c>
      <c r="D2">
        <f>_xlfn.XLOOKUP(A2&amp;"|"&amp;Link!$B$3,PeerData!$G$2:$G$721,PeerData!$D$2:$D$721,0)</f>
        <v>346.23</v>
      </c>
      <c r="E2">
        <f t="shared" ref="E2:E21" si="0">B2-C2</f>
        <v>430.19999999999982</v>
      </c>
      <c r="F2">
        <f t="shared" ref="F2:F21" si="1">IFERROR(E2/C2,0)</f>
        <v>6.212633220691445E-2</v>
      </c>
      <c r="G2" t="str">
        <f>VLOOKUP(A2,PeerMaster!$A$2:$D$21,2,FALSE)</f>
        <v>G1</v>
      </c>
      <c r="H2">
        <f>INDEX(PeerMaster!$C$2:$C$21,MATCH(A2,PeerMaster!$A$2:$A$21,0))</f>
        <v>1</v>
      </c>
      <c r="I2">
        <f t="shared" ref="I2:I21" si="2">_xlfn.RANK.EQ(F2,$F$2:$F$21)</f>
        <v>4</v>
      </c>
      <c r="J2" t="str" cm="1">
        <f t="array" ref="J2">_xlfn.IFS(F2&gt;0.05,"ahead",F2&lt;-0.05,"behind",TRUE,"in line")</f>
        <v>ahead</v>
      </c>
      <c r="K2" t="str" cm="1">
        <f t="array" ref="K2">_xlfn.SWITCH(H2,1,"Tier one",2,"Tier two","Other")</f>
        <v>Tier one</v>
      </c>
      <c r="L2">
        <f t="shared" ref="L2:L21" si="3">_xlfn.LET(_xlpm.a,B2,_xlpm.b,C2,IF(_xlpm.b=0,0,ROUND(_xlpm.a/_xlpm.b,4)))</f>
        <v>1.0621</v>
      </c>
      <c r="M2">
        <f t="shared" ref="M2:M21" si="4">AVERAGEIFS($C$2:$C$21,$G$2:$G$21,G2)</f>
        <v>16399.599999999999</v>
      </c>
      <c r="N2">
        <f t="shared" ref="N2:N21" si="5">COUNTIFS($G$2:$G$21,G2,$F$2:$F$21,"&gt;0")</f>
        <v>5</v>
      </c>
      <c r="O2">
        <f t="shared" ref="O2:O21" si="6">_xlfn.MAXIFS($F$2:$F$21,$G$2:$G$21,G2)</f>
        <v>6.8747838118298168E-2</v>
      </c>
      <c r="P2" t="str">
        <f>IF(A2=Link!$B$2,"&lt;&lt;","")</f>
        <v/>
      </c>
    </row>
    <row r="3" spans="1:16" x14ac:dyDescent="0.25">
      <c r="A3" t="str">
        <f>Link!A12</f>
        <v>Banca Adriatica</v>
      </c>
      <c r="B3">
        <f>Link!B12</f>
        <v>8568.1</v>
      </c>
      <c r="C3">
        <f>SUMIFS(PeerData!$C$2:$C$721,PeerData!$A$2:$A$721,A3,PeerData!$B$2:$B$721,Link!$B$3)</f>
        <v>8011.7</v>
      </c>
      <c r="D3">
        <f>_xlfn.XLOOKUP(A3&amp;"|"&amp;Link!$B$3,PeerData!$G$2:$G$721,PeerData!$D$2:$D$721,0)</f>
        <v>400.59</v>
      </c>
      <c r="E3">
        <f t="shared" si="0"/>
        <v>556.40000000000055</v>
      </c>
      <c r="F3">
        <f t="shared" si="1"/>
        <v>6.9448431668684613E-2</v>
      </c>
      <c r="G3" t="str">
        <f>VLOOKUP(A3,PeerMaster!$A$2:$D$21,2,FALSE)</f>
        <v>G2</v>
      </c>
      <c r="H3">
        <f>INDEX(PeerMaster!$C$2:$C$21,MATCH(A3,PeerMaster!$A$2:$A$21,0))</f>
        <v>2</v>
      </c>
      <c r="I3">
        <f t="shared" si="2"/>
        <v>1</v>
      </c>
      <c r="J3" t="str" cm="1">
        <f t="array" ref="J3">_xlfn.IFS(F3&gt;0.05,"ahead",F3&lt;-0.05,"behind",TRUE,"in line")</f>
        <v>ahead</v>
      </c>
      <c r="K3" t="str" cm="1">
        <f t="array" ref="K3">_xlfn.SWITCH(H3,1,"Tier one",2,"Tier two","Other")</f>
        <v>Tier two</v>
      </c>
      <c r="L3">
        <f t="shared" si="3"/>
        <v>1.0693999999999999</v>
      </c>
      <c r="M3">
        <f t="shared" si="4"/>
        <v>17716.599999999999</v>
      </c>
      <c r="N3">
        <f t="shared" si="5"/>
        <v>5</v>
      </c>
      <c r="O3">
        <f t="shared" si="6"/>
        <v>6.9448431668684613E-2</v>
      </c>
      <c r="P3" t="str">
        <f>IF(A3=Link!$B$2,"&lt;&lt;","")</f>
        <v/>
      </c>
    </row>
    <row r="4" spans="1:16" x14ac:dyDescent="0.25">
      <c r="A4" t="str">
        <f>Link!A13</f>
        <v>Banca Tirrena</v>
      </c>
      <c r="B4">
        <f>Link!B13</f>
        <v>9865.7999999999993</v>
      </c>
      <c r="C4">
        <f>SUMIFS(PeerData!$C$2:$C$721,PeerData!$A$2:$A$721,A4,PeerData!$B$2:$B$721,Link!$B$3)</f>
        <v>9487.6</v>
      </c>
      <c r="D4">
        <f>_xlfn.XLOOKUP(A4&amp;"|"&amp;Link!$B$3,PeerData!$G$2:$G$721,PeerData!$D$2:$D$721,0)</f>
        <v>474.38</v>
      </c>
      <c r="E4">
        <f t="shared" si="0"/>
        <v>378.19999999999891</v>
      </c>
      <c r="F4">
        <f t="shared" si="1"/>
        <v>3.9862557443399692E-2</v>
      </c>
      <c r="G4" t="str">
        <f>VLOOKUP(A4,PeerMaster!$A$2:$D$21,2,FALSE)</f>
        <v>G3</v>
      </c>
      <c r="H4">
        <f>INDEX(PeerMaster!$C$2:$C$21,MATCH(A4,PeerMaster!$A$2:$A$21,0))</f>
        <v>3</v>
      </c>
      <c r="I4">
        <f t="shared" si="2"/>
        <v>20</v>
      </c>
      <c r="J4" t="str" cm="1">
        <f t="array" ref="J4">_xlfn.IFS(F4&gt;0.05,"ahead",F4&lt;-0.05,"behind",TRUE,"in line")</f>
        <v>in line</v>
      </c>
      <c r="K4" t="str" cm="1">
        <f t="array" ref="K4">_xlfn.SWITCH(H4,1,"Tier one",2,"Tier two","Other")</f>
        <v>Other</v>
      </c>
      <c r="L4">
        <f t="shared" si="3"/>
        <v>1.0399</v>
      </c>
      <c r="M4">
        <f t="shared" si="4"/>
        <v>18946.239999999998</v>
      </c>
      <c r="N4">
        <f t="shared" si="5"/>
        <v>5</v>
      </c>
      <c r="O4">
        <f t="shared" si="6"/>
        <v>5.7396506392174251E-2</v>
      </c>
      <c r="P4" t="str">
        <f>IF(A4=Link!$B$2,"&lt;&lt;","")</f>
        <v>&lt;&lt;</v>
      </c>
    </row>
    <row r="5" spans="1:16" x14ac:dyDescent="0.25">
      <c r="A5" t="str">
        <f>Link!A14</f>
        <v>Banca Padana</v>
      </c>
      <c r="B5">
        <f>Link!B14</f>
        <v>11127.400000000001</v>
      </c>
      <c r="C5">
        <f>SUMIFS(PeerData!$C$2:$C$721,PeerData!$A$2:$A$721,A5,PeerData!$B$2:$B$721,Link!$B$3)</f>
        <v>10580.4</v>
      </c>
      <c r="D5">
        <f>_xlfn.XLOOKUP(A5&amp;"|"&amp;Link!$B$3,PeerData!$G$2:$G$721,PeerData!$D$2:$D$721,0)</f>
        <v>529.02</v>
      </c>
      <c r="E5">
        <f t="shared" si="0"/>
        <v>547.00000000000182</v>
      </c>
      <c r="F5">
        <f t="shared" si="1"/>
        <v>5.1699368643907777E-2</v>
      </c>
      <c r="G5" t="str">
        <f>VLOOKUP(A5,PeerMaster!$A$2:$D$21,2,FALSE)</f>
        <v>G4</v>
      </c>
      <c r="H5">
        <f>INDEX(PeerMaster!$C$2:$C$21,MATCH(A5,PeerMaster!$A$2:$A$21,0))</f>
        <v>1</v>
      </c>
      <c r="I5">
        <f t="shared" si="2"/>
        <v>10</v>
      </c>
      <c r="J5" t="str" cm="1">
        <f t="array" ref="J5">_xlfn.IFS(F5&gt;0.05,"ahead",F5&lt;-0.05,"behind",TRUE,"in line")</f>
        <v>ahead</v>
      </c>
      <c r="K5" t="str" cm="1">
        <f t="array" ref="K5">_xlfn.SWITCH(H5,1,"Tier one",2,"Tier two","Other")</f>
        <v>Tier one</v>
      </c>
      <c r="L5">
        <f t="shared" si="3"/>
        <v>1.0517000000000001</v>
      </c>
      <c r="M5">
        <f t="shared" si="4"/>
        <v>20139.28</v>
      </c>
      <c r="N5">
        <f t="shared" si="5"/>
        <v>5</v>
      </c>
      <c r="O5">
        <f t="shared" si="6"/>
        <v>6.0103388390303075E-2</v>
      </c>
      <c r="P5" t="str">
        <f>IF(A5=Link!$B$2,"&lt;&lt;","")</f>
        <v/>
      </c>
    </row>
    <row r="6" spans="1:16" x14ac:dyDescent="0.25">
      <c r="A6" t="str">
        <f>Link!A15</f>
        <v>Banca Etrusca</v>
      </c>
      <c r="B6">
        <f>Link!B15</f>
        <v>12359</v>
      </c>
      <c r="C6">
        <f>SUMIFS(PeerData!$C$2:$C$721,PeerData!$A$2:$A$721,A6,PeerData!$B$2:$B$721,Link!$B$3)</f>
        <v>11564</v>
      </c>
      <c r="D6">
        <f>_xlfn.XLOOKUP(A6&amp;"|"&amp;Link!$B$3,PeerData!$G$2:$G$721,PeerData!$D$2:$D$721,0)</f>
        <v>578.20000000000005</v>
      </c>
      <c r="E6">
        <f t="shared" si="0"/>
        <v>795</v>
      </c>
      <c r="F6">
        <f t="shared" si="1"/>
        <v>6.8747838118298168E-2</v>
      </c>
      <c r="G6" t="str">
        <f>VLOOKUP(A6,PeerMaster!$A$2:$D$21,2,FALSE)</f>
        <v>G1</v>
      </c>
      <c r="H6">
        <f>INDEX(PeerMaster!$C$2:$C$21,MATCH(A6,PeerMaster!$A$2:$A$21,0))</f>
        <v>2</v>
      </c>
      <c r="I6">
        <f t="shared" si="2"/>
        <v>2</v>
      </c>
      <c r="J6" t="str" cm="1">
        <f t="array" ref="J6">_xlfn.IFS(F6&gt;0.05,"ahead",F6&lt;-0.05,"behind",TRUE,"in line")</f>
        <v>ahead</v>
      </c>
      <c r="K6" t="str" cm="1">
        <f t="array" ref="K6">_xlfn.SWITCH(H6,1,"Tier one",2,"Tier two","Other")</f>
        <v>Tier two</v>
      </c>
      <c r="L6">
        <f t="shared" si="3"/>
        <v>1.0687</v>
      </c>
      <c r="M6">
        <f t="shared" si="4"/>
        <v>16399.599999999999</v>
      </c>
      <c r="N6">
        <f t="shared" si="5"/>
        <v>5</v>
      </c>
      <c r="O6">
        <f t="shared" si="6"/>
        <v>6.8747838118298168E-2</v>
      </c>
      <c r="P6" t="str">
        <f>IF(A6=Link!$B$2,"&lt;&lt;","")</f>
        <v/>
      </c>
    </row>
    <row r="7" spans="1:16" x14ac:dyDescent="0.25">
      <c r="A7" t="str">
        <f>Link!A16</f>
        <v>Banca Lariana</v>
      </c>
      <c r="B7">
        <f>Link!B16</f>
        <v>13592.199999999999</v>
      </c>
      <c r="C7">
        <f>SUMIFS(PeerData!$C$2:$C$721,PeerData!$A$2:$A$721,A7,PeerData!$B$2:$B$721,Link!$B$3)</f>
        <v>12936.3</v>
      </c>
      <c r="D7">
        <f>_xlfn.XLOOKUP(A7&amp;"|"&amp;Link!$B$3,PeerData!$G$2:$G$721,PeerData!$D$2:$D$721,0)</f>
        <v>646.82000000000005</v>
      </c>
      <c r="E7">
        <f t="shared" si="0"/>
        <v>655.89999999999964</v>
      </c>
      <c r="F7">
        <f t="shared" si="1"/>
        <v>5.0702287361919535E-2</v>
      </c>
      <c r="G7" t="str">
        <f>VLOOKUP(A7,PeerMaster!$A$2:$D$21,2,FALSE)</f>
        <v>G2</v>
      </c>
      <c r="H7">
        <f>INDEX(PeerMaster!$C$2:$C$21,MATCH(A7,PeerMaster!$A$2:$A$21,0))</f>
        <v>3</v>
      </c>
      <c r="I7">
        <f t="shared" si="2"/>
        <v>12</v>
      </c>
      <c r="J7" t="str" cm="1">
        <f t="array" ref="J7">_xlfn.IFS(F7&gt;0.05,"ahead",F7&lt;-0.05,"behind",TRUE,"in line")</f>
        <v>ahead</v>
      </c>
      <c r="K7" t="str" cm="1">
        <f t="array" ref="K7">_xlfn.SWITCH(H7,1,"Tier one",2,"Tier two","Other")</f>
        <v>Other</v>
      </c>
      <c r="L7">
        <f t="shared" si="3"/>
        <v>1.0507</v>
      </c>
      <c r="M7">
        <f t="shared" si="4"/>
        <v>17716.599999999999</v>
      </c>
      <c r="N7">
        <f t="shared" si="5"/>
        <v>5</v>
      </c>
      <c r="O7">
        <f t="shared" si="6"/>
        <v>6.9448431668684613E-2</v>
      </c>
      <c r="P7" t="str">
        <f>IF(A7=Link!$B$2,"&lt;&lt;","")</f>
        <v/>
      </c>
    </row>
    <row r="8" spans="1:16" x14ac:dyDescent="0.25">
      <c r="A8" t="str">
        <f>Link!A17</f>
        <v>Banca Sabina</v>
      </c>
      <c r="B8">
        <f>Link!B17</f>
        <v>14860.6</v>
      </c>
      <c r="C8">
        <f>SUMIFS(PeerData!$C$2:$C$721,PeerData!$A$2:$A$721,A8,PeerData!$B$2:$B$721,Link!$B$3)</f>
        <v>14236.8</v>
      </c>
      <c r="D8">
        <f>_xlfn.XLOOKUP(A8&amp;"|"&amp;Link!$B$3,PeerData!$G$2:$G$721,PeerData!$D$2:$D$721,0)</f>
        <v>711.84</v>
      </c>
      <c r="E8">
        <f t="shared" si="0"/>
        <v>623.80000000000109</v>
      </c>
      <c r="F8">
        <f t="shared" si="1"/>
        <v>4.381602607327497E-2</v>
      </c>
      <c r="G8" t="str">
        <f>VLOOKUP(A8,PeerMaster!$A$2:$D$21,2,FALSE)</f>
        <v>G3</v>
      </c>
      <c r="H8">
        <f>INDEX(PeerMaster!$C$2:$C$21,MATCH(A8,PeerMaster!$A$2:$A$21,0))</f>
        <v>1</v>
      </c>
      <c r="I8">
        <f t="shared" si="2"/>
        <v>19</v>
      </c>
      <c r="J8" t="str" cm="1">
        <f t="array" ref="J8">_xlfn.IFS(F8&gt;0.05,"ahead",F8&lt;-0.05,"behind",TRUE,"in line")</f>
        <v>in line</v>
      </c>
      <c r="K8" t="str" cm="1">
        <f t="array" ref="K8">_xlfn.SWITCH(H8,1,"Tier one",2,"Tier two","Other")</f>
        <v>Tier one</v>
      </c>
      <c r="L8">
        <f t="shared" si="3"/>
        <v>1.0438000000000001</v>
      </c>
      <c r="M8">
        <f t="shared" si="4"/>
        <v>18946.239999999998</v>
      </c>
      <c r="N8">
        <f t="shared" si="5"/>
        <v>5</v>
      </c>
      <c r="O8">
        <f t="shared" si="6"/>
        <v>5.7396506392174251E-2</v>
      </c>
      <c r="P8" t="str">
        <f>IF(A8=Link!$B$2,"&lt;&lt;","")</f>
        <v/>
      </c>
    </row>
    <row r="9" spans="1:16" x14ac:dyDescent="0.25">
      <c r="A9" t="str">
        <f>Link!A18</f>
        <v>Banca Irpina</v>
      </c>
      <c r="B9">
        <f>Link!B18</f>
        <v>16241.5</v>
      </c>
      <c r="C9">
        <f>SUMIFS(PeerData!$C$2:$C$721,PeerData!$A$2:$A$721,A9,PeerData!$B$2:$B$721,Link!$B$3)</f>
        <v>15498</v>
      </c>
      <c r="D9">
        <f>_xlfn.XLOOKUP(A9&amp;"|"&amp;Link!$B$3,PeerData!$G$2:$G$721,PeerData!$D$2:$D$721,0)</f>
        <v>774.9</v>
      </c>
      <c r="E9">
        <f t="shared" si="0"/>
        <v>743.5</v>
      </c>
      <c r="F9">
        <f t="shared" si="1"/>
        <v>4.7973932120273587E-2</v>
      </c>
      <c r="G9" t="str">
        <f>VLOOKUP(A9,PeerMaster!$A$2:$D$21,2,FALSE)</f>
        <v>G4</v>
      </c>
      <c r="H9">
        <f>INDEX(PeerMaster!$C$2:$C$21,MATCH(A9,PeerMaster!$A$2:$A$21,0))</f>
        <v>2</v>
      </c>
      <c r="I9">
        <f t="shared" si="2"/>
        <v>15</v>
      </c>
      <c r="J9" t="str" cm="1">
        <f t="array" ref="J9">_xlfn.IFS(F9&gt;0.05,"ahead",F9&lt;-0.05,"behind",TRUE,"in line")</f>
        <v>in line</v>
      </c>
      <c r="K9" t="str" cm="1">
        <f t="array" ref="K9">_xlfn.SWITCH(H9,1,"Tier one",2,"Tier two","Other")</f>
        <v>Tier two</v>
      </c>
      <c r="L9">
        <f t="shared" si="3"/>
        <v>1.048</v>
      </c>
      <c r="M9">
        <f t="shared" si="4"/>
        <v>20139.28</v>
      </c>
      <c r="N9">
        <f t="shared" si="5"/>
        <v>5</v>
      </c>
      <c r="O9">
        <f t="shared" si="6"/>
        <v>6.0103388390303075E-2</v>
      </c>
      <c r="P9" t="str">
        <f>IF(A9=Link!$B$2,"&lt;&lt;","")</f>
        <v/>
      </c>
    </row>
    <row r="10" spans="1:16" x14ac:dyDescent="0.25">
      <c r="A10" t="str">
        <f>Link!A19</f>
        <v>Banca Sannita</v>
      </c>
      <c r="B10">
        <f>Link!B19</f>
        <v>17435.2</v>
      </c>
      <c r="C10">
        <f>SUMIFS(PeerData!$C$2:$C$721,PeerData!$A$2:$A$721,A10,PeerData!$B$2:$B$721,Link!$B$3)</f>
        <v>16513.099999999999</v>
      </c>
      <c r="D10">
        <f>_xlfn.XLOOKUP(A10&amp;"|"&amp;Link!$B$3,PeerData!$G$2:$G$721,PeerData!$D$2:$D$721,0)</f>
        <v>825.65</v>
      </c>
      <c r="E10">
        <f t="shared" si="0"/>
        <v>922.10000000000218</v>
      </c>
      <c r="F10">
        <f t="shared" si="1"/>
        <v>5.5840514500608743E-2</v>
      </c>
      <c r="G10" t="str">
        <f>VLOOKUP(A10,PeerMaster!$A$2:$D$21,2,FALSE)</f>
        <v>G1</v>
      </c>
      <c r="H10">
        <f>INDEX(PeerMaster!$C$2:$C$21,MATCH(A10,PeerMaster!$A$2:$A$21,0))</f>
        <v>3</v>
      </c>
      <c r="I10">
        <f t="shared" si="2"/>
        <v>8</v>
      </c>
      <c r="J10" t="str" cm="1">
        <f t="array" ref="J10">_xlfn.IFS(F10&gt;0.05,"ahead",F10&lt;-0.05,"behind",TRUE,"in line")</f>
        <v>ahead</v>
      </c>
      <c r="K10" t="str" cm="1">
        <f t="array" ref="K10">_xlfn.SWITCH(H10,1,"Tier one",2,"Tier two","Other")</f>
        <v>Other</v>
      </c>
      <c r="L10">
        <f t="shared" si="3"/>
        <v>1.0558000000000001</v>
      </c>
      <c r="M10">
        <f t="shared" si="4"/>
        <v>16399.599999999999</v>
      </c>
      <c r="N10">
        <f t="shared" si="5"/>
        <v>5</v>
      </c>
      <c r="O10">
        <f t="shared" si="6"/>
        <v>6.8747838118298168E-2</v>
      </c>
      <c r="P10" t="str">
        <f>IF(A10=Link!$B$2,"&lt;&lt;","")</f>
        <v/>
      </c>
    </row>
    <row r="11" spans="1:16" x14ac:dyDescent="0.25">
      <c r="A11" t="str">
        <f>Link!A20</f>
        <v>Banca Ligure</v>
      </c>
      <c r="B11">
        <f>Link!B20</f>
        <v>18568.2</v>
      </c>
      <c r="C11">
        <f>SUMIFS(PeerData!$C$2:$C$721,PeerData!$A$2:$A$721,A11,PeerData!$B$2:$B$721,Link!$B$3)</f>
        <v>17729.8</v>
      </c>
      <c r="D11">
        <f>_xlfn.XLOOKUP(A11&amp;"|"&amp;Link!$B$3,PeerData!$G$2:$G$721,PeerData!$D$2:$D$721,0)</f>
        <v>886.49</v>
      </c>
      <c r="E11">
        <f t="shared" si="0"/>
        <v>838.40000000000146</v>
      </c>
      <c r="F11">
        <f t="shared" si="1"/>
        <v>4.7287617457613819E-2</v>
      </c>
      <c r="G11" t="str">
        <f>VLOOKUP(A11,PeerMaster!$A$2:$D$21,2,FALSE)</f>
        <v>G2</v>
      </c>
      <c r="H11">
        <f>INDEX(PeerMaster!$C$2:$C$21,MATCH(A11,PeerMaster!$A$2:$A$21,0))</f>
        <v>1</v>
      </c>
      <c r="I11">
        <f t="shared" si="2"/>
        <v>18</v>
      </c>
      <c r="J11" t="str" cm="1">
        <f t="array" ref="J11">_xlfn.IFS(F11&gt;0.05,"ahead",F11&lt;-0.05,"behind",TRUE,"in line")</f>
        <v>in line</v>
      </c>
      <c r="K11" t="str" cm="1">
        <f t="array" ref="K11">_xlfn.SWITCH(H11,1,"Tier one",2,"Tier two","Other")</f>
        <v>Tier one</v>
      </c>
      <c r="L11">
        <f t="shared" si="3"/>
        <v>1.0472999999999999</v>
      </c>
      <c r="M11">
        <f t="shared" si="4"/>
        <v>17716.599999999999</v>
      </c>
      <c r="N11">
        <f t="shared" si="5"/>
        <v>5</v>
      </c>
      <c r="O11">
        <f t="shared" si="6"/>
        <v>6.9448431668684613E-2</v>
      </c>
      <c r="P11" t="str">
        <f>IF(A11=Link!$B$2,"&lt;&lt;","")</f>
        <v/>
      </c>
    </row>
    <row r="12" spans="1:16" x14ac:dyDescent="0.25">
      <c r="A12" t="str">
        <f>Link!A21</f>
        <v>Banca Veneta</v>
      </c>
      <c r="B12">
        <f>Link!B21</f>
        <v>19867.000000000004</v>
      </c>
      <c r="C12">
        <f>SUMIFS(PeerData!$C$2:$C$721,PeerData!$A$2:$A$721,A12,PeerData!$B$2:$B$721,Link!$B$3)</f>
        <v>18788.599999999999</v>
      </c>
      <c r="D12">
        <f>_xlfn.XLOOKUP(A12&amp;"|"&amp;Link!$B$3,PeerData!$G$2:$G$721,PeerData!$D$2:$D$721,0)</f>
        <v>939.43</v>
      </c>
      <c r="E12">
        <f t="shared" si="0"/>
        <v>1078.4000000000051</v>
      </c>
      <c r="F12">
        <f t="shared" si="1"/>
        <v>5.7396506392174251E-2</v>
      </c>
      <c r="G12" t="str">
        <f>VLOOKUP(A12,PeerMaster!$A$2:$D$21,2,FALSE)</f>
        <v>G3</v>
      </c>
      <c r="H12">
        <f>INDEX(PeerMaster!$C$2:$C$21,MATCH(A12,PeerMaster!$A$2:$A$21,0))</f>
        <v>2</v>
      </c>
      <c r="I12">
        <f t="shared" si="2"/>
        <v>6</v>
      </c>
      <c r="J12" t="str" cm="1">
        <f t="array" ref="J12">_xlfn.IFS(F12&gt;0.05,"ahead",F12&lt;-0.05,"behind",TRUE,"in line")</f>
        <v>ahead</v>
      </c>
      <c r="K12" t="str" cm="1">
        <f t="array" ref="K12">_xlfn.SWITCH(H12,1,"Tier one",2,"Tier two","Other")</f>
        <v>Tier two</v>
      </c>
      <c r="L12">
        <f t="shared" si="3"/>
        <v>1.0573999999999999</v>
      </c>
      <c r="M12">
        <f t="shared" si="4"/>
        <v>18946.239999999998</v>
      </c>
      <c r="N12">
        <f t="shared" si="5"/>
        <v>5</v>
      </c>
      <c r="O12">
        <f t="shared" si="6"/>
        <v>5.7396506392174251E-2</v>
      </c>
      <c r="P12" t="str">
        <f>IF(A12=Link!$B$2,"&lt;&lt;","")</f>
        <v/>
      </c>
    </row>
    <row r="13" spans="1:16" x14ac:dyDescent="0.25">
      <c r="A13" t="str">
        <f>Link!A22</f>
        <v>Banca Friulana</v>
      </c>
      <c r="B13">
        <f>Link!B22</f>
        <v>21169.7</v>
      </c>
      <c r="C13">
        <f>SUMIFS(PeerData!$C$2:$C$721,PeerData!$A$2:$A$721,A13,PeerData!$B$2:$B$721,Link!$B$3)</f>
        <v>20151.900000000001</v>
      </c>
      <c r="D13">
        <f>_xlfn.XLOOKUP(A13&amp;"|"&amp;Link!$B$3,PeerData!$G$2:$G$721,PeerData!$D$2:$D$721,0)</f>
        <v>1007.59</v>
      </c>
      <c r="E13">
        <f t="shared" si="0"/>
        <v>1017.7999999999993</v>
      </c>
      <c r="F13">
        <f t="shared" si="1"/>
        <v>5.0506403862663037E-2</v>
      </c>
      <c r="G13" t="str">
        <f>VLOOKUP(A13,PeerMaster!$A$2:$D$21,2,FALSE)</f>
        <v>G4</v>
      </c>
      <c r="H13">
        <f>INDEX(PeerMaster!$C$2:$C$21,MATCH(A13,PeerMaster!$A$2:$A$21,0))</f>
        <v>3</v>
      </c>
      <c r="I13">
        <f t="shared" si="2"/>
        <v>13</v>
      </c>
      <c r="J13" t="str" cm="1">
        <f t="array" ref="J13">_xlfn.IFS(F13&gt;0.05,"ahead",F13&lt;-0.05,"behind",TRUE,"in line")</f>
        <v>ahead</v>
      </c>
      <c r="K13" t="str" cm="1">
        <f t="array" ref="K13">_xlfn.SWITCH(H13,1,"Tier one",2,"Tier two","Other")</f>
        <v>Other</v>
      </c>
      <c r="L13">
        <f t="shared" si="3"/>
        <v>1.0505</v>
      </c>
      <c r="M13">
        <f t="shared" si="4"/>
        <v>20139.28</v>
      </c>
      <c r="N13">
        <f t="shared" si="5"/>
        <v>5</v>
      </c>
      <c r="O13">
        <f t="shared" si="6"/>
        <v>6.0103388390303075E-2</v>
      </c>
      <c r="P13" t="str">
        <f>IF(A13=Link!$B$2,"&lt;&lt;","")</f>
        <v/>
      </c>
    </row>
    <row r="14" spans="1:16" x14ac:dyDescent="0.25">
      <c r="A14" t="str">
        <f>Link!A23</f>
        <v>Banca Umbra</v>
      </c>
      <c r="B14">
        <f>Link!B23</f>
        <v>22385.899999999998</v>
      </c>
      <c r="C14">
        <f>SUMIFS(PeerData!$C$2:$C$721,PeerData!$A$2:$A$721,A14,PeerData!$B$2:$B$721,Link!$B$3)</f>
        <v>21171.9</v>
      </c>
      <c r="D14">
        <f>_xlfn.XLOOKUP(A14&amp;"|"&amp;Link!$B$3,PeerData!$G$2:$G$721,PeerData!$D$2:$D$721,0)</f>
        <v>1058.5999999999999</v>
      </c>
      <c r="E14">
        <f t="shared" si="0"/>
        <v>1213.9999999999964</v>
      </c>
      <c r="F14">
        <f t="shared" si="1"/>
        <v>5.7340153694283282E-2</v>
      </c>
      <c r="G14" t="str">
        <f>VLOOKUP(A14,PeerMaster!$A$2:$D$21,2,FALSE)</f>
        <v>G1</v>
      </c>
      <c r="H14">
        <f>INDEX(PeerMaster!$C$2:$C$21,MATCH(A14,PeerMaster!$A$2:$A$21,0))</f>
        <v>1</v>
      </c>
      <c r="I14">
        <f t="shared" si="2"/>
        <v>7</v>
      </c>
      <c r="J14" t="str" cm="1">
        <f t="array" ref="J14">_xlfn.IFS(F14&gt;0.05,"ahead",F14&lt;-0.05,"behind",TRUE,"in line")</f>
        <v>ahead</v>
      </c>
      <c r="K14" t="str" cm="1">
        <f t="array" ref="K14">_xlfn.SWITCH(H14,1,"Tier one",2,"Tier two","Other")</f>
        <v>Tier one</v>
      </c>
      <c r="L14">
        <f t="shared" si="3"/>
        <v>1.0572999999999999</v>
      </c>
      <c r="M14">
        <f t="shared" si="4"/>
        <v>16399.599999999999</v>
      </c>
      <c r="N14">
        <f t="shared" si="5"/>
        <v>5</v>
      </c>
      <c r="O14">
        <f t="shared" si="6"/>
        <v>6.8747838118298168E-2</v>
      </c>
      <c r="P14" t="str">
        <f>IF(A14=Link!$B$2,"&lt;&lt;","")</f>
        <v/>
      </c>
    </row>
    <row r="15" spans="1:16" x14ac:dyDescent="0.25">
      <c r="A15" t="str">
        <f>Link!A24</f>
        <v>Banca Marchigiana</v>
      </c>
      <c r="B15">
        <f>Link!B24</f>
        <v>23667.1</v>
      </c>
      <c r="C15">
        <f>SUMIFS(PeerData!$C$2:$C$721,PeerData!$A$2:$A$721,A15,PeerData!$B$2:$B$721,Link!$B$3)</f>
        <v>22595.599999999999</v>
      </c>
      <c r="D15">
        <f>_xlfn.XLOOKUP(A15&amp;"|"&amp;Link!$B$3,PeerData!$G$2:$G$721,PeerData!$D$2:$D$721,0)</f>
        <v>1129.78</v>
      </c>
      <c r="E15">
        <f t="shared" si="0"/>
        <v>1071.5</v>
      </c>
      <c r="F15">
        <f t="shared" si="1"/>
        <v>4.7420736780612156E-2</v>
      </c>
      <c r="G15" t="str">
        <f>VLOOKUP(A15,PeerMaster!$A$2:$D$21,2,FALSE)</f>
        <v>G2</v>
      </c>
      <c r="H15">
        <f>INDEX(PeerMaster!$C$2:$C$21,MATCH(A15,PeerMaster!$A$2:$A$21,0))</f>
        <v>2</v>
      </c>
      <c r="I15">
        <f t="shared" si="2"/>
        <v>16</v>
      </c>
      <c r="J15" t="str" cm="1">
        <f t="array" ref="J15">_xlfn.IFS(F15&gt;0.05,"ahead",F15&lt;-0.05,"behind",TRUE,"in line")</f>
        <v>in line</v>
      </c>
      <c r="K15" t="str" cm="1">
        <f t="array" ref="K15">_xlfn.SWITCH(H15,1,"Tier one",2,"Tier two","Other")</f>
        <v>Tier two</v>
      </c>
      <c r="L15">
        <f t="shared" si="3"/>
        <v>1.0474000000000001</v>
      </c>
      <c r="M15">
        <f t="shared" si="4"/>
        <v>17716.599999999999</v>
      </c>
      <c r="N15">
        <f t="shared" si="5"/>
        <v>5</v>
      </c>
      <c r="O15">
        <f t="shared" si="6"/>
        <v>6.9448431668684613E-2</v>
      </c>
      <c r="P15" t="str">
        <f>IF(A15=Link!$B$2,"&lt;&lt;","")</f>
        <v/>
      </c>
    </row>
    <row r="16" spans="1:16" x14ac:dyDescent="0.25">
      <c r="A16" t="str">
        <f>Link!A25</f>
        <v>Banca Lucana</v>
      </c>
      <c r="B16">
        <f>Link!B25</f>
        <v>24910.3</v>
      </c>
      <c r="C16">
        <f>SUMIFS(PeerData!$C$2:$C$721,PeerData!$A$2:$A$721,A16,PeerData!$B$2:$B$721,Link!$B$3)</f>
        <v>23678.400000000001</v>
      </c>
      <c r="D16">
        <f>_xlfn.XLOOKUP(A16&amp;"|"&amp;Link!$B$3,PeerData!$G$2:$G$721,PeerData!$D$2:$D$721,0)</f>
        <v>1183.92</v>
      </c>
      <c r="E16">
        <f t="shared" si="0"/>
        <v>1231.8999999999978</v>
      </c>
      <c r="F16">
        <f t="shared" si="1"/>
        <v>5.2026319345901656E-2</v>
      </c>
      <c r="G16" t="str">
        <f>VLOOKUP(A16,PeerMaster!$A$2:$D$21,2,FALSE)</f>
        <v>G3</v>
      </c>
      <c r="H16">
        <f>INDEX(PeerMaster!$C$2:$C$21,MATCH(A16,PeerMaster!$A$2:$A$21,0))</f>
        <v>3</v>
      </c>
      <c r="I16">
        <f t="shared" si="2"/>
        <v>9</v>
      </c>
      <c r="J16" t="str" cm="1">
        <f t="array" ref="J16">_xlfn.IFS(F16&gt;0.05,"ahead",F16&lt;-0.05,"behind",TRUE,"in line")</f>
        <v>ahead</v>
      </c>
      <c r="K16" t="str" cm="1">
        <f t="array" ref="K16">_xlfn.SWITCH(H16,1,"Tier one",2,"Tier two","Other")</f>
        <v>Other</v>
      </c>
      <c r="L16">
        <f t="shared" si="3"/>
        <v>1.052</v>
      </c>
      <c r="M16">
        <f t="shared" si="4"/>
        <v>18946.239999999998</v>
      </c>
      <c r="N16">
        <f t="shared" si="5"/>
        <v>5</v>
      </c>
      <c r="O16">
        <f t="shared" si="6"/>
        <v>5.7396506392174251E-2</v>
      </c>
      <c r="P16" t="str">
        <f>IF(A16=Link!$B$2,"&lt;&lt;","")</f>
        <v/>
      </c>
    </row>
    <row r="17" spans="1:16" x14ac:dyDescent="0.25">
      <c r="A17" t="str">
        <f>Link!A26</f>
        <v>Banca Calabra</v>
      </c>
      <c r="B17">
        <f>Link!B26</f>
        <v>26105.9</v>
      </c>
      <c r="C17">
        <f>SUMIFS(PeerData!$C$2:$C$721,PeerData!$A$2:$A$721,A17,PeerData!$B$2:$B$721,Link!$B$3)</f>
        <v>24927</v>
      </c>
      <c r="D17">
        <f>_xlfn.XLOOKUP(A17&amp;"|"&amp;Link!$B$3,PeerData!$G$2:$G$721,PeerData!$D$2:$D$721,0)</f>
        <v>1246.3499999999999</v>
      </c>
      <c r="E17">
        <f t="shared" si="0"/>
        <v>1178.9000000000015</v>
      </c>
      <c r="F17">
        <f t="shared" si="1"/>
        <v>4.7294098768403799E-2</v>
      </c>
      <c r="G17" t="str">
        <f>VLOOKUP(A17,PeerMaster!$A$2:$D$21,2,FALSE)</f>
        <v>G4</v>
      </c>
      <c r="H17">
        <f>INDEX(PeerMaster!$C$2:$C$21,MATCH(A17,PeerMaster!$A$2:$A$21,0))</f>
        <v>1</v>
      </c>
      <c r="I17">
        <f t="shared" si="2"/>
        <v>17</v>
      </c>
      <c r="J17" t="str" cm="1">
        <f t="array" ref="J17">_xlfn.IFS(F17&gt;0.05,"ahead",F17&lt;-0.05,"behind",TRUE,"in line")</f>
        <v>in line</v>
      </c>
      <c r="K17" t="str" cm="1">
        <f t="array" ref="K17">_xlfn.SWITCH(H17,1,"Tier one",2,"Tier two","Other")</f>
        <v>Tier one</v>
      </c>
      <c r="L17">
        <f t="shared" si="3"/>
        <v>1.0472999999999999</v>
      </c>
      <c r="M17">
        <f t="shared" si="4"/>
        <v>20139.28</v>
      </c>
      <c r="N17">
        <f t="shared" si="5"/>
        <v>5</v>
      </c>
      <c r="O17">
        <f t="shared" si="6"/>
        <v>6.0103388390303075E-2</v>
      </c>
      <c r="P17" t="str">
        <f>IF(A17=Link!$B$2,"&lt;&lt;","")</f>
        <v/>
      </c>
    </row>
    <row r="18" spans="1:16" x14ac:dyDescent="0.25">
      <c r="A18" t="str">
        <f>Link!A27</f>
        <v>Banca Sicula</v>
      </c>
      <c r="B18">
        <f>Link!B27</f>
        <v>27574.800000000003</v>
      </c>
      <c r="C18">
        <f>SUMIFS(PeerData!$C$2:$C$721,PeerData!$A$2:$A$721,A18,PeerData!$B$2:$B$721,Link!$B$3)</f>
        <v>25824.400000000001</v>
      </c>
      <c r="D18">
        <f>_xlfn.XLOOKUP(A18&amp;"|"&amp;Link!$B$3,PeerData!$G$2:$G$721,PeerData!$D$2:$D$721,0)</f>
        <v>1291.22</v>
      </c>
      <c r="E18">
        <f t="shared" si="0"/>
        <v>1750.4000000000015</v>
      </c>
      <c r="F18">
        <f t="shared" si="1"/>
        <v>6.7780858412973835E-2</v>
      </c>
      <c r="G18" t="str">
        <f>VLOOKUP(A18,PeerMaster!$A$2:$D$21,2,FALSE)</f>
        <v>G1</v>
      </c>
      <c r="H18">
        <f>INDEX(PeerMaster!$C$2:$C$21,MATCH(A18,PeerMaster!$A$2:$A$21,0))</f>
        <v>2</v>
      </c>
      <c r="I18">
        <f t="shared" si="2"/>
        <v>3</v>
      </c>
      <c r="J18" t="str" cm="1">
        <f t="array" ref="J18">_xlfn.IFS(F18&gt;0.05,"ahead",F18&lt;-0.05,"behind",TRUE,"in line")</f>
        <v>ahead</v>
      </c>
      <c r="K18" t="str" cm="1">
        <f t="array" ref="K18">_xlfn.SWITCH(H18,1,"Tier one",2,"Tier two","Other")</f>
        <v>Tier two</v>
      </c>
      <c r="L18">
        <f t="shared" si="3"/>
        <v>1.0678000000000001</v>
      </c>
      <c r="M18">
        <f t="shared" si="4"/>
        <v>16399.599999999999</v>
      </c>
      <c r="N18">
        <f t="shared" si="5"/>
        <v>5</v>
      </c>
      <c r="O18">
        <f t="shared" si="6"/>
        <v>6.8747838118298168E-2</v>
      </c>
      <c r="P18" t="str">
        <f>IF(A18=Link!$B$2,"&lt;&lt;","")</f>
        <v/>
      </c>
    </row>
    <row r="19" spans="1:16" x14ac:dyDescent="0.25">
      <c r="A19" t="str">
        <f>Link!A28</f>
        <v>Banca Sarda</v>
      </c>
      <c r="B19">
        <f>Link!B28</f>
        <v>28720.9</v>
      </c>
      <c r="C19">
        <f>SUMIFS(PeerData!$C$2:$C$721,PeerData!$A$2:$A$721,A19,PeerData!$B$2:$B$721,Link!$B$3)</f>
        <v>27309.599999999999</v>
      </c>
      <c r="D19">
        <f>_xlfn.XLOOKUP(A19&amp;"|"&amp;Link!$B$3,PeerData!$G$2:$G$721,PeerData!$D$2:$D$721,0)</f>
        <v>1365.48</v>
      </c>
      <c r="E19">
        <f t="shared" si="0"/>
        <v>1411.3000000000029</v>
      </c>
      <c r="F19">
        <f t="shared" si="1"/>
        <v>5.1677798283387637E-2</v>
      </c>
      <c r="G19" t="str">
        <f>VLOOKUP(A19,PeerMaster!$A$2:$D$21,2,FALSE)</f>
        <v>G2</v>
      </c>
      <c r="H19">
        <f>INDEX(PeerMaster!$C$2:$C$21,MATCH(A19,PeerMaster!$A$2:$A$21,0))</f>
        <v>3</v>
      </c>
      <c r="I19">
        <f t="shared" si="2"/>
        <v>11</v>
      </c>
      <c r="J19" t="str" cm="1">
        <f t="array" ref="J19">_xlfn.IFS(F19&gt;0.05,"ahead",F19&lt;-0.05,"behind",TRUE,"in line")</f>
        <v>ahead</v>
      </c>
      <c r="K19" t="str" cm="1">
        <f t="array" ref="K19">_xlfn.SWITCH(H19,1,"Tier one",2,"Tier two","Other")</f>
        <v>Other</v>
      </c>
      <c r="L19">
        <f t="shared" si="3"/>
        <v>1.0517000000000001</v>
      </c>
      <c r="M19">
        <f t="shared" si="4"/>
        <v>17716.599999999999</v>
      </c>
      <c r="N19">
        <f t="shared" si="5"/>
        <v>5</v>
      </c>
      <c r="O19">
        <f t="shared" si="6"/>
        <v>6.9448431668684613E-2</v>
      </c>
      <c r="P19" t="str">
        <f>IF(A19=Link!$B$2,"&lt;&lt;","")</f>
        <v/>
      </c>
    </row>
    <row r="20" spans="1:16" x14ac:dyDescent="0.25">
      <c r="A20" t="str">
        <f>Link!A29</f>
        <v>Banca Romagnola</v>
      </c>
      <c r="B20">
        <f>Link!B29</f>
        <v>29979.5</v>
      </c>
      <c r="C20">
        <f>SUMIFS(PeerData!$C$2:$C$721,PeerData!$A$2:$A$721,A20,PeerData!$B$2:$B$721,Link!$B$3)</f>
        <v>28539.8</v>
      </c>
      <c r="D20">
        <f>_xlfn.XLOOKUP(A20&amp;"|"&amp;Link!$B$3,PeerData!$G$2:$G$721,PeerData!$D$2:$D$721,0)</f>
        <v>1426.99</v>
      </c>
      <c r="E20">
        <f t="shared" si="0"/>
        <v>1439.7000000000007</v>
      </c>
      <c r="F20">
        <f t="shared" si="1"/>
        <v>5.0445342994695157E-2</v>
      </c>
      <c r="G20" t="str">
        <f>VLOOKUP(A20,PeerMaster!$A$2:$D$21,2,FALSE)</f>
        <v>G3</v>
      </c>
      <c r="H20">
        <f>INDEX(PeerMaster!$C$2:$C$21,MATCH(A20,PeerMaster!$A$2:$A$21,0))</f>
        <v>1</v>
      </c>
      <c r="I20">
        <f t="shared" si="2"/>
        <v>14</v>
      </c>
      <c r="J20" t="str" cm="1">
        <f t="array" ref="J20">_xlfn.IFS(F20&gt;0.05,"ahead",F20&lt;-0.05,"behind",TRUE,"in line")</f>
        <v>ahead</v>
      </c>
      <c r="K20" t="str" cm="1">
        <f t="array" ref="K20">_xlfn.SWITCH(H20,1,"Tier one",2,"Tier two","Other")</f>
        <v>Tier one</v>
      </c>
      <c r="L20">
        <f t="shared" si="3"/>
        <v>1.0504</v>
      </c>
      <c r="M20">
        <f t="shared" si="4"/>
        <v>18946.239999999998</v>
      </c>
      <c r="N20">
        <f t="shared" si="5"/>
        <v>5</v>
      </c>
      <c r="O20">
        <f t="shared" si="6"/>
        <v>5.7396506392174251E-2</v>
      </c>
      <c r="P20" t="str">
        <f>IF(A20=Link!$B$2,"&lt;&lt;","")</f>
        <v/>
      </c>
    </row>
    <row r="21" spans="1:16" x14ac:dyDescent="0.25">
      <c r="A21" t="str">
        <f>Link!A30</f>
        <v>Banca Città</v>
      </c>
      <c r="B21">
        <f>Link!B30</f>
        <v>31314.5</v>
      </c>
      <c r="C21">
        <f>SUMIFS(PeerData!$C$2:$C$721,PeerData!$A$2:$A$721,A21,PeerData!$B$2:$B$721,Link!$B$3)</f>
        <v>29539.1</v>
      </c>
      <c r="D21">
        <f>_xlfn.XLOOKUP(A21&amp;"|"&amp;Link!$B$3,PeerData!$G$2:$G$721,PeerData!$D$2:$D$721,0)</f>
        <v>1476.96</v>
      </c>
      <c r="E21">
        <f t="shared" si="0"/>
        <v>1775.4000000000015</v>
      </c>
      <c r="F21">
        <f t="shared" si="1"/>
        <v>6.0103388390303075E-2</v>
      </c>
      <c r="G21" t="str">
        <f>VLOOKUP(A21,PeerMaster!$A$2:$D$21,2,FALSE)</f>
        <v>G4</v>
      </c>
      <c r="H21">
        <f>INDEX(PeerMaster!$C$2:$C$21,MATCH(A21,PeerMaster!$A$2:$A$21,0))</f>
        <v>2</v>
      </c>
      <c r="I21">
        <f t="shared" si="2"/>
        <v>5</v>
      </c>
      <c r="J21" t="str" cm="1">
        <f t="array" ref="J21">_xlfn.IFS(F21&gt;0.05,"ahead",F21&lt;-0.05,"behind",TRUE,"in line")</f>
        <v>ahead</v>
      </c>
      <c r="K21" t="str" cm="1">
        <f t="array" ref="K21">_xlfn.SWITCH(H21,1,"Tier one",2,"Tier two","Other")</f>
        <v>Tier two</v>
      </c>
      <c r="L21">
        <f t="shared" si="3"/>
        <v>1.0601</v>
      </c>
      <c r="M21">
        <f t="shared" si="4"/>
        <v>20139.28</v>
      </c>
      <c r="N21">
        <f t="shared" si="5"/>
        <v>5</v>
      </c>
      <c r="O21">
        <f t="shared" si="6"/>
        <v>6.0103388390303075E-2</v>
      </c>
      <c r="P21" t="str">
        <f>IF(A21=Link!$B$2,"&lt;&lt;","")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5A4-5A91-487F-BBD5-7895B9DE172E}">
  <dimension ref="A1:H37"/>
  <sheetViews>
    <sheetView workbookViewId="0"/>
  </sheetViews>
  <sheetFormatPr defaultRowHeight="12.5" x14ac:dyDescent="0.25"/>
  <sheetData>
    <row r="1" spans="1:8" x14ac:dyDescent="0.25">
      <c r="A1" t="s">
        <v>1</v>
      </c>
      <c r="B1" t="s">
        <v>57</v>
      </c>
      <c r="C1" t="s">
        <v>58</v>
      </c>
      <c r="D1" t="s">
        <v>45</v>
      </c>
      <c r="E1" t="s">
        <v>50</v>
      </c>
      <c r="F1" t="s">
        <v>59</v>
      </c>
      <c r="G1" t="s">
        <v>60</v>
      </c>
      <c r="H1" t="s">
        <v>61</v>
      </c>
    </row>
    <row r="2" spans="1:8" x14ac:dyDescent="0.25">
      <c r="A2">
        <f t="shared" ref="A2:A37" si="0">ROW()-1</f>
        <v>1</v>
      </c>
      <c r="B2">
        <f>Link!B34</f>
        <v>8012.1</v>
      </c>
      <c r="C2">
        <f>SUMIFS(PeerData!C:C,PeerData!A:A,Link!$B$2,PeerData!B:B,A2)</f>
        <v>7577.1</v>
      </c>
      <c r="D2">
        <f t="shared" ref="D2:D37" si="1">B2-C2</f>
        <v>435</v>
      </c>
      <c r="E2">
        <f t="shared" ref="E2:E37" si="2">IFERROR(B2/C2,0)</f>
        <v>1.0574098269786594</v>
      </c>
      <c r="F2">
        <f>SUM($C$2:C2)</f>
        <v>7577.1</v>
      </c>
      <c r="G2">
        <f>HLOOKUP(A2,PeerGrid!$B$2:$AK$22,Link!$B$6+1,FALSE)</f>
        <v>7577.1</v>
      </c>
      <c r="H2">
        <f t="shared" ref="H2:H37" ca="1" si="3">AVERAGE(OFFSET(C2,-MIN(2,A2-1),0,MIN(3,A2),1))</f>
        <v>7577.1</v>
      </c>
    </row>
    <row r="3" spans="1:8" x14ac:dyDescent="0.25">
      <c r="A3">
        <f t="shared" si="0"/>
        <v>2</v>
      </c>
      <c r="B3">
        <f>Link!B35</f>
        <v>8126.5</v>
      </c>
      <c r="C3">
        <f>SUMIFS(PeerData!C:C,PeerData!A:A,Link!$B$2,PeerData!B:B,A3)</f>
        <v>7755.9</v>
      </c>
      <c r="D3">
        <f t="shared" si="1"/>
        <v>370.60000000000036</v>
      </c>
      <c r="E3">
        <f t="shared" si="2"/>
        <v>1.0477829781198831</v>
      </c>
      <c r="F3">
        <f>SUM($C$2:C3)</f>
        <v>15333</v>
      </c>
      <c r="G3">
        <f>HLOOKUP(A3,PeerGrid!$B$2:$AK$22,Link!$B$6+1,FALSE)</f>
        <v>7755.9</v>
      </c>
      <c r="H3">
        <f t="shared" ca="1" si="3"/>
        <v>7666.5</v>
      </c>
    </row>
    <row r="4" spans="1:8" x14ac:dyDescent="0.25">
      <c r="A4">
        <f t="shared" si="0"/>
        <v>3</v>
      </c>
      <c r="B4">
        <f>Link!B36</f>
        <v>8163.5</v>
      </c>
      <c r="C4">
        <f>SUMIFS(PeerData!C:C,PeerData!A:A,Link!$B$2,PeerData!B:B,A4)</f>
        <v>7725.2</v>
      </c>
      <c r="D4">
        <f t="shared" si="1"/>
        <v>438.30000000000018</v>
      </c>
      <c r="E4">
        <f t="shared" si="2"/>
        <v>1.056736395174235</v>
      </c>
      <c r="F4">
        <f>SUM($C$2:C4)</f>
        <v>23058.2</v>
      </c>
      <c r="G4">
        <f>HLOOKUP(A4,PeerGrid!$B$2:$AK$22,Link!$B$6+1,FALSE)</f>
        <v>7725.2</v>
      </c>
      <c r="H4">
        <f t="shared" ca="1" si="3"/>
        <v>7686.0666666666666</v>
      </c>
    </row>
    <row r="5" spans="1:8" x14ac:dyDescent="0.25">
      <c r="A5">
        <f t="shared" si="0"/>
        <v>4</v>
      </c>
      <c r="B5">
        <f>Link!B37</f>
        <v>8209.7000000000007</v>
      </c>
      <c r="C5">
        <f>SUMIFS(PeerData!C:C,PeerData!A:A,Link!$B$2,PeerData!B:B,A5)</f>
        <v>8011.9</v>
      </c>
      <c r="D5">
        <f t="shared" si="1"/>
        <v>197.80000000000109</v>
      </c>
      <c r="E5">
        <f t="shared" si="2"/>
        <v>1.0246882761891687</v>
      </c>
      <c r="F5">
        <f>SUM($C$2:C5)</f>
        <v>31070.1</v>
      </c>
      <c r="G5">
        <f>HLOOKUP(A5,PeerGrid!$B$2:$AK$22,Link!$B$6+1,FALSE)</f>
        <v>8011.9</v>
      </c>
      <c r="H5">
        <f t="shared" ca="1" si="3"/>
        <v>7831</v>
      </c>
    </row>
    <row r="6" spans="1:8" x14ac:dyDescent="0.25">
      <c r="A6">
        <f t="shared" si="0"/>
        <v>5</v>
      </c>
      <c r="B6">
        <f>Link!B38</f>
        <v>8325.2000000000007</v>
      </c>
      <c r="C6">
        <f>SUMIFS(PeerData!C:C,PeerData!A:A,Link!$B$2,PeerData!B:B,A6)</f>
        <v>7731.1</v>
      </c>
      <c r="D6">
        <f t="shared" si="1"/>
        <v>594.10000000000036</v>
      </c>
      <c r="E6">
        <f t="shared" si="2"/>
        <v>1.0768454683033464</v>
      </c>
      <c r="F6">
        <f>SUM($C$2:C6)</f>
        <v>38801.199999999997</v>
      </c>
      <c r="G6">
        <f>HLOOKUP(A6,PeerGrid!$B$2:$AK$22,Link!$B$6+1,FALSE)</f>
        <v>7731.1</v>
      </c>
      <c r="H6">
        <f t="shared" ca="1" si="3"/>
        <v>7822.7333333333327</v>
      </c>
    </row>
    <row r="7" spans="1:8" x14ac:dyDescent="0.25">
      <c r="A7">
        <f t="shared" si="0"/>
        <v>6</v>
      </c>
      <c r="B7">
        <f>Link!B39</f>
        <v>8343.2999999999993</v>
      </c>
      <c r="C7">
        <f>SUMIFS(PeerData!C:C,PeerData!A:A,Link!$B$2,PeerData!B:B,A7)</f>
        <v>7890.2</v>
      </c>
      <c r="D7">
        <f t="shared" si="1"/>
        <v>453.09999999999945</v>
      </c>
      <c r="E7">
        <f t="shared" si="2"/>
        <v>1.0574256672834654</v>
      </c>
      <c r="F7">
        <f>SUM($C$2:C7)</f>
        <v>46691.399999999994</v>
      </c>
      <c r="G7">
        <f>HLOOKUP(A7,PeerGrid!$B$2:$AK$22,Link!$B$6+1,FALSE)</f>
        <v>7890.2</v>
      </c>
      <c r="H7">
        <f t="shared" ca="1" si="3"/>
        <v>7877.7333333333336</v>
      </c>
    </row>
    <row r="8" spans="1:8" x14ac:dyDescent="0.25">
      <c r="A8">
        <f t="shared" si="0"/>
        <v>7</v>
      </c>
      <c r="B8">
        <f>Link!B40</f>
        <v>8405</v>
      </c>
      <c r="C8">
        <f>SUMIFS(PeerData!C:C,PeerData!A:A,Link!$B$2,PeerData!B:B,A8)</f>
        <v>8103.6</v>
      </c>
      <c r="D8">
        <f t="shared" si="1"/>
        <v>301.39999999999964</v>
      </c>
      <c r="E8">
        <f t="shared" si="2"/>
        <v>1.0371933461671357</v>
      </c>
      <c r="F8">
        <f>SUM($C$2:C8)</f>
        <v>54794.999999999993</v>
      </c>
      <c r="G8">
        <f>HLOOKUP(A8,PeerGrid!$B$2:$AK$22,Link!$B$6+1,FALSE)</f>
        <v>8103.6</v>
      </c>
      <c r="H8">
        <f t="shared" ca="1" si="3"/>
        <v>7908.3</v>
      </c>
    </row>
    <row r="9" spans="1:8" x14ac:dyDescent="0.25">
      <c r="A9">
        <f t="shared" si="0"/>
        <v>8</v>
      </c>
      <c r="B9">
        <f>Link!B41</f>
        <v>8440.6</v>
      </c>
      <c r="C9">
        <f>SUMIFS(PeerData!C:C,PeerData!A:A,Link!$B$2,PeerData!B:B,A9)</f>
        <v>8247.2000000000007</v>
      </c>
      <c r="D9">
        <f t="shared" si="1"/>
        <v>193.39999999999964</v>
      </c>
      <c r="E9">
        <f t="shared" si="2"/>
        <v>1.0234503831603452</v>
      </c>
      <c r="F9">
        <f>SUM($C$2:C9)</f>
        <v>63042.2</v>
      </c>
      <c r="G9">
        <f>HLOOKUP(A9,PeerGrid!$B$2:$AK$22,Link!$B$6+1,FALSE)</f>
        <v>8247.2000000000007</v>
      </c>
      <c r="H9">
        <f t="shared" ca="1" si="3"/>
        <v>8080.333333333333</v>
      </c>
    </row>
    <row r="10" spans="1:8" x14ac:dyDescent="0.25">
      <c r="A10">
        <f t="shared" si="0"/>
        <v>9</v>
      </c>
      <c r="B10">
        <f>Link!B42</f>
        <v>8499.6</v>
      </c>
      <c r="C10">
        <f>SUMIFS(PeerData!C:C,PeerData!A:A,Link!$B$2,PeerData!B:B,A10)</f>
        <v>8146.5</v>
      </c>
      <c r="D10">
        <f t="shared" si="1"/>
        <v>353.10000000000036</v>
      </c>
      <c r="E10">
        <f t="shared" si="2"/>
        <v>1.0433437672620145</v>
      </c>
      <c r="F10">
        <f>SUM($C$2:C10)</f>
        <v>71188.7</v>
      </c>
      <c r="G10">
        <f>HLOOKUP(A10,PeerGrid!$B$2:$AK$22,Link!$B$6+1,FALSE)</f>
        <v>8146.5</v>
      </c>
      <c r="H10">
        <f t="shared" ca="1" si="3"/>
        <v>8165.7666666666673</v>
      </c>
    </row>
    <row r="11" spans="1:8" x14ac:dyDescent="0.25">
      <c r="A11">
        <f t="shared" si="0"/>
        <v>10</v>
      </c>
      <c r="B11">
        <f>Link!B43</f>
        <v>8590.6</v>
      </c>
      <c r="C11">
        <f>SUMIFS(PeerData!C:C,PeerData!A:A,Link!$B$2,PeerData!B:B,A11)</f>
        <v>8138.5</v>
      </c>
      <c r="D11">
        <f t="shared" si="1"/>
        <v>452.10000000000036</v>
      </c>
      <c r="E11">
        <f t="shared" si="2"/>
        <v>1.0555507771702402</v>
      </c>
      <c r="F11">
        <f>SUM($C$2:C11)</f>
        <v>79327.199999999997</v>
      </c>
      <c r="G11">
        <f>HLOOKUP(A11,PeerGrid!$B$2:$AK$22,Link!$B$6+1,FALSE)</f>
        <v>8138.5</v>
      </c>
      <c r="H11">
        <f t="shared" ca="1" si="3"/>
        <v>8177.4000000000005</v>
      </c>
    </row>
    <row r="12" spans="1:8" x14ac:dyDescent="0.25">
      <c r="A12">
        <f t="shared" si="0"/>
        <v>11</v>
      </c>
      <c r="B12">
        <f>Link!B44</f>
        <v>8644.8999999999978</v>
      </c>
      <c r="C12">
        <f>SUMIFS(PeerData!C:C,PeerData!A:A,Link!$B$2,PeerData!B:B,A12)</f>
        <v>8084.5</v>
      </c>
      <c r="D12">
        <f t="shared" si="1"/>
        <v>560.39999999999782</v>
      </c>
      <c r="E12">
        <f t="shared" si="2"/>
        <v>1.0693178304162283</v>
      </c>
      <c r="F12">
        <f>SUM($C$2:C12)</f>
        <v>87411.7</v>
      </c>
      <c r="G12">
        <f>HLOOKUP(A12,PeerGrid!$B$2:$AK$22,Link!$B$6+1,FALSE)</f>
        <v>8084.5</v>
      </c>
      <c r="H12">
        <f t="shared" ca="1" si="3"/>
        <v>8123.166666666667</v>
      </c>
    </row>
    <row r="13" spans="1:8" x14ac:dyDescent="0.25">
      <c r="A13">
        <f t="shared" si="0"/>
        <v>12</v>
      </c>
      <c r="B13">
        <f>Link!B45</f>
        <v>8718.7000000000007</v>
      </c>
      <c r="C13">
        <f>SUMIFS(PeerData!C:C,PeerData!A:A,Link!$B$2,PeerData!B:B,A13)</f>
        <v>8406.2999999999993</v>
      </c>
      <c r="D13">
        <f t="shared" si="1"/>
        <v>312.40000000000146</v>
      </c>
      <c r="E13">
        <f t="shared" si="2"/>
        <v>1.0371626042372983</v>
      </c>
      <c r="F13">
        <f>SUM($C$2:C13)</f>
        <v>95818</v>
      </c>
      <c r="G13">
        <f>HLOOKUP(A13,PeerGrid!$B$2:$AK$22,Link!$B$6+1,FALSE)</f>
        <v>8406.2999999999993</v>
      </c>
      <c r="H13">
        <f t="shared" ca="1" si="3"/>
        <v>8209.7666666666664</v>
      </c>
    </row>
    <row r="14" spans="1:8" x14ac:dyDescent="0.25">
      <c r="A14">
        <f t="shared" si="0"/>
        <v>13</v>
      </c>
      <c r="B14">
        <f>Link!B46</f>
        <v>8739.0999999999985</v>
      </c>
      <c r="C14">
        <f>SUMIFS(PeerData!C:C,PeerData!A:A,Link!$B$2,PeerData!B:B,A14)</f>
        <v>8260.7000000000007</v>
      </c>
      <c r="D14">
        <f t="shared" si="1"/>
        <v>478.39999999999782</v>
      </c>
      <c r="E14">
        <f t="shared" si="2"/>
        <v>1.0579127676831259</v>
      </c>
      <c r="F14">
        <f>SUM($C$2:C14)</f>
        <v>104078.7</v>
      </c>
      <c r="G14">
        <f>HLOOKUP(A14,PeerGrid!$B$2:$AK$22,Link!$B$6+1,FALSE)</f>
        <v>8260.7000000000007</v>
      </c>
      <c r="H14">
        <f t="shared" ca="1" si="3"/>
        <v>8250.5</v>
      </c>
    </row>
    <row r="15" spans="1:8" x14ac:dyDescent="0.25">
      <c r="A15">
        <f t="shared" si="0"/>
        <v>14</v>
      </c>
      <c r="B15">
        <f>Link!B47</f>
        <v>8764.4000000000015</v>
      </c>
      <c r="C15">
        <f>SUMIFS(PeerData!C:C,PeerData!A:A,Link!$B$2,PeerData!B:B,A15)</f>
        <v>8424.1</v>
      </c>
      <c r="D15">
        <f t="shared" si="1"/>
        <v>340.30000000000109</v>
      </c>
      <c r="E15">
        <f t="shared" si="2"/>
        <v>1.0403960066950773</v>
      </c>
      <c r="F15">
        <f>SUM($C$2:C15)</f>
        <v>112502.8</v>
      </c>
      <c r="G15">
        <f>HLOOKUP(A15,PeerGrid!$B$2:$AK$22,Link!$B$6+1,FALSE)</f>
        <v>8424.1</v>
      </c>
      <c r="H15">
        <f t="shared" ca="1" si="3"/>
        <v>8363.6999999999989</v>
      </c>
    </row>
    <row r="16" spans="1:8" x14ac:dyDescent="0.25">
      <c r="A16">
        <f t="shared" si="0"/>
        <v>15</v>
      </c>
      <c r="B16">
        <f>Link!B48</f>
        <v>8808.1</v>
      </c>
      <c r="C16">
        <f>SUMIFS(PeerData!C:C,PeerData!A:A,Link!$B$2,PeerData!B:B,A16)</f>
        <v>8426.2999999999993</v>
      </c>
      <c r="D16">
        <f t="shared" si="1"/>
        <v>381.80000000000109</v>
      </c>
      <c r="E16">
        <f t="shared" si="2"/>
        <v>1.0453105158847895</v>
      </c>
      <c r="F16">
        <f>SUM($C$2:C16)</f>
        <v>120929.1</v>
      </c>
      <c r="G16">
        <f>HLOOKUP(A16,PeerGrid!$B$2:$AK$22,Link!$B$6+1,FALSE)</f>
        <v>8426.2999999999993</v>
      </c>
      <c r="H16">
        <f t="shared" ca="1" si="3"/>
        <v>8370.3666666666668</v>
      </c>
    </row>
    <row r="17" spans="1:8" x14ac:dyDescent="0.25">
      <c r="A17">
        <f t="shared" si="0"/>
        <v>16</v>
      </c>
      <c r="B17">
        <f>Link!B49</f>
        <v>8923.1999999999989</v>
      </c>
      <c r="C17">
        <f>SUMIFS(PeerData!C:C,PeerData!A:A,Link!$B$2,PeerData!B:B,A17)</f>
        <v>8613.4</v>
      </c>
      <c r="D17">
        <f t="shared" si="1"/>
        <v>309.79999999999927</v>
      </c>
      <c r="E17">
        <f t="shared" si="2"/>
        <v>1.0359672138760536</v>
      </c>
      <c r="F17">
        <f>SUM($C$2:C17)</f>
        <v>129542.5</v>
      </c>
      <c r="G17">
        <f>HLOOKUP(A17,PeerGrid!$B$2:$AK$22,Link!$B$6+1,FALSE)</f>
        <v>8613.4</v>
      </c>
      <c r="H17">
        <f t="shared" ca="1" si="3"/>
        <v>8487.9333333333343</v>
      </c>
    </row>
    <row r="18" spans="1:8" x14ac:dyDescent="0.25">
      <c r="A18">
        <f t="shared" si="0"/>
        <v>17</v>
      </c>
      <c r="B18">
        <f>Link!B50</f>
        <v>9056.2999999999993</v>
      </c>
      <c r="C18">
        <f>SUMIFS(PeerData!C:C,PeerData!A:A,Link!$B$2,PeerData!B:B,A18)</f>
        <v>8555.5</v>
      </c>
      <c r="D18">
        <f t="shared" si="1"/>
        <v>500.79999999999927</v>
      </c>
      <c r="E18">
        <f t="shared" si="2"/>
        <v>1.0585354450353572</v>
      </c>
      <c r="F18">
        <f>SUM($C$2:C18)</f>
        <v>138098</v>
      </c>
      <c r="G18">
        <f>HLOOKUP(A18,PeerGrid!$B$2:$AK$22,Link!$B$6+1,FALSE)</f>
        <v>8555.5</v>
      </c>
      <c r="H18">
        <f t="shared" ca="1" si="3"/>
        <v>8531.7333333333318</v>
      </c>
    </row>
    <row r="19" spans="1:8" x14ac:dyDescent="0.25">
      <c r="A19">
        <f t="shared" si="0"/>
        <v>18</v>
      </c>
      <c r="B19">
        <f>Link!B51</f>
        <v>9113.2999999999993</v>
      </c>
      <c r="C19">
        <f>SUMIFS(PeerData!C:C,PeerData!A:A,Link!$B$2,PeerData!B:B,A19)</f>
        <v>8614</v>
      </c>
      <c r="D19">
        <f t="shared" si="1"/>
        <v>499.29999999999927</v>
      </c>
      <c r="E19">
        <f t="shared" si="2"/>
        <v>1.0579637798931971</v>
      </c>
      <c r="F19">
        <f>SUM($C$2:C19)</f>
        <v>146712</v>
      </c>
      <c r="G19">
        <f>HLOOKUP(A19,PeerGrid!$B$2:$AK$22,Link!$B$6+1,FALSE)</f>
        <v>8614</v>
      </c>
      <c r="H19">
        <f t="shared" ca="1" si="3"/>
        <v>8594.3000000000011</v>
      </c>
    </row>
    <row r="20" spans="1:8" x14ac:dyDescent="0.25">
      <c r="A20">
        <f t="shared" si="0"/>
        <v>19</v>
      </c>
      <c r="B20">
        <f>Link!B52</f>
        <v>9158.2000000000007</v>
      </c>
      <c r="C20">
        <f>SUMIFS(PeerData!C:C,PeerData!A:A,Link!$B$2,PeerData!B:B,A20)</f>
        <v>8625.6</v>
      </c>
      <c r="D20">
        <f t="shared" si="1"/>
        <v>532.60000000000036</v>
      </c>
      <c r="E20">
        <f t="shared" si="2"/>
        <v>1.0617464292339085</v>
      </c>
      <c r="F20">
        <f>SUM($C$2:C20)</f>
        <v>155337.60000000001</v>
      </c>
      <c r="G20">
        <f>HLOOKUP(A20,PeerGrid!$B$2:$AK$22,Link!$B$6+1,FALSE)</f>
        <v>8625.6</v>
      </c>
      <c r="H20">
        <f t="shared" ca="1" si="3"/>
        <v>8598.3666666666668</v>
      </c>
    </row>
    <row r="21" spans="1:8" x14ac:dyDescent="0.25">
      <c r="A21">
        <f t="shared" si="0"/>
        <v>20</v>
      </c>
      <c r="B21">
        <f>Link!B53</f>
        <v>9269.7000000000007</v>
      </c>
      <c r="C21">
        <f>SUMIFS(PeerData!C:C,PeerData!A:A,Link!$B$2,PeerData!B:B,A21)</f>
        <v>8628</v>
      </c>
      <c r="D21">
        <f t="shared" si="1"/>
        <v>641.70000000000073</v>
      </c>
      <c r="E21">
        <f t="shared" si="2"/>
        <v>1.0743741307371351</v>
      </c>
      <c r="F21">
        <f>SUM($C$2:C21)</f>
        <v>163965.6</v>
      </c>
      <c r="G21">
        <f>HLOOKUP(A21,PeerGrid!$B$2:$AK$22,Link!$B$6+1,FALSE)</f>
        <v>8628</v>
      </c>
      <c r="H21">
        <f t="shared" ca="1" si="3"/>
        <v>8622.5333333333328</v>
      </c>
    </row>
    <row r="22" spans="1:8" x14ac:dyDescent="0.25">
      <c r="A22">
        <f t="shared" si="0"/>
        <v>21</v>
      </c>
      <c r="B22">
        <f>Link!B54</f>
        <v>9227.3000000000011</v>
      </c>
      <c r="C22">
        <f>SUMIFS(PeerData!C:C,PeerData!A:A,Link!$B$2,PeerData!B:B,A22)</f>
        <v>8694.7999999999993</v>
      </c>
      <c r="D22">
        <f t="shared" si="1"/>
        <v>532.50000000000182</v>
      </c>
      <c r="E22">
        <f t="shared" si="2"/>
        <v>1.0612435018631827</v>
      </c>
      <c r="F22">
        <f>SUM($C$2:C22)</f>
        <v>172660.4</v>
      </c>
      <c r="G22">
        <f>HLOOKUP(A22,PeerGrid!$B$2:$AK$22,Link!$B$6+1,FALSE)</f>
        <v>8694.7999999999993</v>
      </c>
      <c r="H22">
        <f t="shared" ca="1" si="3"/>
        <v>8649.4666666666653</v>
      </c>
    </row>
    <row r="23" spans="1:8" x14ac:dyDescent="0.25">
      <c r="A23">
        <f t="shared" si="0"/>
        <v>22</v>
      </c>
      <c r="B23">
        <f>Link!B55</f>
        <v>9333.9</v>
      </c>
      <c r="C23">
        <f>SUMIFS(PeerData!C:C,PeerData!A:A,Link!$B$2,PeerData!B:B,A23)</f>
        <v>8728.5</v>
      </c>
      <c r="D23">
        <f t="shared" si="1"/>
        <v>605.39999999999964</v>
      </c>
      <c r="E23">
        <f t="shared" si="2"/>
        <v>1.0693589963911325</v>
      </c>
      <c r="F23">
        <f>SUM($C$2:C23)</f>
        <v>181388.9</v>
      </c>
      <c r="G23">
        <f>HLOOKUP(A23,PeerGrid!$B$2:$AK$22,Link!$B$6+1,FALSE)</f>
        <v>8728.5</v>
      </c>
      <c r="H23">
        <f t="shared" ca="1" si="3"/>
        <v>8683.7666666666664</v>
      </c>
    </row>
    <row r="24" spans="1:8" x14ac:dyDescent="0.25">
      <c r="A24">
        <f t="shared" si="0"/>
        <v>23</v>
      </c>
      <c r="B24">
        <f>Link!B56</f>
        <v>9331.1</v>
      </c>
      <c r="C24">
        <f>SUMIFS(PeerData!C:C,PeerData!A:A,Link!$B$2,PeerData!B:B,A24)</f>
        <v>9025</v>
      </c>
      <c r="D24">
        <f t="shared" si="1"/>
        <v>306.10000000000036</v>
      </c>
      <c r="E24">
        <f t="shared" si="2"/>
        <v>1.0339168975069253</v>
      </c>
      <c r="F24">
        <f>SUM($C$2:C24)</f>
        <v>190413.9</v>
      </c>
      <c r="G24">
        <f>HLOOKUP(A24,PeerGrid!$B$2:$AK$22,Link!$B$6+1,FALSE)</f>
        <v>9025</v>
      </c>
      <c r="H24">
        <f t="shared" ca="1" si="3"/>
        <v>8816.1</v>
      </c>
    </row>
    <row r="25" spans="1:8" x14ac:dyDescent="0.25">
      <c r="A25">
        <f t="shared" si="0"/>
        <v>24</v>
      </c>
      <c r="B25">
        <f>Link!B57</f>
        <v>9406</v>
      </c>
      <c r="C25">
        <f>SUMIFS(PeerData!C:C,PeerData!A:A,Link!$B$2,PeerData!B:B,A25)</f>
        <v>8847.9</v>
      </c>
      <c r="D25">
        <f t="shared" si="1"/>
        <v>558.10000000000036</v>
      </c>
      <c r="E25">
        <f t="shared" si="2"/>
        <v>1.0630771143435165</v>
      </c>
      <c r="F25">
        <f>SUM($C$2:C25)</f>
        <v>199261.8</v>
      </c>
      <c r="G25">
        <f>HLOOKUP(A25,PeerGrid!$B$2:$AK$22,Link!$B$6+1,FALSE)</f>
        <v>8847.9</v>
      </c>
      <c r="H25">
        <f t="shared" ca="1" si="3"/>
        <v>8867.1333333333332</v>
      </c>
    </row>
    <row r="26" spans="1:8" x14ac:dyDescent="0.25">
      <c r="A26">
        <f t="shared" si="0"/>
        <v>25</v>
      </c>
      <c r="B26">
        <f>Link!B58</f>
        <v>9566.8000000000011</v>
      </c>
      <c r="C26">
        <f>SUMIFS(PeerData!C:C,PeerData!A:A,Link!$B$2,PeerData!B:B,A26)</f>
        <v>9248.7999999999993</v>
      </c>
      <c r="D26">
        <f t="shared" si="1"/>
        <v>318.00000000000182</v>
      </c>
      <c r="E26">
        <f t="shared" si="2"/>
        <v>1.0343828388547704</v>
      </c>
      <c r="F26">
        <f>SUM($C$2:C26)</f>
        <v>208510.59999999998</v>
      </c>
      <c r="G26">
        <f>HLOOKUP(A26,PeerGrid!$B$2:$AK$22,Link!$B$6+1,FALSE)</f>
        <v>9248.7999999999993</v>
      </c>
      <c r="H26">
        <f t="shared" ca="1" si="3"/>
        <v>9040.5666666666675</v>
      </c>
    </row>
    <row r="27" spans="1:8" x14ac:dyDescent="0.25">
      <c r="A27">
        <f t="shared" si="0"/>
        <v>26</v>
      </c>
      <c r="B27">
        <f>Link!B59</f>
        <v>9616.2000000000007</v>
      </c>
      <c r="C27">
        <f>SUMIFS(PeerData!C:C,PeerData!A:A,Link!$B$2,PeerData!B:B,A27)</f>
        <v>9300.2000000000007</v>
      </c>
      <c r="D27">
        <f t="shared" si="1"/>
        <v>316</v>
      </c>
      <c r="E27">
        <f t="shared" si="2"/>
        <v>1.0339777639190555</v>
      </c>
      <c r="F27">
        <f>SUM($C$2:C27)</f>
        <v>217810.8</v>
      </c>
      <c r="G27">
        <f>HLOOKUP(A27,PeerGrid!$B$2:$AK$22,Link!$B$6+1,FALSE)</f>
        <v>9300.2000000000007</v>
      </c>
      <c r="H27">
        <f t="shared" ca="1" si="3"/>
        <v>9132.2999999999993</v>
      </c>
    </row>
    <row r="28" spans="1:8" x14ac:dyDescent="0.25">
      <c r="A28">
        <f t="shared" si="0"/>
        <v>27</v>
      </c>
      <c r="B28">
        <f>Link!B60</f>
        <v>9729.1</v>
      </c>
      <c r="C28">
        <f>SUMIFS(PeerData!C:C,PeerData!A:A,Link!$B$2,PeerData!B:B,A28)</f>
        <v>9006.9</v>
      </c>
      <c r="D28">
        <f t="shared" si="1"/>
        <v>722.20000000000073</v>
      </c>
      <c r="E28">
        <f t="shared" si="2"/>
        <v>1.0801829708334723</v>
      </c>
      <c r="F28">
        <f>SUM($C$2:C28)</f>
        <v>226817.69999999998</v>
      </c>
      <c r="G28">
        <f>HLOOKUP(A28,PeerGrid!$B$2:$AK$22,Link!$B$6+1,FALSE)</f>
        <v>9006.9</v>
      </c>
      <c r="H28">
        <f t="shared" ca="1" si="3"/>
        <v>9185.3000000000011</v>
      </c>
    </row>
    <row r="29" spans="1:8" x14ac:dyDescent="0.25">
      <c r="A29">
        <f t="shared" si="0"/>
        <v>28</v>
      </c>
      <c r="B29">
        <f>Link!B61</f>
        <v>9665.6</v>
      </c>
      <c r="C29">
        <f>SUMIFS(PeerData!C:C,PeerData!A:A,Link!$B$2,PeerData!B:B,A29)</f>
        <v>9227</v>
      </c>
      <c r="D29">
        <f t="shared" si="1"/>
        <v>438.60000000000036</v>
      </c>
      <c r="E29">
        <f t="shared" si="2"/>
        <v>1.047534409884036</v>
      </c>
      <c r="F29">
        <f>SUM($C$2:C29)</f>
        <v>236044.69999999998</v>
      </c>
      <c r="G29">
        <f>HLOOKUP(A29,PeerGrid!$B$2:$AK$22,Link!$B$6+1,FALSE)</f>
        <v>9227</v>
      </c>
      <c r="H29">
        <f t="shared" ca="1" si="3"/>
        <v>9178.0333333333328</v>
      </c>
    </row>
    <row r="30" spans="1:8" x14ac:dyDescent="0.25">
      <c r="A30">
        <f t="shared" si="0"/>
        <v>29</v>
      </c>
      <c r="B30">
        <f>Link!B62</f>
        <v>9782.7999999999993</v>
      </c>
      <c r="C30">
        <f>SUMIFS(PeerData!C:C,PeerData!A:A,Link!$B$2,PeerData!B:B,A30)</f>
        <v>9375.9</v>
      </c>
      <c r="D30">
        <f t="shared" si="1"/>
        <v>406.89999999999964</v>
      </c>
      <c r="E30">
        <f t="shared" si="2"/>
        <v>1.0433985004106272</v>
      </c>
      <c r="F30">
        <f>SUM($C$2:C30)</f>
        <v>245420.59999999998</v>
      </c>
      <c r="G30">
        <f>HLOOKUP(A30,PeerGrid!$B$2:$AK$22,Link!$B$6+1,FALSE)</f>
        <v>9375.9</v>
      </c>
      <c r="H30">
        <f t="shared" ca="1" si="3"/>
        <v>9203.2666666666682</v>
      </c>
    </row>
    <row r="31" spans="1:8" x14ac:dyDescent="0.25">
      <c r="A31">
        <f t="shared" si="0"/>
        <v>30</v>
      </c>
      <c r="B31">
        <f>Link!B63</f>
        <v>9865.7999999999993</v>
      </c>
      <c r="C31">
        <f>SUMIFS(PeerData!C:C,PeerData!A:A,Link!$B$2,PeerData!B:B,A31)</f>
        <v>9487.6</v>
      </c>
      <c r="D31">
        <f t="shared" si="1"/>
        <v>378.19999999999891</v>
      </c>
      <c r="E31">
        <f t="shared" si="2"/>
        <v>1.0398625574433997</v>
      </c>
      <c r="F31">
        <f>SUM($C$2:C31)</f>
        <v>254908.19999999998</v>
      </c>
      <c r="G31">
        <f>HLOOKUP(A31,PeerGrid!$B$2:$AK$22,Link!$B$6+1,FALSE)</f>
        <v>9487.6</v>
      </c>
      <c r="H31">
        <f t="shared" ca="1" si="3"/>
        <v>9363.5</v>
      </c>
    </row>
    <row r="32" spans="1:8" x14ac:dyDescent="0.25">
      <c r="A32">
        <f t="shared" si="0"/>
        <v>31</v>
      </c>
      <c r="B32">
        <f>Link!B64</f>
        <v>9905.6</v>
      </c>
      <c r="C32">
        <f>SUMIFS(PeerData!C:C,PeerData!A:A,Link!$B$2,PeerData!B:B,A32)</f>
        <v>9489.1</v>
      </c>
      <c r="D32">
        <f t="shared" si="1"/>
        <v>416.5</v>
      </c>
      <c r="E32">
        <f t="shared" si="2"/>
        <v>1.0438924660926747</v>
      </c>
      <c r="F32">
        <f>SUM($C$2:C32)</f>
        <v>264397.3</v>
      </c>
      <c r="G32">
        <f>HLOOKUP(A32,PeerGrid!$B$2:$AK$22,Link!$B$6+1,FALSE)</f>
        <v>9489.1</v>
      </c>
      <c r="H32">
        <f t="shared" ca="1" si="3"/>
        <v>9450.8666666666668</v>
      </c>
    </row>
    <row r="33" spans="1:8" x14ac:dyDescent="0.25">
      <c r="A33">
        <f t="shared" si="0"/>
        <v>32</v>
      </c>
      <c r="B33">
        <f>Link!B65</f>
        <v>9946.4000000000015</v>
      </c>
      <c r="C33">
        <f>SUMIFS(PeerData!C:C,PeerData!A:A,Link!$B$2,PeerData!B:B,A33)</f>
        <v>9407.5</v>
      </c>
      <c r="D33">
        <f t="shared" si="1"/>
        <v>538.90000000000146</v>
      </c>
      <c r="E33">
        <f t="shared" si="2"/>
        <v>1.0572840818495883</v>
      </c>
      <c r="F33">
        <f>SUM($C$2:C33)</f>
        <v>273804.79999999999</v>
      </c>
      <c r="G33">
        <f>HLOOKUP(A33,PeerGrid!$B$2:$AK$22,Link!$B$6+1,FALSE)</f>
        <v>9407.5</v>
      </c>
      <c r="H33">
        <f t="shared" ca="1" si="3"/>
        <v>9461.4</v>
      </c>
    </row>
    <row r="34" spans="1:8" x14ac:dyDescent="0.25">
      <c r="A34">
        <f t="shared" si="0"/>
        <v>33</v>
      </c>
      <c r="B34">
        <f>Link!B66</f>
        <v>10029.400000000001</v>
      </c>
      <c r="C34">
        <f>SUMIFS(PeerData!C:C,PeerData!A:A,Link!$B$2,PeerData!B:B,A34)</f>
        <v>9354.1</v>
      </c>
      <c r="D34">
        <f t="shared" si="1"/>
        <v>675.30000000000109</v>
      </c>
      <c r="E34">
        <f t="shared" si="2"/>
        <v>1.0721929421323271</v>
      </c>
      <c r="F34">
        <f>SUM($C$2:C34)</f>
        <v>283158.89999999997</v>
      </c>
      <c r="G34">
        <f>HLOOKUP(A34,PeerGrid!$B$2:$AK$22,Link!$B$6+1,FALSE)</f>
        <v>9354.1</v>
      </c>
      <c r="H34">
        <f t="shared" ca="1" si="3"/>
        <v>9416.9</v>
      </c>
    </row>
    <row r="35" spans="1:8" x14ac:dyDescent="0.25">
      <c r="A35">
        <f t="shared" si="0"/>
        <v>34</v>
      </c>
      <c r="B35">
        <f>Link!B67</f>
        <v>10087.199999999999</v>
      </c>
      <c r="C35">
        <f>SUMIFS(PeerData!C:C,PeerData!A:A,Link!$B$2,PeerData!B:B,A35)</f>
        <v>9459.7999999999993</v>
      </c>
      <c r="D35">
        <f t="shared" si="1"/>
        <v>627.39999999999964</v>
      </c>
      <c r="E35">
        <f t="shared" si="2"/>
        <v>1.0663227552379542</v>
      </c>
      <c r="F35">
        <f>SUM($C$2:C35)</f>
        <v>292618.69999999995</v>
      </c>
      <c r="G35">
        <f>HLOOKUP(A35,PeerGrid!$B$2:$AK$22,Link!$B$6+1,FALSE)</f>
        <v>9459.7999999999993</v>
      </c>
      <c r="H35">
        <f t="shared" ca="1" si="3"/>
        <v>9407.1333333333332</v>
      </c>
    </row>
    <row r="36" spans="1:8" x14ac:dyDescent="0.25">
      <c r="A36">
        <f t="shared" si="0"/>
        <v>35</v>
      </c>
      <c r="B36">
        <f>Link!B68</f>
        <v>10252.199999999999</v>
      </c>
      <c r="C36">
        <f>SUMIFS(PeerData!C:C,PeerData!A:A,Link!$B$2,PeerData!B:B,A36)</f>
        <v>9611.7999999999993</v>
      </c>
      <c r="D36">
        <f t="shared" si="1"/>
        <v>640.39999999999964</v>
      </c>
      <c r="E36">
        <f t="shared" si="2"/>
        <v>1.0666264383362116</v>
      </c>
      <c r="F36">
        <f>SUM($C$2:C36)</f>
        <v>302230.49999999994</v>
      </c>
      <c r="G36">
        <f>HLOOKUP(A36,PeerGrid!$B$2:$AK$22,Link!$B$6+1,FALSE)</f>
        <v>9611.7999999999993</v>
      </c>
      <c r="H36">
        <f t="shared" ca="1" si="3"/>
        <v>9475.2333333333336</v>
      </c>
    </row>
    <row r="37" spans="1:8" x14ac:dyDescent="0.25">
      <c r="A37">
        <f t="shared" si="0"/>
        <v>36</v>
      </c>
      <c r="B37">
        <f>Link!B69</f>
        <v>10243.300000000001</v>
      </c>
      <c r="C37">
        <f>SUMIFS(PeerData!C:C,PeerData!A:A,Link!$B$2,PeerData!B:B,A37)</f>
        <v>9492.2000000000007</v>
      </c>
      <c r="D37">
        <f t="shared" si="1"/>
        <v>751.10000000000036</v>
      </c>
      <c r="E37">
        <f t="shared" si="2"/>
        <v>1.0791281262510273</v>
      </c>
      <c r="F37">
        <f>SUM($C$2:C37)</f>
        <v>311722.69999999995</v>
      </c>
      <c r="G37">
        <f>HLOOKUP(A37,PeerGrid!$B$2:$AK$22,Link!$B$6+1,FALSE)</f>
        <v>9492.2000000000007</v>
      </c>
      <c r="H37">
        <f t="shared" ca="1" si="3"/>
        <v>9521.2666666666664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1F36-C177-4115-8965-B6B56DA797AB}">
  <dimension ref="A2:AK24"/>
  <sheetViews>
    <sheetView workbookViewId="0"/>
  </sheetViews>
  <sheetFormatPr defaultRowHeight="12.5" x14ac:dyDescent="0.25"/>
  <sheetData>
    <row r="2" spans="1:37" x14ac:dyDescent="0.25">
      <c r="A2" t="s">
        <v>55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7</v>
      </c>
      <c r="B3">
        <f>SUMIFS(PeerData!$C$2:$C$721,PeerData!$A$2:$A$721,$A3,PeerData!$B$2:$B$721,B$2)</f>
        <v>5626</v>
      </c>
      <c r="C3">
        <f>SUMIFS(PeerData!$C$2:$C$721,PeerData!$A$2:$A$721,$A3,PeerData!$B$2:$B$721,C$2)</f>
        <v>5886.4</v>
      </c>
      <c r="D3">
        <f>SUMIFS(PeerData!$C$2:$C$721,PeerData!$A$2:$A$721,$A3,PeerData!$B$2:$B$721,D$2)</f>
        <v>5918</v>
      </c>
      <c r="E3">
        <f>SUMIFS(PeerData!$C$2:$C$721,PeerData!$A$2:$A$721,$A3,PeerData!$B$2:$B$721,E$2)</f>
        <v>6016.9</v>
      </c>
      <c r="F3">
        <f>SUMIFS(PeerData!$C$2:$C$721,PeerData!$A$2:$A$721,$A3,PeerData!$B$2:$B$721,F$2)</f>
        <v>5982.7</v>
      </c>
      <c r="G3">
        <f>SUMIFS(PeerData!$C$2:$C$721,PeerData!$A$2:$A$721,$A3,PeerData!$B$2:$B$721,G$2)</f>
        <v>6035.5</v>
      </c>
      <c r="H3">
        <f>SUMIFS(PeerData!$C$2:$C$721,PeerData!$A$2:$A$721,$A3,PeerData!$B$2:$B$721,H$2)</f>
        <v>5946.4</v>
      </c>
      <c r="I3">
        <f>SUMIFS(PeerData!$C$2:$C$721,PeerData!$A$2:$A$721,$A3,PeerData!$B$2:$B$721,I$2)</f>
        <v>5987.2</v>
      </c>
      <c r="J3">
        <f>SUMIFS(PeerData!$C$2:$C$721,PeerData!$A$2:$A$721,$A3,PeerData!$B$2:$B$721,J$2)</f>
        <v>5989.5</v>
      </c>
      <c r="K3">
        <f>SUMIFS(PeerData!$C$2:$C$721,PeerData!$A$2:$A$721,$A3,PeerData!$B$2:$B$721,K$2)</f>
        <v>6075.2</v>
      </c>
      <c r="L3">
        <f>SUMIFS(PeerData!$C$2:$C$721,PeerData!$A$2:$A$721,$A3,PeerData!$B$2:$B$721,L$2)</f>
        <v>6183</v>
      </c>
      <c r="M3">
        <f>SUMIFS(PeerData!$C$2:$C$721,PeerData!$A$2:$A$721,$A3,PeerData!$B$2:$B$721,M$2)</f>
        <v>6160.7</v>
      </c>
      <c r="N3">
        <f>SUMIFS(PeerData!$C$2:$C$721,PeerData!$A$2:$A$721,$A3,PeerData!$B$2:$B$721,N$2)</f>
        <v>6339</v>
      </c>
      <c r="O3">
        <f>SUMIFS(PeerData!$C$2:$C$721,PeerData!$A$2:$A$721,$A3,PeerData!$B$2:$B$721,O$2)</f>
        <v>6366.9</v>
      </c>
      <c r="P3">
        <f>SUMIFS(PeerData!$C$2:$C$721,PeerData!$A$2:$A$721,$A3,PeerData!$B$2:$B$721,P$2)</f>
        <v>6180.6</v>
      </c>
      <c r="Q3">
        <f>SUMIFS(PeerData!$C$2:$C$721,PeerData!$A$2:$A$721,$A3,PeerData!$B$2:$B$721,Q$2)</f>
        <v>6386.2</v>
      </c>
      <c r="R3">
        <f>SUMIFS(PeerData!$C$2:$C$721,PeerData!$A$2:$A$721,$A3,PeerData!$B$2:$B$721,R$2)</f>
        <v>6242.4</v>
      </c>
      <c r="S3">
        <f>SUMIFS(PeerData!$C$2:$C$721,PeerData!$A$2:$A$721,$A3,PeerData!$B$2:$B$721,S$2)</f>
        <v>6323.7</v>
      </c>
      <c r="T3">
        <f>SUMIFS(PeerData!$C$2:$C$721,PeerData!$A$2:$A$721,$A3,PeerData!$B$2:$B$721,T$2)</f>
        <v>6462.9</v>
      </c>
      <c r="U3">
        <f>SUMIFS(PeerData!$C$2:$C$721,PeerData!$A$2:$A$721,$A3,PeerData!$B$2:$B$721,U$2)</f>
        <v>6568</v>
      </c>
      <c r="V3">
        <f>SUMIFS(PeerData!$C$2:$C$721,PeerData!$A$2:$A$721,$A3,PeerData!$B$2:$B$721,V$2)</f>
        <v>6486</v>
      </c>
      <c r="W3">
        <f>SUMIFS(PeerData!$C$2:$C$721,PeerData!$A$2:$A$721,$A3,PeerData!$B$2:$B$721,W$2)</f>
        <v>6700.1</v>
      </c>
      <c r="X3">
        <f>SUMIFS(PeerData!$C$2:$C$721,PeerData!$A$2:$A$721,$A3,PeerData!$B$2:$B$721,X$2)</f>
        <v>6791.2</v>
      </c>
      <c r="Y3">
        <f>SUMIFS(PeerData!$C$2:$C$721,PeerData!$A$2:$A$721,$A3,PeerData!$B$2:$B$721,Y$2)</f>
        <v>6616.9</v>
      </c>
      <c r="Z3">
        <f>SUMIFS(PeerData!$C$2:$C$721,PeerData!$A$2:$A$721,$A3,PeerData!$B$2:$B$721,Z$2)</f>
        <v>6576.1</v>
      </c>
      <c r="AA3">
        <f>SUMIFS(PeerData!$C$2:$C$721,PeerData!$A$2:$A$721,$A3,PeerData!$B$2:$B$721,AA$2)</f>
        <v>6959</v>
      </c>
      <c r="AB3">
        <f>SUMIFS(PeerData!$C$2:$C$721,PeerData!$A$2:$A$721,$A3,PeerData!$B$2:$B$721,AB$2)</f>
        <v>6949.4</v>
      </c>
      <c r="AC3">
        <f>SUMIFS(PeerData!$C$2:$C$721,PeerData!$A$2:$A$721,$A3,PeerData!$B$2:$B$721,AC$2)</f>
        <v>6841.6</v>
      </c>
      <c r="AD3">
        <f>SUMIFS(PeerData!$C$2:$C$721,PeerData!$A$2:$A$721,$A3,PeerData!$B$2:$B$721,AD$2)</f>
        <v>7092.7</v>
      </c>
      <c r="AE3">
        <f>SUMIFS(PeerData!$C$2:$C$721,PeerData!$A$2:$A$721,$A3,PeerData!$B$2:$B$721,AE$2)</f>
        <v>6924.6</v>
      </c>
      <c r="AF3">
        <f>SUMIFS(PeerData!$C$2:$C$721,PeerData!$A$2:$A$721,$A3,PeerData!$B$2:$B$721,AF$2)</f>
        <v>6999</v>
      </c>
      <c r="AG3">
        <f>SUMIFS(PeerData!$C$2:$C$721,PeerData!$A$2:$A$721,$A3,PeerData!$B$2:$B$721,AG$2)</f>
        <v>6986.4</v>
      </c>
      <c r="AH3">
        <f>SUMIFS(PeerData!$C$2:$C$721,PeerData!$A$2:$A$721,$A3,PeerData!$B$2:$B$721,AH$2)</f>
        <v>6955</v>
      </c>
      <c r="AI3">
        <f>SUMIFS(PeerData!$C$2:$C$721,PeerData!$A$2:$A$721,$A3,PeerData!$B$2:$B$721,AI$2)</f>
        <v>7252.6</v>
      </c>
      <c r="AJ3">
        <f>SUMIFS(PeerData!$C$2:$C$721,PeerData!$A$2:$A$721,$A3,PeerData!$B$2:$B$721,AJ$2)</f>
        <v>7366.5</v>
      </c>
      <c r="AK3">
        <f>SUMIFS(PeerData!$C$2:$C$721,PeerData!$A$2:$A$721,$A3,PeerData!$B$2:$B$721,AK$2)</f>
        <v>7400.4</v>
      </c>
    </row>
    <row r="4" spans="1:37" x14ac:dyDescent="0.25">
      <c r="A4" t="s">
        <v>9</v>
      </c>
      <c r="B4">
        <f>SUMIFS(PeerData!$C$2:$C$721,PeerData!$A$2:$A$721,$A4,PeerData!$B$2:$B$721,B$2)</f>
        <v>6690.1</v>
      </c>
      <c r="C4">
        <f>SUMIFS(PeerData!$C$2:$C$721,PeerData!$A$2:$A$721,$A4,PeerData!$B$2:$B$721,C$2)</f>
        <v>6926.7</v>
      </c>
      <c r="D4">
        <f>SUMIFS(PeerData!$C$2:$C$721,PeerData!$A$2:$A$721,$A4,PeerData!$B$2:$B$721,D$2)</f>
        <v>6888.9</v>
      </c>
      <c r="E4">
        <f>SUMIFS(PeerData!$C$2:$C$721,PeerData!$A$2:$A$721,$A4,PeerData!$B$2:$B$721,E$2)</f>
        <v>6926.7</v>
      </c>
      <c r="F4">
        <f>SUMIFS(PeerData!$C$2:$C$721,PeerData!$A$2:$A$721,$A4,PeerData!$B$2:$B$721,F$2)</f>
        <v>7064.4</v>
      </c>
      <c r="G4">
        <f>SUMIFS(PeerData!$C$2:$C$721,PeerData!$A$2:$A$721,$A4,PeerData!$B$2:$B$721,G$2)</f>
        <v>6923.1</v>
      </c>
      <c r="H4">
        <f>SUMIFS(PeerData!$C$2:$C$721,PeerData!$A$2:$A$721,$A4,PeerData!$B$2:$B$721,H$2)</f>
        <v>7059.2</v>
      </c>
      <c r="I4">
        <f>SUMIFS(PeerData!$C$2:$C$721,PeerData!$A$2:$A$721,$A4,PeerData!$B$2:$B$721,I$2)</f>
        <v>7168.7</v>
      </c>
      <c r="J4">
        <f>SUMIFS(PeerData!$C$2:$C$721,PeerData!$A$2:$A$721,$A4,PeerData!$B$2:$B$721,J$2)</f>
        <v>7223.1</v>
      </c>
      <c r="K4">
        <f>SUMIFS(PeerData!$C$2:$C$721,PeerData!$A$2:$A$721,$A4,PeerData!$B$2:$B$721,K$2)</f>
        <v>7321.8</v>
      </c>
      <c r="L4">
        <f>SUMIFS(PeerData!$C$2:$C$721,PeerData!$A$2:$A$721,$A4,PeerData!$B$2:$B$721,L$2)</f>
        <v>7053.6</v>
      </c>
      <c r="M4">
        <f>SUMIFS(PeerData!$C$2:$C$721,PeerData!$A$2:$A$721,$A4,PeerData!$B$2:$B$721,M$2)</f>
        <v>7240.3</v>
      </c>
      <c r="N4">
        <f>SUMIFS(PeerData!$C$2:$C$721,PeerData!$A$2:$A$721,$A4,PeerData!$B$2:$B$721,N$2)</f>
        <v>7115.9</v>
      </c>
      <c r="O4">
        <f>SUMIFS(PeerData!$C$2:$C$721,PeerData!$A$2:$A$721,$A4,PeerData!$B$2:$B$721,O$2)</f>
        <v>7456.9</v>
      </c>
      <c r="P4">
        <f>SUMIFS(PeerData!$C$2:$C$721,PeerData!$A$2:$A$721,$A4,PeerData!$B$2:$B$721,P$2)</f>
        <v>7429.2</v>
      </c>
      <c r="Q4">
        <f>SUMIFS(PeerData!$C$2:$C$721,PeerData!$A$2:$A$721,$A4,PeerData!$B$2:$B$721,Q$2)</f>
        <v>7447.6</v>
      </c>
      <c r="R4">
        <f>SUMIFS(PeerData!$C$2:$C$721,PeerData!$A$2:$A$721,$A4,PeerData!$B$2:$B$721,R$2)</f>
        <v>7350.1</v>
      </c>
      <c r="S4">
        <f>SUMIFS(PeerData!$C$2:$C$721,PeerData!$A$2:$A$721,$A4,PeerData!$B$2:$B$721,S$2)</f>
        <v>7709.2</v>
      </c>
      <c r="T4">
        <f>SUMIFS(PeerData!$C$2:$C$721,PeerData!$A$2:$A$721,$A4,PeerData!$B$2:$B$721,T$2)</f>
        <v>7520.9</v>
      </c>
      <c r="U4">
        <f>SUMIFS(PeerData!$C$2:$C$721,PeerData!$A$2:$A$721,$A4,PeerData!$B$2:$B$721,U$2)</f>
        <v>7498.1</v>
      </c>
      <c r="V4">
        <f>SUMIFS(PeerData!$C$2:$C$721,PeerData!$A$2:$A$721,$A4,PeerData!$B$2:$B$721,V$2)</f>
        <v>7741.5</v>
      </c>
      <c r="W4">
        <f>SUMIFS(PeerData!$C$2:$C$721,PeerData!$A$2:$A$721,$A4,PeerData!$B$2:$B$721,W$2)</f>
        <v>7822.6</v>
      </c>
      <c r="X4">
        <f>SUMIFS(PeerData!$C$2:$C$721,PeerData!$A$2:$A$721,$A4,PeerData!$B$2:$B$721,X$2)</f>
        <v>7990.6</v>
      </c>
      <c r="Y4">
        <f>SUMIFS(PeerData!$C$2:$C$721,PeerData!$A$2:$A$721,$A4,PeerData!$B$2:$B$721,Y$2)</f>
        <v>7853.2</v>
      </c>
      <c r="Z4">
        <f>SUMIFS(PeerData!$C$2:$C$721,PeerData!$A$2:$A$721,$A4,PeerData!$B$2:$B$721,Z$2)</f>
        <v>7848</v>
      </c>
      <c r="AA4">
        <f>SUMIFS(PeerData!$C$2:$C$721,PeerData!$A$2:$A$721,$A4,PeerData!$B$2:$B$721,AA$2)</f>
        <v>7907.6</v>
      </c>
      <c r="AB4">
        <f>SUMIFS(PeerData!$C$2:$C$721,PeerData!$A$2:$A$721,$A4,PeerData!$B$2:$B$721,AB$2)</f>
        <v>8048.7</v>
      </c>
      <c r="AC4">
        <f>SUMIFS(PeerData!$C$2:$C$721,PeerData!$A$2:$A$721,$A4,PeerData!$B$2:$B$721,AC$2)</f>
        <v>8106.2</v>
      </c>
      <c r="AD4">
        <f>SUMIFS(PeerData!$C$2:$C$721,PeerData!$A$2:$A$721,$A4,PeerData!$B$2:$B$721,AD$2)</f>
        <v>8293.7000000000007</v>
      </c>
      <c r="AE4">
        <f>SUMIFS(PeerData!$C$2:$C$721,PeerData!$A$2:$A$721,$A4,PeerData!$B$2:$B$721,AE$2)</f>
        <v>8011.7</v>
      </c>
      <c r="AF4">
        <f>SUMIFS(PeerData!$C$2:$C$721,PeerData!$A$2:$A$721,$A4,PeerData!$B$2:$B$721,AF$2)</f>
        <v>8287.5</v>
      </c>
      <c r="AG4">
        <f>SUMIFS(PeerData!$C$2:$C$721,PeerData!$A$2:$A$721,$A4,PeerData!$B$2:$B$721,AG$2)</f>
        <v>8373.2000000000007</v>
      </c>
      <c r="AH4">
        <f>SUMIFS(PeerData!$C$2:$C$721,PeerData!$A$2:$A$721,$A4,PeerData!$B$2:$B$721,AH$2)</f>
        <v>8401.1</v>
      </c>
      <c r="AI4">
        <f>SUMIFS(PeerData!$C$2:$C$721,PeerData!$A$2:$A$721,$A4,PeerData!$B$2:$B$721,AI$2)</f>
        <v>8524.6</v>
      </c>
      <c r="AJ4">
        <f>SUMIFS(PeerData!$C$2:$C$721,PeerData!$A$2:$A$721,$A4,PeerData!$B$2:$B$721,AJ$2)</f>
        <v>8318.5</v>
      </c>
      <c r="AK4">
        <f>SUMIFS(PeerData!$C$2:$C$721,PeerData!$A$2:$A$721,$A4,PeerData!$B$2:$B$721,AK$2)</f>
        <v>8472.5</v>
      </c>
    </row>
    <row r="5" spans="1:37" x14ac:dyDescent="0.25">
      <c r="A5" t="s">
        <v>11</v>
      </c>
      <c r="B5">
        <f>SUMIFS(PeerData!$C$2:$C$721,PeerData!$A$2:$A$721,$A5,PeerData!$B$2:$B$721,B$2)</f>
        <v>7577.1</v>
      </c>
      <c r="C5">
        <f>SUMIFS(PeerData!$C$2:$C$721,PeerData!$A$2:$A$721,$A5,PeerData!$B$2:$B$721,C$2)</f>
        <v>7755.9</v>
      </c>
      <c r="D5">
        <f>SUMIFS(PeerData!$C$2:$C$721,PeerData!$A$2:$A$721,$A5,PeerData!$B$2:$B$721,D$2)</f>
        <v>7725.2</v>
      </c>
      <c r="E5">
        <f>SUMIFS(PeerData!$C$2:$C$721,PeerData!$A$2:$A$721,$A5,PeerData!$B$2:$B$721,E$2)</f>
        <v>8011.9</v>
      </c>
      <c r="F5">
        <f>SUMIFS(PeerData!$C$2:$C$721,PeerData!$A$2:$A$721,$A5,PeerData!$B$2:$B$721,F$2)</f>
        <v>7731.1</v>
      </c>
      <c r="G5">
        <f>SUMIFS(PeerData!$C$2:$C$721,PeerData!$A$2:$A$721,$A5,PeerData!$B$2:$B$721,G$2)</f>
        <v>7890.2</v>
      </c>
      <c r="H5">
        <f>SUMIFS(PeerData!$C$2:$C$721,PeerData!$A$2:$A$721,$A5,PeerData!$B$2:$B$721,H$2)</f>
        <v>8103.6</v>
      </c>
      <c r="I5">
        <f>SUMIFS(PeerData!$C$2:$C$721,PeerData!$A$2:$A$721,$A5,PeerData!$B$2:$B$721,I$2)</f>
        <v>8247.2000000000007</v>
      </c>
      <c r="J5">
        <f>SUMIFS(PeerData!$C$2:$C$721,PeerData!$A$2:$A$721,$A5,PeerData!$B$2:$B$721,J$2)</f>
        <v>8146.5</v>
      </c>
      <c r="K5">
        <f>SUMIFS(PeerData!$C$2:$C$721,PeerData!$A$2:$A$721,$A5,PeerData!$B$2:$B$721,K$2)</f>
        <v>8138.5</v>
      </c>
      <c r="L5">
        <f>SUMIFS(PeerData!$C$2:$C$721,PeerData!$A$2:$A$721,$A5,PeerData!$B$2:$B$721,L$2)</f>
        <v>8084.5</v>
      </c>
      <c r="M5">
        <f>SUMIFS(PeerData!$C$2:$C$721,PeerData!$A$2:$A$721,$A5,PeerData!$B$2:$B$721,M$2)</f>
        <v>8406.2999999999993</v>
      </c>
      <c r="N5">
        <f>SUMIFS(PeerData!$C$2:$C$721,PeerData!$A$2:$A$721,$A5,PeerData!$B$2:$B$721,N$2)</f>
        <v>8260.7000000000007</v>
      </c>
      <c r="O5">
        <f>SUMIFS(PeerData!$C$2:$C$721,PeerData!$A$2:$A$721,$A5,PeerData!$B$2:$B$721,O$2)</f>
        <v>8424.1</v>
      </c>
      <c r="P5">
        <f>SUMIFS(PeerData!$C$2:$C$721,PeerData!$A$2:$A$721,$A5,PeerData!$B$2:$B$721,P$2)</f>
        <v>8426.2999999999993</v>
      </c>
      <c r="Q5">
        <f>SUMIFS(PeerData!$C$2:$C$721,PeerData!$A$2:$A$721,$A5,PeerData!$B$2:$B$721,Q$2)</f>
        <v>8613.4</v>
      </c>
      <c r="R5">
        <f>SUMIFS(PeerData!$C$2:$C$721,PeerData!$A$2:$A$721,$A5,PeerData!$B$2:$B$721,R$2)</f>
        <v>8555.5</v>
      </c>
      <c r="S5">
        <f>SUMIFS(PeerData!$C$2:$C$721,PeerData!$A$2:$A$721,$A5,PeerData!$B$2:$B$721,S$2)</f>
        <v>8614</v>
      </c>
      <c r="T5">
        <f>SUMIFS(PeerData!$C$2:$C$721,PeerData!$A$2:$A$721,$A5,PeerData!$B$2:$B$721,T$2)</f>
        <v>8625.6</v>
      </c>
      <c r="U5">
        <f>SUMIFS(PeerData!$C$2:$C$721,PeerData!$A$2:$A$721,$A5,PeerData!$B$2:$B$721,U$2)</f>
        <v>8628</v>
      </c>
      <c r="V5">
        <f>SUMIFS(PeerData!$C$2:$C$721,PeerData!$A$2:$A$721,$A5,PeerData!$B$2:$B$721,V$2)</f>
        <v>8694.7999999999993</v>
      </c>
      <c r="W5">
        <f>SUMIFS(PeerData!$C$2:$C$721,PeerData!$A$2:$A$721,$A5,PeerData!$B$2:$B$721,W$2)</f>
        <v>8728.5</v>
      </c>
      <c r="X5">
        <f>SUMIFS(PeerData!$C$2:$C$721,PeerData!$A$2:$A$721,$A5,PeerData!$B$2:$B$721,X$2)</f>
        <v>9025</v>
      </c>
      <c r="Y5">
        <f>SUMIFS(PeerData!$C$2:$C$721,PeerData!$A$2:$A$721,$A5,PeerData!$B$2:$B$721,Y$2)</f>
        <v>8847.9</v>
      </c>
      <c r="Z5">
        <f>SUMIFS(PeerData!$C$2:$C$721,PeerData!$A$2:$A$721,$A5,PeerData!$B$2:$B$721,Z$2)</f>
        <v>9248.7999999999993</v>
      </c>
      <c r="AA5">
        <f>SUMIFS(PeerData!$C$2:$C$721,PeerData!$A$2:$A$721,$A5,PeerData!$B$2:$B$721,AA$2)</f>
        <v>9300.2000000000007</v>
      </c>
      <c r="AB5">
        <f>SUMIFS(PeerData!$C$2:$C$721,PeerData!$A$2:$A$721,$A5,PeerData!$B$2:$B$721,AB$2)</f>
        <v>9006.9</v>
      </c>
      <c r="AC5">
        <f>SUMIFS(PeerData!$C$2:$C$721,PeerData!$A$2:$A$721,$A5,PeerData!$B$2:$B$721,AC$2)</f>
        <v>9227</v>
      </c>
      <c r="AD5">
        <f>SUMIFS(PeerData!$C$2:$C$721,PeerData!$A$2:$A$721,$A5,PeerData!$B$2:$B$721,AD$2)</f>
        <v>9375.9</v>
      </c>
      <c r="AE5">
        <f>SUMIFS(PeerData!$C$2:$C$721,PeerData!$A$2:$A$721,$A5,PeerData!$B$2:$B$721,AE$2)</f>
        <v>9487.6</v>
      </c>
      <c r="AF5">
        <f>SUMIFS(PeerData!$C$2:$C$721,PeerData!$A$2:$A$721,$A5,PeerData!$B$2:$B$721,AF$2)</f>
        <v>9489.1</v>
      </c>
      <c r="AG5">
        <f>SUMIFS(PeerData!$C$2:$C$721,PeerData!$A$2:$A$721,$A5,PeerData!$B$2:$B$721,AG$2)</f>
        <v>9407.5</v>
      </c>
      <c r="AH5">
        <f>SUMIFS(PeerData!$C$2:$C$721,PeerData!$A$2:$A$721,$A5,PeerData!$B$2:$B$721,AH$2)</f>
        <v>9354.1</v>
      </c>
      <c r="AI5">
        <f>SUMIFS(PeerData!$C$2:$C$721,PeerData!$A$2:$A$721,$A5,PeerData!$B$2:$B$721,AI$2)</f>
        <v>9459.7999999999993</v>
      </c>
      <c r="AJ5">
        <f>SUMIFS(PeerData!$C$2:$C$721,PeerData!$A$2:$A$721,$A5,PeerData!$B$2:$B$721,AJ$2)</f>
        <v>9611.7999999999993</v>
      </c>
      <c r="AK5">
        <f>SUMIFS(PeerData!$C$2:$C$721,PeerData!$A$2:$A$721,$A5,PeerData!$B$2:$B$721,AK$2)</f>
        <v>9492.2000000000007</v>
      </c>
    </row>
    <row r="6" spans="1:37" x14ac:dyDescent="0.25">
      <c r="A6" t="s">
        <v>13</v>
      </c>
      <c r="B6">
        <f>SUMIFS(PeerData!$C$2:$C$721,PeerData!$A$2:$A$721,$A6,PeerData!$B$2:$B$721,B$2)</f>
        <v>8576.2000000000007</v>
      </c>
      <c r="C6">
        <f>SUMIFS(PeerData!$C$2:$C$721,PeerData!$A$2:$A$721,$A6,PeerData!$B$2:$B$721,C$2)</f>
        <v>8553.7000000000007</v>
      </c>
      <c r="D6">
        <f>SUMIFS(PeerData!$C$2:$C$721,PeerData!$A$2:$A$721,$A6,PeerData!$B$2:$B$721,D$2)</f>
        <v>8930.4</v>
      </c>
      <c r="E6">
        <f>SUMIFS(PeerData!$C$2:$C$721,PeerData!$A$2:$A$721,$A6,PeerData!$B$2:$B$721,E$2)</f>
        <v>9007.1</v>
      </c>
      <c r="F6">
        <f>SUMIFS(PeerData!$C$2:$C$721,PeerData!$A$2:$A$721,$A6,PeerData!$B$2:$B$721,F$2)</f>
        <v>9017.1</v>
      </c>
      <c r="G6">
        <f>SUMIFS(PeerData!$C$2:$C$721,PeerData!$A$2:$A$721,$A6,PeerData!$B$2:$B$721,G$2)</f>
        <v>8823.7000000000007</v>
      </c>
      <c r="H6">
        <f>SUMIFS(PeerData!$C$2:$C$721,PeerData!$A$2:$A$721,$A6,PeerData!$B$2:$B$721,H$2)</f>
        <v>8869.2999999999993</v>
      </c>
      <c r="I6">
        <f>SUMIFS(PeerData!$C$2:$C$721,PeerData!$A$2:$A$721,$A6,PeerData!$B$2:$B$721,I$2)</f>
        <v>9243.1</v>
      </c>
      <c r="J6">
        <f>SUMIFS(PeerData!$C$2:$C$721,PeerData!$A$2:$A$721,$A6,PeerData!$B$2:$B$721,J$2)</f>
        <v>9106.6</v>
      </c>
      <c r="K6">
        <f>SUMIFS(PeerData!$C$2:$C$721,PeerData!$A$2:$A$721,$A6,PeerData!$B$2:$B$721,K$2)</f>
        <v>9212.2999999999993</v>
      </c>
      <c r="L6">
        <f>SUMIFS(PeerData!$C$2:$C$721,PeerData!$A$2:$A$721,$A6,PeerData!$B$2:$B$721,L$2)</f>
        <v>9379.1</v>
      </c>
      <c r="M6">
        <f>SUMIFS(PeerData!$C$2:$C$721,PeerData!$A$2:$A$721,$A6,PeerData!$B$2:$B$721,M$2)</f>
        <v>9188.2999999999993</v>
      </c>
      <c r="N6">
        <f>SUMIFS(PeerData!$C$2:$C$721,PeerData!$A$2:$A$721,$A6,PeerData!$B$2:$B$721,N$2)</f>
        <v>9250.5</v>
      </c>
      <c r="O6">
        <f>SUMIFS(PeerData!$C$2:$C$721,PeerData!$A$2:$A$721,$A6,PeerData!$B$2:$B$721,O$2)</f>
        <v>9633.2000000000007</v>
      </c>
      <c r="P6">
        <f>SUMIFS(PeerData!$C$2:$C$721,PeerData!$A$2:$A$721,$A6,PeerData!$B$2:$B$721,P$2)</f>
        <v>9750.6</v>
      </c>
      <c r="Q6">
        <f>SUMIFS(PeerData!$C$2:$C$721,PeerData!$A$2:$A$721,$A6,PeerData!$B$2:$B$721,Q$2)</f>
        <v>9603.1</v>
      </c>
      <c r="R6">
        <f>SUMIFS(PeerData!$C$2:$C$721,PeerData!$A$2:$A$721,$A6,PeerData!$B$2:$B$721,R$2)</f>
        <v>9743.4</v>
      </c>
      <c r="S6">
        <f>SUMIFS(PeerData!$C$2:$C$721,PeerData!$A$2:$A$721,$A6,PeerData!$B$2:$B$721,S$2)</f>
        <v>9793.2999999999993</v>
      </c>
      <c r="T6">
        <f>SUMIFS(PeerData!$C$2:$C$721,PeerData!$A$2:$A$721,$A6,PeerData!$B$2:$B$721,T$2)</f>
        <v>9727.2000000000007</v>
      </c>
      <c r="U6">
        <f>SUMIFS(PeerData!$C$2:$C$721,PeerData!$A$2:$A$721,$A6,PeerData!$B$2:$B$721,U$2)</f>
        <v>9859.7000000000007</v>
      </c>
      <c r="V6">
        <f>SUMIFS(PeerData!$C$2:$C$721,PeerData!$A$2:$A$721,$A6,PeerData!$B$2:$B$721,V$2)</f>
        <v>9782.1</v>
      </c>
      <c r="W6">
        <f>SUMIFS(PeerData!$C$2:$C$721,PeerData!$A$2:$A$721,$A6,PeerData!$B$2:$B$721,W$2)</f>
        <v>10102.9</v>
      </c>
      <c r="X6">
        <f>SUMIFS(PeerData!$C$2:$C$721,PeerData!$A$2:$A$721,$A6,PeerData!$B$2:$B$721,X$2)</f>
        <v>10167.9</v>
      </c>
      <c r="Y6">
        <f>SUMIFS(PeerData!$C$2:$C$721,PeerData!$A$2:$A$721,$A6,PeerData!$B$2:$B$721,Y$2)</f>
        <v>10337.1</v>
      </c>
      <c r="Z6">
        <f>SUMIFS(PeerData!$C$2:$C$721,PeerData!$A$2:$A$721,$A6,PeerData!$B$2:$B$721,Z$2)</f>
        <v>10234.4</v>
      </c>
      <c r="AA6">
        <f>SUMIFS(PeerData!$C$2:$C$721,PeerData!$A$2:$A$721,$A6,PeerData!$B$2:$B$721,AA$2)</f>
        <v>10296.1</v>
      </c>
      <c r="AB6">
        <f>SUMIFS(PeerData!$C$2:$C$721,PeerData!$A$2:$A$721,$A6,PeerData!$B$2:$B$721,AB$2)</f>
        <v>10271.9</v>
      </c>
      <c r="AC6">
        <f>SUMIFS(PeerData!$C$2:$C$721,PeerData!$A$2:$A$721,$A6,PeerData!$B$2:$B$721,AC$2)</f>
        <v>10321.299999999999</v>
      </c>
      <c r="AD6">
        <f>SUMIFS(PeerData!$C$2:$C$721,PeerData!$A$2:$A$721,$A6,PeerData!$B$2:$B$721,AD$2)</f>
        <v>10487.9</v>
      </c>
      <c r="AE6">
        <f>SUMIFS(PeerData!$C$2:$C$721,PeerData!$A$2:$A$721,$A6,PeerData!$B$2:$B$721,AE$2)</f>
        <v>10580.4</v>
      </c>
      <c r="AF6">
        <f>SUMIFS(PeerData!$C$2:$C$721,PeerData!$A$2:$A$721,$A6,PeerData!$B$2:$B$721,AF$2)</f>
        <v>10784.7</v>
      </c>
      <c r="AG6">
        <f>SUMIFS(PeerData!$C$2:$C$721,PeerData!$A$2:$A$721,$A6,PeerData!$B$2:$B$721,AG$2)</f>
        <v>10491.1</v>
      </c>
      <c r="AH6">
        <f>SUMIFS(PeerData!$C$2:$C$721,PeerData!$A$2:$A$721,$A6,PeerData!$B$2:$B$721,AH$2)</f>
        <v>10593</v>
      </c>
      <c r="AI6">
        <f>SUMIFS(PeerData!$C$2:$C$721,PeerData!$A$2:$A$721,$A6,PeerData!$B$2:$B$721,AI$2)</f>
        <v>10629.7</v>
      </c>
      <c r="AJ6">
        <f>SUMIFS(PeerData!$C$2:$C$721,PeerData!$A$2:$A$721,$A6,PeerData!$B$2:$B$721,AJ$2)</f>
        <v>10745.4</v>
      </c>
      <c r="AK6">
        <f>SUMIFS(PeerData!$C$2:$C$721,PeerData!$A$2:$A$721,$A6,PeerData!$B$2:$B$721,AK$2)</f>
        <v>11045.1</v>
      </c>
    </row>
    <row r="7" spans="1:37" x14ac:dyDescent="0.25">
      <c r="A7" t="s">
        <v>15</v>
      </c>
      <c r="B7">
        <f>SUMIFS(PeerData!$C$2:$C$721,PeerData!$A$2:$A$721,$A7,PeerData!$B$2:$B$721,B$2)</f>
        <v>9719.1</v>
      </c>
      <c r="C7">
        <f>SUMIFS(PeerData!$C$2:$C$721,PeerData!$A$2:$A$721,$A7,PeerData!$B$2:$B$721,C$2)</f>
        <v>9617.2000000000007</v>
      </c>
      <c r="D7">
        <f>SUMIFS(PeerData!$C$2:$C$721,PeerData!$A$2:$A$721,$A7,PeerData!$B$2:$B$721,D$2)</f>
        <v>9976.1</v>
      </c>
      <c r="E7">
        <f>SUMIFS(PeerData!$C$2:$C$721,PeerData!$A$2:$A$721,$A7,PeerData!$B$2:$B$721,E$2)</f>
        <v>9913.2999999999993</v>
      </c>
      <c r="F7">
        <f>SUMIFS(PeerData!$C$2:$C$721,PeerData!$A$2:$A$721,$A7,PeerData!$B$2:$B$721,F$2)</f>
        <v>9771.2000000000007</v>
      </c>
      <c r="G7">
        <f>SUMIFS(PeerData!$C$2:$C$721,PeerData!$A$2:$A$721,$A7,PeerData!$B$2:$B$721,G$2)</f>
        <v>10108.299999999999</v>
      </c>
      <c r="H7">
        <f>SUMIFS(PeerData!$C$2:$C$721,PeerData!$A$2:$A$721,$A7,PeerData!$B$2:$B$721,H$2)</f>
        <v>10150.4</v>
      </c>
      <c r="I7">
        <f>SUMIFS(PeerData!$C$2:$C$721,PeerData!$A$2:$A$721,$A7,PeerData!$B$2:$B$721,I$2)</f>
        <v>10303</v>
      </c>
      <c r="J7">
        <f>SUMIFS(PeerData!$C$2:$C$721,PeerData!$A$2:$A$721,$A7,PeerData!$B$2:$B$721,J$2)</f>
        <v>10299.799999999999</v>
      </c>
      <c r="K7">
        <f>SUMIFS(PeerData!$C$2:$C$721,PeerData!$A$2:$A$721,$A7,PeerData!$B$2:$B$721,K$2)</f>
        <v>10471.200000000001</v>
      </c>
      <c r="L7">
        <f>SUMIFS(PeerData!$C$2:$C$721,PeerData!$A$2:$A$721,$A7,PeerData!$B$2:$B$721,L$2)</f>
        <v>10251.1</v>
      </c>
      <c r="M7">
        <f>SUMIFS(PeerData!$C$2:$C$721,PeerData!$A$2:$A$721,$A7,PeerData!$B$2:$B$721,M$2)</f>
        <v>10616.7</v>
      </c>
      <c r="N7">
        <f>SUMIFS(PeerData!$C$2:$C$721,PeerData!$A$2:$A$721,$A7,PeerData!$B$2:$B$721,N$2)</f>
        <v>10605.2</v>
      </c>
      <c r="O7">
        <f>SUMIFS(PeerData!$C$2:$C$721,PeerData!$A$2:$A$721,$A7,PeerData!$B$2:$B$721,O$2)</f>
        <v>10759.6</v>
      </c>
      <c r="P7">
        <f>SUMIFS(PeerData!$C$2:$C$721,PeerData!$A$2:$A$721,$A7,PeerData!$B$2:$B$721,P$2)</f>
        <v>10673.4</v>
      </c>
      <c r="Q7">
        <f>SUMIFS(PeerData!$C$2:$C$721,PeerData!$A$2:$A$721,$A7,PeerData!$B$2:$B$721,Q$2)</f>
        <v>10546.5</v>
      </c>
      <c r="R7">
        <f>SUMIFS(PeerData!$C$2:$C$721,PeerData!$A$2:$A$721,$A7,PeerData!$B$2:$B$721,R$2)</f>
        <v>10727.2</v>
      </c>
      <c r="S7">
        <f>SUMIFS(PeerData!$C$2:$C$721,PeerData!$A$2:$A$721,$A7,PeerData!$B$2:$B$721,S$2)</f>
        <v>10921.7</v>
      </c>
      <c r="T7">
        <f>SUMIFS(PeerData!$C$2:$C$721,PeerData!$A$2:$A$721,$A7,PeerData!$B$2:$B$721,T$2)</f>
        <v>10907.1</v>
      </c>
      <c r="U7">
        <f>SUMIFS(PeerData!$C$2:$C$721,PeerData!$A$2:$A$721,$A7,PeerData!$B$2:$B$721,U$2)</f>
        <v>11056.1</v>
      </c>
      <c r="V7">
        <f>SUMIFS(PeerData!$C$2:$C$721,PeerData!$A$2:$A$721,$A7,PeerData!$B$2:$B$721,V$2)</f>
        <v>10906.4</v>
      </c>
      <c r="W7">
        <f>SUMIFS(PeerData!$C$2:$C$721,PeerData!$A$2:$A$721,$A7,PeerData!$B$2:$B$721,W$2)</f>
        <v>11214.4</v>
      </c>
      <c r="X7">
        <f>SUMIFS(PeerData!$C$2:$C$721,PeerData!$A$2:$A$721,$A7,PeerData!$B$2:$B$721,X$2)</f>
        <v>11336</v>
      </c>
      <c r="Y7">
        <f>SUMIFS(PeerData!$C$2:$C$721,PeerData!$A$2:$A$721,$A7,PeerData!$B$2:$B$721,Y$2)</f>
        <v>11412.6</v>
      </c>
      <c r="Z7">
        <f>SUMIFS(PeerData!$C$2:$C$721,PeerData!$A$2:$A$721,$A7,PeerData!$B$2:$B$721,Z$2)</f>
        <v>11554.5</v>
      </c>
      <c r="AA7">
        <f>SUMIFS(PeerData!$C$2:$C$721,PeerData!$A$2:$A$721,$A7,PeerData!$B$2:$B$721,AA$2)</f>
        <v>11375.3</v>
      </c>
      <c r="AB7">
        <f>SUMIFS(PeerData!$C$2:$C$721,PeerData!$A$2:$A$721,$A7,PeerData!$B$2:$B$721,AB$2)</f>
        <v>11453.2</v>
      </c>
      <c r="AC7">
        <f>SUMIFS(PeerData!$C$2:$C$721,PeerData!$A$2:$A$721,$A7,PeerData!$B$2:$B$721,AC$2)</f>
        <v>11479.7</v>
      </c>
      <c r="AD7">
        <f>SUMIFS(PeerData!$C$2:$C$721,PeerData!$A$2:$A$721,$A7,PeerData!$B$2:$B$721,AD$2)</f>
        <v>11666.2</v>
      </c>
      <c r="AE7">
        <f>SUMIFS(PeerData!$C$2:$C$721,PeerData!$A$2:$A$721,$A7,PeerData!$B$2:$B$721,AE$2)</f>
        <v>11564</v>
      </c>
      <c r="AF7">
        <f>SUMIFS(PeerData!$C$2:$C$721,PeerData!$A$2:$A$721,$A7,PeerData!$B$2:$B$721,AF$2)</f>
        <v>11979.8</v>
      </c>
      <c r="AG7">
        <f>SUMIFS(PeerData!$C$2:$C$721,PeerData!$A$2:$A$721,$A7,PeerData!$B$2:$B$721,AG$2)</f>
        <v>11992</v>
      </c>
      <c r="AH7">
        <f>SUMIFS(PeerData!$C$2:$C$721,PeerData!$A$2:$A$721,$A7,PeerData!$B$2:$B$721,AH$2)</f>
        <v>11927.1</v>
      </c>
      <c r="AI7">
        <f>SUMIFS(PeerData!$C$2:$C$721,PeerData!$A$2:$A$721,$A7,PeerData!$B$2:$B$721,AI$2)</f>
        <v>12000</v>
      </c>
      <c r="AJ7">
        <f>SUMIFS(PeerData!$C$2:$C$721,PeerData!$A$2:$A$721,$A7,PeerData!$B$2:$B$721,AJ$2)</f>
        <v>12062.2</v>
      </c>
      <c r="AK7">
        <f>SUMIFS(PeerData!$C$2:$C$721,PeerData!$A$2:$A$721,$A7,PeerData!$B$2:$B$721,AK$2)</f>
        <v>12156.2</v>
      </c>
    </row>
    <row r="8" spans="1:37" x14ac:dyDescent="0.25">
      <c r="A8" t="s">
        <v>16</v>
      </c>
      <c r="B8">
        <f>SUMIFS(PeerData!$C$2:$C$721,PeerData!$A$2:$A$721,$A8,PeerData!$B$2:$B$721,B$2)</f>
        <v>10568.9</v>
      </c>
      <c r="C8">
        <f>SUMIFS(PeerData!$C$2:$C$721,PeerData!$A$2:$A$721,$A8,PeerData!$B$2:$B$721,C$2)</f>
        <v>10693.6</v>
      </c>
      <c r="D8">
        <f>SUMIFS(PeerData!$C$2:$C$721,PeerData!$A$2:$A$721,$A8,PeerData!$B$2:$B$721,D$2)</f>
        <v>10582.3</v>
      </c>
      <c r="E8">
        <f>SUMIFS(PeerData!$C$2:$C$721,PeerData!$A$2:$A$721,$A8,PeerData!$B$2:$B$721,E$2)</f>
        <v>10954.3</v>
      </c>
      <c r="F8">
        <f>SUMIFS(PeerData!$C$2:$C$721,PeerData!$A$2:$A$721,$A8,PeerData!$B$2:$B$721,F$2)</f>
        <v>10908.8</v>
      </c>
      <c r="G8">
        <f>SUMIFS(PeerData!$C$2:$C$721,PeerData!$A$2:$A$721,$A8,PeerData!$B$2:$B$721,G$2)</f>
        <v>11167.4</v>
      </c>
      <c r="H8">
        <f>SUMIFS(PeerData!$C$2:$C$721,PeerData!$A$2:$A$721,$A8,PeerData!$B$2:$B$721,H$2)</f>
        <v>11129.9</v>
      </c>
      <c r="I8">
        <f>SUMIFS(PeerData!$C$2:$C$721,PeerData!$A$2:$A$721,$A8,PeerData!$B$2:$B$721,I$2)</f>
        <v>11327.2</v>
      </c>
      <c r="J8">
        <f>SUMIFS(PeerData!$C$2:$C$721,PeerData!$A$2:$A$721,$A8,PeerData!$B$2:$B$721,J$2)</f>
        <v>11386.8</v>
      </c>
      <c r="K8">
        <f>SUMIFS(PeerData!$C$2:$C$721,PeerData!$A$2:$A$721,$A8,PeerData!$B$2:$B$721,K$2)</f>
        <v>11256</v>
      </c>
      <c r="L8">
        <f>SUMIFS(PeerData!$C$2:$C$721,PeerData!$A$2:$A$721,$A8,PeerData!$B$2:$B$721,L$2)</f>
        <v>11351.2</v>
      </c>
      <c r="M8">
        <f>SUMIFS(PeerData!$C$2:$C$721,PeerData!$A$2:$A$721,$A8,PeerData!$B$2:$B$721,M$2)</f>
        <v>11562.7</v>
      </c>
      <c r="N8">
        <f>SUMIFS(PeerData!$C$2:$C$721,PeerData!$A$2:$A$721,$A8,PeerData!$B$2:$B$721,N$2)</f>
        <v>11544</v>
      </c>
      <c r="O8">
        <f>SUMIFS(PeerData!$C$2:$C$721,PeerData!$A$2:$A$721,$A8,PeerData!$B$2:$B$721,O$2)</f>
        <v>11834.8</v>
      </c>
      <c r="P8">
        <f>SUMIFS(PeerData!$C$2:$C$721,PeerData!$A$2:$A$721,$A8,PeerData!$B$2:$B$721,P$2)</f>
        <v>11846.8</v>
      </c>
      <c r="Q8">
        <f>SUMIFS(PeerData!$C$2:$C$721,PeerData!$A$2:$A$721,$A8,PeerData!$B$2:$B$721,Q$2)</f>
        <v>11858.6</v>
      </c>
      <c r="R8">
        <f>SUMIFS(PeerData!$C$2:$C$721,PeerData!$A$2:$A$721,$A8,PeerData!$B$2:$B$721,R$2)</f>
        <v>11951.9</v>
      </c>
      <c r="S8">
        <f>SUMIFS(PeerData!$C$2:$C$721,PeerData!$A$2:$A$721,$A8,PeerData!$B$2:$B$721,S$2)</f>
        <v>12114.9</v>
      </c>
      <c r="T8">
        <f>SUMIFS(PeerData!$C$2:$C$721,PeerData!$A$2:$A$721,$A8,PeerData!$B$2:$B$721,T$2)</f>
        <v>12160.2</v>
      </c>
      <c r="U8">
        <f>SUMIFS(PeerData!$C$2:$C$721,PeerData!$A$2:$A$721,$A8,PeerData!$B$2:$B$721,U$2)</f>
        <v>11934</v>
      </c>
      <c r="V8">
        <f>SUMIFS(PeerData!$C$2:$C$721,PeerData!$A$2:$A$721,$A8,PeerData!$B$2:$B$721,V$2)</f>
        <v>12402.7</v>
      </c>
      <c r="W8">
        <f>SUMIFS(PeerData!$C$2:$C$721,PeerData!$A$2:$A$721,$A8,PeerData!$B$2:$B$721,W$2)</f>
        <v>12214.2</v>
      </c>
      <c r="X8">
        <f>SUMIFS(PeerData!$C$2:$C$721,PeerData!$A$2:$A$721,$A8,PeerData!$B$2:$B$721,X$2)</f>
        <v>12528.7</v>
      </c>
      <c r="Y8">
        <f>SUMIFS(PeerData!$C$2:$C$721,PeerData!$A$2:$A$721,$A8,PeerData!$B$2:$B$721,Y$2)</f>
        <v>12479</v>
      </c>
      <c r="Z8">
        <f>SUMIFS(PeerData!$C$2:$C$721,PeerData!$A$2:$A$721,$A8,PeerData!$B$2:$B$721,Z$2)</f>
        <v>12578.8</v>
      </c>
      <c r="AA8">
        <f>SUMIFS(PeerData!$C$2:$C$721,PeerData!$A$2:$A$721,$A8,PeerData!$B$2:$B$721,AA$2)</f>
        <v>12715.3</v>
      </c>
      <c r="AB8">
        <f>SUMIFS(PeerData!$C$2:$C$721,PeerData!$A$2:$A$721,$A8,PeerData!$B$2:$B$721,AB$2)</f>
        <v>12780.4</v>
      </c>
      <c r="AC8">
        <f>SUMIFS(PeerData!$C$2:$C$721,PeerData!$A$2:$A$721,$A8,PeerData!$B$2:$B$721,AC$2)</f>
        <v>12925.1</v>
      </c>
      <c r="AD8">
        <f>SUMIFS(PeerData!$C$2:$C$721,PeerData!$A$2:$A$721,$A8,PeerData!$B$2:$B$721,AD$2)</f>
        <v>12895.9</v>
      </c>
      <c r="AE8">
        <f>SUMIFS(PeerData!$C$2:$C$721,PeerData!$A$2:$A$721,$A8,PeerData!$B$2:$B$721,AE$2)</f>
        <v>12936.3</v>
      </c>
      <c r="AF8">
        <f>SUMIFS(PeerData!$C$2:$C$721,PeerData!$A$2:$A$721,$A8,PeerData!$B$2:$B$721,AF$2)</f>
        <v>13023.3</v>
      </c>
      <c r="AG8">
        <f>SUMIFS(PeerData!$C$2:$C$721,PeerData!$A$2:$A$721,$A8,PeerData!$B$2:$B$721,AG$2)</f>
        <v>13152.2</v>
      </c>
      <c r="AH8">
        <f>SUMIFS(PeerData!$C$2:$C$721,PeerData!$A$2:$A$721,$A8,PeerData!$B$2:$B$721,AH$2)</f>
        <v>13059</v>
      </c>
      <c r="AI8">
        <f>SUMIFS(PeerData!$C$2:$C$721,PeerData!$A$2:$A$721,$A8,PeerData!$B$2:$B$721,AI$2)</f>
        <v>13327.6</v>
      </c>
      <c r="AJ8">
        <f>SUMIFS(PeerData!$C$2:$C$721,PeerData!$A$2:$A$721,$A8,PeerData!$B$2:$B$721,AJ$2)</f>
        <v>13496</v>
      </c>
      <c r="AK8">
        <f>SUMIFS(PeerData!$C$2:$C$721,PeerData!$A$2:$A$721,$A8,PeerData!$B$2:$B$721,AK$2)</f>
        <v>13305.8</v>
      </c>
    </row>
    <row r="9" spans="1:37" x14ac:dyDescent="0.25">
      <c r="A9" t="s">
        <v>17</v>
      </c>
      <c r="B9">
        <f>SUMIFS(PeerData!$C$2:$C$721,PeerData!$A$2:$A$721,$A9,PeerData!$B$2:$B$721,B$2)</f>
        <v>11640.9</v>
      </c>
      <c r="C9">
        <f>SUMIFS(PeerData!$C$2:$C$721,PeerData!$A$2:$A$721,$A9,PeerData!$B$2:$B$721,C$2)</f>
        <v>11768.7</v>
      </c>
      <c r="D9">
        <f>SUMIFS(PeerData!$C$2:$C$721,PeerData!$A$2:$A$721,$A9,PeerData!$B$2:$B$721,D$2)</f>
        <v>11792.9</v>
      </c>
      <c r="E9">
        <f>SUMIFS(PeerData!$C$2:$C$721,PeerData!$A$2:$A$721,$A9,PeerData!$B$2:$B$721,E$2)</f>
        <v>11805.7</v>
      </c>
      <c r="F9">
        <f>SUMIFS(PeerData!$C$2:$C$721,PeerData!$A$2:$A$721,$A9,PeerData!$B$2:$B$721,F$2)</f>
        <v>12104.4</v>
      </c>
      <c r="G9">
        <f>SUMIFS(PeerData!$C$2:$C$721,PeerData!$A$2:$A$721,$A9,PeerData!$B$2:$B$721,G$2)</f>
        <v>12080.8</v>
      </c>
      <c r="H9">
        <f>SUMIFS(PeerData!$C$2:$C$721,PeerData!$A$2:$A$721,$A9,PeerData!$B$2:$B$721,H$2)</f>
        <v>12078.6</v>
      </c>
      <c r="I9">
        <f>SUMIFS(PeerData!$C$2:$C$721,PeerData!$A$2:$A$721,$A9,PeerData!$B$2:$B$721,I$2)</f>
        <v>12073</v>
      </c>
      <c r="J9">
        <f>SUMIFS(PeerData!$C$2:$C$721,PeerData!$A$2:$A$721,$A9,PeerData!$B$2:$B$721,J$2)</f>
        <v>12157.9</v>
      </c>
      <c r="K9">
        <f>SUMIFS(PeerData!$C$2:$C$721,PeerData!$A$2:$A$721,$A9,PeerData!$B$2:$B$721,K$2)</f>
        <v>12335.5</v>
      </c>
      <c r="L9">
        <f>SUMIFS(PeerData!$C$2:$C$721,PeerData!$A$2:$A$721,$A9,PeerData!$B$2:$B$721,L$2)</f>
        <v>12552.8</v>
      </c>
      <c r="M9">
        <f>SUMIFS(PeerData!$C$2:$C$721,PeerData!$A$2:$A$721,$A9,PeerData!$B$2:$B$721,M$2)</f>
        <v>12525.2</v>
      </c>
      <c r="N9">
        <f>SUMIFS(PeerData!$C$2:$C$721,PeerData!$A$2:$A$721,$A9,PeerData!$B$2:$B$721,N$2)</f>
        <v>12804.1</v>
      </c>
      <c r="O9">
        <f>SUMIFS(PeerData!$C$2:$C$721,PeerData!$A$2:$A$721,$A9,PeerData!$B$2:$B$721,O$2)</f>
        <v>12849.4</v>
      </c>
      <c r="P9">
        <f>SUMIFS(PeerData!$C$2:$C$721,PeerData!$A$2:$A$721,$A9,PeerData!$B$2:$B$721,P$2)</f>
        <v>12880.9</v>
      </c>
      <c r="Q9">
        <f>SUMIFS(PeerData!$C$2:$C$721,PeerData!$A$2:$A$721,$A9,PeerData!$B$2:$B$721,Q$2)</f>
        <v>12967.9</v>
      </c>
      <c r="R9">
        <f>SUMIFS(PeerData!$C$2:$C$721,PeerData!$A$2:$A$721,$A9,PeerData!$B$2:$B$721,R$2)</f>
        <v>12826.7</v>
      </c>
      <c r="S9">
        <f>SUMIFS(PeerData!$C$2:$C$721,PeerData!$A$2:$A$721,$A9,PeerData!$B$2:$B$721,S$2)</f>
        <v>12964.3</v>
      </c>
      <c r="T9">
        <f>SUMIFS(PeerData!$C$2:$C$721,PeerData!$A$2:$A$721,$A9,PeerData!$B$2:$B$721,T$2)</f>
        <v>13000.4</v>
      </c>
      <c r="U9">
        <f>SUMIFS(PeerData!$C$2:$C$721,PeerData!$A$2:$A$721,$A9,PeerData!$B$2:$B$721,U$2)</f>
        <v>13422.7</v>
      </c>
      <c r="V9">
        <f>SUMIFS(PeerData!$C$2:$C$721,PeerData!$A$2:$A$721,$A9,PeerData!$B$2:$B$721,V$2)</f>
        <v>13464.5</v>
      </c>
      <c r="W9">
        <f>SUMIFS(PeerData!$C$2:$C$721,PeerData!$A$2:$A$721,$A9,PeerData!$B$2:$B$721,W$2)</f>
        <v>13466.6</v>
      </c>
      <c r="X9">
        <f>SUMIFS(PeerData!$C$2:$C$721,PeerData!$A$2:$A$721,$A9,PeerData!$B$2:$B$721,X$2)</f>
        <v>13647</v>
      </c>
      <c r="Y9">
        <f>SUMIFS(PeerData!$C$2:$C$721,PeerData!$A$2:$A$721,$A9,PeerData!$B$2:$B$721,Y$2)</f>
        <v>13728.6</v>
      </c>
      <c r="Z9">
        <f>SUMIFS(PeerData!$C$2:$C$721,PeerData!$A$2:$A$721,$A9,PeerData!$B$2:$B$721,Z$2)</f>
        <v>13793.4</v>
      </c>
      <c r="AA9">
        <f>SUMIFS(PeerData!$C$2:$C$721,PeerData!$A$2:$A$721,$A9,PeerData!$B$2:$B$721,AA$2)</f>
        <v>13696.4</v>
      </c>
      <c r="AB9">
        <f>SUMIFS(PeerData!$C$2:$C$721,PeerData!$A$2:$A$721,$A9,PeerData!$B$2:$B$721,AB$2)</f>
        <v>13828.9</v>
      </c>
      <c r="AC9">
        <f>SUMIFS(PeerData!$C$2:$C$721,PeerData!$A$2:$A$721,$A9,PeerData!$B$2:$B$721,AC$2)</f>
        <v>14072.7</v>
      </c>
      <c r="AD9">
        <f>SUMIFS(PeerData!$C$2:$C$721,PeerData!$A$2:$A$721,$A9,PeerData!$B$2:$B$721,AD$2)</f>
        <v>14168.2</v>
      </c>
      <c r="AE9">
        <f>SUMIFS(PeerData!$C$2:$C$721,PeerData!$A$2:$A$721,$A9,PeerData!$B$2:$B$721,AE$2)</f>
        <v>14236.8</v>
      </c>
      <c r="AF9">
        <f>SUMIFS(PeerData!$C$2:$C$721,PeerData!$A$2:$A$721,$A9,PeerData!$B$2:$B$721,AF$2)</f>
        <v>14312.1</v>
      </c>
      <c r="AG9">
        <f>SUMIFS(PeerData!$C$2:$C$721,PeerData!$A$2:$A$721,$A9,PeerData!$B$2:$B$721,AG$2)</f>
        <v>14218.9</v>
      </c>
      <c r="AH9">
        <f>SUMIFS(PeerData!$C$2:$C$721,PeerData!$A$2:$A$721,$A9,PeerData!$B$2:$B$721,AH$2)</f>
        <v>14426.3</v>
      </c>
      <c r="AI9">
        <f>SUMIFS(PeerData!$C$2:$C$721,PeerData!$A$2:$A$721,$A9,PeerData!$B$2:$B$721,AI$2)</f>
        <v>14370</v>
      </c>
      <c r="AJ9">
        <f>SUMIFS(PeerData!$C$2:$C$721,PeerData!$A$2:$A$721,$A9,PeerData!$B$2:$B$721,AJ$2)</f>
        <v>14562.9</v>
      </c>
      <c r="AK9">
        <f>SUMIFS(PeerData!$C$2:$C$721,PeerData!$A$2:$A$721,$A9,PeerData!$B$2:$B$721,AK$2)</f>
        <v>14723.6</v>
      </c>
    </row>
    <row r="10" spans="1:37" x14ac:dyDescent="0.25">
      <c r="A10" t="s">
        <v>18</v>
      </c>
      <c r="B10">
        <f>SUMIFS(PeerData!$C$2:$C$721,PeerData!$A$2:$A$721,$A10,PeerData!$B$2:$B$721,B$2)</f>
        <v>12552.9</v>
      </c>
      <c r="C10">
        <f>SUMIFS(PeerData!$C$2:$C$721,PeerData!$A$2:$A$721,$A10,PeerData!$B$2:$B$721,C$2)</f>
        <v>12776.4</v>
      </c>
      <c r="D10">
        <f>SUMIFS(PeerData!$C$2:$C$721,PeerData!$A$2:$A$721,$A10,PeerData!$B$2:$B$721,D$2)</f>
        <v>12921.1</v>
      </c>
      <c r="E10">
        <f>SUMIFS(PeerData!$C$2:$C$721,PeerData!$A$2:$A$721,$A10,PeerData!$B$2:$B$721,E$2)</f>
        <v>12928.2</v>
      </c>
      <c r="F10">
        <f>SUMIFS(PeerData!$C$2:$C$721,PeerData!$A$2:$A$721,$A10,PeerData!$B$2:$B$721,F$2)</f>
        <v>12851.6</v>
      </c>
      <c r="G10">
        <f>SUMIFS(PeerData!$C$2:$C$721,PeerData!$A$2:$A$721,$A10,PeerData!$B$2:$B$721,G$2)</f>
        <v>12918.7</v>
      </c>
      <c r="H10">
        <f>SUMIFS(PeerData!$C$2:$C$721,PeerData!$A$2:$A$721,$A10,PeerData!$B$2:$B$721,H$2)</f>
        <v>13247.7</v>
      </c>
      <c r="I10">
        <f>SUMIFS(PeerData!$C$2:$C$721,PeerData!$A$2:$A$721,$A10,PeerData!$B$2:$B$721,I$2)</f>
        <v>13178.6</v>
      </c>
      <c r="J10">
        <f>SUMIFS(PeerData!$C$2:$C$721,PeerData!$A$2:$A$721,$A10,PeerData!$B$2:$B$721,J$2)</f>
        <v>13283</v>
      </c>
      <c r="K10">
        <f>SUMIFS(PeerData!$C$2:$C$721,PeerData!$A$2:$A$721,$A10,PeerData!$B$2:$B$721,K$2)</f>
        <v>13460.5</v>
      </c>
      <c r="L10">
        <f>SUMIFS(PeerData!$C$2:$C$721,PeerData!$A$2:$A$721,$A10,PeerData!$B$2:$B$721,L$2)</f>
        <v>13463.7</v>
      </c>
      <c r="M10">
        <f>SUMIFS(PeerData!$C$2:$C$721,PeerData!$A$2:$A$721,$A10,PeerData!$B$2:$B$721,M$2)</f>
        <v>13512.3</v>
      </c>
      <c r="N10">
        <f>SUMIFS(PeerData!$C$2:$C$721,PeerData!$A$2:$A$721,$A10,PeerData!$B$2:$B$721,N$2)</f>
        <v>13580.4</v>
      </c>
      <c r="O10">
        <f>SUMIFS(PeerData!$C$2:$C$721,PeerData!$A$2:$A$721,$A10,PeerData!$B$2:$B$721,O$2)</f>
        <v>13839.3</v>
      </c>
      <c r="P10">
        <f>SUMIFS(PeerData!$C$2:$C$721,PeerData!$A$2:$A$721,$A10,PeerData!$B$2:$B$721,P$2)</f>
        <v>13695.6</v>
      </c>
      <c r="Q10">
        <f>SUMIFS(PeerData!$C$2:$C$721,PeerData!$A$2:$A$721,$A10,PeerData!$B$2:$B$721,Q$2)</f>
        <v>14151.7</v>
      </c>
      <c r="R10">
        <f>SUMIFS(PeerData!$C$2:$C$721,PeerData!$A$2:$A$721,$A10,PeerData!$B$2:$B$721,R$2)</f>
        <v>13938.6</v>
      </c>
      <c r="S10">
        <f>SUMIFS(PeerData!$C$2:$C$721,PeerData!$A$2:$A$721,$A10,PeerData!$B$2:$B$721,S$2)</f>
        <v>14038</v>
      </c>
      <c r="T10">
        <f>SUMIFS(PeerData!$C$2:$C$721,PeerData!$A$2:$A$721,$A10,PeerData!$B$2:$B$721,T$2)</f>
        <v>14448.2</v>
      </c>
      <c r="U10">
        <f>SUMIFS(PeerData!$C$2:$C$721,PeerData!$A$2:$A$721,$A10,PeerData!$B$2:$B$721,U$2)</f>
        <v>14247.9</v>
      </c>
      <c r="V10">
        <f>SUMIFS(PeerData!$C$2:$C$721,PeerData!$A$2:$A$721,$A10,PeerData!$B$2:$B$721,V$2)</f>
        <v>14462.1</v>
      </c>
      <c r="W10">
        <f>SUMIFS(PeerData!$C$2:$C$721,PeerData!$A$2:$A$721,$A10,PeerData!$B$2:$B$721,W$2)</f>
        <v>14438</v>
      </c>
      <c r="X10">
        <f>SUMIFS(PeerData!$C$2:$C$721,PeerData!$A$2:$A$721,$A10,PeerData!$B$2:$B$721,X$2)</f>
        <v>14536.8</v>
      </c>
      <c r="Y10">
        <f>SUMIFS(PeerData!$C$2:$C$721,PeerData!$A$2:$A$721,$A10,PeerData!$B$2:$B$721,Y$2)</f>
        <v>14552.5</v>
      </c>
      <c r="Z10">
        <f>SUMIFS(PeerData!$C$2:$C$721,PeerData!$A$2:$A$721,$A10,PeerData!$B$2:$B$721,Z$2)</f>
        <v>14814.5</v>
      </c>
      <c r="AA10">
        <f>SUMIFS(PeerData!$C$2:$C$721,PeerData!$A$2:$A$721,$A10,PeerData!$B$2:$B$721,AA$2)</f>
        <v>15039.7</v>
      </c>
      <c r="AB10">
        <f>SUMIFS(PeerData!$C$2:$C$721,PeerData!$A$2:$A$721,$A10,PeerData!$B$2:$B$721,AB$2)</f>
        <v>14867.7</v>
      </c>
      <c r="AC10">
        <f>SUMIFS(PeerData!$C$2:$C$721,PeerData!$A$2:$A$721,$A10,PeerData!$B$2:$B$721,AC$2)</f>
        <v>15158.5</v>
      </c>
      <c r="AD10">
        <f>SUMIFS(PeerData!$C$2:$C$721,PeerData!$A$2:$A$721,$A10,PeerData!$B$2:$B$721,AD$2)</f>
        <v>15043.6</v>
      </c>
      <c r="AE10">
        <f>SUMIFS(PeerData!$C$2:$C$721,PeerData!$A$2:$A$721,$A10,PeerData!$B$2:$B$721,AE$2)</f>
        <v>15498</v>
      </c>
      <c r="AF10">
        <f>SUMIFS(PeerData!$C$2:$C$721,PeerData!$A$2:$A$721,$A10,PeerData!$B$2:$B$721,AF$2)</f>
        <v>15427.2</v>
      </c>
      <c r="AG10">
        <f>SUMIFS(PeerData!$C$2:$C$721,PeerData!$A$2:$A$721,$A10,PeerData!$B$2:$B$721,AG$2)</f>
        <v>15530.8</v>
      </c>
      <c r="AH10">
        <f>SUMIFS(PeerData!$C$2:$C$721,PeerData!$A$2:$A$721,$A10,PeerData!$B$2:$B$721,AH$2)</f>
        <v>15550</v>
      </c>
      <c r="AI10">
        <f>SUMIFS(PeerData!$C$2:$C$721,PeerData!$A$2:$A$721,$A10,PeerData!$B$2:$B$721,AI$2)</f>
        <v>15731</v>
      </c>
      <c r="AJ10">
        <f>SUMIFS(PeerData!$C$2:$C$721,PeerData!$A$2:$A$721,$A10,PeerData!$B$2:$B$721,AJ$2)</f>
        <v>15938.5</v>
      </c>
      <c r="AK10">
        <f>SUMIFS(PeerData!$C$2:$C$721,PeerData!$A$2:$A$721,$A10,PeerData!$B$2:$B$721,AK$2)</f>
        <v>15843.6</v>
      </c>
    </row>
    <row r="11" spans="1:37" x14ac:dyDescent="0.25">
      <c r="A11" t="s">
        <v>19</v>
      </c>
      <c r="B11">
        <f>SUMIFS(PeerData!$C$2:$C$721,PeerData!$A$2:$A$721,$A11,PeerData!$B$2:$B$721,B$2)</f>
        <v>13734.5</v>
      </c>
      <c r="C11">
        <f>SUMIFS(PeerData!$C$2:$C$721,PeerData!$A$2:$A$721,$A11,PeerData!$B$2:$B$721,C$2)</f>
        <v>13628.7</v>
      </c>
      <c r="D11">
        <f>SUMIFS(PeerData!$C$2:$C$721,PeerData!$A$2:$A$721,$A11,PeerData!$B$2:$B$721,D$2)</f>
        <v>13672.3</v>
      </c>
      <c r="E11">
        <f>SUMIFS(PeerData!$C$2:$C$721,PeerData!$A$2:$A$721,$A11,PeerData!$B$2:$B$721,E$2)</f>
        <v>13747.1</v>
      </c>
      <c r="F11">
        <f>SUMIFS(PeerData!$C$2:$C$721,PeerData!$A$2:$A$721,$A11,PeerData!$B$2:$B$721,F$2)</f>
        <v>14082.4</v>
      </c>
      <c r="G11">
        <f>SUMIFS(PeerData!$C$2:$C$721,PeerData!$A$2:$A$721,$A11,PeerData!$B$2:$B$721,G$2)</f>
        <v>14103.5</v>
      </c>
      <c r="H11">
        <f>SUMIFS(PeerData!$C$2:$C$721,PeerData!$A$2:$A$721,$A11,PeerData!$B$2:$B$721,H$2)</f>
        <v>14325.8</v>
      </c>
      <c r="I11">
        <f>SUMIFS(PeerData!$C$2:$C$721,PeerData!$A$2:$A$721,$A11,PeerData!$B$2:$B$721,I$2)</f>
        <v>14453.6</v>
      </c>
      <c r="J11">
        <f>SUMIFS(PeerData!$C$2:$C$721,PeerData!$A$2:$A$721,$A11,PeerData!$B$2:$B$721,J$2)</f>
        <v>14467.5</v>
      </c>
      <c r="K11">
        <f>SUMIFS(PeerData!$C$2:$C$721,PeerData!$A$2:$A$721,$A11,PeerData!$B$2:$B$721,K$2)</f>
        <v>14274.9</v>
      </c>
      <c r="L11">
        <f>SUMIFS(PeerData!$C$2:$C$721,PeerData!$A$2:$A$721,$A11,PeerData!$B$2:$B$721,L$2)</f>
        <v>14637.3</v>
      </c>
      <c r="M11">
        <f>SUMIFS(PeerData!$C$2:$C$721,PeerData!$A$2:$A$721,$A11,PeerData!$B$2:$B$721,M$2)</f>
        <v>14512.1</v>
      </c>
      <c r="N11">
        <f>SUMIFS(PeerData!$C$2:$C$721,PeerData!$A$2:$A$721,$A11,PeerData!$B$2:$B$721,N$2)</f>
        <v>14812.8</v>
      </c>
      <c r="O11">
        <f>SUMIFS(PeerData!$C$2:$C$721,PeerData!$A$2:$A$721,$A11,PeerData!$B$2:$B$721,O$2)</f>
        <v>14688.2</v>
      </c>
      <c r="P11">
        <f>SUMIFS(PeerData!$C$2:$C$721,PeerData!$A$2:$A$721,$A11,PeerData!$B$2:$B$721,P$2)</f>
        <v>15142.7</v>
      </c>
      <c r="Q11">
        <f>SUMIFS(PeerData!$C$2:$C$721,PeerData!$A$2:$A$721,$A11,PeerData!$B$2:$B$721,Q$2)</f>
        <v>15129.2</v>
      </c>
      <c r="R11">
        <f>SUMIFS(PeerData!$C$2:$C$721,PeerData!$A$2:$A$721,$A11,PeerData!$B$2:$B$721,R$2)</f>
        <v>15151</v>
      </c>
      <c r="S11">
        <f>SUMIFS(PeerData!$C$2:$C$721,PeerData!$A$2:$A$721,$A11,PeerData!$B$2:$B$721,S$2)</f>
        <v>15275.1</v>
      </c>
      <c r="T11">
        <f>SUMIFS(PeerData!$C$2:$C$721,PeerData!$A$2:$A$721,$A11,PeerData!$B$2:$B$721,T$2)</f>
        <v>15338.3</v>
      </c>
      <c r="U11">
        <f>SUMIFS(PeerData!$C$2:$C$721,PeerData!$A$2:$A$721,$A11,PeerData!$B$2:$B$721,U$2)</f>
        <v>15547.1</v>
      </c>
      <c r="V11">
        <f>SUMIFS(PeerData!$C$2:$C$721,PeerData!$A$2:$A$721,$A11,PeerData!$B$2:$B$721,V$2)</f>
        <v>15427.2</v>
      </c>
      <c r="W11">
        <f>SUMIFS(PeerData!$C$2:$C$721,PeerData!$A$2:$A$721,$A11,PeerData!$B$2:$B$721,W$2)</f>
        <v>15585.3</v>
      </c>
      <c r="X11">
        <f>SUMIFS(PeerData!$C$2:$C$721,PeerData!$A$2:$A$721,$A11,PeerData!$B$2:$B$721,X$2)</f>
        <v>15592.2</v>
      </c>
      <c r="Y11">
        <f>SUMIFS(PeerData!$C$2:$C$721,PeerData!$A$2:$A$721,$A11,PeerData!$B$2:$B$721,Y$2)</f>
        <v>15949.6</v>
      </c>
      <c r="Z11">
        <f>SUMIFS(PeerData!$C$2:$C$721,PeerData!$A$2:$A$721,$A11,PeerData!$B$2:$B$721,Z$2)</f>
        <v>15835</v>
      </c>
      <c r="AA11">
        <f>SUMIFS(PeerData!$C$2:$C$721,PeerData!$A$2:$A$721,$A11,PeerData!$B$2:$B$721,AA$2)</f>
        <v>16148.3</v>
      </c>
      <c r="AB11">
        <f>SUMIFS(PeerData!$C$2:$C$721,PeerData!$A$2:$A$721,$A11,PeerData!$B$2:$B$721,AB$2)</f>
        <v>16082.4</v>
      </c>
      <c r="AC11">
        <f>SUMIFS(PeerData!$C$2:$C$721,PeerData!$A$2:$A$721,$A11,PeerData!$B$2:$B$721,AC$2)</f>
        <v>16110.3</v>
      </c>
      <c r="AD11">
        <f>SUMIFS(PeerData!$C$2:$C$721,PeerData!$A$2:$A$721,$A11,PeerData!$B$2:$B$721,AD$2)</f>
        <v>16512</v>
      </c>
      <c r="AE11">
        <f>SUMIFS(PeerData!$C$2:$C$721,PeerData!$A$2:$A$721,$A11,PeerData!$B$2:$B$721,AE$2)</f>
        <v>16513.099999999999</v>
      </c>
      <c r="AF11">
        <f>SUMIFS(PeerData!$C$2:$C$721,PeerData!$A$2:$A$721,$A11,PeerData!$B$2:$B$721,AF$2)</f>
        <v>16693.5</v>
      </c>
      <c r="AG11">
        <f>SUMIFS(PeerData!$C$2:$C$721,PeerData!$A$2:$A$721,$A11,PeerData!$B$2:$B$721,AG$2)</f>
        <v>16775.5</v>
      </c>
      <c r="AH11">
        <f>SUMIFS(PeerData!$C$2:$C$721,PeerData!$A$2:$A$721,$A11,PeerData!$B$2:$B$721,AH$2)</f>
        <v>16755.7</v>
      </c>
      <c r="AI11">
        <f>SUMIFS(PeerData!$C$2:$C$721,PeerData!$A$2:$A$721,$A11,PeerData!$B$2:$B$721,AI$2)</f>
        <v>16968.099999999999</v>
      </c>
      <c r="AJ11">
        <f>SUMIFS(PeerData!$C$2:$C$721,PeerData!$A$2:$A$721,$A11,PeerData!$B$2:$B$721,AJ$2)</f>
        <v>16797</v>
      </c>
      <c r="AK11">
        <f>SUMIFS(PeerData!$C$2:$C$721,PeerData!$A$2:$A$721,$A11,PeerData!$B$2:$B$721,AK$2)</f>
        <v>17269.5</v>
      </c>
    </row>
    <row r="12" spans="1:37" x14ac:dyDescent="0.25">
      <c r="A12" t="s">
        <v>20</v>
      </c>
      <c r="B12">
        <f>SUMIFS(PeerData!$C$2:$C$721,PeerData!$A$2:$A$721,$A12,PeerData!$B$2:$B$721,B$2)</f>
        <v>14565.3</v>
      </c>
      <c r="C12">
        <f>SUMIFS(PeerData!$C$2:$C$721,PeerData!$A$2:$A$721,$A12,PeerData!$B$2:$B$721,C$2)</f>
        <v>14659.1</v>
      </c>
      <c r="D12">
        <f>SUMIFS(PeerData!$C$2:$C$721,PeerData!$A$2:$A$721,$A12,PeerData!$B$2:$B$721,D$2)</f>
        <v>14922.6</v>
      </c>
      <c r="E12">
        <f>SUMIFS(PeerData!$C$2:$C$721,PeerData!$A$2:$A$721,$A12,PeerData!$B$2:$B$721,E$2)</f>
        <v>15021.4</v>
      </c>
      <c r="F12">
        <f>SUMIFS(PeerData!$C$2:$C$721,PeerData!$A$2:$A$721,$A12,PeerData!$B$2:$B$721,F$2)</f>
        <v>14776.7</v>
      </c>
      <c r="G12">
        <f>SUMIFS(PeerData!$C$2:$C$721,PeerData!$A$2:$A$721,$A12,PeerData!$B$2:$B$721,G$2)</f>
        <v>14894.4</v>
      </c>
      <c r="H12">
        <f>SUMIFS(PeerData!$C$2:$C$721,PeerData!$A$2:$A$721,$A12,PeerData!$B$2:$B$721,H$2)</f>
        <v>15387</v>
      </c>
      <c r="I12">
        <f>SUMIFS(PeerData!$C$2:$C$721,PeerData!$A$2:$A$721,$A12,PeerData!$B$2:$B$721,I$2)</f>
        <v>15491</v>
      </c>
      <c r="J12">
        <f>SUMIFS(PeerData!$C$2:$C$721,PeerData!$A$2:$A$721,$A12,PeerData!$B$2:$B$721,J$2)</f>
        <v>15216.3</v>
      </c>
      <c r="K12">
        <f>SUMIFS(PeerData!$C$2:$C$721,PeerData!$A$2:$A$721,$A12,PeerData!$B$2:$B$721,K$2)</f>
        <v>15483.8</v>
      </c>
      <c r="L12">
        <f>SUMIFS(PeerData!$C$2:$C$721,PeerData!$A$2:$A$721,$A12,PeerData!$B$2:$B$721,L$2)</f>
        <v>15786.2</v>
      </c>
      <c r="M12">
        <f>SUMIFS(PeerData!$C$2:$C$721,PeerData!$A$2:$A$721,$A12,PeerData!$B$2:$B$721,M$2)</f>
        <v>15754.4</v>
      </c>
      <c r="N12">
        <f>SUMIFS(PeerData!$C$2:$C$721,PeerData!$A$2:$A$721,$A12,PeerData!$B$2:$B$721,N$2)</f>
        <v>15908.8</v>
      </c>
      <c r="O12">
        <f>SUMIFS(PeerData!$C$2:$C$721,PeerData!$A$2:$A$721,$A12,PeerData!$B$2:$B$721,O$2)</f>
        <v>15808.5</v>
      </c>
      <c r="P12">
        <f>SUMIFS(PeerData!$C$2:$C$721,PeerData!$A$2:$A$721,$A12,PeerData!$B$2:$B$721,P$2)</f>
        <v>16182</v>
      </c>
      <c r="Q12">
        <f>SUMIFS(PeerData!$C$2:$C$721,PeerData!$A$2:$A$721,$A12,PeerData!$B$2:$B$721,Q$2)</f>
        <v>16338.8</v>
      </c>
      <c r="R12">
        <f>SUMIFS(PeerData!$C$2:$C$721,PeerData!$A$2:$A$721,$A12,PeerData!$B$2:$B$721,R$2)</f>
        <v>16226</v>
      </c>
      <c r="S12">
        <f>SUMIFS(PeerData!$C$2:$C$721,PeerData!$A$2:$A$721,$A12,PeerData!$B$2:$B$721,S$2)</f>
        <v>16243.5</v>
      </c>
      <c r="T12">
        <f>SUMIFS(PeerData!$C$2:$C$721,PeerData!$A$2:$A$721,$A12,PeerData!$B$2:$B$721,T$2)</f>
        <v>16412</v>
      </c>
      <c r="U12">
        <f>SUMIFS(PeerData!$C$2:$C$721,PeerData!$A$2:$A$721,$A12,PeerData!$B$2:$B$721,U$2)</f>
        <v>16740.7</v>
      </c>
      <c r="V12">
        <f>SUMIFS(PeerData!$C$2:$C$721,PeerData!$A$2:$A$721,$A12,PeerData!$B$2:$B$721,V$2)</f>
        <v>16757.2</v>
      </c>
      <c r="W12">
        <f>SUMIFS(PeerData!$C$2:$C$721,PeerData!$A$2:$A$721,$A12,PeerData!$B$2:$B$721,W$2)</f>
        <v>16855.599999999999</v>
      </c>
      <c r="X12">
        <f>SUMIFS(PeerData!$C$2:$C$721,PeerData!$A$2:$A$721,$A12,PeerData!$B$2:$B$721,X$2)</f>
        <v>16734.3</v>
      </c>
      <c r="Y12">
        <f>SUMIFS(PeerData!$C$2:$C$721,PeerData!$A$2:$A$721,$A12,PeerData!$B$2:$B$721,Y$2)</f>
        <v>16898</v>
      </c>
      <c r="Z12">
        <f>SUMIFS(PeerData!$C$2:$C$721,PeerData!$A$2:$A$721,$A12,PeerData!$B$2:$B$721,Z$2)</f>
        <v>17099.8</v>
      </c>
      <c r="AA12">
        <f>SUMIFS(PeerData!$C$2:$C$721,PeerData!$A$2:$A$721,$A12,PeerData!$B$2:$B$721,AA$2)</f>
        <v>17370.3</v>
      </c>
      <c r="AB12">
        <f>SUMIFS(PeerData!$C$2:$C$721,PeerData!$A$2:$A$721,$A12,PeerData!$B$2:$B$721,AB$2)</f>
        <v>17285.3</v>
      </c>
      <c r="AC12">
        <f>SUMIFS(PeerData!$C$2:$C$721,PeerData!$A$2:$A$721,$A12,PeerData!$B$2:$B$721,AC$2)</f>
        <v>17417</v>
      </c>
      <c r="AD12">
        <f>SUMIFS(PeerData!$C$2:$C$721,PeerData!$A$2:$A$721,$A12,PeerData!$B$2:$B$721,AD$2)</f>
        <v>17433.2</v>
      </c>
      <c r="AE12">
        <f>SUMIFS(PeerData!$C$2:$C$721,PeerData!$A$2:$A$721,$A12,PeerData!$B$2:$B$721,AE$2)</f>
        <v>17729.8</v>
      </c>
      <c r="AF12">
        <f>SUMIFS(PeerData!$C$2:$C$721,PeerData!$A$2:$A$721,$A12,PeerData!$B$2:$B$721,AF$2)</f>
        <v>17750.5</v>
      </c>
      <c r="AG12">
        <f>SUMIFS(PeerData!$C$2:$C$721,PeerData!$A$2:$A$721,$A12,PeerData!$B$2:$B$721,AG$2)</f>
        <v>17815.7</v>
      </c>
      <c r="AH12">
        <f>SUMIFS(PeerData!$C$2:$C$721,PeerData!$A$2:$A$721,$A12,PeerData!$B$2:$B$721,AH$2)</f>
        <v>17874.400000000001</v>
      </c>
      <c r="AI12">
        <f>SUMIFS(PeerData!$C$2:$C$721,PeerData!$A$2:$A$721,$A12,PeerData!$B$2:$B$721,AI$2)</f>
        <v>18004.7</v>
      </c>
      <c r="AJ12">
        <f>SUMIFS(PeerData!$C$2:$C$721,PeerData!$A$2:$A$721,$A12,PeerData!$B$2:$B$721,AJ$2)</f>
        <v>18333.7</v>
      </c>
      <c r="AK12">
        <f>SUMIFS(PeerData!$C$2:$C$721,PeerData!$A$2:$A$721,$A12,PeerData!$B$2:$B$721,AK$2)</f>
        <v>18254.8</v>
      </c>
    </row>
    <row r="13" spans="1:37" x14ac:dyDescent="0.25">
      <c r="A13" t="s">
        <v>21</v>
      </c>
      <c r="B13">
        <f>SUMIFS(PeerData!$C$2:$C$721,PeerData!$A$2:$A$721,$A13,PeerData!$B$2:$B$721,B$2)</f>
        <v>15671.7</v>
      </c>
      <c r="C13">
        <f>SUMIFS(PeerData!$C$2:$C$721,PeerData!$A$2:$A$721,$A13,PeerData!$B$2:$B$721,C$2)</f>
        <v>15543.6</v>
      </c>
      <c r="D13">
        <f>SUMIFS(PeerData!$C$2:$C$721,PeerData!$A$2:$A$721,$A13,PeerData!$B$2:$B$721,D$2)</f>
        <v>15739.6</v>
      </c>
      <c r="E13">
        <f>SUMIFS(PeerData!$C$2:$C$721,PeerData!$A$2:$A$721,$A13,PeerData!$B$2:$B$721,E$2)</f>
        <v>15681.8</v>
      </c>
      <c r="F13">
        <f>SUMIFS(PeerData!$C$2:$C$721,PeerData!$A$2:$A$721,$A13,PeerData!$B$2:$B$721,F$2)</f>
        <v>16162.4</v>
      </c>
      <c r="G13">
        <f>SUMIFS(PeerData!$C$2:$C$721,PeerData!$A$2:$A$721,$A13,PeerData!$B$2:$B$721,G$2)</f>
        <v>15998.1</v>
      </c>
      <c r="H13">
        <f>SUMIFS(PeerData!$C$2:$C$721,PeerData!$A$2:$A$721,$A13,PeerData!$B$2:$B$721,H$2)</f>
        <v>16030.5</v>
      </c>
      <c r="I13">
        <f>SUMIFS(PeerData!$C$2:$C$721,PeerData!$A$2:$A$721,$A13,PeerData!$B$2:$B$721,I$2)</f>
        <v>16156.8</v>
      </c>
      <c r="J13">
        <f>SUMIFS(PeerData!$C$2:$C$721,PeerData!$A$2:$A$721,$A13,PeerData!$B$2:$B$721,J$2)</f>
        <v>16644.599999999999</v>
      </c>
      <c r="K13">
        <f>SUMIFS(PeerData!$C$2:$C$721,PeerData!$A$2:$A$721,$A13,PeerData!$B$2:$B$721,K$2)</f>
        <v>16516.400000000001</v>
      </c>
      <c r="L13">
        <f>SUMIFS(PeerData!$C$2:$C$721,PeerData!$A$2:$A$721,$A13,PeerData!$B$2:$B$721,L$2)</f>
        <v>16536.099999999999</v>
      </c>
      <c r="M13">
        <f>SUMIFS(PeerData!$C$2:$C$721,PeerData!$A$2:$A$721,$A13,PeerData!$B$2:$B$721,M$2)</f>
        <v>16936</v>
      </c>
      <c r="N13">
        <f>SUMIFS(PeerData!$C$2:$C$721,PeerData!$A$2:$A$721,$A13,PeerData!$B$2:$B$721,N$2)</f>
        <v>16773.599999999999</v>
      </c>
      <c r="O13">
        <f>SUMIFS(PeerData!$C$2:$C$721,PeerData!$A$2:$A$721,$A13,PeerData!$B$2:$B$721,O$2)</f>
        <v>17019.099999999999</v>
      </c>
      <c r="P13">
        <f>SUMIFS(PeerData!$C$2:$C$721,PeerData!$A$2:$A$721,$A13,PeerData!$B$2:$B$721,P$2)</f>
        <v>17292.8</v>
      </c>
      <c r="Q13">
        <f>SUMIFS(PeerData!$C$2:$C$721,PeerData!$A$2:$A$721,$A13,PeerData!$B$2:$B$721,Q$2)</f>
        <v>17337.8</v>
      </c>
      <c r="R13">
        <f>SUMIFS(PeerData!$C$2:$C$721,PeerData!$A$2:$A$721,$A13,PeerData!$B$2:$B$721,R$2)</f>
        <v>17476.900000000001</v>
      </c>
      <c r="S13">
        <f>SUMIFS(PeerData!$C$2:$C$721,PeerData!$A$2:$A$721,$A13,PeerData!$B$2:$B$721,S$2)</f>
        <v>17446.099999999999</v>
      </c>
      <c r="T13">
        <f>SUMIFS(PeerData!$C$2:$C$721,PeerData!$A$2:$A$721,$A13,PeerData!$B$2:$B$721,T$2)</f>
        <v>17715.400000000001</v>
      </c>
      <c r="U13">
        <f>SUMIFS(PeerData!$C$2:$C$721,PeerData!$A$2:$A$721,$A13,PeerData!$B$2:$B$721,U$2)</f>
        <v>17529.3</v>
      </c>
      <c r="V13">
        <f>SUMIFS(PeerData!$C$2:$C$721,PeerData!$A$2:$A$721,$A13,PeerData!$B$2:$B$721,V$2)</f>
        <v>17804.7</v>
      </c>
      <c r="W13">
        <f>SUMIFS(PeerData!$C$2:$C$721,PeerData!$A$2:$A$721,$A13,PeerData!$B$2:$B$721,W$2)</f>
        <v>18091.900000000001</v>
      </c>
      <c r="X13">
        <f>SUMIFS(PeerData!$C$2:$C$721,PeerData!$A$2:$A$721,$A13,PeerData!$B$2:$B$721,X$2)</f>
        <v>18263.3</v>
      </c>
      <c r="Y13">
        <f>SUMIFS(PeerData!$C$2:$C$721,PeerData!$A$2:$A$721,$A13,PeerData!$B$2:$B$721,Y$2)</f>
        <v>18031.8</v>
      </c>
      <c r="Z13">
        <f>SUMIFS(PeerData!$C$2:$C$721,PeerData!$A$2:$A$721,$A13,PeerData!$B$2:$B$721,Z$2)</f>
        <v>18327.7</v>
      </c>
      <c r="AA13">
        <f>SUMIFS(PeerData!$C$2:$C$721,PeerData!$A$2:$A$721,$A13,PeerData!$B$2:$B$721,AA$2)</f>
        <v>18459.5</v>
      </c>
      <c r="AB13">
        <f>SUMIFS(PeerData!$C$2:$C$721,PeerData!$A$2:$A$721,$A13,PeerData!$B$2:$B$721,AB$2)</f>
        <v>18350.400000000001</v>
      </c>
      <c r="AC13">
        <f>SUMIFS(PeerData!$C$2:$C$721,PeerData!$A$2:$A$721,$A13,PeerData!$B$2:$B$721,AC$2)</f>
        <v>18486.3</v>
      </c>
      <c r="AD13">
        <f>SUMIFS(PeerData!$C$2:$C$721,PeerData!$A$2:$A$721,$A13,PeerData!$B$2:$B$721,AD$2)</f>
        <v>18678.900000000001</v>
      </c>
      <c r="AE13">
        <f>SUMIFS(PeerData!$C$2:$C$721,PeerData!$A$2:$A$721,$A13,PeerData!$B$2:$B$721,AE$2)</f>
        <v>18788.599999999999</v>
      </c>
      <c r="AF13">
        <f>SUMIFS(PeerData!$C$2:$C$721,PeerData!$A$2:$A$721,$A13,PeerData!$B$2:$B$721,AF$2)</f>
        <v>18953.8</v>
      </c>
      <c r="AG13">
        <f>SUMIFS(PeerData!$C$2:$C$721,PeerData!$A$2:$A$721,$A13,PeerData!$B$2:$B$721,AG$2)</f>
        <v>19178.099999999999</v>
      </c>
      <c r="AH13">
        <f>SUMIFS(PeerData!$C$2:$C$721,PeerData!$A$2:$A$721,$A13,PeerData!$B$2:$B$721,AH$2)</f>
        <v>19404.5</v>
      </c>
      <c r="AI13">
        <f>SUMIFS(PeerData!$C$2:$C$721,PeerData!$A$2:$A$721,$A13,PeerData!$B$2:$B$721,AI$2)</f>
        <v>19525.3</v>
      </c>
      <c r="AJ13">
        <f>SUMIFS(PeerData!$C$2:$C$721,PeerData!$A$2:$A$721,$A13,PeerData!$B$2:$B$721,AJ$2)</f>
        <v>19354.2</v>
      </c>
      <c r="AK13">
        <f>SUMIFS(PeerData!$C$2:$C$721,PeerData!$A$2:$A$721,$A13,PeerData!$B$2:$B$721,AK$2)</f>
        <v>19587</v>
      </c>
    </row>
    <row r="14" spans="1:37" x14ac:dyDescent="0.25">
      <c r="A14" t="s">
        <v>22</v>
      </c>
      <c r="B14">
        <f>SUMIFS(PeerData!$C$2:$C$721,PeerData!$A$2:$A$721,$A14,PeerData!$B$2:$B$721,B$2)</f>
        <v>16553.7</v>
      </c>
      <c r="C14">
        <f>SUMIFS(PeerData!$C$2:$C$721,PeerData!$A$2:$A$721,$A14,PeerData!$B$2:$B$721,C$2)</f>
        <v>16590.5</v>
      </c>
      <c r="D14">
        <f>SUMIFS(PeerData!$C$2:$C$721,PeerData!$A$2:$A$721,$A14,PeerData!$B$2:$B$721,D$2)</f>
        <v>16626.400000000001</v>
      </c>
      <c r="E14">
        <f>SUMIFS(PeerData!$C$2:$C$721,PeerData!$A$2:$A$721,$A14,PeerData!$B$2:$B$721,E$2)</f>
        <v>16825.7</v>
      </c>
      <c r="F14">
        <f>SUMIFS(PeerData!$C$2:$C$721,PeerData!$A$2:$A$721,$A14,PeerData!$B$2:$B$721,F$2)</f>
        <v>16916.900000000001</v>
      </c>
      <c r="G14">
        <f>SUMIFS(PeerData!$C$2:$C$721,PeerData!$A$2:$A$721,$A14,PeerData!$B$2:$B$721,G$2)</f>
        <v>17239.8</v>
      </c>
      <c r="H14">
        <f>SUMIFS(PeerData!$C$2:$C$721,PeerData!$A$2:$A$721,$A14,PeerData!$B$2:$B$721,H$2)</f>
        <v>17411.2</v>
      </c>
      <c r="I14">
        <f>SUMIFS(PeerData!$C$2:$C$721,PeerData!$A$2:$A$721,$A14,PeerData!$B$2:$B$721,I$2)</f>
        <v>17520.8</v>
      </c>
      <c r="J14">
        <f>SUMIFS(PeerData!$C$2:$C$721,PeerData!$A$2:$A$721,$A14,PeerData!$B$2:$B$721,J$2)</f>
        <v>17461.900000000001</v>
      </c>
      <c r="K14">
        <f>SUMIFS(PeerData!$C$2:$C$721,PeerData!$A$2:$A$721,$A14,PeerData!$B$2:$B$721,K$2)</f>
        <v>17753.099999999999</v>
      </c>
      <c r="L14">
        <f>SUMIFS(PeerData!$C$2:$C$721,PeerData!$A$2:$A$721,$A14,PeerData!$B$2:$B$721,L$2)</f>
        <v>17786</v>
      </c>
      <c r="M14">
        <f>SUMIFS(PeerData!$C$2:$C$721,PeerData!$A$2:$A$721,$A14,PeerData!$B$2:$B$721,M$2)</f>
        <v>17989.7</v>
      </c>
      <c r="N14">
        <f>SUMIFS(PeerData!$C$2:$C$721,PeerData!$A$2:$A$721,$A14,PeerData!$B$2:$B$721,N$2)</f>
        <v>17926.2</v>
      </c>
      <c r="O14">
        <f>SUMIFS(PeerData!$C$2:$C$721,PeerData!$A$2:$A$721,$A14,PeerData!$B$2:$B$721,O$2)</f>
        <v>18209.3</v>
      </c>
      <c r="P14">
        <f>SUMIFS(PeerData!$C$2:$C$721,PeerData!$A$2:$A$721,$A14,PeerData!$B$2:$B$721,P$2)</f>
        <v>18256.099999999999</v>
      </c>
      <c r="Q14">
        <f>SUMIFS(PeerData!$C$2:$C$721,PeerData!$A$2:$A$721,$A14,PeerData!$B$2:$B$721,Q$2)</f>
        <v>18247.900000000001</v>
      </c>
      <c r="R14">
        <f>SUMIFS(PeerData!$C$2:$C$721,PeerData!$A$2:$A$721,$A14,PeerData!$B$2:$B$721,R$2)</f>
        <v>18403.7</v>
      </c>
      <c r="S14">
        <f>SUMIFS(PeerData!$C$2:$C$721,PeerData!$A$2:$A$721,$A14,PeerData!$B$2:$B$721,S$2)</f>
        <v>18586.900000000001</v>
      </c>
      <c r="T14">
        <f>SUMIFS(PeerData!$C$2:$C$721,PeerData!$A$2:$A$721,$A14,PeerData!$B$2:$B$721,T$2)</f>
        <v>18535.8</v>
      </c>
      <c r="U14">
        <f>SUMIFS(PeerData!$C$2:$C$721,PeerData!$A$2:$A$721,$A14,PeerData!$B$2:$B$721,U$2)</f>
        <v>18887.8</v>
      </c>
      <c r="V14">
        <f>SUMIFS(PeerData!$C$2:$C$721,PeerData!$A$2:$A$721,$A14,PeerData!$B$2:$B$721,V$2)</f>
        <v>18958.2</v>
      </c>
      <c r="W14">
        <f>SUMIFS(PeerData!$C$2:$C$721,PeerData!$A$2:$A$721,$A14,PeerData!$B$2:$B$721,W$2)</f>
        <v>19170.8</v>
      </c>
      <c r="X14">
        <f>SUMIFS(PeerData!$C$2:$C$721,PeerData!$A$2:$A$721,$A14,PeerData!$B$2:$B$721,X$2)</f>
        <v>19341.900000000001</v>
      </c>
      <c r="Y14">
        <f>SUMIFS(PeerData!$C$2:$C$721,PeerData!$A$2:$A$721,$A14,PeerData!$B$2:$B$721,Y$2)</f>
        <v>19314.400000000001</v>
      </c>
      <c r="Z14">
        <f>SUMIFS(PeerData!$C$2:$C$721,PeerData!$A$2:$A$721,$A14,PeerData!$B$2:$B$721,Z$2)</f>
        <v>19407.599999999999</v>
      </c>
      <c r="AA14">
        <f>SUMIFS(PeerData!$C$2:$C$721,PeerData!$A$2:$A$721,$A14,PeerData!$B$2:$B$721,AA$2)</f>
        <v>19391.400000000001</v>
      </c>
      <c r="AB14">
        <f>SUMIFS(PeerData!$C$2:$C$721,PeerData!$A$2:$A$721,$A14,PeerData!$B$2:$B$721,AB$2)</f>
        <v>19511.2</v>
      </c>
      <c r="AC14">
        <f>SUMIFS(PeerData!$C$2:$C$721,PeerData!$A$2:$A$721,$A14,PeerData!$B$2:$B$721,AC$2)</f>
        <v>19789.099999999999</v>
      </c>
      <c r="AD14">
        <f>SUMIFS(PeerData!$C$2:$C$721,PeerData!$A$2:$A$721,$A14,PeerData!$B$2:$B$721,AD$2)</f>
        <v>19859.900000000001</v>
      </c>
      <c r="AE14">
        <f>SUMIFS(PeerData!$C$2:$C$721,PeerData!$A$2:$A$721,$A14,PeerData!$B$2:$B$721,AE$2)</f>
        <v>20151.900000000001</v>
      </c>
      <c r="AF14">
        <f>SUMIFS(PeerData!$C$2:$C$721,PeerData!$A$2:$A$721,$A14,PeerData!$B$2:$B$721,AF$2)</f>
        <v>20127.7</v>
      </c>
      <c r="AG14">
        <f>SUMIFS(PeerData!$C$2:$C$721,PeerData!$A$2:$A$721,$A14,PeerData!$B$2:$B$721,AG$2)</f>
        <v>20119.5</v>
      </c>
      <c r="AH14">
        <f>SUMIFS(PeerData!$C$2:$C$721,PeerData!$A$2:$A$721,$A14,PeerData!$B$2:$B$721,AH$2)</f>
        <v>20518.8</v>
      </c>
      <c r="AI14">
        <f>SUMIFS(PeerData!$C$2:$C$721,PeerData!$A$2:$A$721,$A14,PeerData!$B$2:$B$721,AI$2)</f>
        <v>20616.900000000001</v>
      </c>
      <c r="AJ14">
        <f>SUMIFS(PeerData!$C$2:$C$721,PeerData!$A$2:$A$721,$A14,PeerData!$B$2:$B$721,AJ$2)</f>
        <v>20518.3</v>
      </c>
      <c r="AK14">
        <f>SUMIFS(PeerData!$C$2:$C$721,PeerData!$A$2:$A$721,$A14,PeerData!$B$2:$B$721,AK$2)</f>
        <v>20697.599999999999</v>
      </c>
    </row>
    <row r="15" spans="1:37" x14ac:dyDescent="0.25">
      <c r="A15" t="s">
        <v>23</v>
      </c>
      <c r="B15">
        <f>SUMIFS(PeerData!$C$2:$C$721,PeerData!$A$2:$A$721,$A15,PeerData!$B$2:$B$721,B$2)</f>
        <v>17662.2</v>
      </c>
      <c r="C15">
        <f>SUMIFS(PeerData!$C$2:$C$721,PeerData!$A$2:$A$721,$A15,PeerData!$B$2:$B$721,C$2)</f>
        <v>17573.599999999999</v>
      </c>
      <c r="D15">
        <f>SUMIFS(PeerData!$C$2:$C$721,PeerData!$A$2:$A$721,$A15,PeerData!$B$2:$B$721,D$2)</f>
        <v>17654.2</v>
      </c>
      <c r="E15">
        <f>SUMIFS(PeerData!$C$2:$C$721,PeerData!$A$2:$A$721,$A15,PeerData!$B$2:$B$721,E$2)</f>
        <v>18049.7</v>
      </c>
      <c r="F15">
        <f>SUMIFS(PeerData!$C$2:$C$721,PeerData!$A$2:$A$721,$A15,PeerData!$B$2:$B$721,F$2)</f>
        <v>18200.5</v>
      </c>
      <c r="G15">
        <f>SUMIFS(PeerData!$C$2:$C$721,PeerData!$A$2:$A$721,$A15,PeerData!$B$2:$B$721,G$2)</f>
        <v>18060.2</v>
      </c>
      <c r="H15">
        <f>SUMIFS(PeerData!$C$2:$C$721,PeerData!$A$2:$A$721,$A15,PeerData!$B$2:$B$721,H$2)</f>
        <v>18303</v>
      </c>
      <c r="I15">
        <f>SUMIFS(PeerData!$C$2:$C$721,PeerData!$A$2:$A$721,$A15,PeerData!$B$2:$B$721,I$2)</f>
        <v>18451.2</v>
      </c>
      <c r="J15">
        <f>SUMIFS(PeerData!$C$2:$C$721,PeerData!$A$2:$A$721,$A15,PeerData!$B$2:$B$721,J$2)</f>
        <v>18377.5</v>
      </c>
      <c r="K15">
        <f>SUMIFS(PeerData!$C$2:$C$721,PeerData!$A$2:$A$721,$A15,PeerData!$B$2:$B$721,K$2)</f>
        <v>18706.3</v>
      </c>
      <c r="L15">
        <f>SUMIFS(PeerData!$C$2:$C$721,PeerData!$A$2:$A$721,$A15,PeerData!$B$2:$B$721,L$2)</f>
        <v>18704.900000000001</v>
      </c>
      <c r="M15">
        <f>SUMIFS(PeerData!$C$2:$C$721,PeerData!$A$2:$A$721,$A15,PeerData!$B$2:$B$721,M$2)</f>
        <v>19047.900000000001</v>
      </c>
      <c r="N15">
        <f>SUMIFS(PeerData!$C$2:$C$721,PeerData!$A$2:$A$721,$A15,PeerData!$B$2:$B$721,N$2)</f>
        <v>19110.3</v>
      </c>
      <c r="O15">
        <f>SUMIFS(PeerData!$C$2:$C$721,PeerData!$A$2:$A$721,$A15,PeerData!$B$2:$B$721,O$2)</f>
        <v>19265.099999999999</v>
      </c>
      <c r="P15">
        <f>SUMIFS(PeerData!$C$2:$C$721,PeerData!$A$2:$A$721,$A15,PeerData!$B$2:$B$721,P$2)</f>
        <v>19120.599999999999</v>
      </c>
      <c r="Q15">
        <f>SUMIFS(PeerData!$C$2:$C$721,PeerData!$A$2:$A$721,$A15,PeerData!$B$2:$B$721,Q$2)</f>
        <v>19347.099999999999</v>
      </c>
      <c r="R15">
        <f>SUMIFS(PeerData!$C$2:$C$721,PeerData!$A$2:$A$721,$A15,PeerData!$B$2:$B$721,R$2)</f>
        <v>19541.5</v>
      </c>
      <c r="S15">
        <f>SUMIFS(PeerData!$C$2:$C$721,PeerData!$A$2:$A$721,$A15,PeerData!$B$2:$B$721,S$2)</f>
        <v>19786.3</v>
      </c>
      <c r="T15">
        <f>SUMIFS(PeerData!$C$2:$C$721,PeerData!$A$2:$A$721,$A15,PeerData!$B$2:$B$721,T$2)</f>
        <v>19725.599999999999</v>
      </c>
      <c r="U15">
        <f>SUMIFS(PeerData!$C$2:$C$721,PeerData!$A$2:$A$721,$A15,PeerData!$B$2:$B$721,U$2)</f>
        <v>19895.2</v>
      </c>
      <c r="V15">
        <f>SUMIFS(PeerData!$C$2:$C$721,PeerData!$A$2:$A$721,$A15,PeerData!$B$2:$B$721,V$2)</f>
        <v>20161.400000000001</v>
      </c>
      <c r="W15">
        <f>SUMIFS(PeerData!$C$2:$C$721,PeerData!$A$2:$A$721,$A15,PeerData!$B$2:$B$721,W$2)</f>
        <v>20311.5</v>
      </c>
      <c r="X15">
        <f>SUMIFS(PeerData!$C$2:$C$721,PeerData!$A$2:$A$721,$A15,PeerData!$B$2:$B$721,X$2)</f>
        <v>20290.8</v>
      </c>
      <c r="Y15">
        <f>SUMIFS(PeerData!$C$2:$C$721,PeerData!$A$2:$A$721,$A15,PeerData!$B$2:$B$721,Y$2)</f>
        <v>20302</v>
      </c>
      <c r="Z15">
        <f>SUMIFS(PeerData!$C$2:$C$721,PeerData!$A$2:$A$721,$A15,PeerData!$B$2:$B$721,Z$2)</f>
        <v>20599.900000000001</v>
      </c>
      <c r="AA15">
        <f>SUMIFS(PeerData!$C$2:$C$721,PeerData!$A$2:$A$721,$A15,PeerData!$B$2:$B$721,AA$2)</f>
        <v>20631.400000000001</v>
      </c>
      <c r="AB15">
        <f>SUMIFS(PeerData!$C$2:$C$721,PeerData!$A$2:$A$721,$A15,PeerData!$B$2:$B$721,AB$2)</f>
        <v>20803.099999999999</v>
      </c>
      <c r="AC15">
        <f>SUMIFS(PeerData!$C$2:$C$721,PeerData!$A$2:$A$721,$A15,PeerData!$B$2:$B$721,AC$2)</f>
        <v>20844.5</v>
      </c>
      <c r="AD15">
        <f>SUMIFS(PeerData!$C$2:$C$721,PeerData!$A$2:$A$721,$A15,PeerData!$B$2:$B$721,AD$2)</f>
        <v>21266.1</v>
      </c>
      <c r="AE15">
        <f>SUMIFS(PeerData!$C$2:$C$721,PeerData!$A$2:$A$721,$A15,PeerData!$B$2:$B$721,AE$2)</f>
        <v>21171.9</v>
      </c>
      <c r="AF15">
        <f>SUMIFS(PeerData!$C$2:$C$721,PeerData!$A$2:$A$721,$A15,PeerData!$B$2:$B$721,AF$2)</f>
        <v>21455.1</v>
      </c>
      <c r="AG15">
        <f>SUMIFS(PeerData!$C$2:$C$721,PeerData!$A$2:$A$721,$A15,PeerData!$B$2:$B$721,AG$2)</f>
        <v>21572.9</v>
      </c>
      <c r="AH15">
        <f>SUMIFS(PeerData!$C$2:$C$721,PeerData!$A$2:$A$721,$A15,PeerData!$B$2:$B$721,AH$2)</f>
        <v>21493</v>
      </c>
      <c r="AI15">
        <f>SUMIFS(PeerData!$C$2:$C$721,PeerData!$A$2:$A$721,$A15,PeerData!$B$2:$B$721,AI$2)</f>
        <v>21763.200000000001</v>
      </c>
      <c r="AJ15">
        <f>SUMIFS(PeerData!$C$2:$C$721,PeerData!$A$2:$A$721,$A15,PeerData!$B$2:$B$721,AJ$2)</f>
        <v>22046.7</v>
      </c>
      <c r="AK15">
        <f>SUMIFS(PeerData!$C$2:$C$721,PeerData!$A$2:$A$721,$A15,PeerData!$B$2:$B$721,AK$2)</f>
        <v>22011.200000000001</v>
      </c>
    </row>
    <row r="16" spans="1:37" x14ac:dyDescent="0.25">
      <c r="A16" t="s">
        <v>24</v>
      </c>
      <c r="B16">
        <f>SUMIFS(PeerData!$C$2:$C$721,PeerData!$A$2:$A$721,$A16,PeerData!$B$2:$B$721,B$2)</f>
        <v>18468.3</v>
      </c>
      <c r="C16">
        <f>SUMIFS(PeerData!$C$2:$C$721,PeerData!$A$2:$A$721,$A16,PeerData!$B$2:$B$721,C$2)</f>
        <v>18693.2</v>
      </c>
      <c r="D16">
        <f>SUMIFS(PeerData!$C$2:$C$721,PeerData!$A$2:$A$721,$A16,PeerData!$B$2:$B$721,D$2)</f>
        <v>18599.3</v>
      </c>
      <c r="E16">
        <f>SUMIFS(PeerData!$C$2:$C$721,PeerData!$A$2:$A$721,$A16,PeerData!$B$2:$B$721,E$2)</f>
        <v>18857.400000000001</v>
      </c>
      <c r="F16">
        <f>SUMIFS(PeerData!$C$2:$C$721,PeerData!$A$2:$A$721,$A16,PeerData!$B$2:$B$721,F$2)</f>
        <v>19207.900000000001</v>
      </c>
      <c r="G16">
        <f>SUMIFS(PeerData!$C$2:$C$721,PeerData!$A$2:$A$721,$A16,PeerData!$B$2:$B$721,G$2)</f>
        <v>19041.8</v>
      </c>
      <c r="H16">
        <f>SUMIFS(PeerData!$C$2:$C$721,PeerData!$A$2:$A$721,$A16,PeerData!$B$2:$B$721,H$2)</f>
        <v>19430.2</v>
      </c>
      <c r="I16">
        <f>SUMIFS(PeerData!$C$2:$C$721,PeerData!$A$2:$A$721,$A16,PeerData!$B$2:$B$721,I$2)</f>
        <v>19256.2</v>
      </c>
      <c r="J16">
        <f>SUMIFS(PeerData!$C$2:$C$721,PeerData!$A$2:$A$721,$A16,PeerData!$B$2:$B$721,J$2)</f>
        <v>19562.7</v>
      </c>
      <c r="K16">
        <f>SUMIFS(PeerData!$C$2:$C$721,PeerData!$A$2:$A$721,$A16,PeerData!$B$2:$B$721,K$2)</f>
        <v>19702.099999999999</v>
      </c>
      <c r="L16">
        <f>SUMIFS(PeerData!$C$2:$C$721,PeerData!$A$2:$A$721,$A16,PeerData!$B$2:$B$721,L$2)</f>
        <v>19709</v>
      </c>
      <c r="M16">
        <f>SUMIFS(PeerData!$C$2:$C$721,PeerData!$A$2:$A$721,$A16,PeerData!$B$2:$B$721,M$2)</f>
        <v>19863.8</v>
      </c>
      <c r="N16">
        <f>SUMIFS(PeerData!$C$2:$C$721,PeerData!$A$2:$A$721,$A16,PeerData!$B$2:$B$721,N$2)</f>
        <v>20070.599999999999</v>
      </c>
      <c r="O16">
        <f>SUMIFS(PeerData!$C$2:$C$721,PeerData!$A$2:$A$721,$A16,PeerData!$B$2:$B$721,O$2)</f>
        <v>20383.7</v>
      </c>
      <c r="P16">
        <f>SUMIFS(PeerData!$C$2:$C$721,PeerData!$A$2:$A$721,$A16,PeerData!$B$2:$B$721,P$2)</f>
        <v>20447.8</v>
      </c>
      <c r="Q16">
        <f>SUMIFS(PeerData!$C$2:$C$721,PeerData!$A$2:$A$721,$A16,PeerData!$B$2:$B$721,Q$2)</f>
        <v>20439.3</v>
      </c>
      <c r="R16">
        <f>SUMIFS(PeerData!$C$2:$C$721,PeerData!$A$2:$A$721,$A16,PeerData!$B$2:$B$721,R$2)</f>
        <v>20673.099999999999</v>
      </c>
      <c r="S16">
        <f>SUMIFS(PeerData!$C$2:$C$721,PeerData!$A$2:$A$721,$A16,PeerData!$B$2:$B$721,S$2)</f>
        <v>20887.599999999999</v>
      </c>
      <c r="T16">
        <f>SUMIFS(PeerData!$C$2:$C$721,PeerData!$A$2:$A$721,$A16,PeerData!$B$2:$B$721,T$2)</f>
        <v>20769.3</v>
      </c>
      <c r="U16">
        <f>SUMIFS(PeerData!$C$2:$C$721,PeerData!$A$2:$A$721,$A16,PeerData!$B$2:$B$721,U$2)</f>
        <v>21234.799999999999</v>
      </c>
      <c r="V16">
        <f>SUMIFS(PeerData!$C$2:$C$721,PeerData!$A$2:$A$721,$A16,PeerData!$B$2:$B$721,V$2)</f>
        <v>21063</v>
      </c>
      <c r="W16">
        <f>SUMIFS(PeerData!$C$2:$C$721,PeerData!$A$2:$A$721,$A16,PeerData!$B$2:$B$721,W$2)</f>
        <v>21241.8</v>
      </c>
      <c r="X16">
        <f>SUMIFS(PeerData!$C$2:$C$721,PeerData!$A$2:$A$721,$A16,PeerData!$B$2:$B$721,X$2)</f>
        <v>21683.7</v>
      </c>
      <c r="Y16">
        <f>SUMIFS(PeerData!$C$2:$C$721,PeerData!$A$2:$A$721,$A16,PeerData!$B$2:$B$721,Y$2)</f>
        <v>21438.7</v>
      </c>
      <c r="Z16">
        <f>SUMIFS(PeerData!$C$2:$C$721,PeerData!$A$2:$A$721,$A16,PeerData!$B$2:$B$721,Z$2)</f>
        <v>21888.9</v>
      </c>
      <c r="AA16">
        <f>SUMIFS(PeerData!$C$2:$C$721,PeerData!$A$2:$A$721,$A16,PeerData!$B$2:$B$721,AA$2)</f>
        <v>21888.7</v>
      </c>
      <c r="AB16">
        <f>SUMIFS(PeerData!$C$2:$C$721,PeerData!$A$2:$A$721,$A16,PeerData!$B$2:$B$721,AB$2)</f>
        <v>22148.7</v>
      </c>
      <c r="AC16">
        <f>SUMIFS(PeerData!$C$2:$C$721,PeerData!$A$2:$A$721,$A16,PeerData!$B$2:$B$721,AC$2)</f>
        <v>22165.8</v>
      </c>
      <c r="AD16">
        <f>SUMIFS(PeerData!$C$2:$C$721,PeerData!$A$2:$A$721,$A16,PeerData!$B$2:$B$721,AD$2)</f>
        <v>22315.1</v>
      </c>
      <c r="AE16">
        <f>SUMIFS(PeerData!$C$2:$C$721,PeerData!$A$2:$A$721,$A16,PeerData!$B$2:$B$721,AE$2)</f>
        <v>22595.599999999999</v>
      </c>
      <c r="AF16">
        <f>SUMIFS(PeerData!$C$2:$C$721,PeerData!$A$2:$A$721,$A16,PeerData!$B$2:$B$721,AF$2)</f>
        <v>22403.7</v>
      </c>
      <c r="AG16">
        <f>SUMIFS(PeerData!$C$2:$C$721,PeerData!$A$2:$A$721,$A16,PeerData!$B$2:$B$721,AG$2)</f>
        <v>22881</v>
      </c>
      <c r="AH16">
        <f>SUMIFS(PeerData!$C$2:$C$721,PeerData!$A$2:$A$721,$A16,PeerData!$B$2:$B$721,AH$2)</f>
        <v>22780.6</v>
      </c>
      <c r="AI16">
        <f>SUMIFS(PeerData!$C$2:$C$721,PeerData!$A$2:$A$721,$A16,PeerData!$B$2:$B$721,AI$2)</f>
        <v>23016.3</v>
      </c>
      <c r="AJ16">
        <f>SUMIFS(PeerData!$C$2:$C$721,PeerData!$A$2:$A$721,$A16,PeerData!$B$2:$B$721,AJ$2)</f>
        <v>23066.9</v>
      </c>
      <c r="AK16">
        <f>SUMIFS(PeerData!$C$2:$C$721,PeerData!$A$2:$A$721,$A16,PeerData!$B$2:$B$721,AK$2)</f>
        <v>23290.5</v>
      </c>
    </row>
    <row r="17" spans="1:37" x14ac:dyDescent="0.25">
      <c r="A17" t="s">
        <v>25</v>
      </c>
      <c r="B17">
        <f>SUMIFS(PeerData!$C$2:$C$721,PeerData!$A$2:$A$721,$A17,PeerData!$B$2:$B$721,B$2)</f>
        <v>19551.099999999999</v>
      </c>
      <c r="C17">
        <f>SUMIFS(PeerData!$C$2:$C$721,PeerData!$A$2:$A$721,$A17,PeerData!$B$2:$B$721,C$2)</f>
        <v>19602.7</v>
      </c>
      <c r="D17">
        <f>SUMIFS(PeerData!$C$2:$C$721,PeerData!$A$2:$A$721,$A17,PeerData!$B$2:$B$721,D$2)</f>
        <v>19888.099999999999</v>
      </c>
      <c r="E17">
        <f>SUMIFS(PeerData!$C$2:$C$721,PeerData!$A$2:$A$721,$A17,PeerData!$B$2:$B$721,E$2)</f>
        <v>19865.599999999999</v>
      </c>
      <c r="F17">
        <f>SUMIFS(PeerData!$C$2:$C$721,PeerData!$A$2:$A$721,$A17,PeerData!$B$2:$B$721,F$2)</f>
        <v>20143.2</v>
      </c>
      <c r="G17">
        <f>SUMIFS(PeerData!$C$2:$C$721,PeerData!$A$2:$A$721,$A17,PeerData!$B$2:$B$721,G$2)</f>
        <v>20226</v>
      </c>
      <c r="H17">
        <f>SUMIFS(PeerData!$C$2:$C$721,PeerData!$A$2:$A$721,$A17,PeerData!$B$2:$B$721,H$2)</f>
        <v>20357</v>
      </c>
      <c r="I17">
        <f>SUMIFS(PeerData!$C$2:$C$721,PeerData!$A$2:$A$721,$A17,PeerData!$B$2:$B$721,I$2)</f>
        <v>20420.400000000001</v>
      </c>
      <c r="J17">
        <f>SUMIFS(PeerData!$C$2:$C$721,PeerData!$A$2:$A$721,$A17,PeerData!$B$2:$B$721,J$2)</f>
        <v>20437.7</v>
      </c>
      <c r="K17">
        <f>SUMIFS(PeerData!$C$2:$C$721,PeerData!$A$2:$A$721,$A17,PeerData!$B$2:$B$721,K$2)</f>
        <v>20582.900000000001</v>
      </c>
      <c r="L17">
        <f>SUMIFS(PeerData!$C$2:$C$721,PeerData!$A$2:$A$721,$A17,PeerData!$B$2:$B$721,L$2)</f>
        <v>21084.5</v>
      </c>
      <c r="M17">
        <f>SUMIFS(PeerData!$C$2:$C$721,PeerData!$A$2:$A$721,$A17,PeerData!$B$2:$B$721,M$2)</f>
        <v>21203.7</v>
      </c>
      <c r="N17">
        <f>SUMIFS(PeerData!$C$2:$C$721,PeerData!$A$2:$A$721,$A17,PeerData!$B$2:$B$721,N$2)</f>
        <v>21317.7</v>
      </c>
      <c r="O17">
        <f>SUMIFS(PeerData!$C$2:$C$721,PeerData!$A$2:$A$721,$A17,PeerData!$B$2:$B$721,O$2)</f>
        <v>21437</v>
      </c>
      <c r="P17">
        <f>SUMIFS(PeerData!$C$2:$C$721,PeerData!$A$2:$A$721,$A17,PeerData!$B$2:$B$721,P$2)</f>
        <v>21274.6</v>
      </c>
      <c r="Q17">
        <f>SUMIFS(PeerData!$C$2:$C$721,PeerData!$A$2:$A$721,$A17,PeerData!$B$2:$B$721,Q$2)</f>
        <v>21708.9</v>
      </c>
      <c r="R17">
        <f>SUMIFS(PeerData!$C$2:$C$721,PeerData!$A$2:$A$721,$A17,PeerData!$B$2:$B$721,R$2)</f>
        <v>21676.1</v>
      </c>
      <c r="S17">
        <f>SUMIFS(PeerData!$C$2:$C$721,PeerData!$A$2:$A$721,$A17,PeerData!$B$2:$B$721,S$2)</f>
        <v>21864.2</v>
      </c>
      <c r="T17">
        <f>SUMIFS(PeerData!$C$2:$C$721,PeerData!$A$2:$A$721,$A17,PeerData!$B$2:$B$721,T$2)</f>
        <v>21939.8</v>
      </c>
      <c r="U17">
        <f>SUMIFS(PeerData!$C$2:$C$721,PeerData!$A$2:$A$721,$A17,PeerData!$B$2:$B$721,U$2)</f>
        <v>22191.8</v>
      </c>
      <c r="V17">
        <f>SUMIFS(PeerData!$C$2:$C$721,PeerData!$A$2:$A$721,$A17,PeerData!$B$2:$B$721,V$2)</f>
        <v>22456.2</v>
      </c>
      <c r="W17">
        <f>SUMIFS(PeerData!$C$2:$C$721,PeerData!$A$2:$A$721,$A17,PeerData!$B$2:$B$721,W$2)</f>
        <v>22485.200000000001</v>
      </c>
      <c r="X17">
        <f>SUMIFS(PeerData!$C$2:$C$721,PeerData!$A$2:$A$721,$A17,PeerData!$B$2:$B$721,X$2)</f>
        <v>22562.7</v>
      </c>
      <c r="Y17">
        <f>SUMIFS(PeerData!$C$2:$C$721,PeerData!$A$2:$A$721,$A17,PeerData!$B$2:$B$721,Y$2)</f>
        <v>22683.599999999999</v>
      </c>
      <c r="Z17">
        <f>SUMIFS(PeerData!$C$2:$C$721,PeerData!$A$2:$A$721,$A17,PeerData!$B$2:$B$721,Z$2)</f>
        <v>22966.9</v>
      </c>
      <c r="AA17">
        <f>SUMIFS(PeerData!$C$2:$C$721,PeerData!$A$2:$A$721,$A17,PeerData!$B$2:$B$721,AA$2)</f>
        <v>22937.9</v>
      </c>
      <c r="AB17">
        <f>SUMIFS(PeerData!$C$2:$C$721,PeerData!$A$2:$A$721,$A17,PeerData!$B$2:$B$721,AB$2)</f>
        <v>23157.3</v>
      </c>
      <c r="AC17">
        <f>SUMIFS(PeerData!$C$2:$C$721,PeerData!$A$2:$A$721,$A17,PeerData!$B$2:$B$721,AC$2)</f>
        <v>23413.5</v>
      </c>
      <c r="AD17">
        <f>SUMIFS(PeerData!$C$2:$C$721,PeerData!$A$2:$A$721,$A17,PeerData!$B$2:$B$721,AD$2)</f>
        <v>23539.5</v>
      </c>
      <c r="AE17">
        <f>SUMIFS(PeerData!$C$2:$C$721,PeerData!$A$2:$A$721,$A17,PeerData!$B$2:$B$721,AE$2)</f>
        <v>23678.400000000001</v>
      </c>
      <c r="AF17">
        <f>SUMIFS(PeerData!$C$2:$C$721,PeerData!$A$2:$A$721,$A17,PeerData!$B$2:$B$721,AF$2)</f>
        <v>23729.1</v>
      </c>
      <c r="AG17">
        <f>SUMIFS(PeerData!$C$2:$C$721,PeerData!$A$2:$A$721,$A17,PeerData!$B$2:$B$721,AG$2)</f>
        <v>24057.3</v>
      </c>
      <c r="AH17">
        <f>SUMIFS(PeerData!$C$2:$C$721,PeerData!$A$2:$A$721,$A17,PeerData!$B$2:$B$721,AH$2)</f>
        <v>23887.3</v>
      </c>
      <c r="AI17">
        <f>SUMIFS(PeerData!$C$2:$C$721,PeerData!$A$2:$A$721,$A17,PeerData!$B$2:$B$721,AI$2)</f>
        <v>24227.5</v>
      </c>
      <c r="AJ17">
        <f>SUMIFS(PeerData!$C$2:$C$721,PeerData!$A$2:$A$721,$A17,PeerData!$B$2:$B$721,AJ$2)</f>
        <v>24447.599999999999</v>
      </c>
      <c r="AK17">
        <f>SUMIFS(PeerData!$C$2:$C$721,PeerData!$A$2:$A$721,$A17,PeerData!$B$2:$B$721,AK$2)</f>
        <v>24520.3</v>
      </c>
    </row>
    <row r="18" spans="1:37" x14ac:dyDescent="0.25">
      <c r="A18" t="s">
        <v>26</v>
      </c>
      <c r="B18">
        <f>SUMIFS(PeerData!$C$2:$C$721,PeerData!$A$2:$A$721,$A18,PeerData!$B$2:$B$721,B$2)</f>
        <v>20556.3</v>
      </c>
      <c r="C18">
        <f>SUMIFS(PeerData!$C$2:$C$721,PeerData!$A$2:$A$721,$A18,PeerData!$B$2:$B$721,C$2)</f>
        <v>20380.5</v>
      </c>
      <c r="D18">
        <f>SUMIFS(PeerData!$C$2:$C$721,PeerData!$A$2:$A$721,$A18,PeerData!$B$2:$B$721,D$2)</f>
        <v>20560.2</v>
      </c>
      <c r="E18">
        <f>SUMIFS(PeerData!$C$2:$C$721,PeerData!$A$2:$A$721,$A18,PeerData!$B$2:$B$721,E$2)</f>
        <v>20998.400000000001</v>
      </c>
      <c r="F18">
        <f>SUMIFS(PeerData!$C$2:$C$721,PeerData!$A$2:$A$721,$A18,PeerData!$B$2:$B$721,F$2)</f>
        <v>20852.2</v>
      </c>
      <c r="G18">
        <f>SUMIFS(PeerData!$C$2:$C$721,PeerData!$A$2:$A$721,$A18,PeerData!$B$2:$B$721,G$2)</f>
        <v>21114.9</v>
      </c>
      <c r="H18">
        <f>SUMIFS(PeerData!$C$2:$C$721,PeerData!$A$2:$A$721,$A18,PeerData!$B$2:$B$721,H$2)</f>
        <v>21360.400000000001</v>
      </c>
      <c r="I18">
        <f>SUMIFS(PeerData!$C$2:$C$721,PeerData!$A$2:$A$721,$A18,PeerData!$B$2:$B$721,I$2)</f>
        <v>21673.3</v>
      </c>
      <c r="J18">
        <f>SUMIFS(PeerData!$C$2:$C$721,PeerData!$A$2:$A$721,$A18,PeerData!$B$2:$B$721,J$2)</f>
        <v>21507</v>
      </c>
      <c r="K18">
        <f>SUMIFS(PeerData!$C$2:$C$721,PeerData!$A$2:$A$721,$A18,PeerData!$B$2:$B$721,K$2)</f>
        <v>21843.599999999999</v>
      </c>
      <c r="L18">
        <f>SUMIFS(PeerData!$C$2:$C$721,PeerData!$A$2:$A$721,$A18,PeerData!$B$2:$B$721,L$2)</f>
        <v>21920.799999999999</v>
      </c>
      <c r="M18">
        <f>SUMIFS(PeerData!$C$2:$C$721,PeerData!$A$2:$A$721,$A18,PeerData!$B$2:$B$721,M$2)</f>
        <v>21898.1</v>
      </c>
      <c r="N18">
        <f>SUMIFS(PeerData!$C$2:$C$721,PeerData!$A$2:$A$721,$A18,PeerData!$B$2:$B$721,N$2)</f>
        <v>22132.3</v>
      </c>
      <c r="O18">
        <f>SUMIFS(PeerData!$C$2:$C$721,PeerData!$A$2:$A$721,$A18,PeerData!$B$2:$B$721,O$2)</f>
        <v>22293.9</v>
      </c>
      <c r="P18">
        <f>SUMIFS(PeerData!$C$2:$C$721,PeerData!$A$2:$A$721,$A18,PeerData!$B$2:$B$721,P$2)</f>
        <v>22573.4</v>
      </c>
      <c r="Q18">
        <f>SUMIFS(PeerData!$C$2:$C$721,PeerData!$A$2:$A$721,$A18,PeerData!$B$2:$B$721,Q$2)</f>
        <v>22693.4</v>
      </c>
      <c r="R18">
        <f>SUMIFS(PeerData!$C$2:$C$721,PeerData!$A$2:$A$721,$A18,PeerData!$B$2:$B$721,R$2)</f>
        <v>22756.1</v>
      </c>
      <c r="S18">
        <f>SUMIFS(PeerData!$C$2:$C$721,PeerData!$A$2:$A$721,$A18,PeerData!$B$2:$B$721,S$2)</f>
        <v>22871.7</v>
      </c>
      <c r="T18">
        <f>SUMIFS(PeerData!$C$2:$C$721,PeerData!$A$2:$A$721,$A18,PeerData!$B$2:$B$721,T$2)</f>
        <v>23246.799999999999</v>
      </c>
      <c r="U18">
        <f>SUMIFS(PeerData!$C$2:$C$721,PeerData!$A$2:$A$721,$A18,PeerData!$B$2:$B$721,U$2)</f>
        <v>23150</v>
      </c>
      <c r="V18">
        <f>SUMIFS(PeerData!$C$2:$C$721,PeerData!$A$2:$A$721,$A18,PeerData!$B$2:$B$721,V$2)</f>
        <v>23502.9</v>
      </c>
      <c r="W18">
        <f>SUMIFS(PeerData!$C$2:$C$721,PeerData!$A$2:$A$721,$A18,PeerData!$B$2:$B$721,W$2)</f>
        <v>23614.9</v>
      </c>
      <c r="X18">
        <f>SUMIFS(PeerData!$C$2:$C$721,PeerData!$A$2:$A$721,$A18,PeerData!$B$2:$B$721,X$2)</f>
        <v>23640.799999999999</v>
      </c>
      <c r="Y18">
        <f>SUMIFS(PeerData!$C$2:$C$721,PeerData!$A$2:$A$721,$A18,PeerData!$B$2:$B$721,Y$2)</f>
        <v>23912.5</v>
      </c>
      <c r="Z18">
        <f>SUMIFS(PeerData!$C$2:$C$721,PeerData!$A$2:$A$721,$A18,PeerData!$B$2:$B$721,Z$2)</f>
        <v>24006.2</v>
      </c>
      <c r="AA18">
        <f>SUMIFS(PeerData!$C$2:$C$721,PeerData!$A$2:$A$721,$A18,PeerData!$B$2:$B$721,AA$2)</f>
        <v>24268.7</v>
      </c>
      <c r="AB18">
        <f>SUMIFS(PeerData!$C$2:$C$721,PeerData!$A$2:$A$721,$A18,PeerData!$B$2:$B$721,AB$2)</f>
        <v>24389</v>
      </c>
      <c r="AC18">
        <f>SUMIFS(PeerData!$C$2:$C$721,PeerData!$A$2:$A$721,$A18,PeerData!$B$2:$B$721,AC$2)</f>
        <v>24571.200000000001</v>
      </c>
      <c r="AD18">
        <f>SUMIFS(PeerData!$C$2:$C$721,PeerData!$A$2:$A$721,$A18,PeerData!$B$2:$B$721,AD$2)</f>
        <v>24766.1</v>
      </c>
      <c r="AE18">
        <f>SUMIFS(PeerData!$C$2:$C$721,PeerData!$A$2:$A$721,$A18,PeerData!$B$2:$B$721,AE$2)</f>
        <v>24927</v>
      </c>
      <c r="AF18">
        <f>SUMIFS(PeerData!$C$2:$C$721,PeerData!$A$2:$A$721,$A18,PeerData!$B$2:$B$721,AF$2)</f>
        <v>24949.200000000001</v>
      </c>
      <c r="AG18">
        <f>SUMIFS(PeerData!$C$2:$C$721,PeerData!$A$2:$A$721,$A18,PeerData!$B$2:$B$721,AG$2)</f>
        <v>25021</v>
      </c>
      <c r="AH18">
        <f>SUMIFS(PeerData!$C$2:$C$721,PeerData!$A$2:$A$721,$A18,PeerData!$B$2:$B$721,AH$2)</f>
        <v>25134.3</v>
      </c>
      <c r="AI18">
        <f>SUMIFS(PeerData!$C$2:$C$721,PeerData!$A$2:$A$721,$A18,PeerData!$B$2:$B$721,AI$2)</f>
        <v>25629.9</v>
      </c>
      <c r="AJ18">
        <f>SUMIFS(PeerData!$C$2:$C$721,PeerData!$A$2:$A$721,$A18,PeerData!$B$2:$B$721,AJ$2)</f>
        <v>25623.8</v>
      </c>
      <c r="AK18">
        <f>SUMIFS(PeerData!$C$2:$C$721,PeerData!$A$2:$A$721,$A18,PeerData!$B$2:$B$721,AK$2)</f>
        <v>25881</v>
      </c>
    </row>
    <row r="19" spans="1:37" x14ac:dyDescent="0.25">
      <c r="A19" t="s">
        <v>27</v>
      </c>
      <c r="B19">
        <f>SUMIFS(PeerData!$C$2:$C$721,PeerData!$A$2:$A$721,$A19,PeerData!$B$2:$B$721,B$2)</f>
        <v>21253.200000000001</v>
      </c>
      <c r="C19">
        <f>SUMIFS(PeerData!$C$2:$C$721,PeerData!$A$2:$A$721,$A19,PeerData!$B$2:$B$721,C$2)</f>
        <v>21454.5</v>
      </c>
      <c r="D19">
        <f>SUMIFS(PeerData!$C$2:$C$721,PeerData!$A$2:$A$721,$A19,PeerData!$B$2:$B$721,D$2)</f>
        <v>21699.4</v>
      </c>
      <c r="E19">
        <f>SUMIFS(PeerData!$C$2:$C$721,PeerData!$A$2:$A$721,$A19,PeerData!$B$2:$B$721,E$2)</f>
        <v>21720.1</v>
      </c>
      <c r="F19">
        <f>SUMIFS(PeerData!$C$2:$C$721,PeerData!$A$2:$A$721,$A19,PeerData!$B$2:$B$721,F$2)</f>
        <v>22229.8</v>
      </c>
      <c r="G19">
        <f>SUMIFS(PeerData!$C$2:$C$721,PeerData!$A$2:$A$721,$A19,PeerData!$B$2:$B$721,G$2)</f>
        <v>22280.7</v>
      </c>
      <c r="H19">
        <f>SUMIFS(PeerData!$C$2:$C$721,PeerData!$A$2:$A$721,$A19,PeerData!$B$2:$B$721,H$2)</f>
        <v>22512.5</v>
      </c>
      <c r="I19">
        <f>SUMIFS(PeerData!$C$2:$C$721,PeerData!$A$2:$A$721,$A19,PeerData!$B$2:$B$721,I$2)</f>
        <v>22687.3</v>
      </c>
      <c r="J19">
        <f>SUMIFS(PeerData!$C$2:$C$721,PeerData!$A$2:$A$721,$A19,PeerData!$B$2:$B$721,J$2)</f>
        <v>22688.400000000001</v>
      </c>
      <c r="K19">
        <f>SUMIFS(PeerData!$C$2:$C$721,PeerData!$A$2:$A$721,$A19,PeerData!$B$2:$B$721,K$2)</f>
        <v>23011.4</v>
      </c>
      <c r="L19">
        <f>SUMIFS(PeerData!$C$2:$C$721,PeerData!$A$2:$A$721,$A19,PeerData!$B$2:$B$721,L$2)</f>
        <v>23182.2</v>
      </c>
      <c r="M19">
        <f>SUMIFS(PeerData!$C$2:$C$721,PeerData!$A$2:$A$721,$A19,PeerData!$B$2:$B$721,M$2)</f>
        <v>23173.9</v>
      </c>
      <c r="N19">
        <f>SUMIFS(PeerData!$C$2:$C$721,PeerData!$A$2:$A$721,$A19,PeerData!$B$2:$B$721,N$2)</f>
        <v>23360.400000000001</v>
      </c>
      <c r="O19">
        <f>SUMIFS(PeerData!$C$2:$C$721,PeerData!$A$2:$A$721,$A19,PeerData!$B$2:$B$721,O$2)</f>
        <v>23534</v>
      </c>
      <c r="P19">
        <f>SUMIFS(PeerData!$C$2:$C$721,PeerData!$A$2:$A$721,$A19,PeerData!$B$2:$B$721,P$2)</f>
        <v>23678.1</v>
      </c>
      <c r="Q19">
        <f>SUMIFS(PeerData!$C$2:$C$721,PeerData!$A$2:$A$721,$A19,PeerData!$B$2:$B$721,Q$2)</f>
        <v>23875.4</v>
      </c>
      <c r="R19">
        <f>SUMIFS(PeerData!$C$2:$C$721,PeerData!$A$2:$A$721,$A19,PeerData!$B$2:$B$721,R$2)</f>
        <v>23797.9</v>
      </c>
      <c r="S19">
        <f>SUMIFS(PeerData!$C$2:$C$721,PeerData!$A$2:$A$721,$A19,PeerData!$B$2:$B$721,S$2)</f>
        <v>24056.9</v>
      </c>
      <c r="T19">
        <f>SUMIFS(PeerData!$C$2:$C$721,PeerData!$A$2:$A$721,$A19,PeerData!$B$2:$B$721,T$2)</f>
        <v>24258.3</v>
      </c>
      <c r="U19">
        <f>SUMIFS(PeerData!$C$2:$C$721,PeerData!$A$2:$A$721,$A19,PeerData!$B$2:$B$721,U$2)</f>
        <v>24407.200000000001</v>
      </c>
      <c r="V19">
        <f>SUMIFS(PeerData!$C$2:$C$721,PeerData!$A$2:$A$721,$A19,PeerData!$B$2:$B$721,V$2)</f>
        <v>24641.1</v>
      </c>
      <c r="W19">
        <f>SUMIFS(PeerData!$C$2:$C$721,PeerData!$A$2:$A$721,$A19,PeerData!$B$2:$B$721,W$2)</f>
        <v>24807.8</v>
      </c>
      <c r="X19">
        <f>SUMIFS(PeerData!$C$2:$C$721,PeerData!$A$2:$A$721,$A19,PeerData!$B$2:$B$721,X$2)</f>
        <v>24730.3</v>
      </c>
      <c r="Y19">
        <f>SUMIFS(PeerData!$C$2:$C$721,PeerData!$A$2:$A$721,$A19,PeerData!$B$2:$B$721,Y$2)</f>
        <v>25136.1</v>
      </c>
      <c r="Z19">
        <f>SUMIFS(PeerData!$C$2:$C$721,PeerData!$A$2:$A$721,$A19,PeerData!$B$2:$B$721,Z$2)</f>
        <v>25404.7</v>
      </c>
      <c r="AA19">
        <f>SUMIFS(PeerData!$C$2:$C$721,PeerData!$A$2:$A$721,$A19,PeerData!$B$2:$B$721,AA$2)</f>
        <v>25544.9</v>
      </c>
      <c r="AB19">
        <f>SUMIFS(PeerData!$C$2:$C$721,PeerData!$A$2:$A$721,$A19,PeerData!$B$2:$B$721,AB$2)</f>
        <v>25495.8</v>
      </c>
      <c r="AC19">
        <f>SUMIFS(PeerData!$C$2:$C$721,PeerData!$A$2:$A$721,$A19,PeerData!$B$2:$B$721,AC$2)</f>
        <v>25702.9</v>
      </c>
      <c r="AD19">
        <f>SUMIFS(PeerData!$C$2:$C$721,PeerData!$A$2:$A$721,$A19,PeerData!$B$2:$B$721,AD$2)</f>
        <v>25714</v>
      </c>
      <c r="AE19">
        <f>SUMIFS(PeerData!$C$2:$C$721,PeerData!$A$2:$A$721,$A19,PeerData!$B$2:$B$721,AE$2)</f>
        <v>25824.400000000001</v>
      </c>
      <c r="AF19">
        <f>SUMIFS(PeerData!$C$2:$C$721,PeerData!$A$2:$A$721,$A19,PeerData!$B$2:$B$721,AF$2)</f>
        <v>26218</v>
      </c>
      <c r="AG19">
        <f>SUMIFS(PeerData!$C$2:$C$721,PeerData!$A$2:$A$721,$A19,PeerData!$B$2:$B$721,AG$2)</f>
        <v>26144.5</v>
      </c>
      <c r="AH19">
        <f>SUMIFS(PeerData!$C$2:$C$721,PeerData!$A$2:$A$721,$A19,PeerData!$B$2:$B$721,AH$2)</f>
        <v>26397.599999999999</v>
      </c>
      <c r="AI19">
        <f>SUMIFS(PeerData!$C$2:$C$721,PeerData!$A$2:$A$721,$A19,PeerData!$B$2:$B$721,AI$2)</f>
        <v>26652</v>
      </c>
      <c r="AJ19">
        <f>SUMIFS(PeerData!$C$2:$C$721,PeerData!$A$2:$A$721,$A19,PeerData!$B$2:$B$721,AJ$2)</f>
        <v>26868.6</v>
      </c>
      <c r="AK19">
        <f>SUMIFS(PeerData!$C$2:$C$721,PeerData!$A$2:$A$721,$A19,PeerData!$B$2:$B$721,AK$2)</f>
        <v>26813.4</v>
      </c>
    </row>
    <row r="20" spans="1:37" x14ac:dyDescent="0.25">
      <c r="A20" t="s">
        <v>28</v>
      </c>
      <c r="B20">
        <f>SUMIFS(PeerData!$C$2:$C$721,PeerData!$A$2:$A$721,$A20,PeerData!$B$2:$B$721,B$2)</f>
        <v>22514</v>
      </c>
      <c r="C20">
        <f>SUMIFS(PeerData!$C$2:$C$721,PeerData!$A$2:$A$721,$A20,PeerData!$B$2:$B$721,C$2)</f>
        <v>22493</v>
      </c>
      <c r="D20">
        <f>SUMIFS(PeerData!$C$2:$C$721,PeerData!$A$2:$A$721,$A20,PeerData!$B$2:$B$721,D$2)</f>
        <v>22844.799999999999</v>
      </c>
      <c r="E20">
        <f>SUMIFS(PeerData!$C$2:$C$721,PeerData!$A$2:$A$721,$A20,PeerData!$B$2:$B$721,E$2)</f>
        <v>22996.400000000001</v>
      </c>
      <c r="F20">
        <f>SUMIFS(PeerData!$C$2:$C$721,PeerData!$A$2:$A$721,$A20,PeerData!$B$2:$B$721,F$2)</f>
        <v>22956.5</v>
      </c>
      <c r="G20">
        <f>SUMIFS(PeerData!$C$2:$C$721,PeerData!$A$2:$A$721,$A20,PeerData!$B$2:$B$721,G$2)</f>
        <v>23161.8</v>
      </c>
      <c r="H20">
        <f>SUMIFS(PeerData!$C$2:$C$721,PeerData!$A$2:$A$721,$A20,PeerData!$B$2:$B$721,H$2)</f>
        <v>23245.599999999999</v>
      </c>
      <c r="I20">
        <f>SUMIFS(PeerData!$C$2:$C$721,PeerData!$A$2:$A$721,$A20,PeerData!$B$2:$B$721,I$2)</f>
        <v>23607.1</v>
      </c>
      <c r="J20">
        <f>SUMIFS(PeerData!$C$2:$C$721,PeerData!$A$2:$A$721,$A20,PeerData!$B$2:$B$721,J$2)</f>
        <v>23777.200000000001</v>
      </c>
      <c r="K20">
        <f>SUMIFS(PeerData!$C$2:$C$721,PeerData!$A$2:$A$721,$A20,PeerData!$B$2:$B$721,K$2)</f>
        <v>23975.200000000001</v>
      </c>
      <c r="L20">
        <f>SUMIFS(PeerData!$C$2:$C$721,PeerData!$A$2:$A$721,$A20,PeerData!$B$2:$B$721,L$2)</f>
        <v>24245.7</v>
      </c>
      <c r="M20">
        <f>SUMIFS(PeerData!$C$2:$C$721,PeerData!$A$2:$A$721,$A20,PeerData!$B$2:$B$721,M$2)</f>
        <v>24370.2</v>
      </c>
      <c r="N20">
        <f>SUMIFS(PeerData!$C$2:$C$721,PeerData!$A$2:$A$721,$A20,PeerData!$B$2:$B$721,N$2)</f>
        <v>24226.7</v>
      </c>
      <c r="O20">
        <f>SUMIFS(PeerData!$C$2:$C$721,PeerData!$A$2:$A$721,$A20,PeerData!$B$2:$B$721,O$2)</f>
        <v>24437.9</v>
      </c>
      <c r="P20">
        <f>SUMIFS(PeerData!$C$2:$C$721,PeerData!$A$2:$A$721,$A20,PeerData!$B$2:$B$721,P$2)</f>
        <v>24572.1</v>
      </c>
      <c r="Q20">
        <f>SUMIFS(PeerData!$C$2:$C$721,PeerData!$A$2:$A$721,$A20,PeerData!$B$2:$B$721,Q$2)</f>
        <v>24883.7</v>
      </c>
      <c r="R20">
        <f>SUMIFS(PeerData!$C$2:$C$721,PeerData!$A$2:$A$721,$A20,PeerData!$B$2:$B$721,R$2)</f>
        <v>24983.8</v>
      </c>
      <c r="S20">
        <f>SUMIFS(PeerData!$C$2:$C$721,PeerData!$A$2:$A$721,$A20,PeerData!$B$2:$B$721,S$2)</f>
        <v>25208</v>
      </c>
      <c r="T20">
        <f>SUMIFS(PeerData!$C$2:$C$721,PeerData!$A$2:$A$721,$A20,PeerData!$B$2:$B$721,T$2)</f>
        <v>25380.3</v>
      </c>
      <c r="U20">
        <f>SUMIFS(PeerData!$C$2:$C$721,PeerData!$A$2:$A$721,$A20,PeerData!$B$2:$B$721,U$2)</f>
        <v>25678.3</v>
      </c>
      <c r="V20">
        <f>SUMIFS(PeerData!$C$2:$C$721,PeerData!$A$2:$A$721,$A20,PeerData!$B$2:$B$721,V$2)</f>
        <v>25757.9</v>
      </c>
      <c r="W20">
        <f>SUMIFS(PeerData!$C$2:$C$721,PeerData!$A$2:$A$721,$A20,PeerData!$B$2:$B$721,W$2)</f>
        <v>25774.6</v>
      </c>
      <c r="X20">
        <f>SUMIFS(PeerData!$C$2:$C$721,PeerData!$A$2:$A$721,$A20,PeerData!$B$2:$B$721,X$2)</f>
        <v>26016</v>
      </c>
      <c r="Y20">
        <f>SUMIFS(PeerData!$C$2:$C$721,PeerData!$A$2:$A$721,$A20,PeerData!$B$2:$B$721,Y$2)</f>
        <v>26317.599999999999</v>
      </c>
      <c r="Z20">
        <f>SUMIFS(PeerData!$C$2:$C$721,PeerData!$A$2:$A$721,$A20,PeerData!$B$2:$B$721,Z$2)</f>
        <v>26194.6</v>
      </c>
      <c r="AA20">
        <f>SUMIFS(PeerData!$C$2:$C$721,PeerData!$A$2:$A$721,$A20,PeerData!$B$2:$B$721,AA$2)</f>
        <v>26380.9</v>
      </c>
      <c r="AB20">
        <f>SUMIFS(PeerData!$C$2:$C$721,PeerData!$A$2:$A$721,$A20,PeerData!$B$2:$B$721,AB$2)</f>
        <v>26645.599999999999</v>
      </c>
      <c r="AC20">
        <f>SUMIFS(PeerData!$C$2:$C$721,PeerData!$A$2:$A$721,$A20,PeerData!$B$2:$B$721,AC$2)</f>
        <v>26900.1</v>
      </c>
      <c r="AD20">
        <f>SUMIFS(PeerData!$C$2:$C$721,PeerData!$A$2:$A$721,$A20,PeerData!$B$2:$B$721,AD$2)</f>
        <v>27077.4</v>
      </c>
      <c r="AE20">
        <f>SUMIFS(PeerData!$C$2:$C$721,PeerData!$A$2:$A$721,$A20,PeerData!$B$2:$B$721,AE$2)</f>
        <v>27309.599999999999</v>
      </c>
      <c r="AF20">
        <f>SUMIFS(PeerData!$C$2:$C$721,PeerData!$A$2:$A$721,$A20,PeerData!$B$2:$B$721,AF$2)</f>
        <v>27523.5</v>
      </c>
      <c r="AG20">
        <f>SUMIFS(PeerData!$C$2:$C$721,PeerData!$A$2:$A$721,$A20,PeerData!$B$2:$B$721,AG$2)</f>
        <v>27690</v>
      </c>
      <c r="AH20">
        <f>SUMIFS(PeerData!$C$2:$C$721,PeerData!$A$2:$A$721,$A20,PeerData!$B$2:$B$721,AH$2)</f>
        <v>27522.799999999999</v>
      </c>
      <c r="AI20">
        <f>SUMIFS(PeerData!$C$2:$C$721,PeerData!$A$2:$A$721,$A20,PeerData!$B$2:$B$721,AI$2)</f>
        <v>28021.8</v>
      </c>
      <c r="AJ20">
        <f>SUMIFS(PeerData!$C$2:$C$721,PeerData!$A$2:$A$721,$A20,PeerData!$B$2:$B$721,AJ$2)</f>
        <v>28214.3</v>
      </c>
      <c r="AK20">
        <f>SUMIFS(PeerData!$C$2:$C$721,PeerData!$A$2:$A$721,$A20,PeerData!$B$2:$B$721,AK$2)</f>
        <v>28319.200000000001</v>
      </c>
    </row>
    <row r="21" spans="1:37" x14ac:dyDescent="0.25">
      <c r="A21" t="s">
        <v>29</v>
      </c>
      <c r="B21">
        <f>SUMIFS(PeerData!$C$2:$C$721,PeerData!$A$2:$A$721,$A21,PeerData!$B$2:$B$721,B$2)</f>
        <v>23517.200000000001</v>
      </c>
      <c r="C21">
        <f>SUMIFS(PeerData!$C$2:$C$721,PeerData!$A$2:$A$721,$A21,PeerData!$B$2:$B$721,C$2)</f>
        <v>23524.400000000001</v>
      </c>
      <c r="D21">
        <f>SUMIFS(PeerData!$C$2:$C$721,PeerData!$A$2:$A$721,$A21,PeerData!$B$2:$B$721,D$2)</f>
        <v>23793.200000000001</v>
      </c>
      <c r="E21">
        <f>SUMIFS(PeerData!$C$2:$C$721,PeerData!$A$2:$A$721,$A21,PeerData!$B$2:$B$721,E$2)</f>
        <v>23853.599999999999</v>
      </c>
      <c r="F21">
        <f>SUMIFS(PeerData!$C$2:$C$721,PeerData!$A$2:$A$721,$A21,PeerData!$B$2:$B$721,F$2)</f>
        <v>24248.6</v>
      </c>
      <c r="G21">
        <f>SUMIFS(PeerData!$C$2:$C$721,PeerData!$A$2:$A$721,$A21,PeerData!$B$2:$B$721,G$2)</f>
        <v>24169</v>
      </c>
      <c r="H21">
        <f>SUMIFS(PeerData!$C$2:$C$721,PeerData!$A$2:$A$721,$A21,PeerData!$B$2:$B$721,H$2)</f>
        <v>24548.6</v>
      </c>
      <c r="I21">
        <f>SUMIFS(PeerData!$C$2:$C$721,PeerData!$A$2:$A$721,$A21,PeerData!$B$2:$B$721,I$2)</f>
        <v>24601.200000000001</v>
      </c>
      <c r="J21">
        <f>SUMIFS(PeerData!$C$2:$C$721,PeerData!$A$2:$A$721,$A21,PeerData!$B$2:$B$721,J$2)</f>
        <v>24881.4</v>
      </c>
      <c r="K21">
        <f>SUMIFS(PeerData!$C$2:$C$721,PeerData!$A$2:$A$721,$A21,PeerData!$B$2:$B$721,K$2)</f>
        <v>24863.7</v>
      </c>
      <c r="L21">
        <f>SUMIFS(PeerData!$C$2:$C$721,PeerData!$A$2:$A$721,$A21,PeerData!$B$2:$B$721,L$2)</f>
        <v>25265.4</v>
      </c>
      <c r="M21">
        <f>SUMIFS(PeerData!$C$2:$C$721,PeerData!$A$2:$A$721,$A21,PeerData!$B$2:$B$721,M$2)</f>
        <v>25150.799999999999</v>
      </c>
      <c r="N21">
        <f>SUMIFS(PeerData!$C$2:$C$721,PeerData!$A$2:$A$721,$A21,PeerData!$B$2:$B$721,N$2)</f>
        <v>25309.4</v>
      </c>
      <c r="O21">
        <f>SUMIFS(PeerData!$C$2:$C$721,PeerData!$A$2:$A$721,$A21,PeerData!$B$2:$B$721,O$2)</f>
        <v>25441.3</v>
      </c>
      <c r="P21">
        <f>SUMIFS(PeerData!$C$2:$C$721,PeerData!$A$2:$A$721,$A21,PeerData!$B$2:$B$721,P$2)</f>
        <v>25983.3</v>
      </c>
      <c r="Q21">
        <f>SUMIFS(PeerData!$C$2:$C$721,PeerData!$A$2:$A$721,$A21,PeerData!$B$2:$B$721,Q$2)</f>
        <v>26141.5</v>
      </c>
      <c r="R21">
        <f>SUMIFS(PeerData!$C$2:$C$721,PeerData!$A$2:$A$721,$A21,PeerData!$B$2:$B$721,R$2)</f>
        <v>26125.200000000001</v>
      </c>
      <c r="S21">
        <f>SUMIFS(PeerData!$C$2:$C$721,PeerData!$A$2:$A$721,$A21,PeerData!$B$2:$B$721,S$2)</f>
        <v>26129.7</v>
      </c>
      <c r="T21">
        <f>SUMIFS(PeerData!$C$2:$C$721,PeerData!$A$2:$A$721,$A21,PeerData!$B$2:$B$721,T$2)</f>
        <v>26509.5</v>
      </c>
      <c r="U21">
        <f>SUMIFS(PeerData!$C$2:$C$721,PeerData!$A$2:$A$721,$A21,PeerData!$B$2:$B$721,U$2)</f>
        <v>26540.6</v>
      </c>
      <c r="V21">
        <f>SUMIFS(PeerData!$C$2:$C$721,PeerData!$A$2:$A$721,$A21,PeerData!$B$2:$B$721,V$2)</f>
        <v>26677.200000000001</v>
      </c>
      <c r="W21">
        <f>SUMIFS(PeerData!$C$2:$C$721,PeerData!$A$2:$A$721,$A21,PeerData!$B$2:$B$721,W$2)</f>
        <v>26861.200000000001</v>
      </c>
      <c r="X21">
        <f>SUMIFS(PeerData!$C$2:$C$721,PeerData!$A$2:$A$721,$A21,PeerData!$B$2:$B$721,X$2)</f>
        <v>27016.6</v>
      </c>
      <c r="Y21">
        <f>SUMIFS(PeerData!$C$2:$C$721,PeerData!$A$2:$A$721,$A21,PeerData!$B$2:$B$721,Y$2)</f>
        <v>27352</v>
      </c>
      <c r="Z21">
        <f>SUMIFS(PeerData!$C$2:$C$721,PeerData!$A$2:$A$721,$A21,PeerData!$B$2:$B$721,Z$2)</f>
        <v>27708</v>
      </c>
      <c r="AA21">
        <f>SUMIFS(PeerData!$C$2:$C$721,PeerData!$A$2:$A$721,$A21,PeerData!$B$2:$B$721,AA$2)</f>
        <v>27901.7</v>
      </c>
      <c r="AB21">
        <f>SUMIFS(PeerData!$C$2:$C$721,PeerData!$A$2:$A$721,$A21,PeerData!$B$2:$B$721,AB$2)</f>
        <v>27842.1</v>
      </c>
      <c r="AC21">
        <f>SUMIFS(PeerData!$C$2:$C$721,PeerData!$A$2:$A$721,$A21,PeerData!$B$2:$B$721,AC$2)</f>
        <v>27896.400000000001</v>
      </c>
      <c r="AD21">
        <f>SUMIFS(PeerData!$C$2:$C$721,PeerData!$A$2:$A$721,$A21,PeerData!$B$2:$B$721,AD$2)</f>
        <v>28231.4</v>
      </c>
      <c r="AE21">
        <f>SUMIFS(PeerData!$C$2:$C$721,PeerData!$A$2:$A$721,$A21,PeerData!$B$2:$B$721,AE$2)</f>
        <v>28539.8</v>
      </c>
      <c r="AF21">
        <f>SUMIFS(PeerData!$C$2:$C$721,PeerData!$A$2:$A$721,$A21,PeerData!$B$2:$B$721,AF$2)</f>
        <v>28691.4</v>
      </c>
      <c r="AG21">
        <f>SUMIFS(PeerData!$C$2:$C$721,PeerData!$A$2:$A$721,$A21,PeerData!$B$2:$B$721,AG$2)</f>
        <v>28685.9</v>
      </c>
      <c r="AH21">
        <f>SUMIFS(PeerData!$C$2:$C$721,PeerData!$A$2:$A$721,$A21,PeerData!$B$2:$B$721,AH$2)</f>
        <v>28909.8</v>
      </c>
      <c r="AI21">
        <f>SUMIFS(PeerData!$C$2:$C$721,PeerData!$A$2:$A$721,$A21,PeerData!$B$2:$B$721,AI$2)</f>
        <v>29090.5</v>
      </c>
      <c r="AJ21">
        <f>SUMIFS(PeerData!$C$2:$C$721,PeerData!$A$2:$A$721,$A21,PeerData!$B$2:$B$721,AJ$2)</f>
        <v>29301.5</v>
      </c>
      <c r="AK21">
        <f>SUMIFS(PeerData!$C$2:$C$721,PeerData!$A$2:$A$721,$A21,PeerData!$B$2:$B$721,AK$2)</f>
        <v>29563.8</v>
      </c>
    </row>
    <row r="22" spans="1:37" x14ac:dyDescent="0.25">
      <c r="A22" t="s">
        <v>30</v>
      </c>
      <c r="B22">
        <f>SUMIFS(PeerData!$C$2:$C$721,PeerData!$A$2:$A$721,$A22,PeerData!$B$2:$B$721,B$2)</f>
        <v>24307.1</v>
      </c>
      <c r="C22">
        <f>SUMIFS(PeerData!$C$2:$C$721,PeerData!$A$2:$A$721,$A22,PeerData!$B$2:$B$721,C$2)</f>
        <v>24680.2</v>
      </c>
      <c r="D22">
        <f>SUMIFS(PeerData!$C$2:$C$721,PeerData!$A$2:$A$721,$A22,PeerData!$B$2:$B$721,D$2)</f>
        <v>24752.6</v>
      </c>
      <c r="E22">
        <f>SUMIFS(PeerData!$C$2:$C$721,PeerData!$A$2:$A$721,$A22,PeerData!$B$2:$B$721,E$2)</f>
        <v>24737.4</v>
      </c>
      <c r="F22">
        <f>SUMIFS(PeerData!$C$2:$C$721,PeerData!$A$2:$A$721,$A22,PeerData!$B$2:$B$721,F$2)</f>
        <v>25040</v>
      </c>
      <c r="G22">
        <f>SUMIFS(PeerData!$C$2:$C$721,PeerData!$A$2:$A$721,$A22,PeerData!$B$2:$B$721,G$2)</f>
        <v>25052</v>
      </c>
      <c r="H22">
        <f>SUMIFS(PeerData!$C$2:$C$721,PeerData!$A$2:$A$721,$A22,PeerData!$B$2:$B$721,H$2)</f>
        <v>25622.400000000001</v>
      </c>
      <c r="I22">
        <f>SUMIFS(PeerData!$C$2:$C$721,PeerData!$A$2:$A$721,$A22,PeerData!$B$2:$B$721,I$2)</f>
        <v>25774.6</v>
      </c>
      <c r="J22">
        <f>SUMIFS(PeerData!$C$2:$C$721,PeerData!$A$2:$A$721,$A22,PeerData!$B$2:$B$721,J$2)</f>
        <v>25985.1</v>
      </c>
      <c r="K22">
        <f>SUMIFS(PeerData!$C$2:$C$721,PeerData!$A$2:$A$721,$A22,PeerData!$B$2:$B$721,K$2)</f>
        <v>25830.7</v>
      </c>
      <c r="L22">
        <f>SUMIFS(PeerData!$C$2:$C$721,PeerData!$A$2:$A$721,$A22,PeerData!$B$2:$B$721,L$2)</f>
        <v>26245</v>
      </c>
      <c r="M22">
        <f>SUMIFS(PeerData!$C$2:$C$721,PeerData!$A$2:$A$721,$A22,PeerData!$B$2:$B$721,M$2)</f>
        <v>26525.4</v>
      </c>
      <c r="N22">
        <f>SUMIFS(PeerData!$C$2:$C$721,PeerData!$A$2:$A$721,$A22,PeerData!$B$2:$B$721,N$2)</f>
        <v>26362.1</v>
      </c>
      <c r="O22">
        <f>SUMIFS(PeerData!$C$2:$C$721,PeerData!$A$2:$A$721,$A22,PeerData!$B$2:$B$721,O$2)</f>
        <v>26505.3</v>
      </c>
      <c r="P22">
        <f>SUMIFS(PeerData!$C$2:$C$721,PeerData!$A$2:$A$721,$A22,PeerData!$B$2:$B$721,P$2)</f>
        <v>26864.1</v>
      </c>
      <c r="Q22">
        <f>SUMIFS(PeerData!$C$2:$C$721,PeerData!$A$2:$A$721,$A22,PeerData!$B$2:$B$721,Q$2)</f>
        <v>27206.7</v>
      </c>
      <c r="R22">
        <f>SUMIFS(PeerData!$C$2:$C$721,PeerData!$A$2:$A$721,$A22,PeerData!$B$2:$B$721,R$2)</f>
        <v>27336.6</v>
      </c>
      <c r="S22">
        <f>SUMIFS(PeerData!$C$2:$C$721,PeerData!$A$2:$A$721,$A22,PeerData!$B$2:$B$721,S$2)</f>
        <v>27587.9</v>
      </c>
      <c r="T22">
        <f>SUMIFS(PeerData!$C$2:$C$721,PeerData!$A$2:$A$721,$A22,PeerData!$B$2:$B$721,T$2)</f>
        <v>27760.9</v>
      </c>
      <c r="U22">
        <f>SUMIFS(PeerData!$C$2:$C$721,PeerData!$A$2:$A$721,$A22,PeerData!$B$2:$B$721,U$2)</f>
        <v>27799.3</v>
      </c>
      <c r="V22">
        <f>SUMIFS(PeerData!$C$2:$C$721,PeerData!$A$2:$A$721,$A22,PeerData!$B$2:$B$721,V$2)</f>
        <v>27823.3</v>
      </c>
      <c r="W22">
        <f>SUMIFS(PeerData!$C$2:$C$721,PeerData!$A$2:$A$721,$A22,PeerData!$B$2:$B$721,W$2)</f>
        <v>28095.1</v>
      </c>
      <c r="X22">
        <f>SUMIFS(PeerData!$C$2:$C$721,PeerData!$A$2:$A$721,$A22,PeerData!$B$2:$B$721,X$2)</f>
        <v>28321</v>
      </c>
      <c r="Y22">
        <f>SUMIFS(PeerData!$C$2:$C$721,PeerData!$A$2:$A$721,$A22,PeerData!$B$2:$B$721,Y$2)</f>
        <v>28324.2</v>
      </c>
      <c r="Z22">
        <f>SUMIFS(PeerData!$C$2:$C$721,PeerData!$A$2:$A$721,$A22,PeerData!$B$2:$B$721,Z$2)</f>
        <v>28543.3</v>
      </c>
      <c r="AA22">
        <f>SUMIFS(PeerData!$C$2:$C$721,PeerData!$A$2:$A$721,$A22,PeerData!$B$2:$B$721,AA$2)</f>
        <v>28993.4</v>
      </c>
      <c r="AB22">
        <f>SUMIFS(PeerData!$C$2:$C$721,PeerData!$A$2:$A$721,$A22,PeerData!$B$2:$B$721,AB$2)</f>
        <v>29162.5</v>
      </c>
      <c r="AC22">
        <f>SUMIFS(PeerData!$C$2:$C$721,PeerData!$A$2:$A$721,$A22,PeerData!$B$2:$B$721,AC$2)</f>
        <v>29247.200000000001</v>
      </c>
      <c r="AD22">
        <f>SUMIFS(PeerData!$C$2:$C$721,PeerData!$A$2:$A$721,$A22,PeerData!$B$2:$B$721,AD$2)</f>
        <v>29461.7</v>
      </c>
      <c r="AE22">
        <f>SUMIFS(PeerData!$C$2:$C$721,PeerData!$A$2:$A$721,$A22,PeerData!$B$2:$B$721,AE$2)</f>
        <v>29539.1</v>
      </c>
      <c r="AF22">
        <f>SUMIFS(PeerData!$C$2:$C$721,PeerData!$A$2:$A$721,$A22,PeerData!$B$2:$B$721,AF$2)</f>
        <v>29856.9</v>
      </c>
      <c r="AG22">
        <f>SUMIFS(PeerData!$C$2:$C$721,PeerData!$A$2:$A$721,$A22,PeerData!$B$2:$B$721,AG$2)</f>
        <v>30062.799999999999</v>
      </c>
      <c r="AH22">
        <f>SUMIFS(PeerData!$C$2:$C$721,PeerData!$A$2:$A$721,$A22,PeerData!$B$2:$B$721,AH$2)</f>
        <v>30241.200000000001</v>
      </c>
      <c r="AI22">
        <f>SUMIFS(PeerData!$C$2:$C$721,PeerData!$A$2:$A$721,$A22,PeerData!$B$2:$B$721,AI$2)</f>
        <v>30403.7</v>
      </c>
      <c r="AJ22">
        <f>SUMIFS(PeerData!$C$2:$C$721,PeerData!$A$2:$A$721,$A22,PeerData!$B$2:$B$721,AJ$2)</f>
        <v>30579.7</v>
      </c>
      <c r="AK22">
        <f>SUMIFS(PeerData!$C$2:$C$721,PeerData!$A$2:$A$721,$A22,PeerData!$B$2:$B$721,AK$2)</f>
        <v>30797.200000000001</v>
      </c>
    </row>
    <row r="24" spans="1:37" x14ac:dyDescent="0.25">
      <c r="A24" t="s">
        <v>56</v>
      </c>
      <c r="B24">
        <f>HLOOKUP(Link!$B$3,$B$2:$AK$22,Link!$B$6+1,FALSE)</f>
        <v>9487.6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487E-79C2-483F-B718-725625832615}">
  <dimension ref="A2:B10"/>
  <sheetViews>
    <sheetView workbookViewId="0"/>
  </sheetViews>
  <sheetFormatPr defaultRowHeight="12.5" x14ac:dyDescent="0.25"/>
  <sheetData>
    <row r="2" spans="1:2" x14ac:dyDescent="0.25">
      <c r="A2" t="s">
        <v>62</v>
      </c>
      <c r="B2">
        <f>_xlfn.XLOOKUP(Link!B2,Compare!A2:A21,Compare!F2:F21)</f>
        <v>3.9862557443399692E-2</v>
      </c>
    </row>
    <row r="3" spans="1:2" x14ac:dyDescent="0.25">
      <c r="A3" t="s">
        <v>63</v>
      </c>
      <c r="B3">
        <f>_xlfn.XLOOKUP(Link!B2,Compare!A2:A21,Compare!I2:I21)</f>
        <v>20</v>
      </c>
    </row>
    <row r="4" spans="1:2" x14ac:dyDescent="0.25">
      <c r="A4" t="s">
        <v>64</v>
      </c>
      <c r="B4">
        <f>SUM(Compare!E2:E21)</f>
        <v>19659.800000000014</v>
      </c>
    </row>
    <row r="5" spans="1:2" x14ac:dyDescent="0.25">
      <c r="A5" t="s">
        <v>65</v>
      </c>
      <c r="B5">
        <f>COUNTIF(Compare!J2:J21,"ahead")</f>
        <v>14</v>
      </c>
    </row>
    <row r="6" spans="1:2" x14ac:dyDescent="0.25">
      <c r="A6" t="s">
        <v>66</v>
      </c>
      <c r="B6" t="str">
        <f>TEXT(Link!B3,"00")</f>
        <v>30</v>
      </c>
    </row>
    <row r="7" spans="1:2" x14ac:dyDescent="0.25">
      <c r="A7" t="s">
        <v>67</v>
      </c>
      <c r="B7" t="str">
        <f>TEXT(B2,"0.0%")</f>
        <v>04%</v>
      </c>
    </row>
    <row r="8" spans="1:2" x14ac:dyDescent="0.25">
      <c r="A8" t="s">
        <v>68</v>
      </c>
      <c r="B8">
        <f>AVERAGE(Compare!C2:C21)</f>
        <v>18300.429999999997</v>
      </c>
    </row>
    <row r="9" spans="1:2" x14ac:dyDescent="0.25">
      <c r="A9" t="s">
        <v>69</v>
      </c>
      <c r="B9">
        <f>[1]Calc_Summary!B2*2</f>
        <v>19731.599999999999</v>
      </c>
    </row>
    <row r="10" spans="1:2" x14ac:dyDescent="0.25">
      <c r="A10" t="s">
        <v>70</v>
      </c>
      <c r="B10">
        <f ca="1">TODAY()-DATE(2026,1,1)</f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F570-006F-458C-9D9E-1D9F16B118D9}">
  <dimension ref="B2:J24"/>
  <sheetViews>
    <sheetView workbookViewId="0"/>
  </sheetViews>
  <sheetFormatPr defaultRowHeight="12.5" x14ac:dyDescent="0.25"/>
  <sheetData>
    <row r="2" spans="2:9" x14ac:dyDescent="0.25">
      <c r="B2" t="s">
        <v>71</v>
      </c>
    </row>
    <row r="3" spans="2:9" x14ac:dyDescent="0.25">
      <c r="C3" t="str">
        <f>"Peers - "&amp;Link!B2&amp;" - month "&amp;Link!B3</f>
        <v>Peers - Banca Tirrena - month 30</v>
      </c>
    </row>
    <row r="4" spans="2:9" x14ac:dyDescent="0.25">
      <c r="C4" t="s">
        <v>0</v>
      </c>
      <c r="D4" t="s">
        <v>57</v>
      </c>
      <c r="E4" t="s">
        <v>58</v>
      </c>
      <c r="F4" t="s">
        <v>45</v>
      </c>
      <c r="G4" t="s">
        <v>46</v>
      </c>
      <c r="H4" t="s">
        <v>48</v>
      </c>
      <c r="I4" t="s">
        <v>72</v>
      </c>
    </row>
    <row r="5" spans="2:9" x14ac:dyDescent="0.25">
      <c r="C5" t="str">
        <f>Compare!A2</f>
        <v>Banca Alpi</v>
      </c>
      <c r="D5">
        <f>Compare!B2</f>
        <v>7354.8</v>
      </c>
      <c r="E5">
        <f>Compare!C2</f>
        <v>6924.6</v>
      </c>
      <c r="F5">
        <f>Compare!E2</f>
        <v>430.19999999999982</v>
      </c>
      <c r="G5">
        <f>Compare!F2</f>
        <v>6.212633220691445E-2</v>
      </c>
      <c r="H5" t="str">
        <f>Compare!J2</f>
        <v>ahead</v>
      </c>
      <c r="I5" t="str">
        <f>Compare!P2</f>
        <v/>
      </c>
    </row>
    <row r="6" spans="2:9" x14ac:dyDescent="0.25">
      <c r="C6" t="str">
        <f>Compare!A3</f>
        <v>Banca Adriatica</v>
      </c>
      <c r="D6">
        <f>Compare!B3</f>
        <v>8568.1</v>
      </c>
      <c r="E6">
        <f>Compare!C3</f>
        <v>8011.7</v>
      </c>
      <c r="F6">
        <f>Compare!E3</f>
        <v>556.40000000000055</v>
      </c>
      <c r="G6">
        <f>Compare!F3</f>
        <v>6.9448431668684613E-2</v>
      </c>
      <c r="H6" t="str">
        <f>Compare!J3</f>
        <v>ahead</v>
      </c>
      <c r="I6" t="str">
        <f>Compare!P3</f>
        <v/>
      </c>
    </row>
    <row r="7" spans="2:9" x14ac:dyDescent="0.25">
      <c r="C7" t="str">
        <f>Compare!A4</f>
        <v>Banca Tirrena</v>
      </c>
      <c r="D7">
        <f>Compare!B4</f>
        <v>9865.7999999999993</v>
      </c>
      <c r="E7">
        <f>Compare!C4</f>
        <v>9487.6</v>
      </c>
      <c r="F7">
        <f>Compare!E4</f>
        <v>378.19999999999891</v>
      </c>
      <c r="G7">
        <f>Compare!F4</f>
        <v>3.9862557443399692E-2</v>
      </c>
      <c r="H7" t="str">
        <f>Compare!J4</f>
        <v>in line</v>
      </c>
      <c r="I7" t="str">
        <f>Compare!P4</f>
        <v>&lt;&lt;</v>
      </c>
    </row>
    <row r="8" spans="2:9" x14ac:dyDescent="0.25">
      <c r="C8" t="str">
        <f>Compare!A5</f>
        <v>Banca Padana</v>
      </c>
      <c r="D8">
        <f>Compare!B5</f>
        <v>11127.400000000001</v>
      </c>
      <c r="E8">
        <f>Compare!C5</f>
        <v>10580.4</v>
      </c>
      <c r="F8">
        <f>Compare!E5</f>
        <v>547.00000000000182</v>
      </c>
      <c r="G8">
        <f>Compare!F5</f>
        <v>5.1699368643907777E-2</v>
      </c>
      <c r="H8" t="str">
        <f>Compare!J5</f>
        <v>ahead</v>
      </c>
      <c r="I8" t="str">
        <f>Compare!P5</f>
        <v/>
      </c>
    </row>
    <row r="9" spans="2:9" x14ac:dyDescent="0.25">
      <c r="C9" t="str">
        <f>Compare!A6</f>
        <v>Banca Etrusca</v>
      </c>
      <c r="D9">
        <f>Compare!B6</f>
        <v>12359</v>
      </c>
      <c r="E9">
        <f>Compare!C6</f>
        <v>11564</v>
      </c>
      <c r="F9">
        <f>Compare!E6</f>
        <v>795</v>
      </c>
      <c r="G9">
        <f>Compare!F6</f>
        <v>6.8747838118298168E-2</v>
      </c>
      <c r="H9" t="str">
        <f>Compare!J6</f>
        <v>ahead</v>
      </c>
      <c r="I9" t="str">
        <f>Compare!P6</f>
        <v/>
      </c>
    </row>
    <row r="10" spans="2:9" x14ac:dyDescent="0.25">
      <c r="C10" t="str">
        <f>Compare!A7</f>
        <v>Banca Lariana</v>
      </c>
      <c r="D10">
        <f>Compare!B7</f>
        <v>13592.199999999999</v>
      </c>
      <c r="E10">
        <f>Compare!C7</f>
        <v>12936.3</v>
      </c>
      <c r="F10">
        <f>Compare!E7</f>
        <v>655.89999999999964</v>
      </c>
      <c r="G10">
        <f>Compare!F7</f>
        <v>5.0702287361919535E-2</v>
      </c>
      <c r="H10" t="str">
        <f>Compare!J7</f>
        <v>ahead</v>
      </c>
      <c r="I10" t="str">
        <f>Compare!P7</f>
        <v/>
      </c>
    </row>
    <row r="11" spans="2:9" x14ac:dyDescent="0.25">
      <c r="C11" t="str">
        <f>Compare!A8</f>
        <v>Banca Sabina</v>
      </c>
      <c r="D11">
        <f>Compare!B8</f>
        <v>14860.6</v>
      </c>
      <c r="E11">
        <f>Compare!C8</f>
        <v>14236.8</v>
      </c>
      <c r="F11">
        <f>Compare!E8</f>
        <v>623.80000000000109</v>
      </c>
      <c r="G11">
        <f>Compare!F8</f>
        <v>4.381602607327497E-2</v>
      </c>
      <c r="H11" t="str">
        <f>Compare!J8</f>
        <v>in line</v>
      </c>
      <c r="I11" t="str">
        <f>Compare!P8</f>
        <v/>
      </c>
    </row>
    <row r="12" spans="2:9" x14ac:dyDescent="0.25">
      <c r="C12" t="str">
        <f>Compare!A9</f>
        <v>Banca Irpina</v>
      </c>
      <c r="D12">
        <f>Compare!B9</f>
        <v>16241.5</v>
      </c>
      <c r="E12">
        <f>Compare!C9</f>
        <v>15498</v>
      </c>
      <c r="F12">
        <f>Compare!E9</f>
        <v>743.5</v>
      </c>
      <c r="G12">
        <f>Compare!F9</f>
        <v>4.7973932120273587E-2</v>
      </c>
      <c r="H12" t="str">
        <f>Compare!J9</f>
        <v>in line</v>
      </c>
      <c r="I12" t="str">
        <f>Compare!P9</f>
        <v/>
      </c>
    </row>
    <row r="13" spans="2:9" x14ac:dyDescent="0.25">
      <c r="C13" t="str">
        <f>Compare!A10</f>
        <v>Banca Sannita</v>
      </c>
      <c r="D13">
        <f>Compare!B10</f>
        <v>17435.2</v>
      </c>
      <c r="E13">
        <f>Compare!C10</f>
        <v>16513.099999999999</v>
      </c>
      <c r="F13">
        <f>Compare!E10</f>
        <v>922.10000000000218</v>
      </c>
      <c r="G13">
        <f>Compare!F10</f>
        <v>5.5840514500608743E-2</v>
      </c>
      <c r="H13" t="str">
        <f>Compare!J10</f>
        <v>ahead</v>
      </c>
      <c r="I13" t="str">
        <f>Compare!P10</f>
        <v/>
      </c>
    </row>
    <row r="14" spans="2:9" x14ac:dyDescent="0.25">
      <c r="C14" t="str">
        <f>Compare!A11</f>
        <v>Banca Ligure</v>
      </c>
      <c r="D14">
        <f>Compare!B11</f>
        <v>18568.2</v>
      </c>
      <c r="E14">
        <f>Compare!C11</f>
        <v>17729.8</v>
      </c>
      <c r="F14">
        <f>Compare!E11</f>
        <v>838.40000000000146</v>
      </c>
      <c r="G14">
        <f>Compare!F11</f>
        <v>4.7287617457613819E-2</v>
      </c>
      <c r="H14" t="str">
        <f>Compare!J11</f>
        <v>in line</v>
      </c>
      <c r="I14" t="str">
        <f>Compare!P11</f>
        <v/>
      </c>
    </row>
    <row r="15" spans="2:9" x14ac:dyDescent="0.25">
      <c r="C15" t="str">
        <f>Compare!A12</f>
        <v>Banca Veneta</v>
      </c>
      <c r="D15">
        <f>Compare!B12</f>
        <v>19867.000000000004</v>
      </c>
      <c r="E15">
        <f>Compare!C12</f>
        <v>18788.599999999999</v>
      </c>
      <c r="F15">
        <f>Compare!E12</f>
        <v>1078.4000000000051</v>
      </c>
      <c r="G15">
        <f>Compare!F12</f>
        <v>5.7396506392174251E-2</v>
      </c>
      <c r="H15" t="str">
        <f>Compare!J12</f>
        <v>ahead</v>
      </c>
      <c r="I15" t="str">
        <f>Compare!P12</f>
        <v/>
      </c>
    </row>
    <row r="16" spans="2:9" x14ac:dyDescent="0.25">
      <c r="C16" t="str">
        <f>Compare!A13</f>
        <v>Banca Friulana</v>
      </c>
      <c r="D16">
        <f>Compare!B13</f>
        <v>21169.7</v>
      </c>
      <c r="E16">
        <f>Compare!C13</f>
        <v>20151.900000000001</v>
      </c>
      <c r="F16">
        <f>Compare!E13</f>
        <v>1017.7999999999993</v>
      </c>
      <c r="G16">
        <f>Compare!F13</f>
        <v>5.0506403862663037E-2</v>
      </c>
      <c r="H16" t="str">
        <f>Compare!J13</f>
        <v>ahead</v>
      </c>
      <c r="I16" t="str">
        <f>Compare!P13</f>
        <v/>
      </c>
    </row>
    <row r="17" spans="3:10" x14ac:dyDescent="0.25">
      <c r="C17" t="str">
        <f>Compare!A14</f>
        <v>Banca Umbra</v>
      </c>
      <c r="D17">
        <f>Compare!B14</f>
        <v>22385.899999999998</v>
      </c>
      <c r="E17">
        <f>Compare!C14</f>
        <v>21171.9</v>
      </c>
      <c r="F17">
        <f>Compare!E14</f>
        <v>1213.9999999999964</v>
      </c>
      <c r="G17">
        <f>Compare!F14</f>
        <v>5.7340153694283282E-2</v>
      </c>
      <c r="H17" t="str">
        <f>Compare!J14</f>
        <v>ahead</v>
      </c>
      <c r="I17" t="str">
        <f>Compare!P14</f>
        <v/>
      </c>
    </row>
    <row r="18" spans="3:10" x14ac:dyDescent="0.25">
      <c r="C18" t="str">
        <f>Compare!A15</f>
        <v>Banca Marchigiana</v>
      </c>
      <c r="D18">
        <f>Compare!B15</f>
        <v>23667.1</v>
      </c>
      <c r="E18">
        <f>Compare!C15</f>
        <v>22595.599999999999</v>
      </c>
      <c r="F18">
        <f>Compare!E15</f>
        <v>1071.5</v>
      </c>
      <c r="G18">
        <f>Compare!F15</f>
        <v>4.7420736780612156E-2</v>
      </c>
      <c r="H18" t="str">
        <f>Compare!J15</f>
        <v>in line</v>
      </c>
      <c r="I18" t="str">
        <f>Compare!P15</f>
        <v/>
      </c>
    </row>
    <row r="19" spans="3:10" x14ac:dyDescent="0.25">
      <c r="C19" t="str">
        <f>Compare!A16</f>
        <v>Banca Lucana</v>
      </c>
      <c r="D19">
        <f>Compare!B16</f>
        <v>24910.3</v>
      </c>
      <c r="E19">
        <f>Compare!C16</f>
        <v>23678.400000000001</v>
      </c>
      <c r="F19">
        <f>Compare!E16</f>
        <v>1231.8999999999978</v>
      </c>
      <c r="G19">
        <f>Compare!F16</f>
        <v>5.2026319345901656E-2</v>
      </c>
      <c r="H19" t="str">
        <f>Compare!J16</f>
        <v>ahead</v>
      </c>
      <c r="I19" t="str">
        <f>Compare!P16</f>
        <v/>
      </c>
    </row>
    <row r="20" spans="3:10" x14ac:dyDescent="0.25">
      <c r="C20" t="str">
        <f>Compare!A17</f>
        <v>Banca Calabra</v>
      </c>
      <c r="D20">
        <f>Compare!B17</f>
        <v>26105.9</v>
      </c>
      <c r="E20">
        <f>Compare!C17</f>
        <v>24927</v>
      </c>
      <c r="F20">
        <f>Compare!E17</f>
        <v>1178.9000000000015</v>
      </c>
      <c r="G20">
        <f>Compare!F17</f>
        <v>4.7294098768403799E-2</v>
      </c>
      <c r="H20" t="str">
        <f>Compare!J17</f>
        <v>in line</v>
      </c>
      <c r="I20" t="str">
        <f>Compare!P17</f>
        <v/>
      </c>
    </row>
    <row r="21" spans="3:10" x14ac:dyDescent="0.25">
      <c r="C21" t="str">
        <f>Compare!A18</f>
        <v>Banca Sicula</v>
      </c>
      <c r="D21">
        <f>Compare!B18</f>
        <v>27574.800000000003</v>
      </c>
      <c r="E21">
        <f>Compare!C18</f>
        <v>25824.400000000001</v>
      </c>
      <c r="F21">
        <f>Compare!E18</f>
        <v>1750.4000000000015</v>
      </c>
      <c r="G21">
        <f>Compare!F18</f>
        <v>6.7780858412973835E-2</v>
      </c>
      <c r="H21" t="str">
        <f>Compare!J18</f>
        <v>ahead</v>
      </c>
      <c r="I21" t="str">
        <f>Compare!P18</f>
        <v/>
      </c>
    </row>
    <row r="22" spans="3:10" x14ac:dyDescent="0.25">
      <c r="C22" t="str">
        <f>Compare!A19</f>
        <v>Banca Sarda</v>
      </c>
      <c r="D22">
        <f>Compare!B19</f>
        <v>28720.9</v>
      </c>
      <c r="E22">
        <f>Compare!C19</f>
        <v>27309.599999999999</v>
      </c>
      <c r="F22">
        <f>Compare!E19</f>
        <v>1411.3000000000029</v>
      </c>
      <c r="G22">
        <f>Compare!F19</f>
        <v>5.1677798283387637E-2</v>
      </c>
      <c r="H22" t="str">
        <f>Compare!J19</f>
        <v>ahead</v>
      </c>
      <c r="I22" t="str">
        <f>Compare!P19</f>
        <v/>
      </c>
    </row>
    <row r="23" spans="3:10" x14ac:dyDescent="0.25">
      <c r="C23" t="str">
        <f>Compare!A20</f>
        <v>Banca Romagnola</v>
      </c>
      <c r="D23">
        <f>Compare!B20</f>
        <v>29979.5</v>
      </c>
      <c r="E23">
        <f>Compare!C20</f>
        <v>28539.8</v>
      </c>
      <c r="F23">
        <f>Compare!E20</f>
        <v>1439.7000000000007</v>
      </c>
      <c r="G23">
        <f>Compare!F20</f>
        <v>5.0445342994695157E-2</v>
      </c>
      <c r="H23" t="str">
        <f>Compare!J20</f>
        <v>ahead</v>
      </c>
      <c r="I23" t="str">
        <f>Compare!P20</f>
        <v/>
      </c>
    </row>
    <row r="24" spans="3:10" x14ac:dyDescent="0.25">
      <c r="C24" t="str">
        <f>Compare!A21</f>
        <v>Banca Città</v>
      </c>
      <c r="D24">
        <f>Compare!B21</f>
        <v>31314.5</v>
      </c>
      <c r="E24">
        <f>Compare!C21</f>
        <v>29539.1</v>
      </c>
      <c r="F24">
        <f>Compare!E21</f>
        <v>1775.4000000000015</v>
      </c>
      <c r="G24">
        <f>Compare!F21</f>
        <v>6.0103388390303075E-2</v>
      </c>
      <c r="H24" t="str">
        <f>Compare!J21</f>
        <v>ahead</v>
      </c>
      <c r="I24" t="str">
        <f>Compare!P21</f>
        <v/>
      </c>
      <c r="J2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7069-AF3A-4FEA-81C9-4B5D9A95E430}">
  <dimension ref="B2:H16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"Peer trend - "&amp;Link!B2</f>
        <v>Peer trend - Banca Tirrena</v>
      </c>
    </row>
    <row r="4" spans="2:8" x14ac:dyDescent="0.25">
      <c r="C4" t="s">
        <v>1</v>
      </c>
      <c r="D4" t="s">
        <v>57</v>
      </c>
      <c r="E4" t="s">
        <v>58</v>
      </c>
      <c r="F4" t="s">
        <v>45</v>
      </c>
      <c r="G4" t="s">
        <v>73</v>
      </c>
    </row>
    <row r="5" spans="2:8" x14ac:dyDescent="0.25">
      <c r="C5">
        <f>Link!$B$3-12+ROW()-4</f>
        <v>19</v>
      </c>
      <c r="D5" cm="1">
        <f t="array" ref="D5">INDEX(PeerTrend!$B$2:$B$37,C5)</f>
        <v>9158.2000000000007</v>
      </c>
      <c r="E5" cm="1">
        <f t="array" ref="E5">INDEX(PeerTrend!$C$2:$C$37,C5)</f>
        <v>8625.6</v>
      </c>
      <c r="F5">
        <f t="shared" ref="F5:F16" si="0">D5-E5</f>
        <v>532.60000000000036</v>
      </c>
      <c r="G5" cm="1">
        <f t="array" aca="1" ref="G5" ca="1">INDEX(PeerTrend!$H$2:$H$37,C5)</f>
        <v>8598.3666666666668</v>
      </c>
    </row>
    <row r="6" spans="2:8" x14ac:dyDescent="0.25">
      <c r="C6">
        <f>Link!$B$3-12+ROW()-4</f>
        <v>20</v>
      </c>
      <c r="D6" cm="1">
        <f t="array" ref="D6">INDEX(PeerTrend!$B$2:$B$37,C6)</f>
        <v>9269.7000000000007</v>
      </c>
      <c r="E6" cm="1">
        <f t="array" ref="E6">INDEX(PeerTrend!$C$2:$C$37,C6)</f>
        <v>8628</v>
      </c>
      <c r="F6">
        <f t="shared" si="0"/>
        <v>641.70000000000073</v>
      </c>
      <c r="G6" cm="1">
        <f t="array" aca="1" ref="G6" ca="1">INDEX(PeerTrend!$H$2:$H$37,C6)</f>
        <v>8622.5333333333328</v>
      </c>
    </row>
    <row r="7" spans="2:8" x14ac:dyDescent="0.25">
      <c r="C7">
        <f>Link!$B$3-12+ROW()-4</f>
        <v>21</v>
      </c>
      <c r="D7" cm="1">
        <f t="array" ref="D7">INDEX(PeerTrend!$B$2:$B$37,C7)</f>
        <v>9227.3000000000011</v>
      </c>
      <c r="E7" cm="1">
        <f t="array" ref="E7">INDEX(PeerTrend!$C$2:$C$37,C7)</f>
        <v>8694.7999999999993</v>
      </c>
      <c r="F7">
        <f t="shared" si="0"/>
        <v>532.50000000000182</v>
      </c>
      <c r="G7" cm="1">
        <f t="array" aca="1" ref="G7" ca="1">INDEX(PeerTrend!$H$2:$H$37,C7)</f>
        <v>8649.4666666666653</v>
      </c>
    </row>
    <row r="8" spans="2:8" x14ac:dyDescent="0.25">
      <c r="C8">
        <f>Link!$B$3-12+ROW()-4</f>
        <v>22</v>
      </c>
      <c r="D8" cm="1">
        <f t="array" ref="D8">INDEX(PeerTrend!$B$2:$B$37,C8)</f>
        <v>9333.9</v>
      </c>
      <c r="E8" cm="1">
        <f t="array" ref="E8">INDEX(PeerTrend!$C$2:$C$37,C8)</f>
        <v>8728.5</v>
      </c>
      <c r="F8">
        <f t="shared" si="0"/>
        <v>605.39999999999964</v>
      </c>
      <c r="G8" cm="1">
        <f t="array" aca="1" ref="G8" ca="1">INDEX(PeerTrend!$H$2:$H$37,C8)</f>
        <v>8683.7666666666664</v>
      </c>
    </row>
    <row r="9" spans="2:8" x14ac:dyDescent="0.25">
      <c r="C9">
        <f>Link!$B$3-12+ROW()-4</f>
        <v>23</v>
      </c>
      <c r="D9" cm="1">
        <f t="array" ref="D9">INDEX(PeerTrend!$B$2:$B$37,C9)</f>
        <v>9331.1</v>
      </c>
      <c r="E9" cm="1">
        <f t="array" ref="E9">INDEX(PeerTrend!$C$2:$C$37,C9)</f>
        <v>9025</v>
      </c>
      <c r="F9">
        <f t="shared" si="0"/>
        <v>306.10000000000036</v>
      </c>
      <c r="G9" cm="1">
        <f t="array" aca="1" ref="G9" ca="1">INDEX(PeerTrend!$H$2:$H$37,C9)</f>
        <v>8816.1</v>
      </c>
    </row>
    <row r="10" spans="2:8" x14ac:dyDescent="0.25">
      <c r="C10">
        <f>Link!$B$3-12+ROW()-4</f>
        <v>24</v>
      </c>
      <c r="D10" cm="1">
        <f t="array" ref="D10">INDEX(PeerTrend!$B$2:$B$37,C10)</f>
        <v>9406</v>
      </c>
      <c r="E10" cm="1">
        <f t="array" ref="E10">INDEX(PeerTrend!$C$2:$C$37,C10)</f>
        <v>8847.9</v>
      </c>
      <c r="F10">
        <f t="shared" si="0"/>
        <v>558.10000000000036</v>
      </c>
      <c r="G10" cm="1">
        <f t="array" aca="1" ref="G10" ca="1">INDEX(PeerTrend!$H$2:$H$37,C10)</f>
        <v>8867.1333333333332</v>
      </c>
    </row>
    <row r="11" spans="2:8" x14ac:dyDescent="0.25">
      <c r="C11">
        <f>Link!$B$3-12+ROW()-4</f>
        <v>25</v>
      </c>
      <c r="D11" cm="1">
        <f t="array" ref="D11">INDEX(PeerTrend!$B$2:$B$37,C11)</f>
        <v>9566.8000000000011</v>
      </c>
      <c r="E11" cm="1">
        <f t="array" ref="E11">INDEX(PeerTrend!$C$2:$C$37,C11)</f>
        <v>9248.7999999999993</v>
      </c>
      <c r="F11">
        <f t="shared" si="0"/>
        <v>318.00000000000182</v>
      </c>
      <c r="G11" cm="1">
        <f t="array" aca="1" ref="G11" ca="1">INDEX(PeerTrend!$H$2:$H$37,C11)</f>
        <v>9040.5666666666675</v>
      </c>
    </row>
    <row r="12" spans="2:8" x14ac:dyDescent="0.25">
      <c r="C12">
        <f>Link!$B$3-12+ROW()-4</f>
        <v>26</v>
      </c>
      <c r="D12" cm="1">
        <f t="array" ref="D12">INDEX(PeerTrend!$B$2:$B$37,C12)</f>
        <v>9616.2000000000007</v>
      </c>
      <c r="E12" cm="1">
        <f t="array" ref="E12">INDEX(PeerTrend!$C$2:$C$37,C12)</f>
        <v>9300.2000000000007</v>
      </c>
      <c r="F12">
        <f t="shared" si="0"/>
        <v>316</v>
      </c>
      <c r="G12" cm="1">
        <f t="array" aca="1" ref="G12" ca="1">INDEX(PeerTrend!$H$2:$H$37,C12)</f>
        <v>9132.2999999999993</v>
      </c>
    </row>
    <row r="13" spans="2:8" x14ac:dyDescent="0.25">
      <c r="C13">
        <f>Link!$B$3-12+ROW()-4</f>
        <v>27</v>
      </c>
      <c r="D13" cm="1">
        <f t="array" ref="D13">INDEX(PeerTrend!$B$2:$B$37,C13)</f>
        <v>9729.1</v>
      </c>
      <c r="E13" cm="1">
        <f t="array" ref="E13">INDEX(PeerTrend!$C$2:$C$37,C13)</f>
        <v>9006.9</v>
      </c>
      <c r="F13">
        <f t="shared" si="0"/>
        <v>722.20000000000073</v>
      </c>
      <c r="G13" cm="1">
        <f t="array" aca="1" ref="G13" ca="1">INDEX(PeerTrend!$H$2:$H$37,C13)</f>
        <v>9185.3000000000011</v>
      </c>
    </row>
    <row r="14" spans="2:8" x14ac:dyDescent="0.25">
      <c r="C14">
        <f>Link!$B$3-12+ROW()-4</f>
        <v>28</v>
      </c>
      <c r="D14" cm="1">
        <f t="array" ref="D14">INDEX(PeerTrend!$B$2:$B$37,C14)</f>
        <v>9665.6</v>
      </c>
      <c r="E14" cm="1">
        <f t="array" ref="E14">INDEX(PeerTrend!$C$2:$C$37,C14)</f>
        <v>9227</v>
      </c>
      <c r="F14">
        <f t="shared" si="0"/>
        <v>438.60000000000036</v>
      </c>
      <c r="G14" cm="1">
        <f t="array" aca="1" ref="G14" ca="1">INDEX(PeerTrend!$H$2:$H$37,C14)</f>
        <v>9178.0333333333328</v>
      </c>
    </row>
    <row r="15" spans="2:8" x14ac:dyDescent="0.25">
      <c r="C15">
        <f>Link!$B$3-12+ROW()-4</f>
        <v>29</v>
      </c>
      <c r="D15" cm="1">
        <f t="array" ref="D15">INDEX(PeerTrend!$B$2:$B$37,C15)</f>
        <v>9782.7999999999993</v>
      </c>
      <c r="E15" cm="1">
        <f t="array" ref="E15">INDEX(PeerTrend!$C$2:$C$37,C15)</f>
        <v>9375.9</v>
      </c>
      <c r="F15">
        <f t="shared" si="0"/>
        <v>406.89999999999964</v>
      </c>
      <c r="G15" cm="1">
        <f t="array" aca="1" ref="G15" ca="1">INDEX(PeerTrend!$H$2:$H$37,C15)</f>
        <v>9203.2666666666682</v>
      </c>
    </row>
    <row r="16" spans="2:8" x14ac:dyDescent="0.25">
      <c r="C16">
        <f>Link!$B$3-12+ROW()-4</f>
        <v>30</v>
      </c>
      <c r="D16" cm="1">
        <f t="array" ref="D16">INDEX(PeerTrend!$B$2:$B$37,C16)</f>
        <v>9865.7999999999993</v>
      </c>
      <c r="E16" cm="1">
        <f t="array" ref="E16">INDEX(PeerTrend!$C$2:$C$37,C16)</f>
        <v>9487.6</v>
      </c>
      <c r="F16">
        <f t="shared" si="0"/>
        <v>378.19999999999891</v>
      </c>
      <c r="G16" cm="1">
        <f t="array" aca="1" ref="G16" ca="1">INDEX(PeerTrend!$H$2:$H$37,C16)</f>
        <v>9363.5</v>
      </c>
      <c r="H1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48C5-7AEE-4AFA-9A34-0060B3802A64}">
  <dimension ref="B2:H8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"Gap by group"</f>
        <v>Gap by group</v>
      </c>
    </row>
    <row r="4" spans="2:8" x14ac:dyDescent="0.25">
      <c r="C4" t="s">
        <v>47</v>
      </c>
      <c r="D4" t="s">
        <v>74</v>
      </c>
      <c r="E4" t="s">
        <v>75</v>
      </c>
      <c r="F4" t="s">
        <v>76</v>
      </c>
      <c r="G4" t="s">
        <v>77</v>
      </c>
    </row>
    <row r="5" spans="2:8" x14ac:dyDescent="0.25">
      <c r="C5" t="s">
        <v>8</v>
      </c>
      <c r="D5">
        <f>COUNTIF(Compare!$G$2:$G$21,C5)</f>
        <v>5</v>
      </c>
      <c r="E5">
        <f>AVERAGEIF(Compare!$G$2:$G$21,C5,Compare!$F$2:$F$21)</f>
        <v>6.23671393866157E-2</v>
      </c>
      <c r="F5">
        <f>_xlfn.MAXIFS(Compare!$F$2:$F$21,Compare!$G$2:$G$21,C5)</f>
        <v>6.8747838118298168E-2</v>
      </c>
      <c r="G5">
        <f>COUNTIFS(Compare!$G$2:$G$21,C5,Compare!$J$2:$J$21,"ahead")</f>
        <v>5</v>
      </c>
    </row>
    <row r="6" spans="2:8" x14ac:dyDescent="0.25">
      <c r="C6" t="s">
        <v>10</v>
      </c>
      <c r="D6">
        <f>COUNTIF(Compare!$G$2:$G$21,C6)</f>
        <v>5</v>
      </c>
      <c r="E6">
        <f>AVERAGEIF(Compare!$G$2:$G$21,C6,Compare!$F$2:$F$21)</f>
        <v>5.3307374310443544E-2</v>
      </c>
      <c r="F6">
        <f>_xlfn.MAXIFS(Compare!$F$2:$F$21,Compare!$G$2:$G$21,C6)</f>
        <v>6.9448431668684613E-2</v>
      </c>
      <c r="G6">
        <f>COUNTIFS(Compare!$G$2:$G$21,C6,Compare!$J$2:$J$21,"ahead")</f>
        <v>3</v>
      </c>
    </row>
    <row r="7" spans="2:8" x14ac:dyDescent="0.25">
      <c r="C7" t="s">
        <v>12</v>
      </c>
      <c r="D7">
        <f>COUNTIF(Compare!$G$2:$G$21,C7)</f>
        <v>5</v>
      </c>
      <c r="E7">
        <f>AVERAGEIF(Compare!$G$2:$G$21,C7,Compare!$F$2:$F$21)</f>
        <v>4.8709350449889152E-2</v>
      </c>
      <c r="F7">
        <f>_xlfn.MAXIFS(Compare!$F$2:$F$21,Compare!$G$2:$G$21,C7)</f>
        <v>5.7396506392174251E-2</v>
      </c>
      <c r="G7">
        <f>COUNTIFS(Compare!$G$2:$G$21,C7,Compare!$J$2:$J$21,"ahead")</f>
        <v>3</v>
      </c>
    </row>
    <row r="8" spans="2:8" x14ac:dyDescent="0.25">
      <c r="C8" t="s">
        <v>14</v>
      </c>
      <c r="D8">
        <f>COUNTIF(Compare!$G$2:$G$21,C8)</f>
        <v>5</v>
      </c>
      <c r="E8">
        <f>AVERAGEIF(Compare!$G$2:$G$21,C8,Compare!$F$2:$F$21)</f>
        <v>5.1515438357110255E-2</v>
      </c>
      <c r="F8">
        <f>_xlfn.MAXIFS(Compare!$F$2:$F$21,Compare!$G$2:$G$21,C8)</f>
        <v>6.0103388390303075E-2</v>
      </c>
      <c r="G8">
        <f>COUNTIFS(Compare!$G$2:$G$21,C8,Compare!$J$2:$J$21,"ahead")</f>
        <v>3</v>
      </c>
      <c r="H8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56B-9F1C-4DD4-B7C4-CCF1D007958E}">
  <dimension ref="B2:G14"/>
  <sheetViews>
    <sheetView tabSelected="1" workbookViewId="0"/>
  </sheetViews>
  <sheetFormatPr defaultRowHeight="12.5" x14ac:dyDescent="0.25"/>
  <sheetData>
    <row r="2" spans="2:7" x14ac:dyDescent="0.25">
      <c r="B2" t="s">
        <v>71</v>
      </c>
    </row>
    <row r="3" spans="2:7" x14ac:dyDescent="0.25">
      <c r="C3" t="str">
        <f>"Peer ranking"</f>
        <v>Peer ranking</v>
      </c>
    </row>
    <row r="4" spans="2:7" x14ac:dyDescent="0.25">
      <c r="C4" t="s">
        <v>41</v>
      </c>
      <c r="D4" t="s">
        <v>0</v>
      </c>
      <c r="E4" t="s">
        <v>46</v>
      </c>
      <c r="F4" t="s">
        <v>31</v>
      </c>
    </row>
    <row r="5" spans="2:7" x14ac:dyDescent="0.25">
      <c r="C5">
        <v>1</v>
      </c>
      <c r="D5" t="str">
        <f>INDEX(Compare!$A$2:$A$21,MATCH(C5,Compare!$I$2:$I$21,0))</f>
        <v>Banca Adriatica</v>
      </c>
      <c r="E5">
        <f>_xlfn.XLOOKUP(D5,Compare!$A$2:$A$21,Compare!$F$2:$F$21)</f>
        <v>6.9448431668684613E-2</v>
      </c>
      <c r="F5" t="str">
        <f>_xlfn.XLOOKUP(D5,Compare!$A$2:$A$21,Compare!$K$2:$K$21)</f>
        <v>Tier two</v>
      </c>
    </row>
    <row r="6" spans="2:7" x14ac:dyDescent="0.25">
      <c r="C6">
        <v>2</v>
      </c>
      <c r="D6" t="str">
        <f>INDEX(Compare!$A$2:$A$21,MATCH(C6,Compare!$I$2:$I$21,0))</f>
        <v>Banca Etrusca</v>
      </c>
      <c r="E6">
        <f>_xlfn.XLOOKUP(D6,Compare!$A$2:$A$21,Compare!$F$2:$F$21)</f>
        <v>6.8747838118298168E-2</v>
      </c>
      <c r="F6" t="str">
        <f>_xlfn.XLOOKUP(D6,Compare!$A$2:$A$21,Compare!$K$2:$K$21)</f>
        <v>Tier two</v>
      </c>
    </row>
    <row r="7" spans="2:7" x14ac:dyDescent="0.25">
      <c r="C7">
        <v>3</v>
      </c>
      <c r="D7" t="str">
        <f>INDEX(Compare!$A$2:$A$21,MATCH(C7,Compare!$I$2:$I$21,0))</f>
        <v>Banca Sicula</v>
      </c>
      <c r="E7">
        <f>_xlfn.XLOOKUP(D7,Compare!$A$2:$A$21,Compare!$F$2:$F$21)</f>
        <v>6.7780858412973835E-2</v>
      </c>
      <c r="F7" t="str">
        <f>_xlfn.XLOOKUP(D7,Compare!$A$2:$A$21,Compare!$K$2:$K$21)</f>
        <v>Tier two</v>
      </c>
    </row>
    <row r="8" spans="2:7" x14ac:dyDescent="0.25">
      <c r="C8">
        <v>4</v>
      </c>
      <c r="D8" t="str">
        <f>INDEX(Compare!$A$2:$A$21,MATCH(C8,Compare!$I$2:$I$21,0))</f>
        <v>Banca Alpi</v>
      </c>
      <c r="E8">
        <f>_xlfn.XLOOKUP(D8,Compare!$A$2:$A$21,Compare!$F$2:$F$21)</f>
        <v>6.212633220691445E-2</v>
      </c>
      <c r="F8" t="str">
        <f>_xlfn.XLOOKUP(D8,Compare!$A$2:$A$21,Compare!$K$2:$K$21)</f>
        <v>Tier one</v>
      </c>
    </row>
    <row r="9" spans="2:7" x14ac:dyDescent="0.25">
      <c r="C9">
        <v>5</v>
      </c>
      <c r="D9" t="str">
        <f>INDEX(Compare!$A$2:$A$21,MATCH(C9,Compare!$I$2:$I$21,0))</f>
        <v>Banca Città</v>
      </c>
      <c r="E9">
        <f>_xlfn.XLOOKUP(D9,Compare!$A$2:$A$21,Compare!$F$2:$F$21)</f>
        <v>6.0103388390303075E-2</v>
      </c>
      <c r="F9" t="str">
        <f>_xlfn.XLOOKUP(D9,Compare!$A$2:$A$21,Compare!$K$2:$K$21)</f>
        <v>Tier two</v>
      </c>
    </row>
    <row r="10" spans="2:7" x14ac:dyDescent="0.25">
      <c r="C10">
        <v>6</v>
      </c>
      <c r="D10" t="str">
        <f>INDEX(Compare!$A$2:$A$21,MATCH(C10,Compare!$I$2:$I$21,0))</f>
        <v>Banca Veneta</v>
      </c>
      <c r="E10">
        <f>_xlfn.XLOOKUP(D10,Compare!$A$2:$A$21,Compare!$F$2:$F$21)</f>
        <v>5.7396506392174251E-2</v>
      </c>
      <c r="F10" t="str">
        <f>_xlfn.XLOOKUP(D10,Compare!$A$2:$A$21,Compare!$K$2:$K$21)</f>
        <v>Tier two</v>
      </c>
    </row>
    <row r="11" spans="2:7" x14ac:dyDescent="0.25">
      <c r="C11">
        <v>7</v>
      </c>
      <c r="D11" t="str">
        <f>INDEX(Compare!$A$2:$A$21,MATCH(C11,Compare!$I$2:$I$21,0))</f>
        <v>Banca Umbra</v>
      </c>
      <c r="E11">
        <f>_xlfn.XLOOKUP(D11,Compare!$A$2:$A$21,Compare!$F$2:$F$21)</f>
        <v>5.7340153694283282E-2</v>
      </c>
      <c r="F11" t="str">
        <f>_xlfn.XLOOKUP(D11,Compare!$A$2:$A$21,Compare!$K$2:$K$21)</f>
        <v>Tier one</v>
      </c>
    </row>
    <row r="12" spans="2:7" x14ac:dyDescent="0.25">
      <c r="C12">
        <v>8</v>
      </c>
      <c r="D12" t="str">
        <f>INDEX(Compare!$A$2:$A$21,MATCH(C12,Compare!$I$2:$I$21,0))</f>
        <v>Banca Sannita</v>
      </c>
      <c r="E12">
        <f>_xlfn.XLOOKUP(D12,Compare!$A$2:$A$21,Compare!$F$2:$F$21)</f>
        <v>5.5840514500608743E-2</v>
      </c>
      <c r="F12" t="str">
        <f>_xlfn.XLOOKUP(D12,Compare!$A$2:$A$21,Compare!$K$2:$K$21)</f>
        <v>Other</v>
      </c>
    </row>
    <row r="13" spans="2:7" x14ac:dyDescent="0.25">
      <c r="C13">
        <v>9</v>
      </c>
      <c r="D13" t="str">
        <f>INDEX(Compare!$A$2:$A$21,MATCH(C13,Compare!$I$2:$I$21,0))</f>
        <v>Banca Lucana</v>
      </c>
      <c r="E13">
        <f>_xlfn.XLOOKUP(D13,Compare!$A$2:$A$21,Compare!$F$2:$F$21)</f>
        <v>5.2026319345901656E-2</v>
      </c>
      <c r="F13" t="str">
        <f>_xlfn.XLOOKUP(D13,Compare!$A$2:$A$21,Compare!$K$2:$K$21)</f>
        <v>Other</v>
      </c>
    </row>
    <row r="14" spans="2:7" x14ac:dyDescent="0.25">
      <c r="C14">
        <v>10</v>
      </c>
      <c r="D14" t="str">
        <f>INDEX(Compare!$A$2:$A$21,MATCH(C14,Compare!$I$2:$I$21,0))</f>
        <v>Banca Padana</v>
      </c>
      <c r="E14">
        <f>_xlfn.XLOOKUP(D14,Compare!$A$2:$A$21,Compare!$F$2:$F$21)</f>
        <v>5.1699368643907777E-2</v>
      </c>
      <c r="F14" t="str">
        <f>_xlfn.XLOOKUP(D14,Compare!$A$2:$A$21,Compare!$K$2:$K$21)</f>
        <v>Tier one</v>
      </c>
      <c r="G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PeerData</vt:lpstr>
      <vt:lpstr>PeerMaster</vt:lpstr>
      <vt:lpstr>Link</vt:lpstr>
      <vt:lpstr>Compare</vt:lpstr>
      <vt:lpstr>PeerTrend</vt:lpstr>
      <vt:lpstr>PeerGrid</vt:lpstr>
      <vt:lpstr>Summary</vt:lpstr>
      <vt:lpstr>SLIDE Peer Overview</vt:lpstr>
      <vt:lpstr>SLIDE Peer Trend</vt:lpstr>
      <vt:lpstr>SLIDE Peer Gap</vt:lpstr>
      <vt:lpstr>SLIDE Peer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2026-10-17T11:54:40Z</dcterms:created>
  <dcterms:modified xsi:type="dcterms:W3CDTF">2026-10-17T11:54:48Z</dcterms:modified>
</cp:coreProperties>
</file>