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673FF8BF-398B-45A4-8922-91D81DA99891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F15" i="43" s="1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C5" i="28"/>
  <c r="H5" i="28" s="1" a="1"/>
  <c r="H5" i="28" s="1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 s="1"/>
  <c r="A16" i="19" a="1"/>
  <c r="A16" i="19" s="1"/>
  <c r="A17" i="19" a="1"/>
  <c r="A17" i="19" s="1"/>
  <c r="A18" i="19" a="1"/>
  <c r="A18" i="19" s="1"/>
  <c r="A19" i="19" a="1"/>
  <c r="A19" i="19" s="1"/>
  <c r="A20" i="19" a="1"/>
  <c r="A20" i="19" s="1"/>
  <c r="C14" i="40" s="1"/>
  <c r="A21" i="19" a="1"/>
  <c r="A21" i="19" s="1"/>
  <c r="A22" i="19" a="1"/>
  <c r="A22" i="19" s="1"/>
  <c r="A23" i="19" a="1"/>
  <c r="A23" i="19" s="1"/>
  <c r="C17" i="40" s="1"/>
  <c r="A24" i="19" a="1"/>
  <c r="A24" i="19" s="1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 s="1"/>
  <c r="I2" i="18" a="1"/>
  <c r="I2" i="18" s="1"/>
  <c r="G2" i="18" a="1"/>
  <c r="G2" i="18" s="1"/>
  <c r="A2" i="18" a="1"/>
  <c r="A2" i="18" s="1"/>
  <c r="C5" i="36" s="1" a="1"/>
  <c r="C5" i="36" s="1"/>
  <c r="A2" i="17"/>
  <c r="B2" i="17" s="1"/>
  <c r="C2" i="17" s="1"/>
  <c r="A3" i="17"/>
  <c r="A4" i="17"/>
  <c r="A5" i="17"/>
  <c r="A6" i="17"/>
  <c r="B6" i="17" s="1"/>
  <c r="D6" i="17" s="1"/>
  <c r="A7" i="17"/>
  <c r="B7" i="17" s="1"/>
  <c r="D7" i="17" s="1"/>
  <c r="A8" i="17"/>
  <c r="B8" i="17" s="1"/>
  <c r="A9" i="17"/>
  <c r="B9" i="17" s="1"/>
  <c r="A10" i="17"/>
  <c r="A11" i="17"/>
  <c r="B11" i="17" s="1"/>
  <c r="A12" i="17"/>
  <c r="A13" i="17"/>
  <c r="B13" i="17" s="1"/>
  <c r="C13" i="17" s="1"/>
  <c r="M13" i="17" s="1"/>
  <c r="A14" i="17"/>
  <c r="B14" i="17" s="1"/>
  <c r="A15" i="17"/>
  <c r="B15" i="17" s="1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B29" i="17" s="1"/>
  <c r="D29" i="17" s="1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N8" i="16" s="1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N14" i="16" s="1"/>
  <c r="E15" i="16"/>
  <c r="N15" i="16" s="1"/>
  <c r="E16" i="16"/>
  <c r="N16" i="16" s="1"/>
  <c r="E17" i="16"/>
  <c r="N17" i="16" s="1"/>
  <c r="E18" i="16"/>
  <c r="N18" i="16" s="1"/>
  <c r="E19" i="16"/>
  <c r="N19" i="16" s="1"/>
  <c r="E20" i="16"/>
  <c r="N20" i="16" s="1"/>
  <c r="E21" i="16"/>
  <c r="N21" i="16" s="1"/>
  <c r="A2" i="16"/>
  <c r="A3" i="16"/>
  <c r="A4" i="16"/>
  <c r="C4" i="16" s="1"/>
  <c r="H4" i="16" s="1"/>
  <c r="E7" i="34" s="1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C20" i="16" s="1"/>
  <c r="H20" i="16" s="1"/>
  <c r="E23" i="34" s="1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G8" i="12"/>
  <c r="AH8" i="12"/>
  <c r="AI8" i="12"/>
  <c r="AJ8" i="12"/>
  <c r="AK8" i="12"/>
  <c r="B9" i="12"/>
  <c r="C9" i="12"/>
  <c r="D9" i="12"/>
  <c r="E9" i="12"/>
  <c r="E55" i="12" s="1"/>
  <c r="F9" i="12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O11" i="12"/>
  <c r="P11" i="12"/>
  <c r="P57" i="12" s="1"/>
  <c r="Q11" i="12"/>
  <c r="R11" i="12"/>
  <c r="S11" i="12"/>
  <c r="S57" i="12" s="1"/>
  <c r="T11" i="12"/>
  <c r="T57" i="12" s="1"/>
  <c r="U11" i="12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2" i="11"/>
  <c r="D2" i="11" s="1"/>
  <c r="A3" i="11"/>
  <c r="I3" i="11" s="1"/>
  <c r="F6" i="26" s="1"/>
  <c r="A4" i="11"/>
  <c r="B4" i="11" s="1"/>
  <c r="A5" i="11"/>
  <c r="B5" i="11" s="1"/>
  <c r="A6" i="11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M9" i="10" s="1"/>
  <c r="D12" i="27" s="1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C7" i="9" s="1"/>
  <c r="A8" i="9"/>
  <c r="W8" i="9" s="1"/>
  <c r="A9" i="9"/>
  <c r="A10" i="9"/>
  <c r="V10" i="9" s="1"/>
  <c r="A11" i="9"/>
  <c r="E11" i="9" s="1"/>
  <c r="A12" i="9"/>
  <c r="W12" i="9" s="1"/>
  <c r="A13" i="9"/>
  <c r="C13" i="9" s="1"/>
  <c r="A14" i="9"/>
  <c r="A15" i="9"/>
  <c r="A16" i="9"/>
  <c r="M16" i="9" s="1"/>
  <c r="A17" i="9"/>
  <c r="D17" i="9" s="1"/>
  <c r="A18" i="9"/>
  <c r="E18" i="9" s="1"/>
  <c r="A19" i="9"/>
  <c r="C19" i="9" s="1"/>
  <c r="A20" i="9"/>
  <c r="V20" i="9" s="1"/>
  <c r="A21" i="9"/>
  <c r="R21" i="9" s="1"/>
  <c r="S21" i="9" s="1"/>
  <c r="A2" i="8"/>
  <c r="F2" i="8" s="1"/>
  <c r="A3" i="8"/>
  <c r="F3" i="8" s="1"/>
  <c r="A4" i="8"/>
  <c r="B4" i="8" s="1"/>
  <c r="T4" i="8" s="1"/>
  <c r="A5" i="8"/>
  <c r="C5" i="8" s="1"/>
  <c r="A6" i="8"/>
  <c r="D6" i="8" s="1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C17" i="8" s="1"/>
  <c r="M17" i="8" s="1"/>
  <c r="A18" i="8"/>
  <c r="D18" i="8" s="1"/>
  <c r="A19" i="8"/>
  <c r="B19" i="8" s="1"/>
  <c r="T19" i="8" s="1"/>
  <c r="A20" i="8"/>
  <c r="E20" i="8" s="1"/>
  <c r="A21" i="8"/>
  <c r="D21" i="8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A29" i="8"/>
  <c r="F29" i="8" s="1"/>
  <c r="E14" i="46" s="1" a="1"/>
  <c r="E14" i="46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E17" i="9" l="1"/>
  <c r="R20" i="9"/>
  <c r="S20" i="9" s="1"/>
  <c r="F13" i="13"/>
  <c r="N11" i="13"/>
  <c r="F9" i="13"/>
  <c r="AD3" i="13"/>
  <c r="P17" i="9"/>
  <c r="I13" i="16"/>
  <c r="W17" i="9"/>
  <c r="M17" i="9"/>
  <c r="Y13" i="13"/>
  <c r="AC12" i="13"/>
  <c r="Q11" i="13"/>
  <c r="AK10" i="13"/>
  <c r="Q7" i="13"/>
  <c r="Y5" i="13"/>
  <c r="I5" i="13"/>
  <c r="Q3" i="13"/>
  <c r="D2" i="8"/>
  <c r="F18" i="8"/>
  <c r="C2" i="10"/>
  <c r="B2" i="9"/>
  <c r="K2" i="10"/>
  <c r="U11" i="13"/>
  <c r="P2" i="9"/>
  <c r="F27" i="8"/>
  <c r="B8" i="8"/>
  <c r="K8" i="8" s="1"/>
  <c r="B2" i="8"/>
  <c r="T2" i="8" s="1"/>
  <c r="G20" i="9"/>
  <c r="C18" i="8"/>
  <c r="M18" i="9"/>
  <c r="C3" i="10"/>
  <c r="B11" i="19"/>
  <c r="D5" i="40" s="1"/>
  <c r="E5" i="40" s="1"/>
  <c r="B7" i="16"/>
  <c r="D10" i="34" s="1"/>
  <c r="C2" i="8"/>
  <c r="N2" i="8" s="1"/>
  <c r="N19" i="9"/>
  <c r="O19" i="9" s="1"/>
  <c r="D6" i="10"/>
  <c r="C7" i="16"/>
  <c r="H7" i="16" s="1"/>
  <c r="E10" i="34" s="1"/>
  <c r="M13" i="13"/>
  <c r="M5" i="13"/>
  <c r="V8" i="9"/>
  <c r="X10" i="13"/>
  <c r="H10" i="13"/>
  <c r="AF8" i="13"/>
  <c r="B4" i="9"/>
  <c r="T4" i="9" s="1" a="1"/>
  <c r="T4" i="9" s="1"/>
  <c r="C8" i="9"/>
  <c r="B17" i="8"/>
  <c r="D37" i="8"/>
  <c r="B34" i="8"/>
  <c r="T34" i="8" s="1"/>
  <c r="D34" i="8"/>
  <c r="F17" i="8"/>
  <c r="B18" i="8"/>
  <c r="T18" i="8" s="1"/>
  <c r="D17" i="8"/>
  <c r="D3" i="9"/>
  <c r="R2" i="9"/>
  <c r="B5" i="10"/>
  <c r="E8" i="27" s="1"/>
  <c r="L3" i="11"/>
  <c r="J6" i="26" s="1"/>
  <c r="V19" i="9"/>
  <c r="C9" i="10"/>
  <c r="D5" i="8"/>
  <c r="D8" i="16"/>
  <c r="B3" i="8"/>
  <c r="T3" i="8" s="1"/>
  <c r="D3" i="8"/>
  <c r="G3" i="9"/>
  <c r="W20" i="9"/>
  <c r="D7" i="16"/>
  <c r="B6" i="19"/>
  <c r="R6" i="13"/>
  <c r="C27" i="8"/>
  <c r="M27" i="8" s="1"/>
  <c r="F35" i="8"/>
  <c r="C24" i="8"/>
  <c r="M24" i="8" s="1"/>
  <c r="F34" i="8"/>
  <c r="X17" i="9"/>
  <c r="B11" i="9"/>
  <c r="M2" i="9"/>
  <c r="W19" i="9"/>
  <c r="C23" i="8"/>
  <c r="N23" i="8" s="1"/>
  <c r="F28" i="8"/>
  <c r="R28" i="8" s="1"/>
  <c r="B10" i="9"/>
  <c r="N20" i="9"/>
  <c r="O20" i="9" s="1"/>
  <c r="W4" i="9"/>
  <c r="M8" i="10"/>
  <c r="D11" i="27" s="1"/>
  <c r="F24" i="8"/>
  <c r="G14" i="9"/>
  <c r="B3" i="9"/>
  <c r="P18" i="9"/>
  <c r="B8" i="16"/>
  <c r="B5" i="16"/>
  <c r="D8" i="34" s="1"/>
  <c r="G8" i="16"/>
  <c r="C17" i="16"/>
  <c r="H17" i="16" s="1"/>
  <c r="E20" i="34" s="1"/>
  <c r="G7" i="16"/>
  <c r="B33" i="8"/>
  <c r="D33" i="8"/>
  <c r="D19" i="9"/>
  <c r="R19" i="9"/>
  <c r="S19" i="9" s="1"/>
  <c r="B3" i="11"/>
  <c r="B27" i="8"/>
  <c r="T27" i="8" s="1"/>
  <c r="D19" i="8"/>
  <c r="G9" i="9"/>
  <c r="D18" i="9"/>
  <c r="R9" i="9"/>
  <c r="S9" i="9" s="1"/>
  <c r="D3" i="11"/>
  <c r="C15" i="16"/>
  <c r="H15" i="16" s="1"/>
  <c r="E18" i="34" s="1"/>
  <c r="G5" i="16"/>
  <c r="F19" i="8"/>
  <c r="H13" i="8" a="1"/>
  <c r="H13" i="8" s="1"/>
  <c r="H5" i="8" a="1"/>
  <c r="H5" i="8" s="1"/>
  <c r="I5" i="8" s="1"/>
  <c r="D10" i="9"/>
  <c r="R4" i="9"/>
  <c r="S4" i="9" s="1"/>
  <c r="C10" i="16"/>
  <c r="H10" i="16" s="1"/>
  <c r="E13" i="34" s="1"/>
  <c r="I15" i="16"/>
  <c r="AB9" i="9" a="1"/>
  <c r="AB9" i="9" s="1"/>
  <c r="AB3" i="9" a="1"/>
  <c r="AB3" i="9" s="1"/>
  <c r="AB19" i="9" a="1"/>
  <c r="AB19" i="9" s="1"/>
  <c r="C23" i="17"/>
  <c r="D23" i="17"/>
  <c r="Y19" i="9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P9" i="9"/>
  <c r="C16" i="8"/>
  <c r="N16" i="8" s="1"/>
  <c r="B20" i="9"/>
  <c r="T20" i="9" s="1" a="1"/>
  <c r="T20" i="9" s="1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I17" i="9"/>
  <c r="P20" i="9"/>
  <c r="R11" i="9"/>
  <c r="S11" i="9" s="1"/>
  <c r="V4" i="9"/>
  <c r="X13" i="13"/>
  <c r="AB12" i="13"/>
  <c r="AJ10" i="13"/>
  <c r="P7" i="13"/>
  <c r="H5" i="13"/>
  <c r="P46" i="12"/>
  <c r="C12" i="16"/>
  <c r="H12" i="16" s="1"/>
  <c r="E15" i="34" s="1"/>
  <c r="I11" i="16"/>
  <c r="D32" i="8"/>
  <c r="E32" i="8"/>
  <c r="C11" i="8"/>
  <c r="N11" i="8" s="1"/>
  <c r="H17" i="8" a="1"/>
  <c r="H17" i="8" s="1"/>
  <c r="I17" i="8" s="1"/>
  <c r="I21" i="9"/>
  <c r="V9" i="9"/>
  <c r="L2" i="11"/>
  <c r="J5" i="26" s="1"/>
  <c r="B35" i="8"/>
  <c r="T35" i="8" s="1"/>
  <c r="H11" i="8" a="1"/>
  <c r="H11" i="8" s="1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K28" i="8" s="1"/>
  <c r="C28" i="8"/>
  <c r="M28" i="8" s="1"/>
  <c r="D4" i="8"/>
  <c r="E6" i="44" s="1" a="1"/>
  <c r="E6" i="44" s="1"/>
  <c r="H6" i="44" s="1"/>
  <c r="I6" i="44" s="1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X11" i="9" s="1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H8" i="9" s="1"/>
  <c r="N18" i="9"/>
  <c r="O18" i="9" s="1"/>
  <c r="P8" i="9"/>
  <c r="W10" i="9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R17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K10" i="13"/>
  <c r="AI8" i="13"/>
  <c r="G7" i="13"/>
  <c r="AE5" i="13"/>
  <c r="W46" i="12"/>
  <c r="G46" i="12"/>
  <c r="G9" i="16"/>
  <c r="B3" i="19"/>
  <c r="B11" i="8"/>
  <c r="D4" i="9"/>
  <c r="G4" i="9"/>
  <c r="N10" i="9"/>
  <c r="O10" i="9" s="1"/>
  <c r="P3" i="9"/>
  <c r="F5" i="10"/>
  <c r="AD13" i="13"/>
  <c r="H15" i="31" s="1" a="1"/>
  <c r="H15" i="31" s="1"/>
  <c r="AH12" i="13"/>
  <c r="F11" i="13"/>
  <c r="F7" i="13"/>
  <c r="AD5" i="13"/>
  <c r="H7" i="31" s="1" a="1"/>
  <c r="H7" i="31" s="1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M15" i="8" s="1"/>
  <c r="C9" i="9"/>
  <c r="Y9" i="9" s="1"/>
  <c r="D2" i="9"/>
  <c r="F2" i="9" s="1"/>
  <c r="V13" i="9"/>
  <c r="W3" i="9"/>
  <c r="I2" i="11"/>
  <c r="F5" i="26" s="1"/>
  <c r="L13" i="13"/>
  <c r="AF12" i="13"/>
  <c r="H3" i="8" a="1"/>
  <c r="H3" i="8" s="1"/>
  <c r="W11" i="9"/>
  <c r="C10" i="9"/>
  <c r="C12" i="8"/>
  <c r="H19" i="8" a="1"/>
  <c r="H19" i="8" s="1"/>
  <c r="AI46" i="12"/>
  <c r="D6" i="16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F15" i="47"/>
  <c r="C36" i="8"/>
  <c r="P37" i="8" s="1"/>
  <c r="C20" i="8"/>
  <c r="C4" i="8"/>
  <c r="T17" i="8"/>
  <c r="K17" i="8"/>
  <c r="M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R61" i="12"/>
  <c r="R15" i="14"/>
  <c r="R15" i="13"/>
  <c r="V14" i="13"/>
  <c r="V60" i="12"/>
  <c r="V14" i="14"/>
  <c r="AD58" i="12"/>
  <c r="AD12" i="14"/>
  <c r="AD12" i="13"/>
  <c r="N58" i="12"/>
  <c r="N12" i="14"/>
  <c r="N12" i="13"/>
  <c r="V56" i="12"/>
  <c r="V10" i="13"/>
  <c r="V10" i="14"/>
  <c r="F56" i="12"/>
  <c r="F10" i="13"/>
  <c r="F10" i="14"/>
  <c r="Z55" i="12"/>
  <c r="Z9" i="13"/>
  <c r="Z9" i="14"/>
  <c r="J55" i="12"/>
  <c r="J9" i="13"/>
  <c r="J9" i="14"/>
  <c r="AD54" i="12"/>
  <c r="AD8" i="14"/>
  <c r="AD8" i="13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D7" i="31" s="1" a="1"/>
  <c r="D7" i="31" s="1"/>
  <c r="J51" i="12"/>
  <c r="J5" i="14"/>
  <c r="J5" i="13"/>
  <c r="AD50" i="12"/>
  <c r="AD4" i="14"/>
  <c r="AD4" i="13"/>
  <c r="H6" i="31" s="1" a="1"/>
  <c r="H6" i="31" s="1"/>
  <c r="N50" i="12"/>
  <c r="E6" i="30" s="1" a="1"/>
  <c r="E6" i="30" s="1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E15" i="44" s="1" a="1"/>
  <c r="E15" i="44" s="1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AC66" i="12"/>
  <c r="B8" i="10"/>
  <c r="F8" i="10"/>
  <c r="K8" i="10"/>
  <c r="Z67" i="12"/>
  <c r="Z21" i="14"/>
  <c r="Z21" i="13"/>
  <c r="D23" i="31" s="1" a="1"/>
  <c r="D23" i="31" s="1"/>
  <c r="AD66" i="12"/>
  <c r="AD20" i="14"/>
  <c r="AD20" i="13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2" i="8"/>
  <c r="B13" i="8"/>
  <c r="E9" i="43" a="1"/>
  <c r="E9" i="43" s="1"/>
  <c r="N24" i="8"/>
  <c r="H35" i="8" a="1"/>
  <c r="H35" i="8" s="1"/>
  <c r="H8" i="8" a="1"/>
  <c r="H8" i="8" s="1"/>
  <c r="M26" i="8"/>
  <c r="D14" i="9"/>
  <c r="E7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Q13" i="9"/>
  <c r="B29" i="8"/>
  <c r="E29" i="8"/>
  <c r="E4" i="8"/>
  <c r="F13" i="8"/>
  <c r="U2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AH61" i="12"/>
  <c r="AH15" i="14"/>
  <c r="AH15" i="13"/>
  <c r="F14" i="13"/>
  <c r="F60" i="12"/>
  <c r="F14" i="14"/>
  <c r="AH57" i="12"/>
  <c r="AH11" i="14"/>
  <c r="AH11" i="13"/>
  <c r="P2" i="8"/>
  <c r="E26" i="8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M23" i="8"/>
  <c r="D36" i="8"/>
  <c r="F10" i="8"/>
  <c r="H33" i="8" a="1"/>
  <c r="H33" i="8" s="1"/>
  <c r="I33" i="8" s="1"/>
  <c r="H21" i="8" a="1"/>
  <c r="H21" i="8" s="1"/>
  <c r="N31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B32" i="8"/>
  <c r="F16" i="8"/>
  <c r="R16" i="8" s="1"/>
  <c r="B16" i="8"/>
  <c r="C22" i="8"/>
  <c r="E7" i="43" s="1" a="1"/>
  <c r="E7" i="43" s="1"/>
  <c r="R35" i="8"/>
  <c r="R11" i="8"/>
  <c r="F8" i="8"/>
  <c r="R8" i="8" s="1"/>
  <c r="H6" i="8" a="1"/>
  <c r="H6" i="8" s="1"/>
  <c r="K35" i="8"/>
  <c r="A36" i="21"/>
  <c r="A18" i="22"/>
  <c r="C21" i="39" s="1"/>
  <c r="V18" i="9"/>
  <c r="G18" i="9"/>
  <c r="C18" i="9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A32" i="21"/>
  <c r="A14" i="22"/>
  <c r="C17" i="39" s="1"/>
  <c r="R14" i="9"/>
  <c r="S14" i="9" s="1"/>
  <c r="N14" i="9"/>
  <c r="O14" i="9" s="1"/>
  <c r="B14" i="9"/>
  <c r="F7" i="47"/>
  <c r="Z59" i="12"/>
  <c r="Z13" i="13"/>
  <c r="Z13" i="14"/>
  <c r="B57" i="12"/>
  <c r="B11" i="14"/>
  <c r="H22" i="8" a="1"/>
  <c r="H22" i="8" s="1"/>
  <c r="N5" i="8"/>
  <c r="Z2" i="9"/>
  <c r="L17" i="8"/>
  <c r="B36" i="8"/>
  <c r="X13" i="9"/>
  <c r="G15" i="9"/>
  <c r="D31" i="8"/>
  <c r="F31" i="8"/>
  <c r="B31" i="8"/>
  <c r="D15" i="8"/>
  <c r="F15" i="8"/>
  <c r="B15" i="8"/>
  <c r="B10" i="8"/>
  <c r="M21" i="8"/>
  <c r="D10" i="8"/>
  <c r="E22" i="8"/>
  <c r="Q22" i="8" s="1"/>
  <c r="F30" i="8"/>
  <c r="E15" i="46" s="1" a="1"/>
  <c r="E15" i="46" s="1"/>
  <c r="F4" i="8"/>
  <c r="G16" i="8"/>
  <c r="H32" i="8" a="1"/>
  <c r="H32" i="8" s="1"/>
  <c r="I32" i="8" s="1"/>
  <c r="H20" i="8" a="1"/>
  <c r="H20" i="8" s="1"/>
  <c r="K34" i="8"/>
  <c r="K4" i="8"/>
  <c r="N28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L22" i="14" s="1" a="1"/>
  <c r="AL22" i="14" s="1"/>
  <c r="G24" i="30" s="1"/>
  <c r="AE22" i="13"/>
  <c r="AE68" i="12"/>
  <c r="E24" i="30" s="1" a="1"/>
  <c r="E24" i="30" s="1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AA65" i="12"/>
  <c r="K19" i="14"/>
  <c r="K19" i="13"/>
  <c r="K65" i="12"/>
  <c r="E20" i="41" a="1"/>
  <c r="E20" i="41" s="1"/>
  <c r="B27" i="20" a="1"/>
  <c r="B27" i="20" s="1"/>
  <c r="D20" i="41" s="1"/>
  <c r="D20" i="30" a="1"/>
  <c r="D20" i="30" s="1"/>
  <c r="AE18" i="14"/>
  <c r="AE18" i="13"/>
  <c r="AE64" i="12"/>
  <c r="E20" i="30" s="1" a="1"/>
  <c r="E20" i="30" s="1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AA61" i="12"/>
  <c r="K15" i="14"/>
  <c r="K15" i="13"/>
  <c r="K61" i="12"/>
  <c r="E13" i="44" a="1"/>
  <c r="E13" i="44" s="1"/>
  <c r="N21" i="9"/>
  <c r="O21" i="9" s="1"/>
  <c r="AA8" i="9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B8" i="22"/>
  <c r="D11" i="32"/>
  <c r="K8" i="16"/>
  <c r="G11" i="34" s="1"/>
  <c r="Q8" i="9"/>
  <c r="Y8" i="9"/>
  <c r="M22" i="13"/>
  <c r="M22" i="14"/>
  <c r="M68" i="12"/>
  <c r="AK20" i="13"/>
  <c r="AK66" i="12"/>
  <c r="AK20" i="14"/>
  <c r="E20" i="13"/>
  <c r="E20" i="14"/>
  <c r="E66" i="12"/>
  <c r="AC18" i="14"/>
  <c r="AC18" i="13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G12" i="31" s="1" a="1"/>
  <c r="G12" i="31" s="1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Z18" i="9"/>
  <c r="E12" i="44" a="1"/>
  <c r="E12" i="44" s="1"/>
  <c r="R27" i="8"/>
  <c r="D4" i="11"/>
  <c r="E5" i="45" a="1"/>
  <c r="E5" i="45" s="1"/>
  <c r="I16" i="8"/>
  <c r="E14" i="8"/>
  <c r="Q14" i="8" s="1"/>
  <c r="H29" i="8" a="1"/>
  <c r="H29" i="8" s="1"/>
  <c r="N18" i="8"/>
  <c r="T8" i="8"/>
  <c r="Q21" i="13"/>
  <c r="Q21" i="14"/>
  <c r="Q67" i="12"/>
  <c r="Y19" i="14"/>
  <c r="Y65" i="12"/>
  <c r="Y19" i="13"/>
  <c r="AK16" i="13"/>
  <c r="AK16" i="14"/>
  <c r="AK62" i="12"/>
  <c r="E11" i="43" a="1"/>
  <c r="E11" i="43" s="1"/>
  <c r="N26" i="8"/>
  <c r="D10" i="32"/>
  <c r="B7" i="22"/>
  <c r="K7" i="16"/>
  <c r="G10" i="34" s="1"/>
  <c r="Y7" i="9"/>
  <c r="B23" i="1" a="1"/>
  <c r="B23" i="1" s="1"/>
  <c r="C25" i="8"/>
  <c r="L27" i="8" s="1"/>
  <c r="F25" i="8"/>
  <c r="E10" i="46" s="1" a="1"/>
  <c r="E10" i="46" s="1"/>
  <c r="B25" i="8"/>
  <c r="C9" i="8"/>
  <c r="D5" i="28" s="1" a="1"/>
  <c r="D5" i="28" s="1"/>
  <c r="F9" i="8"/>
  <c r="R9" i="8" s="1"/>
  <c r="B9" i="8"/>
  <c r="B26" i="8"/>
  <c r="E10" i="8"/>
  <c r="F20" i="8"/>
  <c r="E5" i="46" s="1" a="1"/>
  <c r="E5" i="46" s="1"/>
  <c r="J14" i="46" s="1"/>
  <c r="H28" i="8" a="1"/>
  <c r="H28" i="8" s="1"/>
  <c r="I28" i="8" s="1"/>
  <c r="H14" i="8" a="1"/>
  <c r="H14" i="8" s="1"/>
  <c r="I12" i="9"/>
  <c r="R24" i="8"/>
  <c r="B24" i="8"/>
  <c r="P33" i="8"/>
  <c r="E36" i="8"/>
  <c r="E9" i="8"/>
  <c r="Q9" i="8" s="1"/>
  <c r="H27" i="8" a="1"/>
  <c r="H27" i="8" s="1"/>
  <c r="I27" i="8" s="1"/>
  <c r="E21" i="9"/>
  <c r="N16" i="9"/>
  <c r="O16" i="9" s="1"/>
  <c r="O6" i="9"/>
  <c r="L6" i="11"/>
  <c r="J9" i="26" s="1"/>
  <c r="B16" i="9"/>
  <c r="I16" i="9"/>
  <c r="AC68" i="12"/>
  <c r="AC22" i="14"/>
  <c r="AC22" i="13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C14" i="8"/>
  <c r="D26" i="8"/>
  <c r="R3" i="8"/>
  <c r="E13" i="8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D25" i="8"/>
  <c r="Q25" i="8" s="1"/>
  <c r="C6" i="9"/>
  <c r="B24" i="1" a="1"/>
  <c r="B24" i="1" s="1"/>
  <c r="F23" i="8"/>
  <c r="B23" i="8"/>
  <c r="D23" i="8"/>
  <c r="F7" i="8"/>
  <c r="B7" i="8"/>
  <c r="D7" i="8"/>
  <c r="B20" i="8"/>
  <c r="P32" i="8"/>
  <c r="M32" i="8"/>
  <c r="N8" i="8"/>
  <c r="E8" i="8"/>
  <c r="E10" i="45" s="1" a="1"/>
  <c r="E10" i="45" s="1"/>
  <c r="H25" i="8" a="1"/>
  <c r="H25" i="8" s="1"/>
  <c r="K19" i="8"/>
  <c r="M33" i="8"/>
  <c r="B6" i="9"/>
  <c r="I6" i="9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H30" i="8" a="1"/>
  <c r="H30" i="8" s="1"/>
  <c r="F5" i="47"/>
  <c r="N6" i="10"/>
  <c r="O6" i="10" s="1" a="1"/>
  <c r="O6" i="10" s="1"/>
  <c r="N5" i="10"/>
  <c r="O5" i="10" s="1" a="1"/>
  <c r="O5" i="10" s="1"/>
  <c r="J8" i="27" s="1"/>
  <c r="F22" i="8"/>
  <c r="B22" i="8"/>
  <c r="F6" i="8"/>
  <c r="R6" i="8" s="1"/>
  <c r="B6" i="8"/>
  <c r="E16" i="43" a="1"/>
  <c r="E16" i="43" s="1"/>
  <c r="M31" i="8"/>
  <c r="D20" i="8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H23" i="8" a="1"/>
  <c r="H23" i="8" s="1"/>
  <c r="I23" i="8" s="1"/>
  <c r="H31" i="8" a="1"/>
  <c r="H31" i="8" s="1"/>
  <c r="B7" i="23" s="1" a="1"/>
  <c r="B7" i="23" s="1"/>
  <c r="C7" i="23" s="1"/>
  <c r="C30" i="8"/>
  <c r="L32" i="8" s="1"/>
  <c r="C6" i="8"/>
  <c r="E8" i="43" s="1" a="1"/>
  <c r="E8" i="43" s="1"/>
  <c r="R19" i="8"/>
  <c r="E30" i="8"/>
  <c r="G30" i="8" s="1"/>
  <c r="E6" i="8"/>
  <c r="Q6" i="8" s="1"/>
  <c r="F14" i="8"/>
  <c r="R14" i="8" s="1"/>
  <c r="H37" i="8" a="1"/>
  <c r="H37" i="8" s="1"/>
  <c r="I37" i="8" s="1"/>
  <c r="H24" i="8" a="1"/>
  <c r="H24" i="8" s="1"/>
  <c r="I24" i="8" s="1"/>
  <c r="H12" i="8" a="1"/>
  <c r="H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G18" i="31" s="1" a="1"/>
  <c r="G18" i="31" s="1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F18" i="31" s="1" a="1"/>
  <c r="F18" i="31" s="1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M20" i="9"/>
  <c r="M4" i="9"/>
  <c r="N8" i="9"/>
  <c r="O8" i="9" s="1"/>
  <c r="R8" i="9"/>
  <c r="S8" i="9" s="1"/>
  <c r="X20" i="9"/>
  <c r="X4" i="9"/>
  <c r="C6" i="10"/>
  <c r="E6" i="10" s="1"/>
  <c r="K6" i="10"/>
  <c r="L6" i="10" s="1"/>
  <c r="H9" i="27" s="1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E22" i="31" s="1" a="1"/>
  <c r="E22" i="31" s="1"/>
  <c r="K20" i="14"/>
  <c r="K20" i="13"/>
  <c r="K66" i="12"/>
  <c r="E21" i="41" a="1"/>
  <c r="E21" i="41" s="1"/>
  <c r="B28" i="20" a="1"/>
  <c r="B28" i="20" s="1"/>
  <c r="D21" i="41" s="1"/>
  <c r="D21" i="30" a="1"/>
  <c r="D21" i="30" s="1"/>
  <c r="AE19" i="14"/>
  <c r="AL19" i="14" s="1" a="1"/>
  <c r="AL19" i="14" s="1"/>
  <c r="G21" i="30" s="1"/>
  <c r="AE65" i="12"/>
  <c r="E21" i="30" s="1" a="1"/>
  <c r="E21" i="30" s="1"/>
  <c r="AE19" i="13"/>
  <c r="I21" i="31" s="1" a="1"/>
  <c r="I21" i="31" s="1"/>
  <c r="O19" i="14"/>
  <c r="AI18" i="13"/>
  <c r="C18" i="13"/>
  <c r="AE15" i="13"/>
  <c r="AE23" i="12"/>
  <c r="C35" i="8"/>
  <c r="C19" i="8"/>
  <c r="L19" i="8" s="1"/>
  <c r="C3" i="8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M19" i="9"/>
  <c r="M3" i="9"/>
  <c r="O11" i="9"/>
  <c r="Q19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D22" i="31" s="1" a="1"/>
  <c r="D22" i="31" s="1"/>
  <c r="J20" i="14"/>
  <c r="J20" i="13"/>
  <c r="J66" i="12"/>
  <c r="AD19" i="14"/>
  <c r="AD19" i="13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Z62" i="12"/>
  <c r="J16" i="14"/>
  <c r="J16" i="13"/>
  <c r="J62" i="12"/>
  <c r="AD15" i="14"/>
  <c r="AD61" i="12"/>
  <c r="AD15" i="13"/>
  <c r="H17" i="31" s="1" a="1"/>
  <c r="H17" i="31" s="1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G21" i="31" s="1" a="1"/>
  <c r="G21" i="31" s="1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L14" i="14" s="1" a="1"/>
  <c r="AL14" i="14" s="1"/>
  <c r="G16" i="30" s="1"/>
  <c r="AE14" i="13"/>
  <c r="AE60" i="12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E10" i="13"/>
  <c r="AE56" i="12"/>
  <c r="E12" i="30" s="1" a="1"/>
  <c r="E12" i="30" s="1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AE6" i="14"/>
  <c r="AL6" i="14" s="1" a="1"/>
  <c r="AL6" i="14" s="1"/>
  <c r="G8" i="30" s="1"/>
  <c r="AE52" i="12"/>
  <c r="O6" i="13"/>
  <c r="O6" i="14"/>
  <c r="O52" i="12"/>
  <c r="AI5" i="14"/>
  <c r="AI51" i="12"/>
  <c r="AI5" i="13"/>
  <c r="S5" i="13"/>
  <c r="S51" i="12"/>
  <c r="S5" i="14"/>
  <c r="C5" i="14"/>
  <c r="C5" i="13"/>
  <c r="C51" i="12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D21" i="31" s="1" a="1"/>
  <c r="D21" i="31" s="1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D17" i="31" s="1" a="1"/>
  <c r="D17" i="31" s="1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G8" i="31" s="1" a="1"/>
  <c r="G8" i="31" s="1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AE21" i="14"/>
  <c r="AL21" i="14" s="1" a="1"/>
  <c r="AL21" i="14" s="1"/>
  <c r="G23" i="30" s="1"/>
  <c r="AE21" i="13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AE17" i="13"/>
  <c r="I19" i="31" s="1" a="1"/>
  <c r="I19" i="31" s="1"/>
  <c r="AE17" i="14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Z22" i="14"/>
  <c r="Z22" i="13"/>
  <c r="D24" i="31" s="1" a="1"/>
  <c r="D24" i="31" s="1"/>
  <c r="Z68" i="12"/>
  <c r="J22" i="14"/>
  <c r="J22" i="13"/>
  <c r="J68" i="12"/>
  <c r="AD21" i="13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Z64" i="12"/>
  <c r="Z18" i="14"/>
  <c r="J18" i="13"/>
  <c r="J18" i="14"/>
  <c r="J64" i="12"/>
  <c r="AD17" i="13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F6" i="47"/>
  <c r="B4" i="10"/>
  <c r="D4" i="10"/>
  <c r="F4" i="10"/>
  <c r="N4" i="10"/>
  <c r="O4" i="10" s="1" a="1"/>
  <c r="O4" i="10" s="1"/>
  <c r="C3" i="11"/>
  <c r="Y22" i="14"/>
  <c r="Y22" i="13"/>
  <c r="Y68" i="12"/>
  <c r="I22" i="14"/>
  <c r="I22" i="13"/>
  <c r="I68" i="12"/>
  <c r="AC21" i="13"/>
  <c r="G23" i="31" s="1" a="1"/>
  <c r="G23" i="31" s="1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E24" i="31" s="1" a="1"/>
  <c r="E24" i="31" s="1"/>
  <c r="AA68" i="12"/>
  <c r="D6" i="29" a="1"/>
  <c r="D6" i="29" s="1"/>
  <c r="E35" i="8"/>
  <c r="Q35" i="8" s="1"/>
  <c r="E19" i="8"/>
  <c r="Q19" i="8" s="1"/>
  <c r="E3" i="8"/>
  <c r="Q3" i="8" s="1"/>
  <c r="N27" i="8"/>
  <c r="A29" i="21"/>
  <c r="A11" i="22"/>
  <c r="C14" i="39" s="1"/>
  <c r="M11" i="9"/>
  <c r="F12" i="47"/>
  <c r="C6" i="23" a="1"/>
  <c r="C6" i="23" s="1"/>
  <c r="E9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M9" i="9"/>
  <c r="N13" i="9"/>
  <c r="O13" i="9" s="1"/>
  <c r="R13" i="9"/>
  <c r="S13" i="9" s="1"/>
  <c r="C2" i="11"/>
  <c r="X22" i="14"/>
  <c r="X22" i="13"/>
  <c r="X68" i="12"/>
  <c r="H22" i="14"/>
  <c r="H22" i="13"/>
  <c r="H68" i="12"/>
  <c r="AB21" i="14"/>
  <c r="AB21" i="13"/>
  <c r="F23" i="31" s="1" a="1"/>
  <c r="F23" i="31" s="1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AE20" i="14"/>
  <c r="AL20" i="14" s="1" a="1"/>
  <c r="AL20" i="14" s="1"/>
  <c r="G22" i="30" s="1"/>
  <c r="AE66" i="12"/>
  <c r="E22" i="30" s="1" a="1"/>
  <c r="E22" i="30" s="1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E19" i="31" s="1" a="1"/>
  <c r="E19" i="31" s="1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O16" i="13"/>
  <c r="O62" i="12"/>
  <c r="O16" i="14"/>
  <c r="AE8" i="13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D9" i="45" s="1" a="1"/>
  <c r="D9" i="45" s="1"/>
  <c r="D24" i="17"/>
  <c r="W4" i="13"/>
  <c r="W4" i="14"/>
  <c r="G4" i="13"/>
  <c r="G4" i="14"/>
  <c r="AA3" i="13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H16" i="31" s="1" a="1"/>
  <c r="H16" i="31" s="1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D9" i="31" s="1" a="1"/>
  <c r="D9" i="31" s="1"/>
  <c r="AD6" i="13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F11" i="14"/>
  <c r="P7" i="14"/>
  <c r="T16" i="14"/>
  <c r="D16" i="13"/>
  <c r="D16" i="14"/>
  <c r="X15" i="13"/>
  <c r="X15" i="14"/>
  <c r="H15" i="13"/>
  <c r="H61" i="12"/>
  <c r="H15" i="14"/>
  <c r="AB14" i="14"/>
  <c r="AB14" i="13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F12" i="31" s="1" a="1"/>
  <c r="F12" i="31" s="1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E13" i="30" s="1" a="1"/>
  <c r="E13" i="30" s="1"/>
  <c r="AD56" i="12"/>
  <c r="H56" i="12"/>
  <c r="W55" i="12"/>
  <c r="O50" i="12"/>
  <c r="AG11" i="13"/>
  <c r="I10" i="13"/>
  <c r="C10" i="40"/>
  <c r="B16" i="19"/>
  <c r="D10" i="40" s="1"/>
  <c r="E10" i="40" s="1"/>
  <c r="AA14" i="13"/>
  <c r="E16" i="31" s="1" a="1"/>
  <c r="E16" i="31" s="1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I11" i="31" s="1" a="1"/>
  <c r="I11" i="31" s="1"/>
  <c r="AE9" i="14"/>
  <c r="O9" i="13"/>
  <c r="O9" i="14"/>
  <c r="AI8" i="14"/>
  <c r="S8" i="14"/>
  <c r="S8" i="13"/>
  <c r="C8" i="14"/>
  <c r="W53" i="12"/>
  <c r="W7" i="14"/>
  <c r="W7" i="13"/>
  <c r="G7" i="14"/>
  <c r="AA6" i="14"/>
  <c r="AA6" i="13"/>
  <c r="K6" i="14"/>
  <c r="K6" i="13"/>
  <c r="E7" i="41" a="1"/>
  <c r="E7" i="41" s="1"/>
  <c r="D7" i="30" a="1"/>
  <c r="D7" i="30" s="1"/>
  <c r="B14" i="20" a="1"/>
  <c r="B14" i="20" s="1"/>
  <c r="D7" i="41" s="1"/>
  <c r="AE5" i="14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E10" i="31" s="1" a="1"/>
  <c r="E10" i="31" s="1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D12" i="31" s="1" a="1"/>
  <c r="D12" i="31" s="1"/>
  <c r="J10" i="13"/>
  <c r="J56" i="12"/>
  <c r="AD9" i="13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F8" i="31" s="1" a="1"/>
  <c r="F8" i="31" s="1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AD13" i="14"/>
  <c r="J10" i="14"/>
  <c r="I14" i="16"/>
  <c r="AB17" i="14"/>
  <c r="AB17" i="13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F11" i="31" s="1" a="1"/>
  <c r="F11" i="31" s="1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L12" i="14" s="1" a="1"/>
  <c r="AL12" i="14" s="1"/>
  <c r="G14" i="30" s="1"/>
  <c r="AE12" i="13"/>
  <c r="I14" i="31" s="1" a="1"/>
  <c r="I14" i="31" s="1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1" i="31" s="1" a="1"/>
  <c r="E11" i="31" s="1"/>
  <c r="E10" i="41" a="1"/>
  <c r="E10" i="41" s="1"/>
  <c r="B17" i="20" a="1"/>
  <c r="B17" i="20" s="1"/>
  <c r="D10" i="41" s="1"/>
  <c r="D10" i="30" a="1"/>
  <c r="D10" i="30" s="1"/>
  <c r="AE8" i="14"/>
  <c r="AL8" i="14" s="1" a="1"/>
  <c r="AL8" i="14" s="1"/>
  <c r="G10" i="30" s="1"/>
  <c r="AE54" i="12"/>
  <c r="E10" i="30" s="1" a="1"/>
  <c r="E10" i="30" s="1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I6" i="31" s="1" a="1"/>
  <c r="I6" i="31" s="1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K59" i="12"/>
  <c r="X57" i="12"/>
  <c r="D57" i="12"/>
  <c r="AH55" i="12"/>
  <c r="N55" i="12"/>
  <c r="V53" i="12"/>
  <c r="AK52" i="12"/>
  <c r="AE51" i="12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E18" i="31" s="1" a="1"/>
  <c r="E18" i="31" s="1"/>
  <c r="K16" i="14"/>
  <c r="K16" i="13"/>
  <c r="E17" i="41" a="1"/>
  <c r="E17" i="41" s="1"/>
  <c r="D17" i="30" a="1"/>
  <c r="D17" i="30" s="1"/>
  <c r="B24" i="20" a="1"/>
  <c r="B24" i="20" s="1"/>
  <c r="D17" i="41" s="1"/>
  <c r="AE15" i="14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B20" i="20" a="1"/>
  <c r="B20" i="20" s="1"/>
  <c r="D13" i="41" s="1"/>
  <c r="AE11" i="13"/>
  <c r="I13" i="31" s="1" a="1"/>
  <c r="I13" i="31" s="1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AE7" i="13"/>
  <c r="AE7" i="14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K50" i="12"/>
  <c r="K4" i="14"/>
  <c r="D5" i="30" a="1"/>
  <c r="D5" i="30" s="1"/>
  <c r="E5" i="41" a="1"/>
  <c r="E5" i="41" s="1"/>
  <c r="B12" i="20" a="1"/>
  <c r="B12" i="20" s="1"/>
  <c r="D5" i="41" s="1"/>
  <c r="AE3" i="14"/>
  <c r="AL3" i="14" s="1" a="1"/>
  <c r="AL3" i="14" s="1"/>
  <c r="G5" i="30" s="1"/>
  <c r="AE3" i="13"/>
  <c r="I5" i="31" s="1" a="1"/>
  <c r="I5" i="31" s="1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G15" i="31" s="1" a="1"/>
  <c r="G15" i="31" s="1"/>
  <c r="J12" i="13"/>
  <c r="AD10" i="13"/>
  <c r="H12" i="31" s="1" a="1"/>
  <c r="H12" i="31" s="1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3" a="1"/>
  <c r="D8" i="43" s="1"/>
  <c r="D8" i="47" a="1"/>
  <c r="D8" i="47" s="1"/>
  <c r="D8" i="45" a="1"/>
  <c r="D8" i="45" s="1"/>
  <c r="P23" i="17"/>
  <c r="L23" i="17"/>
  <c r="H23" i="17"/>
  <c r="K23" i="17"/>
  <c r="H8" i="35" s="1" a="1"/>
  <c r="H8" i="35" s="1"/>
  <c r="G23" i="17"/>
  <c r="M23" i="17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K22" i="17"/>
  <c r="G22" i="17"/>
  <c r="F22" i="17"/>
  <c r="N22" i="17" s="1"/>
  <c r="L22" i="17"/>
  <c r="P22" i="17"/>
  <c r="M22" i="17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C17" i="17"/>
  <c r="I17" i="17" s="1"/>
  <c r="D34" i="17"/>
  <c r="K33" i="17"/>
  <c r="C14" i="34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D5" i="36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O27" i="17"/>
  <c r="B23" i="19"/>
  <c r="D17" i="40" s="1"/>
  <c r="E17" i="40" s="1"/>
  <c r="O23" i="17"/>
  <c r="O7" i="17"/>
  <c r="C31" i="17"/>
  <c r="D16" i="44" s="1" a="1"/>
  <c r="D16" i="44" s="1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D10" i="29" a="1"/>
  <c r="D10" i="29" s="1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E6" i="43" a="1"/>
  <c r="E6" i="43" s="1"/>
  <c r="F8" i="44"/>
  <c r="D8" i="44" a="1"/>
  <c r="D8" i="44" s="1"/>
  <c r="F7" i="28"/>
  <c r="D8" i="29" a="1"/>
  <c r="D8" i="29" s="1"/>
  <c r="E5" i="43" a="1"/>
  <c r="E5" i="43" s="1"/>
  <c r="F5" i="43"/>
  <c r="E7" i="44" a="1"/>
  <c r="E7" i="44" s="1"/>
  <c r="F7" i="44"/>
  <c r="D7" i="28" a="1"/>
  <c r="D7" i="28" s="1"/>
  <c r="D8" i="35" a="1"/>
  <c r="D8" i="35" s="1"/>
  <c r="B20" i="19"/>
  <c r="D14" i="40" s="1"/>
  <c r="E14" i="40" s="1"/>
  <c r="F11" i="36"/>
  <c r="D11" i="36"/>
  <c r="F13" i="43"/>
  <c r="E13" i="43" a="1"/>
  <c r="E13" i="43" s="1"/>
  <c r="F16" i="45"/>
  <c r="F5" i="44"/>
  <c r="F10" i="46"/>
  <c r="D5" i="29" a="1"/>
  <c r="D5" i="29" s="1"/>
  <c r="F7" i="45"/>
  <c r="E12" i="43" a="1"/>
  <c r="E12" i="43" s="1"/>
  <c r="F14" i="47"/>
  <c r="F11" i="47"/>
  <c r="E16" i="44" a="1"/>
  <c r="E16" i="44" s="1"/>
  <c r="F13" i="46"/>
  <c r="E13" i="46" a="1"/>
  <c r="E13" i="46" s="1"/>
  <c r="F9" i="45"/>
  <c r="F16" i="47"/>
  <c r="F9" i="44"/>
  <c r="D9" i="44" a="1"/>
  <c r="D9" i="44" s="1"/>
  <c r="F13" i="47"/>
  <c r="F5" i="45"/>
  <c r="E9" i="44" a="1"/>
  <c r="E9" i="44" s="1"/>
  <c r="F9" i="47"/>
  <c r="F12" i="36"/>
  <c r="E14" i="43" a="1"/>
  <c r="E14" i="43" s="1"/>
  <c r="F14" i="43"/>
  <c r="F10" i="44"/>
  <c r="E11" i="46" a="1"/>
  <c r="E11" i="46" s="1"/>
  <c r="F14" i="46"/>
  <c r="H14" i="46" s="1"/>
  <c r="I14" i="46" s="1"/>
  <c r="E12" i="46" a="1"/>
  <c r="E12" i="46" s="1"/>
  <c r="F12" i="46"/>
  <c r="B6" i="21"/>
  <c r="D8" i="46" a="1"/>
  <c r="D8" i="46" s="1"/>
  <c r="F8" i="46"/>
  <c r="F12" i="45"/>
  <c r="E9" i="46" a="1"/>
  <c r="E9" i="46" s="1"/>
  <c r="F9" i="46"/>
  <c r="F10" i="47"/>
  <c r="F7" i="46"/>
  <c r="F8" i="47"/>
  <c r="B15" i="21"/>
  <c r="D10" i="33" s="1"/>
  <c r="B2" i="20" a="1"/>
  <c r="B7" i="20" a="1"/>
  <c r="B4" i="20"/>
  <c r="B7" i="20" l="1"/>
  <c r="B2" i="20"/>
  <c r="D10" i="42" s="1"/>
  <c r="H18" i="31" a="1"/>
  <c r="H18" i="31" s="1"/>
  <c r="E8" i="45" a="1"/>
  <c r="E8" i="45" s="1"/>
  <c r="I23" i="31" a="1"/>
  <c r="I23" i="31" s="1"/>
  <c r="E6" i="31" a="1"/>
  <c r="E6" i="31" s="1"/>
  <c r="E7" i="30" a="1"/>
  <c r="E7" i="30" s="1"/>
  <c r="E9" i="31" a="1"/>
  <c r="E9" i="31" s="1"/>
  <c r="D18" i="31" a="1"/>
  <c r="D18" i="31" s="1"/>
  <c r="G14" i="31" a="1"/>
  <c r="G14" i="31" s="1"/>
  <c r="E23" i="31" a="1"/>
  <c r="E23" i="31" s="1"/>
  <c r="F24" i="31" a="1"/>
  <c r="F24" i="31" s="1"/>
  <c r="I9" i="31" a="1"/>
  <c r="I9" i="31" s="1"/>
  <c r="F8" i="35" a="1"/>
  <c r="F8" i="35" s="1"/>
  <c r="H9" i="31" a="1"/>
  <c r="H9" i="31" s="1"/>
  <c r="G11" i="31" a="1"/>
  <c r="G11" i="31" s="1"/>
  <c r="AL5" i="14" a="1"/>
  <c r="AL5" i="14" s="1"/>
  <c r="G7" i="30" s="1"/>
  <c r="H8" i="31" a="1"/>
  <c r="H8" i="31" s="1"/>
  <c r="I10" i="31" a="1"/>
  <c r="I10" i="31" s="1"/>
  <c r="H23" i="31" a="1"/>
  <c r="H23" i="31" s="1"/>
  <c r="AL17" i="14" a="1"/>
  <c r="AL17" i="14" s="1"/>
  <c r="G19" i="30" s="1"/>
  <c r="E23" i="30" a="1"/>
  <c r="E23" i="30" s="1"/>
  <c r="E16" i="30" a="1"/>
  <c r="E16" i="30" s="1"/>
  <c r="F22" i="31" a="1"/>
  <c r="F22" i="31" s="1"/>
  <c r="G22" i="31" a="1"/>
  <c r="G22" i="31" s="1"/>
  <c r="E20" i="31" a="1"/>
  <c r="E20" i="31" s="1"/>
  <c r="AL7" i="14" a="1"/>
  <c r="AL7" i="14" s="1"/>
  <c r="G9" i="30" s="1"/>
  <c r="I16" i="31" a="1"/>
  <c r="I16" i="31" s="1"/>
  <c r="D6" i="31" a="1"/>
  <c r="D6" i="31" s="1"/>
  <c r="AL9" i="14" a="1"/>
  <c r="AL9" i="14" s="1"/>
  <c r="G11" i="30" s="1"/>
  <c r="G9" i="31" a="1"/>
  <c r="G9" i="31" s="1"/>
  <c r="F19" i="31" a="1"/>
  <c r="F19" i="31" s="1"/>
  <c r="D6" i="32"/>
  <c r="E19" i="30" a="1"/>
  <c r="E19" i="30" s="1"/>
  <c r="J4" i="9"/>
  <c r="Z4" i="9"/>
  <c r="H10" i="31" a="1"/>
  <c r="H10" i="31" s="1"/>
  <c r="F14" i="31" a="1"/>
  <c r="F14" i="31" s="1"/>
  <c r="E11" i="30" a="1"/>
  <c r="E11" i="30" s="1"/>
  <c r="F11" i="30" s="1"/>
  <c r="G13" i="31" a="1"/>
  <c r="G13" i="31" s="1"/>
  <c r="AL15" i="14" a="1"/>
  <c r="AL15" i="14" s="1"/>
  <c r="G17" i="30" s="1"/>
  <c r="G6" i="31" a="1"/>
  <c r="G6" i="31" s="1"/>
  <c r="G10" i="31" a="1"/>
  <c r="G10" i="31" s="1"/>
  <c r="F6" i="30"/>
  <c r="D5" i="31" a="1"/>
  <c r="D5" i="31" s="1"/>
  <c r="B3" i="22"/>
  <c r="F20" i="31" a="1"/>
  <c r="F20" i="31" s="1"/>
  <c r="I12" i="31" a="1"/>
  <c r="I12" i="31" s="1"/>
  <c r="F13" i="31" a="1"/>
  <c r="F13" i="31" s="1"/>
  <c r="H21" i="31" a="1"/>
  <c r="H21" i="31" s="1"/>
  <c r="E16" i="45" a="1"/>
  <c r="E16" i="45" s="1"/>
  <c r="F21" i="31" a="1"/>
  <c r="F21" i="31" s="1"/>
  <c r="E8" i="35" a="1"/>
  <c r="E8" i="35" s="1"/>
  <c r="G17" i="31" a="1"/>
  <c r="G17" i="31" s="1"/>
  <c r="F13" i="30"/>
  <c r="F10" i="31" a="1"/>
  <c r="F10" i="31" s="1"/>
  <c r="D14" i="31" a="1"/>
  <c r="D14" i="31" s="1"/>
  <c r="G5" i="31" a="1"/>
  <c r="G5" i="31" s="1"/>
  <c r="E18" i="30" a="1"/>
  <c r="E18" i="30" s="1"/>
  <c r="I22" i="31" a="1"/>
  <c r="I22" i="31" s="1"/>
  <c r="E8" i="30" a="1"/>
  <c r="E8" i="30" s="1"/>
  <c r="AL10" i="14" a="1"/>
  <c r="AL10" i="14" s="1"/>
  <c r="G12" i="30" s="1"/>
  <c r="G16" i="31" a="1"/>
  <c r="G16" i="31" s="1"/>
  <c r="E21" i="31" a="1"/>
  <c r="E21" i="31" s="1"/>
  <c r="H14" i="31" a="1"/>
  <c r="H14" i="31" s="1"/>
  <c r="H5" i="31" a="1"/>
  <c r="H5" i="31" s="1"/>
  <c r="G24" i="31" a="1"/>
  <c r="G24" i="31" s="1"/>
  <c r="E8" i="46" a="1"/>
  <c r="E8" i="46" s="1"/>
  <c r="E8" i="31" a="1"/>
  <c r="E8" i="31" s="1"/>
  <c r="H19" i="31" a="1"/>
  <c r="H19" i="31" s="1"/>
  <c r="I8" i="31" a="1"/>
  <c r="I8" i="31" s="1"/>
  <c r="G20" i="31" a="1"/>
  <c r="G20" i="31" s="1"/>
  <c r="D10" i="28" a="1"/>
  <c r="D10" i="28" s="1"/>
  <c r="L6" i="16"/>
  <c r="F9" i="34" s="1"/>
  <c r="E15" i="30" a="1"/>
  <c r="E15" i="30" s="1"/>
  <c r="E14" i="31" a="1"/>
  <c r="E14" i="31" s="1"/>
  <c r="D8" i="31" a="1"/>
  <c r="D8" i="31" s="1"/>
  <c r="D16" i="31" a="1"/>
  <c r="D16" i="31" s="1"/>
  <c r="E5" i="42" a="1"/>
  <c r="E5" i="42" s="1"/>
  <c r="B2" i="23" a="1"/>
  <c r="B2" i="23" s="1"/>
  <c r="E17" i="31" a="1"/>
  <c r="E17" i="31" s="1"/>
  <c r="F17" i="31" a="1"/>
  <c r="F17" i="31" s="1"/>
  <c r="D19" i="31" a="1"/>
  <c r="D19" i="31" s="1"/>
  <c r="H22" i="31" a="1"/>
  <c r="H22" i="31" s="1"/>
  <c r="I15" i="31" a="1"/>
  <c r="I15" i="31" s="1"/>
  <c r="F16" i="31" a="1"/>
  <c r="F16" i="31" s="1"/>
  <c r="I17" i="31" a="1"/>
  <c r="I17" i="31" s="1"/>
  <c r="I7" i="31" a="1"/>
  <c r="I7" i="31" s="1"/>
  <c r="H11" i="31" a="1"/>
  <c r="H11" i="31" s="1"/>
  <c r="I24" i="31" a="1"/>
  <c r="I24" i="31" s="1"/>
  <c r="D15" i="31" a="1"/>
  <c r="D15" i="31" s="1"/>
  <c r="D11" i="31" a="1"/>
  <c r="D11" i="31" s="1"/>
  <c r="E11" i="45" a="1"/>
  <c r="E11" i="45" s="1"/>
  <c r="B4" i="23" a="1"/>
  <c r="B4" i="23" s="1"/>
  <c r="G8" i="35" a="1"/>
  <c r="G8" i="35" s="1"/>
  <c r="E5" i="31" a="1"/>
  <c r="E5" i="31" s="1"/>
  <c r="D20" i="31" a="1"/>
  <c r="D20" i="31" s="1"/>
  <c r="E13" i="31" a="1"/>
  <c r="E13" i="31" s="1"/>
  <c r="F5" i="31" a="1"/>
  <c r="F5" i="31" s="1"/>
  <c r="I20" i="31" a="1"/>
  <c r="I20" i="31" s="1"/>
  <c r="E12" i="31" a="1"/>
  <c r="E12" i="31" s="1"/>
  <c r="E7" i="46" a="1"/>
  <c r="E7" i="46" s="1"/>
  <c r="AL18" i="14" a="1"/>
  <c r="AL18" i="14" s="1"/>
  <c r="G20" i="30" s="1"/>
  <c r="Q13" i="8"/>
  <c r="Q10" i="9"/>
  <c r="K3" i="8"/>
  <c r="L37" i="8"/>
  <c r="X3" i="9"/>
  <c r="E7" i="45" a="1"/>
  <c r="E7" i="45" s="1"/>
  <c r="N15" i="8"/>
  <c r="F20" i="41"/>
  <c r="K27" i="8"/>
  <c r="D12" i="32"/>
  <c r="P17" i="8"/>
  <c r="J9" i="9"/>
  <c r="I15" i="8"/>
  <c r="H9" i="9"/>
  <c r="F21" i="41"/>
  <c r="Q4" i="9"/>
  <c r="B4" i="22"/>
  <c r="Z20" i="9"/>
  <c r="D7" i="32"/>
  <c r="Y3" i="9"/>
  <c r="X9" i="9"/>
  <c r="L10" i="8"/>
  <c r="P16" i="8"/>
  <c r="M18" i="8"/>
  <c r="K2" i="8"/>
  <c r="J3" i="9"/>
  <c r="K9" i="16"/>
  <c r="G12" i="34" s="1"/>
  <c r="X10" i="9"/>
  <c r="B9" i="22"/>
  <c r="X2" i="9"/>
  <c r="Q9" i="9"/>
  <c r="F9" i="41"/>
  <c r="Q3" i="9"/>
  <c r="H4" i="9"/>
  <c r="D9" i="35" a="1"/>
  <c r="D9" i="35" s="1"/>
  <c r="K3" i="16"/>
  <c r="G6" i="34" s="1"/>
  <c r="M16" i="8"/>
  <c r="R30" i="8"/>
  <c r="J9" i="27"/>
  <c r="G32" i="8"/>
  <c r="S32" i="8" s="1"/>
  <c r="B20" i="22"/>
  <c r="T10" i="9" a="1"/>
  <c r="T10" i="9" s="1"/>
  <c r="I22" i="17"/>
  <c r="E13" i="45" a="1"/>
  <c r="E13" i="45" s="1"/>
  <c r="G28" i="8"/>
  <c r="C4" i="23" a="1"/>
  <c r="C4" i="23" s="1"/>
  <c r="E7" i="24" s="1"/>
  <c r="O12" i="8"/>
  <c r="Q32" i="8"/>
  <c r="I21" i="8"/>
  <c r="G4" i="8"/>
  <c r="L18" i="8"/>
  <c r="P28" i="8"/>
  <c r="P15" i="8"/>
  <c r="Q31" i="8"/>
  <c r="K4" i="16"/>
  <c r="G7" i="34" s="1"/>
  <c r="L29" i="8"/>
  <c r="M2" i="8"/>
  <c r="F7" i="41"/>
  <c r="J7" i="27"/>
  <c r="D23" i="32"/>
  <c r="I24" i="17"/>
  <c r="E9" i="35" s="1" a="1"/>
  <c r="E9" i="35" s="1"/>
  <c r="F20" i="30"/>
  <c r="G19" i="8"/>
  <c r="R32" i="8"/>
  <c r="E12" i="45" a="1"/>
  <c r="E12" i="45" s="1"/>
  <c r="H12" i="45" s="1"/>
  <c r="I12" i="45" s="1"/>
  <c r="D16" i="45" a="1"/>
  <c r="D16" i="45" s="1"/>
  <c r="L2" i="16"/>
  <c r="F5" i="34" s="1"/>
  <c r="L6" i="8"/>
  <c r="P21" i="8"/>
  <c r="Q4" i="8"/>
  <c r="Q20" i="9"/>
  <c r="R33" i="8"/>
  <c r="Q7" i="8"/>
  <c r="Q10" i="8"/>
  <c r="H20" i="9"/>
  <c r="K20" i="16"/>
  <c r="G23" i="34" s="1"/>
  <c r="T19" i="9" a="1"/>
  <c r="T19" i="9" s="1"/>
  <c r="Z10" i="9"/>
  <c r="F18" i="30"/>
  <c r="K10" i="16"/>
  <c r="G13" i="34" s="1"/>
  <c r="E8" i="44" a="1"/>
  <c r="E8" i="44" s="1"/>
  <c r="F21" i="30"/>
  <c r="T28" i="8"/>
  <c r="R4" i="8"/>
  <c r="I12" i="8"/>
  <c r="L20" i="16"/>
  <c r="F23" i="34" s="1"/>
  <c r="U21" i="8"/>
  <c r="H10" i="9"/>
  <c r="Y10" i="9"/>
  <c r="G11" i="8"/>
  <c r="F18" i="9"/>
  <c r="D5" i="26"/>
  <c r="G24" i="8"/>
  <c r="P12" i="8"/>
  <c r="L11" i="16"/>
  <c r="F14" i="34" s="1"/>
  <c r="L28" i="8"/>
  <c r="K13" i="9"/>
  <c r="L11" i="8"/>
  <c r="B10" i="22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D16" i="47" a="1"/>
  <c r="D16" i="47" s="1"/>
  <c r="L8" i="16"/>
  <c r="F11" i="34" s="1"/>
  <c r="D16" i="35" a="1"/>
  <c r="D16" i="35" s="1"/>
  <c r="E9" i="45" a="1"/>
  <c r="E9" i="45" s="1"/>
  <c r="J9" i="45" s="1"/>
  <c r="D23" i="9"/>
  <c r="L19" i="16"/>
  <c r="F22" i="34" s="1"/>
  <c r="F23" i="41"/>
  <c r="E5" i="10"/>
  <c r="F8" i="27" s="1"/>
  <c r="L22" i="8"/>
  <c r="F11" i="9"/>
  <c r="AA20" i="9"/>
  <c r="I6" i="10"/>
  <c r="U31" i="8"/>
  <c r="L3" i="8"/>
  <c r="T9" i="9" a="1"/>
  <c r="T9" i="9" s="1"/>
  <c r="Z9" i="9"/>
  <c r="U13" i="8"/>
  <c r="L26" i="8"/>
  <c r="N12" i="8"/>
  <c r="M12" i="8"/>
  <c r="AA3" i="9"/>
  <c r="I11" i="8"/>
  <c r="M11" i="8"/>
  <c r="C2" i="23" a="1"/>
  <c r="C2" i="23" s="1"/>
  <c r="E5" i="24" s="1"/>
  <c r="P26" i="8"/>
  <c r="J6" i="27"/>
  <c r="K19" i="9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D16" i="46" a="1"/>
  <c r="D16" i="46" s="1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F6" i="27"/>
  <c r="G3" i="10"/>
  <c r="C5" i="23" a="1"/>
  <c r="C5" i="23" s="1"/>
  <c r="E8" i="24" s="1"/>
  <c r="F12" i="27"/>
  <c r="G9" i="10"/>
  <c r="F10" i="27"/>
  <c r="G7" i="10"/>
  <c r="F5" i="27"/>
  <c r="G2" i="10"/>
  <c r="C26" i="17"/>
  <c r="I26" i="17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J16" i="43"/>
  <c r="H16" i="43"/>
  <c r="I16" i="43" s="1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U7" i="9"/>
  <c r="Z17" i="9"/>
  <c r="T17" i="9" a="1"/>
  <c r="T17" i="9" s="1"/>
  <c r="K10" i="8"/>
  <c r="T10" i="8"/>
  <c r="H3" i="11"/>
  <c r="B23" i="21"/>
  <c r="E8" i="32" s="1"/>
  <c r="D6" i="38"/>
  <c r="O13" i="8"/>
  <c r="N13" i="8"/>
  <c r="P13" i="8"/>
  <c r="M13" i="8"/>
  <c r="I13" i="8"/>
  <c r="H4" i="11"/>
  <c r="R36" i="8"/>
  <c r="G36" i="8"/>
  <c r="C8" i="32"/>
  <c r="O11" i="8"/>
  <c r="B24" i="21"/>
  <c r="E9" i="32" s="1"/>
  <c r="D5" i="38"/>
  <c r="C3" i="25"/>
  <c r="C3" i="35"/>
  <c r="B16" i="1"/>
  <c r="E11" i="27"/>
  <c r="I8" i="10"/>
  <c r="H8" i="10"/>
  <c r="G11" i="27" s="1"/>
  <c r="L8" i="10"/>
  <c r="H11" i="27" s="1"/>
  <c r="R13" i="8"/>
  <c r="G13" i="8"/>
  <c r="E15" i="47" s="1" a="1"/>
  <c r="E15" i="47" s="1"/>
  <c r="M4" i="8"/>
  <c r="I4" i="8"/>
  <c r="S4" i="8" s="1"/>
  <c r="N4" i="8"/>
  <c r="P4" i="8"/>
  <c r="O4" i="8"/>
  <c r="R22" i="8"/>
  <c r="AO8" i="13"/>
  <c r="AM8" i="13"/>
  <c r="AN8" i="13"/>
  <c r="AP8" i="13" s="1"/>
  <c r="J7" i="45"/>
  <c r="H7" i="45"/>
  <c r="I7" i="45" s="1"/>
  <c r="G17" i="8"/>
  <c r="S17" i="8" s="1"/>
  <c r="Q17" i="8"/>
  <c r="Q33" i="8"/>
  <c r="G33" i="8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E31" i="17"/>
  <c r="P31" i="17"/>
  <c r="K31" i="17"/>
  <c r="G31" i="17"/>
  <c r="D16" i="43" a="1"/>
  <c r="D16" i="43" s="1"/>
  <c r="L31" i="17"/>
  <c r="H31" i="17"/>
  <c r="I31" i="17"/>
  <c r="E16" i="35" s="1" a="1"/>
  <c r="E16" i="35" s="1"/>
  <c r="D20" i="17"/>
  <c r="C20" i="17"/>
  <c r="I20" i="17" s="1"/>
  <c r="F13" i="41"/>
  <c r="T5" i="8"/>
  <c r="K5" i="8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B20" i="21"/>
  <c r="E5" i="32" s="1"/>
  <c r="O23" i="8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E6" i="35" s="1" a="1"/>
  <c r="E6" i="35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J10" i="46"/>
  <c r="H10" i="46"/>
  <c r="I10" i="46" s="1"/>
  <c r="H7" i="44"/>
  <c r="I7" i="44" s="1"/>
  <c r="AN18" i="13"/>
  <c r="AP18" i="13" s="1"/>
  <c r="AO18" i="13"/>
  <c r="AM18" i="13"/>
  <c r="B22" i="21"/>
  <c r="E7" i="32" s="1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F19" i="30"/>
  <c r="I5" i="10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H13" i="45"/>
  <c r="I13" i="45" s="1"/>
  <c r="J13" i="45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D7" i="24"/>
  <c r="F7" i="24" s="1"/>
  <c r="G7" i="24" s="1"/>
  <c r="K22" i="8"/>
  <c r="T22" i="8"/>
  <c r="J5" i="46"/>
  <c r="H5" i="46"/>
  <c r="I5" i="46" s="1"/>
  <c r="L7" i="9"/>
  <c r="O15" i="8"/>
  <c r="AA12" i="9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U22" i="8"/>
  <c r="H15" i="44"/>
  <c r="I15" i="44" s="1"/>
  <c r="Q8" i="8"/>
  <c r="G8" i="8"/>
  <c r="S8" i="8" s="1"/>
  <c r="G23" i="8"/>
  <c r="R23" i="8"/>
  <c r="D7" i="39"/>
  <c r="C4" i="22"/>
  <c r="D4" i="22" s="1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 s="1"/>
  <c r="P8" i="17"/>
  <c r="L8" i="17"/>
  <c r="E8" i="17"/>
  <c r="M8" i="17"/>
  <c r="J8" i="17"/>
  <c r="F8" i="17"/>
  <c r="N8" i="17" s="1"/>
  <c r="H8" i="17"/>
  <c r="G8" i="17"/>
  <c r="K8" i="17"/>
  <c r="D36" i="17"/>
  <c r="C36" i="17"/>
  <c r="I36" i="17" s="1"/>
  <c r="M27" i="17"/>
  <c r="E27" i="17"/>
  <c r="P27" i="17"/>
  <c r="L27" i="17"/>
  <c r="H27" i="17"/>
  <c r="J27" i="17"/>
  <c r="F27" i="17"/>
  <c r="N27" i="17" s="1"/>
  <c r="K27" i="17"/>
  <c r="G27" i="17"/>
  <c r="AO6" i="13"/>
  <c r="AM6" i="13"/>
  <c r="AN6" i="13"/>
  <c r="AP6" i="13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35" i="17"/>
  <c r="C35" i="17"/>
  <c r="I35" i="17" s="1"/>
  <c r="G10" i="29" a="1"/>
  <c r="G10" i="29" s="1"/>
  <c r="F10" i="29"/>
  <c r="E10" i="29"/>
  <c r="D9" i="46" a="1"/>
  <c r="D9" i="46" s="1"/>
  <c r="D9" i="43" a="1"/>
  <c r="D9" i="43" s="1"/>
  <c r="P24" i="17"/>
  <c r="L24" i="17"/>
  <c r="F9" i="35" s="1" a="1"/>
  <c r="F9" i="35" s="1"/>
  <c r="M24" i="17"/>
  <c r="G9" i="35" s="1" a="1"/>
  <c r="G9" i="35" s="1"/>
  <c r="J24" i="17"/>
  <c r="E24" i="17"/>
  <c r="F24" i="17"/>
  <c r="N24" i="17" s="1"/>
  <c r="K24" i="17"/>
  <c r="G24" i="17"/>
  <c r="H24" i="17"/>
  <c r="D8" i="42"/>
  <c r="J5" i="27"/>
  <c r="D9" i="47" a="1"/>
  <c r="D9" i="47" s="1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D5" i="17"/>
  <c r="L4" i="16"/>
  <c r="F7" i="34" s="1"/>
  <c r="I9" i="17"/>
  <c r="I27" i="17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J10" i="27"/>
  <c r="E16" i="46" a="1"/>
  <c r="E16" i="46" s="1"/>
  <c r="B6" i="23" a="1"/>
  <c r="B6" i="23" s="1"/>
  <c r="B32" i="21"/>
  <c r="E17" i="32" s="1"/>
  <c r="A30" i="18" a="1"/>
  <c r="A30" i="18" s="1"/>
  <c r="E8" i="26"/>
  <c r="J5" i="11"/>
  <c r="G8" i="26" s="1"/>
  <c r="F5" i="11"/>
  <c r="K5" i="11"/>
  <c r="H8" i="26" s="1"/>
  <c r="L35" i="8"/>
  <c r="U36" i="8"/>
  <c r="B33" i="21"/>
  <c r="E18" i="32" s="1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M29" i="17"/>
  <c r="E29" i="17"/>
  <c r="J29" i="17"/>
  <c r="K29" i="17"/>
  <c r="G29" i="17"/>
  <c r="H29" i="17"/>
  <c r="F29" i="17"/>
  <c r="N29" i="17" s="1"/>
  <c r="I29" i="17"/>
  <c r="P29" i="17"/>
  <c r="L29" i="17"/>
  <c r="D25" i="17"/>
  <c r="C25" i="17"/>
  <c r="I25" i="17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R31" i="8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L24" i="8"/>
  <c r="O22" i="8"/>
  <c r="P22" i="8"/>
  <c r="P23" i="8"/>
  <c r="N22" i="8"/>
  <c r="D8" i="32"/>
  <c r="B5" i="22"/>
  <c r="K5" i="16"/>
  <c r="G8" i="34" s="1"/>
  <c r="L5" i="9"/>
  <c r="H5" i="9"/>
  <c r="K5" i="9"/>
  <c r="U5" i="9"/>
  <c r="J5" i="9"/>
  <c r="Y5" i="9"/>
  <c r="Q5" i="9"/>
  <c r="F21" i="9"/>
  <c r="X21" i="9"/>
  <c r="C18" i="32"/>
  <c r="J10" i="45"/>
  <c r="H10" i="45"/>
  <c r="I10" i="45" s="1"/>
  <c r="G6" i="8"/>
  <c r="F12" i="9"/>
  <c r="X12" i="9"/>
  <c r="J11" i="45"/>
  <c r="H11" i="45"/>
  <c r="I11" i="45" s="1"/>
  <c r="J7" i="43"/>
  <c r="H7" i="43"/>
  <c r="I7" i="43" s="1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J12" i="46"/>
  <c r="H12" i="46"/>
  <c r="I12" i="46" s="1"/>
  <c r="D12" i="17"/>
  <c r="C12" i="17"/>
  <c r="D14" i="35" s="1" a="1"/>
  <c r="D14" i="35" s="1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G21" i="17"/>
  <c r="H21" i="17"/>
  <c r="L21" i="17"/>
  <c r="D6" i="35" a="1"/>
  <c r="D6" i="35" s="1"/>
  <c r="M21" i="17"/>
  <c r="E21" i="17"/>
  <c r="P21" i="17"/>
  <c r="J21" i="17"/>
  <c r="F21" i="17"/>
  <c r="N21" i="17" s="1"/>
  <c r="F17" i="30"/>
  <c r="F5" i="41"/>
  <c r="F5" i="30"/>
  <c r="F22" i="4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AA18" i="9"/>
  <c r="H8" i="44"/>
  <c r="I8" i="44" s="1"/>
  <c r="D30" i="17"/>
  <c r="C30" i="17"/>
  <c r="I30" i="17" s="1"/>
  <c r="E15" i="35" s="1" a="1"/>
  <c r="E15" i="35" s="1"/>
  <c r="C37" i="17"/>
  <c r="I37" i="17" s="1"/>
  <c r="D37" i="17"/>
  <c r="Q12" i="8"/>
  <c r="G12" i="8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D13" i="39"/>
  <c r="C10" i="22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G2" i="8"/>
  <c r="Q7" i="9"/>
  <c r="C16" i="32"/>
  <c r="B37" i="21"/>
  <c r="E22" i="32" s="1"/>
  <c r="F22" i="32" s="1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B28" i="21"/>
  <c r="E13" i="32" s="1"/>
  <c r="C13" i="32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D28" i="17"/>
  <c r="C28" i="17"/>
  <c r="I28" i="17" s="1"/>
  <c r="E13" i="35" s="1" a="1"/>
  <c r="E13" i="35" s="1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E6" i="42" a="1"/>
  <c r="E6" i="42" s="1"/>
  <c r="E9" i="42" a="1"/>
  <c r="E9" i="42" s="1"/>
  <c r="F9" i="42" s="1"/>
  <c r="E10" i="42" a="1"/>
  <c r="E10" i="42" s="1"/>
  <c r="F10" i="42" s="1"/>
  <c r="D5" i="24"/>
  <c r="D12" i="39"/>
  <c r="C9" i="22"/>
  <c r="U10" i="8"/>
  <c r="E10" i="43" a="1"/>
  <c r="E10" i="43" s="1"/>
  <c r="N25" i="8"/>
  <c r="M25" i="8"/>
  <c r="I25" i="8"/>
  <c r="P25" i="8"/>
  <c r="O25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S19" i="8" s="1"/>
  <c r="E15" i="45" a="1"/>
  <c r="E15" i="45" s="1"/>
  <c r="Q30" i="8"/>
  <c r="U34" i="8"/>
  <c r="U35" i="8"/>
  <c r="G3" i="8"/>
  <c r="S33" i="8"/>
  <c r="H12" i="44"/>
  <c r="I12" i="44" s="1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B3" i="20" a="1"/>
  <c r="E9" i="47" l="1" a="1"/>
  <c r="E9" i="47" s="1"/>
  <c r="H9" i="47" s="1"/>
  <c r="I9" i="47" s="1"/>
  <c r="D14" i="47" a="1"/>
  <c r="D14" i="47" s="1"/>
  <c r="D6" i="46" a="1"/>
  <c r="D6" i="46" s="1"/>
  <c r="D4" i="23"/>
  <c r="E4" i="23" s="1"/>
  <c r="E11" i="35" a="1"/>
  <c r="E11" i="35" s="1"/>
  <c r="D12" i="35" a="1"/>
  <c r="D12" i="35" s="1"/>
  <c r="D12" i="43" a="1"/>
  <c r="D12" i="43" s="1"/>
  <c r="F16" i="35" a="1"/>
  <c r="F16" i="35" s="1"/>
  <c r="E13" i="47" a="1"/>
  <c r="E13" i="47" s="1"/>
  <c r="H13" i="47" s="1"/>
  <c r="I13" i="47" s="1"/>
  <c r="S21" i="8"/>
  <c r="D12" i="44" a="1"/>
  <c r="D12" i="44" s="1"/>
  <c r="H9" i="35" a="1"/>
  <c r="H9" i="35" s="1"/>
  <c r="D14" i="46" a="1"/>
  <c r="D14" i="46" s="1"/>
  <c r="H16" i="35" a="1"/>
  <c r="H16" i="35" s="1"/>
  <c r="D14" i="43" a="1"/>
  <c r="D14" i="43" s="1"/>
  <c r="E11" i="47" a="1"/>
  <c r="E11" i="47" s="1"/>
  <c r="D14" i="44" a="1"/>
  <c r="D14" i="44" s="1"/>
  <c r="E12" i="35" a="1"/>
  <c r="E12" i="35" s="1"/>
  <c r="E8" i="47" a="1"/>
  <c r="E8" i="47" s="1"/>
  <c r="H8" i="47" s="1"/>
  <c r="I8" i="47" s="1"/>
  <c r="B19" i="23" a="1"/>
  <c r="B19" i="23" s="1"/>
  <c r="C19" i="23" s="1"/>
  <c r="D14" i="45" a="1"/>
  <c r="D14" i="45" s="1"/>
  <c r="D12" i="45" a="1"/>
  <c r="D12" i="45" s="1"/>
  <c r="G16" i="35" a="1"/>
  <c r="G16" i="35" s="1"/>
  <c r="P19" i="16"/>
  <c r="H22" i="34" s="1"/>
  <c r="D12" i="46" a="1"/>
  <c r="D12" i="46" s="1"/>
  <c r="F7" i="32"/>
  <c r="E10" i="35" a="1"/>
  <c r="E10" i="35" s="1"/>
  <c r="D12" i="47" a="1"/>
  <c r="D12" i="47" s="1"/>
  <c r="I5" i="17"/>
  <c r="E7" i="35" s="1" a="1"/>
  <c r="E7" i="35" s="1"/>
  <c r="D7" i="46" a="1"/>
  <c r="D7" i="46" s="1"/>
  <c r="D7" i="43" a="1"/>
  <c r="D7" i="43" s="1"/>
  <c r="D7" i="45" a="1"/>
  <c r="D7" i="45" s="1"/>
  <c r="D7" i="35" a="1"/>
  <c r="D7" i="35" s="1"/>
  <c r="D7" i="44" a="1"/>
  <c r="D7" i="44" s="1"/>
  <c r="D7" i="47" a="1"/>
  <c r="D7" i="47" s="1"/>
  <c r="B18" i="23" a="1"/>
  <c r="B18" i="23" s="1"/>
  <c r="C18" i="23" s="1"/>
  <c r="D6" i="44" a="1"/>
  <c r="D6" i="44" s="1"/>
  <c r="E5" i="47" a="1"/>
  <c r="E5" i="47" s="1"/>
  <c r="J9" i="47" s="1"/>
  <c r="D6" i="43" a="1"/>
  <c r="D6" i="43" s="1"/>
  <c r="J16" i="44"/>
  <c r="S12" i="8"/>
  <c r="J12" i="44"/>
  <c r="J9" i="44"/>
  <c r="J13" i="44"/>
  <c r="S11" i="8"/>
  <c r="S28" i="8"/>
  <c r="J15" i="44"/>
  <c r="F8" i="32"/>
  <c r="H9" i="45"/>
  <c r="I9" i="45" s="1"/>
  <c r="F8" i="42"/>
  <c r="S22" i="8"/>
  <c r="B21" i="21"/>
  <c r="E6" i="32" s="1"/>
  <c r="F6" i="32" s="1"/>
  <c r="D9" i="22"/>
  <c r="E9" i="22" s="1"/>
  <c r="D7" i="22"/>
  <c r="E7" i="22" s="1"/>
  <c r="F7" i="22" s="1"/>
  <c r="G7" i="22" s="1"/>
  <c r="H7" i="22" s="1"/>
  <c r="S36" i="8"/>
  <c r="J8" i="16"/>
  <c r="I11" i="34" s="1"/>
  <c r="F7" i="38"/>
  <c r="F13" i="32"/>
  <c r="S24" i="8"/>
  <c r="J11" i="8"/>
  <c r="P17" i="16"/>
  <c r="H20" i="34" s="1"/>
  <c r="S31" i="8"/>
  <c r="G5" i="10"/>
  <c r="J27" i="8"/>
  <c r="D10" i="22"/>
  <c r="E10" i="22" s="1"/>
  <c r="F10" i="22" s="1"/>
  <c r="G10" i="22" s="1"/>
  <c r="H10" i="22" s="1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B10" i="23" s="1" a="1"/>
  <c r="B10" i="23" s="1"/>
  <c r="C10" i="23" s="1"/>
  <c r="S9" i="8"/>
  <c r="P15" i="16"/>
  <c r="H18" i="34" s="1"/>
  <c r="S27" i="8"/>
  <c r="B3" i="20"/>
  <c r="J14" i="16"/>
  <c r="I17" i="34" s="1"/>
  <c r="J20" i="16"/>
  <c r="I23" i="34" s="1"/>
  <c r="F13" i="25"/>
  <c r="E10" i="15"/>
  <c r="G13" i="25" s="1"/>
  <c r="C10" i="15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J7" i="47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G15" i="35" s="1" a="1"/>
  <c r="G15" i="35" s="1"/>
  <c r="E30" i="17"/>
  <c r="P30" i="17"/>
  <c r="J30" i="17"/>
  <c r="K30" i="17"/>
  <c r="H15" i="35" s="1" a="1"/>
  <c r="H15" i="35" s="1"/>
  <c r="G30" i="17"/>
  <c r="H30" i="17"/>
  <c r="L30" i="17"/>
  <c r="F15" i="35" s="1" a="1"/>
  <c r="F15" i="35" s="1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G20" i="17"/>
  <c r="H20" i="17"/>
  <c r="P20" i="17"/>
  <c r="M20" i="17"/>
  <c r="G5" i="35" s="1" a="1"/>
  <c r="G5" i="35" s="1"/>
  <c r="J20" i="17"/>
  <c r="E20" i="17"/>
  <c r="F20" i="17"/>
  <c r="N20" i="17" s="1"/>
  <c r="L20" i="17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J11" i="47"/>
  <c r="H11" i="47"/>
  <c r="I11" i="47" s="1"/>
  <c r="J3" i="8"/>
  <c r="F5" i="38"/>
  <c r="E4" i="11"/>
  <c r="J15" i="47"/>
  <c r="H15" i="47"/>
  <c r="I15" i="47" s="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E5" i="35" s="1" a="1"/>
  <c r="E5" i="35" s="1"/>
  <c r="P8" i="16"/>
  <c r="H11" i="34" s="1"/>
  <c r="J2" i="8"/>
  <c r="J15" i="8"/>
  <c r="S6" i="8"/>
  <c r="D3" i="22"/>
  <c r="E3" i="22" s="1"/>
  <c r="H7" i="26"/>
  <c r="B12" i="23"/>
  <c r="C12" i="23" s="1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J14" i="47"/>
  <c r="J12" i="47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M12" i="17"/>
  <c r="G14" i="35" s="1" a="1"/>
  <c r="G14" i="35" s="1"/>
  <c r="L12" i="17"/>
  <c r="F14" i="35" s="1" a="1"/>
  <c r="F14" i="35" s="1"/>
  <c r="P12" i="17"/>
  <c r="E12" i="17"/>
  <c r="F12" i="17"/>
  <c r="N12" i="17" s="1"/>
  <c r="G12" i="17"/>
  <c r="K12" i="17"/>
  <c r="H14" i="35" s="1" a="1"/>
  <c r="H14" i="35" s="1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F9" i="22"/>
  <c r="G9" i="22" s="1"/>
  <c r="H9" i="22" s="1"/>
  <c r="E12" i="39"/>
  <c r="J6" i="45"/>
  <c r="H6" i="45"/>
  <c r="I6" i="45" s="1"/>
  <c r="F7" i="25"/>
  <c r="E4" i="15"/>
  <c r="G7" i="25" s="1"/>
  <c r="C4" i="15"/>
  <c r="J10" i="47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F14" i="32" s="1"/>
  <c r="B35" i="21"/>
  <c r="E20" i="32" s="1"/>
  <c r="F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F7" i="35" s="1" a="1"/>
  <c r="F7" i="35" s="1"/>
  <c r="J5" i="17"/>
  <c r="K5" i="17"/>
  <c r="H7" i="35" s="1" a="1"/>
  <c r="H7" i="35" s="1"/>
  <c r="M5" i="17"/>
  <c r="G7" i="35" s="1" a="1"/>
  <c r="G7" i="35" s="1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E14" i="35" s="1" a="1"/>
  <c r="E14" i="35" s="1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D20" i="22"/>
  <c r="E20" i="22" s="1"/>
  <c r="J29" i="8"/>
  <c r="G37" i="17"/>
  <c r="H37" i="17"/>
  <c r="L37" i="17"/>
  <c r="P37" i="17"/>
  <c r="M37" i="17"/>
  <c r="J37" i="17"/>
  <c r="E37" i="17"/>
  <c r="F37" i="17"/>
  <c r="N37" i="17" s="1"/>
  <c r="K37" i="17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J6" i="47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H6" i="35" s="1" a="1"/>
  <c r="H6" i="35" s="1"/>
  <c r="P4" i="17"/>
  <c r="M4" i="17"/>
  <c r="G6" i="35" s="1" a="1"/>
  <c r="G6" i="35" s="1"/>
  <c r="J4" i="17"/>
  <c r="G4" i="17"/>
  <c r="L4" i="17"/>
  <c r="F6" i="35" s="1" a="1"/>
  <c r="F6" i="35" s="1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J8" i="47"/>
  <c r="P10" i="17"/>
  <c r="L10" i="17"/>
  <c r="F12" i="35" s="1" a="1"/>
  <c r="F12" i="35" s="1"/>
  <c r="H10" i="17"/>
  <c r="E10" i="17"/>
  <c r="M10" i="17"/>
  <c r="G12" i="35" s="1" a="1"/>
  <c r="G12" i="35" s="1"/>
  <c r="J10" i="17"/>
  <c r="G10" i="17"/>
  <c r="K10" i="17"/>
  <c r="H12" i="35" s="1" a="1"/>
  <c r="H12" i="35" s="1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F5" i="35" l="1" a="1"/>
  <c r="F5" i="35" s="1"/>
  <c r="J13" i="47"/>
  <c r="H5" i="35" a="1"/>
  <c r="H5" i="35" s="1"/>
  <c r="E10" i="39"/>
  <c r="E13" i="39"/>
  <c r="C2" i="21"/>
  <c r="E7" i="39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C27" i="21"/>
  <c r="G12" i="32" s="1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C37" i="21"/>
  <c r="G22" i="32" s="1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B18" i="1" l="1"/>
  <c r="B13" i="21"/>
  <c r="D8" i="33" s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F8" i="39"/>
  <c r="F14" i="39"/>
  <c r="I11" i="22"/>
  <c r="J9" i="22" l="1"/>
  <c r="H12" i="39" s="1"/>
  <c r="K9" i="22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B14" i="21"/>
  <c r="D9" i="33" s="1"/>
  <c r="B3" i="2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<sst xmlns="http://schemas.openxmlformats.org/spreadsheetml/2006/main" count="18064" uniqueCount="327">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</sst>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6542.2</v>
          </cell>
          <cell r="C2">
            <v>6339</v>
          </cell>
          <cell r="D2">
            <v>316.95</v>
          </cell>
          <cell r="E2">
            <v>203.19999999999982</v>
          </cell>
          <cell r="F2">
            <v>3.2055529263290708E-2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7649.6</v>
          </cell>
          <cell r="C3">
            <v>7115.9</v>
          </cell>
          <cell r="D3">
            <v>355.79</v>
          </cell>
          <cell r="E3">
            <v>533.70000000000073</v>
          </cell>
          <cell r="F3">
            <v>7.5001053977711993E-2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8739.0999999999985</v>
          </cell>
          <cell r="C4">
            <v>8260.7000000000007</v>
          </cell>
          <cell r="D4">
            <v>413.04</v>
          </cell>
          <cell r="E4">
            <v>478.39999999999782</v>
          </cell>
          <cell r="F4">
            <v>5.7912767683125858E-2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9892.6</v>
          </cell>
          <cell r="C5">
            <v>9250.5</v>
          </cell>
          <cell r="D5">
            <v>462.52</v>
          </cell>
          <cell r="E5">
            <v>642.10000000000036</v>
          </cell>
          <cell r="F5">
            <v>6.9412464191124845E-2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10989.1</v>
          </cell>
          <cell r="C6">
            <v>10605.2</v>
          </cell>
          <cell r="D6">
            <v>530.26</v>
          </cell>
          <cell r="E6">
            <v>383.89999999999964</v>
          </cell>
          <cell r="F6">
            <v>3.6199223022668085E-2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12105.600000000002</v>
          </cell>
          <cell r="C7">
            <v>11544</v>
          </cell>
          <cell r="D7">
            <v>577.20000000000005</v>
          </cell>
          <cell r="E7">
            <v>561.60000000000218</v>
          </cell>
          <cell r="F7">
            <v>4.8648648648648839E-2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13300.5</v>
          </cell>
          <cell r="C8">
            <v>12804.1</v>
          </cell>
          <cell r="D8">
            <v>640.21</v>
          </cell>
          <cell r="E8">
            <v>496.39999999999964</v>
          </cell>
          <cell r="F8">
            <v>3.876883185854528E-2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14379.300000000001</v>
          </cell>
          <cell r="C9">
            <v>13580.4</v>
          </cell>
          <cell r="D9">
            <v>679.02</v>
          </cell>
          <cell r="E9">
            <v>798.90000000000146</v>
          </cell>
          <cell r="F9">
            <v>5.8827427763541683E-2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15489.599999999999</v>
          </cell>
          <cell r="C10">
            <v>14812.8</v>
          </cell>
          <cell r="D10">
            <v>740.64</v>
          </cell>
          <cell r="E10">
            <v>676.79999999999927</v>
          </cell>
          <cell r="F10">
            <v>4.5690213869086151E-2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16648</v>
          </cell>
          <cell r="C11">
            <v>15908.8</v>
          </cell>
          <cell r="D11">
            <v>795.44</v>
          </cell>
          <cell r="E11">
            <v>739.20000000000073</v>
          </cell>
          <cell r="F11">
            <v>4.6464849642964948E-2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17663.900000000001</v>
          </cell>
          <cell r="C12">
            <v>16773.599999999999</v>
          </cell>
          <cell r="D12">
            <v>838.68</v>
          </cell>
          <cell r="E12">
            <v>890.30000000000291</v>
          </cell>
          <cell r="F12">
            <v>5.3077455048409584E-2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18941.599999999999</v>
          </cell>
          <cell r="C13">
            <v>17926.2</v>
          </cell>
          <cell r="D13">
            <v>896.31</v>
          </cell>
          <cell r="E13">
            <v>1015.3999999999978</v>
          </cell>
          <cell r="F13">
            <v>5.6643348841360568E-2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19938.900000000001</v>
          </cell>
          <cell r="C14">
            <v>19110.3</v>
          </cell>
          <cell r="D14">
            <v>955.52</v>
          </cell>
          <cell r="E14">
            <v>828.60000000000218</v>
          </cell>
          <cell r="F14">
            <v>4.3358816973046062E-2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21147.299999999996</v>
          </cell>
          <cell r="C15">
            <v>20070.599999999999</v>
          </cell>
          <cell r="D15">
            <v>1003.53</v>
          </cell>
          <cell r="E15">
            <v>1076.6999999999971</v>
          </cell>
          <cell r="F15">
            <v>5.3645630922842226E-2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22158.399999999998</v>
          </cell>
          <cell r="C16">
            <v>21317.7</v>
          </cell>
          <cell r="D16">
            <v>1065.8800000000001</v>
          </cell>
          <cell r="E16">
            <v>840.69999999999709</v>
          </cell>
          <cell r="F16">
            <v>3.9436712215670411E-2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23396.2</v>
          </cell>
          <cell r="C17">
            <v>22132.3</v>
          </cell>
          <cell r="D17">
            <v>1106.6199999999999</v>
          </cell>
          <cell r="E17">
            <v>1263.9000000000015</v>
          </cell>
          <cell r="F17">
            <v>5.7106581783185728E-2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24517.8</v>
          </cell>
          <cell r="C18">
            <v>23360.400000000001</v>
          </cell>
          <cell r="D18">
            <v>1168.02</v>
          </cell>
          <cell r="E18">
            <v>1157.3999999999978</v>
          </cell>
          <cell r="F18">
            <v>4.9545384496840712E-2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25626.999999999996</v>
          </cell>
          <cell r="C19">
            <v>24226.7</v>
          </cell>
          <cell r="D19">
            <v>1211.33</v>
          </cell>
          <cell r="E19">
            <v>1400.2999999999956</v>
          </cell>
          <cell r="F19">
            <v>5.779986543771936E-2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26741.1</v>
          </cell>
          <cell r="C20">
            <v>25309.4</v>
          </cell>
          <cell r="D20">
            <v>1265.47</v>
          </cell>
          <cell r="E20">
            <v>1431.6999999999971</v>
          </cell>
          <cell r="F20">
            <v>5.6567915478043615E-2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27692.400000000001</v>
          </cell>
          <cell r="C21">
            <v>26362.1</v>
          </cell>
          <cell r="D21">
            <v>1318.11</v>
          </cell>
          <cell r="E21">
            <v>1330.3000000000029</v>
          </cell>
          <cell r="F21">
            <v>5.04625959236936E-2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5.7912767683125858E-2</v>
          </cell>
        </row>
        <row r="3">
          <cell r="B3">
            <v>4</v>
          </cell>
        </row>
        <row r="4">
          <cell r="B4">
            <v>16749.499999999993</v>
          </cell>
        </row>
        <row r="5">
          <cell r="B5">
            <v>11</v>
          </cell>
        </row>
        <row r="6">
          <cell r="B6" t="str">
            <v>13</v>
          </cell>
        </row>
        <row r="7">
          <cell r="B7" t="str">
            <v>06%</v>
          </cell>
        </row>
        <row r="8">
          <cell r="B8">
            <v>16340.535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343560.19999999995</v>
          </cell>
        </row>
        <row r="3">
          <cell r="B3">
            <v>51141.299999999988</v>
          </cell>
        </row>
        <row r="4">
          <cell r="B4">
            <v>16749.499999999993</v>
          </cell>
        </row>
        <row r="5">
          <cell r="B5">
            <v>4594.2999999999993</v>
          </cell>
        </row>
        <row r="6">
          <cell r="B6">
            <v>4</v>
          </cell>
        </row>
        <row r="7">
          <cell r="B7" t="str">
            <v>Centro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24</v>
      </c>
    </row>
    <row r="3" spans="1:2" x14ac:dyDescent="0.25">
      <c r="A3" t="s">
        <v>118</v>
      </c>
      <c r="B3">
        <v>13</v>
      </c>
    </row>
    <row r="4" spans="1:2" x14ac:dyDescent="0.25">
      <c r="A4" t="s">
        <v>119</v>
      </c>
      <c r="B4" s="2">
        <v>0.03</v>
      </c>
    </row>
    <row r="5" spans="1:2" x14ac:dyDescent="0.25">
      <c r="A5" t="s">
        <v>8</v>
      </c>
      <c r="B5" t="s">
        <v>25</v>
      </c>
    </row>
    <row r="6" spans="1:2" x14ac:dyDescent="0.25">
      <c r="A6" t="s">
        <v>120</v>
      </c>
      <c r="B6">
        <f>MATCH(B2,Banks!$A$2:$A$21,0)</f>
        <v>3</v>
      </c>
    </row>
    <row r="7" spans="1:2" x14ac:dyDescent="0.25">
      <c r="A7" t="s">
        <v>45</v>
      </c>
      <c r="B7" t="str">
        <f>VLOOKUP(B2,Banks!$A$2:$H$21,2,FALSE)</f>
        <v>B103</v>
      </c>
    </row>
    <row r="8" spans="1:2" x14ac:dyDescent="0.25">
      <c r="A8" t="s">
        <v>121</v>
      </c>
      <c r="B8" t="str">
        <f>_xlfn.XLOOKUP(B2,Banks!$A$2:$A$21,Banks!$C$2:$C$21,"n.d.",0)</f>
        <v>Centro</v>
      </c>
    </row>
    <row r="9" spans="1:2" x14ac:dyDescent="0.25">
      <c r="A9" t="s">
        <v>122</v>
      </c>
      <c r="B9" s="1">
        <f>EOMONTH(DATE(2024,B3,1),0)</f>
        <v>45688</v>
      </c>
    </row>
    <row r="10" spans="1:2" x14ac:dyDescent="0.25">
      <c r="A10" t="s">
        <v>123</v>
      </c>
      <c r="B10" t="str">
        <f>TEXT(B9,"mmmm aaaa")</f>
        <v>gennaio 2025</v>
      </c>
    </row>
    <row r="11" spans="1:2" x14ac:dyDescent="0.25">
      <c r="A11" t="s">
        <v>9</v>
      </c>
      <c r="B11">
        <f>YEAR(B9)</f>
        <v>2025</v>
      </c>
    </row>
    <row r="12" spans="1:2" x14ac:dyDescent="0.25">
      <c r="A12" t="s">
        <v>124</v>
      </c>
      <c r="B12">
        <f>MONTH(B9)</f>
        <v>1</v>
      </c>
    </row>
    <row r="13" spans="1:2" x14ac:dyDescent="0.25">
      <c r="A13" t="s">
        <v>125</v>
      </c>
      <c r="B13">
        <f>MAX(1,B3-1)</f>
        <v>12</v>
      </c>
    </row>
    <row r="14" spans="1:2" x14ac:dyDescent="0.25">
      <c r="A14" t="s">
        <v>126</v>
      </c>
      <c r="B14">
        <f>MAX(1,B3-12)</f>
        <v>1</v>
      </c>
    </row>
    <row r="15" spans="1:2" x14ac:dyDescent="0.25">
      <c r="A15" t="s">
        <v>127</v>
      </c>
      <c r="B15">
        <f>_xlfn.XLOOKUP(B3,FX!$A$2:$A$37,FX!$C$2:$C$37)</f>
        <v>1.0719000000000001</v>
      </c>
    </row>
    <row r="16" spans="1:2" x14ac:dyDescent="0.25">
      <c r="A16" t="s">
        <v>128</v>
      </c>
      <c r="B16" t="str">
        <f>B2&amp;" ("&amp;B7&amp;") - "&amp;B10</f>
        <v>Banca Tirrena (B103) - gennaio 2025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5.7912767683125858E-2</v>
      </c>
    </row>
    <row r="19" spans="1:2" x14ac:dyDescent="0.25">
      <c r="A19" t="s">
        <v>131</v>
      </c>
      <c r="B19">
        <f>[2]Summary!$B$2</f>
        <v>343560.19999999995</v>
      </c>
    </row>
    <row r="20" spans="1:2" x14ac:dyDescent="0.25">
      <c r="A20" t="s">
        <v>132</v>
      </c>
      <c r="B20">
        <f>ROUNDUP(B12/3,0)</f>
        <v>1</v>
      </c>
    </row>
    <row r="21" spans="1:2" x14ac:dyDescent="0.25">
      <c r="A21" t="s">
        <v>133</v>
      </c>
      <c r="B21">
        <f>B3-MOD(B12-1,3)</f>
        <v>13</v>
      </c>
    </row>
    <row r="22" spans="1:2" x14ac:dyDescent="0.25">
      <c r="A22" t="s">
        <v>134</v>
      </c>
      <c r="B22">
        <f>B3-B12+1</f>
        <v>13</v>
      </c>
    </row>
    <row r="23" spans="1:2" x14ac:dyDescent="0.25">
      <c r="A23" t="s">
        <v>46</v>
      </c>
      <c r="B23" t="str" cm="1">
        <f t="array" ref="B23">TRIM(INDEX(Banks!$D$2:$D$21,B6))</f>
        <v>Verdi</v>
      </c>
    </row>
    <row r="24" spans="1:2" x14ac:dyDescent="0.25">
      <c r="A24" t="s">
        <v>47</v>
      </c>
      <c r="B24" t="str" cm="1">
        <f t="array" ref="B24">INDEX(Banks!$E$2:$E$21,B6)</f>
        <v>Grande</v>
      </c>
    </row>
    <row r="25" spans="1:2" x14ac:dyDescent="0.25">
      <c r="A25" t="s">
        <v>135</v>
      </c>
      <c r="B25">
        <f>(1+B4)^(1/12)-1</f>
        <v>2.4662697723036864E-3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8012.1</v>
      </c>
      <c r="D2">
        <f>SUMIFS(Data!$F$2:$F$5761,Data!$A$2:$A$5761,Control!$B$2,Data!$B$2:$B$5761,A2)</f>
        <v>433.36</v>
      </c>
      <c r="E2">
        <f>SUMIFS(Data!$G$2:$G$5761,Data!$A$2:$A$5761,Control!$B$2,Data!$B$2:$B$5761,A2)</f>
        <v>263.59000000000003</v>
      </c>
      <c r="F2">
        <f>SUMIFS(Data!$H$2:$H$5761,Data!$A$2:$A$5761,Control!$B$2,Data!$B$2:$B$5761,A2)</f>
        <v>980</v>
      </c>
      <c r="G2">
        <f t="shared" ref="G2:G37" si="2">D2-E2</f>
        <v>169.76999999999998</v>
      </c>
      <c r="H2" cm="1">
        <f t="array" ref="H2">INDEX(Budget!$B$2:$AK$21,Control!$B$6,MATCH(A2,Budget!$B$1:$AK$1,0))</f>
        <v>8019</v>
      </c>
      <c r="I2">
        <f t="shared" ref="I2:I37" si="3">IFERROR(C2/H2-1,0)</f>
        <v>-8.6045641601195655E-4</v>
      </c>
      <c r="J2">
        <f t="shared" ref="J2:J37" si="4">SUMIFS($C$2:$C$37,$K$2:$K$37,K2,$A$2:$A$37,"&lt;="&amp;A2)</f>
        <v>8012.1</v>
      </c>
      <c r="K2">
        <f t="shared" ref="K2:K37" si="5">YEAR(B2)</f>
        <v>2024</v>
      </c>
      <c r="L2">
        <f t="shared" ref="L2:L37" ca="1" si="6">AVERAGE(OFFSET(C2,-MIN(2,A2-1),0,MIN(3,A2),1))</f>
        <v>8012.1</v>
      </c>
      <c r="M2">
        <f>C2*_xlfn.XLOOKUP(A2,FX!$A$2:$A$37,FX!$C$2:$C$37)</f>
        <v>8476.8018000000011</v>
      </c>
      <c r="N2">
        <f>C2*(1+Control!$B$4)^(A2/12)</f>
        <v>8031.860000042675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0.60824718478862849</v>
      </c>
      <c r="R2">
        <f t="shared" ref="R2:R37" si="10">ROUND(IFERROR(D2/F2,0),2)</f>
        <v>0.44</v>
      </c>
      <c r="S2" t="str">
        <f t="shared" ref="S2:S37" si="11">IF(AND(I2&gt;0,G2&gt;0),"sopra",IF(OR(I2&lt;-0.05,G2&lt;0),"sotto","in linea"))</f>
        <v>in linea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8012.1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8126.5</v>
      </c>
      <c r="D3">
        <f>SUMIFS(Data!$F$2:$F$5761,Data!$A$2:$A$5761,Control!$B$2,Data!$B$2:$B$5761,A3)</f>
        <v>440.85999999999996</v>
      </c>
      <c r="E3">
        <f>SUMIFS(Data!$G$2:$G$5761,Data!$A$2:$A$5761,Control!$B$2,Data!$B$2:$B$5761,A3)</f>
        <v>266.66000000000003</v>
      </c>
      <c r="F3">
        <f>SUMIFS(Data!$H$2:$H$5761,Data!$A$2:$A$5761,Control!$B$2,Data!$B$2:$B$5761,A3)</f>
        <v>951</v>
      </c>
      <c r="G3">
        <f t="shared" si="2"/>
        <v>174.19999999999993</v>
      </c>
      <c r="H3" cm="1">
        <f t="array" ref="H3">INDEX(Budget!$B$2:$AK$21,Control!$B$6,MATCH(A3,Budget!$B$1:$AK$1,0))</f>
        <v>8091</v>
      </c>
      <c r="I3">
        <f t="shared" si="3"/>
        <v>4.3875911506612297E-3</v>
      </c>
      <c r="J3">
        <f t="shared" si="4"/>
        <v>16138.6</v>
      </c>
      <c r="K3">
        <f t="shared" si="5"/>
        <v>2024</v>
      </c>
      <c r="L3">
        <f t="shared" ca="1" si="6"/>
        <v>8069.3</v>
      </c>
      <c r="M3">
        <f>C3*_xlfn.XLOOKUP(A3,FX!$A$2:$A$37,FX!$C$2:$C$37)</f>
        <v>8661.2237000000005</v>
      </c>
      <c r="N3">
        <f>C3*(1+Control!$B$4)^(A3/12)</f>
        <v>8166.6337119365216</v>
      </c>
      <c r="O3">
        <f t="shared" si="7"/>
        <v>35</v>
      </c>
      <c r="P3">
        <f t="shared" si="8"/>
        <v>114.39999999999964</v>
      </c>
      <c r="Q3">
        <f t="shared" si="9"/>
        <v>0.60486322188449859</v>
      </c>
      <c r="R3">
        <f t="shared" si="10"/>
        <v>0.46</v>
      </c>
      <c r="S3" t="str">
        <f t="shared" si="11"/>
        <v>sopra</v>
      </c>
      <c r="T3" t="str">
        <f t="shared" si="12"/>
        <v>T1-2024</v>
      </c>
      <c r="U3">
        <f t="shared" si="13"/>
        <v>8069.3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8163.5</v>
      </c>
      <c r="D4">
        <f>SUMIFS(Data!$F$2:$F$5761,Data!$A$2:$A$5761,Control!$B$2,Data!$B$2:$B$5761,A4)</f>
        <v>443.09000000000003</v>
      </c>
      <c r="E4">
        <f>SUMIFS(Data!$G$2:$G$5761,Data!$A$2:$A$5761,Control!$B$2,Data!$B$2:$B$5761,A4)</f>
        <v>268.35999999999996</v>
      </c>
      <c r="F4">
        <f>SUMIFS(Data!$H$2:$H$5761,Data!$A$2:$A$5761,Control!$B$2,Data!$B$2:$B$5761,A4)</f>
        <v>906</v>
      </c>
      <c r="G4">
        <f t="shared" si="2"/>
        <v>174.73000000000008</v>
      </c>
      <c r="H4" cm="1">
        <f t="array" ref="H4">INDEX(Budget!$B$2:$AK$21,Control!$B$6,MATCH(A4,Budget!$B$1:$AK$1,0))</f>
        <v>8162</v>
      </c>
      <c r="I4">
        <f t="shared" si="3"/>
        <v>1.8377848566530908E-4</v>
      </c>
      <c r="J4">
        <f t="shared" si="4"/>
        <v>24302.1</v>
      </c>
      <c r="K4">
        <f t="shared" si="5"/>
        <v>2024</v>
      </c>
      <c r="L4">
        <f t="shared" ca="1" si="6"/>
        <v>8100.7</v>
      </c>
      <c r="M4">
        <f>C4*_xlfn.XLOOKUP(A4,FX!$A$2:$A$37,FX!$C$2:$C$37)</f>
        <v>8758.6191500000004</v>
      </c>
      <c r="N4">
        <f>C4*(1+Control!$B$4)^(A4/12)</f>
        <v>8224.0492654575228</v>
      </c>
      <c r="O4">
        <f t="shared" si="7"/>
        <v>34</v>
      </c>
      <c r="P4">
        <f t="shared" si="8"/>
        <v>37</v>
      </c>
      <c r="Q4">
        <f t="shared" si="9"/>
        <v>0.60565573585501797</v>
      </c>
      <c r="R4">
        <f t="shared" si="10"/>
        <v>0.49</v>
      </c>
      <c r="S4" t="str">
        <f t="shared" si="11"/>
        <v>sopra</v>
      </c>
      <c r="T4" t="str">
        <f t="shared" si="12"/>
        <v>T1-2024</v>
      </c>
      <c r="U4">
        <f t="shared" si="13"/>
        <v>8100.7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8209.7000000000007</v>
      </c>
      <c r="D5">
        <f>SUMIFS(Data!$F$2:$F$5761,Data!$A$2:$A$5761,Control!$B$2,Data!$B$2:$B$5761,A5)</f>
        <v>444.15</v>
      </c>
      <c r="E5">
        <f>SUMIFS(Data!$G$2:$G$5761,Data!$A$2:$A$5761,Control!$B$2,Data!$B$2:$B$5761,A5)</f>
        <v>268.62</v>
      </c>
      <c r="F5">
        <f>SUMIFS(Data!$H$2:$H$5761,Data!$A$2:$A$5761,Control!$B$2,Data!$B$2:$B$5761,A5)</f>
        <v>925</v>
      </c>
      <c r="G5">
        <f t="shared" si="2"/>
        <v>175.52999999999997</v>
      </c>
      <c r="H5" cm="1">
        <f t="array" ref="H5">INDEX(Budget!$B$2:$AK$21,Control!$B$6,MATCH(A5,Budget!$B$1:$AK$1,0))</f>
        <v>8234</v>
      </c>
      <c r="I5">
        <f t="shared" si="3"/>
        <v>-2.9511780422637468E-3</v>
      </c>
      <c r="J5">
        <f t="shared" si="4"/>
        <v>32511.8</v>
      </c>
      <c r="K5">
        <f t="shared" si="5"/>
        <v>2024</v>
      </c>
      <c r="L5">
        <f t="shared" ca="1" si="6"/>
        <v>8166.5666666666666</v>
      </c>
      <c r="M5">
        <f>C5*_xlfn.XLOOKUP(A5,FX!$A$2:$A$37,FX!$C$2:$C$37)</f>
        <v>8859.08727</v>
      </c>
      <c r="N5">
        <f>C5*(1+Control!$B$4)^(A5/12)</f>
        <v>8290.9894450599641</v>
      </c>
      <c r="O5">
        <f t="shared" si="7"/>
        <v>33</v>
      </c>
      <c r="P5">
        <f t="shared" si="8"/>
        <v>46.200000000000728</v>
      </c>
      <c r="Q5">
        <f t="shared" si="9"/>
        <v>0.60479567713610272</v>
      </c>
      <c r="R5">
        <f t="shared" si="10"/>
        <v>0.48</v>
      </c>
      <c r="S5" t="str">
        <f t="shared" si="11"/>
        <v>in linea</v>
      </c>
      <c r="T5" t="str">
        <f t="shared" si="12"/>
        <v>T2-2024</v>
      </c>
      <c r="U5">
        <f t="shared" si="13"/>
        <v>8127.95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8325.2000000000007</v>
      </c>
      <c r="D6">
        <f>SUMIFS(Data!$F$2:$F$5761,Data!$A$2:$A$5761,Control!$B$2,Data!$B$2:$B$5761,A6)</f>
        <v>451.45</v>
      </c>
      <c r="E6">
        <f>SUMIFS(Data!$G$2:$G$5761,Data!$A$2:$A$5761,Control!$B$2,Data!$B$2:$B$5761,A6)</f>
        <v>271.5</v>
      </c>
      <c r="F6">
        <f>SUMIFS(Data!$H$2:$H$5761,Data!$A$2:$A$5761,Control!$B$2,Data!$B$2:$B$5761,A6)</f>
        <v>901</v>
      </c>
      <c r="G6">
        <f t="shared" si="2"/>
        <v>179.95</v>
      </c>
      <c r="H6" cm="1">
        <f t="array" ref="H6">INDEX(Budget!$B$2:$AK$21,Control!$B$6,MATCH(A6,Budget!$B$1:$AK$1,0))</f>
        <v>8305</v>
      </c>
      <c r="I6">
        <f t="shared" si="3"/>
        <v>2.432269717038027E-3</v>
      </c>
      <c r="J6">
        <f t="shared" si="4"/>
        <v>40837</v>
      </c>
      <c r="K6">
        <f t="shared" si="5"/>
        <v>2024</v>
      </c>
      <c r="L6">
        <f t="shared" ca="1" si="6"/>
        <v>8232.8000000000011</v>
      </c>
      <c r="M6">
        <f>C6*_xlfn.XLOOKUP(A6,FX!$A$2:$A$37,FX!$C$2:$C$37)</f>
        <v>9026.1818400000011</v>
      </c>
      <c r="N6">
        <f>C6*(1+Control!$B$4)^(A6/12)</f>
        <v>8428.3685751239136</v>
      </c>
      <c r="O6">
        <f t="shared" si="7"/>
        <v>32</v>
      </c>
      <c r="P6">
        <f t="shared" si="8"/>
        <v>115.5</v>
      </c>
      <c r="Q6">
        <f t="shared" si="9"/>
        <v>0.60139550337800418</v>
      </c>
      <c r="R6">
        <f t="shared" si="10"/>
        <v>0.5</v>
      </c>
      <c r="S6" t="str">
        <f t="shared" si="11"/>
        <v>sopra</v>
      </c>
      <c r="T6" t="str">
        <f t="shared" si="12"/>
        <v>T2-2024</v>
      </c>
      <c r="U6">
        <f t="shared" si="13"/>
        <v>8167.4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8343.2999999999993</v>
      </c>
      <c r="D7">
        <f>SUMIFS(Data!$F$2:$F$5761,Data!$A$2:$A$5761,Control!$B$2,Data!$B$2:$B$5761,A7)</f>
        <v>451.67000000000007</v>
      </c>
      <c r="E7">
        <f>SUMIFS(Data!$G$2:$G$5761,Data!$A$2:$A$5761,Control!$B$2,Data!$B$2:$B$5761,A7)</f>
        <v>275.01</v>
      </c>
      <c r="F7">
        <f>SUMIFS(Data!$H$2:$H$5761,Data!$A$2:$A$5761,Control!$B$2,Data!$B$2:$B$5761,A7)</f>
        <v>974</v>
      </c>
      <c r="G7">
        <f t="shared" si="2"/>
        <v>176.66000000000008</v>
      </c>
      <c r="H7" cm="1">
        <f t="array" ref="H7">INDEX(Budget!$B$2:$AK$21,Control!$B$6,MATCH(A7,Budget!$B$1:$AK$1,0))</f>
        <v>8377</v>
      </c>
      <c r="I7">
        <f t="shared" si="3"/>
        <v>-4.0229198997254745E-3</v>
      </c>
      <c r="J7">
        <f t="shared" si="4"/>
        <v>49180.3</v>
      </c>
      <c r="K7">
        <f t="shared" si="5"/>
        <v>2024</v>
      </c>
      <c r="L7">
        <f t="shared" ca="1" si="6"/>
        <v>8292.7333333333336</v>
      </c>
      <c r="M7">
        <f>C7*_xlfn.XLOOKUP(A7,FX!$A$2:$A$37,FX!$C$2:$C$37)</f>
        <v>9076.6760699999995</v>
      </c>
      <c r="N7">
        <f>C7*(1+Control!$B$4)^(A7/12)</f>
        <v>8467.5246995033904</v>
      </c>
      <c r="O7">
        <f t="shared" si="7"/>
        <v>31</v>
      </c>
      <c r="P7">
        <f t="shared" si="8"/>
        <v>18.099999999998545</v>
      </c>
      <c r="Q7">
        <f t="shared" si="9"/>
        <v>0.6088737352491862</v>
      </c>
      <c r="R7">
        <f t="shared" si="10"/>
        <v>0.46</v>
      </c>
      <c r="S7" t="str">
        <f t="shared" si="11"/>
        <v>in linea</v>
      </c>
      <c r="T7" t="str">
        <f t="shared" si="12"/>
        <v>T2-2024</v>
      </c>
      <c r="U7">
        <f t="shared" si="13"/>
        <v>8196.7166666666672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8405</v>
      </c>
      <c r="D8">
        <f>SUMIFS(Data!$F$2:$F$5761,Data!$A$2:$A$5761,Control!$B$2,Data!$B$2:$B$5761,A8)</f>
        <v>455.92000000000007</v>
      </c>
      <c r="E8">
        <f>SUMIFS(Data!$G$2:$G$5761,Data!$A$2:$A$5761,Control!$B$2,Data!$B$2:$B$5761,A8)</f>
        <v>276.08999999999997</v>
      </c>
      <c r="F8">
        <f>SUMIFS(Data!$H$2:$H$5761,Data!$A$2:$A$5761,Control!$B$2,Data!$B$2:$B$5761,A8)</f>
        <v>935</v>
      </c>
      <c r="G8">
        <f t="shared" si="2"/>
        <v>179.8300000000001</v>
      </c>
      <c r="H8" cm="1">
        <f t="array" ref="H8">INDEX(Budget!$B$2:$AK$21,Control!$B$6,MATCH(A8,Budget!$B$1:$AK$1,0))</f>
        <v>8448</v>
      </c>
      <c r="I8">
        <f t="shared" si="3"/>
        <v>-5.0899621212121549E-3</v>
      </c>
      <c r="J8">
        <f t="shared" si="4"/>
        <v>57585.3</v>
      </c>
      <c r="K8">
        <f t="shared" si="5"/>
        <v>2024</v>
      </c>
      <c r="L8">
        <f t="shared" ca="1" si="6"/>
        <v>8357.8333333333339</v>
      </c>
      <c r="M8">
        <f>C8*_xlfn.XLOOKUP(A8,FX!$A$2:$A$37,FX!$C$2:$C$37)</f>
        <v>9162.290500000001</v>
      </c>
      <c r="N8">
        <f>C8*(1+Control!$B$4)^(A8/12)</f>
        <v>8551.1809951833293</v>
      </c>
      <c r="O8">
        <f t="shared" si="7"/>
        <v>30</v>
      </c>
      <c r="P8">
        <f t="shared" si="8"/>
        <v>61.700000000000728</v>
      </c>
      <c r="Q8">
        <f t="shared" si="9"/>
        <v>0.60556676609931548</v>
      </c>
      <c r="R8">
        <f t="shared" si="10"/>
        <v>0.49</v>
      </c>
      <c r="S8" t="str">
        <f t="shared" si="11"/>
        <v>in linea</v>
      </c>
      <c r="T8" t="str">
        <f t="shared" si="12"/>
        <v>T3-2024</v>
      </c>
      <c r="U8">
        <f t="shared" si="13"/>
        <v>8226.471428571429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8440.6</v>
      </c>
      <c r="D9">
        <f>SUMIFS(Data!$F$2:$F$5761,Data!$A$2:$A$5761,Control!$B$2,Data!$B$2:$B$5761,A9)</f>
        <v>457.53</v>
      </c>
      <c r="E9">
        <f>SUMIFS(Data!$G$2:$G$5761,Data!$A$2:$A$5761,Control!$B$2,Data!$B$2:$B$5761,A9)</f>
        <v>276.42</v>
      </c>
      <c r="F9">
        <f>SUMIFS(Data!$H$2:$H$5761,Data!$A$2:$A$5761,Control!$B$2,Data!$B$2:$B$5761,A9)</f>
        <v>937</v>
      </c>
      <c r="G9">
        <f t="shared" si="2"/>
        <v>181.10999999999996</v>
      </c>
      <c r="H9" cm="1">
        <f t="array" ref="H9">INDEX(Budget!$B$2:$AK$21,Control!$B$6,MATCH(A9,Budget!$B$1:$AK$1,0))</f>
        <v>8520</v>
      </c>
      <c r="I9">
        <f t="shared" si="3"/>
        <v>-9.3192488262909823E-3</v>
      </c>
      <c r="J9">
        <f t="shared" si="4"/>
        <v>66025.900000000009</v>
      </c>
      <c r="K9">
        <f t="shared" si="5"/>
        <v>2024</v>
      </c>
      <c r="L9">
        <f t="shared" ca="1" si="6"/>
        <v>8396.3000000000011</v>
      </c>
      <c r="M9">
        <f>C9*_xlfn.XLOOKUP(A9,FX!$A$2:$A$37,FX!$C$2:$C$37)</f>
        <v>9207.00648</v>
      </c>
      <c r="N9">
        <f>C9*(1+Control!$B$4)^(A9/12)</f>
        <v>8608.5790010415094</v>
      </c>
      <c r="O9">
        <f t="shared" si="7"/>
        <v>29</v>
      </c>
      <c r="P9">
        <f t="shared" si="8"/>
        <v>35.600000000000364</v>
      </c>
      <c r="Q9">
        <f t="shared" si="9"/>
        <v>0.60415710445216719</v>
      </c>
      <c r="R9">
        <f t="shared" si="10"/>
        <v>0.49</v>
      </c>
      <c r="S9" t="str">
        <f t="shared" si="11"/>
        <v>in linea</v>
      </c>
      <c r="T9" t="str">
        <f t="shared" si="12"/>
        <v>T3-2024</v>
      </c>
      <c r="U9">
        <f t="shared" si="13"/>
        <v>8253.2375000000011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8499.6</v>
      </c>
      <c r="D10">
        <f>SUMIFS(Data!$F$2:$F$5761,Data!$A$2:$A$5761,Control!$B$2,Data!$B$2:$B$5761,A10)</f>
        <v>458.83999999999992</v>
      </c>
      <c r="E10">
        <f>SUMIFS(Data!$G$2:$G$5761,Data!$A$2:$A$5761,Control!$B$2,Data!$B$2:$B$5761,A10)</f>
        <v>279.94</v>
      </c>
      <c r="F10">
        <f>SUMIFS(Data!$H$2:$H$5761,Data!$A$2:$A$5761,Control!$B$2,Data!$B$2:$B$5761,A10)</f>
        <v>994</v>
      </c>
      <c r="G10">
        <f t="shared" si="2"/>
        <v>178.89999999999992</v>
      </c>
      <c r="H10" cm="1">
        <f t="array" ref="H10">INDEX(Budget!$B$2:$AK$21,Control!$B$6,MATCH(A10,Budget!$B$1:$AK$1,0))</f>
        <v>8591</v>
      </c>
      <c r="I10">
        <f t="shared" si="3"/>
        <v>-1.0639040856710413E-2</v>
      </c>
      <c r="J10">
        <f t="shared" si="4"/>
        <v>74525.500000000015</v>
      </c>
      <c r="K10">
        <f t="shared" si="5"/>
        <v>2024</v>
      </c>
      <c r="L10">
        <f t="shared" ca="1" si="6"/>
        <v>8448.4</v>
      </c>
      <c r="M10">
        <f>C10*_xlfn.XLOOKUP(A10,FX!$A$2:$A$37,FX!$C$2:$C$37)</f>
        <v>9263.7140400000008</v>
      </c>
      <c r="N10">
        <f>C10*(1+Control!$B$4)^(A10/12)</f>
        <v>8690.1326622858051</v>
      </c>
      <c r="O10">
        <f t="shared" si="7"/>
        <v>28</v>
      </c>
      <c r="P10">
        <f t="shared" si="8"/>
        <v>59</v>
      </c>
      <c r="Q10">
        <f t="shared" si="9"/>
        <v>0.61010373986574851</v>
      </c>
      <c r="R10">
        <f t="shared" si="10"/>
        <v>0.46</v>
      </c>
      <c r="S10" t="str">
        <f t="shared" si="11"/>
        <v>in linea</v>
      </c>
      <c r="T10" t="str">
        <f t="shared" si="12"/>
        <v>T3-2024</v>
      </c>
      <c r="U10">
        <f t="shared" si="13"/>
        <v>8280.6111111111131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8590.6</v>
      </c>
      <c r="D11">
        <f>SUMIFS(Data!$F$2:$F$5761,Data!$A$2:$A$5761,Control!$B$2,Data!$B$2:$B$5761,A11)</f>
        <v>465</v>
      </c>
      <c r="E11">
        <f>SUMIFS(Data!$G$2:$G$5761,Data!$A$2:$A$5761,Control!$B$2,Data!$B$2:$B$5761,A11)</f>
        <v>281.33</v>
      </c>
      <c r="F11">
        <f>SUMIFS(Data!$H$2:$H$5761,Data!$A$2:$A$5761,Control!$B$2,Data!$B$2:$B$5761,A11)</f>
        <v>965</v>
      </c>
      <c r="G11">
        <f t="shared" si="2"/>
        <v>183.67000000000002</v>
      </c>
      <c r="H11" cm="1">
        <f t="array" ref="H11">INDEX(Budget!$B$2:$AK$21,Control!$B$6,MATCH(A11,Budget!$B$1:$AK$1,0))</f>
        <v>8663</v>
      </c>
      <c r="I11">
        <f t="shared" si="3"/>
        <v>-8.3573819692946971E-3</v>
      </c>
      <c r="J11">
        <f t="shared" si="4"/>
        <v>83116.10000000002</v>
      </c>
      <c r="K11">
        <f t="shared" si="5"/>
        <v>2024</v>
      </c>
      <c r="L11">
        <f t="shared" ca="1" si="6"/>
        <v>8510.2666666666682</v>
      </c>
      <c r="M11">
        <f>C11*_xlfn.XLOOKUP(A11,FX!$A$2:$A$37,FX!$C$2:$C$37)</f>
        <v>9341.4184399999995</v>
      </c>
      <c r="N11">
        <f>C11*(1+Control!$B$4)^(A11/12)</f>
        <v>8804.8342515840886</v>
      </c>
      <c r="O11">
        <f t="shared" si="7"/>
        <v>27</v>
      </c>
      <c r="P11">
        <f t="shared" si="8"/>
        <v>91</v>
      </c>
      <c r="Q11">
        <f t="shared" si="9"/>
        <v>0.60501075268817206</v>
      </c>
      <c r="R11">
        <f t="shared" si="10"/>
        <v>0.48</v>
      </c>
      <c r="S11" t="str">
        <f t="shared" si="11"/>
        <v>in linea</v>
      </c>
      <c r="T11" t="str">
        <f t="shared" si="12"/>
        <v>T4-2024</v>
      </c>
      <c r="U11">
        <f t="shared" si="13"/>
        <v>8311.6100000000024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8644.8999999999978</v>
      </c>
      <c r="D12">
        <f>SUMIFS(Data!$F$2:$F$5761,Data!$A$2:$A$5761,Control!$B$2,Data!$B$2:$B$5761,A12)</f>
        <v>468.26</v>
      </c>
      <c r="E12">
        <f>SUMIFS(Data!$G$2:$G$5761,Data!$A$2:$A$5761,Control!$B$2,Data!$B$2:$B$5761,A12)</f>
        <v>284.77</v>
      </c>
      <c r="F12">
        <f>SUMIFS(Data!$H$2:$H$5761,Data!$A$2:$A$5761,Control!$B$2,Data!$B$2:$B$5761,A12)</f>
        <v>927</v>
      </c>
      <c r="G12">
        <f t="shared" si="2"/>
        <v>183.49</v>
      </c>
      <c r="H12" cm="1">
        <f t="array" ref="H12">INDEX(Budget!$B$2:$AK$21,Control!$B$6,MATCH(A12,Budget!$B$1:$AK$1,0))</f>
        <v>8734</v>
      </c>
      <c r="I12">
        <f t="shared" si="3"/>
        <v>-1.0201511335012792E-2</v>
      </c>
      <c r="J12">
        <f t="shared" si="4"/>
        <v>91761.000000000015</v>
      </c>
      <c r="K12">
        <f t="shared" si="5"/>
        <v>2024</v>
      </c>
      <c r="L12">
        <f t="shared" ca="1" si="6"/>
        <v>8578.3666666666668</v>
      </c>
      <c r="M12">
        <f>C12*_xlfn.XLOOKUP(A12,FX!$A$2:$A$37,FX!$C$2:$C$37)</f>
        <v>9365.8846599999961</v>
      </c>
      <c r="N12">
        <f>C12*(1+Control!$B$4)^(A12/12)</f>
        <v>8882.3407514972805</v>
      </c>
      <c r="O12">
        <f t="shared" si="7"/>
        <v>26</v>
      </c>
      <c r="P12">
        <f t="shared" si="8"/>
        <v>54.299999999997453</v>
      </c>
      <c r="Q12">
        <f t="shared" si="9"/>
        <v>0.60814504762311539</v>
      </c>
      <c r="R12">
        <f t="shared" si="10"/>
        <v>0.51</v>
      </c>
      <c r="S12" t="str">
        <f t="shared" si="11"/>
        <v>in linea</v>
      </c>
      <c r="T12" t="str">
        <f t="shared" si="12"/>
        <v>T4-2024</v>
      </c>
      <c r="U12">
        <f t="shared" si="13"/>
        <v>8341.9090909090919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8718.7000000000007</v>
      </c>
      <c r="D13">
        <f>SUMIFS(Data!$F$2:$F$5761,Data!$A$2:$A$5761,Control!$B$2,Data!$B$2:$B$5761,A13)</f>
        <v>472.51</v>
      </c>
      <c r="E13">
        <f>SUMIFS(Data!$G$2:$G$5761,Data!$A$2:$A$5761,Control!$B$2,Data!$B$2:$B$5761,A13)</f>
        <v>285.29000000000002</v>
      </c>
      <c r="F13">
        <f>SUMIFS(Data!$H$2:$H$5761,Data!$A$2:$A$5761,Control!$B$2,Data!$B$2:$B$5761,A13)</f>
        <v>972</v>
      </c>
      <c r="G13">
        <f t="shared" si="2"/>
        <v>187.21999999999997</v>
      </c>
      <c r="H13" cm="1">
        <f t="array" ref="H13">INDEX(Budget!$B$2:$AK$21,Control!$B$6,MATCH(A13,Budget!$B$1:$AK$1,0))</f>
        <v>8806</v>
      </c>
      <c r="I13">
        <f t="shared" si="3"/>
        <v>-9.9136952078128227E-3</v>
      </c>
      <c r="J13">
        <f t="shared" si="4"/>
        <v>100479.70000000001</v>
      </c>
      <c r="K13">
        <f t="shared" si="5"/>
        <v>2024</v>
      </c>
      <c r="L13">
        <f t="shared" ca="1" si="6"/>
        <v>8651.4</v>
      </c>
      <c r="M13">
        <f>C13*_xlfn.XLOOKUP(A13,FX!$A$2:$A$37,FX!$C$2:$C$37)</f>
        <v>9400.5023400000009</v>
      </c>
      <c r="N13">
        <f>C13*(1+Control!$B$4)^(A13/12)</f>
        <v>8980.2610000000004</v>
      </c>
      <c r="O13">
        <f t="shared" si="7"/>
        <v>25</v>
      </c>
      <c r="P13">
        <f t="shared" si="8"/>
        <v>73.80000000000291</v>
      </c>
      <c r="Q13">
        <f t="shared" si="9"/>
        <v>0.60377558146917532</v>
      </c>
      <c r="R13">
        <f t="shared" si="10"/>
        <v>0.49</v>
      </c>
      <c r="S13" t="str">
        <f t="shared" si="11"/>
        <v>in linea</v>
      </c>
      <c r="T13" t="str">
        <f t="shared" si="12"/>
        <v>T4-2024</v>
      </c>
      <c r="U13">
        <f t="shared" si="13"/>
        <v>8373.3083333333343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8739.0999999999985</v>
      </c>
      <c r="D14">
        <f>SUMIFS(Data!$F$2:$F$5761,Data!$A$2:$A$5761,Control!$B$2,Data!$B$2:$B$5761,A14)</f>
        <v>472.04</v>
      </c>
      <c r="E14">
        <f>SUMIFS(Data!$G$2:$G$5761,Data!$A$2:$A$5761,Control!$B$2,Data!$B$2:$B$5761,A14)</f>
        <v>287.57</v>
      </c>
      <c r="F14">
        <f>SUMIFS(Data!$H$2:$H$5761,Data!$A$2:$A$5761,Control!$B$2,Data!$B$2:$B$5761,A14)</f>
        <v>986</v>
      </c>
      <c r="G14">
        <f t="shared" si="2"/>
        <v>184.47000000000003</v>
      </c>
      <c r="H14" cm="1">
        <f t="array" ref="H14">INDEX(Budget!$B$2:$AK$21,Control!$B$6,MATCH(A14,Budget!$B$1:$AK$1,0))</f>
        <v>8877</v>
      </c>
      <c r="I14">
        <f t="shared" si="3"/>
        <v>-1.5534527430438372E-2</v>
      </c>
      <c r="J14">
        <f t="shared" si="4"/>
        <v>8739.0999999999985</v>
      </c>
      <c r="K14">
        <f t="shared" si="5"/>
        <v>2025</v>
      </c>
      <c r="L14">
        <f t="shared" ca="1" si="6"/>
        <v>8700.9</v>
      </c>
      <c r="M14">
        <f>C14*_xlfn.XLOOKUP(A14,FX!$A$2:$A$37,FX!$C$2:$C$37)</f>
        <v>9367.4412899999988</v>
      </c>
      <c r="N14">
        <f>C14*(1+Control!$B$4)^(A14/12)</f>
        <v>9023.4725675121517</v>
      </c>
      <c r="O14">
        <f t="shared" si="7"/>
        <v>24</v>
      </c>
      <c r="P14">
        <f t="shared" si="8"/>
        <v>20.399999999997817</v>
      </c>
      <c r="Q14">
        <f t="shared" si="9"/>
        <v>0.60920684687738325</v>
      </c>
      <c r="R14">
        <f t="shared" si="10"/>
        <v>0.48</v>
      </c>
      <c r="S14" t="str">
        <f t="shared" si="11"/>
        <v>in linea</v>
      </c>
      <c r="T14" t="str">
        <f t="shared" si="12"/>
        <v>T1-2025</v>
      </c>
      <c r="U14">
        <f t="shared" si="13"/>
        <v>8433.8916666666646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8764.4000000000015</v>
      </c>
      <c r="D15">
        <f>SUMIFS(Data!$F$2:$F$5761,Data!$A$2:$A$5761,Control!$B$2,Data!$B$2:$B$5761,A15)</f>
        <v>473.7</v>
      </c>
      <c r="E15">
        <f>SUMIFS(Data!$G$2:$G$5761,Data!$A$2:$A$5761,Control!$B$2,Data!$B$2:$B$5761,A15)</f>
        <v>288.62</v>
      </c>
      <c r="F15">
        <f>SUMIFS(Data!$H$2:$H$5761,Data!$A$2:$A$5761,Control!$B$2,Data!$B$2:$B$5761,A15)</f>
        <v>937</v>
      </c>
      <c r="G15">
        <f t="shared" si="2"/>
        <v>185.07999999999998</v>
      </c>
      <c r="H15" cm="1">
        <f t="array" ref="H15">INDEX(Budget!$B$2:$AK$21,Control!$B$6,MATCH(A15,Budget!$B$1:$AK$1,0))</f>
        <v>8949</v>
      </c>
      <c r="I15">
        <f t="shared" si="3"/>
        <v>-2.0628003128841055E-2</v>
      </c>
      <c r="J15">
        <f t="shared" si="4"/>
        <v>17503.5</v>
      </c>
      <c r="K15">
        <f t="shared" si="5"/>
        <v>2025</v>
      </c>
      <c r="L15">
        <f t="shared" ca="1" si="6"/>
        <v>8740.7333333333336</v>
      </c>
      <c r="M15">
        <f>C15*_xlfn.XLOOKUP(A15,FX!$A$2:$A$37,FX!$C$2:$C$37)</f>
        <v>9332.3331200000011</v>
      </c>
      <c r="N15">
        <f>C15*(1+Control!$B$4)^(A15/12)</f>
        <v>9071.9145806981305</v>
      </c>
      <c r="O15">
        <f t="shared" si="7"/>
        <v>23</v>
      </c>
      <c r="P15">
        <f t="shared" si="8"/>
        <v>25.30000000000291</v>
      </c>
      <c r="Q15">
        <f t="shared" si="9"/>
        <v>0.60928857926957991</v>
      </c>
      <c r="R15">
        <f t="shared" si="10"/>
        <v>0.51</v>
      </c>
      <c r="S15" t="str">
        <f t="shared" si="11"/>
        <v>in linea</v>
      </c>
      <c r="T15" t="str">
        <f t="shared" si="12"/>
        <v>T1-2025</v>
      </c>
      <c r="U15">
        <f t="shared" si="13"/>
        <v>8487.0499999999975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8808.1</v>
      </c>
      <c r="D16">
        <f>SUMIFS(Data!$F$2:$F$5761,Data!$A$2:$A$5761,Control!$B$2,Data!$B$2:$B$5761,A16)</f>
        <v>475.75</v>
      </c>
      <c r="E16">
        <f>SUMIFS(Data!$G$2:$G$5761,Data!$A$2:$A$5761,Control!$B$2,Data!$B$2:$B$5761,A16)</f>
        <v>287.70000000000005</v>
      </c>
      <c r="F16">
        <f>SUMIFS(Data!$H$2:$H$5761,Data!$A$2:$A$5761,Control!$B$2,Data!$B$2:$B$5761,A16)</f>
        <v>923</v>
      </c>
      <c r="G16">
        <f t="shared" si="2"/>
        <v>188.04999999999995</v>
      </c>
      <c r="H16" cm="1">
        <f t="array" ref="H16">INDEX(Budget!$B$2:$AK$21,Control!$B$6,MATCH(A16,Budget!$B$1:$AK$1,0))</f>
        <v>9021</v>
      </c>
      <c r="I16">
        <f t="shared" si="3"/>
        <v>-2.3600487750803589E-2</v>
      </c>
      <c r="J16">
        <f t="shared" si="4"/>
        <v>26311.599999999999</v>
      </c>
      <c r="K16">
        <f t="shared" si="5"/>
        <v>2025</v>
      </c>
      <c r="L16">
        <f t="shared" ca="1" si="6"/>
        <v>8770.5333333333328</v>
      </c>
      <c r="M16">
        <f>C16*_xlfn.XLOOKUP(A16,FX!$A$2:$A$37,FX!$C$2:$C$37)</f>
        <v>9311.0425099999993</v>
      </c>
      <c r="N16">
        <f>C16*(1+Control!$B$4)^(A16/12)</f>
        <v>9139.6332192232148</v>
      </c>
      <c r="O16">
        <f t="shared" si="7"/>
        <v>22</v>
      </c>
      <c r="P16">
        <f t="shared" si="8"/>
        <v>43.699999999998909</v>
      </c>
      <c r="Q16">
        <f t="shared" si="9"/>
        <v>0.60472937467157128</v>
      </c>
      <c r="R16">
        <f t="shared" si="10"/>
        <v>0.52</v>
      </c>
      <c r="S16" t="str">
        <f t="shared" si="11"/>
        <v>in linea</v>
      </c>
      <c r="T16" t="str">
        <f t="shared" si="12"/>
        <v>T1-2025</v>
      </c>
      <c r="U16">
        <f t="shared" si="13"/>
        <v>8540.7666666666646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8923.1999999999989</v>
      </c>
      <c r="D17">
        <f>SUMIFS(Data!$F$2:$F$5761,Data!$A$2:$A$5761,Control!$B$2,Data!$B$2:$B$5761,A17)</f>
        <v>482.73</v>
      </c>
      <c r="E17">
        <f>SUMIFS(Data!$G$2:$G$5761,Data!$A$2:$A$5761,Control!$B$2,Data!$B$2:$B$5761,A17)</f>
        <v>292.67</v>
      </c>
      <c r="F17">
        <f>SUMIFS(Data!$H$2:$H$5761,Data!$A$2:$A$5761,Control!$B$2,Data!$B$2:$B$5761,A17)</f>
        <v>1012</v>
      </c>
      <c r="G17">
        <f t="shared" si="2"/>
        <v>190.06</v>
      </c>
      <c r="H17" cm="1">
        <f t="array" ref="H17">INDEX(Budget!$B$2:$AK$21,Control!$B$6,MATCH(A17,Budget!$B$1:$AK$1,0))</f>
        <v>9092</v>
      </c>
      <c r="I17">
        <f t="shared" si="3"/>
        <v>-1.8565772107347223E-2</v>
      </c>
      <c r="J17">
        <f t="shared" si="4"/>
        <v>35234.799999999996</v>
      </c>
      <c r="K17">
        <f t="shared" si="5"/>
        <v>2025</v>
      </c>
      <c r="L17">
        <f t="shared" ca="1" si="6"/>
        <v>8831.9</v>
      </c>
      <c r="M17">
        <f>C17*_xlfn.XLOOKUP(A17,FX!$A$2:$A$37,FX!$C$2:$C$37)</f>
        <v>9363.1137599999984</v>
      </c>
      <c r="N17">
        <f>C17*(1+Control!$B$4)^(A17/12)</f>
        <v>9281.9008887832497</v>
      </c>
      <c r="O17">
        <f t="shared" si="7"/>
        <v>21</v>
      </c>
      <c r="P17">
        <f t="shared" si="8"/>
        <v>115.09999999999854</v>
      </c>
      <c r="Q17">
        <f t="shared" si="9"/>
        <v>0.60628094379881092</v>
      </c>
      <c r="R17">
        <f t="shared" si="10"/>
        <v>0.48</v>
      </c>
      <c r="S17" t="str">
        <f t="shared" si="11"/>
        <v>in linea</v>
      </c>
      <c r="T17" t="str">
        <f t="shared" si="12"/>
        <v>T2-2025</v>
      </c>
      <c r="U17">
        <f t="shared" si="13"/>
        <v>8600.2250000000004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9056.2999999999993</v>
      </c>
      <c r="D18">
        <f>SUMIFS(Data!$F$2:$F$5761,Data!$A$2:$A$5761,Control!$B$2,Data!$B$2:$B$5761,A18)</f>
        <v>489.62</v>
      </c>
      <c r="E18">
        <f>SUMIFS(Data!$G$2:$G$5761,Data!$A$2:$A$5761,Control!$B$2,Data!$B$2:$B$5761,A18)</f>
        <v>298.03999999999996</v>
      </c>
      <c r="F18">
        <f>SUMIFS(Data!$H$2:$H$5761,Data!$A$2:$A$5761,Control!$B$2,Data!$B$2:$B$5761,A18)</f>
        <v>1003</v>
      </c>
      <c r="G18">
        <f t="shared" si="2"/>
        <v>191.58000000000004</v>
      </c>
      <c r="H18" cm="1">
        <f t="array" ref="H18">INDEX(Budget!$B$2:$AK$21,Control!$B$6,MATCH(A18,Budget!$B$1:$AK$1,0))</f>
        <v>9164</v>
      </c>
      <c r="I18">
        <f t="shared" si="3"/>
        <v>-1.1752509821038926E-2</v>
      </c>
      <c r="J18">
        <f t="shared" si="4"/>
        <v>44291.099999999991</v>
      </c>
      <c r="K18">
        <f t="shared" si="5"/>
        <v>2025</v>
      </c>
      <c r="L18">
        <f t="shared" ca="1" si="6"/>
        <v>8929.1999999999989</v>
      </c>
      <c r="M18">
        <f>C18*_xlfn.XLOOKUP(A18,FX!$A$2:$A$37,FX!$C$2:$C$37)</f>
        <v>9432.13645</v>
      </c>
      <c r="N18">
        <f>C18*(1+Control!$B$4)^(A18/12)</f>
        <v>9443.5844612383517</v>
      </c>
      <c r="O18">
        <f t="shared" si="7"/>
        <v>20</v>
      </c>
      <c r="P18">
        <f t="shared" si="8"/>
        <v>133.10000000000036</v>
      </c>
      <c r="Q18">
        <f t="shared" si="9"/>
        <v>0.60871696417629995</v>
      </c>
      <c r="R18">
        <f t="shared" si="10"/>
        <v>0.49</v>
      </c>
      <c r="S18" t="str">
        <f t="shared" si="11"/>
        <v>in linea</v>
      </c>
      <c r="T18" t="str">
        <f t="shared" si="12"/>
        <v>T2-2025</v>
      </c>
      <c r="U18">
        <f t="shared" si="13"/>
        <v>8661.15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9113.2999999999993</v>
      </c>
      <c r="D19">
        <f>SUMIFS(Data!$F$2:$F$5761,Data!$A$2:$A$5761,Control!$B$2,Data!$B$2:$B$5761,A19)</f>
        <v>493.34000000000003</v>
      </c>
      <c r="E19">
        <f>SUMIFS(Data!$G$2:$G$5761,Data!$A$2:$A$5761,Control!$B$2,Data!$B$2:$B$5761,A19)</f>
        <v>300.03000000000003</v>
      </c>
      <c r="F19">
        <f>SUMIFS(Data!$H$2:$H$5761,Data!$A$2:$A$5761,Control!$B$2,Data!$B$2:$B$5761,A19)</f>
        <v>896</v>
      </c>
      <c r="G19">
        <f t="shared" si="2"/>
        <v>193.31</v>
      </c>
      <c r="H19" cm="1">
        <f t="array" ref="H19">INDEX(Budget!$B$2:$AK$21,Control!$B$6,MATCH(A19,Budget!$B$1:$AK$1,0))</f>
        <v>9235</v>
      </c>
      <c r="I19">
        <f t="shared" si="3"/>
        <v>-1.3178126691932968E-2</v>
      </c>
      <c r="J19">
        <f t="shared" si="4"/>
        <v>53404.399999999994</v>
      </c>
      <c r="K19">
        <f t="shared" si="5"/>
        <v>2025</v>
      </c>
      <c r="L19">
        <f t="shared" ca="1" si="6"/>
        <v>9030.9333333333325</v>
      </c>
      <c r="M19">
        <f>C19*_xlfn.XLOOKUP(A19,FX!$A$2:$A$37,FX!$C$2:$C$37)</f>
        <v>9424.0635299999994</v>
      </c>
      <c r="N19">
        <f>C19*(1+Control!$B$4)^(A19/12)</f>
        <v>9526.4590305159563</v>
      </c>
      <c r="O19">
        <f t="shared" si="7"/>
        <v>19</v>
      </c>
      <c r="P19">
        <f t="shared" si="8"/>
        <v>57</v>
      </c>
      <c r="Q19">
        <f t="shared" si="9"/>
        <v>0.60816070053107396</v>
      </c>
      <c r="R19">
        <f t="shared" si="10"/>
        <v>0.55000000000000004</v>
      </c>
      <c r="S19" t="str">
        <f t="shared" si="11"/>
        <v>in linea</v>
      </c>
      <c r="T19" t="str">
        <f t="shared" si="12"/>
        <v>T2-2025</v>
      </c>
      <c r="U19">
        <f t="shared" si="13"/>
        <v>8725.3166666666675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9158.2000000000007</v>
      </c>
      <c r="D20">
        <f>SUMIFS(Data!$F$2:$F$5761,Data!$A$2:$A$5761,Control!$B$2,Data!$B$2:$B$5761,A20)</f>
        <v>494.5</v>
      </c>
      <c r="E20">
        <f>SUMIFS(Data!$G$2:$G$5761,Data!$A$2:$A$5761,Control!$B$2,Data!$B$2:$B$5761,A20)</f>
        <v>300.25</v>
      </c>
      <c r="F20">
        <f>SUMIFS(Data!$H$2:$H$5761,Data!$A$2:$A$5761,Control!$B$2,Data!$B$2:$B$5761,A20)</f>
        <v>934</v>
      </c>
      <c r="G20">
        <f t="shared" si="2"/>
        <v>194.25</v>
      </c>
      <c r="H20" cm="1">
        <f t="array" ref="H20">INDEX(Budget!$B$2:$AK$21,Control!$B$6,MATCH(A20,Budget!$B$1:$AK$1,0))</f>
        <v>9307</v>
      </c>
      <c r="I20">
        <f t="shared" si="3"/>
        <v>-1.5987966047061319E-2</v>
      </c>
      <c r="J20">
        <f t="shared" si="4"/>
        <v>62562.599999999991</v>
      </c>
      <c r="K20">
        <f t="shared" si="5"/>
        <v>2025</v>
      </c>
      <c r="L20">
        <f t="shared" ca="1" si="6"/>
        <v>9109.2666666666664</v>
      </c>
      <c r="M20">
        <f>C20*_xlfn.XLOOKUP(A20,FX!$A$2:$A$37,FX!$C$2:$C$37)</f>
        <v>9409.134680000001</v>
      </c>
      <c r="N20">
        <f>C20*(1+Control!$B$4)^(A20/12)</f>
        <v>9597.0051830803841</v>
      </c>
      <c r="O20">
        <f t="shared" si="7"/>
        <v>18</v>
      </c>
      <c r="P20">
        <f t="shared" si="8"/>
        <v>44.900000000001455</v>
      </c>
      <c r="Q20">
        <f t="shared" si="9"/>
        <v>0.60717896865520726</v>
      </c>
      <c r="R20">
        <f t="shared" si="10"/>
        <v>0.53</v>
      </c>
      <c r="S20" t="str">
        <f t="shared" si="11"/>
        <v>in linea</v>
      </c>
      <c r="T20" t="str">
        <f t="shared" si="12"/>
        <v>T3-2025</v>
      </c>
      <c r="U20">
        <f t="shared" si="13"/>
        <v>8788.0833333333339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9269.7000000000007</v>
      </c>
      <c r="D21">
        <f>SUMIFS(Data!$F$2:$F$5761,Data!$A$2:$A$5761,Control!$B$2,Data!$B$2:$B$5761,A21)</f>
        <v>501.26</v>
      </c>
      <c r="E21">
        <f>SUMIFS(Data!$G$2:$G$5761,Data!$A$2:$A$5761,Control!$B$2,Data!$B$2:$B$5761,A21)</f>
        <v>303.89999999999998</v>
      </c>
      <c r="F21">
        <f>SUMIFS(Data!$H$2:$H$5761,Data!$A$2:$A$5761,Control!$B$2,Data!$B$2:$B$5761,A21)</f>
        <v>945</v>
      </c>
      <c r="G21">
        <f t="shared" si="2"/>
        <v>197.36</v>
      </c>
      <c r="H21" cm="1">
        <f t="array" ref="H21">INDEX(Budget!$B$2:$AK$21,Control!$B$6,MATCH(A21,Budget!$B$1:$AK$1,0))</f>
        <v>9378</v>
      </c>
      <c r="I21">
        <f t="shared" si="3"/>
        <v>-1.1548304542546295E-2</v>
      </c>
      <c r="J21">
        <f t="shared" si="4"/>
        <v>71832.299999999988</v>
      </c>
      <c r="K21">
        <f t="shared" si="5"/>
        <v>2025</v>
      </c>
      <c r="L21">
        <f t="shared" ca="1" si="6"/>
        <v>9180.4</v>
      </c>
      <c r="M21">
        <f>C21*_xlfn.XLOOKUP(A21,FX!$A$2:$A$37,FX!$C$2:$C$37)</f>
        <v>9470.8524900000011</v>
      </c>
      <c r="N21">
        <f>C21*(1+Control!$B$4)^(A21/12)</f>
        <v>9737.8045528674629</v>
      </c>
      <c r="O21">
        <f t="shared" si="7"/>
        <v>16</v>
      </c>
      <c r="P21">
        <f t="shared" si="8"/>
        <v>111.5</v>
      </c>
      <c r="Q21">
        <f t="shared" si="9"/>
        <v>0.60627219407094124</v>
      </c>
      <c r="R21">
        <f t="shared" si="10"/>
        <v>0.53</v>
      </c>
      <c r="S21" t="str">
        <f t="shared" si="11"/>
        <v>in linea</v>
      </c>
      <c r="T21" t="str">
        <f t="shared" si="12"/>
        <v>T3-2025</v>
      </c>
      <c r="U21">
        <f t="shared" si="13"/>
        <v>8857.1750000000011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9227.3000000000011</v>
      </c>
      <c r="D22">
        <f>SUMIFS(Data!$F$2:$F$5761,Data!$A$2:$A$5761,Control!$B$2,Data!$B$2:$B$5761,A22)</f>
        <v>500.09000000000003</v>
      </c>
      <c r="E22">
        <f>SUMIFS(Data!$G$2:$G$5761,Data!$A$2:$A$5761,Control!$B$2,Data!$B$2:$B$5761,A22)</f>
        <v>301.48</v>
      </c>
      <c r="F22">
        <f>SUMIFS(Data!$H$2:$H$5761,Data!$A$2:$A$5761,Control!$B$2,Data!$B$2:$B$5761,A22)</f>
        <v>960</v>
      </c>
      <c r="G22">
        <f t="shared" si="2"/>
        <v>198.61</v>
      </c>
      <c r="H22" cm="1">
        <f t="array" ref="H22">INDEX(Budget!$B$2:$AK$21,Control!$B$6,MATCH(A22,Budget!$B$1:$AK$1,0))</f>
        <v>9450</v>
      </c>
      <c r="I22">
        <f t="shared" si="3"/>
        <v>-2.3566137566137457E-2</v>
      </c>
      <c r="J22">
        <f t="shared" si="4"/>
        <v>81059.599999999991</v>
      </c>
      <c r="K22">
        <f t="shared" si="5"/>
        <v>2025</v>
      </c>
      <c r="L22">
        <f t="shared" ca="1" si="6"/>
        <v>9218.4000000000015</v>
      </c>
      <c r="M22">
        <f>C22*_xlfn.XLOOKUP(A22,FX!$A$2:$A$37,FX!$C$2:$C$37)</f>
        <v>9386.0095600000022</v>
      </c>
      <c r="N22">
        <f>C22*(1+Control!$B$4)^(A22/12)</f>
        <v>9717.1696254119142</v>
      </c>
      <c r="O22">
        <f t="shared" si="7"/>
        <v>17</v>
      </c>
      <c r="P22">
        <f t="shared" si="8"/>
        <v>-42.399999999999636</v>
      </c>
      <c r="Q22">
        <f t="shared" si="9"/>
        <v>0.6028514867323882</v>
      </c>
      <c r="R22">
        <f t="shared" si="10"/>
        <v>0.52</v>
      </c>
      <c r="S22" t="str">
        <f t="shared" si="11"/>
        <v>in linea</v>
      </c>
      <c r="T22" t="str">
        <f t="shared" si="12"/>
        <v>T3-2025</v>
      </c>
      <c r="U22">
        <f t="shared" si="13"/>
        <v>8917.8166666666675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9333.9</v>
      </c>
      <c r="D23">
        <f>SUMIFS(Data!$F$2:$F$5761,Data!$A$2:$A$5761,Control!$B$2,Data!$B$2:$B$5761,A23)</f>
        <v>505.79999999999995</v>
      </c>
      <c r="E23">
        <f>SUMIFS(Data!$G$2:$G$5761,Data!$A$2:$A$5761,Control!$B$2,Data!$B$2:$B$5761,A23)</f>
        <v>305.60000000000002</v>
      </c>
      <c r="F23">
        <f>SUMIFS(Data!$H$2:$H$5761,Data!$A$2:$A$5761,Control!$B$2,Data!$B$2:$B$5761,A23)</f>
        <v>947</v>
      </c>
      <c r="G23">
        <f t="shared" si="2"/>
        <v>200.19999999999993</v>
      </c>
      <c r="H23" cm="1">
        <f t="array" ref="H23">INDEX(Budget!$B$2:$AK$21,Control!$B$6,MATCH(A23,Budget!$B$1:$AK$1,0))</f>
        <v>9521</v>
      </c>
      <c r="I23">
        <f t="shared" si="3"/>
        <v>-1.9651297132654122E-2</v>
      </c>
      <c r="J23">
        <f t="shared" si="4"/>
        <v>90393.499999999985</v>
      </c>
      <c r="K23">
        <f t="shared" si="5"/>
        <v>2025</v>
      </c>
      <c r="L23">
        <f t="shared" ca="1" si="6"/>
        <v>9276.9666666666672</v>
      </c>
      <c r="M23">
        <f>C23*_xlfn.XLOOKUP(A23,FX!$A$2:$A$37,FX!$C$2:$C$37)</f>
        <v>9465.5079900000001</v>
      </c>
      <c r="N23">
        <f>C23*(1+Control!$B$4)^(A23/12)</f>
        <v>9853.670953540679</v>
      </c>
      <c r="O23">
        <f t="shared" si="7"/>
        <v>14</v>
      </c>
      <c r="P23">
        <f t="shared" si="8"/>
        <v>106.59999999999854</v>
      </c>
      <c r="Q23">
        <f t="shared" si="9"/>
        <v>0.60419137999209183</v>
      </c>
      <c r="R23">
        <f t="shared" si="10"/>
        <v>0.53</v>
      </c>
      <c r="S23" t="str">
        <f t="shared" si="11"/>
        <v>in linea</v>
      </c>
      <c r="T23" t="str">
        <f t="shared" si="12"/>
        <v>T4-2025</v>
      </c>
      <c r="U23">
        <f t="shared" si="13"/>
        <v>8979.7583333333332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9331.1</v>
      </c>
      <c r="D24">
        <f>SUMIFS(Data!$F$2:$F$5761,Data!$A$2:$A$5761,Control!$B$2,Data!$B$2:$B$5761,A24)</f>
        <v>505.18999999999994</v>
      </c>
      <c r="E24">
        <f>SUMIFS(Data!$G$2:$G$5761,Data!$A$2:$A$5761,Control!$B$2,Data!$B$2:$B$5761,A24)</f>
        <v>306.32</v>
      </c>
      <c r="F24">
        <f>SUMIFS(Data!$H$2:$H$5761,Data!$A$2:$A$5761,Control!$B$2,Data!$B$2:$B$5761,A24)</f>
        <v>966</v>
      </c>
      <c r="G24">
        <f t="shared" si="2"/>
        <v>198.86999999999995</v>
      </c>
      <c r="H24" cm="1">
        <f t="array" ref="H24">INDEX(Budget!$B$2:$AK$21,Control!$B$6,MATCH(A24,Budget!$B$1:$AK$1,0))</f>
        <v>9593</v>
      </c>
      <c r="I24">
        <f t="shared" si="3"/>
        <v>-2.7301157093714168E-2</v>
      </c>
      <c r="J24">
        <f t="shared" si="4"/>
        <v>99724.599999999991</v>
      </c>
      <c r="K24">
        <f t="shared" si="5"/>
        <v>2025</v>
      </c>
      <c r="L24">
        <f t="shared" ca="1" si="6"/>
        <v>9297.4333333333343</v>
      </c>
      <c r="M24">
        <f>C24*_xlfn.XLOOKUP(A24,FX!$A$2:$A$37,FX!$C$2:$C$37)</f>
        <v>9448.6718600000004</v>
      </c>
      <c r="N24">
        <f>C24*(1+Control!$B$4)^(A24/12)</f>
        <v>9875.0095524396093</v>
      </c>
      <c r="O24">
        <f t="shared" si="7"/>
        <v>15</v>
      </c>
      <c r="P24">
        <f t="shared" si="8"/>
        <v>-2.7999999999992724</v>
      </c>
      <c r="Q24">
        <f t="shared" si="9"/>
        <v>0.60634612719966752</v>
      </c>
      <c r="R24">
        <f t="shared" si="10"/>
        <v>0.52</v>
      </c>
      <c r="S24" t="str">
        <f t="shared" si="11"/>
        <v>in linea</v>
      </c>
      <c r="T24" t="str">
        <f t="shared" si="12"/>
        <v>T4-2025</v>
      </c>
      <c r="U24">
        <f t="shared" si="13"/>
        <v>9036.9416666666675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9406</v>
      </c>
      <c r="D25">
        <f>SUMIFS(Data!$F$2:$F$5761,Data!$A$2:$A$5761,Control!$B$2,Data!$B$2:$B$5761,A25)</f>
        <v>509.76</v>
      </c>
      <c r="E25">
        <f>SUMIFS(Data!$G$2:$G$5761,Data!$A$2:$A$5761,Control!$B$2,Data!$B$2:$B$5761,A25)</f>
        <v>308.97000000000003</v>
      </c>
      <c r="F25">
        <f>SUMIFS(Data!$H$2:$H$5761,Data!$A$2:$A$5761,Control!$B$2,Data!$B$2:$B$5761,A25)</f>
        <v>913</v>
      </c>
      <c r="G25">
        <f t="shared" si="2"/>
        <v>200.78999999999996</v>
      </c>
      <c r="H25" cm="1">
        <f t="array" ref="H25">INDEX(Budget!$B$2:$AK$21,Control!$B$6,MATCH(A25,Budget!$B$1:$AK$1,0))</f>
        <v>9664</v>
      </c>
      <c r="I25">
        <f t="shared" si="3"/>
        <v>-2.6697019867549687E-2</v>
      </c>
      <c r="J25">
        <f t="shared" si="4"/>
        <v>109130.59999999999</v>
      </c>
      <c r="K25">
        <f t="shared" si="5"/>
        <v>2025</v>
      </c>
      <c r="L25">
        <f t="shared" ca="1" si="6"/>
        <v>9357</v>
      </c>
      <c r="M25">
        <f>C25*_xlfn.XLOOKUP(A25,FX!$A$2:$A$37,FX!$C$2:$C$37)</f>
        <v>9524.5155999999988</v>
      </c>
      <c r="N25">
        <f>C25*(1+Control!$B$4)^(A25/12)</f>
        <v>9978.8253999999997</v>
      </c>
      <c r="O25">
        <f t="shared" si="7"/>
        <v>13</v>
      </c>
      <c r="P25">
        <f t="shared" si="8"/>
        <v>74.899999999999636</v>
      </c>
      <c r="Q25">
        <f t="shared" si="9"/>
        <v>0.60610875706214695</v>
      </c>
      <c r="R25">
        <f t="shared" si="10"/>
        <v>0.56000000000000005</v>
      </c>
      <c r="S25" t="str">
        <f t="shared" si="11"/>
        <v>in linea</v>
      </c>
      <c r="T25" t="str">
        <f t="shared" si="12"/>
        <v>T4-2025</v>
      </c>
      <c r="U25">
        <f t="shared" si="13"/>
        <v>9094.2166666666653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9566.8000000000011</v>
      </c>
      <c r="D26">
        <f>SUMIFS(Data!$F$2:$F$5761,Data!$A$2:$A$5761,Control!$B$2,Data!$B$2:$B$5761,A26)</f>
        <v>516.95000000000005</v>
      </c>
      <c r="E26">
        <f>SUMIFS(Data!$G$2:$G$5761,Data!$A$2:$A$5761,Control!$B$2,Data!$B$2:$B$5761,A26)</f>
        <v>313.31</v>
      </c>
      <c r="F26">
        <f>SUMIFS(Data!$H$2:$H$5761,Data!$A$2:$A$5761,Control!$B$2,Data!$B$2:$B$5761,A26)</f>
        <v>908</v>
      </c>
      <c r="G26">
        <f t="shared" si="2"/>
        <v>203.64000000000004</v>
      </c>
      <c r="H26" cm="1">
        <f t="array" ref="H26">INDEX(Budget!$B$2:$AK$21,Control!$B$6,MATCH(A26,Budget!$B$1:$AK$1,0))</f>
        <v>9736</v>
      </c>
      <c r="I26">
        <f t="shared" si="3"/>
        <v>-1.7378800328677002E-2</v>
      </c>
      <c r="J26">
        <f t="shared" si="4"/>
        <v>9566.8000000000011</v>
      </c>
      <c r="K26">
        <f t="shared" si="5"/>
        <v>2026</v>
      </c>
      <c r="L26">
        <f t="shared" ca="1" si="6"/>
        <v>9434.6333333333332</v>
      </c>
      <c r="M26">
        <f>C26*_xlfn.XLOOKUP(A26,FX!$A$2:$A$37,FX!$C$2:$C$37)</f>
        <v>9701.6918800000003</v>
      </c>
      <c r="N26">
        <f>C26*(1+Control!$B$4)^(A26/12)</f>
        <v>10174.449323115827</v>
      </c>
      <c r="O26">
        <f t="shared" si="7"/>
        <v>12</v>
      </c>
      <c r="P26">
        <f t="shared" si="8"/>
        <v>160.80000000000109</v>
      </c>
      <c r="Q26">
        <f t="shared" si="9"/>
        <v>0.6060740884031337</v>
      </c>
      <c r="R26">
        <f t="shared" si="10"/>
        <v>0.56999999999999995</v>
      </c>
      <c r="S26" t="str">
        <f t="shared" si="11"/>
        <v>in linea</v>
      </c>
      <c r="T26" t="str">
        <f t="shared" si="12"/>
        <v>T1-2026</v>
      </c>
      <c r="U26">
        <f t="shared" si="13"/>
        <v>9163.1916666666675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9616.2000000000007</v>
      </c>
      <c r="D27">
        <f>SUMIFS(Data!$F$2:$F$5761,Data!$A$2:$A$5761,Control!$B$2,Data!$B$2:$B$5761,A27)</f>
        <v>517.99</v>
      </c>
      <c r="E27">
        <f>SUMIFS(Data!$G$2:$G$5761,Data!$A$2:$A$5761,Control!$B$2,Data!$B$2:$B$5761,A27)</f>
        <v>314.75</v>
      </c>
      <c r="F27">
        <f>SUMIFS(Data!$H$2:$H$5761,Data!$A$2:$A$5761,Control!$B$2,Data!$B$2:$B$5761,A27)</f>
        <v>1005</v>
      </c>
      <c r="G27">
        <f t="shared" si="2"/>
        <v>203.24</v>
      </c>
      <c r="H27" cm="1">
        <f t="array" ref="H27">INDEX(Budget!$B$2:$AK$21,Control!$B$6,MATCH(A27,Budget!$B$1:$AK$1,0))</f>
        <v>9807</v>
      </c>
      <c r="I27">
        <f t="shared" si="3"/>
        <v>-1.9455490975833545E-2</v>
      </c>
      <c r="J27">
        <f t="shared" si="4"/>
        <v>19183</v>
      </c>
      <c r="K27">
        <f t="shared" si="5"/>
        <v>2026</v>
      </c>
      <c r="L27">
        <f t="shared" ca="1" si="6"/>
        <v>9529.6666666666679</v>
      </c>
      <c r="M27">
        <f>C27*_xlfn.XLOOKUP(A27,FX!$A$2:$A$37,FX!$C$2:$C$37)</f>
        <v>9782.560260000002</v>
      </c>
      <c r="N27">
        <f>C27*(1+Control!$B$4)^(A27/12)</f>
        <v>10252.209545506441</v>
      </c>
      <c r="O27">
        <f t="shared" si="7"/>
        <v>11</v>
      </c>
      <c r="P27">
        <f t="shared" si="8"/>
        <v>49.399999999999636</v>
      </c>
      <c r="Q27">
        <f t="shared" si="9"/>
        <v>0.6076372130736114</v>
      </c>
      <c r="R27">
        <f t="shared" si="10"/>
        <v>0.52</v>
      </c>
      <c r="S27" t="str">
        <f t="shared" si="11"/>
        <v>in linea</v>
      </c>
      <c r="T27" t="str">
        <f t="shared" si="12"/>
        <v>T1-2026</v>
      </c>
      <c r="U27">
        <f t="shared" si="13"/>
        <v>9234.1749999999993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9729.1</v>
      </c>
      <c r="D28">
        <f>SUMIFS(Data!$F$2:$F$5761,Data!$A$2:$A$5761,Control!$B$2,Data!$B$2:$B$5761,A28)</f>
        <v>526.02</v>
      </c>
      <c r="E28">
        <f>SUMIFS(Data!$G$2:$G$5761,Data!$A$2:$A$5761,Control!$B$2,Data!$B$2:$B$5761,A28)</f>
        <v>319.24</v>
      </c>
      <c r="F28">
        <f>SUMIFS(Data!$H$2:$H$5761,Data!$A$2:$A$5761,Control!$B$2,Data!$B$2:$B$5761,A28)</f>
        <v>913</v>
      </c>
      <c r="G28">
        <f t="shared" si="2"/>
        <v>206.77999999999997</v>
      </c>
      <c r="H28" cm="1">
        <f t="array" ref="H28">INDEX(Budget!$B$2:$AK$21,Control!$B$6,MATCH(A28,Budget!$B$1:$AK$1,0))</f>
        <v>9879</v>
      </c>
      <c r="I28">
        <f t="shared" si="3"/>
        <v>-1.5173600566858902E-2</v>
      </c>
      <c r="J28">
        <f t="shared" si="4"/>
        <v>28912.1</v>
      </c>
      <c r="K28">
        <f t="shared" si="5"/>
        <v>2026</v>
      </c>
      <c r="L28">
        <f t="shared" ca="1" si="6"/>
        <v>9637.3666666666668</v>
      </c>
      <c r="M28">
        <f>C28*_xlfn.XLOOKUP(A28,FX!$A$2:$A$37,FX!$C$2:$C$37)</f>
        <v>9941.1943800000008</v>
      </c>
      <c r="N28">
        <f>C28*(1+Control!$B$4)^(A28/12)</f>
        <v>10398.158254304435</v>
      </c>
      <c r="O28">
        <f t="shared" si="7"/>
        <v>9</v>
      </c>
      <c r="P28">
        <f t="shared" si="8"/>
        <v>112.89999999999964</v>
      </c>
      <c r="Q28">
        <f t="shared" si="9"/>
        <v>0.60689707615680011</v>
      </c>
      <c r="R28">
        <f t="shared" si="10"/>
        <v>0.57999999999999996</v>
      </c>
      <c r="S28" t="str">
        <f t="shared" si="11"/>
        <v>in linea</v>
      </c>
      <c r="T28" t="str">
        <f t="shared" si="12"/>
        <v>T1-2026</v>
      </c>
      <c r="U28">
        <f t="shared" si="13"/>
        <v>9310.9250000000011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9665.6</v>
      </c>
      <c r="D29">
        <f>SUMIFS(Data!$F$2:$F$5761,Data!$A$2:$A$5761,Control!$B$2,Data!$B$2:$B$5761,A29)</f>
        <v>523.44000000000005</v>
      </c>
      <c r="E29">
        <f>SUMIFS(Data!$G$2:$G$5761,Data!$A$2:$A$5761,Control!$B$2,Data!$B$2:$B$5761,A29)</f>
        <v>317.67999999999995</v>
      </c>
      <c r="F29">
        <f>SUMIFS(Data!$H$2:$H$5761,Data!$A$2:$A$5761,Control!$B$2,Data!$B$2:$B$5761,A29)</f>
        <v>989</v>
      </c>
      <c r="G29">
        <f t="shared" si="2"/>
        <v>205.7600000000001</v>
      </c>
      <c r="H29" cm="1">
        <f t="array" ref="H29">INDEX(Budget!$B$2:$AK$21,Control!$B$6,MATCH(A29,Budget!$B$1:$AK$1,0))</f>
        <v>9950</v>
      </c>
      <c r="I29">
        <f t="shared" si="3"/>
        <v>-2.8582914572864326E-2</v>
      </c>
      <c r="J29">
        <f t="shared" si="4"/>
        <v>38577.699999999997</v>
      </c>
      <c r="K29">
        <f t="shared" si="5"/>
        <v>2026</v>
      </c>
      <c r="L29">
        <f t="shared" ca="1" si="6"/>
        <v>9670.3000000000011</v>
      </c>
      <c r="M29">
        <f>C29*_xlfn.XLOOKUP(A29,FX!$A$2:$A$37,FX!$C$2:$C$37)</f>
        <v>9931.4040000000005</v>
      </c>
      <c r="N29">
        <f>C29*(1+Control!$B$4)^(A29/12)</f>
        <v>10355.768722828368</v>
      </c>
      <c r="O29">
        <f t="shared" si="7"/>
        <v>10</v>
      </c>
      <c r="P29">
        <f t="shared" si="8"/>
        <v>-63.5</v>
      </c>
      <c r="Q29">
        <f t="shared" si="9"/>
        <v>0.60690814611034682</v>
      </c>
      <c r="R29">
        <f t="shared" si="10"/>
        <v>0.53</v>
      </c>
      <c r="S29" t="str">
        <f t="shared" si="11"/>
        <v>in linea</v>
      </c>
      <c r="T29" t="str">
        <f t="shared" si="12"/>
        <v>T2-2026</v>
      </c>
      <c r="U29">
        <f t="shared" si="13"/>
        <v>9372.7916666666679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9782.7999999999993</v>
      </c>
      <c r="D30">
        <f>SUMIFS(Data!$F$2:$F$5761,Data!$A$2:$A$5761,Control!$B$2,Data!$B$2:$B$5761,A30)</f>
        <v>530.4</v>
      </c>
      <c r="E30">
        <f>SUMIFS(Data!$G$2:$G$5761,Data!$A$2:$A$5761,Control!$B$2,Data!$B$2:$B$5761,A30)</f>
        <v>321.5</v>
      </c>
      <c r="F30">
        <f>SUMIFS(Data!$H$2:$H$5761,Data!$A$2:$A$5761,Control!$B$2,Data!$B$2:$B$5761,A30)</f>
        <v>961</v>
      </c>
      <c r="G30">
        <f t="shared" si="2"/>
        <v>208.89999999999998</v>
      </c>
      <c r="H30" cm="1">
        <f t="array" ref="H30">INDEX(Budget!$B$2:$AK$21,Control!$B$6,MATCH(A30,Budget!$B$1:$AK$1,0))</f>
        <v>10022</v>
      </c>
      <c r="I30">
        <f t="shared" si="3"/>
        <v>-2.3867491518658968E-2</v>
      </c>
      <c r="J30">
        <f t="shared" si="4"/>
        <v>48360.5</v>
      </c>
      <c r="K30">
        <f t="shared" si="5"/>
        <v>2026</v>
      </c>
      <c r="L30">
        <f t="shared" ca="1" si="6"/>
        <v>9725.8333333333339</v>
      </c>
      <c r="M30">
        <f>C30*_xlfn.XLOOKUP(A30,FX!$A$2:$A$37,FX!$C$2:$C$37)</f>
        <v>10118.350039999999</v>
      </c>
      <c r="N30">
        <f>C30*(1+Control!$B$4)^(A30/12)</f>
        <v>10507.187152526378</v>
      </c>
      <c r="O30">
        <f t="shared" si="7"/>
        <v>8</v>
      </c>
      <c r="P30">
        <f t="shared" si="8"/>
        <v>117.19999999999891</v>
      </c>
      <c r="Q30">
        <f t="shared" si="9"/>
        <v>0.60614630467571651</v>
      </c>
      <c r="R30">
        <f t="shared" si="10"/>
        <v>0.55000000000000004</v>
      </c>
      <c r="S30" t="str">
        <f t="shared" si="11"/>
        <v>in linea</v>
      </c>
      <c r="T30" t="str">
        <f t="shared" si="12"/>
        <v>T2-2026</v>
      </c>
      <c r="U30">
        <f t="shared" si="13"/>
        <v>9433.3333333333339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9865.7999999999993</v>
      </c>
      <c r="D31">
        <f>SUMIFS(Data!$F$2:$F$5761,Data!$A$2:$A$5761,Control!$B$2,Data!$B$2:$B$5761,A31)</f>
        <v>534.66</v>
      </c>
      <c r="E31">
        <f>SUMIFS(Data!$G$2:$G$5761,Data!$A$2:$A$5761,Control!$B$2,Data!$B$2:$B$5761,A31)</f>
        <v>324.64</v>
      </c>
      <c r="F31">
        <f>SUMIFS(Data!$H$2:$H$5761,Data!$A$2:$A$5761,Control!$B$2,Data!$B$2:$B$5761,A31)</f>
        <v>989</v>
      </c>
      <c r="G31">
        <f t="shared" si="2"/>
        <v>210.01999999999998</v>
      </c>
      <c r="H31" cm="1">
        <f t="array" ref="H31">INDEX(Budget!$B$2:$AK$21,Control!$B$6,MATCH(A31,Budget!$B$1:$AK$1,0))</f>
        <v>10093</v>
      </c>
      <c r="I31">
        <f t="shared" si="3"/>
        <v>-2.2510650946200417E-2</v>
      </c>
      <c r="J31">
        <f t="shared" si="4"/>
        <v>58226.3</v>
      </c>
      <c r="K31">
        <f t="shared" si="5"/>
        <v>2026</v>
      </c>
      <c r="L31">
        <f t="shared" ca="1" si="6"/>
        <v>9771.4</v>
      </c>
      <c r="M31">
        <f>C31*_xlfn.XLOOKUP(A31,FX!$A$2:$A$37,FX!$C$2:$C$37)</f>
        <v>10278.19044</v>
      </c>
      <c r="N31">
        <f>C31*(1+Control!$B$4)^(A31/12)</f>
        <v>10622.466470802263</v>
      </c>
      <c r="O31">
        <f t="shared" si="7"/>
        <v>7</v>
      </c>
      <c r="P31">
        <f t="shared" si="8"/>
        <v>83</v>
      </c>
      <c r="Q31">
        <f t="shared" si="9"/>
        <v>0.60718961583062137</v>
      </c>
      <c r="R31">
        <f t="shared" si="10"/>
        <v>0.54</v>
      </c>
      <c r="S31" t="str">
        <f t="shared" si="11"/>
        <v>in linea</v>
      </c>
      <c r="T31" t="str">
        <f t="shared" si="12"/>
        <v>T2-2026</v>
      </c>
      <c r="U31">
        <f t="shared" si="13"/>
        <v>9496.0416666666697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9905.6</v>
      </c>
      <c r="D32">
        <f>SUMIFS(Data!$F$2:$F$5761,Data!$A$2:$A$5761,Control!$B$2,Data!$B$2:$B$5761,A32)</f>
        <v>535</v>
      </c>
      <c r="E32">
        <f>SUMIFS(Data!$G$2:$G$5761,Data!$A$2:$A$5761,Control!$B$2,Data!$B$2:$B$5761,A32)</f>
        <v>324.69</v>
      </c>
      <c r="F32">
        <f>SUMIFS(Data!$H$2:$H$5761,Data!$A$2:$A$5761,Control!$B$2,Data!$B$2:$B$5761,A32)</f>
        <v>960</v>
      </c>
      <c r="G32">
        <f t="shared" si="2"/>
        <v>210.31</v>
      </c>
      <c r="H32" cm="1">
        <f t="array" ref="H32">INDEX(Budget!$B$2:$AK$21,Control!$B$6,MATCH(A32,Budget!$B$1:$AK$1,0))</f>
        <v>10165</v>
      </c>
      <c r="I32">
        <f t="shared" si="3"/>
        <v>-2.5518937530742747E-2</v>
      </c>
      <c r="J32">
        <f t="shared" si="4"/>
        <v>68131.900000000009</v>
      </c>
      <c r="K32">
        <f t="shared" si="5"/>
        <v>2026</v>
      </c>
      <c r="L32">
        <f t="shared" ca="1" si="6"/>
        <v>9851.4</v>
      </c>
      <c r="M32">
        <f>C32*_xlfn.XLOOKUP(A32,FX!$A$2:$A$37,FX!$C$2:$C$37)</f>
        <v>10398.898880000001</v>
      </c>
      <c r="N32">
        <f>C32*(1+Control!$B$4)^(A32/12)</f>
        <v>10691.622521649086</v>
      </c>
      <c r="O32">
        <f t="shared" si="7"/>
        <v>6</v>
      </c>
      <c r="P32">
        <f t="shared" si="8"/>
        <v>39.800000000001091</v>
      </c>
      <c r="Q32">
        <f t="shared" si="9"/>
        <v>0.60689719626168226</v>
      </c>
      <c r="R32">
        <f t="shared" si="10"/>
        <v>0.56000000000000005</v>
      </c>
      <c r="S32" t="str">
        <f t="shared" si="11"/>
        <v>in linea</v>
      </c>
      <c r="T32" t="str">
        <f t="shared" si="12"/>
        <v>T3-2026</v>
      </c>
      <c r="U32">
        <f t="shared" si="13"/>
        <v>9558.3250000000025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9946.4000000000015</v>
      </c>
      <c r="D33">
        <f>SUMIFS(Data!$F$2:$F$5761,Data!$A$2:$A$5761,Control!$B$2,Data!$B$2:$B$5761,A33)</f>
        <v>539.58999999999992</v>
      </c>
      <c r="E33">
        <f>SUMIFS(Data!$G$2:$G$5761,Data!$A$2:$A$5761,Control!$B$2,Data!$B$2:$B$5761,A33)</f>
        <v>325.2</v>
      </c>
      <c r="F33">
        <f>SUMIFS(Data!$H$2:$H$5761,Data!$A$2:$A$5761,Control!$B$2,Data!$B$2:$B$5761,A33)</f>
        <v>931</v>
      </c>
      <c r="G33">
        <f t="shared" si="2"/>
        <v>214.38999999999993</v>
      </c>
      <c r="H33" cm="1">
        <f t="array" ref="H33">INDEX(Budget!$B$2:$AK$21,Control!$B$6,MATCH(A33,Budget!$B$1:$AK$1,0))</f>
        <v>10237</v>
      </c>
      <c r="I33">
        <f t="shared" si="3"/>
        <v>-2.8387222819185154E-2</v>
      </c>
      <c r="J33">
        <f t="shared" si="4"/>
        <v>78078.300000000017</v>
      </c>
      <c r="K33">
        <f t="shared" si="5"/>
        <v>2026</v>
      </c>
      <c r="L33">
        <f t="shared" ca="1" si="6"/>
        <v>9905.9333333333343</v>
      </c>
      <c r="M33">
        <f>C33*_xlfn.XLOOKUP(A33,FX!$A$2:$A$37,FX!$C$2:$C$37)</f>
        <v>10522.296560000003</v>
      </c>
      <c r="N33">
        <f>C33*(1+Control!$B$4)^(A33/12)</f>
        <v>10762.137089741867</v>
      </c>
      <c r="O33">
        <f t="shared" si="7"/>
        <v>5</v>
      </c>
      <c r="P33">
        <f t="shared" si="8"/>
        <v>40.800000000001091</v>
      </c>
      <c r="Q33">
        <f t="shared" si="9"/>
        <v>0.60267981245019375</v>
      </c>
      <c r="R33">
        <f t="shared" si="10"/>
        <v>0.57999999999999996</v>
      </c>
      <c r="S33" t="str">
        <f t="shared" si="11"/>
        <v>in linea</v>
      </c>
      <c r="T33" t="str">
        <f t="shared" si="12"/>
        <v>T3-2026</v>
      </c>
      <c r="U33">
        <f t="shared" si="13"/>
        <v>9614.716666666669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10029.400000000001</v>
      </c>
      <c r="D34">
        <f>SUMIFS(Data!$F$2:$F$5761,Data!$A$2:$A$5761,Control!$B$2,Data!$B$2:$B$5761,A34)</f>
        <v>542.69000000000005</v>
      </c>
      <c r="E34">
        <f>SUMIFS(Data!$G$2:$G$5761,Data!$A$2:$A$5761,Control!$B$2,Data!$B$2:$B$5761,A34)</f>
        <v>327.33000000000004</v>
      </c>
      <c r="F34">
        <f>SUMIFS(Data!$H$2:$H$5761,Data!$A$2:$A$5761,Control!$B$2,Data!$B$2:$B$5761,A34)</f>
        <v>974</v>
      </c>
      <c r="G34">
        <f t="shared" si="2"/>
        <v>215.36</v>
      </c>
      <c r="H34" cm="1">
        <f t="array" ref="H34">INDEX(Budget!$B$2:$AK$21,Control!$B$6,MATCH(A34,Budget!$B$1:$AK$1,0))</f>
        <v>10308</v>
      </c>
      <c r="I34">
        <f t="shared" si="3"/>
        <v>-2.7027551416375473E-2</v>
      </c>
      <c r="J34">
        <f t="shared" si="4"/>
        <v>88107.700000000012</v>
      </c>
      <c r="K34">
        <f t="shared" si="5"/>
        <v>2026</v>
      </c>
      <c r="L34">
        <f t="shared" ca="1" si="6"/>
        <v>9960.4666666666672</v>
      </c>
      <c r="M34">
        <f>C34*_xlfn.XLOOKUP(A34,FX!$A$2:$A$37,FX!$C$2:$C$37)</f>
        <v>10689.334520000002</v>
      </c>
      <c r="N34">
        <f>C34*(1+Control!$B$4)^(A34/12)</f>
        <v>10878.708015599303</v>
      </c>
      <c r="O34">
        <f t="shared" si="7"/>
        <v>4</v>
      </c>
      <c r="P34">
        <f t="shared" si="8"/>
        <v>83</v>
      </c>
      <c r="Q34">
        <f t="shared" si="9"/>
        <v>0.60316202620280457</v>
      </c>
      <c r="R34">
        <f t="shared" si="10"/>
        <v>0.56000000000000005</v>
      </c>
      <c r="S34" t="str">
        <f t="shared" si="11"/>
        <v>in linea</v>
      </c>
      <c r="T34" t="str">
        <f t="shared" si="12"/>
        <v>T3-2026</v>
      </c>
      <c r="U34">
        <f t="shared" si="13"/>
        <v>9681.5583333333343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10087.199999999999</v>
      </c>
      <c r="D35">
        <f>SUMIFS(Data!$F$2:$F$5761,Data!$A$2:$A$5761,Control!$B$2,Data!$B$2:$B$5761,A35)</f>
        <v>546.29</v>
      </c>
      <c r="E35">
        <f>SUMIFS(Data!$G$2:$G$5761,Data!$A$2:$A$5761,Control!$B$2,Data!$B$2:$B$5761,A35)</f>
        <v>329.23</v>
      </c>
      <c r="F35">
        <f>SUMIFS(Data!$H$2:$H$5761,Data!$A$2:$A$5761,Control!$B$2,Data!$B$2:$B$5761,A35)</f>
        <v>1018</v>
      </c>
      <c r="G35">
        <f t="shared" si="2"/>
        <v>217.05999999999995</v>
      </c>
      <c r="H35" cm="1">
        <f t="array" ref="H35">INDEX(Budget!$B$2:$AK$21,Control!$B$6,MATCH(A35,Budget!$B$1:$AK$1,0))</f>
        <v>10380</v>
      </c>
      <c r="I35">
        <f t="shared" si="3"/>
        <v>-2.820809248554923E-2</v>
      </c>
      <c r="J35">
        <f t="shared" si="4"/>
        <v>98194.900000000009</v>
      </c>
      <c r="K35">
        <f t="shared" si="5"/>
        <v>2026</v>
      </c>
      <c r="L35">
        <f t="shared" ca="1" si="6"/>
        <v>10021</v>
      </c>
      <c r="M35">
        <f>C35*_xlfn.XLOOKUP(A35,FX!$A$2:$A$37,FX!$C$2:$C$37)</f>
        <v>10825.583039999998</v>
      </c>
      <c r="N35">
        <f>C35*(1+Control!$B$4)^(A35/12)</f>
        <v>10968.3870763381</v>
      </c>
      <c r="O35">
        <f t="shared" si="7"/>
        <v>3</v>
      </c>
      <c r="P35">
        <f t="shared" si="8"/>
        <v>57.799999999997453</v>
      </c>
      <c r="Q35">
        <f t="shared" si="9"/>
        <v>0.60266525105713087</v>
      </c>
      <c r="R35">
        <f t="shared" si="10"/>
        <v>0.54</v>
      </c>
      <c r="S35" t="str">
        <f t="shared" si="11"/>
        <v>in linea</v>
      </c>
      <c r="T35" t="str">
        <f t="shared" si="12"/>
        <v>T4-2026</v>
      </c>
      <c r="U35">
        <f t="shared" si="13"/>
        <v>9744.3333333333339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10252.199999999999</v>
      </c>
      <c r="D36">
        <f>SUMIFS(Data!$F$2:$F$5761,Data!$A$2:$A$5761,Control!$B$2,Data!$B$2:$B$5761,A36)</f>
        <v>553.17999999999995</v>
      </c>
      <c r="E36">
        <f>SUMIFS(Data!$G$2:$G$5761,Data!$A$2:$A$5761,Control!$B$2,Data!$B$2:$B$5761,A36)</f>
        <v>335.64</v>
      </c>
      <c r="F36">
        <f>SUMIFS(Data!$H$2:$H$5761,Data!$A$2:$A$5761,Control!$B$2,Data!$B$2:$B$5761,A36)</f>
        <v>915</v>
      </c>
      <c r="G36">
        <f t="shared" si="2"/>
        <v>217.53999999999996</v>
      </c>
      <c r="H36" cm="1">
        <f t="array" ref="H36">INDEX(Budget!$B$2:$AK$21,Control!$B$6,MATCH(A36,Budget!$B$1:$AK$1,0))</f>
        <v>10451</v>
      </c>
      <c r="I36">
        <f t="shared" si="3"/>
        <v>-1.9022103148024216E-2</v>
      </c>
      <c r="J36">
        <f t="shared" si="4"/>
        <v>108447.1</v>
      </c>
      <c r="K36">
        <f t="shared" si="5"/>
        <v>2026</v>
      </c>
      <c r="L36">
        <f t="shared" ca="1" si="6"/>
        <v>10122.933333333332</v>
      </c>
      <c r="M36">
        <f>C36*_xlfn.XLOOKUP(A36,FX!$A$2:$A$37,FX!$C$2:$C$37)</f>
        <v>11070.325559999999</v>
      </c>
      <c r="N36">
        <f>C36*(1+Control!$B$4)^(A36/12)</f>
        <v>11175.294458480457</v>
      </c>
      <c r="O36">
        <f t="shared" si="7"/>
        <v>1</v>
      </c>
      <c r="P36">
        <f t="shared" si="8"/>
        <v>165</v>
      </c>
      <c r="Q36">
        <f t="shared" si="9"/>
        <v>0.6067464478108392</v>
      </c>
      <c r="R36">
        <f t="shared" si="10"/>
        <v>0.6</v>
      </c>
      <c r="S36" t="str">
        <f t="shared" si="11"/>
        <v>in linea</v>
      </c>
      <c r="T36" t="str">
        <f t="shared" si="12"/>
        <v>T4-2026</v>
      </c>
      <c r="U36">
        <f t="shared" si="13"/>
        <v>9821.0916666666672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10243.300000000001</v>
      </c>
      <c r="D37">
        <f>SUMIFS(Data!$F$2:$F$5761,Data!$A$2:$A$5761,Control!$B$2,Data!$B$2:$B$5761,A37)</f>
        <v>555.09</v>
      </c>
      <c r="E37">
        <f>SUMIFS(Data!$G$2:$G$5761,Data!$A$2:$A$5761,Control!$B$2,Data!$B$2:$B$5761,A37)</f>
        <v>334.49</v>
      </c>
      <c r="F37">
        <f>SUMIFS(Data!$H$2:$H$5761,Data!$A$2:$A$5761,Control!$B$2,Data!$B$2:$B$5761,A37)</f>
        <v>975</v>
      </c>
      <c r="G37">
        <f t="shared" si="2"/>
        <v>220.60000000000002</v>
      </c>
      <c r="H37" cm="1">
        <f t="array" ref="H37">INDEX(Budget!$B$2:$AK$21,Control!$B$6,MATCH(A37,Budget!$B$1:$AK$1,0))</f>
        <v>10523</v>
      </c>
      <c r="I37">
        <f t="shared" si="3"/>
        <v>-2.6579872659887815E-2</v>
      </c>
      <c r="J37">
        <f t="shared" si="4"/>
        <v>118690.40000000001</v>
      </c>
      <c r="K37">
        <f t="shared" si="5"/>
        <v>2026</v>
      </c>
      <c r="L37">
        <f t="shared" ca="1" si="6"/>
        <v>10194.233333333332</v>
      </c>
      <c r="M37">
        <f>C37*_xlfn.XLOOKUP(A37,FX!$A$2:$A$37,FX!$C$2:$C$37)</f>
        <v>11117.05349</v>
      </c>
      <c r="N37">
        <f>C37*(1+Control!$B$4)^(A37/12)</f>
        <v>11193.130479100002</v>
      </c>
      <c r="O37">
        <f t="shared" si="7"/>
        <v>2</v>
      </c>
      <c r="P37">
        <f t="shared" si="8"/>
        <v>-8.8999999999978172</v>
      </c>
      <c r="Q37">
        <f t="shared" si="9"/>
        <v>0.60258696787908261</v>
      </c>
      <c r="R37">
        <f t="shared" si="10"/>
        <v>0.56999999999999995</v>
      </c>
      <c r="S37" t="str">
        <f t="shared" si="11"/>
        <v>in linea</v>
      </c>
      <c r="T37" t="str">
        <f t="shared" si="12"/>
        <v>T4-2026</v>
      </c>
      <c r="U37">
        <f t="shared" si="13"/>
        <v>9890.8666666666668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6542.2</v>
      </c>
      <c r="D2">
        <f>SUMIFS(Data!$F$2:$F$5761,Data!$A$2:$A$5761,A2,Data!$B$2:$B$5761,Control!$B$3)</f>
        <v>355.71999999999997</v>
      </c>
      <c r="E2">
        <f>SUMIFS(Data!$G$2:$G$5761,Data!$A$2:$A$5761,A2,Data!$B$2:$B$5761,Control!$B$3)</f>
        <v>216.07000000000002</v>
      </c>
      <c r="F2">
        <f t="shared" ref="F2:F21" si="0">D2-E2</f>
        <v>139.64999999999995</v>
      </c>
      <c r="G2">
        <f>SUMIFS(Data!$E$2:$E$5761,Data!$A$2:$A$5761,A2,Data!$B$2:$B$5761,Control!$B$13)</f>
        <v>6551.1</v>
      </c>
      <c r="H2">
        <f t="shared" ref="H2:H21" si="1">IFERROR(C2/G2-1,0)</f>
        <v>-1.3585504724398234E-3</v>
      </c>
      <c r="I2">
        <f>SUMIFS(Data!$E$2:$E$5761,Data!$A$2:$A$5761,A2,Data!$B$2:$B$5761,Control!$B$14)</f>
        <v>5941.5999999999995</v>
      </c>
      <c r="J2">
        <f t="shared" ref="J2:J21" si="2">IFERROR(C2/I2-1,0)</f>
        <v>0.10108388312912364</v>
      </c>
      <c r="K2">
        <f t="shared" ref="K2:K21" si="3">C2/SUM($C$2:$C$21)</f>
        <v>1.9042368702777562E-2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817.77499999999998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6613</v>
      </c>
      <c r="Q2">
        <f t="shared" ref="Q2:Q21" si="5">C2-P2</f>
        <v>-70.800000000000182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/>
      </c>
      <c r="W2">
        <f>SUMIFS(Data!$H$2:$H$5761,Data!$A$2:$A$5761,A2,Data!$B$2:$B$5761,Control!$B$3)</f>
        <v>690</v>
      </c>
      <c r="X2">
        <f t="shared" ref="X2:X21" si="8">IFERROR(D2/W2,0)</f>
        <v>0.51553623188405795</v>
      </c>
      <c r="Y2">
        <f>C2*(1+Control!$B$4)</f>
        <v>6738.4660000000003</v>
      </c>
      <c r="Z2">
        <f>IF(B2=Control!$B$5,C2,0)</f>
        <v>0</v>
      </c>
      <c r="AA2">
        <f t="shared" ref="AA2:AA21" si="9">_xlfn.LET(_xlpm.v,C2,_xlpm.b,P2,IF(_xlpm.b=0,0,ROUND((_xlpm.v-_xlpm.b)/_xlpm.b,4)))</f>
        <v>-1.0699999999999999E-2</v>
      </c>
      <c r="AB2" cm="1">
        <f t="array" ref="AB2">SUMPRODUCT((Data!$A$2:$A$5761=A2)*(Data!$B$2:$B$5761&lt;=Control!$B$3)*(Data!$J$2:$J$5761=Control!$B$11)*Data!$E$2:$E$5761)</f>
        <v>6542.2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7649.6</v>
      </c>
      <c r="D3">
        <f>SUMIFS(Data!$F$2:$F$5761,Data!$A$2:$A$5761,A3,Data!$B$2:$B$5761,Control!$B$3)</f>
        <v>415.13</v>
      </c>
      <c r="E3">
        <f>SUMIFS(Data!$G$2:$G$5761,Data!$A$2:$A$5761,A3,Data!$B$2:$B$5761,Control!$B$3)</f>
        <v>250.61</v>
      </c>
      <c r="F3">
        <f t="shared" si="0"/>
        <v>164.51999999999998</v>
      </c>
      <c r="G3">
        <f>SUMIFS(Data!$E$2:$E$5761,Data!$A$2:$A$5761,A3,Data!$B$2:$B$5761,Control!$B$13)</f>
        <v>7666.8</v>
      </c>
      <c r="H3">
        <f t="shared" si="1"/>
        <v>-2.2434392445348506E-3</v>
      </c>
      <c r="I3">
        <f>SUMIFS(Data!$E$2:$E$5761,Data!$A$2:$A$5761,A3,Data!$B$2:$B$5761,Control!$B$14)</f>
        <v>6980.2000000000007</v>
      </c>
      <c r="J3">
        <f t="shared" si="2"/>
        <v>9.5899830950402443E-2</v>
      </c>
      <c r="K3">
        <f t="shared" si="3"/>
        <v>2.2265675709817377E-2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956.2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7745</v>
      </c>
      <c r="Q3">
        <f t="shared" si="5"/>
        <v>-95.399999999999636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840</v>
      </c>
      <c r="X3">
        <f t="shared" si="8"/>
        <v>0.49420238095238095</v>
      </c>
      <c r="Y3">
        <f>C3*(1+Control!$B$4)</f>
        <v>7879.0880000000006</v>
      </c>
      <c r="Z3">
        <f>IF(B3=Control!$B$5,C3,0)</f>
        <v>0</v>
      </c>
      <c r="AA3">
        <f t="shared" si="9"/>
        <v>-1.23E-2</v>
      </c>
      <c r="AB3" cm="1">
        <f t="array" ref="AB3">SUMPRODUCT((Data!$A$2:$A$5761=A3)*(Data!$B$2:$B$5761&lt;=Control!$B$3)*(Data!$J$2:$J$5761=Control!$B$11)*Data!$E$2:$E$5761)</f>
        <v>7649.6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8739.0999999999985</v>
      </c>
      <c r="D4">
        <f>SUMIFS(Data!$F$2:$F$5761,Data!$A$2:$A$5761,A4,Data!$B$2:$B$5761,Control!$B$3)</f>
        <v>472.04</v>
      </c>
      <c r="E4">
        <f>SUMIFS(Data!$G$2:$G$5761,Data!$A$2:$A$5761,A4,Data!$B$2:$B$5761,Control!$B$3)</f>
        <v>287.57</v>
      </c>
      <c r="F4">
        <f t="shared" si="0"/>
        <v>184.47000000000003</v>
      </c>
      <c r="G4">
        <f>SUMIFS(Data!$E$2:$E$5761,Data!$A$2:$A$5761,A4,Data!$B$2:$B$5761,Control!$B$13)</f>
        <v>8718.7000000000007</v>
      </c>
      <c r="H4">
        <f t="shared" si="1"/>
        <v>2.3397983644348752E-3</v>
      </c>
      <c r="I4">
        <f>SUMIFS(Data!$E$2:$E$5761,Data!$A$2:$A$5761,A4,Data!$B$2:$B$5761,Control!$B$14)</f>
        <v>8012.1</v>
      </c>
      <c r="J4">
        <f t="shared" si="2"/>
        <v>9.0737759139301488E-2</v>
      </c>
      <c r="K4">
        <f t="shared" si="3"/>
        <v>2.5436881221980887E-2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1092.3874999999998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8877</v>
      </c>
      <c r="Q4">
        <f t="shared" si="5"/>
        <v>-137.90000000000146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>&lt;&lt;</v>
      </c>
      <c r="W4">
        <f>SUMIFS(Data!$H$2:$H$5761,Data!$A$2:$A$5761,A4,Data!$B$2:$B$5761,Control!$B$3)</f>
        <v>986</v>
      </c>
      <c r="X4">
        <f t="shared" si="8"/>
        <v>0.47874239350912778</v>
      </c>
      <c r="Y4">
        <f>C4*(1+Control!$B$4)</f>
        <v>9001.2729999999992</v>
      </c>
      <c r="Z4">
        <f>IF(B4=Control!$B$5,C4,0)</f>
        <v>8739.0999999999985</v>
      </c>
      <c r="AA4">
        <f t="shared" si="9"/>
        <v>-1.55E-2</v>
      </c>
      <c r="AB4" cm="1">
        <f t="array" ref="AB4">SUMPRODUCT((Data!$A$2:$A$5761=A4)*(Data!$B$2:$B$5761&lt;=Control!$B$3)*(Data!$J$2:$J$5761=Control!$B$11)*Data!$E$2:$E$5761)</f>
        <v>8739.0999999999985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9892.6</v>
      </c>
      <c r="D5">
        <f>SUMIFS(Data!$F$2:$F$5761,Data!$A$2:$A$5761,A5,Data!$B$2:$B$5761,Control!$B$3)</f>
        <v>534.73</v>
      </c>
      <c r="E5">
        <f>SUMIFS(Data!$G$2:$G$5761,Data!$A$2:$A$5761,A5,Data!$B$2:$B$5761,Control!$B$3)</f>
        <v>322.31000000000006</v>
      </c>
      <c r="F5">
        <f t="shared" si="0"/>
        <v>212.41999999999996</v>
      </c>
      <c r="G5">
        <f>SUMIFS(Data!$E$2:$E$5761,Data!$A$2:$A$5761,A5,Data!$B$2:$B$5761,Control!$B$13)</f>
        <v>9822.9000000000015</v>
      </c>
      <c r="H5">
        <f t="shared" si="1"/>
        <v>7.0956642132158354E-3</v>
      </c>
      <c r="I5">
        <f>SUMIFS(Data!$E$2:$E$5761,Data!$A$2:$A$5761,A5,Data!$B$2:$B$5761,Control!$B$14)</f>
        <v>9024.4</v>
      </c>
      <c r="J5">
        <f t="shared" si="2"/>
        <v>9.6205841939630332E-2</v>
      </c>
      <c r="K5">
        <f t="shared" si="3"/>
        <v>2.8794371408562457E-2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1236.575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10010</v>
      </c>
      <c r="Q5">
        <f t="shared" si="5"/>
        <v>-117.39999999999964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/>
      </c>
      <c r="W5">
        <f>SUMIFS(Data!$H$2:$H$5761,Data!$A$2:$A$5761,A5,Data!$B$2:$B$5761,Control!$B$3)</f>
        <v>1047</v>
      </c>
      <c r="X5">
        <f t="shared" si="8"/>
        <v>0.51072588347659986</v>
      </c>
      <c r="Y5">
        <f>C5*(1+Control!$B$4)</f>
        <v>10189.378000000001</v>
      </c>
      <c r="Z5">
        <f>IF(B5=Control!$B$5,C5,0)</f>
        <v>0</v>
      </c>
      <c r="AA5">
        <f t="shared" si="9"/>
        <v>-1.17E-2</v>
      </c>
      <c r="AB5" cm="1">
        <f t="array" ref="AB5">SUMPRODUCT((Data!$A$2:$A$5761=A5)*(Data!$B$2:$B$5761&lt;=Control!$B$3)*(Data!$J$2:$J$5761=Control!$B$11)*Data!$E$2:$E$5761)</f>
        <v>9892.6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10989.1</v>
      </c>
      <c r="D6">
        <f>SUMIFS(Data!$F$2:$F$5761,Data!$A$2:$A$5761,A6,Data!$B$2:$B$5761,Control!$B$3)</f>
        <v>594.20000000000005</v>
      </c>
      <c r="E6">
        <f>SUMIFS(Data!$G$2:$G$5761,Data!$A$2:$A$5761,A6,Data!$B$2:$B$5761,Control!$B$3)</f>
        <v>360.56</v>
      </c>
      <c r="F6">
        <f t="shared" si="0"/>
        <v>233.64000000000004</v>
      </c>
      <c r="G6">
        <f>SUMIFS(Data!$E$2:$E$5761,Data!$A$2:$A$5761,A6,Data!$B$2:$B$5761,Control!$B$13)</f>
        <v>10956.1</v>
      </c>
      <c r="H6">
        <f t="shared" si="1"/>
        <v>3.0120207007968691E-3</v>
      </c>
      <c r="I6">
        <f>SUMIFS(Data!$E$2:$E$5761,Data!$A$2:$A$5761,A6,Data!$B$2:$B$5761,Control!$B$14)</f>
        <v>9970.7999999999993</v>
      </c>
      <c r="J6">
        <f t="shared" si="2"/>
        <v>0.10212821438600717</v>
      </c>
      <c r="K6">
        <f t="shared" si="3"/>
        <v>3.1985951806990452E-2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1373.6375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11142</v>
      </c>
      <c r="Q6">
        <f t="shared" si="5"/>
        <v>-152.89999999999964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1127</v>
      </c>
      <c r="X6">
        <f t="shared" si="8"/>
        <v>0.52724046140195213</v>
      </c>
      <c r="Y6">
        <f>C6*(1+Control!$B$4)</f>
        <v>11318.773000000001</v>
      </c>
      <c r="Z6">
        <f>IF(B6=Control!$B$5,C6,0)</f>
        <v>10989.1</v>
      </c>
      <c r="AA6">
        <f t="shared" si="9"/>
        <v>-1.37E-2</v>
      </c>
      <c r="AB6" cm="1">
        <f t="array" ref="AB6">SUMPRODUCT((Data!$A$2:$A$5761=A6)*(Data!$B$2:$B$5761&lt;=Control!$B$3)*(Data!$J$2:$J$5761=Control!$B$11)*Data!$E$2:$E$5761)</f>
        <v>10989.1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12105.600000000002</v>
      </c>
      <c r="D7">
        <f>SUMIFS(Data!$F$2:$F$5761,Data!$A$2:$A$5761,A7,Data!$B$2:$B$5761,Control!$B$3)</f>
        <v>653.86</v>
      </c>
      <c r="E7">
        <f>SUMIFS(Data!$G$2:$G$5761,Data!$A$2:$A$5761,A7,Data!$B$2:$B$5761,Control!$B$3)</f>
        <v>394.85</v>
      </c>
      <c r="F7">
        <f t="shared" si="0"/>
        <v>259.01</v>
      </c>
      <c r="G7">
        <f>SUMIFS(Data!$E$2:$E$5761,Data!$A$2:$A$5761,A7,Data!$B$2:$B$5761,Control!$B$13)</f>
        <v>12114.3</v>
      </c>
      <c r="H7">
        <f t="shared" si="1"/>
        <v>-7.1815953047205117E-4</v>
      </c>
      <c r="I7">
        <f>SUMIFS(Data!$E$2:$E$5761,Data!$A$2:$A$5761,A7,Data!$B$2:$B$5761,Control!$B$14)</f>
        <v>11120.3</v>
      </c>
      <c r="J7">
        <f t="shared" si="2"/>
        <v>8.8603724719657162E-2</v>
      </c>
      <c r="K7">
        <f t="shared" si="3"/>
        <v>3.5235746166174087E-2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1513.2000000000003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12275</v>
      </c>
      <c r="Q7">
        <f t="shared" si="5"/>
        <v>-169.39999999999782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1277</v>
      </c>
      <c r="X7">
        <f t="shared" si="8"/>
        <v>0.51202819107282693</v>
      </c>
      <c r="Y7">
        <f>C7*(1+Control!$B$4)</f>
        <v>12468.768000000002</v>
      </c>
      <c r="Z7">
        <f>IF(B7=Control!$B$5,C7,0)</f>
        <v>0</v>
      </c>
      <c r="AA7">
        <f t="shared" si="9"/>
        <v>-1.38E-2</v>
      </c>
      <c r="AB7" cm="1">
        <f t="array" ref="AB7">SUMPRODUCT((Data!$A$2:$A$5761=A7)*(Data!$B$2:$B$5761&lt;=Control!$B$3)*(Data!$J$2:$J$5761=Control!$B$11)*Data!$E$2:$E$5761)</f>
        <v>12105.600000000002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13300.5</v>
      </c>
      <c r="D8">
        <f>SUMIFS(Data!$F$2:$F$5761,Data!$A$2:$A$5761,A8,Data!$B$2:$B$5761,Control!$B$3)</f>
        <v>718.87</v>
      </c>
      <c r="E8">
        <f>SUMIFS(Data!$G$2:$G$5761,Data!$A$2:$A$5761,A8,Data!$B$2:$B$5761,Control!$B$3)</f>
        <v>434.17</v>
      </c>
      <c r="F8">
        <f t="shared" si="0"/>
        <v>284.7</v>
      </c>
      <c r="G8">
        <f>SUMIFS(Data!$E$2:$E$5761,Data!$A$2:$A$5761,A8,Data!$B$2:$B$5761,Control!$B$13)</f>
        <v>13117.700000000003</v>
      </c>
      <c r="H8">
        <f t="shared" si="1"/>
        <v>1.3935369767565708E-2</v>
      </c>
      <c r="I8">
        <f>SUMIFS(Data!$E$2:$E$5761,Data!$A$2:$A$5761,A8,Data!$B$2:$B$5761,Control!$B$14)</f>
        <v>12033.000000000002</v>
      </c>
      <c r="J8">
        <f t="shared" si="2"/>
        <v>0.10533532784841659</v>
      </c>
      <c r="K8">
        <f t="shared" si="3"/>
        <v>3.8713739251519823E-2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1662.5625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13407</v>
      </c>
      <c r="Q8">
        <f t="shared" si="5"/>
        <v>-106.5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1381</v>
      </c>
      <c r="X8">
        <f t="shared" si="8"/>
        <v>0.52054308472121646</v>
      </c>
      <c r="Y8">
        <f>C8*(1+Control!$B$4)</f>
        <v>13699.515000000001</v>
      </c>
      <c r="Z8">
        <f>IF(B8=Control!$B$5,C8,0)</f>
        <v>13300.5</v>
      </c>
      <c r="AA8">
        <f t="shared" si="9"/>
        <v>-7.9000000000000008E-3</v>
      </c>
      <c r="AB8" cm="1">
        <f t="array" ref="AB8">SUMPRODUCT((Data!$A$2:$A$5761=A8)*(Data!$B$2:$B$5761&lt;=Control!$B$3)*(Data!$J$2:$J$5761=Control!$B$11)*Data!$E$2:$E$5761)</f>
        <v>13300.5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14379.300000000001</v>
      </c>
      <c r="D9">
        <f>SUMIFS(Data!$F$2:$F$5761,Data!$A$2:$A$5761,A9,Data!$B$2:$B$5761,Control!$B$3)</f>
        <v>776.25</v>
      </c>
      <c r="E9">
        <f>SUMIFS(Data!$G$2:$G$5761,Data!$A$2:$A$5761,A9,Data!$B$2:$B$5761,Control!$B$3)</f>
        <v>470.41000000000008</v>
      </c>
      <c r="F9">
        <f t="shared" si="0"/>
        <v>305.83999999999992</v>
      </c>
      <c r="G9">
        <f>SUMIFS(Data!$E$2:$E$5761,Data!$A$2:$A$5761,A9,Data!$B$2:$B$5761,Control!$B$13)</f>
        <v>14263.4</v>
      </c>
      <c r="H9">
        <f t="shared" si="1"/>
        <v>8.1256923314216856E-3</v>
      </c>
      <c r="I9">
        <f>SUMIFS(Data!$E$2:$E$5761,Data!$A$2:$A$5761,A9,Data!$B$2:$B$5761,Control!$B$14)</f>
        <v>13187.600000000002</v>
      </c>
      <c r="J9">
        <f t="shared" si="2"/>
        <v>9.0365191543571033E-2</v>
      </c>
      <c r="K9">
        <f t="shared" si="3"/>
        <v>4.1853800294679069E-2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1797.4125000000001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14540</v>
      </c>
      <c r="Q9">
        <f t="shared" si="5"/>
        <v>-160.69999999999891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1514</v>
      </c>
      <c r="X9">
        <f t="shared" si="8"/>
        <v>0.51271466314398939</v>
      </c>
      <c r="Y9">
        <f>C9*(1+Control!$B$4)</f>
        <v>14810.679000000002</v>
      </c>
      <c r="Z9">
        <f>IF(B9=Control!$B$5,C9,0)</f>
        <v>0</v>
      </c>
      <c r="AA9">
        <f t="shared" si="9"/>
        <v>-1.11E-2</v>
      </c>
      <c r="AB9" cm="1">
        <f t="array" ref="AB9">SUMPRODUCT((Data!$A$2:$A$5761=A9)*(Data!$B$2:$B$5761&lt;=Control!$B$3)*(Data!$J$2:$J$5761=Control!$B$11)*Data!$E$2:$E$5761)</f>
        <v>14379.300000000001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15489.599999999999</v>
      </c>
      <c r="D10">
        <f>SUMIFS(Data!$F$2:$F$5761,Data!$A$2:$A$5761,A10,Data!$B$2:$B$5761,Control!$B$3)</f>
        <v>837.25</v>
      </c>
      <c r="E10">
        <f>SUMIFS(Data!$G$2:$G$5761,Data!$A$2:$A$5761,A10,Data!$B$2:$B$5761,Control!$B$3)</f>
        <v>504.85</v>
      </c>
      <c r="F10">
        <f t="shared" si="0"/>
        <v>332.4</v>
      </c>
      <c r="G10">
        <f>SUMIFS(Data!$E$2:$E$5761,Data!$A$2:$A$5761,A10,Data!$B$2:$B$5761,Control!$B$13)</f>
        <v>15359.6</v>
      </c>
      <c r="H10">
        <f t="shared" si="1"/>
        <v>8.4637620771372823E-3</v>
      </c>
      <c r="I10">
        <f>SUMIFS(Data!$E$2:$E$5761,Data!$A$2:$A$5761,A10,Data!$B$2:$B$5761,Control!$B$14)</f>
        <v>14125.8</v>
      </c>
      <c r="J10">
        <f t="shared" si="2"/>
        <v>9.6546744255192607E-2</v>
      </c>
      <c r="K10">
        <f t="shared" si="3"/>
        <v>4.5085548326028443E-2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1936.1999999999998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15672</v>
      </c>
      <c r="Q10">
        <f t="shared" si="5"/>
        <v>-182.40000000000146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1619</v>
      </c>
      <c r="X10">
        <f t="shared" si="8"/>
        <v>0.5171402100061766</v>
      </c>
      <c r="Y10">
        <f>C10*(1+Control!$B$4)</f>
        <v>15954.287999999999</v>
      </c>
      <c r="Z10">
        <f>IF(B10=Control!$B$5,C10,0)</f>
        <v>0</v>
      </c>
      <c r="AA10">
        <f t="shared" si="9"/>
        <v>-1.1599999999999999E-2</v>
      </c>
      <c r="AB10" cm="1">
        <f t="array" ref="AB10">SUMPRODUCT((Data!$A$2:$A$5761=A10)*(Data!$B$2:$B$5761&lt;=Control!$B$3)*(Data!$J$2:$J$5761=Control!$B$11)*Data!$E$2:$E$5761)</f>
        <v>15489.599999999999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16648</v>
      </c>
      <c r="D11">
        <f>SUMIFS(Data!$F$2:$F$5761,Data!$A$2:$A$5761,A11,Data!$B$2:$B$5761,Control!$B$3)</f>
        <v>897.79</v>
      </c>
      <c r="E11">
        <f>SUMIFS(Data!$G$2:$G$5761,Data!$A$2:$A$5761,A11,Data!$B$2:$B$5761,Control!$B$3)</f>
        <v>540.3900000000001</v>
      </c>
      <c r="F11">
        <f t="shared" si="0"/>
        <v>357.39999999999986</v>
      </c>
      <c r="G11">
        <f>SUMIFS(Data!$E$2:$E$5761,Data!$A$2:$A$5761,A11,Data!$B$2:$B$5761,Control!$B$13)</f>
        <v>16477</v>
      </c>
      <c r="H11">
        <f t="shared" si="1"/>
        <v>1.0378102809977641E-2</v>
      </c>
      <c r="I11">
        <f>SUMIFS(Data!$E$2:$E$5761,Data!$A$2:$A$5761,A11,Data!$B$2:$B$5761,Control!$B$14)</f>
        <v>15173.2</v>
      </c>
      <c r="J11">
        <f t="shared" si="2"/>
        <v>9.7197690665119962E-2</v>
      </c>
      <c r="K11">
        <f t="shared" si="3"/>
        <v>4.8457300932995148E-2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2081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16804</v>
      </c>
      <c r="Q11">
        <f t="shared" si="5"/>
        <v>-156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1679</v>
      </c>
      <c r="X11">
        <f t="shared" si="8"/>
        <v>0.53471709350804053</v>
      </c>
      <c r="Y11">
        <f>C11*(1+Control!$B$4)</f>
        <v>17147.439999999999</v>
      </c>
      <c r="Z11">
        <f>IF(B11=Control!$B$5,C11,0)</f>
        <v>0</v>
      </c>
      <c r="AA11">
        <f t="shared" si="9"/>
        <v>-9.2999999999999992E-3</v>
      </c>
      <c r="AB11" cm="1">
        <f t="array" ref="AB11">SUMPRODUCT((Data!$A$2:$A$5761=A11)*(Data!$B$2:$B$5761&lt;=Control!$B$3)*(Data!$J$2:$J$5761=Control!$B$11)*Data!$E$2:$E$5761)</f>
        <v>16648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17663.900000000001</v>
      </c>
      <c r="D12">
        <f>SUMIFS(Data!$F$2:$F$5761,Data!$A$2:$A$5761,A12,Data!$B$2:$B$5761,Control!$B$3)</f>
        <v>952.44</v>
      </c>
      <c r="E12">
        <f>SUMIFS(Data!$G$2:$G$5761,Data!$A$2:$A$5761,A12,Data!$B$2:$B$5761,Control!$B$3)</f>
        <v>575.91</v>
      </c>
      <c r="F12">
        <f t="shared" si="0"/>
        <v>376.53000000000009</v>
      </c>
      <c r="G12">
        <f>SUMIFS(Data!$E$2:$E$5761,Data!$A$2:$A$5761,A12,Data!$B$2:$B$5761,Control!$B$13)</f>
        <v>17610.2</v>
      </c>
      <c r="H12">
        <f t="shared" si="1"/>
        <v>3.0493691156261438E-3</v>
      </c>
      <c r="I12">
        <f>SUMIFS(Data!$E$2:$E$5761,Data!$A$2:$A$5761,A12,Data!$B$2:$B$5761,Control!$B$14)</f>
        <v>16227.499999999998</v>
      </c>
      <c r="J12">
        <f t="shared" si="2"/>
        <v>8.851640733323074E-2</v>
      </c>
      <c r="K12">
        <f t="shared" si="3"/>
        <v>5.1414279069577913E-2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2207.9875000000002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17937</v>
      </c>
      <c r="Q12">
        <f t="shared" si="5"/>
        <v>-273.09999999999854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/>
      </c>
      <c r="W12">
        <f>SUMIFS(Data!$H$2:$H$5761,Data!$A$2:$A$5761,A12,Data!$B$2:$B$5761,Control!$B$3)</f>
        <v>1831</v>
      </c>
      <c r="X12">
        <f t="shared" si="8"/>
        <v>0.52017476788640093</v>
      </c>
      <c r="Y12">
        <f>C12*(1+Control!$B$4)</f>
        <v>18193.817000000003</v>
      </c>
      <c r="Z12">
        <f>IF(B12=Control!$B$5,C12,0)</f>
        <v>0</v>
      </c>
      <c r="AA12">
        <f t="shared" si="9"/>
        <v>-1.52E-2</v>
      </c>
      <c r="AB12" cm="1">
        <f t="array" ref="AB12">SUMPRODUCT((Data!$A$2:$A$5761=A12)*(Data!$B$2:$B$5761&lt;=Control!$B$3)*(Data!$J$2:$J$5761=Control!$B$11)*Data!$E$2:$E$5761)</f>
        <v>17663.900000000001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18941.599999999999</v>
      </c>
      <c r="D13">
        <f>SUMIFS(Data!$F$2:$F$5761,Data!$A$2:$A$5761,A13,Data!$B$2:$B$5761,Control!$B$3)</f>
        <v>1020.23</v>
      </c>
      <c r="E13">
        <f>SUMIFS(Data!$G$2:$G$5761,Data!$A$2:$A$5761,A13,Data!$B$2:$B$5761,Control!$B$3)</f>
        <v>615.30999999999995</v>
      </c>
      <c r="F13">
        <f t="shared" si="0"/>
        <v>404.92000000000007</v>
      </c>
      <c r="G13">
        <f>SUMIFS(Data!$E$2:$E$5761,Data!$A$2:$A$5761,A13,Data!$B$2:$B$5761,Control!$B$13)</f>
        <v>18661.5</v>
      </c>
      <c r="H13">
        <f t="shared" si="1"/>
        <v>1.5009511561235644E-2</v>
      </c>
      <c r="I13">
        <f>SUMIFS(Data!$E$2:$E$5761,Data!$A$2:$A$5761,A13,Data!$B$2:$B$5761,Control!$B$14)</f>
        <v>17231.8</v>
      </c>
      <c r="J13">
        <f t="shared" si="2"/>
        <v>9.9223528592485843E-2</v>
      </c>
      <c r="K13">
        <f t="shared" si="3"/>
        <v>5.5133277952451994E-2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2367.6999999999998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19069</v>
      </c>
      <c r="Q13">
        <f t="shared" si="5"/>
        <v>-127.40000000000146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1888</v>
      </c>
      <c r="X13">
        <f t="shared" si="8"/>
        <v>0.54037605932203392</v>
      </c>
      <c r="Y13">
        <f>C13*(1+Control!$B$4)</f>
        <v>19509.847999999998</v>
      </c>
      <c r="Z13">
        <f>IF(B13=Control!$B$5,C13,0)</f>
        <v>0</v>
      </c>
      <c r="AA13">
        <f t="shared" si="9"/>
        <v>-6.7000000000000002E-3</v>
      </c>
      <c r="AB13" cm="1">
        <f t="array" ref="AB13">SUMPRODUCT((Data!$A$2:$A$5761=A13)*(Data!$B$2:$B$5761&lt;=Control!$B$3)*(Data!$J$2:$J$5761=Control!$B$11)*Data!$E$2:$E$5761)</f>
        <v>18941.599999999999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19938.900000000001</v>
      </c>
      <c r="D14">
        <f>SUMIFS(Data!$F$2:$F$5761,Data!$A$2:$A$5761,A14,Data!$B$2:$B$5761,Control!$B$3)</f>
        <v>1074.98</v>
      </c>
      <c r="E14">
        <f>SUMIFS(Data!$G$2:$G$5761,Data!$A$2:$A$5761,A14,Data!$B$2:$B$5761,Control!$B$3)</f>
        <v>649.28</v>
      </c>
      <c r="F14">
        <f t="shared" si="0"/>
        <v>425.70000000000005</v>
      </c>
      <c r="G14">
        <f>SUMIFS(Data!$E$2:$E$5761,Data!$A$2:$A$5761,A14,Data!$B$2:$B$5761,Control!$B$13)</f>
        <v>19712.400000000001</v>
      </c>
      <c r="H14">
        <f t="shared" si="1"/>
        <v>1.1490229500213056E-2</v>
      </c>
      <c r="I14">
        <f>SUMIFS(Data!$E$2:$E$5761,Data!$A$2:$A$5761,A14,Data!$B$2:$B$5761,Control!$B$14)</f>
        <v>18251.5</v>
      </c>
      <c r="J14">
        <f t="shared" si="2"/>
        <v>9.2452675122592698E-2</v>
      </c>
      <c r="K14">
        <f t="shared" si="3"/>
        <v>5.8036117105532019E-2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2492.3625000000002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20202</v>
      </c>
      <c r="Q14">
        <f t="shared" si="5"/>
        <v>-263.09999999999854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1899</v>
      </c>
      <c r="X14">
        <f t="shared" si="8"/>
        <v>0.56607688256977362</v>
      </c>
      <c r="Y14">
        <f>C14*(1+Control!$B$4)</f>
        <v>20537.067000000003</v>
      </c>
      <c r="Z14">
        <f>IF(B14=Control!$B$5,C14,0)</f>
        <v>19938.900000000001</v>
      </c>
      <c r="AA14">
        <f t="shared" si="9"/>
        <v>-1.2999999999999999E-2</v>
      </c>
      <c r="AB14" cm="1">
        <f t="array" ref="AB14">SUMPRODUCT((Data!$A$2:$A$5761=A14)*(Data!$B$2:$B$5761&lt;=Control!$B$3)*(Data!$J$2:$J$5761=Control!$B$11)*Data!$E$2:$E$5761)</f>
        <v>19938.900000000001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21147.299999999996</v>
      </c>
      <c r="D15">
        <f>SUMIFS(Data!$F$2:$F$5761,Data!$A$2:$A$5761,A15,Data!$B$2:$B$5761,Control!$B$3)</f>
        <v>1139.4499999999998</v>
      </c>
      <c r="E15">
        <f>SUMIFS(Data!$G$2:$G$5761,Data!$A$2:$A$5761,A15,Data!$B$2:$B$5761,Control!$B$3)</f>
        <v>688.74</v>
      </c>
      <c r="F15">
        <f t="shared" si="0"/>
        <v>450.70999999999981</v>
      </c>
      <c r="G15">
        <f>SUMIFS(Data!$E$2:$E$5761,Data!$A$2:$A$5761,A15,Data!$B$2:$B$5761,Control!$B$13)</f>
        <v>20972.7</v>
      </c>
      <c r="H15">
        <f t="shared" si="1"/>
        <v>8.3251083551472149E-3</v>
      </c>
      <c r="I15">
        <f>SUMIFS(Data!$E$2:$E$5761,Data!$A$2:$A$5761,A15,Data!$B$2:$B$5761,Control!$B$14)</f>
        <v>19259.599999999999</v>
      </c>
      <c r="J15">
        <f t="shared" si="2"/>
        <v>9.8013458223431327E-2</v>
      </c>
      <c r="K15">
        <f t="shared" si="3"/>
        <v>6.1553404614387797E-2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2643.4124999999995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21334</v>
      </c>
      <c r="Q15">
        <f t="shared" si="5"/>
        <v>-186.70000000000437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2032</v>
      </c>
      <c r="X15">
        <f t="shared" si="8"/>
        <v>0.56075295275590542</v>
      </c>
      <c r="Y15">
        <f>C15*(1+Control!$B$4)</f>
        <v>21781.718999999997</v>
      </c>
      <c r="Z15">
        <f>IF(B15=Control!$B$5,C15,0)</f>
        <v>21147.299999999996</v>
      </c>
      <c r="AA15">
        <f t="shared" si="9"/>
        <v>-8.8000000000000005E-3</v>
      </c>
      <c r="AB15" cm="1">
        <f t="array" ref="AB15">SUMPRODUCT((Data!$A$2:$A$5761=A15)*(Data!$B$2:$B$5761&lt;=Control!$B$3)*(Data!$J$2:$J$5761=Control!$B$11)*Data!$E$2:$E$5761)</f>
        <v>21147.299999999996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22158.399999999998</v>
      </c>
      <c r="D16">
        <f>SUMIFS(Data!$F$2:$F$5761,Data!$A$2:$A$5761,A16,Data!$B$2:$B$5761,Control!$B$3)</f>
        <v>1194.1600000000001</v>
      </c>
      <c r="E16">
        <f>SUMIFS(Data!$G$2:$G$5761,Data!$A$2:$A$5761,A16,Data!$B$2:$B$5761,Control!$B$3)</f>
        <v>721.07</v>
      </c>
      <c r="F16">
        <f t="shared" si="0"/>
        <v>473.09000000000003</v>
      </c>
      <c r="G16">
        <f>SUMIFS(Data!$E$2:$E$5761,Data!$A$2:$A$5761,A16,Data!$B$2:$B$5761,Control!$B$13)</f>
        <v>22036.399999999998</v>
      </c>
      <c r="H16">
        <f t="shared" si="1"/>
        <v>5.5362944945636094E-3</v>
      </c>
      <c r="I16">
        <f>SUMIFS(Data!$E$2:$E$5761,Data!$A$2:$A$5761,A16,Data!$B$2:$B$5761,Control!$B$14)</f>
        <v>20295.2</v>
      </c>
      <c r="J16">
        <f t="shared" si="2"/>
        <v>9.1804958807993886E-2</v>
      </c>
      <c r="K16">
        <f t="shared" si="3"/>
        <v>6.4496411400389211E-2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2769.7999999999997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22466</v>
      </c>
      <c r="Q16">
        <f t="shared" si="5"/>
        <v>-307.60000000000218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/>
      </c>
      <c r="W16">
        <f>SUMIFS(Data!$H$2:$H$5761,Data!$A$2:$A$5761,A16,Data!$B$2:$B$5761,Control!$B$3)</f>
        <v>2180</v>
      </c>
      <c r="X16">
        <f t="shared" si="8"/>
        <v>0.54777981651376151</v>
      </c>
      <c r="Y16">
        <f>C16*(1+Control!$B$4)</f>
        <v>22823.151999999998</v>
      </c>
      <c r="Z16">
        <f>IF(B16=Control!$B$5,C16,0)</f>
        <v>0</v>
      </c>
      <c r="AA16">
        <f t="shared" si="9"/>
        <v>-1.37E-2</v>
      </c>
      <c r="AB16" cm="1">
        <f t="array" ref="AB16">SUMPRODUCT((Data!$A$2:$A$5761=A16)*(Data!$B$2:$B$5761&lt;=Control!$B$3)*(Data!$J$2:$J$5761=Control!$B$11)*Data!$E$2:$E$5761)</f>
        <v>22158.399999999998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23396.2</v>
      </c>
      <c r="D17">
        <f>SUMIFS(Data!$F$2:$F$5761,Data!$A$2:$A$5761,A17,Data!$B$2:$B$5761,Control!$B$3)</f>
        <v>1260.8899999999999</v>
      </c>
      <c r="E17">
        <f>SUMIFS(Data!$G$2:$G$5761,Data!$A$2:$A$5761,A17,Data!$B$2:$B$5761,Control!$B$3)</f>
        <v>760.94</v>
      </c>
      <c r="F17">
        <f t="shared" si="0"/>
        <v>499.94999999999982</v>
      </c>
      <c r="G17">
        <f>SUMIFS(Data!$E$2:$E$5761,Data!$A$2:$A$5761,A17,Data!$B$2:$B$5761,Control!$B$13)</f>
        <v>23131.4</v>
      </c>
      <c r="H17">
        <f t="shared" si="1"/>
        <v>1.144764259837272E-2</v>
      </c>
      <c r="I17">
        <f>SUMIFS(Data!$E$2:$E$5761,Data!$A$2:$A$5761,A17,Data!$B$2:$B$5761,Control!$B$14)</f>
        <v>21301.3</v>
      </c>
      <c r="J17">
        <f t="shared" si="2"/>
        <v>9.8346110331294367E-2</v>
      </c>
      <c r="K17">
        <f t="shared" si="3"/>
        <v>6.8099273431555807E-2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2924.5250000000001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23599</v>
      </c>
      <c r="Q17">
        <f t="shared" si="5"/>
        <v>-202.79999999999927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2279</v>
      </c>
      <c r="X17">
        <f t="shared" si="8"/>
        <v>0.55326458973233872</v>
      </c>
      <c r="Y17">
        <f>C17*(1+Control!$B$4)</f>
        <v>24098.086000000003</v>
      </c>
      <c r="Z17">
        <f>IF(B17=Control!$B$5,C17,0)</f>
        <v>0</v>
      </c>
      <c r="AA17">
        <f t="shared" si="9"/>
        <v>-8.6E-3</v>
      </c>
      <c r="AB17" cm="1">
        <f t="array" ref="AB17">SUMPRODUCT((Data!$A$2:$A$5761=A17)*(Data!$B$2:$B$5761&lt;=Control!$B$3)*(Data!$J$2:$J$5761=Control!$B$11)*Data!$E$2:$E$5761)</f>
        <v>23396.2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24517.8</v>
      </c>
      <c r="D18">
        <f>SUMIFS(Data!$F$2:$F$5761,Data!$A$2:$A$5761,A18,Data!$B$2:$B$5761,Control!$B$3)</f>
        <v>1321.49</v>
      </c>
      <c r="E18">
        <f>SUMIFS(Data!$G$2:$G$5761,Data!$A$2:$A$5761,A18,Data!$B$2:$B$5761,Control!$B$3)</f>
        <v>797.52</v>
      </c>
      <c r="F18">
        <f t="shared" si="0"/>
        <v>523.97</v>
      </c>
      <c r="G18">
        <f>SUMIFS(Data!$E$2:$E$5761,Data!$A$2:$A$5761,A18,Data!$B$2:$B$5761,Control!$B$13)</f>
        <v>24182.800000000003</v>
      </c>
      <c r="H18">
        <f t="shared" si="1"/>
        <v>1.3852821013282002E-2</v>
      </c>
      <c r="I18">
        <f>SUMIFS(Data!$E$2:$E$5761,Data!$A$2:$A$5761,A18,Data!$B$2:$B$5761,Control!$B$14)</f>
        <v>22352.400000000001</v>
      </c>
      <c r="J18">
        <f t="shared" si="2"/>
        <v>9.6875503301658838E-2</v>
      </c>
      <c r="K18">
        <f t="shared" si="3"/>
        <v>7.1363912350732125E-2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3064.7249999999999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24731</v>
      </c>
      <c r="Q18">
        <f t="shared" si="5"/>
        <v>-213.20000000000073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/>
      </c>
      <c r="W18">
        <f>SUMIFS(Data!$H$2:$H$5761,Data!$A$2:$A$5761,A18,Data!$B$2:$B$5761,Control!$B$3)</f>
        <v>2365</v>
      </c>
      <c r="X18">
        <f t="shared" si="8"/>
        <v>0.55876955602536993</v>
      </c>
      <c r="Y18">
        <f>C18*(1+Control!$B$4)</f>
        <v>25253.333999999999</v>
      </c>
      <c r="Z18">
        <f>IF(B18=Control!$B$5,C18,0)</f>
        <v>0</v>
      </c>
      <c r="AA18">
        <f t="shared" si="9"/>
        <v>-8.6E-3</v>
      </c>
      <c r="AB18" cm="1">
        <f t="array" ref="AB18">SUMPRODUCT((Data!$A$2:$A$5761=A18)*(Data!$B$2:$B$5761&lt;=Control!$B$3)*(Data!$J$2:$J$5761=Control!$B$11)*Data!$E$2:$E$5761)</f>
        <v>24517.8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25626.999999999996</v>
      </c>
      <c r="D19">
        <f>SUMIFS(Data!$F$2:$F$5761,Data!$A$2:$A$5761,A19,Data!$B$2:$B$5761,Control!$B$3)</f>
        <v>1379.58</v>
      </c>
      <c r="E19">
        <f>SUMIFS(Data!$G$2:$G$5761,Data!$A$2:$A$5761,A19,Data!$B$2:$B$5761,Control!$B$3)</f>
        <v>832.79</v>
      </c>
      <c r="F19">
        <f t="shared" si="0"/>
        <v>546.79</v>
      </c>
      <c r="G19">
        <f>SUMIFS(Data!$E$2:$E$5761,Data!$A$2:$A$5761,A19,Data!$B$2:$B$5761,Control!$B$13)</f>
        <v>25405</v>
      </c>
      <c r="H19">
        <f t="shared" si="1"/>
        <v>8.7384373154888451E-3</v>
      </c>
      <c r="I19">
        <f>SUMIFS(Data!$E$2:$E$5761,Data!$A$2:$A$5761,A19,Data!$B$2:$B$5761,Control!$B$14)</f>
        <v>23391.300000000003</v>
      </c>
      <c r="J19">
        <f t="shared" si="2"/>
        <v>9.5578270553581701E-2</v>
      </c>
      <c r="K19">
        <f t="shared" si="3"/>
        <v>7.4592458614239937E-2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3203.3749999999995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25864</v>
      </c>
      <c r="Q19">
        <f t="shared" si="5"/>
        <v>-237.00000000000364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/>
      </c>
      <c r="W19">
        <f>SUMIFS(Data!$H$2:$H$5761,Data!$A$2:$A$5761,A19,Data!$B$2:$B$5761,Control!$B$3)</f>
        <v>2451</v>
      </c>
      <c r="X19">
        <f t="shared" si="8"/>
        <v>0.5628641370869033</v>
      </c>
      <c r="Y19">
        <f>C19*(1+Control!$B$4)</f>
        <v>26395.809999999998</v>
      </c>
      <c r="Z19">
        <f>IF(B19=Control!$B$5,C19,0)</f>
        <v>0</v>
      </c>
      <c r="AA19">
        <f t="shared" si="9"/>
        <v>-9.1999999999999998E-3</v>
      </c>
      <c r="AB19" cm="1">
        <f t="array" ref="AB19">SUMPRODUCT((Data!$A$2:$A$5761=A19)*(Data!$B$2:$B$5761&lt;=Control!$B$3)*(Data!$J$2:$J$5761=Control!$B$11)*Data!$E$2:$E$5761)</f>
        <v>25626.999999999996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26741.1</v>
      </c>
      <c r="D20">
        <f>SUMIFS(Data!$F$2:$F$5761,Data!$A$2:$A$5761,A20,Data!$B$2:$B$5761,Control!$B$3)</f>
        <v>1438.33</v>
      </c>
      <c r="E20">
        <f>SUMIFS(Data!$G$2:$G$5761,Data!$A$2:$A$5761,A20,Data!$B$2:$B$5761,Control!$B$3)</f>
        <v>869.01</v>
      </c>
      <c r="F20">
        <f t="shared" si="0"/>
        <v>569.31999999999994</v>
      </c>
      <c r="G20">
        <f>SUMIFS(Data!$E$2:$E$5761,Data!$A$2:$A$5761,A20,Data!$B$2:$B$5761,Control!$B$13)</f>
        <v>26524.499999999996</v>
      </c>
      <c r="H20">
        <f t="shared" si="1"/>
        <v>8.1660351750270088E-3</v>
      </c>
      <c r="I20">
        <f>SUMIFS(Data!$E$2:$E$5761,Data!$A$2:$A$5761,A20,Data!$B$2:$B$5761,Control!$B$14)</f>
        <v>24305.1</v>
      </c>
      <c r="J20">
        <f t="shared" si="2"/>
        <v>0.10022587851932308</v>
      </c>
      <c r="K20">
        <f t="shared" si="3"/>
        <v>7.7835267298132893E-2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3342.6374999999998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26996</v>
      </c>
      <c r="Q20">
        <f t="shared" si="5"/>
        <v>-254.90000000000146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2583</v>
      </c>
      <c r="X20">
        <f t="shared" si="8"/>
        <v>0.55684475416182733</v>
      </c>
      <c r="Y20">
        <f>C20*(1+Control!$B$4)</f>
        <v>27543.332999999999</v>
      </c>
      <c r="Z20">
        <f>IF(B20=Control!$B$5,C20,0)</f>
        <v>0</v>
      </c>
      <c r="AA20">
        <f t="shared" si="9"/>
        <v>-9.4000000000000004E-3</v>
      </c>
      <c r="AB20" cm="1">
        <f t="array" ref="AB20">SUMPRODUCT((Data!$A$2:$A$5761=A20)*(Data!$B$2:$B$5761&lt;=Control!$B$3)*(Data!$J$2:$J$5761=Control!$B$11)*Data!$E$2:$E$5761)</f>
        <v>26741.1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27692.400000000001</v>
      </c>
      <c r="D21">
        <f>SUMIFS(Data!$F$2:$F$5761,Data!$A$2:$A$5761,A21,Data!$B$2:$B$5761,Control!$B$3)</f>
        <v>1493.0400000000002</v>
      </c>
      <c r="E21">
        <f>SUMIFS(Data!$G$2:$G$5761,Data!$A$2:$A$5761,A21,Data!$B$2:$B$5761,Control!$B$3)</f>
        <v>899.93</v>
      </c>
      <c r="F21">
        <f t="shared" si="0"/>
        <v>593.11000000000024</v>
      </c>
      <c r="G21">
        <f>SUMIFS(Data!$E$2:$E$5761,Data!$A$2:$A$5761,A21,Data!$B$2:$B$5761,Control!$B$13)</f>
        <v>27564.999999999996</v>
      </c>
      <c r="H21">
        <f t="shared" si="1"/>
        <v>4.6218030110649622E-3</v>
      </c>
      <c r="I21">
        <f>SUMIFS(Data!$E$2:$E$5761,Data!$A$2:$A$5761,A21,Data!$B$2:$B$5761,Control!$B$14)</f>
        <v>25464.400000000001</v>
      </c>
      <c r="J21">
        <f t="shared" si="2"/>
        <v>8.7494698481016542E-2</v>
      </c>
      <c r="K21">
        <f t="shared" si="3"/>
        <v>8.0604214341474939E-2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3461.55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28129</v>
      </c>
      <c r="Q21">
        <f t="shared" si="5"/>
        <v>-436.59999999999854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/>
      </c>
      <c r="W21">
        <f>SUMIFS(Data!$H$2:$H$5761,Data!$A$2:$A$5761,A21,Data!$B$2:$B$5761,Control!$B$3)</f>
        <v>2670</v>
      </c>
      <c r="X21">
        <f t="shared" si="8"/>
        <v>0.55919101123595516</v>
      </c>
      <c r="Y21">
        <f>C21*(1+Control!$B$4)</f>
        <v>28523.172000000002</v>
      </c>
      <c r="Z21">
        <f>IF(B21=Control!$B$5,C21,0)</f>
        <v>27692.400000000001</v>
      </c>
      <c r="AA21">
        <f t="shared" si="9"/>
        <v>-1.55E-2</v>
      </c>
      <c r="AB21" cm="1">
        <f t="array" ref="AB21">SUMPRODUCT((Data!$A$2:$A$5761=A21)*(Data!$B$2:$B$5761&lt;=Control!$B$3)*(Data!$J$2:$J$5761=Control!$B$11)*Data!$E$2:$E$5761)</f>
        <v>27692.400000000001</v>
      </c>
    </row>
    <row r="23" spans="1:28" x14ac:dyDescent="0.25">
      <c r="A23" t="s">
        <v>162</v>
      </c>
      <c r="C23">
        <f t="shared" ref="C23:G23" si="10">SUM(C2:C21)</f>
        <v>343560.2</v>
      </c>
      <c r="D23">
        <f t="shared" si="10"/>
        <v>18530.43</v>
      </c>
      <c r="E23">
        <f t="shared" si="10"/>
        <v>11192.289999999999</v>
      </c>
      <c r="F23">
        <f t="shared" si="10"/>
        <v>7338.1400000000012</v>
      </c>
      <c r="G23">
        <f t="shared" si="10"/>
        <v>340849.5</v>
      </c>
      <c r="K23">
        <f>SUM(K2:K21)</f>
        <v>0.99999999999999978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497.8</v>
      </c>
      <c r="C2">
        <f>SUMIFS(Data!$F$2:$F$5761,Data!$A$2:$A$5761,Control!$B$2,Data!$B$2:$B$5761,Control!$B$3,Data!$C$2:$C$5761,A2)</f>
        <v>22.64</v>
      </c>
      <c r="D2">
        <f>SUMIFS(Data!$G$2:$G$5761,Data!$A$2:$A$5761,Control!$B$2,Data!$B$2:$B$5761,Control!$B$3,Data!$C$2:$C$5761,A2)</f>
        <v>14.37</v>
      </c>
      <c r="E2">
        <f t="shared" ref="E2:E9" si="0">C2-D2</f>
        <v>8.2700000000000014</v>
      </c>
      <c r="F2">
        <f>VLOOKUP(A2,Products!$A$2:$C$9,3,FALSE)</f>
        <v>0.6</v>
      </c>
      <c r="G2">
        <f t="shared" ref="G2:G9" si="1">E2*F2</f>
        <v>4.9620000000000006</v>
      </c>
      <c r="H2">
        <f t="shared" ref="H2:H9" si="2">B2/SUM($B$2:$B$9)</f>
        <v>5.6962387431200023E-2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497.8</v>
      </c>
      <c r="K2">
        <f>SUMIFS(Data!$E$2:$E$5761,Data!$C$2:$C$5761,A2,Data!$B$2:$B$5761,Control!$B$3)</f>
        <v>18719.999999999996</v>
      </c>
      <c r="L2">
        <f t="shared" ref="L2:L9" si="4">B2/K2</f>
        <v>2.6591880341880349E-2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673</v>
      </c>
      <c r="O2" cm="1">
        <f t="array" ref="O2">INDEX(Data!$E$2:$E$5761,N2)</f>
        <v>497.8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663.1</v>
      </c>
      <c r="C3">
        <f>SUMIFS(Data!$F$2:$F$5761,Data!$A$2:$A$5761,Control!$B$2,Data!$B$2:$B$5761,Control!$B$3,Data!$C$2:$C$5761,A3)</f>
        <v>31.7</v>
      </c>
      <c r="D3">
        <f>SUMIFS(Data!$G$2:$G$5761,Data!$A$2:$A$5761,Control!$B$2,Data!$B$2:$B$5761,Control!$B$3,Data!$C$2:$C$5761,A3)</f>
        <v>20.079999999999998</v>
      </c>
      <c r="E3">
        <f t="shared" si="0"/>
        <v>11.620000000000001</v>
      </c>
      <c r="F3">
        <f>VLOOKUP(A3,Products!$A$2:$C$9,3,FALSE)</f>
        <v>0.65</v>
      </c>
      <c r="G3">
        <f t="shared" si="1"/>
        <v>7.5530000000000008</v>
      </c>
      <c r="H3">
        <f t="shared" si="2"/>
        <v>7.5877378677438198E-2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663.1</v>
      </c>
      <c r="K3">
        <f>SUMIFS(Data!$E$2:$E$5761,Data!$C$2:$C$5761,A3,Data!$B$2:$B$5761,Control!$B$3)</f>
        <v>25649.5</v>
      </c>
      <c r="L3">
        <f t="shared" si="4"/>
        <v>2.5852355796409286E-2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674</v>
      </c>
      <c r="O3" cm="1">
        <f t="array" ref="O3">INDEX(Data!$E$2:$E$5761,N3)</f>
        <v>663.1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855.8</v>
      </c>
      <c r="C4">
        <f>SUMIFS(Data!$F$2:$F$5761,Data!$A$2:$A$5761,Control!$B$2,Data!$B$2:$B$5761,Control!$B$3,Data!$C$2:$C$5761,A4)</f>
        <v>42.37</v>
      </c>
      <c r="D4">
        <f>SUMIFS(Data!$G$2:$G$5761,Data!$A$2:$A$5761,Control!$B$2,Data!$B$2:$B$5761,Control!$B$3,Data!$C$2:$C$5761,A4)</f>
        <v>26.49</v>
      </c>
      <c r="E4">
        <f t="shared" si="0"/>
        <v>15.879999999999999</v>
      </c>
      <c r="F4">
        <f>VLOOKUP(A4,Products!$A$2:$C$9,3,FALSE)</f>
        <v>0.7</v>
      </c>
      <c r="G4">
        <f t="shared" si="1"/>
        <v>11.115999999999998</v>
      </c>
      <c r="H4">
        <f t="shared" si="2"/>
        <v>9.7927704225835618E-2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855.8</v>
      </c>
      <c r="K4">
        <f>SUMIFS(Data!$E$2:$E$5761,Data!$C$2:$C$5761,A4,Data!$B$2:$B$5761,Control!$B$3)</f>
        <v>32444.899999999998</v>
      </c>
      <c r="L4">
        <f t="shared" si="4"/>
        <v>2.6377026897909994E-2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675</v>
      </c>
      <c r="O4" cm="1">
        <f t="array" ref="O4">INDEX(Data!$E$2:$E$5761,N4)</f>
        <v>855.8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1001.7</v>
      </c>
      <c r="C5">
        <f>SUMIFS(Data!$F$2:$F$5761,Data!$A$2:$A$5761,Control!$B$2,Data!$B$2:$B$5761,Control!$B$3,Data!$C$2:$C$5761,A5)</f>
        <v>51.66</v>
      </c>
      <c r="D5">
        <f>SUMIFS(Data!$G$2:$G$5761,Data!$A$2:$A$5761,Control!$B$2,Data!$B$2:$B$5761,Control!$B$3,Data!$C$2:$C$5761,A5)</f>
        <v>31.73</v>
      </c>
      <c r="E5">
        <f t="shared" si="0"/>
        <v>19.929999999999996</v>
      </c>
      <c r="F5">
        <f>VLOOKUP(A5,Products!$A$2:$C$9,3,FALSE)</f>
        <v>0.75</v>
      </c>
      <c r="G5">
        <f t="shared" si="1"/>
        <v>14.947499999999998</v>
      </c>
      <c r="H5">
        <f t="shared" si="2"/>
        <v>0.11462278724353769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1001.7</v>
      </c>
      <c r="K5">
        <f>SUMIFS(Data!$E$2:$E$5761,Data!$C$2:$C$5761,A5,Data!$B$2:$B$5761,Control!$B$3)</f>
        <v>39407.400000000009</v>
      </c>
      <c r="L5">
        <f t="shared" si="4"/>
        <v>2.5419083725391672E-2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676</v>
      </c>
      <c r="O5" cm="1">
        <f t="array" ref="O5">INDEX(Data!$E$2:$E$5761,N5)</f>
        <v>1001.7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1158.4000000000001</v>
      </c>
      <c r="C6">
        <f>SUMIFS(Data!$F$2:$F$5761,Data!$A$2:$A$5761,Control!$B$2,Data!$B$2:$B$5761,Control!$B$3,Data!$C$2:$C$5761,A6)</f>
        <v>61.44</v>
      </c>
      <c r="D6">
        <f>SUMIFS(Data!$G$2:$G$5761,Data!$A$2:$A$5761,Control!$B$2,Data!$B$2:$B$5761,Control!$B$3,Data!$C$2:$C$5761,A6)</f>
        <v>37.909999999999997</v>
      </c>
      <c r="E6">
        <f t="shared" si="0"/>
        <v>23.53</v>
      </c>
      <c r="F6">
        <f>VLOOKUP(A6,Products!$A$2:$C$9,3,FALSE)</f>
        <v>0.8</v>
      </c>
      <c r="G6">
        <f t="shared" si="1"/>
        <v>18.824000000000002</v>
      </c>
      <c r="H6">
        <f t="shared" si="2"/>
        <v>0.13255369546063098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1158.4000000000001</v>
      </c>
      <c r="K6">
        <f>SUMIFS(Data!$E$2:$E$5761,Data!$C$2:$C$5761,A6,Data!$B$2:$B$5761,Control!$B$3)</f>
        <v>46392.100000000006</v>
      </c>
      <c r="L6">
        <f t="shared" si="4"/>
        <v>2.4969768559733228E-2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677</v>
      </c>
      <c r="O6" cm="1">
        <f t="array" ref="O6">INDEX(Data!$E$2:$E$5761,N6)</f>
        <v>1158.4000000000001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1348.1</v>
      </c>
      <c r="C7">
        <f>SUMIFS(Data!$F$2:$F$5761,Data!$A$2:$A$5761,Control!$B$2,Data!$B$2:$B$5761,Control!$B$3,Data!$C$2:$C$5761,A7)</f>
        <v>74.92</v>
      </c>
      <c r="D7">
        <f>SUMIFS(Data!$G$2:$G$5761,Data!$A$2:$A$5761,Control!$B$2,Data!$B$2:$B$5761,Control!$B$3,Data!$C$2:$C$5761,A7)</f>
        <v>44.8</v>
      </c>
      <c r="E7">
        <f t="shared" si="0"/>
        <v>30.120000000000005</v>
      </c>
      <c r="F7">
        <f>VLOOKUP(A7,Products!$A$2:$C$9,3,FALSE)</f>
        <v>0.85</v>
      </c>
      <c r="G7">
        <f t="shared" si="1"/>
        <v>25.602000000000004</v>
      </c>
      <c r="H7">
        <f t="shared" si="2"/>
        <v>0.15426073623141973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1348.1</v>
      </c>
      <c r="K7">
        <f>SUMIFS(Data!$E$2:$E$5761,Data!$C$2:$C$5761,A7,Data!$B$2:$B$5761,Control!$B$3)</f>
        <v>53441.000000000015</v>
      </c>
      <c r="L7">
        <f t="shared" si="4"/>
        <v>2.522595011320895E-2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678</v>
      </c>
      <c r="O7" cm="1">
        <f t="array" ref="O7">INDEX(Data!$E$2:$E$5761,N7)</f>
        <v>1348.1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1520.9</v>
      </c>
      <c r="C8">
        <f>SUMIFS(Data!$F$2:$F$5761,Data!$A$2:$A$5761,Control!$B$2,Data!$B$2:$B$5761,Control!$B$3,Data!$C$2:$C$5761,A8)</f>
        <v>87.3</v>
      </c>
      <c r="D8">
        <f>SUMIFS(Data!$G$2:$G$5761,Data!$A$2:$A$5761,Control!$B$2,Data!$B$2:$B$5761,Control!$B$3,Data!$C$2:$C$5761,A8)</f>
        <v>52.62</v>
      </c>
      <c r="E8">
        <f t="shared" si="0"/>
        <v>34.68</v>
      </c>
      <c r="F8">
        <f>VLOOKUP(A8,Products!$A$2:$C$9,3,FALSE)</f>
        <v>0.9</v>
      </c>
      <c r="G8">
        <f t="shared" si="1"/>
        <v>31.212</v>
      </c>
      <c r="H8">
        <f t="shared" si="2"/>
        <v>0.17403393942167961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1520.9</v>
      </c>
      <c r="K8">
        <f>SUMIFS(Data!$E$2:$E$5761,Data!$C$2:$C$5761,A8,Data!$B$2:$B$5761,Control!$B$3)</f>
        <v>60344.299999999981</v>
      </c>
      <c r="L8">
        <f t="shared" si="4"/>
        <v>2.5203706066687336E-2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679</v>
      </c>
      <c r="O8" cm="1">
        <f t="array" ref="O8">INDEX(Data!$E$2:$E$5761,N8)</f>
        <v>1520.9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1693.3</v>
      </c>
      <c r="C9">
        <f>SUMIFS(Data!$F$2:$F$5761,Data!$A$2:$A$5761,Control!$B$2,Data!$B$2:$B$5761,Control!$B$3,Data!$C$2:$C$5761,A9)</f>
        <v>100.01</v>
      </c>
      <c r="D9">
        <f>SUMIFS(Data!$G$2:$G$5761,Data!$A$2:$A$5761,Control!$B$2,Data!$B$2:$B$5761,Control!$B$3,Data!$C$2:$C$5761,A9)</f>
        <v>59.57</v>
      </c>
      <c r="E9">
        <f t="shared" si="0"/>
        <v>40.440000000000005</v>
      </c>
      <c r="F9">
        <f>VLOOKUP(A9,Products!$A$2:$C$9,3,FALSE)</f>
        <v>0.95</v>
      </c>
      <c r="G9">
        <f t="shared" si="1"/>
        <v>38.417999999999999</v>
      </c>
      <c r="H9">
        <f t="shared" si="2"/>
        <v>0.19376137130825832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1693.3</v>
      </c>
      <c r="K9">
        <f>SUMIFS(Data!$E$2:$E$5761,Data!$C$2:$C$5761,A9,Data!$B$2:$B$5761,Control!$B$3)</f>
        <v>67161</v>
      </c>
      <c r="L9">
        <f t="shared" si="4"/>
        <v>2.5212548949539167E-2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680</v>
      </c>
      <c r="O9" cm="1">
        <f t="array" ref="O9">INDEX(Data!$E$2:$E$5761,N9)</f>
        <v>1693.3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45188.399999999994</v>
      </c>
      <c r="D2">
        <f>SUMIFS(Data!$F$2:$F$5761,Data!$I$2:$I$5761,A2,Data!$B$2:$B$5761,Control!$B$3)</f>
        <v>2442.1</v>
      </c>
      <c r="E2">
        <f>SUMIF(Calc_Bank!$B$2:$B$21,A2,Calc_Bank!$F$2:$F$21)</f>
        <v>968.47999999999979</v>
      </c>
      <c r="F2">
        <f t="shared" ref="F2:F6" si="0">IFERROR(C2/B2,0)</f>
        <v>11297.099999999999</v>
      </c>
      <c r="G2">
        <f>_xlfn.MAXIFS(Calc_Bank!$C$2:$C$21,Calc_Bank!$B$2:$B$21,A2)</f>
        <v>16648</v>
      </c>
      <c r="H2">
        <f>_xlfn.MINIFS(Calc_Bank!$C$2:$C$21,Calc_Bank!$B$2:$B$21,A2)</f>
        <v>6542.2</v>
      </c>
      <c r="I2">
        <f>VLOOKUP(A2,Aree!$A$2:$C$6,3,FALSE)</f>
        <v>42000</v>
      </c>
      <c r="J2">
        <f t="shared" ref="J2:J6" si="1">C2-I2</f>
        <v>3188.3999999999942</v>
      </c>
      <c r="K2">
        <f t="shared" ref="K2:K6" si="2">C2/SUM($C$2:$C$6)</f>
        <v>0.13152978721050926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70996.2</v>
      </c>
      <c r="D3">
        <f>SUMIFS(Data!$F$2:$F$5761,Data!$I$2:$I$5761,A3,Data!$B$2:$B$5761,Control!$B$3)</f>
        <v>3826.13</v>
      </c>
      <c r="E3">
        <f>SUMIF(Calc_Bank!$B$2:$B$21,A3,Calc_Bank!$F$2:$F$21)</f>
        <v>1515.29</v>
      </c>
      <c r="F3">
        <f t="shared" si="0"/>
        <v>17749.05</v>
      </c>
      <c r="G3">
        <f>_xlfn.MAXIFS(Calc_Bank!$C$2:$C$21,Calc_Bank!$B$2:$B$21,A3)</f>
        <v>26741.1</v>
      </c>
      <c r="H3">
        <f>_xlfn.MINIFS(Calc_Bank!$C$2:$C$21,Calc_Bank!$B$2:$B$21,A3)</f>
        <v>7649.6</v>
      </c>
      <c r="I3">
        <f>VLOOKUP(A3,Aree!$A$2:$C$6,3,FALSE)</f>
        <v>30000</v>
      </c>
      <c r="J3">
        <f t="shared" si="1"/>
        <v>40996.199999999997</v>
      </c>
      <c r="K3">
        <f t="shared" si="2"/>
        <v>0.2066485000299802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101807.29999999999</v>
      </c>
      <c r="D4">
        <f>SUMIFS(Data!$F$2:$F$5761,Data!$I$2:$I$5761,A4,Data!$B$2:$B$5761,Control!$B$3)</f>
        <v>5492.579999999999</v>
      </c>
      <c r="E4">
        <f>SUMIF(Calc_Bank!$B$2:$B$21,A4,Calc_Bank!$F$2:$F$21)</f>
        <v>2172.3300000000004</v>
      </c>
      <c r="F4">
        <f t="shared" si="0"/>
        <v>16967.883333333331</v>
      </c>
      <c r="G4">
        <f>_xlfn.MAXIFS(Calc_Bank!$C$2:$C$21,Calc_Bank!$B$2:$B$21,A4)</f>
        <v>27692.400000000001</v>
      </c>
      <c r="H4">
        <f>_xlfn.MINIFS(Calc_Bank!$C$2:$C$21,Calc_Bank!$B$2:$B$21,A4)</f>
        <v>8739.0999999999985</v>
      </c>
      <c r="I4">
        <f>VLOOKUP(A4,Aree!$A$2:$C$6,3,FALSE)</f>
        <v>47000</v>
      </c>
      <c r="J4">
        <f t="shared" si="1"/>
        <v>54807.299999999988</v>
      </c>
      <c r="K4">
        <f t="shared" si="2"/>
        <v>0.29633030834188595</v>
      </c>
      <c r="L4" t="str">
        <f>IF(A4=Control!$B$5,"sì","no")</f>
        <v>sì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75423.5</v>
      </c>
      <c r="D5">
        <f>SUMIFS(Data!$F$2:$F$5761,Data!$I$2:$I$5761,A5,Data!$B$2:$B$5761,Control!$B$3)</f>
        <v>4068.55</v>
      </c>
      <c r="E5">
        <f>SUMIF(Calc_Bank!$B$2:$B$21,A5,Calc_Bank!$F$2:$F$21)</f>
        <v>1611.2799999999997</v>
      </c>
      <c r="F5">
        <f t="shared" si="0"/>
        <v>18855.875</v>
      </c>
      <c r="G5">
        <f>_xlfn.MAXIFS(Calc_Bank!$C$2:$C$21,Calc_Bank!$B$2:$B$21,A5)</f>
        <v>23396.2</v>
      </c>
      <c r="H5">
        <f>_xlfn.MINIFS(Calc_Bank!$C$2:$C$21,Calc_Bank!$B$2:$B$21,A5)</f>
        <v>14379.300000000001</v>
      </c>
      <c r="I5">
        <f>VLOOKUP(A5,Aree!$A$2:$C$6,3,FALSE)</f>
        <v>26000</v>
      </c>
      <c r="J5">
        <f t="shared" si="1"/>
        <v>49423.5</v>
      </c>
      <c r="K5">
        <f t="shared" si="2"/>
        <v>0.21953503345265257</v>
      </c>
      <c r="L5" t="str">
        <f>IF(A5=Control!$B$5,"sì","no")</f>
        <v>no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50144.800000000003</v>
      </c>
      <c r="D6">
        <f>SUMIFS(Data!$F$2:$F$5761,Data!$I$2:$I$5761,A6,Data!$B$2:$B$5761,Control!$B$3)</f>
        <v>2701.07</v>
      </c>
      <c r="E6">
        <f>SUMIF(Calc_Bank!$B$2:$B$21,A6,Calc_Bank!$F$2:$F$21)</f>
        <v>1070.76</v>
      </c>
      <c r="F6">
        <f t="shared" si="0"/>
        <v>25072.400000000001</v>
      </c>
      <c r="G6">
        <f>_xlfn.MAXIFS(Calc_Bank!$C$2:$C$21,Calc_Bank!$B$2:$B$21,A6)</f>
        <v>25626.999999999996</v>
      </c>
      <c r="H6">
        <f>_xlfn.MINIFS(Calc_Bank!$C$2:$C$21,Calc_Bank!$B$2:$B$21,A6)</f>
        <v>24517.8</v>
      </c>
      <c r="I6">
        <f>VLOOKUP(A6,Aree!$A$2:$C$6,3,FALSE)</f>
        <v>16000</v>
      </c>
      <c r="J6">
        <f t="shared" si="1"/>
        <v>34144.800000000003</v>
      </c>
      <c r="K6">
        <f t="shared" si="2"/>
        <v>0.1459563709649721</v>
      </c>
      <c r="L6" t="str">
        <f>IF(A6=Control!$B$5,"sì","no")</f>
        <v>no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5956.2535884791187</v>
      </c>
      <c r="C49">
        <f>C3*(1+Control!$B$4)^(C$48/12)</f>
        <v>5986.017395991028</v>
      </c>
      <c r="D49">
        <f>D3*(1+Control!$B$4)^(D$48/12)</f>
        <v>6106.660063995083</v>
      </c>
      <c r="E49">
        <f>E3*(1+Control!$B$4)^(E$48/12)</f>
        <v>6163.4296726069115</v>
      </c>
      <c r="F49">
        <f>F3*(1+Control!$B$4)^(F$48/12)</f>
        <v>6320.2640390190109</v>
      </c>
      <c r="G49">
        <f>G3*(1+Control!$B$4)^(G$48/12)</f>
        <v>6307.0286631265599</v>
      </c>
      <c r="H49">
        <f>H3*(1+Control!$B$4)^(H$48/12)</f>
        <v>6378.6418045688742</v>
      </c>
      <c r="I49">
        <f>I3*(1+Control!$B$4)^(I$48/12)</f>
        <v>6405.4901803238154</v>
      </c>
      <c r="J49">
        <f>J3*(1+Control!$B$4)^(J$48/12)</f>
        <v>6459.7307136321642</v>
      </c>
      <c r="K49">
        <f>K3*(1+Control!$B$4)^(K$48/12)</f>
        <v>6595.1699483933753</v>
      </c>
      <c r="L49">
        <f>L3*(1+Control!$B$4)^(L$48/12)</f>
        <v>6571.7752294013544</v>
      </c>
      <c r="M49">
        <f>M3*(1+Control!$B$4)^(M$48/12)</f>
        <v>6747.6330000000007</v>
      </c>
      <c r="N49">
        <f>N3*(1+Control!$B$4)^(N$48/12)</f>
        <v>6755.0848750074956</v>
      </c>
      <c r="O49">
        <f>O3*(1+Control!$B$4)^(O$48/12)</f>
        <v>6892.7463813069826</v>
      </c>
      <c r="P49">
        <f>P3*(1+Control!$B$4)^(P$48/12)</f>
        <v>6806.5006147542135</v>
      </c>
      <c r="Q49">
        <f>Q3*(1+Control!$B$4)^(Q$48/12)</f>
        <v>6895.0609906074797</v>
      </c>
      <c r="R49">
        <f>R3*(1+Control!$B$4)^(R$48/12)</f>
        <v>7020.3049840267086</v>
      </c>
      <c r="S49">
        <f>S3*(1+Control!$B$4)^(S$48/12)</f>
        <v>7106.7156484437846</v>
      </c>
      <c r="T49">
        <f>T3*(1+Control!$B$4)^(T$48/12)</f>
        <v>7080.5447163238987</v>
      </c>
      <c r="U49">
        <f>U3*(1+Control!$B$4)^(U$48/12)</f>
        <v>7108.7223328968703</v>
      </c>
      <c r="V49">
        <f>V3*(1+Control!$B$4)^(V$48/12)</f>
        <v>7246.8330689662289</v>
      </c>
      <c r="W49">
        <f>W3*(1+Control!$B$4)^(W$48/12)</f>
        <v>7316.4343461483068</v>
      </c>
      <c r="X49">
        <f>X3*(1+Control!$B$4)^(X$48/12)</f>
        <v>7499.0427375751051</v>
      </c>
      <c r="Y49">
        <f>Y3*(1+Control!$B$4)^(Y$48/12)</f>
        <v>7579.2817800000003</v>
      </c>
      <c r="Z49">
        <f>Z3*(1+Control!$B$4)^(Z$48/12)</f>
        <v>7472.7984455484975</v>
      </c>
      <c r="AA49">
        <f>AA3*(1+Control!$B$4)^(AA$48/12)</f>
        <v>7605.8383662614069</v>
      </c>
      <c r="AB49">
        <f>AB3*(1+Control!$B$4)^(AB$48/12)</f>
        <v>7722.3887581047265</v>
      </c>
      <c r="AC49">
        <f>AC3*(1+Control!$B$4)^(AC$48/12)</f>
        <v>7774.7549364836477</v>
      </c>
      <c r="AD49">
        <f>AD3*(1+Control!$B$4)^(AD$48/12)</f>
        <v>7852.0355231605063</v>
      </c>
      <c r="AE49">
        <f>AE3*(1+Control!$B$4)^(AE$48/12)</f>
        <v>7918.8830504831321</v>
      </c>
      <c r="AF49">
        <f>AF3*(1+Control!$B$4)^(AF$48/12)</f>
        <v>8059.4084363291022</v>
      </c>
      <c r="AG49">
        <f>AG3*(1+Control!$B$4)^(AG$48/12)</f>
        <v>7943.1678385651103</v>
      </c>
      <c r="AH49">
        <f>AH3*(1+Control!$B$4)^(AH$48/12)</f>
        <v>8114.7217586596907</v>
      </c>
      <c r="AI49">
        <f>AI3*(1+Control!$B$4)^(AI$48/12)</f>
        <v>8196.3879909914522</v>
      </c>
      <c r="AJ49">
        <f>AJ3*(1+Control!$B$4)^(AJ$48/12)</f>
        <v>8267.1802892504384</v>
      </c>
      <c r="AK49">
        <f>AK3*(1+Control!$B$4)^(AK$48/12)</f>
        <v>8300.1357466000009</v>
      </c>
    </row>
    <row r="50" spans="1:37" x14ac:dyDescent="0.25">
      <c r="A50" t="s">
        <v>22</v>
      </c>
      <c r="B50">
        <f>B4*(1+Control!$B$4)^(B$48/12)</f>
        <v>6997.4150562646346</v>
      </c>
      <c r="C50">
        <f>C4*(1+Control!$B$4)^(C$48/12)</f>
        <v>7047.8355440291907</v>
      </c>
      <c r="D50">
        <f>D4*(1+Control!$B$4)^(D$48/12)</f>
        <v>7187.6185820125902</v>
      </c>
      <c r="E50">
        <f>E4*(1+Control!$B$4)^(E$48/12)</f>
        <v>7276.2402831665631</v>
      </c>
      <c r="F50">
        <f>F4*(1+Control!$B$4)^(F$48/12)</f>
        <v>7334.6811475898758</v>
      </c>
      <c r="G50">
        <f>G4*(1+Control!$B$4)^(G$48/12)</f>
        <v>7387.6826369775799</v>
      </c>
      <c r="H50">
        <f>H4*(1+Control!$B$4)^(H$48/12)</f>
        <v>7326.3425894603997</v>
      </c>
      <c r="I50">
        <f>I4*(1+Control!$B$4)^(I$48/12)</f>
        <v>7547.3716875112268</v>
      </c>
      <c r="J50">
        <f>J4*(1+Control!$B$4)^(J$48/12)</f>
        <v>7659.0254584273607</v>
      </c>
      <c r="K50">
        <f>K4*(1+Control!$B$4)^(K$48/12)</f>
        <v>7649.0114236662039</v>
      </c>
      <c r="L50">
        <f>L4*(1+Control!$B$4)^(L$48/12)</f>
        <v>7887.3426851518097</v>
      </c>
      <c r="M50">
        <f>M4*(1+Control!$B$4)^(M$48/12)</f>
        <v>7896.8040000000001</v>
      </c>
      <c r="N50">
        <f>N4*(1+Control!$B$4)^(N$48/12)</f>
        <v>7898.5199565677212</v>
      </c>
      <c r="O50">
        <f>O4*(1+Control!$B$4)^(O$48/12)</f>
        <v>7981.2436398828277</v>
      </c>
      <c r="P50">
        <f>P4*(1+Control!$B$4)^(P$48/12)</f>
        <v>8089.1269044514038</v>
      </c>
      <c r="Q50">
        <f>Q4*(1+Control!$B$4)^(Q$48/12)</f>
        <v>8182.9309801182535</v>
      </c>
      <c r="R50">
        <f>R4*(1+Control!$B$4)^(R$48/12)</f>
        <v>8214.6869768827783</v>
      </c>
      <c r="S50">
        <f>S4*(1+Control!$B$4)^(S$48/12)</f>
        <v>8319.5142798072429</v>
      </c>
      <c r="T50">
        <f>T4*(1+Control!$B$4)^(T$48/12)</f>
        <v>8351.559499420815</v>
      </c>
      <c r="U50">
        <f>U4*(1+Control!$B$4)^(U$48/12)</f>
        <v>8536.8748394098438</v>
      </c>
      <c r="V50">
        <f>V4*(1+Control!$B$4)^(V$48/12)</f>
        <v>8461.2554906957703</v>
      </c>
      <c r="W50">
        <f>W4*(1+Control!$B$4)^(W$48/12)</f>
        <v>8598.9877098501438</v>
      </c>
      <c r="X50">
        <f>X4*(1+Control!$B$4)^(X$48/12)</f>
        <v>8671.4163679287194</v>
      </c>
      <c r="Y50">
        <f>Y4*(1+Control!$B$4)^(Y$48/12)</f>
        <v>8775.8708900000001</v>
      </c>
      <c r="Z50">
        <f>Z4*(1+Control!$B$4)^(Z$48/12)</f>
        <v>8844.0965762949891</v>
      </c>
      <c r="AA50">
        <f>AA4*(1+Control!$B$4)^(AA$48/12)</f>
        <v>8911.2194281692373</v>
      </c>
      <c r="AB50">
        <f>AB4*(1+Control!$B$4)^(AB$48/12)</f>
        <v>9029.7067193411403</v>
      </c>
      <c r="AC50">
        <f>AC4*(1+Control!$B$4)^(AC$48/12)</f>
        <v>9057.8691376154202</v>
      </c>
      <c r="AD50">
        <f>AD4*(1+Control!$B$4)^(AD$48/12)</f>
        <v>9124.6738329520285</v>
      </c>
      <c r="AE50">
        <f>AE4*(1+Control!$B$4)^(AE$48/12)</f>
        <v>9225.2381934035639</v>
      </c>
      <c r="AF50">
        <f>AF4*(1+Control!$B$4)^(AF$48/12)</f>
        <v>9274.4342270555971</v>
      </c>
      <c r="AG50">
        <f>AG4*(1+Control!$B$4)^(AG$48/12)</f>
        <v>9409.5122630823389</v>
      </c>
      <c r="AH50">
        <f>AH4*(1+Control!$B$4)^(AH$48/12)</f>
        <v>9486.193473310992</v>
      </c>
      <c r="AI50">
        <f>AI4*(1+Control!$B$4)^(AI$48/12)</f>
        <v>9561.0209694992973</v>
      </c>
      <c r="AJ50">
        <f>AJ4*(1+Control!$B$4)^(AJ$48/12)</f>
        <v>9693.9319051675157</v>
      </c>
      <c r="AK50">
        <f>AK4*(1+Control!$B$4)^(AK$48/12)</f>
        <v>9784.4961034000007</v>
      </c>
    </row>
    <row r="51" spans="1:37" x14ac:dyDescent="0.25">
      <c r="A51" t="s">
        <v>24</v>
      </c>
      <c r="B51">
        <f>B5*(1+Control!$B$4)^(B$48/12)</f>
        <v>8031.860000042675</v>
      </c>
      <c r="C51">
        <f>C5*(1+Control!$B$4)^(C$48/12)</f>
        <v>8166.6337119365216</v>
      </c>
      <c r="D51">
        <f>D5*(1+Control!$B$4)^(D$48/12)</f>
        <v>8224.0492654575228</v>
      </c>
      <c r="E51">
        <f>E5*(1+Control!$B$4)^(E$48/12)</f>
        <v>8290.9894450599641</v>
      </c>
      <c r="F51">
        <f>F5*(1+Control!$B$4)^(F$48/12)</f>
        <v>8428.3685751239136</v>
      </c>
      <c r="G51">
        <f>G5*(1+Control!$B$4)^(G$48/12)</f>
        <v>8467.5246995033904</v>
      </c>
      <c r="H51">
        <f>H5*(1+Control!$B$4)^(H$48/12)</f>
        <v>8551.1809951833293</v>
      </c>
      <c r="I51">
        <f>I5*(1+Control!$B$4)^(I$48/12)</f>
        <v>8608.5790010415094</v>
      </c>
      <c r="J51">
        <f>J5*(1+Control!$B$4)^(J$48/12)</f>
        <v>8690.1326622858051</v>
      </c>
      <c r="K51">
        <f>K5*(1+Control!$B$4)^(K$48/12)</f>
        <v>8804.8342515840886</v>
      </c>
      <c r="L51">
        <f>L5*(1+Control!$B$4)^(L$48/12)</f>
        <v>8882.3407514972805</v>
      </c>
      <c r="M51">
        <f>M5*(1+Control!$B$4)^(M$48/12)</f>
        <v>8980.2610000000004</v>
      </c>
      <c r="N51">
        <f>N5*(1+Control!$B$4)^(N$48/12)</f>
        <v>9023.4725675121517</v>
      </c>
      <c r="O51">
        <f>O5*(1+Control!$B$4)^(O$48/12)</f>
        <v>9071.9145806981305</v>
      </c>
      <c r="P51">
        <f>P5*(1+Control!$B$4)^(P$48/12)</f>
        <v>9139.6332192232148</v>
      </c>
      <c r="Q51">
        <f>Q5*(1+Control!$B$4)^(Q$48/12)</f>
        <v>9281.9008887832497</v>
      </c>
      <c r="R51">
        <f>R5*(1+Control!$B$4)^(R$48/12)</f>
        <v>9443.5844612383517</v>
      </c>
      <c r="S51">
        <f>S5*(1+Control!$B$4)^(S$48/12)</f>
        <v>9526.4590305159563</v>
      </c>
      <c r="T51">
        <f>T5*(1+Control!$B$4)^(T$48/12)</f>
        <v>9597.0051830803841</v>
      </c>
      <c r="U51">
        <f>U5*(1+Control!$B$4)^(U$48/12)</f>
        <v>9737.8045528674629</v>
      </c>
      <c r="V51">
        <f>V5*(1+Control!$B$4)^(V$48/12)</f>
        <v>9717.1696254119142</v>
      </c>
      <c r="W51">
        <f>W5*(1+Control!$B$4)^(W$48/12)</f>
        <v>9853.670953540679</v>
      </c>
      <c r="X51">
        <f>X5*(1+Control!$B$4)^(X$48/12)</f>
        <v>9875.0095524396093</v>
      </c>
      <c r="Y51">
        <f>Y5*(1+Control!$B$4)^(Y$48/12)</f>
        <v>9978.8253999999997</v>
      </c>
      <c r="Z51">
        <f>Z5*(1+Control!$B$4)^(Z$48/12)</f>
        <v>10174.449323115827</v>
      </c>
      <c r="AA51">
        <f>AA5*(1+Control!$B$4)^(AA$48/12)</f>
        <v>10252.209545506441</v>
      </c>
      <c r="AB51">
        <f>AB5*(1+Control!$B$4)^(AB$48/12)</f>
        <v>10398.158254304435</v>
      </c>
      <c r="AC51">
        <f>AC5*(1+Control!$B$4)^(AC$48/12)</f>
        <v>10355.768722828368</v>
      </c>
      <c r="AD51">
        <f>AD5*(1+Control!$B$4)^(AD$48/12)</f>
        <v>10507.187152526378</v>
      </c>
      <c r="AE51">
        <f>AE5*(1+Control!$B$4)^(AE$48/12)</f>
        <v>10622.466470802263</v>
      </c>
      <c r="AF51">
        <f>AF5*(1+Control!$B$4)^(AF$48/12)</f>
        <v>10691.622521649086</v>
      </c>
      <c r="AG51">
        <f>AG5*(1+Control!$B$4)^(AG$48/12)</f>
        <v>10762.137089741867</v>
      </c>
      <c r="AH51">
        <f>AH5*(1+Control!$B$4)^(AH$48/12)</f>
        <v>10878.708015599303</v>
      </c>
      <c r="AI51">
        <f>AI5*(1+Control!$B$4)^(AI$48/12)</f>
        <v>10968.3870763381</v>
      </c>
      <c r="AJ51">
        <f>AJ5*(1+Control!$B$4)^(AJ$48/12)</f>
        <v>11175.294458480457</v>
      </c>
      <c r="AK51">
        <f>AK5*(1+Control!$B$4)^(AK$48/12)</f>
        <v>11193.130479100002</v>
      </c>
    </row>
    <row r="52" spans="1:37" x14ac:dyDescent="0.25">
      <c r="A52" t="s">
        <v>26</v>
      </c>
      <c r="B52">
        <f>B6*(1+Control!$B$4)^(B$48/12)</f>
        <v>9046.6566049331777</v>
      </c>
      <c r="C52">
        <f>C6*(1+Control!$B$4)^(C$48/12)</f>
        <v>9159.010601192329</v>
      </c>
      <c r="D52">
        <f>D6*(1+Control!$B$4)^(D$48/12)</f>
        <v>9230.0559533347659</v>
      </c>
      <c r="E52">
        <f>E6*(1+Control!$B$4)^(E$48/12)</f>
        <v>9406.6277801949564</v>
      </c>
      <c r="F52">
        <f>F6*(1+Control!$B$4)^(F$48/12)</f>
        <v>9436.4076120540612</v>
      </c>
      <c r="G52">
        <f>G6*(1+Control!$B$4)^(G$48/12)</f>
        <v>9573.4494133514909</v>
      </c>
      <c r="H52">
        <f>H6*(1+Control!$B$4)^(H$48/12)</f>
        <v>9598.4844712620579</v>
      </c>
      <c r="I52">
        <f>I6*(1+Control!$B$4)^(I$48/12)</f>
        <v>9658.9753606809481</v>
      </c>
      <c r="J52">
        <f>J6*(1+Control!$B$4)^(J$48/12)</f>
        <v>9854.256273900306</v>
      </c>
      <c r="K52">
        <f>K6*(1+Control!$B$4)^(K$48/12)</f>
        <v>9882.8642687908196</v>
      </c>
      <c r="L52">
        <f>L6*(1+Control!$B$4)^(L$48/12)</f>
        <v>10002.997908625541</v>
      </c>
      <c r="M52">
        <f>M6*(1+Control!$B$4)^(M$48/12)</f>
        <v>10117.587000000001</v>
      </c>
      <c r="N52">
        <f>N6*(1+Control!$B$4)^(N$48/12)</f>
        <v>10214.507754959976</v>
      </c>
      <c r="O52">
        <f>O6*(1+Control!$B$4)^(O$48/12)</f>
        <v>10312.673104713789</v>
      </c>
      <c r="P52">
        <f>P6*(1+Control!$B$4)^(P$48/12)</f>
        <v>10304.694944061013</v>
      </c>
      <c r="Q52">
        <f>Q6*(1+Control!$B$4)^(Q$48/12)</f>
        <v>10393.873280986641</v>
      </c>
      <c r="R52">
        <f>R6*(1+Control!$B$4)^(R$48/12)</f>
        <v>10684.57800908016</v>
      </c>
      <c r="S52">
        <f>S6*(1+Control!$B$4)^(S$48/12)</f>
        <v>10733.09018047531</v>
      </c>
      <c r="T52">
        <f>T6*(1+Control!$B$4)^(T$48/12)</f>
        <v>10833.019641537645</v>
      </c>
      <c r="U52">
        <f>U6*(1+Control!$B$4)^(U$48/12)</f>
        <v>10934.532272926001</v>
      </c>
      <c r="V52">
        <f>V6*(1+Control!$B$4)^(V$48/12)</f>
        <v>10965.606827077168</v>
      </c>
      <c r="W52">
        <f>W6*(1+Control!$B$4)^(W$48/12)</f>
        <v>11182.67451726135</v>
      </c>
      <c r="X52">
        <f>X6*(1+Control!$B$4)^(X$48/12)</f>
        <v>11194.168001830994</v>
      </c>
      <c r="Y52">
        <f>Y6*(1+Control!$B$4)^(Y$48/12)</f>
        <v>11404.993269999999</v>
      </c>
      <c r="Z52">
        <f>Z6*(1+Control!$B$4)^(Z$48/12)</f>
        <v>11413.12695060182</v>
      </c>
      <c r="AA52">
        <f>AA6*(1+Control!$B$4)^(AA$48/12)</f>
        <v>11478.802906928329</v>
      </c>
      <c r="AB52">
        <f>AB6*(1+Control!$B$4)^(AB$48/12)</f>
        <v>11690.192822109128</v>
      </c>
      <c r="AC52">
        <f>AC6*(1+Control!$B$4)^(AC$48/12)</f>
        <v>11727.488087982852</v>
      </c>
      <c r="AD52">
        <f>AD6*(1+Control!$B$4)^(AD$48/12)</f>
        <v>11884.867260526704</v>
      </c>
      <c r="AE52">
        <f>AE6*(1+Control!$B$4)^(AE$48/12)</f>
        <v>11980.826025989289</v>
      </c>
      <c r="AF52">
        <f>AF6*(1+Control!$B$4)^(AF$48/12)</f>
        <v>12115.071053949079</v>
      </c>
      <c r="AG52">
        <f>AG6*(1+Control!$B$4)^(AG$48/12)</f>
        <v>12229.779930219411</v>
      </c>
      <c r="AH52">
        <f>AH6*(1+Control!$B$4)^(AH$48/12)</f>
        <v>12318.948558713821</v>
      </c>
      <c r="AI52">
        <f>AI6*(1+Control!$B$4)^(AI$48/12)</f>
        <v>12320.950392645596</v>
      </c>
      <c r="AJ52">
        <f>AJ6*(1+Control!$B$4)^(AJ$48/12)</f>
        <v>12558.989546909781</v>
      </c>
      <c r="AK52">
        <f>AK6*(1+Control!$B$4)^(AK$48/12)</f>
        <v>12530.409781699998</v>
      </c>
    </row>
    <row r="53" spans="1:37" x14ac:dyDescent="0.25">
      <c r="A53" t="s">
        <v>27</v>
      </c>
      <c r="B53">
        <f>B7*(1+Control!$B$4)^(B$48/12)</f>
        <v>9995.3906826456841</v>
      </c>
      <c r="C53">
        <f>C7*(1+Control!$B$4)^(C$48/12)</f>
        <v>10178.62132710518</v>
      </c>
      <c r="D53">
        <f>D7*(1+Control!$B$4)^(D$48/12)</f>
        <v>10315.950815003984</v>
      </c>
      <c r="E53">
        <f>E7*(1+Control!$B$4)^(E$48/12)</f>
        <v>10350.380857214644</v>
      </c>
      <c r="F53">
        <f>F7*(1+Control!$B$4)^(F$48/12)</f>
        <v>10420.452950907238</v>
      </c>
      <c r="G53">
        <f>G7*(1+Control!$B$4)^(G$48/12)</f>
        <v>10585.090924559883</v>
      </c>
      <c r="H53">
        <f>H7*(1+Control!$B$4)^(H$48/12)</f>
        <v>10726.161926950481</v>
      </c>
      <c r="I53">
        <f>I7*(1+Control!$B$4)^(I$48/12)</f>
        <v>10815.747427001028</v>
      </c>
      <c r="J53">
        <f>J7*(1+Control!$B$4)^(J$48/12)</f>
        <v>10973.393552376709</v>
      </c>
      <c r="K53">
        <f>K7*(1+Control!$B$4)^(K$48/12)</f>
        <v>11026.797813385259</v>
      </c>
      <c r="L53">
        <f>L7*(1+Control!$B$4)^(L$48/12)</f>
        <v>11135.676417856486</v>
      </c>
      <c r="M53">
        <f>M7*(1+Control!$B$4)^(M$48/12)</f>
        <v>11284.783000000001</v>
      </c>
      <c r="N53">
        <f>N7*(1+Control!$B$4)^(N$48/12)</f>
        <v>11346.688147709467</v>
      </c>
      <c r="O53">
        <f>O7*(1+Control!$B$4)^(O$48/12)</f>
        <v>11448.370320489197</v>
      </c>
      <c r="P53">
        <f>P7*(1+Control!$B$4)^(P$48/12)</f>
        <v>11599.980436682161</v>
      </c>
      <c r="Q53">
        <f>Q7*(1+Control!$B$4)^(Q$48/12)</f>
        <v>11729.800449655317</v>
      </c>
      <c r="R53">
        <f>R7*(1+Control!$B$4)^(R$48/12)</f>
        <v>11896.68699152812</v>
      </c>
      <c r="S53">
        <f>S7*(1+Control!$B$4)^(S$48/12)</f>
        <v>11911.601796575262</v>
      </c>
      <c r="T53">
        <f>T7*(1+Control!$B$4)^(T$48/12)</f>
        <v>12029.946911100926</v>
      </c>
      <c r="U53">
        <f>U7*(1+Control!$B$4)^(U$48/12)</f>
        <v>12102.056138860915</v>
      </c>
      <c r="V53">
        <f>V7*(1+Control!$B$4)^(V$48/12)</f>
        <v>12267.119722512085</v>
      </c>
      <c r="W53">
        <f>W7*(1+Control!$B$4)^(W$48/12)</f>
        <v>12383.306619111787</v>
      </c>
      <c r="X53">
        <f>X7*(1+Control!$B$4)^(X$48/12)</f>
        <v>12553.753128131128</v>
      </c>
      <c r="Y53">
        <f>Y7*(1+Control!$B$4)^(Y$48/12)</f>
        <v>12600.41539</v>
      </c>
      <c r="Z53">
        <f>Z7*(1+Control!$B$4)^(Z$48/12)</f>
        <v>12665.842995433753</v>
      </c>
      <c r="AA53">
        <f>AA7*(1+Control!$B$4)^(AA$48/12)</f>
        <v>12836.104956842459</v>
      </c>
      <c r="AB53">
        <f>AB7*(1+Control!$B$4)^(AB$48/12)</f>
        <v>13050.094206900832</v>
      </c>
      <c r="AC53">
        <f>AC7*(1+Control!$B$4)^(AC$48/12)</f>
        <v>13077.136517479923</v>
      </c>
      <c r="AD53">
        <f>AD7*(1+Control!$B$4)^(AD$48/12)</f>
        <v>13151.813121131041</v>
      </c>
      <c r="AE53">
        <f>AE7*(1+Control!$B$4)^(AE$48/12)</f>
        <v>13306.884703992091</v>
      </c>
      <c r="AF53">
        <f>AF7*(1+Control!$B$4)^(AF$48/12)</f>
        <v>13468.469685015929</v>
      </c>
      <c r="AG53">
        <f>AG7*(1+Control!$B$4)^(AG$48/12)</f>
        <v>13543.668680729501</v>
      </c>
      <c r="AH53">
        <f>AH7*(1+Control!$B$4)^(AH$48/12)</f>
        <v>13622.844594922557</v>
      </c>
      <c r="AI53">
        <f>AI7*(1+Control!$B$4)^(AI$48/12)</f>
        <v>13815.739998665302</v>
      </c>
      <c r="AJ53">
        <f>AJ7*(1+Control!$B$4)^(AJ$48/12)</f>
        <v>13951.295940836653</v>
      </c>
      <c r="AK53">
        <f>AK7*(1+Control!$B$4)^(AK$48/12)</f>
        <v>14029.959043800001</v>
      </c>
    </row>
    <row r="54" spans="1:37" x14ac:dyDescent="0.25">
      <c r="A54" t="s">
        <v>28</v>
      </c>
      <c r="B54">
        <f>B8*(1+Control!$B$4)^(B$48/12)</f>
        <v>11147.725659748949</v>
      </c>
      <c r="C54">
        <f>C8*(1+Control!$B$4)^(C$48/12)</f>
        <v>11175.721427884533</v>
      </c>
      <c r="D54">
        <f>D8*(1+Control!$B$4)^(D$48/12)</f>
        <v>11288.511256098205</v>
      </c>
      <c r="E54">
        <f>E8*(1+Control!$B$4)^(E$48/12)</f>
        <v>11453.597402250822</v>
      </c>
      <c r="F54">
        <f>F8*(1+Control!$B$4)^(F$48/12)</f>
        <v>11558.280683764317</v>
      </c>
      <c r="G54">
        <f>G8*(1+Control!$B$4)^(G$48/12)</f>
        <v>11642.605425642492</v>
      </c>
      <c r="H54">
        <f>H8*(1+Control!$B$4)^(H$48/12)</f>
        <v>11793.711506753678</v>
      </c>
      <c r="I54">
        <f>I8*(1+Control!$B$4)^(I$48/12)</f>
        <v>11874.812947779352</v>
      </c>
      <c r="J54">
        <f>J8*(1+Control!$B$4)^(J$48/12)</f>
        <v>12054.087964353284</v>
      </c>
      <c r="K54">
        <f>K8*(1+Control!$B$4)^(K$48/12)</f>
        <v>12020.16793382333</v>
      </c>
      <c r="L54">
        <f>L8*(1+Control!$B$4)^(L$48/12)</f>
        <v>12301.542078618782</v>
      </c>
      <c r="M54">
        <f>M8*(1+Control!$B$4)^(M$48/12)</f>
        <v>12477.728999999999</v>
      </c>
      <c r="N54">
        <f>N8*(1+Control!$B$4)^(N$48/12)</f>
        <v>12499.519345616269</v>
      </c>
      <c r="O54">
        <f>O8*(1+Control!$B$4)^(O$48/12)</f>
        <v>12577.857015580455</v>
      </c>
      <c r="P54">
        <f>P8*(1+Control!$B$4)^(P$48/12)</f>
        <v>12851.373774903028</v>
      </c>
      <c r="Q54">
        <f>Q8*(1+Control!$B$4)^(Q$48/12)</f>
        <v>13001.651379446792</v>
      </c>
      <c r="R54">
        <f>R8*(1+Control!$B$4)^(R$48/12)</f>
        <v>12999.514296962532</v>
      </c>
      <c r="S54">
        <f>S8*(1+Control!$B$4)^(S$48/12)</f>
        <v>13132.240446672757</v>
      </c>
      <c r="T54">
        <f>T8*(1+Control!$B$4)^(T$48/12)</f>
        <v>13157.397488340575</v>
      </c>
      <c r="U54">
        <f>U8*(1+Control!$B$4)^(U$48/12)</f>
        <v>13367.17130148951</v>
      </c>
      <c r="V54">
        <f>V8*(1+Control!$B$4)^(V$48/12)</f>
        <v>13500.181822410732</v>
      </c>
      <c r="W54">
        <f>W8*(1+Control!$B$4)^(W$48/12)</f>
        <v>13728.462184202643</v>
      </c>
      <c r="X54">
        <f>X8*(1+Control!$B$4)^(X$48/12)</f>
        <v>13810.47246920796</v>
      </c>
      <c r="Y54">
        <f>Y8*(1+Control!$B$4)^(Y$48/12)</f>
        <v>13884.528749999998</v>
      </c>
      <c r="Z54">
        <f>Z8*(1+Control!$B$4)^(Z$48/12)</f>
        <v>14030.547324093517</v>
      </c>
      <c r="AA54">
        <f>AA8*(1+Control!$B$4)^(AA$48/12)</f>
        <v>14134.449498815142</v>
      </c>
      <c r="AB54">
        <f>AB8*(1+Control!$B$4)^(AB$48/12)</f>
        <v>14225.098594231857</v>
      </c>
      <c r="AC54">
        <f>AC8*(1+Control!$B$4)^(AC$48/12)</f>
        <v>14352.858026571104</v>
      </c>
      <c r="AD54">
        <f>AD8*(1+Control!$B$4)^(AD$48/12)</f>
        <v>14643.234808173414</v>
      </c>
      <c r="AE54">
        <f>AE8*(1+Control!$B$4)^(AE$48/12)</f>
        <v>14634.666095444718</v>
      </c>
      <c r="AF54">
        <f>AF8*(1+Control!$B$4)^(AF$48/12)</f>
        <v>14781.284706123361</v>
      </c>
      <c r="AG54">
        <f>AG8*(1+Control!$B$4)^(AG$48/12)</f>
        <v>14993.566503082724</v>
      </c>
      <c r="AH54">
        <f>AH8*(1+Control!$B$4)^(AH$48/12)</f>
        <v>15065.254501710995</v>
      </c>
      <c r="AI54">
        <f>AI8*(1+Control!$B$4)^(AI$48/12)</f>
        <v>15226.585647760065</v>
      </c>
      <c r="AJ54">
        <f>AJ8*(1+Control!$B$4)^(AJ$48/12)</f>
        <v>15355.701764006924</v>
      </c>
      <c r="AK54">
        <f>AK8*(1+Control!$B$4)^(AK$48/12)</f>
        <v>15460.010868699999</v>
      </c>
    </row>
    <row r="55" spans="1:37" x14ac:dyDescent="0.25">
      <c r="A55" t="s">
        <v>29</v>
      </c>
      <c r="B55">
        <f>B9*(1+Control!$B$4)^(B$48/12)</f>
        <v>12062.676624170132</v>
      </c>
      <c r="C55">
        <f>C9*(1+Control!$B$4)^(C$48/12)</f>
        <v>12288.79144564629</v>
      </c>
      <c r="D55">
        <f>D9*(1+Control!$B$4)^(D$48/12)</f>
        <v>12446.63792181389</v>
      </c>
      <c r="E55">
        <f>E9*(1+Control!$B$4)^(E$48/12)</f>
        <v>12573.376334085417</v>
      </c>
      <c r="F55">
        <f>F9*(1+Control!$B$4)^(F$48/12)</f>
        <v>12579.379581673074</v>
      </c>
      <c r="G55">
        <f>G9*(1+Control!$B$4)^(G$48/12)</f>
        <v>12810.844333700259</v>
      </c>
      <c r="H55">
        <f>H9*(1+Control!$B$4)^(H$48/12)</f>
        <v>12940.007238731439</v>
      </c>
      <c r="I55">
        <f>I9*(1+Control!$B$4)^(I$48/12)</f>
        <v>13025.363616105647</v>
      </c>
      <c r="J55">
        <f>J9*(1+Control!$B$4)^(J$48/12)</f>
        <v>13169.749026178108</v>
      </c>
      <c r="K55">
        <f>K9*(1+Control!$B$4)^(K$48/12)</f>
        <v>13289.758903887961</v>
      </c>
      <c r="L55">
        <f>L9*(1+Control!$B$4)^(L$48/12)</f>
        <v>13344.214566978328</v>
      </c>
      <c r="M55">
        <f>M9*(1+Control!$B$4)^(M$48/12)</f>
        <v>13511.231000000003</v>
      </c>
      <c r="N55">
        <f>N9*(1+Control!$B$4)^(N$48/12)</f>
        <v>13733.301699739721</v>
      </c>
      <c r="O55">
        <f>O9*(1+Control!$B$4)^(O$48/12)</f>
        <v>13666.871817546647</v>
      </c>
      <c r="P55">
        <f>P9*(1+Control!$B$4)^(P$48/12)</f>
        <v>13899.804810506974</v>
      </c>
      <c r="Q55">
        <f>Q9*(1+Control!$B$4)^(Q$48/12)</f>
        <v>14090.219301281073</v>
      </c>
      <c r="R55">
        <f>R9*(1+Control!$B$4)^(R$48/12)</f>
        <v>14216.524270650605</v>
      </c>
      <c r="S55">
        <f>S9*(1+Control!$B$4)^(S$48/12)</f>
        <v>14349.534022110394</v>
      </c>
      <c r="T55">
        <f>T9*(1+Control!$B$4)^(T$48/12)</f>
        <v>14496.526675676345</v>
      </c>
      <c r="U55">
        <f>U9*(1+Control!$B$4)^(U$48/12)</f>
        <v>14590.056430457333</v>
      </c>
      <c r="V55">
        <f>V9*(1+Control!$B$4)^(V$48/12)</f>
        <v>14857.613752352963</v>
      </c>
      <c r="W55">
        <f>W9*(1+Control!$B$4)^(W$48/12)</f>
        <v>14788.793568268926</v>
      </c>
      <c r="X55">
        <f>X9*(1+Control!$B$4)^(X$48/12)</f>
        <v>15013.219021741705</v>
      </c>
      <c r="Y55">
        <f>Y9*(1+Control!$B$4)^(Y$48/12)</f>
        <v>15136.390749999999</v>
      </c>
      <c r="Z55">
        <f>Z9*(1+Control!$B$4)^(Z$48/12)</f>
        <v>15368.663741113245</v>
      </c>
      <c r="AA55">
        <f>AA9*(1+Control!$B$4)^(AA$48/12)</f>
        <v>15462.752557481403</v>
      </c>
      <c r="AB55">
        <f>AB9*(1+Control!$B$4)^(AB$48/12)</f>
        <v>15573.457276291914</v>
      </c>
      <c r="AC55">
        <f>AC9*(1+Control!$B$4)^(AC$48/12)</f>
        <v>15707.327776964214</v>
      </c>
      <c r="AD55">
        <f>AD9*(1+Control!$B$4)^(AD$48/12)</f>
        <v>15871.085357378972</v>
      </c>
      <c r="AE55">
        <f>AE9*(1+Control!$B$4)^(AE$48/12)</f>
        <v>16000.347182793501</v>
      </c>
      <c r="AF55">
        <f>AF9*(1+Control!$B$4)^(AF$48/12)</f>
        <v>16165.552785191256</v>
      </c>
      <c r="AG55">
        <f>AG9*(1+Control!$B$4)^(AG$48/12)</f>
        <v>16319.249198565685</v>
      </c>
      <c r="AH55">
        <f>AH9*(1+Control!$B$4)^(AH$48/12)</f>
        <v>16435.85847089273</v>
      </c>
      <c r="AI55">
        <f>AI9*(1+Control!$B$4)^(AI$48/12)</f>
        <v>16681.143046445279</v>
      </c>
      <c r="AJ55">
        <f>AJ9*(1+Control!$B$4)^(AJ$48/12)</f>
        <v>16770.571958414719</v>
      </c>
      <c r="AK55">
        <f>AK9*(1+Control!$B$4)^(AK$48/12)</f>
        <v>16832.038889899999</v>
      </c>
    </row>
    <row r="56" spans="1:37" x14ac:dyDescent="0.25">
      <c r="A56" t="s">
        <v>30</v>
      </c>
      <c r="B56">
        <f>B10*(1+Control!$B$4)^(B$48/12)</f>
        <v>13220.124179249235</v>
      </c>
      <c r="C56">
        <f>C10*(1+Control!$B$4)^(C$48/12)</f>
        <v>13267.702157366879</v>
      </c>
      <c r="D56">
        <f>D10*(1+Control!$B$4)^(D$48/12)</f>
        <v>13449.11864993991</v>
      </c>
      <c r="E56">
        <f>E10*(1+Control!$B$4)^(E$48/12)</f>
        <v>13549.143292904491</v>
      </c>
      <c r="F56">
        <f>F10*(1+Control!$B$4)^(F$48/12)</f>
        <v>13841.022895745937</v>
      </c>
      <c r="G56">
        <f>G10*(1+Control!$B$4)^(G$48/12)</f>
        <v>13886.220883937427</v>
      </c>
      <c r="H56">
        <f>H10*(1+Control!$B$4)^(H$48/12)</f>
        <v>13966.962871871001</v>
      </c>
      <c r="I56">
        <f>I10*(1+Control!$B$4)^(I$48/12)</f>
        <v>14150.722722063658</v>
      </c>
      <c r="J56">
        <f>J10*(1+Control!$B$4)^(J$48/12)</f>
        <v>14251.772579815583</v>
      </c>
      <c r="K56">
        <f>K10*(1+Control!$B$4)^(K$48/12)</f>
        <v>14390.337561880535</v>
      </c>
      <c r="L56">
        <f>L10*(1+Control!$B$4)^(L$48/12)</f>
        <v>14592.585746872739</v>
      </c>
      <c r="M56">
        <f>M10*(1+Control!$B$4)^(M$48/12)</f>
        <v>14691.302</v>
      </c>
      <c r="N56">
        <f>N10*(1+Control!$B$4)^(N$48/12)</f>
        <v>14847.206129924994</v>
      </c>
      <c r="O56">
        <f>O10*(1+Control!$B$4)^(O$48/12)</f>
        <v>15032.772333347984</v>
      </c>
      <c r="P56">
        <f>P10*(1+Control!$B$4)^(P$48/12)</f>
        <v>15145.387367057825</v>
      </c>
      <c r="Q56">
        <f>Q10*(1+Control!$B$4)^(Q$48/12)</f>
        <v>15262.83527670753</v>
      </c>
      <c r="R56">
        <f>R10*(1+Control!$B$4)^(R$48/12)</f>
        <v>15424.045091086549</v>
      </c>
      <c r="S56">
        <f>S10*(1+Control!$B$4)^(S$48/12)</f>
        <v>15594.528997074953</v>
      </c>
      <c r="T56">
        <f>T10*(1+Control!$B$4)^(T$48/12)</f>
        <v>15704.876206873521</v>
      </c>
      <c r="U56">
        <f>U10*(1+Control!$B$4)^(U$48/12)</f>
        <v>15940.261959417334</v>
      </c>
      <c r="V56">
        <f>V10*(1+Control!$B$4)^(V$48/12)</f>
        <v>15968.201582699807</v>
      </c>
      <c r="W56">
        <f>W10*(1+Control!$B$4)^(W$48/12)</f>
        <v>16211.014237936481</v>
      </c>
      <c r="X56">
        <f>X10*(1+Control!$B$4)^(X$48/12)</f>
        <v>16206.229306538264</v>
      </c>
      <c r="Y56">
        <f>Y10*(1+Control!$B$4)^(Y$48/12)</f>
        <v>16456.786890000003</v>
      </c>
      <c r="Z56">
        <f>Z10*(1+Control!$B$4)^(Z$48/12)</f>
        <v>16581.604270131684</v>
      </c>
      <c r="AA56">
        <f>AA10*(1+Control!$B$4)^(AA$48/12)</f>
        <v>16685.08136136684</v>
      </c>
      <c r="AB56">
        <f>AB10*(1+Control!$B$4)^(AB$48/12)</f>
        <v>16931.541754172154</v>
      </c>
      <c r="AC56">
        <f>AC10*(1+Control!$B$4)^(AC$48/12)</f>
        <v>17150.081269986964</v>
      </c>
      <c r="AD56">
        <f>AD10*(1+Control!$B$4)^(AD$48/12)</f>
        <v>17212.140462118357</v>
      </c>
      <c r="AE56">
        <f>AE10*(1+Control!$B$4)^(AE$48/12)</f>
        <v>17487.156559583102</v>
      </c>
      <c r="AF56">
        <f>AF10*(1+Control!$B$4)^(AF$48/12)</f>
        <v>17595.693295729237</v>
      </c>
      <c r="AG56">
        <f>AG10*(1+Control!$B$4)^(AG$48/12)</f>
        <v>17670.792011924947</v>
      </c>
      <c r="AH56">
        <f>AH10*(1+Control!$B$4)^(AH$48/12)</f>
        <v>17828.915354099518</v>
      </c>
      <c r="AI56">
        <f>AI10*(1+Control!$B$4)^(AI$48/12)</f>
        <v>18036.968433617731</v>
      </c>
      <c r="AJ56">
        <f>AJ10*(1+Control!$B$4)^(AJ$48/12)</f>
        <v>18091.698827152974</v>
      </c>
      <c r="AK56">
        <f>AK10*(1+Control!$B$4)^(AK$48/12)</f>
        <v>18263.729805299998</v>
      </c>
    </row>
    <row r="57" spans="1:37" x14ac:dyDescent="0.25">
      <c r="A57" t="s">
        <v>32</v>
      </c>
      <c r="B57">
        <f>B11*(1+Control!$B$4)^(B$48/12)</f>
        <v>14160.638033549607</v>
      </c>
      <c r="C57">
        <f>C11*(1+Control!$B$4)^(C$48/12)</f>
        <v>14375.646988156272</v>
      </c>
      <c r="D57">
        <f>D11*(1+Control!$B$4)^(D$48/12)</f>
        <v>14448.375643436244</v>
      </c>
      <c r="E57">
        <f>E11*(1+Control!$B$4)^(E$48/12)</f>
        <v>14629.738041337949</v>
      </c>
      <c r="F57">
        <f>F11*(1+Control!$B$4)^(F$48/12)</f>
        <v>14826.688062317387</v>
      </c>
      <c r="G57">
        <f>G11*(1+Control!$B$4)^(G$48/12)</f>
        <v>14931.658204057579</v>
      </c>
      <c r="H57">
        <f>H11*(1+Control!$B$4)^(H$48/12)</f>
        <v>15053.028988748834</v>
      </c>
      <c r="I57">
        <f>I11*(1+Control!$B$4)^(I$48/12)</f>
        <v>15138.599131372097</v>
      </c>
      <c r="J57">
        <f>J11*(1+Control!$B$4)^(J$48/12)</f>
        <v>15431.436924695974</v>
      </c>
      <c r="K57">
        <f>K11*(1+Control!$B$4)^(K$48/12)</f>
        <v>15513.567354480701</v>
      </c>
      <c r="L57">
        <f>L11*(1+Control!$B$4)^(L$48/12)</f>
        <v>15740.778992578094</v>
      </c>
      <c r="M57">
        <f>M11*(1+Control!$B$4)^(M$48/12)</f>
        <v>15820.388000000001</v>
      </c>
      <c r="N57">
        <f>N11*(1+Control!$B$4)^(N$48/12)</f>
        <v>15993.635578233025</v>
      </c>
      <c r="O57">
        <f>O11*(1+Control!$B$4)^(O$48/12)</f>
        <v>16060.71701525334</v>
      </c>
      <c r="P57">
        <f>P11*(1+Control!$B$4)^(P$48/12)</f>
        <v>16323.212058777977</v>
      </c>
      <c r="Q57">
        <f>Q11*(1+Control!$B$4)^(Q$48/12)</f>
        <v>16391.970947181599</v>
      </c>
      <c r="R57">
        <f>R11*(1+Control!$B$4)^(R$48/12)</f>
        <v>16600.595817941357</v>
      </c>
      <c r="S57">
        <f>S11*(1+Control!$B$4)^(S$48/12)</f>
        <v>16808.477497852738</v>
      </c>
      <c r="T57">
        <f>T11*(1+Control!$B$4)^(T$48/12)</f>
        <v>16964.678311118812</v>
      </c>
      <c r="U57">
        <f>U11*(1+Control!$B$4)^(U$48/12)</f>
        <v>17104.844429972894</v>
      </c>
      <c r="V57">
        <f>V11*(1+Control!$B$4)^(V$48/12)</f>
        <v>17209.899013727645</v>
      </c>
      <c r="W57">
        <f>W11*(1+Control!$B$4)^(W$48/12)</f>
        <v>17477.73230617735</v>
      </c>
      <c r="X57">
        <f>X11*(1+Control!$B$4)^(X$48/12)</f>
        <v>17567.084380804117</v>
      </c>
      <c r="Y57">
        <f>Y11*(1+Control!$B$4)^(Y$48/12)</f>
        <v>17633.2189</v>
      </c>
      <c r="Z57">
        <f>Z11*(1+Control!$B$4)^(Z$48/12)</f>
        <v>17964.601081999794</v>
      </c>
      <c r="AA57">
        <f>AA11*(1+Control!$B$4)^(AA$48/12)</f>
        <v>18086.52158178324</v>
      </c>
      <c r="AB57">
        <f>AB11*(1+Control!$B$4)^(AB$48/12)</f>
        <v>18225.927613274034</v>
      </c>
      <c r="AC57">
        <f>AC11*(1+Control!$B$4)^(AC$48/12)</f>
        <v>18341.483233629693</v>
      </c>
      <c r="AD57">
        <f>AD11*(1+Control!$B$4)^(AD$48/12)</f>
        <v>18533.540506456706</v>
      </c>
      <c r="AE57">
        <f>AE11*(1+Control!$B$4)^(AE$48/12)</f>
        <v>18772.408462743177</v>
      </c>
      <c r="AF57">
        <f>AF11*(1+Control!$B$4)^(AF$48/12)</f>
        <v>18939.917440502075</v>
      </c>
      <c r="AG57">
        <f>AG11*(1+Control!$B$4)^(AG$48/12)</f>
        <v>18996.150103417825</v>
      </c>
      <c r="AH57">
        <f>AH11*(1+Control!$B$4)^(AH$48/12)</f>
        <v>19154.505027047442</v>
      </c>
      <c r="AI57">
        <f>AI11*(1+Control!$B$4)^(AI$48/12)</f>
        <v>19431.612464083199</v>
      </c>
      <c r="AJ57">
        <f>AJ11*(1+Control!$B$4)^(AJ$48/12)</f>
        <v>19522.265578417067</v>
      </c>
      <c r="AK57">
        <f>AK11*(1+Control!$B$4)^(AK$48/12)</f>
        <v>19648.7612778</v>
      </c>
    </row>
    <row r="58" spans="1:37" x14ac:dyDescent="0.25">
      <c r="A58" t="s">
        <v>33</v>
      </c>
      <c r="B58">
        <f>B12*(1+Control!$B$4)^(B$48/12)</f>
        <v>15210.62120450912</v>
      </c>
      <c r="C58">
        <f>C12*(1+Control!$B$4)^(C$48/12)</f>
        <v>15434.550814190545</v>
      </c>
      <c r="D58">
        <f>D12*(1+Control!$B$4)^(D$48/12)</f>
        <v>15530.442320232709</v>
      </c>
      <c r="E58">
        <f>E12*(1+Control!$B$4)^(E$48/12)</f>
        <v>15683.065445652057</v>
      </c>
      <c r="F58">
        <f>F12*(1+Control!$B$4)^(F$48/12)</f>
        <v>15885.245476211296</v>
      </c>
      <c r="G58">
        <f>G12*(1+Control!$B$4)^(G$48/12)</f>
        <v>16019.822357666768</v>
      </c>
      <c r="H58">
        <f>H12*(1+Control!$B$4)^(H$48/12)</f>
        <v>16201.766461879293</v>
      </c>
      <c r="I58">
        <f>I12*(1+Control!$B$4)^(I$48/12)</f>
        <v>16381.960818949958</v>
      </c>
      <c r="J58">
        <f>J12*(1+Control!$B$4)^(J$48/12)</f>
        <v>16452.524445264567</v>
      </c>
      <c r="K58">
        <f>K12*(1+Control!$B$4)^(K$48/12)</f>
        <v>16637.309616189639</v>
      </c>
      <c r="L58">
        <f>L12*(1+Control!$B$4)^(L$48/12)</f>
        <v>16737.010018113582</v>
      </c>
      <c r="M58">
        <f>M12*(1+Control!$B$4)^(M$48/12)</f>
        <v>16971.310000000001</v>
      </c>
      <c r="N58">
        <f>N12*(1+Control!$B$4)^(N$48/12)</f>
        <v>17189.730212944392</v>
      </c>
      <c r="O58">
        <f>O12*(1+Control!$B$4)^(O$48/12)</f>
        <v>17320.314118677597</v>
      </c>
      <c r="P58">
        <f>P12*(1+Control!$B$4)^(P$48/12)</f>
        <v>17361.059170625827</v>
      </c>
      <c r="Q58">
        <f>Q12*(1+Control!$B$4)^(Q$48/12)</f>
        <v>17611.083803741349</v>
      </c>
      <c r="R58">
        <f>R12*(1+Control!$B$4)^(R$48/12)</f>
        <v>17834.811399174501</v>
      </c>
      <c r="S58">
        <f>S12*(1+Control!$B$4)^(S$48/12)</f>
        <v>17919.77402000624</v>
      </c>
      <c r="T58">
        <f>T12*(1+Control!$B$4)^(T$48/12)</f>
        <v>18191.26154437377</v>
      </c>
      <c r="U58">
        <f>U12*(1+Control!$B$4)^(U$48/12)</f>
        <v>18303.673146730976</v>
      </c>
      <c r="V58">
        <f>V12*(1+Control!$B$4)^(V$48/12)</f>
        <v>18462.969807706129</v>
      </c>
      <c r="W58">
        <f>W12*(1+Control!$B$4)^(W$48/12)</f>
        <v>18693.038448488285</v>
      </c>
      <c r="X58">
        <f>X12*(1+Control!$B$4)^(X$48/12)</f>
        <v>18811.739216206613</v>
      </c>
      <c r="Y58">
        <f>Y12*(1+Control!$B$4)^(Y$48/12)</f>
        <v>19056.097979999995</v>
      </c>
      <c r="Z58">
        <f>Z12*(1+Control!$B$4)^(Z$48/12)</f>
        <v>19195.195984347218</v>
      </c>
      <c r="AA58">
        <f>AA12*(1+Control!$B$4)^(AA$48/12)</f>
        <v>19435.294516624464</v>
      </c>
      <c r="AB58">
        <f>AB12*(1+Control!$B$4)^(AB$48/12)</f>
        <v>19641.298097303941</v>
      </c>
      <c r="AC58">
        <f>AC12*(1+Control!$B$4)^(AC$48/12)</f>
        <v>19790.129452192039</v>
      </c>
      <c r="AD58">
        <f>AD12*(1+Control!$B$4)^(AD$48/12)</f>
        <v>19884.799057852364</v>
      </c>
      <c r="AE58">
        <f>AE12*(1+Control!$B$4)^(AE$48/12)</f>
        <v>19992.304924400512</v>
      </c>
      <c r="AF58">
        <f>AF12*(1+Control!$B$4)^(AF$48/12)</f>
        <v>20227.799445916353</v>
      </c>
      <c r="AG58">
        <f>AG12*(1+Control!$B$4)^(AG$48/12)</f>
        <v>20373.444833323367</v>
      </c>
      <c r="AH58">
        <f>AH12*(1+Control!$B$4)^(AH$48/12)</f>
        <v>20601.470597551106</v>
      </c>
      <c r="AI58">
        <f>AI12*(1+Control!$B$4)^(AI$48/12)</f>
        <v>20841.262020527476</v>
      </c>
      <c r="AJ58">
        <f>AJ12*(1+Control!$B$4)^(AJ$48/12)</f>
        <v>21047.338682420108</v>
      </c>
      <c r="AK58">
        <f>AK12*(1+Control!$B$4)^(AK$48/12)</f>
        <v>21212.016523999999</v>
      </c>
    </row>
    <row r="59" spans="1:37" x14ac:dyDescent="0.25">
      <c r="A59" t="s">
        <v>34</v>
      </c>
      <c r="B59">
        <f>B13*(1+Control!$B$4)^(B$48/12)</f>
        <v>16267.521392730056</v>
      </c>
      <c r="C59">
        <f>C13*(1+Control!$B$4)^(C$48/12)</f>
        <v>16359.295334183653</v>
      </c>
      <c r="D59">
        <f>D13*(1+Control!$B$4)^(D$48/12)</f>
        <v>16520.229593254327</v>
      </c>
      <c r="E59">
        <f>E13*(1+Control!$B$4)^(E$48/12)</f>
        <v>16658.226463490697</v>
      </c>
      <c r="F59">
        <f>F13*(1+Control!$B$4)^(F$48/12)</f>
        <v>16972.048635942658</v>
      </c>
      <c r="G59">
        <f>G13*(1+Control!$B$4)^(G$48/12)</f>
        <v>17056.430142125282</v>
      </c>
      <c r="H59">
        <f>H13*(1+Control!$B$4)^(H$48/12)</f>
        <v>17227.806442086599</v>
      </c>
      <c r="I59">
        <f>I13*(1+Control!$B$4)^(I$48/12)</f>
        <v>17389.521323550212</v>
      </c>
      <c r="J59">
        <f>J13*(1+Control!$B$4)^(J$48/12)</f>
        <v>17673.903389963922</v>
      </c>
      <c r="K59">
        <f>K13*(1+Control!$B$4)^(K$48/12)</f>
        <v>17737.068323608182</v>
      </c>
      <c r="L59">
        <f>L13*(1+Control!$B$4)^(L$48/12)</f>
        <v>17936.371070204736</v>
      </c>
      <c r="M59">
        <f>M13*(1+Control!$B$4)^(M$48/12)</f>
        <v>18138.506000000001</v>
      </c>
      <c r="N59">
        <f>N13*(1+Control!$B$4)^(N$48/12)</f>
        <v>18238.687860909926</v>
      </c>
      <c r="O59">
        <f>O13*(1+Control!$B$4)^(O$48/12)</f>
        <v>18469.260445245865</v>
      </c>
      <c r="P59">
        <f>P13*(1+Control!$B$4)^(P$48/12)</f>
        <v>18738.733246211108</v>
      </c>
      <c r="Q59">
        <f>Q13*(1+Control!$B$4)^(Q$48/12)</f>
        <v>18822.187130441449</v>
      </c>
      <c r="R59">
        <f>R13*(1+Control!$B$4)^(R$48/12)</f>
        <v>19016.784499316247</v>
      </c>
      <c r="S59">
        <f>S13*(1+Control!$B$4)^(S$48/12)</f>
        <v>19291.150096963422</v>
      </c>
      <c r="T59">
        <f>T13*(1+Control!$B$4)^(T$48/12)</f>
        <v>19402.650025913917</v>
      </c>
      <c r="U59">
        <f>U13*(1+Control!$B$4)^(U$48/12)</f>
        <v>19604.505253251766</v>
      </c>
      <c r="V59">
        <f>V13*(1+Control!$B$4)^(V$48/12)</f>
        <v>19747.527967631289</v>
      </c>
      <c r="W59">
        <f>W13*(1+Control!$B$4)^(W$48/12)</f>
        <v>19876.67399987729</v>
      </c>
      <c r="X59">
        <f>X13*(1+Control!$B$4)^(X$48/12)</f>
        <v>20161.164758780986</v>
      </c>
      <c r="Y59">
        <f>Y13*(1+Control!$B$4)^(Y$48/12)</f>
        <v>20296.183989999998</v>
      </c>
      <c r="Z59">
        <f>Z13*(1+Control!$B$4)^(Z$48/12)</f>
        <v>20458.440842188604</v>
      </c>
      <c r="AA59">
        <f>AA13*(1+Control!$B$4)^(AA$48/12)</f>
        <v>20745.79304757604</v>
      </c>
      <c r="AB59">
        <f>AB13*(1+Control!$B$4)^(AB$48/12)</f>
        <v>20927.133806234226</v>
      </c>
      <c r="AC59">
        <f>AC13*(1+Control!$B$4)^(AC$48/12)</f>
        <v>21039.922968908981</v>
      </c>
      <c r="AD59">
        <f>AD13*(1+Control!$B$4)^(AD$48/12)</f>
        <v>21288.363698949135</v>
      </c>
      <c r="AE59">
        <f>AE13*(1+Control!$B$4)^(AE$48/12)</f>
        <v>21390.717567295971</v>
      </c>
      <c r="AF59">
        <f>AF13*(1+Control!$B$4)^(AF$48/12)</f>
        <v>21630.848238103768</v>
      </c>
      <c r="AG59">
        <f>AG13*(1+Control!$B$4)^(AG$48/12)</f>
        <v>21864.783765076685</v>
      </c>
      <c r="AH59">
        <f>AH13*(1+Control!$B$4)^(AH$48/12)</f>
        <v>21832.90988705097</v>
      </c>
      <c r="AI59">
        <f>AI13*(1+Control!$B$4)^(AI$48/12)</f>
        <v>22189.584644710525</v>
      </c>
      <c r="AJ59">
        <f>AJ13*(1+Control!$B$4)^(AJ$48/12)</f>
        <v>22453.161555862131</v>
      </c>
      <c r="AK59">
        <f>AK13*(1+Control!$B$4)^(AK$48/12)</f>
        <v>22589.289634800003</v>
      </c>
    </row>
    <row r="60" spans="1:37" x14ac:dyDescent="0.25">
      <c r="A60" t="s">
        <v>35</v>
      </c>
      <c r="B60">
        <f>B14*(1+Control!$B$4)^(B$48/12)</f>
        <v>17274.298267462382</v>
      </c>
      <c r="C60">
        <f>C14*(1+Control!$B$4)^(C$48/12)</f>
        <v>17425.635706020956</v>
      </c>
      <c r="D60">
        <f>D14*(1+Control!$B$4)^(D$48/12)</f>
        <v>17579.226419107083</v>
      </c>
      <c r="E60">
        <f>E14*(1+Control!$B$4)^(E$48/12)</f>
        <v>17858.797526049289</v>
      </c>
      <c r="F60">
        <f>F14*(1+Control!$B$4)^(F$48/12)</f>
        <v>17987.57937606984</v>
      </c>
      <c r="G60">
        <f>G14*(1+Control!$B$4)^(G$48/12)</f>
        <v>18177.070748742772</v>
      </c>
      <c r="H60">
        <f>H14*(1+Control!$B$4)^(H$48/12)</f>
        <v>18300.544721839284</v>
      </c>
      <c r="I60">
        <f>I14*(1+Control!$B$4)^(I$48/12)</f>
        <v>18548.639162884345</v>
      </c>
      <c r="J60">
        <f>J14*(1+Control!$B$4)^(J$48/12)</f>
        <v>18760.834543580095</v>
      </c>
      <c r="K60">
        <f>K14*(1+Control!$B$4)^(K$48/12)</f>
        <v>18890.22631216047</v>
      </c>
      <c r="L60">
        <f>L14*(1+Control!$B$4)^(L$48/12)</f>
        <v>19021.888890417449</v>
      </c>
      <c r="M60">
        <f>M14*(1+Control!$B$4)^(M$48/12)</f>
        <v>19221.345000000001</v>
      </c>
      <c r="N60">
        <f>N14*(1+Control!$B$4)^(N$48/12)</f>
        <v>19557.964548384636</v>
      </c>
      <c r="O60">
        <f>O14*(1+Control!$B$4)^(O$48/12)</f>
        <v>19702.048801050198</v>
      </c>
      <c r="P60">
        <f>P14*(1+Control!$B$4)^(P$48/12)</f>
        <v>19861.147984149338</v>
      </c>
      <c r="Q60">
        <f>Q14*(1+Control!$B$4)^(Q$48/12)</f>
        <v>20004.789013225392</v>
      </c>
      <c r="R60">
        <f>R14*(1+Control!$B$4)^(R$48/12)</f>
        <v>20127.328259043599</v>
      </c>
      <c r="S60">
        <f>S14*(1+Control!$B$4)^(S$48/12)</f>
        <v>20432.55229105561</v>
      </c>
      <c r="T60">
        <f>T14*(1+Control!$B$4)^(T$48/12)</f>
        <v>20644.847176448242</v>
      </c>
      <c r="U60">
        <f>U14*(1+Control!$B$4)^(U$48/12)</f>
        <v>20693.031643283939</v>
      </c>
      <c r="V60">
        <f>V14*(1+Control!$B$4)^(V$48/12)</f>
        <v>20994.70146230203</v>
      </c>
      <c r="W60">
        <f>W14*(1+Control!$B$4)^(W$48/12)</f>
        <v>21215.073172238132</v>
      </c>
      <c r="X60">
        <f>X14*(1+Control!$B$4)^(X$48/12)</f>
        <v>21304.964559905904</v>
      </c>
      <c r="Y60">
        <f>Y14*(1+Control!$B$4)^(Y$48/12)</f>
        <v>21629.417019999997</v>
      </c>
      <c r="Z60">
        <f>Z14*(1+Control!$B$4)^(Z$48/12)</f>
        <v>21722.749216495587</v>
      </c>
      <c r="AA60">
        <f>AA14*(1+Control!$B$4)^(AA$48/12)</f>
        <v>21878.992598949641</v>
      </c>
      <c r="AB60">
        <f>AB14*(1+Control!$B$4)^(AB$48/12)</f>
        <v>22169.470626166541</v>
      </c>
      <c r="AC60">
        <f>AC14*(1+Control!$B$4)^(AC$48/12)</f>
        <v>22304.716150635817</v>
      </c>
      <c r="AD60">
        <f>AD14*(1+Control!$B$4)^(AD$48/12)</f>
        <v>22687.739556681747</v>
      </c>
      <c r="AE60">
        <f>AE14*(1+Control!$B$4)^(AE$48/12)</f>
        <v>22793.329324225371</v>
      </c>
      <c r="AF60">
        <f>AF14*(1+Control!$B$4)^(AF$48/12)</f>
        <v>22990.183301478512</v>
      </c>
      <c r="AG60">
        <f>AG14*(1+Control!$B$4)^(AG$48/12)</f>
        <v>23125.545662543831</v>
      </c>
      <c r="AH60">
        <f>AH14*(1+Control!$B$4)^(AH$48/12)</f>
        <v>23496.920293130184</v>
      </c>
      <c r="AI60">
        <f>AI14*(1+Control!$B$4)^(AI$48/12)</f>
        <v>23524.641514042738</v>
      </c>
      <c r="AJ60">
        <f>AJ14*(1+Control!$B$4)^(AJ$48/12)</f>
        <v>23918.391536850548</v>
      </c>
      <c r="AK60">
        <f>AK14*(1+Control!$B$4)^(AK$48/12)</f>
        <v>23957.4931115</v>
      </c>
    </row>
    <row r="61" spans="1:37" x14ac:dyDescent="0.25">
      <c r="A61" t="s">
        <v>36</v>
      </c>
      <c r="B61">
        <f>B15*(1+Control!$B$4)^(B$48/12)</f>
        <v>18296.513122749202</v>
      </c>
      <c r="C61">
        <f>C15*(1+Control!$B$4)^(C$48/12)</f>
        <v>18417.610619827952</v>
      </c>
      <c r="D61">
        <f>D15*(1+Control!$B$4)^(D$48/12)</f>
        <v>18710.253565591946</v>
      </c>
      <c r="E61">
        <f>E15*(1+Control!$B$4)^(E$48/12)</f>
        <v>18803.459514539627</v>
      </c>
      <c r="F61">
        <f>F15*(1+Control!$B$4)^(F$48/12)</f>
        <v>18976.079241148273</v>
      </c>
      <c r="G61">
        <f>G15*(1+Control!$B$4)^(G$48/12)</f>
        <v>19223.218491272477</v>
      </c>
      <c r="H61">
        <f>H15*(1+Control!$B$4)^(H$48/12)</f>
        <v>19474.920477073083</v>
      </c>
      <c r="I61">
        <f>I15*(1+Control!$B$4)^(I$48/12)</f>
        <v>19546.714585297352</v>
      </c>
      <c r="J61">
        <f>J15*(1+Control!$B$4)^(J$48/12)</f>
        <v>19918.516930222551</v>
      </c>
      <c r="K61">
        <f>K15*(1+Control!$B$4)^(K$48/12)</f>
        <v>20039.489535486104</v>
      </c>
      <c r="L61">
        <f>L15*(1+Control!$B$4)^(L$48/12)</f>
        <v>20283.514381604564</v>
      </c>
      <c r="M61">
        <f>M15*(1+Control!$B$4)^(M$48/12)</f>
        <v>20303.772000000001</v>
      </c>
      <c r="N61">
        <f>N15*(1+Control!$B$4)^(N$48/12)</f>
        <v>20587.716947553876</v>
      </c>
      <c r="O61">
        <f>O15*(1+Control!$B$4)^(O$48/12)</f>
        <v>20814.767090294237</v>
      </c>
      <c r="P61">
        <f>P15*(1+Control!$B$4)^(P$48/12)</f>
        <v>21041.670538787712</v>
      </c>
      <c r="Q61">
        <f>Q15*(1+Control!$B$4)^(Q$48/12)</f>
        <v>21164.610544850071</v>
      </c>
      <c r="R61">
        <f>R15*(1+Control!$B$4)^(R$48/12)</f>
        <v>21403.880062478554</v>
      </c>
      <c r="S61">
        <f>S15*(1+Control!$B$4)^(S$48/12)</f>
        <v>21534.440790728277</v>
      </c>
      <c r="T61">
        <f>T15*(1+Control!$B$4)^(T$48/12)</f>
        <v>21793.570406088642</v>
      </c>
      <c r="U61">
        <f>U15*(1+Control!$B$4)^(U$48/12)</f>
        <v>22007.730328021702</v>
      </c>
      <c r="V61">
        <f>V15*(1+Control!$B$4)^(V$48/12)</f>
        <v>22254.196100169298</v>
      </c>
      <c r="W61">
        <f>W15*(1+Control!$B$4)^(W$48/12)</f>
        <v>22506.283164125292</v>
      </c>
      <c r="X61">
        <f>X15*(1+Control!$B$4)^(X$48/12)</f>
        <v>22641.796451820221</v>
      </c>
      <c r="Y61">
        <f>Y15*(1+Control!$B$4)^(Y$48/12)</f>
        <v>22801.181069999999</v>
      </c>
      <c r="Z61">
        <f>Z15*(1+Control!$B$4)^(Z$48/12)</f>
        <v>23117.444709485317</v>
      </c>
      <c r="AA61">
        <f>AA15*(1+Control!$B$4)^(AA$48/12)</f>
        <v>23404.211601861549</v>
      </c>
      <c r="AB61">
        <f>AB15*(1+Control!$B$4)^(AB$48/12)</f>
        <v>23436.92351222791</v>
      </c>
      <c r="AC61">
        <f>AC15*(1+Control!$B$4)^(AC$48/12)</f>
        <v>23636.686403514086</v>
      </c>
      <c r="AD61">
        <f>AD15*(1+Control!$B$4)^(AD$48/12)</f>
        <v>23917.845604621849</v>
      </c>
      <c r="AE61">
        <f>AE15*(1+Control!$B$4)^(AE$48/12)</f>
        <v>24102.806885273607</v>
      </c>
      <c r="AF61">
        <f>AF15*(1+Control!$B$4)^(AF$48/12)</f>
        <v>24361.391229469042</v>
      </c>
      <c r="AG61">
        <f>AG15*(1+Control!$B$4)^(AG$48/12)</f>
        <v>24533.461368846827</v>
      </c>
      <c r="AH61">
        <f>AH15*(1+Control!$B$4)^(AH$48/12)</f>
        <v>24749.944751185529</v>
      </c>
      <c r="AI61">
        <f>AI15*(1+Control!$B$4)^(AI$48/12)</f>
        <v>24976.589256035986</v>
      </c>
      <c r="AJ61">
        <f>AJ15*(1+Control!$B$4)^(AJ$48/12)</f>
        <v>25312.987011985628</v>
      </c>
      <c r="AK61">
        <f>AK15*(1+Control!$B$4)^(AK$48/12)</f>
        <v>25423.932745499998</v>
      </c>
    </row>
    <row r="62" spans="1:37" x14ac:dyDescent="0.25">
      <c r="A62" t="s">
        <v>37</v>
      </c>
      <c r="B62">
        <f>B16*(1+Control!$B$4)^(B$48/12)</f>
        <v>19307.099369306659</v>
      </c>
      <c r="C62">
        <f>C16*(1+Control!$B$4)^(C$48/12)</f>
        <v>19569.873243848917</v>
      </c>
      <c r="D62">
        <f>D16*(1+Control!$B$4)^(D$48/12)</f>
        <v>19628.91719334606</v>
      </c>
      <c r="E62">
        <f>E16*(1+Control!$B$4)^(E$48/12)</f>
        <v>19926.36914143978</v>
      </c>
      <c r="F62">
        <f>F16*(1+Control!$B$4)^(F$48/12)</f>
        <v>20059.642745443078</v>
      </c>
      <c r="G62">
        <f>G16*(1+Control!$B$4)^(G$48/12)</f>
        <v>20245.008894045961</v>
      </c>
      <c r="H62">
        <f>H16*(1+Control!$B$4)^(H$48/12)</f>
        <v>20506.657853303353</v>
      </c>
      <c r="I62">
        <f>I16*(1+Control!$B$4)^(I$48/12)</f>
        <v>20760.805105265106</v>
      </c>
      <c r="J62">
        <f>J16*(1+Control!$B$4)^(J$48/12)</f>
        <v>20990.316317237732</v>
      </c>
      <c r="K62">
        <f>K16*(1+Control!$B$4)^(K$48/12)</f>
        <v>21153.699871771933</v>
      </c>
      <c r="L62">
        <f>L16*(1+Control!$B$4)^(L$48/12)</f>
        <v>21418.247822818877</v>
      </c>
      <c r="M62">
        <f>M16*(1+Control!$B$4)^(M$48/12)</f>
        <v>21601.881000000001</v>
      </c>
      <c r="N62">
        <f>N16*(1+Control!$B$4)^(N$48/12)</f>
        <v>21835.438595158506</v>
      </c>
      <c r="O62">
        <f>O16*(1+Control!$B$4)^(O$48/12)</f>
        <v>22005.530922802467</v>
      </c>
      <c r="P62">
        <f>P16*(1+Control!$B$4)^(P$48/12)</f>
        <v>22268.886874702977</v>
      </c>
      <c r="Q62">
        <f>Q16*(1+Control!$B$4)^(Q$48/12)</f>
        <v>22398.078143236209</v>
      </c>
      <c r="R62">
        <f>R16*(1+Control!$B$4)^(R$48/12)</f>
        <v>22543.204111190396</v>
      </c>
      <c r="S62">
        <f>S16*(1+Control!$B$4)^(S$48/12)</f>
        <v>22835.361232662272</v>
      </c>
      <c r="T62">
        <f>T16*(1+Control!$B$4)^(T$48/12)</f>
        <v>23069.615175960127</v>
      </c>
      <c r="U62">
        <f>U16*(1+Control!$B$4)^(U$48/12)</f>
        <v>23176.61984181132</v>
      </c>
      <c r="V62">
        <f>V16*(1+Control!$B$4)^(V$48/12)</f>
        <v>23470.830009139248</v>
      </c>
      <c r="W62">
        <f>W16*(1+Control!$B$4)^(W$48/12)</f>
        <v>23628.688906398562</v>
      </c>
      <c r="X62">
        <f>X16*(1+Control!$B$4)^(X$48/12)</f>
        <v>24001.169920126071</v>
      </c>
      <c r="Y62">
        <f>Y16*(1+Control!$B$4)^(Y$48/12)</f>
        <v>24081.475189999997</v>
      </c>
      <c r="Z62">
        <f>Z16*(1+Control!$B$4)^(Z$48/12)</f>
        <v>24451.945170521994</v>
      </c>
      <c r="AA62">
        <f>AA16*(1+Control!$B$4)^(AA$48/12)</f>
        <v>24646.370598291483</v>
      </c>
      <c r="AB62">
        <f>AB16*(1+Control!$B$4)^(AB$48/12)</f>
        <v>24812.642674837058</v>
      </c>
      <c r="AC62">
        <f>AC16*(1+Control!$B$4)^(AC$48/12)</f>
        <v>25052.22621859032</v>
      </c>
      <c r="AD62">
        <f>AD16*(1+Control!$B$4)^(AD$48/12)</f>
        <v>25328.391551325545</v>
      </c>
      <c r="AE62">
        <f>AE16*(1+Control!$B$4)^(AE$48/12)</f>
        <v>25482.269680220987</v>
      </c>
      <c r="AF62">
        <f>AF16*(1+Control!$B$4)^(AF$48/12)</f>
        <v>25707.018530969191</v>
      </c>
      <c r="AG62">
        <f>AG16*(1+Control!$B$4)^(AG$48/12)</f>
        <v>25992.01529760216</v>
      </c>
      <c r="AH62">
        <f>AH16*(1+Control!$B$4)^(AH$48/12)</f>
        <v>26164.152930213029</v>
      </c>
      <c r="AI62">
        <f>AI16*(1+Control!$B$4)^(AI$48/12)</f>
        <v>26452.567586734425</v>
      </c>
      <c r="AJ62">
        <f>AJ16*(1+Control!$B$4)^(AJ$48/12)</f>
        <v>26559.664239523536</v>
      </c>
      <c r="AK62">
        <f>AK16*(1+Control!$B$4)^(AK$48/12)</f>
        <v>26944.243820600001</v>
      </c>
    </row>
    <row r="63" spans="1:37" x14ac:dyDescent="0.25">
      <c r="A63" t="s">
        <v>38</v>
      </c>
      <c r="B63">
        <f>B17*(1+Control!$B$4)^(B$48/12)</f>
        <v>20345.25343828286</v>
      </c>
      <c r="C63">
        <f>C17*(1+Control!$B$4)^(C$48/12)</f>
        <v>20513.812091522817</v>
      </c>
      <c r="D63">
        <f>D17*(1+Control!$B$4)^(D$48/12)</f>
        <v>20774.652629078872</v>
      </c>
      <c r="E63">
        <f>E17*(1+Control!$B$4)^(E$48/12)</f>
        <v>20864.567759472193</v>
      </c>
      <c r="F63">
        <f>F17*(1+Control!$B$4)^(F$48/12)</f>
        <v>21193.623387469252</v>
      </c>
      <c r="G63">
        <f>G17*(1+Control!$B$4)^(G$48/12)</f>
        <v>21466.123527157855</v>
      </c>
      <c r="H63">
        <f>H17*(1+Control!$B$4)^(H$48/12)</f>
        <v>21634.844005065257</v>
      </c>
      <c r="I63">
        <f>I17*(1+Control!$B$4)^(I$48/12)</f>
        <v>21840.064671990469</v>
      </c>
      <c r="J63">
        <f>J17*(1+Control!$B$4)^(J$48/12)</f>
        <v>22078.474370848577</v>
      </c>
      <c r="K63">
        <f>K17*(1+Control!$B$4)^(K$48/12)</f>
        <v>22359.129709418674</v>
      </c>
      <c r="L63">
        <f>L17*(1+Control!$B$4)^(L$48/12)</f>
        <v>22496.162394693136</v>
      </c>
      <c r="M63">
        <f>M17*(1+Control!$B$4)^(M$48/12)</f>
        <v>22697.491999999998</v>
      </c>
      <c r="N63">
        <f>N17*(1+Control!$B$4)^(N$48/12)</f>
        <v>22879.440049886289</v>
      </c>
      <c r="O63">
        <f>O17*(1+Control!$B$4)^(O$48/12)</f>
        <v>23205.817553693065</v>
      </c>
      <c r="P63">
        <f>P17*(1+Control!$B$4)^(P$48/12)</f>
        <v>23428.241581829159</v>
      </c>
      <c r="Q63">
        <f>Q17*(1+Control!$B$4)^(Q$48/12)</f>
        <v>23539.280118433904</v>
      </c>
      <c r="R63">
        <f>R17*(1+Control!$B$4)^(R$48/12)</f>
        <v>23824.865458684195</v>
      </c>
      <c r="S63">
        <f>S17*(1+Control!$B$4)^(S$48/12)</f>
        <v>23990.979994058845</v>
      </c>
      <c r="T63">
        <f>T17*(1+Control!$B$4)^(T$48/12)</f>
        <v>24331.51310802815</v>
      </c>
      <c r="U63">
        <f>U17*(1+Control!$B$4)^(U$48/12)</f>
        <v>24488.167031499768</v>
      </c>
      <c r="V63">
        <f>V17*(1+Control!$B$4)^(V$48/12)</f>
        <v>24805.093977515357</v>
      </c>
      <c r="W63">
        <f>W17*(1+Control!$B$4)^(W$48/12)</f>
        <v>24971.838667397693</v>
      </c>
      <c r="X63">
        <f>X17*(1+Control!$B$4)^(X$48/12)</f>
        <v>25183.808963202584</v>
      </c>
      <c r="Y63">
        <f>Y17*(1+Control!$B$4)^(Y$48/12)</f>
        <v>25535.862999999998</v>
      </c>
      <c r="Z63">
        <f>Z17*(1+Control!$B$4)^(Z$48/12)</f>
        <v>25625.42923866662</v>
      </c>
      <c r="AA63">
        <f>AA17*(1+Control!$B$4)^(AA$48/12)</f>
        <v>25888.636208659831</v>
      </c>
      <c r="AB63">
        <f>AB17*(1+Control!$B$4)^(AB$48/12)</f>
        <v>26118.784990424872</v>
      </c>
      <c r="AC63">
        <f>AC17*(1+Control!$B$4)^(AC$48/12)</f>
        <v>26328.697710932003</v>
      </c>
      <c r="AD63">
        <f>AD17*(1+Control!$B$4)^(AD$48/12)</f>
        <v>26620.899730921392</v>
      </c>
      <c r="AE63">
        <f>AE17*(1+Control!$B$4)^(AE$48/12)</f>
        <v>26820.818030735023</v>
      </c>
      <c r="AF63">
        <f>AF17*(1+Control!$B$4)^(AF$48/12)</f>
        <v>27106.181658373262</v>
      </c>
      <c r="AG63">
        <f>AG17*(1+Control!$B$4)^(AG$48/12)</f>
        <v>27322.134247616203</v>
      </c>
      <c r="AH63">
        <f>AH17*(1+Control!$B$4)^(AH$48/12)</f>
        <v>27601.139427816666</v>
      </c>
      <c r="AI63">
        <f>AI17*(1+Control!$B$4)^(AI$48/12)</f>
        <v>27832.749769698574</v>
      </c>
      <c r="AJ63">
        <f>AJ17*(1+Control!$B$4)^(AJ$48/12)</f>
        <v>28063.481589450344</v>
      </c>
      <c r="AK63">
        <f>AK17*(1+Control!$B$4)^(AK$48/12)</f>
        <v>28293.106029400002</v>
      </c>
    </row>
    <row r="64" spans="1:37" x14ac:dyDescent="0.25">
      <c r="A64" t="s">
        <v>39</v>
      </c>
      <c r="B64">
        <f>B18*(1+Control!$B$4)^(B$48/12)</f>
        <v>21353.834752300772</v>
      </c>
      <c r="C64">
        <f>C18*(1+Control!$B$4)^(C$48/12)</f>
        <v>21582.564316052998</v>
      </c>
      <c r="D64">
        <f>D18*(1+Control!$B$4)^(D$48/12)</f>
        <v>21774.010364282385</v>
      </c>
      <c r="E64">
        <f>E18*(1+Control!$B$4)^(E$48/12)</f>
        <v>21987.578376535748</v>
      </c>
      <c r="F64">
        <f>F18*(1+Control!$B$4)^(F$48/12)</f>
        <v>22319.808608601215</v>
      </c>
      <c r="G64">
        <f>G18*(1+Control!$B$4)^(G$48/12)</f>
        <v>22591.635601726579</v>
      </c>
      <c r="H64">
        <f>H18*(1+Control!$B$4)^(H$48/12)</f>
        <v>22771.169294002826</v>
      </c>
      <c r="I64">
        <f>I18*(1+Control!$B$4)^(I$48/12)</f>
        <v>22950.329238553721</v>
      </c>
      <c r="J64">
        <f>J18*(1+Control!$B$4)^(J$48/12)</f>
        <v>23164.076382803858</v>
      </c>
      <c r="K64">
        <f>K18*(1+Control!$B$4)^(K$48/12)</f>
        <v>23407.53901213855</v>
      </c>
      <c r="L64">
        <f>L18*(1+Control!$B$4)^(L$48/12)</f>
        <v>23572.638514179042</v>
      </c>
      <c r="M64">
        <f>M18*(1+Control!$B$4)^(M$48/12)</f>
        <v>23825.342000000001</v>
      </c>
      <c r="N64">
        <f>N18*(1+Control!$B$4)^(N$48/12)</f>
        <v>24157.518381072176</v>
      </c>
      <c r="O64">
        <f>O18*(1+Control!$B$4)^(O$48/12)</f>
        <v>24393.890160571496</v>
      </c>
      <c r="P64">
        <f>P18*(1+Control!$B$4)^(P$48/12)</f>
        <v>24617.169017097374</v>
      </c>
      <c r="Q64">
        <f>Q18*(1+Control!$B$4)^(Q$48/12)</f>
        <v>24769.731140639138</v>
      </c>
      <c r="R64">
        <f>R18*(1+Control!$B$4)^(R$48/12)</f>
        <v>25008.402704966396</v>
      </c>
      <c r="S64">
        <f>S18*(1+Control!$B$4)^(S$48/12)</f>
        <v>25308.207674959634</v>
      </c>
      <c r="T64">
        <f>T18*(1+Control!$B$4)^(T$48/12)</f>
        <v>25419.14295663586</v>
      </c>
      <c r="U64">
        <f>U18*(1+Control!$B$4)^(U$48/12)</f>
        <v>25796.037476964022</v>
      </c>
      <c r="V64">
        <f>V18*(1+Control!$B$4)^(V$48/12)</f>
        <v>25990.345829454829</v>
      </c>
      <c r="W64">
        <f>W18*(1+Control!$B$4)^(W$48/12)</f>
        <v>26261.465129738761</v>
      </c>
      <c r="X64">
        <f>X18*(1+Control!$B$4)^(X$48/12)</f>
        <v>26442.327397230856</v>
      </c>
      <c r="Y64">
        <f>Y18*(1+Control!$B$4)^(Y$48/12)</f>
        <v>26742.000210000002</v>
      </c>
      <c r="Z64">
        <f>Z18*(1+Control!$B$4)^(Z$48/12)</f>
        <v>26880.059613136636</v>
      </c>
      <c r="AA64">
        <f>AA18*(1+Control!$B$4)^(AA$48/12)</f>
        <v>27305.215608330636</v>
      </c>
      <c r="AB64">
        <f>AB18*(1+Control!$B$4)^(AB$48/12)</f>
        <v>27435.828747481475</v>
      </c>
      <c r="AC64">
        <f>AC18*(1+Control!$B$4)^(AC$48/12)</f>
        <v>27741.344733470611</v>
      </c>
      <c r="AD64">
        <f>AD18*(1+Control!$B$4)^(AD$48/12)</f>
        <v>27966.465833129867</v>
      </c>
      <c r="AE64">
        <f>AE18*(1+Control!$B$4)^(AE$48/12)</f>
        <v>28108.11565611677</v>
      </c>
      <c r="AF64">
        <f>AF18*(1+Control!$B$4)^(AF$48/12)</f>
        <v>28508.04316409909</v>
      </c>
      <c r="AG64">
        <f>AG18*(1+Control!$B$4)^(AG$48/12)</f>
        <v>28723.990679437724</v>
      </c>
      <c r="AH64">
        <f>AH18*(1+Control!$B$4)^(AH$48/12)</f>
        <v>28997.66729290173</v>
      </c>
      <c r="AI64">
        <f>AI18*(1+Control!$B$4)^(AI$48/12)</f>
        <v>29253.164159997217</v>
      </c>
      <c r="AJ64">
        <f>AJ18*(1+Control!$B$4)^(AJ$48/12)</f>
        <v>29572.640128862979</v>
      </c>
      <c r="AK64">
        <f>AK18*(1+Control!$B$4)^(AK$48/12)</f>
        <v>29779.433294799997</v>
      </c>
    </row>
    <row r="65" spans="1:37" x14ac:dyDescent="0.25">
      <c r="A65" t="s">
        <v>40</v>
      </c>
      <c r="B65">
        <f>B19*(1+Control!$B$4)^(B$48/12)</f>
        <v>22407.527048458443</v>
      </c>
      <c r="C65">
        <f>C19*(1+Control!$B$4)^(C$48/12)</f>
        <v>22639.056289394397</v>
      </c>
      <c r="D65">
        <f>D19*(1+Control!$B$4)^(D$48/12)</f>
        <v>22772.259940706939</v>
      </c>
      <c r="E65">
        <f>E19*(1+Control!$B$4)^(E$48/12)</f>
        <v>23115.537511606151</v>
      </c>
      <c r="F65">
        <f>F19*(1+Control!$B$4)^(F$48/12)</f>
        <v>23339.388918024084</v>
      </c>
      <c r="G65">
        <f>G19*(1+Control!$B$4)^(G$48/12)</f>
        <v>23535.279539448857</v>
      </c>
      <c r="H65">
        <f>H19*(1+Control!$B$4)^(H$48/12)</f>
        <v>23720.396167114788</v>
      </c>
      <c r="I65">
        <f>I19*(1+Control!$B$4)^(I$48/12)</f>
        <v>24004.907193566032</v>
      </c>
      <c r="J65">
        <f>J19*(1+Control!$B$4)^(J$48/12)</f>
        <v>24270.228969669941</v>
      </c>
      <c r="K65">
        <f>K19*(1+Control!$B$4)^(K$48/12)</f>
        <v>24592.880060721534</v>
      </c>
      <c r="L65">
        <f>L19*(1+Control!$B$4)^(L$48/12)</f>
        <v>24712.406538752599</v>
      </c>
      <c r="M65">
        <f>M19*(1+Control!$B$4)^(M$48/12)</f>
        <v>24908.284000000003</v>
      </c>
      <c r="N65">
        <f>N19*(1+Control!$B$4)^(N$48/12)</f>
        <v>25315.615534294087</v>
      </c>
      <c r="O65">
        <f>O19*(1+Control!$B$4)^(O$48/12)</f>
        <v>25432.703253674117</v>
      </c>
      <c r="P65">
        <f>P19*(1+Control!$B$4)^(P$48/12)</f>
        <v>25697.248060011218</v>
      </c>
      <c r="Q65">
        <f>Q19*(1+Control!$B$4)^(Q$48/12)</f>
        <v>26022.026335188868</v>
      </c>
      <c r="R65">
        <f>R19*(1+Control!$B$4)^(R$48/12)</f>
        <v>26244.808090796185</v>
      </c>
      <c r="S65">
        <f>S19*(1+Control!$B$4)^(S$48/12)</f>
        <v>26500.93585836397</v>
      </c>
      <c r="T65">
        <f>T19*(1+Control!$B$4)^(T$48/12)</f>
        <v>26674.439031062273</v>
      </c>
      <c r="U65">
        <f>U19*(1+Control!$B$4)^(U$48/12)</f>
        <v>26877.84067755767</v>
      </c>
      <c r="V65">
        <f>V19*(1+Control!$B$4)^(V$48/12)</f>
        <v>27209.085916748973</v>
      </c>
      <c r="W65">
        <f>W19*(1+Control!$B$4)^(W$48/12)</f>
        <v>27467.481232045928</v>
      </c>
      <c r="X65">
        <f>X19*(1+Control!$B$4)^(X$48/12)</f>
        <v>27782.016672068046</v>
      </c>
      <c r="Y65">
        <f>Y19*(1+Control!$B$4)^(Y$48/12)</f>
        <v>27912.809449999997</v>
      </c>
      <c r="Z65">
        <f>Z19*(1+Control!$B$4)^(Z$48/12)</f>
        <v>28245.614754968883</v>
      </c>
      <c r="AA65">
        <f>AA19*(1+Control!$B$4)^(AA$48/12)</f>
        <v>28492.148584663526</v>
      </c>
      <c r="AB65">
        <f>AB19*(1+Control!$B$4)^(AB$48/12)</f>
        <v>28693.983345231234</v>
      </c>
      <c r="AC65">
        <f>AC19*(1+Control!$B$4)^(AC$48/12)</f>
        <v>29003.459403588535</v>
      </c>
      <c r="AD65">
        <f>AD19*(1+Control!$B$4)^(AD$48/12)</f>
        <v>29225.571150514115</v>
      </c>
      <c r="AE65">
        <f>AE19*(1+Control!$B$4)^(AE$48/12)</f>
        <v>29689.674272646746</v>
      </c>
      <c r="AF65">
        <f>AF19*(1+Control!$B$4)^(AF$48/12)</f>
        <v>29854.965687193697</v>
      </c>
      <c r="AG65">
        <f>AG19*(1+Control!$B$4)^(AG$48/12)</f>
        <v>30115.567984906735</v>
      </c>
      <c r="AH65">
        <f>AH19*(1+Control!$B$4)^(AH$48/12)</f>
        <v>30408.404490050958</v>
      </c>
      <c r="AI65">
        <f>AI19*(1+Control!$B$4)^(AI$48/12)</f>
        <v>30648.786811722173</v>
      </c>
      <c r="AJ65">
        <f>AJ19*(1+Control!$B$4)^(AJ$48/12)</f>
        <v>30904.558380439928</v>
      </c>
      <c r="AK65">
        <f>AK19*(1+Control!$B$4)^(AK$48/12)</f>
        <v>31170.693311199997</v>
      </c>
    </row>
    <row r="66" spans="1:37" x14ac:dyDescent="0.25">
      <c r="A66" t="s">
        <v>42</v>
      </c>
      <c r="B66">
        <f>B20*(1+Control!$B$4)^(B$48/12)</f>
        <v>23448.989256124889</v>
      </c>
      <c r="C66">
        <f>C20*(1+Control!$B$4)^(C$48/12)</f>
        <v>23551.942533647536</v>
      </c>
      <c r="D66">
        <f>D20*(1+Control!$B$4)^(D$48/12)</f>
        <v>23825.313005836204</v>
      </c>
      <c r="E66">
        <f>E20*(1+Control!$B$4)^(E$48/12)</f>
        <v>24090.799519608197</v>
      </c>
      <c r="F66">
        <f>F20*(1+Control!$B$4)^(F$48/12)</f>
        <v>24432.266431698983</v>
      </c>
      <c r="G66">
        <f>G20*(1+Control!$B$4)^(G$48/12)</f>
        <v>24567.320322703086</v>
      </c>
      <c r="H66">
        <f>H20*(1+Control!$B$4)^(H$48/12)</f>
        <v>24926.819774977772</v>
      </c>
      <c r="I66">
        <f>I20*(1+Control!$B$4)^(I$48/12)</f>
        <v>25193.092220248189</v>
      </c>
      <c r="J66">
        <f>J20*(1+Control!$B$4)^(J$48/12)</f>
        <v>25310.742406820904</v>
      </c>
      <c r="K66">
        <f>K20*(1+Control!$B$4)^(K$48/12)</f>
        <v>25634.934746492669</v>
      </c>
      <c r="L66">
        <f>L20*(1+Control!$B$4)^(L$48/12)</f>
        <v>25917.110414000501</v>
      </c>
      <c r="M66">
        <f>M20*(1+Control!$B$4)^(M$48/12)</f>
        <v>26167.15</v>
      </c>
      <c r="N66">
        <f>N20*(1+Control!$B$4)^(N$48/12)</f>
        <v>26460.909188318466</v>
      </c>
      <c r="O66">
        <f>O20*(1+Control!$B$4)^(O$48/12)</f>
        <v>26550.803994177761</v>
      </c>
      <c r="P66">
        <f>P20*(1+Control!$B$4)^(P$48/12)</f>
        <v>26816.031059405694</v>
      </c>
      <c r="Q66">
        <f>Q20*(1+Control!$B$4)^(Q$48/12)</f>
        <v>27193.914171537173</v>
      </c>
      <c r="R66">
        <f>R20*(1+Control!$B$4)^(R$48/12)</f>
        <v>27432.203564224859</v>
      </c>
      <c r="S66">
        <f>S20*(1+Control!$B$4)^(S$48/12)</f>
        <v>27693.454974602064</v>
      </c>
      <c r="T66">
        <f>T20*(1+Control!$B$4)^(T$48/12)</f>
        <v>27893.162909981987</v>
      </c>
      <c r="U66">
        <f>U20*(1+Control!$B$4)^(U$48/12)</f>
        <v>28195.58580750976</v>
      </c>
      <c r="V66">
        <f>V20*(1+Control!$B$4)^(V$48/12)</f>
        <v>28310.933107050416</v>
      </c>
      <c r="W66">
        <f>W20*(1+Control!$B$4)^(W$48/12)</f>
        <v>28783.183147579392</v>
      </c>
      <c r="X66">
        <f>X20*(1+Control!$B$4)^(X$48/12)</f>
        <v>28980.424235718907</v>
      </c>
      <c r="Y66">
        <f>Y20*(1+Control!$B$4)^(Y$48/12)</f>
        <v>29298.238759999993</v>
      </c>
      <c r="Z66">
        <f>Z20*(1+Control!$B$4)^(Z$48/12)</f>
        <v>29574.159523798196</v>
      </c>
      <c r="AA66">
        <f>AA20*(1+Control!$B$4)^(AA$48/12)</f>
        <v>29751.792266992914</v>
      </c>
      <c r="AB66">
        <f>AB20*(1+Control!$B$4)^(AB$48/12)</f>
        <v>30109.888213646864</v>
      </c>
      <c r="AC66">
        <f>AC20*(1+Control!$B$4)^(AC$48/12)</f>
        <v>30269.431130423287</v>
      </c>
      <c r="AD66">
        <f>AD20*(1+Control!$B$4)^(AD$48/12)</f>
        <v>30651.261160149756</v>
      </c>
      <c r="AE66">
        <f>AE20*(1+Control!$B$4)^(AE$48/12)</f>
        <v>30923.675450674524</v>
      </c>
      <c r="AF66">
        <f>AF20*(1+Control!$B$4)^(AF$48/12)</f>
        <v>31264.922327884844</v>
      </c>
      <c r="AG66">
        <f>AG20*(1+Control!$B$4)^(AG$48/12)</f>
        <v>31430.105943396986</v>
      </c>
      <c r="AH66">
        <f>AH20*(1+Control!$B$4)^(AH$48/12)</f>
        <v>31766.643086291355</v>
      </c>
      <c r="AI66">
        <f>AI20*(1+Control!$B$4)^(AI$48/12)</f>
        <v>32030.056351641309</v>
      </c>
      <c r="AJ66">
        <f>AJ20*(1+Control!$B$4)^(AJ$48/12)</f>
        <v>32373.058477440081</v>
      </c>
      <c r="AK66">
        <f>AK20*(1+Control!$B$4)^(AK$48/12)</f>
        <v>32539.9895149</v>
      </c>
    </row>
    <row r="67" spans="1:37" x14ac:dyDescent="0.25">
      <c r="A67" t="s">
        <v>43</v>
      </c>
      <c r="B67">
        <f>B21*(1+Control!$B$4)^(B$48/12)</f>
        <v>24365.042933442815</v>
      </c>
      <c r="C67">
        <f>C21*(1+Control!$B$4)^(C$48/12)</f>
        <v>24695.462191656832</v>
      </c>
      <c r="D67">
        <f>D21*(1+Control!$B$4)^(D$48/12)</f>
        <v>24822.857390310513</v>
      </c>
      <c r="E67">
        <f>E21*(1+Control!$B$4)^(E$48/12)</f>
        <v>25254.509172523969</v>
      </c>
      <c r="F67">
        <f>F21*(1+Control!$B$4)^(F$48/12)</f>
        <v>25431.396416178613</v>
      </c>
      <c r="G67">
        <f>G21*(1+Control!$B$4)^(G$48/12)</f>
        <v>25774.327996539501</v>
      </c>
      <c r="H67">
        <f>H21*(1+Control!$B$4)^(H$48/12)</f>
        <v>25967.713680530665</v>
      </c>
      <c r="I67">
        <f>I21*(1+Control!$B$4)^(I$48/12)</f>
        <v>26259.705010723887</v>
      </c>
      <c r="J67">
        <f>J21*(1+Control!$B$4)^(J$48/12)</f>
        <v>26600.62326788963</v>
      </c>
      <c r="K67">
        <f>K21*(1+Control!$B$4)^(K$48/12)</f>
        <v>26671.147284423841</v>
      </c>
      <c r="L67">
        <f>L21*(1+Control!$B$4)^(L$48/12)</f>
        <v>27137.740012119477</v>
      </c>
      <c r="M67">
        <f>M21*(1+Control!$B$4)^(M$48/12)</f>
        <v>27320.234999999997</v>
      </c>
      <c r="N67">
        <f>N21*(1+Control!$B$4)^(N$48/12)</f>
        <v>27611.262289606391</v>
      </c>
      <c r="O67">
        <f>O21*(1+Control!$B$4)^(O$48/12)</f>
        <v>27844.662470042927</v>
      </c>
      <c r="P67">
        <f>P21*(1+Control!$B$4)^(P$48/12)</f>
        <v>28055.906598244925</v>
      </c>
      <c r="Q67">
        <f>Q21*(1+Control!$B$4)^(Q$48/12)</f>
        <v>28333.243789105341</v>
      </c>
      <c r="R67">
        <f>R21*(1+Control!$B$4)^(R$48/12)</f>
        <v>28689.25567910873</v>
      </c>
      <c r="S67">
        <f>S21*(1+Control!$B$4)^(S$48/12)</f>
        <v>28864.12657196798</v>
      </c>
      <c r="T67">
        <f>T21*(1+Control!$B$4)^(T$48/12)</f>
        <v>29245.181438427564</v>
      </c>
      <c r="U67">
        <f>U21*(1+Control!$B$4)^(U$48/12)</f>
        <v>29446.834391921388</v>
      </c>
      <c r="V67">
        <f>V21*(1+Control!$B$4)^(V$48/12)</f>
        <v>29565.478225855826</v>
      </c>
      <c r="W67">
        <f>W21*(1+Control!$B$4)^(W$48/12)</f>
        <v>30013.796742169259</v>
      </c>
      <c r="X67">
        <f>X21*(1+Control!$B$4)^(X$48/12)</f>
        <v>30288.893956398821</v>
      </c>
      <c r="Y67">
        <f>Y21*(1+Control!$B$4)^(Y$48/12)</f>
        <v>30623.408949999994</v>
      </c>
      <c r="Z67">
        <f>Z21*(1+Control!$B$4)^(Z$48/12)</f>
        <v>30827.939085095732</v>
      </c>
      <c r="AA67">
        <f>AA21*(1+Control!$B$4)^(AA$48/12)</f>
        <v>31053.974910748402</v>
      </c>
      <c r="AB67">
        <f>AB21*(1+Control!$B$4)^(AB$48/12)</f>
        <v>31359.492661225027</v>
      </c>
      <c r="AC67">
        <f>AC21*(1+Control!$B$4)^(AC$48/12)</f>
        <v>31609.86547998571</v>
      </c>
      <c r="AD67">
        <f>AD21*(1+Control!$B$4)^(AD$48/12)</f>
        <v>32087.047211740024</v>
      </c>
      <c r="AE67">
        <f>AE21*(1+Control!$B$4)^(AE$48/12)</f>
        <v>32278.804918143123</v>
      </c>
      <c r="AF67">
        <f>AF21*(1+Control!$B$4)^(AF$48/12)</f>
        <v>32524.201523088363</v>
      </c>
      <c r="AG67">
        <f>AG21*(1+Control!$B$4)^(AG$48/12)</f>
        <v>32909.975534167512</v>
      </c>
      <c r="AH67">
        <f>AH21*(1+Control!$B$4)^(AH$48/12)</f>
        <v>33116.09575965238</v>
      </c>
      <c r="AI67">
        <f>AI21*(1+Control!$B$4)^(AI$48/12)</f>
        <v>33507.230774990232</v>
      </c>
      <c r="AJ67">
        <f>AJ21*(1+Control!$B$4)^(AJ$48/12)</f>
        <v>33801.554155230078</v>
      </c>
      <c r="AK67">
        <f>AK21*(1+Control!$B$4)^(AK$48/12)</f>
        <v>33979.5480647</v>
      </c>
    </row>
    <row r="68" spans="1:37" x14ac:dyDescent="0.25">
      <c r="A68" t="s">
        <v>44</v>
      </c>
      <c r="B68">
        <f>B22*(1+Control!$B$4)^(B$48/12)</f>
        <v>25527.202079989853</v>
      </c>
      <c r="C68">
        <f>C22*(1+Control!$B$4)^(C$48/12)</f>
        <v>25752.15515272264</v>
      </c>
      <c r="D68">
        <f>D22*(1+Control!$B$4)^(D$48/12)</f>
        <v>25937.665121939757</v>
      </c>
      <c r="E68">
        <f>E22*(1+Control!$B$4)^(E$48/12)</f>
        <v>26262.693973796046</v>
      </c>
      <c r="F68">
        <f>F22*(1+Control!$B$4)^(F$48/12)</f>
        <v>26509.594241156628</v>
      </c>
      <c r="G68">
        <f>G22*(1+Control!$B$4)^(G$48/12)</f>
        <v>26836.105032079453</v>
      </c>
      <c r="H68">
        <f>H22*(1+Control!$B$4)^(H$48/12)</f>
        <v>27097.01896365422</v>
      </c>
      <c r="I68">
        <f>I22*(1+Control!$B$4)^(I$48/12)</f>
        <v>27342.53423203585</v>
      </c>
      <c r="J68">
        <f>J22*(1+Control!$B$4)^(J$48/12)</f>
        <v>27589.606905264216</v>
      </c>
      <c r="K68">
        <f>K22*(1+Control!$B$4)^(K$48/12)</f>
        <v>27804.011496268871</v>
      </c>
      <c r="L68">
        <f>L22*(1+Control!$B$4)^(L$48/12)</f>
        <v>28149.280280931038</v>
      </c>
      <c r="M68">
        <f>M22*(1+Control!$B$4)^(M$48/12)</f>
        <v>28391.949999999997</v>
      </c>
      <c r="N68">
        <f>N22*(1+Control!$B$4)^(N$48/12)</f>
        <v>28593.517836913819</v>
      </c>
      <c r="O68">
        <f>O22*(1+Control!$B$4)^(O$48/12)</f>
        <v>29080.556086189339</v>
      </c>
      <c r="P68">
        <f>P22*(1+Control!$B$4)^(P$48/12)</f>
        <v>29248.362008098502</v>
      </c>
      <c r="Q68">
        <f>Q22*(1+Control!$B$4)^(Q$48/12)</f>
        <v>29464.979956287094</v>
      </c>
      <c r="R68">
        <f>R22*(1+Control!$B$4)^(R$48/12)</f>
        <v>29827.849792955021</v>
      </c>
      <c r="S68">
        <f>S22*(1+Control!$B$4)^(S$48/12)</f>
        <v>30076.820669748315</v>
      </c>
      <c r="T68">
        <f>T22*(1+Control!$B$4)^(T$48/12)</f>
        <v>30425.237294017832</v>
      </c>
      <c r="U68">
        <f>U22*(1+Control!$B$4)^(U$48/12)</f>
        <v>30678.123507687371</v>
      </c>
      <c r="V68">
        <f>V22*(1+Control!$B$4)^(V$48/12)</f>
        <v>30892.054643348631</v>
      </c>
      <c r="W68">
        <f>W22*(1+Control!$B$4)^(W$48/12)</f>
        <v>31311.024146331587</v>
      </c>
      <c r="X68">
        <f>X22*(1+Control!$B$4)^(X$48/12)</f>
        <v>31519.791022172685</v>
      </c>
      <c r="Y68">
        <f>Y22*(1+Control!$B$4)^(Y$48/12)</f>
        <v>31870.709079999997</v>
      </c>
      <c r="Z68">
        <f>Z22*(1+Control!$B$4)^(Z$48/12)</f>
        <v>32111.390755783541</v>
      </c>
      <c r="AA68">
        <f>AA22*(1+Control!$B$4)^(AA$48/12)</f>
        <v>32476.844532785479</v>
      </c>
      <c r="AB68">
        <f>AB22*(1+Control!$B$4)^(AB$48/12)</f>
        <v>32723.241613593953</v>
      </c>
      <c r="AC68">
        <f>AC22*(1+Control!$B$4)^(AC$48/12)</f>
        <v>33111.224807011393</v>
      </c>
      <c r="AD68">
        <f>AD22*(1+Control!$B$4)^(AD$48/12)</f>
        <v>33273.439546110618</v>
      </c>
      <c r="AE68">
        <f>AE22*(1+Control!$B$4)^(AE$48/12)</f>
        <v>33716.193952840869</v>
      </c>
      <c r="AF68">
        <f>AF22*(1+Control!$B$4)^(AF$48/12)</f>
        <v>34031.731523894698</v>
      </c>
      <c r="AG68">
        <f>AG22*(1+Control!$B$4)^(AG$48/12)</f>
        <v>34214.883574285406</v>
      </c>
      <c r="AH68">
        <f>AH22*(1+Control!$B$4)^(AH$48/12)</f>
        <v>34402.203013734987</v>
      </c>
      <c r="AI68">
        <f>AI22*(1+Control!$B$4)^(AI$48/12)</f>
        <v>34825.107404433664</v>
      </c>
      <c r="AJ68">
        <f>AJ22*(1+Control!$B$4)^(AJ$48/12)</f>
        <v>35132.055356535282</v>
      </c>
      <c r="AK68">
        <f>AK22*(1+Control!$B$4)^(AK$48/12)</f>
        <v>35441.507517999999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6301.7162966109081</v>
      </c>
      <c r="C3">
        <f>Calc_BankMonth!C3*(1+Control!$B$25)^C$2*HLOOKUP(C$2,FX!$B$40:$AK$43,2,FALSE)</f>
        <v>6379.8973406472387</v>
      </c>
      <c r="D3">
        <f>Calc_BankMonth!D3*(1+Control!$B$25)^D$2*HLOOKUP(D$2,FX!$B$40:$AK$43,2,FALSE)</f>
        <v>6551.8355826603265</v>
      </c>
      <c r="E3">
        <f>Calc_BankMonth!E3*(1+Control!$B$25)^E$2*HLOOKUP(E$2,FX!$B$40:$AK$43,2,FALSE)</f>
        <v>6650.956959710119</v>
      </c>
      <c r="F3">
        <f>Calc_BankMonth!F3*(1+Control!$B$25)^F$2*HLOOKUP(F$2,FX!$B$40:$AK$43,2,FALSE)</f>
        <v>6852.4302711044138</v>
      </c>
      <c r="G3">
        <f>Calc_BankMonth!G3*(1+Control!$B$25)^G$2*HLOOKUP(G$2,FX!$B$40:$AK$43,2,FALSE)</f>
        <v>6861.4164826153865</v>
      </c>
      <c r="H3">
        <f>Calc_BankMonth!H3*(1+Control!$B$25)^H$2*HLOOKUP(H$2,FX!$B$40:$AK$43,2,FALSE)</f>
        <v>6953.3574311605335</v>
      </c>
      <c r="I3">
        <f>Calc_BankMonth!I3*(1+Control!$B$25)^I$2*HLOOKUP(I$2,FX!$B$40:$AK$43,2,FALSE)</f>
        <v>6987.1086886972189</v>
      </c>
      <c r="J3">
        <f>Calc_BankMonth!J3*(1+Control!$B$25)^J$2*HLOOKUP(J$2,FX!$B$40:$AK$43,2,FALSE)</f>
        <v>7040.4605047876994</v>
      </c>
      <c r="K3">
        <f>Calc_BankMonth!K3*(1+Control!$B$25)^K$2*HLOOKUP(K$2,FX!$B$40:$AK$43,2,FALSE)</f>
        <v>7171.587801882959</v>
      </c>
      <c r="L3">
        <f>Calc_BankMonth!L3*(1+Control!$B$25)^L$2*HLOOKUP(L$2,FX!$B$40:$AK$43,2,FALSE)</f>
        <v>7119.8612835334297</v>
      </c>
      <c r="M3">
        <f>Calc_BankMonth!M3*(1+Control!$B$25)^M$2*HLOOKUP(M$2,FX!$B$40:$AK$43,2,FALSE)</f>
        <v>7275.2979006000041</v>
      </c>
      <c r="N3">
        <f>Calc_BankMonth!N3*(1+Control!$B$25)^N$2*HLOOKUP(N$2,FX!$B$40:$AK$43,2,FALSE)</f>
        <v>7240.7754775205376</v>
      </c>
      <c r="O3">
        <f>Calc_BankMonth!O3*(1+Control!$B$25)^O$2*HLOOKUP(O$2,FX!$B$40:$AK$43,2,FALSE)</f>
        <v>7339.396346815678</v>
      </c>
      <c r="P3">
        <f>Calc_BankMonth!P3*(1+Control!$B$25)^P$2*HLOOKUP(P$2,FX!$B$40:$AK$43,2,FALSE)</f>
        <v>7195.1517998566815</v>
      </c>
      <c r="Q3">
        <f>Calc_BankMonth!Q3*(1+Control!$B$25)^Q$2*HLOOKUP(Q$2,FX!$B$40:$AK$43,2,FALSE)</f>
        <v>7234.9874974444301</v>
      </c>
      <c r="R3">
        <f>Calc_BankMonth!R3*(1+Control!$B$25)^R$2*HLOOKUP(R$2,FX!$B$40:$AK$43,2,FALSE)</f>
        <v>7311.6476408638218</v>
      </c>
      <c r="S3">
        <f>Calc_BankMonth!S3*(1+Control!$B$25)^S$2*HLOOKUP(S$2,FX!$B$40:$AK$43,2,FALSE)</f>
        <v>7349.0546520557209</v>
      </c>
      <c r="T3">
        <f>Calc_BankMonth!T3*(1+Control!$B$25)^T$2*HLOOKUP(T$2,FX!$B$40:$AK$43,2,FALSE)</f>
        <v>7274.5516415511775</v>
      </c>
      <c r="U3">
        <f>Calc_BankMonth!U3*(1+Control!$B$25)^U$2*HLOOKUP(U$2,FX!$B$40:$AK$43,2,FALSE)</f>
        <v>7262.9816075207373</v>
      </c>
      <c r="V3">
        <f>Calc_BankMonth!V3*(1+Control!$B$25)^V$2*HLOOKUP(V$2,FX!$B$40:$AK$43,2,FALSE)</f>
        <v>7371.4785977524534</v>
      </c>
      <c r="W3">
        <f>Calc_BankMonth!W3*(1+Control!$B$25)^W$2*HLOOKUP(W$2,FX!$B$40:$AK$43,2,FALSE)</f>
        <v>7419.5960704290028</v>
      </c>
      <c r="X3">
        <f>Calc_BankMonth!X3*(1+Control!$B$25)^X$2*HLOOKUP(X$2,FX!$B$40:$AK$43,2,FALSE)</f>
        <v>7593.5306760685571</v>
      </c>
      <c r="Y3">
        <f>Calc_BankMonth!Y3*(1+Control!$B$25)^Y$2*HLOOKUP(Y$2,FX!$B$40:$AK$43,2,FALSE)</f>
        <v>7674.7807304280041</v>
      </c>
      <c r="Z3">
        <f>Calc_BankMonth!Z3*(1+Control!$B$25)^Z$2*HLOOKUP(Z$2,FX!$B$40:$AK$43,2,FALSE)</f>
        <v>7578.1649036307372</v>
      </c>
      <c r="AA3">
        <f>Calc_BankMonth!AA3*(1+Control!$B$25)^AA$2*HLOOKUP(AA$2,FX!$B$40:$AK$43,2,FALSE)</f>
        <v>7737.419369997735</v>
      </c>
      <c r="AB3">
        <f>Calc_BankMonth!AB3*(1+Control!$B$25)^AB$2*HLOOKUP(AB$2,FX!$B$40:$AK$43,2,FALSE)</f>
        <v>7890.7368330314166</v>
      </c>
      <c r="AC3">
        <f>Calc_BankMonth!AC3*(1+Control!$B$25)^AC$2*HLOOKUP(AC$2,FX!$B$40:$AK$43,2,FALSE)</f>
        <v>7988.5606972369533</v>
      </c>
      <c r="AD3">
        <f>Calc_BankMonth!AD3*(1+Control!$B$25)^AD$2*HLOOKUP(AD$2,FX!$B$40:$AK$43,2,FALSE)</f>
        <v>8121.3603416049182</v>
      </c>
      <c r="AE3">
        <f>Calc_BankMonth!AE3*(1+Control!$B$25)^AE$2*HLOOKUP(AE$2,FX!$B$40:$AK$43,2,FALSE)</f>
        <v>8249.8923619933339</v>
      </c>
      <c r="AF3">
        <f>Calc_BankMonth!AF3*(1+Control!$B$25)^AF$2*HLOOKUP(AF$2,FX!$B$40:$AK$43,2,FALSE)</f>
        <v>8460.7669764582988</v>
      </c>
      <c r="AG3">
        <f>Calc_BankMonth!AG3*(1+Control!$B$25)^AG$2*HLOOKUP(AG$2,FX!$B$40:$AK$43,2,FALSE)</f>
        <v>8403.0772564180352</v>
      </c>
      <c r="AH3">
        <f>Calc_BankMonth!AH3*(1+Control!$B$25)^AH$2*HLOOKUP(AH$2,FX!$B$40:$AK$43,2,FALSE)</f>
        <v>8648.6704503795063</v>
      </c>
      <c r="AI3">
        <f>Calc_BankMonth!AI3*(1+Control!$B$25)^AI$2*HLOOKUP(AI$2,FX!$B$40:$AK$43,2,FALSE)</f>
        <v>8796.3635919320313</v>
      </c>
      <c r="AJ3">
        <f>Calc_BankMonth!AJ3*(1+Control!$B$25)^AJ$2*HLOOKUP(AJ$2,FX!$B$40:$AK$43,2,FALSE)</f>
        <v>8926.90127633263</v>
      </c>
      <c r="AK3">
        <f>Calc_BankMonth!AK3*(1+Control!$B$25)^AK$2*HLOOKUP(AK$2,FX!$B$40:$AK$43,2,FALSE)</f>
        <v>9008.1373257849882</v>
      </c>
      <c r="AL3" cm="1">
        <f t="array" ref="AL3">INDEX(B3:AK3,Control!$B$3)</f>
        <v>7240.7754775205376</v>
      </c>
    </row>
    <row r="4" spans="1:38" x14ac:dyDescent="0.25">
      <c r="A4" t="s">
        <v>22</v>
      </c>
      <c r="B4">
        <f>Calc_BankMonth!B4*(1+Control!$B$25)^B$2*HLOOKUP(B$2,FX!$B$40:$AK$43,2,FALSE)</f>
        <v>7403.2651295279838</v>
      </c>
      <c r="C4">
        <f>Calc_BankMonth!C4*(1+Control!$B$25)^C$2*HLOOKUP(C$2,FX!$B$40:$AK$43,2,FALSE)</f>
        <v>7511.5831228263141</v>
      </c>
      <c r="D4">
        <f>Calc_BankMonth!D4*(1+Control!$B$25)^D$2*HLOOKUP(D$2,FX!$B$40:$AK$43,2,FALSE)</f>
        <v>7711.5959766413098</v>
      </c>
      <c r="E4">
        <f>Calc_BankMonth!E4*(1+Control!$B$25)^E$2*HLOOKUP(E$2,FX!$B$40:$AK$43,2,FALSE)</f>
        <v>7851.7908895650398</v>
      </c>
      <c r="F4">
        <f>Calc_BankMonth!F4*(1+Control!$B$25)^F$2*HLOOKUP(F$2,FX!$B$40:$AK$43,2,FALSE)</f>
        <v>7952.2613002169446</v>
      </c>
      <c r="G4">
        <f>Calc_BankMonth!G4*(1+Control!$B$25)^G$2*HLOOKUP(G$2,FX!$B$40:$AK$43,2,FALSE)</f>
        <v>8037.059940767911</v>
      </c>
      <c r="H4">
        <f>Calc_BankMonth!H4*(1+Control!$B$25)^H$2*HLOOKUP(H$2,FX!$B$40:$AK$43,2,FALSE)</f>
        <v>7986.4460567707865</v>
      </c>
      <c r="I4">
        <f>Calc_BankMonth!I4*(1+Control!$B$25)^I$2*HLOOKUP(I$2,FX!$B$40:$AK$43,2,FALSE)</f>
        <v>8232.6730367372475</v>
      </c>
      <c r="J4">
        <f>Calc_BankMonth!J4*(1+Control!$B$25)^J$2*HLOOKUP(J$2,FX!$B$40:$AK$43,2,FALSE)</f>
        <v>8347.5718471399832</v>
      </c>
      <c r="K4">
        <f>Calc_BankMonth!K4*(1+Control!$B$25)^K$2*HLOOKUP(K$2,FX!$B$40:$AK$43,2,FALSE)</f>
        <v>8317.535022094633</v>
      </c>
      <c r="L4">
        <f>Calc_BankMonth!L4*(1+Control!$B$25)^L$2*HLOOKUP(L$2,FX!$B$40:$AK$43,2,FALSE)</f>
        <v>8545.1470650934734</v>
      </c>
      <c r="M4">
        <f>Calc_BankMonth!M4*(1+Control!$B$25)^M$2*HLOOKUP(M$2,FX!$B$40:$AK$43,2,FALSE)</f>
        <v>8514.3340728000039</v>
      </c>
      <c r="N4">
        <f>Calc_BankMonth!N4*(1+Control!$B$25)^N$2*HLOOKUP(N$2,FX!$B$40:$AK$43,2,FALSE)</f>
        <v>8466.4235414449431</v>
      </c>
      <c r="O4">
        <f>Calc_BankMonth!O4*(1+Control!$B$25)^O$2*HLOOKUP(O$2,FX!$B$40:$AK$43,2,FALSE)</f>
        <v>8498.4282277472394</v>
      </c>
      <c r="P4">
        <f>Calc_BankMonth!P4*(1+Control!$B$25)^P$2*HLOOKUP(P$2,FX!$B$40:$AK$43,2,FALSE)</f>
        <v>8551.0160506955817</v>
      </c>
      <c r="Q4">
        <f>Calc_BankMonth!Q4*(1+Control!$B$25)^Q$2*HLOOKUP(Q$2,FX!$B$40:$AK$43,2,FALSE)</f>
        <v>8586.349477438087</v>
      </c>
      <c r="R4">
        <f>Calc_BankMonth!R4*(1+Control!$B$25)^R$2*HLOOKUP(R$2,FX!$B$40:$AK$43,2,FALSE)</f>
        <v>8555.5964864234156</v>
      </c>
      <c r="S4">
        <f>Calc_BankMonth!S4*(1+Control!$B$25)^S$2*HLOOKUP(S$2,FX!$B$40:$AK$43,2,FALSE)</f>
        <v>8603.2097167486736</v>
      </c>
      <c r="T4">
        <f>Calc_BankMonth!T4*(1+Control!$B$25)^T$2*HLOOKUP(T$2,FX!$B$40:$AK$43,2,FALSE)</f>
        <v>8580.3922297049503</v>
      </c>
      <c r="U4">
        <f>Calc_BankMonth!U4*(1+Control!$B$25)^U$2*HLOOKUP(U$2,FX!$B$40:$AK$43,2,FALSE)</f>
        <v>8722.1250234250438</v>
      </c>
      <c r="V4">
        <f>Calc_BankMonth!V4*(1+Control!$B$25)^V$2*HLOOKUP(V$2,FX!$B$40:$AK$43,2,FALSE)</f>
        <v>8606.7890851357442</v>
      </c>
      <c r="W4">
        <f>Calc_BankMonth!W4*(1+Control!$B$25)^W$2*HLOOKUP(W$2,FX!$B$40:$AK$43,2,FALSE)</f>
        <v>8720.2334365590359</v>
      </c>
      <c r="X4">
        <f>Calc_BankMonth!X4*(1+Control!$B$25)^X$2*HLOOKUP(X$2,FX!$B$40:$AK$43,2,FALSE)</f>
        <v>8780.6762141646286</v>
      </c>
      <c r="Y4">
        <f>Calc_BankMonth!Y4*(1+Control!$B$25)^Y$2*HLOOKUP(Y$2,FX!$B$40:$AK$43,2,FALSE)</f>
        <v>8886.4468632140051</v>
      </c>
      <c r="Z4">
        <f>Calc_BankMonth!Z4*(1+Control!$B$25)^Z$2*HLOOKUP(Z$2,FX!$B$40:$AK$43,2,FALSE)</f>
        <v>8968.7983380207552</v>
      </c>
      <c r="AA4">
        <f>Calc_BankMonth!AA4*(1+Control!$B$25)^AA$2*HLOOKUP(AA$2,FX!$B$40:$AK$43,2,FALSE)</f>
        <v>9065.3835242765708</v>
      </c>
      <c r="AB4">
        <f>Calc_BankMonth!AB4*(1+Control!$B$25)^AB$2*HLOOKUP(AB$2,FX!$B$40:$AK$43,2,FALSE)</f>
        <v>9226.5543258227844</v>
      </c>
      <c r="AC4">
        <f>Calc_BankMonth!AC4*(1+Control!$B$25)^AC$2*HLOOKUP(AC$2,FX!$B$40:$AK$43,2,FALSE)</f>
        <v>9306.9605388998498</v>
      </c>
      <c r="AD4">
        <f>Calc_BankMonth!AD4*(1+Control!$B$25)^AD$2*HLOOKUP(AD$2,FX!$B$40:$AK$43,2,FALSE)</f>
        <v>9437.6501454222907</v>
      </c>
      <c r="AE4">
        <f>Calc_BankMonth!AE4*(1+Control!$B$25)^AE$2*HLOOKUP(AE$2,FX!$B$40:$AK$43,2,FALSE)</f>
        <v>9610.8531498878401</v>
      </c>
      <c r="AF4">
        <f>Calc_BankMonth!AF4*(1+Control!$B$25)^AF$2*HLOOKUP(AF$2,FX!$B$40:$AK$43,2,FALSE)</f>
        <v>9736.301051562974</v>
      </c>
      <c r="AG4">
        <f>Calc_BankMonth!AG4*(1+Control!$B$25)^AG$2*HLOOKUP(AG$2,FX!$B$40:$AK$43,2,FALSE)</f>
        <v>9954.3230231148118</v>
      </c>
      <c r="AH4">
        <f>Calc_BankMonth!AH4*(1+Control!$B$25)^AH$2*HLOOKUP(AH$2,FX!$B$40:$AK$43,2,FALSE)</f>
        <v>10110.385003854864</v>
      </c>
      <c r="AI4">
        <f>Calc_BankMonth!AI4*(1+Control!$B$25)^AI$2*HLOOKUP(AI$2,FX!$B$40:$AK$43,2,FALSE)</f>
        <v>10260.887704466653</v>
      </c>
      <c r="AJ4">
        <f>Calc_BankMonth!AJ4*(1+Control!$B$25)^AJ$2*HLOOKUP(AJ$2,FX!$B$40:$AK$43,2,FALSE)</f>
        <v>10467.507671199892</v>
      </c>
      <c r="AK4">
        <f>Calc_BankMonth!AK4*(1+Control!$B$25)^AK$2*HLOOKUP(AK$2,FX!$B$40:$AK$43,2,FALSE)</f>
        <v>10619.113621020027</v>
      </c>
      <c r="AL4" cm="1">
        <f t="array" ref="AL4">INDEX(B4:AK4,Control!$B$3)</f>
        <v>8466.4235414449431</v>
      </c>
    </row>
    <row r="5" spans="1:38" x14ac:dyDescent="0.25">
      <c r="A5" t="s">
        <v>24</v>
      </c>
      <c r="B5">
        <f>Calc_BankMonth!B5*(1+Control!$B$25)^B$2*HLOOKUP(B$2,FX!$B$40:$AK$43,2,FALSE)</f>
        <v>8497.7078800451509</v>
      </c>
      <c r="C5">
        <f>Calc_BankMonth!C5*(1+Control!$B$25)^C$2*HLOOKUP(C$2,FX!$B$40:$AK$43,2,FALSE)</f>
        <v>8703.9982101819478</v>
      </c>
      <c r="D5">
        <f>Calc_BankMonth!D5*(1+Control!$B$25)^D$2*HLOOKUP(D$2,FX!$B$40:$AK$43,2,FALSE)</f>
        <v>8823.5824569093784</v>
      </c>
      <c r="E5">
        <f>Calc_BankMonth!E5*(1+Control!$B$25)^E$2*HLOOKUP(E$2,FX!$B$40:$AK$43,2,FALSE)</f>
        <v>8946.8067101642082</v>
      </c>
      <c r="F5">
        <f>Calc_BankMonth!F5*(1+Control!$B$25)^F$2*HLOOKUP(F$2,FX!$B$40:$AK$43,2,FALSE)</f>
        <v>9138.03720914935</v>
      </c>
      <c r="G5">
        <f>Calc_BankMonth!G5*(1+Control!$B$25)^G$2*HLOOKUP(G$2,FX!$B$40:$AK$43,2,FALSE)</f>
        <v>9211.8201205897403</v>
      </c>
      <c r="H5">
        <f>Calc_BankMonth!H5*(1+Control!$B$25)^H$2*HLOOKUP(H$2,FX!$B$40:$AK$43,2,FALSE)</f>
        <v>9321.6424028493511</v>
      </c>
      <c r="I5">
        <f>Calc_BankMonth!I5*(1+Control!$B$25)^I$2*HLOOKUP(I$2,FX!$B$40:$AK$43,2,FALSE)</f>
        <v>9390.2379743360798</v>
      </c>
      <c r="J5">
        <f>Calc_BankMonth!J5*(1+Control!$B$25)^J$2*HLOOKUP(J$2,FX!$B$40:$AK$43,2,FALSE)</f>
        <v>9471.3755886253039</v>
      </c>
      <c r="K5">
        <f>Calc_BankMonth!K5*(1+Control!$B$25)^K$2*HLOOKUP(K$2,FX!$B$40:$AK$43,2,FALSE)</f>
        <v>9574.3767651725411</v>
      </c>
      <c r="L5">
        <f>Calc_BankMonth!L5*(1+Control!$B$25)^L$2*HLOOKUP(L$2,FX!$B$40:$AK$43,2,FALSE)</f>
        <v>9623.1279701721578</v>
      </c>
      <c r="M5">
        <f>Calc_BankMonth!M5*(1+Control!$B$25)^M$2*HLOOKUP(M$2,FX!$B$40:$AK$43,2,FALSE)</f>
        <v>9682.5174102000055</v>
      </c>
      <c r="N5">
        <f>Calc_BankMonth!N5*(1+Control!$B$25)^N$2*HLOOKUP(N$2,FX!$B$40:$AK$43,2,FALSE)</f>
        <v>9672.2602451162802</v>
      </c>
      <c r="O5">
        <f>Calc_BankMonth!O5*(1+Control!$B$25)^O$2*HLOOKUP(O$2,FX!$B$40:$AK$43,2,FALSE)</f>
        <v>9659.7746455273737</v>
      </c>
      <c r="P5">
        <f>Calc_BankMonth!P5*(1+Control!$B$25)^P$2*HLOOKUP(P$2,FX!$B$40:$AK$43,2,FALSE)</f>
        <v>9661.5062760408637</v>
      </c>
      <c r="Q5">
        <f>Calc_BankMonth!Q5*(1+Control!$B$25)^Q$2*HLOOKUP(Q$2,FX!$B$40:$AK$43,2,FALSE)</f>
        <v>9739.4986026002662</v>
      </c>
      <c r="R5">
        <f>Calc_BankMonth!R5*(1+Control!$B$25)^R$2*HLOOKUP(R$2,FX!$B$40:$AK$43,2,FALSE)</f>
        <v>9835.4932163797475</v>
      </c>
      <c r="S5">
        <f>Calc_BankMonth!S5*(1+Control!$B$25)^S$2*HLOOKUP(S$2,FX!$B$40:$AK$43,2,FALSE)</f>
        <v>9851.3112834565563</v>
      </c>
      <c r="T5">
        <f>Calc_BankMonth!T5*(1+Control!$B$25)^T$2*HLOOKUP(T$2,FX!$B$40:$AK$43,2,FALSE)</f>
        <v>9859.9631250967905</v>
      </c>
      <c r="U5">
        <f>Calc_BankMonth!U5*(1+Control!$B$25)^U$2*HLOOKUP(U$2,FX!$B$40:$AK$43,2,FALSE)</f>
        <v>9949.114911664692</v>
      </c>
      <c r="V5">
        <f>Calc_BankMonth!V5*(1+Control!$B$25)^V$2*HLOOKUP(V$2,FX!$B$40:$AK$43,2,FALSE)</f>
        <v>9884.3049429690054</v>
      </c>
      <c r="W5">
        <f>Calc_BankMonth!W5*(1+Control!$B$25)^W$2*HLOOKUP(W$2,FX!$B$40:$AK$43,2,FALSE)</f>
        <v>9992.6077139856079</v>
      </c>
      <c r="X5">
        <f>Calc_BankMonth!X5*(1+Control!$B$25)^X$2*HLOOKUP(X$2,FX!$B$40:$AK$43,2,FALSE)</f>
        <v>9999.4346728003547</v>
      </c>
      <c r="Y5">
        <f>Calc_BankMonth!Y5*(1+Control!$B$25)^Y$2*HLOOKUP(Y$2,FX!$B$40:$AK$43,2,FALSE)</f>
        <v>10104.558600040005</v>
      </c>
      <c r="Z5">
        <f>Calc_BankMonth!Z5*(1+Control!$B$25)^Z$2*HLOOKUP(Z$2,FX!$B$40:$AK$43,2,FALSE)</f>
        <v>10317.909058571769</v>
      </c>
      <c r="AA5">
        <f>Calc_BankMonth!AA5*(1+Control!$B$25)^AA$2*HLOOKUP(AA$2,FX!$B$40:$AK$43,2,FALSE)</f>
        <v>10429.572770643708</v>
      </c>
      <c r="AB5">
        <f>Calc_BankMonth!AB5*(1+Control!$B$25)^AB$2*HLOOKUP(AB$2,FX!$B$40:$AK$43,2,FALSE)</f>
        <v>10624.838104248282</v>
      </c>
      <c r="AC5">
        <f>Calc_BankMonth!AC5*(1+Control!$B$25)^AC$2*HLOOKUP(AC$2,FX!$B$40:$AK$43,2,FALSE)</f>
        <v>10640.552362706158</v>
      </c>
      <c r="AD5">
        <f>Calc_BankMonth!AD5*(1+Control!$B$25)^AD$2*HLOOKUP(AD$2,FX!$B$40:$AK$43,2,FALSE)</f>
        <v>10867.583671858039</v>
      </c>
      <c r="AE5">
        <f>Calc_BankMonth!AE5*(1+Control!$B$25)^AE$2*HLOOKUP(AE$2,FX!$B$40:$AK$43,2,FALSE)</f>
        <v>11066.485569281806</v>
      </c>
      <c r="AF5">
        <f>Calc_BankMonth!AF5*(1+Control!$B$25)^AF$2*HLOOKUP(AF$2,FX!$B$40:$AK$43,2,FALSE)</f>
        <v>11224.06532322722</v>
      </c>
      <c r="AG5">
        <f>Calc_BankMonth!AG5*(1+Control!$B$25)^AG$2*HLOOKUP(AG$2,FX!$B$40:$AK$43,2,FALSE)</f>
        <v>11385.264827237928</v>
      </c>
      <c r="AH5">
        <f>Calc_BankMonth!AH5*(1+Control!$B$25)^AH$2*HLOOKUP(AH$2,FX!$B$40:$AK$43,2,FALSE)</f>
        <v>11594.527003025747</v>
      </c>
      <c r="AI5">
        <f>Calc_BankMonth!AI5*(1+Control!$B$25)^AI$2*HLOOKUP(AI$2,FX!$B$40:$AK$43,2,FALSE)</f>
        <v>11771.273010326058</v>
      </c>
      <c r="AJ5">
        <f>Calc_BankMonth!AJ5*(1+Control!$B$25)^AJ$2*HLOOKUP(AJ$2,FX!$B$40:$AK$43,2,FALSE)</f>
        <v>12067.082956267208</v>
      </c>
      <c r="AK5">
        <f>Calc_BankMonth!AK5*(1+Control!$B$25)^AK$2*HLOOKUP(AK$2,FX!$B$40:$AK$43,2,FALSE)</f>
        <v>12147.904508967242</v>
      </c>
      <c r="AL5" cm="1">
        <f t="array" ref="AL5">INDEX(B5:AK5,Control!$B$3)</f>
        <v>9672.2602451162802</v>
      </c>
    </row>
    <row r="6" spans="1:38" x14ac:dyDescent="0.25">
      <c r="A6" t="s">
        <v>26</v>
      </c>
      <c r="B6">
        <f>Calc_BankMonth!B6*(1+Control!$B$25)^B$2*HLOOKUP(B$2,FX!$B$40:$AK$43,2,FALSE)</f>
        <v>9571.3626880193024</v>
      </c>
      <c r="C6">
        <f>Calc_BankMonth!C6*(1+Control!$B$25)^C$2*HLOOKUP(C$2,FX!$B$40:$AK$43,2,FALSE)</f>
        <v>9761.6734987507862</v>
      </c>
      <c r="D6">
        <f>Calc_BankMonth!D6*(1+Control!$B$25)^D$2*HLOOKUP(D$2,FX!$B$40:$AK$43,2,FALSE)</f>
        <v>9902.9270323328747</v>
      </c>
      <c r="E6">
        <f>Calc_BankMonth!E6*(1+Control!$B$25)^E$2*HLOOKUP(E$2,FX!$B$40:$AK$43,2,FALSE)</f>
        <v>10150.692037608378</v>
      </c>
      <c r="F6">
        <f>Calc_BankMonth!F6*(1+Control!$B$25)^F$2*HLOOKUP(F$2,FX!$B$40:$AK$43,2,FALSE)</f>
        <v>10230.953132989016</v>
      </c>
      <c r="G6">
        <f>Calc_BankMonth!G6*(1+Control!$B$25)^G$2*HLOOKUP(G$2,FX!$B$40:$AK$43,2,FALSE)</f>
        <v>10414.95561678509</v>
      </c>
      <c r="H6">
        <f>Calc_BankMonth!H6*(1+Control!$B$25)^H$2*HLOOKUP(H$2,FX!$B$40:$AK$43,2,FALSE)</f>
        <v>10463.307922122774</v>
      </c>
      <c r="I6">
        <f>Calc_BankMonth!I6*(1+Control!$B$25)^I$2*HLOOKUP(I$2,FX!$B$40:$AK$43,2,FALSE)</f>
        <v>10536.010323430781</v>
      </c>
      <c r="J6">
        <f>Calc_BankMonth!J6*(1+Control!$B$25)^J$2*HLOOKUP(J$2,FX!$B$40:$AK$43,2,FALSE)</f>
        <v>10740.15391292395</v>
      </c>
      <c r="K6">
        <f>Calc_BankMonth!K6*(1+Control!$B$25)^K$2*HLOOKUP(K$2,FX!$B$40:$AK$43,2,FALSE)</f>
        <v>10746.626605883141</v>
      </c>
      <c r="L6">
        <f>Calc_BankMonth!L6*(1+Control!$B$25)^L$2*HLOOKUP(L$2,FX!$B$40:$AK$43,2,FALSE)</f>
        <v>10837.247934204916</v>
      </c>
      <c r="M6">
        <f>Calc_BankMonth!M6*(1+Control!$B$25)^M$2*HLOOKUP(M$2,FX!$B$40:$AK$43,2,FALSE)</f>
        <v>10908.782303400008</v>
      </c>
      <c r="N6">
        <f>Calc_BankMonth!N6*(1+Control!$B$25)^N$2*HLOOKUP(N$2,FX!$B$40:$AK$43,2,FALSE)</f>
        <v>10948.930862541605</v>
      </c>
      <c r="O6">
        <f>Calc_BankMonth!O6*(1+Control!$B$25)^O$2*HLOOKUP(O$2,FX!$B$40:$AK$43,2,FALSE)</f>
        <v>10980.934321899249</v>
      </c>
      <c r="P6">
        <f>Calc_BankMonth!P6*(1+Control!$B$25)^P$2*HLOOKUP(P$2,FX!$B$40:$AK$43,2,FALSE)</f>
        <v>10893.093025366899</v>
      </c>
      <c r="Q6">
        <f>Calc_BankMonth!Q6*(1+Control!$B$25)^Q$2*HLOOKUP(Q$2,FX!$B$40:$AK$43,2,FALSE)</f>
        <v>10906.291233739286</v>
      </c>
      <c r="R6">
        <f>Calc_BankMonth!R6*(1+Control!$B$25)^R$2*HLOOKUP(R$2,FX!$B$40:$AK$43,2,FALSE)</f>
        <v>11127.987996456994</v>
      </c>
      <c r="S6">
        <f>Calc_BankMonth!S6*(1+Control!$B$25)^S$2*HLOOKUP(S$2,FX!$B$40:$AK$43,2,FALSE)</f>
        <v>11099.088555629523</v>
      </c>
      <c r="T6">
        <f>Calc_BankMonth!T6*(1+Control!$B$25)^T$2*HLOOKUP(T$2,FX!$B$40:$AK$43,2,FALSE)</f>
        <v>11129.844379715783</v>
      </c>
      <c r="U6">
        <f>Calc_BankMonth!U6*(1+Control!$B$25)^U$2*HLOOKUP(U$2,FX!$B$40:$AK$43,2,FALSE)</f>
        <v>11171.811623248503</v>
      </c>
      <c r="V6">
        <f>Calc_BankMonth!V6*(1+Control!$B$25)^V$2*HLOOKUP(V$2,FX!$B$40:$AK$43,2,FALSE)</f>
        <v>11154.215264502904</v>
      </c>
      <c r="W6">
        <f>Calc_BankMonth!W6*(1+Control!$B$25)^W$2*HLOOKUP(W$2,FX!$B$40:$AK$43,2,FALSE)</f>
        <v>11340.350227954743</v>
      </c>
      <c r="X6">
        <f>Calc_BankMonth!X6*(1+Control!$B$25)^X$2*HLOOKUP(X$2,FX!$B$40:$AK$43,2,FALSE)</f>
        <v>11335.214518654073</v>
      </c>
      <c r="Y6">
        <f>Calc_BankMonth!Y6*(1+Control!$B$25)^Y$2*HLOOKUP(Y$2,FX!$B$40:$AK$43,2,FALSE)</f>
        <v>11548.696185202005</v>
      </c>
      <c r="Z6">
        <f>Calc_BankMonth!Z6*(1+Control!$B$25)^Z$2*HLOOKUP(Z$2,FX!$B$40:$AK$43,2,FALSE)</f>
        <v>11574.052040605315</v>
      </c>
      <c r="AA6">
        <f>Calc_BankMonth!AA6*(1+Control!$B$25)^AA$2*HLOOKUP(AA$2,FX!$B$40:$AK$43,2,FALSE)</f>
        <v>11677.386197218199</v>
      </c>
      <c r="AB6">
        <f>Calc_BankMonth!AB6*(1+Control!$B$25)^AB$2*HLOOKUP(AB$2,FX!$B$40:$AK$43,2,FALSE)</f>
        <v>11945.039025631117</v>
      </c>
      <c r="AC6">
        <f>Calc_BankMonth!AC6*(1+Control!$B$25)^AC$2*HLOOKUP(AC$2,FX!$B$40:$AK$43,2,FALSE)</f>
        <v>12049.99401040239</v>
      </c>
      <c r="AD6">
        <f>Calc_BankMonth!AD6*(1+Control!$B$25)^AD$2*HLOOKUP(AD$2,FX!$B$40:$AK$43,2,FALSE)</f>
        <v>12292.51820756278</v>
      </c>
      <c r="AE6">
        <f>Calc_BankMonth!AE6*(1+Control!$B$25)^AE$2*HLOOKUP(AE$2,FX!$B$40:$AK$43,2,FALSE)</f>
        <v>12481.62455387565</v>
      </c>
      <c r="AF6">
        <f>Calc_BankMonth!AF6*(1+Control!$B$25)^AF$2*HLOOKUP(AF$2,FX!$B$40:$AK$43,2,FALSE)</f>
        <v>12718.401592435754</v>
      </c>
      <c r="AG6">
        <f>Calc_BankMonth!AG6*(1+Control!$B$25)^AG$2*HLOOKUP(AG$2,FX!$B$40:$AK$43,2,FALSE)</f>
        <v>12937.884188179123</v>
      </c>
      <c r="AH6">
        <f>Calc_BankMonth!AH6*(1+Control!$B$25)^AH$2*HLOOKUP(AH$2,FX!$B$40:$AK$43,2,FALSE)</f>
        <v>13129.535373877203</v>
      </c>
      <c r="AI6">
        <f>Calc_BankMonth!AI6*(1+Control!$B$25)^AI$2*HLOOKUP(AI$2,FX!$B$40:$AK$43,2,FALSE)</f>
        <v>13222.843961387265</v>
      </c>
      <c r="AJ6">
        <f>Calc_BankMonth!AJ6*(1+Control!$B$25)^AJ$2*HLOOKUP(AJ$2,FX!$B$40:$AK$43,2,FALSE)</f>
        <v>13561.196912753194</v>
      </c>
      <c r="AK6">
        <f>Calc_BankMonth!AK6*(1+Control!$B$25)^AK$2*HLOOKUP(AK$2,FX!$B$40:$AK$43,2,FALSE)</f>
        <v>13599.253736079019</v>
      </c>
      <c r="AL6" cm="1">
        <f t="array" ref="AL6">INDEX(B6:AK6,Control!$B$3)</f>
        <v>10948.930862541605</v>
      </c>
    </row>
    <row r="7" spans="1:38" x14ac:dyDescent="0.25">
      <c r="A7" t="s">
        <v>27</v>
      </c>
      <c r="B7">
        <f>Calc_BankMonth!B7*(1+Control!$B$25)^B$2*HLOOKUP(B$2,FX!$B$40:$AK$43,2,FALSE)</f>
        <v>10575.123342239134</v>
      </c>
      <c r="C7">
        <f>Calc_BankMonth!C7*(1+Control!$B$25)^C$2*HLOOKUP(C$2,FX!$B$40:$AK$43,2,FALSE)</f>
        <v>10848.374610428704</v>
      </c>
      <c r="D7">
        <f>Calc_BankMonth!D7*(1+Control!$B$25)^D$2*HLOOKUP(D$2,FX!$B$40:$AK$43,2,FALSE)</f>
        <v>11067.983629417779</v>
      </c>
      <c r="E7">
        <f>Calc_BankMonth!E7*(1+Control!$B$25)^E$2*HLOOKUP(E$2,FX!$B$40:$AK$43,2,FALSE)</f>
        <v>11169.095983020325</v>
      </c>
      <c r="F7">
        <f>Calc_BankMonth!F7*(1+Control!$B$25)^F$2*HLOOKUP(F$2,FX!$B$40:$AK$43,2,FALSE)</f>
        <v>11297.85508937363</v>
      </c>
      <c r="G7">
        <f>Calc_BankMonth!G7*(1+Control!$B$25)^G$2*HLOOKUP(G$2,FX!$B$40:$AK$43,2,FALSE)</f>
        <v>11515.5204168287</v>
      </c>
      <c r="H7">
        <f>Calc_BankMonth!H7*(1+Control!$B$25)^H$2*HLOOKUP(H$2,FX!$B$40:$AK$43,2,FALSE)</f>
        <v>11692.589116568726</v>
      </c>
      <c r="I7">
        <f>Calc_BankMonth!I7*(1+Control!$B$25)^I$2*HLOOKUP(I$2,FX!$B$40:$AK$43,2,FALSE)</f>
        <v>11797.817293372724</v>
      </c>
      <c r="J7">
        <f>Calc_BankMonth!J7*(1+Control!$B$25)^J$2*HLOOKUP(J$2,FX!$B$40:$AK$43,2,FALSE)</f>
        <v>11959.901632735382</v>
      </c>
      <c r="K7">
        <f>Calc_BankMonth!K7*(1+Control!$B$25)^K$2*HLOOKUP(K$2,FX!$B$40:$AK$43,2,FALSE)</f>
        <v>11990.539942275136</v>
      </c>
      <c r="L7">
        <f>Calc_BankMonth!L7*(1+Control!$B$25)^L$2*HLOOKUP(L$2,FX!$B$40:$AK$43,2,FALSE)</f>
        <v>12064.391831105722</v>
      </c>
      <c r="M7">
        <f>Calc_BankMonth!M7*(1+Control!$B$25)^M$2*HLOOKUP(M$2,FX!$B$40:$AK$43,2,FALSE)</f>
        <v>12167.253030600006</v>
      </c>
      <c r="N7">
        <f>Calc_BankMonth!N7*(1+Control!$B$25)^N$2*HLOOKUP(N$2,FX!$B$40:$AK$43,2,FALSE)</f>
        <v>12162.515025529785</v>
      </c>
      <c r="O7">
        <f>Calc_BankMonth!O7*(1+Control!$B$25)^O$2*HLOOKUP(O$2,FX!$B$40:$AK$43,2,FALSE)</f>
        <v>12190.2247172569</v>
      </c>
      <c r="P7">
        <f>Calc_BankMonth!P7*(1+Control!$B$25)^P$2*HLOOKUP(P$2,FX!$B$40:$AK$43,2,FALSE)</f>
        <v>12262.339319616718</v>
      </c>
      <c r="Q7">
        <f>Calc_BankMonth!Q7*(1+Control!$B$25)^Q$2*HLOOKUP(Q$2,FX!$B$40:$AK$43,2,FALSE)</f>
        <v>12308.079611823328</v>
      </c>
      <c r="R7">
        <f>Calc_BankMonth!R7*(1+Control!$B$25)^R$2*HLOOKUP(R$2,FX!$B$40:$AK$43,2,FALSE)</f>
        <v>12390.399501676544</v>
      </c>
      <c r="S7">
        <f>Calc_BankMonth!S7*(1+Control!$B$25)^S$2*HLOOKUP(S$2,FX!$B$40:$AK$43,2,FALSE)</f>
        <v>12317.787417838485</v>
      </c>
      <c r="T7">
        <f>Calc_BankMonth!T7*(1+Control!$B$25)^T$2*HLOOKUP(T$2,FX!$B$40:$AK$43,2,FALSE)</f>
        <v>12359.567456465098</v>
      </c>
      <c r="U7">
        <f>Calc_BankMonth!U7*(1+Control!$B$25)^U$2*HLOOKUP(U$2,FX!$B$40:$AK$43,2,FALSE)</f>
        <v>12364.670757074206</v>
      </c>
      <c r="V7">
        <f>Calc_BankMonth!V7*(1+Control!$B$25)^V$2*HLOOKUP(V$2,FX!$B$40:$AK$43,2,FALSE)</f>
        <v>12478.114181739302</v>
      </c>
      <c r="W7">
        <f>Calc_BankMonth!W7*(1+Control!$B$25)^W$2*HLOOKUP(W$2,FX!$B$40:$AK$43,2,FALSE)</f>
        <v>12557.911242441271</v>
      </c>
      <c r="X7">
        <f>Calc_BankMonth!X7*(1+Control!$B$25)^X$2*HLOOKUP(X$2,FX!$B$40:$AK$43,2,FALSE)</f>
        <v>12711.930417545591</v>
      </c>
      <c r="Y7">
        <f>Calc_BankMonth!Y7*(1+Control!$B$25)^Y$2*HLOOKUP(Y$2,FX!$B$40:$AK$43,2,FALSE)</f>
        <v>12759.180623914006</v>
      </c>
      <c r="Z7">
        <f>Calc_BankMonth!Z7*(1+Control!$B$25)^Z$2*HLOOKUP(Z$2,FX!$B$40:$AK$43,2,FALSE)</f>
        <v>12844.431381669381</v>
      </c>
      <c r="AA7">
        <f>Calc_BankMonth!AA7*(1+Control!$B$25)^AA$2*HLOOKUP(AA$2,FX!$B$40:$AK$43,2,FALSE)</f>
        <v>13058.169572595842</v>
      </c>
      <c r="AB7">
        <f>Calc_BankMonth!AB7*(1+Control!$B$25)^AB$2*HLOOKUP(AB$2,FX!$B$40:$AK$43,2,FALSE)</f>
        <v>13334.586260611282</v>
      </c>
      <c r="AC7">
        <f>Calc_BankMonth!AC7*(1+Control!$B$25)^AC$2*HLOOKUP(AC$2,FX!$B$40:$AK$43,2,FALSE)</f>
        <v>13436.757771710629</v>
      </c>
      <c r="AD7">
        <f>Calc_BankMonth!AD7*(1+Control!$B$25)^AD$2*HLOOKUP(AD$2,FX!$B$40:$AK$43,2,FALSE)</f>
        <v>13602.920311185848</v>
      </c>
      <c r="AE7">
        <f>Calc_BankMonth!AE7*(1+Control!$B$25)^AE$2*HLOOKUP(AE$2,FX!$B$40:$AK$43,2,FALSE)</f>
        <v>13863.112484618972</v>
      </c>
      <c r="AF7">
        <f>Calc_BankMonth!AF7*(1+Control!$B$25)^AF$2*HLOOKUP(AF$2,FX!$B$40:$AK$43,2,FALSE)</f>
        <v>14139.199475329735</v>
      </c>
      <c r="AG7">
        <f>Calc_BankMonth!AG7*(1+Control!$B$25)^AG$2*HLOOKUP(AG$2,FX!$B$40:$AK$43,2,FALSE)</f>
        <v>14327.847097343749</v>
      </c>
      <c r="AH7">
        <f>Calc_BankMonth!AH7*(1+Control!$B$25)^AH$2*HLOOKUP(AH$2,FX!$B$40:$AK$43,2,FALSE)</f>
        <v>14519.227769268475</v>
      </c>
      <c r="AI7">
        <f>Calc_BankMonth!AI7*(1+Control!$B$25)^AI$2*HLOOKUP(AI$2,FX!$B$40:$AK$43,2,FALSE)</f>
        <v>14827.052166567615</v>
      </c>
      <c r="AJ7">
        <f>Calc_BankMonth!AJ7*(1+Control!$B$25)^AJ$2*HLOOKUP(AJ$2,FX!$B$40:$AK$43,2,FALSE)</f>
        <v>15064.609356915433</v>
      </c>
      <c r="AK7">
        <f>Calc_BankMonth!AK7*(1+Control!$B$25)^AK$2*HLOOKUP(AK$2,FX!$B$40:$AK$43,2,FALSE)</f>
        <v>15226.714550236153</v>
      </c>
      <c r="AL7" cm="1">
        <f t="array" ref="AL7">INDEX(B7:AK7,Control!$B$3)</f>
        <v>12162.515025529785</v>
      </c>
    </row>
    <row r="8" spans="1:38" x14ac:dyDescent="0.25">
      <c r="A8" t="s">
        <v>28</v>
      </c>
      <c r="B8">
        <f>Calc_BankMonth!B8*(1+Control!$B$25)^B$2*HLOOKUP(B$2,FX!$B$40:$AK$43,2,FALSE)</f>
        <v>11794.293748014388</v>
      </c>
      <c r="C8">
        <f>Calc_BankMonth!C8*(1+Control!$B$25)^C$2*HLOOKUP(C$2,FX!$B$40:$AK$43,2,FALSE)</f>
        <v>11911.08389783934</v>
      </c>
      <c r="D8">
        <f>Calc_BankMonth!D8*(1+Control!$B$25)^D$2*HLOOKUP(D$2,FX!$B$40:$AK$43,2,FALSE)</f>
        <v>12111.443726667769</v>
      </c>
      <c r="E8">
        <f>Calc_BankMonth!E8*(1+Control!$B$25)^E$2*HLOOKUP(E$2,FX!$B$40:$AK$43,2,FALSE)</f>
        <v>12359.576956768862</v>
      </c>
      <c r="F8">
        <f>Calc_BankMonth!F8*(1+Control!$B$25)^F$2*HLOOKUP(F$2,FX!$B$40:$AK$43,2,FALSE)</f>
        <v>12531.487917337277</v>
      </c>
      <c r="G8">
        <f>Calc_BankMonth!G8*(1+Control!$B$25)^G$2*HLOOKUP(G$2,FX!$B$40:$AK$43,2,FALSE)</f>
        <v>12665.990442556471</v>
      </c>
      <c r="H8">
        <f>Calc_BankMonth!H8*(1+Control!$B$25)^H$2*HLOOKUP(H$2,FX!$B$40:$AK$43,2,FALSE)</f>
        <v>12856.324913512191</v>
      </c>
      <c r="I8">
        <f>Calc_BankMonth!I8*(1+Control!$B$25)^I$2*HLOOKUP(I$2,FX!$B$40:$AK$43,2,FALSE)</f>
        <v>12953.045963437718</v>
      </c>
      <c r="J8">
        <f>Calc_BankMonth!J8*(1+Control!$B$25)^J$2*HLOOKUP(J$2,FX!$B$40:$AK$43,2,FALSE)</f>
        <v>13137.750472348651</v>
      </c>
      <c r="K8">
        <f>Calc_BankMonth!K8*(1+Control!$B$25)^K$2*HLOOKUP(K$2,FX!$B$40:$AK$43,2,FALSE)</f>
        <v>13070.730611239494</v>
      </c>
      <c r="L8">
        <f>Calc_BankMonth!L8*(1+Control!$B$25)^L$2*HLOOKUP(L$2,FX!$B$40:$AK$43,2,FALSE)</f>
        <v>13327.490687975594</v>
      </c>
      <c r="M8">
        <f>Calc_BankMonth!M8*(1+Control!$B$25)^M$2*HLOOKUP(M$2,FX!$B$40:$AK$43,2,FALSE)</f>
        <v>13453.487407800007</v>
      </c>
      <c r="N8">
        <f>Calc_BankMonth!N8*(1+Control!$B$25)^N$2*HLOOKUP(N$2,FX!$B$40:$AK$43,2,FALSE)</f>
        <v>13398.234786566085</v>
      </c>
      <c r="O8">
        <f>Calc_BankMonth!O8*(1+Control!$B$25)^O$2*HLOOKUP(O$2,FX!$B$40:$AK$43,2,FALSE)</f>
        <v>13392.902150190075</v>
      </c>
      <c r="P8">
        <f>Calc_BankMonth!P8*(1+Control!$B$25)^P$2*HLOOKUP(P$2,FX!$B$40:$AK$43,2,FALSE)</f>
        <v>13585.187217449995</v>
      </c>
      <c r="Q8">
        <f>Calc_BankMonth!Q8*(1+Control!$B$25)^Q$2*HLOOKUP(Q$2,FX!$B$40:$AK$43,2,FALSE)</f>
        <v>13642.632792453524</v>
      </c>
      <c r="R8">
        <f>Calc_BankMonth!R8*(1+Control!$B$25)^R$2*HLOOKUP(R$2,FX!$B$40:$AK$43,2,FALSE)</f>
        <v>13538.994140286484</v>
      </c>
      <c r="S8">
        <f>Calc_BankMonth!S8*(1+Control!$B$25)^S$2*HLOOKUP(S$2,FX!$B$40:$AK$43,2,FALSE)</f>
        <v>13580.049845904303</v>
      </c>
      <c r="T8">
        <f>Calc_BankMonth!T8*(1+Control!$B$25)^T$2*HLOOKUP(T$2,FX!$B$40:$AK$43,2,FALSE)</f>
        <v>13517.910179521114</v>
      </c>
      <c r="U8">
        <f>Calc_BankMonth!U8*(1+Control!$B$25)^U$2*HLOOKUP(U$2,FX!$B$40:$AK$43,2,FALSE)</f>
        <v>13657.238918731842</v>
      </c>
      <c r="V8">
        <f>Calc_BankMonth!V8*(1+Control!$B$25)^V$2*HLOOKUP(V$2,FX!$B$40:$AK$43,2,FALSE)</f>
        <v>13732.384949756208</v>
      </c>
      <c r="W8">
        <f>Calc_BankMonth!W8*(1+Control!$B$25)^W$2*HLOOKUP(W$2,FX!$B$40:$AK$43,2,FALSE)</f>
        <v>13922.033500999909</v>
      </c>
      <c r="X8">
        <f>Calc_BankMonth!X8*(1+Control!$B$25)^X$2*HLOOKUP(X$2,FX!$B$40:$AK$43,2,FALSE)</f>
        <v>13984.484422319993</v>
      </c>
      <c r="Y8">
        <f>Calc_BankMonth!Y8*(1+Control!$B$25)^Y$2*HLOOKUP(Y$2,FX!$B$40:$AK$43,2,FALSE)</f>
        <v>14059.473812250006</v>
      </c>
      <c r="Z8">
        <f>Calc_BankMonth!Z8*(1+Control!$B$25)^Z$2*HLOOKUP(Z$2,FX!$B$40:$AK$43,2,FALSE)</f>
        <v>14228.378041363247</v>
      </c>
      <c r="AA8">
        <f>Calc_BankMonth!AA8*(1+Control!$B$25)^AA$2*HLOOKUP(AA$2,FX!$B$40:$AK$43,2,FALSE)</f>
        <v>14378.975475144654</v>
      </c>
      <c r="AB8">
        <f>Calc_BankMonth!AB8*(1+Control!$B$25)^AB$2*HLOOKUP(AB$2,FX!$B$40:$AK$43,2,FALSE)</f>
        <v>14535.205743586124</v>
      </c>
      <c r="AC8">
        <f>Calc_BankMonth!AC8*(1+Control!$B$25)^AC$2*HLOOKUP(AC$2,FX!$B$40:$AK$43,2,FALSE)</f>
        <v>14747.561622301821</v>
      </c>
      <c r="AD8">
        <f>Calc_BankMonth!AD8*(1+Control!$B$25)^AD$2*HLOOKUP(AD$2,FX!$B$40:$AK$43,2,FALSE)</f>
        <v>15145.497762093775</v>
      </c>
      <c r="AE8">
        <f>Calc_BankMonth!AE8*(1+Control!$B$25)^AE$2*HLOOKUP(AE$2,FX!$B$40:$AK$43,2,FALSE)</f>
        <v>15246.395138234322</v>
      </c>
      <c r="AF8">
        <f>Calc_BankMonth!AF8*(1+Control!$B$25)^AF$2*HLOOKUP(AF$2,FX!$B$40:$AK$43,2,FALSE)</f>
        <v>15517.392684488319</v>
      </c>
      <c r="AG8">
        <f>Calc_BankMonth!AG8*(1+Control!$B$25)^AG$2*HLOOKUP(AG$2,FX!$B$40:$AK$43,2,FALSE)</f>
        <v>15861.694003611225</v>
      </c>
      <c r="AH8">
        <f>Calc_BankMonth!AH8*(1+Control!$B$25)^AH$2*HLOOKUP(AH$2,FX!$B$40:$AK$43,2,FALSE)</f>
        <v>16056.548247923592</v>
      </c>
      <c r="AI8">
        <f>Calc_BankMonth!AI8*(1+Control!$B$25)^AI$2*HLOOKUP(AI$2,FX!$B$40:$AK$43,2,FALSE)</f>
        <v>16341.171717176114</v>
      </c>
      <c r="AJ8">
        <f>Calc_BankMonth!AJ8*(1+Control!$B$25)^AJ$2*HLOOKUP(AJ$2,FX!$B$40:$AK$43,2,FALSE)</f>
        <v>16581.086764774693</v>
      </c>
      <c r="AK8">
        <f>Calc_BankMonth!AK8*(1+Control!$B$25)^AK$2*HLOOKUP(AK$2,FX!$B$40:$AK$43,2,FALSE)</f>
        <v>16778.749795800119</v>
      </c>
      <c r="AL8" cm="1">
        <f t="array" ref="AL8">INDEX(B8:AK8,Control!$B$3)</f>
        <v>13398.234786566085</v>
      </c>
    </row>
    <row r="9" spans="1:38" x14ac:dyDescent="0.25">
      <c r="A9" t="s">
        <v>29</v>
      </c>
      <c r="B9">
        <f>Calc_BankMonth!B9*(1+Control!$B$25)^B$2*HLOOKUP(B$2,FX!$B$40:$AK$43,2,FALSE)</f>
        <v>12762.311868372</v>
      </c>
      <c r="C9">
        <f>Calc_BankMonth!C9*(1+Control!$B$25)^C$2*HLOOKUP(C$2,FX!$B$40:$AK$43,2,FALSE)</f>
        <v>13097.393922769817</v>
      </c>
      <c r="D9">
        <f>Calc_BankMonth!D9*(1+Control!$B$25)^D$2*HLOOKUP(D$2,FX!$B$40:$AK$43,2,FALSE)</f>
        <v>13353.997826314124</v>
      </c>
      <c r="E9">
        <f>Calc_BankMonth!E9*(1+Control!$B$25)^E$2*HLOOKUP(E$2,FX!$B$40:$AK$43,2,FALSE)</f>
        <v>13567.930402111577</v>
      </c>
      <c r="F9">
        <f>Calc_BankMonth!F9*(1+Control!$B$25)^F$2*HLOOKUP(F$2,FX!$B$40:$AK$43,2,FALSE)</f>
        <v>13638.56334244995</v>
      </c>
      <c r="G9">
        <f>Calc_BankMonth!G9*(1+Control!$B$25)^G$2*HLOOKUP(G$2,FX!$B$40:$AK$43,2,FALSE)</f>
        <v>13936.917550632517</v>
      </c>
      <c r="H9">
        <f>Calc_BankMonth!H9*(1+Control!$B$25)^H$2*HLOOKUP(H$2,FX!$B$40:$AK$43,2,FALSE)</f>
        <v>14105.90189094115</v>
      </c>
      <c r="I9">
        <f>Calc_BankMonth!I9*(1+Control!$B$25)^I$2*HLOOKUP(I$2,FX!$B$40:$AK$43,2,FALSE)</f>
        <v>14208.066632448043</v>
      </c>
      <c r="J9">
        <f>Calc_BankMonth!J9*(1+Control!$B$25)^J$2*HLOOKUP(J$2,FX!$B$40:$AK$43,2,FALSE)</f>
        <v>14353.709463631527</v>
      </c>
      <c r="K9">
        <f>Calc_BankMonth!K9*(1+Control!$B$25)^K$2*HLOOKUP(K$2,FX!$B$40:$AK$43,2,FALSE)</f>
        <v>14451.283832087774</v>
      </c>
      <c r="L9">
        <f>Calc_BankMonth!L9*(1+Control!$B$25)^L$2*HLOOKUP(L$2,FX!$B$40:$AK$43,2,FALSE)</f>
        <v>14457.122061864327</v>
      </c>
      <c r="M9">
        <f>Calc_BankMonth!M9*(1+Control!$B$25)^M$2*HLOOKUP(M$2,FX!$B$40:$AK$43,2,FALSE)</f>
        <v>14567.80926420001</v>
      </c>
      <c r="N9">
        <f>Calc_BankMonth!N9*(1+Control!$B$25)^N$2*HLOOKUP(N$2,FX!$B$40:$AK$43,2,FALSE)</f>
        <v>14720.726091951014</v>
      </c>
      <c r="O9">
        <f>Calc_BankMonth!O9*(1+Control!$B$25)^O$2*HLOOKUP(O$2,FX!$B$40:$AK$43,2,FALSE)</f>
        <v>14552.485111323678</v>
      </c>
      <c r="P9">
        <f>Calc_BankMonth!P9*(1+Control!$B$25)^P$2*HLOOKUP(P$2,FX!$B$40:$AK$43,2,FALSE)</f>
        <v>14693.483665186926</v>
      </c>
      <c r="Q9">
        <f>Calc_BankMonth!Q9*(1+Control!$B$25)^Q$2*HLOOKUP(Q$2,FX!$B$40:$AK$43,2,FALSE)</f>
        <v>14784.867112834236</v>
      </c>
      <c r="R9">
        <f>Calc_BankMonth!R9*(1+Control!$B$25)^R$2*HLOOKUP(R$2,FX!$B$40:$AK$43,2,FALSE)</f>
        <v>14806.510027882614</v>
      </c>
      <c r="S9">
        <f>Calc_BankMonth!S9*(1+Control!$B$25)^S$2*HLOOKUP(S$2,FX!$B$40:$AK$43,2,FALSE)</f>
        <v>14838.853132264367</v>
      </c>
      <c r="T9">
        <f>Calc_BankMonth!T9*(1+Control!$B$25)^T$2*HLOOKUP(T$2,FX!$B$40:$AK$43,2,FALSE)</f>
        <v>14893.731506589884</v>
      </c>
      <c r="U9">
        <f>Calc_BankMonth!U9*(1+Control!$B$25)^U$2*HLOOKUP(U$2,FX!$B$40:$AK$43,2,FALSE)</f>
        <v>14906.660654998266</v>
      </c>
      <c r="V9">
        <f>Calc_BankMonth!V9*(1+Control!$B$25)^V$2*HLOOKUP(V$2,FX!$B$40:$AK$43,2,FALSE)</f>
        <v>15113.164708893446</v>
      </c>
      <c r="W9">
        <f>Calc_BankMonth!W9*(1+Control!$B$25)^W$2*HLOOKUP(W$2,FX!$B$40:$AK$43,2,FALSE)</f>
        <v>14997.315557581527</v>
      </c>
      <c r="X9">
        <f>Calc_BankMonth!X9*(1+Control!$B$25)^X$2*HLOOKUP(X$2,FX!$B$40:$AK$43,2,FALSE)</f>
        <v>15202.38558141566</v>
      </c>
      <c r="Y9">
        <f>Calc_BankMonth!Y9*(1+Control!$B$25)^Y$2*HLOOKUP(Y$2,FX!$B$40:$AK$43,2,FALSE)</f>
        <v>15327.109273450009</v>
      </c>
      <c r="Z9">
        <f>Calc_BankMonth!Z9*(1+Control!$B$25)^Z$2*HLOOKUP(Z$2,FX!$B$40:$AK$43,2,FALSE)</f>
        <v>15585.361899862955</v>
      </c>
      <c r="AA9">
        <f>Calc_BankMonth!AA9*(1+Control!$B$25)^AA$2*HLOOKUP(AA$2,FX!$B$40:$AK$43,2,FALSE)</f>
        <v>15730.258176725843</v>
      </c>
      <c r="AB9">
        <f>Calc_BankMonth!AB9*(1+Control!$B$25)^AB$2*HLOOKUP(AB$2,FX!$B$40:$AK$43,2,FALSE)</f>
        <v>15912.958644915092</v>
      </c>
      <c r="AC9">
        <f>Calc_BankMonth!AC9*(1+Control!$B$25)^AC$2*HLOOKUP(AC$2,FX!$B$40:$AK$43,2,FALSE)</f>
        <v>16139.27929083074</v>
      </c>
      <c r="AD9">
        <f>Calc_BankMonth!AD9*(1+Control!$B$25)^AD$2*HLOOKUP(AD$2,FX!$B$40:$AK$43,2,FALSE)</f>
        <v>16415.463585137084</v>
      </c>
      <c r="AE9">
        <f>Calc_BankMonth!AE9*(1+Control!$B$25)^AE$2*HLOOKUP(AE$2,FX!$B$40:$AK$43,2,FALSE)</f>
        <v>16669.161695034283</v>
      </c>
      <c r="AF9">
        <f>Calc_BankMonth!AF9*(1+Control!$B$25)^AF$2*HLOOKUP(AF$2,FX!$B$40:$AK$43,2,FALSE)</f>
        <v>16970.597313893795</v>
      </c>
      <c r="AG9">
        <f>Calc_BankMonth!AG9*(1+Control!$B$25)^AG$2*HLOOKUP(AG$2,FX!$B$40:$AK$43,2,FALSE)</f>
        <v>17264.133727162651</v>
      </c>
      <c r="AH9">
        <f>Calc_BankMonth!AH9*(1+Control!$B$25)^AH$2*HLOOKUP(AH$2,FX!$B$40:$AK$43,2,FALSE)</f>
        <v>17517.337958277487</v>
      </c>
      <c r="AI9">
        <f>Calc_BankMonth!AI9*(1+Control!$B$25)^AI$2*HLOOKUP(AI$2,FX!$B$40:$AK$43,2,FALSE)</f>
        <v>17902.202717445089</v>
      </c>
      <c r="AJ9">
        <f>Calc_BankMonth!AJ9*(1+Control!$B$25)^AJ$2*HLOOKUP(AJ$2,FX!$B$40:$AK$43,2,FALSE)</f>
        <v>18108.86360069623</v>
      </c>
      <c r="AK9">
        <f>Calc_BankMonth!AK9*(1+Control!$B$25)^AK$2*HLOOKUP(AK$2,FX!$B$40:$AK$43,2,FALSE)</f>
        <v>18267.811807208484</v>
      </c>
      <c r="AL9" cm="1">
        <f t="array" ref="AL9">INDEX(B9:AK9,Control!$B$3)</f>
        <v>14720.726091951014</v>
      </c>
    </row>
    <row r="10" spans="1:38" x14ac:dyDescent="0.25">
      <c r="A10" t="s">
        <v>30</v>
      </c>
      <c r="B10">
        <f>Calc_BankMonth!B10*(1+Control!$B$25)^B$2*HLOOKUP(B$2,FX!$B$40:$AK$43,2,FALSE)</f>
        <v>13986.891381645692</v>
      </c>
      <c r="C10">
        <f>Calc_BankMonth!C10*(1+Control!$B$25)^C$2*HLOOKUP(C$2,FX!$B$40:$AK$43,2,FALSE)</f>
        <v>14140.716959321622</v>
      </c>
      <c r="D10">
        <f>Calc_BankMonth!D10*(1+Control!$B$25)^D$2*HLOOKUP(D$2,FX!$B$40:$AK$43,2,FALSE)</f>
        <v>14429.559399520533</v>
      </c>
      <c r="E10">
        <f>Calc_BankMonth!E10*(1+Control!$B$25)^E$2*HLOOKUP(E$2,FX!$B$40:$AK$43,2,FALSE)</f>
        <v>14620.88052737324</v>
      </c>
      <c r="F10">
        <f>Calc_BankMonth!F10*(1+Control!$B$25)^F$2*HLOOKUP(F$2,FX!$B$40:$AK$43,2,FALSE)</f>
        <v>15006.437023567749</v>
      </c>
      <c r="G10">
        <f>Calc_BankMonth!G10*(1+Control!$B$25)^G$2*HLOOKUP(G$2,FX!$B$40:$AK$43,2,FALSE)</f>
        <v>15106.819699635533</v>
      </c>
      <c r="H10">
        <f>Calc_BankMonth!H10*(1+Control!$B$25)^H$2*HLOOKUP(H$2,FX!$B$40:$AK$43,2,FALSE)</f>
        <v>15225.386226626584</v>
      </c>
      <c r="I10">
        <f>Calc_BankMonth!I10*(1+Control!$B$25)^I$2*HLOOKUP(I$2,FX!$B$40:$AK$43,2,FALSE)</f>
        <v>15435.60834522704</v>
      </c>
      <c r="J10">
        <f>Calc_BankMonth!J10*(1+Control!$B$25)^J$2*HLOOKUP(J$2,FX!$B$40:$AK$43,2,FALSE)</f>
        <v>15533.00693474101</v>
      </c>
      <c r="K10">
        <f>Calc_BankMonth!K10*(1+Control!$B$25)^K$2*HLOOKUP(K$2,FX!$B$40:$AK$43,2,FALSE)</f>
        <v>15648.053064788901</v>
      </c>
      <c r="L10">
        <f>Calc_BankMonth!L10*(1+Control!$B$25)^L$2*HLOOKUP(L$2,FX!$B$40:$AK$43,2,FALSE)</f>
        <v>15809.607398161932</v>
      </c>
      <c r="M10">
        <f>Calc_BankMonth!M10*(1+Control!$B$25)^M$2*HLOOKUP(M$2,FX!$B$40:$AK$43,2,FALSE)</f>
        <v>15840.161816400008</v>
      </c>
      <c r="N10">
        <f>Calc_BankMonth!N10*(1+Control!$B$25)^N$2*HLOOKUP(N$2,FX!$B$40:$AK$43,2,FALSE)</f>
        <v>15914.720250666609</v>
      </c>
      <c r="O10">
        <f>Calc_BankMonth!O10*(1+Control!$B$25)^O$2*HLOOKUP(O$2,FX!$B$40:$AK$43,2,FALSE)</f>
        <v>16006.895980548941</v>
      </c>
      <c r="P10">
        <f>Calc_BankMonth!P10*(1+Control!$B$25)^P$2*HLOOKUP(P$2,FX!$B$40:$AK$43,2,FALSE)</f>
        <v>16010.188985716833</v>
      </c>
      <c r="Q10">
        <f>Calc_BankMonth!Q10*(1+Control!$B$25)^Q$2*HLOOKUP(Q$2,FX!$B$40:$AK$43,2,FALSE)</f>
        <v>16015.293055849215</v>
      </c>
      <c r="R10">
        <f>Calc_BankMonth!R10*(1+Control!$B$25)^R$2*HLOOKUP(R$2,FX!$B$40:$AK$43,2,FALSE)</f>
        <v>16064.142962366648</v>
      </c>
      <c r="S10">
        <f>Calc_BankMonth!S10*(1+Control!$B$25)^S$2*HLOOKUP(S$2,FX!$B$40:$AK$43,2,FALSE)</f>
        <v>16126.302435875217</v>
      </c>
      <c r="T10">
        <f>Calc_BankMonth!T10*(1+Control!$B$25)^T$2*HLOOKUP(T$2,FX!$B$40:$AK$43,2,FALSE)</f>
        <v>16135.189814941865</v>
      </c>
      <c r="U10">
        <f>Calc_BankMonth!U10*(1+Control!$B$25)^U$2*HLOOKUP(U$2,FX!$B$40:$AK$43,2,FALSE)</f>
        <v>16286.1656439367</v>
      </c>
      <c r="V10">
        <f>Calc_BankMonth!V10*(1+Control!$B$25)^V$2*HLOOKUP(V$2,FX!$B$40:$AK$43,2,FALSE)</f>
        <v>16242.854649922256</v>
      </c>
      <c r="W10">
        <f>Calc_BankMonth!W10*(1+Control!$B$25)^W$2*HLOOKUP(W$2,FX!$B$40:$AK$43,2,FALSE)</f>
        <v>16439.589538691394</v>
      </c>
      <c r="X10">
        <f>Calc_BankMonth!X10*(1+Control!$B$25)^X$2*HLOOKUP(X$2,FX!$B$40:$AK$43,2,FALSE)</f>
        <v>16410.427795800661</v>
      </c>
      <c r="Y10">
        <f>Calc_BankMonth!Y10*(1+Control!$B$25)^Y$2*HLOOKUP(Y$2,FX!$B$40:$AK$43,2,FALSE)</f>
        <v>16664.142404814011</v>
      </c>
      <c r="Z10">
        <f>Calc_BankMonth!Z10*(1+Control!$B$25)^Z$2*HLOOKUP(Z$2,FX!$B$40:$AK$43,2,FALSE)</f>
        <v>16815.404890340556</v>
      </c>
      <c r="AA10">
        <f>Calc_BankMonth!AA10*(1+Control!$B$25)^AA$2*HLOOKUP(AA$2,FX!$B$40:$AK$43,2,FALSE)</f>
        <v>16973.733268918499</v>
      </c>
      <c r="AB10">
        <f>Calc_BankMonth!AB10*(1+Control!$B$25)^AB$2*HLOOKUP(AB$2,FX!$B$40:$AK$43,2,FALSE)</f>
        <v>17300.649364413122</v>
      </c>
      <c r="AC10">
        <f>Calc_BankMonth!AC10*(1+Control!$B$25)^AC$2*HLOOKUP(AC$2,FX!$B$40:$AK$43,2,FALSE)</f>
        <v>17621.708504911614</v>
      </c>
      <c r="AD10">
        <f>Calc_BankMonth!AD10*(1+Control!$B$25)^AD$2*HLOOKUP(AD$2,FX!$B$40:$AK$43,2,FALSE)</f>
        <v>17802.516879969033</v>
      </c>
      <c r="AE10">
        <f>Calc_BankMonth!AE10*(1+Control!$B$25)^AE$2*HLOOKUP(AE$2,FX!$B$40:$AK$43,2,FALSE)</f>
        <v>18218.119703773693</v>
      </c>
      <c r="AF10">
        <f>Calc_BankMonth!AF10*(1+Control!$B$25)^AF$2*HLOOKUP(AF$2,FX!$B$40:$AK$43,2,FALSE)</f>
        <v>18471.95882185657</v>
      </c>
      <c r="AG10">
        <f>Calc_BankMonth!AG10*(1+Control!$B$25)^AG$2*HLOOKUP(AG$2,FX!$B$40:$AK$43,2,FALSE)</f>
        <v>18693.930869415413</v>
      </c>
      <c r="AH10">
        <f>Calc_BankMonth!AH10*(1+Control!$B$25)^AH$2*HLOOKUP(AH$2,FX!$B$40:$AK$43,2,FALSE)</f>
        <v>19002.057984399282</v>
      </c>
      <c r="AI10">
        <f>Calc_BankMonth!AI10*(1+Control!$B$25)^AI$2*HLOOKUP(AI$2,FX!$B$40:$AK$43,2,FALSE)</f>
        <v>19357.274522958563</v>
      </c>
      <c r="AJ10">
        <f>Calc_BankMonth!AJ10*(1+Control!$B$25)^AJ$2*HLOOKUP(AJ$2,FX!$B$40:$AK$43,2,FALSE)</f>
        <v>19535.416393559797</v>
      </c>
      <c r="AK10">
        <f>Calc_BankMonth!AK10*(1+Control!$B$25)^AK$2*HLOOKUP(AK$2,FX!$B$40:$AK$43,2,FALSE)</f>
        <v>19821.625957692104</v>
      </c>
      <c r="AL10" cm="1">
        <f t="array" ref="AL10">INDEX(B10:AK10,Control!$B$3)</f>
        <v>15914.720250666609</v>
      </c>
    </row>
    <row r="11" spans="1:38" x14ac:dyDescent="0.25">
      <c r="A11" t="s">
        <v>32</v>
      </c>
      <c r="B11">
        <f>Calc_BankMonth!B11*(1+Control!$B$25)^B$2*HLOOKUP(B$2,FX!$B$40:$AK$43,2,FALSE)</f>
        <v>14981.955039495484</v>
      </c>
      <c r="C11">
        <f>Calc_BankMonth!C11*(1+Control!$B$25)^C$2*HLOOKUP(C$2,FX!$B$40:$AK$43,2,FALSE)</f>
        <v>15321.56455997696</v>
      </c>
      <c r="D11">
        <f>Calc_BankMonth!D11*(1+Control!$B$25)^D$2*HLOOKUP(D$2,FX!$B$40:$AK$43,2,FALSE)</f>
        <v>15501.662227842749</v>
      </c>
      <c r="E11">
        <f>Calc_BankMonth!E11*(1+Control!$B$25)^E$2*HLOOKUP(E$2,FX!$B$40:$AK$43,2,FALSE)</f>
        <v>15786.950320407781</v>
      </c>
      <c r="F11">
        <f>Calc_BankMonth!F11*(1+Control!$B$25)^F$2*HLOOKUP(F$2,FX!$B$40:$AK$43,2,FALSE)</f>
        <v>16075.095197164515</v>
      </c>
      <c r="G11">
        <f>Calc_BankMonth!G11*(1+Control!$B$25)^G$2*HLOOKUP(G$2,FX!$B$40:$AK$43,2,FALSE)</f>
        <v>16244.150960194245</v>
      </c>
      <c r="H11">
        <f>Calc_BankMonth!H11*(1+Control!$B$25)^H$2*HLOOKUP(H$2,FX!$B$40:$AK$43,2,FALSE)</f>
        <v>16409.306900635114</v>
      </c>
      <c r="I11">
        <f>Calc_BankMonth!I11*(1+Control!$B$25)^I$2*HLOOKUP(I$2,FX!$B$40:$AK$43,2,FALSE)</f>
        <v>16513.183932500688</v>
      </c>
      <c r="J11">
        <f>Calc_BankMonth!J11*(1+Control!$B$25)^J$2*HLOOKUP(J$2,FX!$B$40:$AK$43,2,FALSE)</f>
        <v>16818.723104226148</v>
      </c>
      <c r="K11">
        <f>Calc_BankMonth!K11*(1+Control!$B$25)^K$2*HLOOKUP(K$2,FX!$B$40:$AK$43,2,FALSE)</f>
        <v>16869.453141262318</v>
      </c>
      <c r="L11">
        <f>Calc_BankMonth!L11*(1+Control!$B$25)^L$2*HLOOKUP(L$2,FX!$B$40:$AK$43,2,FALSE)</f>
        <v>17053.559960559112</v>
      </c>
      <c r="M11">
        <f>Calc_BankMonth!M11*(1+Control!$B$25)^M$2*HLOOKUP(M$2,FX!$B$40:$AK$43,2,FALSE)</f>
        <v>17057.542341600009</v>
      </c>
      <c r="N11">
        <f>Calc_BankMonth!N11*(1+Control!$B$25)^N$2*HLOOKUP(N$2,FX!$B$40:$AK$43,2,FALSE)</f>
        <v>17143.577976307988</v>
      </c>
      <c r="O11">
        <f>Calc_BankMonth!O11*(1+Control!$B$25)^O$2*HLOOKUP(O$2,FX!$B$40:$AK$43,2,FALSE)</f>
        <v>17101.451477841765</v>
      </c>
      <c r="P11">
        <f>Calc_BankMonth!P11*(1+Control!$B$25)^P$2*HLOOKUP(P$2,FX!$B$40:$AK$43,2,FALSE)</f>
        <v>17255.267467334208</v>
      </c>
      <c r="Q11">
        <f>Calc_BankMonth!Q11*(1+Control!$B$25)^Q$2*HLOOKUP(Q$2,FX!$B$40:$AK$43,2,FALSE)</f>
        <v>17200.095114877658</v>
      </c>
      <c r="R11">
        <f>Calc_BankMonth!R11*(1+Control!$B$25)^R$2*HLOOKUP(R$2,FX!$B$40:$AK$43,2,FALSE)</f>
        <v>17289.520544385934</v>
      </c>
      <c r="S11">
        <f>Calc_BankMonth!S11*(1+Control!$B$25)^S$2*HLOOKUP(S$2,FX!$B$40:$AK$43,2,FALSE)</f>
        <v>17381.646580529519</v>
      </c>
      <c r="T11">
        <f>Calc_BankMonth!T11*(1+Control!$B$25)^T$2*HLOOKUP(T$2,FX!$B$40:$AK$43,2,FALSE)</f>
        <v>17429.510496843475</v>
      </c>
      <c r="U11">
        <f>Calc_BankMonth!U11*(1+Control!$B$25)^U$2*HLOOKUP(U$2,FX!$B$40:$AK$43,2,FALSE)</f>
        <v>17476.019554103317</v>
      </c>
      <c r="V11">
        <f>Calc_BankMonth!V11*(1+Control!$B$25)^V$2*HLOOKUP(V$2,FX!$B$40:$AK$43,2,FALSE)</f>
        <v>17505.909276763774</v>
      </c>
      <c r="W11">
        <f>Calc_BankMonth!W11*(1+Control!$B$25)^W$2*HLOOKUP(W$2,FX!$B$40:$AK$43,2,FALSE)</f>
        <v>17724.168331694462</v>
      </c>
      <c r="X11">
        <f>Calc_BankMonth!X11*(1+Control!$B$25)^X$2*HLOOKUP(X$2,FX!$B$40:$AK$43,2,FALSE)</f>
        <v>17788.429644002263</v>
      </c>
      <c r="Y11">
        <f>Calc_BankMonth!Y11*(1+Control!$B$25)^Y$2*HLOOKUP(Y$2,FX!$B$40:$AK$43,2,FALSE)</f>
        <v>17855.397458140011</v>
      </c>
      <c r="Z11">
        <f>Calc_BankMonth!Z11*(1+Control!$B$25)^Z$2*HLOOKUP(Z$2,FX!$B$40:$AK$43,2,FALSE)</f>
        <v>18217.901957256006</v>
      </c>
      <c r="AA11">
        <f>Calc_BankMonth!AA11*(1+Control!$B$25)^AA$2*HLOOKUP(AA$2,FX!$B$40:$AK$43,2,FALSE)</f>
        <v>18399.418405148106</v>
      </c>
      <c r="AB11">
        <f>Calc_BankMonth!AB11*(1+Control!$B$25)^AB$2*HLOOKUP(AB$2,FX!$B$40:$AK$43,2,FALSE)</f>
        <v>18623.252835243424</v>
      </c>
      <c r="AC11">
        <f>Calc_BankMonth!AC11*(1+Control!$B$25)^AC$2*HLOOKUP(AC$2,FX!$B$40:$AK$43,2,FALSE)</f>
        <v>18845.874022554523</v>
      </c>
      <c r="AD11">
        <f>Calc_BankMonth!AD11*(1+Control!$B$25)^AD$2*HLOOKUP(AD$2,FX!$B$40:$AK$43,2,FALSE)</f>
        <v>19169.240945828187</v>
      </c>
      <c r="AE11">
        <f>Calc_BankMonth!AE11*(1+Control!$B$25)^AE$2*HLOOKUP(AE$2,FX!$B$40:$AK$43,2,FALSE)</f>
        <v>19557.095136485859</v>
      </c>
      <c r="AF11">
        <f>Calc_BankMonth!AF11*(1+Control!$B$25)^AF$2*HLOOKUP(AF$2,FX!$B$40:$AK$43,2,FALSE)</f>
        <v>19883.125329039096</v>
      </c>
      <c r="AG11">
        <f>Calc_BankMonth!AG11*(1+Control!$B$25)^AG$2*HLOOKUP(AG$2,FX!$B$40:$AK$43,2,FALSE)</f>
        <v>20096.027194405731</v>
      </c>
      <c r="AH11">
        <f>Calc_BankMonth!AH11*(1+Control!$B$25)^AH$2*HLOOKUP(AH$2,FX!$B$40:$AK$43,2,FALSE)</f>
        <v>20414.871457827179</v>
      </c>
      <c r="AI11">
        <f>Calc_BankMonth!AI11*(1+Control!$B$25)^AI$2*HLOOKUP(AI$2,FX!$B$40:$AK$43,2,FALSE)</f>
        <v>20854.006496454102</v>
      </c>
      <c r="AJ11">
        <f>Calc_BankMonth!AJ11*(1+Control!$B$25)^AJ$2*HLOOKUP(AJ$2,FX!$B$40:$AK$43,2,FALSE)</f>
        <v>21080.142371574766</v>
      </c>
      <c r="AK11">
        <f>Calc_BankMonth!AK11*(1+Control!$B$25)^AK$2*HLOOKUP(AK$2,FX!$B$40:$AK$43,2,FALSE)</f>
        <v>21324.800614796357</v>
      </c>
      <c r="AL11" cm="1">
        <f t="array" ref="AL11">INDEX(B11:AK11,Control!$B$3)</f>
        <v>17143.577976307988</v>
      </c>
    </row>
    <row r="12" spans="1:38" x14ac:dyDescent="0.25">
      <c r="A12" t="s">
        <v>33</v>
      </c>
      <c r="B12">
        <f>Calc_BankMonth!B12*(1+Control!$B$25)^B$2*HLOOKUP(B$2,FX!$B$40:$AK$43,2,FALSE)</f>
        <v>16092.837234370649</v>
      </c>
      <c r="C12">
        <f>Calc_BankMonth!C12*(1+Control!$B$25)^C$2*HLOOKUP(C$2,FX!$B$40:$AK$43,2,FALSE)</f>
        <v>16450.144257764288</v>
      </c>
      <c r="D12">
        <f>Calc_BankMonth!D12*(1+Control!$B$25)^D$2*HLOOKUP(D$2,FX!$B$40:$AK$43,2,FALSE)</f>
        <v>16662.611565377676</v>
      </c>
      <c r="E12">
        <f>Calc_BankMonth!E12*(1+Control!$B$25)^E$2*HLOOKUP(E$2,FX!$B$40:$AK$43,2,FALSE)</f>
        <v>16923.595922403139</v>
      </c>
      <c r="F12">
        <f>Calc_BankMonth!F12*(1+Control!$B$25)^F$2*HLOOKUP(F$2,FX!$B$40:$AK$43,2,FALSE)</f>
        <v>17222.783145308291</v>
      </c>
      <c r="G12">
        <f>Calc_BankMonth!G12*(1+Control!$B$25)^G$2*HLOOKUP(G$2,FX!$B$40:$AK$43,2,FALSE)</f>
        <v>17427.964742905682</v>
      </c>
      <c r="H12">
        <f>Calc_BankMonth!H12*(1+Control!$B$25)^H$2*HLOOKUP(H$2,FX!$B$40:$AK$43,2,FALSE)</f>
        <v>17661.545620094628</v>
      </c>
      <c r="I12">
        <f>Calc_BankMonth!I12*(1+Control!$B$25)^I$2*HLOOKUP(I$2,FX!$B$40:$AK$43,2,FALSE)</f>
        <v>17869.442861310617</v>
      </c>
      <c r="J12">
        <f>Calc_BankMonth!J12*(1+Control!$B$25)^J$2*HLOOKUP(J$2,FX!$B$40:$AK$43,2,FALSE)</f>
        <v>17931.60639289386</v>
      </c>
      <c r="K12">
        <f>Calc_BankMonth!K12*(1+Control!$B$25)^K$2*HLOOKUP(K$2,FX!$B$40:$AK$43,2,FALSE)</f>
        <v>18091.410476644622</v>
      </c>
      <c r="L12">
        <f>Calc_BankMonth!L12*(1+Control!$B$25)^L$2*HLOOKUP(L$2,FX!$B$40:$AK$43,2,FALSE)</f>
        <v>18132.876653624262</v>
      </c>
      <c r="M12">
        <f>Calc_BankMonth!M12*(1+Control!$B$25)^M$2*HLOOKUP(M$2,FX!$B$40:$AK$43,2,FALSE)</f>
        <v>18298.466442000012</v>
      </c>
      <c r="N12">
        <f>Calc_BankMonth!N12*(1+Control!$B$25)^N$2*HLOOKUP(N$2,FX!$B$40:$AK$43,2,FALSE)</f>
        <v>18425.671815255104</v>
      </c>
      <c r="O12">
        <f>Calc_BankMonth!O12*(1+Control!$B$25)^O$2*HLOOKUP(O$2,FX!$B$40:$AK$43,2,FALSE)</f>
        <v>18442.670473567912</v>
      </c>
      <c r="P12">
        <f>Calc_BankMonth!P12*(1+Control!$B$25)^P$2*HLOOKUP(P$2,FX!$B$40:$AK$43,2,FALSE)</f>
        <v>18352.375649268568</v>
      </c>
      <c r="Q12">
        <f>Calc_BankMonth!Q12*(1+Control!$B$25)^Q$2*HLOOKUP(Q$2,FX!$B$40:$AK$43,2,FALSE)</f>
        <v>18479.310235265802</v>
      </c>
      <c r="R12">
        <f>Calc_BankMonth!R12*(1+Control!$B$25)^R$2*HLOOKUP(R$2,FX!$B$40:$AK$43,2,FALSE)</f>
        <v>18574.956072240253</v>
      </c>
      <c r="S12">
        <f>Calc_BankMonth!S12*(1+Control!$B$25)^S$2*HLOOKUP(S$2,FX!$B$40:$AK$43,2,FALSE)</f>
        <v>18530.838314088465</v>
      </c>
      <c r="T12">
        <f>Calc_BankMonth!T12*(1+Control!$B$25)^T$2*HLOOKUP(T$2,FX!$B$40:$AK$43,2,FALSE)</f>
        <v>18689.702110689621</v>
      </c>
      <c r="U12">
        <f>Calc_BankMonth!U12*(1+Control!$B$25)^U$2*HLOOKUP(U$2,FX!$B$40:$AK$43,2,FALSE)</f>
        <v>18700.862854015049</v>
      </c>
      <c r="V12">
        <f>Calc_BankMonth!V12*(1+Control!$B$25)^V$2*HLOOKUP(V$2,FX!$B$40:$AK$43,2,FALSE)</f>
        <v>18780.532888398688</v>
      </c>
      <c r="W12">
        <f>Calc_BankMonth!W12*(1+Control!$B$25)^W$2*HLOOKUP(W$2,FX!$B$40:$AK$43,2,FALSE)</f>
        <v>18956.610290611981</v>
      </c>
      <c r="X12">
        <f>Calc_BankMonth!X12*(1+Control!$B$25)^X$2*HLOOKUP(X$2,FX!$B$40:$AK$43,2,FALSE)</f>
        <v>19048.767130330831</v>
      </c>
      <c r="Y12">
        <f>Calc_BankMonth!Y12*(1+Control!$B$25)^Y$2*HLOOKUP(Y$2,FX!$B$40:$AK$43,2,FALSE)</f>
        <v>19296.204814548008</v>
      </c>
      <c r="Z12">
        <f>Calc_BankMonth!Z12*(1+Control!$B$25)^Z$2*HLOOKUP(Z$2,FX!$B$40:$AK$43,2,FALSE)</f>
        <v>19465.848247726528</v>
      </c>
      <c r="AA12">
        <f>Calc_BankMonth!AA12*(1+Control!$B$25)^AA$2*HLOOKUP(AA$2,FX!$B$40:$AK$43,2,FALSE)</f>
        <v>19771.525111762083</v>
      </c>
      <c r="AB12">
        <f>Calc_BankMonth!AB12*(1+Control!$B$25)^AB$2*HLOOKUP(AB$2,FX!$B$40:$AK$43,2,FALSE)</f>
        <v>20069.478395825183</v>
      </c>
      <c r="AC12">
        <f>Calc_BankMonth!AC12*(1+Control!$B$25)^AC$2*HLOOKUP(AC$2,FX!$B$40:$AK$43,2,FALSE)</f>
        <v>20334.358012127333</v>
      </c>
      <c r="AD12">
        <f>Calc_BankMonth!AD12*(1+Control!$B$25)^AD$2*HLOOKUP(AD$2,FX!$B$40:$AK$43,2,FALSE)</f>
        <v>20566.847665536719</v>
      </c>
      <c r="AE12">
        <f>Calc_BankMonth!AE12*(1+Control!$B$25)^AE$2*HLOOKUP(AE$2,FX!$B$40:$AK$43,2,FALSE)</f>
        <v>20827.983270240475</v>
      </c>
      <c r="AF12">
        <f>Calc_BankMonth!AF12*(1+Control!$B$25)^AF$2*HLOOKUP(AF$2,FX!$B$40:$AK$43,2,FALSE)</f>
        <v>21235.143858323008</v>
      </c>
      <c r="AG12">
        <f>Calc_BankMonth!AG12*(1+Control!$B$25)^AG$2*HLOOKUP(AG$2,FX!$B$40:$AK$43,2,FALSE)</f>
        <v>21553.067289172806</v>
      </c>
      <c r="AH12">
        <f>Calc_BankMonth!AH12*(1+Control!$B$25)^AH$2*HLOOKUP(AH$2,FX!$B$40:$AK$43,2,FALSE)</f>
        <v>21957.047362869991</v>
      </c>
      <c r="AI12">
        <f>Calc_BankMonth!AI12*(1+Control!$B$25)^AI$2*HLOOKUP(AI$2,FX!$B$40:$AK$43,2,FALSE)</f>
        <v>22366.842400430105</v>
      </c>
      <c r="AJ12">
        <f>Calc_BankMonth!AJ12*(1+Control!$B$25)^AJ$2*HLOOKUP(AJ$2,FX!$B$40:$AK$43,2,FALSE)</f>
        <v>22726.916309277254</v>
      </c>
      <c r="AK12">
        <f>Calc_BankMonth!AK12*(1+Control!$B$25)^AK$2*HLOOKUP(AK$2,FX!$B$40:$AK$43,2,FALSE)</f>
        <v>23021.401533497217</v>
      </c>
      <c r="AL12" cm="1">
        <f t="array" ref="AL12">INDEX(B12:AK12,Control!$B$3)</f>
        <v>18425.671815255104</v>
      </c>
    </row>
    <row r="13" spans="1:38" x14ac:dyDescent="0.25">
      <c r="A13" t="s">
        <v>34</v>
      </c>
      <c r="B13">
        <f>Calc_BankMonth!B13*(1+Control!$B$25)^B$2*HLOOKUP(B$2,FX!$B$40:$AK$43,2,FALSE)</f>
        <v>17211.0376335084</v>
      </c>
      <c r="C13">
        <f>Calc_BankMonth!C13*(1+Control!$B$25)^C$2*HLOOKUP(C$2,FX!$B$40:$AK$43,2,FALSE)</f>
        <v>17435.736967172943</v>
      </c>
      <c r="D13">
        <f>Calc_BankMonth!D13*(1+Control!$B$25)^D$2*HLOOKUP(D$2,FX!$B$40:$AK$43,2,FALSE)</f>
        <v>17724.554330602572</v>
      </c>
      <c r="E13">
        <f>Calc_BankMonth!E13*(1+Control!$B$25)^E$2*HLOOKUP(E$2,FX!$B$40:$AK$43,2,FALSE)</f>
        <v>17975.892176752815</v>
      </c>
      <c r="F13">
        <f>Calc_BankMonth!F13*(1+Control!$B$25)^F$2*HLOOKUP(F$2,FX!$B$40:$AK$43,2,FALSE)</f>
        <v>18401.095131089034</v>
      </c>
      <c r="G13">
        <f>Calc_BankMonth!G13*(1+Control!$B$25)^G$2*HLOOKUP(G$2,FX!$B$40:$AK$43,2,FALSE)</f>
        <v>18555.690351618101</v>
      </c>
      <c r="H13">
        <f>Calc_BankMonth!H13*(1+Control!$B$25)^H$2*HLOOKUP(H$2,FX!$B$40:$AK$43,2,FALSE)</f>
        <v>18780.03180251861</v>
      </c>
      <c r="I13">
        <f>Calc_BankMonth!I13*(1+Control!$B$25)^I$2*HLOOKUP(I$2,FX!$B$40:$AK$43,2,FALSE)</f>
        <v>18968.489859728576</v>
      </c>
      <c r="J13">
        <f>Calc_BankMonth!J13*(1+Control!$B$25)^J$2*HLOOKUP(J$2,FX!$B$40:$AK$43,2,FALSE)</f>
        <v>19262.787304721689</v>
      </c>
      <c r="K13">
        <f>Calc_BankMonth!K13*(1+Control!$B$25)^K$2*HLOOKUP(K$2,FX!$B$40:$AK$43,2,FALSE)</f>
        <v>19287.288095091542</v>
      </c>
      <c r="L13">
        <f>Calc_BankMonth!L13*(1+Control!$B$25)^L$2*HLOOKUP(L$2,FX!$B$40:$AK$43,2,FALSE)</f>
        <v>19432.264417459817</v>
      </c>
      <c r="M13">
        <f>Calc_BankMonth!M13*(1+Control!$B$25)^M$2*HLOOKUP(M$2,FX!$B$40:$AK$43,2,FALSE)</f>
        <v>19556.93716920001</v>
      </c>
      <c r="N13">
        <f>Calc_BankMonth!N13*(1+Control!$B$25)^N$2*HLOOKUP(N$2,FX!$B$40:$AK$43,2,FALSE)</f>
        <v>19550.049518109357</v>
      </c>
      <c r="O13">
        <f>Calc_BankMonth!O13*(1+Control!$B$25)^O$2*HLOOKUP(O$2,FX!$B$40:$AK$43,2,FALSE)</f>
        <v>19666.068522097805</v>
      </c>
      <c r="P13">
        <f>Calc_BankMonth!P13*(1+Control!$B$25)^P$2*HLOOKUP(P$2,FX!$B$40:$AK$43,2,FALSE)</f>
        <v>19808.714914569769</v>
      </c>
      <c r="Q13">
        <f>Calc_BankMonth!Q13*(1+Control!$B$25)^Q$2*HLOOKUP(Q$2,FX!$B$40:$AK$43,2,FALSE)</f>
        <v>19750.120955972219</v>
      </c>
      <c r="R13">
        <f>Calc_BankMonth!R13*(1+Control!$B$25)^R$2*HLOOKUP(R$2,FX!$B$40:$AK$43,2,FALSE)</f>
        <v>19805.981056037879</v>
      </c>
      <c r="S13">
        <f>Calc_BankMonth!S13*(1+Control!$B$25)^S$2*HLOOKUP(S$2,FX!$B$40:$AK$43,2,FALSE)</f>
        <v>19948.978315269884</v>
      </c>
      <c r="T13">
        <f>Calc_BankMonth!T13*(1+Control!$B$25)^T$2*HLOOKUP(T$2,FX!$B$40:$AK$43,2,FALSE)</f>
        <v>19934.282636623968</v>
      </c>
      <c r="U13">
        <f>Calc_BankMonth!U13*(1+Control!$B$25)^U$2*HLOOKUP(U$2,FX!$B$40:$AK$43,2,FALSE)</f>
        <v>20029.92301724734</v>
      </c>
      <c r="V13">
        <f>Calc_BankMonth!V13*(1+Control!$B$25)^V$2*HLOOKUP(V$2,FX!$B$40:$AK$43,2,FALSE)</f>
        <v>20087.185448674561</v>
      </c>
      <c r="W13">
        <f>Calc_BankMonth!W13*(1+Control!$B$25)^W$2*HLOOKUP(W$2,FX!$B$40:$AK$43,2,FALSE)</f>
        <v>20156.935103275569</v>
      </c>
      <c r="X13">
        <f>Calc_BankMonth!X13*(1+Control!$B$25)^X$2*HLOOKUP(X$2,FX!$B$40:$AK$43,2,FALSE)</f>
        <v>20415.195434741643</v>
      </c>
      <c r="Y13">
        <f>Calc_BankMonth!Y13*(1+Control!$B$25)^Y$2*HLOOKUP(Y$2,FX!$B$40:$AK$43,2,FALSE)</f>
        <v>20551.915908274008</v>
      </c>
      <c r="Z13">
        <f>Calc_BankMonth!Z13*(1+Control!$B$25)^Z$2*HLOOKUP(Z$2,FX!$B$40:$AK$43,2,FALSE)</f>
        <v>20746.904858063477</v>
      </c>
      <c r="AA13">
        <f>Calc_BankMonth!AA13*(1+Control!$B$25)^AA$2*HLOOKUP(AA$2,FX!$B$40:$AK$43,2,FALSE)</f>
        <v>21104.695267299117</v>
      </c>
      <c r="AB13">
        <f>Calc_BankMonth!AB13*(1+Control!$B$25)^AB$2*HLOOKUP(AB$2,FX!$B$40:$AK$43,2,FALSE)</f>
        <v>21383.345323210153</v>
      </c>
      <c r="AC13">
        <f>Calc_BankMonth!AC13*(1+Control!$B$25)^AC$2*HLOOKUP(AC$2,FX!$B$40:$AK$43,2,FALSE)</f>
        <v>21618.520850553996</v>
      </c>
      <c r="AD13">
        <f>Calc_BankMonth!AD13*(1+Control!$B$25)^AD$2*HLOOKUP(AD$2,FX!$B$40:$AK$43,2,FALSE)</f>
        <v>22018.554573823105</v>
      </c>
      <c r="AE13">
        <f>Calc_BankMonth!AE13*(1+Control!$B$25)^AE$2*HLOOKUP(AE$2,FX!$B$40:$AK$43,2,FALSE)</f>
        <v>22284.849561608964</v>
      </c>
      <c r="AF13">
        <f>Calc_BankMonth!AF13*(1+Control!$B$25)^AF$2*HLOOKUP(AF$2,FX!$B$40:$AK$43,2,FALSE)</f>
        <v>22708.064480361358</v>
      </c>
      <c r="AG13">
        <f>Calc_BankMonth!AG13*(1+Control!$B$25)^AG$2*HLOOKUP(AG$2,FX!$B$40:$AK$43,2,FALSE)</f>
        <v>23130.754745074642</v>
      </c>
      <c r="AH13">
        <f>Calc_BankMonth!AH13*(1+Control!$B$25)^AH$2*HLOOKUP(AH$2,FX!$B$40:$AK$43,2,FALSE)</f>
        <v>23269.515357618944</v>
      </c>
      <c r="AI13">
        <f>Calc_BankMonth!AI13*(1+Control!$B$25)^AI$2*HLOOKUP(AI$2,FX!$B$40:$AK$43,2,FALSE)</f>
        <v>23813.862240703354</v>
      </c>
      <c r="AJ13">
        <f>Calc_BankMonth!AJ13*(1+Control!$B$25)^AJ$2*HLOOKUP(AJ$2,FX!$B$40:$AK$43,2,FALSE)</f>
        <v>24244.923848019949</v>
      </c>
      <c r="AK13">
        <f>Calc_BankMonth!AK13*(1+Control!$B$25)^AK$2*HLOOKUP(AK$2,FX!$B$40:$AK$43,2,FALSE)</f>
        <v>24516.15604064846</v>
      </c>
      <c r="AL13" cm="1">
        <f t="array" ref="AL13">INDEX(B13:AK13,Control!$B$3)</f>
        <v>19550.049518109357</v>
      </c>
    </row>
    <row r="14" spans="1:38" x14ac:dyDescent="0.25">
      <c r="A14" t="s">
        <v>35</v>
      </c>
      <c r="B14">
        <f>Calc_BankMonth!B14*(1+Control!$B$25)^B$2*HLOOKUP(B$2,FX!$B$40:$AK$43,2,FALSE)</f>
        <v>18276.207566975201</v>
      </c>
      <c r="C14">
        <f>Calc_BankMonth!C14*(1+Control!$B$25)^C$2*HLOOKUP(C$2,FX!$B$40:$AK$43,2,FALSE)</f>
        <v>18572.24253547714</v>
      </c>
      <c r="D14">
        <f>Calc_BankMonth!D14*(1+Control!$B$25)^D$2*HLOOKUP(D$2,FX!$B$40:$AK$43,2,FALSE)</f>
        <v>18860.752025059992</v>
      </c>
      <c r="E14">
        <f>Calc_BankMonth!E14*(1+Control!$B$25)^E$2*HLOOKUP(E$2,FX!$B$40:$AK$43,2,FALSE)</f>
        <v>19271.428410359793</v>
      </c>
      <c r="F14">
        <f>Calc_BankMonth!F14*(1+Control!$B$25)^F$2*HLOOKUP(F$2,FX!$B$40:$AK$43,2,FALSE)</f>
        <v>19502.133559534926</v>
      </c>
      <c r="G14">
        <f>Calc_BankMonth!G14*(1+Control!$B$25)^G$2*HLOOKUP(G$2,FX!$B$40:$AK$43,2,FALSE)</f>
        <v>19774.835267557268</v>
      </c>
      <c r="H14">
        <f>Calc_BankMonth!H14*(1+Control!$B$25)^H$2*HLOOKUP(H$2,FX!$B$40:$AK$43,2,FALSE)</f>
        <v>19949.423801277011</v>
      </c>
      <c r="I14">
        <f>Calc_BankMonth!I14*(1+Control!$B$25)^I$2*HLOOKUP(I$2,FX!$B$40:$AK$43,2,FALSE)</f>
        <v>20232.855598874248</v>
      </c>
      <c r="J14">
        <f>Calc_BankMonth!J14*(1+Control!$B$25)^J$2*HLOOKUP(J$2,FX!$B$40:$AK$43,2,FALSE)</f>
        <v>20447.433569047957</v>
      </c>
      <c r="K14">
        <f>Calc_BankMonth!K14*(1+Control!$B$25)^K$2*HLOOKUP(K$2,FX!$B$40:$AK$43,2,FALSE)</f>
        <v>20541.232091843303</v>
      </c>
      <c r="L14">
        <f>Calc_BankMonth!L14*(1+Control!$B$25)^L$2*HLOOKUP(L$2,FX!$B$40:$AK$43,2,FALSE)</f>
        <v>20608.31442387827</v>
      </c>
      <c r="M14">
        <f>Calc_BankMonth!M14*(1+Control!$B$25)^M$2*HLOOKUP(M$2,FX!$B$40:$AK$43,2,FALSE)</f>
        <v>20724.454179000011</v>
      </c>
      <c r="N14">
        <f>Calc_BankMonth!N14*(1+Control!$B$25)^N$2*HLOOKUP(N$2,FX!$B$40:$AK$43,2,FALSE)</f>
        <v>20964.182199413506</v>
      </c>
      <c r="O14">
        <f>Calc_BankMonth!O14*(1+Control!$B$25)^O$2*HLOOKUP(O$2,FX!$B$40:$AK$43,2,FALSE)</f>
        <v>20978.741563358257</v>
      </c>
      <c r="P14">
        <f>Calc_BankMonth!P14*(1+Control!$B$25)^P$2*HLOOKUP(P$2,FX!$B$40:$AK$43,2,FALSE)</f>
        <v>20995.21953404427</v>
      </c>
      <c r="Q14">
        <f>Calc_BankMonth!Q14*(1+Control!$B$25)^Q$2*HLOOKUP(Q$2,FX!$B$40:$AK$43,2,FALSE)</f>
        <v>20991.025111577415</v>
      </c>
      <c r="R14">
        <f>Calc_BankMonth!R14*(1+Control!$B$25)^R$2*HLOOKUP(R$2,FX!$B$40:$AK$43,2,FALSE)</f>
        <v>20962.612381793919</v>
      </c>
      <c r="S14">
        <f>Calc_BankMonth!S14*(1+Control!$B$25)^S$2*HLOOKUP(S$2,FX!$B$40:$AK$43,2,FALSE)</f>
        <v>21129.302324180619</v>
      </c>
      <c r="T14">
        <f>Calc_BankMonth!T14*(1+Control!$B$25)^T$2*HLOOKUP(T$2,FX!$B$40:$AK$43,2,FALSE)</f>
        <v>21210.515989082935</v>
      </c>
      <c r="U14">
        <f>Calc_BankMonth!U14*(1+Control!$B$25)^U$2*HLOOKUP(U$2,FX!$B$40:$AK$43,2,FALSE)</f>
        <v>21142.070429943215</v>
      </c>
      <c r="V14">
        <f>Calc_BankMonth!V14*(1+Control!$B$25)^V$2*HLOOKUP(V$2,FX!$B$40:$AK$43,2,FALSE)</f>
        <v>21355.810327453641</v>
      </c>
      <c r="W14">
        <f>Calc_BankMonth!W14*(1+Control!$B$25)^W$2*HLOOKUP(W$2,FX!$B$40:$AK$43,2,FALSE)</f>
        <v>21514.205703966702</v>
      </c>
      <c r="X14">
        <f>Calc_BankMonth!X14*(1+Control!$B$25)^X$2*HLOOKUP(X$2,FX!$B$40:$AK$43,2,FALSE)</f>
        <v>21573.407113360736</v>
      </c>
      <c r="Y14">
        <f>Calc_BankMonth!Y14*(1+Control!$B$25)^Y$2*HLOOKUP(Y$2,FX!$B$40:$AK$43,2,FALSE)</f>
        <v>21901.947674452011</v>
      </c>
      <c r="Z14">
        <f>Calc_BankMonth!Z14*(1+Control!$B$25)^Z$2*HLOOKUP(Z$2,FX!$B$40:$AK$43,2,FALSE)</f>
        <v>22029.039980448193</v>
      </c>
      <c r="AA14">
        <f>Calc_BankMonth!AA14*(1+Control!$B$25)^AA$2*HLOOKUP(AA$2,FX!$B$40:$AK$43,2,FALSE)</f>
        <v>22257.499170911484</v>
      </c>
      <c r="AB14">
        <f>Calc_BankMonth!AB14*(1+Control!$B$25)^AB$2*HLOOKUP(AB$2,FX!$B$40:$AK$43,2,FALSE)</f>
        <v>22652.765085816991</v>
      </c>
      <c r="AC14">
        <f>Calc_BankMonth!AC14*(1+Control!$B$25)^AC$2*HLOOKUP(AC$2,FX!$B$40:$AK$43,2,FALSE)</f>
        <v>22918.09584477832</v>
      </c>
      <c r="AD14">
        <f>Calc_BankMonth!AD14*(1+Control!$B$25)^AD$2*HLOOKUP(AD$2,FX!$B$40:$AK$43,2,FALSE)</f>
        <v>23465.92902347595</v>
      </c>
      <c r="AE14">
        <f>Calc_BankMonth!AE14*(1+Control!$B$25)^AE$2*HLOOKUP(AE$2,FX!$B$40:$AK$43,2,FALSE)</f>
        <v>23746.090489978011</v>
      </c>
      <c r="AF14">
        <f>Calc_BankMonth!AF14*(1+Control!$B$25)^AF$2*HLOOKUP(AF$2,FX!$B$40:$AK$43,2,FALSE)</f>
        <v>24135.09442989216</v>
      </c>
      <c r="AG14">
        <f>Calc_BankMonth!AG14*(1+Control!$B$25)^AG$2*HLOOKUP(AG$2,FX!$B$40:$AK$43,2,FALSE)</f>
        <v>24464.514756405137</v>
      </c>
      <c r="AH14">
        <f>Calc_BankMonth!AH14*(1+Control!$B$25)^AH$2*HLOOKUP(AH$2,FX!$B$40:$AK$43,2,FALSE)</f>
        <v>25043.017648418172</v>
      </c>
      <c r="AI14">
        <f>Calc_BankMonth!AI14*(1+Control!$B$25)^AI$2*HLOOKUP(AI$2,FX!$B$40:$AK$43,2,FALSE)</f>
        <v>25246.645272870683</v>
      </c>
      <c r="AJ14">
        <f>Calc_BankMonth!AJ14*(1+Control!$B$25)^AJ$2*HLOOKUP(AJ$2,FX!$B$40:$AK$43,2,FALSE)</f>
        <v>25827.079181491245</v>
      </c>
      <c r="AK14">
        <f>Calc_BankMonth!AK14*(1+Control!$B$25)^AK$2*HLOOKUP(AK$2,FX!$B$40:$AK$43,2,FALSE)</f>
        <v>26001.067273910969</v>
      </c>
      <c r="AL14" cm="1">
        <f t="array" ref="AL14">INDEX(B14:AK14,Control!$B$3)</f>
        <v>20964.182199413506</v>
      </c>
    </row>
    <row r="15" spans="1:38" x14ac:dyDescent="0.25">
      <c r="A15" t="s">
        <v>36</v>
      </c>
      <c r="B15">
        <f>Calc_BankMonth!B15*(1+Control!$B$25)^B$2*HLOOKUP(B$2,FX!$B$40:$AK$43,2,FALSE)</f>
        <v>19357.710883868658</v>
      </c>
      <c r="C15">
        <f>Calc_BankMonth!C15*(1+Control!$B$25)^C$2*HLOOKUP(C$2,FX!$B$40:$AK$43,2,FALSE)</f>
        <v>19629.489398612637</v>
      </c>
      <c r="D15">
        <f>Calc_BankMonth!D15*(1+Control!$B$25)^D$2*HLOOKUP(D$2,FX!$B$40:$AK$43,2,FALSE)</f>
        <v>20074.231050523602</v>
      </c>
      <c r="E15">
        <f>Calc_BankMonth!E15*(1+Control!$B$25)^E$2*HLOOKUP(E$2,FX!$B$40:$AK$43,2,FALSE)</f>
        <v>20290.813162139715</v>
      </c>
      <c r="F15">
        <f>Calc_BankMonth!F15*(1+Control!$B$25)^F$2*HLOOKUP(F$2,FX!$B$40:$AK$43,2,FALSE)</f>
        <v>20573.865113252963</v>
      </c>
      <c r="G15">
        <f>Calc_BankMonth!G15*(1+Control!$B$25)^G$2*HLOOKUP(G$2,FX!$B$40:$AK$43,2,FALSE)</f>
        <v>20912.939396655333</v>
      </c>
      <c r="H15">
        <f>Calc_BankMonth!H15*(1+Control!$B$25)^H$2*HLOOKUP(H$2,FX!$B$40:$AK$43,2,FALSE)</f>
        <v>21229.610812057381</v>
      </c>
      <c r="I15">
        <f>Calc_BankMonth!I15*(1+Control!$B$25)^I$2*HLOOKUP(I$2,FX!$B$40:$AK$43,2,FALSE)</f>
        <v>21321.556269642355</v>
      </c>
      <c r="J15">
        <f>Calc_BankMonth!J15*(1+Control!$B$25)^J$2*HLOOKUP(J$2,FX!$B$40:$AK$43,2,FALSE)</f>
        <v>21709.191602249572</v>
      </c>
      <c r="K15">
        <f>Calc_BankMonth!K15*(1+Control!$B$25)^K$2*HLOOKUP(K$2,FX!$B$40:$AK$43,2,FALSE)</f>
        <v>21790.940920887595</v>
      </c>
      <c r="L15">
        <f>Calc_BankMonth!L15*(1+Control!$B$25)^L$2*HLOOKUP(L$2,FX!$B$40:$AK$43,2,FALSE)</f>
        <v>21975.15948103039</v>
      </c>
      <c r="M15">
        <f>Calc_BankMonth!M15*(1+Control!$B$25)^M$2*HLOOKUP(M$2,FX!$B$40:$AK$43,2,FALSE)</f>
        <v>21891.526970400013</v>
      </c>
      <c r="N15">
        <f>Calc_BankMonth!N15*(1+Control!$B$25)^N$2*HLOOKUP(N$2,FX!$B$40:$AK$43,2,FALSE)</f>
        <v>22067.973796083013</v>
      </c>
      <c r="O15">
        <f>Calc_BankMonth!O15*(1+Control!$B$25)^O$2*HLOOKUP(O$2,FX!$B$40:$AK$43,2,FALSE)</f>
        <v>22163.56399774531</v>
      </c>
      <c r="P15">
        <f>Calc_BankMonth!P15*(1+Control!$B$25)^P$2*HLOOKUP(P$2,FX!$B$40:$AK$43,2,FALSE)</f>
        <v>22243.149926552498</v>
      </c>
      <c r="Q15">
        <f>Calc_BankMonth!Q15*(1+Control!$B$25)^Q$2*HLOOKUP(Q$2,FX!$B$40:$AK$43,2,FALSE)</f>
        <v>22208.025844711188</v>
      </c>
      <c r="R15">
        <f>Calc_BankMonth!R15*(1+Control!$B$25)^R$2*HLOOKUP(R$2,FX!$B$40:$AK$43,2,FALSE)</f>
        <v>22292.141085071427</v>
      </c>
      <c r="S15">
        <f>Calc_BankMonth!S15*(1+Control!$B$25)^S$2*HLOOKUP(S$2,FX!$B$40:$AK$43,2,FALSE)</f>
        <v>22268.76522169212</v>
      </c>
      <c r="T15">
        <f>Calc_BankMonth!T15*(1+Control!$B$25)^T$2*HLOOKUP(T$2,FX!$B$40:$AK$43,2,FALSE)</f>
        <v>22390.714235215484</v>
      </c>
      <c r="U15">
        <f>Calc_BankMonth!U15*(1+Control!$B$25)^U$2*HLOOKUP(U$2,FX!$B$40:$AK$43,2,FALSE)</f>
        <v>22485.298076139785</v>
      </c>
      <c r="V15">
        <f>Calc_BankMonth!V15*(1+Control!$B$25)^V$2*HLOOKUP(V$2,FX!$B$40:$AK$43,2,FALSE)</f>
        <v>22636.968273092229</v>
      </c>
      <c r="W15">
        <f>Calc_BankMonth!W15*(1+Control!$B$25)^W$2*HLOOKUP(W$2,FX!$B$40:$AK$43,2,FALSE)</f>
        <v>22823.621756739474</v>
      </c>
      <c r="X15">
        <f>Calc_BankMonth!X15*(1+Control!$B$25)^X$2*HLOOKUP(X$2,FX!$B$40:$AK$43,2,FALSE)</f>
        <v>22927.083087113173</v>
      </c>
      <c r="Y15">
        <f>Calc_BankMonth!Y15*(1+Control!$B$25)^Y$2*HLOOKUP(Y$2,FX!$B$40:$AK$43,2,FALSE)</f>
        <v>23088.475951482011</v>
      </c>
      <c r="Z15">
        <f>Calc_BankMonth!Z15*(1+Control!$B$25)^Z$2*HLOOKUP(Z$2,FX!$B$40:$AK$43,2,FALSE)</f>
        <v>23443.400679889077</v>
      </c>
      <c r="AA15">
        <f>Calc_BankMonth!AA15*(1+Control!$B$25)^AA$2*HLOOKUP(AA$2,FX!$B$40:$AK$43,2,FALSE)</f>
        <v>23809.10446257377</v>
      </c>
      <c r="AB15">
        <f>Calc_BankMonth!AB15*(1+Control!$B$25)^AB$2*HLOOKUP(AB$2,FX!$B$40:$AK$43,2,FALSE)</f>
        <v>23947.848444794497</v>
      </c>
      <c r="AC15">
        <f>Calc_BankMonth!AC15*(1+Control!$B$25)^AC$2*HLOOKUP(AC$2,FX!$B$40:$AK$43,2,FALSE)</f>
        <v>24286.69527961074</v>
      </c>
      <c r="AD15">
        <f>Calc_BankMonth!AD15*(1+Control!$B$25)^AD$2*HLOOKUP(AD$2,FX!$B$40:$AK$43,2,FALSE)</f>
        <v>24738.227708860402</v>
      </c>
      <c r="AE15">
        <f>Calc_BankMonth!AE15*(1+Control!$B$25)^AE$2*HLOOKUP(AE$2,FX!$B$40:$AK$43,2,FALSE)</f>
        <v>25110.304213078067</v>
      </c>
      <c r="AF15">
        <f>Calc_BankMonth!AF15*(1+Control!$B$25)^AF$2*HLOOKUP(AF$2,FX!$B$40:$AK$43,2,FALSE)</f>
        <v>25574.588512696624</v>
      </c>
      <c r="AG15">
        <f>Calc_BankMonth!AG15*(1+Control!$B$25)^AG$2*HLOOKUP(AG$2,FX!$B$40:$AK$43,2,FALSE)</f>
        <v>25953.948782103078</v>
      </c>
      <c r="AH15">
        <f>Calc_BankMonth!AH15*(1+Control!$B$25)^AH$2*HLOOKUP(AH$2,FX!$B$40:$AK$43,2,FALSE)</f>
        <v>26378.491115813562</v>
      </c>
      <c r="AI15">
        <f>Calc_BankMonth!AI15*(1+Control!$B$25)^AI$2*HLOOKUP(AI$2,FX!$B$40:$AK$43,2,FALSE)</f>
        <v>26804.875589577838</v>
      </c>
      <c r="AJ15">
        <f>Calc_BankMonth!AJ15*(1+Control!$B$25)^AJ$2*HLOOKUP(AJ$2,FX!$B$40:$AK$43,2,FALSE)</f>
        <v>27332.963375542105</v>
      </c>
      <c r="AK15">
        <f>Calc_BankMonth!AK15*(1+Control!$B$25)^AK$2*HLOOKUP(AK$2,FX!$B$40:$AK$43,2,FALSE)</f>
        <v>27592.594208691171</v>
      </c>
      <c r="AL15" cm="1">
        <f t="array" ref="AL15">INDEX(B15:AK15,Control!$B$3)</f>
        <v>22067.973796083013</v>
      </c>
    </row>
    <row r="16" spans="1:38" x14ac:dyDescent="0.25">
      <c r="A16" t="s">
        <v>37</v>
      </c>
      <c r="B16">
        <f>Calc_BankMonth!B16*(1+Control!$B$25)^B$2*HLOOKUP(B$2,FX!$B$40:$AK$43,2,FALSE)</f>
        <v>20426.911132726447</v>
      </c>
      <c r="C16">
        <f>Calc_BankMonth!C16*(1+Control!$B$25)^C$2*HLOOKUP(C$2,FX!$B$40:$AK$43,2,FALSE)</f>
        <v>20857.570903294181</v>
      </c>
      <c r="D16">
        <f>Calc_BankMonth!D16*(1+Control!$B$25)^D$2*HLOOKUP(D$2,FX!$B$40:$AK$43,2,FALSE)</f>
        <v>21059.865256740992</v>
      </c>
      <c r="E16">
        <f>Calc_BankMonth!E16*(1+Control!$B$25)^E$2*HLOOKUP(E$2,FX!$B$40:$AK$43,2,FALSE)</f>
        <v>21502.54494052767</v>
      </c>
      <c r="F16">
        <f>Calc_BankMonth!F16*(1+Control!$B$25)^F$2*HLOOKUP(F$2,FX!$B$40:$AK$43,2,FALSE)</f>
        <v>21748.66466460939</v>
      </c>
      <c r="G16">
        <f>Calc_BankMonth!G16*(1+Control!$B$25)^G$2*HLOOKUP(G$2,FX!$B$40:$AK$43,2,FALSE)</f>
        <v>22024.545175832605</v>
      </c>
      <c r="H16">
        <f>Calc_BankMonth!H16*(1+Control!$B$25)^H$2*HLOOKUP(H$2,FX!$B$40:$AK$43,2,FALSE)</f>
        <v>22354.307725885996</v>
      </c>
      <c r="I16">
        <f>Calc_BankMonth!I16*(1+Control!$B$25)^I$2*HLOOKUP(I$2,FX!$B$40:$AK$43,2,FALSE)</f>
        <v>22645.88620882318</v>
      </c>
      <c r="J16">
        <f>Calc_BankMonth!J16*(1+Control!$B$25)^J$2*HLOOKUP(J$2,FX!$B$40:$AK$43,2,FALSE)</f>
        <v>22877.345754157413</v>
      </c>
      <c r="K16">
        <f>Calc_BankMonth!K16*(1+Control!$B$25)^K$2*HLOOKUP(K$2,FX!$B$40:$AK$43,2,FALSE)</f>
        <v>23002.533240564811</v>
      </c>
      <c r="L16">
        <f>Calc_BankMonth!L16*(1+Control!$B$25)^L$2*HLOOKUP(L$2,FX!$B$40:$AK$43,2,FALSE)</f>
        <v>23204.529691241976</v>
      </c>
      <c r="M16">
        <f>Calc_BankMonth!M16*(1+Control!$B$25)^M$2*HLOOKUP(M$2,FX!$B$40:$AK$43,2,FALSE)</f>
        <v>23291.148094200013</v>
      </c>
      <c r="N16">
        <f>Calc_BankMonth!N16*(1+Control!$B$25)^N$2*HLOOKUP(N$2,FX!$B$40:$AK$43,2,FALSE)</f>
        <v>23405.406630150417</v>
      </c>
      <c r="O16">
        <f>Calc_BankMonth!O16*(1+Control!$B$25)^O$2*HLOOKUP(O$2,FX!$B$40:$AK$43,2,FALSE)</f>
        <v>23431.489326600076</v>
      </c>
      <c r="P16">
        <f>Calc_BankMonth!P16*(1+Control!$B$25)^P$2*HLOOKUP(P$2,FX!$B$40:$AK$43,2,FALSE)</f>
        <v>23540.440315248528</v>
      </c>
      <c r="Q16">
        <f>Calc_BankMonth!Q16*(1+Control!$B$25)^Q$2*HLOOKUP(Q$2,FX!$B$40:$AK$43,2,FALSE)</f>
        <v>23502.30339569776</v>
      </c>
      <c r="R16">
        <f>Calc_BankMonth!R16*(1+Control!$B$25)^R$2*HLOOKUP(R$2,FX!$B$40:$AK$43,2,FALSE)</f>
        <v>23478.74708180481</v>
      </c>
      <c r="S16">
        <f>Calc_BankMonth!S16*(1+Control!$B$25)^S$2*HLOOKUP(S$2,FX!$B$40:$AK$43,2,FALSE)</f>
        <v>23614.047050696063</v>
      </c>
      <c r="T16">
        <f>Calc_BankMonth!T16*(1+Control!$B$25)^T$2*HLOOKUP(T$2,FX!$B$40:$AK$43,2,FALSE)</f>
        <v>23701.722631781449</v>
      </c>
      <c r="U16">
        <f>Calc_BankMonth!U16*(1+Control!$B$25)^U$2*HLOOKUP(U$2,FX!$B$40:$AK$43,2,FALSE)</f>
        <v>23679.552492378643</v>
      </c>
      <c r="V16">
        <f>Calc_BankMonth!V16*(1+Control!$B$25)^V$2*HLOOKUP(V$2,FX!$B$40:$AK$43,2,FALSE)</f>
        <v>23874.528285296459</v>
      </c>
      <c r="W16">
        <f>Calc_BankMonth!W16*(1+Control!$B$25)^W$2*HLOOKUP(W$2,FX!$B$40:$AK$43,2,FALSE)</f>
        <v>23961.853419978797</v>
      </c>
      <c r="X16">
        <f>Calc_BankMonth!X16*(1+Control!$B$25)^X$2*HLOOKUP(X$2,FX!$B$40:$AK$43,2,FALSE)</f>
        <v>24303.584661119679</v>
      </c>
      <c r="Y16">
        <f>Calc_BankMonth!Y16*(1+Control!$B$25)^Y$2*HLOOKUP(Y$2,FX!$B$40:$AK$43,2,FALSE)</f>
        <v>24384.90177739401</v>
      </c>
      <c r="Z16">
        <f>Calc_BankMonth!Z16*(1+Control!$B$25)^Z$2*HLOOKUP(Z$2,FX!$B$40:$AK$43,2,FALSE)</f>
        <v>24796.717597426377</v>
      </c>
      <c r="AA16">
        <f>Calc_BankMonth!AA16*(1+Control!$B$25)^AA$2*HLOOKUP(AA$2,FX!$B$40:$AK$43,2,FALSE)</f>
        <v>25072.752809641945</v>
      </c>
      <c r="AB16">
        <f>Calc_BankMonth!AB16*(1+Control!$B$25)^AB$2*HLOOKUP(AB$2,FX!$B$40:$AK$43,2,FALSE)</f>
        <v>25353.558285148531</v>
      </c>
      <c r="AC16">
        <f>Calc_BankMonth!AC16*(1+Control!$B$25)^AC$2*HLOOKUP(AC$2,FX!$B$40:$AK$43,2,FALSE)</f>
        <v>25741.162439601572</v>
      </c>
      <c r="AD16">
        <f>Calc_BankMonth!AD16*(1+Control!$B$25)^AD$2*HLOOKUP(AD$2,FX!$B$40:$AK$43,2,FALSE)</f>
        <v>26197.155381536035</v>
      </c>
      <c r="AE16">
        <f>Calc_BankMonth!AE16*(1+Control!$B$25)^AE$2*HLOOKUP(AE$2,FX!$B$40:$AK$43,2,FALSE)</f>
        <v>26547.42855285425</v>
      </c>
      <c r="AF16">
        <f>Calc_BankMonth!AF16*(1+Control!$B$25)^AF$2*HLOOKUP(AF$2,FX!$B$40:$AK$43,2,FALSE)</f>
        <v>26987.228053811483</v>
      </c>
      <c r="AG16">
        <f>Calc_BankMonth!AG16*(1+Control!$B$25)^AG$2*HLOOKUP(AG$2,FX!$B$40:$AK$43,2,FALSE)</f>
        <v>27496.952983333347</v>
      </c>
      <c r="AH16">
        <f>Calc_BankMonth!AH16*(1+Control!$B$25)^AH$2*HLOOKUP(AH$2,FX!$B$40:$AK$43,2,FALSE)</f>
        <v>27885.754193021072</v>
      </c>
      <c r="AI16">
        <f>Calc_BankMonth!AI16*(1+Control!$B$25)^AI$2*HLOOKUP(AI$2,FX!$B$40:$AK$43,2,FALSE)</f>
        <v>28388.895534083407</v>
      </c>
      <c r="AJ16">
        <f>Calc_BankMonth!AJ16*(1+Control!$B$25)^AJ$2*HLOOKUP(AJ$2,FX!$B$40:$AK$43,2,FALSE)</f>
        <v>28679.125445837541</v>
      </c>
      <c r="AK16">
        <f>Calc_BankMonth!AK16*(1+Control!$B$25)^AK$2*HLOOKUP(AK$2,FX!$B$40:$AK$43,2,FALSE)</f>
        <v>29242.587818497203</v>
      </c>
      <c r="AL16" cm="1">
        <f t="array" ref="AL16">INDEX(B16:AK16,Control!$B$3)</f>
        <v>23405.406630150417</v>
      </c>
    </row>
    <row r="17" spans="1:38" x14ac:dyDescent="0.25">
      <c r="A17" t="s">
        <v>38</v>
      </c>
      <c r="B17">
        <f>Calc_BankMonth!B17*(1+Control!$B$25)^B$2*HLOOKUP(B$2,FX!$B$40:$AK$43,2,FALSE)</f>
        <v>21525.278137703266</v>
      </c>
      <c r="C17">
        <f>Calc_BankMonth!C17*(1+Control!$B$25)^C$2*HLOOKUP(C$2,FX!$B$40:$AK$43,2,FALSE)</f>
        <v>21863.620927145028</v>
      </c>
      <c r="D17">
        <f>Calc_BankMonth!D17*(1+Control!$B$25)^D$2*HLOOKUP(D$2,FX!$B$40:$AK$43,2,FALSE)</f>
        <v>22289.124805738724</v>
      </c>
      <c r="E17">
        <f>Calc_BankMonth!E17*(1+Control!$B$25)^E$2*HLOOKUP(E$2,FX!$B$40:$AK$43,2,FALSE)</f>
        <v>22514.955069246447</v>
      </c>
      <c r="F17">
        <f>Calc_BankMonth!F17*(1+Control!$B$25)^F$2*HLOOKUP(F$2,FX!$B$40:$AK$43,2,FALSE)</f>
        <v>22978.126476694168</v>
      </c>
      <c r="G17">
        <f>Calc_BankMonth!G17*(1+Control!$B$25)^G$2*HLOOKUP(G$2,FX!$B$40:$AK$43,2,FALSE)</f>
        <v>23352.995785195042</v>
      </c>
      <c r="H17">
        <f>Calc_BankMonth!H17*(1+Control!$B$25)^H$2*HLOOKUP(H$2,FX!$B$40:$AK$43,2,FALSE)</f>
        <v>23584.143449921648</v>
      </c>
      <c r="I17">
        <f>Calc_BankMonth!I17*(1+Control!$B$25)^I$2*HLOOKUP(I$2,FX!$B$40:$AK$43,2,FALSE)</f>
        <v>23823.142544207207</v>
      </c>
      <c r="J17">
        <f>Calc_BankMonth!J17*(1+Control!$B$25)^J$2*HLOOKUP(J$2,FX!$B$40:$AK$43,2,FALSE)</f>
        <v>24063.329216787875</v>
      </c>
      <c r="K17">
        <f>Calc_BankMonth!K17*(1+Control!$B$25)^K$2*HLOOKUP(K$2,FX!$B$40:$AK$43,2,FALSE)</f>
        <v>24313.317646021875</v>
      </c>
      <c r="L17">
        <f>Calc_BankMonth!L17*(1+Control!$B$25)^L$2*HLOOKUP(L$2,FX!$B$40:$AK$43,2,FALSE)</f>
        <v>24372.342338410552</v>
      </c>
      <c r="M17">
        <f>Calc_BankMonth!M17*(1+Control!$B$25)^M$2*HLOOKUP(M$2,FX!$B$40:$AK$43,2,FALSE)</f>
        <v>24472.435874400013</v>
      </c>
      <c r="N17">
        <f>Calc_BankMonth!N17*(1+Control!$B$25)^N$2*HLOOKUP(N$2,FX!$B$40:$AK$43,2,FALSE)</f>
        <v>24524.471789473126</v>
      </c>
      <c r="O17">
        <f>Calc_BankMonth!O17*(1+Control!$B$25)^O$2*HLOOKUP(O$2,FX!$B$40:$AK$43,2,FALSE)</f>
        <v>24709.554531172387</v>
      </c>
      <c r="P17">
        <f>Calc_BankMonth!P17*(1+Control!$B$25)^P$2*HLOOKUP(P$2,FX!$B$40:$AK$43,2,FALSE)</f>
        <v>24765.994176151613</v>
      </c>
      <c r="Q17">
        <f>Calc_BankMonth!Q17*(1+Control!$B$25)^Q$2*HLOOKUP(Q$2,FX!$B$40:$AK$43,2,FALSE)</f>
        <v>24699.766628272704</v>
      </c>
      <c r="R17">
        <f>Calc_BankMonth!R17*(1+Control!$B$25)^R$2*HLOOKUP(R$2,FX!$B$40:$AK$43,2,FALSE)</f>
        <v>24813.597375219604</v>
      </c>
      <c r="S17">
        <f>Calc_BankMonth!S17*(1+Control!$B$25)^S$2*HLOOKUP(S$2,FX!$B$40:$AK$43,2,FALSE)</f>
        <v>24809.072411856265</v>
      </c>
      <c r="T17">
        <f>Calc_BankMonth!T17*(1+Control!$B$25)^T$2*HLOOKUP(T$2,FX!$B$40:$AK$43,2,FALSE)</f>
        <v>24998.196567188133</v>
      </c>
      <c r="U17">
        <f>Calc_BankMonth!U17*(1+Control!$B$25)^U$2*HLOOKUP(U$2,FX!$B$40:$AK$43,2,FALSE)</f>
        <v>25019.560256083332</v>
      </c>
      <c r="V17">
        <f>Calc_BankMonth!V17*(1+Control!$B$25)^V$2*HLOOKUP(V$2,FX!$B$40:$AK$43,2,FALSE)</f>
        <v>25231.741593928637</v>
      </c>
      <c r="W17">
        <f>Calc_BankMonth!W17*(1+Control!$B$25)^W$2*HLOOKUP(W$2,FX!$B$40:$AK$43,2,FALSE)</f>
        <v>25323.941592608018</v>
      </c>
      <c r="X17">
        <f>Calc_BankMonth!X17*(1+Control!$B$25)^X$2*HLOOKUP(X$2,FX!$B$40:$AK$43,2,FALSE)</f>
        <v>25501.124956138956</v>
      </c>
      <c r="Y17">
        <f>Calc_BankMonth!Y17*(1+Control!$B$25)^Y$2*HLOOKUP(Y$2,FX!$B$40:$AK$43,2,FALSE)</f>
        <v>25857.614873800016</v>
      </c>
      <c r="Z17">
        <f>Calc_BankMonth!Z17*(1+Control!$B$25)^Z$2*HLOOKUP(Z$2,FX!$B$40:$AK$43,2,FALSE)</f>
        <v>25986.74779093184</v>
      </c>
      <c r="AA17">
        <f>Calc_BankMonth!AA17*(1+Control!$B$25)^AA$2*HLOOKUP(AA$2,FX!$B$40:$AK$43,2,FALSE)</f>
        <v>26336.509615069663</v>
      </c>
      <c r="AB17">
        <f>Calc_BankMonth!AB17*(1+Control!$B$25)^AB$2*HLOOKUP(AB$2,FX!$B$40:$AK$43,2,FALSE)</f>
        <v>26688.17450321616</v>
      </c>
      <c r="AC17">
        <f>Calc_BankMonth!AC17*(1+Control!$B$25)^AC$2*HLOOKUP(AC$2,FX!$B$40:$AK$43,2,FALSE)</f>
        <v>27052.73689798265</v>
      </c>
      <c r="AD17">
        <f>Calc_BankMonth!AD17*(1+Control!$B$25)^AD$2*HLOOKUP(AD$2,FX!$B$40:$AK$43,2,FALSE)</f>
        <v>27533.996591692019</v>
      </c>
      <c r="AE17">
        <f>Calc_BankMonth!AE17*(1+Control!$B$25)^AE$2*HLOOKUP(AE$2,FX!$B$40:$AK$43,2,FALSE)</f>
        <v>27941.928224419771</v>
      </c>
      <c r="AF17">
        <f>Calc_BankMonth!AF17*(1+Control!$B$25)^AF$2*HLOOKUP(AF$2,FX!$B$40:$AK$43,2,FALSE)</f>
        <v>28456.069504960276</v>
      </c>
      <c r="AG17">
        <f>Calc_BankMonth!AG17*(1+Control!$B$25)^AG$2*HLOOKUP(AG$2,FX!$B$40:$AK$43,2,FALSE)</f>
        <v>28904.085820553202</v>
      </c>
      <c r="AH17">
        <f>Calc_BankMonth!AH17*(1+Control!$B$25)^AH$2*HLOOKUP(AH$2,FX!$B$40:$AK$43,2,FALSE)</f>
        <v>29417.29440216703</v>
      </c>
      <c r="AI17">
        <f>Calc_BankMonth!AI17*(1+Control!$B$25)^AI$2*HLOOKUP(AI$2,FX!$B$40:$AK$43,2,FALSE)</f>
        <v>29870.107052840533</v>
      </c>
      <c r="AJ17">
        <f>Calc_BankMonth!AJ17*(1+Control!$B$25)^AJ$2*HLOOKUP(AJ$2,FX!$B$40:$AK$43,2,FALSE)</f>
        <v>30302.947420288507</v>
      </c>
      <c r="AK17">
        <f>Calc_BankMonth!AK17*(1+Control!$B$25)^AK$2*HLOOKUP(AK$2,FX!$B$40:$AK$43,2,FALSE)</f>
        <v>30706.507973707845</v>
      </c>
      <c r="AL17" cm="1">
        <f t="array" ref="AL17">INDEX(B17:AK17,Control!$B$3)</f>
        <v>24524.471789473126</v>
      </c>
    </row>
    <row r="18" spans="1:38" x14ac:dyDescent="0.25">
      <c r="A18" t="s">
        <v>39</v>
      </c>
      <c r="B18">
        <f>Calc_BankMonth!B18*(1+Control!$B$25)^B$2*HLOOKUP(B$2,FX!$B$40:$AK$43,2,FALSE)</f>
        <v>22592.357167934217</v>
      </c>
      <c r="C18">
        <f>Calc_BankMonth!C18*(1+Control!$B$25)^C$2*HLOOKUP(C$2,FX!$B$40:$AK$43,2,FALSE)</f>
        <v>23002.697048049296</v>
      </c>
      <c r="D18">
        <f>Calc_BankMonth!D18*(1+Control!$B$25)^D$2*HLOOKUP(D$2,FX!$B$40:$AK$43,2,FALSE)</f>
        <v>23361.335719838575</v>
      </c>
      <c r="E18">
        <f>Calc_BankMonth!E18*(1+Control!$B$25)^E$2*HLOOKUP(E$2,FX!$B$40:$AK$43,2,FALSE)</f>
        <v>23726.795826119731</v>
      </c>
      <c r="F18">
        <f>Calc_BankMonth!F18*(1+Control!$B$25)^F$2*HLOOKUP(F$2,FX!$B$40:$AK$43,2,FALSE)</f>
        <v>24199.136493445443</v>
      </c>
      <c r="G18">
        <f>Calc_BankMonth!G18*(1+Control!$B$25)^G$2*HLOOKUP(G$2,FX!$B$40:$AK$43,2,FALSE)</f>
        <v>24577.440371118355</v>
      </c>
      <c r="H18">
        <f>Calc_BankMonth!H18*(1+Control!$B$25)^H$2*HLOOKUP(H$2,FX!$B$40:$AK$43,2,FALSE)</f>
        <v>24822.851647392494</v>
      </c>
      <c r="I18">
        <f>Calc_BankMonth!I18*(1+Control!$B$25)^I$2*HLOOKUP(I$2,FX!$B$40:$AK$43,2,FALSE)</f>
        <v>25034.219133414404</v>
      </c>
      <c r="J18">
        <f>Calc_BankMonth!J18*(1+Control!$B$25)^J$2*HLOOKUP(J$2,FX!$B$40:$AK$43,2,FALSE)</f>
        <v>25246.526849617938</v>
      </c>
      <c r="K18">
        <f>Calc_BankMonth!K18*(1+Control!$B$25)^K$2*HLOOKUP(K$2,FX!$B$40:$AK$43,2,FALSE)</f>
        <v>25453.357921799467</v>
      </c>
      <c r="L18">
        <f>Calc_BankMonth!L18*(1+Control!$B$25)^L$2*HLOOKUP(L$2,FX!$B$40:$AK$43,2,FALSE)</f>
        <v>25538.596566261582</v>
      </c>
      <c r="M18">
        <f>Calc_BankMonth!M18*(1+Control!$B$25)^M$2*HLOOKUP(M$2,FX!$B$40:$AK$43,2,FALSE)</f>
        <v>25688.483744400015</v>
      </c>
      <c r="N18">
        <f>Calc_BankMonth!N18*(1+Control!$B$25)^N$2*HLOOKUP(N$2,FX!$B$40:$AK$43,2,FALSE)</f>
        <v>25894.443952671278</v>
      </c>
      <c r="O18">
        <f>Calc_BankMonth!O18*(1+Control!$B$25)^O$2*HLOOKUP(O$2,FX!$B$40:$AK$43,2,FALSE)</f>
        <v>25974.614242976539</v>
      </c>
      <c r="P18">
        <f>Calc_BankMonth!P18*(1+Control!$B$25)^P$2*HLOOKUP(P$2,FX!$B$40:$AK$43,2,FALSE)</f>
        <v>26022.809367973645</v>
      </c>
      <c r="Q18">
        <f>Calc_BankMonth!Q18*(1+Control!$B$25)^Q$2*HLOOKUP(Q$2,FX!$B$40:$AK$43,2,FALSE)</f>
        <v>25990.878885872651</v>
      </c>
      <c r="R18">
        <f>Calc_BankMonth!R18*(1+Control!$B$25)^R$2*HLOOKUP(R$2,FX!$B$40:$AK$43,2,FALSE)</f>
        <v>26046.251417222513</v>
      </c>
      <c r="S18">
        <f>Calc_BankMonth!S18*(1+Control!$B$25)^S$2*HLOOKUP(S$2,FX!$B$40:$AK$43,2,FALSE)</f>
        <v>26171.217556675769</v>
      </c>
      <c r="T18">
        <f>Calc_BankMonth!T18*(1+Control!$B$25)^T$2*HLOOKUP(T$2,FX!$B$40:$AK$43,2,FALSE)</f>
        <v>26115.627473647695</v>
      </c>
      <c r="U18">
        <f>Calc_BankMonth!U18*(1+Control!$B$25)^U$2*HLOOKUP(U$2,FX!$B$40:$AK$43,2,FALSE)</f>
        <v>26355.811490214161</v>
      </c>
      <c r="V18">
        <f>Calc_BankMonth!V18*(1+Control!$B$25)^V$2*HLOOKUP(V$2,FX!$B$40:$AK$43,2,FALSE)</f>
        <v>26437.379777721475</v>
      </c>
      <c r="W18">
        <f>Calc_BankMonth!W18*(1+Control!$B$25)^W$2*HLOOKUP(W$2,FX!$B$40:$AK$43,2,FALSE)</f>
        <v>26631.751788068093</v>
      </c>
      <c r="X18">
        <f>Calc_BankMonth!X18*(1+Control!$B$25)^X$2*HLOOKUP(X$2,FX!$B$40:$AK$43,2,FALSE)</f>
        <v>26775.500722435987</v>
      </c>
      <c r="Y18">
        <f>Calc_BankMonth!Y18*(1+Control!$B$25)^Y$2*HLOOKUP(Y$2,FX!$B$40:$AK$43,2,FALSE)</f>
        <v>27078.949412646016</v>
      </c>
      <c r="Z18">
        <f>Calc_BankMonth!Z18*(1+Control!$B$25)^Z$2*HLOOKUP(Z$2,FX!$B$40:$AK$43,2,FALSE)</f>
        <v>27259.068453681884</v>
      </c>
      <c r="AA18">
        <f>Calc_BankMonth!AA18*(1+Control!$B$25)^AA$2*HLOOKUP(AA$2,FX!$B$40:$AK$43,2,FALSE)</f>
        <v>27777.595838354777</v>
      </c>
      <c r="AB18">
        <f>Calc_BankMonth!AB18*(1+Control!$B$25)^AB$2*HLOOKUP(AB$2,FX!$B$40:$AK$43,2,FALSE)</f>
        <v>28033.929814176594</v>
      </c>
      <c r="AC18">
        <f>Calc_BankMonth!AC18*(1+Control!$B$25)^AC$2*HLOOKUP(AC$2,FX!$B$40:$AK$43,2,FALSE)</f>
        <v>28504.231713641075</v>
      </c>
      <c r="AD18">
        <f>Calc_BankMonth!AD18*(1+Control!$B$25)^AD$2*HLOOKUP(AD$2,FX!$B$40:$AK$43,2,FALSE)</f>
        <v>28925.715611206244</v>
      </c>
      <c r="AE18">
        <f>Calc_BankMonth!AE18*(1+Control!$B$25)^AE$2*HLOOKUP(AE$2,FX!$B$40:$AK$43,2,FALSE)</f>
        <v>29283.034890542476</v>
      </c>
      <c r="AF18">
        <f>Calc_BankMonth!AF18*(1+Control!$B$25)^AF$2*HLOOKUP(AF$2,FX!$B$40:$AK$43,2,FALSE)</f>
        <v>29927.743713671254</v>
      </c>
      <c r="AG18">
        <f>Calc_BankMonth!AG18*(1+Control!$B$25)^AG$2*HLOOKUP(AG$2,FX!$B$40:$AK$43,2,FALSE)</f>
        <v>30387.109739777188</v>
      </c>
      <c r="AH18">
        <f>Calc_BankMonth!AH18*(1+Control!$B$25)^AH$2*HLOOKUP(AH$2,FX!$B$40:$AK$43,2,FALSE)</f>
        <v>30905.713800774687</v>
      </c>
      <c r="AI18">
        <f>Calc_BankMonth!AI18*(1+Control!$B$25)^AI$2*HLOOKUP(AI$2,FX!$B$40:$AK$43,2,FALSE)</f>
        <v>31394.49577650904</v>
      </c>
      <c r="AJ18">
        <f>Calc_BankMonth!AJ18*(1+Control!$B$25)^AJ$2*HLOOKUP(AJ$2,FX!$B$40:$AK$43,2,FALSE)</f>
        <v>31932.53681114627</v>
      </c>
      <c r="AK18">
        <f>Calc_BankMonth!AK18*(1+Control!$B$25)^AK$2*HLOOKUP(AK$2,FX!$B$40:$AK$43,2,FALSE)</f>
        <v>32319.618954846464</v>
      </c>
      <c r="AL18" cm="1">
        <f t="array" ref="AL18">INDEX(B18:AK18,Control!$B$3)</f>
        <v>25894.443952671278</v>
      </c>
    </row>
    <row r="19" spans="1:38" x14ac:dyDescent="0.25">
      <c r="A19" t="s">
        <v>40</v>
      </c>
      <c r="B19">
        <f>Calc_BankMonth!B19*(1+Control!$B$25)^B$2*HLOOKUP(B$2,FX!$B$40:$AK$43,2,FALSE)</f>
        <v>23707.163617269034</v>
      </c>
      <c r="C19">
        <f>Calc_BankMonth!C19*(1+Control!$B$25)^C$2*HLOOKUP(C$2,FX!$B$40:$AK$43,2,FALSE)</f>
        <v>24128.706193236554</v>
      </c>
      <c r="D19">
        <f>Calc_BankMonth!D19*(1+Control!$B$25)^D$2*HLOOKUP(D$2,FX!$B$40:$AK$43,2,FALSE)</f>
        <v>24432.357690384477</v>
      </c>
      <c r="E19">
        <f>Calc_BankMonth!E19*(1+Control!$B$25)^E$2*HLOOKUP(E$2,FX!$B$40:$AK$43,2,FALSE)</f>
        <v>24943.976528774205</v>
      </c>
      <c r="F19">
        <f>Calc_BankMonth!F19*(1+Control!$B$25)^F$2*HLOOKUP(F$2,FX!$B$40:$AK$43,2,FALSE)</f>
        <v>25304.565464921721</v>
      </c>
      <c r="G19">
        <f>Calc_BankMonth!G19*(1+Control!$B$25)^G$2*HLOOKUP(G$2,FX!$B$40:$AK$43,2,FALSE)</f>
        <v>25604.03061096642</v>
      </c>
      <c r="H19">
        <f>Calc_BankMonth!H19*(1+Control!$B$25)^H$2*HLOOKUP(H$2,FX!$B$40:$AK$43,2,FALSE)</f>
        <v>25857.603861771844</v>
      </c>
      <c r="I19">
        <f>Calc_BankMonth!I19*(1+Control!$B$25)^I$2*HLOOKUP(I$2,FX!$B$40:$AK$43,2,FALSE)</f>
        <v>26184.552766741836</v>
      </c>
      <c r="J19">
        <f>Calc_BankMonth!J19*(1+Control!$B$25)^J$2*HLOOKUP(J$2,FX!$B$40:$AK$43,2,FALSE)</f>
        <v>26452.122554043282</v>
      </c>
      <c r="K19">
        <f>Calc_BankMonth!K19*(1+Control!$B$25)^K$2*HLOOKUP(K$2,FX!$B$40:$AK$43,2,FALSE)</f>
        <v>26742.297778028606</v>
      </c>
      <c r="L19">
        <f>Calc_BankMonth!L19*(1+Control!$B$25)^L$2*HLOOKUP(L$2,FX!$B$40:$AK$43,2,FALSE)</f>
        <v>26773.421244084577</v>
      </c>
      <c r="M19">
        <f>Calc_BankMonth!M19*(1+Control!$B$25)^M$2*HLOOKUP(M$2,FX!$B$40:$AK$43,2,FALSE)</f>
        <v>26856.111808800015</v>
      </c>
      <c r="N19">
        <f>Calc_BankMonth!N19*(1+Control!$B$25)^N$2*HLOOKUP(N$2,FX!$B$40:$AK$43,2,FALSE)</f>
        <v>27135.808291209847</v>
      </c>
      <c r="O19">
        <f>Calc_BankMonth!O19*(1+Control!$B$25)^O$2*HLOOKUP(O$2,FX!$B$40:$AK$43,2,FALSE)</f>
        <v>27080.742424512209</v>
      </c>
      <c r="P19">
        <f>Calc_BankMonth!P19*(1+Control!$B$25)^P$2*HLOOKUP(P$2,FX!$B$40:$AK$43,2,FALSE)</f>
        <v>27164.560924237867</v>
      </c>
      <c r="Q19">
        <f>Calc_BankMonth!Q19*(1+Control!$B$25)^Q$2*HLOOKUP(Q$2,FX!$B$40:$AK$43,2,FALSE)</f>
        <v>27304.912233513689</v>
      </c>
      <c r="R19">
        <f>Calc_BankMonth!R19*(1+Control!$B$25)^R$2*HLOOKUP(R$2,FX!$B$40:$AK$43,2,FALSE)</f>
        <v>27333.967626564241</v>
      </c>
      <c r="S19">
        <f>Calc_BankMonth!S19*(1+Control!$B$25)^S$2*HLOOKUP(S$2,FX!$B$40:$AK$43,2,FALSE)</f>
        <v>27404.617771134195</v>
      </c>
      <c r="T19">
        <f>Calc_BankMonth!T19*(1+Control!$B$25)^T$2*HLOOKUP(T$2,FX!$B$40:$AK$43,2,FALSE)</f>
        <v>27405.318660513392</v>
      </c>
      <c r="U19">
        <f>Calc_BankMonth!U19*(1+Control!$B$25)^U$2*HLOOKUP(U$2,FX!$B$40:$AK$43,2,FALSE)</f>
        <v>27461.089820260691</v>
      </c>
      <c r="V19">
        <f>Calc_BankMonth!V19*(1+Control!$B$25)^V$2*HLOOKUP(V$2,FX!$B$40:$AK$43,2,FALSE)</f>
        <v>27677.082194517072</v>
      </c>
      <c r="W19">
        <f>Calc_BankMonth!W19*(1+Control!$B$25)^W$2*HLOOKUP(W$2,FX!$B$40:$AK$43,2,FALSE)</f>
        <v>27854.772717417793</v>
      </c>
      <c r="X19">
        <f>Calc_BankMonth!X19*(1+Control!$B$25)^X$2*HLOOKUP(X$2,FX!$B$40:$AK$43,2,FALSE)</f>
        <v>28132.070082136124</v>
      </c>
      <c r="Y19">
        <f>Calc_BankMonth!Y19*(1+Control!$B$25)^Y$2*HLOOKUP(Y$2,FX!$B$40:$AK$43,2,FALSE)</f>
        <v>28264.510849070015</v>
      </c>
      <c r="Z19">
        <f>Calc_BankMonth!Z19*(1+Control!$B$25)^Z$2*HLOOKUP(Z$2,FX!$B$40:$AK$43,2,FALSE)</f>
        <v>28643.877923013966</v>
      </c>
      <c r="AA19">
        <f>Calc_BankMonth!AA19*(1+Control!$B$25)^AA$2*HLOOKUP(AA$2,FX!$B$40:$AK$43,2,FALSE)</f>
        <v>28985.062755178227</v>
      </c>
      <c r="AB19">
        <f>Calc_BankMonth!AB19*(1+Control!$B$25)^AB$2*HLOOKUP(AB$2,FX!$B$40:$AK$43,2,FALSE)</f>
        <v>29319.512182157298</v>
      </c>
      <c r="AC19">
        <f>Calc_BankMonth!AC19*(1+Control!$B$25)^AC$2*HLOOKUP(AC$2,FX!$B$40:$AK$43,2,FALSE)</f>
        <v>29801.054537187239</v>
      </c>
      <c r="AD19">
        <f>Calc_BankMonth!AD19*(1+Control!$B$25)^AD$2*HLOOKUP(AD$2,FX!$B$40:$AK$43,2,FALSE)</f>
        <v>30228.008240976771</v>
      </c>
      <c r="AE19">
        <f>Calc_BankMonth!AE19*(1+Control!$B$25)^AE$2*HLOOKUP(AE$2,FX!$B$40:$AK$43,2,FALSE)</f>
        <v>30930.702657243408</v>
      </c>
      <c r="AF19">
        <f>Calc_BankMonth!AF19*(1+Control!$B$25)^AF$2*HLOOKUP(AF$2,FX!$B$40:$AK$43,2,FALSE)</f>
        <v>31341.742978415969</v>
      </c>
      <c r="AG19">
        <f>Calc_BankMonth!AG19*(1+Control!$B$25)^AG$2*HLOOKUP(AG$2,FX!$B$40:$AK$43,2,FALSE)</f>
        <v>31859.259371232856</v>
      </c>
      <c r="AH19">
        <f>Calc_BankMonth!AH19*(1+Control!$B$25)^AH$2*HLOOKUP(AH$2,FX!$B$40:$AK$43,2,FALSE)</f>
        <v>32409.277505496342</v>
      </c>
      <c r="AI19">
        <f>Calc_BankMonth!AI19*(1+Control!$B$25)^AI$2*HLOOKUP(AI$2,FX!$B$40:$AK$43,2,FALSE)</f>
        <v>32892.278006340261</v>
      </c>
      <c r="AJ19">
        <f>Calc_BankMonth!AJ19*(1+Control!$B$25)^AJ$2*HLOOKUP(AJ$2,FX!$B$40:$AK$43,2,FALSE)</f>
        <v>33370.742139199065</v>
      </c>
      <c r="AK19">
        <f>Calc_BankMonth!AK19*(1+Control!$B$25)^AK$2*HLOOKUP(AK$2,FX!$B$40:$AK$43,2,FALSE)</f>
        <v>33829.553450645384</v>
      </c>
      <c r="AL19" cm="1">
        <f t="array" ref="AL19">INDEX(B19:AK19,Control!$B$3)</f>
        <v>27135.808291209847</v>
      </c>
    </row>
    <row r="20" spans="1:38" x14ac:dyDescent="0.25">
      <c r="A20" t="s">
        <v>42</v>
      </c>
      <c r="B20">
        <f>Calc_BankMonth!B20*(1+Control!$B$25)^B$2*HLOOKUP(B$2,FX!$B$40:$AK$43,2,FALSE)</f>
        <v>24809.030632980135</v>
      </c>
      <c r="C20">
        <f>Calc_BankMonth!C20*(1+Control!$B$25)^C$2*HLOOKUP(C$2,FX!$B$40:$AK$43,2,FALSE)</f>
        <v>25101.660352361552</v>
      </c>
      <c r="D20">
        <f>Calc_BankMonth!D20*(1+Control!$B$25)^D$2*HLOOKUP(D$2,FX!$B$40:$AK$43,2,FALSE)</f>
        <v>25562.178323961667</v>
      </c>
      <c r="E20">
        <f>Calc_BankMonth!E20*(1+Control!$B$25)^E$2*HLOOKUP(E$2,FX!$B$40:$AK$43,2,FALSE)</f>
        <v>25996.381761609209</v>
      </c>
      <c r="F20">
        <f>Calc_BankMonth!F20*(1+Control!$B$25)^F$2*HLOOKUP(F$2,FX!$B$40:$AK$43,2,FALSE)</f>
        <v>26489.463265248047</v>
      </c>
      <c r="G20">
        <f>Calc_BankMonth!G20*(1+Control!$B$25)^G$2*HLOOKUP(G$2,FX!$B$40:$AK$43,2,FALSE)</f>
        <v>26726.787779068698</v>
      </c>
      <c r="H20">
        <f>Calc_BankMonth!H20*(1+Control!$B$25)^H$2*HLOOKUP(H$2,FX!$B$40:$AK$43,2,FALSE)</f>
        <v>27172.726236703282</v>
      </c>
      <c r="I20">
        <f>Calc_BankMonth!I20*(1+Control!$B$25)^I$2*HLOOKUP(I$2,FX!$B$40:$AK$43,2,FALSE)</f>
        <v>27480.62499384673</v>
      </c>
      <c r="J20">
        <f>Calc_BankMonth!J20*(1+Control!$B$25)^J$2*HLOOKUP(J$2,FX!$B$40:$AK$43,2,FALSE)</f>
        <v>27586.178149194118</v>
      </c>
      <c r="K20">
        <f>Calc_BankMonth!K20*(1+Control!$B$25)^K$2*HLOOKUP(K$2,FX!$B$40:$AK$43,2,FALSE)</f>
        <v>27875.428043336138</v>
      </c>
      <c r="L20">
        <f>Calc_BankMonth!L20*(1+Control!$B$25)^L$2*HLOOKUP(L$2,FX!$B$40:$AK$43,2,FALSE)</f>
        <v>28078.597422528153</v>
      </c>
      <c r="M20">
        <f>Calc_BankMonth!M20*(1+Control!$B$25)^M$2*HLOOKUP(M$2,FX!$B$40:$AK$43,2,FALSE)</f>
        <v>28213.421130000013</v>
      </c>
      <c r="N20">
        <f>Calc_BankMonth!N20*(1+Control!$B$25)^N$2*HLOOKUP(N$2,FX!$B$40:$AK$43,2,FALSE)</f>
        <v>28363.448558958578</v>
      </c>
      <c r="O20">
        <f>Calc_BankMonth!O20*(1+Control!$B$25)^O$2*HLOOKUP(O$2,FX!$B$40:$AK$43,2,FALSE)</f>
        <v>28271.296093000492</v>
      </c>
      <c r="P20">
        <f>Calc_BankMonth!P20*(1+Control!$B$25)^P$2*HLOOKUP(P$2,FX!$B$40:$AK$43,2,FALSE)</f>
        <v>28347.226432897769</v>
      </c>
      <c r="Q20">
        <f>Calc_BankMonth!Q20*(1+Control!$B$25)^Q$2*HLOOKUP(Q$2,FX!$B$40:$AK$43,2,FALSE)</f>
        <v>28534.574140193963</v>
      </c>
      <c r="R20">
        <f>Calc_BankMonth!R20*(1+Control!$B$25)^R$2*HLOOKUP(R$2,FX!$B$40:$AK$43,2,FALSE)</f>
        <v>28570.640012140204</v>
      </c>
      <c r="S20">
        <f>Calc_BankMonth!S20*(1+Control!$B$25)^S$2*HLOOKUP(S$2,FX!$B$40:$AK$43,2,FALSE)</f>
        <v>28637.801789236008</v>
      </c>
      <c r="T20">
        <f>Calc_BankMonth!T20*(1+Control!$B$25)^T$2*HLOOKUP(T$2,FX!$B$40:$AK$43,2,FALSE)</f>
        <v>28657.435573715509</v>
      </c>
      <c r="U20">
        <f>Calc_BankMonth!U20*(1+Control!$B$25)^U$2*HLOOKUP(U$2,FX!$B$40:$AK$43,2,FALSE)</f>
        <v>28807.430019532741</v>
      </c>
      <c r="V20">
        <f>Calc_BankMonth!V20*(1+Control!$B$25)^V$2*HLOOKUP(V$2,FX!$B$40:$AK$43,2,FALSE)</f>
        <v>28797.881156491705</v>
      </c>
      <c r="W20">
        <f>Calc_BankMonth!W20*(1+Control!$B$25)^W$2*HLOOKUP(W$2,FX!$B$40:$AK$43,2,FALSE)</f>
        <v>29189.026029960278</v>
      </c>
      <c r="X20">
        <f>Calc_BankMonth!X20*(1+Control!$B$25)^X$2*HLOOKUP(X$2,FX!$B$40:$AK$43,2,FALSE)</f>
        <v>29345.57758108899</v>
      </c>
      <c r="Y20">
        <f>Calc_BankMonth!Y20*(1+Control!$B$25)^Y$2*HLOOKUP(Y$2,FX!$B$40:$AK$43,2,FALSE)</f>
        <v>29667.396568376011</v>
      </c>
      <c r="Z20">
        <f>Calc_BankMonth!Z20*(1+Control!$B$25)^Z$2*HLOOKUP(Z$2,FX!$B$40:$AK$43,2,FALSE)</f>
        <v>29991.155173083778</v>
      </c>
      <c r="AA20">
        <f>Calc_BankMonth!AA20*(1+Control!$B$25)^AA$2*HLOOKUP(AA$2,FX!$B$40:$AK$43,2,FALSE)</f>
        <v>30266.498273211913</v>
      </c>
      <c r="AB20">
        <f>Calc_BankMonth!AB20*(1+Control!$B$25)^AB$2*HLOOKUP(AB$2,FX!$B$40:$AK$43,2,FALSE)</f>
        <v>30766.283776704393</v>
      </c>
      <c r="AC20">
        <f>Calc_BankMonth!AC20*(1+Control!$B$25)^AC$2*HLOOKUP(AC$2,FX!$B$40:$AK$43,2,FALSE)</f>
        <v>31101.840486509951</v>
      </c>
      <c r="AD20">
        <f>Calc_BankMonth!AD20*(1+Control!$B$25)^AD$2*HLOOKUP(AD$2,FX!$B$40:$AK$43,2,FALSE)</f>
        <v>31702.599417942914</v>
      </c>
      <c r="AE20">
        <f>Calc_BankMonth!AE20*(1+Control!$B$25)^AE$2*HLOOKUP(AE$2,FX!$B$40:$AK$43,2,FALSE)</f>
        <v>32216.285084512747</v>
      </c>
      <c r="AF20">
        <f>Calc_BankMonth!AF20*(1+Control!$B$25)^AF$2*HLOOKUP(AF$2,FX!$B$40:$AK$43,2,FALSE)</f>
        <v>32821.915459813536</v>
      </c>
      <c r="AG20">
        <f>Calc_BankMonth!AG20*(1+Control!$B$25)^AG$2*HLOOKUP(AG$2,FX!$B$40:$AK$43,2,FALSE)</f>
        <v>33249.909077519696</v>
      </c>
      <c r="AH20">
        <f>Calc_BankMonth!AH20*(1+Control!$B$25)^AH$2*HLOOKUP(AH$2,FX!$B$40:$AK$43,2,FALSE)</f>
        <v>33856.888201369358</v>
      </c>
      <c r="AI20">
        <f>Calc_BankMonth!AI20*(1+Control!$B$25)^AI$2*HLOOKUP(AI$2,FX!$B$40:$AK$43,2,FALSE)</f>
        <v>34374.656476581476</v>
      </c>
      <c r="AJ20">
        <f>Calc_BankMonth!AJ20*(1+Control!$B$25)^AJ$2*HLOOKUP(AJ$2,FX!$B$40:$AK$43,2,FALSE)</f>
        <v>34956.42854393983</v>
      </c>
      <c r="AK20">
        <f>Calc_BankMonth!AK20*(1+Control!$B$25)^AK$2*HLOOKUP(AK$2,FX!$B$40:$AK$43,2,FALSE)</f>
        <v>35315.650620520995</v>
      </c>
      <c r="AL20" cm="1">
        <f t="array" ref="AL20">INDEX(B20:AK20,Control!$B$3)</f>
        <v>28363.448558958578</v>
      </c>
    </row>
    <row r="21" spans="1:38" x14ac:dyDescent="0.25">
      <c r="A21" t="s">
        <v>43</v>
      </c>
      <c r="B21">
        <f>Calc_BankMonth!B21*(1+Control!$B$25)^B$2*HLOOKUP(B$2,FX!$B$40:$AK$43,2,FALSE)</f>
        <v>25778.2154235825</v>
      </c>
      <c r="C21">
        <f>Calc_BankMonth!C21*(1+Control!$B$25)^C$2*HLOOKUP(C$2,FX!$B$40:$AK$43,2,FALSE)</f>
        <v>26320.423603867861</v>
      </c>
      <c r="D21">
        <f>Calc_BankMonth!D21*(1+Control!$B$25)^D$2*HLOOKUP(D$2,FX!$B$40:$AK$43,2,FALSE)</f>
        <v>26632.443694064157</v>
      </c>
      <c r="E21">
        <f>Calc_BankMonth!E21*(1+Control!$B$25)^E$2*HLOOKUP(E$2,FX!$B$40:$AK$43,2,FALSE)</f>
        <v>27252.140848070623</v>
      </c>
      <c r="F21">
        <f>Calc_BankMonth!F21*(1+Control!$B$25)^F$2*HLOOKUP(F$2,FX!$B$40:$AK$43,2,FALSE)</f>
        <v>27572.719994420859</v>
      </c>
      <c r="G21">
        <f>Calc_BankMonth!G21*(1+Control!$B$25)^G$2*HLOOKUP(G$2,FX!$B$40:$AK$43,2,FALSE)</f>
        <v>28039.89142743533</v>
      </c>
      <c r="H21">
        <f>Calc_BankMonth!H21*(1+Control!$B$25)^H$2*HLOOKUP(H$2,FX!$B$40:$AK$43,2,FALSE)</f>
        <v>28307.404683146491</v>
      </c>
      <c r="I21">
        <f>Calc_BankMonth!I21*(1+Control!$B$25)^I$2*HLOOKUP(I$2,FX!$B$40:$AK$43,2,FALSE)</f>
        <v>28644.086225697618</v>
      </c>
      <c r="J21">
        <f>Calc_BankMonth!J21*(1+Control!$B$25)^J$2*HLOOKUP(J$2,FX!$B$40:$AK$43,2,FALSE)</f>
        <v>28992.019299672924</v>
      </c>
      <c r="K21">
        <f>Calc_BankMonth!K21*(1+Control!$B$25)^K$2*HLOOKUP(K$2,FX!$B$40:$AK$43,2,FALSE)</f>
        <v>29002.205557082496</v>
      </c>
      <c r="L21">
        <f>Calc_BankMonth!L21*(1+Control!$B$25)^L$2*HLOOKUP(L$2,FX!$B$40:$AK$43,2,FALSE)</f>
        <v>29401.02752913025</v>
      </c>
      <c r="M21">
        <f>Calc_BankMonth!M21*(1+Control!$B$25)^M$2*HLOOKUP(M$2,FX!$B$40:$AK$43,2,FALSE)</f>
        <v>29456.677377000011</v>
      </c>
      <c r="N21">
        <f>Calc_BankMonth!N21*(1+Control!$B$25)^N$2*HLOOKUP(N$2,FX!$B$40:$AK$43,2,FALSE)</f>
        <v>29596.512048229109</v>
      </c>
      <c r="O21">
        <f>Calc_BankMonth!O21*(1+Control!$B$25)^O$2*HLOOKUP(O$2,FX!$B$40:$AK$43,2,FALSE)</f>
        <v>29648.996598101719</v>
      </c>
      <c r="P21">
        <f>Calc_BankMonth!P21*(1+Control!$B$25)^P$2*HLOOKUP(P$2,FX!$B$40:$AK$43,2,FALSE)</f>
        <v>29657.898865004718</v>
      </c>
      <c r="Q21">
        <f>Calc_BankMonth!Q21*(1+Control!$B$25)^Q$2*HLOOKUP(Q$2,FX!$B$40:$AK$43,2,FALSE)</f>
        <v>29730.072707908246</v>
      </c>
      <c r="R21">
        <f>Calc_BankMonth!R21*(1+Control!$B$25)^R$2*HLOOKUP(R$2,FX!$B$40:$AK$43,2,FALSE)</f>
        <v>29879.859789791761</v>
      </c>
      <c r="S21">
        <f>Calc_BankMonth!S21*(1+Control!$B$25)^S$2*HLOOKUP(S$2,FX!$B$40:$AK$43,2,FALSE)</f>
        <v>29848.3932880721</v>
      </c>
      <c r="T21">
        <f>Calc_BankMonth!T21*(1+Control!$B$25)^T$2*HLOOKUP(T$2,FX!$B$40:$AK$43,2,FALSE)</f>
        <v>30046.499409840493</v>
      </c>
      <c r="U21">
        <f>Calc_BankMonth!U21*(1+Control!$B$25)^U$2*HLOOKUP(U$2,FX!$B$40:$AK$43,2,FALSE)</f>
        <v>30085.830698226102</v>
      </c>
      <c r="V21">
        <f>Calc_BankMonth!V21*(1+Control!$B$25)^V$2*HLOOKUP(V$2,FX!$B$40:$AK$43,2,FALSE)</f>
        <v>30074.004451340566</v>
      </c>
      <c r="W21">
        <f>Calc_BankMonth!W21*(1+Control!$B$25)^W$2*HLOOKUP(W$2,FX!$B$40:$AK$43,2,FALSE)</f>
        <v>30436.991276233864</v>
      </c>
      <c r="X21">
        <f>Calc_BankMonth!X21*(1+Control!$B$25)^X$2*HLOOKUP(X$2,FX!$B$40:$AK$43,2,FALSE)</f>
        <v>30670.53402024947</v>
      </c>
      <c r="Y21">
        <f>Calc_BankMonth!Y21*(1+Control!$B$25)^Y$2*HLOOKUP(Y$2,FX!$B$40:$AK$43,2,FALSE)</f>
        <v>31009.263902770013</v>
      </c>
      <c r="Z21">
        <f>Calc_BankMonth!Z21*(1+Control!$B$25)^Z$2*HLOOKUP(Z$2,FX!$B$40:$AK$43,2,FALSE)</f>
        <v>31262.61302619561</v>
      </c>
      <c r="AA21">
        <f>Calc_BankMonth!AA21*(1+Control!$B$25)^AA$2*HLOOKUP(AA$2,FX!$B$40:$AK$43,2,FALSE)</f>
        <v>31591.208676704373</v>
      </c>
      <c r="AB21">
        <f>Calc_BankMonth!AB21*(1+Control!$B$25)^AB$2*HLOOKUP(AB$2,FX!$B$40:$AK$43,2,FALSE)</f>
        <v>32043.129601239762</v>
      </c>
      <c r="AC21">
        <f>Calc_BankMonth!AC21*(1+Control!$B$25)^AC$2*HLOOKUP(AC$2,FX!$B$40:$AK$43,2,FALSE)</f>
        <v>32479.136780685341</v>
      </c>
      <c r="AD21">
        <f>Calc_BankMonth!AD21*(1+Control!$B$25)^AD$2*HLOOKUP(AD$2,FX!$B$40:$AK$43,2,FALSE)</f>
        <v>33187.632931102737</v>
      </c>
      <c r="AE21">
        <f>Calc_BankMonth!AE21*(1+Control!$B$25)^AE$2*HLOOKUP(AE$2,FX!$B$40:$AK$43,2,FALSE)</f>
        <v>33628.058963721538</v>
      </c>
      <c r="AF21">
        <f>Calc_BankMonth!AF21*(1+Control!$B$25)^AF$2*HLOOKUP(AF$2,FX!$B$40:$AK$43,2,FALSE)</f>
        <v>34143.906758938196</v>
      </c>
      <c r="AG21">
        <f>Calc_BankMonth!AG21*(1+Control!$B$25)^AG$2*HLOOKUP(AG$2,FX!$B$40:$AK$43,2,FALSE)</f>
        <v>34815.463117595827</v>
      </c>
      <c r="AH21">
        <f>Calc_BankMonth!AH21*(1+Control!$B$25)^AH$2*HLOOKUP(AH$2,FX!$B$40:$AK$43,2,FALSE)</f>
        <v>35295.13486063754</v>
      </c>
      <c r="AI21">
        <f>Calc_BankMonth!AI21*(1+Control!$B$25)^AI$2*HLOOKUP(AI$2,FX!$B$40:$AK$43,2,FALSE)</f>
        <v>35959.960067719541</v>
      </c>
      <c r="AJ21">
        <f>Calc_BankMonth!AJ21*(1+Control!$B$25)^AJ$2*HLOOKUP(AJ$2,FX!$B$40:$AK$43,2,FALSE)</f>
        <v>36498.918176817475</v>
      </c>
      <c r="AK21">
        <f>Calc_BankMonth!AK21*(1+Control!$B$25)^AK$2*HLOOKUP(AK$2,FX!$B$40:$AK$43,2,FALSE)</f>
        <v>36878.00351461894</v>
      </c>
      <c r="AL21" cm="1">
        <f t="array" ref="AL21">INDEX(B21:AK21,Control!$B$3)</f>
        <v>29596.512048229109</v>
      </c>
    </row>
    <row r="22" spans="1:38" x14ac:dyDescent="0.25">
      <c r="A22" t="s">
        <v>44</v>
      </c>
      <c r="B22">
        <f>Calc_BankMonth!B22*(1+Control!$B$25)^B$2*HLOOKUP(B$2,FX!$B$40:$AK$43,2,FALSE)</f>
        <v>27007.779800629265</v>
      </c>
      <c r="C22">
        <f>Calc_BankMonth!C22*(1+Control!$B$25)^C$2*HLOOKUP(C$2,FX!$B$40:$AK$43,2,FALSE)</f>
        <v>27446.646961771799</v>
      </c>
      <c r="D22">
        <f>Calc_BankMonth!D22*(1+Control!$B$25)^D$2*HLOOKUP(D$2,FX!$B$40:$AK$43,2,FALSE)</f>
        <v>27828.520909329167</v>
      </c>
      <c r="E22">
        <f>Calc_BankMonth!E22*(1+Control!$B$25)^E$2*HLOOKUP(E$2,FX!$B$40:$AK$43,2,FALSE)</f>
        <v>28340.073067123314</v>
      </c>
      <c r="F22">
        <f>Calc_BankMonth!F22*(1+Control!$B$25)^F$2*HLOOKUP(F$2,FX!$B$40:$AK$43,2,FALSE)</f>
        <v>28741.702076262023</v>
      </c>
      <c r="G22">
        <f>Calc_BankMonth!G22*(1+Control!$B$25)^G$2*HLOOKUP(G$2,FX!$B$40:$AK$43,2,FALSE)</f>
        <v>29194.998664399242</v>
      </c>
      <c r="H22">
        <f>Calc_BankMonth!H22*(1+Control!$B$25)^H$2*HLOOKUP(H$2,FX!$B$40:$AK$43,2,FALSE)</f>
        <v>29538.460372279482</v>
      </c>
      <c r="I22">
        <f>Calc_BankMonth!I22*(1+Control!$B$25)^I$2*HLOOKUP(I$2,FX!$B$40:$AK$43,2,FALSE)</f>
        <v>29825.236340304713</v>
      </c>
      <c r="J22">
        <f>Calc_BankMonth!J22*(1+Control!$B$25)^J$2*HLOOKUP(J$2,FX!$B$40:$AK$43,2,FALSE)</f>
        <v>30069.912566047482</v>
      </c>
      <c r="K22">
        <f>Calc_BankMonth!K22*(1+Control!$B$25)^K$2*HLOOKUP(K$2,FX!$B$40:$AK$43,2,FALSE)</f>
        <v>30234.082101042779</v>
      </c>
      <c r="L22">
        <f>Calc_BankMonth!L22*(1+Control!$B$25)^L$2*HLOOKUP(L$2,FX!$B$40:$AK$43,2,FALSE)</f>
        <v>30496.930256360694</v>
      </c>
      <c r="M22">
        <f>Calc_BankMonth!M22*(1+Control!$B$25)^M$2*HLOOKUP(M$2,FX!$B$40:$AK$43,2,FALSE)</f>
        <v>30612.20049000001</v>
      </c>
      <c r="N22">
        <f>Calc_BankMonth!N22*(1+Control!$B$25)^N$2*HLOOKUP(N$2,FX!$B$40:$AK$43,2,FALSE)</f>
        <v>30649.391769387938</v>
      </c>
      <c r="O22">
        <f>Calc_BankMonth!O22*(1+Control!$B$25)^O$2*HLOOKUP(O$2,FX!$B$40:$AK$43,2,FALSE)</f>
        <v>30964.976120574418</v>
      </c>
      <c r="P22">
        <f>Calc_BankMonth!P22*(1+Control!$B$25)^P$2*HLOOKUP(P$2,FX!$B$40:$AK$43,2,FALSE)</f>
        <v>30918.443478760935</v>
      </c>
      <c r="Q22">
        <f>Calc_BankMonth!Q22*(1+Control!$B$25)^Q$2*HLOOKUP(Q$2,FX!$B$40:$AK$43,2,FALSE)</f>
        <v>30917.60346813206</v>
      </c>
      <c r="R22">
        <f>Calc_BankMonth!R22*(1+Control!$B$25)^R$2*HLOOKUP(R$2,FX!$B$40:$AK$43,2,FALSE)</f>
        <v>31065.705559362672</v>
      </c>
      <c r="S22">
        <f>Calc_BankMonth!S22*(1+Control!$B$25)^S$2*HLOOKUP(S$2,FX!$B$40:$AK$43,2,FALSE)</f>
        <v>31102.440254586749</v>
      </c>
      <c r="T22">
        <f>Calc_BankMonth!T22*(1+Control!$B$25)^T$2*HLOOKUP(T$2,FX!$B$40:$AK$43,2,FALSE)</f>
        <v>31258.88879587394</v>
      </c>
      <c r="U22">
        <f>Calc_BankMonth!U22*(1+Control!$B$25)^U$2*HLOOKUP(U$2,FX!$B$40:$AK$43,2,FALSE)</f>
        <v>31343.838787804212</v>
      </c>
      <c r="V22">
        <f>Calc_BankMonth!V22*(1+Control!$B$25)^V$2*HLOOKUP(V$2,FX!$B$40:$AK$43,2,FALSE)</f>
        <v>31423.39798321425</v>
      </c>
      <c r="W22">
        <f>Calc_BankMonth!W22*(1+Control!$B$25)^W$2*HLOOKUP(W$2,FX!$B$40:$AK$43,2,FALSE)</f>
        <v>31752.50958679488</v>
      </c>
      <c r="X22">
        <f>Calc_BankMonth!X22*(1+Control!$B$25)^X$2*HLOOKUP(X$2,FX!$B$40:$AK$43,2,FALSE)</f>
        <v>31916.940389052084</v>
      </c>
      <c r="Y22">
        <f>Calc_BankMonth!Y22*(1+Control!$B$25)^Y$2*HLOOKUP(Y$2,FX!$B$40:$AK$43,2,FALSE)</f>
        <v>32272.280014408014</v>
      </c>
      <c r="Z22">
        <f>Calc_BankMonth!Z22*(1+Control!$B$25)^Z$2*HLOOKUP(Z$2,FX!$B$40:$AK$43,2,FALSE)</f>
        <v>32564.161365440119</v>
      </c>
      <c r="AA22">
        <f>Calc_BankMonth!AA22*(1+Control!$B$25)^AA$2*HLOOKUP(AA$2,FX!$B$40:$AK$43,2,FALSE)</f>
        <v>33038.693943202692</v>
      </c>
      <c r="AB22">
        <f>Calc_BankMonth!AB22*(1+Control!$B$25)^AB$2*HLOOKUP(AB$2,FX!$B$40:$AK$43,2,FALSE)</f>
        <v>33436.608280770328</v>
      </c>
      <c r="AC22">
        <f>Calc_BankMonth!AC22*(1+Control!$B$25)^AC$2*HLOOKUP(AC$2,FX!$B$40:$AK$43,2,FALSE)</f>
        <v>34021.78348920423</v>
      </c>
      <c r="AD22">
        <f>Calc_BankMonth!AD22*(1+Control!$B$25)^AD$2*HLOOKUP(AD$2,FX!$B$40:$AK$43,2,FALSE)</f>
        <v>34414.718522542236</v>
      </c>
      <c r="AE22">
        <f>Calc_BankMonth!AE22*(1+Control!$B$25)^AE$2*HLOOKUP(AE$2,FX!$B$40:$AK$43,2,FALSE)</f>
        <v>35125.530860069652</v>
      </c>
      <c r="AF22">
        <f>Calc_BankMonth!AF22*(1+Control!$B$25)^AF$2*HLOOKUP(AF$2,FX!$B$40:$AK$43,2,FALSE)</f>
        <v>35726.511753784689</v>
      </c>
      <c r="AG22">
        <f>Calc_BankMonth!AG22*(1+Control!$B$25)^AG$2*HLOOKUP(AG$2,FX!$B$40:$AK$43,2,FALSE)</f>
        <v>36195.925333236555</v>
      </c>
      <c r="AH22">
        <f>Calc_BankMonth!AH22*(1+Control!$B$25)^AH$2*HLOOKUP(AH$2,FX!$B$40:$AK$43,2,FALSE)</f>
        <v>36665.867972038781</v>
      </c>
      <c r="AI22">
        <f>Calc_BankMonth!AI22*(1+Control!$B$25)^AI$2*HLOOKUP(AI$2,FX!$B$40:$AK$43,2,FALSE)</f>
        <v>37374.305266438234</v>
      </c>
      <c r="AJ22">
        <f>Calc_BankMonth!AJ22*(1+Control!$B$25)^AJ$2*HLOOKUP(AJ$2,FX!$B$40:$AK$43,2,FALSE)</f>
        <v>37935.593373986834</v>
      </c>
      <c r="AK22">
        <f>Calc_BankMonth!AK22*(1+Control!$B$25)^AK$2*HLOOKUP(AK$2,FX!$B$40:$AK$43,2,FALSE)</f>
        <v>38464.668109285427</v>
      </c>
      <c r="AL22" cm="1">
        <f t="array" ref="AL22">INDEX(B22:AK22,Control!$B$3)</f>
        <v>30649.391769387938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27692.400000000001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8.0604214341474939E-2</v>
      </c>
      <c r="F2">
        <f>_xlfn.XLOOKUP(C2,Calc_Bank!$A$2:$A$21,Calc_Bank!$H$2:$H$21)</f>
        <v>4.6218030110649622E-3</v>
      </c>
      <c r="H2" t="s">
        <v>181</v>
      </c>
      <c r="I2">
        <f>MEDIAN(Calc_Bank!C2:C21)</f>
        <v>17155.95</v>
      </c>
    </row>
    <row r="3" spans="1:9" x14ac:dyDescent="0.25">
      <c r="A3">
        <v>2</v>
      </c>
      <c r="B3">
        <f>LARGE(Calc_Bank!$C$2:$C$21,A3)</f>
        <v>26741.1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7.7835267298132893E-2</v>
      </c>
      <c r="F3">
        <f>_xlfn.XLOOKUP(C3,Calc_Bank!$A$2:$A$21,Calc_Bank!$H$2:$H$21)</f>
        <v>8.1660351750270088E-3</v>
      </c>
      <c r="H3" t="s">
        <v>182</v>
      </c>
      <c r="I3">
        <f>_xlfn.STDEV.S(Calc_Bank!C2:C21)</f>
        <v>6632.0284525689567</v>
      </c>
    </row>
    <row r="4" spans="1:9" x14ac:dyDescent="0.25">
      <c r="A4">
        <v>3</v>
      </c>
      <c r="B4">
        <f>LARGE(Calc_Bank!$C$2:$C$21,A4)</f>
        <v>25626.999999999996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7.4592458614239937E-2</v>
      </c>
      <c r="F4">
        <f>_xlfn.XLOOKUP(C4,Calc_Bank!$A$2:$A$21,Calc_Bank!$H$2:$H$21)</f>
        <v>8.7384373154888451E-3</v>
      </c>
      <c r="H4" t="s">
        <v>183</v>
      </c>
      <c r="I4">
        <f>_xlfn.PERCENTILE.INC(Calc_Bank!C2:C21,0.9)</f>
        <v>25738.41</v>
      </c>
    </row>
    <row r="5" spans="1:9" x14ac:dyDescent="0.25">
      <c r="A5">
        <v>4</v>
      </c>
      <c r="B5">
        <f>LARGE(Calc_Bank!$C$2:$C$21,A5)</f>
        <v>24517.8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7.1363912350732125E-2</v>
      </c>
      <c r="F5">
        <f>_xlfn.XLOOKUP(C5,Calc_Bank!$A$2:$A$21,Calc_Bank!$H$2:$H$21)</f>
        <v>1.3852821013282002E-2</v>
      </c>
      <c r="H5" t="s">
        <v>184</v>
      </c>
      <c r="I5">
        <f>_xlfn.QUARTILE.INC(Calc_Bank!C2:C21,1)</f>
        <v>11826.475000000002</v>
      </c>
    </row>
    <row r="6" spans="1:9" x14ac:dyDescent="0.25">
      <c r="A6">
        <v>5</v>
      </c>
      <c r="B6">
        <f>LARGE(Calc_Bank!$C$2:$C$21,A6)</f>
        <v>23396.2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6.8099273431555807E-2</v>
      </c>
      <c r="F6">
        <f>_xlfn.XLOOKUP(C6,Calc_Bank!$A$2:$A$21,Calc_Bank!$H$2:$H$21)</f>
        <v>1.144764259837272E-2</v>
      </c>
      <c r="H6" t="s">
        <v>56</v>
      </c>
      <c r="I6">
        <f>AVERAGE(Calc_Bank!C2:C21)</f>
        <v>17178.010000000002</v>
      </c>
    </row>
    <row r="7" spans="1:9" x14ac:dyDescent="0.25">
      <c r="A7">
        <v>6</v>
      </c>
      <c r="B7">
        <f>LARGE(Calc_Bank!$C$2:$C$21,A7)</f>
        <v>22158.399999999998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6.4496411400389211E-2</v>
      </c>
      <c r="F7">
        <f>_xlfn.XLOOKUP(C7,Calc_Bank!$A$2:$A$21,Calc_Bank!$H$2:$H$21)</f>
        <v>5.5362944945636094E-3</v>
      </c>
      <c r="H7" t="s">
        <v>185</v>
      </c>
      <c r="I7">
        <f>MAX(Calc_Bank!C2:C21)-MIN(Calc_Bank!C2:C21)</f>
        <v>21150.2</v>
      </c>
    </row>
    <row r="8" spans="1:9" x14ac:dyDescent="0.25">
      <c r="A8">
        <v>7</v>
      </c>
      <c r="B8">
        <f>LARGE(Calc_Bank!$C$2:$C$21,A8)</f>
        <v>21147.299999999996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6.1553404614387797E-2</v>
      </c>
      <c r="F8">
        <f>_xlfn.XLOOKUP(C8,Calc_Bank!$A$2:$A$21,Calc_Bank!$H$2:$H$21)</f>
        <v>8.3251083551472149E-3</v>
      </c>
      <c r="H8" t="s">
        <v>186</v>
      </c>
      <c r="I8">
        <f>COUNTIF(Calc_Bank!H2:H21,"&gt;0")</f>
        <v>17</v>
      </c>
    </row>
    <row r="9" spans="1:9" x14ac:dyDescent="0.25">
      <c r="A9">
        <v>8</v>
      </c>
      <c r="B9">
        <f>LARGE(Calc_Bank!$C$2:$C$21,A9)</f>
        <v>19938.900000000001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5.8036117105532019E-2</v>
      </c>
      <c r="F9">
        <f>_xlfn.XLOOKUP(C9,Calc_Bank!$A$2:$A$21,Calc_Bank!$H$2:$H$21)</f>
        <v>1.1490229500213056E-2</v>
      </c>
      <c r="H9" t="s">
        <v>187</v>
      </c>
      <c r="I9">
        <f>SUMPRODUCT(Calc_Bank!K2:K21,Calc_Bank!K2:K21)</f>
        <v>5.7080120817008584E-2</v>
      </c>
    </row>
    <row r="10" spans="1:9" x14ac:dyDescent="0.25">
      <c r="A10">
        <v>9</v>
      </c>
      <c r="B10">
        <f>LARGE(Calc_Bank!$C$2:$C$21,A10)</f>
        <v>18941.599999999999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5.5133277952451994E-2</v>
      </c>
      <c r="F10">
        <f>_xlfn.XLOOKUP(C10,Calc_Bank!$A$2:$A$21,Calc_Bank!$H$2:$H$21)</f>
        <v>1.5009511561235644E-2</v>
      </c>
      <c r="H10" t="s">
        <v>188</v>
      </c>
      <c r="I10">
        <f>SQRT(I9)</f>
        <v>0.23891446339016101</v>
      </c>
    </row>
    <row r="11" spans="1:9" x14ac:dyDescent="0.25">
      <c r="A11">
        <v>10</v>
      </c>
      <c r="B11">
        <f>LARGE(Calc_Bank!$C$2:$C$21,A11)</f>
        <v>17663.900000000001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5.1414279069577913E-2</v>
      </c>
      <c r="F11">
        <f>_xlfn.XLOOKUP(C11,Calc_Bank!$A$2:$A$21,Calc_Bank!$H$2:$H$21)</f>
        <v>3.0493691156261438E-3</v>
      </c>
      <c r="H11" t="s">
        <v>189</v>
      </c>
      <c r="I11">
        <f>ROUNDDOWN(I6,-1)</f>
        <v>17170</v>
      </c>
    </row>
    <row r="12" spans="1:9" x14ac:dyDescent="0.25">
      <c r="H12" t="s">
        <v>190</v>
      </c>
      <c r="I12">
        <f>PERCENTRANK(Calc_Bank!C2:C21,_xlfn.XLOOKUP(Control!B2,Calc_Bank!A2:A21,Calc_Bank!C2:C21))</f>
        <v>0.105</v>
      </c>
    </row>
    <row r="13" spans="1:9" x14ac:dyDescent="0.25">
      <c r="H13" t="s">
        <v>152</v>
      </c>
      <c r="I13">
        <f>AVERAGE(Calc_Product!B2:B9)</f>
        <v>1092.3874999999998</v>
      </c>
    </row>
    <row r="14" spans="1:9" x14ac:dyDescent="0.25">
      <c r="A14">
        <v>1</v>
      </c>
      <c r="B14">
        <f>SMALL(Calc_Bank!$C$2:$C$21,A14)</f>
        <v>6542.2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7649.6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8739.0999999999985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9892.6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10989.1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6.542,2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7.649,6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8.739,1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2,5%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9.892,6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10.989,1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12.105,6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13.300,5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3,9%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14.379,3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15.489,6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16.648,0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17.663,9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5,1%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18.941,6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19.938,9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21.147,3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6,2%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22.158,4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6,4%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23.396,2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24.517,8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25.627,0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7,5%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26.741,1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27.692,4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12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45688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11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45657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10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45626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9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45596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8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45565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7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45535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6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45504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5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45473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4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45443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3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45412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2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45382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1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45351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0</v>
      </c>
      <c r="L14" t="str">
        <f>IF(C14=Control!$B$9,"corrente",IF(C14&lt;Control!$B$9,"passato","futuro"))</f>
        <v>corrente</v>
      </c>
      <c r="M14" t="str">
        <f t="shared" si="10"/>
        <v>gen-25</v>
      </c>
      <c r="N14">
        <f t="shared" si="11"/>
        <v>1</v>
      </c>
      <c r="O14" s="1">
        <f>EOMONTH(Control!$B$9,-(A14-1))</f>
        <v>45322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0</v>
      </c>
      <c r="L15" t="str">
        <f>IF(C15=Control!$B$9,"corrente",IF(C15&lt;Control!$B$9,"passato","futuro"))</f>
        <v>futuro</v>
      </c>
      <c r="M15" t="str">
        <f t="shared" si="10"/>
        <v>feb-25</v>
      </c>
      <c r="N15">
        <f t="shared" si="11"/>
        <v>1</v>
      </c>
      <c r="O15" s="1">
        <f>EOMONTH(Control!$B$9,-(A15-1))</f>
        <v>45291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-2</v>
      </c>
      <c r="L16" t="str">
        <f>IF(C16=Control!$B$9,"corrente",IF(C16&lt;Control!$B$9,"passato","futuro"))</f>
        <v>futuro</v>
      </c>
      <c r="M16" t="str">
        <f t="shared" si="10"/>
        <v>mar-25</v>
      </c>
      <c r="N16">
        <f t="shared" si="11"/>
        <v>1</v>
      </c>
      <c r="O16" s="1">
        <f>EOMONTH(Control!$B$9,-(A16-1))</f>
        <v>45260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-2</v>
      </c>
      <c r="L17" t="str">
        <f>IF(C17=Control!$B$9,"corrente",IF(C17&lt;Control!$B$9,"passato","futuro"))</f>
        <v>futuro</v>
      </c>
      <c r="M17" t="str">
        <f t="shared" si="10"/>
        <v>apr-25</v>
      </c>
      <c r="N17">
        <f t="shared" si="11"/>
        <v>2</v>
      </c>
      <c r="O17" s="1">
        <f>EOMONTH(Control!$B$9,-(A17-1))</f>
        <v>45230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-4</v>
      </c>
      <c r="L18" t="str">
        <f>IF(C18=Control!$B$9,"corrente",IF(C18&lt;Control!$B$9,"passato","futuro"))</f>
        <v>futuro</v>
      </c>
      <c r="M18" t="str">
        <f t="shared" si="10"/>
        <v>mag-25</v>
      </c>
      <c r="N18">
        <f t="shared" si="11"/>
        <v>2</v>
      </c>
      <c r="O18" s="1">
        <f>EOMONTH(Control!$B$9,-(A18-1))</f>
        <v>45199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-4</v>
      </c>
      <c r="L19" t="str">
        <f>IF(C19=Control!$B$9,"corrente",IF(C19&lt;Control!$B$9,"passato","futuro"))</f>
        <v>futuro</v>
      </c>
      <c r="M19" t="str">
        <f t="shared" si="10"/>
        <v>giu-25</v>
      </c>
      <c r="N19">
        <f t="shared" si="11"/>
        <v>2</v>
      </c>
      <c r="O19" s="1">
        <f>EOMONTH(Control!$B$9,-(A19-1))</f>
        <v>45169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-6</v>
      </c>
      <c r="L20" t="str">
        <f>IF(C20=Control!$B$9,"corrente",IF(C20&lt;Control!$B$9,"passato","futuro"))</f>
        <v>futuro</v>
      </c>
      <c r="M20" t="str">
        <f t="shared" si="10"/>
        <v>lug-25</v>
      </c>
      <c r="N20">
        <f t="shared" si="11"/>
        <v>3</v>
      </c>
      <c r="O20" s="1">
        <f>EOMONTH(Control!$B$9,-(A20-1))</f>
        <v>45138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-7</v>
      </c>
      <c r="L21" t="str">
        <f>IF(C21=Control!$B$9,"corrente",IF(C21&lt;Control!$B$9,"passato","futuro"))</f>
        <v>futuro</v>
      </c>
      <c r="M21" t="str">
        <f t="shared" si="10"/>
        <v>ago-25</v>
      </c>
      <c r="N21">
        <f t="shared" si="11"/>
        <v>3</v>
      </c>
      <c r="O21" s="1">
        <f>EOMONTH(Control!$B$9,-(A21-1))</f>
        <v>45107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-7</v>
      </c>
      <c r="L22" t="str">
        <f>IF(C22=Control!$B$9,"corrente",IF(C22&lt;Control!$B$9,"passato","futuro"))</f>
        <v>futuro</v>
      </c>
      <c r="M22" t="str">
        <f t="shared" si="10"/>
        <v>set-25</v>
      </c>
      <c r="N22">
        <f t="shared" si="11"/>
        <v>3</v>
      </c>
      <c r="O22" s="1">
        <f>EOMONTH(Control!$B$9,-(A22-1))</f>
        <v>45077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-9</v>
      </c>
      <c r="L23" t="str">
        <f>IF(C23=Control!$B$9,"corrente",IF(C23&lt;Control!$B$9,"passato","futuro"))</f>
        <v>futuro</v>
      </c>
      <c r="M23" t="str">
        <f t="shared" si="10"/>
        <v>ott-25</v>
      </c>
      <c r="N23">
        <f t="shared" si="11"/>
        <v>4</v>
      </c>
      <c r="O23" s="1">
        <f>EOMONTH(Control!$B$9,-(A23-1))</f>
        <v>45046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-9</v>
      </c>
      <c r="L24" t="str">
        <f>IF(C24=Control!$B$9,"corrente",IF(C24&lt;Control!$B$9,"passato","futuro"))</f>
        <v>futuro</v>
      </c>
      <c r="M24" t="str">
        <f t="shared" si="10"/>
        <v>nov-25</v>
      </c>
      <c r="N24">
        <f t="shared" si="11"/>
        <v>4</v>
      </c>
      <c r="O24" s="1">
        <f>EOMONTH(Control!$B$9,-(A24-1))</f>
        <v>45016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-11</v>
      </c>
      <c r="L25" t="str">
        <f>IF(C25=Control!$B$9,"corrente",IF(C25&lt;Control!$B$9,"passato","futuro"))</f>
        <v>futuro</v>
      </c>
      <c r="M25" t="str">
        <f t="shared" si="10"/>
        <v>dic-25</v>
      </c>
      <c r="N25">
        <f t="shared" si="11"/>
        <v>4</v>
      </c>
      <c r="O25" s="1">
        <f>EOMONTH(Control!$B$9,-(A25-1))</f>
        <v>44985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-12</v>
      </c>
      <c r="L26" t="str">
        <f>IF(C26=Control!$B$9,"corrente",IF(C26&lt;Control!$B$9,"passato","futuro"))</f>
        <v>futuro</v>
      </c>
      <c r="M26" t="str">
        <f t="shared" si="10"/>
        <v>gen-26</v>
      </c>
      <c r="N26">
        <f t="shared" si="11"/>
        <v>1</v>
      </c>
      <c r="O26" s="1">
        <f>EOMONTH(Control!$B$9,-(A26-1))</f>
        <v>44957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-12</v>
      </c>
      <c r="L27" t="str">
        <f>IF(C27=Control!$B$9,"corrente",IF(C27&lt;Control!$B$9,"passato","futuro"))</f>
        <v>futuro</v>
      </c>
      <c r="M27" t="str">
        <f t="shared" si="10"/>
        <v>feb-26</v>
      </c>
      <c r="N27">
        <f t="shared" si="11"/>
        <v>1</v>
      </c>
      <c r="O27" s="1">
        <f>EOMONTH(Control!$B$9,-(A27-1))</f>
        <v>44926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-14</v>
      </c>
      <c r="L28" t="str">
        <f>IF(C28=Control!$B$9,"corrente",IF(C28&lt;Control!$B$9,"passato","futuro"))</f>
        <v>futuro</v>
      </c>
      <c r="M28" t="str">
        <f t="shared" si="10"/>
        <v>mar-26</v>
      </c>
      <c r="N28">
        <f t="shared" si="11"/>
        <v>1</v>
      </c>
      <c r="O28" s="1">
        <f>EOMONTH(Control!$B$9,-(A28-1))</f>
        <v>44895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-14</v>
      </c>
      <c r="L29" t="str">
        <f>IF(C29=Control!$B$9,"corrente",IF(C29&lt;Control!$B$9,"passato","futuro"))</f>
        <v>futuro</v>
      </c>
      <c r="M29" t="str">
        <f t="shared" si="10"/>
        <v>apr-26</v>
      </c>
      <c r="N29">
        <f t="shared" si="11"/>
        <v>2</v>
      </c>
      <c r="O29" s="1">
        <f>EOMONTH(Control!$B$9,-(A29-1))</f>
        <v>44865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-16</v>
      </c>
      <c r="L30" t="str">
        <f>IF(C30=Control!$B$9,"corrente",IF(C30&lt;Control!$B$9,"passato","futuro"))</f>
        <v>futuro</v>
      </c>
      <c r="M30" t="str">
        <f t="shared" si="10"/>
        <v>mag-26</v>
      </c>
      <c r="N30">
        <f t="shared" si="11"/>
        <v>2</v>
      </c>
      <c r="O30" s="1">
        <f>EOMONTH(Control!$B$9,-(A30-1))</f>
        <v>44834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-16</v>
      </c>
      <c r="L31" t="str">
        <f>IF(C31=Control!$B$9,"corrente",IF(C31&lt;Control!$B$9,"passato","futuro"))</f>
        <v>futuro</v>
      </c>
      <c r="M31" t="str">
        <f t="shared" si="10"/>
        <v>giu-26</v>
      </c>
      <c r="N31">
        <f t="shared" si="11"/>
        <v>2</v>
      </c>
      <c r="O31" s="1">
        <f>EOMONTH(Control!$B$9,-(A31-1))</f>
        <v>44804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-18</v>
      </c>
      <c r="L32" t="str">
        <f>IF(C32=Control!$B$9,"corrente",IF(C32&lt;Control!$B$9,"passato","futuro"))</f>
        <v>futuro</v>
      </c>
      <c r="M32" t="str">
        <f t="shared" si="10"/>
        <v>lug-26</v>
      </c>
      <c r="N32">
        <f t="shared" si="11"/>
        <v>3</v>
      </c>
      <c r="O32" s="1">
        <f>EOMONTH(Control!$B$9,-(A32-1))</f>
        <v>44773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-19</v>
      </c>
      <c r="L33" t="str">
        <f>IF(C33=Control!$B$9,"corrente",IF(C33&lt;Control!$B$9,"passato","futuro"))</f>
        <v>futuro</v>
      </c>
      <c r="M33" t="str">
        <f t="shared" si="10"/>
        <v>ago-26</v>
      </c>
      <c r="N33">
        <f t="shared" si="11"/>
        <v>3</v>
      </c>
      <c r="O33" s="1">
        <f>EOMONTH(Control!$B$9,-(A33-1))</f>
        <v>44742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-19</v>
      </c>
      <c r="L34" t="str">
        <f>IF(C34=Control!$B$9,"corrente",IF(C34&lt;Control!$B$9,"passato","futuro"))</f>
        <v>futuro</v>
      </c>
      <c r="M34" t="str">
        <f t="shared" si="10"/>
        <v>set-26</v>
      </c>
      <c r="N34">
        <f t="shared" si="11"/>
        <v>3</v>
      </c>
      <c r="O34" s="1">
        <f>EOMONTH(Control!$B$9,-(A34-1))</f>
        <v>44712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-21</v>
      </c>
      <c r="L35" t="str">
        <f>IF(C35=Control!$B$9,"corrente",IF(C35&lt;Control!$B$9,"passato","futuro"))</f>
        <v>futuro</v>
      </c>
      <c r="M35" t="str">
        <f t="shared" si="10"/>
        <v>ott-26</v>
      </c>
      <c r="N35">
        <f t="shared" si="11"/>
        <v>4</v>
      </c>
      <c r="O35" s="1">
        <f>EOMONTH(Control!$B$9,-(A35-1))</f>
        <v>44681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-21</v>
      </c>
      <c r="L36" t="str">
        <f>IF(C36=Control!$B$9,"corrente",IF(C36&lt;Control!$B$9,"passato","futuro"))</f>
        <v>futuro</v>
      </c>
      <c r="M36" t="str">
        <f t="shared" si="10"/>
        <v>nov-26</v>
      </c>
      <c r="N36">
        <f t="shared" si="11"/>
        <v>4</v>
      </c>
      <c r="O36" s="1">
        <f>EOMONTH(Control!$B$9,-(A36-1))</f>
        <v>44651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-23</v>
      </c>
      <c r="L37" t="str">
        <f>IF(C37=Control!$B$9,"corrente",IF(C37&lt;Control!$B$9,"passato","futuro"))</f>
        <v>futuro</v>
      </c>
      <c r="M37" t="str">
        <f t="shared" si="10"/>
        <v>dic-26</v>
      </c>
      <c r="N37">
        <f t="shared" si="11"/>
        <v>4</v>
      </c>
      <c r="O37" s="1">
        <f>EOMONTH(Control!$B$9,-(A37-1))</f>
        <v>44620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7">_xlfn._xlws.FILTER(Banks!A2:A21,Banks!C2:C21=Control!B5,"nessuna")</f>
        <v>Banca Tirrena</v>
      </c>
      <c r="C2" t="str" cm="1">
        <f t="array" ref="C2:E21">_xlfn._xlws.SORT(Calc_Bank!A2:C21,3,-1)</f>
        <v>Banca Città</v>
      </c>
      <c r="D2" t="str">
        <v>Centro</v>
      </c>
      <c r="E2">
        <v>27692.400000000001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2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3</v>
      </c>
    </row>
    <row r="3" spans="1:17" x14ac:dyDescent="0.25">
      <c r="A3" t="str">
        <v>Banca Etrusca</v>
      </c>
      <c r="C3" t="str">
        <v>Banca Romagnola</v>
      </c>
      <c r="D3" t="str">
        <v>Nord-Est</v>
      </c>
      <c r="E3">
        <v>26741.1</v>
      </c>
      <c r="G3" t="str">
        <v>Prestiti</v>
      </c>
      <c r="I3">
        <v>2</v>
      </c>
      <c r="J3">
        <v>3</v>
      </c>
      <c r="L3" t="str">
        <v>Banca Romagnola</v>
      </c>
      <c r="P3" t="s">
        <v>221</v>
      </c>
      <c r="Q3">
        <f>_xlfn.LET(_xlpm.x,Calc_Bank!C2:C21,SUM(_xlpm.x)/COUNT(_xlpm.x))</f>
        <v>17178.010000000002</v>
      </c>
    </row>
    <row r="4" spans="1:17" x14ac:dyDescent="0.25">
      <c r="A4" t="str">
        <v>Banca Sabina</v>
      </c>
      <c r="C4" t="str">
        <v>Banca Sarda</v>
      </c>
      <c r="D4" t="str">
        <v>Isole</v>
      </c>
      <c r="E4">
        <v>25626.999999999996</v>
      </c>
      <c r="G4" t="str">
        <v>Conti</v>
      </c>
      <c r="I4">
        <v>3</v>
      </c>
      <c r="J4">
        <v>4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A5" t="str">
        <v>Banca Umbra</v>
      </c>
      <c r="C5" t="str">
        <v>Banca Sicula</v>
      </c>
      <c r="D5" t="str">
        <v>Isole</v>
      </c>
      <c r="E5">
        <v>24517.8</v>
      </c>
      <c r="G5" t="str">
        <v>Carte</v>
      </c>
      <c r="I5">
        <v>4</v>
      </c>
      <c r="J5">
        <v>5</v>
      </c>
      <c r="L5" t="str">
        <v>Banca Sicula</v>
      </c>
      <c r="P5" t="s">
        <v>223</v>
      </c>
      <c r="Q5">
        <f>_xlfn.XLOOKUP(Control!B3+0.5,FX!A2:A37,FX!C2:C37,,1)</f>
        <v>1.0648</v>
      </c>
    </row>
    <row r="6" spans="1:17" x14ac:dyDescent="0.25">
      <c r="A6" t="str">
        <v>Banca Marchigiana</v>
      </c>
      <c r="C6" t="str">
        <v>Banca Calabra</v>
      </c>
      <c r="D6" t="str">
        <v>Sud</v>
      </c>
      <c r="E6">
        <v>23396.2</v>
      </c>
      <c r="G6" t="str">
        <v>Leasing</v>
      </c>
      <c r="I6">
        <v>5</v>
      </c>
      <c r="J6">
        <v>6</v>
      </c>
      <c r="L6" t="str">
        <v>Banca Calabra</v>
      </c>
      <c r="P6" t="s">
        <v>224</v>
      </c>
      <c r="Q6">
        <f>_xlfn.XLOOKUP(Control!B3-0.5,FX!A2:A37,FX!C2:C37,,-1)</f>
        <v>1.0782</v>
      </c>
    </row>
    <row r="7" spans="1:17" x14ac:dyDescent="0.25">
      <c r="A7" t="str">
        <v>Banca Città</v>
      </c>
      <c r="C7" t="str">
        <v>Banca Lucana</v>
      </c>
      <c r="D7" t="str">
        <v>Sud</v>
      </c>
      <c r="E7">
        <v>22158.399999999998</v>
      </c>
      <c r="G7" t="str">
        <v>Factoring</v>
      </c>
      <c r="I7">
        <v>6</v>
      </c>
      <c r="J7">
        <v>7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21147.299999999996</v>
      </c>
      <c r="G8" t="str">
        <v>Risparmio</v>
      </c>
      <c r="I8">
        <v>7</v>
      </c>
      <c r="J8">
        <v>8</v>
      </c>
      <c r="L8" t="str">
        <v>Banca Marchigiana</v>
      </c>
      <c r="P8" t="s">
        <v>226</v>
      </c>
      <c r="Q8">
        <f>_xlfn.XLOOKUP(Control!B2,Data!A2:A5761,Data!E2:E5761,0,0,-1)</f>
        <v>2019.4</v>
      </c>
    </row>
    <row r="9" spans="1:17" x14ac:dyDescent="0.25">
      <c r="C9" t="str">
        <v>Banca Umbra</v>
      </c>
      <c r="D9" t="str">
        <v>Centro</v>
      </c>
      <c r="E9">
        <v>19938.900000000001</v>
      </c>
      <c r="G9" t="str">
        <v>Assicurazioni</v>
      </c>
      <c r="I9">
        <v>8</v>
      </c>
      <c r="J9">
        <v>9</v>
      </c>
      <c r="L9" t="str">
        <v>Banca Umbra</v>
      </c>
      <c r="P9" t="s">
        <v>227</v>
      </c>
      <c r="Q9" cm="1">
        <f t="array" ref="Q9">SUM(_xlfn._xlws.FILTER(Calc_Bank!C2:C21,Calc_Bank!B2:B21=Control!B5,0))</f>
        <v>101807.29999999999</v>
      </c>
    </row>
    <row r="10" spans="1:17" x14ac:dyDescent="0.25">
      <c r="C10" t="str">
        <v>Banca Friulana</v>
      </c>
      <c r="D10" t="str">
        <v>Nord-Est</v>
      </c>
      <c r="E10">
        <v>18941.599999999999</v>
      </c>
      <c r="I10">
        <v>9</v>
      </c>
      <c r="J10">
        <v>10</v>
      </c>
      <c r="L10" t="str">
        <v>Banca Friulana</v>
      </c>
      <c r="P10" t="s">
        <v>228</v>
      </c>
      <c r="Q10" cm="1">
        <f t="array" ref="Q10">ROWS(_xlfn._xlws.FILTER(Banks!A2:A21,Banks!C2:C21=Control!B5))</f>
        <v>6</v>
      </c>
    </row>
    <row r="11" spans="1:17" x14ac:dyDescent="0.25">
      <c r="C11" t="str">
        <v>Banca Veneta</v>
      </c>
      <c r="D11" t="str">
        <v>Nord-Est</v>
      </c>
      <c r="E11">
        <v>17663.900000000001</v>
      </c>
      <c r="I11">
        <v>10</v>
      </c>
      <c r="J11">
        <v>11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16648</v>
      </c>
      <c r="I12">
        <v>11</v>
      </c>
      <c r="J12">
        <v>12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15489.599999999999</v>
      </c>
      <c r="I13">
        <v>12</v>
      </c>
      <c r="J13">
        <v>13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14379.300000000001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13300.5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12105.600000000002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10989.1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9892.6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8739.0999999999985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7649.6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6542.2</v>
      </c>
      <c r="L21" t="str">
        <v>Banca Alpi</v>
      </c>
    </row>
    <row r="30" spans="1:12" x14ac:dyDescent="0.25">
      <c r="A30" cm="1">
        <f t="array" ref="A30:L30">TRANSPOSE(Calc_Month!C2:C13)</f>
        <v>8012.1</v>
      </c>
      <c r="B30">
        <v>8126.5</v>
      </c>
      <c r="C30">
        <v>8163.5</v>
      </c>
      <c r="D30">
        <v>8209.7000000000007</v>
      </c>
      <c r="E30">
        <v>8325.2000000000007</v>
      </c>
      <c r="F30">
        <v>8343.2999999999993</v>
      </c>
      <c r="G30">
        <v>8405</v>
      </c>
      <c r="H30">
        <v>8440.6</v>
      </c>
      <c r="I30">
        <v>8499.6</v>
      </c>
      <c r="J30">
        <v>8590.6</v>
      </c>
      <c r="K30">
        <v>8644.8999999999978</v>
      </c>
      <c r="L30">
        <v>8718.7000000000007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8739.0999999999985</v>
      </c>
    </row>
    <row r="3" spans="1:2" x14ac:dyDescent="0.25">
      <c r="A3" t="s">
        <v>141</v>
      </c>
      <c r="B3">
        <f>B2*(1+Rate)</f>
        <v>9001.2729999999992</v>
      </c>
    </row>
    <row r="4" spans="1:2" x14ac:dyDescent="0.25">
      <c r="A4" t="s">
        <v>231</v>
      </c>
      <c r="B4">
        <f>COUNTIF(BankRegion,SelRegion)</f>
        <v>6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2097.3839999999996</v>
      </c>
    </row>
    <row r="7" spans="1:2" x14ac:dyDescent="0.25">
      <c r="A7" t="s">
        <v>234</v>
      </c>
      <c r="B7">
        <f>SUM(Calc_Bank!C2:C21)*(1-TaxRate)</f>
        <v>261105.75200000001</v>
      </c>
    </row>
    <row r="8" spans="1:2" x14ac:dyDescent="0.25">
      <c r="A8" t="s">
        <v>123</v>
      </c>
      <c r="B8" t="str">
        <f>SelBank&amp;" / "&amp;SelRegion</f>
        <v>Banca Tirrena / Centro</v>
      </c>
    </row>
    <row r="9" spans="1:2" x14ac:dyDescent="0.25">
      <c r="A9" t="s">
        <v>235</v>
      </c>
      <c r="B9" cm="1">
        <f t="array" ref="B9">VolSel</f>
        <v>8739.0999999999985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6542.2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7649.6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8739.0999999999985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9892.6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10989.1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12105.600000000002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13300.5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14379.300000000001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15489.599999999999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16648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17663.900000000001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18941.599999999999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19938.900000000001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21147.299999999996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22158.399999999998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23396.2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24517.8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25626.999999999996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26741.1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27692.400000000001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8739.0999999999985</v>
      </c>
    </row>
    <row r="3" spans="1:2" x14ac:dyDescent="0.25">
      <c r="A3" t="s">
        <v>237</v>
      </c>
      <c r="B3" cm="1">
        <f t="array" aca="1" ref="B3" ca="1">INDIRECT("'SLIDE Sintesi'!D5")</f>
        <v>8739.0999999999985</v>
      </c>
    </row>
    <row r="4" spans="1:2" x14ac:dyDescent="0.25">
      <c r="A4" t="s">
        <v>238</v>
      </c>
      <c r="B4">
        <f ca="1">SUM(INDIRECT("Calc_BankMonth!B"&amp;(Control!$B$6+2)&amp;":AK"&amp;(Control!$B$6+2)))</f>
        <v>328300.70000000007</v>
      </c>
    </row>
    <row r="5" spans="1:2" x14ac:dyDescent="0.25">
      <c r="A5" t="s">
        <v>239</v>
      </c>
      <c r="B5">
        <f ca="1">OFFSET(Calc_BankMonth!$A$2,Control!$B$6,Control!$B$3)</f>
        <v>8739.0999999999985</v>
      </c>
    </row>
    <row r="6" spans="1:2" x14ac:dyDescent="0.25">
      <c r="A6" t="s">
        <v>240</v>
      </c>
      <c r="B6">
        <f ca="1">SUM(OFFSET(Calc_Month!$C$1,Control!$B$3-2,0,3,1))</f>
        <v>26102.699999999997</v>
      </c>
    </row>
    <row r="7" spans="1:2" x14ac:dyDescent="0.25">
      <c r="A7" t="s">
        <v>241</v>
      </c>
      <c r="B7" cm="1">
        <f t="array" aca="1" ref="B7" ca="1">INDIRECT(ADDRESS(Control!$B$3+1,3,1,1,"Calc_Month"))</f>
        <v>8739.0999999999985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6542.2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7649.6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8739.0999999999985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9892.6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10989.1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12105.600000000002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13300.5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14379.300000000001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15489.599999999999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16648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17663.900000000001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18941.599999999999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19938.900000000001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21147.299999999996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22158.399999999998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23396.2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24517.8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25626.999999999996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26741.1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27692.400000000001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5.7912767683125858E-2</v>
      </c>
      <c r="C2">
        <f>_xlfn.XLOOKUP(Control!B2,[1]Compare!$A$2:$A$21,[1]Compare!$E$2:$E$21)</f>
        <v>478.39999999999782</v>
      </c>
    </row>
    <row r="3" spans="1:3" x14ac:dyDescent="0.25">
      <c r="A3" t="s">
        <v>286</v>
      </c>
      <c r="B3">
        <f>[1]Summary!$B$3</f>
        <v>4</v>
      </c>
    </row>
    <row r="4" spans="1:3" x14ac:dyDescent="0.25">
      <c r="A4" t="s">
        <v>322</v>
      </c>
      <c r="B4">
        <f>[1]Summary!$B$4</f>
        <v>16749.499999999993</v>
      </c>
    </row>
    <row r="5" spans="1:3" x14ac:dyDescent="0.25">
      <c r="A5" t="s">
        <v>323</v>
      </c>
      <c r="B5">
        <f>[1]Summary!$B$5</f>
        <v>11</v>
      </c>
    </row>
    <row r="6" spans="1:3" x14ac:dyDescent="0.25">
      <c r="A6" t="s">
        <v>324</v>
      </c>
      <c r="B6" t="str">
        <f>[1]Summary!$B$6</f>
        <v>13</v>
      </c>
    </row>
    <row r="7" spans="1:3" x14ac:dyDescent="0.25">
      <c r="A7" t="s">
        <v>325</v>
      </c>
      <c r="B7" t="str">
        <f>[1]Summary!$B$7</f>
        <v>06%</v>
      </c>
    </row>
    <row r="8" spans="1:3" x14ac:dyDescent="0.25">
      <c r="A8" t="s">
        <v>326</v>
      </c>
      <c r="B8">
        <f>[1]Summary!$B$8</f>
        <v>16340.535</v>
      </c>
    </row>
    <row r="10" spans="1:3" x14ac:dyDescent="0.25">
      <c r="A10" t="s">
        <v>131</v>
      </c>
      <c r="B10">
        <f>[2]Summary!B2</f>
        <v>343560.19999999995</v>
      </c>
    </row>
    <row r="11" spans="1:3" x14ac:dyDescent="0.25">
      <c r="A11" t="s">
        <v>283</v>
      </c>
      <c r="B11">
        <f>[2]Summary!B3</f>
        <v>51141.299999999988</v>
      </c>
    </row>
    <row r="12" spans="1:3" x14ac:dyDescent="0.25">
      <c r="A12" t="s">
        <v>284</v>
      </c>
      <c r="B12">
        <f>[2]Summary!B4</f>
        <v>16749.499999999993</v>
      </c>
    </row>
    <row r="13" spans="1:3" x14ac:dyDescent="0.25">
      <c r="A13" t="s">
        <v>285</v>
      </c>
      <c r="B13">
        <f>[2]Summary!B5</f>
        <v>4594.2999999999993</v>
      </c>
    </row>
    <row r="14" spans="1:3" x14ac:dyDescent="0.25">
      <c r="A14" t="s">
        <v>286</v>
      </c>
      <c r="B14">
        <f>[2]Summary!B6</f>
        <v>4</v>
      </c>
    </row>
    <row r="15" spans="1:3" x14ac:dyDescent="0.25">
      <c r="A15" t="s">
        <v>287</v>
      </c>
      <c r="B15" t="str">
        <f>[2]Summary!B7</f>
        <v>Centro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6339</v>
      </c>
      <c r="C20">
        <f>IFERROR(INDEX([1]Compare!$F$2:$F$21,MATCH(A20,[1]Compare!$A$2:$A$21,0)),0)</f>
        <v>3.2055529263290708E-2</v>
      </c>
    </row>
    <row r="21" spans="1:3" x14ac:dyDescent="0.25">
      <c r="A21" t="str">
        <f>Calc_Bank!A3</f>
        <v>Banca Adriatica</v>
      </c>
      <c r="B21">
        <f>VLOOKUP(A21,[1]Compare!$A$2:$H$21,3,FALSE)</f>
        <v>7115.9</v>
      </c>
      <c r="C21">
        <f>IFERROR(INDEX([1]Compare!$F$2:$F$21,MATCH(A21,[1]Compare!$A$2:$A$21,0)),0)</f>
        <v>7.5001053977711993E-2</v>
      </c>
    </row>
    <row r="22" spans="1:3" x14ac:dyDescent="0.25">
      <c r="A22" t="str">
        <f>Calc_Bank!A4</f>
        <v>Banca Tirrena</v>
      </c>
      <c r="B22">
        <f>VLOOKUP(A22,[1]Compare!$A$2:$H$21,3,FALSE)</f>
        <v>8260.7000000000007</v>
      </c>
      <c r="C22">
        <f>IFERROR(INDEX([1]Compare!$F$2:$F$21,MATCH(A22,[1]Compare!$A$2:$A$21,0)),0)</f>
        <v>5.7912767683125858E-2</v>
      </c>
    </row>
    <row r="23" spans="1:3" x14ac:dyDescent="0.25">
      <c r="A23" t="str">
        <f>Calc_Bank!A5</f>
        <v>Banca Padana</v>
      </c>
      <c r="B23">
        <f>VLOOKUP(A23,[1]Compare!$A$2:$H$21,3,FALSE)</f>
        <v>9250.5</v>
      </c>
      <c r="C23">
        <f>IFERROR(INDEX([1]Compare!$F$2:$F$21,MATCH(A23,[1]Compare!$A$2:$A$21,0)),0)</f>
        <v>6.9412464191124845E-2</v>
      </c>
    </row>
    <row r="24" spans="1:3" x14ac:dyDescent="0.25">
      <c r="A24" t="str">
        <f>Calc_Bank!A6</f>
        <v>Banca Etrusca</v>
      </c>
      <c r="B24">
        <f>VLOOKUP(A24,[1]Compare!$A$2:$H$21,3,FALSE)</f>
        <v>10605.2</v>
      </c>
      <c r="C24">
        <f>IFERROR(INDEX([1]Compare!$F$2:$F$21,MATCH(A24,[1]Compare!$A$2:$A$21,0)),0)</f>
        <v>3.6199223022668085E-2</v>
      </c>
    </row>
    <row r="25" spans="1:3" x14ac:dyDescent="0.25">
      <c r="A25" t="str">
        <f>Calc_Bank!A7</f>
        <v>Banca Lariana</v>
      </c>
      <c r="B25">
        <f>VLOOKUP(A25,[1]Compare!$A$2:$H$21,3,FALSE)</f>
        <v>11544</v>
      </c>
      <c r="C25">
        <f>IFERROR(INDEX([1]Compare!$F$2:$F$21,MATCH(A25,[1]Compare!$A$2:$A$21,0)),0)</f>
        <v>4.8648648648648839E-2</v>
      </c>
    </row>
    <row r="26" spans="1:3" x14ac:dyDescent="0.25">
      <c r="A26" t="str">
        <f>Calc_Bank!A8</f>
        <v>Banca Sabina</v>
      </c>
      <c r="B26">
        <f>VLOOKUP(A26,[1]Compare!$A$2:$H$21,3,FALSE)</f>
        <v>12804.1</v>
      </c>
      <c r="C26">
        <f>IFERROR(INDEX([1]Compare!$F$2:$F$21,MATCH(A26,[1]Compare!$A$2:$A$21,0)),0)</f>
        <v>3.876883185854528E-2</v>
      </c>
    </row>
    <row r="27" spans="1:3" x14ac:dyDescent="0.25">
      <c r="A27" t="str">
        <f>Calc_Bank!A9</f>
        <v>Banca Irpina</v>
      </c>
      <c r="B27">
        <f>VLOOKUP(A27,[1]Compare!$A$2:$H$21,3,FALSE)</f>
        <v>13580.4</v>
      </c>
      <c r="C27">
        <f>IFERROR(INDEX([1]Compare!$F$2:$F$21,MATCH(A27,[1]Compare!$A$2:$A$21,0)),0)</f>
        <v>5.8827427763541683E-2</v>
      </c>
    </row>
    <row r="28" spans="1:3" x14ac:dyDescent="0.25">
      <c r="A28" t="str">
        <f>Calc_Bank!A10</f>
        <v>Banca Sannita</v>
      </c>
      <c r="B28">
        <f>VLOOKUP(A28,[1]Compare!$A$2:$H$21,3,FALSE)</f>
        <v>14812.8</v>
      </c>
      <c r="C28">
        <f>IFERROR(INDEX([1]Compare!$F$2:$F$21,MATCH(A28,[1]Compare!$A$2:$A$21,0)),0)</f>
        <v>4.5690213869086151E-2</v>
      </c>
    </row>
    <row r="29" spans="1:3" x14ac:dyDescent="0.25">
      <c r="A29" t="str">
        <f>Calc_Bank!A11</f>
        <v>Banca Ligure</v>
      </c>
      <c r="B29">
        <f>VLOOKUP(A29,[1]Compare!$A$2:$H$21,3,FALSE)</f>
        <v>15908.8</v>
      </c>
      <c r="C29">
        <f>IFERROR(INDEX([1]Compare!$F$2:$F$21,MATCH(A29,[1]Compare!$A$2:$A$21,0)),0)</f>
        <v>4.6464849642964948E-2</v>
      </c>
    </row>
    <row r="30" spans="1:3" x14ac:dyDescent="0.25">
      <c r="A30" t="str">
        <f>Calc_Bank!A12</f>
        <v>Banca Veneta</v>
      </c>
      <c r="B30">
        <f>VLOOKUP(A30,[1]Compare!$A$2:$H$21,3,FALSE)</f>
        <v>16773.599999999999</v>
      </c>
      <c r="C30">
        <f>IFERROR(INDEX([1]Compare!$F$2:$F$21,MATCH(A30,[1]Compare!$A$2:$A$21,0)),0)</f>
        <v>5.3077455048409584E-2</v>
      </c>
    </row>
    <row r="31" spans="1:3" x14ac:dyDescent="0.25">
      <c r="A31" t="str">
        <f>Calc_Bank!A13</f>
        <v>Banca Friulana</v>
      </c>
      <c r="B31">
        <f>VLOOKUP(A31,[1]Compare!$A$2:$H$21,3,FALSE)</f>
        <v>17926.2</v>
      </c>
      <c r="C31">
        <f>IFERROR(INDEX([1]Compare!$F$2:$F$21,MATCH(A31,[1]Compare!$A$2:$A$21,0)),0)</f>
        <v>5.6643348841360568E-2</v>
      </c>
    </row>
    <row r="32" spans="1:3" x14ac:dyDescent="0.25">
      <c r="A32" t="str">
        <f>Calc_Bank!A14</f>
        <v>Banca Umbra</v>
      </c>
      <c r="B32">
        <f>VLOOKUP(A32,[1]Compare!$A$2:$H$21,3,FALSE)</f>
        <v>19110.3</v>
      </c>
      <c r="C32">
        <f>IFERROR(INDEX([1]Compare!$F$2:$F$21,MATCH(A32,[1]Compare!$A$2:$A$21,0)),0)</f>
        <v>4.3358816973046062E-2</v>
      </c>
    </row>
    <row r="33" spans="1:3" x14ac:dyDescent="0.25">
      <c r="A33" t="str">
        <f>Calc_Bank!A15</f>
        <v>Banca Marchigiana</v>
      </c>
      <c r="B33">
        <f>VLOOKUP(A33,[1]Compare!$A$2:$H$21,3,FALSE)</f>
        <v>20070.599999999999</v>
      </c>
      <c r="C33">
        <f>IFERROR(INDEX([1]Compare!$F$2:$F$21,MATCH(A33,[1]Compare!$A$2:$A$21,0)),0)</f>
        <v>5.3645630922842226E-2</v>
      </c>
    </row>
    <row r="34" spans="1:3" x14ac:dyDescent="0.25">
      <c r="A34" t="str">
        <f>Calc_Bank!A16</f>
        <v>Banca Lucana</v>
      </c>
      <c r="B34">
        <f>VLOOKUP(A34,[1]Compare!$A$2:$H$21,3,FALSE)</f>
        <v>21317.7</v>
      </c>
      <c r="C34">
        <f>IFERROR(INDEX([1]Compare!$F$2:$F$21,MATCH(A34,[1]Compare!$A$2:$A$21,0)),0)</f>
        <v>3.9436712215670411E-2</v>
      </c>
    </row>
    <row r="35" spans="1:3" x14ac:dyDescent="0.25">
      <c r="A35" t="str">
        <f>Calc_Bank!A17</f>
        <v>Banca Calabra</v>
      </c>
      <c r="B35">
        <f>VLOOKUP(A35,[1]Compare!$A$2:$H$21,3,FALSE)</f>
        <v>22132.3</v>
      </c>
      <c r="C35">
        <f>IFERROR(INDEX([1]Compare!$F$2:$F$21,MATCH(A35,[1]Compare!$A$2:$A$21,0)),0)</f>
        <v>5.7106581783185728E-2</v>
      </c>
    </row>
    <row r="36" spans="1:3" x14ac:dyDescent="0.25">
      <c r="A36" t="str">
        <f>Calc_Bank!A18</f>
        <v>Banca Sicula</v>
      </c>
      <c r="B36">
        <f>VLOOKUP(A36,[1]Compare!$A$2:$H$21,3,FALSE)</f>
        <v>23360.400000000001</v>
      </c>
      <c r="C36">
        <f>IFERROR(INDEX([1]Compare!$F$2:$F$21,MATCH(A36,[1]Compare!$A$2:$A$21,0)),0)</f>
        <v>4.9545384496840712E-2</v>
      </c>
    </row>
    <row r="37" spans="1:3" x14ac:dyDescent="0.25">
      <c r="A37" t="str">
        <f>Calc_Bank!A19</f>
        <v>Banca Sarda</v>
      </c>
      <c r="B37">
        <f>VLOOKUP(A37,[1]Compare!$A$2:$H$21,3,FALSE)</f>
        <v>24226.7</v>
      </c>
      <c r="C37">
        <f>IFERROR(INDEX([1]Compare!$F$2:$F$21,MATCH(A37,[1]Compare!$A$2:$A$21,0)),0)</f>
        <v>5.779986543771936E-2</v>
      </c>
    </row>
    <row r="38" spans="1:3" x14ac:dyDescent="0.25">
      <c r="A38" t="str">
        <f>Calc_Bank!A20</f>
        <v>Banca Romagnola</v>
      </c>
      <c r="B38">
        <f>VLOOKUP(A38,[1]Compare!$A$2:$H$21,3,FALSE)</f>
        <v>25309.4</v>
      </c>
      <c r="C38">
        <f>IFERROR(INDEX([1]Compare!$F$2:$F$21,MATCH(A38,[1]Compare!$A$2:$A$21,0)),0)</f>
        <v>5.6567915478043615E-2</v>
      </c>
    </row>
    <row r="39" spans="1:3" x14ac:dyDescent="0.25">
      <c r="A39" t="str">
        <f>Calc_Bank!A21</f>
        <v>Banca Città</v>
      </c>
      <c r="B39">
        <f>VLOOKUP(A39,[1]Compare!$A$2:$H$21,3,FALSE)</f>
        <v>26362.1</v>
      </c>
      <c r="C39">
        <f>IFERROR(INDEX([1]Compare!$F$2:$F$21,MATCH(A39,[1]Compare!$A$2:$A$21,0)),0)</f>
        <v>5.04625959236936E-2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7012.5841800000007</v>
      </c>
      <c r="C2">
        <f>B2+Calc_Scenario!AL3/100</f>
        <v>7084.9919347752057</v>
      </c>
      <c r="D2">
        <f>C2*(1+Calc_Growth!AM3)</f>
        <v>7135.2833472118064</v>
      </c>
      <c r="E2">
        <f>D2-_xlfn.XLOOKUP(Calc_Bank!B2,Calc_Region!$A$2:$A$6,Calc_Region!$F$2:$F$6)*0.01</f>
        <v>7022.3123472118068</v>
      </c>
      <c r="F2">
        <f>E2+Calc_Stats!$I$2*0.001</f>
        <v>7039.4682972118071</v>
      </c>
      <c r="G2">
        <f t="shared" ref="G2:G21" si="0">ROUND(F2,2)</f>
        <v>7039.47</v>
      </c>
      <c r="H2">
        <f>G2/MAX(1,Calc_Month!$C$2)*1000</f>
        <v>878.6048601490246</v>
      </c>
      <c r="I2" s="1">
        <f>H2+Calc_Dates!$J$2</f>
        <v>909.6048601490246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8199.606240000001</v>
      </c>
      <c r="C3">
        <f>B3+Calc_Scenario!AL4/100</f>
        <v>8284.2704754144506</v>
      </c>
      <c r="D3">
        <f>C3*(1+Calc_Growth!AM4)</f>
        <v>8343.7107903779306</v>
      </c>
      <c r="E3">
        <f>D3-_xlfn.XLOOKUP(Calc_Bank!B3,Calc_Region!$A$2:$A$6,Calc_Region!$F$2:$F$6)*0.01</f>
        <v>8166.2202903779307</v>
      </c>
      <c r="F3">
        <f>E3+Calc_Stats!$I$2*0.001</f>
        <v>8183.376240377931</v>
      </c>
      <c r="G3">
        <f t="shared" si="0"/>
        <v>8183.38</v>
      </c>
      <c r="H3">
        <f>G3/MAX(1,Calc_Month!$C$2)*1000</f>
        <v>1021.3776662797518</v>
      </c>
      <c r="I3" s="1">
        <f>H3+Calc_Dates!$J$2</f>
        <v>1052.3776662797518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9367.4412899999988</v>
      </c>
      <c r="C4">
        <f>B4+Calc_Scenario!AL5/100</f>
        <v>9464.1638924511608</v>
      </c>
      <c r="D4">
        <f>C4*(1+Calc_Growth!AM5)</f>
        <v>9530.9692825772163</v>
      </c>
      <c r="E4">
        <f>D4-_xlfn.XLOOKUP(Calc_Bank!B4,Calc_Region!$A$2:$A$6,Calc_Region!$F$2:$F$6)*0.01</f>
        <v>9361.2904492438829</v>
      </c>
      <c r="F4">
        <f>E4+Calc_Stats!$I$2*0.001</f>
        <v>9378.4463992438832</v>
      </c>
      <c r="G4">
        <f t="shared" si="0"/>
        <v>9378.4500000000007</v>
      </c>
      <c r="H4">
        <f>G4/MAX(1,Calc_Month!$C$2)*1000</f>
        <v>1170.5358145804471</v>
      </c>
      <c r="I4" s="1">
        <f>H4+Calc_Dates!$J$2</f>
        <v>1201.5358145804471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10603.87794</v>
      </c>
      <c r="C5">
        <f>B5+Calc_Scenario!AL6/100</f>
        <v>10713.367248625416</v>
      </c>
      <c r="D5">
        <f>C5*(1+Calc_Growth!AM6)</f>
        <v>10787.205948558058</v>
      </c>
      <c r="E5">
        <f>D5-_xlfn.XLOOKUP(Calc_Bank!B5,Calc_Region!$A$2:$A$6,Calc_Region!$F$2:$F$6)*0.01</f>
        <v>10674.234948558058</v>
      </c>
      <c r="F5">
        <f>E5+Calc_Stats!$I$2*0.001</f>
        <v>10691.390898558058</v>
      </c>
      <c r="G5">
        <f t="shared" si="0"/>
        <v>10691.39</v>
      </c>
      <c r="H5">
        <f>G5/MAX(1,Calc_Month!$C$2)*1000</f>
        <v>1334.4054617391193</v>
      </c>
      <c r="I5" s="1">
        <f>H5+Calc_Dates!$J$2</f>
        <v>1365.4054617391193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11779.216290000002</v>
      </c>
      <c r="C6">
        <f>B6+Calc_Scenario!AL7/100</f>
        <v>11900.841440255301</v>
      </c>
      <c r="D6">
        <f>C6*(1+Calc_Growth!AM7)</f>
        <v>11987.246904130265</v>
      </c>
      <c r="E6">
        <f>D6-_xlfn.XLOOKUP(Calc_Bank!B6,Calc_Region!$A$2:$A$6,Calc_Region!$F$2:$F$6)*0.01</f>
        <v>11817.568070796931</v>
      </c>
      <c r="F6">
        <f>E6+Calc_Stats!$I$2*0.001</f>
        <v>11834.724020796932</v>
      </c>
      <c r="G6">
        <f t="shared" si="0"/>
        <v>11834.72</v>
      </c>
      <c r="H6">
        <f>G6/MAX(1,Calc_Month!$C$2)*1000</f>
        <v>1477.1058773604921</v>
      </c>
      <c r="I6" s="1">
        <f>H6+Calc_Dates!$J$2</f>
        <v>1508.1058773604921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12975.992640000004</v>
      </c>
      <c r="C7">
        <f>B7+Calc_Scenario!AL8/100</f>
        <v>13109.974987865666</v>
      </c>
      <c r="D7">
        <f>C7*(1+Calc_Growth!AM8)</f>
        <v>13200.724135726547</v>
      </c>
      <c r="E7">
        <f>D7-_xlfn.XLOOKUP(Calc_Bank!B7,Calc_Region!$A$2:$A$6,Calc_Region!$F$2:$F$6)*0.01</f>
        <v>13087.753135726547</v>
      </c>
      <c r="F7">
        <f>E7+Calc_Stats!$I$2*0.001</f>
        <v>13104.909085726547</v>
      </c>
      <c r="G7">
        <f t="shared" si="0"/>
        <v>13104.91</v>
      </c>
      <c r="H7">
        <f>G7/MAX(1,Calc_Month!$C$2)*1000</f>
        <v>1635.6398447348383</v>
      </c>
      <c r="I7" s="1">
        <f>H7+Calc_Dates!$J$2</f>
        <v>1666.6398447348383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14256.805950000002</v>
      </c>
      <c r="C8">
        <f>B8+Calc_Scenario!AL9/100</f>
        <v>14404.013210919511</v>
      </c>
      <c r="D8">
        <f>C8*(1+Calc_Growth!AM9)</f>
        <v>14506.229100024097</v>
      </c>
      <c r="E8">
        <f>D8-_xlfn.XLOOKUP(Calc_Bank!B8,Calc_Region!$A$2:$A$6,Calc_Region!$F$2:$F$6)*0.01</f>
        <v>14336.550266690763</v>
      </c>
      <c r="F8">
        <f>E8+Calc_Stats!$I$2*0.001</f>
        <v>14353.706216690764</v>
      </c>
      <c r="G8">
        <f t="shared" si="0"/>
        <v>14353.71</v>
      </c>
      <c r="H8">
        <f>G8/MAX(1,Calc_Month!$C$2)*1000</f>
        <v>1791.5041000486763</v>
      </c>
      <c r="I8" s="1">
        <f>H8+Calc_Dates!$J$2</f>
        <v>1822.5041000486763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15413.171670000002</v>
      </c>
      <c r="C9">
        <f>B9+Calc_Scenario!AL10/100</f>
        <v>15572.318872506668</v>
      </c>
      <c r="D9">
        <f>C9*(1+Calc_Growth!AM10)</f>
        <v>15678.282130115129</v>
      </c>
      <c r="E9">
        <f>D9-_xlfn.XLOOKUP(Calc_Bank!B9,Calc_Region!$A$2:$A$6,Calc_Region!$F$2:$F$6)*0.01</f>
        <v>15489.723380115129</v>
      </c>
      <c r="F9">
        <f>E9+Calc_Stats!$I$2*0.001</f>
        <v>15506.879330115129</v>
      </c>
      <c r="G9">
        <f t="shared" si="0"/>
        <v>15506.88</v>
      </c>
      <c r="H9">
        <f>G9/MAX(1,Calc_Month!$C$2)*1000</f>
        <v>1935.4326581046166</v>
      </c>
      <c r="I9" s="1">
        <f>H9+Calc_Dates!$J$2</f>
        <v>1966.4326581046166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16603.302240000001</v>
      </c>
      <c r="C10">
        <f>B10+Calc_Scenario!AL11/100</f>
        <v>16774.738019763081</v>
      </c>
      <c r="D10">
        <f>C10*(1+Calc_Growth!AM11)</f>
        <v>16890.971447905908</v>
      </c>
      <c r="E10">
        <f>D10-_xlfn.XLOOKUP(Calc_Bank!B10,Calc_Region!$A$2:$A$6,Calc_Region!$F$2:$F$6)*0.01</f>
        <v>16702.412697905907</v>
      </c>
      <c r="F10">
        <f>E10+Calc_Stats!$I$2*0.001</f>
        <v>16719.568647905908</v>
      </c>
      <c r="G10">
        <f t="shared" si="0"/>
        <v>16719.57</v>
      </c>
      <c r="H10">
        <f>G10/MAX(1,Calc_Month!$C$2)*1000</f>
        <v>2086.7899801550152</v>
      </c>
      <c r="I10" s="1">
        <f>H10+Calc_Dates!$J$2</f>
        <v>2117.7899801550152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17844.9912</v>
      </c>
      <c r="C11">
        <f>B11+Calc_Scenario!AL12/100</f>
        <v>18029.247918152552</v>
      </c>
      <c r="D11">
        <f>C11*(1+Calc_Growth!AM12)</f>
        <v>18156.701882948601</v>
      </c>
      <c r="E11">
        <f>D11-_xlfn.XLOOKUP(Calc_Bank!B11,Calc_Region!$A$2:$A$6,Calc_Region!$F$2:$F$6)*0.01</f>
        <v>18043.730882948599</v>
      </c>
      <c r="F11">
        <f>E11+Calc_Stats!$I$2*0.001</f>
        <v>18060.886832948599</v>
      </c>
      <c r="G11">
        <f t="shared" si="0"/>
        <v>18060.89</v>
      </c>
      <c r="H11">
        <f>G11/MAX(1,Calc_Month!$C$2)*1000</f>
        <v>2254.2017698231421</v>
      </c>
      <c r="I11" s="1">
        <f>H11+Calc_Dates!$J$2</f>
        <v>2285.2017698231421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18933.934410000002</v>
      </c>
      <c r="C12">
        <f>B12+Calc_Scenario!AL13/100</f>
        <v>19129.434905181097</v>
      </c>
      <c r="D12">
        <f>C12*(1+Calc_Growth!AM13)</f>
        <v>19262.380606356845</v>
      </c>
      <c r="E12">
        <f>D12-_xlfn.XLOOKUP(Calc_Bank!B12,Calc_Region!$A$2:$A$6,Calc_Region!$F$2:$F$6)*0.01</f>
        <v>19084.890106356845</v>
      </c>
      <c r="F12">
        <f>E12+Calc_Stats!$I$2*0.001</f>
        <v>19102.046056356845</v>
      </c>
      <c r="G12">
        <f t="shared" si="0"/>
        <v>19102.05</v>
      </c>
      <c r="H12">
        <f>G12/MAX(1,Calc_Month!$C$2)*1000</f>
        <v>2384.1502227880328</v>
      </c>
      <c r="I12" s="1">
        <f>H12+Calc_Dates!$J$2</f>
        <v>2415.1502227880328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20303.501039999999</v>
      </c>
      <c r="C13">
        <f>B13+Calc_Scenario!AL14/100</f>
        <v>20513.142861994133</v>
      </c>
      <c r="D13">
        <f>C13*(1+Calc_Growth!AM14)</f>
        <v>20654.99938852117</v>
      </c>
      <c r="E13">
        <f>D13-_xlfn.XLOOKUP(Calc_Bank!B13,Calc_Region!$A$2:$A$6,Calc_Region!$F$2:$F$6)*0.01</f>
        <v>20477.50888852117</v>
      </c>
      <c r="F13">
        <f>E13+Calc_Stats!$I$2*0.001</f>
        <v>20494.66483852117</v>
      </c>
      <c r="G13">
        <f t="shared" si="0"/>
        <v>20494.66</v>
      </c>
      <c r="H13">
        <f>G13/MAX(1,Calc_Month!$C$2)*1000</f>
        <v>2557.9635800851211</v>
      </c>
      <c r="I13" s="1">
        <f>H13+Calc_Dates!$J$2</f>
        <v>2588.9635800851211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21372.506910000004</v>
      </c>
      <c r="C14">
        <f>B14+Calc_Scenario!AL15/100</f>
        <v>21593.186647960832</v>
      </c>
      <c r="D14">
        <f>C14*(1+Calc_Growth!AM15)</f>
        <v>21743.648904980215</v>
      </c>
      <c r="E14">
        <f>D14-_xlfn.XLOOKUP(Calc_Bank!B14,Calc_Region!$A$2:$A$6,Calc_Region!$F$2:$F$6)*0.01</f>
        <v>21573.970071646883</v>
      </c>
      <c r="F14">
        <f>E14+Calc_Stats!$I$2*0.001</f>
        <v>21591.126021646884</v>
      </c>
      <c r="G14">
        <f t="shared" si="0"/>
        <v>21591.13</v>
      </c>
      <c r="H14">
        <f>G14/MAX(1,Calc_Month!$C$2)*1000</f>
        <v>2694.8153417955341</v>
      </c>
      <c r="I14" s="1">
        <f>H14+Calc_Dates!$J$2</f>
        <v>2725.8153417955341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22667.790869999997</v>
      </c>
      <c r="C15">
        <f>B15+Calc_Scenario!AL16/100</f>
        <v>22901.844936301502</v>
      </c>
      <c r="D15">
        <f>C15*(1+Calc_Growth!AM16)</f>
        <v>23064.230859578012</v>
      </c>
      <c r="E15">
        <f>D15-_xlfn.XLOOKUP(Calc_Bank!B15,Calc_Region!$A$2:$A$6,Calc_Region!$F$2:$F$6)*0.01</f>
        <v>22894.552026244681</v>
      </c>
      <c r="F15">
        <f>E15+Calc_Stats!$I$2*0.001</f>
        <v>22911.707976244681</v>
      </c>
      <c r="G15">
        <f t="shared" si="0"/>
        <v>22911.71</v>
      </c>
      <c r="H15">
        <f>G15/MAX(1,Calc_Month!$C$2)*1000</f>
        <v>2859.6385466981187</v>
      </c>
      <c r="I15" s="1">
        <f>H15+Calc_Dates!$J$2</f>
        <v>2890.6385466981187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23751.588960000001</v>
      </c>
      <c r="C16">
        <f>B16+Calc_Scenario!AL17/100</f>
        <v>23996.83367789473</v>
      </c>
      <c r="D16">
        <f>C16*(1+Calc_Growth!AM17)</f>
        <v>24164.507348329742</v>
      </c>
      <c r="E16">
        <f>D16-_xlfn.XLOOKUP(Calc_Bank!B16,Calc_Region!$A$2:$A$6,Calc_Region!$F$2:$F$6)*0.01</f>
        <v>23975.948598329742</v>
      </c>
      <c r="F16">
        <f>E16+Calc_Stats!$I$2*0.001</f>
        <v>23993.104548329742</v>
      </c>
      <c r="G16">
        <f t="shared" si="0"/>
        <v>23993.1</v>
      </c>
      <c r="H16">
        <f>G16/MAX(1,Calc_Month!$C$2)*1000</f>
        <v>2994.6081551653119</v>
      </c>
      <c r="I16" s="1">
        <f>H16+Calc_Dates!$J$2</f>
        <v>3025.6081551653119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25078.386780000001</v>
      </c>
      <c r="C17">
        <f>B17+Calc_Scenario!AL18/100</f>
        <v>25337.331219526714</v>
      </c>
      <c r="D17">
        <f>C17*(1+Calc_Growth!AM18)</f>
        <v>25516.423550958425</v>
      </c>
      <c r="E17">
        <f>D17-_xlfn.XLOOKUP(Calc_Bank!B17,Calc_Region!$A$2:$A$6,Calc_Region!$F$2:$F$6)*0.01</f>
        <v>25327.864800958425</v>
      </c>
      <c r="F17">
        <f>E17+Calc_Stats!$I$2*0.001</f>
        <v>25345.020750958425</v>
      </c>
      <c r="G17">
        <f t="shared" si="0"/>
        <v>25345.02</v>
      </c>
      <c r="H17">
        <f>G17/MAX(1,Calc_Month!$C$2)*1000</f>
        <v>3163.342943797506</v>
      </c>
      <c r="I17" s="1">
        <f>H17+Calc_Dates!$J$2</f>
        <v>3194.342943797506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26280.629820000002</v>
      </c>
      <c r="C18">
        <f>B18+Calc_Scenario!AL19/100</f>
        <v>26551.9879029121</v>
      </c>
      <c r="D18">
        <f>C18*(1+Calc_Growth!AM19)</f>
        <v>26737.753079731287</v>
      </c>
      <c r="E18">
        <f>D18-_xlfn.XLOOKUP(Calc_Bank!B18,Calc_Region!$A$2:$A$6,Calc_Region!$F$2:$F$6)*0.01</f>
        <v>26487.029079731288</v>
      </c>
      <c r="F18">
        <f>E18+Calc_Stats!$I$2*0.001</f>
        <v>26504.185029731289</v>
      </c>
      <c r="G18">
        <f t="shared" si="0"/>
        <v>26504.19</v>
      </c>
      <c r="H18">
        <f>G18/MAX(1,Calc_Month!$C$2)*1000</f>
        <v>3308.0203691915972</v>
      </c>
      <c r="I18" s="1">
        <f>H18+Calc_Dates!$J$2</f>
        <v>3339.0203691915972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27469.581299999998</v>
      </c>
      <c r="C19">
        <f>B19+Calc_Scenario!AL20/100</f>
        <v>27753.215785589582</v>
      </c>
      <c r="D19">
        <f>C19*(1+Calc_Growth!AM20)</f>
        <v>27945.46903148299</v>
      </c>
      <c r="E19">
        <f>D19-_xlfn.XLOOKUP(Calc_Bank!B19,Calc_Region!$A$2:$A$6,Calc_Region!$F$2:$F$6)*0.01</f>
        <v>27694.745031482991</v>
      </c>
      <c r="F19">
        <f>E19+Calc_Stats!$I$2*0.001</f>
        <v>27711.900981482991</v>
      </c>
      <c r="G19">
        <f t="shared" si="0"/>
        <v>27711.9</v>
      </c>
      <c r="H19">
        <f>G19/MAX(1,Calc_Month!$C$2)*1000</f>
        <v>3458.7561313513315</v>
      </c>
      <c r="I19" s="1">
        <f>H19+Calc_Dates!$J$2</f>
        <v>3489.7561313513315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28663.785090000001</v>
      </c>
      <c r="C20">
        <f>B20+Calc_Scenario!AL21/100</f>
        <v>28959.750210482292</v>
      </c>
      <c r="D20">
        <f>C20*(1+Calc_Growth!AM21)</f>
        <v>29164.535664092862</v>
      </c>
      <c r="E20">
        <f>D20-_xlfn.XLOOKUP(Calc_Bank!B20,Calc_Region!$A$2:$A$6,Calc_Region!$F$2:$F$6)*0.01</f>
        <v>28987.045164092862</v>
      </c>
      <c r="F20">
        <f>E20+Calc_Stats!$I$2*0.001</f>
        <v>29004.201114092863</v>
      </c>
      <c r="G20">
        <f t="shared" si="0"/>
        <v>29004.2</v>
      </c>
      <c r="H20">
        <f>G20/MAX(1,Calc_Month!$C$2)*1000</f>
        <v>3620.0496748667642</v>
      </c>
      <c r="I20" s="1">
        <f>H20+Calc_Dates!$J$2</f>
        <v>3651.0496748667642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29683.483560000004</v>
      </c>
      <c r="C21">
        <f>B21+Calc_Scenario!AL22/100</f>
        <v>29989.977477693883</v>
      </c>
      <c r="D21">
        <f>C21*(1+Calc_Growth!AM22)</f>
        <v>30198.100829444265</v>
      </c>
      <c r="E21">
        <f>D21-_xlfn.XLOOKUP(Calc_Bank!B21,Calc_Region!$A$2:$A$6,Calc_Region!$F$2:$F$6)*0.01</f>
        <v>30028.421996110934</v>
      </c>
      <c r="F21">
        <f>E21+Calc_Stats!$I$2*0.001</f>
        <v>30045.577946110934</v>
      </c>
      <c r="G21">
        <f t="shared" si="0"/>
        <v>30045.58</v>
      </c>
      <c r="H21">
        <f>G21/MAX(1,Calc_Month!$C$2)*1000</f>
        <v>3750.0255863007205</v>
      </c>
      <c r="I21" s="1">
        <f>H21+Calc_Dates!$J$2</f>
        <v>3781.0255863007205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8739.0999999999985</v>
      </c>
      <c r="C2" cm="1">
        <f t="array" ref="C2">INDEX(Calc_Month!$C$2:$C$37,Control!$B$13)</f>
        <v>8718.7000000000007</v>
      </c>
      <c r="D2">
        <f>B2-C2</f>
        <v>20.399999999997817</v>
      </c>
      <c r="E2">
        <f>IFERROR(D2/C2,0)</f>
        <v>2.3397983644348145E-3</v>
      </c>
    </row>
    <row r="3" spans="1:5" x14ac:dyDescent="0.25">
      <c r="A3" t="s">
        <v>5</v>
      </c>
      <c r="B3" cm="1">
        <f t="array" ref="B3">INDEX(Calc_Month!$D$2:$D$37,Control!$B$3)</f>
        <v>472.04</v>
      </c>
      <c r="C3" cm="1">
        <f t="array" ref="C3">INDEX(Calc_Month!$D$2:$D$37,Control!$B$13)</f>
        <v>472.51</v>
      </c>
      <c r="D3">
        <f>B3-C3</f>
        <v>-0.46999999999997044</v>
      </c>
      <c r="E3">
        <f>IFERROR(D3/C3,0)</f>
        <v>-9.9468794311225253E-4</v>
      </c>
    </row>
    <row r="4" spans="1:5" x14ac:dyDescent="0.25">
      <c r="A4" t="s">
        <v>6</v>
      </c>
      <c r="B4" cm="1">
        <f t="array" ref="B4">INDEX(Calc_Month!$E$2:$E$37,Control!$B$3)</f>
        <v>287.57</v>
      </c>
      <c r="C4" cm="1">
        <f t="array" ref="C4">INDEX(Calc_Month!$E$2:$E$37,Control!$B$13)</f>
        <v>285.29000000000002</v>
      </c>
      <c r="D4">
        <f>B4-C4</f>
        <v>2.2799999999999727</v>
      </c>
      <c r="E4">
        <f>IFERROR(D4/C4,0)</f>
        <v>7.9918679238668456E-3</v>
      </c>
    </row>
    <row r="5" spans="1:5" x14ac:dyDescent="0.25">
      <c r="A5" t="s">
        <v>10</v>
      </c>
      <c r="B5" cm="1">
        <f t="array" ref="B5">INDEX(Calc_Month!$G$2:$G$37,Control!$B$3)</f>
        <v>184.47000000000003</v>
      </c>
      <c r="C5" cm="1">
        <f t="array" ref="C5">INDEX(Calc_Month!$G$2:$G$37,Control!$B$13)</f>
        <v>187.21999999999997</v>
      </c>
      <c r="D5">
        <f>B5-C5</f>
        <v>-2.7499999999999432</v>
      </c>
      <c r="E5">
        <f>IFERROR(D5/C5,0)</f>
        <v>-1.4688601645123082E-2</v>
      </c>
    </row>
    <row r="6" spans="1:5" x14ac:dyDescent="0.25">
      <c r="A6" t="s">
        <v>7</v>
      </c>
      <c r="B6" cm="1">
        <f t="array" ref="B6">INDEX(Calc_Month!$F$2:$F$37,Control!$B$3)</f>
        <v>986</v>
      </c>
      <c r="C6" cm="1">
        <f t="array" ref="C6">INDEX(Calc_Month!$F$2:$F$37,Control!$B$13)</f>
        <v>972</v>
      </c>
      <c r="D6">
        <f>B6-C6</f>
        <v>14</v>
      </c>
      <c r="E6">
        <f>IFERROR(D6/C6,0)</f>
        <v>1.4403292181069959E-2</v>
      </c>
    </row>
    <row r="7" spans="1:5" x14ac:dyDescent="0.25">
      <c r="A7" t="s">
        <v>136</v>
      </c>
      <c r="B7" cm="1">
        <f t="array" ref="B7">INDEX(Calc_Month!$H$2:$H$37,Control!$B$3)</f>
        <v>8877</v>
      </c>
      <c r="C7">
        <f t="shared" ref="C7:C19" si="0">IF(ISNUMBER(B7),ROUND(B7,2),B7)</f>
        <v>8877</v>
      </c>
    </row>
    <row r="8" spans="1:5" x14ac:dyDescent="0.25">
      <c r="A8" t="s">
        <v>142</v>
      </c>
      <c r="B8">
        <f>_xlfn.XLOOKUP(Control!$B$2,Calc_Bank!$A$2:$A$21,Calc_Bank!$L$2:$L$21)</f>
        <v>18</v>
      </c>
      <c r="C8">
        <f t="shared" si="0"/>
        <v>18</v>
      </c>
    </row>
    <row r="9" spans="1:5" x14ac:dyDescent="0.25">
      <c r="A9" t="s">
        <v>150</v>
      </c>
      <c r="B9">
        <f>_xlfn.XLOOKUP(Control!$B$2,Calc_Bank!$A$2:$A$21,Calc_Bank!$K$2:$K$21)</f>
        <v>2.5436881221980887E-2</v>
      </c>
      <c r="C9">
        <f t="shared" si="0"/>
        <v>0.03</v>
      </c>
    </row>
    <row r="10" spans="1:5" x14ac:dyDescent="0.25">
      <c r="A10" t="s">
        <v>161</v>
      </c>
      <c r="B10" cm="1">
        <f t="array" ref="B10">INDEX(Calc_Month!$J$2:$J$37,Control!$B$3)</f>
        <v>8739.0999999999985</v>
      </c>
      <c r="C10">
        <f t="shared" si="0"/>
        <v>8739.1</v>
      </c>
    </row>
    <row r="11" spans="1:5" x14ac:dyDescent="0.25">
      <c r="A11" t="s">
        <v>141</v>
      </c>
      <c r="B11" cm="1">
        <f t="array" ref="B11">INDEX(Calc_Scenario!$B$3:$AK$22,Control!$B$6,Control!$B$3)</f>
        <v>9672.2602451162802</v>
      </c>
      <c r="C11">
        <f t="shared" si="0"/>
        <v>9672.26</v>
      </c>
    </row>
    <row r="12" spans="1:5" x14ac:dyDescent="0.25">
      <c r="A12" t="s">
        <v>257</v>
      </c>
      <c r="B12">
        <f>_xlfn.XLOOKUP(Control!$B$8,Calc_Region!$A$2:$A$6,Calc_Region!$K$2:$K$6)</f>
        <v>0.29633030834188595</v>
      </c>
      <c r="C12">
        <f t="shared" si="0"/>
        <v>0.3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1201.5358145804471</v>
      </c>
      <c r="C14">
        <f t="shared" si="0"/>
        <v>1201.54</v>
      </c>
    </row>
    <row r="15" spans="1:5" x14ac:dyDescent="0.25">
      <c r="A15" t="s">
        <v>260</v>
      </c>
      <c r="B15" cm="1">
        <f t="array" ref="B15">INDEX(Calc_Growth!$AM$3:$AM$22,Control!$B$6)</f>
        <v>7.0587735890058397E-3</v>
      </c>
      <c r="C15">
        <f t="shared" si="0"/>
        <v>0.01</v>
      </c>
    </row>
    <row r="16" spans="1:5" x14ac:dyDescent="0.25">
      <c r="A16" t="s">
        <v>261</v>
      </c>
      <c r="B16">
        <f>Calc_Stats!$I$2</f>
        <v>17155.95</v>
      </c>
      <c r="C16">
        <f t="shared" si="0"/>
        <v>17155.95</v>
      </c>
    </row>
    <row r="17" spans="1:3" x14ac:dyDescent="0.25">
      <c r="A17" t="s">
        <v>128</v>
      </c>
      <c r="B17" t="str">
        <f>Control!$B$16</f>
        <v>Banca Tirrena (B103) - gennaio 2025</v>
      </c>
      <c r="C17" t="str">
        <f t="shared" si="0"/>
        <v>Banca Tirrena (B103) - gennaio 2025</v>
      </c>
    </row>
    <row r="18" spans="1:3" x14ac:dyDescent="0.25">
      <c r="A18" t="s">
        <v>147</v>
      </c>
      <c r="B18" cm="1">
        <f t="array" ref="B18">INDEX(Calc_Month!$U$2:$U$37,Control!$B$3)</f>
        <v>8433.8916666666646</v>
      </c>
      <c r="C18">
        <f t="shared" si="0"/>
        <v>8433.89</v>
      </c>
    </row>
    <row r="19" spans="1:3" x14ac:dyDescent="0.25">
      <c r="A19" t="s">
        <v>262</v>
      </c>
      <c r="B19" cm="1">
        <f t="array" aca="1" ref="B19" ca="1">INDEX(Calc_Month!$L$2:$L$37,Control!$B$3)</f>
        <v>8700.9</v>
      </c>
      <c r="C19">
        <f t="shared" ca="1" si="0"/>
        <v>8700.9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Tirrena (B103) - gennaio 2025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8739.0999999999985</v>
      </c>
      <c r="E5" s="3">
        <f>Calc_Summary!C2</f>
        <v>8718.7000000000007</v>
      </c>
      <c r="F5" s="3">
        <f t="shared" ref="F5:F9" si="0">D5-E5</f>
        <v>20.399999999997817</v>
      </c>
      <c r="G5" s="2">
        <f t="shared" ref="G5:G9" si="1">IFERROR(F5/E5,"-")</f>
        <v>2.3397983644348145E-3</v>
      </c>
    </row>
    <row r="6" spans="2:8" x14ac:dyDescent="0.25">
      <c r="C6" t="s">
        <v>5</v>
      </c>
      <c r="D6" s="3">
        <f>Calc_Summary!B3</f>
        <v>472.04</v>
      </c>
      <c r="E6" s="3">
        <f>Calc_Summary!C3</f>
        <v>472.51</v>
      </c>
      <c r="F6" s="3">
        <f t="shared" si="0"/>
        <v>-0.46999999999997044</v>
      </c>
      <c r="G6" s="2">
        <f t="shared" si="1"/>
        <v>-9.9468794311225253E-4</v>
      </c>
    </row>
    <row r="7" spans="2:8" x14ac:dyDescent="0.25">
      <c r="C7" t="s">
        <v>6</v>
      </c>
      <c r="D7" s="3">
        <f>Calc_Summary!B4</f>
        <v>287.57</v>
      </c>
      <c r="E7" s="3">
        <f>Calc_Summary!C4</f>
        <v>285.29000000000002</v>
      </c>
      <c r="F7" s="3">
        <f t="shared" si="0"/>
        <v>2.2799999999999727</v>
      </c>
      <c r="G7" s="2">
        <f t="shared" si="1"/>
        <v>7.9918679238668456E-3</v>
      </c>
    </row>
    <row r="8" spans="2:8" x14ac:dyDescent="0.25">
      <c r="C8" t="s">
        <v>10</v>
      </c>
      <c r="D8" s="3">
        <f>Calc_Summary!B5</f>
        <v>184.47000000000003</v>
      </c>
      <c r="E8" s="3">
        <f>Calc_Summary!C5</f>
        <v>187.21999999999997</v>
      </c>
      <c r="F8" s="3">
        <f t="shared" si="0"/>
        <v>-2.7499999999999432</v>
      </c>
      <c r="G8" s="2">
        <f t="shared" si="1"/>
        <v>-1.4688601645123082E-2</v>
      </c>
    </row>
    <row r="9" spans="2:8" x14ac:dyDescent="0.25">
      <c r="C9" t="s">
        <v>7</v>
      </c>
      <c r="D9" s="3">
        <f>Calc_Summary!B6</f>
        <v>986</v>
      </c>
      <c r="E9" s="3">
        <f>Calc_Summary!C6</f>
        <v>972</v>
      </c>
      <c r="F9" s="3">
        <f t="shared" si="0"/>
        <v>14</v>
      </c>
      <c r="G9" s="2">
        <f t="shared" si="1"/>
        <v>1.4403292181069959E-2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gennaio 2025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27692.400000000001</v>
      </c>
      <c r="G5">
        <f>Calc_Stats!E2</f>
        <v>8.0604214341474939E-2</v>
      </c>
      <c r="H5">
        <f>Calc_Stats!F2</f>
        <v>4.6218030110649622E-3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26741.1</v>
      </c>
      <c r="G6">
        <f>Calc_Stats!E3</f>
        <v>7.7835267298132893E-2</v>
      </c>
      <c r="H6">
        <f>Calc_Stats!F3</f>
        <v>8.1660351750270088E-3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25626.999999999996</v>
      </c>
      <c r="G7">
        <f>Calc_Stats!E4</f>
        <v>7.4592458614239937E-2</v>
      </c>
      <c r="H7">
        <f>Calc_Stats!F4</f>
        <v>8.7384373154888451E-3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24517.8</v>
      </c>
      <c r="G8">
        <f>Calc_Stats!E5</f>
        <v>7.1363912350732125E-2</v>
      </c>
      <c r="H8">
        <f>Calc_Stats!F5</f>
        <v>1.3852821013282002E-2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23396.2</v>
      </c>
      <c r="G9">
        <f>Calc_Stats!E6</f>
        <v>6.8099273431555807E-2</v>
      </c>
      <c r="H9">
        <f>Calc_Stats!F6</f>
        <v>1.144764259837272E-2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22158.399999999998</v>
      </c>
      <c r="G10">
        <f>Calc_Stats!E7</f>
        <v>6.4496411400389211E-2</v>
      </c>
      <c r="H10">
        <f>Calc_Stats!F7</f>
        <v>5.5362944945636094E-3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21147.299999999996</v>
      </c>
      <c r="G11">
        <f>Calc_Stats!E8</f>
        <v>6.1553404614387797E-2</v>
      </c>
      <c r="H11">
        <f>Calc_Stats!F8</f>
        <v>8.3251083551472149E-3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19938.900000000001</v>
      </c>
      <c r="G12">
        <f>Calc_Stats!E9</f>
        <v>5.8036117105532019E-2</v>
      </c>
      <c r="H12">
        <f>Calc_Stats!F9</f>
        <v>1.1490229500213056E-2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18941.599999999999</v>
      </c>
      <c r="G13">
        <f>Calc_Stats!E10</f>
        <v>5.5133277952451994E-2</v>
      </c>
      <c r="H13">
        <f>Calc_Stats!F10</f>
        <v>1.5009511561235644E-2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17663.900000000001</v>
      </c>
      <c r="G14">
        <f>Calc_Stats!E11</f>
        <v>5.1414279069577913E-2</v>
      </c>
      <c r="H14">
        <f>Calc_Stats!F11</f>
        <v>3.0493691156261438E-3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13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45188.399999999994</v>
      </c>
      <c r="F5">
        <f>Calc_Region!I2</f>
        <v>42000</v>
      </c>
      <c r="G5">
        <f>Calc_Region!J2</f>
        <v>3188.3999999999942</v>
      </c>
      <c r="H5">
        <f>Calc_Region!K2</f>
        <v>0.13152978721050926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70996.2</v>
      </c>
      <c r="F6">
        <f>Calc_Region!I3</f>
        <v>30000</v>
      </c>
      <c r="G6">
        <f>Calc_Region!J3</f>
        <v>40996.199999999997</v>
      </c>
      <c r="H6">
        <f>Calc_Region!K3</f>
        <v>0.2066485000299802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101807.29999999999</v>
      </c>
      <c r="F7">
        <f>Calc_Region!I4</f>
        <v>47000</v>
      </c>
      <c r="G7">
        <f>Calc_Region!J4</f>
        <v>54807.299999999988</v>
      </c>
      <c r="H7">
        <f>Calc_Region!K4</f>
        <v>0.29633030834188595</v>
      </c>
      <c r="I7" t="str">
        <f>Calc_Region!M4</f>
        <v>Banca Città</v>
      </c>
      <c r="J7" t="str">
        <f>Calc_Region!L4</f>
        <v>sì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75423.5</v>
      </c>
      <c r="F8">
        <f>Calc_Region!I5</f>
        <v>26000</v>
      </c>
      <c r="G8">
        <f>Calc_Region!J5</f>
        <v>49423.5</v>
      </c>
      <c r="H8">
        <f>Calc_Region!K5</f>
        <v>0.21953503345265257</v>
      </c>
      <c r="I8" t="str">
        <f>Calc_Region!M5</f>
        <v>Banca Calabra</v>
      </c>
      <c r="J8" t="str">
        <f>Calc_Region!L5</f>
        <v>no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50144.800000000003</v>
      </c>
      <c r="F9">
        <f>Calc_Region!I6</f>
        <v>16000</v>
      </c>
      <c r="G9">
        <f>Calc_Region!J6</f>
        <v>34144.800000000003</v>
      </c>
      <c r="H9">
        <f>Calc_Region!K6</f>
        <v>0.1459563709649721</v>
      </c>
      <c r="I9" t="str">
        <f>Calc_Region!M6</f>
        <v>Banca Sarda</v>
      </c>
      <c r="J9" t="str">
        <f>Calc_Region!L6</f>
        <v>no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Tirrena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497.8</v>
      </c>
      <c r="F5">
        <f>Calc_Product!E2</f>
        <v>8.2700000000000014</v>
      </c>
      <c r="G5">
        <f>Calc_Product!H2</f>
        <v>5.6962387431200023E-2</v>
      </c>
      <c r="H5">
        <f>Calc_Product!L2</f>
        <v>2.6591880341880349E-2</v>
      </c>
      <c r="I5">
        <f>Calc_Product!J2</f>
        <v>497.8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663.1</v>
      </c>
      <c r="F6">
        <f>Calc_Product!E3</f>
        <v>11.620000000000001</v>
      </c>
      <c r="G6">
        <f>Calc_Product!H3</f>
        <v>7.5877378677438198E-2</v>
      </c>
      <c r="H6">
        <f>Calc_Product!L3</f>
        <v>2.5852355796409286E-2</v>
      </c>
      <c r="I6">
        <f>Calc_Product!J3</f>
        <v>663.1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855.8</v>
      </c>
      <c r="F7">
        <f>Calc_Product!E4</f>
        <v>15.879999999999999</v>
      </c>
      <c r="G7">
        <f>Calc_Product!H4</f>
        <v>9.7927704225835618E-2</v>
      </c>
      <c r="H7">
        <f>Calc_Product!L4</f>
        <v>2.6377026897909994E-2</v>
      </c>
      <c r="I7">
        <f>Calc_Product!J4</f>
        <v>855.8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1001.7</v>
      </c>
      <c r="F8">
        <f>Calc_Product!E5</f>
        <v>19.929999999999996</v>
      </c>
      <c r="G8">
        <f>Calc_Product!H5</f>
        <v>0.11462278724353769</v>
      </c>
      <c r="H8">
        <f>Calc_Product!L5</f>
        <v>2.5419083725391672E-2</v>
      </c>
      <c r="I8">
        <f>Calc_Product!J5</f>
        <v>1001.7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1158.4000000000001</v>
      </c>
      <c r="F9">
        <f>Calc_Product!E6</f>
        <v>23.53</v>
      </c>
      <c r="G9">
        <f>Calc_Product!H6</f>
        <v>0.13255369546063098</v>
      </c>
      <c r="H9">
        <f>Calc_Product!L6</f>
        <v>2.4969768559733228E-2</v>
      </c>
      <c r="I9">
        <f>Calc_Product!J6</f>
        <v>1158.4000000000001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1348.1</v>
      </c>
      <c r="F10">
        <f>Calc_Product!E7</f>
        <v>30.120000000000005</v>
      </c>
      <c r="G10">
        <f>Calc_Product!H7</f>
        <v>0.15426073623141973</v>
      </c>
      <c r="H10">
        <f>Calc_Product!L7</f>
        <v>2.522595011320895E-2</v>
      </c>
      <c r="I10">
        <f>Calc_Product!J7</f>
        <v>1348.1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1520.9</v>
      </c>
      <c r="F11">
        <f>Calc_Product!E8</f>
        <v>34.68</v>
      </c>
      <c r="G11">
        <f>Calc_Product!H8</f>
        <v>0.17403393942167961</v>
      </c>
      <c r="H11">
        <f>Calc_Product!L8</f>
        <v>2.5203706066687336E-2</v>
      </c>
      <c r="I11">
        <f>Calc_Product!J8</f>
        <v>1520.9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1693.3</v>
      </c>
      <c r="F12">
        <f>Calc_Product!E9</f>
        <v>40.440000000000005</v>
      </c>
      <c r="G12">
        <f>Calc_Product!H9</f>
        <v>0.19376137130825832</v>
      </c>
      <c r="H12">
        <f>Calc_Product!L9</f>
        <v>2.5212548949539167E-2</v>
      </c>
      <c r="I12">
        <f>Calc_Product!J9</f>
        <v>1693.3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Tirrena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8</v>
      </c>
      <c r="D5" cm="1">
        <f t="array" ref="D5">INDEX(Calc_Month!$C$2:$C$37,C5)</f>
        <v>8440.6</v>
      </c>
      <c r="E5" cm="1">
        <f t="array" ref="E5">INDEX(Budget!$B$2:$AK$21,Control!$B$6,MATCH(C5,Budget!$B$1:$AK$1,0))</f>
        <v>8520</v>
      </c>
      <c r="F5">
        <f>HLOOKUP(C5,Budget!$B$1:$AK$21,Control!$B$6+1,FALSE)</f>
        <v>8520</v>
      </c>
      <c r="G5">
        <f t="shared" ref="G5:G10" si="0">IFERROR(D5/E5-1,0)</f>
        <v>-9.3192488262909823E-3</v>
      </c>
      <c r="H5" cm="1">
        <f t="array" ref="H5">INDEX(Budget!$B$25:$AK$44,MATCH(Control!$B$2,Budget!$A$25:$A$44,0),C5)</f>
        <v>443</v>
      </c>
    </row>
    <row r="6" spans="2:9" x14ac:dyDescent="0.25">
      <c r="C6">
        <f>Control!$B$3-6+ROW()-4</f>
        <v>9</v>
      </c>
      <c r="D6" cm="1">
        <f t="array" ref="D6">INDEX(Calc_Month!$C$2:$C$37,C6)</f>
        <v>8499.6</v>
      </c>
      <c r="E6" cm="1">
        <f t="array" ref="E6">INDEX(Budget!$B$2:$AK$21,Control!$B$6,MATCH(C6,Budget!$B$1:$AK$1,0))</f>
        <v>8591</v>
      </c>
      <c r="F6">
        <f>HLOOKUP(C6,Budget!$B$1:$AK$21,Control!$B$6+1,FALSE)</f>
        <v>8591</v>
      </c>
      <c r="G6">
        <f t="shared" si="0"/>
        <v>-1.0639040856710413E-2</v>
      </c>
      <c r="H6" cm="1">
        <f t="array" ref="H6">INDEX(Budget!$B$25:$AK$44,MATCH(Control!$B$2,Budget!$A$25:$A$44,0),C6)</f>
        <v>446.8</v>
      </c>
    </row>
    <row r="7" spans="2:9" x14ac:dyDescent="0.25">
      <c r="C7">
        <f>Control!$B$3-6+ROW()-4</f>
        <v>10</v>
      </c>
      <c r="D7" cm="1">
        <f t="array" ref="D7">INDEX(Calc_Month!$C$2:$C$37,C7)</f>
        <v>8590.6</v>
      </c>
      <c r="E7" cm="1">
        <f t="array" ref="E7">INDEX(Budget!$B$2:$AK$21,Control!$B$6,MATCH(C7,Budget!$B$1:$AK$1,0))</f>
        <v>8663</v>
      </c>
      <c r="F7">
        <f>HLOOKUP(C7,Budget!$B$1:$AK$21,Control!$B$6+1,FALSE)</f>
        <v>8663</v>
      </c>
      <c r="G7">
        <f t="shared" si="0"/>
        <v>-8.3573819692946971E-3</v>
      </c>
      <c r="H7" cm="1">
        <f t="array" ref="H7">INDEX(Budget!$B$25:$AK$44,MATCH(Control!$B$2,Budget!$A$25:$A$44,0),C7)</f>
        <v>450.5</v>
      </c>
    </row>
    <row r="8" spans="2:9" x14ac:dyDescent="0.25">
      <c r="C8">
        <f>Control!$B$3-6+ROW()-4</f>
        <v>11</v>
      </c>
      <c r="D8" cm="1">
        <f t="array" ref="D8">INDEX(Calc_Month!$C$2:$C$37,C8)</f>
        <v>8644.8999999999978</v>
      </c>
      <c r="E8" cm="1">
        <f t="array" ref="E8">INDEX(Budget!$B$2:$AK$21,Control!$B$6,MATCH(C8,Budget!$B$1:$AK$1,0))</f>
        <v>8734</v>
      </c>
      <c r="F8">
        <f>HLOOKUP(C8,Budget!$B$1:$AK$21,Control!$B$6+1,FALSE)</f>
        <v>8734</v>
      </c>
      <c r="G8">
        <f t="shared" si="0"/>
        <v>-1.0201511335012792E-2</v>
      </c>
      <c r="H8" cm="1">
        <f t="array" ref="H8">INDEX(Budget!$B$25:$AK$44,MATCH(Control!$B$2,Budget!$A$25:$A$44,0),C8)</f>
        <v>454.2</v>
      </c>
    </row>
    <row r="9" spans="2:9" x14ac:dyDescent="0.25">
      <c r="C9">
        <f>Control!$B$3-6+ROW()-4</f>
        <v>12</v>
      </c>
      <c r="D9" cm="1">
        <f t="array" ref="D9">INDEX(Calc_Month!$C$2:$C$37,C9)</f>
        <v>8718.7000000000007</v>
      </c>
      <c r="E9" cm="1">
        <f t="array" ref="E9">INDEX(Budget!$B$2:$AK$21,Control!$B$6,MATCH(C9,Budget!$B$1:$AK$1,0))</f>
        <v>8806</v>
      </c>
      <c r="F9">
        <f>HLOOKUP(C9,Budget!$B$1:$AK$21,Control!$B$6+1,FALSE)</f>
        <v>8806</v>
      </c>
      <c r="G9">
        <f t="shared" si="0"/>
        <v>-9.9136952078128227E-3</v>
      </c>
      <c r="H9" cm="1">
        <f t="array" ref="H9">INDEX(Budget!$B$25:$AK$44,MATCH(Control!$B$2,Budget!$A$25:$A$44,0),C9)</f>
        <v>457.9</v>
      </c>
    </row>
    <row r="10" spans="2:9" x14ac:dyDescent="0.25">
      <c r="C10">
        <f>Control!$B$3-6+ROW()-4</f>
        <v>13</v>
      </c>
      <c r="D10" cm="1">
        <f t="array" ref="D10">INDEX(Calc_Month!$C$2:$C$37,C10)</f>
        <v>8739.0999999999985</v>
      </c>
      <c r="E10" cm="1">
        <f t="array" ref="E10">INDEX(Budget!$B$2:$AK$21,Control!$B$6,MATCH(C10,Budget!$B$1:$AK$1,0))</f>
        <v>8877</v>
      </c>
      <c r="F10">
        <f>HLOOKUP(C10,Budget!$B$1:$AK$21,Control!$B$6+1,FALSE)</f>
        <v>8877</v>
      </c>
      <c r="G10">
        <f t="shared" si="0"/>
        <v>-1.5534527430438372E-2</v>
      </c>
      <c r="H10" cm="1">
        <f t="array" ref="H10">INDEX(Budget!$B$25:$AK$44,MATCH(Control!$B$2,Budget!$A$25:$A$44,0),C10)</f>
        <v>461.6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Tirrena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8</v>
      </c>
      <c r="D5" cm="1">
        <f t="array" ref="D5">INDEX(Calc_Month!$C$2:$C$37,C5)</f>
        <v>8440.6</v>
      </c>
      <c r="E5">
        <f>D5*VLOOKUP(C5,FX!$A$2:$E$37,3,FALSE)</f>
        <v>9207.00648</v>
      </c>
      <c r="F5">
        <f>D5*_xlfn.XLOOKUP(C5,FX!$A$2:$A$37,FX!$D$2:$D$37)</f>
        <v>7139.0594799999999</v>
      </c>
      <c r="G5" cm="1">
        <f t="array" ref="G5">D5*INDEX(FX!$E$2:$E$37,C5)</f>
        <v>7883.5204000000003</v>
      </c>
    </row>
    <row r="6" spans="2:8" x14ac:dyDescent="0.25">
      <c r="C6">
        <f>Control!$B$3-6+ROW()-4</f>
        <v>9</v>
      </c>
      <c r="D6" cm="1">
        <f t="array" ref="D6">INDEX(Calc_Month!$C$2:$C$37,C6)</f>
        <v>8499.6</v>
      </c>
      <c r="E6">
        <f>D6*VLOOKUP(C6,FX!$A$2:$E$37,3,FALSE)</f>
        <v>9263.7140400000008</v>
      </c>
      <c r="F6">
        <f>D6*_xlfn.XLOOKUP(C6,FX!$A$2:$A$37,FX!$D$2:$D$37)</f>
        <v>7171.1125200000006</v>
      </c>
      <c r="G6" cm="1">
        <f t="array" ref="G6">D6*INDEX(FX!$E$2:$E$37,C6)</f>
        <v>7921.6272000000008</v>
      </c>
    </row>
    <row r="7" spans="2:8" x14ac:dyDescent="0.25">
      <c r="C7">
        <f>Control!$B$3-6+ROW()-4</f>
        <v>10</v>
      </c>
      <c r="D7" cm="1">
        <f t="array" ref="D7">INDEX(Calc_Month!$C$2:$C$37,C7)</f>
        <v>8590.6</v>
      </c>
      <c r="E7">
        <f>D7*VLOOKUP(C7,FX!$A$2:$E$37,3,FALSE)</f>
        <v>9341.4184399999995</v>
      </c>
      <c r="F7">
        <f>D7*_xlfn.XLOOKUP(C7,FX!$A$2:$A$37,FX!$D$2:$D$37)</f>
        <v>7233.2852000000003</v>
      </c>
      <c r="G7" cm="1">
        <f t="array" ref="G7">D7*INDEX(FX!$E$2:$E$37,C7)</f>
        <v>7989.2580000000007</v>
      </c>
    </row>
    <row r="8" spans="2:8" x14ac:dyDescent="0.25">
      <c r="C8">
        <f>Control!$B$3-6+ROW()-4</f>
        <v>11</v>
      </c>
      <c r="D8" cm="1">
        <f t="array" ref="D8">INDEX(Calc_Month!$C$2:$C$37,C8)</f>
        <v>8644.8999999999978</v>
      </c>
      <c r="E8">
        <f>D8*VLOOKUP(C8,FX!$A$2:$E$37,3,FALSE)</f>
        <v>9365.8846599999961</v>
      </c>
      <c r="F8">
        <f>D8*_xlfn.XLOOKUP(C8,FX!$A$2:$A$37,FX!$D$2:$D$37)</f>
        <v>7268.631919999998</v>
      </c>
      <c r="G8" cm="1">
        <f t="array" ref="G8">D8*INDEX(FX!$E$2:$E$37,C8)</f>
        <v>8022.4671999999982</v>
      </c>
    </row>
    <row r="9" spans="2:8" x14ac:dyDescent="0.25">
      <c r="C9">
        <f>Control!$B$3-6+ROW()-4</f>
        <v>12</v>
      </c>
      <c r="D9" cm="1">
        <f t="array" ref="D9">INDEX(Calc_Month!$C$2:$C$37,C9)</f>
        <v>8718.7000000000007</v>
      </c>
      <c r="E9">
        <f>D9*VLOOKUP(C9,FX!$A$2:$E$37,3,FALSE)</f>
        <v>9400.5023400000009</v>
      </c>
      <c r="F9">
        <f>D9*_xlfn.XLOOKUP(C9,FX!$A$2:$A$37,FX!$D$2:$D$37)</f>
        <v>7324.5798700000005</v>
      </c>
      <c r="G9" cm="1">
        <f t="array" ref="G9">D9*INDEX(FX!$E$2:$E$37,C9)</f>
        <v>8073.5162000000009</v>
      </c>
    </row>
    <row r="10" spans="2:8" x14ac:dyDescent="0.25">
      <c r="C10">
        <f>Control!$B$3-6+ROW()-4</f>
        <v>13</v>
      </c>
      <c r="D10" cm="1">
        <f t="array" ref="D10">INDEX(Calc_Month!$C$2:$C$37,C10)</f>
        <v>8739.0999999999985</v>
      </c>
      <c r="E10">
        <f>D10*VLOOKUP(C10,FX!$A$2:$E$37,3,FALSE)</f>
        <v>9367.4412899999988</v>
      </c>
      <c r="F10">
        <f>D10*_xlfn.XLOOKUP(C10,FX!$A$2:$A$37,FX!$D$2:$D$37)</f>
        <v>7341.7179099999985</v>
      </c>
      <c r="G10" cm="1">
        <f t="array" ref="G10">D10*INDEX(FX!$E$2:$E$37,C10)</f>
        <v>8074.9283999999989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3,0%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6542.2</v>
      </c>
      <c r="E5" cm="1">
        <f t="array" ref="E5">INDEX(Calc_BankMonth!$B49:$AK49,Control!$B$3)</f>
        <v>6755.0848750074956</v>
      </c>
      <c r="F5">
        <f t="shared" ref="F5:F24" si="0">E5-D5</f>
        <v>212.88487500749579</v>
      </c>
      <c r="G5">
        <f>Calc_Scenario!AL3</f>
        <v>7240.7754775205376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7649.6</v>
      </c>
      <c r="E6" cm="1">
        <f t="array" ref="E6">INDEX(Calc_BankMonth!$B50:$AK50,Control!$B$3)</f>
        <v>7898.5199565677212</v>
      </c>
      <c r="F6">
        <f t="shared" si="0"/>
        <v>248.91995656772087</v>
      </c>
      <c r="G6">
        <f>Calc_Scenario!AL4</f>
        <v>8466.4235414449431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8739.0999999999985</v>
      </c>
      <c r="E7" cm="1">
        <f t="array" ref="E7">INDEX(Calc_BankMonth!$B51:$AK51,Control!$B$3)</f>
        <v>9023.4725675121517</v>
      </c>
      <c r="F7">
        <f t="shared" si="0"/>
        <v>284.37256751215318</v>
      </c>
      <c r="G7">
        <f>Calc_Scenario!AL5</f>
        <v>9672.2602451162802</v>
      </c>
    </row>
    <row r="8" spans="2:7" x14ac:dyDescent="0.25">
      <c r="C8" t="str">
        <f>Banks!A5</f>
        <v>Banca Padana</v>
      </c>
      <c r="D8" cm="1">
        <f t="array" ref="D8">INDEX(Calc_BankMonth!$B6:$AK6,Control!$B$3)</f>
        <v>9892.6</v>
      </c>
      <c r="E8" cm="1">
        <f t="array" ref="E8">INDEX(Calc_BankMonth!$B52:$AK52,Control!$B$3)</f>
        <v>10214.507754959976</v>
      </c>
      <c r="F8">
        <f t="shared" si="0"/>
        <v>321.90775495997514</v>
      </c>
      <c r="G8">
        <f>Calc_Scenario!AL6</f>
        <v>10948.930862541605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10989.1</v>
      </c>
      <c r="E9" cm="1">
        <f t="array" ref="E9">INDEX(Calc_BankMonth!$B53:$AK53,Control!$B$3)</f>
        <v>11346.688147709467</v>
      </c>
      <c r="F9">
        <f t="shared" si="0"/>
        <v>357.58814770946628</v>
      </c>
      <c r="G9">
        <f>Calc_Scenario!AL7</f>
        <v>12162.515025529785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12105.600000000002</v>
      </c>
      <c r="E10" cm="1">
        <f t="array" ref="E10">INDEX(Calc_BankMonth!$B54:$AK54,Control!$B$3)</f>
        <v>12499.519345616269</v>
      </c>
      <c r="F10">
        <f t="shared" si="0"/>
        <v>393.91934561626658</v>
      </c>
      <c r="G10">
        <f>Calc_Scenario!AL8</f>
        <v>13398.234786566085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13300.5</v>
      </c>
      <c r="E11" cm="1">
        <f t="array" ref="E11">INDEX(Calc_BankMonth!$B55:$AK55,Control!$B$3)</f>
        <v>13733.301699739721</v>
      </c>
      <c r="F11">
        <f t="shared" si="0"/>
        <v>432.80169973972079</v>
      </c>
      <c r="G11">
        <f>Calc_Scenario!AL9</f>
        <v>14720.726091951014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14379.300000000001</v>
      </c>
      <c r="E12" cm="1">
        <f t="array" ref="E12">INDEX(Calc_BankMonth!$B56:$AK56,Control!$B$3)</f>
        <v>14847.206129924994</v>
      </c>
      <c r="F12">
        <f t="shared" si="0"/>
        <v>467.90612992499337</v>
      </c>
      <c r="G12">
        <f>Calc_Scenario!AL10</f>
        <v>15914.720250666609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15489.599999999999</v>
      </c>
      <c r="E13" cm="1">
        <f t="array" ref="E13">INDEX(Calc_BankMonth!$B57:$AK57,Control!$B$3)</f>
        <v>15993.635578233025</v>
      </c>
      <c r="F13">
        <f t="shared" si="0"/>
        <v>504.03557823302617</v>
      </c>
      <c r="G13">
        <f>Calc_Scenario!AL11</f>
        <v>17143.577976307988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16648</v>
      </c>
      <c r="E14" cm="1">
        <f t="array" ref="E14">INDEX(Calc_BankMonth!$B58:$AK58,Control!$B$3)</f>
        <v>17189.730212944392</v>
      </c>
      <c r="F14">
        <f t="shared" si="0"/>
        <v>541.73021294439241</v>
      </c>
      <c r="G14">
        <f>Calc_Scenario!AL12</f>
        <v>18425.671815255104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17663.900000000001</v>
      </c>
      <c r="E15" cm="1">
        <f t="array" ref="E15">INDEX(Calc_BankMonth!$B59:$AK59,Control!$B$3)</f>
        <v>18238.687860909926</v>
      </c>
      <c r="F15">
        <f t="shared" si="0"/>
        <v>574.78786090992435</v>
      </c>
      <c r="G15">
        <f>Calc_Scenario!AL13</f>
        <v>19550.049518109357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18941.599999999999</v>
      </c>
      <c r="E16" cm="1">
        <f t="array" ref="E16">INDEX(Calc_BankMonth!$B60:$AK60,Control!$B$3)</f>
        <v>19557.964548384636</v>
      </c>
      <c r="F16">
        <f t="shared" si="0"/>
        <v>616.3645483846376</v>
      </c>
      <c r="G16">
        <f>Calc_Scenario!AL14</f>
        <v>20964.182199413506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19938.900000000001</v>
      </c>
      <c r="E17" cm="1">
        <f t="array" ref="E17">INDEX(Calc_BankMonth!$B61:$AK61,Control!$B$3)</f>
        <v>20587.716947553876</v>
      </c>
      <c r="F17">
        <f t="shared" si="0"/>
        <v>648.81694755387434</v>
      </c>
      <c r="G17">
        <f>Calc_Scenario!AL15</f>
        <v>22067.973796083013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21147.299999999996</v>
      </c>
      <c r="E18" cm="1">
        <f t="array" ref="E18">INDEX(Calc_BankMonth!$B62:$AK62,Control!$B$3)</f>
        <v>21835.438595158506</v>
      </c>
      <c r="F18">
        <f t="shared" si="0"/>
        <v>688.13859515851073</v>
      </c>
      <c r="G18">
        <f>Calc_Scenario!AL16</f>
        <v>23405.406630150417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22158.399999999998</v>
      </c>
      <c r="E19" cm="1">
        <f t="array" ref="E19">INDEX(Calc_BankMonth!$B63:$AK63,Control!$B$3)</f>
        <v>22879.440049886289</v>
      </c>
      <c r="F19">
        <f t="shared" si="0"/>
        <v>721.04004988629094</v>
      </c>
      <c r="G19">
        <f>Calc_Scenario!AL17</f>
        <v>24524.471789473126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23396.2</v>
      </c>
      <c r="E20" cm="1">
        <f t="array" ref="E20">INDEX(Calc_BankMonth!$B64:$AK64,Control!$B$3)</f>
        <v>24157.518381072176</v>
      </c>
      <c r="F20">
        <f t="shared" si="0"/>
        <v>761.31838107217482</v>
      </c>
      <c r="G20">
        <f>Calc_Scenario!AL18</f>
        <v>25894.443952671278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24517.8</v>
      </c>
      <c r="E21" cm="1">
        <f t="array" ref="E21">INDEX(Calc_BankMonth!$B65:$AK65,Control!$B$3)</f>
        <v>25315.615534294087</v>
      </c>
      <c r="F21">
        <f t="shared" si="0"/>
        <v>797.81553429408814</v>
      </c>
      <c r="G21">
        <f>Calc_Scenario!AL19</f>
        <v>27135.808291209847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25626.999999999996</v>
      </c>
      <c r="E22" cm="1">
        <f t="array" ref="E22">INDEX(Calc_BankMonth!$B66:$AK66,Control!$B$3)</f>
        <v>26460.909188318466</v>
      </c>
      <c r="F22">
        <f t="shared" si="0"/>
        <v>833.90918831847011</v>
      </c>
      <c r="G22">
        <f>Calc_Scenario!AL20</f>
        <v>28363.448558958578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26741.1</v>
      </c>
      <c r="E23" cm="1">
        <f t="array" ref="E23">INDEX(Calc_BankMonth!$B67:$AK67,Control!$B$3)</f>
        <v>27611.262289606391</v>
      </c>
      <c r="F23">
        <f t="shared" si="0"/>
        <v>870.16228960639273</v>
      </c>
      <c r="G23">
        <f>Calc_Scenario!AL21</f>
        <v>29596.512048229109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27692.400000000001</v>
      </c>
      <c r="E24" cm="1">
        <f t="array" ref="E24">INDEX(Calc_BankMonth!$B68:$AK68,Control!$B$3)</f>
        <v>28593.517836913819</v>
      </c>
      <c r="F24">
        <f t="shared" si="0"/>
        <v>901.11783691381788</v>
      </c>
      <c r="G24">
        <f>Calc_Scenario!AL22</f>
        <v>30649.391769387938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1.7385479137428383E-3</v>
      </c>
      <c r="E5" cm="1">
        <f t="array" ref="E5">INDEX(Calc_Growth!$C3:$AK3,Control!$B$3-1-4)</f>
        <v>5.9867844916805524E-3</v>
      </c>
      <c r="F5" cm="1">
        <f t="array" ref="F5">INDEX(Calc_Growth!$C3:$AK3,Control!$B$3-1-3)</f>
        <v>1.8454915243506731E-2</v>
      </c>
      <c r="G5" cm="1">
        <f t="array" ref="G5">INDEX(Calc_Growth!$C3:$AK3,Control!$B$3-1-2)</f>
        <v>-5.9987256593158067E-3</v>
      </c>
      <c r="H5" cm="1">
        <f t="array" ref="H5">INDEX(Calc_Growth!$C3:$AK3,Control!$B$3-1-1)</f>
        <v>2.4233517299604435E-2</v>
      </c>
      <c r="I5" cm="1">
        <f t="array" ref="I5">INDEX(Calc_Growth!$C3:$AK3,Control!$B$3-1-0)</f>
        <v>-1.3585504724398234E-3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2.7634666925886231E-2</v>
      </c>
      <c r="E6" cm="1">
        <f t="array" ref="E6">INDEX(Calc_Growth!$C4:$AK4,Control!$B$3-1-4)</f>
        <v>1.2297131119849869E-2</v>
      </c>
      <c r="F6" cm="1">
        <f t="array" ref="F6">INDEX(Calc_Growth!$C4:$AK4,Control!$B$3-1-3)</f>
        <v>-3.7644671677057318E-3</v>
      </c>
      <c r="G6" cm="1">
        <f t="array" ref="G6">INDEX(Calc_Growth!$C4:$AK4,Control!$B$3-1-2)</f>
        <v>2.8621581422771269E-2</v>
      </c>
      <c r="H6" cm="1">
        <f t="array" ref="H6">INDEX(Calc_Growth!$C4:$AK4,Control!$B$3-1-1)</f>
        <v>-1.2635966912002417E-3</v>
      </c>
      <c r="I6" cm="1">
        <f t="array" ref="I6">INDEX(Calc_Growth!$C4:$AK4,Control!$B$3-1-0)</f>
        <v>-2.2434392445348506E-3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4.2355740630577454E-3</v>
      </c>
      <c r="E7" cm="1">
        <f t="array" ref="E7">INDEX(Calc_Growth!$C5:$AK5,Control!$B$3-1-4)</f>
        <v>6.9900244058478389E-3</v>
      </c>
      <c r="F7" cm="1">
        <f t="array" ref="F7">INDEX(Calc_Growth!$C5:$AK5,Control!$B$3-1-3)</f>
        <v>1.0706386182879113E-2</v>
      </c>
      <c r="G7" cm="1">
        <f t="array" ref="G7">INDEX(Calc_Growth!$C5:$AK5,Control!$B$3-1-2)</f>
        <v>6.3208623379038542E-3</v>
      </c>
      <c r="H7" cm="1">
        <f t="array" ref="H7">INDEX(Calc_Growth!$C5:$AK5,Control!$B$3-1-1)</f>
        <v>8.536825180164298E-3</v>
      </c>
      <c r="I7" cm="1">
        <f t="array" ref="I7">INDEX(Calc_Growth!$C5:$AK5,Control!$B$3-1-0)</f>
        <v>2.3397983644348752E-3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3.8264224539981129E-3</v>
      </c>
      <c r="E8" cm="1">
        <f t="array" ref="E8">INDEX(Calc_Growth!$C6:$AK6,Control!$B$3-1-4)</f>
        <v>1.7707618393960178E-2</v>
      </c>
      <c r="F8" cm="1">
        <f t="array" ref="F8">INDEX(Calc_Growth!$C6:$AK6,Control!$B$3-1-3)</f>
        <v>4.357660144009845E-4</v>
      </c>
      <c r="G8" cm="1">
        <f t="array" ref="G8">INDEX(Calc_Growth!$C6:$AK6,Control!$B$3-1-2)</f>
        <v>9.6656434082802445E-3</v>
      </c>
      <c r="H8" cm="1">
        <f t="array" ref="H8">INDEX(Calc_Growth!$C6:$AK6,Control!$B$3-1-1)</f>
        <v>8.9670898557872025E-3</v>
      </c>
      <c r="I8" cm="1">
        <f t="array" ref="I8">INDEX(Calc_Growth!$C6:$AK6,Control!$B$3-1-0)</f>
        <v>7.0956642132158354E-3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5.8713055355312793E-3</v>
      </c>
      <c r="E9" cm="1">
        <f t="array" ref="E9">INDEX(Calc_Growth!$C7:$AK7,Control!$B$3-1-4)</f>
        <v>1.2079549633652986E-2</v>
      </c>
      <c r="F9" cm="1">
        <f t="array" ref="F9">INDEX(Calc_Growth!$C7:$AK7,Control!$B$3-1-3)</f>
        <v>2.3945289206916964E-3</v>
      </c>
      <c r="G9" cm="1">
        <f t="array" ref="G9">INDEX(Calc_Growth!$C7:$AK7,Control!$B$3-1-2)</f>
        <v>7.3895059720221479E-3</v>
      </c>
      <c r="H9" cm="1">
        <f t="array" ref="H9">INDEX(Calc_Growth!$C7:$AK7,Control!$B$3-1-1)</f>
        <v>1.0896844436242947E-2</v>
      </c>
      <c r="I9" cm="1">
        <f t="array" ref="I9">INDEX(Calc_Growth!$C7:$AK7,Control!$B$3-1-0)</f>
        <v>3.0120207007968691E-3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4.3995479680127847E-3</v>
      </c>
      <c r="E10" cm="1">
        <f t="array" ref="E10">INDEX(Calc_Growth!$C8:$AK8,Control!$B$3-1-4)</f>
        <v>1.2599737183396131E-2</v>
      </c>
      <c r="F10" cm="1">
        <f t="array" ref="F10">INDEX(Calc_Growth!$C8:$AK8,Control!$B$3-1-3)</f>
        <v>-5.2672649239172697E-3</v>
      </c>
      <c r="G10" cm="1">
        <f t="array" ref="G10">INDEX(Calc_Growth!$C8:$AK8,Control!$B$3-1-2)</f>
        <v>2.0890711733758671E-2</v>
      </c>
      <c r="H10" cm="1">
        <f t="array" ref="H10">INDEX(Calc_Growth!$C8:$AK8,Control!$B$3-1-1)</f>
        <v>1.1826906211631405E-2</v>
      </c>
      <c r="I10" cm="1">
        <f t="array" ref="I10">INDEX(Calc_Growth!$C8:$AK8,Control!$B$3-1-0)</f>
        <v>-7.1815953047205117E-4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4.1198855237913889E-3</v>
      </c>
      <c r="E11" cm="1">
        <f t="array" ref="E11">INDEX(Calc_Growth!$C9:$AK9,Control!$B$3-1-4)</f>
        <v>8.5974693059382989E-3</v>
      </c>
      <c r="F11" cm="1">
        <f t="array" ref="F11">INDEX(Calc_Growth!$C9:$AK9,Control!$B$3-1-3)</f>
        <v>6.6299200372641476E-3</v>
      </c>
      <c r="G11" cm="1">
        <f t="array" ref="G11">INDEX(Calc_Growth!$C9:$AK9,Control!$B$3-1-2)</f>
        <v>1.6272828232972714E-3</v>
      </c>
      <c r="H11" cm="1">
        <f t="array" ref="H11">INDEX(Calc_Growth!$C9:$AK9,Control!$B$3-1-1)</f>
        <v>1.0025024061597776E-2</v>
      </c>
      <c r="I11" cm="1">
        <f t="array" ref="I11">INDEX(Calc_Growth!$C9:$AK9,Control!$B$3-1-0)</f>
        <v>1.3935369767565708E-2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1.0664180300403503E-2</v>
      </c>
      <c r="E12" cm="1">
        <f t="array" ref="E12">INDEX(Calc_Growth!$C10:$AK10,Control!$B$3-1-4)</f>
        <v>4.6631974975857027E-3</v>
      </c>
      <c r="F12" cm="1">
        <f t="array" ref="F12">INDEX(Calc_Growth!$C10:$AK10,Control!$B$3-1-3)</f>
        <v>7.2385270422474779E-3</v>
      </c>
      <c r="G12" cm="1">
        <f t="array" ref="G12">INDEX(Calc_Growth!$C10:$AK10,Control!$B$3-1-2)</f>
        <v>1.1559664392245095E-2</v>
      </c>
      <c r="H12" cm="1">
        <f t="array" ref="H12">INDEX(Calc_Growth!$C10:$AK10,Control!$B$3-1-1)</f>
        <v>4.2879774687554217E-3</v>
      </c>
      <c r="I12" cm="1">
        <f t="array" ref="I12">INDEX(Calc_Growth!$C10:$AK10,Control!$B$3-1-0)</f>
        <v>8.1256923314216856E-3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3.2103922085473524E-3</v>
      </c>
      <c r="E13" cm="1">
        <f t="array" ref="E13">INDEX(Calc_Growth!$C11:$AK11,Control!$B$3-1-4)</f>
        <v>1.6835992238870334E-2</v>
      </c>
      <c r="F13" cm="1">
        <f t="array" ref="F13">INDEX(Calc_Growth!$C11:$AK11,Control!$B$3-1-3)</f>
        <v>2.8489839728085276E-3</v>
      </c>
      <c r="G13" cm="1">
        <f t="array" ref="G13">INDEX(Calc_Growth!$C11:$AK11,Control!$B$3-1-2)</f>
        <v>1.2149761167011386E-2</v>
      </c>
      <c r="H13" cm="1">
        <f t="array" ref="H13">INDEX(Calc_Growth!$C11:$AK11,Control!$B$3-1-1)</f>
        <v>2.5848563968668969E-3</v>
      </c>
      <c r="I13" cm="1">
        <f t="array" ref="I13">INDEX(Calc_Growth!$C11:$AK11,Control!$B$3-1-0)</f>
        <v>8.4637620771372823E-3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8.6343313573797875E-3</v>
      </c>
      <c r="E14" cm="1">
        <f t="array" ref="E14">INDEX(Calc_Growth!$C12:$AK12,Control!$B$3-1-4)</f>
        <v>1.8365987436419484E-3</v>
      </c>
      <c r="F14" cm="1">
        <f t="array" ref="F14">INDEX(Calc_Growth!$C12:$AK12,Control!$B$3-1-3)</f>
        <v>8.7435836885867424E-3</v>
      </c>
      <c r="G14" cm="1">
        <f t="array" ref="G14">INDEX(Calc_Growth!$C12:$AK12,Control!$B$3-1-2)</f>
        <v>3.5176343754812489E-3</v>
      </c>
      <c r="H14" cm="1">
        <f t="array" ref="H14">INDEX(Calc_Growth!$C12:$AK12,Control!$B$3-1-1)</f>
        <v>1.1504272664767834E-2</v>
      </c>
      <c r="I14" cm="1">
        <f t="array" ref="I14">INDEX(Calc_Growth!$C12:$AK12,Control!$B$3-1-0)</f>
        <v>1.0378102809977641E-2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6.9035568967656946E-3</v>
      </c>
      <c r="E15" cm="1">
        <f t="array" ref="E15">INDEX(Calc_Growth!$C13:$AK13,Control!$B$3-1-4)</f>
        <v>1.3853209933021304E-2</v>
      </c>
      <c r="F15" cm="1">
        <f t="array" ref="F15">INDEX(Calc_Growth!$C13:$AK13,Control!$B$3-1-3)</f>
        <v>1.1049148463531111E-3</v>
      </c>
      <c r="G15" cm="1">
        <f t="array" ref="G15">INDEX(Calc_Growth!$C13:$AK13,Control!$B$3-1-2)</f>
        <v>8.7486637196267925E-3</v>
      </c>
      <c r="H15" cm="1">
        <f t="array" ref="H15">INDEX(Calc_Growth!$C13:$AK13,Control!$B$3-1-1)</f>
        <v>8.781627894987043E-3</v>
      </c>
      <c r="I15" cm="1">
        <f t="array" ref="I15">INDEX(Calc_Growth!$C13:$AK13,Control!$B$3-1-0)</f>
        <v>3.0493691156261438E-3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1.1063115351045427E-2</v>
      </c>
      <c r="E16" cm="1">
        <f t="array" ref="E16">INDEX(Calc_Growth!$C14:$AK14,Control!$B$3-1-4)</f>
        <v>8.9515964963406969E-3</v>
      </c>
      <c r="F16" cm="1">
        <f t="array" ref="F16">INDEX(Calc_Growth!$C14:$AK14,Control!$B$3-1-3)</f>
        <v>4.419738957464947E-3</v>
      </c>
      <c r="G16" cm="1">
        <f t="array" ref="G16">INDEX(Calc_Growth!$C14:$AK14,Control!$B$3-1-2)</f>
        <v>4.4925287293955396E-3</v>
      </c>
      <c r="H16" cm="1">
        <f t="array" ref="H16">INDEX(Calc_Growth!$C14:$AK14,Control!$B$3-1-1)</f>
        <v>7.9996110925057984E-3</v>
      </c>
      <c r="I16" cm="1">
        <f t="array" ref="I16">INDEX(Calc_Growth!$C14:$AK14,Control!$B$3-1-0)</f>
        <v>1.5009511561235644E-2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1.2172186814334296E-3</v>
      </c>
      <c r="E17" cm="1">
        <f t="array" ref="E17">INDEX(Calc_Growth!$C15:$AK15,Control!$B$3-1-4)</f>
        <v>1.6514221014020336E-2</v>
      </c>
      <c r="F17" cm="1">
        <f t="array" ref="F17">INDEX(Calc_Growth!$C15:$AK15,Control!$B$3-1-3)</f>
        <v>3.5982301430050878E-3</v>
      </c>
      <c r="G17" cm="1">
        <f t="array" ref="G17">INDEX(Calc_Growth!$C15:$AK15,Control!$B$3-1-2)</f>
        <v>9.6870380883700147E-3</v>
      </c>
      <c r="H17" cm="1">
        <f t="array" ref="H17">INDEX(Calc_Growth!$C15:$AK15,Control!$B$3-1-1)</f>
        <v>-1.4639360123192002E-3</v>
      </c>
      <c r="I17" cm="1">
        <f t="array" ref="I17">INDEX(Calc_Growth!$C15:$AK15,Control!$B$3-1-0)</f>
        <v>1.1490229500213056E-2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9.9027093534960198E-3</v>
      </c>
      <c r="E18" cm="1">
        <f t="array" ref="E18">INDEX(Calc_Growth!$C16:$AK16,Control!$B$3-1-4)</f>
        <v>8.5676247930555061E-3</v>
      </c>
      <c r="F18" cm="1">
        <f t="array" ref="F18">INDEX(Calc_Growth!$C16:$AK16,Control!$B$3-1-3)</f>
        <v>5.3044067004055506E-3</v>
      </c>
      <c r="G18" cm="1">
        <f t="array" ref="G18">INDEX(Calc_Growth!$C16:$AK16,Control!$B$3-1-2)</f>
        <v>1.0015020107563499E-2</v>
      </c>
      <c r="H18" cm="1">
        <f t="array" ref="H18">INDEX(Calc_Growth!$C16:$AK16,Control!$B$3-1-1)</f>
        <v>6.0923835611181865E-3</v>
      </c>
      <c r="I18" cm="1">
        <f t="array" ref="I18">INDEX(Calc_Growth!$C16:$AK16,Control!$B$3-1-0)</f>
        <v>8.3251083551472149E-3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7.0021161533033727E-3</v>
      </c>
      <c r="E19" cm="1">
        <f t="array" ref="E19">INDEX(Calc_Growth!$C17:$AK17,Control!$B$3-1-4)</f>
        <v>8.4291044601869647E-3</v>
      </c>
      <c r="F19" cm="1">
        <f t="array" ref="F19">INDEX(Calc_Growth!$C17:$AK17,Control!$B$3-1-3)</f>
        <v>1.022024228503704E-2</v>
      </c>
      <c r="G19" cm="1">
        <f t="array" ref="G19">INDEX(Calc_Growth!$C17:$AK17,Control!$B$3-1-2)</f>
        <v>3.6534327140373968E-3</v>
      </c>
      <c r="H19" cm="1">
        <f t="array" ref="H19">INDEX(Calc_Growth!$C17:$AK17,Control!$B$3-1-1)</f>
        <v>6.4672890366661573E-3</v>
      </c>
      <c r="I19" cm="1">
        <f t="array" ref="I19">INDEX(Calc_Growth!$C17:$AK17,Control!$B$3-1-0)</f>
        <v>5.5362944945636094E-3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5.3882824961239972E-3</v>
      </c>
      <c r="E20" cm="1">
        <f t="array" ref="E20">INDEX(Calc_Growth!$C18:$AK18,Control!$B$3-1-4)</f>
        <v>6.8303521830910263E-3</v>
      </c>
      <c r="F20" cm="1">
        <f t="array" ref="F20">INDEX(Calc_Growth!$C18:$AK18,Control!$B$3-1-3)</f>
        <v>8.024293570854546E-3</v>
      </c>
      <c r="G20" cm="1">
        <f t="array" ref="G20">INDEX(Calc_Growth!$C18:$AK18,Control!$B$3-1-2)</f>
        <v>4.5757071547420924E-3</v>
      </c>
      <c r="H20" cm="1">
        <f t="array" ref="H20">INDEX(Calc_Growth!$C18:$AK18,Control!$B$3-1-1)</f>
        <v>8.2336275471288634E-3</v>
      </c>
      <c r="I20" cm="1">
        <f t="array" ref="I20">INDEX(Calc_Growth!$C18:$AK18,Control!$B$3-1-0)</f>
        <v>1.144764259837272E-2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9.5046515318528701E-3</v>
      </c>
      <c r="E21" cm="1">
        <f t="array" ref="E21">INDEX(Calc_Growth!$C19:$AK19,Control!$B$3-1-4)</f>
        <v>8.5654196673250471E-3</v>
      </c>
      <c r="F21" cm="1">
        <f t="array" ref="F21">INDEX(Calc_Growth!$C19:$AK19,Control!$B$3-1-3)</f>
        <v>1.0801201444092134E-2</v>
      </c>
      <c r="G21" cm="1">
        <f t="array" ref="G21">INDEX(Calc_Growth!$C19:$AK19,Control!$B$3-1-2)</f>
        <v>2.3880472608306391E-3</v>
      </c>
      <c r="H21" cm="1">
        <f t="array" ref="H21">INDEX(Calc_Growth!$C19:$AK19,Control!$B$3-1-1)</f>
        <v>5.446577802908692E-3</v>
      </c>
      <c r="I21" cm="1">
        <f t="array" ref="I21">INDEX(Calc_Growth!$C19:$AK19,Control!$B$3-1-0)</f>
        <v>1.3852821013282002E-2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8.1956842049411005E-3</v>
      </c>
      <c r="E22" cm="1">
        <f t="array" ref="E22">INDEX(Calc_Growth!$C20:$AK20,Control!$B$3-1-4)</f>
        <v>2.198247070015924E-3</v>
      </c>
      <c r="F22" cm="1">
        <f t="array" ref="F22">INDEX(Calc_Growth!$C20:$AK20,Control!$B$3-1-3)</f>
        <v>1.0316774250882288E-2</v>
      </c>
      <c r="G22" cm="1">
        <f t="array" ref="G22">INDEX(Calc_Growth!$C20:$AK20,Control!$B$3-1-2)</f>
        <v>8.5201829580350275E-3</v>
      </c>
      <c r="H22" cm="1">
        <f t="array" ref="H22">INDEX(Calc_Growth!$C20:$AK20,Control!$B$3-1-1)</f>
        <v>7.1637270409881104E-3</v>
      </c>
      <c r="I22" cm="1">
        <f t="array" ref="I22">INDEX(Calc_Growth!$C20:$AK20,Control!$B$3-1-0)</f>
        <v>8.7384373154888451E-3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8.7565331181094219E-3</v>
      </c>
      <c r="E23" cm="1">
        <f t="array" ref="E23">INDEX(Calc_Growth!$C21:$AK21,Control!$B$3-1-4)</f>
        <v>1.0490420354755781E-2</v>
      </c>
      <c r="F23" cm="1">
        <f t="array" ref="F23">INDEX(Calc_Growth!$C21:$AK21,Control!$B$3-1-3)</f>
        <v>1.8449191694780431E-4</v>
      </c>
      <c r="G23" cm="1">
        <f t="array" ref="G23">INDEX(Calc_Growth!$C21:$AK21,Control!$B$3-1-2)</f>
        <v>1.4991046106785921E-2</v>
      </c>
      <c r="H23" cm="1">
        <f t="array" ref="H23">INDEX(Calc_Growth!$C21:$AK21,Control!$B$3-1-1)</f>
        <v>4.248020808486741E-3</v>
      </c>
      <c r="I23" cm="1">
        <f t="array" ref="I23">INDEX(Calc_Growth!$C21:$AK21,Control!$B$3-1-0)</f>
        <v>8.1660351750270088E-3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6.5781075175153081E-3</v>
      </c>
      <c r="E24" cm="1">
        <f t="array" ref="E24">INDEX(Calc_Growth!$C22:$AK22,Control!$B$3-1-4)</f>
        <v>6.5537692565929007E-3</v>
      </c>
      <c r="F24" cm="1">
        <f t="array" ref="F24">INDEX(Calc_Growth!$C22:$AK22,Control!$B$3-1-3)</f>
        <v>5.2918876252099345E-3</v>
      </c>
      <c r="G24" cm="1">
        <f t="array" ref="G24">INDEX(Calc_Growth!$C22:$AK22,Control!$B$3-1-2)</f>
        <v>9.9271956501705283E-3</v>
      </c>
      <c r="H24" cm="1">
        <f t="array" ref="H24">INDEX(Calc_Growth!$C22:$AK22,Control!$B$3-1-1)</f>
        <v>6.1394031419725881E-3</v>
      </c>
      <c r="I24" cm="1">
        <f t="array" ref="I24">INDEX(Calc_Growth!$C22:$AK22,Control!$B$3-1-0)</f>
        <v>4.6218030110649622E-3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Tirrena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6542.2</v>
      </c>
      <c r="E5">
        <f>Calc_Links!B20</f>
        <v>6339</v>
      </c>
      <c r="F5">
        <f t="shared" ref="F5:F24" si="0">D5-E5</f>
        <v>203.19999999999982</v>
      </c>
      <c r="G5">
        <f>Calc_Links!C20</f>
        <v>3.2055529263290708E-2</v>
      </c>
    </row>
    <row r="6" spans="2:7" x14ac:dyDescent="0.25">
      <c r="C6" t="str">
        <f>Calc_Links!A21</f>
        <v>Banca Adriatica</v>
      </c>
      <c r="D6">
        <f>Calc_Bank!C3</f>
        <v>7649.6</v>
      </c>
      <c r="E6">
        <f>Calc_Links!B21</f>
        <v>7115.9</v>
      </c>
      <c r="F6">
        <f t="shared" si="0"/>
        <v>533.70000000000073</v>
      </c>
      <c r="G6">
        <f>Calc_Links!C21</f>
        <v>7.5001053977711993E-2</v>
      </c>
    </row>
    <row r="7" spans="2:7" x14ac:dyDescent="0.25">
      <c r="C7" t="str">
        <f>Calc_Links!A22</f>
        <v>Banca Tirrena</v>
      </c>
      <c r="D7">
        <f>Calc_Bank!C4</f>
        <v>8739.0999999999985</v>
      </c>
      <c r="E7">
        <f>Calc_Links!B22</f>
        <v>8260.7000000000007</v>
      </c>
      <c r="F7">
        <f t="shared" si="0"/>
        <v>478.39999999999782</v>
      </c>
      <c r="G7">
        <f>Calc_Links!C22</f>
        <v>5.7912767683125858E-2</v>
      </c>
    </row>
    <row r="8" spans="2:7" x14ac:dyDescent="0.25">
      <c r="C8" t="str">
        <f>Calc_Links!A23</f>
        <v>Banca Padana</v>
      </c>
      <c r="D8">
        <f>Calc_Bank!C5</f>
        <v>9892.6</v>
      </c>
      <c r="E8">
        <f>Calc_Links!B23</f>
        <v>9250.5</v>
      </c>
      <c r="F8">
        <f t="shared" si="0"/>
        <v>642.10000000000036</v>
      </c>
      <c r="G8">
        <f>Calc_Links!C23</f>
        <v>6.9412464191124845E-2</v>
      </c>
    </row>
    <row r="9" spans="2:7" x14ac:dyDescent="0.25">
      <c r="C9" t="str">
        <f>Calc_Links!A24</f>
        <v>Banca Etrusca</v>
      </c>
      <c r="D9">
        <f>Calc_Bank!C6</f>
        <v>10989.1</v>
      </c>
      <c r="E9">
        <f>Calc_Links!B24</f>
        <v>10605.2</v>
      </c>
      <c r="F9">
        <f t="shared" si="0"/>
        <v>383.89999999999964</v>
      </c>
      <c r="G9">
        <f>Calc_Links!C24</f>
        <v>3.6199223022668085E-2</v>
      </c>
    </row>
    <row r="10" spans="2:7" x14ac:dyDescent="0.25">
      <c r="C10" t="str">
        <f>Calc_Links!A25</f>
        <v>Banca Lariana</v>
      </c>
      <c r="D10">
        <f>Calc_Bank!C7</f>
        <v>12105.600000000002</v>
      </c>
      <c r="E10">
        <f>Calc_Links!B25</f>
        <v>11544</v>
      </c>
      <c r="F10">
        <f t="shared" si="0"/>
        <v>561.60000000000218</v>
      </c>
      <c r="G10">
        <f>Calc_Links!C25</f>
        <v>4.8648648648648839E-2</v>
      </c>
    </row>
    <row r="11" spans="2:7" x14ac:dyDescent="0.25">
      <c r="C11" t="str">
        <f>Calc_Links!A26</f>
        <v>Banca Sabina</v>
      </c>
      <c r="D11">
        <f>Calc_Bank!C8</f>
        <v>13300.5</v>
      </c>
      <c r="E11">
        <f>Calc_Links!B26</f>
        <v>12804.1</v>
      </c>
      <c r="F11">
        <f t="shared" si="0"/>
        <v>496.39999999999964</v>
      </c>
      <c r="G11">
        <f>Calc_Links!C26</f>
        <v>3.876883185854528E-2</v>
      </c>
    </row>
    <row r="12" spans="2:7" x14ac:dyDescent="0.25">
      <c r="C12" t="str">
        <f>Calc_Links!A27</f>
        <v>Banca Irpina</v>
      </c>
      <c r="D12">
        <f>Calc_Bank!C9</f>
        <v>14379.300000000001</v>
      </c>
      <c r="E12">
        <f>Calc_Links!B27</f>
        <v>13580.4</v>
      </c>
      <c r="F12">
        <f t="shared" si="0"/>
        <v>798.90000000000146</v>
      </c>
      <c r="G12">
        <f>Calc_Links!C27</f>
        <v>5.8827427763541683E-2</v>
      </c>
    </row>
    <row r="13" spans="2:7" x14ac:dyDescent="0.25">
      <c r="C13" t="str">
        <f>Calc_Links!A28</f>
        <v>Banca Sannita</v>
      </c>
      <c r="D13">
        <f>Calc_Bank!C10</f>
        <v>15489.599999999999</v>
      </c>
      <c r="E13">
        <f>Calc_Links!B28</f>
        <v>14812.8</v>
      </c>
      <c r="F13">
        <f t="shared" si="0"/>
        <v>676.79999999999927</v>
      </c>
      <c r="G13">
        <f>Calc_Links!C28</f>
        <v>4.5690213869086151E-2</v>
      </c>
    </row>
    <row r="14" spans="2:7" x14ac:dyDescent="0.25">
      <c r="C14" t="str">
        <f>Calc_Links!A29</f>
        <v>Banca Ligure</v>
      </c>
      <c r="D14">
        <f>Calc_Bank!C11</f>
        <v>16648</v>
      </c>
      <c r="E14">
        <f>Calc_Links!B29</f>
        <v>15908.8</v>
      </c>
      <c r="F14">
        <f t="shared" si="0"/>
        <v>739.20000000000073</v>
      </c>
      <c r="G14">
        <f>Calc_Links!C29</f>
        <v>4.6464849642964948E-2</v>
      </c>
    </row>
    <row r="15" spans="2:7" x14ac:dyDescent="0.25">
      <c r="C15" t="str">
        <f>Calc_Links!A30</f>
        <v>Banca Veneta</v>
      </c>
      <c r="D15">
        <f>Calc_Bank!C12</f>
        <v>17663.900000000001</v>
      </c>
      <c r="E15">
        <f>Calc_Links!B30</f>
        <v>16773.599999999999</v>
      </c>
      <c r="F15">
        <f t="shared" si="0"/>
        <v>890.30000000000291</v>
      </c>
      <c r="G15">
        <f>Calc_Links!C30</f>
        <v>5.3077455048409584E-2</v>
      </c>
    </row>
    <row r="16" spans="2:7" x14ac:dyDescent="0.25">
      <c r="C16" t="str">
        <f>Calc_Links!A31</f>
        <v>Banca Friulana</v>
      </c>
      <c r="D16">
        <f>Calc_Bank!C13</f>
        <v>18941.599999999999</v>
      </c>
      <c r="E16">
        <f>Calc_Links!B31</f>
        <v>17926.2</v>
      </c>
      <c r="F16">
        <f t="shared" si="0"/>
        <v>1015.3999999999978</v>
      </c>
      <c r="G16">
        <f>Calc_Links!C31</f>
        <v>5.6643348841360568E-2</v>
      </c>
    </row>
    <row r="17" spans="3:8" x14ac:dyDescent="0.25">
      <c r="C17" t="str">
        <f>Calc_Links!A32</f>
        <v>Banca Umbra</v>
      </c>
      <c r="D17">
        <f>Calc_Bank!C14</f>
        <v>19938.900000000001</v>
      </c>
      <c r="E17">
        <f>Calc_Links!B32</f>
        <v>19110.3</v>
      </c>
      <c r="F17">
        <f t="shared" si="0"/>
        <v>828.60000000000218</v>
      </c>
      <c r="G17">
        <f>Calc_Links!C32</f>
        <v>4.3358816973046062E-2</v>
      </c>
    </row>
    <row r="18" spans="3:8" x14ac:dyDescent="0.25">
      <c r="C18" t="str">
        <f>Calc_Links!A33</f>
        <v>Banca Marchigiana</v>
      </c>
      <c r="D18">
        <f>Calc_Bank!C15</f>
        <v>21147.299999999996</v>
      </c>
      <c r="E18">
        <f>Calc_Links!B33</f>
        <v>20070.599999999999</v>
      </c>
      <c r="F18">
        <f t="shared" si="0"/>
        <v>1076.6999999999971</v>
      </c>
      <c r="G18">
        <f>Calc_Links!C33</f>
        <v>5.3645630922842226E-2</v>
      </c>
    </row>
    <row r="19" spans="3:8" x14ac:dyDescent="0.25">
      <c r="C19" t="str">
        <f>Calc_Links!A34</f>
        <v>Banca Lucana</v>
      </c>
      <c r="D19">
        <f>Calc_Bank!C16</f>
        <v>22158.399999999998</v>
      </c>
      <c r="E19">
        <f>Calc_Links!B34</f>
        <v>21317.7</v>
      </c>
      <c r="F19">
        <f t="shared" si="0"/>
        <v>840.69999999999709</v>
      </c>
      <c r="G19">
        <f>Calc_Links!C34</f>
        <v>3.9436712215670411E-2</v>
      </c>
    </row>
    <row r="20" spans="3:8" x14ac:dyDescent="0.25">
      <c r="C20" t="str">
        <f>Calc_Links!A35</f>
        <v>Banca Calabra</v>
      </c>
      <c r="D20">
        <f>Calc_Bank!C17</f>
        <v>23396.2</v>
      </c>
      <c r="E20">
        <f>Calc_Links!B35</f>
        <v>22132.3</v>
      </c>
      <c r="F20">
        <f t="shared" si="0"/>
        <v>1263.9000000000015</v>
      </c>
      <c r="G20">
        <f>Calc_Links!C35</f>
        <v>5.7106581783185728E-2</v>
      </c>
    </row>
    <row r="21" spans="3:8" x14ac:dyDescent="0.25">
      <c r="C21" t="str">
        <f>Calc_Links!A36</f>
        <v>Banca Sicula</v>
      </c>
      <c r="D21">
        <f>Calc_Bank!C18</f>
        <v>24517.8</v>
      </c>
      <c r="E21">
        <f>Calc_Links!B36</f>
        <v>23360.400000000001</v>
      </c>
      <c r="F21">
        <f t="shared" si="0"/>
        <v>1157.3999999999978</v>
      </c>
      <c r="G21">
        <f>Calc_Links!C36</f>
        <v>4.9545384496840712E-2</v>
      </c>
    </row>
    <row r="22" spans="3:8" x14ac:dyDescent="0.25">
      <c r="C22" t="str">
        <f>Calc_Links!A37</f>
        <v>Banca Sarda</v>
      </c>
      <c r="D22">
        <f>Calc_Bank!C19</f>
        <v>25626.999999999996</v>
      </c>
      <c r="E22">
        <f>Calc_Links!B37</f>
        <v>24226.7</v>
      </c>
      <c r="F22">
        <f t="shared" si="0"/>
        <v>1400.2999999999956</v>
      </c>
      <c r="G22">
        <f>Calc_Links!C37</f>
        <v>5.779986543771936E-2</v>
      </c>
    </row>
    <row r="23" spans="3:8" x14ac:dyDescent="0.25">
      <c r="C23" t="str">
        <f>Calc_Links!A38</f>
        <v>Banca Romagnola</v>
      </c>
      <c r="D23">
        <f>Calc_Bank!C20</f>
        <v>26741.1</v>
      </c>
      <c r="E23">
        <f>Calc_Links!B38</f>
        <v>25309.4</v>
      </c>
      <c r="F23">
        <f t="shared" si="0"/>
        <v>1431.6999999999971</v>
      </c>
      <c r="G23">
        <f>Calc_Links!C38</f>
        <v>5.6567915478043615E-2</v>
      </c>
    </row>
    <row r="24" spans="3:8" x14ac:dyDescent="0.25">
      <c r="C24" t="str">
        <f>Calc_Links!A39</f>
        <v>Banca Città</v>
      </c>
      <c r="D24">
        <f>Calc_Bank!C21</f>
        <v>27692.400000000001</v>
      </c>
      <c r="E24">
        <f>Calc_Links!B39</f>
        <v>26362.1</v>
      </c>
      <c r="F24">
        <f t="shared" si="0"/>
        <v>1330.3000000000029</v>
      </c>
      <c r="G24">
        <f>Calc_Links!C39</f>
        <v>5.04625959236936E-2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343560.19999999995</v>
      </c>
    </row>
    <row r="6" spans="2:5" x14ac:dyDescent="0.25">
      <c r="C6" t="s">
        <v>283</v>
      </c>
      <c r="D6">
        <f>Calc_Links!B11</f>
        <v>51141.299999999988</v>
      </c>
    </row>
    <row r="7" spans="2:5" x14ac:dyDescent="0.25">
      <c r="C7" t="s">
        <v>284</v>
      </c>
      <c r="D7">
        <f>Calc_Links!B12</f>
        <v>16749.499999999993</v>
      </c>
    </row>
    <row r="8" spans="2:5" x14ac:dyDescent="0.25">
      <c r="C8" t="s">
        <v>285</v>
      </c>
      <c r="D8">
        <f>Calc_Links!B13</f>
        <v>4594.2999999999993</v>
      </c>
    </row>
    <row r="9" spans="2:5" x14ac:dyDescent="0.25">
      <c r="C9" t="s">
        <v>286</v>
      </c>
      <c r="D9">
        <f>Calc_Links!B14</f>
        <v>4</v>
      </c>
    </row>
    <row r="10" spans="2:5" x14ac:dyDescent="0.25">
      <c r="C10" t="s">
        <v>287</v>
      </c>
      <c r="D10" t="str">
        <f>Calc_Links!B15</f>
        <v>Centro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6.542,2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7.649,6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8.739,1</v>
      </c>
      <c r="H7" t="str">
        <f>Calc_Text!P4</f>
        <v>Banca Tirrena (CE) 2,5%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9.892,6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10.989,1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12.105,6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13.300,5</v>
      </c>
      <c r="H11" t="str">
        <f>Calc_Text!P8</f>
        <v>Banca Sabina (CE) 3,9%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14.379,3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15.489,6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16.648,0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17.663,9</v>
      </c>
      <c r="H15" t="str">
        <f>Calc_Text!P12</f>
        <v>Banca Veneta (NE) 5,1%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18.941,6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19.938,9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21.147,3</v>
      </c>
      <c r="H18" t="str">
        <f>Calc_Text!P15</f>
        <v>Banca Marchigiana (CE) 6,2%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22.158,4</v>
      </c>
      <c r="H19" t="str">
        <f>Calc_Text!P16</f>
        <v>Banca Lucana (SU) 6,4%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23.396,2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24.517,8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25.627,0</v>
      </c>
      <c r="H22" t="str">
        <f>Calc_Text!P19</f>
        <v>Banca Sarda (IS) 7,5%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26.741,1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27.692,4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gennaio 2025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2</v>
      </c>
      <c r="D5" s="1" cm="1">
        <f t="array" ref="D5">INDEX(Calc_Dates!$C$2:$C$37,C5)</f>
        <v>45351</v>
      </c>
      <c r="E5" cm="1">
        <f t="array" ref="E5">INDEX(Calc_Dates!$I$2:$I$37,C5)</f>
        <v>21</v>
      </c>
      <c r="F5" t="str" cm="1">
        <f t="array" ref="F5">INDEX(Calc_Dates!$L$2:$L$37,C5)</f>
        <v>passato</v>
      </c>
      <c r="G5" t="str" cm="1">
        <f t="array" ref="G5">INDEX(Calc_Dates!$M$2:$M$37,C5)</f>
        <v>feb-24</v>
      </c>
      <c r="H5" cm="1">
        <f t="array" ref="H5">INDEX(Calc_Dates!$K$2:$K$37,C5)</f>
        <v>11</v>
      </c>
    </row>
    <row r="6" spans="2:9" x14ac:dyDescent="0.25">
      <c r="C6">
        <f>Control!$B$3-12+ROW()-4</f>
        <v>3</v>
      </c>
      <c r="D6" s="1" cm="1">
        <f t="array" ref="D6">INDEX(Calc_Dates!$C$2:$C$37,C6)</f>
        <v>45382</v>
      </c>
      <c r="E6" cm="1">
        <f t="array" ref="E6">INDEX(Calc_Dates!$I$2:$I$37,C6)</f>
        <v>21</v>
      </c>
      <c r="F6" t="str" cm="1">
        <f t="array" ref="F6">INDEX(Calc_Dates!$L$2:$L$37,C6)</f>
        <v>passato</v>
      </c>
      <c r="G6" t="str" cm="1">
        <f t="array" ref="G6">INDEX(Calc_Dates!$M$2:$M$37,C6)</f>
        <v>mar-24</v>
      </c>
      <c r="H6" cm="1">
        <f t="array" ref="H6">INDEX(Calc_Dates!$K$2:$K$37,C6)</f>
        <v>10</v>
      </c>
    </row>
    <row r="7" spans="2:9" x14ac:dyDescent="0.25">
      <c r="C7">
        <f>Control!$B$3-12+ROW()-4</f>
        <v>4</v>
      </c>
      <c r="D7" s="1" cm="1">
        <f t="array" ref="D7">INDEX(Calc_Dates!$C$2:$C$37,C7)</f>
        <v>45412</v>
      </c>
      <c r="E7" cm="1">
        <f t="array" ref="E7">INDEX(Calc_Dates!$I$2:$I$37,C7)</f>
        <v>22</v>
      </c>
      <c r="F7" t="str" cm="1">
        <f t="array" ref="F7">INDEX(Calc_Dates!$L$2:$L$37,C7)</f>
        <v>passato</v>
      </c>
      <c r="G7" t="str" cm="1">
        <f t="array" ref="G7">INDEX(Calc_Dates!$M$2:$M$37,C7)</f>
        <v>apr-24</v>
      </c>
      <c r="H7" cm="1">
        <f t="array" ref="H7">INDEX(Calc_Dates!$K$2:$K$37,C7)</f>
        <v>9</v>
      </c>
    </row>
    <row r="8" spans="2:9" x14ac:dyDescent="0.25">
      <c r="C8">
        <f>Control!$B$3-12+ROW()-4</f>
        <v>5</v>
      </c>
      <c r="D8" s="1" cm="1">
        <f t="array" ref="D8">INDEX(Calc_Dates!$C$2:$C$37,C8)</f>
        <v>45443</v>
      </c>
      <c r="E8" cm="1">
        <f t="array" ref="E8">INDEX(Calc_Dates!$I$2:$I$37,C8)</f>
        <v>23</v>
      </c>
      <c r="F8" t="str" cm="1">
        <f t="array" ref="F8">INDEX(Calc_Dates!$L$2:$L$37,C8)</f>
        <v>passato</v>
      </c>
      <c r="G8" t="str" cm="1">
        <f t="array" ref="G8">INDEX(Calc_Dates!$M$2:$M$37,C8)</f>
        <v>mag-24</v>
      </c>
      <c r="H8" cm="1">
        <f t="array" ref="H8">INDEX(Calc_Dates!$K$2:$K$37,C8)</f>
        <v>8</v>
      </c>
    </row>
    <row r="9" spans="2:9" x14ac:dyDescent="0.25">
      <c r="C9">
        <f>Control!$B$3-12+ROW()-4</f>
        <v>6</v>
      </c>
      <c r="D9" s="1" cm="1">
        <f t="array" ref="D9">INDEX(Calc_Dates!$C$2:$C$37,C9)</f>
        <v>45473</v>
      </c>
      <c r="E9" cm="1">
        <f t="array" ref="E9">INDEX(Calc_Dates!$I$2:$I$37,C9)</f>
        <v>20</v>
      </c>
      <c r="F9" t="str" cm="1">
        <f t="array" ref="F9">INDEX(Calc_Dates!$L$2:$L$37,C9)</f>
        <v>passato</v>
      </c>
      <c r="G9" t="str" cm="1">
        <f t="array" ref="G9">INDEX(Calc_Dates!$M$2:$M$37,C9)</f>
        <v>giu-24</v>
      </c>
      <c r="H9" cm="1">
        <f t="array" ref="H9">INDEX(Calc_Dates!$K$2:$K$37,C9)</f>
        <v>7</v>
      </c>
    </row>
    <row r="10" spans="2:9" x14ac:dyDescent="0.25">
      <c r="C10">
        <f>Control!$B$3-12+ROW()-4</f>
        <v>7</v>
      </c>
      <c r="D10" s="1" cm="1">
        <f t="array" ref="D10">INDEX(Calc_Dates!$C$2:$C$37,C10)</f>
        <v>45504</v>
      </c>
      <c r="E10" cm="1">
        <f t="array" ref="E10">INDEX(Calc_Dates!$I$2:$I$37,C10)</f>
        <v>23</v>
      </c>
      <c r="F10" t="str" cm="1">
        <f t="array" ref="F10">INDEX(Calc_Dates!$L$2:$L$37,C10)</f>
        <v>passato</v>
      </c>
      <c r="G10" t="str" cm="1">
        <f t="array" ref="G10">INDEX(Calc_Dates!$M$2:$M$37,C10)</f>
        <v>lug-24</v>
      </c>
      <c r="H10" cm="1">
        <f t="array" ref="H10">INDEX(Calc_Dates!$K$2:$K$37,C10)</f>
        <v>6</v>
      </c>
    </row>
    <row r="11" spans="2:9" x14ac:dyDescent="0.25">
      <c r="C11">
        <f>Control!$B$3-12+ROW()-4</f>
        <v>8</v>
      </c>
      <c r="D11" s="1" cm="1">
        <f t="array" ref="D11">INDEX(Calc_Dates!$C$2:$C$37,C11)</f>
        <v>45535</v>
      </c>
      <c r="E11" cm="1">
        <f t="array" ref="E11">INDEX(Calc_Dates!$I$2:$I$37,C11)</f>
        <v>22</v>
      </c>
      <c r="F11" t="str" cm="1">
        <f t="array" ref="F11">INDEX(Calc_Dates!$L$2:$L$37,C11)</f>
        <v>passato</v>
      </c>
      <c r="G11" t="str" cm="1">
        <f t="array" ref="G11">INDEX(Calc_Dates!$M$2:$M$37,C11)</f>
        <v>ago-24</v>
      </c>
      <c r="H11" cm="1">
        <f t="array" ref="H11">INDEX(Calc_Dates!$K$2:$K$37,C11)</f>
        <v>5</v>
      </c>
    </row>
    <row r="12" spans="2:9" x14ac:dyDescent="0.25">
      <c r="C12">
        <f>Control!$B$3-12+ROW()-4</f>
        <v>9</v>
      </c>
      <c r="D12" s="1" cm="1">
        <f t="array" ref="D12">INDEX(Calc_Dates!$C$2:$C$37,C12)</f>
        <v>45565</v>
      </c>
      <c r="E12" cm="1">
        <f t="array" ref="E12">INDEX(Calc_Dates!$I$2:$I$37,C12)</f>
        <v>21</v>
      </c>
      <c r="F12" t="str" cm="1">
        <f t="array" ref="F12">INDEX(Calc_Dates!$L$2:$L$37,C12)</f>
        <v>passato</v>
      </c>
      <c r="G12" t="str" cm="1">
        <f t="array" ref="G12">INDEX(Calc_Dates!$M$2:$M$37,C12)</f>
        <v>set-24</v>
      </c>
      <c r="H12" cm="1">
        <f t="array" ref="H12">INDEX(Calc_Dates!$K$2:$K$37,C12)</f>
        <v>4</v>
      </c>
    </row>
    <row r="13" spans="2:9" x14ac:dyDescent="0.25">
      <c r="C13">
        <f>Control!$B$3-12+ROW()-4</f>
        <v>10</v>
      </c>
      <c r="D13" s="1" cm="1">
        <f t="array" ref="D13">INDEX(Calc_Dates!$C$2:$C$37,C13)</f>
        <v>45596</v>
      </c>
      <c r="E13" cm="1">
        <f t="array" ref="E13">INDEX(Calc_Dates!$I$2:$I$37,C13)</f>
        <v>23</v>
      </c>
      <c r="F13" t="str" cm="1">
        <f t="array" ref="F13">INDEX(Calc_Dates!$L$2:$L$37,C13)</f>
        <v>passato</v>
      </c>
      <c r="G13" t="str" cm="1">
        <f t="array" ref="G13">INDEX(Calc_Dates!$M$2:$M$37,C13)</f>
        <v>ott-24</v>
      </c>
      <c r="H13" cm="1">
        <f t="array" ref="H13">INDEX(Calc_Dates!$K$2:$K$37,C13)</f>
        <v>3</v>
      </c>
    </row>
    <row r="14" spans="2:9" x14ac:dyDescent="0.25">
      <c r="C14">
        <f>Control!$B$3-12+ROW()-4</f>
        <v>11</v>
      </c>
      <c r="D14" s="1" cm="1">
        <f t="array" ref="D14">INDEX(Calc_Dates!$C$2:$C$37,C14)</f>
        <v>45626</v>
      </c>
      <c r="E14" cm="1">
        <f t="array" ref="E14">INDEX(Calc_Dates!$I$2:$I$37,C14)</f>
        <v>21</v>
      </c>
      <c r="F14" t="str" cm="1">
        <f t="array" ref="F14">INDEX(Calc_Dates!$L$2:$L$37,C14)</f>
        <v>passato</v>
      </c>
      <c r="G14" t="str" cm="1">
        <f t="array" ref="G14">INDEX(Calc_Dates!$M$2:$M$37,C14)</f>
        <v>nov-24</v>
      </c>
      <c r="H14" cm="1">
        <f t="array" ref="H14">INDEX(Calc_Dates!$K$2:$K$37,C14)</f>
        <v>2</v>
      </c>
    </row>
    <row r="15" spans="2:9" x14ac:dyDescent="0.25">
      <c r="C15">
        <f>Control!$B$3-12+ROW()-4</f>
        <v>12</v>
      </c>
      <c r="D15" s="1" cm="1">
        <f t="array" ref="D15">INDEX(Calc_Dates!$C$2:$C$37,C15)</f>
        <v>45657</v>
      </c>
      <c r="E15" cm="1">
        <f t="array" ref="E15">INDEX(Calc_Dates!$I$2:$I$37,C15)</f>
        <v>22</v>
      </c>
      <c r="F15" t="str" cm="1">
        <f t="array" ref="F15">INDEX(Calc_Dates!$L$2:$L$37,C15)</f>
        <v>passato</v>
      </c>
      <c r="G15" t="str" cm="1">
        <f t="array" ref="G15">INDEX(Calc_Dates!$M$2:$M$37,C15)</f>
        <v>dic-24</v>
      </c>
      <c r="H15" cm="1">
        <f t="array" ref="H15">INDEX(Calc_Dates!$K$2:$K$37,C15)</f>
        <v>1</v>
      </c>
    </row>
    <row r="16" spans="2:9" x14ac:dyDescent="0.25">
      <c r="C16">
        <f>Control!$B$3-12+ROW()-4</f>
        <v>13</v>
      </c>
      <c r="D16" s="1" cm="1">
        <f t="array" ref="D16">INDEX(Calc_Dates!$C$2:$C$37,C16)</f>
        <v>45688</v>
      </c>
      <c r="E16" cm="1">
        <f t="array" ref="E16">INDEX(Calc_Dates!$I$2:$I$37,C16)</f>
        <v>23</v>
      </c>
      <c r="F16" t="str" cm="1">
        <f t="array" ref="F16">INDEX(Calc_Dates!$L$2:$L$37,C16)</f>
        <v>corrente</v>
      </c>
      <c r="G16" t="str" cm="1">
        <f t="array" ref="G16">INDEX(Calc_Dates!$M$2:$M$37,C16)</f>
        <v>gen-25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Centro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Tirrena</v>
      </c>
      <c r="D5">
        <f>IF(C5="","",SUMIFS(Calc_Bank!$C$2:$C$21,Calc_Bank!$A$2:$A$21,C5))</f>
        <v>8739.0999999999985</v>
      </c>
      <c r="E5" t="str" cm="1">
        <f t="array" ref="E5">INDEX(Calc_Dynamic!$L$2:$L$21,ROW()-4)</f>
        <v>Banca Città</v>
      </c>
      <c r="F5" t="str">
        <f>IF(C5=Control!$B$2,"&lt;&lt;","")</f>
        <v>&lt;&lt;</v>
      </c>
      <c r="H5" t="str" cm="1">
        <f t="array" ref="H5:H10">_xlfn._xlws.FILTER(Calc_Bank!A2:A21,Calc_Bank!B2:B21=Control!B5)</f>
        <v>Banca Tirrena</v>
      </c>
    </row>
    <row r="6" spans="2:8" x14ac:dyDescent="0.25">
      <c r="C6" t="str" cm="1">
        <f t="array" ref="C6">IFERROR(INDEX(Calc_Dynamic!$A$2:$A$21,ROW()-4)&amp;"","")</f>
        <v>Banca Etrusca</v>
      </c>
      <c r="D6">
        <f>IF(C6="","",SUMIFS(Calc_Bank!$C$2:$C$21,Calc_Bank!$A$2:$A$21,C6))</f>
        <v>10989.1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Etrusca</v>
      </c>
    </row>
    <row r="7" spans="2:8" x14ac:dyDescent="0.25">
      <c r="C7" t="str" cm="1">
        <f t="array" ref="C7">IFERROR(INDEX(Calc_Dynamic!$A$2:$A$21,ROW()-4)&amp;"","")</f>
        <v>Banca Sabina</v>
      </c>
      <c r="D7">
        <f>IF(C7="","",SUMIFS(Calc_Bank!$C$2:$C$21,Calc_Bank!$A$2:$A$21,C7))</f>
        <v>13300.5</v>
      </c>
      <c r="E7" t="str" cm="1">
        <f t="array" ref="E7">INDEX(Calc_Dynamic!$L$2:$L$21,ROW()-4)</f>
        <v>Banca Sarda</v>
      </c>
      <c r="F7" t="str">
        <f>IF(C7=Control!$B$2,"&lt;&lt;","")</f>
        <v/>
      </c>
      <c r="H7" t="str">
        <v>Banca Sabina</v>
      </c>
    </row>
    <row r="8" spans="2:8" x14ac:dyDescent="0.25">
      <c r="C8" t="str" cm="1">
        <f t="array" ref="C8">IFERROR(INDEX(Calc_Dynamic!$A$2:$A$21,ROW()-4)&amp;"","")</f>
        <v>Banca Umbra</v>
      </c>
      <c r="D8">
        <f>IF(C8="","",SUMIFS(Calc_Bank!$C$2:$C$21,Calc_Bank!$A$2:$A$21,C8))</f>
        <v>19938.900000000001</v>
      </c>
      <c r="E8" t="str" cm="1">
        <f t="array" ref="E8">INDEX(Calc_Dynamic!$L$2:$L$21,ROW()-4)</f>
        <v>Banca Sicula</v>
      </c>
      <c r="F8" t="str">
        <f>IF(C8=Control!$B$2,"&lt;&lt;","")</f>
        <v/>
      </c>
      <c r="H8" t="str">
        <v>Banca Umbra</v>
      </c>
    </row>
    <row r="9" spans="2:8" x14ac:dyDescent="0.25">
      <c r="C9" t="str" cm="1">
        <f t="array" ref="C9">IFERROR(INDEX(Calc_Dynamic!$A$2:$A$21,ROW()-4)&amp;"","")</f>
        <v>Banca Marchigiana</v>
      </c>
      <c r="D9">
        <f>IF(C9="","",SUMIFS(Calc_Bank!$C$2:$C$21,Calc_Bank!$A$2:$A$21,C9))</f>
        <v>21147.299999999996</v>
      </c>
      <c r="E9" t="str" cm="1">
        <f t="array" ref="E9">INDEX(Calc_Dynamic!$L$2:$L$21,ROW()-4)</f>
        <v>Banca Calabra</v>
      </c>
      <c r="F9" t="str">
        <f>IF(C9=Control!$B$2,"&lt;&lt;","")</f>
        <v/>
      </c>
      <c r="H9" t="str">
        <v>Banca Marchigiana</v>
      </c>
    </row>
    <row r="10" spans="2:8" x14ac:dyDescent="0.25">
      <c r="C10" t="str" cm="1">
        <f t="array" ref="C10">IFERROR(INDEX(Calc_Dynamic!$A$2:$A$21,ROW()-4)&amp;"","")</f>
        <v>Banca Città</v>
      </c>
      <c r="D10">
        <f>IF(C10="","",SUMIFS(Calc_Bank!$C$2:$C$21,Calc_Bank!$A$2:$A$21,C10))</f>
        <v>27692.400000000001</v>
      </c>
      <c r="E10" t="str" cm="1">
        <f t="array" ref="E10">INDEX(Calc_Dynamic!$L$2:$L$21,ROW()-4)</f>
        <v>Banca Lucana</v>
      </c>
      <c r="F10" t="str">
        <f>IF(C10=Control!$B$2,"&lt;&lt;","")</f>
        <v/>
      </c>
      <c r="H10" t="str">
        <v>Banca Città</v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Tirrena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24302.1</v>
      </c>
      <c r="E5">
        <f>SUMIF(Calc_Month!$T$2:$T$37,C5,Calc_Month!$D$2:$D$37)</f>
        <v>1317.31</v>
      </c>
      <c r="F5">
        <f>SUMIF(Calc_Month!$T$2:$T$37,C5,Calc_Month!$G$2:$G$37)</f>
        <v>518.70000000000005</v>
      </c>
      <c r="G5">
        <f>AVERAGEIF(Calc_Month!$T$2:$T$37,C5,Calc_Month!$C$2:$C$37)</f>
        <v>8100.7</v>
      </c>
    </row>
    <row r="6" spans="2:8" x14ac:dyDescent="0.25">
      <c r="C6" t="s">
        <v>291</v>
      </c>
      <c r="D6">
        <f>SUMIF(Calc_Month!$T$2:$T$37,C6,Calc_Month!$C$2:$C$37)</f>
        <v>24878.2</v>
      </c>
      <c r="E6">
        <f>SUMIF(Calc_Month!$T$2:$T$37,C6,Calc_Month!$D$2:$D$37)</f>
        <v>1347.27</v>
      </c>
      <c r="F6">
        <f>SUMIF(Calc_Month!$T$2:$T$37,C6,Calc_Month!$G$2:$G$37)</f>
        <v>532.1400000000001</v>
      </c>
      <c r="G6">
        <f>AVERAGEIF(Calc_Month!$T$2:$T$37,C6,Calc_Month!$C$2:$C$37)</f>
        <v>8292.7333333333336</v>
      </c>
    </row>
    <row r="7" spans="2:8" x14ac:dyDescent="0.25">
      <c r="C7" t="s">
        <v>292</v>
      </c>
      <c r="D7">
        <f>SUMIF(Calc_Month!$T$2:$T$37,C7,Calc_Month!$C$2:$C$37)</f>
        <v>25345.199999999997</v>
      </c>
      <c r="E7">
        <f>SUMIF(Calc_Month!$T$2:$T$37,C7,Calc_Month!$D$2:$D$37)</f>
        <v>1372.29</v>
      </c>
      <c r="F7">
        <f>SUMIF(Calc_Month!$T$2:$T$37,C7,Calc_Month!$G$2:$G$37)</f>
        <v>539.83999999999992</v>
      </c>
      <c r="G7">
        <f>AVERAGEIF(Calc_Month!$T$2:$T$37,C7,Calc_Month!$C$2:$C$37)</f>
        <v>8448.4</v>
      </c>
    </row>
    <row r="8" spans="2:8" x14ac:dyDescent="0.25">
      <c r="C8" t="s">
        <v>293</v>
      </c>
      <c r="D8">
        <f>SUMIF(Calc_Month!$T$2:$T$37,C8,Calc_Month!$C$2:$C$37)</f>
        <v>25954.2</v>
      </c>
      <c r="E8">
        <f>SUMIF(Calc_Month!$T$2:$T$37,C8,Calc_Month!$D$2:$D$37)</f>
        <v>1405.77</v>
      </c>
      <c r="F8">
        <f>SUMIF(Calc_Month!$T$2:$T$37,C8,Calc_Month!$G$2:$G$37)</f>
        <v>554.38</v>
      </c>
      <c r="G8">
        <f>AVERAGEIF(Calc_Month!$T$2:$T$37,C8,Calc_Month!$C$2:$C$37)</f>
        <v>8651.4</v>
      </c>
    </row>
    <row r="9" spans="2:8" x14ac:dyDescent="0.25">
      <c r="C9" t="s">
        <v>294</v>
      </c>
      <c r="D9">
        <f>SUMIF(Calc_Month!$T$2:$T$37,C9,Calc_Month!$C$2:$C$37)</f>
        <v>26311.599999999999</v>
      </c>
      <c r="E9">
        <f>SUMIF(Calc_Month!$T$2:$T$37,C9,Calc_Month!$D$2:$D$37)</f>
        <v>1421.49</v>
      </c>
      <c r="F9">
        <f>SUMIF(Calc_Month!$T$2:$T$37,C9,Calc_Month!$G$2:$G$37)</f>
        <v>557.59999999999991</v>
      </c>
      <c r="G9">
        <f>AVERAGEIF(Calc_Month!$T$2:$T$37,C9,Calc_Month!$C$2:$C$37)</f>
        <v>8770.5333333333328</v>
      </c>
    </row>
    <row r="10" spans="2:8" x14ac:dyDescent="0.25">
      <c r="C10" t="s">
        <v>295</v>
      </c>
      <c r="D10">
        <f>SUMIF(Calc_Month!$T$2:$T$37,C10,Calc_Month!$C$2:$C$37)</f>
        <v>27092.799999999999</v>
      </c>
      <c r="E10">
        <f>SUMIF(Calc_Month!$T$2:$T$37,C10,Calc_Month!$D$2:$D$37)</f>
        <v>1465.69</v>
      </c>
      <c r="F10">
        <f>SUMIF(Calc_Month!$T$2:$T$37,C10,Calc_Month!$G$2:$G$37)</f>
        <v>574.95000000000005</v>
      </c>
      <c r="G10">
        <f>AVERAGEIF(Calc_Month!$T$2:$T$37,C10,Calc_Month!$C$2:$C$37)</f>
        <v>9030.9333333333325</v>
      </c>
    </row>
    <row r="11" spans="2:8" x14ac:dyDescent="0.25">
      <c r="C11" t="s">
        <v>296</v>
      </c>
      <c r="D11">
        <f>SUMIF(Calc_Month!$T$2:$T$37,C11,Calc_Month!$C$2:$C$37)</f>
        <v>27655.200000000004</v>
      </c>
      <c r="E11">
        <f>SUMIF(Calc_Month!$T$2:$T$37,C11,Calc_Month!$D$2:$D$37)</f>
        <v>1495.85</v>
      </c>
      <c r="F11">
        <f>SUMIF(Calc_Month!$T$2:$T$37,C11,Calc_Month!$G$2:$G$37)</f>
        <v>590.22</v>
      </c>
      <c r="G11">
        <f>AVERAGEIF(Calc_Month!$T$2:$T$37,C11,Calc_Month!$C$2:$C$37)</f>
        <v>9218.4000000000015</v>
      </c>
    </row>
    <row r="12" spans="2:8" x14ac:dyDescent="0.25">
      <c r="C12" t="s">
        <v>297</v>
      </c>
      <c r="D12">
        <f>SUMIF(Calc_Month!$T$2:$T$37,C12,Calc_Month!$C$2:$C$37)</f>
        <v>28071</v>
      </c>
      <c r="E12">
        <f>SUMIF(Calc_Month!$T$2:$T$37,C12,Calc_Month!$D$2:$D$37)</f>
        <v>1520.75</v>
      </c>
      <c r="F12">
        <f>SUMIF(Calc_Month!$T$2:$T$37,C12,Calc_Month!$G$2:$G$37)</f>
        <v>599.8599999999999</v>
      </c>
      <c r="G12">
        <f>AVERAGEIF(Calc_Month!$T$2:$T$37,C12,Calc_Month!$C$2:$C$37)</f>
        <v>9357</v>
      </c>
    </row>
    <row r="13" spans="2:8" x14ac:dyDescent="0.25">
      <c r="C13" t="s">
        <v>298</v>
      </c>
      <c r="D13">
        <f>SUMIF(Calc_Month!$T$2:$T$37,C13,Calc_Month!$C$2:$C$37)</f>
        <v>28912.1</v>
      </c>
      <c r="E13">
        <f>SUMIF(Calc_Month!$T$2:$T$37,C13,Calc_Month!$D$2:$D$37)</f>
        <v>1560.96</v>
      </c>
      <c r="F13">
        <f>SUMIF(Calc_Month!$T$2:$T$37,C13,Calc_Month!$G$2:$G$37)</f>
        <v>613.66000000000008</v>
      </c>
      <c r="G13">
        <f>AVERAGEIF(Calc_Month!$T$2:$T$37,C13,Calc_Month!$C$2:$C$37)</f>
        <v>9637.3666666666668</v>
      </c>
    </row>
    <row r="14" spans="2:8" x14ac:dyDescent="0.25">
      <c r="C14" t="s">
        <v>299</v>
      </c>
      <c r="D14">
        <f>SUMIF(Calc_Month!$T$2:$T$37,C14,Calc_Month!$C$2:$C$37)</f>
        <v>29314.2</v>
      </c>
      <c r="E14">
        <f>SUMIF(Calc_Month!$T$2:$T$37,C14,Calc_Month!$D$2:$D$37)</f>
        <v>1588.5</v>
      </c>
      <c r="F14">
        <f>SUMIF(Calc_Month!$T$2:$T$37,C14,Calc_Month!$G$2:$G$37)</f>
        <v>624.68000000000006</v>
      </c>
      <c r="G14">
        <f>AVERAGEIF(Calc_Month!$T$2:$T$37,C14,Calc_Month!$C$2:$C$37)</f>
        <v>9771.4</v>
      </c>
    </row>
    <row r="15" spans="2:8" x14ac:dyDescent="0.25">
      <c r="C15" t="s">
        <v>300</v>
      </c>
      <c r="D15">
        <f>SUMIF(Calc_Month!$T$2:$T$37,C15,Calc_Month!$C$2:$C$37)</f>
        <v>29881.4</v>
      </c>
      <c r="E15">
        <f>SUMIF(Calc_Month!$T$2:$T$37,C15,Calc_Month!$D$2:$D$37)</f>
        <v>1617.28</v>
      </c>
      <c r="F15">
        <f>SUMIF(Calc_Month!$T$2:$T$37,C15,Calc_Month!$G$2:$G$37)</f>
        <v>640.05999999999995</v>
      </c>
      <c r="G15">
        <f>AVERAGEIF(Calc_Month!$T$2:$T$37,C15,Calc_Month!$C$2:$C$37)</f>
        <v>9960.4666666666672</v>
      </c>
    </row>
    <row r="16" spans="2:8" x14ac:dyDescent="0.25">
      <c r="C16" t="s">
        <v>301</v>
      </c>
      <c r="D16">
        <f>SUMIF(Calc_Month!$T$2:$T$37,C16,Calc_Month!$C$2:$C$37)</f>
        <v>30582.699999999997</v>
      </c>
      <c r="E16">
        <f>SUMIF(Calc_Month!$T$2:$T$37,C16,Calc_Month!$D$2:$D$37)</f>
        <v>1654.56</v>
      </c>
      <c r="F16">
        <f>SUMIF(Calc_Month!$T$2:$T$37,C16,Calc_Month!$G$2:$G$37)</f>
        <v>655.19999999999993</v>
      </c>
      <c r="G16">
        <f>AVERAGEIF(Calc_Month!$T$2:$T$37,C16,Calc_Month!$C$2:$C$37)</f>
        <v>10194.233333333332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13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95048</v>
      </c>
      <c r="F5">
        <f>SUMIF(Calc_Bank!$R$2:$R$21,C5,Calc_Bank!$F$2:$F$21)</f>
        <v>2030.15</v>
      </c>
      <c r="G5">
        <f>E5/Calc_Bank!$C$23</f>
        <v>0.27665602709510589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143233.29999999999</v>
      </c>
      <c r="F6">
        <f>SUMIF(Calc_Bank!$R$2:$R$21,C6,Calc_Bank!$F$2:$F$21)</f>
        <v>3059.7</v>
      </c>
      <c r="G6">
        <f>E6/Calc_Bank!$C$23</f>
        <v>0.41690888525504405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105278.9</v>
      </c>
      <c r="F7">
        <f>SUMIF(Calc_Bank!$R$2:$R$21,C7,Calc_Bank!$F$2:$F$21)</f>
        <v>2248.29</v>
      </c>
      <c r="G7">
        <f>E7/Calc_Bank!$C$23</f>
        <v>0.30643508764985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7012.5841800000007</v>
      </c>
      <c r="E5">
        <f>Calc_Deep!E2</f>
        <v>7022.3123472118068</v>
      </c>
      <c r="F5">
        <f>Calc_Deep!H2</f>
        <v>878.6048601490246</v>
      </c>
      <c r="G5" s="1">
        <f>Calc_Deep!I2</f>
        <v>909.6048601490246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8199.606240000001</v>
      </c>
      <c r="E6">
        <f>Calc_Deep!E3</f>
        <v>8166.2202903779307</v>
      </c>
      <c r="F6">
        <f>Calc_Deep!H3</f>
        <v>1021.3776662797518</v>
      </c>
      <c r="G6" s="1">
        <f>Calc_Deep!I3</f>
        <v>1052.3776662797518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9367.4412899999988</v>
      </c>
      <c r="E7">
        <f>Calc_Deep!E4</f>
        <v>9361.2904492438829</v>
      </c>
      <c r="F7">
        <f>Calc_Deep!H4</f>
        <v>1170.5358145804471</v>
      </c>
      <c r="G7" s="1">
        <f>Calc_Deep!I4</f>
        <v>1201.5358145804471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10603.87794</v>
      </c>
      <c r="E8">
        <f>Calc_Deep!E5</f>
        <v>10674.234948558058</v>
      </c>
      <c r="F8">
        <f>Calc_Deep!H5</f>
        <v>1334.4054617391193</v>
      </c>
      <c r="G8" s="1">
        <f>Calc_Deep!I5</f>
        <v>1365.4054617391193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11779.216290000002</v>
      </c>
      <c r="E9">
        <f>Calc_Deep!E6</f>
        <v>11817.568070796931</v>
      </c>
      <c r="F9">
        <f>Calc_Deep!H6</f>
        <v>1477.1058773604921</v>
      </c>
      <c r="G9" s="1">
        <f>Calc_Deep!I6</f>
        <v>1508.1058773604921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12975.992640000004</v>
      </c>
      <c r="E10">
        <f>Calc_Deep!E7</f>
        <v>13087.753135726547</v>
      </c>
      <c r="F10">
        <f>Calc_Deep!H7</f>
        <v>1635.6398447348383</v>
      </c>
      <c r="G10" s="1">
        <f>Calc_Deep!I7</f>
        <v>1666.6398447348383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14256.805950000002</v>
      </c>
      <c r="E11">
        <f>Calc_Deep!E8</f>
        <v>14336.550266690763</v>
      </c>
      <c r="F11">
        <f>Calc_Deep!H8</f>
        <v>1791.5041000486763</v>
      </c>
      <c r="G11" s="1">
        <f>Calc_Deep!I8</f>
        <v>1822.5041000486763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15413.171670000002</v>
      </c>
      <c r="E12">
        <f>Calc_Deep!E9</f>
        <v>15489.723380115129</v>
      </c>
      <c r="F12">
        <f>Calc_Deep!H9</f>
        <v>1935.4326581046166</v>
      </c>
      <c r="G12" s="1">
        <f>Calc_Deep!I9</f>
        <v>1966.4326581046166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16603.302240000001</v>
      </c>
      <c r="E13">
        <f>Calc_Deep!E10</f>
        <v>16702.412697905907</v>
      </c>
      <c r="F13">
        <f>Calc_Deep!H10</f>
        <v>2086.7899801550152</v>
      </c>
      <c r="G13" s="1">
        <f>Calc_Deep!I10</f>
        <v>2117.7899801550152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17844.9912</v>
      </c>
      <c r="E14">
        <f>Calc_Deep!E11</f>
        <v>18043.730882948599</v>
      </c>
      <c r="F14">
        <f>Calc_Deep!H11</f>
        <v>2254.2017698231421</v>
      </c>
      <c r="G14" s="1">
        <f>Calc_Deep!I11</f>
        <v>2285.2017698231421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18933.934410000002</v>
      </c>
      <c r="E15">
        <f>Calc_Deep!E12</f>
        <v>19084.890106356845</v>
      </c>
      <c r="F15">
        <f>Calc_Deep!H12</f>
        <v>2384.1502227880328</v>
      </c>
      <c r="G15" s="1">
        <f>Calc_Deep!I12</f>
        <v>2415.1502227880328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20303.501039999999</v>
      </c>
      <c r="E16">
        <f>Calc_Deep!E13</f>
        <v>20477.50888852117</v>
      </c>
      <c r="F16">
        <f>Calc_Deep!H13</f>
        <v>2557.9635800851211</v>
      </c>
      <c r="G16" s="1">
        <f>Calc_Deep!I13</f>
        <v>2588.9635800851211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21372.506910000004</v>
      </c>
      <c r="E17">
        <f>Calc_Deep!E14</f>
        <v>21573.970071646883</v>
      </c>
      <c r="F17">
        <f>Calc_Deep!H14</f>
        <v>2694.8153417955341</v>
      </c>
      <c r="G17" s="1">
        <f>Calc_Deep!I14</f>
        <v>2725.8153417955341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22667.790869999997</v>
      </c>
      <c r="E18">
        <f>Calc_Deep!E15</f>
        <v>22894.552026244681</v>
      </c>
      <c r="F18">
        <f>Calc_Deep!H15</f>
        <v>2859.6385466981187</v>
      </c>
      <c r="G18" s="1">
        <f>Calc_Deep!I15</f>
        <v>2890.6385466981187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23751.588960000001</v>
      </c>
      <c r="E19">
        <f>Calc_Deep!E16</f>
        <v>23975.948598329742</v>
      </c>
      <c r="F19">
        <f>Calc_Deep!H16</f>
        <v>2994.6081551653119</v>
      </c>
      <c r="G19" s="1">
        <f>Calc_Deep!I16</f>
        <v>3025.6081551653119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25078.386780000001</v>
      </c>
      <c r="E20">
        <f>Calc_Deep!E17</f>
        <v>25327.864800958425</v>
      </c>
      <c r="F20">
        <f>Calc_Deep!H17</f>
        <v>3163.342943797506</v>
      </c>
      <c r="G20" s="1">
        <f>Calc_Deep!I17</f>
        <v>3194.342943797506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26280.629820000002</v>
      </c>
      <c r="E21">
        <f>Calc_Deep!E18</f>
        <v>26487.029079731288</v>
      </c>
      <c r="F21">
        <f>Calc_Deep!H18</f>
        <v>3308.0203691915972</v>
      </c>
      <c r="G21" s="1">
        <f>Calc_Deep!I18</f>
        <v>3339.0203691915972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27469.581299999998</v>
      </c>
      <c r="E22">
        <f>Calc_Deep!E19</f>
        <v>27694.745031482991</v>
      </c>
      <c r="F22">
        <f>Calc_Deep!H19</f>
        <v>3458.7561313513315</v>
      </c>
      <c r="G22" s="1">
        <f>Calc_Deep!I19</f>
        <v>3489.7561313513315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28663.785090000001</v>
      </c>
      <c r="E23">
        <f>Calc_Deep!E20</f>
        <v>28987.045164092862</v>
      </c>
      <c r="F23">
        <f>Calc_Deep!H20</f>
        <v>3620.0496748667642</v>
      </c>
      <c r="G23" s="1">
        <f>Calc_Deep!I20</f>
        <v>3651.0496748667642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29683.483560000004</v>
      </c>
      <c r="E24">
        <f>Calc_Deep!E21</f>
        <v>30028.421996110934</v>
      </c>
      <c r="F24">
        <f>Calc_Deep!H21</f>
        <v>3750.0255863007205</v>
      </c>
      <c r="G24" s="1">
        <f>Calc_Deep!I21</f>
        <v>3781.0255863007205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Tirrena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6542.2</v>
      </c>
      <c r="E5">
        <f t="shared" ref="E5:E24" si="0">D5*(1-TaxRate)</f>
        <v>4972.0720000000001</v>
      </c>
    </row>
    <row r="6" spans="2:5" x14ac:dyDescent="0.25">
      <c r="C6" t="str">
        <f>Calc_Names!A12</f>
        <v>Banca Adriatica</v>
      </c>
      <c r="D6">
        <f>Calc_Names!B12</f>
        <v>7649.6</v>
      </c>
      <c r="E6">
        <f t="shared" si="0"/>
        <v>5813.6959999999999</v>
      </c>
    </row>
    <row r="7" spans="2:5" x14ac:dyDescent="0.25">
      <c r="C7" t="str">
        <f>Calc_Names!A13</f>
        <v>Banca Tirrena</v>
      </c>
      <c r="D7">
        <f>Calc_Names!B13</f>
        <v>8739.0999999999985</v>
      </c>
      <c r="E7">
        <f t="shared" si="0"/>
        <v>6641.7159999999985</v>
      </c>
    </row>
    <row r="8" spans="2:5" x14ac:dyDescent="0.25">
      <c r="C8" t="str">
        <f>Calc_Names!A14</f>
        <v>Banca Padana</v>
      </c>
      <c r="D8">
        <f>Calc_Names!B14</f>
        <v>9892.6</v>
      </c>
      <c r="E8">
        <f t="shared" si="0"/>
        <v>7518.3760000000002</v>
      </c>
    </row>
    <row r="9" spans="2:5" x14ac:dyDescent="0.25">
      <c r="C9" t="str">
        <f>Calc_Names!A15</f>
        <v>Banca Etrusca</v>
      </c>
      <c r="D9">
        <f>Calc_Names!B15</f>
        <v>10989.1</v>
      </c>
      <c r="E9">
        <f t="shared" si="0"/>
        <v>8351.7160000000003</v>
      </c>
    </row>
    <row r="10" spans="2:5" x14ac:dyDescent="0.25">
      <c r="C10" t="str">
        <f>Calc_Names!A16</f>
        <v>Banca Lariana</v>
      </c>
      <c r="D10">
        <f>Calc_Names!B16</f>
        <v>12105.600000000002</v>
      </c>
      <c r="E10">
        <f t="shared" si="0"/>
        <v>9200.2560000000012</v>
      </c>
    </row>
    <row r="11" spans="2:5" x14ac:dyDescent="0.25">
      <c r="C11" t="str">
        <f>Calc_Names!A17</f>
        <v>Banca Sabina</v>
      </c>
      <c r="D11">
        <f>Calc_Names!B17</f>
        <v>13300.5</v>
      </c>
      <c r="E11">
        <f t="shared" si="0"/>
        <v>10108.380000000001</v>
      </c>
    </row>
    <row r="12" spans="2:5" x14ac:dyDescent="0.25">
      <c r="C12" t="str">
        <f>Calc_Names!A18</f>
        <v>Banca Irpina</v>
      </c>
      <c r="D12">
        <f>Calc_Names!B18</f>
        <v>14379.300000000001</v>
      </c>
      <c r="E12">
        <f t="shared" si="0"/>
        <v>10928.268000000002</v>
      </c>
    </row>
    <row r="13" spans="2:5" x14ac:dyDescent="0.25">
      <c r="C13" t="str">
        <f>Calc_Names!A19</f>
        <v>Banca Sannita</v>
      </c>
      <c r="D13">
        <f>Calc_Names!B19</f>
        <v>15489.599999999999</v>
      </c>
      <c r="E13">
        <f t="shared" si="0"/>
        <v>11772.096</v>
      </c>
    </row>
    <row r="14" spans="2:5" x14ac:dyDescent="0.25">
      <c r="C14" t="str">
        <f>Calc_Names!A20</f>
        <v>Banca Ligure</v>
      </c>
      <c r="D14">
        <f>Calc_Names!B20</f>
        <v>16648</v>
      </c>
      <c r="E14">
        <f t="shared" si="0"/>
        <v>12652.48</v>
      </c>
    </row>
    <row r="15" spans="2:5" x14ac:dyDescent="0.25">
      <c r="C15" t="str">
        <f>Calc_Names!A21</f>
        <v>Banca Veneta</v>
      </c>
      <c r="D15">
        <f>Calc_Names!B21</f>
        <v>17663.900000000001</v>
      </c>
      <c r="E15">
        <f t="shared" si="0"/>
        <v>13424.564000000002</v>
      </c>
    </row>
    <row r="16" spans="2:5" x14ac:dyDescent="0.25">
      <c r="C16" t="str">
        <f>Calc_Names!A22</f>
        <v>Banca Friulana</v>
      </c>
      <c r="D16">
        <f>Calc_Names!B22</f>
        <v>18941.599999999999</v>
      </c>
      <c r="E16">
        <f t="shared" si="0"/>
        <v>14395.615999999998</v>
      </c>
    </row>
    <row r="17" spans="3:6" x14ac:dyDescent="0.25">
      <c r="C17" t="str">
        <f>Calc_Names!A23</f>
        <v>Banca Umbra</v>
      </c>
      <c r="D17">
        <f>Calc_Names!B23</f>
        <v>19938.900000000001</v>
      </c>
      <c r="E17">
        <f t="shared" si="0"/>
        <v>15153.564000000002</v>
      </c>
    </row>
    <row r="18" spans="3:6" x14ac:dyDescent="0.25">
      <c r="C18" t="str">
        <f>Calc_Names!A24</f>
        <v>Banca Marchigiana</v>
      </c>
      <c r="D18">
        <f>Calc_Names!B24</f>
        <v>21147.299999999996</v>
      </c>
      <c r="E18">
        <f t="shared" si="0"/>
        <v>16071.947999999997</v>
      </c>
    </row>
    <row r="19" spans="3:6" x14ac:dyDescent="0.25">
      <c r="C19" t="str">
        <f>Calc_Names!A25</f>
        <v>Banca Lucana</v>
      </c>
      <c r="D19">
        <f>Calc_Names!B25</f>
        <v>22158.399999999998</v>
      </c>
      <c r="E19">
        <f t="shared" si="0"/>
        <v>16840.383999999998</v>
      </c>
    </row>
    <row r="20" spans="3:6" x14ac:dyDescent="0.25">
      <c r="C20" t="str">
        <f>Calc_Names!A26</f>
        <v>Banca Calabra</v>
      </c>
      <c r="D20">
        <f>Calc_Names!B26</f>
        <v>23396.2</v>
      </c>
      <c r="E20">
        <f t="shared" si="0"/>
        <v>17781.112000000001</v>
      </c>
    </row>
    <row r="21" spans="3:6" x14ac:dyDescent="0.25">
      <c r="C21" t="str">
        <f>Calc_Names!A27</f>
        <v>Banca Sicula</v>
      </c>
      <c r="D21">
        <f>Calc_Names!B27</f>
        <v>24517.8</v>
      </c>
      <c r="E21">
        <f t="shared" si="0"/>
        <v>18633.527999999998</v>
      </c>
    </row>
    <row r="22" spans="3:6" x14ac:dyDescent="0.25">
      <c r="C22" t="str">
        <f>Calc_Names!A28</f>
        <v>Banca Sarda</v>
      </c>
      <c r="D22">
        <f>Calc_Names!B28</f>
        <v>25626.999999999996</v>
      </c>
      <c r="E22">
        <f t="shared" si="0"/>
        <v>19476.519999999997</v>
      </c>
    </row>
    <row r="23" spans="3:6" x14ac:dyDescent="0.25">
      <c r="C23" t="str">
        <f>Calc_Names!A29</f>
        <v>Banca Romagnola</v>
      </c>
      <c r="D23">
        <f>Calc_Names!B29</f>
        <v>26741.1</v>
      </c>
      <c r="E23">
        <f t="shared" si="0"/>
        <v>20323.236000000001</v>
      </c>
    </row>
    <row r="24" spans="3:6" x14ac:dyDescent="0.25">
      <c r="C24" t="str">
        <f>Calc_Names!A30</f>
        <v>Banca Città</v>
      </c>
      <c r="D24">
        <f>Calc_Names!B30</f>
        <v>27692.400000000001</v>
      </c>
      <c r="E24">
        <f t="shared" si="0"/>
        <v>21046.224000000002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6542.2</v>
      </c>
      <c r="E5" cm="1">
        <f t="array" ref="E5">INDEX(Calc_BankMonth!$B$3:$AK$22,ROW()-4,Control!$B$3)</f>
        <v>6542.2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7649.6</v>
      </c>
      <c r="E6" cm="1">
        <f t="array" ref="E6">INDEX(Calc_BankMonth!$B$3:$AK$22,ROW()-4,Control!$B$3)</f>
        <v>7649.6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8739.0999999999985</v>
      </c>
      <c r="E7" cm="1">
        <f t="array" ref="E7">INDEX(Calc_BankMonth!$B$3:$AK$22,ROW()-4,Control!$B$3)</f>
        <v>8739.0999999999985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9892.6</v>
      </c>
      <c r="E8" cm="1">
        <f t="array" ref="E8">INDEX(Calc_BankMonth!$B$3:$AK$22,ROW()-4,Control!$B$3)</f>
        <v>9892.6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10989.1</v>
      </c>
      <c r="E9" cm="1">
        <f t="array" ref="E9">INDEX(Calc_BankMonth!$B$3:$AK$22,ROW()-4,Control!$B$3)</f>
        <v>10989.1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12105.600000000002</v>
      </c>
      <c r="E10" cm="1">
        <f t="array" ref="E10">INDEX(Calc_BankMonth!$B$3:$AK$22,ROW()-4,Control!$B$3)</f>
        <v>12105.600000000002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13300.5</v>
      </c>
      <c r="E11" cm="1">
        <f t="array" ref="E11">INDEX(Calc_BankMonth!$B$3:$AK$22,ROW()-4,Control!$B$3)</f>
        <v>13300.5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14379.300000000001</v>
      </c>
      <c r="E12" cm="1">
        <f t="array" ref="E12">INDEX(Calc_BankMonth!$B$3:$AK$22,ROW()-4,Control!$B$3)</f>
        <v>14379.300000000001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15489.599999999999</v>
      </c>
      <c r="E13" cm="1">
        <f t="array" ref="E13">INDEX(Calc_BankMonth!$B$3:$AK$22,ROW()-4,Control!$B$3)</f>
        <v>15489.599999999999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16648</v>
      </c>
      <c r="E14" cm="1">
        <f t="array" ref="E14">INDEX(Calc_BankMonth!$B$3:$AK$22,ROW()-4,Control!$B$3)</f>
        <v>16648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17663.900000000001</v>
      </c>
      <c r="E15" cm="1">
        <f t="array" ref="E15">INDEX(Calc_BankMonth!$B$3:$AK$22,ROW()-4,Control!$B$3)</f>
        <v>17663.900000000001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18941.599999999999</v>
      </c>
      <c r="E16" cm="1">
        <f t="array" ref="E16">INDEX(Calc_BankMonth!$B$3:$AK$22,ROW()-4,Control!$B$3)</f>
        <v>18941.599999999999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19938.900000000001</v>
      </c>
      <c r="E17" cm="1">
        <f t="array" ref="E17">INDEX(Calc_BankMonth!$B$3:$AK$22,ROW()-4,Control!$B$3)</f>
        <v>19938.900000000001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21147.299999999996</v>
      </c>
      <c r="E18" cm="1">
        <f t="array" ref="E18">INDEX(Calc_BankMonth!$B$3:$AK$22,ROW()-4,Control!$B$3)</f>
        <v>21147.299999999996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22158.399999999998</v>
      </c>
      <c r="E19" cm="1">
        <f t="array" ref="E19">INDEX(Calc_BankMonth!$B$3:$AK$22,ROW()-4,Control!$B$3)</f>
        <v>22158.399999999998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23396.2</v>
      </c>
      <c r="E20" cm="1">
        <f t="array" ref="E20">INDEX(Calc_BankMonth!$B$3:$AK$22,ROW()-4,Control!$B$3)</f>
        <v>23396.2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24517.8</v>
      </c>
      <c r="E21" cm="1">
        <f t="array" ref="E21">INDEX(Calc_BankMonth!$B$3:$AK$22,ROW()-4,Control!$B$3)</f>
        <v>24517.8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25626.999999999996</v>
      </c>
      <c r="E22" cm="1">
        <f t="array" ref="E22">INDEX(Calc_BankMonth!$B$3:$AK$22,ROW()-4,Control!$B$3)</f>
        <v>25626.999999999996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26741.1</v>
      </c>
      <c r="E23" cm="1">
        <f t="array" ref="E23">INDEX(Calc_BankMonth!$B$3:$AK$22,ROW()-4,Control!$B$3)</f>
        <v>26741.1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27692.400000000001</v>
      </c>
      <c r="E24" cm="1">
        <f t="array" ref="E24">INDEX(Calc_BankMonth!$B$3:$AK$22,ROW()-4,Control!$B$3)</f>
        <v>27692.400000000001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343560.2</v>
      </c>
      <c r="E5" cm="1">
        <f t="array" ref="E5">CHOOSE(ROW()-4,INDEX(Calc_BankMonth!$B$23:$AK$23,Control!$B$3),Calc_Summary!$B$2,Calc_Bank!$C$23,SUM(Calc_Product!$B$2:$B$9),Calc_Summary!$B$2,Calc_Summary!$B$2)</f>
        <v>343560.2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8739.0999999999985</v>
      </c>
      <c r="E6" cm="1">
        <f t="array" ref="E6">CHOOSE(ROW()-4,INDEX(Calc_BankMonth!$B$23:$AK$23,Control!$B$3),Calc_Summary!$B$2,Calc_Bank!$C$23,SUM(Calc_Product!$B$2:$B$9),Calc_Summary!$B$2,Calc_Summary!$B$2)</f>
        <v>8739.0999999999985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343560.19999999995</v>
      </c>
      <c r="E7" cm="1">
        <f t="array" ref="E7">CHOOSE(ROW()-4,INDEX(Calc_BankMonth!$B$23:$AK$23,Control!$B$3),Calc_Summary!$B$2,Calc_Bank!$C$23,SUM(Calc_Product!$B$2:$B$9),Calc_Summary!$B$2,Calc_Summary!$B$2)</f>
        <v>343560.2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8739.0999999999985</v>
      </c>
      <c r="E8" cm="1">
        <f t="array" ref="E8">CHOOSE(ROW()-4,INDEX(Calc_BankMonth!$B$23:$AK$23,Control!$B$3),Calc_Summary!$B$2,Calc_Bank!$C$23,SUM(Calc_Product!$B$2:$B$9),Calc_Summary!$B$2,Calc_Summary!$B$2)</f>
        <v>8739.0999999999985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8739.0999999999985</v>
      </c>
      <c r="E9" cm="1">
        <f t="array" ref="E9">CHOOSE(ROW()-4,INDEX(Calc_BankMonth!$B$23:$AK$23,Control!$B$3),Calc_Summary!$B$2,Calc_Bank!$C$23,SUM(Calc_Product!$B$2:$B$9),Calc_Summary!$B$2,Calc_Summary!$B$2)</f>
        <v>8739.0999999999985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8739.0999999999985</v>
      </c>
      <c r="E10" cm="1">
        <f t="array" ref="E10">CHOOSE(ROW()-4,INDEX(Calc_BankMonth!$B$23:$AK$23,Control!$B$3),Calc_Summary!$B$2,Calc_Bank!$C$23,SUM(Calc_Product!$B$2:$B$9),Calc_Summary!$B$2,Calc_Summary!$B$2)</f>
        <v>8739.0999999999985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2</v>
      </c>
      <c r="D5" s="1" cm="1">
        <f t="array" ref="D5">INDEX(Calc_Dates!$C$2:$C$37,C5)</f>
        <v>45351</v>
      </c>
      <c r="E5" cm="1">
        <f t="array" ref="E5">INDEX(Calc_Month!$C$2:$C$37,C5)</f>
        <v>8126.5</v>
      </c>
      <c r="F5">
        <f>SUMIFS(Data!$E$2:$E$5761,Data!$B$2:$B$5761,C5)/20</f>
        <v>15801.36000000001</v>
      </c>
      <c r="G5">
        <f>SUMIFS(Data!$E$2:$E$5761,Data!$I$2:$I$5761,Control!$B$8,Data!$B$2:$B$5761,C5)/COUNTIF(Banks!$C$2:$C$21,Control!$B$8)</f>
        <v>15651.649999999996</v>
      </c>
      <c r="H5">
        <f t="shared" ref="H5:H16" si="0">E5-F5</f>
        <v>-7674.8600000000097</v>
      </c>
      <c r="I5">
        <f t="shared" ref="I5:I16" si="1">IFERROR(H5/F5,0)</f>
        <v>-0.48570882506315943</v>
      </c>
      <c r="J5">
        <f t="shared" ref="J5:J16" si="2">ROUND(E5/$E$5*100,1)</f>
        <v>100</v>
      </c>
    </row>
    <row r="6" spans="2:11" x14ac:dyDescent="0.25">
      <c r="C6">
        <f>Control!$B$3-12+ROW()-4</f>
        <v>3</v>
      </c>
      <c r="D6" s="1" cm="1">
        <f t="array" ref="D6">INDEX(Calc_Dates!$C$2:$C$37,C6)</f>
        <v>45382</v>
      </c>
      <c r="E6" cm="1">
        <f t="array" ref="E6">INDEX(Calc_Month!$C$2:$C$37,C6)</f>
        <v>8163.5</v>
      </c>
      <c r="F6">
        <f>SUMIFS(Data!$E$2:$E$5761,Data!$B$2:$B$5761,C6)/20</f>
        <v>15910.63</v>
      </c>
      <c r="G6">
        <f>SUMIFS(Data!$E$2:$E$5761,Data!$I$2:$I$5761,Control!$B$8,Data!$B$2:$B$5761,C6)/COUNTIF(Banks!$C$2:$C$21,Control!$B$8)</f>
        <v>15760.349999999999</v>
      </c>
      <c r="H6">
        <f t="shared" si="0"/>
        <v>-7747.1299999999992</v>
      </c>
      <c r="I6">
        <f t="shared" si="1"/>
        <v>-0.48691535156056043</v>
      </c>
      <c r="J6">
        <f t="shared" si="2"/>
        <v>100.5</v>
      </c>
    </row>
    <row r="7" spans="2:11" x14ac:dyDescent="0.25">
      <c r="C7">
        <f>Control!$B$3-12+ROW()-4</f>
        <v>4</v>
      </c>
      <c r="D7" s="1" cm="1">
        <f t="array" ref="D7">INDEX(Calc_Dates!$C$2:$C$37,C7)</f>
        <v>45412</v>
      </c>
      <c r="E7" cm="1">
        <f t="array" ref="E7">INDEX(Calc_Month!$C$2:$C$37,C7)</f>
        <v>8209.7000000000007</v>
      </c>
      <c r="F7">
        <f>SUMIFS(Data!$E$2:$E$5761,Data!$B$2:$B$5761,C7)/20</f>
        <v>16051.024999999991</v>
      </c>
      <c r="G7">
        <f>SUMIFS(Data!$E$2:$E$5761,Data!$I$2:$I$5761,Control!$B$8,Data!$B$2:$B$5761,C7)/COUNTIF(Banks!$C$2:$C$21,Control!$B$8)</f>
        <v>15877.333333333336</v>
      </c>
      <c r="H7">
        <f t="shared" si="0"/>
        <v>-7841.3249999999898</v>
      </c>
      <c r="I7">
        <f t="shared" si="1"/>
        <v>-0.48852487613719336</v>
      </c>
      <c r="J7">
        <f t="shared" si="2"/>
        <v>101</v>
      </c>
    </row>
    <row r="8" spans="2:11" x14ac:dyDescent="0.25">
      <c r="C8">
        <f>Control!$B$3-12+ROW()-4</f>
        <v>5</v>
      </c>
      <c r="D8" s="1" cm="1">
        <f t="array" ref="D8">INDEX(Calc_Dates!$C$2:$C$37,C8)</f>
        <v>45443</v>
      </c>
      <c r="E8" cm="1">
        <f t="array" ref="E8">INDEX(Calc_Month!$C$2:$C$37,C8)</f>
        <v>8325.2000000000007</v>
      </c>
      <c r="F8">
        <f>SUMIFS(Data!$E$2:$E$5761,Data!$B$2:$B$5761,C8)/20</f>
        <v>16191.954999999996</v>
      </c>
      <c r="G8">
        <f>SUMIFS(Data!$E$2:$E$5761,Data!$I$2:$I$5761,Control!$B$8,Data!$B$2:$B$5761,C8)/COUNTIF(Banks!$C$2:$C$21,Control!$B$8)</f>
        <v>15964.41666666667</v>
      </c>
      <c r="H8">
        <f t="shared" si="0"/>
        <v>-7866.7549999999956</v>
      </c>
      <c r="I8">
        <f t="shared" si="1"/>
        <v>-0.4858434327417534</v>
      </c>
      <c r="J8">
        <f t="shared" si="2"/>
        <v>102.4</v>
      </c>
    </row>
    <row r="9" spans="2:11" x14ac:dyDescent="0.25">
      <c r="C9">
        <f>Control!$B$3-12+ROW()-4</f>
        <v>6</v>
      </c>
      <c r="D9" s="1" cm="1">
        <f t="array" ref="D9">INDEX(Calc_Dates!$C$2:$C$37,C9)</f>
        <v>45473</v>
      </c>
      <c r="E9" cm="1">
        <f t="array" ref="E9">INDEX(Calc_Month!$C$2:$C$37,C9)</f>
        <v>8343.2999999999993</v>
      </c>
      <c r="F9">
        <f>SUMIFS(Data!$E$2:$E$5761,Data!$B$2:$B$5761,C9)/20</f>
        <v>16311.360000000004</v>
      </c>
      <c r="G9">
        <f>SUMIFS(Data!$E$2:$E$5761,Data!$I$2:$I$5761,Control!$B$8,Data!$B$2:$B$5761,C9)/COUNTIF(Banks!$C$2:$C$21,Control!$B$8)</f>
        <v>16121.266666666665</v>
      </c>
      <c r="H9">
        <f t="shared" si="0"/>
        <v>-7968.0600000000049</v>
      </c>
      <c r="I9">
        <f t="shared" si="1"/>
        <v>-0.48849758695780138</v>
      </c>
      <c r="J9">
        <f t="shared" si="2"/>
        <v>102.7</v>
      </c>
    </row>
    <row r="10" spans="2:11" x14ac:dyDescent="0.25">
      <c r="C10">
        <f>Control!$B$3-12+ROW()-4</f>
        <v>7</v>
      </c>
      <c r="D10" s="1" cm="1">
        <f t="array" ref="D10">INDEX(Calc_Dates!$C$2:$C$37,C10)</f>
        <v>45504</v>
      </c>
      <c r="E10" cm="1">
        <f t="array" ref="E10">INDEX(Calc_Month!$C$2:$C$37,C10)</f>
        <v>8405</v>
      </c>
      <c r="F10">
        <f>SUMIFS(Data!$E$2:$E$5761,Data!$B$2:$B$5761,C10)/20</f>
        <v>16422.584999999999</v>
      </c>
      <c r="G10">
        <f>SUMIFS(Data!$E$2:$E$5761,Data!$I$2:$I$5761,Control!$B$8,Data!$B$2:$B$5761,C10)/COUNTIF(Banks!$C$2:$C$21,Control!$B$8)</f>
        <v>16266.416666666672</v>
      </c>
      <c r="H10">
        <f t="shared" si="0"/>
        <v>-8017.5849999999991</v>
      </c>
      <c r="I10">
        <f t="shared" si="1"/>
        <v>-0.48820481063121302</v>
      </c>
      <c r="J10">
        <f t="shared" si="2"/>
        <v>103.4</v>
      </c>
    </row>
    <row r="11" spans="2:11" x14ac:dyDescent="0.25">
      <c r="C11">
        <f>Control!$B$3-12+ROW()-4</f>
        <v>8</v>
      </c>
      <c r="D11" s="1" cm="1">
        <f t="array" ref="D11">INDEX(Calc_Dates!$C$2:$C$37,C11)</f>
        <v>45535</v>
      </c>
      <c r="E11" cm="1">
        <f t="array" ref="E11">INDEX(Calc_Month!$C$2:$C$37,C11)</f>
        <v>8440.6</v>
      </c>
      <c r="F11">
        <f>SUMIFS(Data!$E$2:$E$5761,Data!$B$2:$B$5761,C11)/20</f>
        <v>16542.970000000005</v>
      </c>
      <c r="G11">
        <f>SUMIFS(Data!$E$2:$E$5761,Data!$I$2:$I$5761,Control!$B$8,Data!$B$2:$B$5761,C11)/COUNTIF(Banks!$C$2:$C$21,Control!$B$8)</f>
        <v>16357.749999999998</v>
      </c>
      <c r="H11">
        <f t="shared" si="0"/>
        <v>-8102.3700000000044</v>
      </c>
      <c r="I11">
        <f t="shared" si="1"/>
        <v>-0.48977722863548701</v>
      </c>
      <c r="J11">
        <f t="shared" si="2"/>
        <v>103.9</v>
      </c>
    </row>
    <row r="12" spans="2:11" x14ac:dyDescent="0.25">
      <c r="C12">
        <f>Control!$B$3-12+ROW()-4</f>
        <v>9</v>
      </c>
      <c r="D12" s="1" cm="1">
        <f t="array" ref="D12">INDEX(Calc_Dates!$C$2:$C$37,C12)</f>
        <v>45565</v>
      </c>
      <c r="E12" cm="1">
        <f t="array" ref="E12">INDEX(Calc_Month!$C$2:$C$37,C12)</f>
        <v>8499.6</v>
      </c>
      <c r="F12">
        <f>SUMIFS(Data!$E$2:$E$5761,Data!$B$2:$B$5761,C12)/20</f>
        <v>16693.46000000001</v>
      </c>
      <c r="G12">
        <f>SUMIFS(Data!$E$2:$E$5761,Data!$I$2:$I$5761,Control!$B$8,Data!$B$2:$B$5761,C12)/COUNTIF(Banks!$C$2:$C$21,Control!$B$8)</f>
        <v>16518.333333333328</v>
      </c>
      <c r="H12">
        <f t="shared" si="0"/>
        <v>-8193.8600000000097</v>
      </c>
      <c r="I12">
        <f t="shared" si="1"/>
        <v>-0.49084252156233665</v>
      </c>
      <c r="J12">
        <f t="shared" si="2"/>
        <v>104.6</v>
      </c>
    </row>
    <row r="13" spans="2:11" x14ac:dyDescent="0.25">
      <c r="C13">
        <f>Control!$B$3-12+ROW()-4</f>
        <v>10</v>
      </c>
      <c r="D13" s="1" cm="1">
        <f t="array" ref="D13">INDEX(Calc_Dates!$C$2:$C$37,C13)</f>
        <v>45596</v>
      </c>
      <c r="E13" cm="1">
        <f t="array" ref="E13">INDEX(Calc_Month!$C$2:$C$37,C13)</f>
        <v>8590.6</v>
      </c>
      <c r="F13">
        <f>SUMIFS(Data!$E$2:$E$5761,Data!$B$2:$B$5761,C13)/20</f>
        <v>16786.374999999993</v>
      </c>
      <c r="G13">
        <f>SUMIFS(Data!$E$2:$E$5761,Data!$I$2:$I$5761,Control!$B$8,Data!$B$2:$B$5761,C13)/COUNTIF(Banks!$C$2:$C$21,Control!$B$8)</f>
        <v>16605.650000000005</v>
      </c>
      <c r="H13">
        <f t="shared" si="0"/>
        <v>-8195.7749999999924</v>
      </c>
      <c r="I13">
        <f t="shared" si="1"/>
        <v>-0.48823971822385692</v>
      </c>
      <c r="J13">
        <f t="shared" si="2"/>
        <v>105.7</v>
      </c>
    </row>
    <row r="14" spans="2:11" x14ac:dyDescent="0.25">
      <c r="C14">
        <f>Control!$B$3-12+ROW()-4</f>
        <v>11</v>
      </c>
      <c r="D14" s="1" cm="1">
        <f t="array" ref="D14">INDEX(Calc_Dates!$C$2:$C$37,C14)</f>
        <v>45626</v>
      </c>
      <c r="E14" cm="1">
        <f t="array" ref="E14">INDEX(Calc_Month!$C$2:$C$37,C14)</f>
        <v>8644.8999999999978</v>
      </c>
      <c r="F14">
        <f>SUMIFS(Data!$E$2:$E$5761,Data!$B$2:$B$5761,C14)/20</f>
        <v>16927.159999999996</v>
      </c>
      <c r="G14">
        <f>SUMIFS(Data!$E$2:$E$5761,Data!$I$2:$I$5761,Control!$B$8,Data!$B$2:$B$5761,C14)/COUNTIF(Banks!$C$2:$C$21,Control!$B$8)</f>
        <v>16742.366666666665</v>
      </c>
      <c r="H14">
        <f t="shared" si="0"/>
        <v>-8282.2599999999984</v>
      </c>
      <c r="I14">
        <f t="shared" si="1"/>
        <v>-0.48928822082381218</v>
      </c>
      <c r="J14">
        <f t="shared" si="2"/>
        <v>106.4</v>
      </c>
    </row>
    <row r="15" spans="2:11" x14ac:dyDescent="0.25">
      <c r="C15">
        <f>Control!$B$3-12+ROW()-4</f>
        <v>12</v>
      </c>
      <c r="D15" s="1" cm="1">
        <f t="array" ref="D15">INDEX(Calc_Dates!$C$2:$C$37,C15)</f>
        <v>45657</v>
      </c>
      <c r="E15" cm="1">
        <f t="array" ref="E15">INDEX(Calc_Month!$C$2:$C$37,C15)</f>
        <v>8718.7000000000007</v>
      </c>
      <c r="F15">
        <f>SUMIFS(Data!$E$2:$E$5761,Data!$B$2:$B$5761,C15)/20</f>
        <v>17042.475000000006</v>
      </c>
      <c r="G15">
        <f>SUMIFS(Data!$E$2:$E$5761,Data!$I$2:$I$5761,Control!$B$8,Data!$B$2:$B$5761,C15)/COUNTIF(Banks!$C$2:$C$21,Control!$B$8)</f>
        <v>16840.433333333334</v>
      </c>
      <c r="H15">
        <f t="shared" si="0"/>
        <v>-8323.7750000000051</v>
      </c>
      <c r="I15">
        <f t="shared" si="1"/>
        <v>-0.48841350801453443</v>
      </c>
      <c r="J15">
        <f t="shared" si="2"/>
        <v>107.3</v>
      </c>
    </row>
    <row r="16" spans="2:11" x14ac:dyDescent="0.25">
      <c r="C16">
        <f>Control!$B$3-12+ROW()-4</f>
        <v>13</v>
      </c>
      <c r="D16" s="1" cm="1">
        <f t="array" ref="D16">INDEX(Calc_Dates!$C$2:$C$37,C16)</f>
        <v>45688</v>
      </c>
      <c r="E16" cm="1">
        <f t="array" ref="E16">INDEX(Calc_Month!$C$2:$C$37,C16)</f>
        <v>8739.0999999999985</v>
      </c>
      <c r="F16">
        <f>SUMIFS(Data!$E$2:$E$5761,Data!$B$2:$B$5761,C16)/20</f>
        <v>17178.009999999995</v>
      </c>
      <c r="G16">
        <f>SUMIFS(Data!$E$2:$E$5761,Data!$I$2:$I$5761,Control!$B$8,Data!$B$2:$B$5761,C16)/COUNTIF(Banks!$C$2:$C$21,Control!$B$8)</f>
        <v>16967.883333333331</v>
      </c>
      <c r="H16">
        <f t="shared" si="0"/>
        <v>-8438.9099999999962</v>
      </c>
      <c r="I16">
        <f t="shared" si="1"/>
        <v>-0.49126237556038205</v>
      </c>
      <c r="J16">
        <f t="shared" si="2"/>
        <v>107.5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2</v>
      </c>
      <c r="D5" s="1" cm="1">
        <f t="array" ref="D5">INDEX(Calc_Dates!$C$2:$C$37,C5)</f>
        <v>45351</v>
      </c>
      <c r="E5" cm="1">
        <f t="array" ref="E5">INDEX(Calc_Month!$D$2:$D$37,C5)</f>
        <v>440.85999999999996</v>
      </c>
      <c r="F5">
        <f>SUMIFS(Data!$F$2:$F$5761,Data!$B$2:$B$5761,C5)/20</f>
        <v>852.65599999999995</v>
      </c>
      <c r="G5">
        <f>SUMIFS(Data!$F$2:$F$5761,Data!$I$2:$I$5761,Control!$B$8,Data!$B$2:$B$5761,C5)/COUNTIF(Banks!$C$2:$C$21,Control!$B$8)</f>
        <v>844.98333333333323</v>
      </c>
      <c r="H5">
        <f t="shared" ref="H5:H16" si="0">E5-F5</f>
        <v>-411.79599999999999</v>
      </c>
      <c r="I5">
        <f t="shared" ref="I5:I16" si="1">IFERROR(H5/F5,0)</f>
        <v>-0.48295678444765533</v>
      </c>
      <c r="J5">
        <f t="shared" ref="J5:J16" si="2">ROUND(E5/$E$5*100,1)</f>
        <v>100</v>
      </c>
    </row>
    <row r="6" spans="2:11" x14ac:dyDescent="0.25">
      <c r="C6">
        <f>Control!$B$3-12+ROW()-4</f>
        <v>3</v>
      </c>
      <c r="D6" s="1" cm="1">
        <f t="array" ref="D6">INDEX(Calc_Dates!$C$2:$C$37,C6)</f>
        <v>45382</v>
      </c>
      <c r="E6" cm="1">
        <f t="array" ref="E6">INDEX(Calc_Month!$D$2:$D$37,C6)</f>
        <v>443.09000000000003</v>
      </c>
      <c r="F6">
        <f>SUMIFS(Data!$F$2:$F$5761,Data!$B$2:$B$5761,C6)/20</f>
        <v>858.40300000000025</v>
      </c>
      <c r="G6">
        <f>SUMIFS(Data!$F$2:$F$5761,Data!$I$2:$I$5761,Control!$B$8,Data!$B$2:$B$5761,C6)/COUNTIF(Banks!$C$2:$C$21,Control!$B$8)</f>
        <v>850.36333333333312</v>
      </c>
      <c r="H6">
        <f t="shared" si="0"/>
        <v>-415.31300000000022</v>
      </c>
      <c r="I6">
        <f t="shared" si="1"/>
        <v>-0.48382053650791074</v>
      </c>
      <c r="J6">
        <f t="shared" si="2"/>
        <v>100.5</v>
      </c>
    </row>
    <row r="7" spans="2:11" x14ac:dyDescent="0.25">
      <c r="C7">
        <f>Control!$B$3-12+ROW()-4</f>
        <v>4</v>
      </c>
      <c r="D7" s="1" cm="1">
        <f t="array" ref="D7">INDEX(Calc_Dates!$C$2:$C$37,C7)</f>
        <v>45412</v>
      </c>
      <c r="E7" cm="1">
        <f t="array" ref="E7">INDEX(Calc_Month!$D$2:$D$37,C7)</f>
        <v>444.15</v>
      </c>
      <c r="F7">
        <f>SUMIFS(Data!$F$2:$F$5761,Data!$B$2:$B$5761,C7)/20</f>
        <v>866.05199999999991</v>
      </c>
      <c r="G7">
        <f>SUMIFS(Data!$F$2:$F$5761,Data!$I$2:$I$5761,Control!$B$8,Data!$B$2:$B$5761,C7)/COUNTIF(Banks!$C$2:$C$21,Control!$B$8)</f>
        <v>856.86999999999989</v>
      </c>
      <c r="H7">
        <f t="shared" si="0"/>
        <v>-421.90199999999993</v>
      </c>
      <c r="I7">
        <f t="shared" si="1"/>
        <v>-0.48715550567402416</v>
      </c>
      <c r="J7">
        <f t="shared" si="2"/>
        <v>100.7</v>
      </c>
    </row>
    <row r="8" spans="2:11" x14ac:dyDescent="0.25">
      <c r="C8">
        <f>Control!$B$3-12+ROW()-4</f>
        <v>5</v>
      </c>
      <c r="D8" s="1" cm="1">
        <f t="array" ref="D8">INDEX(Calc_Dates!$C$2:$C$37,C8)</f>
        <v>45443</v>
      </c>
      <c r="E8" cm="1">
        <f t="array" ref="E8">INDEX(Calc_Month!$D$2:$D$37,C8)</f>
        <v>451.45</v>
      </c>
      <c r="F8">
        <f>SUMIFS(Data!$F$2:$F$5761,Data!$B$2:$B$5761,C8)/20</f>
        <v>873.5440000000001</v>
      </c>
      <c r="G8">
        <f>SUMIFS(Data!$F$2:$F$5761,Data!$I$2:$I$5761,Control!$B$8,Data!$B$2:$B$5761,C8)/COUNTIF(Banks!$C$2:$C$21,Control!$B$8)</f>
        <v>861.63666666666666</v>
      </c>
      <c r="H8">
        <f t="shared" si="0"/>
        <v>-422.09400000000011</v>
      </c>
      <c r="I8">
        <f t="shared" si="1"/>
        <v>-0.48319718296960434</v>
      </c>
      <c r="J8">
        <f t="shared" si="2"/>
        <v>102.4</v>
      </c>
    </row>
    <row r="9" spans="2:11" x14ac:dyDescent="0.25">
      <c r="C9">
        <f>Control!$B$3-12+ROW()-4</f>
        <v>6</v>
      </c>
      <c r="D9" s="1" cm="1">
        <f t="array" ref="D9">INDEX(Calc_Dates!$C$2:$C$37,C9)</f>
        <v>45473</v>
      </c>
      <c r="E9" cm="1">
        <f t="array" ref="E9">INDEX(Calc_Month!$D$2:$D$37,C9)</f>
        <v>451.67000000000007</v>
      </c>
      <c r="F9">
        <f>SUMIFS(Data!$F$2:$F$5761,Data!$B$2:$B$5761,C9)/20</f>
        <v>879.7349999999999</v>
      </c>
      <c r="G9">
        <f>SUMIFS(Data!$F$2:$F$5761,Data!$I$2:$I$5761,Control!$B$8,Data!$B$2:$B$5761,C9)/COUNTIF(Banks!$C$2:$C$21,Control!$B$8)</f>
        <v>869.95666666666648</v>
      </c>
      <c r="H9">
        <f t="shared" si="0"/>
        <v>-428.06499999999983</v>
      </c>
      <c r="I9">
        <f t="shared" si="1"/>
        <v>-0.48658402814483892</v>
      </c>
      <c r="J9">
        <f t="shared" si="2"/>
        <v>102.5</v>
      </c>
    </row>
    <row r="10" spans="2:11" x14ac:dyDescent="0.25">
      <c r="C10">
        <f>Control!$B$3-12+ROW()-4</f>
        <v>7</v>
      </c>
      <c r="D10" s="1" cm="1">
        <f t="array" ref="D10">INDEX(Calc_Dates!$C$2:$C$37,C10)</f>
        <v>45504</v>
      </c>
      <c r="E10" cm="1">
        <f t="array" ref="E10">INDEX(Calc_Month!$D$2:$D$37,C10)</f>
        <v>455.92000000000007</v>
      </c>
      <c r="F10">
        <f>SUMIFS(Data!$F$2:$F$5761,Data!$B$2:$B$5761,C10)/20</f>
        <v>885.98700000000031</v>
      </c>
      <c r="G10">
        <f>SUMIFS(Data!$F$2:$F$5761,Data!$I$2:$I$5761,Control!$B$8,Data!$B$2:$B$5761,C10)/COUNTIF(Banks!$C$2:$C$21,Control!$B$8)</f>
        <v>877.56500000000005</v>
      </c>
      <c r="H10">
        <f t="shared" si="0"/>
        <v>-430.06700000000023</v>
      </c>
      <c r="I10">
        <f t="shared" si="1"/>
        <v>-0.48541005680670268</v>
      </c>
      <c r="J10">
        <f t="shared" si="2"/>
        <v>103.4</v>
      </c>
    </row>
    <row r="11" spans="2:11" x14ac:dyDescent="0.25">
      <c r="C11">
        <f>Control!$B$3-12+ROW()-4</f>
        <v>8</v>
      </c>
      <c r="D11" s="1" cm="1">
        <f t="array" ref="D11">INDEX(Calc_Dates!$C$2:$C$37,C11)</f>
        <v>45535</v>
      </c>
      <c r="E11" cm="1">
        <f t="array" ref="E11">INDEX(Calc_Month!$D$2:$D$37,C11)</f>
        <v>457.53</v>
      </c>
      <c r="F11">
        <f>SUMIFS(Data!$F$2:$F$5761,Data!$B$2:$B$5761,C11)/20</f>
        <v>892.35349999999994</v>
      </c>
      <c r="G11">
        <f>SUMIFS(Data!$F$2:$F$5761,Data!$I$2:$I$5761,Control!$B$8,Data!$B$2:$B$5761,C11)/COUNTIF(Banks!$C$2:$C$21,Control!$B$8)</f>
        <v>882.4083333333333</v>
      </c>
      <c r="H11">
        <f t="shared" si="0"/>
        <v>-434.82349999999997</v>
      </c>
      <c r="I11">
        <f t="shared" si="1"/>
        <v>-0.48727718331356351</v>
      </c>
      <c r="J11">
        <f t="shared" si="2"/>
        <v>103.8</v>
      </c>
    </row>
    <row r="12" spans="2:11" x14ac:dyDescent="0.25">
      <c r="C12">
        <f>Control!$B$3-12+ROW()-4</f>
        <v>9</v>
      </c>
      <c r="D12" s="1" cm="1">
        <f t="array" ref="D12">INDEX(Calc_Dates!$C$2:$C$37,C12)</f>
        <v>45565</v>
      </c>
      <c r="E12" cm="1">
        <f t="array" ref="E12">INDEX(Calc_Month!$D$2:$D$37,C12)</f>
        <v>458.83999999999992</v>
      </c>
      <c r="F12">
        <f>SUMIFS(Data!$F$2:$F$5761,Data!$B$2:$B$5761,C12)/20</f>
        <v>900.25100000000043</v>
      </c>
      <c r="G12">
        <f>SUMIFS(Data!$F$2:$F$5761,Data!$I$2:$I$5761,Control!$B$8,Data!$B$2:$B$5761,C12)/COUNTIF(Banks!$C$2:$C$21,Control!$B$8)</f>
        <v>890.39166666666654</v>
      </c>
      <c r="H12">
        <f t="shared" si="0"/>
        <v>-441.41100000000051</v>
      </c>
      <c r="I12">
        <f t="shared" si="1"/>
        <v>-0.49031992188845147</v>
      </c>
      <c r="J12">
        <f t="shared" si="2"/>
        <v>104.1</v>
      </c>
    </row>
    <row r="13" spans="2:11" x14ac:dyDescent="0.25">
      <c r="C13">
        <f>Control!$B$3-12+ROW()-4</f>
        <v>10</v>
      </c>
      <c r="D13" s="1" cm="1">
        <f t="array" ref="D13">INDEX(Calc_Dates!$C$2:$C$37,C13)</f>
        <v>45596</v>
      </c>
      <c r="E13" cm="1">
        <f t="array" ref="E13">INDEX(Calc_Month!$D$2:$D$37,C13)</f>
        <v>465</v>
      </c>
      <c r="F13">
        <f>SUMIFS(Data!$F$2:$F$5761,Data!$B$2:$B$5761,C13)/20</f>
        <v>905.24250000000006</v>
      </c>
      <c r="G13">
        <f>SUMIFS(Data!$F$2:$F$5761,Data!$I$2:$I$5761,Control!$B$8,Data!$B$2:$B$5761,C13)/COUNTIF(Banks!$C$2:$C$21,Control!$B$8)</f>
        <v>895.875</v>
      </c>
      <c r="H13">
        <f t="shared" si="0"/>
        <v>-440.24250000000006</v>
      </c>
      <c r="I13">
        <f t="shared" si="1"/>
        <v>-0.48632548736940656</v>
      </c>
      <c r="J13">
        <f t="shared" si="2"/>
        <v>105.5</v>
      </c>
    </row>
    <row r="14" spans="2:11" x14ac:dyDescent="0.25">
      <c r="C14">
        <f>Control!$B$3-12+ROW()-4</f>
        <v>11</v>
      </c>
      <c r="D14" s="1" cm="1">
        <f t="array" ref="D14">INDEX(Calc_Dates!$C$2:$C$37,C14)</f>
        <v>45626</v>
      </c>
      <c r="E14" cm="1">
        <f t="array" ref="E14">INDEX(Calc_Month!$D$2:$D$37,C14)</f>
        <v>468.26</v>
      </c>
      <c r="F14">
        <f>SUMIFS(Data!$F$2:$F$5761,Data!$B$2:$B$5761,C14)/20</f>
        <v>913.05099999999982</v>
      </c>
      <c r="G14">
        <f>SUMIFS(Data!$F$2:$F$5761,Data!$I$2:$I$5761,Control!$B$8,Data!$B$2:$B$5761,C14)/COUNTIF(Banks!$C$2:$C$21,Control!$B$8)</f>
        <v>903.01499999999987</v>
      </c>
      <c r="H14">
        <f t="shared" si="0"/>
        <v>-444.79099999999983</v>
      </c>
      <c r="I14">
        <f t="shared" si="1"/>
        <v>-0.48714803444714472</v>
      </c>
      <c r="J14">
        <f t="shared" si="2"/>
        <v>106.2</v>
      </c>
    </row>
    <row r="15" spans="2:11" x14ac:dyDescent="0.25">
      <c r="C15">
        <f>Control!$B$3-12+ROW()-4</f>
        <v>12</v>
      </c>
      <c r="D15" s="1" cm="1">
        <f t="array" ref="D15">INDEX(Calc_Dates!$C$2:$C$37,C15)</f>
        <v>45657</v>
      </c>
      <c r="E15" cm="1">
        <f t="array" ref="E15">INDEX(Calc_Month!$D$2:$D$37,C15)</f>
        <v>472.51</v>
      </c>
      <c r="F15">
        <f>SUMIFS(Data!$F$2:$F$5761,Data!$B$2:$B$5761,C15)/20</f>
        <v>919.29099999999983</v>
      </c>
      <c r="G15">
        <f>SUMIFS(Data!$F$2:$F$5761,Data!$I$2:$I$5761,Control!$B$8,Data!$B$2:$B$5761,C15)/COUNTIF(Banks!$C$2:$C$21,Control!$B$8)</f>
        <v>908.56833333333327</v>
      </c>
      <c r="H15">
        <f t="shared" si="0"/>
        <v>-446.78099999999984</v>
      </c>
      <c r="I15">
        <f t="shared" si="1"/>
        <v>-0.48600606336840013</v>
      </c>
      <c r="J15">
        <f t="shared" si="2"/>
        <v>107.2</v>
      </c>
    </row>
    <row r="16" spans="2:11" x14ac:dyDescent="0.25">
      <c r="C16">
        <f>Control!$B$3-12+ROW()-4</f>
        <v>13</v>
      </c>
      <c r="D16" s="1" cm="1">
        <f t="array" ref="D16">INDEX(Calc_Dates!$C$2:$C$37,C16)</f>
        <v>45688</v>
      </c>
      <c r="E16" cm="1">
        <f t="array" ref="E16">INDEX(Calc_Month!$D$2:$D$37,C16)</f>
        <v>472.04</v>
      </c>
      <c r="F16">
        <f>SUMIFS(Data!$F$2:$F$5761,Data!$B$2:$B$5761,C16)/20</f>
        <v>926.52149999999983</v>
      </c>
      <c r="G16">
        <f>SUMIFS(Data!$F$2:$F$5761,Data!$I$2:$I$5761,Control!$B$8,Data!$B$2:$B$5761,C16)/COUNTIF(Banks!$C$2:$C$21,Control!$B$8)</f>
        <v>915.42999999999984</v>
      </c>
      <c r="H16">
        <f t="shared" si="0"/>
        <v>-454.48149999999981</v>
      </c>
      <c r="I16">
        <f t="shared" si="1"/>
        <v>-0.49052450482800442</v>
      </c>
      <c r="J16">
        <f t="shared" si="2"/>
        <v>107.1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2</v>
      </c>
      <c r="D5" s="1" cm="1">
        <f t="array" ref="D5">INDEX(Calc_Dates!$C$2:$C$37,C5)</f>
        <v>45351</v>
      </c>
      <c r="E5" cm="1">
        <f t="array" ref="E5">INDEX(Calc_Month!$E$2:$E$37,C5)</f>
        <v>266.66000000000003</v>
      </c>
      <c r="F5">
        <f>SUMIFS(Data!$G$2:$G$5761,Data!$B$2:$B$5761,C5)/20</f>
        <v>515.2360000000001</v>
      </c>
      <c r="G5">
        <f>SUMIFS(Data!$G$2:$G$5761,Data!$I$2:$I$5761,Control!$B$8,Data!$B$2:$B$5761,C5)/COUNTIF(Banks!$C$2:$C$21,Control!$B$8)</f>
        <v>510.27333333333348</v>
      </c>
      <c r="H5">
        <f t="shared" ref="H5:H16" si="0">E5-F5</f>
        <v>-248.57600000000008</v>
      </c>
      <c r="I5">
        <f t="shared" ref="I5:I16" si="1">IFERROR(H5/F5,0)</f>
        <v>-0.48245076042823098</v>
      </c>
      <c r="J5">
        <f t="shared" ref="J5:J16" si="2">ROUND(E5/$E$5*100,1)</f>
        <v>100</v>
      </c>
    </row>
    <row r="6" spans="2:11" x14ac:dyDescent="0.25">
      <c r="C6">
        <f>Control!$B$3-12+ROW()-4</f>
        <v>3</v>
      </c>
      <c r="D6" s="1" cm="1">
        <f t="array" ref="D6">INDEX(Calc_Dates!$C$2:$C$37,C6)</f>
        <v>45382</v>
      </c>
      <c r="E6" cm="1">
        <f t="array" ref="E6">INDEX(Calc_Month!$E$2:$E$37,C6)</f>
        <v>268.35999999999996</v>
      </c>
      <c r="F6">
        <f>SUMIFS(Data!$G$2:$G$5761,Data!$B$2:$B$5761,C6)/20</f>
        <v>518.77750000000003</v>
      </c>
      <c r="G6">
        <f>SUMIFS(Data!$G$2:$G$5761,Data!$I$2:$I$5761,Control!$B$8,Data!$B$2:$B$5761,C6)/COUNTIF(Banks!$C$2:$C$21,Control!$B$8)</f>
        <v>513.89166666666665</v>
      </c>
      <c r="H6">
        <f t="shared" si="0"/>
        <v>-250.41750000000008</v>
      </c>
      <c r="I6">
        <f t="shared" si="1"/>
        <v>-0.48270694083687143</v>
      </c>
      <c r="J6">
        <f t="shared" si="2"/>
        <v>100.6</v>
      </c>
    </row>
    <row r="7" spans="2:11" x14ac:dyDescent="0.25">
      <c r="C7">
        <f>Control!$B$3-12+ROW()-4</f>
        <v>4</v>
      </c>
      <c r="D7" s="1" cm="1">
        <f t="array" ref="D7">INDEX(Calc_Dates!$C$2:$C$37,C7)</f>
        <v>45412</v>
      </c>
      <c r="E7" cm="1">
        <f t="array" ref="E7">INDEX(Calc_Month!$E$2:$E$37,C7)</f>
        <v>268.62</v>
      </c>
      <c r="F7">
        <f>SUMIFS(Data!$G$2:$G$5761,Data!$B$2:$B$5761,C7)/20</f>
        <v>523.42849999999999</v>
      </c>
      <c r="G7">
        <f>SUMIFS(Data!$G$2:$G$5761,Data!$I$2:$I$5761,Control!$B$8,Data!$B$2:$B$5761,C7)/COUNTIF(Banks!$C$2:$C$21,Control!$B$8)</f>
        <v>517.64499999999987</v>
      </c>
      <c r="H7">
        <f t="shared" si="0"/>
        <v>-254.80849999999998</v>
      </c>
      <c r="I7">
        <f t="shared" si="1"/>
        <v>-0.48680669852711494</v>
      </c>
      <c r="J7">
        <f t="shared" si="2"/>
        <v>100.7</v>
      </c>
    </row>
    <row r="8" spans="2:11" x14ac:dyDescent="0.25">
      <c r="C8">
        <f>Control!$B$3-12+ROW()-4</f>
        <v>5</v>
      </c>
      <c r="D8" s="1" cm="1">
        <f t="array" ref="D8">INDEX(Calc_Dates!$C$2:$C$37,C8)</f>
        <v>45443</v>
      </c>
      <c r="E8" cm="1">
        <f t="array" ref="E8">INDEX(Calc_Month!$E$2:$E$37,C8)</f>
        <v>271.5</v>
      </c>
      <c r="F8">
        <f>SUMIFS(Data!$G$2:$G$5761,Data!$B$2:$B$5761,C8)/20</f>
        <v>527.75400000000002</v>
      </c>
      <c r="G8">
        <f>SUMIFS(Data!$G$2:$G$5761,Data!$I$2:$I$5761,Control!$B$8,Data!$B$2:$B$5761,C8)/COUNTIF(Banks!$C$2:$C$21,Control!$B$8)</f>
        <v>520.19166666666661</v>
      </c>
      <c r="H8">
        <f t="shared" si="0"/>
        <v>-256.25400000000002</v>
      </c>
      <c r="I8">
        <f t="shared" si="1"/>
        <v>-0.48555577030207259</v>
      </c>
      <c r="J8">
        <f t="shared" si="2"/>
        <v>101.8</v>
      </c>
    </row>
    <row r="9" spans="2:11" x14ac:dyDescent="0.25">
      <c r="C9">
        <f>Control!$B$3-12+ROW()-4</f>
        <v>6</v>
      </c>
      <c r="D9" s="1" cm="1">
        <f t="array" ref="D9">INDEX(Calc_Dates!$C$2:$C$37,C9)</f>
        <v>45473</v>
      </c>
      <c r="E9" cm="1">
        <f t="array" ref="E9">INDEX(Calc_Month!$E$2:$E$37,C9)</f>
        <v>275.01</v>
      </c>
      <c r="F9">
        <f>SUMIFS(Data!$G$2:$G$5761,Data!$B$2:$B$5761,C9)/20</f>
        <v>531.71699999999976</v>
      </c>
      <c r="G9">
        <f>SUMIFS(Data!$G$2:$G$5761,Data!$I$2:$I$5761,Control!$B$8,Data!$B$2:$B$5761,C9)/COUNTIF(Banks!$C$2:$C$21,Control!$B$8)</f>
        <v>525.7833333333333</v>
      </c>
      <c r="H9">
        <f t="shared" si="0"/>
        <v>-256.70699999999977</v>
      </c>
      <c r="I9">
        <f t="shared" si="1"/>
        <v>-0.48278877673649684</v>
      </c>
      <c r="J9">
        <f t="shared" si="2"/>
        <v>103.1</v>
      </c>
    </row>
    <row r="10" spans="2:11" x14ac:dyDescent="0.25">
      <c r="C10">
        <f>Control!$B$3-12+ROW()-4</f>
        <v>7</v>
      </c>
      <c r="D10" s="1" cm="1">
        <f t="array" ref="D10">INDEX(Calc_Dates!$C$2:$C$37,C10)</f>
        <v>45504</v>
      </c>
      <c r="E10" cm="1">
        <f t="array" ref="E10">INDEX(Calc_Month!$E$2:$E$37,C10)</f>
        <v>276.08999999999997</v>
      </c>
      <c r="F10">
        <f>SUMIFS(Data!$G$2:$G$5761,Data!$B$2:$B$5761,C10)/20</f>
        <v>535.61399999999981</v>
      </c>
      <c r="G10">
        <f>SUMIFS(Data!$G$2:$G$5761,Data!$I$2:$I$5761,Control!$B$8,Data!$B$2:$B$5761,C10)/COUNTIF(Banks!$C$2:$C$21,Control!$B$8)</f>
        <v>530.9</v>
      </c>
      <c r="H10">
        <f t="shared" si="0"/>
        <v>-259.52399999999983</v>
      </c>
      <c r="I10">
        <f t="shared" si="1"/>
        <v>-0.48453550504654458</v>
      </c>
      <c r="J10">
        <f t="shared" si="2"/>
        <v>103.5</v>
      </c>
    </row>
    <row r="11" spans="2:11" x14ac:dyDescent="0.25">
      <c r="C11">
        <f>Control!$B$3-12+ROW()-4</f>
        <v>8</v>
      </c>
      <c r="D11" s="1" cm="1">
        <f t="array" ref="D11">INDEX(Calc_Dates!$C$2:$C$37,C11)</f>
        <v>45535</v>
      </c>
      <c r="E11" cm="1">
        <f t="array" ref="E11">INDEX(Calc_Month!$E$2:$E$37,C11)</f>
        <v>276.42</v>
      </c>
      <c r="F11">
        <f>SUMIFS(Data!$G$2:$G$5761,Data!$B$2:$B$5761,C11)/20</f>
        <v>538.95249999999987</v>
      </c>
      <c r="G11">
        <f>SUMIFS(Data!$G$2:$G$5761,Data!$I$2:$I$5761,Control!$B$8,Data!$B$2:$B$5761,C11)/COUNTIF(Banks!$C$2:$C$21,Control!$B$8)</f>
        <v>532.54499999999996</v>
      </c>
      <c r="H11">
        <f t="shared" si="0"/>
        <v>-262.53249999999986</v>
      </c>
      <c r="I11">
        <f t="shared" si="1"/>
        <v>-0.48711621153997786</v>
      </c>
      <c r="J11">
        <f t="shared" si="2"/>
        <v>103.7</v>
      </c>
    </row>
    <row r="12" spans="2:11" x14ac:dyDescent="0.25">
      <c r="C12">
        <f>Control!$B$3-12+ROW()-4</f>
        <v>9</v>
      </c>
      <c r="D12" s="1" cm="1">
        <f t="array" ref="D12">INDEX(Calc_Dates!$C$2:$C$37,C12)</f>
        <v>45565</v>
      </c>
      <c r="E12" cm="1">
        <f t="array" ref="E12">INDEX(Calc_Month!$E$2:$E$37,C12)</f>
        <v>279.94</v>
      </c>
      <c r="F12">
        <f>SUMIFS(Data!$G$2:$G$5761,Data!$B$2:$B$5761,C12)/20</f>
        <v>544.07500000000005</v>
      </c>
      <c r="G12">
        <f>SUMIFS(Data!$G$2:$G$5761,Data!$I$2:$I$5761,Control!$B$8,Data!$B$2:$B$5761,C12)/COUNTIF(Banks!$C$2:$C$21,Control!$B$8)</f>
        <v>538.77833333333342</v>
      </c>
      <c r="H12">
        <f t="shared" si="0"/>
        <v>-264.13500000000005</v>
      </c>
      <c r="I12">
        <f t="shared" si="1"/>
        <v>-0.48547534806782155</v>
      </c>
      <c r="J12">
        <f t="shared" si="2"/>
        <v>105</v>
      </c>
    </row>
    <row r="13" spans="2:11" x14ac:dyDescent="0.25">
      <c r="C13">
        <f>Control!$B$3-12+ROW()-4</f>
        <v>10</v>
      </c>
      <c r="D13" s="1" cm="1">
        <f t="array" ref="D13">INDEX(Calc_Dates!$C$2:$C$37,C13)</f>
        <v>45596</v>
      </c>
      <c r="E13" cm="1">
        <f t="array" ref="E13">INDEX(Calc_Month!$E$2:$E$37,C13)</f>
        <v>281.33</v>
      </c>
      <c r="F13">
        <f>SUMIFS(Data!$G$2:$G$5761,Data!$B$2:$B$5761,C13)/20</f>
        <v>547.2254999999999</v>
      </c>
      <c r="G13">
        <f>SUMIFS(Data!$G$2:$G$5761,Data!$I$2:$I$5761,Control!$B$8,Data!$B$2:$B$5761,C13)/COUNTIF(Banks!$C$2:$C$21,Control!$B$8)</f>
        <v>541.65333333333353</v>
      </c>
      <c r="H13">
        <f t="shared" si="0"/>
        <v>-265.89549999999991</v>
      </c>
      <c r="I13">
        <f t="shared" si="1"/>
        <v>-0.48589749563936613</v>
      </c>
      <c r="J13">
        <f t="shared" si="2"/>
        <v>105.5</v>
      </c>
    </row>
    <row r="14" spans="2:11" x14ac:dyDescent="0.25">
      <c r="C14">
        <f>Control!$B$3-12+ROW()-4</f>
        <v>11</v>
      </c>
      <c r="D14" s="1" cm="1">
        <f t="array" ref="D14">INDEX(Calc_Dates!$C$2:$C$37,C14)</f>
        <v>45626</v>
      </c>
      <c r="E14" cm="1">
        <f t="array" ref="E14">INDEX(Calc_Month!$E$2:$E$37,C14)</f>
        <v>284.77</v>
      </c>
      <c r="F14">
        <f>SUMIFS(Data!$G$2:$G$5761,Data!$B$2:$B$5761,C14)/20</f>
        <v>551.55500000000006</v>
      </c>
      <c r="G14">
        <f>SUMIFS(Data!$G$2:$G$5761,Data!$I$2:$I$5761,Control!$B$8,Data!$B$2:$B$5761,C14)/COUNTIF(Banks!$C$2:$C$21,Control!$B$8)</f>
        <v>546.06166666666661</v>
      </c>
      <c r="H14">
        <f t="shared" si="0"/>
        <v>-266.78500000000008</v>
      </c>
      <c r="I14">
        <f t="shared" si="1"/>
        <v>-0.48369609558430265</v>
      </c>
      <c r="J14">
        <f t="shared" si="2"/>
        <v>106.8</v>
      </c>
    </row>
    <row r="15" spans="2:11" x14ac:dyDescent="0.25">
      <c r="C15">
        <f>Control!$B$3-12+ROW()-4</f>
        <v>12</v>
      </c>
      <c r="D15" s="1" cm="1">
        <f t="array" ref="D15">INDEX(Calc_Dates!$C$2:$C$37,C15)</f>
        <v>45657</v>
      </c>
      <c r="E15" cm="1">
        <f t="array" ref="E15">INDEX(Calc_Month!$E$2:$E$37,C15)</f>
        <v>285.29000000000002</v>
      </c>
      <c r="F15">
        <f>SUMIFS(Data!$G$2:$G$5761,Data!$B$2:$B$5761,C15)/20</f>
        <v>555.31299999999987</v>
      </c>
      <c r="G15">
        <f>SUMIFS(Data!$G$2:$G$5761,Data!$I$2:$I$5761,Control!$B$8,Data!$B$2:$B$5761,C15)/COUNTIF(Banks!$C$2:$C$21,Control!$B$8)</f>
        <v>548.80333333333328</v>
      </c>
      <c r="H15">
        <f t="shared" si="0"/>
        <v>-270.02299999999985</v>
      </c>
      <c r="I15">
        <f t="shared" si="1"/>
        <v>-0.48625369836470589</v>
      </c>
      <c r="J15">
        <f t="shared" si="2"/>
        <v>107</v>
      </c>
    </row>
    <row r="16" spans="2:11" x14ac:dyDescent="0.25">
      <c r="C16">
        <f>Control!$B$3-12+ROW()-4</f>
        <v>13</v>
      </c>
      <c r="D16" s="1" cm="1">
        <f t="array" ref="D16">INDEX(Calc_Dates!$C$2:$C$37,C16)</f>
        <v>45688</v>
      </c>
      <c r="E16" cm="1">
        <f t="array" ref="E16">INDEX(Calc_Month!$E$2:$E$37,C16)</f>
        <v>287.57</v>
      </c>
      <c r="F16">
        <f>SUMIFS(Data!$G$2:$G$5761,Data!$B$2:$B$5761,C16)/20</f>
        <v>559.61449999999991</v>
      </c>
      <c r="G16">
        <f>SUMIFS(Data!$G$2:$G$5761,Data!$I$2:$I$5761,Control!$B$8,Data!$B$2:$B$5761,C16)/COUNTIF(Banks!$C$2:$C$21,Control!$B$8)</f>
        <v>553.37500000000011</v>
      </c>
      <c r="H16">
        <f t="shared" si="0"/>
        <v>-272.04449999999991</v>
      </c>
      <c r="I16">
        <f t="shared" si="1"/>
        <v>-0.48612839731636681</v>
      </c>
      <c r="J16">
        <f t="shared" si="2"/>
        <v>107.8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2</v>
      </c>
      <c r="D5" s="1" cm="1">
        <f t="array" ref="D5">INDEX(Calc_Dates!$C$2:$C$37,C5)</f>
        <v>45351</v>
      </c>
      <c r="E5" cm="1">
        <f t="array" ref="E5">INDEX(Calc_Month!$F$2:$F$37,C5)</f>
        <v>951</v>
      </c>
      <c r="F5">
        <f>SUMIFS(Data!$H$2:$H$5761,Data!$B$2:$B$5761,C5)/20</f>
        <v>1712.85</v>
      </c>
      <c r="G5">
        <f>SUMIFS(Data!$H$2:$H$5761,Data!$I$2:$I$5761,Control!$B$8,Data!$B$2:$B$5761,C5)/COUNTIF(Banks!$C$2:$C$21,Control!$B$8)</f>
        <v>1690.6666666666667</v>
      </c>
      <c r="H5">
        <f t="shared" ref="H5:H16" si="0">E5-F5</f>
        <v>-761.84999999999991</v>
      </c>
      <c r="I5">
        <f t="shared" ref="I5:I16" si="1">IFERROR(H5/F5,0)</f>
        <v>-0.44478500744373412</v>
      </c>
      <c r="J5">
        <f t="shared" ref="J5:J16" si="2">ROUND(E5/$E$5*100,1)</f>
        <v>100</v>
      </c>
    </row>
    <row r="6" spans="2:11" x14ac:dyDescent="0.25">
      <c r="C6">
        <f>Control!$B$3-12+ROW()-4</f>
        <v>3</v>
      </c>
      <c r="D6" s="1" cm="1">
        <f t="array" ref="D6">INDEX(Calc_Dates!$C$2:$C$37,C6)</f>
        <v>45382</v>
      </c>
      <c r="E6" cm="1">
        <f t="array" ref="E6">INDEX(Calc_Month!$F$2:$F$37,C6)</f>
        <v>906</v>
      </c>
      <c r="F6">
        <f>SUMIFS(Data!$H$2:$H$5761,Data!$B$2:$B$5761,C6)/20</f>
        <v>1700.6</v>
      </c>
      <c r="G6">
        <f>SUMIFS(Data!$H$2:$H$5761,Data!$I$2:$I$5761,Control!$B$8,Data!$B$2:$B$5761,C6)/COUNTIF(Banks!$C$2:$C$21,Control!$B$8)</f>
        <v>1668.6666666666667</v>
      </c>
      <c r="H6">
        <f t="shared" si="0"/>
        <v>-794.59999999999991</v>
      </c>
      <c r="I6">
        <f t="shared" si="1"/>
        <v>-0.46724685405151123</v>
      </c>
      <c r="J6">
        <f t="shared" si="2"/>
        <v>95.3</v>
      </c>
    </row>
    <row r="7" spans="2:11" x14ac:dyDescent="0.25">
      <c r="C7">
        <f>Control!$B$3-12+ROW()-4</f>
        <v>4</v>
      </c>
      <c r="D7" s="1" cm="1">
        <f t="array" ref="D7">INDEX(Calc_Dates!$C$2:$C$37,C7)</f>
        <v>45412</v>
      </c>
      <c r="E7" cm="1">
        <f t="array" ref="E7">INDEX(Calc_Month!$F$2:$F$37,C7)</f>
        <v>925</v>
      </c>
      <c r="F7">
        <f>SUMIFS(Data!$H$2:$H$5761,Data!$B$2:$B$5761,C7)/20</f>
        <v>1718.55</v>
      </c>
      <c r="G7">
        <f>SUMIFS(Data!$H$2:$H$5761,Data!$I$2:$I$5761,Control!$B$8,Data!$B$2:$B$5761,C7)/COUNTIF(Banks!$C$2:$C$21,Control!$B$8)</f>
        <v>1715</v>
      </c>
      <c r="H7">
        <f t="shared" si="0"/>
        <v>-793.55</v>
      </c>
      <c r="I7">
        <f t="shared" si="1"/>
        <v>-0.46175554973669664</v>
      </c>
      <c r="J7">
        <f t="shared" si="2"/>
        <v>97.3</v>
      </c>
    </row>
    <row r="8" spans="2:11" x14ac:dyDescent="0.25">
      <c r="C8">
        <f>Control!$B$3-12+ROW()-4</f>
        <v>5</v>
      </c>
      <c r="D8" s="1" cm="1">
        <f t="array" ref="D8">INDEX(Calc_Dates!$C$2:$C$37,C8)</f>
        <v>45443</v>
      </c>
      <c r="E8" cm="1">
        <f t="array" ref="E8">INDEX(Calc_Month!$F$2:$F$37,C8)</f>
        <v>901</v>
      </c>
      <c r="F8">
        <f>SUMIFS(Data!$H$2:$H$5761,Data!$B$2:$B$5761,C8)/20</f>
        <v>1717.45</v>
      </c>
      <c r="G8">
        <f>SUMIFS(Data!$H$2:$H$5761,Data!$I$2:$I$5761,Control!$B$8,Data!$B$2:$B$5761,C8)/COUNTIF(Banks!$C$2:$C$21,Control!$B$8)</f>
        <v>1694.1666666666667</v>
      </c>
      <c r="H8">
        <f t="shared" si="0"/>
        <v>-816.45</v>
      </c>
      <c r="I8">
        <f t="shared" si="1"/>
        <v>-0.47538501848670994</v>
      </c>
      <c r="J8">
        <f t="shared" si="2"/>
        <v>94.7</v>
      </c>
    </row>
    <row r="9" spans="2:11" x14ac:dyDescent="0.25">
      <c r="C9">
        <f>Control!$B$3-12+ROW()-4</f>
        <v>6</v>
      </c>
      <c r="D9" s="1" cm="1">
        <f t="array" ref="D9">INDEX(Calc_Dates!$C$2:$C$37,C9)</f>
        <v>45473</v>
      </c>
      <c r="E9" cm="1">
        <f t="array" ref="E9">INDEX(Calc_Month!$F$2:$F$37,C9)</f>
        <v>974</v>
      </c>
      <c r="F9">
        <f>SUMIFS(Data!$H$2:$H$5761,Data!$B$2:$B$5761,C9)/20</f>
        <v>1716.4</v>
      </c>
      <c r="G9">
        <f>SUMIFS(Data!$H$2:$H$5761,Data!$I$2:$I$5761,Control!$B$8,Data!$B$2:$B$5761,C9)/COUNTIF(Banks!$C$2:$C$21,Control!$B$8)</f>
        <v>1697.8333333333333</v>
      </c>
      <c r="H9">
        <f t="shared" si="0"/>
        <v>-742.40000000000009</v>
      </c>
      <c r="I9">
        <f t="shared" si="1"/>
        <v>-0.43253320904218134</v>
      </c>
      <c r="J9">
        <f t="shared" si="2"/>
        <v>102.4</v>
      </c>
    </row>
    <row r="10" spans="2:11" x14ac:dyDescent="0.25">
      <c r="C10">
        <f>Control!$B$3-12+ROW()-4</f>
        <v>7</v>
      </c>
      <c r="D10" s="1" cm="1">
        <f t="array" ref="D10">INDEX(Calc_Dates!$C$2:$C$37,C10)</f>
        <v>45504</v>
      </c>
      <c r="E10" cm="1">
        <f t="array" ref="E10">INDEX(Calc_Month!$F$2:$F$37,C10)</f>
        <v>935</v>
      </c>
      <c r="F10">
        <f>SUMIFS(Data!$H$2:$H$5761,Data!$B$2:$B$5761,C10)/20</f>
        <v>1705.25</v>
      </c>
      <c r="G10">
        <f>SUMIFS(Data!$H$2:$H$5761,Data!$I$2:$I$5761,Control!$B$8,Data!$B$2:$B$5761,C10)/COUNTIF(Banks!$C$2:$C$21,Control!$B$8)</f>
        <v>1681</v>
      </c>
      <c r="H10">
        <f t="shared" si="0"/>
        <v>-770.25</v>
      </c>
      <c r="I10">
        <f t="shared" si="1"/>
        <v>-0.45169330010262426</v>
      </c>
      <c r="J10">
        <f t="shared" si="2"/>
        <v>98.3</v>
      </c>
    </row>
    <row r="11" spans="2:11" x14ac:dyDescent="0.25">
      <c r="C11">
        <f>Control!$B$3-12+ROW()-4</f>
        <v>8</v>
      </c>
      <c r="D11" s="1" cm="1">
        <f t="array" ref="D11">INDEX(Calc_Dates!$C$2:$C$37,C11)</f>
        <v>45535</v>
      </c>
      <c r="E11" cm="1">
        <f t="array" ref="E11">INDEX(Calc_Month!$F$2:$F$37,C11)</f>
        <v>937</v>
      </c>
      <c r="F11">
        <f>SUMIFS(Data!$H$2:$H$5761,Data!$B$2:$B$5761,C11)/20</f>
        <v>1709.1</v>
      </c>
      <c r="G11">
        <f>SUMIFS(Data!$H$2:$H$5761,Data!$I$2:$I$5761,Control!$B$8,Data!$B$2:$B$5761,C11)/COUNTIF(Banks!$C$2:$C$21,Control!$B$8)</f>
        <v>1690.3333333333333</v>
      </c>
      <c r="H11">
        <f t="shared" si="0"/>
        <v>-772.09999999999991</v>
      </c>
      <c r="I11">
        <f t="shared" si="1"/>
        <v>-0.45175823532853548</v>
      </c>
      <c r="J11">
        <f t="shared" si="2"/>
        <v>98.5</v>
      </c>
    </row>
    <row r="12" spans="2:11" x14ac:dyDescent="0.25">
      <c r="C12">
        <f>Control!$B$3-12+ROW()-4</f>
        <v>9</v>
      </c>
      <c r="D12" s="1" cm="1">
        <f t="array" ref="D12">INDEX(Calc_Dates!$C$2:$C$37,C12)</f>
        <v>45565</v>
      </c>
      <c r="E12" cm="1">
        <f t="array" ref="E12">INDEX(Calc_Month!$F$2:$F$37,C12)</f>
        <v>994</v>
      </c>
      <c r="F12">
        <f>SUMIFS(Data!$H$2:$H$5761,Data!$B$2:$B$5761,C12)/20</f>
        <v>1705.85</v>
      </c>
      <c r="G12">
        <f>SUMIFS(Data!$H$2:$H$5761,Data!$I$2:$I$5761,Control!$B$8,Data!$B$2:$B$5761,C12)/COUNTIF(Banks!$C$2:$C$21,Control!$B$8)</f>
        <v>1708.6666666666667</v>
      </c>
      <c r="H12">
        <f t="shared" si="0"/>
        <v>-711.84999999999991</v>
      </c>
      <c r="I12">
        <f t="shared" si="1"/>
        <v>-0.41729929360729251</v>
      </c>
      <c r="J12">
        <f t="shared" si="2"/>
        <v>104.5</v>
      </c>
    </row>
    <row r="13" spans="2:11" x14ac:dyDescent="0.25">
      <c r="C13">
        <f>Control!$B$3-12+ROW()-4</f>
        <v>10</v>
      </c>
      <c r="D13" s="1" cm="1">
        <f t="array" ref="D13">INDEX(Calc_Dates!$C$2:$C$37,C13)</f>
        <v>45596</v>
      </c>
      <c r="E13" cm="1">
        <f t="array" ref="E13">INDEX(Calc_Month!$F$2:$F$37,C13)</f>
        <v>965</v>
      </c>
      <c r="F13">
        <f>SUMIFS(Data!$H$2:$H$5761,Data!$B$2:$B$5761,C13)/20</f>
        <v>1712.8</v>
      </c>
      <c r="G13">
        <f>SUMIFS(Data!$H$2:$H$5761,Data!$I$2:$I$5761,Control!$B$8,Data!$B$2:$B$5761,C13)/COUNTIF(Banks!$C$2:$C$21,Control!$B$8)</f>
        <v>1704</v>
      </c>
      <c r="H13">
        <f t="shared" si="0"/>
        <v>-747.8</v>
      </c>
      <c r="I13">
        <f t="shared" si="1"/>
        <v>-0.43659504904250351</v>
      </c>
      <c r="J13">
        <f t="shared" si="2"/>
        <v>101.5</v>
      </c>
    </row>
    <row r="14" spans="2:11" x14ac:dyDescent="0.25">
      <c r="C14">
        <f>Control!$B$3-12+ROW()-4</f>
        <v>11</v>
      </c>
      <c r="D14" s="1" cm="1">
        <f t="array" ref="D14">INDEX(Calc_Dates!$C$2:$C$37,C14)</f>
        <v>45626</v>
      </c>
      <c r="E14" cm="1">
        <f t="array" ref="E14">INDEX(Calc_Month!$F$2:$F$37,C14)</f>
        <v>927</v>
      </c>
      <c r="F14">
        <f>SUMIFS(Data!$H$2:$H$5761,Data!$B$2:$B$5761,C14)/20</f>
        <v>1701.8</v>
      </c>
      <c r="G14">
        <f>SUMIFS(Data!$H$2:$H$5761,Data!$I$2:$I$5761,Control!$B$8,Data!$B$2:$B$5761,C14)/COUNTIF(Banks!$C$2:$C$21,Control!$B$8)</f>
        <v>1673.1666666666667</v>
      </c>
      <c r="H14">
        <f t="shared" si="0"/>
        <v>-774.8</v>
      </c>
      <c r="I14">
        <f t="shared" si="1"/>
        <v>-0.45528264190856738</v>
      </c>
      <c r="J14">
        <f t="shared" si="2"/>
        <v>97.5</v>
      </c>
    </row>
    <row r="15" spans="2:11" x14ac:dyDescent="0.25">
      <c r="C15">
        <f>Control!$B$3-12+ROW()-4</f>
        <v>12</v>
      </c>
      <c r="D15" s="1" cm="1">
        <f t="array" ref="D15">INDEX(Calc_Dates!$C$2:$C$37,C15)</f>
        <v>45657</v>
      </c>
      <c r="E15" cm="1">
        <f t="array" ref="E15">INDEX(Calc_Month!$F$2:$F$37,C15)</f>
        <v>972</v>
      </c>
      <c r="F15">
        <f>SUMIFS(Data!$H$2:$H$5761,Data!$B$2:$B$5761,C15)/20</f>
        <v>1705.6</v>
      </c>
      <c r="G15">
        <f>SUMIFS(Data!$H$2:$H$5761,Data!$I$2:$I$5761,Control!$B$8,Data!$B$2:$B$5761,C15)/COUNTIF(Banks!$C$2:$C$21,Control!$B$8)</f>
        <v>1686.1666666666667</v>
      </c>
      <c r="H15">
        <f t="shared" si="0"/>
        <v>-733.59999999999991</v>
      </c>
      <c r="I15">
        <f t="shared" si="1"/>
        <v>-0.43011257035647277</v>
      </c>
      <c r="J15">
        <f t="shared" si="2"/>
        <v>102.2</v>
      </c>
    </row>
    <row r="16" spans="2:11" x14ac:dyDescent="0.25">
      <c r="C16">
        <f>Control!$B$3-12+ROW()-4</f>
        <v>13</v>
      </c>
      <c r="D16" s="1" cm="1">
        <f t="array" ref="D16">INDEX(Calc_Dates!$C$2:$C$37,C16)</f>
        <v>45688</v>
      </c>
      <c r="E16" cm="1">
        <f t="array" ref="E16">INDEX(Calc_Month!$F$2:$F$37,C16)</f>
        <v>986</v>
      </c>
      <c r="F16">
        <f>SUMIFS(Data!$H$2:$H$5761,Data!$B$2:$B$5761,C16)/20</f>
        <v>1716.9</v>
      </c>
      <c r="G16">
        <f>SUMIFS(Data!$H$2:$H$5761,Data!$I$2:$I$5761,Control!$B$8,Data!$B$2:$B$5761,C16)/COUNTIF(Banks!$C$2:$C$21,Control!$B$8)</f>
        <v>1682.5</v>
      </c>
      <c r="H16">
        <f t="shared" si="0"/>
        <v>-730.90000000000009</v>
      </c>
      <c r="I16">
        <f t="shared" si="1"/>
        <v>-0.42570912691478829</v>
      </c>
      <c r="J16">
        <f t="shared" si="2"/>
        <v>103.7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2</v>
      </c>
      <c r="D5" s="1" cm="1">
        <f t="array" ref="D5">INDEX(Calc_Dates!$C$2:$C$37,C5)</f>
        <v>45351</v>
      </c>
      <c r="E5" cm="1">
        <f t="array" ref="E5">INDEX(Calc_Month!$G$2:$G$37,C5)</f>
        <v>174.19999999999993</v>
      </c>
      <c r="F5">
        <f>SUMIFS(Data!$K$2:$K$5761,Data!$B$2:$B$5761,C5)/20</f>
        <v>337.4199999999999</v>
      </c>
      <c r="G5">
        <f>SUMIFS(Data!$K$2:$K$5761,Data!$I$2:$I$5761,Control!$B$8,Data!$B$2:$B$5761,C5)/COUNTIF(Banks!$C$2:$C$21,Control!$B$8)</f>
        <v>334.71000000000004</v>
      </c>
      <c r="H5">
        <f t="shared" ref="H5:H16" si="0">E5-F5</f>
        <v>-163.21999999999997</v>
      </c>
      <c r="I5">
        <f t="shared" ref="I5:I16" si="1">IFERROR(H5/F5,0)</f>
        <v>-0.48372947661667959</v>
      </c>
      <c r="J5">
        <f t="shared" ref="J5:J16" si="2">ROUND(E5/$E$5*100,1)</f>
        <v>100</v>
      </c>
    </row>
    <row r="6" spans="2:11" x14ac:dyDescent="0.25">
      <c r="C6">
        <f>Control!$B$3-12+ROW()-4</f>
        <v>3</v>
      </c>
      <c r="D6" s="1" cm="1">
        <f t="array" ref="D6">INDEX(Calc_Dates!$C$2:$C$37,C6)</f>
        <v>45382</v>
      </c>
      <c r="E6" cm="1">
        <f t="array" ref="E6">INDEX(Calc_Month!$G$2:$G$37,C6)</f>
        <v>174.73000000000008</v>
      </c>
      <c r="F6">
        <f>SUMIFS(Data!$K$2:$K$5761,Data!$B$2:$B$5761,C6)/20</f>
        <v>339.6255000000001</v>
      </c>
      <c r="G6">
        <f>SUMIFS(Data!$K$2:$K$5761,Data!$I$2:$I$5761,Control!$B$8,Data!$B$2:$B$5761,C6)/COUNTIF(Banks!$C$2:$C$21,Control!$B$8)</f>
        <v>336.47166666666664</v>
      </c>
      <c r="H6">
        <f t="shared" si="0"/>
        <v>-164.89550000000003</v>
      </c>
      <c r="I6">
        <f t="shared" si="1"/>
        <v>-0.48552155241582268</v>
      </c>
      <c r="J6">
        <f t="shared" si="2"/>
        <v>100.3</v>
      </c>
    </row>
    <row r="7" spans="2:11" x14ac:dyDescent="0.25">
      <c r="C7">
        <f>Control!$B$3-12+ROW()-4</f>
        <v>4</v>
      </c>
      <c r="D7" s="1" cm="1">
        <f t="array" ref="D7">INDEX(Calc_Dates!$C$2:$C$37,C7)</f>
        <v>45412</v>
      </c>
      <c r="E7" cm="1">
        <f t="array" ref="E7">INDEX(Calc_Month!$G$2:$G$37,C7)</f>
        <v>175.52999999999997</v>
      </c>
      <c r="F7">
        <f>SUMIFS(Data!$K$2:$K$5761,Data!$B$2:$B$5761,C7)/20</f>
        <v>342.62350000000021</v>
      </c>
      <c r="G7">
        <f>SUMIFS(Data!$K$2:$K$5761,Data!$I$2:$I$5761,Control!$B$8,Data!$B$2:$B$5761,C7)/COUNTIF(Banks!$C$2:$C$21,Control!$B$8)</f>
        <v>339.22500000000014</v>
      </c>
      <c r="H7">
        <f t="shared" si="0"/>
        <v>-167.09350000000023</v>
      </c>
      <c r="I7">
        <f t="shared" si="1"/>
        <v>-0.48768838097795431</v>
      </c>
      <c r="J7">
        <f t="shared" si="2"/>
        <v>100.8</v>
      </c>
    </row>
    <row r="8" spans="2:11" x14ac:dyDescent="0.25">
      <c r="C8">
        <f>Control!$B$3-12+ROW()-4</f>
        <v>5</v>
      </c>
      <c r="D8" s="1" cm="1">
        <f t="array" ref="D8">INDEX(Calc_Dates!$C$2:$C$37,C8)</f>
        <v>45443</v>
      </c>
      <c r="E8" cm="1">
        <f t="array" ref="E8">INDEX(Calc_Month!$G$2:$G$37,C8)</f>
        <v>179.95</v>
      </c>
      <c r="F8">
        <f>SUMIFS(Data!$K$2:$K$5761,Data!$B$2:$B$5761,C8)/20</f>
        <v>345.79000000000008</v>
      </c>
      <c r="G8">
        <f>SUMIFS(Data!$K$2:$K$5761,Data!$I$2:$I$5761,Control!$B$8,Data!$B$2:$B$5761,C8)/COUNTIF(Banks!$C$2:$C$21,Control!$B$8)</f>
        <v>341.44499999999999</v>
      </c>
      <c r="H8">
        <f t="shared" si="0"/>
        <v>-165.84000000000009</v>
      </c>
      <c r="I8">
        <f t="shared" si="1"/>
        <v>-0.4795974435350937</v>
      </c>
      <c r="J8">
        <f t="shared" si="2"/>
        <v>103.3</v>
      </c>
    </row>
    <row r="9" spans="2:11" x14ac:dyDescent="0.25">
      <c r="C9">
        <f>Control!$B$3-12+ROW()-4</f>
        <v>6</v>
      </c>
      <c r="D9" s="1" cm="1">
        <f t="array" ref="D9">INDEX(Calc_Dates!$C$2:$C$37,C9)</f>
        <v>45473</v>
      </c>
      <c r="E9" cm="1">
        <f t="array" ref="E9">INDEX(Calc_Month!$G$2:$G$37,C9)</f>
        <v>176.66000000000008</v>
      </c>
      <c r="F9">
        <f>SUMIFS(Data!$K$2:$K$5761,Data!$B$2:$B$5761,C9)/20</f>
        <v>348.01799999999974</v>
      </c>
      <c r="G9">
        <f>SUMIFS(Data!$K$2:$K$5761,Data!$I$2:$I$5761,Control!$B$8,Data!$B$2:$B$5761,C9)/COUNTIF(Banks!$C$2:$C$21,Control!$B$8)</f>
        <v>344.17333333333335</v>
      </c>
      <c r="H9">
        <f t="shared" si="0"/>
        <v>-171.35799999999966</v>
      </c>
      <c r="I9">
        <f t="shared" si="1"/>
        <v>-0.49238257791263612</v>
      </c>
      <c r="J9">
        <f t="shared" si="2"/>
        <v>101.4</v>
      </c>
    </row>
    <row r="10" spans="2:11" x14ac:dyDescent="0.25">
      <c r="C10">
        <f>Control!$B$3-12+ROW()-4</f>
        <v>7</v>
      </c>
      <c r="D10" s="1" cm="1">
        <f t="array" ref="D10">INDEX(Calc_Dates!$C$2:$C$37,C10)</f>
        <v>45504</v>
      </c>
      <c r="E10" cm="1">
        <f t="array" ref="E10">INDEX(Calc_Month!$G$2:$G$37,C10)</f>
        <v>179.8300000000001</v>
      </c>
      <c r="F10">
        <f>SUMIFS(Data!$K$2:$K$5761,Data!$B$2:$B$5761,C10)/20</f>
        <v>350.3730000000001</v>
      </c>
      <c r="G10">
        <f>SUMIFS(Data!$K$2:$K$5761,Data!$I$2:$I$5761,Control!$B$8,Data!$B$2:$B$5761,C10)/COUNTIF(Banks!$C$2:$C$21,Control!$B$8)</f>
        <v>346.66499999999996</v>
      </c>
      <c r="H10">
        <f t="shared" si="0"/>
        <v>-170.54300000000001</v>
      </c>
      <c r="I10">
        <f t="shared" si="1"/>
        <v>-0.4867469810744548</v>
      </c>
      <c r="J10">
        <f t="shared" si="2"/>
        <v>103.2</v>
      </c>
    </row>
    <row r="11" spans="2:11" x14ac:dyDescent="0.25">
      <c r="C11">
        <f>Control!$B$3-12+ROW()-4</f>
        <v>8</v>
      </c>
      <c r="D11" s="1" cm="1">
        <f t="array" ref="D11">INDEX(Calc_Dates!$C$2:$C$37,C11)</f>
        <v>45535</v>
      </c>
      <c r="E11" cm="1">
        <f t="array" ref="E11">INDEX(Calc_Month!$G$2:$G$37,C11)</f>
        <v>181.10999999999996</v>
      </c>
      <c r="F11">
        <f>SUMIFS(Data!$K$2:$K$5761,Data!$B$2:$B$5761,C11)/20</f>
        <v>353.40100000000007</v>
      </c>
      <c r="G11">
        <f>SUMIFS(Data!$K$2:$K$5761,Data!$I$2:$I$5761,Control!$B$8,Data!$B$2:$B$5761,C11)/COUNTIF(Banks!$C$2:$C$21,Control!$B$8)</f>
        <v>349.8633333333334</v>
      </c>
      <c r="H11">
        <f t="shared" si="0"/>
        <v>-172.29100000000011</v>
      </c>
      <c r="I11">
        <f t="shared" si="1"/>
        <v>-0.48752267254478643</v>
      </c>
      <c r="J11">
        <f t="shared" si="2"/>
        <v>104</v>
      </c>
    </row>
    <row r="12" spans="2:11" x14ac:dyDescent="0.25">
      <c r="C12">
        <f>Control!$B$3-12+ROW()-4</f>
        <v>9</v>
      </c>
      <c r="D12" s="1" cm="1">
        <f t="array" ref="D12">INDEX(Calc_Dates!$C$2:$C$37,C12)</f>
        <v>45565</v>
      </c>
      <c r="E12" cm="1">
        <f t="array" ref="E12">INDEX(Calc_Month!$G$2:$G$37,C12)</f>
        <v>178.89999999999992</v>
      </c>
      <c r="F12">
        <f>SUMIFS(Data!$K$2:$K$5761,Data!$B$2:$B$5761,C12)/20</f>
        <v>356.17600000000022</v>
      </c>
      <c r="G12">
        <f>SUMIFS(Data!$K$2:$K$5761,Data!$I$2:$I$5761,Control!$B$8,Data!$B$2:$B$5761,C12)/COUNTIF(Banks!$C$2:$C$21,Control!$B$8)</f>
        <v>351.6133333333334</v>
      </c>
      <c r="H12">
        <f t="shared" si="0"/>
        <v>-177.27600000000029</v>
      </c>
      <c r="I12">
        <f t="shared" si="1"/>
        <v>-0.49772022820178841</v>
      </c>
      <c r="J12">
        <f t="shared" si="2"/>
        <v>102.7</v>
      </c>
    </row>
    <row r="13" spans="2:11" x14ac:dyDescent="0.25">
      <c r="C13">
        <f>Control!$B$3-12+ROW()-4</f>
        <v>10</v>
      </c>
      <c r="D13" s="1" cm="1">
        <f t="array" ref="D13">INDEX(Calc_Dates!$C$2:$C$37,C13)</f>
        <v>45596</v>
      </c>
      <c r="E13" cm="1">
        <f t="array" ref="E13">INDEX(Calc_Month!$G$2:$G$37,C13)</f>
        <v>183.67000000000002</v>
      </c>
      <c r="F13">
        <f>SUMIFS(Data!$K$2:$K$5761,Data!$B$2:$B$5761,C13)/20</f>
        <v>358.017</v>
      </c>
      <c r="G13">
        <f>SUMIFS(Data!$K$2:$K$5761,Data!$I$2:$I$5761,Control!$B$8,Data!$B$2:$B$5761,C13)/COUNTIF(Banks!$C$2:$C$21,Control!$B$8)</f>
        <v>354.22166666666664</v>
      </c>
      <c r="H13">
        <f t="shared" si="0"/>
        <v>-174.34699999999998</v>
      </c>
      <c r="I13">
        <f t="shared" si="1"/>
        <v>-0.48697966856322461</v>
      </c>
      <c r="J13">
        <f t="shared" si="2"/>
        <v>105.4</v>
      </c>
    </row>
    <row r="14" spans="2:11" x14ac:dyDescent="0.25">
      <c r="C14">
        <f>Control!$B$3-12+ROW()-4</f>
        <v>11</v>
      </c>
      <c r="D14" s="1" cm="1">
        <f t="array" ref="D14">INDEX(Calc_Dates!$C$2:$C$37,C14)</f>
        <v>45626</v>
      </c>
      <c r="E14" cm="1">
        <f t="array" ref="E14">INDEX(Calc_Month!$G$2:$G$37,C14)</f>
        <v>183.49</v>
      </c>
      <c r="F14">
        <f>SUMIFS(Data!$K$2:$K$5761,Data!$B$2:$B$5761,C14)/20</f>
        <v>361.49599999999998</v>
      </c>
      <c r="G14">
        <f>SUMIFS(Data!$K$2:$K$5761,Data!$I$2:$I$5761,Control!$B$8,Data!$B$2:$B$5761,C14)/COUNTIF(Banks!$C$2:$C$21,Control!$B$8)</f>
        <v>356.95333333333338</v>
      </c>
      <c r="H14">
        <f t="shared" si="0"/>
        <v>-178.00599999999997</v>
      </c>
      <c r="I14">
        <f t="shared" si="1"/>
        <v>-0.49241485382964123</v>
      </c>
      <c r="J14">
        <f t="shared" si="2"/>
        <v>105.3</v>
      </c>
    </row>
    <row r="15" spans="2:11" x14ac:dyDescent="0.25">
      <c r="C15">
        <f>Control!$B$3-12+ROW()-4</f>
        <v>12</v>
      </c>
      <c r="D15" s="1" cm="1">
        <f t="array" ref="D15">INDEX(Calc_Dates!$C$2:$C$37,C15)</f>
        <v>45657</v>
      </c>
      <c r="E15" cm="1">
        <f t="array" ref="E15">INDEX(Calc_Month!$G$2:$G$37,C15)</f>
        <v>187.21999999999997</v>
      </c>
      <c r="F15">
        <f>SUMIFS(Data!$K$2:$K$5761,Data!$B$2:$B$5761,C15)/20</f>
        <v>363.97799999999995</v>
      </c>
      <c r="G15">
        <f>SUMIFS(Data!$K$2:$K$5761,Data!$I$2:$I$5761,Control!$B$8,Data!$B$2:$B$5761,C15)/COUNTIF(Banks!$C$2:$C$21,Control!$B$8)</f>
        <v>359.76500000000004</v>
      </c>
      <c r="H15">
        <f t="shared" si="0"/>
        <v>-176.75799999999998</v>
      </c>
      <c r="I15">
        <f t="shared" si="1"/>
        <v>-0.48562825225700457</v>
      </c>
      <c r="J15">
        <f t="shared" si="2"/>
        <v>107.5</v>
      </c>
    </row>
    <row r="16" spans="2:11" x14ac:dyDescent="0.25">
      <c r="C16">
        <f>Control!$B$3-12+ROW()-4</f>
        <v>13</v>
      </c>
      <c r="D16" s="1" cm="1">
        <f t="array" ref="D16">INDEX(Calc_Dates!$C$2:$C$37,C16)</f>
        <v>45688</v>
      </c>
      <c r="E16" cm="1">
        <f t="array" ref="E16">INDEX(Calc_Month!$G$2:$G$37,C16)</f>
        <v>184.47000000000003</v>
      </c>
      <c r="F16">
        <f>SUMIFS(Data!$K$2:$K$5761,Data!$B$2:$B$5761,C16)/20</f>
        <v>366.90699999999998</v>
      </c>
      <c r="G16">
        <f>SUMIFS(Data!$K$2:$K$5761,Data!$I$2:$I$5761,Control!$B$8,Data!$B$2:$B$5761,C16)/COUNTIF(Banks!$C$2:$C$21,Control!$B$8)</f>
        <v>362.05499999999989</v>
      </c>
      <c r="H16">
        <f t="shared" si="0"/>
        <v>-182.43699999999995</v>
      </c>
      <c r="I16">
        <f t="shared" si="1"/>
        <v>-0.49722954318124202</v>
      </c>
      <c r="J16">
        <f t="shared" si="2"/>
        <v>105.9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2026-10-17T11:54:48Z</dcterms:modified>
</cp:coreProperties>
</file>