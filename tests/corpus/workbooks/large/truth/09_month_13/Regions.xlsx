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1CFB6A07-2CFA-48CD-8E69-4002B6F9752B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A22" i="3"/>
  <c r="B21" i="3"/>
  <c r="A17" i="3"/>
  <c r="B14" i="3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40" i="5" a="1"/>
  <c r="C40" i="5" s="1"/>
  <c r="D40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B29" i="5" a="1"/>
  <c r="B29" i="5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14" i="3" l="1"/>
  <c r="D5" i="8" a="1"/>
  <c r="D5" i="8" s="1"/>
  <c r="D6" i="8" a="1"/>
  <c r="D6" i="8" s="1"/>
  <c r="D14" i="8" a="1"/>
  <c r="D14" i="8" s="1"/>
  <c r="C13" i="3"/>
  <c r="C19" i="3"/>
  <c r="B30" i="3"/>
  <c r="C30" i="3"/>
  <c r="C20" i="3"/>
  <c r="E5" i="8" a="1"/>
  <c r="E5" i="8" s="1"/>
  <c r="B19" i="3"/>
  <c r="E7" i="8" a="1"/>
  <c r="E7" i="8" s="1"/>
  <c r="F7" i="8" s="1"/>
  <c r="E6" i="8" a="1"/>
  <c r="E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6" i="8" l="1"/>
  <c r="F12" i="8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19" i="4" l="1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<sst xmlns="http://schemas.openxmlformats.org/spreadsheetml/2006/main" count="76" uniqueCount="41">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</sst>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13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6542.2</v>
          </cell>
        </row>
        <row r="3">
          <cell r="A3" t="str">
            <v>Banca Adriatica</v>
          </cell>
          <cell r="B3" t="str">
            <v>Nord-Est</v>
          </cell>
          <cell r="C3">
            <v>7649.6</v>
          </cell>
        </row>
        <row r="4">
          <cell r="A4" t="str">
            <v>Banca Tirrena</v>
          </cell>
          <cell r="B4" t="str">
            <v>Centro</v>
          </cell>
          <cell r="C4">
            <v>8739.0999999999985</v>
          </cell>
        </row>
        <row r="5">
          <cell r="A5" t="str">
            <v>Banca Padana</v>
          </cell>
          <cell r="B5" t="str">
            <v>Nord-Ovest</v>
          </cell>
          <cell r="C5">
            <v>9892.6</v>
          </cell>
        </row>
        <row r="6">
          <cell r="A6" t="str">
            <v>Banca Etrusca</v>
          </cell>
          <cell r="B6" t="str">
            <v>Centro</v>
          </cell>
          <cell r="C6">
            <v>10989.1</v>
          </cell>
        </row>
        <row r="7">
          <cell r="A7" t="str">
            <v>Banca Lariana</v>
          </cell>
          <cell r="B7" t="str">
            <v>Nord-Ovest</v>
          </cell>
          <cell r="C7">
            <v>12105.600000000002</v>
          </cell>
        </row>
        <row r="8">
          <cell r="A8" t="str">
            <v>Banca Sabina</v>
          </cell>
          <cell r="B8" t="str">
            <v>Centro</v>
          </cell>
          <cell r="C8">
            <v>13300.5</v>
          </cell>
        </row>
        <row r="9">
          <cell r="A9" t="str">
            <v>Banca Irpina</v>
          </cell>
          <cell r="B9" t="str">
            <v>Sud</v>
          </cell>
          <cell r="C9">
            <v>14379.300000000001</v>
          </cell>
        </row>
        <row r="10">
          <cell r="A10" t="str">
            <v>Banca Sannita</v>
          </cell>
          <cell r="B10" t="str">
            <v>Sud</v>
          </cell>
          <cell r="C10">
            <v>15489.599999999999</v>
          </cell>
        </row>
        <row r="11">
          <cell r="A11" t="str">
            <v>Banca Ligure</v>
          </cell>
          <cell r="B11" t="str">
            <v>Nord-Ovest</v>
          </cell>
          <cell r="C11">
            <v>16648</v>
          </cell>
        </row>
        <row r="12">
          <cell r="A12" t="str">
            <v>Banca Veneta</v>
          </cell>
          <cell r="B12" t="str">
            <v>Nord-Est</v>
          </cell>
          <cell r="C12">
            <v>17663.900000000001</v>
          </cell>
        </row>
        <row r="13">
          <cell r="A13" t="str">
            <v>Banca Friulana</v>
          </cell>
          <cell r="B13" t="str">
            <v>Nord-Est</v>
          </cell>
          <cell r="C13">
            <v>18941.599999999999</v>
          </cell>
        </row>
        <row r="14">
          <cell r="A14" t="str">
            <v>Banca Umbra</v>
          </cell>
          <cell r="B14" t="str">
            <v>Centro</v>
          </cell>
          <cell r="C14">
            <v>19938.900000000001</v>
          </cell>
        </row>
        <row r="15">
          <cell r="A15" t="str">
            <v>Banca Marchigiana</v>
          </cell>
          <cell r="B15" t="str">
            <v>Centro</v>
          </cell>
          <cell r="C15">
            <v>21147.299999999996</v>
          </cell>
        </row>
        <row r="16">
          <cell r="A16" t="str">
            <v>Banca Lucana</v>
          </cell>
          <cell r="B16" t="str">
            <v>Sud</v>
          </cell>
          <cell r="C16">
            <v>22158.399999999998</v>
          </cell>
        </row>
        <row r="17">
          <cell r="A17" t="str">
            <v>Banca Calabra</v>
          </cell>
          <cell r="B17" t="str">
            <v>Sud</v>
          </cell>
          <cell r="C17">
            <v>23396.2</v>
          </cell>
        </row>
        <row r="18">
          <cell r="A18" t="str">
            <v>Banca Sicula</v>
          </cell>
          <cell r="B18" t="str">
            <v>Isole</v>
          </cell>
          <cell r="C18">
            <v>24517.8</v>
          </cell>
        </row>
        <row r="19">
          <cell r="A19" t="str">
            <v>Banca Sarda</v>
          </cell>
          <cell r="B19" t="str">
            <v>Isole</v>
          </cell>
          <cell r="C19">
            <v>25626.999999999996</v>
          </cell>
        </row>
        <row r="20">
          <cell r="A20" t="str">
            <v>Banca Romagnola</v>
          </cell>
          <cell r="B20" t="str">
            <v>Nord-Est</v>
          </cell>
          <cell r="C20">
            <v>26741.1</v>
          </cell>
        </row>
        <row r="21">
          <cell r="A21" t="str">
            <v>Banca Città</v>
          </cell>
          <cell r="B21" t="str">
            <v>Centro</v>
          </cell>
          <cell r="C21">
            <v>27692.400000000001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45188.399999999994</v>
          </cell>
          <cell r="E2">
            <v>968.47999999999979</v>
          </cell>
        </row>
        <row r="3">
          <cell r="A3" t="str">
            <v>Nord-Est</v>
          </cell>
          <cell r="B3">
            <v>4</v>
          </cell>
          <cell r="C3">
            <v>70996.2</v>
          </cell>
          <cell r="E3">
            <v>1515.29</v>
          </cell>
        </row>
        <row r="4">
          <cell r="A4" t="str">
            <v>Centro</v>
          </cell>
          <cell r="B4">
            <v>6</v>
          </cell>
          <cell r="C4">
            <v>101807.29999999999</v>
          </cell>
          <cell r="E4">
            <v>2172.3300000000004</v>
          </cell>
        </row>
        <row r="5">
          <cell r="A5" t="str">
            <v>Sud</v>
          </cell>
          <cell r="B5">
            <v>4</v>
          </cell>
          <cell r="C5">
            <v>75423.5</v>
          </cell>
          <cell r="E5">
            <v>1611.2799999999997</v>
          </cell>
        </row>
        <row r="6">
          <cell r="A6" t="str">
            <v>Isole</v>
          </cell>
          <cell r="B6">
            <v>2</v>
          </cell>
          <cell r="C6">
            <v>50144.800000000003</v>
          </cell>
          <cell r="E6">
            <v>1070.76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6339</v>
          </cell>
          <cell r="E2">
            <v>203.19999999999982</v>
          </cell>
          <cell r="G2" t="str">
            <v>G1</v>
          </cell>
        </row>
        <row r="3">
          <cell r="A3" t="str">
            <v>Banca Adriatica</v>
          </cell>
          <cell r="C3">
            <v>7115.9</v>
          </cell>
          <cell r="E3">
            <v>533.70000000000073</v>
          </cell>
          <cell r="G3" t="str">
            <v>G2</v>
          </cell>
        </row>
        <row r="4">
          <cell r="A4" t="str">
            <v>Banca Tirrena</v>
          </cell>
          <cell r="C4">
            <v>8260.7000000000007</v>
          </cell>
          <cell r="E4">
            <v>478.39999999999782</v>
          </cell>
          <cell r="G4" t="str">
            <v>G3</v>
          </cell>
        </row>
        <row r="5">
          <cell r="A5" t="str">
            <v>Banca Padana</v>
          </cell>
          <cell r="C5">
            <v>9250.5</v>
          </cell>
          <cell r="E5">
            <v>642.10000000000036</v>
          </cell>
          <cell r="G5" t="str">
            <v>G4</v>
          </cell>
        </row>
        <row r="6">
          <cell r="A6" t="str">
            <v>Banca Etrusca</v>
          </cell>
          <cell r="C6">
            <v>10605.2</v>
          </cell>
          <cell r="E6">
            <v>383.89999999999964</v>
          </cell>
          <cell r="G6" t="str">
            <v>G1</v>
          </cell>
        </row>
        <row r="7">
          <cell r="A7" t="str">
            <v>Banca Lariana</v>
          </cell>
          <cell r="C7">
            <v>11544</v>
          </cell>
          <cell r="E7">
            <v>561.60000000000218</v>
          </cell>
          <cell r="G7" t="str">
            <v>G2</v>
          </cell>
        </row>
        <row r="8">
          <cell r="A8" t="str">
            <v>Banca Sabina</v>
          </cell>
          <cell r="C8">
            <v>12804.1</v>
          </cell>
          <cell r="E8">
            <v>496.39999999999964</v>
          </cell>
          <cell r="G8" t="str">
            <v>G3</v>
          </cell>
        </row>
        <row r="9">
          <cell r="A9" t="str">
            <v>Banca Irpina</v>
          </cell>
          <cell r="C9">
            <v>13580.4</v>
          </cell>
          <cell r="E9">
            <v>798.90000000000146</v>
          </cell>
          <cell r="G9" t="str">
            <v>G4</v>
          </cell>
        </row>
        <row r="10">
          <cell r="A10" t="str">
            <v>Banca Sannita</v>
          </cell>
          <cell r="C10">
            <v>14812.8</v>
          </cell>
          <cell r="E10">
            <v>676.79999999999927</v>
          </cell>
          <cell r="G10" t="str">
            <v>G1</v>
          </cell>
        </row>
        <row r="11">
          <cell r="A11" t="str">
            <v>Banca Ligure</v>
          </cell>
          <cell r="C11">
            <v>15908.8</v>
          </cell>
          <cell r="E11">
            <v>739.20000000000073</v>
          </cell>
          <cell r="G11" t="str">
            <v>G2</v>
          </cell>
        </row>
        <row r="12">
          <cell r="A12" t="str">
            <v>Banca Veneta</v>
          </cell>
          <cell r="C12">
            <v>16773.599999999999</v>
          </cell>
          <cell r="E12">
            <v>890.30000000000291</v>
          </cell>
          <cell r="G12" t="str">
            <v>G3</v>
          </cell>
        </row>
        <row r="13">
          <cell r="A13" t="str">
            <v>Banca Friulana</v>
          </cell>
          <cell r="C13">
            <v>17926.2</v>
          </cell>
          <cell r="E13">
            <v>1015.3999999999978</v>
          </cell>
          <cell r="G13" t="str">
            <v>G4</v>
          </cell>
        </row>
        <row r="14">
          <cell r="A14" t="str">
            <v>Banca Umbra</v>
          </cell>
          <cell r="C14">
            <v>19110.3</v>
          </cell>
          <cell r="E14">
            <v>828.60000000000218</v>
          </cell>
          <cell r="G14" t="str">
            <v>G1</v>
          </cell>
        </row>
        <row r="15">
          <cell r="A15" t="str">
            <v>Banca Marchigiana</v>
          </cell>
          <cell r="C15">
            <v>20070.599999999999</v>
          </cell>
          <cell r="E15">
            <v>1076.6999999999971</v>
          </cell>
          <cell r="G15" t="str">
            <v>G2</v>
          </cell>
        </row>
        <row r="16">
          <cell r="A16" t="str">
            <v>Banca Lucana</v>
          </cell>
          <cell r="C16">
            <v>21317.7</v>
          </cell>
          <cell r="E16">
            <v>840.69999999999709</v>
          </cell>
          <cell r="G16" t="str">
            <v>G3</v>
          </cell>
        </row>
        <row r="17">
          <cell r="A17" t="str">
            <v>Banca Calabra</v>
          </cell>
          <cell r="C17">
            <v>22132.3</v>
          </cell>
          <cell r="E17">
            <v>1263.9000000000015</v>
          </cell>
          <cell r="G17" t="str">
            <v>G4</v>
          </cell>
        </row>
        <row r="18">
          <cell r="A18" t="str">
            <v>Banca Sicula</v>
          </cell>
          <cell r="C18">
            <v>23360.400000000001</v>
          </cell>
          <cell r="E18">
            <v>1157.3999999999978</v>
          </cell>
          <cell r="G18" t="str">
            <v>G1</v>
          </cell>
        </row>
        <row r="19">
          <cell r="A19" t="str">
            <v>Banca Sarda</v>
          </cell>
          <cell r="C19">
            <v>24226.7</v>
          </cell>
          <cell r="E19">
            <v>1400.2999999999956</v>
          </cell>
          <cell r="G19" t="str">
            <v>G2</v>
          </cell>
        </row>
        <row r="20">
          <cell r="A20" t="str">
            <v>Banca Romagnola</v>
          </cell>
          <cell r="C20">
            <v>25309.4</v>
          </cell>
          <cell r="E20">
            <v>1431.6999999999971</v>
          </cell>
          <cell r="G20" t="str">
            <v>G3</v>
          </cell>
        </row>
        <row r="21">
          <cell r="A21" t="str">
            <v>Banca Città</v>
          </cell>
          <cell r="C21">
            <v>26362.1</v>
          </cell>
          <cell r="E21">
            <v>1330.3000000000029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4</v>
          </cell>
        </row>
        <row r="4">
          <cell r="B4">
            <v>16749.499999999993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45188.399999999994</v>
      </c>
      <c r="D2">
        <f>[1]Calc_Region!E2</f>
        <v>968.47999999999979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70996.2</v>
      </c>
      <c r="D3">
        <f>[1]Calc_Region!E3</f>
        <v>1515.29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101807.29999999999</v>
      </c>
      <c r="D4">
        <f>[1]Calc_Region!E4</f>
        <v>2172.3300000000004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75423.5</v>
      </c>
      <c r="D5">
        <f>[1]Calc_Region!E5</f>
        <v>1611.2799999999997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50144.800000000003</v>
      </c>
      <c r="D6">
        <f>[1]Calc_Region!E6</f>
        <v>1070.76</v>
      </c>
    </row>
    <row r="9" spans="1:4" x14ac:dyDescent="0.25">
      <c r="A9" t="s">
        <v>17</v>
      </c>
      <c r="B9">
        <f>[1]Control!$B$3</f>
        <v>13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6542.2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7649.6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8739.0999999999985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9892.6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10989.1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12105.600000000002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13300.5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14379.300000000001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15489.599999999999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16648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17663.900000000001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18941.599999999999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19938.900000000001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21147.299999999996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22158.399999999998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23396.2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24517.8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25626.999999999996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26741.1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27692.400000000001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6339</v>
      </c>
      <c r="C2">
        <f>[2]Compare!E2</f>
        <v>203.19999999999982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7115.9</v>
      </c>
      <c r="C3">
        <f>[2]Compare!E3</f>
        <v>533.70000000000073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8260.7000000000007</v>
      </c>
      <c r="C4">
        <f>[2]Compare!E4</f>
        <v>478.39999999999782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9250.5</v>
      </c>
      <c r="C5">
        <f>[2]Compare!E5</f>
        <v>642.10000000000036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10605.2</v>
      </c>
      <c r="C6">
        <f>[2]Compare!E6</f>
        <v>383.89999999999964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11544</v>
      </c>
      <c r="C7">
        <f>[2]Compare!E7</f>
        <v>561.60000000000218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12804.1</v>
      </c>
      <c r="C8">
        <f>[2]Compare!E8</f>
        <v>496.39999999999964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13580.4</v>
      </c>
      <c r="C9">
        <f>[2]Compare!E9</f>
        <v>798.90000000000146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14812.8</v>
      </c>
      <c r="C10">
        <f>[2]Compare!E10</f>
        <v>676.79999999999927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15908.8</v>
      </c>
      <c r="C11">
        <f>[2]Compare!E11</f>
        <v>739.20000000000073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16773.599999999999</v>
      </c>
      <c r="C12">
        <f>[2]Compare!E12</f>
        <v>890.30000000000291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17926.2</v>
      </c>
      <c r="C13">
        <f>[2]Compare!E13</f>
        <v>1015.3999999999978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19110.3</v>
      </c>
      <c r="C14">
        <f>[2]Compare!E14</f>
        <v>828.60000000000218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20070.599999999999</v>
      </c>
      <c r="C15">
        <f>[2]Compare!E15</f>
        <v>1076.6999999999971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21317.7</v>
      </c>
      <c r="C16">
        <f>[2]Compare!E16</f>
        <v>840.69999999999709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22132.3</v>
      </c>
      <c r="C17">
        <f>[2]Compare!E17</f>
        <v>1263.9000000000015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23360.400000000001</v>
      </c>
      <c r="C18">
        <f>[2]Compare!E18</f>
        <v>1157.3999999999978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24226.7</v>
      </c>
      <c r="C19">
        <f>[2]Compare!E19</f>
        <v>1400.2999999999956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25309.4</v>
      </c>
      <c r="C20">
        <f>[2]Compare!E20</f>
        <v>1431.6999999999971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26362.1</v>
      </c>
      <c r="C21">
        <f>[2]Compare!E21</f>
        <v>1330.3000000000029</v>
      </c>
      <c r="D21" t="str">
        <f>[2]Compare!G21</f>
        <v>G4</v>
      </c>
    </row>
    <row r="24" spans="1:4" x14ac:dyDescent="0.25">
      <c r="A24" t="s">
        <v>22</v>
      </c>
      <c r="B24">
        <f>[2]Summary!B4</f>
        <v>16749.499999999993</v>
      </c>
    </row>
    <row r="25" spans="1:4" x14ac:dyDescent="0.25">
      <c r="A25" t="s">
        <v>23</v>
      </c>
      <c r="B25">
        <f>[2]Summary!$B$3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45188.399999999994</v>
      </c>
      <c r="C2">
        <f>SUMIFS(FromPeers!$B$2:$B$21,FromModel!$B$12:$B$31,A2)</f>
        <v>43042.3</v>
      </c>
      <c r="D2" cm="1">
        <f t="array" ref="D2">INDEX(RegTargets!$B$2:$AK$6,MATCH(A2,RegTargets!$A$2:$A$6,0),FromModel!$B$9)</f>
        <v>45276</v>
      </c>
      <c r="E2">
        <f t="shared" ref="E2:E6" si="0">B2-D2</f>
        <v>-87.600000000005821</v>
      </c>
      <c r="F2">
        <f t="shared" ref="F2:F6" si="1">B2/SUM($B$2:$B$6)</f>
        <v>0.13152978721050926</v>
      </c>
      <c r="G2">
        <f>SUMIFS(FromPeers!$C$2:$C$21,FromModel!$B$12:$B$31,A2)</f>
        <v>2146.1000000000031</v>
      </c>
      <c r="H2" t="str">
        <f t="shared" ref="H2:H6" si="2">IF(AND(E2&gt;0,G2&gt;0),"strong",IF(OR(E2&lt;0,G2&lt;0),"watch","neutral"))</f>
        <v>watch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70996.2</v>
      </c>
      <c r="C3">
        <f>SUMIFS(FromPeers!$B$2:$B$21,FromModel!$B$12:$B$31,A3)</f>
        <v>67125.100000000006</v>
      </c>
      <c r="D3" cm="1">
        <f t="array" ref="D3">INDEX(RegTargets!$B$2:$AK$6,MATCH(A3,RegTargets!$A$2:$A$6,0),FromModel!$B$9)</f>
        <v>32340</v>
      </c>
      <c r="E3">
        <f t="shared" si="0"/>
        <v>38656.199999999997</v>
      </c>
      <c r="F3">
        <f t="shared" si="1"/>
        <v>0.2066485000299802</v>
      </c>
      <c r="G3">
        <f>SUMIFS(FromPeers!$C$2:$C$21,FromModel!$B$12:$B$31,A3)</f>
        <v>3871.0999999999985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101807.29999999999</v>
      </c>
      <c r="C4">
        <f>SUMIFS(FromPeers!$B$2:$B$21,FromModel!$B$12:$B$31,A4)</f>
        <v>97213</v>
      </c>
      <c r="D4" cm="1">
        <f t="array" ref="D4">INDEX(RegTargets!$B$2:$AK$6,MATCH(A4,RegTargets!$A$2:$A$6,0),FromModel!$B$9)</f>
        <v>50666</v>
      </c>
      <c r="E4">
        <f t="shared" si="0"/>
        <v>51141.299999999988</v>
      </c>
      <c r="F4">
        <f t="shared" si="1"/>
        <v>0.29633030834188595</v>
      </c>
      <c r="G4">
        <f>SUMIFS(FromPeers!$C$2:$C$21,FromModel!$B$12:$B$31,A4)</f>
        <v>4594.2999999999993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75423.5</v>
      </c>
      <c r="C5">
        <f>SUMIFS(FromPeers!$B$2:$B$21,FromModel!$B$12:$B$31,A5)</f>
        <v>71843.199999999997</v>
      </c>
      <c r="D5" cm="1">
        <f t="array" ref="D5">INDEX(RegTargets!$B$2:$AK$6,MATCH(A5,RegTargets!$A$2:$A$6,0),FromModel!$B$9)</f>
        <v>28028</v>
      </c>
      <c r="E5">
        <f t="shared" si="0"/>
        <v>47395.5</v>
      </c>
      <c r="F5">
        <f t="shared" si="1"/>
        <v>0.21953503345265257</v>
      </c>
      <c r="G5">
        <f>SUMIFS(FromPeers!$C$2:$C$21,FromModel!$B$12:$B$31,A5)</f>
        <v>3580.2999999999993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50144.800000000003</v>
      </c>
      <c r="C6">
        <f>SUMIFS(FromPeers!$B$2:$B$21,FromModel!$B$12:$B$31,A6)</f>
        <v>47587.100000000006</v>
      </c>
      <c r="D6" cm="1">
        <f t="array" ref="D6">INDEX(RegTargets!$B$2:$AK$6,MATCH(A6,RegTargets!$A$2:$A$6,0),FromModel!$B$9)</f>
        <v>17248</v>
      </c>
      <c r="E6">
        <f t="shared" si="0"/>
        <v>32896.800000000003</v>
      </c>
      <c r="F6">
        <f t="shared" si="1"/>
        <v>0.1459563709649721</v>
      </c>
      <c r="G6">
        <f>SUMIFS(FromPeers!$C$2:$C$21,FromModel!$B$12:$B$31,A6)</f>
        <v>2557.6999999999935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343560.19999999995</v>
      </c>
    </row>
    <row r="3" spans="1:2" x14ac:dyDescent="0.25">
      <c r="A3" t="s">
        <v>36</v>
      </c>
      <c r="B3">
        <f>_xlfn.XLOOKUP(FromModel!B10,RegCalc!A2:A6,RegCalc!E2:E6,"n/a")</f>
        <v>51141.299999999988</v>
      </c>
    </row>
    <row r="4" spans="1:2" x14ac:dyDescent="0.25">
      <c r="A4" t="s">
        <v>37</v>
      </c>
      <c r="B4">
        <f>FromPeers!B24*1</f>
        <v>16749.499999999993</v>
      </c>
    </row>
    <row r="5" spans="1:2" x14ac:dyDescent="0.25">
      <c r="A5" t="s">
        <v>38</v>
      </c>
      <c r="B5">
        <f>_xlfn.XLOOKUP(FromModel!B10,RegCalc!A2:A6,RegCalc!G2:G6,"n/a")</f>
        <v>4594.2999999999993</v>
      </c>
    </row>
    <row r="6" spans="1:2" x14ac:dyDescent="0.25">
      <c r="A6" t="s">
        <v>23</v>
      </c>
      <c r="B6">
        <f>FromPeers!B25</f>
        <v>4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13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45188.399999999994</v>
      </c>
      <c r="E5">
        <f>RegCalc!D2</f>
        <v>45276</v>
      </c>
      <c r="F5">
        <f>RegCalc!E2</f>
        <v>-87.600000000005821</v>
      </c>
      <c r="G5">
        <f>RegCalc!F2</f>
        <v>0.13152978721050926</v>
      </c>
      <c r="H5" t="str">
        <f>RegCalc!H2</f>
        <v>watch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70996.2</v>
      </c>
      <c r="E6">
        <f>RegCalc!D3</f>
        <v>32340</v>
      </c>
      <c r="F6">
        <f>RegCalc!E3</f>
        <v>38656.199999999997</v>
      </c>
      <c r="G6">
        <f>RegCalc!F3</f>
        <v>0.2066485000299802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101807.29999999999</v>
      </c>
      <c r="E7">
        <f>RegCalc!D4</f>
        <v>50666</v>
      </c>
      <c r="F7">
        <f>RegCalc!E4</f>
        <v>51141.299999999988</v>
      </c>
      <c r="G7">
        <f>RegCalc!F4</f>
        <v>0.29633030834188595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75423.5</v>
      </c>
      <c r="E8">
        <f>RegCalc!D5</f>
        <v>28028</v>
      </c>
      <c r="F8">
        <f>RegCalc!E5</f>
        <v>47395.5</v>
      </c>
      <c r="G8">
        <f>RegCalc!F5</f>
        <v>0.21953503345265257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50144.800000000003</v>
      </c>
      <c r="E9">
        <f>RegCalc!D6</f>
        <v>17248</v>
      </c>
      <c r="F9">
        <f>RegCalc!E6</f>
        <v>32896.800000000003</v>
      </c>
      <c r="G9">
        <f>RegCalc!F6</f>
        <v>0.1459563709649721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2</v>
      </c>
      <c r="D5" cm="1">
        <f t="array" ref="D5">INDEX(RegCalc!$B$10:$B$45,C5)</f>
        <v>47564</v>
      </c>
      <c r="E5" cm="1">
        <f t="array" ref="E5">INDEX(RegCalc!$C$10:$C$45,C5)</f>
        <v>316027.19999999995</v>
      </c>
      <c r="F5">
        <f t="shared" ref="F5:F16" si="0">IFERROR(E5/D5,0)</f>
        <v>6.6442519552602803</v>
      </c>
    </row>
    <row r="6" spans="2:7" x14ac:dyDescent="0.25">
      <c r="C6">
        <f>FromModel!$B$9-12+ROW()-4</f>
        <v>3</v>
      </c>
      <c r="D6" cm="1">
        <f t="array" ref="D6">INDEX(RegCalc!$B$10:$B$45,C6)</f>
        <v>47846</v>
      </c>
      <c r="E6" cm="1">
        <f t="array" ref="E6">INDEX(RegCalc!$C$10:$C$45,C6)</f>
        <v>318212.59999999998</v>
      </c>
      <c r="F6">
        <f t="shared" si="0"/>
        <v>6.650767044267023</v>
      </c>
    </row>
    <row r="7" spans="2:7" x14ac:dyDescent="0.25">
      <c r="C7">
        <f>FromModel!$B$9-12+ROW()-4</f>
        <v>4</v>
      </c>
      <c r="D7" cm="1">
        <f t="array" ref="D7">INDEX(RegCalc!$B$10:$B$45,C7)</f>
        <v>48128</v>
      </c>
      <c r="E7" cm="1">
        <f t="array" ref="E7">INDEX(RegCalc!$C$10:$C$45,C7)</f>
        <v>321020.5</v>
      </c>
      <c r="F7">
        <f t="shared" si="0"/>
        <v>6.6701400432180851</v>
      </c>
    </row>
    <row r="8" spans="2:7" x14ac:dyDescent="0.25">
      <c r="C8">
        <f>FromModel!$B$9-12+ROW()-4</f>
        <v>5</v>
      </c>
      <c r="D8" cm="1">
        <f t="array" ref="D8">INDEX(RegCalc!$B$10:$B$45,C8)</f>
        <v>48410</v>
      </c>
      <c r="E8" cm="1">
        <f t="array" ref="E8">INDEX(RegCalc!$C$10:$C$45,C8)</f>
        <v>323839.09999999998</v>
      </c>
      <c r="F8">
        <f t="shared" si="0"/>
        <v>6.6895083660400738</v>
      </c>
    </row>
    <row r="9" spans="2:7" x14ac:dyDescent="0.25">
      <c r="C9">
        <f>FromModel!$B$9-12+ROW()-4</f>
        <v>6</v>
      </c>
      <c r="D9" cm="1">
        <f t="array" ref="D9">INDEX(RegCalc!$B$10:$B$45,C9)</f>
        <v>48692</v>
      </c>
      <c r="E9" cm="1">
        <f t="array" ref="E9">INDEX(RegCalc!$C$10:$C$45,C9)</f>
        <v>326227.20000000007</v>
      </c>
      <c r="F9">
        <f t="shared" si="0"/>
        <v>6.6998110572578673</v>
      </c>
    </row>
    <row r="10" spans="2:7" x14ac:dyDescent="0.25">
      <c r="C10">
        <f>FromModel!$B$9-12+ROW()-4</f>
        <v>7</v>
      </c>
      <c r="D10" cm="1">
        <f t="array" ref="D10">INDEX(RegCalc!$B$10:$B$45,C10)</f>
        <v>48974</v>
      </c>
      <c r="E10" cm="1">
        <f t="array" ref="E10">INDEX(RegCalc!$C$10:$C$45,C10)</f>
        <v>328451.69999999995</v>
      </c>
      <c r="F10">
        <f t="shared" si="0"/>
        <v>6.7066545513946165</v>
      </c>
    </row>
    <row r="11" spans="2:7" x14ac:dyDescent="0.25">
      <c r="C11">
        <f>FromModel!$B$9-12+ROW()-4</f>
        <v>8</v>
      </c>
      <c r="D11" cm="1">
        <f t="array" ref="D11">INDEX(RegCalc!$B$10:$B$45,C11)</f>
        <v>49256</v>
      </c>
      <c r="E11" cm="1">
        <f t="array" ref="E11">INDEX(RegCalc!$C$10:$C$45,C11)</f>
        <v>330859.39999999997</v>
      </c>
      <c r="F11">
        <f t="shared" si="0"/>
        <v>6.7171390287477664</v>
      </c>
    </row>
    <row r="12" spans="2:7" x14ac:dyDescent="0.25">
      <c r="C12">
        <f>FromModel!$B$9-12+ROW()-4</f>
        <v>9</v>
      </c>
      <c r="D12" cm="1">
        <f t="array" ref="D12">INDEX(RegCalc!$B$10:$B$45,C12)</f>
        <v>49538</v>
      </c>
      <c r="E12" cm="1">
        <f t="array" ref="E12">INDEX(RegCalc!$C$10:$C$45,C12)</f>
        <v>333869.20000000007</v>
      </c>
      <c r="F12">
        <f t="shared" si="0"/>
        <v>6.7396584440227718</v>
      </c>
    </row>
    <row r="13" spans="2:7" x14ac:dyDescent="0.25">
      <c r="C13">
        <f>FromModel!$B$9-12+ROW()-4</f>
        <v>10</v>
      </c>
      <c r="D13" cm="1">
        <f t="array" ref="D13">INDEX(RegCalc!$B$10:$B$45,C13)</f>
        <v>49820</v>
      </c>
      <c r="E13" cm="1">
        <f t="array" ref="E13">INDEX(RegCalc!$C$10:$C$45,C13)</f>
        <v>335727.5</v>
      </c>
      <c r="F13">
        <f t="shared" si="0"/>
        <v>6.7388097149739057</v>
      </c>
    </row>
    <row r="14" spans="2:7" x14ac:dyDescent="0.25">
      <c r="C14">
        <f>FromModel!$B$9-12+ROW()-4</f>
        <v>11</v>
      </c>
      <c r="D14" cm="1">
        <f t="array" ref="D14">INDEX(RegCalc!$B$10:$B$45,C14)</f>
        <v>50102</v>
      </c>
      <c r="E14" cm="1">
        <f t="array" ref="E14">INDEX(RegCalc!$C$10:$C$45,C14)</f>
        <v>338543.19999999995</v>
      </c>
      <c r="F14">
        <f t="shared" si="0"/>
        <v>6.7570795577022862</v>
      </c>
    </row>
    <row r="15" spans="2:7" x14ac:dyDescent="0.25">
      <c r="C15">
        <f>FromModel!$B$9-12+ROW()-4</f>
        <v>12</v>
      </c>
      <c r="D15" cm="1">
        <f t="array" ref="D15">INDEX(RegCalc!$B$10:$B$45,C15)</f>
        <v>50384</v>
      </c>
      <c r="E15" cm="1">
        <f t="array" ref="E15">INDEX(RegCalc!$C$10:$C$45,C15)</f>
        <v>340849.5</v>
      </c>
      <c r="F15">
        <f t="shared" si="0"/>
        <v>6.7650345347729441</v>
      </c>
    </row>
    <row r="16" spans="2:7" x14ac:dyDescent="0.25">
      <c r="C16">
        <f>FromModel!$B$9-12+ROW()-4</f>
        <v>13</v>
      </c>
      <c r="D16" cm="1">
        <f t="array" ref="D16">INDEX(RegCalc!$B$10:$B$45,C16)</f>
        <v>50666</v>
      </c>
      <c r="E16" cm="1">
        <f t="array" ref="E16">INDEX(RegCalc!$C$10:$C$45,C16)</f>
        <v>343560.2</v>
      </c>
      <c r="F16">
        <f t="shared" si="0"/>
        <v>6.7808826431926734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43042.3</v>
      </c>
      <c r="E5">
        <f>RegCalc!G2</f>
        <v>2146.1000000000031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67125.100000000006</v>
      </c>
      <c r="E6">
        <f>RegCalc!G3</f>
        <v>3871.0999999999985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97213</v>
      </c>
      <c r="E7">
        <f>RegCalc!G4</f>
        <v>4594.2999999999993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71843.199999999997</v>
      </c>
      <c r="E8">
        <f>RegCalc!G5</f>
        <v>3580.2999999999993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47587.100000000006</v>
      </c>
      <c r="E9">
        <f>RegCalc!G6</f>
        <v>2557.6999999999935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2026-10-17T11:54:48Z</dcterms:modified>
</cp:coreProperties>
</file>