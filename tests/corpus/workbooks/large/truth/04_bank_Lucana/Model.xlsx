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DA6B5932-2681-497F-B858-E6B73203313D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I13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D3" i="13" s="1"/>
  <c r="H5" i="31" s="1" a="1"/>
  <c r="H5" i="31" s="1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E6" i="30" s="1" a="1"/>
  <c r="E6" i="30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F9" i="13" s="1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N11" i="13" s="1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E13" i="30" s="1" a="1"/>
  <c r="E13" i="30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F13" i="13" s="1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W17" i="9"/>
  <c r="R20" i="9"/>
  <c r="S20" i="9" s="1"/>
  <c r="P17" i="9"/>
  <c r="M17" i="9"/>
  <c r="E17" i="9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E6" i="44" s="1" a="1"/>
  <c r="E6" i="44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E14" i="46" s="1" a="1"/>
  <c r="E14" i="46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B7" i="20" a="1"/>
  <c r="B2" i="20" a="1"/>
  <c r="Y13" i="13" l="1"/>
  <c r="AC12" i="13"/>
  <c r="G14" i="31" s="1" a="1"/>
  <c r="G14" i="31" s="1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B18" i="8"/>
  <c r="T18" i="8" s="1"/>
  <c r="D17" i="8"/>
  <c r="K2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K27" i="8"/>
  <c r="P9" i="9"/>
  <c r="Q9" i="9" s="1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F14" i="31" s="1" a="1"/>
  <c r="F14" i="31" s="1"/>
  <c r="AJ10" i="13"/>
  <c r="P7" i="13"/>
  <c r="H5" i="13"/>
  <c r="P46" i="12"/>
  <c r="C12" i="16"/>
  <c r="H12" i="16" s="1"/>
  <c r="E15" i="34" s="1"/>
  <c r="I11" i="16"/>
  <c r="D32" i="8"/>
  <c r="E32" i="8"/>
  <c r="C11" i="8"/>
  <c r="H17" i="8" a="1"/>
  <c r="H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P8" i="9"/>
  <c r="W10" i="9"/>
  <c r="X10" i="9" s="1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R17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E12" i="31" s="1" a="1"/>
  <c r="E12" i="31" s="1"/>
  <c r="K10" i="13"/>
  <c r="AI8" i="13"/>
  <c r="G7" i="13"/>
  <c r="AE5" i="13"/>
  <c r="I7" i="31" s="1" a="1"/>
  <c r="I7" i="31" s="1"/>
  <c r="W46" i="12"/>
  <c r="G46" i="12"/>
  <c r="G9" i="16"/>
  <c r="B3" i="19"/>
  <c r="B11" i="8"/>
  <c r="K3" i="8"/>
  <c r="D4" i="9"/>
  <c r="G4" i="9"/>
  <c r="H4" i="9" s="1"/>
  <c r="N10" i="9"/>
  <c r="O10" i="9" s="1"/>
  <c r="P3" i="9"/>
  <c r="Q3" i="9" s="1"/>
  <c r="F5" i="10"/>
  <c r="AD13" i="13"/>
  <c r="H15" i="31" s="1" a="1"/>
  <c r="H15" i="31" s="1"/>
  <c r="AH12" i="13"/>
  <c r="F11" i="13"/>
  <c r="F7" i="13"/>
  <c r="AD5" i="13"/>
  <c r="H7" i="31" s="1" a="1"/>
  <c r="H7" i="31" s="1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C9" i="9"/>
  <c r="Y9" i="9" s="1"/>
  <c r="D2" i="9"/>
  <c r="F2" i="9" s="1"/>
  <c r="V13" i="9"/>
  <c r="W3" i="9"/>
  <c r="X3" i="9" s="1"/>
  <c r="I2" i="11"/>
  <c r="F5" i="26" s="1"/>
  <c r="L13" i="13"/>
  <c r="AF12" i="13"/>
  <c r="H3" i="8" a="1"/>
  <c r="H3" i="8" s="1"/>
  <c r="W11" i="9"/>
  <c r="C10" i="9"/>
  <c r="Q10" i="9" s="1"/>
  <c r="C12" i="8"/>
  <c r="H19" i="8" a="1"/>
  <c r="H19" i="8" s="1"/>
  <c r="AI46" i="12"/>
  <c r="D6" i="16"/>
  <c r="B2" i="20"/>
  <c r="D10" i="42" s="1"/>
  <c r="B7" i="20"/>
  <c r="E10" i="45" a="1"/>
  <c r="E10" i="45" s="1"/>
  <c r="E8" i="45" a="1"/>
  <c r="E8" i="45" s="1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H18" i="31" s="1" a="1"/>
  <c r="H18" i="31" s="1"/>
  <c r="R61" i="12"/>
  <c r="R15" i="14"/>
  <c r="R15" i="13"/>
  <c r="V14" i="13"/>
  <c r="V60" i="12"/>
  <c r="V14" i="14"/>
  <c r="AD58" i="12"/>
  <c r="AD12" i="14"/>
  <c r="AD12" i="13"/>
  <c r="H14" i="31" s="1" a="1"/>
  <c r="H14" i="31" s="1"/>
  <c r="N58" i="12"/>
  <c r="N12" i="14"/>
  <c r="N12" i="13"/>
  <c r="V56" i="12"/>
  <c r="V10" i="13"/>
  <c r="V10" i="14"/>
  <c r="F56" i="12"/>
  <c r="F10" i="13"/>
  <c r="F10" i="14"/>
  <c r="Z55" i="12"/>
  <c r="Z9" i="13"/>
  <c r="D11" i="31" s="1" a="1"/>
  <c r="D11" i="31" s="1"/>
  <c r="Z9" i="14"/>
  <c r="J55" i="12"/>
  <c r="J9" i="13"/>
  <c r="J9" i="14"/>
  <c r="AD54" i="12"/>
  <c r="AD8" i="14"/>
  <c r="AD8" i="13"/>
  <c r="H10" i="31" s="1" a="1"/>
  <c r="H10" i="31" s="1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D7" i="31" s="1" a="1"/>
  <c r="D7" i="31" s="1"/>
  <c r="J51" i="12"/>
  <c r="J5" i="14"/>
  <c r="J5" i="13"/>
  <c r="AD50" i="12"/>
  <c r="AD4" i="14"/>
  <c r="AD4" i="13"/>
  <c r="H6" i="31" s="1" a="1"/>
  <c r="H6" i="31" s="1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G22" i="31" s="1" a="1"/>
  <c r="G22" i="31" s="1"/>
  <c r="AC66" i="12"/>
  <c r="B8" i="10"/>
  <c r="F8" i="10"/>
  <c r="K8" i="10"/>
  <c r="Z67" i="12"/>
  <c r="Z21" i="14"/>
  <c r="Z21" i="13"/>
  <c r="D23" i="31" s="1" a="1"/>
  <c r="D23" i="31" s="1"/>
  <c r="AD66" i="12"/>
  <c r="AD20" i="14"/>
  <c r="AD20" i="13"/>
  <c r="H22" i="31" s="1" a="1"/>
  <c r="H22" i="31" s="1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E9" i="43" a="1"/>
  <c r="E9" i="43" s="1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Q13" i="9"/>
  <c r="B29" i="8"/>
  <c r="E29" i="8"/>
  <c r="E4" i="8"/>
  <c r="F13" i="8"/>
  <c r="U2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D19" i="31" s="1" a="1"/>
  <c r="D19" i="31" s="1"/>
  <c r="AH61" i="12"/>
  <c r="AH15" i="14"/>
  <c r="AH15" i="13"/>
  <c r="F14" i="13"/>
  <c r="F60" i="12"/>
  <c r="F14" i="14"/>
  <c r="AH57" i="12"/>
  <c r="AH11" i="14"/>
  <c r="AH11" i="13"/>
  <c r="P2" i="8"/>
  <c r="E26" i="8"/>
  <c r="E11" i="45" s="1" a="1"/>
  <c r="E11" i="45" s="1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E8" i="43" a="1"/>
  <c r="E8" i="43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O18" i="9"/>
  <c r="G18" i="9"/>
  <c r="C18" i="9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Z20" i="9"/>
  <c r="P17" i="8"/>
  <c r="A32" i="21"/>
  <c r="A14" i="22"/>
  <c r="C17" i="39" s="1"/>
  <c r="R14" i="9"/>
  <c r="S14" i="9" s="1"/>
  <c r="N14" i="9"/>
  <c r="O14" i="9" s="1"/>
  <c r="B14" i="9"/>
  <c r="F7" i="47"/>
  <c r="Z59" i="12"/>
  <c r="Z13" i="13"/>
  <c r="D15" i="31" s="1" a="1"/>
  <c r="D15" i="31" s="1"/>
  <c r="Z13" i="14"/>
  <c r="B57" i="12"/>
  <c r="B11" i="14"/>
  <c r="H22" i="8" a="1"/>
  <c r="H22" i="8" s="1"/>
  <c r="N5" i="8"/>
  <c r="Z2" i="9"/>
  <c r="L17" i="8"/>
  <c r="B36" i="8"/>
  <c r="X13" i="9"/>
  <c r="G15" i="9"/>
  <c r="D31" i="8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I17" i="8"/>
  <c r="K34" i="8"/>
  <c r="K4" i="8"/>
  <c r="M18" i="8"/>
  <c r="N28" i="8"/>
  <c r="R30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F21" i="31" s="1" a="1"/>
  <c r="F21" i="31" s="1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F17" i="31" s="1" a="1"/>
  <c r="F17" i="31" s="1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L22" i="14" s="1" a="1"/>
  <c r="AL22" i="14" s="1"/>
  <c r="G24" i="30" s="1"/>
  <c r="AE22" i="13"/>
  <c r="I24" i="31" s="1" a="1"/>
  <c r="I24" i="31" s="1"/>
  <c r="AE68" i="12"/>
  <c r="E24" i="30" s="1" a="1"/>
  <c r="E24" i="30" s="1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E21" i="31" s="1" a="1"/>
  <c r="E21" i="31" s="1"/>
  <c r="AA65" i="12"/>
  <c r="K19" i="14"/>
  <c r="K19" i="13"/>
  <c r="K65" i="12"/>
  <c r="E20" i="41" a="1"/>
  <c r="E20" i="41" s="1"/>
  <c r="B27" i="20" a="1"/>
  <c r="B27" i="20" s="1"/>
  <c r="D20" i="41" s="1"/>
  <c r="F20" i="41" s="1"/>
  <c r="D20" i="30" a="1"/>
  <c r="D20" i="30" s="1"/>
  <c r="AE18" i="14"/>
  <c r="AL18" i="14" s="1" a="1"/>
  <c r="AL18" i="14" s="1"/>
  <c r="G20" i="30" s="1"/>
  <c r="AE18" i="13"/>
  <c r="I20" i="31" s="1" a="1"/>
  <c r="I20" i="31" s="1"/>
  <c r="AE64" i="12"/>
  <c r="E20" i="30" s="1" a="1"/>
  <c r="E20" i="30" s="1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E17" i="31" s="1" a="1"/>
  <c r="E17" i="31" s="1"/>
  <c r="AA61" i="12"/>
  <c r="K15" i="14"/>
  <c r="K15" i="13"/>
  <c r="K61" i="12"/>
  <c r="E13" i="44" a="1"/>
  <c r="E13" i="44" s="1"/>
  <c r="N21" i="9"/>
  <c r="O21" i="9" s="1"/>
  <c r="AA8" i="9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Q8" i="9"/>
  <c r="Y8" i="9"/>
  <c r="M22" i="13"/>
  <c r="M22" i="14"/>
  <c r="M68" i="12"/>
  <c r="AK20" i="13"/>
  <c r="AK66" i="12"/>
  <c r="AK20" i="14"/>
  <c r="E20" i="13"/>
  <c r="E20" i="14"/>
  <c r="E66" i="12"/>
  <c r="AC18" i="14"/>
  <c r="AC18" i="13"/>
  <c r="G20" i="31" s="1" a="1"/>
  <c r="G20" i="31" s="1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G16" i="31" s="1" a="1"/>
  <c r="G16" i="31" s="1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G12" i="31" s="1" a="1"/>
  <c r="G12" i="31" s="1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Z18" i="9"/>
  <c r="E12" i="44" a="1"/>
  <c r="E12" i="44" s="1"/>
  <c r="R27" i="8"/>
  <c r="D4" i="11"/>
  <c r="E5" i="45" a="1"/>
  <c r="E5" i="45" s="1"/>
  <c r="P16" i="8"/>
  <c r="M16" i="8"/>
  <c r="I16" i="8"/>
  <c r="M15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D5" i="28" a="1"/>
  <c r="D5" i="28" s="1"/>
  <c r="E11" i="43" a="1"/>
  <c r="E11" i="43" s="1"/>
  <c r="N26" i="8"/>
  <c r="D10" i="32"/>
  <c r="B7" i="22"/>
  <c r="K7" i="16"/>
  <c r="G10" i="34" s="1"/>
  <c r="Y7" i="9"/>
  <c r="B23" i="1" a="1"/>
  <c r="B23" i="1" s="1"/>
  <c r="C25" i="8"/>
  <c r="L27" i="8" s="1"/>
  <c r="F25" i="8"/>
  <c r="E10" i="46" s="1" a="1"/>
  <c r="E10" i="46" s="1"/>
  <c r="B25" i="8"/>
  <c r="C9" i="8"/>
  <c r="L10" i="8" s="1"/>
  <c r="F9" i="8"/>
  <c r="R9" i="8" s="1"/>
  <c r="B9" i="8"/>
  <c r="B26" i="8"/>
  <c r="E10" i="8"/>
  <c r="F20" i="8"/>
  <c r="E5" i="46" s="1" a="1"/>
  <c r="E5" i="46" s="1"/>
  <c r="J14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N15" i="8"/>
  <c r="D7" i="32"/>
  <c r="B4" i="22"/>
  <c r="Q4" i="9"/>
  <c r="E21" i="9"/>
  <c r="N16" i="9"/>
  <c r="O16" i="9" s="1"/>
  <c r="O6" i="9"/>
  <c r="X2" i="9"/>
  <c r="L6" i="11"/>
  <c r="J9" i="26" s="1"/>
  <c r="B16" i="9"/>
  <c r="I16" i="9"/>
  <c r="AC68" i="12"/>
  <c r="AC22" i="14"/>
  <c r="AC22" i="13"/>
  <c r="G24" i="31" s="1" a="1"/>
  <c r="G24" i="31" s="1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P37" i="8"/>
  <c r="C14" i="8"/>
  <c r="D26" i="8"/>
  <c r="R3" i="8"/>
  <c r="E13" i="8"/>
  <c r="Q13" i="8" s="1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E8" i="46" s="1" a="1"/>
  <c r="E8" i="46" s="1"/>
  <c r="B23" i="8"/>
  <c r="D23" i="8"/>
  <c r="F7" i="8"/>
  <c r="B7" i="8"/>
  <c r="D7" i="8"/>
  <c r="B20" i="8"/>
  <c r="P32" i="8"/>
  <c r="M32" i="8"/>
  <c r="N8" i="8"/>
  <c r="H6" i="44"/>
  <c r="I6" i="44" s="1"/>
  <c r="E8" i="8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E15" i="44" a="1"/>
  <c r="E15" i="44" s="1"/>
  <c r="H30" i="8" a="1"/>
  <c r="H30" i="8" s="1"/>
  <c r="D12" i="32"/>
  <c r="B9" i="22"/>
  <c r="K9" i="16"/>
  <c r="G12" i="34" s="1"/>
  <c r="H9" i="9"/>
  <c r="F5" i="47"/>
  <c r="N6" i="10"/>
  <c r="O6" i="10" s="1" a="1"/>
  <c r="O6" i="10" s="1"/>
  <c r="N5" i="10"/>
  <c r="O5" i="10" s="1" a="1"/>
  <c r="O5" i="10" s="1"/>
  <c r="J8" i="27" s="1"/>
  <c r="F22" i="8"/>
  <c r="E7" i="46" s="1" a="1"/>
  <c r="E7" i="46" s="1"/>
  <c r="B22" i="8"/>
  <c r="F6" i="8"/>
  <c r="R6" i="8" s="1"/>
  <c r="B6" i="8"/>
  <c r="E16" i="43" a="1"/>
  <c r="E16" i="43" s="1"/>
  <c r="B2" i="23" a="1"/>
  <c r="B2" i="23" s="1"/>
  <c r="M31" i="8"/>
  <c r="D20" i="8"/>
  <c r="E16" i="45" a="1"/>
  <c r="E16" i="45" s="1"/>
  <c r="B4" i="23" a="1"/>
  <c r="B4" i="23" s="1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I15" i="8" s="1"/>
  <c r="H23" i="8" a="1"/>
  <c r="H23" i="8" s="1"/>
  <c r="I23" i="8" s="1"/>
  <c r="H31" i="8" a="1"/>
  <c r="H31" i="8" s="1"/>
  <c r="B7" i="23" s="1" a="1"/>
  <c r="B7" i="23" s="1"/>
  <c r="C7" i="23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Z4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G18" i="31" s="1" a="1"/>
  <c r="G18" i="31" s="1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F22" i="31" s="1" a="1"/>
  <c r="F22" i="31" s="1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F18" i="31" s="1" a="1"/>
  <c r="F18" i="31" s="1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J4" i="9" s="1"/>
  <c r="M20" i="9"/>
  <c r="M4" i="9"/>
  <c r="N8" i="9"/>
  <c r="O8" i="9" s="1"/>
  <c r="R8" i="9"/>
  <c r="S8" i="9" s="1"/>
  <c r="X20" i="9"/>
  <c r="X4" i="9"/>
  <c r="C6" i="10"/>
  <c r="E6" i="10" s="1"/>
  <c r="K6" i="10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E22" i="31" s="1" a="1"/>
  <c r="E22" i="31" s="1"/>
  <c r="K20" i="14"/>
  <c r="K20" i="13"/>
  <c r="K66" i="12"/>
  <c r="E21" i="41" a="1"/>
  <c r="E21" i="41" s="1"/>
  <c r="B28" i="20" a="1"/>
  <c r="B28" i="20" s="1"/>
  <c r="D21" i="41" s="1"/>
  <c r="F21" i="41" s="1"/>
  <c r="D21" i="30" a="1"/>
  <c r="D21" i="30" s="1"/>
  <c r="AE19" i="14"/>
  <c r="AL19" i="14" s="1" a="1"/>
  <c r="AL19" i="14" s="1"/>
  <c r="G21" i="30" s="1"/>
  <c r="AE65" i="12"/>
  <c r="E21" i="30" s="1" a="1"/>
  <c r="E21" i="30" s="1"/>
  <c r="AE19" i="13"/>
  <c r="I21" i="31" s="1" a="1"/>
  <c r="I21" i="31" s="1"/>
  <c r="O19" i="14"/>
  <c r="AI18" i="13"/>
  <c r="C18" i="13"/>
  <c r="AE15" i="13"/>
  <c r="I17" i="31" s="1" a="1"/>
  <c r="I17" i="31" s="1"/>
  <c r="AE23" i="12"/>
  <c r="E5" i="42" s="1" a="1"/>
  <c r="E5" i="42" s="1"/>
  <c r="C35" i="8"/>
  <c r="L37" i="8" s="1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J3" i="9" s="1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D22" i="31" s="1" a="1"/>
  <c r="D22" i="31" s="1"/>
  <c r="J20" i="14"/>
  <c r="J20" i="13"/>
  <c r="J66" i="12"/>
  <c r="AD19" i="14"/>
  <c r="AD19" i="13"/>
  <c r="H21" i="31" s="1" a="1"/>
  <c r="H21" i="31" s="1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D18" i="31" s="1" a="1"/>
  <c r="D18" i="31" s="1"/>
  <c r="Z62" i="12"/>
  <c r="J16" i="14"/>
  <c r="J16" i="13"/>
  <c r="J62" i="12"/>
  <c r="AD15" i="14"/>
  <c r="AD61" i="12"/>
  <c r="AD15" i="13"/>
  <c r="H17" i="31" s="1" a="1"/>
  <c r="H17" i="31" s="1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G21" i="31" s="1" a="1"/>
  <c r="G21" i="31" s="1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F13" i="31" s="1" a="1"/>
  <c r="F13" i="31" s="1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F5" i="31" s="1" a="1"/>
  <c r="F5" i="31" s="1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L14" i="14" s="1" a="1"/>
  <c r="AL14" i="14" s="1"/>
  <c r="G16" i="30" s="1"/>
  <c r="AE14" i="13"/>
  <c r="I16" i="31" s="1" a="1"/>
  <c r="I16" i="31" s="1"/>
  <c r="AE60" i="12"/>
  <c r="E16" i="30" s="1" a="1"/>
  <c r="E16" i="30" s="1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E13" i="31" s="1" a="1"/>
  <c r="E13" i="31" s="1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L10" i="14" s="1" a="1"/>
  <c r="AL10" i="14" s="1"/>
  <c r="G12" i="30" s="1"/>
  <c r="AE10" i="13"/>
  <c r="I12" i="31" s="1" a="1"/>
  <c r="I12" i="31" s="1"/>
  <c r="AE56" i="12"/>
  <c r="E12" i="30" s="1" a="1"/>
  <c r="E12" i="30" s="1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E9" i="31" s="1" a="1"/>
  <c r="E9" i="31" s="1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I8" i="31" s="1" a="1"/>
  <c r="I8" i="31" s="1"/>
  <c r="AE6" i="14"/>
  <c r="AL6" i="14" s="1" a="1"/>
  <c r="AL6" i="14" s="1"/>
  <c r="G8" i="30" s="1"/>
  <c r="AE52" i="12"/>
  <c r="E8" i="30" s="1" a="1"/>
  <c r="E8" i="30" s="1"/>
  <c r="O6" i="13"/>
  <c r="O6" i="14"/>
  <c r="O52" i="12"/>
  <c r="AI5" i="14"/>
  <c r="AI51" i="12"/>
  <c r="AI5" i="13"/>
  <c r="S5" i="13"/>
  <c r="S51" i="12"/>
  <c r="S5" i="14"/>
  <c r="C5" i="14"/>
  <c r="C5" i="13"/>
  <c r="C51" i="12"/>
  <c r="Y3" i="9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D21" i="31" s="1" a="1"/>
  <c r="D21" i="31" s="1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D17" i="31" s="1" a="1"/>
  <c r="D17" i="31" s="1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G8" i="31" s="1" a="1"/>
  <c r="G8" i="31" s="1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F24" i="31" s="1" a="1"/>
  <c r="F24" i="31" s="1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F20" i="31" s="1" a="1"/>
  <c r="F20" i="31" s="1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E23" i="30" s="1" a="1"/>
  <c r="E23" i="30" s="1"/>
  <c r="AE21" i="14"/>
  <c r="AL21" i="14" s="1" a="1"/>
  <c r="AL21" i="14" s="1"/>
  <c r="G23" i="30" s="1"/>
  <c r="AE21" i="13"/>
  <c r="I23" i="31" s="1" a="1"/>
  <c r="I23" i="31" s="1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E20" i="31" s="1" a="1"/>
  <c r="E20" i="31" s="1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E19" i="30" s="1" a="1"/>
  <c r="E19" i="30" s="1"/>
  <c r="AE17" i="13"/>
  <c r="I19" i="31" s="1" a="1"/>
  <c r="I19" i="31" s="1"/>
  <c r="AE17" i="14"/>
  <c r="AL17" i="14" s="1" a="1"/>
  <c r="AL17" i="14" s="1"/>
  <c r="G19" i="30" s="1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X11" i="9"/>
  <c r="Z22" i="14"/>
  <c r="Z22" i="13"/>
  <c r="D24" i="31" s="1" a="1"/>
  <c r="D24" i="31" s="1"/>
  <c r="Z68" i="12"/>
  <c r="J22" i="14"/>
  <c r="J22" i="13"/>
  <c r="J68" i="12"/>
  <c r="AD21" i="13"/>
  <c r="H23" i="31" s="1" a="1"/>
  <c r="H23" i="31" s="1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D20" i="31" s="1" a="1"/>
  <c r="D20" i="31" s="1"/>
  <c r="Z64" i="12"/>
  <c r="Z18" i="14"/>
  <c r="J18" i="13"/>
  <c r="J18" i="14"/>
  <c r="J64" i="12"/>
  <c r="AD17" i="13"/>
  <c r="H19" i="31" s="1" a="1"/>
  <c r="H19" i="31" s="1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L6" i="10"/>
  <c r="H9" i="27" s="1"/>
  <c r="B3" i="22"/>
  <c r="D6" i="32"/>
  <c r="K3" i="16"/>
  <c r="G6" i="34" s="1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G23" i="31" s="1" a="1"/>
  <c r="G23" i="31" s="1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E24" i="31" s="1" a="1"/>
  <c r="E24" i="31" s="1"/>
  <c r="AA68" i="12"/>
  <c r="D6" i="29" a="1"/>
  <c r="D6" i="29" s="1"/>
  <c r="E35" i="8"/>
  <c r="Q35" i="8" s="1"/>
  <c r="E19" i="8"/>
  <c r="Q19" i="8" s="1"/>
  <c r="E3" i="8"/>
  <c r="Q3" i="8" s="1"/>
  <c r="N27" i="8"/>
  <c r="N11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J9" i="9" s="1"/>
  <c r="M9" i="9"/>
  <c r="N13" i="9"/>
  <c r="O13" i="9" s="1"/>
  <c r="R13" i="9"/>
  <c r="S13" i="9" s="1"/>
  <c r="X9" i="9"/>
  <c r="C2" i="11"/>
  <c r="X22" i="14"/>
  <c r="X22" i="13"/>
  <c r="X68" i="12"/>
  <c r="H22" i="14"/>
  <c r="H22" i="13"/>
  <c r="H68" i="12"/>
  <c r="AB21" i="14"/>
  <c r="AB21" i="13"/>
  <c r="F23" i="31" s="1" a="1"/>
  <c r="F23" i="31" s="1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E23" i="31" s="1" a="1"/>
  <c r="E23" i="31" s="1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I22" i="31" s="1" a="1"/>
  <c r="I22" i="31" s="1"/>
  <c r="AE20" i="14"/>
  <c r="AL20" i="14" s="1" a="1"/>
  <c r="AL20" i="14" s="1"/>
  <c r="G22" i="30" s="1"/>
  <c r="AE66" i="12"/>
  <c r="E22" i="30" s="1" a="1"/>
  <c r="E22" i="30" s="1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E19" i="31" s="1" a="1"/>
  <c r="E19" i="31" s="1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E18" i="30" s="1" a="1"/>
  <c r="E18" i="30" s="1"/>
  <c r="O16" i="13"/>
  <c r="O62" i="12"/>
  <c r="O16" i="14"/>
  <c r="AE8" i="13"/>
  <c r="I10" i="31" s="1" a="1"/>
  <c r="I10" i="31" s="1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9" i="45" s="1" a="1"/>
  <c r="D9" i="45" s="1"/>
  <c r="D24" i="17"/>
  <c r="W4" i="13"/>
  <c r="W4" i="14"/>
  <c r="G4" i="13"/>
  <c r="G4" i="14"/>
  <c r="AA3" i="13"/>
  <c r="E5" i="31" s="1" a="1"/>
  <c r="E5" i="31" s="1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H16" i="31" s="1" a="1"/>
  <c r="H16" i="31" s="1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D9" i="31" s="1" a="1"/>
  <c r="D9" i="31" s="1"/>
  <c r="AD6" i="13"/>
  <c r="H8" i="31" s="1" a="1"/>
  <c r="H8" i="31" s="1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D5" i="31" s="1" a="1"/>
  <c r="D5" i="31" s="1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D16" i="31" s="1" a="1"/>
  <c r="D16" i="31" s="1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G5" i="31" s="1" a="1"/>
  <c r="G5" i="31" s="1"/>
  <c r="F11" i="14"/>
  <c r="P7" i="14"/>
  <c r="T16" i="14"/>
  <c r="D16" i="13"/>
  <c r="D16" i="14"/>
  <c r="X15" i="13"/>
  <c r="X15" i="14"/>
  <c r="H15" i="13"/>
  <c r="H61" i="12"/>
  <c r="H15" i="14"/>
  <c r="AB14" i="14"/>
  <c r="AB14" i="13"/>
  <c r="F16" i="31" s="1" a="1"/>
  <c r="F16" i="31" s="1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F12" i="31" s="1" a="1"/>
  <c r="F12" i="31" s="1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AD56" i="12"/>
  <c r="H56" i="12"/>
  <c r="W55" i="12"/>
  <c r="O50" i="12"/>
  <c r="AG11" i="13"/>
  <c r="I10" i="13"/>
  <c r="C10" i="40"/>
  <c r="B16" i="19"/>
  <c r="D10" i="40" s="1"/>
  <c r="E10" i="40" s="1"/>
  <c r="AA14" i="13"/>
  <c r="E16" i="31" s="1" a="1"/>
  <c r="E16" i="31" s="1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I15" i="31" s="1" a="1"/>
  <c r="I15" i="31" s="1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I11" i="31" s="1" a="1"/>
  <c r="I11" i="31" s="1"/>
  <c r="AE9" i="14"/>
  <c r="AL9" i="14" s="1" a="1"/>
  <c r="AL9" i="14" s="1"/>
  <c r="G11" i="30" s="1"/>
  <c r="O9" i="13"/>
  <c r="O9" i="14"/>
  <c r="AI8" i="14"/>
  <c r="S8" i="14"/>
  <c r="S8" i="13"/>
  <c r="C8" i="14"/>
  <c r="W53" i="12"/>
  <c r="W7" i="14"/>
  <c r="W7" i="13"/>
  <c r="G7" i="14"/>
  <c r="AA6" i="14"/>
  <c r="AA6" i="13"/>
  <c r="E8" i="31" s="1" a="1"/>
  <c r="E8" i="31" s="1"/>
  <c r="K6" i="14"/>
  <c r="K6" i="13"/>
  <c r="E7" i="41" a="1"/>
  <c r="E7" i="41" s="1"/>
  <c r="D7" i="30" a="1"/>
  <c r="D7" i="30" s="1"/>
  <c r="B14" i="20" a="1"/>
  <c r="B14" i="20" s="1"/>
  <c r="D7" i="41" s="1"/>
  <c r="AE5" i="14"/>
  <c r="AL5" i="14" s="1" a="1"/>
  <c r="AL5" i="14" s="1"/>
  <c r="G7" i="30" s="1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E10" i="31" s="1" a="1"/>
  <c r="E10" i="31" s="1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D12" i="31" s="1" a="1"/>
  <c r="D12" i="31" s="1"/>
  <c r="J10" i="13"/>
  <c r="J56" i="12"/>
  <c r="AD9" i="13"/>
  <c r="H11" i="31" s="1" a="1"/>
  <c r="H11" i="31" s="1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F8" i="31" s="1" a="1"/>
  <c r="F8" i="31" s="1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G11" i="31" s="1" a="1"/>
  <c r="G11" i="31" s="1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D8" i="31" s="1" a="1"/>
  <c r="D8" i="31" s="1"/>
  <c r="AD13" i="14"/>
  <c r="J10" i="14"/>
  <c r="I14" i="16"/>
  <c r="AB17" i="14"/>
  <c r="AB17" i="13"/>
  <c r="F19" i="31" s="1" a="1"/>
  <c r="F19" i="31" s="1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F11" i="31" s="1" a="1"/>
  <c r="F11" i="31" s="1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L12" i="14" s="1" a="1"/>
  <c r="AL12" i="14" s="1"/>
  <c r="G14" i="30" s="1"/>
  <c r="AE12" i="13"/>
  <c r="I14" i="31" s="1" a="1"/>
  <c r="I14" i="31" s="1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1" i="31" s="1" a="1"/>
  <c r="E11" i="31" s="1"/>
  <c r="E10" i="41" a="1"/>
  <c r="E10" i="41" s="1"/>
  <c r="B17" i="20" a="1"/>
  <c r="B17" i="20" s="1"/>
  <c r="D10" i="41" s="1"/>
  <c r="D10" i="30" a="1"/>
  <c r="D10" i="30" s="1"/>
  <c r="AE8" i="14"/>
  <c r="AL8" i="14" s="1" a="1"/>
  <c r="AL8" i="14" s="1"/>
  <c r="G10" i="30" s="1"/>
  <c r="AE54" i="12"/>
  <c r="E10" i="30" s="1" a="1"/>
  <c r="E10" i="30" s="1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F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I6" i="31" s="1" a="1"/>
  <c r="I6" i="31" s="1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E14" i="31" s="1" a="1"/>
  <c r="E14" i="31" s="1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D14" i="31" s="1" a="1"/>
  <c r="D14" i="31" s="1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G10" i="31" s="1" a="1"/>
  <c r="G10" i="31" s="1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G6" i="31" s="1" a="1"/>
  <c r="G6" i="31" s="1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F10" i="31" s="1" a="1"/>
  <c r="F10" i="31" s="1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E15" i="30" s="1" a="1"/>
  <c r="E15" i="30" s="1"/>
  <c r="K59" i="12"/>
  <c r="X57" i="12"/>
  <c r="D57" i="12"/>
  <c r="AH55" i="12"/>
  <c r="N55" i="12"/>
  <c r="V53" i="12"/>
  <c r="AK52" i="12"/>
  <c r="AE51" i="12"/>
  <c r="E7" i="30" s="1" a="1"/>
  <c r="E7" i="30" s="1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E18" i="31" s="1" a="1"/>
  <c r="E18" i="31" s="1"/>
  <c r="K16" i="14"/>
  <c r="K16" i="13"/>
  <c r="E17" i="41" a="1"/>
  <c r="E17" i="41" s="1"/>
  <c r="D17" i="30" a="1"/>
  <c r="D17" i="30" s="1"/>
  <c r="B24" i="20" a="1"/>
  <c r="B24" i="20" s="1"/>
  <c r="D17" i="41" s="1"/>
  <c r="AE15" i="14"/>
  <c r="AL15" i="14" s="1" a="1"/>
  <c r="AL15" i="14" s="1"/>
  <c r="G17" i="30" s="1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F13" i="30" s="1"/>
  <c r="B20" i="20" a="1"/>
  <c r="B20" i="20" s="1"/>
  <c r="D13" i="41" s="1"/>
  <c r="AE11" i="13"/>
  <c r="I13" i="31" s="1" a="1"/>
  <c r="I13" i="31" s="1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F9" i="41" s="1"/>
  <c r="AE7" i="13"/>
  <c r="I9" i="31" s="1" a="1"/>
  <c r="I9" i="31" s="1"/>
  <c r="AE7" i="14"/>
  <c r="AL7" i="14" s="1" a="1"/>
  <c r="AL7" i="14" s="1"/>
  <c r="G9" i="30" s="1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E6" i="31" s="1" a="1"/>
  <c r="E6" i="31" s="1"/>
  <c r="K50" i="12"/>
  <c r="K4" i="14"/>
  <c r="D5" i="30" a="1"/>
  <c r="D5" i="30" s="1"/>
  <c r="E5" i="41" a="1"/>
  <c r="E5" i="41" s="1"/>
  <c r="B12" i="20" a="1"/>
  <c r="B12" i="20" s="1"/>
  <c r="D5" i="41" s="1"/>
  <c r="AE3" i="14"/>
  <c r="AL3" i="14" s="1" a="1"/>
  <c r="AL3" i="14" s="1"/>
  <c r="G5" i="30" s="1"/>
  <c r="AE3" i="13"/>
  <c r="I5" i="31" s="1" a="1"/>
  <c r="I5" i="31" s="1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H9" i="31" s="1" a="1"/>
  <c r="H9" i="31" s="1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D6" i="31" s="1" a="1"/>
  <c r="D6" i="31" s="1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G15" i="31" s="1" a="1"/>
  <c r="G15" i="31" s="1"/>
  <c r="J12" i="13"/>
  <c r="AD10" i="13"/>
  <c r="H12" i="31" s="1" a="1"/>
  <c r="H12" i="31" s="1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G17" i="31" s="1" a="1"/>
  <c r="G17" i="31" s="1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G13" i="31" s="1" a="1"/>
  <c r="G13" i="31" s="1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G9" i="31" s="1" a="1"/>
  <c r="G9" i="31" s="1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E11" i="30" s="1" a="1"/>
  <c r="E11" i="30" s="1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3" a="1"/>
  <c r="D8" i="43" s="1"/>
  <c r="D8" i="47" a="1"/>
  <c r="D8" i="47" s="1"/>
  <c r="D8" i="45" a="1"/>
  <c r="D8" i="45" s="1"/>
  <c r="P23" i="17"/>
  <c r="L23" i="17"/>
  <c r="F8" i="35" s="1" a="1"/>
  <c r="F8" i="35" s="1"/>
  <c r="H23" i="17"/>
  <c r="K23" i="17"/>
  <c r="H8" i="35" s="1" a="1"/>
  <c r="H8" i="35" s="1"/>
  <c r="G23" i="17"/>
  <c r="M23" i="17"/>
  <c r="G8" i="35" s="1" a="1"/>
  <c r="G8" i="35" s="1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L6" i="16"/>
  <c r="F9" i="34" s="1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D7" i="43" a="1"/>
  <c r="D7" i="43" s="1"/>
  <c r="K22" i="17"/>
  <c r="H7" i="35" s="1" a="1"/>
  <c r="H7" i="35" s="1"/>
  <c r="G22" i="17"/>
  <c r="F22" i="17"/>
  <c r="N22" i="17" s="1"/>
  <c r="L22" i="17"/>
  <c r="F7" i="35" s="1" a="1"/>
  <c r="F7" i="35" s="1"/>
  <c r="P22" i="17"/>
  <c r="M22" i="17"/>
  <c r="G7" i="35" s="1" a="1"/>
  <c r="G7" i="35" s="1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/>
  <c r="E6" i="35" s="1" a="1"/>
  <c r="E6" i="35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D5" i="36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14" i="35" s="1" a="1"/>
  <c r="D14" i="35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E8" i="35" s="1" a="1"/>
  <c r="E8" i="35" s="1"/>
  <c r="O27" i="17"/>
  <c r="B23" i="19"/>
  <c r="D17" i="40" s="1"/>
  <c r="E17" i="40" s="1"/>
  <c r="O23" i="17"/>
  <c r="O7" i="17"/>
  <c r="C31" i="17"/>
  <c r="D16" i="44" s="1" a="1"/>
  <c r="D16" i="44" s="1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D10" i="28" a="1"/>
  <c r="D10" i="28" s="1"/>
  <c r="D10" i="29" a="1"/>
  <c r="D10" i="29" s="1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D6" i="43" a="1"/>
  <c r="D6" i="43" s="1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D7" i="44" a="1"/>
  <c r="D7" i="44" s="1"/>
  <c r="E7" i="44" a="1"/>
  <c r="E7" i="44" s="1"/>
  <c r="F7" i="44"/>
  <c r="D7" i="28" a="1"/>
  <c r="D7" i="28" s="1"/>
  <c r="D8" i="35" a="1"/>
  <c r="D8" i="35" s="1"/>
  <c r="B20" i="19"/>
  <c r="D14" i="40" s="1"/>
  <c r="E14" i="40" s="1"/>
  <c r="D7" i="35" a="1"/>
  <c r="D7" i="35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7" i="45" a="1"/>
  <c r="E7" i="45" s="1"/>
  <c r="D7" i="45" a="1"/>
  <c r="D7" i="45" s="1"/>
  <c r="E12" i="43" a="1"/>
  <c r="E12" i="43" s="1"/>
  <c r="F14" i="47"/>
  <c r="F11" i="47"/>
  <c r="E16" i="44" a="1"/>
  <c r="E16" i="44" s="1"/>
  <c r="F13" i="46"/>
  <c r="E13" i="46" a="1"/>
  <c r="E13" i="46" s="1"/>
  <c r="F9" i="45"/>
  <c r="F16" i="47"/>
  <c r="D9" i="35" a="1"/>
  <c r="D9" i="35" s="1"/>
  <c r="F9" i="44"/>
  <c r="D9" i="44" a="1"/>
  <c r="D9" i="44" s="1"/>
  <c r="F13" i="47"/>
  <c r="D6" i="44" a="1"/>
  <c r="D6" i="44" s="1"/>
  <c r="F5" i="45"/>
  <c r="E9" i="44" a="1"/>
  <c r="E9" i="44" s="1"/>
  <c r="F9" i="47"/>
  <c r="F12" i="36"/>
  <c r="E14" i="43" a="1"/>
  <c r="E14" i="43" s="1"/>
  <c r="F14" i="43"/>
  <c r="F10" i="44"/>
  <c r="E11" i="46" a="1"/>
  <c r="E11" i="46" s="1"/>
  <c r="F14" i="46"/>
  <c r="H14" i="46" s="1"/>
  <c r="I14" i="46" s="1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D7" i="46" a="1"/>
  <c r="D7" i="46" s="1"/>
  <c r="F8" i="47"/>
  <c r="D6" i="46" a="1"/>
  <c r="D6" i="46" s="1"/>
  <c r="D7" i="47" a="1"/>
  <c r="D7" i="47" s="1"/>
  <c r="B15" i="21"/>
  <c r="D10" i="33" s="1"/>
  <c r="B4" i="20"/>
  <c r="J9" i="27" l="1"/>
  <c r="G32" i="8"/>
  <c r="B20" i="22"/>
  <c r="T10" i="9" a="1"/>
  <c r="T10" i="9" s="1"/>
  <c r="I22" i="17"/>
  <c r="E7" i="35" s="1" a="1"/>
  <c r="E7" i="35" s="1"/>
  <c r="E13" i="45" a="1"/>
  <c r="E13" i="45" s="1"/>
  <c r="G28" i="8"/>
  <c r="E13" i="47" s="1" a="1"/>
  <c r="E13" i="47" s="1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E9" i="35" s="1" a="1"/>
  <c r="E9" i="35" s="1"/>
  <c r="F20" i="30"/>
  <c r="G19" i="8"/>
  <c r="R32" i="8"/>
  <c r="E12" i="45" a="1"/>
  <c r="E12" i="45" s="1"/>
  <c r="D16" i="45" a="1"/>
  <c r="D16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D14" i="47" a="1"/>
  <c r="D14" i="47" s="1"/>
  <c r="T28" i="8"/>
  <c r="R4" i="8"/>
  <c r="I12" i="8"/>
  <c r="L20" i="16"/>
  <c r="F23" i="34" s="1"/>
  <c r="U21" i="8"/>
  <c r="H10" i="9"/>
  <c r="Y10" i="9"/>
  <c r="D14" i="46" a="1"/>
  <c r="D14" i="46" s="1"/>
  <c r="G11" i="8"/>
  <c r="F18" i="9"/>
  <c r="D5" i="26"/>
  <c r="G24" i="8"/>
  <c r="E9" i="47" s="1" a="1"/>
  <c r="E9" i="47" s="1"/>
  <c r="P12" i="8"/>
  <c r="L11" i="16"/>
  <c r="F14" i="34" s="1"/>
  <c r="L28" i="8"/>
  <c r="K13" i="9"/>
  <c r="L11" i="8"/>
  <c r="B10" i="22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D16" i="47" a="1"/>
  <c r="D16" i="47" s="1"/>
  <c r="L8" i="16"/>
  <c r="F11" i="34" s="1"/>
  <c r="D16" i="35" a="1"/>
  <c r="D16" i="35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S32" i="8"/>
  <c r="U31" i="8"/>
  <c r="B18" i="23" s="1" a="1"/>
  <c r="B18" i="23" s="1"/>
  <c r="C18" i="23" s="1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P19" i="16" s="1"/>
  <c r="H22" i="34" s="1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D16" i="46" a="1"/>
  <c r="D16" i="46" s="1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H13" i="47"/>
  <c r="I13" i="47" s="1"/>
  <c r="F6" i="27"/>
  <c r="G3" i="10"/>
  <c r="E15" i="47" a="1"/>
  <c r="E15" i="47" s="1"/>
  <c r="C5" i="23" a="1"/>
  <c r="C5" i="23" s="1"/>
  <c r="E8" i="24" s="1"/>
  <c r="F12" i="27"/>
  <c r="G9" i="10"/>
  <c r="F10" i="27"/>
  <c r="G7" i="10"/>
  <c r="F5" i="27"/>
  <c r="G2" i="10"/>
  <c r="C26" i="17"/>
  <c r="I26" i="17" s="1"/>
  <c r="E11" i="35" s="1" a="1"/>
  <c r="E11" i="35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J16" i="43"/>
  <c r="H16" i="43"/>
  <c r="I16" i="43" s="1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E11" i="47" s="1" a="1"/>
  <c r="E11" i="47" s="1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8" i="32"/>
  <c r="O11" i="8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J7" i="45"/>
  <c r="H7" i="45"/>
  <c r="I7" i="45" s="1"/>
  <c r="G17" i="8"/>
  <c r="S17" i="8" s="1"/>
  <c r="Q17" i="8"/>
  <c r="Q33" i="8"/>
  <c r="G33" i="8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G16" i="35" s="1" a="1"/>
  <c r="G16" i="35" s="1"/>
  <c r="E31" i="17"/>
  <c r="P31" i="17"/>
  <c r="K31" i="17"/>
  <c r="H16" i="35" s="1" a="1"/>
  <c r="H16" i="35" s="1"/>
  <c r="G31" i="17"/>
  <c r="D16" i="43" a="1"/>
  <c r="D16" i="43" s="1"/>
  <c r="L31" i="17"/>
  <c r="F16" i="35" s="1" a="1"/>
  <c r="F16" i="35" s="1"/>
  <c r="H31" i="17"/>
  <c r="I31" i="17"/>
  <c r="E16" i="35" s="1" a="1"/>
  <c r="E16" i="35" s="1"/>
  <c r="D20" i="17"/>
  <c r="C20" i="17"/>
  <c r="I20" i="17" s="1"/>
  <c r="E5" i="35" s="1" a="1"/>
  <c r="E5" i="35" s="1"/>
  <c r="F11" i="30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B24" i="21"/>
  <c r="E9" i="32" s="1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H12" i="45"/>
  <c r="I12" i="45" s="1"/>
  <c r="J10" i="46"/>
  <c r="H10" i="46"/>
  <c r="I10" i="46" s="1"/>
  <c r="H7" i="44"/>
  <c r="I7" i="44" s="1"/>
  <c r="AN18" i="13"/>
  <c r="AP18" i="13" s="1"/>
  <c r="AO18" i="13"/>
  <c r="AM18" i="13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F19" i="30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H13" i="45"/>
  <c r="I13" i="45" s="1"/>
  <c r="J13" i="45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D7" i="24"/>
  <c r="F7" i="24" s="1"/>
  <c r="G7" i="24" s="1"/>
  <c r="D4" i="23"/>
  <c r="E4" i="23" s="1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E5" i="47" s="1" a="1"/>
  <c r="E5" i="47" s="1"/>
  <c r="J9" i="47" s="1"/>
  <c r="U22" i="8"/>
  <c r="H15" i="44"/>
  <c r="I15" i="44" s="1"/>
  <c r="Q8" i="8"/>
  <c r="G8" i="8"/>
  <c r="S8" i="8" s="1"/>
  <c r="G23" i="8"/>
  <c r="E8" i="47" s="1" a="1"/>
  <c r="E8" i="47" s="1"/>
  <c r="R23" i="8"/>
  <c r="D7" i="39"/>
  <c r="C4" i="22"/>
  <c r="D4" i="22" s="1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D12" i="47" a="1"/>
  <c r="D12" i="47" s="1"/>
  <c r="D12" i="46" a="1"/>
  <c r="D12" i="46" s="1"/>
  <c r="D12" i="45" a="1"/>
  <c r="D12" i="45" s="1"/>
  <c r="M27" i="17"/>
  <c r="G12" i="35" s="1" a="1"/>
  <c r="G12" i="35" s="1"/>
  <c r="E27" i="17"/>
  <c r="P27" i="17"/>
  <c r="L27" i="17"/>
  <c r="F12" i="35" s="1" a="1"/>
  <c r="F12" i="35" s="1"/>
  <c r="H27" i="17"/>
  <c r="D12" i="43" a="1"/>
  <c r="D12" i="43" s="1"/>
  <c r="J27" i="17"/>
  <c r="F27" i="17"/>
  <c r="N27" i="17" s="1"/>
  <c r="K27" i="17"/>
  <c r="H12" i="35" s="1" a="1"/>
  <c r="H12" i="35" s="1"/>
  <c r="G27" i="17"/>
  <c r="AO6" i="13"/>
  <c r="AM6" i="13"/>
  <c r="AN6" i="13"/>
  <c r="AP6" i="13" s="1"/>
  <c r="B22" i="21"/>
  <c r="E7" i="32" s="1"/>
  <c r="F7" i="32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12" i="35" a="1"/>
  <c r="D12" i="35" s="1"/>
  <c r="D35" i="17"/>
  <c r="C35" i="17"/>
  <c r="I35" i="17" s="1"/>
  <c r="G10" i="29" a="1"/>
  <c r="G10" i="29" s="1"/>
  <c r="F10" i="29"/>
  <c r="E10" i="29"/>
  <c r="D9" i="46" a="1"/>
  <c r="D9" i="46" s="1"/>
  <c r="D9" i="43" a="1"/>
  <c r="D9" i="43" s="1"/>
  <c r="P24" i="17"/>
  <c r="L24" i="17"/>
  <c r="F9" i="35" s="1" a="1"/>
  <c r="F9" i="35" s="1"/>
  <c r="M24" i="17"/>
  <c r="G9" i="35" s="1" a="1"/>
  <c r="G9" i="35" s="1"/>
  <c r="J24" i="17"/>
  <c r="E24" i="17"/>
  <c r="F24" i="17"/>
  <c r="N24" i="17" s="1"/>
  <c r="K24" i="17"/>
  <c r="H9" i="35" s="1" a="1"/>
  <c r="H9" i="35" s="1"/>
  <c r="G24" i="17"/>
  <c r="H24" i="17"/>
  <c r="D8" i="42"/>
  <c r="J5" i="27"/>
  <c r="D9" i="47" a="1"/>
  <c r="D9" i="47" s="1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I5" i="17" s="1"/>
  <c r="D5" i="17"/>
  <c r="L4" i="16"/>
  <c r="F7" i="34" s="1"/>
  <c r="I9" i="17"/>
  <c r="I27" i="17"/>
  <c r="E12" i="35" s="1" a="1"/>
  <c r="E12" i="35" s="1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D14" i="45" a="1"/>
  <c r="D14" i="45" s="1"/>
  <c r="D14" i="44" a="1"/>
  <c r="D14" i="44" s="1"/>
  <c r="D14" i="43" a="1"/>
  <c r="D14" i="43" s="1"/>
  <c r="M29" i="17"/>
  <c r="G14" i="35" s="1" a="1"/>
  <c r="G14" i="35" s="1"/>
  <c r="E29" i="17"/>
  <c r="J29" i="17"/>
  <c r="K29" i="17"/>
  <c r="H14" i="35" s="1" a="1"/>
  <c r="H14" i="35" s="1"/>
  <c r="G29" i="17"/>
  <c r="H29" i="17"/>
  <c r="F29" i="17"/>
  <c r="N29" i="17" s="1"/>
  <c r="I29" i="17"/>
  <c r="E14" i="35" s="1" a="1"/>
  <c r="E14" i="35" s="1"/>
  <c r="P29" i="17"/>
  <c r="L29" i="17"/>
  <c r="F14" i="35" s="1" a="1"/>
  <c r="F14" i="35" s="1"/>
  <c r="D25" i="17"/>
  <c r="C25" i="17"/>
  <c r="I25" i="17" s="1"/>
  <c r="E10" i="35" s="1" a="1"/>
  <c r="E10" i="35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11" i="45"/>
  <c r="H11" i="45"/>
  <c r="I11" i="45" s="1"/>
  <c r="J7" i="43"/>
  <c r="H7" i="43"/>
  <c r="I7" i="43" s="1"/>
  <c r="J9" i="44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D12" i="44" a="1"/>
  <c r="D12" i="44" s="1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H6" i="35" s="1" a="1"/>
  <c r="H6" i="35" s="1"/>
  <c r="G21" i="17"/>
  <c r="H21" i="17"/>
  <c r="L21" i="17"/>
  <c r="F6" i="35" s="1" a="1"/>
  <c r="F6" i="35" s="1"/>
  <c r="D6" i="35" a="1"/>
  <c r="D6" i="35" s="1"/>
  <c r="M21" i="17"/>
  <c r="G6" i="35" s="1" a="1"/>
  <c r="G6" i="35" s="1"/>
  <c r="E21" i="17"/>
  <c r="P21" i="17"/>
  <c r="J21" i="17"/>
  <c r="F21" i="17"/>
  <c r="N21" i="17" s="1"/>
  <c r="F17" i="30"/>
  <c r="F5" i="41"/>
  <c r="F5" i="30"/>
  <c r="F22" i="4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I30" i="17" s="1"/>
  <c r="E15" i="35" s="1" a="1"/>
  <c r="E15" i="35" s="1"/>
  <c r="C37" i="17"/>
  <c r="I37" i="17" s="1"/>
  <c r="D37" i="17"/>
  <c r="Q12" i="8"/>
  <c r="G12" i="8"/>
  <c r="S12" i="8" s="1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J13" i="44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D13" i="39"/>
  <c r="C10" i="22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B19" i="23" s="1" a="1"/>
  <c r="B19" i="23" s="1"/>
  <c r="C19" i="23" s="1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B28" i="21"/>
  <c r="E13" i="32" s="1"/>
  <c r="C13" i="32"/>
  <c r="H9" i="47"/>
  <c r="I9" i="47" s="1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16" i="44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E6" i="42" a="1"/>
  <c r="E6" i="42" s="1"/>
  <c r="E9" i="42" a="1"/>
  <c r="E9" i="42" s="1"/>
  <c r="F9" i="42" s="1"/>
  <c r="E10" i="42" a="1"/>
  <c r="E10" i="42" s="1"/>
  <c r="F10" i="42" s="1"/>
  <c r="D5" i="24"/>
  <c r="D12" i="39"/>
  <c r="C9" i="22"/>
  <c r="U10" i="8"/>
  <c r="E10" i="43" a="1"/>
  <c r="E10" i="43" s="1"/>
  <c r="N25" i="8"/>
  <c r="M25" i="8"/>
  <c r="I25" i="8"/>
  <c r="P25" i="8"/>
  <c r="O25" i="8"/>
  <c r="S21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S19" i="8" s="1"/>
  <c r="E15" i="45" a="1"/>
  <c r="E15" i="45" s="1"/>
  <c r="Q30" i="8"/>
  <c r="U34" i="8"/>
  <c r="U35" i="8"/>
  <c r="G3" i="8"/>
  <c r="S33" i="8"/>
  <c r="H12" i="44"/>
  <c r="I12" i="44" s="1"/>
  <c r="J12" i="44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B3" i="20" a="1"/>
  <c r="S11" i="8" l="1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D7" i="22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E7" i="22"/>
  <c r="F7" i="22" s="1"/>
  <c r="G7" i="22" s="1"/>
  <c r="H7" i="22" s="1"/>
  <c r="D10" i="22"/>
  <c r="E10" i="22" s="1"/>
  <c r="F10" i="22" s="1"/>
  <c r="G10" i="22" s="1"/>
  <c r="H10" i="22" s="1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B10" i="23" s="1" a="1"/>
  <c r="B10" i="23" s="1"/>
  <c r="C10" i="23" s="1"/>
  <c r="S9" i="8"/>
  <c r="P15" i="16"/>
  <c r="H18" i="34" s="1"/>
  <c r="S27" i="8"/>
  <c r="B3" i="20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J7" i="47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G15" i="35" s="1" a="1"/>
  <c r="G15" i="35" s="1"/>
  <c r="E30" i="17"/>
  <c r="P30" i="17"/>
  <c r="J30" i="17"/>
  <c r="K30" i="17"/>
  <c r="H15" i="35" s="1" a="1"/>
  <c r="H15" i="35" s="1"/>
  <c r="G30" i="17"/>
  <c r="H30" i="17"/>
  <c r="L30" i="17"/>
  <c r="F15" i="35" s="1" a="1"/>
  <c r="F15" i="35" s="1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H5" i="35" s="1" a="1"/>
  <c r="H5" i="35" s="1"/>
  <c r="G20" i="17"/>
  <c r="H20" i="17"/>
  <c r="P20" i="17"/>
  <c r="M20" i="17"/>
  <c r="G5" i="35" s="1" a="1"/>
  <c r="G5" i="35" s="1"/>
  <c r="J20" i="17"/>
  <c r="E20" i="17"/>
  <c r="F20" i="17"/>
  <c r="N20" i="17" s="1"/>
  <c r="L20" i="17"/>
  <c r="F5" i="35" s="1" a="1"/>
  <c r="F5" i="35" s="1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J11" i="47"/>
  <c r="H11" i="47"/>
  <c r="I11" i="47" s="1"/>
  <c r="J3" i="8"/>
  <c r="F5" i="38"/>
  <c r="E4" i="11"/>
  <c r="J15" i="47"/>
  <c r="H15" i="47"/>
  <c r="I15" i="47" s="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J14" i="47"/>
  <c r="J12" i="47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F9" i="22"/>
  <c r="G9" i="22" s="1"/>
  <c r="H9" i="22" s="1"/>
  <c r="E12" i="39"/>
  <c r="J6" i="45"/>
  <c r="H6" i="45"/>
  <c r="I6" i="45" s="1"/>
  <c r="F7" i="25"/>
  <c r="E4" i="15"/>
  <c r="G7" i="25" s="1"/>
  <c r="C4" i="15"/>
  <c r="J10" i="47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M5" i="17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F20" i="32"/>
  <c r="D20" i="22"/>
  <c r="E20" i="22" s="1"/>
  <c r="J29" i="8"/>
  <c r="G37" i="17"/>
  <c r="H37" i="17"/>
  <c r="L37" i="17"/>
  <c r="P37" i="17"/>
  <c r="M37" i="17"/>
  <c r="J37" i="17"/>
  <c r="E37" i="17"/>
  <c r="F37" i="17"/>
  <c r="N37" i="17" s="1"/>
  <c r="K37" i="17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J6" i="47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J13" i="47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P4" i="17"/>
  <c r="M4" i="17"/>
  <c r="J4" i="17"/>
  <c r="G4" i="17"/>
  <c r="L4" i="17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J8" i="47"/>
  <c r="H8" i="47"/>
  <c r="I8" i="47" s="1"/>
  <c r="P10" i="17"/>
  <c r="L10" i="17"/>
  <c r="H10" i="17"/>
  <c r="E10" i="17"/>
  <c r="M10" i="17"/>
  <c r="J10" i="17"/>
  <c r="G10" i="17"/>
  <c r="K10" i="17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E10" i="39" l="1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C27" i="21"/>
  <c r="G12" i="32" s="1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C37" i="21"/>
  <c r="G22" i="32" s="1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B18" i="1" l="1"/>
  <c r="B13" i="21"/>
  <c r="D8" i="33" s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J9" i="22" l="1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B14" i="21"/>
  <c r="D9" i="33" s="1"/>
  <c r="B3" i="2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<sst xmlns="http://schemas.openxmlformats.org/spreadsheetml/2006/main" count="18064" uniqueCount="327">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</sst>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5.2026319345901656E-2</v>
          </cell>
        </row>
        <row r="3">
          <cell r="B3">
            <v>9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05%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9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38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15</v>
      </c>
    </row>
    <row r="7" spans="1:2" x14ac:dyDescent="0.25">
      <c r="A7" t="s">
        <v>45</v>
      </c>
      <c r="B7" t="str">
        <f>VLOOKUP(B2,Banks!$A$2:$H$21,2,FALSE)</f>
        <v>B115</v>
      </c>
    </row>
    <row r="8" spans="1:2" x14ac:dyDescent="0.25">
      <c r="A8" t="s">
        <v>121</v>
      </c>
      <c r="B8" t="str">
        <f>_xlfn.XLOOKUP(B2,Banks!$A$2:$A$21,Banks!$C$2:$C$21,"n.d.",0)</f>
        <v>Sud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Lucana (B115)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5.2026319345901656E-2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Costa</v>
      </c>
    </row>
    <row r="24" spans="1:2" x14ac:dyDescent="0.25">
      <c r="A24" t="s">
        <v>47</v>
      </c>
      <c r="B24" t="str" cm="1">
        <f t="array" ref="B24">INDEX(Banks!$E$2:$E$21,B6)</f>
        <v>Piccola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20295.2</v>
      </c>
      <c r="D2">
        <f>SUMIFS(Data!$F$2:$F$5761,Data!$A$2:$A$5761,Control!$B$2,Data!$B$2:$B$5761,A2)</f>
        <v>1095.3599999999999</v>
      </c>
      <c r="E2">
        <f>SUMIFS(Data!$G$2:$G$5761,Data!$A$2:$A$5761,Control!$B$2,Data!$B$2:$B$5761,A2)</f>
        <v>659.4</v>
      </c>
      <c r="F2">
        <f>SUMIFS(Data!$H$2:$H$5761,Data!$A$2:$A$5761,Control!$B$2,Data!$B$2:$B$5761,A2)</f>
        <v>2159</v>
      </c>
      <c r="G2">
        <f t="shared" ref="G2:G37" si="2">D2-E2</f>
        <v>435.95999999999992</v>
      </c>
      <c r="H2" cm="1">
        <f t="array" ref="H2">INDEX(Budget!$B$2:$AK$21,Control!$B$6,MATCH(A2,Budget!$B$1:$AK$1,0))</f>
        <v>20294</v>
      </c>
      <c r="I2">
        <f t="shared" ref="I2:I37" si="3">IFERROR(C2/H2-1,0)</f>
        <v>5.9130777569693649E-5</v>
      </c>
      <c r="J2">
        <f t="shared" ref="J2:J37" si="4">SUMIFS($C$2:$C$37,$K$2:$K$37,K2,$A$2:$A$37,"&lt;="&amp;A2)</f>
        <v>20295.2</v>
      </c>
      <c r="K2">
        <f t="shared" ref="K2:K37" si="5">YEAR(B2)</f>
        <v>2024</v>
      </c>
      <c r="L2">
        <f t="shared" ref="L2:L37" ca="1" si="6">AVERAGE(OFFSET(C2,-MIN(2,A2-1),0,MIN(3,A2),1))</f>
        <v>20295.2</v>
      </c>
      <c r="M2">
        <f>C2*_xlfn.XLOOKUP(A2,FX!$A$2:$A$37,FX!$C$2:$C$37)</f>
        <v>21472.321600000003</v>
      </c>
      <c r="N2">
        <f>C2*(1+Control!$B$4)^(A2/12)</f>
        <v>20345.25343828286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0.60199386503067487</v>
      </c>
      <c r="R2">
        <f t="shared" ref="R2:R37" si="10">ROUND(IFERROR(D2/F2,0),2)</f>
        <v>0.51</v>
      </c>
      <c r="S2" t="str">
        <f t="shared" ref="S2:S37" si="11">IF(AND(I2&gt;0,G2&gt;0),"sopra",IF(OR(I2&lt;-0.05,G2&lt;0),"sotto","in linea"))</f>
        <v>sopra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20295.2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20412.999999999996</v>
      </c>
      <c r="D3">
        <f>SUMIFS(Data!$F$2:$F$5761,Data!$A$2:$A$5761,Control!$B$2,Data!$B$2:$B$5761,A3)</f>
        <v>1100.04</v>
      </c>
      <c r="E3">
        <f>SUMIFS(Data!$G$2:$G$5761,Data!$A$2:$A$5761,Control!$B$2,Data!$B$2:$B$5761,A3)</f>
        <v>663.68</v>
      </c>
      <c r="F3">
        <f>SUMIFS(Data!$H$2:$H$5761,Data!$A$2:$A$5761,Control!$B$2,Data!$B$2:$B$5761,A3)</f>
        <v>2132</v>
      </c>
      <c r="G3">
        <f t="shared" si="2"/>
        <v>436.36</v>
      </c>
      <c r="H3" cm="1">
        <f t="array" ref="H3">INDEX(Budget!$B$2:$AK$21,Control!$B$6,MATCH(A3,Budget!$B$1:$AK$1,0))</f>
        <v>20475</v>
      </c>
      <c r="I3">
        <f t="shared" si="3"/>
        <v>-3.0280830280832172E-3</v>
      </c>
      <c r="J3">
        <f t="shared" si="4"/>
        <v>40708.199999999997</v>
      </c>
      <c r="K3">
        <f t="shared" si="5"/>
        <v>2024</v>
      </c>
      <c r="L3">
        <f t="shared" ca="1" si="6"/>
        <v>20354.099999999999</v>
      </c>
      <c r="M3">
        <f>C3*_xlfn.XLOOKUP(A3,FX!$A$2:$A$37,FX!$C$2:$C$37)</f>
        <v>21756.175399999996</v>
      </c>
      <c r="N3">
        <f>C3*(1+Control!$B$4)^(A3/12)</f>
        <v>20513.812091522817</v>
      </c>
      <c r="O3">
        <f t="shared" si="7"/>
        <v>35</v>
      </c>
      <c r="P3">
        <f t="shared" si="8"/>
        <v>117.79999999999563</v>
      </c>
      <c r="Q3">
        <f t="shared" si="9"/>
        <v>0.60332351550852692</v>
      </c>
      <c r="R3">
        <f t="shared" si="10"/>
        <v>0.52</v>
      </c>
      <c r="S3" t="str">
        <f t="shared" si="11"/>
        <v>in linea</v>
      </c>
      <c r="T3" t="str">
        <f t="shared" si="12"/>
        <v>T1-2024</v>
      </c>
      <c r="U3">
        <f t="shared" si="13"/>
        <v>20354.099999999999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20621.699999999997</v>
      </c>
      <c r="D4">
        <f>SUMIFS(Data!$F$2:$F$5761,Data!$A$2:$A$5761,Control!$B$2,Data!$B$2:$B$5761,A4)</f>
        <v>1111.48</v>
      </c>
      <c r="E4">
        <f>SUMIFS(Data!$G$2:$G$5761,Data!$A$2:$A$5761,Control!$B$2,Data!$B$2:$B$5761,A4)</f>
        <v>671.21</v>
      </c>
      <c r="F4">
        <f>SUMIFS(Data!$H$2:$H$5761,Data!$A$2:$A$5761,Control!$B$2,Data!$B$2:$B$5761,A4)</f>
        <v>2091</v>
      </c>
      <c r="G4">
        <f t="shared" si="2"/>
        <v>440.27</v>
      </c>
      <c r="H4" cm="1">
        <f t="array" ref="H4">INDEX(Budget!$B$2:$AK$21,Control!$B$6,MATCH(A4,Budget!$B$1:$AK$1,0))</f>
        <v>20656</v>
      </c>
      <c r="I4">
        <f t="shared" si="3"/>
        <v>-1.6605344694037294E-3</v>
      </c>
      <c r="J4">
        <f t="shared" si="4"/>
        <v>61329.899999999994</v>
      </c>
      <c r="K4">
        <f t="shared" si="5"/>
        <v>2024</v>
      </c>
      <c r="L4">
        <f t="shared" ca="1" si="6"/>
        <v>20443.3</v>
      </c>
      <c r="M4">
        <f>C4*_xlfn.XLOOKUP(A4,FX!$A$2:$A$37,FX!$C$2:$C$37)</f>
        <v>22125.021929999995</v>
      </c>
      <c r="N4">
        <f>C4*(1+Control!$B$4)^(A4/12)</f>
        <v>20774.652629078872</v>
      </c>
      <c r="O4">
        <f t="shared" si="7"/>
        <v>34</v>
      </c>
      <c r="P4">
        <f t="shared" si="8"/>
        <v>208.70000000000073</v>
      </c>
      <c r="Q4">
        <f t="shared" si="9"/>
        <v>0.60388850901500701</v>
      </c>
      <c r="R4">
        <f t="shared" si="10"/>
        <v>0.53</v>
      </c>
      <c r="S4" t="str">
        <f t="shared" si="11"/>
        <v>in linea</v>
      </c>
      <c r="T4" t="str">
        <f t="shared" si="12"/>
        <v>T1-2024</v>
      </c>
      <c r="U4">
        <f t="shared" si="13"/>
        <v>20443.3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20660</v>
      </c>
      <c r="D5">
        <f>SUMIFS(Data!$F$2:$F$5761,Data!$A$2:$A$5761,Control!$B$2,Data!$B$2:$B$5761,A5)</f>
        <v>1113.1100000000001</v>
      </c>
      <c r="E5">
        <f>SUMIFS(Data!$G$2:$G$5761,Data!$A$2:$A$5761,Control!$B$2,Data!$B$2:$B$5761,A5)</f>
        <v>673.54</v>
      </c>
      <c r="F5">
        <f>SUMIFS(Data!$H$2:$H$5761,Data!$A$2:$A$5761,Control!$B$2,Data!$B$2:$B$5761,A5)</f>
        <v>2202</v>
      </c>
      <c r="G5">
        <f t="shared" si="2"/>
        <v>439.57000000000016</v>
      </c>
      <c r="H5" cm="1">
        <f t="array" ref="H5">INDEX(Budget!$B$2:$AK$21,Control!$B$6,MATCH(A5,Budget!$B$1:$AK$1,0))</f>
        <v>20837</v>
      </c>
      <c r="I5">
        <f t="shared" si="3"/>
        <v>-8.4945049671257822E-3</v>
      </c>
      <c r="J5">
        <f t="shared" si="4"/>
        <v>81989.899999999994</v>
      </c>
      <c r="K5">
        <f t="shared" si="5"/>
        <v>2024</v>
      </c>
      <c r="L5">
        <f t="shared" ca="1" si="6"/>
        <v>20564.899999999998</v>
      </c>
      <c r="M5">
        <f>C5*_xlfn.XLOOKUP(A5,FX!$A$2:$A$37,FX!$C$2:$C$37)</f>
        <v>22294.205999999998</v>
      </c>
      <c r="N5">
        <f>C5*(1+Control!$B$4)^(A5/12)</f>
        <v>20864.567759472193</v>
      </c>
      <c r="O5">
        <f t="shared" si="7"/>
        <v>33</v>
      </c>
      <c r="P5">
        <f t="shared" si="8"/>
        <v>38.30000000000291</v>
      </c>
      <c r="Q5">
        <f t="shared" si="9"/>
        <v>0.60509742972392655</v>
      </c>
      <c r="R5">
        <f t="shared" si="10"/>
        <v>0.51</v>
      </c>
      <c r="S5" t="str">
        <f t="shared" si="11"/>
        <v>in linea</v>
      </c>
      <c r="T5" t="str">
        <f t="shared" si="12"/>
        <v>T2-2024</v>
      </c>
      <c r="U5">
        <f t="shared" si="13"/>
        <v>20497.474999999999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20934.2</v>
      </c>
      <c r="D6">
        <f>SUMIFS(Data!$F$2:$F$5761,Data!$A$2:$A$5761,Control!$B$2,Data!$B$2:$B$5761,A6)</f>
        <v>1128.4199999999998</v>
      </c>
      <c r="E6">
        <f>SUMIFS(Data!$G$2:$G$5761,Data!$A$2:$A$5761,Control!$B$2,Data!$B$2:$B$5761,A6)</f>
        <v>682.11</v>
      </c>
      <c r="F6">
        <f>SUMIFS(Data!$H$2:$H$5761,Data!$A$2:$A$5761,Control!$B$2,Data!$B$2:$B$5761,A6)</f>
        <v>2135</v>
      </c>
      <c r="G6">
        <f t="shared" si="2"/>
        <v>446.30999999999983</v>
      </c>
      <c r="H6" cm="1">
        <f t="array" ref="H6">INDEX(Budget!$B$2:$AK$21,Control!$B$6,MATCH(A6,Budget!$B$1:$AK$1,0))</f>
        <v>21018</v>
      </c>
      <c r="I6">
        <f t="shared" si="3"/>
        <v>-3.98705871158056E-3</v>
      </c>
      <c r="J6">
        <f t="shared" si="4"/>
        <v>102924.09999999999</v>
      </c>
      <c r="K6">
        <f t="shared" si="5"/>
        <v>2024</v>
      </c>
      <c r="L6">
        <f t="shared" ca="1" si="6"/>
        <v>20738.633333333331</v>
      </c>
      <c r="M6">
        <f>C6*_xlfn.XLOOKUP(A6,FX!$A$2:$A$37,FX!$C$2:$C$37)</f>
        <v>22696.859640000002</v>
      </c>
      <c r="N6">
        <f>C6*(1+Control!$B$4)^(A6/12)</f>
        <v>21193.623387469252</v>
      </c>
      <c r="O6">
        <f t="shared" si="7"/>
        <v>32</v>
      </c>
      <c r="P6">
        <f t="shared" si="8"/>
        <v>274.20000000000073</v>
      </c>
      <c r="Q6">
        <f t="shared" si="9"/>
        <v>0.60448237358430379</v>
      </c>
      <c r="R6">
        <f t="shared" si="10"/>
        <v>0.53</v>
      </c>
      <c r="S6" t="str">
        <f t="shared" si="11"/>
        <v>in linea</v>
      </c>
      <c r="T6" t="str">
        <f t="shared" si="12"/>
        <v>T2-2024</v>
      </c>
      <c r="U6">
        <f t="shared" si="13"/>
        <v>20584.82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21151.200000000001</v>
      </c>
      <c r="D7">
        <f>SUMIFS(Data!$F$2:$F$5761,Data!$A$2:$A$5761,Control!$B$2,Data!$B$2:$B$5761,A7)</f>
        <v>1140.73</v>
      </c>
      <c r="E7">
        <f>SUMIFS(Data!$G$2:$G$5761,Data!$A$2:$A$5761,Control!$B$2,Data!$B$2:$B$5761,A7)</f>
        <v>689.43999999999994</v>
      </c>
      <c r="F7">
        <f>SUMIFS(Data!$H$2:$H$5761,Data!$A$2:$A$5761,Control!$B$2,Data!$B$2:$B$5761,A7)</f>
        <v>2197</v>
      </c>
      <c r="G7">
        <f t="shared" si="2"/>
        <v>451.29000000000008</v>
      </c>
      <c r="H7" cm="1">
        <f t="array" ref="H7">INDEX(Budget!$B$2:$AK$21,Control!$B$6,MATCH(A7,Budget!$B$1:$AK$1,0))</f>
        <v>21199</v>
      </c>
      <c r="I7">
        <f t="shared" si="3"/>
        <v>-2.2548233407235774E-3</v>
      </c>
      <c r="J7">
        <f t="shared" si="4"/>
        <v>124075.29999999999</v>
      </c>
      <c r="K7">
        <f t="shared" si="5"/>
        <v>2024</v>
      </c>
      <c r="L7">
        <f t="shared" ca="1" si="6"/>
        <v>20915.133333333331</v>
      </c>
      <c r="M7">
        <f>C7*_xlfn.XLOOKUP(A7,FX!$A$2:$A$37,FX!$C$2:$C$37)</f>
        <v>23010.390480000002</v>
      </c>
      <c r="N7">
        <f>C7*(1+Control!$B$4)^(A7/12)</f>
        <v>21466.123527157855</v>
      </c>
      <c r="O7">
        <f t="shared" si="7"/>
        <v>31</v>
      </c>
      <c r="P7">
        <f t="shared" si="8"/>
        <v>217</v>
      </c>
      <c r="Q7">
        <f t="shared" si="9"/>
        <v>0.60438491141637363</v>
      </c>
      <c r="R7">
        <f t="shared" si="10"/>
        <v>0.52</v>
      </c>
      <c r="S7" t="str">
        <f t="shared" si="11"/>
        <v>in linea</v>
      </c>
      <c r="T7" t="str">
        <f t="shared" si="12"/>
        <v>T2-2024</v>
      </c>
      <c r="U7">
        <f t="shared" si="13"/>
        <v>20679.216666666664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21265</v>
      </c>
      <c r="D8">
        <f>SUMIFS(Data!$F$2:$F$5761,Data!$A$2:$A$5761,Control!$B$2,Data!$B$2:$B$5761,A8)</f>
        <v>1146.76</v>
      </c>
      <c r="E8">
        <f>SUMIFS(Data!$G$2:$G$5761,Data!$A$2:$A$5761,Control!$B$2,Data!$B$2:$B$5761,A8)</f>
        <v>690.96</v>
      </c>
      <c r="F8">
        <f>SUMIFS(Data!$H$2:$H$5761,Data!$A$2:$A$5761,Control!$B$2,Data!$B$2:$B$5761,A8)</f>
        <v>2129</v>
      </c>
      <c r="G8">
        <f t="shared" si="2"/>
        <v>455.79999999999995</v>
      </c>
      <c r="H8" cm="1">
        <f t="array" ref="H8">INDEX(Budget!$B$2:$AK$21,Control!$B$6,MATCH(A8,Budget!$B$1:$AK$1,0))</f>
        <v>21380</v>
      </c>
      <c r="I8">
        <f t="shared" si="3"/>
        <v>-5.3788587464920212E-3</v>
      </c>
      <c r="J8">
        <f t="shared" si="4"/>
        <v>145340.29999999999</v>
      </c>
      <c r="K8">
        <f t="shared" si="5"/>
        <v>2024</v>
      </c>
      <c r="L8">
        <f t="shared" ca="1" si="6"/>
        <v>21116.799999999999</v>
      </c>
      <c r="M8">
        <f>C8*_xlfn.XLOOKUP(A8,FX!$A$2:$A$37,FX!$C$2:$C$37)</f>
        <v>23180.976500000001</v>
      </c>
      <c r="N8">
        <f>C8*(1+Control!$B$4)^(A8/12)</f>
        <v>21634.844005065257</v>
      </c>
      <c r="O8">
        <f t="shared" si="7"/>
        <v>30</v>
      </c>
      <c r="P8">
        <f t="shared" si="8"/>
        <v>113.79999999999927</v>
      </c>
      <c r="Q8">
        <f t="shared" si="9"/>
        <v>0.60253235201785904</v>
      </c>
      <c r="R8">
        <f t="shared" si="10"/>
        <v>0.54</v>
      </c>
      <c r="S8" t="str">
        <f t="shared" si="11"/>
        <v>in linea</v>
      </c>
      <c r="T8" t="str">
        <f t="shared" si="12"/>
        <v>T3-2024</v>
      </c>
      <c r="U8">
        <f t="shared" si="13"/>
        <v>20762.899999999998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21413.899999999998</v>
      </c>
      <c r="D9">
        <f>SUMIFS(Data!$F$2:$F$5761,Data!$A$2:$A$5761,Control!$B$2,Data!$B$2:$B$5761,A9)</f>
        <v>1154.93</v>
      </c>
      <c r="E9">
        <f>SUMIFS(Data!$G$2:$G$5761,Data!$A$2:$A$5761,Control!$B$2,Data!$B$2:$B$5761,A9)</f>
        <v>696.34</v>
      </c>
      <c r="F9">
        <f>SUMIFS(Data!$H$2:$H$5761,Data!$A$2:$A$5761,Control!$B$2,Data!$B$2:$B$5761,A9)</f>
        <v>2131</v>
      </c>
      <c r="G9">
        <f t="shared" si="2"/>
        <v>458.59000000000003</v>
      </c>
      <c r="H9" cm="1">
        <f t="array" ref="H9">INDEX(Budget!$B$2:$AK$21,Control!$B$6,MATCH(A9,Budget!$B$1:$AK$1,0))</f>
        <v>21561</v>
      </c>
      <c r="I9">
        <f t="shared" si="3"/>
        <v>-6.8225035944530221E-3</v>
      </c>
      <c r="J9">
        <f t="shared" si="4"/>
        <v>166754.19999999998</v>
      </c>
      <c r="K9">
        <f t="shared" si="5"/>
        <v>2024</v>
      </c>
      <c r="L9">
        <f t="shared" ca="1" si="6"/>
        <v>21276.699999999997</v>
      </c>
      <c r="M9">
        <f>C9*_xlfn.XLOOKUP(A9,FX!$A$2:$A$37,FX!$C$2:$C$37)</f>
        <v>23358.282119999996</v>
      </c>
      <c r="N9">
        <f>C9*(1+Control!$B$4)^(A9/12)</f>
        <v>21840.064671990469</v>
      </c>
      <c r="O9">
        <f t="shared" si="7"/>
        <v>29</v>
      </c>
      <c r="P9">
        <f t="shared" si="8"/>
        <v>148.89999999999782</v>
      </c>
      <c r="Q9">
        <f t="shared" si="9"/>
        <v>0.60292831600183561</v>
      </c>
      <c r="R9">
        <f t="shared" si="10"/>
        <v>0.54</v>
      </c>
      <c r="S9" t="str">
        <f t="shared" si="11"/>
        <v>in linea</v>
      </c>
      <c r="T9" t="str">
        <f t="shared" si="12"/>
        <v>T3-2024</v>
      </c>
      <c r="U9">
        <f t="shared" si="13"/>
        <v>20844.274999999998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21594.399999999998</v>
      </c>
      <c r="D10">
        <f>SUMIFS(Data!$F$2:$F$5761,Data!$A$2:$A$5761,Control!$B$2,Data!$B$2:$B$5761,A10)</f>
        <v>1163.0700000000002</v>
      </c>
      <c r="E10">
        <f>SUMIFS(Data!$G$2:$G$5761,Data!$A$2:$A$5761,Control!$B$2,Data!$B$2:$B$5761,A10)</f>
        <v>701.75</v>
      </c>
      <c r="F10">
        <f>SUMIFS(Data!$H$2:$H$5761,Data!$A$2:$A$5761,Control!$B$2,Data!$B$2:$B$5761,A10)</f>
        <v>2150</v>
      </c>
      <c r="G10">
        <f t="shared" si="2"/>
        <v>461.32000000000016</v>
      </c>
      <c r="H10" cm="1">
        <f t="array" ref="H10">INDEX(Budget!$B$2:$AK$21,Control!$B$6,MATCH(A10,Budget!$B$1:$AK$1,0))</f>
        <v>21742</v>
      </c>
      <c r="I10">
        <f t="shared" si="3"/>
        <v>-6.7887038910864339E-3</v>
      </c>
      <c r="J10">
        <f t="shared" si="4"/>
        <v>188348.59999999998</v>
      </c>
      <c r="K10">
        <f t="shared" si="5"/>
        <v>2024</v>
      </c>
      <c r="L10">
        <f t="shared" ca="1" si="6"/>
        <v>21424.433333333331</v>
      </c>
      <c r="M10">
        <f>C10*_xlfn.XLOOKUP(A10,FX!$A$2:$A$37,FX!$C$2:$C$37)</f>
        <v>23535.736560000001</v>
      </c>
      <c r="N10">
        <f>C10*(1+Control!$B$4)^(A10/12)</f>
        <v>22078.474370848577</v>
      </c>
      <c r="O10">
        <f t="shared" si="7"/>
        <v>28</v>
      </c>
      <c r="P10">
        <f t="shared" si="8"/>
        <v>180.5</v>
      </c>
      <c r="Q10">
        <f t="shared" si="9"/>
        <v>0.60336007291048677</v>
      </c>
      <c r="R10">
        <f t="shared" si="10"/>
        <v>0.54</v>
      </c>
      <c r="S10" t="str">
        <f t="shared" si="11"/>
        <v>in linea</v>
      </c>
      <c r="T10" t="str">
        <f t="shared" si="12"/>
        <v>T3-2024</v>
      </c>
      <c r="U10">
        <f t="shared" si="13"/>
        <v>20927.62222222222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21815.100000000002</v>
      </c>
      <c r="D11">
        <f>SUMIFS(Data!$F$2:$F$5761,Data!$A$2:$A$5761,Control!$B$2,Data!$B$2:$B$5761,A11)</f>
        <v>1174.96</v>
      </c>
      <c r="E11">
        <f>SUMIFS(Data!$G$2:$G$5761,Data!$A$2:$A$5761,Control!$B$2,Data!$B$2:$B$5761,A11)</f>
        <v>710.19</v>
      </c>
      <c r="F11">
        <f>SUMIFS(Data!$H$2:$H$5761,Data!$A$2:$A$5761,Control!$B$2,Data!$B$2:$B$5761,A11)</f>
        <v>2140</v>
      </c>
      <c r="G11">
        <f t="shared" si="2"/>
        <v>464.77</v>
      </c>
      <c r="H11" cm="1">
        <f t="array" ref="H11">INDEX(Budget!$B$2:$AK$21,Control!$B$6,MATCH(A11,Budget!$B$1:$AK$1,0))</f>
        <v>21923</v>
      </c>
      <c r="I11">
        <f t="shared" si="3"/>
        <v>-4.9217716553390245E-3</v>
      </c>
      <c r="J11">
        <f t="shared" si="4"/>
        <v>210163.69999999998</v>
      </c>
      <c r="K11">
        <f t="shared" si="5"/>
        <v>2024</v>
      </c>
      <c r="L11">
        <f t="shared" ca="1" si="6"/>
        <v>21607.8</v>
      </c>
      <c r="M11">
        <f>C11*_xlfn.XLOOKUP(A11,FX!$A$2:$A$37,FX!$C$2:$C$37)</f>
        <v>23721.739740000001</v>
      </c>
      <c r="N11">
        <f>C11*(1+Control!$B$4)^(A11/12)</f>
        <v>22359.129709418674</v>
      </c>
      <c r="O11">
        <f t="shared" si="7"/>
        <v>27</v>
      </c>
      <c r="P11">
        <f t="shared" si="8"/>
        <v>220.70000000000437</v>
      </c>
      <c r="Q11">
        <f t="shared" si="9"/>
        <v>0.60443759787567242</v>
      </c>
      <c r="R11">
        <f t="shared" si="10"/>
        <v>0.55000000000000004</v>
      </c>
      <c r="S11" t="str">
        <f t="shared" si="11"/>
        <v>in linea</v>
      </c>
      <c r="T11" t="str">
        <f t="shared" si="12"/>
        <v>T4-2024</v>
      </c>
      <c r="U11">
        <f t="shared" si="13"/>
        <v>21016.37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21894.799999999999</v>
      </c>
      <c r="D12">
        <f>SUMIFS(Data!$F$2:$F$5761,Data!$A$2:$A$5761,Control!$B$2,Data!$B$2:$B$5761,A12)</f>
        <v>1179.54</v>
      </c>
      <c r="E12">
        <f>SUMIFS(Data!$G$2:$G$5761,Data!$A$2:$A$5761,Control!$B$2,Data!$B$2:$B$5761,A12)</f>
        <v>711.9799999999999</v>
      </c>
      <c r="F12">
        <f>SUMIFS(Data!$H$2:$H$5761,Data!$A$2:$A$5761,Control!$B$2,Data!$B$2:$B$5761,A12)</f>
        <v>2198</v>
      </c>
      <c r="G12">
        <f t="shared" si="2"/>
        <v>467.56000000000006</v>
      </c>
      <c r="H12" cm="1">
        <f t="array" ref="H12">INDEX(Budget!$B$2:$AK$21,Control!$B$6,MATCH(A12,Budget!$B$1:$AK$1,0))</f>
        <v>22104</v>
      </c>
      <c r="I12">
        <f t="shared" si="3"/>
        <v>-9.4643503438291976E-3</v>
      </c>
      <c r="J12">
        <f t="shared" si="4"/>
        <v>232058.49999999997</v>
      </c>
      <c r="K12">
        <f t="shared" si="5"/>
        <v>2024</v>
      </c>
      <c r="L12">
        <f t="shared" ca="1" si="6"/>
        <v>21768.100000000002</v>
      </c>
      <c r="M12">
        <f>C12*_xlfn.XLOOKUP(A12,FX!$A$2:$A$37,FX!$C$2:$C$37)</f>
        <v>23720.826319999996</v>
      </c>
      <c r="N12">
        <f>C12*(1+Control!$B$4)^(A12/12)</f>
        <v>22496.162394693136</v>
      </c>
      <c r="O12">
        <f t="shared" si="7"/>
        <v>26</v>
      </c>
      <c r="P12">
        <f t="shared" si="8"/>
        <v>79.69999999999709</v>
      </c>
      <c r="Q12">
        <f t="shared" si="9"/>
        <v>0.60360818624209434</v>
      </c>
      <c r="R12">
        <f t="shared" si="10"/>
        <v>0.54</v>
      </c>
      <c r="S12" t="str">
        <f t="shared" si="11"/>
        <v>in linea</v>
      </c>
      <c r="T12" t="str">
        <f t="shared" si="12"/>
        <v>T4-2024</v>
      </c>
      <c r="U12">
        <f t="shared" si="13"/>
        <v>21096.227272727268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22036.399999999998</v>
      </c>
      <c r="D13">
        <f>SUMIFS(Data!$F$2:$F$5761,Data!$A$2:$A$5761,Control!$B$2,Data!$B$2:$B$5761,A13)</f>
        <v>1186.6200000000001</v>
      </c>
      <c r="E13">
        <f>SUMIFS(Data!$G$2:$G$5761,Data!$A$2:$A$5761,Control!$B$2,Data!$B$2:$B$5761,A13)</f>
        <v>716.59</v>
      </c>
      <c r="F13">
        <f>SUMIFS(Data!$H$2:$H$5761,Data!$A$2:$A$5761,Control!$B$2,Data!$B$2:$B$5761,A13)</f>
        <v>2149</v>
      </c>
      <c r="G13">
        <f t="shared" si="2"/>
        <v>470.03000000000009</v>
      </c>
      <c r="H13" cm="1">
        <f t="array" ref="H13">INDEX(Budget!$B$2:$AK$21,Control!$B$6,MATCH(A13,Budget!$B$1:$AK$1,0))</f>
        <v>22285</v>
      </c>
      <c r="I13">
        <f t="shared" si="3"/>
        <v>-1.1155485752748606E-2</v>
      </c>
      <c r="J13">
        <f t="shared" si="4"/>
        <v>254094.89999999997</v>
      </c>
      <c r="K13">
        <f t="shared" si="5"/>
        <v>2024</v>
      </c>
      <c r="L13">
        <f t="shared" ca="1" si="6"/>
        <v>21915.433333333334</v>
      </c>
      <c r="M13">
        <f>C13*_xlfn.XLOOKUP(A13,FX!$A$2:$A$37,FX!$C$2:$C$37)</f>
        <v>23759.646479999999</v>
      </c>
      <c r="N13">
        <f>C13*(1+Control!$B$4)^(A13/12)</f>
        <v>22697.491999999998</v>
      </c>
      <c r="O13">
        <f t="shared" si="7"/>
        <v>25</v>
      </c>
      <c r="P13">
        <f t="shared" si="8"/>
        <v>141.59999999999854</v>
      </c>
      <c r="Q13">
        <f t="shared" si="9"/>
        <v>0.60389172607911545</v>
      </c>
      <c r="R13">
        <f t="shared" si="10"/>
        <v>0.55000000000000004</v>
      </c>
      <c r="S13" t="str">
        <f t="shared" si="11"/>
        <v>in linea</v>
      </c>
      <c r="T13" t="str">
        <f t="shared" si="12"/>
        <v>T4-2024</v>
      </c>
      <c r="U13">
        <f t="shared" si="13"/>
        <v>21174.574999999997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22158.399999999998</v>
      </c>
      <c r="D14">
        <f>SUMIFS(Data!$F$2:$F$5761,Data!$A$2:$A$5761,Control!$B$2,Data!$B$2:$B$5761,A14)</f>
        <v>1194.1600000000001</v>
      </c>
      <c r="E14">
        <f>SUMIFS(Data!$G$2:$G$5761,Data!$A$2:$A$5761,Control!$B$2,Data!$B$2:$B$5761,A14)</f>
        <v>721.07</v>
      </c>
      <c r="F14">
        <f>SUMIFS(Data!$H$2:$H$5761,Data!$A$2:$A$5761,Control!$B$2,Data!$B$2:$B$5761,A14)</f>
        <v>2180</v>
      </c>
      <c r="G14">
        <f t="shared" si="2"/>
        <v>473.09000000000003</v>
      </c>
      <c r="H14" cm="1">
        <f t="array" ref="H14">INDEX(Budget!$B$2:$AK$21,Control!$B$6,MATCH(A14,Budget!$B$1:$AK$1,0))</f>
        <v>22466</v>
      </c>
      <c r="I14">
        <f t="shared" si="3"/>
        <v>-1.3691800943648302E-2</v>
      </c>
      <c r="J14">
        <f t="shared" si="4"/>
        <v>22158.399999999998</v>
      </c>
      <c r="K14">
        <f t="shared" si="5"/>
        <v>2025</v>
      </c>
      <c r="L14">
        <f t="shared" ca="1" si="6"/>
        <v>22029.866666666665</v>
      </c>
      <c r="M14">
        <f>C14*_xlfn.XLOOKUP(A14,FX!$A$2:$A$37,FX!$C$2:$C$37)</f>
        <v>23751.588960000001</v>
      </c>
      <c r="N14">
        <f>C14*(1+Control!$B$4)^(A14/12)</f>
        <v>22879.440049886289</v>
      </c>
      <c r="O14">
        <f t="shared" si="7"/>
        <v>24</v>
      </c>
      <c r="P14">
        <f t="shared" si="8"/>
        <v>122</v>
      </c>
      <c r="Q14">
        <f t="shared" si="9"/>
        <v>0.60383030749648292</v>
      </c>
      <c r="R14">
        <f t="shared" si="10"/>
        <v>0.55000000000000004</v>
      </c>
      <c r="S14" t="str">
        <f t="shared" si="11"/>
        <v>in linea</v>
      </c>
      <c r="T14" t="str">
        <f t="shared" si="12"/>
        <v>T1-2025</v>
      </c>
      <c r="U14">
        <f t="shared" si="13"/>
        <v>21329.841666666664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22419.200000000001</v>
      </c>
      <c r="D15">
        <f>SUMIFS(Data!$F$2:$F$5761,Data!$A$2:$A$5761,Control!$B$2,Data!$B$2:$B$5761,A15)</f>
        <v>1207.06</v>
      </c>
      <c r="E15">
        <f>SUMIFS(Data!$G$2:$G$5761,Data!$A$2:$A$5761,Control!$B$2,Data!$B$2:$B$5761,A15)</f>
        <v>729.38</v>
      </c>
      <c r="F15">
        <f>SUMIFS(Data!$H$2:$H$5761,Data!$A$2:$A$5761,Control!$B$2,Data!$B$2:$B$5761,A15)</f>
        <v>2186</v>
      </c>
      <c r="G15">
        <f t="shared" si="2"/>
        <v>477.67999999999995</v>
      </c>
      <c r="H15" cm="1">
        <f t="array" ref="H15">INDEX(Budget!$B$2:$AK$21,Control!$B$6,MATCH(A15,Budget!$B$1:$AK$1,0))</f>
        <v>22647</v>
      </c>
      <c r="I15">
        <f t="shared" si="3"/>
        <v>-1.0058727425266034E-2</v>
      </c>
      <c r="J15">
        <f t="shared" si="4"/>
        <v>44577.599999999999</v>
      </c>
      <c r="K15">
        <f t="shared" si="5"/>
        <v>2025</v>
      </c>
      <c r="L15">
        <f t="shared" ca="1" si="6"/>
        <v>22204.666666666668</v>
      </c>
      <c r="M15">
        <f>C15*_xlfn.XLOOKUP(A15,FX!$A$2:$A$37,FX!$C$2:$C$37)</f>
        <v>23871.96416</v>
      </c>
      <c r="N15">
        <f>C15*(1+Control!$B$4)^(A15/12)</f>
        <v>23205.817553693065</v>
      </c>
      <c r="O15">
        <f t="shared" si="7"/>
        <v>23</v>
      </c>
      <c r="P15">
        <f t="shared" si="8"/>
        <v>260.80000000000291</v>
      </c>
      <c r="Q15">
        <f t="shared" si="9"/>
        <v>0.60426159428694515</v>
      </c>
      <c r="R15">
        <f t="shared" si="10"/>
        <v>0.55000000000000004</v>
      </c>
      <c r="S15" t="str">
        <f t="shared" si="11"/>
        <v>in linea</v>
      </c>
      <c r="T15" t="str">
        <f t="shared" si="12"/>
        <v>T1-2025</v>
      </c>
      <c r="U15">
        <f t="shared" si="13"/>
        <v>21497.024999999998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22578.400000000001</v>
      </c>
      <c r="D16">
        <f>SUMIFS(Data!$F$2:$F$5761,Data!$A$2:$A$5761,Control!$B$2,Data!$B$2:$B$5761,A16)</f>
        <v>1216.45</v>
      </c>
      <c r="E16">
        <f>SUMIFS(Data!$G$2:$G$5761,Data!$A$2:$A$5761,Control!$B$2,Data!$B$2:$B$5761,A16)</f>
        <v>733.04000000000008</v>
      </c>
      <c r="F16">
        <f>SUMIFS(Data!$H$2:$H$5761,Data!$A$2:$A$5761,Control!$B$2,Data!$B$2:$B$5761,A16)</f>
        <v>2160</v>
      </c>
      <c r="G16">
        <f t="shared" si="2"/>
        <v>483.40999999999997</v>
      </c>
      <c r="H16" cm="1">
        <f t="array" ref="H16">INDEX(Budget!$B$2:$AK$21,Control!$B$6,MATCH(A16,Budget!$B$1:$AK$1,0))</f>
        <v>22828</v>
      </c>
      <c r="I16">
        <f t="shared" si="3"/>
        <v>-1.0933940774487394E-2</v>
      </c>
      <c r="J16">
        <f t="shared" si="4"/>
        <v>67156</v>
      </c>
      <c r="K16">
        <f t="shared" si="5"/>
        <v>2025</v>
      </c>
      <c r="L16">
        <f t="shared" ca="1" si="6"/>
        <v>22385.333333333332</v>
      </c>
      <c r="M16">
        <f>C16*_xlfn.XLOOKUP(A16,FX!$A$2:$A$37,FX!$C$2:$C$37)</f>
        <v>23867.626639999999</v>
      </c>
      <c r="N16">
        <f>C16*(1+Control!$B$4)^(A16/12)</f>
        <v>23428.241581829159</v>
      </c>
      <c r="O16">
        <f t="shared" si="7"/>
        <v>22</v>
      </c>
      <c r="P16">
        <f t="shared" si="8"/>
        <v>159.20000000000073</v>
      </c>
      <c r="Q16">
        <f t="shared" si="9"/>
        <v>0.60260594352418928</v>
      </c>
      <c r="R16">
        <f t="shared" si="10"/>
        <v>0.56000000000000005</v>
      </c>
      <c r="S16" t="str">
        <f t="shared" si="11"/>
        <v>in linea</v>
      </c>
      <c r="T16" t="str">
        <f t="shared" si="12"/>
        <v>T1-2025</v>
      </c>
      <c r="U16">
        <f t="shared" si="13"/>
        <v>21660.083333333332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22629.599999999999</v>
      </c>
      <c r="D17">
        <f>SUMIFS(Data!$F$2:$F$5761,Data!$A$2:$A$5761,Control!$B$2,Data!$B$2:$B$5761,A17)</f>
        <v>1219.06</v>
      </c>
      <c r="E17">
        <f>SUMIFS(Data!$G$2:$G$5761,Data!$A$2:$A$5761,Control!$B$2,Data!$B$2:$B$5761,A17)</f>
        <v>736.07</v>
      </c>
      <c r="F17">
        <f>SUMIFS(Data!$H$2:$H$5761,Data!$A$2:$A$5761,Control!$B$2,Data!$B$2:$B$5761,A17)</f>
        <v>2179</v>
      </c>
      <c r="G17">
        <f t="shared" si="2"/>
        <v>482.9899999999999</v>
      </c>
      <c r="H17" cm="1">
        <f t="array" ref="H17">INDEX(Budget!$B$2:$AK$21,Control!$B$6,MATCH(A17,Budget!$B$1:$AK$1,0))</f>
        <v>23010</v>
      </c>
      <c r="I17">
        <f t="shared" si="3"/>
        <v>-1.6531942633637664E-2</v>
      </c>
      <c r="J17">
        <f t="shared" si="4"/>
        <v>89785.600000000006</v>
      </c>
      <c r="K17">
        <f t="shared" si="5"/>
        <v>2025</v>
      </c>
      <c r="L17">
        <f t="shared" ca="1" si="6"/>
        <v>22542.400000000005</v>
      </c>
      <c r="M17">
        <f>C17*_xlfn.XLOOKUP(A17,FX!$A$2:$A$37,FX!$C$2:$C$37)</f>
        <v>23745.239279999998</v>
      </c>
      <c r="N17">
        <f>C17*(1+Control!$B$4)^(A17/12)</f>
        <v>23539.280118433904</v>
      </c>
      <c r="O17">
        <f t="shared" si="7"/>
        <v>21</v>
      </c>
      <c r="P17">
        <f t="shared" si="8"/>
        <v>51.19999999999709</v>
      </c>
      <c r="Q17">
        <f t="shared" si="9"/>
        <v>0.60380128951815337</v>
      </c>
      <c r="R17">
        <f t="shared" si="10"/>
        <v>0.56000000000000005</v>
      </c>
      <c r="S17" t="str">
        <f t="shared" si="11"/>
        <v>in linea</v>
      </c>
      <c r="T17" t="str">
        <f t="shared" si="12"/>
        <v>T2-2025</v>
      </c>
      <c r="U17">
        <f t="shared" si="13"/>
        <v>21824.216666666667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22847.800000000003</v>
      </c>
      <c r="D18">
        <f>SUMIFS(Data!$F$2:$F$5761,Data!$A$2:$A$5761,Control!$B$2,Data!$B$2:$B$5761,A18)</f>
        <v>1230.5100000000002</v>
      </c>
      <c r="E18">
        <f>SUMIFS(Data!$G$2:$G$5761,Data!$A$2:$A$5761,Control!$B$2,Data!$B$2:$B$5761,A18)</f>
        <v>743.82999999999993</v>
      </c>
      <c r="F18">
        <f>SUMIFS(Data!$H$2:$H$5761,Data!$A$2:$A$5761,Control!$B$2,Data!$B$2:$B$5761,A18)</f>
        <v>2171</v>
      </c>
      <c r="G18">
        <f t="shared" si="2"/>
        <v>486.68000000000029</v>
      </c>
      <c r="H18" cm="1">
        <f t="array" ref="H18">INDEX(Budget!$B$2:$AK$21,Control!$B$6,MATCH(A18,Budget!$B$1:$AK$1,0))</f>
        <v>23191</v>
      </c>
      <c r="I18">
        <f t="shared" si="3"/>
        <v>-1.4798844379284914E-2</v>
      </c>
      <c r="J18">
        <f t="shared" si="4"/>
        <v>112633.40000000001</v>
      </c>
      <c r="K18">
        <f t="shared" si="5"/>
        <v>2025</v>
      </c>
      <c r="L18">
        <f t="shared" ca="1" si="6"/>
        <v>22685.266666666666</v>
      </c>
      <c r="M18">
        <f>C18*_xlfn.XLOOKUP(A18,FX!$A$2:$A$37,FX!$C$2:$C$37)</f>
        <v>23795.983700000004</v>
      </c>
      <c r="N18">
        <f>C18*(1+Control!$B$4)^(A18/12)</f>
        <v>23824.865458684195</v>
      </c>
      <c r="O18">
        <f t="shared" si="7"/>
        <v>20</v>
      </c>
      <c r="P18">
        <f t="shared" si="8"/>
        <v>218.20000000000437</v>
      </c>
      <c r="Q18">
        <f t="shared" si="9"/>
        <v>0.6044891955368098</v>
      </c>
      <c r="R18">
        <f t="shared" si="10"/>
        <v>0.56999999999999995</v>
      </c>
      <c r="S18" t="str">
        <f t="shared" si="11"/>
        <v>in linea</v>
      </c>
      <c r="T18" t="str">
        <f t="shared" si="12"/>
        <v>T2-2025</v>
      </c>
      <c r="U18">
        <f t="shared" si="13"/>
        <v>21983.683333333334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22950.5</v>
      </c>
      <c r="D19">
        <f>SUMIFS(Data!$F$2:$F$5761,Data!$A$2:$A$5761,Control!$B$2,Data!$B$2:$B$5761,A19)</f>
        <v>1237.0700000000002</v>
      </c>
      <c r="E19">
        <f>SUMIFS(Data!$G$2:$G$5761,Data!$A$2:$A$5761,Control!$B$2,Data!$B$2:$B$5761,A19)</f>
        <v>745.56999999999994</v>
      </c>
      <c r="F19">
        <f>SUMIFS(Data!$H$2:$H$5761,Data!$A$2:$A$5761,Control!$B$2,Data!$B$2:$B$5761,A19)</f>
        <v>2159</v>
      </c>
      <c r="G19">
        <f t="shared" si="2"/>
        <v>491.50000000000023</v>
      </c>
      <c r="H19" cm="1">
        <f t="array" ref="H19">INDEX(Budget!$B$2:$AK$21,Control!$B$6,MATCH(A19,Budget!$B$1:$AK$1,0))</f>
        <v>23372</v>
      </c>
      <c r="I19">
        <f t="shared" si="3"/>
        <v>-1.8034400136915929E-2</v>
      </c>
      <c r="J19">
        <f t="shared" si="4"/>
        <v>135583.90000000002</v>
      </c>
      <c r="K19">
        <f t="shared" si="5"/>
        <v>2025</v>
      </c>
      <c r="L19">
        <f t="shared" ca="1" si="6"/>
        <v>22809.3</v>
      </c>
      <c r="M19">
        <f>C19*_xlfn.XLOOKUP(A19,FX!$A$2:$A$37,FX!$C$2:$C$37)</f>
        <v>23733.11205</v>
      </c>
      <c r="N19">
        <f>C19*(1+Control!$B$4)^(A19/12)</f>
        <v>23990.979994058845</v>
      </c>
      <c r="O19">
        <f t="shared" si="7"/>
        <v>19</v>
      </c>
      <c r="P19">
        <f t="shared" si="8"/>
        <v>102.69999999999709</v>
      </c>
      <c r="Q19">
        <f t="shared" si="9"/>
        <v>0.60269022771548886</v>
      </c>
      <c r="R19">
        <f t="shared" si="10"/>
        <v>0.56999999999999995</v>
      </c>
      <c r="S19" t="str">
        <f t="shared" si="11"/>
        <v>in linea</v>
      </c>
      <c r="T19" t="str">
        <f t="shared" si="12"/>
        <v>T2-2025</v>
      </c>
      <c r="U19">
        <f t="shared" si="13"/>
        <v>22133.625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23219</v>
      </c>
      <c r="D20">
        <f>SUMIFS(Data!$F$2:$F$5761,Data!$A$2:$A$5761,Control!$B$2,Data!$B$2:$B$5761,A20)</f>
        <v>1250.9000000000001</v>
      </c>
      <c r="E20">
        <f>SUMIFS(Data!$G$2:$G$5761,Data!$A$2:$A$5761,Control!$B$2,Data!$B$2:$B$5761,A20)</f>
        <v>755.74</v>
      </c>
      <c r="F20">
        <f>SUMIFS(Data!$H$2:$H$5761,Data!$A$2:$A$5761,Control!$B$2,Data!$B$2:$B$5761,A20)</f>
        <v>2149</v>
      </c>
      <c r="G20">
        <f t="shared" si="2"/>
        <v>495.16000000000008</v>
      </c>
      <c r="H20" cm="1">
        <f t="array" ref="H20">INDEX(Budget!$B$2:$AK$21,Control!$B$6,MATCH(A20,Budget!$B$1:$AK$1,0))</f>
        <v>23553</v>
      </c>
      <c r="I20">
        <f t="shared" si="3"/>
        <v>-1.4180783764276339E-2</v>
      </c>
      <c r="J20">
        <f t="shared" si="4"/>
        <v>158802.90000000002</v>
      </c>
      <c r="K20">
        <f t="shared" si="5"/>
        <v>2025</v>
      </c>
      <c r="L20">
        <f t="shared" ca="1" si="6"/>
        <v>23005.766666666666</v>
      </c>
      <c r="M20">
        <f>C20*_xlfn.XLOOKUP(A20,FX!$A$2:$A$37,FX!$C$2:$C$37)</f>
        <v>23855.200600000004</v>
      </c>
      <c r="N20">
        <f>C20*(1+Control!$B$4)^(A20/12)</f>
        <v>24331.51310802815</v>
      </c>
      <c r="O20">
        <f t="shared" si="7"/>
        <v>18</v>
      </c>
      <c r="P20">
        <f t="shared" si="8"/>
        <v>268.5</v>
      </c>
      <c r="Q20">
        <f t="shared" si="9"/>
        <v>0.60415700695499241</v>
      </c>
      <c r="R20">
        <f t="shared" si="10"/>
        <v>0.57999999999999996</v>
      </c>
      <c r="S20" t="str">
        <f t="shared" si="11"/>
        <v>in linea</v>
      </c>
      <c r="T20" t="str">
        <f t="shared" si="12"/>
        <v>T3-2025</v>
      </c>
      <c r="U20">
        <f t="shared" si="13"/>
        <v>22296.458333333332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23311</v>
      </c>
      <c r="D21">
        <f>SUMIFS(Data!$F$2:$F$5761,Data!$A$2:$A$5761,Control!$B$2,Data!$B$2:$B$5761,A21)</f>
        <v>1256.57</v>
      </c>
      <c r="E21">
        <f>SUMIFS(Data!$G$2:$G$5761,Data!$A$2:$A$5761,Control!$B$2,Data!$B$2:$B$5761,A21)</f>
        <v>758.24</v>
      </c>
      <c r="F21">
        <f>SUMIFS(Data!$H$2:$H$5761,Data!$A$2:$A$5761,Control!$B$2,Data!$B$2:$B$5761,A21)</f>
        <v>2154</v>
      </c>
      <c r="G21">
        <f t="shared" si="2"/>
        <v>498.32999999999993</v>
      </c>
      <c r="H21" cm="1">
        <f t="array" ref="H21">INDEX(Budget!$B$2:$AK$21,Control!$B$6,MATCH(A21,Budget!$B$1:$AK$1,0))</f>
        <v>23734</v>
      </c>
      <c r="I21">
        <f t="shared" si="3"/>
        <v>-1.782253307491366E-2</v>
      </c>
      <c r="J21">
        <f t="shared" si="4"/>
        <v>182113.90000000002</v>
      </c>
      <c r="K21">
        <f t="shared" si="5"/>
        <v>2025</v>
      </c>
      <c r="L21">
        <f t="shared" ca="1" si="6"/>
        <v>23160.166666666668</v>
      </c>
      <c r="M21">
        <f>C21*_xlfn.XLOOKUP(A21,FX!$A$2:$A$37,FX!$C$2:$C$37)</f>
        <v>23816.848700000002</v>
      </c>
      <c r="N21">
        <f>C21*(1+Control!$B$4)^(A21/12)</f>
        <v>24488.167031499768</v>
      </c>
      <c r="O21">
        <f t="shared" si="7"/>
        <v>17</v>
      </c>
      <c r="P21">
        <f t="shared" si="8"/>
        <v>92</v>
      </c>
      <c r="Q21">
        <f t="shared" si="9"/>
        <v>0.60342042226059833</v>
      </c>
      <c r="R21">
        <f t="shared" si="10"/>
        <v>0.57999999999999996</v>
      </c>
      <c r="S21" t="str">
        <f t="shared" si="11"/>
        <v>in linea</v>
      </c>
      <c r="T21" t="str">
        <f t="shared" si="12"/>
        <v>T3-2025</v>
      </c>
      <c r="U21">
        <f t="shared" si="13"/>
        <v>22454.55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23554.6</v>
      </c>
      <c r="D22">
        <f>SUMIFS(Data!$F$2:$F$5761,Data!$A$2:$A$5761,Control!$B$2,Data!$B$2:$B$5761,A22)</f>
        <v>1268.6699999999998</v>
      </c>
      <c r="E22">
        <f>SUMIFS(Data!$G$2:$G$5761,Data!$A$2:$A$5761,Control!$B$2,Data!$B$2:$B$5761,A22)</f>
        <v>765.97</v>
      </c>
      <c r="F22">
        <f>SUMIFS(Data!$H$2:$H$5761,Data!$A$2:$A$5761,Control!$B$2,Data!$B$2:$B$5761,A22)</f>
        <v>2133</v>
      </c>
      <c r="G22">
        <f t="shared" si="2"/>
        <v>502.69999999999982</v>
      </c>
      <c r="H22" cm="1">
        <f t="array" ref="H22">INDEX(Budget!$B$2:$AK$21,Control!$B$6,MATCH(A22,Budget!$B$1:$AK$1,0))</f>
        <v>23915</v>
      </c>
      <c r="I22">
        <f t="shared" si="3"/>
        <v>-1.5070039724022655E-2</v>
      </c>
      <c r="J22">
        <f t="shared" si="4"/>
        <v>205668.50000000003</v>
      </c>
      <c r="K22">
        <f t="shared" si="5"/>
        <v>2025</v>
      </c>
      <c r="L22">
        <f t="shared" ca="1" si="6"/>
        <v>23361.533333333336</v>
      </c>
      <c r="M22">
        <f>C22*_xlfn.XLOOKUP(A22,FX!$A$2:$A$37,FX!$C$2:$C$37)</f>
        <v>23959.739120000002</v>
      </c>
      <c r="N22">
        <f>C22*(1+Control!$B$4)^(A22/12)</f>
        <v>24805.093977515357</v>
      </c>
      <c r="O22">
        <f t="shared" si="7"/>
        <v>16</v>
      </c>
      <c r="P22">
        <f t="shared" si="8"/>
        <v>243.59999999999854</v>
      </c>
      <c r="Q22">
        <f t="shared" si="9"/>
        <v>0.60375826653109166</v>
      </c>
      <c r="R22">
        <f t="shared" si="10"/>
        <v>0.59</v>
      </c>
      <c r="S22" t="str">
        <f t="shared" si="11"/>
        <v>in linea</v>
      </c>
      <c r="T22" t="str">
        <f t="shared" si="12"/>
        <v>T3-2025</v>
      </c>
      <c r="U22">
        <f t="shared" si="13"/>
        <v>22617.899999999998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23654.6</v>
      </c>
      <c r="D23">
        <f>SUMIFS(Data!$F$2:$F$5761,Data!$A$2:$A$5761,Control!$B$2,Data!$B$2:$B$5761,A23)</f>
        <v>1273.0899999999999</v>
      </c>
      <c r="E23">
        <f>SUMIFS(Data!$G$2:$G$5761,Data!$A$2:$A$5761,Control!$B$2,Data!$B$2:$B$5761,A23)</f>
        <v>768.73</v>
      </c>
      <c r="F23">
        <f>SUMIFS(Data!$H$2:$H$5761,Data!$A$2:$A$5761,Control!$B$2,Data!$B$2:$B$5761,A23)</f>
        <v>2130</v>
      </c>
      <c r="G23">
        <f t="shared" si="2"/>
        <v>504.3599999999999</v>
      </c>
      <c r="H23" cm="1">
        <f t="array" ref="H23">INDEX(Budget!$B$2:$AK$21,Control!$B$6,MATCH(A23,Budget!$B$1:$AK$1,0))</f>
        <v>24096</v>
      </c>
      <c r="I23">
        <f t="shared" si="3"/>
        <v>-1.831839309428962E-2</v>
      </c>
      <c r="J23">
        <f t="shared" si="4"/>
        <v>229323.10000000003</v>
      </c>
      <c r="K23">
        <f t="shared" si="5"/>
        <v>2025</v>
      </c>
      <c r="L23">
        <f t="shared" ca="1" si="6"/>
        <v>23506.733333333334</v>
      </c>
      <c r="M23">
        <f>C23*_xlfn.XLOOKUP(A23,FX!$A$2:$A$37,FX!$C$2:$C$37)</f>
        <v>23988.129859999997</v>
      </c>
      <c r="N23">
        <f>C23*(1+Control!$B$4)^(A23/12)</f>
        <v>24971.838667397693</v>
      </c>
      <c r="O23">
        <f t="shared" si="7"/>
        <v>15</v>
      </c>
      <c r="P23">
        <f t="shared" si="8"/>
        <v>100</v>
      </c>
      <c r="Q23">
        <f t="shared" si="9"/>
        <v>0.60383005129252454</v>
      </c>
      <c r="R23">
        <f t="shared" si="10"/>
        <v>0.6</v>
      </c>
      <c r="S23" t="str">
        <f t="shared" si="11"/>
        <v>in linea</v>
      </c>
      <c r="T23" t="str">
        <f t="shared" si="12"/>
        <v>T4-2025</v>
      </c>
      <c r="U23">
        <f t="shared" si="13"/>
        <v>22771.191666666666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23796.7</v>
      </c>
      <c r="D24">
        <f>SUMIFS(Data!$F$2:$F$5761,Data!$A$2:$A$5761,Control!$B$2,Data!$B$2:$B$5761,A24)</f>
        <v>1284.0899999999999</v>
      </c>
      <c r="E24">
        <f>SUMIFS(Data!$G$2:$G$5761,Data!$A$2:$A$5761,Control!$B$2,Data!$B$2:$B$5761,A24)</f>
        <v>774.2700000000001</v>
      </c>
      <c r="F24">
        <f>SUMIFS(Data!$H$2:$H$5761,Data!$A$2:$A$5761,Control!$B$2,Data!$B$2:$B$5761,A24)</f>
        <v>2116</v>
      </c>
      <c r="G24">
        <f t="shared" si="2"/>
        <v>509.81999999999982</v>
      </c>
      <c r="H24" cm="1">
        <f t="array" ref="H24">INDEX(Budget!$B$2:$AK$21,Control!$B$6,MATCH(A24,Budget!$B$1:$AK$1,0))</f>
        <v>24277</v>
      </c>
      <c r="I24">
        <f t="shared" si="3"/>
        <v>-1.9784157844873751E-2</v>
      </c>
      <c r="J24">
        <f t="shared" si="4"/>
        <v>253119.80000000005</v>
      </c>
      <c r="K24">
        <f t="shared" si="5"/>
        <v>2025</v>
      </c>
      <c r="L24">
        <f t="shared" ca="1" si="6"/>
        <v>23668.633333333331</v>
      </c>
      <c r="M24">
        <f>C24*_xlfn.XLOOKUP(A24,FX!$A$2:$A$37,FX!$C$2:$C$37)</f>
        <v>24096.538420000001</v>
      </c>
      <c r="N24">
        <f>C24*(1+Control!$B$4)^(A24/12)</f>
        <v>25183.808963202584</v>
      </c>
      <c r="O24">
        <f t="shared" si="7"/>
        <v>14</v>
      </c>
      <c r="P24">
        <f t="shared" si="8"/>
        <v>142.10000000000218</v>
      </c>
      <c r="Q24">
        <f t="shared" si="9"/>
        <v>0.60297175431628636</v>
      </c>
      <c r="R24">
        <f t="shared" si="10"/>
        <v>0.61</v>
      </c>
      <c r="S24" t="str">
        <f t="shared" si="11"/>
        <v>in linea</v>
      </c>
      <c r="T24" t="str">
        <f t="shared" si="12"/>
        <v>T4-2025</v>
      </c>
      <c r="U24">
        <f t="shared" si="13"/>
        <v>22929.683333333334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24070</v>
      </c>
      <c r="D25">
        <f>SUMIFS(Data!$F$2:$F$5761,Data!$A$2:$A$5761,Control!$B$2,Data!$B$2:$B$5761,A25)</f>
        <v>1295.8200000000002</v>
      </c>
      <c r="E25">
        <f>SUMIFS(Data!$G$2:$G$5761,Data!$A$2:$A$5761,Control!$B$2,Data!$B$2:$B$5761,A25)</f>
        <v>782.63</v>
      </c>
      <c r="F25">
        <f>SUMIFS(Data!$H$2:$H$5761,Data!$A$2:$A$5761,Control!$B$2,Data!$B$2:$B$5761,A25)</f>
        <v>2218</v>
      </c>
      <c r="G25">
        <f t="shared" si="2"/>
        <v>513.19000000000017</v>
      </c>
      <c r="H25" cm="1">
        <f t="array" ref="H25">INDEX(Budget!$B$2:$AK$21,Control!$B$6,MATCH(A25,Budget!$B$1:$AK$1,0))</f>
        <v>24458</v>
      </c>
      <c r="I25">
        <f t="shared" si="3"/>
        <v>-1.586393000245323E-2</v>
      </c>
      <c r="J25">
        <f t="shared" si="4"/>
        <v>277189.80000000005</v>
      </c>
      <c r="K25">
        <f t="shared" si="5"/>
        <v>2025</v>
      </c>
      <c r="L25">
        <f t="shared" ca="1" si="6"/>
        <v>23840.433333333334</v>
      </c>
      <c r="M25">
        <f>C25*_xlfn.XLOOKUP(A25,FX!$A$2:$A$37,FX!$C$2:$C$37)</f>
        <v>24373.281999999999</v>
      </c>
      <c r="N25">
        <f>C25*(1+Control!$B$4)^(A25/12)</f>
        <v>25535.862999999998</v>
      </c>
      <c r="O25">
        <f t="shared" si="7"/>
        <v>13</v>
      </c>
      <c r="P25">
        <f t="shared" si="8"/>
        <v>273.29999999999927</v>
      </c>
      <c r="Q25">
        <f t="shared" si="9"/>
        <v>0.6039650568751832</v>
      </c>
      <c r="R25">
        <f t="shared" si="10"/>
        <v>0.57999999999999996</v>
      </c>
      <c r="S25" t="str">
        <f t="shared" si="11"/>
        <v>in linea</v>
      </c>
      <c r="T25" t="str">
        <f t="shared" si="12"/>
        <v>T4-2025</v>
      </c>
      <c r="U25">
        <f t="shared" si="13"/>
        <v>23099.150000000005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24095</v>
      </c>
      <c r="D26">
        <f>SUMIFS(Data!$F$2:$F$5761,Data!$A$2:$A$5761,Control!$B$2,Data!$B$2:$B$5761,A26)</f>
        <v>1297.99</v>
      </c>
      <c r="E26">
        <f>SUMIFS(Data!$G$2:$G$5761,Data!$A$2:$A$5761,Control!$B$2,Data!$B$2:$B$5761,A26)</f>
        <v>783.63</v>
      </c>
      <c r="F26">
        <f>SUMIFS(Data!$H$2:$H$5761,Data!$A$2:$A$5761,Control!$B$2,Data!$B$2:$B$5761,A26)</f>
        <v>2176</v>
      </c>
      <c r="G26">
        <f t="shared" si="2"/>
        <v>514.36</v>
      </c>
      <c r="H26" cm="1">
        <f t="array" ref="H26">INDEX(Budget!$B$2:$AK$21,Control!$B$6,MATCH(A26,Budget!$B$1:$AK$1,0))</f>
        <v>24639</v>
      </c>
      <c r="I26">
        <f t="shared" si="3"/>
        <v>-2.2078818133852818E-2</v>
      </c>
      <c r="J26">
        <f t="shared" si="4"/>
        <v>24095</v>
      </c>
      <c r="K26">
        <f t="shared" si="5"/>
        <v>2026</v>
      </c>
      <c r="L26">
        <f t="shared" ca="1" si="6"/>
        <v>23987.233333333334</v>
      </c>
      <c r="M26">
        <f>C26*_xlfn.XLOOKUP(A26,FX!$A$2:$A$37,FX!$C$2:$C$37)</f>
        <v>24434.7395</v>
      </c>
      <c r="N26">
        <f>C26*(1+Control!$B$4)^(A26/12)</f>
        <v>25625.42923866662</v>
      </c>
      <c r="O26">
        <f t="shared" si="7"/>
        <v>12</v>
      </c>
      <c r="P26">
        <f t="shared" si="8"/>
        <v>25</v>
      </c>
      <c r="Q26">
        <f t="shared" si="9"/>
        <v>0.60372576059908012</v>
      </c>
      <c r="R26">
        <f t="shared" si="10"/>
        <v>0.6</v>
      </c>
      <c r="S26" t="str">
        <f t="shared" si="11"/>
        <v>in linea</v>
      </c>
      <c r="T26" t="str">
        <f t="shared" si="12"/>
        <v>T1-2026</v>
      </c>
      <c r="U26">
        <f t="shared" si="13"/>
        <v>23260.533333333336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24282.6</v>
      </c>
      <c r="D27">
        <f>SUMIFS(Data!$F$2:$F$5761,Data!$A$2:$A$5761,Control!$B$2,Data!$B$2:$B$5761,A27)</f>
        <v>1308.9099999999999</v>
      </c>
      <c r="E27">
        <f>SUMIFS(Data!$G$2:$G$5761,Data!$A$2:$A$5761,Control!$B$2,Data!$B$2:$B$5761,A27)</f>
        <v>789.25999999999988</v>
      </c>
      <c r="F27">
        <f>SUMIFS(Data!$H$2:$H$5761,Data!$A$2:$A$5761,Control!$B$2,Data!$B$2:$B$5761,A27)</f>
        <v>2140</v>
      </c>
      <c r="G27">
        <f t="shared" si="2"/>
        <v>519.65</v>
      </c>
      <c r="H27" cm="1">
        <f t="array" ref="H27">INDEX(Budget!$B$2:$AK$21,Control!$B$6,MATCH(A27,Budget!$B$1:$AK$1,0))</f>
        <v>24820</v>
      </c>
      <c r="I27">
        <f t="shared" si="3"/>
        <v>-2.1651893634166086E-2</v>
      </c>
      <c r="J27">
        <f t="shared" si="4"/>
        <v>48377.599999999999</v>
      </c>
      <c r="K27">
        <f t="shared" si="5"/>
        <v>2026</v>
      </c>
      <c r="L27">
        <f t="shared" ca="1" si="6"/>
        <v>24149.200000000001</v>
      </c>
      <c r="M27">
        <f>C27*_xlfn.XLOOKUP(A27,FX!$A$2:$A$37,FX!$C$2:$C$37)</f>
        <v>24702.688979999999</v>
      </c>
      <c r="N27">
        <f>C27*(1+Control!$B$4)^(A27/12)</f>
        <v>25888.636208659831</v>
      </c>
      <c r="O27">
        <f t="shared" si="7"/>
        <v>11</v>
      </c>
      <c r="P27">
        <f t="shared" si="8"/>
        <v>187.59999999999854</v>
      </c>
      <c r="Q27">
        <f t="shared" si="9"/>
        <v>0.60299027435041364</v>
      </c>
      <c r="R27">
        <f t="shared" si="10"/>
        <v>0.61</v>
      </c>
      <c r="S27" t="str">
        <f t="shared" si="11"/>
        <v>in linea</v>
      </c>
      <c r="T27" t="str">
        <f t="shared" si="12"/>
        <v>T1-2026</v>
      </c>
      <c r="U27">
        <f t="shared" si="13"/>
        <v>23415.816666666666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24438.199999999997</v>
      </c>
      <c r="D28">
        <f>SUMIFS(Data!$F$2:$F$5761,Data!$A$2:$A$5761,Control!$B$2,Data!$B$2:$B$5761,A28)</f>
        <v>1318.08</v>
      </c>
      <c r="E28">
        <f>SUMIFS(Data!$G$2:$G$5761,Data!$A$2:$A$5761,Control!$B$2,Data!$B$2:$B$5761,A28)</f>
        <v>795.47</v>
      </c>
      <c r="F28">
        <f>SUMIFS(Data!$H$2:$H$5761,Data!$A$2:$A$5761,Control!$B$2,Data!$B$2:$B$5761,A28)</f>
        <v>2111</v>
      </c>
      <c r="G28">
        <f t="shared" si="2"/>
        <v>522.6099999999999</v>
      </c>
      <c r="H28" cm="1">
        <f t="array" ref="H28">INDEX(Budget!$B$2:$AK$21,Control!$B$6,MATCH(A28,Budget!$B$1:$AK$1,0))</f>
        <v>25001</v>
      </c>
      <c r="I28">
        <f t="shared" si="3"/>
        <v>-2.2511099556017822E-2</v>
      </c>
      <c r="J28">
        <f t="shared" si="4"/>
        <v>72815.799999999988</v>
      </c>
      <c r="K28">
        <f t="shared" si="5"/>
        <v>2026</v>
      </c>
      <c r="L28">
        <f t="shared" ca="1" si="6"/>
        <v>24271.933333333331</v>
      </c>
      <c r="M28">
        <f>C28*_xlfn.XLOOKUP(A28,FX!$A$2:$A$37,FX!$C$2:$C$37)</f>
        <v>24970.952759999996</v>
      </c>
      <c r="N28">
        <f>C28*(1+Control!$B$4)^(A28/12)</f>
        <v>26118.784990424872</v>
      </c>
      <c r="O28">
        <f t="shared" si="7"/>
        <v>10</v>
      </c>
      <c r="P28">
        <f t="shared" si="8"/>
        <v>155.59999999999854</v>
      </c>
      <c r="Q28">
        <f t="shared" si="9"/>
        <v>0.60350661568341835</v>
      </c>
      <c r="R28">
        <f t="shared" si="10"/>
        <v>0.62</v>
      </c>
      <c r="S28" t="str">
        <f t="shared" si="11"/>
        <v>in linea</v>
      </c>
      <c r="T28" t="str">
        <f t="shared" si="12"/>
        <v>T1-2026</v>
      </c>
      <c r="U28">
        <f t="shared" si="13"/>
        <v>23570.800000000003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24574.000000000004</v>
      </c>
      <c r="D29">
        <f>SUMIFS(Data!$F$2:$F$5761,Data!$A$2:$A$5761,Control!$B$2,Data!$B$2:$B$5761,A29)</f>
        <v>1322.5300000000002</v>
      </c>
      <c r="E29">
        <f>SUMIFS(Data!$G$2:$G$5761,Data!$A$2:$A$5761,Control!$B$2,Data!$B$2:$B$5761,A29)</f>
        <v>799.34000000000015</v>
      </c>
      <c r="F29">
        <f>SUMIFS(Data!$H$2:$H$5761,Data!$A$2:$A$5761,Control!$B$2,Data!$B$2:$B$5761,A29)</f>
        <v>2159</v>
      </c>
      <c r="G29">
        <f t="shared" si="2"/>
        <v>523.19000000000005</v>
      </c>
      <c r="H29" cm="1">
        <f t="array" ref="H29">INDEX(Budget!$B$2:$AK$21,Control!$B$6,MATCH(A29,Budget!$B$1:$AK$1,0))</f>
        <v>25182</v>
      </c>
      <c r="I29">
        <f t="shared" si="3"/>
        <v>-2.4144230005559431E-2</v>
      </c>
      <c r="J29">
        <f t="shared" si="4"/>
        <v>97389.799999999988</v>
      </c>
      <c r="K29">
        <f t="shared" si="5"/>
        <v>2026</v>
      </c>
      <c r="L29">
        <f t="shared" ca="1" si="6"/>
        <v>24431.600000000002</v>
      </c>
      <c r="M29">
        <f>C29*_xlfn.XLOOKUP(A29,FX!$A$2:$A$37,FX!$C$2:$C$37)</f>
        <v>25249.785000000007</v>
      </c>
      <c r="N29">
        <f>C29*(1+Control!$B$4)^(A29/12)</f>
        <v>26328.697710932003</v>
      </c>
      <c r="O29">
        <f t="shared" si="7"/>
        <v>9</v>
      </c>
      <c r="P29">
        <f t="shared" si="8"/>
        <v>135.80000000000655</v>
      </c>
      <c r="Q29">
        <f t="shared" si="9"/>
        <v>0.60440216857084528</v>
      </c>
      <c r="R29">
        <f t="shared" si="10"/>
        <v>0.61</v>
      </c>
      <c r="S29" t="str">
        <f t="shared" si="11"/>
        <v>in linea</v>
      </c>
      <c r="T29" t="str">
        <f t="shared" si="12"/>
        <v>T2-2026</v>
      </c>
      <c r="U29">
        <f t="shared" si="13"/>
        <v>23732.833333333332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24785.599999999999</v>
      </c>
      <c r="D30">
        <f>SUMIFS(Data!$F$2:$F$5761,Data!$A$2:$A$5761,Control!$B$2,Data!$B$2:$B$5761,A30)</f>
        <v>1335.79</v>
      </c>
      <c r="E30">
        <f>SUMIFS(Data!$G$2:$G$5761,Data!$A$2:$A$5761,Control!$B$2,Data!$B$2:$B$5761,A30)</f>
        <v>804.86</v>
      </c>
      <c r="F30">
        <f>SUMIFS(Data!$H$2:$H$5761,Data!$A$2:$A$5761,Control!$B$2,Data!$B$2:$B$5761,A30)</f>
        <v>2147</v>
      </c>
      <c r="G30">
        <f t="shared" si="2"/>
        <v>530.92999999999995</v>
      </c>
      <c r="H30" cm="1">
        <f t="array" ref="H30">INDEX(Budget!$B$2:$AK$21,Control!$B$6,MATCH(A30,Budget!$B$1:$AK$1,0))</f>
        <v>25363</v>
      </c>
      <c r="I30">
        <f t="shared" si="3"/>
        <v>-2.2765445728029077E-2</v>
      </c>
      <c r="J30">
        <f t="shared" si="4"/>
        <v>122175.4</v>
      </c>
      <c r="K30">
        <f t="shared" si="5"/>
        <v>2026</v>
      </c>
      <c r="L30">
        <f t="shared" ca="1" si="6"/>
        <v>24599.266666666663</v>
      </c>
      <c r="M30">
        <f>C30*_xlfn.XLOOKUP(A30,FX!$A$2:$A$37,FX!$C$2:$C$37)</f>
        <v>25635.746079999997</v>
      </c>
      <c r="N30">
        <f>C30*(1+Control!$B$4)^(A30/12)</f>
        <v>26620.899730921392</v>
      </c>
      <c r="O30">
        <f t="shared" si="7"/>
        <v>8</v>
      </c>
      <c r="P30">
        <f t="shared" si="8"/>
        <v>211.59999999999491</v>
      </c>
      <c r="Q30">
        <f t="shared" si="9"/>
        <v>0.60253482957650528</v>
      </c>
      <c r="R30">
        <f t="shared" si="10"/>
        <v>0.62</v>
      </c>
      <c r="S30" t="str">
        <f t="shared" si="11"/>
        <v>in linea</v>
      </c>
      <c r="T30" t="str">
        <f t="shared" si="12"/>
        <v>T2-2026</v>
      </c>
      <c r="U30">
        <f t="shared" si="13"/>
        <v>23894.316666666666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24910.3</v>
      </c>
      <c r="D31">
        <f>SUMIFS(Data!$F$2:$F$5761,Data!$A$2:$A$5761,Control!$B$2,Data!$B$2:$B$5761,A31)</f>
        <v>1342.7800000000002</v>
      </c>
      <c r="E31">
        <f>SUMIFS(Data!$G$2:$G$5761,Data!$A$2:$A$5761,Control!$B$2,Data!$B$2:$B$5761,A31)</f>
        <v>810.42000000000007</v>
      </c>
      <c r="F31">
        <f>SUMIFS(Data!$H$2:$H$5761,Data!$A$2:$A$5761,Control!$B$2,Data!$B$2:$B$5761,A31)</f>
        <v>2193</v>
      </c>
      <c r="G31">
        <f t="shared" si="2"/>
        <v>532.36000000000013</v>
      </c>
      <c r="H31" cm="1">
        <f t="array" ref="H31">INDEX(Budget!$B$2:$AK$21,Control!$B$6,MATCH(A31,Budget!$B$1:$AK$1,0))</f>
        <v>25544</v>
      </c>
      <c r="I31">
        <f t="shared" si="3"/>
        <v>-2.4808174130911409E-2</v>
      </c>
      <c r="J31">
        <f t="shared" si="4"/>
        <v>147085.69999999998</v>
      </c>
      <c r="K31">
        <f t="shared" si="5"/>
        <v>2026</v>
      </c>
      <c r="L31">
        <f t="shared" ca="1" si="6"/>
        <v>24756.633333333335</v>
      </c>
      <c r="M31">
        <f>C31*_xlfn.XLOOKUP(A31,FX!$A$2:$A$37,FX!$C$2:$C$37)</f>
        <v>25951.55054</v>
      </c>
      <c r="N31">
        <f>C31*(1+Control!$B$4)^(A31/12)</f>
        <v>26820.818030735023</v>
      </c>
      <c r="O31">
        <f t="shared" si="7"/>
        <v>7</v>
      </c>
      <c r="P31">
        <f t="shared" si="8"/>
        <v>124.70000000000073</v>
      </c>
      <c r="Q31">
        <f t="shared" si="9"/>
        <v>0.60353892670429998</v>
      </c>
      <c r="R31">
        <f t="shared" si="10"/>
        <v>0.61</v>
      </c>
      <c r="S31" t="str">
        <f t="shared" si="11"/>
        <v>in linea</v>
      </c>
      <c r="T31" t="str">
        <f t="shared" si="12"/>
        <v>T2-2026</v>
      </c>
      <c r="U31">
        <f t="shared" si="13"/>
        <v>24057.633333333331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25113.4</v>
      </c>
      <c r="D32">
        <f>SUMIFS(Data!$F$2:$F$5761,Data!$A$2:$A$5761,Control!$B$2,Data!$B$2:$B$5761,A32)</f>
        <v>1352.88</v>
      </c>
      <c r="E32">
        <f>SUMIFS(Data!$G$2:$G$5761,Data!$A$2:$A$5761,Control!$B$2,Data!$B$2:$B$5761,A32)</f>
        <v>817.86</v>
      </c>
      <c r="F32">
        <f>SUMIFS(Data!$H$2:$H$5761,Data!$A$2:$A$5761,Control!$B$2,Data!$B$2:$B$5761,A32)</f>
        <v>2201</v>
      </c>
      <c r="G32">
        <f t="shared" si="2"/>
        <v>535.0200000000001</v>
      </c>
      <c r="H32" cm="1">
        <f t="array" ref="H32">INDEX(Budget!$B$2:$AK$21,Control!$B$6,MATCH(A32,Budget!$B$1:$AK$1,0))</f>
        <v>25725</v>
      </c>
      <c r="I32">
        <f t="shared" si="3"/>
        <v>-2.3774538386783228E-2</v>
      </c>
      <c r="J32">
        <f t="shared" si="4"/>
        <v>172199.09999999998</v>
      </c>
      <c r="K32">
        <f t="shared" si="5"/>
        <v>2026</v>
      </c>
      <c r="L32">
        <f t="shared" ca="1" si="6"/>
        <v>24936.433333333331</v>
      </c>
      <c r="M32">
        <f>C32*_xlfn.XLOOKUP(A32,FX!$A$2:$A$37,FX!$C$2:$C$37)</f>
        <v>26364.047320000001</v>
      </c>
      <c r="N32">
        <f>C32*(1+Control!$B$4)^(A32/12)</f>
        <v>27106.181658373262</v>
      </c>
      <c r="O32">
        <f t="shared" si="7"/>
        <v>6</v>
      </c>
      <c r="P32">
        <f t="shared" si="8"/>
        <v>203.10000000000218</v>
      </c>
      <c r="Q32">
        <f t="shared" si="9"/>
        <v>0.60453255277629936</v>
      </c>
      <c r="R32">
        <f t="shared" si="10"/>
        <v>0.61</v>
      </c>
      <c r="S32" t="str">
        <f t="shared" si="11"/>
        <v>in linea</v>
      </c>
      <c r="T32" t="str">
        <f t="shared" si="12"/>
        <v>T3-2026</v>
      </c>
      <c r="U32">
        <f t="shared" si="13"/>
        <v>24215.500000000004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25251.200000000001</v>
      </c>
      <c r="D33">
        <f>SUMIFS(Data!$F$2:$F$5761,Data!$A$2:$A$5761,Control!$B$2,Data!$B$2:$B$5761,A33)</f>
        <v>1360.96</v>
      </c>
      <c r="E33">
        <f>SUMIFS(Data!$G$2:$G$5761,Data!$A$2:$A$5761,Control!$B$2,Data!$B$2:$B$5761,A33)</f>
        <v>821.92000000000007</v>
      </c>
      <c r="F33">
        <f>SUMIFS(Data!$H$2:$H$5761,Data!$A$2:$A$5761,Control!$B$2,Data!$B$2:$B$5761,A33)</f>
        <v>2186</v>
      </c>
      <c r="G33">
        <f t="shared" si="2"/>
        <v>539.04</v>
      </c>
      <c r="H33" cm="1">
        <f t="array" ref="H33">INDEX(Budget!$B$2:$AK$21,Control!$B$6,MATCH(A33,Budget!$B$1:$AK$1,0))</f>
        <v>25906</v>
      </c>
      <c r="I33">
        <f t="shared" si="3"/>
        <v>-2.527599783833856E-2</v>
      </c>
      <c r="J33">
        <f t="shared" si="4"/>
        <v>197450.3</v>
      </c>
      <c r="K33">
        <f t="shared" si="5"/>
        <v>2026</v>
      </c>
      <c r="L33">
        <f t="shared" ca="1" si="6"/>
        <v>25091.633333333331</v>
      </c>
      <c r="M33">
        <f>C33*_xlfn.XLOOKUP(A33,FX!$A$2:$A$37,FX!$C$2:$C$37)</f>
        <v>26713.244480000001</v>
      </c>
      <c r="N33">
        <f>C33*(1+Control!$B$4)^(A33/12)</f>
        <v>27322.134247616203</v>
      </c>
      <c r="O33">
        <f t="shared" si="7"/>
        <v>5</v>
      </c>
      <c r="P33">
        <f t="shared" si="8"/>
        <v>137.79999999999927</v>
      </c>
      <c r="Q33">
        <f t="shared" si="9"/>
        <v>0.60392664001881025</v>
      </c>
      <c r="R33">
        <f t="shared" si="10"/>
        <v>0.62</v>
      </c>
      <c r="S33" t="str">
        <f t="shared" si="11"/>
        <v>in linea</v>
      </c>
      <c r="T33" t="str">
        <f t="shared" si="12"/>
        <v>T3-2026</v>
      </c>
      <c r="U33">
        <f t="shared" si="13"/>
        <v>24377.183333333334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25446.299999999996</v>
      </c>
      <c r="D34">
        <f>SUMIFS(Data!$F$2:$F$5761,Data!$A$2:$A$5761,Control!$B$2,Data!$B$2:$B$5761,A34)</f>
        <v>1371.09</v>
      </c>
      <c r="E34">
        <f>SUMIFS(Data!$G$2:$G$5761,Data!$A$2:$A$5761,Control!$B$2,Data!$B$2:$B$5761,A34)</f>
        <v>828.49</v>
      </c>
      <c r="F34">
        <f>SUMIFS(Data!$H$2:$H$5761,Data!$A$2:$A$5761,Control!$B$2,Data!$B$2:$B$5761,A34)</f>
        <v>2222</v>
      </c>
      <c r="G34">
        <f t="shared" si="2"/>
        <v>542.59999999999991</v>
      </c>
      <c r="H34" cm="1">
        <f t="array" ref="H34">INDEX(Budget!$B$2:$AK$21,Control!$B$6,MATCH(A34,Budget!$B$1:$AK$1,0))</f>
        <v>26087</v>
      </c>
      <c r="I34">
        <f t="shared" si="3"/>
        <v>-2.4560125733123939E-2</v>
      </c>
      <c r="J34">
        <f t="shared" si="4"/>
        <v>222896.59999999998</v>
      </c>
      <c r="K34">
        <f t="shared" si="5"/>
        <v>2026</v>
      </c>
      <c r="L34">
        <f t="shared" ca="1" si="6"/>
        <v>25270.3</v>
      </c>
      <c r="M34">
        <f>C34*_xlfn.XLOOKUP(A34,FX!$A$2:$A$37,FX!$C$2:$C$37)</f>
        <v>27120.666539999998</v>
      </c>
      <c r="N34">
        <f>C34*(1+Control!$B$4)^(A34/12)</f>
        <v>27601.139427816666</v>
      </c>
      <c r="O34">
        <f t="shared" si="7"/>
        <v>4</v>
      </c>
      <c r="P34">
        <f t="shared" si="8"/>
        <v>195.09999999999491</v>
      </c>
      <c r="Q34">
        <f t="shared" si="9"/>
        <v>0.6042564674820764</v>
      </c>
      <c r="R34">
        <f t="shared" si="10"/>
        <v>0.62</v>
      </c>
      <c r="S34" t="str">
        <f t="shared" si="11"/>
        <v>in linea</v>
      </c>
      <c r="T34" t="str">
        <f t="shared" si="12"/>
        <v>T3-2026</v>
      </c>
      <c r="U34">
        <f t="shared" si="13"/>
        <v>24534.824999999997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25596.699999999997</v>
      </c>
      <c r="D35">
        <f>SUMIFS(Data!$F$2:$F$5761,Data!$A$2:$A$5761,Control!$B$2,Data!$B$2:$B$5761,A35)</f>
        <v>1379.19</v>
      </c>
      <c r="E35">
        <f>SUMIFS(Data!$G$2:$G$5761,Data!$A$2:$A$5761,Control!$B$2,Data!$B$2:$B$5761,A35)</f>
        <v>832.26</v>
      </c>
      <c r="F35">
        <f>SUMIFS(Data!$H$2:$H$5761,Data!$A$2:$A$5761,Control!$B$2,Data!$B$2:$B$5761,A35)</f>
        <v>2163</v>
      </c>
      <c r="G35">
        <f t="shared" si="2"/>
        <v>546.93000000000006</v>
      </c>
      <c r="H35" cm="1">
        <f t="array" ref="H35">INDEX(Budget!$B$2:$AK$21,Control!$B$6,MATCH(A35,Budget!$B$1:$AK$1,0))</f>
        <v>26268</v>
      </c>
      <c r="I35">
        <f t="shared" si="3"/>
        <v>-2.5555809349779302E-2</v>
      </c>
      <c r="J35">
        <f t="shared" si="4"/>
        <v>248493.3</v>
      </c>
      <c r="K35">
        <f t="shared" si="5"/>
        <v>2026</v>
      </c>
      <c r="L35">
        <f t="shared" ca="1" si="6"/>
        <v>25431.399999999998</v>
      </c>
      <c r="M35">
        <f>C35*_xlfn.XLOOKUP(A35,FX!$A$2:$A$37,FX!$C$2:$C$37)</f>
        <v>27470.378439999997</v>
      </c>
      <c r="N35">
        <f>C35*(1+Control!$B$4)^(A35/12)</f>
        <v>27832.749769698574</v>
      </c>
      <c r="O35">
        <f t="shared" si="7"/>
        <v>3</v>
      </c>
      <c r="P35">
        <f t="shared" si="8"/>
        <v>150.40000000000146</v>
      </c>
      <c r="Q35">
        <f t="shared" si="9"/>
        <v>0.60344115024035849</v>
      </c>
      <c r="R35">
        <f t="shared" si="10"/>
        <v>0.64</v>
      </c>
      <c r="S35" t="str">
        <f t="shared" si="11"/>
        <v>in linea</v>
      </c>
      <c r="T35" t="str">
        <f t="shared" si="12"/>
        <v>T4-2026</v>
      </c>
      <c r="U35">
        <f t="shared" si="13"/>
        <v>24696.666666666668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25745.4</v>
      </c>
      <c r="D36">
        <f>SUMIFS(Data!$F$2:$F$5761,Data!$A$2:$A$5761,Control!$B$2,Data!$B$2:$B$5761,A36)</f>
        <v>1387.24</v>
      </c>
      <c r="E36">
        <f>SUMIFS(Data!$G$2:$G$5761,Data!$A$2:$A$5761,Control!$B$2,Data!$B$2:$B$5761,A36)</f>
        <v>836.90000000000009</v>
      </c>
      <c r="F36">
        <f>SUMIFS(Data!$H$2:$H$5761,Data!$A$2:$A$5761,Control!$B$2,Data!$B$2:$B$5761,A36)</f>
        <v>2190</v>
      </c>
      <c r="G36">
        <f t="shared" si="2"/>
        <v>550.33999999999992</v>
      </c>
      <c r="H36" cm="1">
        <f t="array" ref="H36">INDEX(Budget!$B$2:$AK$21,Control!$B$6,MATCH(A36,Budget!$B$1:$AK$1,0))</f>
        <v>26449</v>
      </c>
      <c r="I36">
        <f t="shared" si="3"/>
        <v>-2.6602139967484506E-2</v>
      </c>
      <c r="J36">
        <f t="shared" si="4"/>
        <v>274238.7</v>
      </c>
      <c r="K36">
        <f t="shared" si="5"/>
        <v>2026</v>
      </c>
      <c r="L36">
        <f t="shared" ca="1" si="6"/>
        <v>25596.133333333331</v>
      </c>
      <c r="M36">
        <f>C36*_xlfn.XLOOKUP(A36,FX!$A$2:$A$37,FX!$C$2:$C$37)</f>
        <v>27799.882920000004</v>
      </c>
      <c r="N36">
        <f>C36*(1+Control!$B$4)^(A36/12)</f>
        <v>28063.481589450344</v>
      </c>
      <c r="O36">
        <f t="shared" si="7"/>
        <v>2</v>
      </c>
      <c r="P36">
        <f t="shared" si="8"/>
        <v>148.70000000000437</v>
      </c>
      <c r="Q36">
        <f t="shared" si="9"/>
        <v>0.60328421902482632</v>
      </c>
      <c r="R36">
        <f t="shared" si="10"/>
        <v>0.63</v>
      </c>
      <c r="S36" t="str">
        <f t="shared" si="11"/>
        <v>in linea</v>
      </c>
      <c r="T36" t="str">
        <f t="shared" si="12"/>
        <v>T4-2026</v>
      </c>
      <c r="U36">
        <f t="shared" si="13"/>
        <v>24859.058333333334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25892.2</v>
      </c>
      <c r="D37">
        <f>SUMIFS(Data!$F$2:$F$5761,Data!$A$2:$A$5761,Control!$B$2,Data!$B$2:$B$5761,A37)</f>
        <v>1392.56</v>
      </c>
      <c r="E37">
        <f>SUMIFS(Data!$G$2:$G$5761,Data!$A$2:$A$5761,Control!$B$2,Data!$B$2:$B$5761,A37)</f>
        <v>842.45</v>
      </c>
      <c r="F37">
        <f>SUMIFS(Data!$H$2:$H$5761,Data!$A$2:$A$5761,Control!$B$2,Data!$B$2:$B$5761,A37)</f>
        <v>2130</v>
      </c>
      <c r="G37">
        <f t="shared" si="2"/>
        <v>550.1099999999999</v>
      </c>
      <c r="H37" cm="1">
        <f t="array" ref="H37">INDEX(Budget!$B$2:$AK$21,Control!$B$6,MATCH(A37,Budget!$B$1:$AK$1,0))</f>
        <v>26630</v>
      </c>
      <c r="I37">
        <f t="shared" si="3"/>
        <v>-2.7705595193390886E-2</v>
      </c>
      <c r="J37">
        <f t="shared" si="4"/>
        <v>300130.90000000002</v>
      </c>
      <c r="K37">
        <f t="shared" si="5"/>
        <v>2026</v>
      </c>
      <c r="L37">
        <f t="shared" ca="1" si="6"/>
        <v>25744.766666666666</v>
      </c>
      <c r="M37">
        <f>C37*_xlfn.XLOOKUP(A37,FX!$A$2:$A$37,FX!$C$2:$C$37)</f>
        <v>28100.804659999998</v>
      </c>
      <c r="N37">
        <f>C37*(1+Control!$B$4)^(A37/12)</f>
        <v>28293.106029400002</v>
      </c>
      <c r="O37">
        <f t="shared" si="7"/>
        <v>1</v>
      </c>
      <c r="P37">
        <f t="shared" si="8"/>
        <v>146.79999999999927</v>
      </c>
      <c r="Q37">
        <f t="shared" si="9"/>
        <v>0.60496495662664451</v>
      </c>
      <c r="R37">
        <f t="shared" si="10"/>
        <v>0.65</v>
      </c>
      <c r="S37" t="str">
        <f t="shared" si="11"/>
        <v>in linea</v>
      </c>
      <c r="T37" t="str">
        <f t="shared" si="12"/>
        <v>T4-2026</v>
      </c>
      <c r="U37">
        <f t="shared" si="13"/>
        <v>25010.908333333336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/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>&lt;&lt;</v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1333.4</v>
      </c>
      <c r="C2">
        <f>SUMIFS(Data!$F$2:$F$5761,Data!$A$2:$A$5761,Control!$B$2,Data!$B$2:$B$5761,Control!$B$3,Data!$C$2:$C$5761,A2)</f>
        <v>60.89</v>
      </c>
      <c r="D2">
        <f>SUMIFS(Data!$G$2:$G$5761,Data!$A$2:$A$5761,Control!$B$2,Data!$B$2:$B$5761,Control!$B$3,Data!$C$2:$C$5761,A2)</f>
        <v>37.520000000000003</v>
      </c>
      <c r="E2">
        <f t="shared" ref="E2:E9" si="0">C2-D2</f>
        <v>23.369999999999997</v>
      </c>
      <c r="F2">
        <f>VLOOKUP(A2,Products!$A$2:$C$9,3,FALSE)</f>
        <v>0.6</v>
      </c>
      <c r="G2">
        <f t="shared" ref="G2:G9" si="1">E2*F2</f>
        <v>14.021999999999998</v>
      </c>
      <c r="H2">
        <f t="shared" ref="H2:H9" si="2">B2/SUM($B$2:$B$9)</f>
        <v>5.3528058674524197E-2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7967.1</v>
      </c>
      <c r="K2">
        <f>SUMIFS(Data!$E$2:$E$5761,Data!$C$2:$C$5761,A2,Data!$B$2:$B$5761,Control!$B$3)</f>
        <v>20838.499999999996</v>
      </c>
      <c r="L2">
        <f t="shared" ref="L2:L9" si="4">B2/K2</f>
        <v>6.3987331141876824E-2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4265</v>
      </c>
      <c r="O2" cm="1">
        <f t="array" ref="O2">INDEX(Data!$E$2:$E$5761,N2)</f>
        <v>1333.4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1862.9</v>
      </c>
      <c r="C3">
        <f>SUMIFS(Data!$F$2:$F$5761,Data!$A$2:$A$5761,Control!$B$2,Data!$B$2:$B$5761,Control!$B$3,Data!$C$2:$C$5761,A3)</f>
        <v>87.85</v>
      </c>
      <c r="D3">
        <f>SUMIFS(Data!$G$2:$G$5761,Data!$A$2:$A$5761,Control!$B$2,Data!$B$2:$B$5761,Control!$B$3,Data!$C$2:$C$5761,A3)</f>
        <v>54.07</v>
      </c>
      <c r="E3">
        <f t="shared" si="0"/>
        <v>33.779999999999994</v>
      </c>
      <c r="F3">
        <f>VLOOKUP(A3,Products!$A$2:$C$9,3,FALSE)</f>
        <v>0.65</v>
      </c>
      <c r="G3">
        <f t="shared" si="1"/>
        <v>21.956999999999997</v>
      </c>
      <c r="H3">
        <f t="shared" si="2"/>
        <v>7.4784326162270237E-2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10918.9</v>
      </c>
      <c r="K3">
        <f>SUMIFS(Data!$E$2:$E$5761,Data!$C$2:$C$5761,A3,Data!$B$2:$B$5761,Control!$B$3)</f>
        <v>28660.2</v>
      </c>
      <c r="L3">
        <f t="shared" si="4"/>
        <v>6.4999546409306289E-2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4266</v>
      </c>
      <c r="O3" cm="1">
        <f t="array" ref="O3">INDEX(Data!$E$2:$E$5761,N3)</f>
        <v>1862.9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2346.1</v>
      </c>
      <c r="C4">
        <f>SUMIFS(Data!$F$2:$F$5761,Data!$A$2:$A$5761,Control!$B$2,Data!$B$2:$B$5761,Control!$B$3,Data!$C$2:$C$5761,A4)</f>
        <v>115.86</v>
      </c>
      <c r="D4">
        <f>SUMIFS(Data!$G$2:$G$5761,Data!$A$2:$A$5761,Control!$B$2,Data!$B$2:$B$5761,Control!$B$3,Data!$C$2:$C$5761,A4)</f>
        <v>71.13</v>
      </c>
      <c r="E4">
        <f t="shared" si="0"/>
        <v>44.730000000000004</v>
      </c>
      <c r="F4">
        <f>VLOOKUP(A4,Products!$A$2:$C$9,3,FALSE)</f>
        <v>0.7</v>
      </c>
      <c r="G4">
        <f t="shared" si="1"/>
        <v>31.311</v>
      </c>
      <c r="H4">
        <f t="shared" si="2"/>
        <v>9.4181924745988604E-2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13845.200000000003</v>
      </c>
      <c r="K4">
        <f>SUMIFS(Data!$E$2:$E$5761,Data!$C$2:$C$5761,A4,Data!$B$2:$B$5761,Control!$B$3)</f>
        <v>36478.399999999994</v>
      </c>
      <c r="L4">
        <f t="shared" si="4"/>
        <v>6.431477257774465E-2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4267</v>
      </c>
      <c r="O4" cm="1">
        <f t="array" ref="O4">INDEX(Data!$E$2:$E$5761,N4)</f>
        <v>2346.1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2851.8</v>
      </c>
      <c r="C5">
        <f>SUMIFS(Data!$F$2:$F$5761,Data!$A$2:$A$5761,Control!$B$2,Data!$B$2:$B$5761,Control!$B$3,Data!$C$2:$C$5761,A5)</f>
        <v>146.05000000000001</v>
      </c>
      <c r="D5">
        <f>SUMIFS(Data!$G$2:$G$5761,Data!$A$2:$A$5761,Control!$B$2,Data!$B$2:$B$5761,Control!$B$3,Data!$C$2:$C$5761,A5)</f>
        <v>89.35</v>
      </c>
      <c r="E5">
        <f t="shared" si="0"/>
        <v>56.700000000000017</v>
      </c>
      <c r="F5">
        <f>VLOOKUP(A5,Products!$A$2:$C$9,3,FALSE)</f>
        <v>0.75</v>
      </c>
      <c r="G5">
        <f t="shared" si="1"/>
        <v>42.525000000000013</v>
      </c>
      <c r="H5">
        <f t="shared" si="2"/>
        <v>0.11448276415779819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16858.5</v>
      </c>
      <c r="K5">
        <f>SUMIFS(Data!$E$2:$E$5761,Data!$C$2:$C$5761,A5,Data!$B$2:$B$5761,Control!$B$3)</f>
        <v>44314.299999999996</v>
      </c>
      <c r="L5">
        <f t="shared" si="4"/>
        <v>6.4353944437800001E-2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4268</v>
      </c>
      <c r="O5" cm="1">
        <f t="array" ref="O5">INDEX(Data!$E$2:$E$5761,N5)</f>
        <v>2851.8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3370.4</v>
      </c>
      <c r="C6">
        <f>SUMIFS(Data!$F$2:$F$5761,Data!$A$2:$A$5761,Control!$B$2,Data!$B$2:$B$5761,Control!$B$3,Data!$C$2:$C$5761,A6)</f>
        <v>179.56</v>
      </c>
      <c r="D6">
        <f>SUMIFS(Data!$G$2:$G$5761,Data!$A$2:$A$5761,Control!$B$2,Data!$B$2:$B$5761,Control!$B$3,Data!$C$2:$C$5761,A6)</f>
        <v>108.34</v>
      </c>
      <c r="E6">
        <f t="shared" si="0"/>
        <v>71.22</v>
      </c>
      <c r="F6">
        <f>VLOOKUP(A6,Products!$A$2:$C$9,3,FALSE)</f>
        <v>0.8</v>
      </c>
      <c r="G6">
        <f t="shared" si="1"/>
        <v>56.975999999999999</v>
      </c>
      <c r="H6">
        <f t="shared" si="2"/>
        <v>0.13530146164438003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19960.3</v>
      </c>
      <c r="K6">
        <f>SUMIFS(Data!$E$2:$E$5761,Data!$C$2:$C$5761,A6,Data!$B$2:$B$5761,Control!$B$3)</f>
        <v>52140</v>
      </c>
      <c r="L6">
        <f t="shared" si="4"/>
        <v>6.4641350210970464E-2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4269</v>
      </c>
      <c r="O6" cm="1">
        <f t="array" ref="O6">INDEX(Data!$E$2:$E$5761,N6)</f>
        <v>3370.4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3885.6</v>
      </c>
      <c r="C7">
        <f>SUMIFS(Data!$F$2:$F$5761,Data!$A$2:$A$5761,Control!$B$2,Data!$B$2:$B$5761,Control!$B$3,Data!$C$2:$C$5761,A7)</f>
        <v>214.41</v>
      </c>
      <c r="D7">
        <f>SUMIFS(Data!$G$2:$G$5761,Data!$A$2:$A$5761,Control!$B$2,Data!$B$2:$B$5761,Control!$B$3,Data!$C$2:$C$5761,A7)</f>
        <v>128.74</v>
      </c>
      <c r="E7">
        <f t="shared" si="0"/>
        <v>85.669999999999987</v>
      </c>
      <c r="F7">
        <f>VLOOKUP(A7,Products!$A$2:$C$9,3,FALSE)</f>
        <v>0.85</v>
      </c>
      <c r="G7">
        <f t="shared" si="1"/>
        <v>72.819499999999991</v>
      </c>
      <c r="H7">
        <f t="shared" si="2"/>
        <v>0.15598366940582811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22888.3</v>
      </c>
      <c r="K7">
        <f>SUMIFS(Data!$E$2:$E$5761,Data!$C$2:$C$5761,A7,Data!$B$2:$B$5761,Control!$B$3)</f>
        <v>59931.599999999991</v>
      </c>
      <c r="L7">
        <f t="shared" si="4"/>
        <v>6.4833910658150293E-2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4270</v>
      </c>
      <c r="O7" cm="1">
        <f t="array" ref="O7">INDEX(Data!$E$2:$E$5761,N7)</f>
        <v>3885.6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4360.3999999999996</v>
      </c>
      <c r="C8">
        <f>SUMIFS(Data!$F$2:$F$5761,Data!$A$2:$A$5761,Control!$B$2,Data!$B$2:$B$5761,Control!$B$3,Data!$C$2:$C$5761,A8)</f>
        <v>248.99</v>
      </c>
      <c r="D8">
        <f>SUMIFS(Data!$G$2:$G$5761,Data!$A$2:$A$5761,Control!$B$2,Data!$B$2:$B$5761,Control!$B$3,Data!$C$2:$C$5761,A8)</f>
        <v>148.97</v>
      </c>
      <c r="E8">
        <f t="shared" si="0"/>
        <v>100.02000000000001</v>
      </c>
      <c r="F8">
        <f>VLOOKUP(A8,Products!$A$2:$C$9,3,FALSE)</f>
        <v>0.9</v>
      </c>
      <c r="G8">
        <f t="shared" si="1"/>
        <v>90.018000000000015</v>
      </c>
      <c r="H8">
        <f t="shared" si="2"/>
        <v>0.17504405808039245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25821.9</v>
      </c>
      <c r="K8">
        <f>SUMIFS(Data!$E$2:$E$5761,Data!$C$2:$C$5761,A8,Data!$B$2:$B$5761,Control!$B$3)</f>
        <v>67800.800000000003</v>
      </c>
      <c r="L8">
        <f t="shared" si="4"/>
        <v>6.4311925523002675E-2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4271</v>
      </c>
      <c r="O8" cm="1">
        <f t="array" ref="O8">INDEX(Data!$E$2:$E$5761,N8)</f>
        <v>4360.3999999999996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4899.7</v>
      </c>
      <c r="C9">
        <f>SUMIFS(Data!$F$2:$F$5761,Data!$A$2:$A$5761,Control!$B$2,Data!$B$2:$B$5761,Control!$B$3,Data!$C$2:$C$5761,A9)</f>
        <v>289.17</v>
      </c>
      <c r="D9">
        <f>SUMIFS(Data!$G$2:$G$5761,Data!$A$2:$A$5761,Control!$B$2,Data!$B$2:$B$5761,Control!$B$3,Data!$C$2:$C$5761,A9)</f>
        <v>172.3</v>
      </c>
      <c r="E9">
        <f t="shared" si="0"/>
        <v>116.87</v>
      </c>
      <c r="F9">
        <f>VLOOKUP(A9,Products!$A$2:$C$9,3,FALSE)</f>
        <v>0.95</v>
      </c>
      <c r="G9">
        <f t="shared" si="1"/>
        <v>111.0265</v>
      </c>
      <c r="H9">
        <f t="shared" si="2"/>
        <v>0.19669373712881819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28825.500000000004</v>
      </c>
      <c r="K9">
        <f>SUMIFS(Data!$E$2:$E$5761,Data!$C$2:$C$5761,A9,Data!$B$2:$B$5761,Control!$B$3)</f>
        <v>75504.599999999991</v>
      </c>
      <c r="L9">
        <f t="shared" si="4"/>
        <v>6.4892735012171451E-2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4272</v>
      </c>
      <c r="O9" cm="1">
        <f t="array" ref="O9">INDEX(Data!$E$2:$E$5761,N9)</f>
        <v>4899.7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0.73599999999999999</v>
      </c>
    </row>
    <row r="13" spans="1:9" x14ac:dyDescent="0.25">
      <c r="H13" t="s">
        <v>152</v>
      </c>
      <c r="I13">
        <f>AVERAGE(Calc_Product!B2:B9)</f>
        <v>3113.7874999999999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15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5100.2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20295.2</v>
      </c>
      <c r="B30">
        <v>20412.999999999996</v>
      </c>
      <c r="C30">
        <v>20621.699999999997</v>
      </c>
      <c r="D30">
        <v>20660</v>
      </c>
      <c r="E30">
        <v>20934.2</v>
      </c>
      <c r="F30">
        <v>21151.200000000001</v>
      </c>
      <c r="G30">
        <v>21265</v>
      </c>
      <c r="H30">
        <v>21413.899999999998</v>
      </c>
      <c r="I30">
        <v>21594.399999999998</v>
      </c>
      <c r="J30">
        <v>21815.100000000002</v>
      </c>
      <c r="K30">
        <v>21894.799999999999</v>
      </c>
      <c r="L30">
        <v>22036.399999999998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24910.3</v>
      </c>
    </row>
    <row r="3" spans="1:2" x14ac:dyDescent="0.25">
      <c r="A3" t="s">
        <v>141</v>
      </c>
      <c r="B3">
        <f>B2*(1+Rate)</f>
        <v>25657.609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5978.4719999999998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Lucana / Centro</v>
      </c>
    </row>
    <row r="9" spans="1:2" x14ac:dyDescent="0.25">
      <c r="A9" t="s">
        <v>235</v>
      </c>
      <c r="B9" cm="1">
        <f t="array" ref="B9">VolSel</f>
        <v>24910.3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24910.3</v>
      </c>
    </row>
    <row r="3" spans="1:2" x14ac:dyDescent="0.25">
      <c r="A3" t="s">
        <v>237</v>
      </c>
      <c r="B3" cm="1">
        <f t="array" aca="1" ref="B3" ca="1">INDIRECT("'SLIDE Sintesi'!D5")</f>
        <v>24910.3</v>
      </c>
    </row>
    <row r="4" spans="1:2" x14ac:dyDescent="0.25">
      <c r="A4" t="s">
        <v>238</v>
      </c>
      <c r="B4">
        <f ca="1">SUM(INDIRECT("Calc_BankMonth!B"&amp;(Control!$B$6+2)&amp;":AK"&amp;(Control!$B$6+2)))</f>
        <v>831415.59999999986</v>
      </c>
    </row>
    <row r="5" spans="1:2" x14ac:dyDescent="0.25">
      <c r="A5" t="s">
        <v>239</v>
      </c>
      <c r="B5">
        <f ca="1">OFFSET(Calc_BankMonth!$A$2,Control!$B$6,Control!$B$3)</f>
        <v>24910.3</v>
      </c>
    </row>
    <row r="6" spans="1:2" x14ac:dyDescent="0.25">
      <c r="A6" t="s">
        <v>240</v>
      </c>
      <c r="B6">
        <f ca="1">SUM(OFFSET(Calc_Month!$C$1,Control!$B$3-2,0,3,1))</f>
        <v>74269.900000000009</v>
      </c>
    </row>
    <row r="7" spans="1:2" x14ac:dyDescent="0.25">
      <c r="A7" t="s">
        <v>241</v>
      </c>
      <c r="B7" cm="1">
        <f t="array" aca="1" ref="B7" ca="1">INDIRECT(ADDRESS(Control!$B$3+1,3,1,1,"Calc_Month"))</f>
        <v>24910.3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5.2026319345901656E-2</v>
      </c>
      <c r="C2">
        <f>_xlfn.XLOOKUP(Control!B2,[1]Compare!$A$2:$A$21,[1]Compare!$E$2:$E$21)</f>
        <v>1231.8999999999978</v>
      </c>
    </row>
    <row r="3" spans="1:3" x14ac:dyDescent="0.25">
      <c r="A3" t="s">
        <v>286</v>
      </c>
      <c r="B3">
        <f>[1]Summary!$B$3</f>
        <v>9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05%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9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379.02164058496589</v>
      </c>
      <c r="I2" s="1">
        <f>H2+Calc_Dates!$J$2</f>
        <v>410.02164058496589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438.88949111119871</v>
      </c>
      <c r="I3" s="1">
        <f>H3+Calc_Dates!$J$2</f>
        <v>469.88949111119871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507.04846466159483</v>
      </c>
      <c r="I4" s="1">
        <f>H4+Calc_Dates!$J$2</f>
        <v>538.04846466159483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576.03324924119977</v>
      </c>
      <c r="I5" s="1">
        <f>H5+Calc_Dates!$J$2</f>
        <v>607.03324924119977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637.45072726556032</v>
      </c>
      <c r="I6" s="1">
        <f>H6+Calc_Dates!$J$2</f>
        <v>668.45072726556032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704.82182979226616</v>
      </c>
      <c r="I7" s="1">
        <f>H7+Calc_Dates!$J$2</f>
        <v>735.82182979226616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768.06190626354999</v>
      </c>
      <c r="I8" s="1">
        <f>H8+Calc_Dates!$J$2</f>
        <v>799.06190626354999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838.93925657298257</v>
      </c>
      <c r="I9" s="1">
        <f>H9+Calc_Dates!$J$2</f>
        <v>869.93925657298257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901.40821475028565</v>
      </c>
      <c r="I10" s="1">
        <f>H10+Calc_Dates!$J$2</f>
        <v>932.40821475028565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964.9306239899089</v>
      </c>
      <c r="I11" s="1">
        <f>H11+Calc_Dates!$J$2</f>
        <v>995.9306239899089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1029.1073751428908</v>
      </c>
      <c r="I12" s="1">
        <f>H12+Calc_Dates!$J$2</f>
        <v>1060.1073751428908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1097.1298632188893</v>
      </c>
      <c r="I13" s="1">
        <f>H13+Calc_Dates!$J$2</f>
        <v>1128.1298632188893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1161.1341598013323</v>
      </c>
      <c r="I14" s="1">
        <f>H14+Calc_Dates!$J$2</f>
        <v>1192.1341598013323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1228.2229295596987</v>
      </c>
      <c r="I15" s="1">
        <f>H15+Calc_Dates!$J$2</f>
        <v>1259.2229295596987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1292.0168315660846</v>
      </c>
      <c r="I16" s="1">
        <f>H16+Calc_Dates!$J$2</f>
        <v>1323.0168315660846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1354.5936970318105</v>
      </c>
      <c r="I17" s="1">
        <f>H17+Calc_Dates!$J$2</f>
        <v>1385.5936970318105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1427.8065749536834</v>
      </c>
      <c r="I18" s="1">
        <f>H18+Calc_Dates!$J$2</f>
        <v>1458.8065749536834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1487.5852418305806</v>
      </c>
      <c r="I19" s="1">
        <f>H19+Calc_Dates!$J$2</f>
        <v>1518.5852418305806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1557.630375655327</v>
      </c>
      <c r="I20" s="1">
        <f>H20+Calc_Dates!$J$2</f>
        <v>1588.630375655327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1627.5769640111948</v>
      </c>
      <c r="I21" s="1">
        <f>H21+Calc_Dates!$J$2</f>
        <v>1658.5769640111948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24910.3</v>
      </c>
      <c r="C2" cm="1">
        <f t="array" ref="C2">INDEX(Calc_Month!$C$2:$C$37,Control!$B$13)</f>
        <v>24785.599999999999</v>
      </c>
      <c r="D2">
        <f>B2-C2</f>
        <v>124.70000000000073</v>
      </c>
      <c r="E2">
        <f>IFERROR(D2/C2,0)</f>
        <v>5.0311471176812637E-3</v>
      </c>
    </row>
    <row r="3" spans="1:5" x14ac:dyDescent="0.25">
      <c r="A3" t="s">
        <v>5</v>
      </c>
      <c r="B3" cm="1">
        <f t="array" ref="B3">INDEX(Calc_Month!$D$2:$D$37,Control!$B$3)</f>
        <v>1342.7800000000002</v>
      </c>
      <c r="C3" cm="1">
        <f t="array" ref="C3">INDEX(Calc_Month!$D$2:$D$37,Control!$B$13)</f>
        <v>1335.79</v>
      </c>
      <c r="D3">
        <f>B3-C3</f>
        <v>6.9900000000002365</v>
      </c>
      <c r="E3">
        <f>IFERROR(D3/C3,0)</f>
        <v>5.2328584582907768E-3</v>
      </c>
    </row>
    <row r="4" spans="1:5" x14ac:dyDescent="0.25">
      <c r="A4" t="s">
        <v>6</v>
      </c>
      <c r="B4" cm="1">
        <f t="array" ref="B4">INDEX(Calc_Month!$E$2:$E$37,Control!$B$3)</f>
        <v>810.42000000000007</v>
      </c>
      <c r="C4" cm="1">
        <f t="array" ref="C4">INDEX(Calc_Month!$E$2:$E$37,Control!$B$13)</f>
        <v>804.86</v>
      </c>
      <c r="D4">
        <f>B4-C4</f>
        <v>5.5600000000000591</v>
      </c>
      <c r="E4">
        <f>IFERROR(D4/C4,0)</f>
        <v>6.9080336953011197E-3</v>
      </c>
    </row>
    <row r="5" spans="1:5" x14ac:dyDescent="0.25">
      <c r="A5" t="s">
        <v>10</v>
      </c>
      <c r="B5" cm="1">
        <f t="array" ref="B5">INDEX(Calc_Month!$G$2:$G$37,Control!$B$3)</f>
        <v>532.36000000000013</v>
      </c>
      <c r="C5" cm="1">
        <f t="array" ref="C5">INDEX(Calc_Month!$G$2:$G$37,Control!$B$13)</f>
        <v>530.92999999999995</v>
      </c>
      <c r="D5">
        <f>B5-C5</f>
        <v>1.4300000000001774</v>
      </c>
      <c r="E5">
        <f>IFERROR(D5/C5,0)</f>
        <v>2.6933870755093468E-3</v>
      </c>
    </row>
    <row r="6" spans="1:5" x14ac:dyDescent="0.25">
      <c r="A6" t="s">
        <v>7</v>
      </c>
      <c r="B6" cm="1">
        <f t="array" ref="B6">INDEX(Calc_Month!$F$2:$F$37,Control!$B$3)</f>
        <v>2193</v>
      </c>
      <c r="C6" cm="1">
        <f t="array" ref="C6">INDEX(Calc_Month!$F$2:$F$37,Control!$B$13)</f>
        <v>2147</v>
      </c>
      <c r="D6">
        <f>B6-C6</f>
        <v>46</v>
      </c>
      <c r="E6">
        <f>IFERROR(D6/C6,0)</f>
        <v>2.1425244527247322E-2</v>
      </c>
    </row>
    <row r="7" spans="1:5" x14ac:dyDescent="0.25">
      <c r="A7" t="s">
        <v>136</v>
      </c>
      <c r="B7" cm="1">
        <f t="array" ref="B7">INDEX(Calc_Month!$H$2:$H$37,Control!$B$3)</f>
        <v>25544</v>
      </c>
      <c r="C7">
        <f t="shared" ref="C7:C19" si="0">IF(ISNUMBER(B7),ROUND(B7,2),B7)</f>
        <v>25544</v>
      </c>
    </row>
    <row r="8" spans="1:5" x14ac:dyDescent="0.25">
      <c r="A8" t="s">
        <v>142</v>
      </c>
      <c r="B8">
        <f>_xlfn.XLOOKUP(Control!$B$2,Calc_Bank!$A$2:$A$21,Calc_Bank!$L$2:$L$21)</f>
        <v>6</v>
      </c>
      <c r="C8">
        <f t="shared" si="0"/>
        <v>6</v>
      </c>
    </row>
    <row r="9" spans="1:5" x14ac:dyDescent="0.25">
      <c r="A9" t="s">
        <v>150</v>
      </c>
      <c r="B9">
        <f>_xlfn.XLOOKUP(Control!$B$2,Calc_Bank!$A$2:$A$21,Calc_Bank!$K$2:$K$21)</f>
        <v>6.4589943070264499E-2</v>
      </c>
      <c r="C9">
        <f t="shared" si="0"/>
        <v>0.06</v>
      </c>
    </row>
    <row r="10" spans="1:5" x14ac:dyDescent="0.25">
      <c r="A10" t="s">
        <v>161</v>
      </c>
      <c r="B10" cm="1">
        <f t="array" ref="B10">INDEX(Calc_Month!$J$2:$J$37,Control!$B$3)</f>
        <v>147085.69999999998</v>
      </c>
      <c r="C10">
        <f t="shared" si="0"/>
        <v>147085.70000000001</v>
      </c>
    </row>
    <row r="11" spans="1:5" x14ac:dyDescent="0.25">
      <c r="A11" t="s">
        <v>141</v>
      </c>
      <c r="B11" cm="1">
        <f t="array" ref="B11">INDEX(Calc_Scenario!$B$3:$AK$22,Control!$B$6,Control!$B$3)</f>
        <v>27941.928224419771</v>
      </c>
      <c r="C11">
        <f t="shared" si="0"/>
        <v>27941.93</v>
      </c>
    </row>
    <row r="12" spans="1:5" x14ac:dyDescent="0.25">
      <c r="A12" t="s">
        <v>257</v>
      </c>
      <c r="B12">
        <f>_xlfn.XLOOKUP(Control!$B$8,Calc_Region!$A$2:$A$6,Calc_Region!$K$2:$K$6)</f>
        <v>0.21960030948866954</v>
      </c>
      <c r="C12">
        <f t="shared" si="0"/>
        <v>0.22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1323.0168315660846</v>
      </c>
      <c r="C14">
        <f t="shared" si="0"/>
        <v>1323.02</v>
      </c>
    </row>
    <row r="15" spans="1:5" x14ac:dyDescent="0.25">
      <c r="A15" t="s">
        <v>260</v>
      </c>
      <c r="B15" cm="1">
        <f t="array" ref="B15">INDEX(Calc_Growth!$AM$3:$AM$22,Control!$B$6)</f>
        <v>6.9873247731624078E-3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Lucana (B115) - giugno 2026</v>
      </c>
      <c r="C17" t="str">
        <f t="shared" si="0"/>
        <v>Banca Lucana (B115) - giugno 2026</v>
      </c>
    </row>
    <row r="18" spans="1:3" x14ac:dyDescent="0.25">
      <c r="A18" t="s">
        <v>147</v>
      </c>
      <c r="B18" cm="1">
        <f t="array" ref="B18">INDEX(Calc_Month!$U$2:$U$37,Control!$B$3)</f>
        <v>24057.633333333331</v>
      </c>
      <c r="C18">
        <f t="shared" si="0"/>
        <v>24057.63</v>
      </c>
    </row>
    <row r="19" spans="1:3" x14ac:dyDescent="0.25">
      <c r="A19" t="s">
        <v>262</v>
      </c>
      <c r="B19" cm="1">
        <f t="array" aca="1" ref="B19" ca="1">INDEX(Calc_Month!$L$2:$L$37,Control!$B$3)</f>
        <v>24756.633333333335</v>
      </c>
      <c r="C19">
        <f t="shared" ca="1" si="0"/>
        <v>24756.63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Lucana (B115)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24910.3</v>
      </c>
      <c r="E5" s="3">
        <f>Calc_Summary!C2</f>
        <v>24785.599999999999</v>
      </c>
      <c r="F5" s="3">
        <f t="shared" ref="F5:F9" si="0">D5-E5</f>
        <v>124.70000000000073</v>
      </c>
      <c r="G5" s="2">
        <f t="shared" ref="G5:G9" si="1">IFERROR(F5/E5,"-")</f>
        <v>5.0311471176812637E-3</v>
      </c>
    </row>
    <row r="6" spans="2:8" x14ac:dyDescent="0.25">
      <c r="C6" t="s">
        <v>5</v>
      </c>
      <c r="D6" s="3">
        <f>Calc_Summary!B3</f>
        <v>1342.7800000000002</v>
      </c>
      <c r="E6" s="3">
        <f>Calc_Summary!C3</f>
        <v>1335.79</v>
      </c>
      <c r="F6" s="3">
        <f t="shared" si="0"/>
        <v>6.9900000000002365</v>
      </c>
      <c r="G6" s="2">
        <f t="shared" si="1"/>
        <v>5.2328584582907768E-3</v>
      </c>
    </row>
    <row r="7" spans="2:8" x14ac:dyDescent="0.25">
      <c r="C7" t="s">
        <v>6</v>
      </c>
      <c r="D7" s="3">
        <f>Calc_Summary!B4</f>
        <v>810.42000000000007</v>
      </c>
      <c r="E7" s="3">
        <f>Calc_Summary!C4</f>
        <v>804.86</v>
      </c>
      <c r="F7" s="3">
        <f t="shared" si="0"/>
        <v>5.5600000000000591</v>
      </c>
      <c r="G7" s="2">
        <f t="shared" si="1"/>
        <v>6.9080336953011197E-3</v>
      </c>
    </row>
    <row r="8" spans="2:8" x14ac:dyDescent="0.25">
      <c r="C8" t="s">
        <v>10</v>
      </c>
      <c r="D8" s="3">
        <f>Calc_Summary!B5</f>
        <v>532.36000000000013</v>
      </c>
      <c r="E8" s="3">
        <f>Calc_Summary!C5</f>
        <v>530.92999999999995</v>
      </c>
      <c r="F8" s="3">
        <f t="shared" si="0"/>
        <v>1.4300000000001774</v>
      </c>
      <c r="G8" s="2">
        <f t="shared" si="1"/>
        <v>2.6933870755093468E-3</v>
      </c>
    </row>
    <row r="9" spans="2:8" x14ac:dyDescent="0.25">
      <c r="C9" t="s">
        <v>7</v>
      </c>
      <c r="D9" s="3">
        <f>Calc_Summary!B6</f>
        <v>2193</v>
      </c>
      <c r="E9" s="3">
        <f>Calc_Summary!C6</f>
        <v>2147</v>
      </c>
      <c r="F9" s="3">
        <f t="shared" si="0"/>
        <v>46</v>
      </c>
      <c r="G9" s="2">
        <f t="shared" si="1"/>
        <v>2.1425244527247322E-2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Lucana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1333.4</v>
      </c>
      <c r="F5">
        <f>Calc_Product!E2</f>
        <v>23.369999999999997</v>
      </c>
      <c r="G5">
        <f>Calc_Product!H2</f>
        <v>5.3528058674524197E-2</v>
      </c>
      <c r="H5">
        <f>Calc_Product!L2</f>
        <v>6.3987331141876824E-2</v>
      </c>
      <c r="I5">
        <f>Calc_Product!J2</f>
        <v>7967.1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1862.9</v>
      </c>
      <c r="F6">
        <f>Calc_Product!E3</f>
        <v>33.779999999999994</v>
      </c>
      <c r="G6">
        <f>Calc_Product!H3</f>
        <v>7.4784326162270237E-2</v>
      </c>
      <c r="H6">
        <f>Calc_Product!L3</f>
        <v>6.4999546409306289E-2</v>
      </c>
      <c r="I6">
        <f>Calc_Product!J3</f>
        <v>10918.9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2346.1</v>
      </c>
      <c r="F7">
        <f>Calc_Product!E4</f>
        <v>44.730000000000004</v>
      </c>
      <c r="G7">
        <f>Calc_Product!H4</f>
        <v>9.4181924745988604E-2</v>
      </c>
      <c r="H7">
        <f>Calc_Product!L4</f>
        <v>6.431477257774465E-2</v>
      </c>
      <c r="I7">
        <f>Calc_Product!J4</f>
        <v>13845.200000000003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2851.8</v>
      </c>
      <c r="F8">
        <f>Calc_Product!E5</f>
        <v>56.700000000000017</v>
      </c>
      <c r="G8">
        <f>Calc_Product!H5</f>
        <v>0.11448276415779819</v>
      </c>
      <c r="H8">
        <f>Calc_Product!L5</f>
        <v>6.4353944437800001E-2</v>
      </c>
      <c r="I8">
        <f>Calc_Product!J5</f>
        <v>16858.5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3370.4</v>
      </c>
      <c r="F9">
        <f>Calc_Product!E6</f>
        <v>71.22</v>
      </c>
      <c r="G9">
        <f>Calc_Product!H6</f>
        <v>0.13530146164438003</v>
      </c>
      <c r="H9">
        <f>Calc_Product!L6</f>
        <v>6.4641350210970464E-2</v>
      </c>
      <c r="I9">
        <f>Calc_Product!J6</f>
        <v>19960.3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3885.6</v>
      </c>
      <c r="F10">
        <f>Calc_Product!E7</f>
        <v>85.669999999999987</v>
      </c>
      <c r="G10">
        <f>Calc_Product!H7</f>
        <v>0.15598366940582811</v>
      </c>
      <c r="H10">
        <f>Calc_Product!L7</f>
        <v>6.4833910658150293E-2</v>
      </c>
      <c r="I10">
        <f>Calc_Product!J7</f>
        <v>22888.3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4360.3999999999996</v>
      </c>
      <c r="F11">
        <f>Calc_Product!E8</f>
        <v>100.02000000000001</v>
      </c>
      <c r="G11">
        <f>Calc_Product!H8</f>
        <v>0.17504405808039245</v>
      </c>
      <c r="H11">
        <f>Calc_Product!L8</f>
        <v>6.4311925523002675E-2</v>
      </c>
      <c r="I11">
        <f>Calc_Product!J8</f>
        <v>25821.9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4899.7</v>
      </c>
      <c r="F12">
        <f>Calc_Product!E9</f>
        <v>116.87</v>
      </c>
      <c r="G12">
        <f>Calc_Product!H9</f>
        <v>0.19669373712881819</v>
      </c>
      <c r="H12">
        <f>Calc_Product!L9</f>
        <v>6.4892735012171451E-2</v>
      </c>
      <c r="I12">
        <f>Calc_Product!J9</f>
        <v>28825.500000000004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Lucana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24095</v>
      </c>
      <c r="E5" cm="1">
        <f t="array" ref="E5">INDEX(Budget!$B$2:$AK$21,Control!$B$6,MATCH(C5,Budget!$B$1:$AK$1,0))</f>
        <v>24639</v>
      </c>
      <c r="F5">
        <f>HLOOKUP(C5,Budget!$B$1:$AK$21,Control!$B$6+1,FALSE)</f>
        <v>24639</v>
      </c>
      <c r="G5">
        <f t="shared" ref="G5:G10" si="0">IFERROR(D5/E5-1,0)</f>
        <v>-2.2078818133852818E-2</v>
      </c>
      <c r="H5" cm="1">
        <f t="array" ref="H5">INDEX(Budget!$B$25:$AK$44,MATCH(Control!$B$2,Budget!$A$25:$A$44,0),C5)</f>
        <v>1281.2</v>
      </c>
    </row>
    <row r="6" spans="2:9" x14ac:dyDescent="0.25">
      <c r="C6">
        <f>Control!$B$3-6+ROW()-4</f>
        <v>26</v>
      </c>
      <c r="D6" cm="1">
        <f t="array" ref="D6">INDEX(Calc_Month!$C$2:$C$37,C6)</f>
        <v>24282.6</v>
      </c>
      <c r="E6" cm="1">
        <f t="array" ref="E6">INDEX(Budget!$B$2:$AK$21,Control!$B$6,MATCH(C6,Budget!$B$1:$AK$1,0))</f>
        <v>24820</v>
      </c>
      <c r="F6">
        <f>HLOOKUP(C6,Budget!$B$1:$AK$21,Control!$B$6+1,FALSE)</f>
        <v>24820</v>
      </c>
      <c r="G6">
        <f t="shared" si="0"/>
        <v>-2.1651893634166086E-2</v>
      </c>
      <c r="H6" cm="1">
        <f t="array" ref="H6">INDEX(Budget!$B$25:$AK$44,MATCH(Control!$B$2,Budget!$A$25:$A$44,0),C6)</f>
        <v>1290.5999999999999</v>
      </c>
    </row>
    <row r="7" spans="2:9" x14ac:dyDescent="0.25">
      <c r="C7">
        <f>Control!$B$3-6+ROW()-4</f>
        <v>27</v>
      </c>
      <c r="D7" cm="1">
        <f t="array" ref="D7">INDEX(Calc_Month!$C$2:$C$37,C7)</f>
        <v>24438.199999999997</v>
      </c>
      <c r="E7" cm="1">
        <f t="array" ref="E7">INDEX(Budget!$B$2:$AK$21,Control!$B$6,MATCH(C7,Budget!$B$1:$AK$1,0))</f>
        <v>25001</v>
      </c>
      <c r="F7">
        <f>HLOOKUP(C7,Budget!$B$1:$AK$21,Control!$B$6+1,FALSE)</f>
        <v>25001</v>
      </c>
      <c r="G7">
        <f t="shared" si="0"/>
        <v>-2.2511099556017822E-2</v>
      </c>
      <c r="H7" cm="1">
        <f t="array" ref="H7">INDEX(Budget!$B$25:$AK$44,MATCH(Control!$B$2,Budget!$A$25:$A$44,0),C7)</f>
        <v>1300</v>
      </c>
    </row>
    <row r="8" spans="2:9" x14ac:dyDescent="0.25">
      <c r="C8">
        <f>Control!$B$3-6+ROW()-4</f>
        <v>28</v>
      </c>
      <c r="D8" cm="1">
        <f t="array" ref="D8">INDEX(Calc_Month!$C$2:$C$37,C8)</f>
        <v>24574.000000000004</v>
      </c>
      <c r="E8" cm="1">
        <f t="array" ref="E8">INDEX(Budget!$B$2:$AK$21,Control!$B$6,MATCH(C8,Budget!$B$1:$AK$1,0))</f>
        <v>25182</v>
      </c>
      <c r="F8">
        <f>HLOOKUP(C8,Budget!$B$1:$AK$21,Control!$B$6+1,FALSE)</f>
        <v>25182</v>
      </c>
      <c r="G8">
        <f t="shared" si="0"/>
        <v>-2.4144230005559431E-2</v>
      </c>
      <c r="H8" cm="1">
        <f t="array" ref="H8">INDEX(Budget!$B$25:$AK$44,MATCH(Control!$B$2,Budget!$A$25:$A$44,0),C8)</f>
        <v>1309.4000000000001</v>
      </c>
    </row>
    <row r="9" spans="2:9" x14ac:dyDescent="0.25">
      <c r="C9">
        <f>Control!$B$3-6+ROW()-4</f>
        <v>29</v>
      </c>
      <c r="D9" cm="1">
        <f t="array" ref="D9">INDEX(Calc_Month!$C$2:$C$37,C9)</f>
        <v>24785.599999999999</v>
      </c>
      <c r="E9" cm="1">
        <f t="array" ref="E9">INDEX(Budget!$B$2:$AK$21,Control!$B$6,MATCH(C9,Budget!$B$1:$AK$1,0))</f>
        <v>25363</v>
      </c>
      <c r="F9">
        <f>HLOOKUP(C9,Budget!$B$1:$AK$21,Control!$B$6+1,FALSE)</f>
        <v>25363</v>
      </c>
      <c r="G9">
        <f t="shared" si="0"/>
        <v>-2.2765445728029077E-2</v>
      </c>
      <c r="H9" cm="1">
        <f t="array" ref="H9">INDEX(Budget!$B$25:$AK$44,MATCH(Control!$B$2,Budget!$A$25:$A$44,0),C9)</f>
        <v>1318.9</v>
      </c>
    </row>
    <row r="10" spans="2:9" x14ac:dyDescent="0.25">
      <c r="C10">
        <f>Control!$B$3-6+ROW()-4</f>
        <v>30</v>
      </c>
      <c r="D10" cm="1">
        <f t="array" ref="D10">INDEX(Calc_Month!$C$2:$C$37,C10)</f>
        <v>24910.3</v>
      </c>
      <c r="E10" cm="1">
        <f t="array" ref="E10">INDEX(Budget!$B$2:$AK$21,Control!$B$6,MATCH(C10,Budget!$B$1:$AK$1,0))</f>
        <v>25544</v>
      </c>
      <c r="F10">
        <f>HLOOKUP(C10,Budget!$B$1:$AK$21,Control!$B$6+1,FALSE)</f>
        <v>25544</v>
      </c>
      <c r="G10">
        <f t="shared" si="0"/>
        <v>-2.4808174130911409E-2</v>
      </c>
      <c r="H10" cm="1">
        <f t="array" ref="H10">INDEX(Budget!$B$25:$AK$44,MATCH(Control!$B$2,Budget!$A$25:$A$44,0),C10)</f>
        <v>1328.3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Lucana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24095</v>
      </c>
      <c r="E5">
        <f>D5*VLOOKUP(C5,FX!$A$2:$E$37,3,FALSE)</f>
        <v>24434.7395</v>
      </c>
      <c r="F5">
        <f>D5*_xlfn.XLOOKUP(C5,FX!$A$2:$A$37,FX!$D$2:$D$37)</f>
        <v>20721.7</v>
      </c>
      <c r="G5" cm="1">
        <f t="array" ref="G5">D5*INDEX(FX!$E$2:$E$37,C5)</f>
        <v>21685.5</v>
      </c>
    </row>
    <row r="6" spans="2:8" x14ac:dyDescent="0.25">
      <c r="C6">
        <f>Control!$B$3-6+ROW()-4</f>
        <v>26</v>
      </c>
      <c r="D6" cm="1">
        <f t="array" ref="D6">INDEX(Calc_Month!$C$2:$C$37,C6)</f>
        <v>24282.6</v>
      </c>
      <c r="E6">
        <f>D6*VLOOKUP(C6,FX!$A$2:$E$37,3,FALSE)</f>
        <v>24702.688979999999</v>
      </c>
      <c r="F6">
        <f>D6*_xlfn.XLOOKUP(C6,FX!$A$2:$A$37,FX!$D$2:$D$37)</f>
        <v>20878.179479999999</v>
      </c>
      <c r="G6" cm="1">
        <f t="array" ref="G6">D6*INDEX(FX!$E$2:$E$37,C6)</f>
        <v>21805.774799999999</v>
      </c>
    </row>
    <row r="7" spans="2:8" x14ac:dyDescent="0.25">
      <c r="C7">
        <f>Control!$B$3-6+ROW()-4</f>
        <v>27</v>
      </c>
      <c r="D7" cm="1">
        <f t="array" ref="D7">INDEX(Calc_Month!$C$2:$C$37,C7)</f>
        <v>24438.199999999997</v>
      </c>
      <c r="E7">
        <f>D7*VLOOKUP(C7,FX!$A$2:$E$37,3,FALSE)</f>
        <v>24970.952759999996</v>
      </c>
      <c r="F7">
        <f>D7*_xlfn.XLOOKUP(C7,FX!$A$2:$A$37,FX!$D$2:$D$37)</f>
        <v>20989.969979999998</v>
      </c>
      <c r="G7" cm="1">
        <f t="array" ref="G7">D7*INDEX(FX!$E$2:$E$37,C7)</f>
        <v>21896.627199999999</v>
      </c>
    </row>
    <row r="8" spans="2:8" x14ac:dyDescent="0.25">
      <c r="C8">
        <f>Control!$B$3-6+ROW()-4</f>
        <v>28</v>
      </c>
      <c r="D8" cm="1">
        <f t="array" ref="D8">INDEX(Calc_Month!$C$2:$C$37,C8)</f>
        <v>24574.000000000004</v>
      </c>
      <c r="E8">
        <f>D8*VLOOKUP(C8,FX!$A$2:$E$37,3,FALSE)</f>
        <v>25249.785000000007</v>
      </c>
      <c r="F8">
        <f>D8*_xlfn.XLOOKUP(C8,FX!$A$2:$A$37,FX!$D$2:$D$37)</f>
        <v>21072.205000000005</v>
      </c>
      <c r="G8" cm="1">
        <f t="array" ref="G8">D8*INDEX(FX!$E$2:$E$37,C8)</f>
        <v>21969.156000000003</v>
      </c>
    </row>
    <row r="9" spans="2:8" x14ac:dyDescent="0.25">
      <c r="C9">
        <f>Control!$B$3-6+ROW()-4</f>
        <v>29</v>
      </c>
      <c r="D9" cm="1">
        <f t="array" ref="D9">INDEX(Calc_Month!$C$2:$C$37,C9)</f>
        <v>24785.599999999999</v>
      </c>
      <c r="E9">
        <f>D9*VLOOKUP(C9,FX!$A$2:$E$37,3,FALSE)</f>
        <v>25635.746079999997</v>
      </c>
      <c r="F9">
        <f>D9*_xlfn.XLOOKUP(C9,FX!$A$2:$A$37,FX!$D$2:$D$37)</f>
        <v>21209.037919999999</v>
      </c>
      <c r="G9" cm="1">
        <f t="array" ref="G9">D9*INDEX(FX!$E$2:$E$37,C9)</f>
        <v>22108.7552</v>
      </c>
    </row>
    <row r="10" spans="2:8" x14ac:dyDescent="0.25">
      <c r="C10">
        <f>Control!$B$3-6+ROW()-4</f>
        <v>30</v>
      </c>
      <c r="D10" cm="1">
        <f t="array" ref="D10">INDEX(Calc_Month!$C$2:$C$37,C10)</f>
        <v>24910.3</v>
      </c>
      <c r="E10">
        <f>D10*VLOOKUP(C10,FX!$A$2:$E$37,3,FALSE)</f>
        <v>25951.55054</v>
      </c>
      <c r="F10">
        <f>D10*_xlfn.XLOOKUP(C10,FX!$A$2:$A$37,FX!$D$2:$D$37)</f>
        <v>21260.941050000001</v>
      </c>
      <c r="G10" cm="1">
        <f t="array" ref="G10">D10*INDEX(FX!$E$2:$E$37,C10)</f>
        <v>22170.167000000001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Lucana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9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/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Lucana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61329.899999999994</v>
      </c>
      <c r="E5">
        <f>SUMIF(Calc_Month!$T$2:$T$37,C5,Calc_Month!$D$2:$D$37)</f>
        <v>3306.8799999999997</v>
      </c>
      <c r="F5">
        <f>SUMIF(Calc_Month!$T$2:$T$37,C5,Calc_Month!$G$2:$G$37)</f>
        <v>1312.59</v>
      </c>
      <c r="G5">
        <f>AVERAGEIF(Calc_Month!$T$2:$T$37,C5,Calc_Month!$C$2:$C$37)</f>
        <v>20443.3</v>
      </c>
    </row>
    <row r="6" spans="2:8" x14ac:dyDescent="0.25">
      <c r="C6" t="s">
        <v>291</v>
      </c>
      <c r="D6">
        <f>SUMIF(Calc_Month!$T$2:$T$37,C6,Calc_Month!$C$2:$C$37)</f>
        <v>62745.399999999994</v>
      </c>
      <c r="E6">
        <f>SUMIF(Calc_Month!$T$2:$T$37,C6,Calc_Month!$D$2:$D$37)</f>
        <v>3382.2599999999998</v>
      </c>
      <c r="F6">
        <f>SUMIF(Calc_Month!$T$2:$T$37,C6,Calc_Month!$G$2:$G$37)</f>
        <v>1337.17</v>
      </c>
      <c r="G6">
        <f>AVERAGEIF(Calc_Month!$T$2:$T$37,C6,Calc_Month!$C$2:$C$37)</f>
        <v>20915.133333333331</v>
      </c>
    </row>
    <row r="7" spans="2:8" x14ac:dyDescent="0.25">
      <c r="C7" t="s">
        <v>292</v>
      </c>
      <c r="D7">
        <f>SUMIF(Calc_Month!$T$2:$T$37,C7,Calc_Month!$C$2:$C$37)</f>
        <v>64273.299999999988</v>
      </c>
      <c r="E7">
        <f>SUMIF(Calc_Month!$T$2:$T$37,C7,Calc_Month!$D$2:$D$37)</f>
        <v>3464.76</v>
      </c>
      <c r="F7">
        <f>SUMIF(Calc_Month!$T$2:$T$37,C7,Calc_Month!$G$2:$G$37)</f>
        <v>1375.71</v>
      </c>
      <c r="G7">
        <f>AVERAGEIF(Calc_Month!$T$2:$T$37,C7,Calc_Month!$C$2:$C$37)</f>
        <v>21424.433333333331</v>
      </c>
    </row>
    <row r="8" spans="2:8" x14ac:dyDescent="0.25">
      <c r="C8" t="s">
        <v>293</v>
      </c>
      <c r="D8">
        <f>SUMIF(Calc_Month!$T$2:$T$37,C8,Calc_Month!$C$2:$C$37)</f>
        <v>65746.3</v>
      </c>
      <c r="E8">
        <f>SUMIF(Calc_Month!$T$2:$T$37,C8,Calc_Month!$D$2:$D$37)</f>
        <v>3541.12</v>
      </c>
      <c r="F8">
        <f>SUMIF(Calc_Month!$T$2:$T$37,C8,Calc_Month!$G$2:$G$37)</f>
        <v>1402.3600000000001</v>
      </c>
      <c r="G8">
        <f>AVERAGEIF(Calc_Month!$T$2:$T$37,C8,Calc_Month!$C$2:$C$37)</f>
        <v>21915.433333333334</v>
      </c>
    </row>
    <row r="9" spans="2:8" x14ac:dyDescent="0.25">
      <c r="C9" t="s">
        <v>294</v>
      </c>
      <c r="D9">
        <f>SUMIF(Calc_Month!$T$2:$T$37,C9,Calc_Month!$C$2:$C$37)</f>
        <v>67156</v>
      </c>
      <c r="E9">
        <f>SUMIF(Calc_Month!$T$2:$T$37,C9,Calc_Month!$D$2:$D$37)</f>
        <v>3617.67</v>
      </c>
      <c r="F9">
        <f>SUMIF(Calc_Month!$T$2:$T$37,C9,Calc_Month!$G$2:$G$37)</f>
        <v>1434.1799999999998</v>
      </c>
      <c r="G9">
        <f>AVERAGEIF(Calc_Month!$T$2:$T$37,C9,Calc_Month!$C$2:$C$37)</f>
        <v>22385.333333333332</v>
      </c>
    </row>
    <row r="10" spans="2:8" x14ac:dyDescent="0.25">
      <c r="C10" t="s">
        <v>295</v>
      </c>
      <c r="D10">
        <f>SUMIF(Calc_Month!$T$2:$T$37,C10,Calc_Month!$C$2:$C$37)</f>
        <v>68427.899999999994</v>
      </c>
      <c r="E10">
        <f>SUMIF(Calc_Month!$T$2:$T$37,C10,Calc_Month!$D$2:$D$37)</f>
        <v>3686.6400000000003</v>
      </c>
      <c r="F10">
        <f>SUMIF(Calc_Month!$T$2:$T$37,C10,Calc_Month!$G$2:$G$37)</f>
        <v>1461.1700000000005</v>
      </c>
      <c r="G10">
        <f>AVERAGEIF(Calc_Month!$T$2:$T$37,C10,Calc_Month!$C$2:$C$37)</f>
        <v>22809.3</v>
      </c>
    </row>
    <row r="11" spans="2:8" x14ac:dyDescent="0.25">
      <c r="C11" t="s">
        <v>296</v>
      </c>
      <c r="D11">
        <f>SUMIF(Calc_Month!$T$2:$T$37,C11,Calc_Month!$C$2:$C$37)</f>
        <v>70084.600000000006</v>
      </c>
      <c r="E11">
        <f>SUMIF(Calc_Month!$T$2:$T$37,C11,Calc_Month!$D$2:$D$37)</f>
        <v>3776.1400000000003</v>
      </c>
      <c r="F11">
        <f>SUMIF(Calc_Month!$T$2:$T$37,C11,Calc_Month!$G$2:$G$37)</f>
        <v>1496.1899999999998</v>
      </c>
      <c r="G11">
        <f>AVERAGEIF(Calc_Month!$T$2:$T$37,C11,Calc_Month!$C$2:$C$37)</f>
        <v>23361.533333333336</v>
      </c>
    </row>
    <row r="12" spans="2:8" x14ac:dyDescent="0.25">
      <c r="C12" t="s">
        <v>297</v>
      </c>
      <c r="D12">
        <f>SUMIF(Calc_Month!$T$2:$T$37,C12,Calc_Month!$C$2:$C$37)</f>
        <v>71521.3</v>
      </c>
      <c r="E12">
        <f>SUMIF(Calc_Month!$T$2:$T$37,C12,Calc_Month!$D$2:$D$37)</f>
        <v>3853</v>
      </c>
      <c r="F12">
        <f>SUMIF(Calc_Month!$T$2:$T$37,C12,Calc_Month!$G$2:$G$37)</f>
        <v>1527.37</v>
      </c>
      <c r="G12">
        <f>AVERAGEIF(Calc_Month!$T$2:$T$37,C12,Calc_Month!$C$2:$C$37)</f>
        <v>23840.433333333334</v>
      </c>
    </row>
    <row r="13" spans="2:8" x14ac:dyDescent="0.25">
      <c r="C13" t="s">
        <v>298</v>
      </c>
      <c r="D13">
        <f>SUMIF(Calc_Month!$T$2:$T$37,C13,Calc_Month!$C$2:$C$37)</f>
        <v>72815.799999999988</v>
      </c>
      <c r="E13">
        <f>SUMIF(Calc_Month!$T$2:$T$37,C13,Calc_Month!$D$2:$D$37)</f>
        <v>3924.9799999999996</v>
      </c>
      <c r="F13">
        <f>SUMIF(Calc_Month!$T$2:$T$37,C13,Calc_Month!$G$2:$G$37)</f>
        <v>1556.62</v>
      </c>
      <c r="G13">
        <f>AVERAGEIF(Calc_Month!$T$2:$T$37,C13,Calc_Month!$C$2:$C$37)</f>
        <v>24271.933333333331</v>
      </c>
    </row>
    <row r="14" spans="2:8" x14ac:dyDescent="0.25">
      <c r="C14" t="s">
        <v>299</v>
      </c>
      <c r="D14">
        <f>SUMIF(Calc_Month!$T$2:$T$37,C14,Calc_Month!$C$2:$C$37)</f>
        <v>74269.900000000009</v>
      </c>
      <c r="E14">
        <f>SUMIF(Calc_Month!$T$2:$T$37,C14,Calc_Month!$D$2:$D$37)</f>
        <v>4001.1000000000004</v>
      </c>
      <c r="F14">
        <f>SUMIF(Calc_Month!$T$2:$T$37,C14,Calc_Month!$G$2:$G$37)</f>
        <v>1586.48</v>
      </c>
      <c r="G14">
        <f>AVERAGEIF(Calc_Month!$T$2:$T$37,C14,Calc_Month!$C$2:$C$37)</f>
        <v>24756.633333333335</v>
      </c>
    </row>
    <row r="15" spans="2:8" x14ac:dyDescent="0.25">
      <c r="C15" t="s">
        <v>300</v>
      </c>
      <c r="D15">
        <f>SUMIF(Calc_Month!$T$2:$T$37,C15,Calc_Month!$C$2:$C$37)</f>
        <v>75810.899999999994</v>
      </c>
      <c r="E15">
        <f>SUMIF(Calc_Month!$T$2:$T$37,C15,Calc_Month!$D$2:$D$37)</f>
        <v>4084.9300000000003</v>
      </c>
      <c r="F15">
        <f>SUMIF(Calc_Month!$T$2:$T$37,C15,Calc_Month!$G$2:$G$37)</f>
        <v>1616.6599999999999</v>
      </c>
      <c r="G15">
        <f>AVERAGEIF(Calc_Month!$T$2:$T$37,C15,Calc_Month!$C$2:$C$37)</f>
        <v>25270.3</v>
      </c>
    </row>
    <row r="16" spans="2:8" x14ac:dyDescent="0.25">
      <c r="C16" t="s">
        <v>301</v>
      </c>
      <c r="D16">
        <f>SUMIF(Calc_Month!$T$2:$T$37,C16,Calc_Month!$C$2:$C$37)</f>
        <v>77234.3</v>
      </c>
      <c r="E16">
        <f>SUMIF(Calc_Month!$T$2:$T$37,C16,Calc_Month!$D$2:$D$37)</f>
        <v>4158.99</v>
      </c>
      <c r="F16">
        <f>SUMIF(Calc_Month!$T$2:$T$37,C16,Calc_Month!$G$2:$G$37)</f>
        <v>1647.3799999999999</v>
      </c>
      <c r="G16">
        <f>AVERAGEIF(Calc_Month!$T$2:$T$37,C16,Calc_Month!$C$2:$C$37)</f>
        <v>25744.766666666666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379.02164058496589</v>
      </c>
      <c r="G5" s="1">
        <f>Calc_Deep!I2</f>
        <v>410.02164058496589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438.88949111119871</v>
      </c>
      <c r="G6" s="1">
        <f>Calc_Deep!I3</f>
        <v>469.88949111119871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507.04846466159483</v>
      </c>
      <c r="G7" s="1">
        <f>Calc_Deep!I4</f>
        <v>538.04846466159483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576.03324924119977</v>
      </c>
      <c r="G8" s="1">
        <f>Calc_Deep!I5</f>
        <v>607.03324924119977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637.45072726556032</v>
      </c>
      <c r="G9" s="1">
        <f>Calc_Deep!I6</f>
        <v>668.45072726556032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704.82182979226616</v>
      </c>
      <c r="G10" s="1">
        <f>Calc_Deep!I7</f>
        <v>735.82182979226616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768.06190626354999</v>
      </c>
      <c r="G11" s="1">
        <f>Calc_Deep!I8</f>
        <v>799.06190626354999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838.93925657298257</v>
      </c>
      <c r="G12" s="1">
        <f>Calc_Deep!I9</f>
        <v>869.93925657298257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901.40821475028565</v>
      </c>
      <c r="G13" s="1">
        <f>Calc_Deep!I10</f>
        <v>932.40821475028565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964.9306239899089</v>
      </c>
      <c r="G14" s="1">
        <f>Calc_Deep!I11</f>
        <v>995.9306239899089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1029.1073751428908</v>
      </c>
      <c r="G15" s="1">
        <f>Calc_Deep!I12</f>
        <v>1060.1073751428908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1097.1298632188893</v>
      </c>
      <c r="G16" s="1">
        <f>Calc_Deep!I13</f>
        <v>1128.1298632188893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1161.1341598013323</v>
      </c>
      <c r="G17" s="1">
        <f>Calc_Deep!I14</f>
        <v>1192.1341598013323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1228.2229295596987</v>
      </c>
      <c r="G18" s="1">
        <f>Calc_Deep!I15</f>
        <v>1259.2229295596987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1292.0168315660846</v>
      </c>
      <c r="G19" s="1">
        <f>Calc_Deep!I16</f>
        <v>1323.0168315660846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1354.5936970318105</v>
      </c>
      <c r="G20" s="1">
        <f>Calc_Deep!I17</f>
        <v>1385.5936970318105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1427.8065749536834</v>
      </c>
      <c r="G21" s="1">
        <f>Calc_Deep!I18</f>
        <v>1458.8065749536834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1487.5852418305806</v>
      </c>
      <c r="G22" s="1">
        <f>Calc_Deep!I19</f>
        <v>1518.5852418305806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1557.630375655327</v>
      </c>
      <c r="G23" s="1">
        <f>Calc_Deep!I20</f>
        <v>1588.630375655327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1627.5769640111948</v>
      </c>
      <c r="G24" s="1">
        <f>Calc_Deep!I21</f>
        <v>1658.5769640111948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Lucana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24910.3</v>
      </c>
      <c r="E6" cm="1">
        <f t="array" ref="E6">CHOOSE(ROW()-4,INDEX(Calc_BankMonth!$B$23:$AK$23,Control!$B$3),Calc_Summary!$B$2,Calc_Bank!$C$23,SUM(Calc_Product!$B$2:$B$9),Calc_Summary!$B$2,Calc_Summary!$B$2)</f>
        <v>24910.3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24910.3</v>
      </c>
      <c r="E8" cm="1">
        <f t="array" ref="E8">CHOOSE(ROW()-4,INDEX(Calc_BankMonth!$B$23:$AK$23,Control!$B$3),Calc_Summary!$B$2,Calc_Bank!$C$23,SUM(Calc_Product!$B$2:$B$9),Calc_Summary!$B$2,Calc_Summary!$B$2)</f>
        <v>24910.3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24910.3</v>
      </c>
      <c r="E9" cm="1">
        <f t="array" ref="E9">CHOOSE(ROW()-4,INDEX(Calc_BankMonth!$B$23:$AK$23,Control!$B$3),Calc_Summary!$B$2,Calc_Bank!$C$23,SUM(Calc_Product!$B$2:$B$9),Calc_Summary!$B$2,Calc_Summary!$B$2)</f>
        <v>24910.3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24910.3</v>
      </c>
      <c r="E10" cm="1">
        <f t="array" ref="E10">CHOOSE(ROW()-4,INDEX(Calc_BankMonth!$B$23:$AK$23,Control!$B$3),Calc_Summary!$B$2,Calc_Bank!$C$23,SUM(Calc_Product!$B$2:$B$9),Calc_Summary!$B$2,Calc_Summary!$B$2)</f>
        <v>24910.3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Lucana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23219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19662.925000000003</v>
      </c>
      <c r="H5">
        <f t="shared" ref="H5:H16" si="0">E5-F5</f>
        <v>5311.7000000000007</v>
      </c>
      <c r="I5">
        <f t="shared" ref="I5:I16" si="1">IFERROR(H5/F5,0)</f>
        <v>0.29662204799160125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23311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19830.899999999998</v>
      </c>
      <c r="H6">
        <f t="shared" si="0"/>
        <v>5286.674999999992</v>
      </c>
      <c r="I6">
        <f t="shared" si="1"/>
        <v>0.29330779377313654</v>
      </c>
      <c r="J6">
        <f t="shared" si="2"/>
        <v>100.4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23554.6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19935.050000000003</v>
      </c>
      <c r="H7">
        <f t="shared" si="0"/>
        <v>5422.3699999999953</v>
      </c>
      <c r="I7">
        <f t="shared" si="1"/>
        <v>0.29904595297985931</v>
      </c>
      <c r="J7">
        <f t="shared" si="2"/>
        <v>101.4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23654.6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20110.625</v>
      </c>
      <c r="H8">
        <f t="shared" si="0"/>
        <v>5359.8850000000057</v>
      </c>
      <c r="I8">
        <f t="shared" si="1"/>
        <v>0.29297450110592088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23796.7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20173.925000000007</v>
      </c>
      <c r="H9">
        <f t="shared" si="0"/>
        <v>5393.9700000000084</v>
      </c>
      <c r="I9">
        <f t="shared" si="1"/>
        <v>0.29310705531190268</v>
      </c>
      <c r="J9">
        <f t="shared" si="2"/>
        <v>102.5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24070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20352.5</v>
      </c>
      <c r="H10">
        <f t="shared" si="0"/>
        <v>5533.9599999999991</v>
      </c>
      <c r="I10">
        <f t="shared" si="1"/>
        <v>0.29855136264272192</v>
      </c>
      <c r="J10">
        <f t="shared" si="2"/>
        <v>103.7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24095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20463.175000000003</v>
      </c>
      <c r="H11">
        <f t="shared" si="0"/>
        <v>5443.380000000001</v>
      </c>
      <c r="I11">
        <f t="shared" si="1"/>
        <v>0.29184489068509872</v>
      </c>
      <c r="J11">
        <f t="shared" si="2"/>
        <v>103.8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24282.6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20627.099999999999</v>
      </c>
      <c r="H12">
        <f t="shared" si="0"/>
        <v>5498.3650000000089</v>
      </c>
      <c r="I12">
        <f t="shared" si="1"/>
        <v>0.29271168083235821</v>
      </c>
      <c r="J12">
        <f t="shared" si="2"/>
        <v>104.6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24438.199999999997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20750.999999999996</v>
      </c>
      <c r="H13">
        <f t="shared" si="0"/>
        <v>5525.0700000000033</v>
      </c>
      <c r="I13">
        <f t="shared" si="1"/>
        <v>0.29212880152571286</v>
      </c>
      <c r="J13">
        <f t="shared" si="2"/>
        <v>105.3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24574.000000000004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20898.174999999999</v>
      </c>
      <c r="H14">
        <f t="shared" si="0"/>
        <v>5560.059999999994</v>
      </c>
      <c r="I14">
        <f t="shared" si="1"/>
        <v>0.29242019276383491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24785.599999999999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21026.325000000001</v>
      </c>
      <c r="H15">
        <f t="shared" si="0"/>
        <v>5619.1949999999924</v>
      </c>
      <c r="I15">
        <f t="shared" si="1"/>
        <v>0.29317939384041974</v>
      </c>
      <c r="J15">
        <f t="shared" si="2"/>
        <v>106.7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24910.3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21173.225000000002</v>
      </c>
      <c r="H16">
        <f t="shared" si="0"/>
        <v>5626.8799999999901</v>
      </c>
      <c r="I16">
        <f t="shared" si="1"/>
        <v>0.29179886140528949</v>
      </c>
      <c r="J16">
        <f t="shared" si="2"/>
        <v>107.3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Lucana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1250.9000000000001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1059.4049999999997</v>
      </c>
      <c r="H5">
        <f t="shared" ref="H5:H16" si="0">E5-F5</f>
        <v>285.66050000000007</v>
      </c>
      <c r="I5">
        <f t="shared" ref="I5:I16" si="1">IFERROR(H5/F5,0)</f>
        <v>0.2959477932678885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1256.57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1069.7950000000001</v>
      </c>
      <c r="H6">
        <f t="shared" si="0"/>
        <v>284.59050000000025</v>
      </c>
      <c r="I6">
        <f t="shared" si="1"/>
        <v>0.29279475544494543</v>
      </c>
      <c r="J6">
        <f t="shared" si="2"/>
        <v>100.5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1268.6699999999998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1074.1225000000002</v>
      </c>
      <c r="H7">
        <f t="shared" si="0"/>
        <v>290.9109999999996</v>
      </c>
      <c r="I7">
        <f t="shared" si="1"/>
        <v>0.29752832753265329</v>
      </c>
      <c r="J7">
        <f t="shared" si="2"/>
        <v>101.4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1273.0899999999999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1083.1949999999999</v>
      </c>
      <c r="H8">
        <f t="shared" si="0"/>
        <v>286.87950000000001</v>
      </c>
      <c r="I8">
        <f t="shared" si="1"/>
        <v>0.29089073782929714</v>
      </c>
      <c r="J8">
        <f t="shared" si="2"/>
        <v>101.8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1284.0899999999999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1087.7500000000002</v>
      </c>
      <c r="H9">
        <f t="shared" si="0"/>
        <v>291.79749999999979</v>
      </c>
      <c r="I9">
        <f t="shared" si="1"/>
        <v>0.29406399826663987</v>
      </c>
      <c r="J9">
        <f t="shared" si="2"/>
        <v>102.7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1295.8200000000002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1096.6575</v>
      </c>
      <c r="H10">
        <f t="shared" si="0"/>
        <v>296.31150000000025</v>
      </c>
      <c r="I10">
        <f t="shared" si="1"/>
        <v>0.29645720871808523</v>
      </c>
      <c r="J10">
        <f t="shared" si="2"/>
        <v>103.6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1297.99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1102.875</v>
      </c>
      <c r="H11">
        <f t="shared" si="0"/>
        <v>292.50449999999967</v>
      </c>
      <c r="I11">
        <f t="shared" si="1"/>
        <v>0.29090872021525876</v>
      </c>
      <c r="J11">
        <f t="shared" si="2"/>
        <v>103.8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1308.9099999999999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1111.8100000000002</v>
      </c>
      <c r="H12">
        <f t="shared" si="0"/>
        <v>296.12599999999998</v>
      </c>
      <c r="I12">
        <f t="shared" si="1"/>
        <v>0.29238811039668872</v>
      </c>
      <c r="J12">
        <f t="shared" si="2"/>
        <v>104.6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1318.08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1119.3274999999999</v>
      </c>
      <c r="H13">
        <f t="shared" si="0"/>
        <v>298.08149999999955</v>
      </c>
      <c r="I13">
        <f t="shared" si="1"/>
        <v>0.2922371944664619</v>
      </c>
      <c r="J13">
        <f t="shared" si="2"/>
        <v>105.4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1322.5300000000002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1126.105</v>
      </c>
      <c r="H14">
        <f t="shared" si="0"/>
        <v>297.35300000000007</v>
      </c>
      <c r="I14">
        <f t="shared" si="1"/>
        <v>0.29005040105269631</v>
      </c>
      <c r="J14">
        <f t="shared" si="2"/>
        <v>105.7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1335.79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1133.325</v>
      </c>
      <c r="H15">
        <f t="shared" si="0"/>
        <v>302.50249999999983</v>
      </c>
      <c r="I15">
        <f t="shared" si="1"/>
        <v>0.29275734004330817</v>
      </c>
      <c r="J15">
        <f t="shared" si="2"/>
        <v>106.8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1342.7800000000002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1141.1975</v>
      </c>
      <c r="H16">
        <f t="shared" si="0"/>
        <v>303.08649999999989</v>
      </c>
      <c r="I16">
        <f t="shared" si="1"/>
        <v>0.2915152398278914</v>
      </c>
      <c r="J16">
        <f t="shared" si="2"/>
        <v>107.3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Lucana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755.74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640.11</v>
      </c>
      <c r="H5">
        <f t="shared" ref="H5:H16" si="0">E5-F5</f>
        <v>172.77249999999981</v>
      </c>
      <c r="I5">
        <f t="shared" ref="I5:I16" si="1">IFERROR(H5/F5,0)</f>
        <v>0.29636729320245081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758.24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645.49</v>
      </c>
      <c r="H6">
        <f t="shared" si="0"/>
        <v>171.35149999999987</v>
      </c>
      <c r="I6">
        <f t="shared" si="1"/>
        <v>0.29196602080292905</v>
      </c>
      <c r="J6">
        <f t="shared" si="2"/>
        <v>100.3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765.97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648.05250000000001</v>
      </c>
      <c r="H7">
        <f t="shared" si="0"/>
        <v>175.48249999999996</v>
      </c>
      <c r="I7">
        <f t="shared" si="1"/>
        <v>0.29718241283685082</v>
      </c>
      <c r="J7">
        <f t="shared" si="2"/>
        <v>101.4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768.73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654.45749999999987</v>
      </c>
      <c r="H8">
        <f t="shared" si="0"/>
        <v>172.77649999999994</v>
      </c>
      <c r="I8">
        <f t="shared" si="1"/>
        <v>0.28991607566697725</v>
      </c>
      <c r="J8">
        <f t="shared" si="2"/>
        <v>101.7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774.2700000000001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656.59749999999974</v>
      </c>
      <c r="H9">
        <f t="shared" si="0"/>
        <v>174.76750000000027</v>
      </c>
      <c r="I9">
        <f t="shared" si="1"/>
        <v>0.29152088606803195</v>
      </c>
      <c r="J9">
        <f t="shared" si="2"/>
        <v>102.5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782.63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662.39249999999993</v>
      </c>
      <c r="H10">
        <f t="shared" si="0"/>
        <v>178.85149999999976</v>
      </c>
      <c r="I10">
        <f t="shared" si="1"/>
        <v>0.29622038545592416</v>
      </c>
      <c r="J10">
        <f t="shared" si="2"/>
        <v>103.6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783.63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666.11</v>
      </c>
      <c r="H11">
        <f t="shared" si="0"/>
        <v>176.1284999999998</v>
      </c>
      <c r="I11">
        <f t="shared" si="1"/>
        <v>0.28992274093150344</v>
      </c>
      <c r="J11">
        <f t="shared" si="2"/>
        <v>103.7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789.25999999999988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670.87499999999989</v>
      </c>
      <c r="H12">
        <f t="shared" si="0"/>
        <v>177.76949999999988</v>
      </c>
      <c r="I12">
        <f t="shared" si="1"/>
        <v>0.29071506425692611</v>
      </c>
      <c r="J12">
        <f t="shared" si="2"/>
        <v>104.4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795.47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675.59250000000009</v>
      </c>
      <c r="H13">
        <f t="shared" si="0"/>
        <v>179.57999999999981</v>
      </c>
      <c r="I13">
        <f t="shared" si="1"/>
        <v>0.29157804153339029</v>
      </c>
      <c r="J13">
        <f t="shared" si="2"/>
        <v>105.3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799.34000000000015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680.47</v>
      </c>
      <c r="H14">
        <f t="shared" si="0"/>
        <v>180.21350000000029</v>
      </c>
      <c r="I14">
        <f t="shared" si="1"/>
        <v>0.29107702545441089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804.86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684.16500000000008</v>
      </c>
      <c r="H15">
        <f t="shared" si="0"/>
        <v>180.89249999999993</v>
      </c>
      <c r="I15">
        <f t="shared" si="1"/>
        <v>0.28990692624215186</v>
      </c>
      <c r="J15">
        <f t="shared" si="2"/>
        <v>106.5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810.42000000000007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689.33249999999998</v>
      </c>
      <c r="H16">
        <f t="shared" si="0"/>
        <v>182.50900000000013</v>
      </c>
      <c r="I16">
        <f t="shared" si="1"/>
        <v>0.29066061910047786</v>
      </c>
      <c r="J16">
        <f t="shared" si="2"/>
        <v>107.2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Lucana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2149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1870.25</v>
      </c>
      <c r="H5">
        <f t="shared" ref="H5:H16" si="0">E5-F5</f>
        <v>450.40000000000009</v>
      </c>
      <c r="I5">
        <f t="shared" ref="I5:I16" si="1">IFERROR(H5/F5,0)</f>
        <v>0.26515954315318502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2154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1847.75</v>
      </c>
      <c r="H6">
        <f t="shared" si="0"/>
        <v>450.34999999999991</v>
      </c>
      <c r="I6">
        <f t="shared" si="1"/>
        <v>0.26434420215419829</v>
      </c>
      <c r="J6">
        <f t="shared" si="2"/>
        <v>100.2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2133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1838.25</v>
      </c>
      <c r="H7">
        <f t="shared" si="0"/>
        <v>435.45000000000005</v>
      </c>
      <c r="I7">
        <f t="shared" si="1"/>
        <v>0.25651674472033226</v>
      </c>
      <c r="J7">
        <f t="shared" si="2"/>
        <v>99.3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2130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1850</v>
      </c>
      <c r="H8">
        <f t="shared" si="0"/>
        <v>418.65000000000009</v>
      </c>
      <c r="I8">
        <f t="shared" si="1"/>
        <v>0.24463143132614609</v>
      </c>
      <c r="J8">
        <f t="shared" si="2"/>
        <v>99.1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2116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1856.25</v>
      </c>
      <c r="H9">
        <f t="shared" si="0"/>
        <v>405.59999999999991</v>
      </c>
      <c r="I9">
        <f t="shared" si="1"/>
        <v>0.23713751169317113</v>
      </c>
      <c r="J9">
        <f t="shared" si="2"/>
        <v>98.5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2218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1887</v>
      </c>
      <c r="H10">
        <f t="shared" si="0"/>
        <v>499.40000000000009</v>
      </c>
      <c r="I10">
        <f t="shared" si="1"/>
        <v>0.29058536017688824</v>
      </c>
      <c r="J10">
        <f t="shared" si="2"/>
        <v>103.2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2176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1860.5</v>
      </c>
      <c r="H11">
        <f t="shared" si="0"/>
        <v>469</v>
      </c>
      <c r="I11">
        <f t="shared" si="1"/>
        <v>0.27475102519039252</v>
      </c>
      <c r="J11">
        <f t="shared" si="2"/>
        <v>101.3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2140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1846.25</v>
      </c>
      <c r="H12">
        <f t="shared" si="0"/>
        <v>445.04999999999995</v>
      </c>
      <c r="I12">
        <f t="shared" si="1"/>
        <v>0.26257411723059676</v>
      </c>
      <c r="J12">
        <f t="shared" si="2"/>
        <v>99.6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2111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1854.25</v>
      </c>
      <c r="H13">
        <f t="shared" si="0"/>
        <v>407.15000000000009</v>
      </c>
      <c r="I13">
        <f t="shared" si="1"/>
        <v>0.23895882853537584</v>
      </c>
      <c r="J13">
        <f t="shared" si="2"/>
        <v>98.2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2159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1859</v>
      </c>
      <c r="H14">
        <f t="shared" si="0"/>
        <v>446.95000000000005</v>
      </c>
      <c r="I14">
        <f t="shared" si="1"/>
        <v>0.26106130077976697</v>
      </c>
      <c r="J14">
        <f t="shared" si="2"/>
        <v>100.5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2147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1841.75</v>
      </c>
      <c r="H15">
        <f t="shared" si="0"/>
        <v>436</v>
      </c>
      <c r="I15">
        <f t="shared" si="1"/>
        <v>0.25482174167153709</v>
      </c>
      <c r="J15">
        <f t="shared" si="2"/>
        <v>99.9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2193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1869.25</v>
      </c>
      <c r="H16">
        <f t="shared" si="0"/>
        <v>482.79999999999995</v>
      </c>
      <c r="I16">
        <f t="shared" si="1"/>
        <v>0.28230616302186873</v>
      </c>
      <c r="J16">
        <f t="shared" si="2"/>
        <v>102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Lucana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495.16000000000008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419.29500000000002</v>
      </c>
      <c r="H5">
        <f t="shared" ref="H5:H16" si="0">E5-F5</f>
        <v>112.88799999999998</v>
      </c>
      <c r="I5">
        <f t="shared" ref="I5:I16" si="1">IFERROR(H5/F5,0)</f>
        <v>0.29530805290473783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498.32999999999993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424.30500000000001</v>
      </c>
      <c r="H6">
        <f t="shared" si="0"/>
        <v>113.23900000000009</v>
      </c>
      <c r="I6">
        <f t="shared" si="1"/>
        <v>0.2940577681638889</v>
      </c>
      <c r="J6">
        <f t="shared" si="2"/>
        <v>100.6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502.69999999999982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426.06999999999994</v>
      </c>
      <c r="H7">
        <f t="shared" si="0"/>
        <v>115.42849999999964</v>
      </c>
      <c r="I7">
        <f t="shared" si="1"/>
        <v>0.29805575674946283</v>
      </c>
      <c r="J7">
        <f t="shared" si="2"/>
        <v>101.5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504.3599999999999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428.73750000000001</v>
      </c>
      <c r="H8">
        <f t="shared" si="0"/>
        <v>114.10299999999972</v>
      </c>
      <c r="I8">
        <f t="shared" si="1"/>
        <v>0.29237912452563225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509.81999999999982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431.15249999999997</v>
      </c>
      <c r="H9">
        <f t="shared" si="0"/>
        <v>117.02999999999963</v>
      </c>
      <c r="I9">
        <f t="shared" si="1"/>
        <v>0.29794546704345726</v>
      </c>
      <c r="J9">
        <f t="shared" si="2"/>
        <v>103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513.19000000000017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434.26499999999993</v>
      </c>
      <c r="H10">
        <f t="shared" si="0"/>
        <v>117.45999999999998</v>
      </c>
      <c r="I10">
        <f t="shared" si="1"/>
        <v>0.29681853789199686</v>
      </c>
      <c r="J10">
        <f t="shared" si="2"/>
        <v>103.6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514.36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436.76499999999999</v>
      </c>
      <c r="H11">
        <f t="shared" si="0"/>
        <v>116.37600000000015</v>
      </c>
      <c r="I11">
        <f t="shared" si="1"/>
        <v>0.29241376537750308</v>
      </c>
      <c r="J11">
        <f t="shared" si="2"/>
        <v>103.9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519.65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440.93500000000006</v>
      </c>
      <c r="H12">
        <f t="shared" si="0"/>
        <v>118.35649999999993</v>
      </c>
      <c r="I12">
        <f t="shared" si="1"/>
        <v>0.29493749587272139</v>
      </c>
      <c r="J12">
        <f t="shared" si="2"/>
        <v>104.9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522.6099999999999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443.73499999999996</v>
      </c>
      <c r="H13">
        <f t="shared" si="0"/>
        <v>118.50149999999996</v>
      </c>
      <c r="I13">
        <f t="shared" si="1"/>
        <v>0.29324179026177372</v>
      </c>
      <c r="J13">
        <f t="shared" si="2"/>
        <v>105.5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523.19000000000005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445.63499999999999</v>
      </c>
      <c r="H14">
        <f t="shared" si="0"/>
        <v>117.13949999999994</v>
      </c>
      <c r="I14">
        <f t="shared" si="1"/>
        <v>0.28848505296754939</v>
      </c>
      <c r="J14">
        <f t="shared" si="2"/>
        <v>105.7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530.92999999999995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449.15999999999997</v>
      </c>
      <c r="H15">
        <f t="shared" si="0"/>
        <v>121.61000000000013</v>
      </c>
      <c r="I15">
        <f t="shared" si="1"/>
        <v>0.29710251148245914</v>
      </c>
      <c r="J15">
        <f t="shared" si="2"/>
        <v>107.2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532.36000000000013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451.8649999999999</v>
      </c>
      <c r="H16">
        <f t="shared" si="0"/>
        <v>120.57749999999999</v>
      </c>
      <c r="I16">
        <f t="shared" si="1"/>
        <v>0.29281841748981546</v>
      </c>
      <c r="J16">
        <f t="shared" si="2"/>
        <v>107.5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2026-10-17T11:54:47Z</dcterms:modified>
</cp:coreProperties>
</file>