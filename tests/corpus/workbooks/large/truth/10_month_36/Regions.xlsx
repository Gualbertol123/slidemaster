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98FD700B-7960-4F2D-97DA-AE4387916679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A22" i="3"/>
  <c r="B21" i="3"/>
  <c r="A17" i="3"/>
  <c r="B14" i="3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40" i="5" a="1"/>
  <c r="C40" i="5" s="1"/>
  <c r="D40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B23" i="5" a="1"/>
  <c r="B23" i="5" s="1"/>
  <c r="B15" i="5" a="1"/>
  <c r="B15" i="5" s="1"/>
  <c r="C7" i="7"/>
  <c r="C3" i="8"/>
  <c r="B38" i="5" a="1"/>
  <c r="B38" i="5" s="1"/>
  <c r="B30" i="5" a="1"/>
  <c r="B30" i="5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B29" i="5" a="1"/>
  <c r="B29" i="5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D8" i="8" l="1" a="1"/>
  <c r="D8" i="8" s="1"/>
  <c r="D7" i="8" a="1"/>
  <c r="D7" i="8" s="1"/>
  <c r="C14" i="3"/>
  <c r="D5" i="8" a="1"/>
  <c r="D5" i="8" s="1"/>
  <c r="D6" i="8" a="1"/>
  <c r="D6" i="8" s="1"/>
  <c r="D14" i="8" a="1"/>
  <c r="D14" i="8" s="1"/>
  <c r="C13" i="3"/>
  <c r="C19" i="3"/>
  <c r="B30" i="3"/>
  <c r="C30" i="3"/>
  <c r="C20" i="3"/>
  <c r="E5" i="8" a="1"/>
  <c r="E5" i="8" s="1"/>
  <c r="B19" i="3"/>
  <c r="E7" i="8" a="1"/>
  <c r="E7" i="8" s="1"/>
  <c r="F7" i="8" s="1"/>
  <c r="E6" i="8" a="1"/>
  <c r="E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E10" i="8" l="1" a="1"/>
  <c r="E10" i="8" s="1"/>
  <c r="F6" i="8"/>
  <c r="F12" i="8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9" i="4" l="1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 l="1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<sst xmlns="http://schemas.openxmlformats.org/spreadsheetml/2006/main" count="76" uniqueCount="41">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</sst>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36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7595.8000000000011</v>
          </cell>
        </row>
        <row r="3">
          <cell r="A3" t="str">
            <v>Banca Adriatica</v>
          </cell>
          <cell r="B3" t="str">
            <v>Nord-Est</v>
          </cell>
          <cell r="C3">
            <v>8954.2000000000007</v>
          </cell>
        </row>
        <row r="4">
          <cell r="A4" t="str">
            <v>Banca Tirrena</v>
          </cell>
          <cell r="B4" t="str">
            <v>Centro</v>
          </cell>
          <cell r="C4">
            <v>10243.300000000001</v>
          </cell>
        </row>
        <row r="5">
          <cell r="A5" t="str">
            <v>Banca Padana</v>
          </cell>
          <cell r="B5" t="str">
            <v>Nord-Ovest</v>
          </cell>
          <cell r="C5">
            <v>11467.099999999999</v>
          </cell>
        </row>
        <row r="6">
          <cell r="A6" t="str">
            <v>Banca Etrusca</v>
          </cell>
          <cell r="B6" t="str">
            <v>Centro</v>
          </cell>
          <cell r="C6">
            <v>12839.400000000001</v>
          </cell>
        </row>
        <row r="7">
          <cell r="A7" t="str">
            <v>Banca Lariana</v>
          </cell>
          <cell r="B7" t="str">
            <v>Nord-Ovest</v>
          </cell>
          <cell r="C7">
            <v>14148.099999999999</v>
          </cell>
        </row>
        <row r="8">
          <cell r="A8" t="str">
            <v>Banca Sabina</v>
          </cell>
          <cell r="B8" t="str">
            <v>Centro</v>
          </cell>
          <cell r="C8">
            <v>15403.7</v>
          </cell>
        </row>
        <row r="9">
          <cell r="A9" t="str">
            <v>Banca Irpina</v>
          </cell>
          <cell r="B9" t="str">
            <v>Sud</v>
          </cell>
          <cell r="C9">
            <v>16713.899999999998</v>
          </cell>
        </row>
        <row r="10">
          <cell r="A10" t="str">
            <v>Banca Sannita</v>
          </cell>
          <cell r="B10" t="str">
            <v>Sud</v>
          </cell>
          <cell r="C10">
            <v>17981.400000000001</v>
          </cell>
        </row>
        <row r="11">
          <cell r="A11" t="str">
            <v>Banca Ligure</v>
          </cell>
          <cell r="B11" t="str">
            <v>Nord-Ovest</v>
          </cell>
          <cell r="C11">
            <v>19412</v>
          </cell>
        </row>
        <row r="12">
          <cell r="A12" t="str">
            <v>Banca Veneta</v>
          </cell>
          <cell r="B12" t="str">
            <v>Nord-Est</v>
          </cell>
          <cell r="C12">
            <v>20672.400000000001</v>
          </cell>
        </row>
        <row r="13">
          <cell r="A13" t="str">
            <v>Banca Friulana</v>
          </cell>
          <cell r="B13" t="str">
            <v>Nord-Est</v>
          </cell>
          <cell r="C13">
            <v>21924.5</v>
          </cell>
        </row>
        <row r="14">
          <cell r="A14" t="str">
            <v>Banca Umbra</v>
          </cell>
          <cell r="B14" t="str">
            <v>Centro</v>
          </cell>
          <cell r="C14">
            <v>23266.5</v>
          </cell>
        </row>
        <row r="15">
          <cell r="A15" t="str">
            <v>Banca Marchigiana</v>
          </cell>
          <cell r="B15" t="str">
            <v>Centro</v>
          </cell>
          <cell r="C15">
            <v>24657.8</v>
          </cell>
        </row>
        <row r="16">
          <cell r="A16" t="str">
            <v>Banca Lucana</v>
          </cell>
          <cell r="B16" t="str">
            <v>Sud</v>
          </cell>
          <cell r="C16">
            <v>25892.2</v>
          </cell>
        </row>
        <row r="17">
          <cell r="A17" t="str">
            <v>Banca Calabra</v>
          </cell>
          <cell r="B17" t="str">
            <v>Sud</v>
          </cell>
          <cell r="C17">
            <v>27252.399999999998</v>
          </cell>
        </row>
        <row r="18">
          <cell r="A18" t="str">
            <v>Banca Sicula</v>
          </cell>
          <cell r="B18" t="str">
            <v>Isole</v>
          </cell>
          <cell r="C18">
            <v>28525.599999999999</v>
          </cell>
        </row>
        <row r="19">
          <cell r="A19" t="str">
            <v>Banca Sarda</v>
          </cell>
          <cell r="B19" t="str">
            <v>Isole</v>
          </cell>
          <cell r="C19">
            <v>29778.7</v>
          </cell>
        </row>
        <row r="20">
          <cell r="A20" t="str">
            <v>Banca Romagnola</v>
          </cell>
          <cell r="B20" t="str">
            <v>Nord-Est</v>
          </cell>
          <cell r="C20">
            <v>31096.1</v>
          </cell>
        </row>
        <row r="21">
          <cell r="A21" t="str">
            <v>Banca Città</v>
          </cell>
          <cell r="B21" t="str">
            <v>Centro</v>
          </cell>
          <cell r="C21">
            <v>32434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52623</v>
          </cell>
          <cell r="E2">
            <v>1124.2599999999998</v>
          </cell>
        </row>
        <row r="3">
          <cell r="A3" t="str">
            <v>Nord-Est</v>
          </cell>
          <cell r="B3">
            <v>4</v>
          </cell>
          <cell r="C3">
            <v>82647.200000000012</v>
          </cell>
          <cell r="E3">
            <v>1765.9200000000003</v>
          </cell>
        </row>
        <row r="4">
          <cell r="A4" t="str">
            <v>Centro</v>
          </cell>
          <cell r="B4">
            <v>6</v>
          </cell>
          <cell r="C4">
            <v>118844.7</v>
          </cell>
          <cell r="E4">
            <v>2533.6900000000005</v>
          </cell>
        </row>
        <row r="5">
          <cell r="A5" t="str">
            <v>Sud</v>
          </cell>
          <cell r="B5">
            <v>4</v>
          </cell>
          <cell r="C5">
            <v>87839.900000000009</v>
          </cell>
          <cell r="E5">
            <v>1871.57</v>
          </cell>
        </row>
        <row r="6">
          <cell r="A6" t="str">
            <v>Isole</v>
          </cell>
          <cell r="B6">
            <v>2</v>
          </cell>
          <cell r="C6">
            <v>58304.299999999996</v>
          </cell>
          <cell r="E6">
            <v>1245.69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7400.4</v>
          </cell>
          <cell r="E2">
            <v>195.40000000000146</v>
          </cell>
          <cell r="G2" t="str">
            <v>G1</v>
          </cell>
        </row>
        <row r="3">
          <cell r="A3" t="str">
            <v>Banca Adriatica</v>
          </cell>
          <cell r="C3">
            <v>8472.5</v>
          </cell>
          <cell r="E3">
            <v>481.70000000000073</v>
          </cell>
          <cell r="G3" t="str">
            <v>G2</v>
          </cell>
        </row>
        <row r="4">
          <cell r="A4" t="str">
            <v>Banca Tirrena</v>
          </cell>
          <cell r="C4">
            <v>9492.2000000000007</v>
          </cell>
          <cell r="E4">
            <v>751.10000000000036</v>
          </cell>
          <cell r="G4" t="str">
            <v>G3</v>
          </cell>
        </row>
        <row r="5">
          <cell r="A5" t="str">
            <v>Banca Padana</v>
          </cell>
          <cell r="C5">
            <v>11045.1</v>
          </cell>
          <cell r="E5">
            <v>421.99999999999818</v>
          </cell>
          <cell r="G5" t="str">
            <v>G4</v>
          </cell>
        </row>
        <row r="6">
          <cell r="A6" t="str">
            <v>Banca Etrusca</v>
          </cell>
          <cell r="C6">
            <v>12156.2</v>
          </cell>
          <cell r="E6">
            <v>683.20000000000073</v>
          </cell>
          <cell r="G6" t="str">
            <v>G1</v>
          </cell>
        </row>
        <row r="7">
          <cell r="A7" t="str">
            <v>Banca Lariana</v>
          </cell>
          <cell r="C7">
            <v>13305.8</v>
          </cell>
          <cell r="E7">
            <v>842.29999999999927</v>
          </cell>
          <cell r="G7" t="str">
            <v>G2</v>
          </cell>
        </row>
        <row r="8">
          <cell r="A8" t="str">
            <v>Banca Sabina</v>
          </cell>
          <cell r="C8">
            <v>14723.6</v>
          </cell>
          <cell r="E8">
            <v>680.10000000000036</v>
          </cell>
          <cell r="G8" t="str">
            <v>G3</v>
          </cell>
        </row>
        <row r="9">
          <cell r="A9" t="str">
            <v>Banca Irpina</v>
          </cell>
          <cell r="C9">
            <v>15843.6</v>
          </cell>
          <cell r="E9">
            <v>870.29999999999745</v>
          </cell>
          <cell r="G9" t="str">
            <v>G4</v>
          </cell>
        </row>
        <row r="10">
          <cell r="A10" t="str">
            <v>Banca Sannita</v>
          </cell>
          <cell r="C10">
            <v>17269.5</v>
          </cell>
          <cell r="E10">
            <v>711.90000000000146</v>
          </cell>
          <cell r="G10" t="str">
            <v>G1</v>
          </cell>
        </row>
        <row r="11">
          <cell r="A11" t="str">
            <v>Banca Ligure</v>
          </cell>
          <cell r="C11">
            <v>18254.8</v>
          </cell>
          <cell r="E11">
            <v>1157.2000000000007</v>
          </cell>
          <cell r="G11" t="str">
            <v>G2</v>
          </cell>
        </row>
        <row r="12">
          <cell r="A12" t="str">
            <v>Banca Veneta</v>
          </cell>
          <cell r="C12">
            <v>19587</v>
          </cell>
          <cell r="E12">
            <v>1085.4000000000015</v>
          </cell>
          <cell r="G12" t="str">
            <v>G3</v>
          </cell>
        </row>
        <row r="13">
          <cell r="A13" t="str">
            <v>Banca Friulana</v>
          </cell>
          <cell r="C13">
            <v>20697.599999999999</v>
          </cell>
          <cell r="E13">
            <v>1226.9000000000015</v>
          </cell>
          <cell r="G13" t="str">
            <v>G4</v>
          </cell>
        </row>
        <row r="14">
          <cell r="A14" t="str">
            <v>Banca Umbra</v>
          </cell>
          <cell r="C14">
            <v>22011.200000000001</v>
          </cell>
          <cell r="E14">
            <v>1255.2999999999993</v>
          </cell>
          <cell r="G14" t="str">
            <v>G1</v>
          </cell>
        </row>
        <row r="15">
          <cell r="A15" t="str">
            <v>Banca Marchigiana</v>
          </cell>
          <cell r="C15">
            <v>23290.5</v>
          </cell>
          <cell r="E15">
            <v>1367.2999999999993</v>
          </cell>
          <cell r="G15" t="str">
            <v>G2</v>
          </cell>
        </row>
        <row r="16">
          <cell r="A16" t="str">
            <v>Banca Lucana</v>
          </cell>
          <cell r="C16">
            <v>24520.3</v>
          </cell>
          <cell r="E16">
            <v>1371.9000000000015</v>
          </cell>
          <cell r="G16" t="str">
            <v>G3</v>
          </cell>
        </row>
        <row r="17">
          <cell r="A17" t="str">
            <v>Banca Calabra</v>
          </cell>
          <cell r="C17">
            <v>25881</v>
          </cell>
          <cell r="E17">
            <v>1371.3999999999978</v>
          </cell>
          <cell r="G17" t="str">
            <v>G4</v>
          </cell>
        </row>
        <row r="18">
          <cell r="A18" t="str">
            <v>Banca Sicula</v>
          </cell>
          <cell r="C18">
            <v>26813.4</v>
          </cell>
          <cell r="E18">
            <v>1712.1999999999971</v>
          </cell>
          <cell r="G18" t="str">
            <v>G1</v>
          </cell>
        </row>
        <row r="19">
          <cell r="A19" t="str">
            <v>Banca Sarda</v>
          </cell>
          <cell r="C19">
            <v>28319.200000000001</v>
          </cell>
          <cell r="E19">
            <v>1459.5</v>
          </cell>
          <cell r="G19" t="str">
            <v>G2</v>
          </cell>
        </row>
        <row r="20">
          <cell r="A20" t="str">
            <v>Banca Romagnola</v>
          </cell>
          <cell r="C20">
            <v>29563.8</v>
          </cell>
          <cell r="E20">
            <v>1532.2999999999993</v>
          </cell>
          <cell r="G20" t="str">
            <v>G3</v>
          </cell>
        </row>
        <row r="21">
          <cell r="A21" t="str">
            <v>Banca Città</v>
          </cell>
          <cell r="C21">
            <v>30797.200000000001</v>
          </cell>
          <cell r="E21">
            <v>1636.7999999999993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1</v>
          </cell>
        </row>
        <row r="4">
          <cell r="B4">
            <v>20814.199999999997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52623</v>
      </c>
      <c r="D2">
        <f>[1]Calc_Region!E2</f>
        <v>1124.2599999999998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82647.200000000012</v>
      </c>
      <c r="D3">
        <f>[1]Calc_Region!E3</f>
        <v>1765.9200000000003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118844.7</v>
      </c>
      <c r="D4">
        <f>[1]Calc_Region!E4</f>
        <v>2533.6900000000005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87839.900000000009</v>
      </c>
      <c r="D5">
        <f>[1]Calc_Region!E5</f>
        <v>1871.57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58304.299999999996</v>
      </c>
      <c r="D6">
        <f>[1]Calc_Region!E6</f>
        <v>1245.69</v>
      </c>
    </row>
    <row r="9" spans="1:4" x14ac:dyDescent="0.25">
      <c r="A9" t="s">
        <v>17</v>
      </c>
      <c r="B9">
        <f>[1]Control!$B$3</f>
        <v>36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7595.8000000000011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8954.2000000000007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10243.300000000001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11467.099999999999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12839.400000000001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14148.099999999999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15403.7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16713.899999999998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17981.400000000001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19412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20672.400000000001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21924.5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23266.5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24657.8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25892.2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27252.399999999998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28525.599999999999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29778.7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31096.1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32434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7400.4</v>
      </c>
      <c r="C2">
        <f>[2]Compare!E2</f>
        <v>195.40000000000146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8472.5</v>
      </c>
      <c r="C3">
        <f>[2]Compare!E3</f>
        <v>481.70000000000073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9492.2000000000007</v>
      </c>
      <c r="C4">
        <f>[2]Compare!E4</f>
        <v>751.10000000000036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11045.1</v>
      </c>
      <c r="C5">
        <f>[2]Compare!E5</f>
        <v>421.99999999999818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12156.2</v>
      </c>
      <c r="C6">
        <f>[2]Compare!E6</f>
        <v>683.20000000000073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13305.8</v>
      </c>
      <c r="C7">
        <f>[2]Compare!E7</f>
        <v>842.29999999999927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14723.6</v>
      </c>
      <c r="C8">
        <f>[2]Compare!E8</f>
        <v>680.10000000000036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15843.6</v>
      </c>
      <c r="C9">
        <f>[2]Compare!E9</f>
        <v>870.29999999999745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17269.5</v>
      </c>
      <c r="C10">
        <f>[2]Compare!E10</f>
        <v>711.90000000000146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18254.8</v>
      </c>
      <c r="C11">
        <f>[2]Compare!E11</f>
        <v>1157.2000000000007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19587</v>
      </c>
      <c r="C12">
        <f>[2]Compare!E12</f>
        <v>1085.4000000000015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20697.599999999999</v>
      </c>
      <c r="C13">
        <f>[2]Compare!E13</f>
        <v>1226.9000000000015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22011.200000000001</v>
      </c>
      <c r="C14">
        <f>[2]Compare!E14</f>
        <v>1255.2999999999993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23290.5</v>
      </c>
      <c r="C15">
        <f>[2]Compare!E15</f>
        <v>1367.2999999999993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24520.3</v>
      </c>
      <c r="C16">
        <f>[2]Compare!E16</f>
        <v>1371.9000000000015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25881</v>
      </c>
      <c r="C17">
        <f>[2]Compare!E17</f>
        <v>1371.3999999999978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26813.4</v>
      </c>
      <c r="C18">
        <f>[2]Compare!E18</f>
        <v>1712.1999999999971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28319.200000000001</v>
      </c>
      <c r="C19">
        <f>[2]Compare!E19</f>
        <v>1459.5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29563.8</v>
      </c>
      <c r="C20">
        <f>[2]Compare!E20</f>
        <v>1532.2999999999993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30797.200000000001</v>
      </c>
      <c r="C21">
        <f>[2]Compare!E21</f>
        <v>1636.7999999999993</v>
      </c>
      <c r="D21" t="str">
        <f>[2]Compare!G21</f>
        <v>G4</v>
      </c>
    </row>
    <row r="24" spans="1:4" x14ac:dyDescent="0.25">
      <c r="A24" t="s">
        <v>22</v>
      </c>
      <c r="B24">
        <f>[2]Summary!B4</f>
        <v>20814.199999999997</v>
      </c>
    </row>
    <row r="25" spans="1:4" x14ac:dyDescent="0.25">
      <c r="A25" t="s">
        <v>23</v>
      </c>
      <c r="B25">
        <f>[2]Summary!$B$3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52623</v>
      </c>
      <c r="C2">
        <f>SUMIFS(FromPeers!$B$2:$B$21,FromModel!$B$12:$B$31,A2)</f>
        <v>50006.1</v>
      </c>
      <c r="D2" cm="1">
        <f t="array" ref="D2">INDEX(RegTargets!$B$2:$AK$6,MATCH(A2,RegTargets!$A$2:$A$6,0),FromModel!$B$9)</f>
        <v>51072</v>
      </c>
      <c r="E2">
        <f t="shared" ref="E2:E6" si="0">B2-D2</f>
        <v>1551</v>
      </c>
      <c r="F2">
        <f t="shared" ref="F2:F6" si="1">B2/SUM($B$2:$B$6)</f>
        <v>0.13147233879254711</v>
      </c>
      <c r="G2">
        <f>SUMIFS(FromPeers!$C$2:$C$21,FromModel!$B$12:$B$31,A2)</f>
        <v>2616.8999999999996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82647.200000000012</v>
      </c>
      <c r="C3">
        <f>SUMIFS(FromPeers!$B$2:$B$21,FromModel!$B$12:$B$31,A3)</f>
        <v>78320.899999999994</v>
      </c>
      <c r="D3" cm="1">
        <f t="array" ref="D3">INDEX(RegTargets!$B$2:$AK$6,MATCH(A3,RegTargets!$A$2:$A$6,0),FromModel!$B$9)</f>
        <v>36480</v>
      </c>
      <c r="E3">
        <f t="shared" si="0"/>
        <v>46167.200000000012</v>
      </c>
      <c r="F3">
        <f t="shared" si="1"/>
        <v>0.20648424982717445</v>
      </c>
      <c r="G3">
        <f>SUMIFS(FromPeers!$C$2:$C$21,FromModel!$B$12:$B$31,A3)</f>
        <v>4326.3000000000029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118844.7</v>
      </c>
      <c r="C4">
        <f>SUMIFS(FromPeers!$B$2:$B$21,FromModel!$B$12:$B$31,A4)</f>
        <v>112470.9</v>
      </c>
      <c r="D4" cm="1">
        <f t="array" ref="D4">INDEX(RegTargets!$B$2:$AK$6,MATCH(A4,RegTargets!$A$2:$A$6,0),FromModel!$B$9)</f>
        <v>57152</v>
      </c>
      <c r="E4">
        <f t="shared" si="0"/>
        <v>61692.7</v>
      </c>
      <c r="F4">
        <f t="shared" si="1"/>
        <v>0.29691942044540648</v>
      </c>
      <c r="G4">
        <f>SUMIFS(FromPeers!$C$2:$C$21,FromModel!$B$12:$B$31,A4)</f>
        <v>6373.7999999999993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87839.900000000009</v>
      </c>
      <c r="C5">
        <f>SUMIFS(FromPeers!$B$2:$B$21,FromModel!$B$12:$B$31,A5)</f>
        <v>83514.399999999994</v>
      </c>
      <c r="D5" cm="1">
        <f t="array" ref="D5">INDEX(RegTargets!$B$2:$AK$6,MATCH(A5,RegTargets!$A$2:$A$6,0),FromModel!$B$9)</f>
        <v>31616</v>
      </c>
      <c r="E5">
        <f t="shared" si="0"/>
        <v>56223.900000000009</v>
      </c>
      <c r="F5">
        <f t="shared" si="1"/>
        <v>0.21945759634196949</v>
      </c>
      <c r="G5">
        <f>SUMIFS(FromPeers!$C$2:$C$21,FromModel!$B$12:$B$31,A5)</f>
        <v>4325.4999999999982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58304.299999999996</v>
      </c>
      <c r="C6">
        <f>SUMIFS(FromPeers!$B$2:$B$21,FromModel!$B$12:$B$31,A6)</f>
        <v>55132.600000000006</v>
      </c>
      <c r="D6" cm="1">
        <f t="array" ref="D6">INDEX(RegTargets!$B$2:$AK$6,MATCH(A6,RegTargets!$A$2:$A$6,0),FromModel!$B$9)</f>
        <v>19456</v>
      </c>
      <c r="E6">
        <f t="shared" si="0"/>
        <v>38848.299999999996</v>
      </c>
      <c r="F6">
        <f t="shared" si="1"/>
        <v>0.14566639459290243</v>
      </c>
      <c r="G6">
        <f>SUMIFS(FromPeers!$C$2:$C$21,FromModel!$B$12:$B$31,A6)</f>
        <v>3171.6999999999971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400259.10000000003</v>
      </c>
    </row>
    <row r="3" spans="1:2" x14ac:dyDescent="0.25">
      <c r="A3" t="s">
        <v>36</v>
      </c>
      <c r="B3">
        <f>_xlfn.XLOOKUP(FromModel!B10,RegCalc!A2:A6,RegCalc!E2:E6,"n/a")</f>
        <v>61692.7</v>
      </c>
    </row>
    <row r="4" spans="1:2" x14ac:dyDescent="0.25">
      <c r="A4" t="s">
        <v>37</v>
      </c>
      <c r="B4">
        <f>FromPeers!B24*1</f>
        <v>20814.199999999997</v>
      </c>
    </row>
    <row r="5" spans="1:2" x14ac:dyDescent="0.25">
      <c r="A5" t="s">
        <v>38</v>
      </c>
      <c r="B5">
        <f>_xlfn.XLOOKUP(FromModel!B10,RegCalc!A2:A6,RegCalc!G2:G6,"n/a")</f>
        <v>6373.7999999999993</v>
      </c>
    </row>
    <row r="6" spans="1:2" x14ac:dyDescent="0.25">
      <c r="A6" t="s">
        <v>23</v>
      </c>
      <c r="B6">
        <f>FromPeers!B25</f>
        <v>1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36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52623</v>
      </c>
      <c r="E5">
        <f>RegCalc!D2</f>
        <v>51072</v>
      </c>
      <c r="F5">
        <f>RegCalc!E2</f>
        <v>1551</v>
      </c>
      <c r="G5">
        <f>RegCalc!F2</f>
        <v>0.13147233879254711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82647.200000000012</v>
      </c>
      <c r="E6">
        <f>RegCalc!D3</f>
        <v>36480</v>
      </c>
      <c r="F6">
        <f>RegCalc!E3</f>
        <v>46167.200000000012</v>
      </c>
      <c r="G6">
        <f>RegCalc!F3</f>
        <v>0.20648424982717445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118844.7</v>
      </c>
      <c r="E7">
        <f>RegCalc!D4</f>
        <v>57152</v>
      </c>
      <c r="F7">
        <f>RegCalc!E4</f>
        <v>61692.7</v>
      </c>
      <c r="G7">
        <f>RegCalc!F4</f>
        <v>0.29691942044540648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87839.900000000009</v>
      </c>
      <c r="E8">
        <f>RegCalc!D5</f>
        <v>31616</v>
      </c>
      <c r="F8">
        <f>RegCalc!E5</f>
        <v>56223.900000000009</v>
      </c>
      <c r="G8">
        <f>RegCalc!F5</f>
        <v>0.21945759634196949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58304.299999999996</v>
      </c>
      <c r="E9">
        <f>RegCalc!D6</f>
        <v>19456</v>
      </c>
      <c r="F9">
        <f>RegCalc!E6</f>
        <v>38848.299999999996</v>
      </c>
      <c r="G9">
        <f>RegCalc!F6</f>
        <v>0.14566639459290243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25</v>
      </c>
      <c r="D5" cm="1">
        <f t="array" ref="D5">INDEX(RegCalc!$B$10:$B$45,C5)</f>
        <v>54050</v>
      </c>
      <c r="E5" cm="1">
        <f t="array" ref="E5">INDEX(RegCalc!$C$10:$C$45,C5)</f>
        <v>373032.39999999997</v>
      </c>
      <c r="F5">
        <f t="shared" ref="F5:F16" si="0">IFERROR(E5/D5,0)</f>
        <v>6.9016170212765955</v>
      </c>
    </row>
    <row r="6" spans="2:7" x14ac:dyDescent="0.25">
      <c r="C6">
        <f>FromModel!$B$9-12+ROW()-4</f>
        <v>26</v>
      </c>
      <c r="D6" cm="1">
        <f t="array" ref="D6">INDEX(RegCalc!$B$10:$B$45,C6)</f>
        <v>54332</v>
      </c>
      <c r="E6" cm="1">
        <f t="array" ref="E6">INDEX(RegCalc!$C$10:$C$45,C6)</f>
        <v>375684.69999999995</v>
      </c>
      <c r="F6">
        <f t="shared" si="0"/>
        <v>6.9146120150187729</v>
      </c>
    </row>
    <row r="7" spans="2:7" x14ac:dyDescent="0.25">
      <c r="C7">
        <f>FromModel!$B$9-12+ROW()-4</f>
        <v>27</v>
      </c>
      <c r="D7" cm="1">
        <f t="array" ref="D7">INDEX(RegCalc!$B$10:$B$45,C7)</f>
        <v>54614</v>
      </c>
      <c r="E7" cm="1">
        <f t="array" ref="E7">INDEX(RegCalc!$C$10:$C$45,C7)</f>
        <v>378262.60000000003</v>
      </c>
      <c r="F7">
        <f t="shared" si="0"/>
        <v>6.926110521111803</v>
      </c>
    </row>
    <row r="8" spans="2:7" x14ac:dyDescent="0.25">
      <c r="C8">
        <f>FromModel!$B$9-12+ROW()-4</f>
        <v>28</v>
      </c>
      <c r="D8" cm="1">
        <f t="array" ref="D8">INDEX(RegCalc!$B$10:$B$45,C8)</f>
        <v>54896</v>
      </c>
      <c r="E8" cm="1">
        <f t="array" ref="E8">INDEX(RegCalc!$C$10:$C$45,C8)</f>
        <v>380278.8</v>
      </c>
      <c r="F8">
        <f t="shared" si="0"/>
        <v>6.9272588166715243</v>
      </c>
    </row>
    <row r="9" spans="2:7" x14ac:dyDescent="0.25">
      <c r="C9">
        <f>FromModel!$B$9-12+ROW()-4</f>
        <v>29</v>
      </c>
      <c r="D9" cm="1">
        <f t="array" ref="D9">INDEX(RegCalc!$B$10:$B$45,C9)</f>
        <v>55178</v>
      </c>
      <c r="E9" cm="1">
        <f t="array" ref="E9">INDEX(RegCalc!$C$10:$C$45,C9)</f>
        <v>383328.10000000003</v>
      </c>
      <c r="F9">
        <f t="shared" si="0"/>
        <v>6.9471184167603033</v>
      </c>
    </row>
    <row r="10" spans="2:7" x14ac:dyDescent="0.25">
      <c r="C10">
        <f>FromModel!$B$9-12+ROW()-4</f>
        <v>30</v>
      </c>
      <c r="D10" cm="1">
        <f t="array" ref="D10">INDEX(RegCalc!$B$10:$B$45,C10)</f>
        <v>55460</v>
      </c>
      <c r="E10" cm="1">
        <f t="array" ref="E10">INDEX(RegCalc!$C$10:$C$45,C10)</f>
        <v>385668.4</v>
      </c>
      <c r="F10">
        <f t="shared" si="0"/>
        <v>6.9539920663541297</v>
      </c>
    </row>
    <row r="11" spans="2:7" x14ac:dyDescent="0.25">
      <c r="C11">
        <f>FromModel!$B$9-12+ROW()-4</f>
        <v>31</v>
      </c>
      <c r="D11" cm="1">
        <f t="array" ref="D11">INDEX(RegCalc!$B$10:$B$45,C11)</f>
        <v>55742</v>
      </c>
      <c r="E11" cm="1">
        <f t="array" ref="E11">INDEX(RegCalc!$C$10:$C$45,C11)</f>
        <v>388472.89999999997</v>
      </c>
      <c r="F11">
        <f t="shared" si="0"/>
        <v>6.9691238204585408</v>
      </c>
    </row>
    <row r="12" spans="2:7" x14ac:dyDescent="0.25">
      <c r="C12">
        <f>FromModel!$B$9-12+ROW()-4</f>
        <v>32</v>
      </c>
      <c r="D12" cm="1">
        <f t="array" ref="D12">INDEX(RegCalc!$B$10:$B$45,C12)</f>
        <v>56024</v>
      </c>
      <c r="E12" cm="1">
        <f t="array" ref="E12">INDEX(RegCalc!$C$10:$C$45,C12)</f>
        <v>390451.7</v>
      </c>
      <c r="F12">
        <f t="shared" si="0"/>
        <v>6.9693649150364134</v>
      </c>
    </row>
    <row r="13" spans="2:7" x14ac:dyDescent="0.25">
      <c r="C13">
        <f>FromModel!$B$9-12+ROW()-4</f>
        <v>33</v>
      </c>
      <c r="D13" cm="1">
        <f t="array" ref="D13">INDEX(RegCalc!$B$10:$B$45,C13)</f>
        <v>56306</v>
      </c>
      <c r="E13" cm="1">
        <f t="array" ref="E13">INDEX(RegCalc!$C$10:$C$45,C13)</f>
        <v>392782</v>
      </c>
      <c r="F13">
        <f t="shared" si="0"/>
        <v>6.9758462686037008</v>
      </c>
    </row>
    <row r="14" spans="2:7" x14ac:dyDescent="0.25">
      <c r="C14">
        <f>FromModel!$B$9-12+ROW()-4</f>
        <v>34</v>
      </c>
      <c r="D14" cm="1">
        <f t="array" ref="D14">INDEX(RegCalc!$B$10:$B$45,C14)</f>
        <v>56588</v>
      </c>
      <c r="E14" cm="1">
        <f t="array" ref="E14">INDEX(RegCalc!$C$10:$C$45,C14)</f>
        <v>395749.09999999992</v>
      </c>
      <c r="F14">
        <f t="shared" si="0"/>
        <v>6.9935162932070387</v>
      </c>
    </row>
    <row r="15" spans="2:7" x14ac:dyDescent="0.25">
      <c r="C15">
        <f>FromModel!$B$9-12+ROW()-4</f>
        <v>35</v>
      </c>
      <c r="D15" cm="1">
        <f t="array" ref="D15">INDEX(RegCalc!$B$10:$B$45,C15)</f>
        <v>56870</v>
      </c>
      <c r="E15" cm="1">
        <f t="array" ref="E15">INDEX(RegCalc!$C$10:$C$45,C15)</f>
        <v>398633.39999999997</v>
      </c>
      <c r="F15">
        <f t="shared" si="0"/>
        <v>7.0095551257253375</v>
      </c>
    </row>
    <row r="16" spans="2:7" x14ac:dyDescent="0.25">
      <c r="C16">
        <f>FromModel!$B$9-12+ROW()-4</f>
        <v>36</v>
      </c>
      <c r="D16" cm="1">
        <f t="array" ref="D16">INDEX(RegCalc!$B$10:$B$45,C16)</f>
        <v>57152</v>
      </c>
      <c r="E16" cm="1">
        <f t="array" ref="E16">INDEX(RegCalc!$C$10:$C$45,C16)</f>
        <v>400259.1</v>
      </c>
      <c r="F16">
        <f t="shared" si="0"/>
        <v>7.0034137038073903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50006.1</v>
      </c>
      <c r="E5">
        <f>RegCalc!G2</f>
        <v>2616.8999999999996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78320.899999999994</v>
      </c>
      <c r="E6">
        <f>RegCalc!G3</f>
        <v>4326.3000000000029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112470.9</v>
      </c>
      <c r="E7">
        <f>RegCalc!G4</f>
        <v>6373.7999999999993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83514.399999999994</v>
      </c>
      <c r="E8">
        <f>RegCalc!G5</f>
        <v>4325.4999999999982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55132.600000000006</v>
      </c>
      <c r="E9">
        <f>RegCalc!G6</f>
        <v>3171.6999999999971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2026-10-17T11:54:48Z</dcterms:modified>
</cp:coreProperties>
</file>