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large\"/>
    </mc:Choice>
  </mc:AlternateContent>
  <xr:revisionPtr revIDLastSave="0" documentId="8_{B7E25655-DBF4-474E-A887-E11C6225F673}" xr6:coauthVersionLast="47" xr6:coauthVersionMax="47" xr10:uidLastSave="{00000000-0000-0000-0000-000000000000}"/>
  <bookViews>
    <workbookView xWindow="2660" yWindow="2660" windowWidth="14400" windowHeight="8170" firstSheet="41" activeTab="46" xr2:uid="{DCB61A47-04CD-4EAD-B41A-EB4684EF9EEB}"/>
  </bookViews>
  <sheets>
    <sheet name="Control" sheetId="1" r:id="rId1"/>
    <sheet name="Data" sheetId="2" r:id="rId2"/>
    <sheet name="Banks" sheetId="3" r:id="rId3"/>
    <sheet name="FX" sheetId="4" r:id="rId4"/>
    <sheet name="Budget" sheetId="5" r:id="rId5"/>
    <sheet name="Products" sheetId="6" r:id="rId6"/>
    <sheet name="Aree" sheetId="7" r:id="rId7"/>
    <sheet name="Calc_Month" sheetId="8" r:id="rId8"/>
    <sheet name="Calc_Bank" sheetId="9" r:id="rId9"/>
    <sheet name="Calc_Product" sheetId="10" r:id="rId10"/>
    <sheet name="Calc_Region" sheetId="11" r:id="rId11"/>
    <sheet name="Calc_BankMonth" sheetId="12" r:id="rId12"/>
    <sheet name="Calc_Growth" sheetId="13" r:id="rId13"/>
    <sheet name="Calc_Scenario" sheetId="14" r:id="rId14"/>
    <sheet name="Calc_Stats" sheetId="15" r:id="rId15"/>
    <sheet name="Calc_Text" sheetId="16" r:id="rId16"/>
    <sheet name="Calc_Dates" sheetId="17" r:id="rId17"/>
    <sheet name="Calc_Dynamic" sheetId="18" r:id="rId18"/>
    <sheet name="Calc_Names" sheetId="19" r:id="rId19"/>
    <sheet name="Calc_Indirect" sheetId="20" r:id="rId20"/>
    <sheet name="Calc_Links" sheetId="21" r:id="rId21"/>
    <sheet name="Calc_Deep" sheetId="22" r:id="rId22"/>
    <sheet name="Calc_Summary" sheetId="23" r:id="rId23"/>
    <sheet name="SLIDE Sintesi" sheetId="24" r:id="rId24"/>
    <sheet name="SLIDE Ranking" sheetId="25" r:id="rId25"/>
    <sheet name="SLIDE Regioni" sheetId="26" r:id="rId26"/>
    <sheet name="SLIDE Prodotti" sheetId="27" r:id="rId27"/>
    <sheet name="SLIDE Budget" sheetId="28" r:id="rId28"/>
    <sheet name="SLIDE FX" sheetId="29" r:id="rId29"/>
    <sheet name="SLIDE Scenario" sheetId="30" r:id="rId30"/>
    <sheet name="SLIDE Heatmap" sheetId="31" r:id="rId31"/>
    <sheet name="SLIDE Peers" sheetId="32" r:id="rId32"/>
    <sheet name="SLIDE Aree" sheetId="33" r:id="rId33"/>
    <sheet name="SLIDE Testi" sheetId="34" r:id="rId34"/>
    <sheet name="SLIDE Date" sheetId="35" r:id="rId35"/>
    <sheet name="SLIDE Dinamica" sheetId="36" r:id="rId36"/>
    <sheet name="SLIDE Trimestri" sheetId="37" r:id="rId37"/>
    <sheet name="SLIDE Segmenti" sheetId="38" r:id="rId38"/>
    <sheet name="SLIDE Profondita" sheetId="39" r:id="rId39"/>
    <sheet name="SLIDE Nomi" sheetId="40" r:id="rId40"/>
    <sheet name="SLIDE Indiretti" sheetId="41" r:id="rId41"/>
    <sheet name="SLIDE Controlli" sheetId="42" r:id="rId42"/>
    <sheet name="SLIDE Trend Volumi" sheetId="43" r:id="rId43"/>
    <sheet name="SLIDE Trend Ricavi" sheetId="44" r:id="rId44"/>
    <sheet name="SLIDE Trend Costi" sheetId="45" r:id="rId45"/>
    <sheet name="SLIDE Trend Clienti" sheetId="46" r:id="rId46"/>
    <sheet name="SLIDE Trend Margine" sheetId="47" r:id="rId47"/>
  </sheets>
  <externalReferences>
    <externalReference r:id="rId48"/>
    <externalReference r:id="rId49"/>
  </externalReferences>
  <definedNames>
    <definedName name="BankList">Banks!$A$2:$A$21</definedName>
    <definedName name="BankRegion">Banks!$C$2:$C$21</definedName>
    <definedName name="D_Bank">Data!$A$2:$A$5761</definedName>
    <definedName name="D_Month">Data!$B$2:$B$5761</definedName>
    <definedName name="D_Vol">Data!$E$2:$E$5761</definedName>
    <definedName name="Rate">Control!$B$4</definedName>
    <definedName name="SelBank">Control!$B$2</definedName>
    <definedName name="SelMonth">Control!$B$3</definedName>
    <definedName name="SelRegion">Control!$B$5</definedName>
    <definedName name="TaxRate">0.24</definedName>
    <definedName name="VolSel">SUMIFS(D_Vol,D_Bank,SelBank,D_Month,SelMonth)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47" l="1"/>
  <c r="C6" i="47"/>
  <c r="C7" i="47"/>
  <c r="C8" i="47"/>
  <c r="C9" i="47"/>
  <c r="C10" i="47"/>
  <c r="C11" i="47"/>
  <c r="C12" i="47"/>
  <c r="C13" i="47"/>
  <c r="C14" i="47"/>
  <c r="C15" i="47"/>
  <c r="C16" i="47"/>
  <c r="C3" i="47"/>
  <c r="C5" i="46"/>
  <c r="F5" i="46" s="1"/>
  <c r="C6" i="46"/>
  <c r="F6" i="46" s="1"/>
  <c r="C7" i="46"/>
  <c r="C8" i="46"/>
  <c r="C9" i="46"/>
  <c r="C10" i="46"/>
  <c r="C11" i="46"/>
  <c r="F11" i="46" s="1"/>
  <c r="C12" i="46"/>
  <c r="C13" i="46"/>
  <c r="C14" i="46"/>
  <c r="C15" i="46"/>
  <c r="F15" i="46" s="1"/>
  <c r="C16" i="46"/>
  <c r="F16" i="46" s="1"/>
  <c r="C3" i="46"/>
  <c r="C5" i="45"/>
  <c r="C6" i="45"/>
  <c r="F6" i="45" s="1"/>
  <c r="C7" i="45"/>
  <c r="C8" i="45"/>
  <c r="F8" i="45" s="1"/>
  <c r="C9" i="45"/>
  <c r="C10" i="45"/>
  <c r="F10" i="45" s="1"/>
  <c r="C11" i="45"/>
  <c r="F11" i="45" s="1"/>
  <c r="C12" i="45"/>
  <c r="C13" i="45"/>
  <c r="F13" i="45" s="1"/>
  <c r="C14" i="45"/>
  <c r="F14" i="45" s="1"/>
  <c r="C15" i="45"/>
  <c r="F15" i="45" s="1"/>
  <c r="C16" i="45"/>
  <c r="C3" i="45"/>
  <c r="C5" i="44"/>
  <c r="C6" i="44"/>
  <c r="F6" i="44" s="1"/>
  <c r="C7" i="44"/>
  <c r="C8" i="44"/>
  <c r="C9" i="44"/>
  <c r="C10" i="44"/>
  <c r="C11" i="44"/>
  <c r="F11" i="44" s="1"/>
  <c r="C12" i="44"/>
  <c r="F12" i="44" s="1"/>
  <c r="C13" i="44"/>
  <c r="F13" i="44" s="1"/>
  <c r="C14" i="44"/>
  <c r="F14" i="44" s="1"/>
  <c r="C15" i="44"/>
  <c r="F15" i="44" s="1"/>
  <c r="C16" i="44"/>
  <c r="F16" i="44" s="1"/>
  <c r="C3" i="44"/>
  <c r="C5" i="43"/>
  <c r="C6" i="43"/>
  <c r="C7" i="43"/>
  <c r="F7" i="43" s="1"/>
  <c r="C8" i="43"/>
  <c r="F8" i="43" s="1"/>
  <c r="C9" i="43"/>
  <c r="F9" i="43" s="1"/>
  <c r="C10" i="43"/>
  <c r="F10" i="43" s="1"/>
  <c r="C11" i="43"/>
  <c r="F11" i="43" s="1"/>
  <c r="C12" i="43"/>
  <c r="F12" i="43" s="1"/>
  <c r="C13" i="43"/>
  <c r="C14" i="43"/>
  <c r="C15" i="43"/>
  <c r="F15" i="43" s="1"/>
  <c r="C16" i="43"/>
  <c r="F16" i="43" s="1"/>
  <c r="C3" i="43"/>
  <c r="C3" i="42"/>
  <c r="C3" i="41"/>
  <c r="C3" i="40"/>
  <c r="C3" i="39"/>
  <c r="C3" i="38"/>
  <c r="C3" i="37"/>
  <c r="C11" i="36" a="1"/>
  <c r="C11" i="36" s="1"/>
  <c r="C12" i="36" a="1"/>
  <c r="C12" i="36" s="1"/>
  <c r="D12" i="36" s="1"/>
  <c r="C3" i="36"/>
  <c r="C5" i="35"/>
  <c r="C6" i="35"/>
  <c r="C7" i="35"/>
  <c r="C8" i="35"/>
  <c r="C9" i="35"/>
  <c r="C10" i="35"/>
  <c r="C11" i="35"/>
  <c r="C12" i="35"/>
  <c r="C13" i="35"/>
  <c r="C14" i="35"/>
  <c r="C15" i="35"/>
  <c r="C16" i="35"/>
  <c r="C3" i="34"/>
  <c r="C3" i="33"/>
  <c r="C3" i="32"/>
  <c r="C5" i="31"/>
  <c r="C6" i="31"/>
  <c r="C7" i="3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3" i="31"/>
  <c r="C5" i="30"/>
  <c r="C6" i="30"/>
  <c r="C7" i="30"/>
  <c r="C8" i="30"/>
  <c r="C9" i="30"/>
  <c r="C10" i="30"/>
  <c r="C11" i="30"/>
  <c r="C12" i="30"/>
  <c r="C13" i="30"/>
  <c r="C14" i="30"/>
  <c r="C15" i="30"/>
  <c r="C16" i="30"/>
  <c r="C17" i="30"/>
  <c r="C18" i="30"/>
  <c r="C19" i="30"/>
  <c r="C20" i="30"/>
  <c r="C21" i="30"/>
  <c r="C22" i="30"/>
  <c r="C23" i="30"/>
  <c r="C24" i="30"/>
  <c r="C3" i="30"/>
  <c r="C5" i="29"/>
  <c r="C6" i="29"/>
  <c r="C7" i="29"/>
  <c r="C8" i="29"/>
  <c r="C9" i="29"/>
  <c r="C10" i="29"/>
  <c r="C3" i="29"/>
  <c r="C5" i="28"/>
  <c r="H5" i="28" s="1" a="1"/>
  <c r="H5" i="28" s="1"/>
  <c r="C6" i="28"/>
  <c r="C7" i="28"/>
  <c r="H7" i="28" s="1" a="1"/>
  <c r="H7" i="28" s="1"/>
  <c r="C8" i="28"/>
  <c r="H8" i="28" s="1" a="1"/>
  <c r="H8" i="28" s="1"/>
  <c r="C9" i="28"/>
  <c r="C10" i="28"/>
  <c r="C3" i="28"/>
  <c r="C3" i="27"/>
  <c r="C3" i="26"/>
  <c r="C5" i="25"/>
  <c r="C6" i="25"/>
  <c r="C7" i="25"/>
  <c r="C8" i="25"/>
  <c r="C9" i="25"/>
  <c r="C10" i="25"/>
  <c r="C11" i="25"/>
  <c r="C12" i="25"/>
  <c r="C13" i="25"/>
  <c r="C14" i="25"/>
  <c r="A12" i="20"/>
  <c r="C5" i="41" s="1"/>
  <c r="A13" i="20"/>
  <c r="C6" i="41" s="1"/>
  <c r="A14" i="20"/>
  <c r="C7" i="41" s="1"/>
  <c r="A15" i="20"/>
  <c r="C8" i="41" s="1"/>
  <c r="A16" i="20"/>
  <c r="C9" i="41" s="1"/>
  <c r="A17" i="20"/>
  <c r="C10" i="41" s="1"/>
  <c r="A18" i="20"/>
  <c r="C11" i="41" s="1"/>
  <c r="A19" i="20"/>
  <c r="C12" i="41" s="1"/>
  <c r="A20" i="20"/>
  <c r="C13" i="41" s="1"/>
  <c r="A21" i="20"/>
  <c r="C14" i="41" s="1"/>
  <c r="A22" i="20"/>
  <c r="C15" i="41" s="1"/>
  <c r="A23" i="20"/>
  <c r="C16" i="41" s="1"/>
  <c r="A24" i="20"/>
  <c r="C17" i="41" s="1"/>
  <c r="A25" i="20"/>
  <c r="C18" i="41" s="1"/>
  <c r="A26" i="20"/>
  <c r="C19" i="41" s="1"/>
  <c r="A27" i="20"/>
  <c r="C20" i="41" s="1"/>
  <c r="A28" i="20"/>
  <c r="C21" i="41" s="1"/>
  <c r="A29" i="20"/>
  <c r="C22" i="41" s="1"/>
  <c r="A30" i="20"/>
  <c r="C23" i="41" s="1"/>
  <c r="A31" i="20"/>
  <c r="C24" i="41" s="1"/>
  <c r="B8" i="20"/>
  <c r="A11" i="19" a="1"/>
  <c r="A11" i="19" s="1"/>
  <c r="C5" i="40" s="1"/>
  <c r="A12" i="19" a="1"/>
  <c r="A12" i="19" s="1"/>
  <c r="A13" i="19" a="1"/>
  <c r="A13" i="19" s="1"/>
  <c r="C7" i="40" s="1"/>
  <c r="A14" i="19" a="1"/>
  <c r="A14" i="19" s="1"/>
  <c r="C8" i="40" s="1"/>
  <c r="A15" i="19" a="1"/>
  <c r="A15" i="19" s="1"/>
  <c r="A16" i="19" a="1"/>
  <c r="A16" i="19" s="1"/>
  <c r="A17" i="19" a="1"/>
  <c r="A17" i="19" s="1"/>
  <c r="A18" i="19" a="1"/>
  <c r="A18" i="19" s="1"/>
  <c r="A19" i="19" a="1"/>
  <c r="A19" i="19" s="1"/>
  <c r="A20" i="19" a="1"/>
  <c r="A20" i="19" s="1"/>
  <c r="C14" i="40" s="1"/>
  <c r="A21" i="19" a="1"/>
  <c r="A21" i="19" s="1"/>
  <c r="A22" i="19" a="1"/>
  <c r="A22" i="19" s="1"/>
  <c r="A23" i="19" a="1"/>
  <c r="A23" i="19" s="1"/>
  <c r="C17" i="40" s="1"/>
  <c r="A24" i="19" a="1"/>
  <c r="A24" i="19" s="1"/>
  <c r="A25" i="19" a="1"/>
  <c r="A25" i="19" s="1"/>
  <c r="A26" i="19" a="1"/>
  <c r="A26" i="19" s="1"/>
  <c r="A27" i="19" a="1"/>
  <c r="A27" i="19" s="1"/>
  <c r="C21" i="40" s="1"/>
  <c r="A28" i="19" a="1"/>
  <c r="A28" i="19" s="1"/>
  <c r="A29" i="19" a="1"/>
  <c r="A29" i="19" s="1"/>
  <c r="A30" i="19" a="1"/>
  <c r="A30" i="19" s="1"/>
  <c r="C24" i="40" s="1"/>
  <c r="B9" i="19" a="1"/>
  <c r="B9" i="19" s="1"/>
  <c r="B8" i="19"/>
  <c r="B5" i="19"/>
  <c r="B4" i="19"/>
  <c r="B2" i="19"/>
  <c r="D9" i="42" s="1"/>
  <c r="Q10" i="18" a="1"/>
  <c r="Q10" i="18" s="1"/>
  <c r="Q8" i="18"/>
  <c r="Q7" i="18"/>
  <c r="Q6" i="18"/>
  <c r="Q5" i="18"/>
  <c r="Q4" i="18"/>
  <c r="Q2" i="18"/>
  <c r="J2" i="18" a="1"/>
  <c r="J2" i="18" s="1"/>
  <c r="I2" i="18" a="1"/>
  <c r="I2" i="18" s="1"/>
  <c r="G2" i="18" a="1"/>
  <c r="G2" i="18" s="1"/>
  <c r="A2" i="18" a="1"/>
  <c r="A2" i="18" s="1"/>
  <c r="C5" i="36" s="1" a="1"/>
  <c r="C5" i="36" s="1"/>
  <c r="A2" i="17"/>
  <c r="B2" i="17" s="1"/>
  <c r="C2" i="17" s="1"/>
  <c r="A3" i="17"/>
  <c r="A4" i="17"/>
  <c r="A5" i="17"/>
  <c r="A6" i="17"/>
  <c r="B6" i="17" s="1"/>
  <c r="D6" i="17" s="1"/>
  <c r="A7" i="17"/>
  <c r="B7" i="17" s="1"/>
  <c r="D7" i="17" s="1"/>
  <c r="A8" i="17"/>
  <c r="B8" i="17" s="1"/>
  <c r="A9" i="17"/>
  <c r="B9" i="17" s="1"/>
  <c r="A10" i="17"/>
  <c r="A11" i="17"/>
  <c r="B11" i="17" s="1"/>
  <c r="A12" i="17"/>
  <c r="A13" i="17"/>
  <c r="B13" i="17" s="1"/>
  <c r="C13" i="17" s="1"/>
  <c r="M13" i="17" s="1"/>
  <c r="A14" i="17"/>
  <c r="B14" i="17" s="1"/>
  <c r="A15" i="17"/>
  <c r="B15" i="17" s="1"/>
  <c r="A16" i="17"/>
  <c r="B16" i="17" s="1"/>
  <c r="D16" i="17" s="1"/>
  <c r="A17" i="17"/>
  <c r="B17" i="17" s="1"/>
  <c r="A18" i="17"/>
  <c r="B18" i="17" s="1"/>
  <c r="C18" i="17" s="1"/>
  <c r="A19" i="17"/>
  <c r="A20" i="17"/>
  <c r="A21" i="17"/>
  <c r="B21" i="17" s="1"/>
  <c r="A22" i="17"/>
  <c r="B22" i="17" s="1"/>
  <c r="A23" i="17"/>
  <c r="B23" i="17" s="1"/>
  <c r="A24" i="17"/>
  <c r="B24" i="17" s="1"/>
  <c r="A25" i="17"/>
  <c r="A26" i="17"/>
  <c r="A27" i="17"/>
  <c r="B27" i="17" s="1"/>
  <c r="A28" i="17"/>
  <c r="A29" i="17"/>
  <c r="B29" i="17" s="1"/>
  <c r="D29" i="17" s="1"/>
  <c r="A30" i="17"/>
  <c r="A31" i="17"/>
  <c r="B31" i="17" s="1"/>
  <c r="A32" i="17"/>
  <c r="B32" i="17" s="1"/>
  <c r="D32" i="17" s="1"/>
  <c r="A33" i="17"/>
  <c r="B33" i="17" s="1"/>
  <c r="C33" i="17" s="1"/>
  <c r="J33" i="17" s="1"/>
  <c r="A34" i="17"/>
  <c r="B34" i="17" s="1"/>
  <c r="A35" i="17"/>
  <c r="A36" i="17"/>
  <c r="A37" i="17"/>
  <c r="M2" i="16"/>
  <c r="M3" i="16"/>
  <c r="M4" i="16"/>
  <c r="M5" i="16"/>
  <c r="M6" i="16"/>
  <c r="M7" i="16"/>
  <c r="M8" i="16"/>
  <c r="M9" i="16"/>
  <c r="M10" i="16"/>
  <c r="M11" i="16"/>
  <c r="M12" i="16"/>
  <c r="M13" i="16"/>
  <c r="M14" i="16"/>
  <c r="M15" i="16"/>
  <c r="M16" i="16"/>
  <c r="M17" i="16"/>
  <c r="M18" i="16"/>
  <c r="M19" i="16"/>
  <c r="M20" i="16"/>
  <c r="M21" i="16"/>
  <c r="F2" i="16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E2" i="16"/>
  <c r="N2" i="16" s="1"/>
  <c r="E3" i="16"/>
  <c r="N3" i="16" s="1"/>
  <c r="E4" i="16"/>
  <c r="N4" i="16" s="1"/>
  <c r="E5" i="16"/>
  <c r="N5" i="16" s="1"/>
  <c r="E6" i="16"/>
  <c r="N6" i="16" s="1"/>
  <c r="E7" i="16"/>
  <c r="N7" i="16" s="1"/>
  <c r="E8" i="16"/>
  <c r="N8" i="16" s="1"/>
  <c r="E9" i="16"/>
  <c r="N9" i="16" s="1"/>
  <c r="E10" i="16"/>
  <c r="N10" i="16" s="1"/>
  <c r="E11" i="16"/>
  <c r="N11" i="16" s="1"/>
  <c r="E12" i="16"/>
  <c r="N12" i="16" s="1"/>
  <c r="E13" i="16"/>
  <c r="N13" i="16" s="1"/>
  <c r="E14" i="16"/>
  <c r="N14" i="16" s="1"/>
  <c r="E15" i="16"/>
  <c r="N15" i="16" s="1"/>
  <c r="E16" i="16"/>
  <c r="N16" i="16" s="1"/>
  <c r="E17" i="16"/>
  <c r="N17" i="16" s="1"/>
  <c r="E18" i="16"/>
  <c r="N18" i="16" s="1"/>
  <c r="E19" i="16"/>
  <c r="N19" i="16" s="1"/>
  <c r="E20" i="16"/>
  <c r="N20" i="16" s="1"/>
  <c r="E21" i="16"/>
  <c r="N21" i="16" s="1"/>
  <c r="A2" i="16"/>
  <c r="A3" i="16"/>
  <c r="A4" i="16"/>
  <c r="C4" i="16" s="1"/>
  <c r="H4" i="16" s="1"/>
  <c r="E7" i="34" s="1"/>
  <c r="A5" i="16"/>
  <c r="I5" i="16" s="1"/>
  <c r="A6" i="16"/>
  <c r="I6" i="16" s="1"/>
  <c r="A7" i="16"/>
  <c r="I7" i="16" s="1"/>
  <c r="A8" i="16"/>
  <c r="C11" i="34" s="1"/>
  <c r="A9" i="16"/>
  <c r="I9" i="16" s="1"/>
  <c r="A10" i="16"/>
  <c r="I10" i="16" s="1"/>
  <c r="A11" i="16"/>
  <c r="D11" i="16" s="1"/>
  <c r="A12" i="16"/>
  <c r="D12" i="16" s="1"/>
  <c r="A13" i="16"/>
  <c r="D13" i="16" s="1"/>
  <c r="A14" i="16"/>
  <c r="A15" i="16"/>
  <c r="D15" i="16" s="1"/>
  <c r="A16" i="16"/>
  <c r="A17" i="16"/>
  <c r="C20" i="34" s="1"/>
  <c r="A18" i="16"/>
  <c r="G18" i="16" s="1"/>
  <c r="A19" i="16"/>
  <c r="A20" i="16"/>
  <c r="C20" i="16" s="1"/>
  <c r="H20" i="16" s="1"/>
  <c r="E23" i="34" s="1"/>
  <c r="A21" i="16"/>
  <c r="C21" i="16" s="1"/>
  <c r="H21" i="16" s="1"/>
  <c r="E24" i="34" s="1"/>
  <c r="B2" i="14"/>
  <c r="C2" i="14"/>
  <c r="D2" i="14"/>
  <c r="E2" i="14"/>
  <c r="F2" i="14"/>
  <c r="G2" i="14"/>
  <c r="H2" i="14"/>
  <c r="I2" i="14"/>
  <c r="J2" i="14"/>
  <c r="K2" i="14"/>
  <c r="L2" i="14"/>
  <c r="M2" i="14"/>
  <c r="N2" i="14"/>
  <c r="O2" i="14"/>
  <c r="P2" i="14"/>
  <c r="Q2" i="14"/>
  <c r="R2" i="14"/>
  <c r="S2" i="14"/>
  <c r="T2" i="14"/>
  <c r="U2" i="14"/>
  <c r="V2" i="14"/>
  <c r="W2" i="14"/>
  <c r="X2" i="14"/>
  <c r="Y2" i="14"/>
  <c r="Z2" i="14"/>
  <c r="AA2" i="14"/>
  <c r="AB2" i="14"/>
  <c r="AC2" i="14"/>
  <c r="AD2" i="14"/>
  <c r="AE2" i="14"/>
  <c r="AF2" i="14"/>
  <c r="AG2" i="14"/>
  <c r="AH2" i="14"/>
  <c r="AI2" i="14"/>
  <c r="AJ2" i="14"/>
  <c r="AK2" i="14"/>
  <c r="B26" i="12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AJ26" i="12"/>
  <c r="AK26" i="12"/>
  <c r="B27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D27" i="12"/>
  <c r="AE27" i="12"/>
  <c r="AF27" i="12"/>
  <c r="AG27" i="12"/>
  <c r="AH27" i="12"/>
  <c r="AI27" i="12"/>
  <c r="AJ27" i="12"/>
  <c r="AK27" i="12"/>
  <c r="B28" i="12"/>
  <c r="C28" i="12"/>
  <c r="D28" i="12"/>
  <c r="E28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AJ28" i="12"/>
  <c r="AK28" i="12"/>
  <c r="B29" i="12"/>
  <c r="C29" i="12"/>
  <c r="D29" i="12"/>
  <c r="E29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AJ29" i="12"/>
  <c r="AK29" i="12"/>
  <c r="B30" i="12"/>
  <c r="C30" i="12"/>
  <c r="D30" i="12"/>
  <c r="E30" i="12"/>
  <c r="F30" i="12"/>
  <c r="G30" i="12"/>
  <c r="H30" i="12"/>
  <c r="I30" i="12"/>
  <c r="J30" i="12"/>
  <c r="K30" i="12"/>
  <c r="L30" i="12"/>
  <c r="M30" i="12"/>
  <c r="N30" i="12"/>
  <c r="O30" i="12"/>
  <c r="P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AJ30" i="12"/>
  <c r="AK30" i="12"/>
  <c r="B31" i="12"/>
  <c r="C31" i="12"/>
  <c r="D31" i="12"/>
  <c r="E31" i="12"/>
  <c r="F31" i="12"/>
  <c r="G31" i="12"/>
  <c r="H31" i="12"/>
  <c r="I31" i="12"/>
  <c r="J31" i="12"/>
  <c r="K31" i="12"/>
  <c r="L31" i="12"/>
  <c r="M31" i="12"/>
  <c r="N31" i="12"/>
  <c r="O31" i="12"/>
  <c r="P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AJ31" i="12"/>
  <c r="AK31" i="12"/>
  <c r="B32" i="12"/>
  <c r="C32" i="12"/>
  <c r="D32" i="12"/>
  <c r="E32" i="12"/>
  <c r="F32" i="12"/>
  <c r="G32" i="12"/>
  <c r="H32" i="12"/>
  <c r="I32" i="12"/>
  <c r="J32" i="12"/>
  <c r="K32" i="12"/>
  <c r="L32" i="12"/>
  <c r="M32" i="12"/>
  <c r="N32" i="12"/>
  <c r="O32" i="12"/>
  <c r="P32" i="12"/>
  <c r="Q32" i="12"/>
  <c r="R32" i="12"/>
  <c r="S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AJ32" i="12"/>
  <c r="AK32" i="12"/>
  <c r="B33" i="12"/>
  <c r="C33" i="12"/>
  <c r="D33" i="12"/>
  <c r="E33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AJ33" i="12"/>
  <c r="AK33" i="12"/>
  <c r="B34" i="12"/>
  <c r="C34" i="12"/>
  <c r="D34" i="12"/>
  <c r="E34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AJ34" i="12"/>
  <c r="AK34" i="12"/>
  <c r="B35" i="12"/>
  <c r="C35" i="12"/>
  <c r="D35" i="12"/>
  <c r="E35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D35" i="12"/>
  <c r="AE35" i="12"/>
  <c r="AF35" i="12"/>
  <c r="AG35" i="12"/>
  <c r="AH35" i="12"/>
  <c r="AI35" i="12"/>
  <c r="AJ35" i="12"/>
  <c r="AK35" i="12"/>
  <c r="B36" i="12"/>
  <c r="C36" i="12"/>
  <c r="D36" i="12"/>
  <c r="E36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AJ36" i="12"/>
  <c r="AK36" i="12"/>
  <c r="B37" i="12"/>
  <c r="C37" i="12"/>
  <c r="D37" i="12"/>
  <c r="E37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AJ37" i="12"/>
  <c r="AK37" i="12"/>
  <c r="B38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AJ38" i="12"/>
  <c r="AK38" i="12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AJ39" i="12"/>
  <c r="AK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AJ40" i="12"/>
  <c r="AK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AJ41" i="12"/>
  <c r="AK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J42" i="12"/>
  <c r="AK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AD43" i="12"/>
  <c r="AE43" i="12"/>
  <c r="AF43" i="12"/>
  <c r="AG43" i="12"/>
  <c r="AH43" i="12"/>
  <c r="AI43" i="12"/>
  <c r="AJ43" i="12"/>
  <c r="AK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AJ44" i="12"/>
  <c r="AK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AJ45" i="12"/>
  <c r="AK45" i="12"/>
  <c r="B3" i="12"/>
  <c r="C3" i="12"/>
  <c r="D3" i="12"/>
  <c r="E3" i="12"/>
  <c r="F3" i="12"/>
  <c r="F49" i="12" s="1"/>
  <c r="G3" i="12"/>
  <c r="G49" i="12" s="1"/>
  <c r="H3" i="12"/>
  <c r="H49" i="12" s="1"/>
  <c r="I3" i="12"/>
  <c r="J3" i="12"/>
  <c r="J49" i="12" s="1"/>
  <c r="K3" i="12"/>
  <c r="L3" i="12"/>
  <c r="M3" i="12"/>
  <c r="M49" i="12" s="1"/>
  <c r="N3" i="12"/>
  <c r="N49" i="12" s="1"/>
  <c r="O3" i="12"/>
  <c r="P3" i="12"/>
  <c r="Q3" i="12"/>
  <c r="R3" i="12"/>
  <c r="S3" i="12"/>
  <c r="T3" i="12"/>
  <c r="U3" i="12"/>
  <c r="V3" i="12"/>
  <c r="W3" i="12"/>
  <c r="X3" i="12"/>
  <c r="Y3" i="12"/>
  <c r="Z3" i="12"/>
  <c r="AA3" i="12"/>
  <c r="AB3" i="12"/>
  <c r="AC3" i="12"/>
  <c r="AD3" i="12"/>
  <c r="AE3" i="12"/>
  <c r="AF3" i="12"/>
  <c r="AG3" i="12"/>
  <c r="AH3" i="12"/>
  <c r="AI3" i="12"/>
  <c r="AJ3" i="12"/>
  <c r="AK3" i="12"/>
  <c r="B4" i="12"/>
  <c r="C4" i="12"/>
  <c r="D4" i="12"/>
  <c r="E4" i="12"/>
  <c r="F4" i="12"/>
  <c r="G4" i="12"/>
  <c r="H4" i="12"/>
  <c r="I4" i="12"/>
  <c r="I50" i="12" s="1"/>
  <c r="J4" i="12"/>
  <c r="J50" i="12" s="1"/>
  <c r="K4" i="12"/>
  <c r="L4" i="12"/>
  <c r="L50" i="12" s="1"/>
  <c r="M4" i="12"/>
  <c r="M50" i="12" s="1"/>
  <c r="N4" i="12"/>
  <c r="O4" i="12"/>
  <c r="P4" i="12"/>
  <c r="P50" i="12" s="1"/>
  <c r="Q4" i="12"/>
  <c r="R4" i="12"/>
  <c r="R50" i="12" s="1"/>
  <c r="S4" i="12"/>
  <c r="S50" i="12" s="1"/>
  <c r="T4" i="12"/>
  <c r="U4" i="12"/>
  <c r="V4" i="12"/>
  <c r="V50" i="12" s="1"/>
  <c r="W4" i="12"/>
  <c r="X4" i="12"/>
  <c r="Y4" i="12"/>
  <c r="Y50" i="12" s="1"/>
  <c r="Z4" i="12"/>
  <c r="Z50" i="12" s="1"/>
  <c r="AA4" i="12"/>
  <c r="AA50" i="12" s="1"/>
  <c r="AB4" i="12"/>
  <c r="AC4" i="12"/>
  <c r="AC50" i="12" s="1"/>
  <c r="AD4" i="12"/>
  <c r="AE4" i="12"/>
  <c r="AE50" i="12" s="1"/>
  <c r="AF4" i="12"/>
  <c r="AF50" i="12" s="1"/>
  <c r="AG4" i="12"/>
  <c r="AG50" i="12" s="1"/>
  <c r="AH4" i="12"/>
  <c r="AH50" i="12" s="1"/>
  <c r="AI4" i="12"/>
  <c r="AI50" i="12" s="1"/>
  <c r="AJ4" i="12"/>
  <c r="AJ50" i="12" s="1"/>
  <c r="AK4" i="12"/>
  <c r="B5" i="12"/>
  <c r="C5" i="12"/>
  <c r="D5" i="12"/>
  <c r="E5" i="12"/>
  <c r="E51" i="12" s="1"/>
  <c r="F5" i="12"/>
  <c r="G5" i="12"/>
  <c r="H5" i="12"/>
  <c r="I5" i="12"/>
  <c r="J5" i="12"/>
  <c r="K5" i="12"/>
  <c r="L5" i="12"/>
  <c r="M5" i="12"/>
  <c r="N5" i="12"/>
  <c r="O5" i="12"/>
  <c r="P5" i="12"/>
  <c r="Q5" i="12"/>
  <c r="R5" i="12"/>
  <c r="S5" i="12"/>
  <c r="T5" i="12"/>
  <c r="U5" i="12"/>
  <c r="U51" i="12" s="1"/>
  <c r="V5" i="12"/>
  <c r="V51" i="12" s="1"/>
  <c r="W5" i="12"/>
  <c r="W51" i="12" s="1"/>
  <c r="X5" i="12"/>
  <c r="X51" i="12" s="1"/>
  <c r="Y5" i="12"/>
  <c r="Z5" i="12"/>
  <c r="AA5" i="12"/>
  <c r="AB5" i="12"/>
  <c r="AC5" i="12"/>
  <c r="AD5" i="12"/>
  <c r="AE5" i="12"/>
  <c r="AF5" i="12"/>
  <c r="AG5" i="12"/>
  <c r="AH5" i="12"/>
  <c r="AI5" i="12"/>
  <c r="AJ5" i="12"/>
  <c r="AK5" i="12"/>
  <c r="AK51" i="12" s="1"/>
  <c r="B6" i="12"/>
  <c r="B52" i="12" s="1"/>
  <c r="C6" i="12"/>
  <c r="C52" i="12" s="1"/>
  <c r="D6" i="12"/>
  <c r="D52" i="12" s="1"/>
  <c r="E6" i="12"/>
  <c r="E52" i="12" s="1"/>
  <c r="F6" i="12"/>
  <c r="G6" i="12"/>
  <c r="G52" i="12" s="1"/>
  <c r="H6" i="12"/>
  <c r="I6" i="12"/>
  <c r="I52" i="12" s="1"/>
  <c r="J6" i="12"/>
  <c r="J52" i="12" s="1"/>
  <c r="K6" i="12"/>
  <c r="K52" i="12" s="1"/>
  <c r="L6" i="12"/>
  <c r="M6" i="12"/>
  <c r="N6" i="12"/>
  <c r="O6" i="12"/>
  <c r="P6" i="12"/>
  <c r="Q6" i="12"/>
  <c r="R6" i="12"/>
  <c r="S6" i="12"/>
  <c r="S52" i="12" s="1"/>
  <c r="T6" i="12"/>
  <c r="T52" i="12" s="1"/>
  <c r="U6" i="12"/>
  <c r="U52" i="12" s="1"/>
  <c r="V6" i="12"/>
  <c r="W6" i="12"/>
  <c r="W52" i="12" s="1"/>
  <c r="X6" i="12"/>
  <c r="X52" i="12" s="1"/>
  <c r="Y6" i="12"/>
  <c r="Z6" i="12"/>
  <c r="Z52" i="12" s="1"/>
  <c r="AA6" i="12"/>
  <c r="AA52" i="12" s="1"/>
  <c r="AB6" i="12"/>
  <c r="AB52" i="12" s="1"/>
  <c r="AC6" i="12"/>
  <c r="AD6" i="12"/>
  <c r="AD52" i="12" s="1"/>
  <c r="AE6" i="12"/>
  <c r="AF6" i="12"/>
  <c r="AG6" i="12"/>
  <c r="AH6" i="12"/>
  <c r="AI6" i="12"/>
  <c r="AJ6" i="12"/>
  <c r="AK6" i="12"/>
  <c r="B7" i="12"/>
  <c r="C7" i="12"/>
  <c r="D7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C53" i="12" s="1"/>
  <c r="AD7" i="12"/>
  <c r="AD53" i="12" s="1"/>
  <c r="AE7" i="12"/>
  <c r="AF7" i="12"/>
  <c r="AG7" i="12"/>
  <c r="AG53" i="12" s="1"/>
  <c r="AH7" i="12"/>
  <c r="AI7" i="12"/>
  <c r="AI53" i="12" s="1"/>
  <c r="AJ7" i="12"/>
  <c r="AJ53" i="12" s="1"/>
  <c r="AK7" i="12"/>
  <c r="AK53" i="12" s="1"/>
  <c r="B8" i="12"/>
  <c r="B54" i="12" s="1"/>
  <c r="C8" i="12"/>
  <c r="D8" i="12"/>
  <c r="E8" i="12"/>
  <c r="F8" i="12"/>
  <c r="G8" i="12"/>
  <c r="H8" i="12"/>
  <c r="I8" i="12"/>
  <c r="I54" i="12" s="1"/>
  <c r="J8" i="12"/>
  <c r="J54" i="12" s="1"/>
  <c r="K8" i="12"/>
  <c r="K54" i="12" s="1"/>
  <c r="L8" i="12"/>
  <c r="M8" i="12"/>
  <c r="N8" i="12"/>
  <c r="O8" i="12"/>
  <c r="O54" i="12" s="1"/>
  <c r="P8" i="12"/>
  <c r="P54" i="12" s="1"/>
  <c r="Q8" i="12"/>
  <c r="Q54" i="12" s="1"/>
  <c r="R8" i="12"/>
  <c r="R54" i="12" s="1"/>
  <c r="S8" i="12"/>
  <c r="S54" i="12" s="1"/>
  <c r="T8" i="12"/>
  <c r="T54" i="12" s="1"/>
  <c r="U8" i="12"/>
  <c r="V8" i="12"/>
  <c r="V54" i="12" s="1"/>
  <c r="W8" i="12"/>
  <c r="X8" i="12"/>
  <c r="Y8" i="12"/>
  <c r="Y54" i="12" s="1"/>
  <c r="Z8" i="12"/>
  <c r="Z54" i="12" s="1"/>
  <c r="AA8" i="12"/>
  <c r="AA54" i="12" s="1"/>
  <c r="AB8" i="12"/>
  <c r="AB54" i="12" s="1"/>
  <c r="AC8" i="12"/>
  <c r="AD8" i="12"/>
  <c r="AE8" i="12"/>
  <c r="AF8" i="12"/>
  <c r="AG8" i="12"/>
  <c r="AH8" i="12"/>
  <c r="AI8" i="12"/>
  <c r="AJ8" i="12"/>
  <c r="AK8" i="12"/>
  <c r="B9" i="12"/>
  <c r="C9" i="12"/>
  <c r="D9" i="12"/>
  <c r="E9" i="12"/>
  <c r="E55" i="12" s="1"/>
  <c r="F9" i="12"/>
  <c r="G9" i="12"/>
  <c r="G55" i="12" s="1"/>
  <c r="H9" i="12"/>
  <c r="I9" i="12"/>
  <c r="J9" i="12"/>
  <c r="K9" i="12"/>
  <c r="K55" i="12" s="1"/>
  <c r="L9" i="12"/>
  <c r="M9" i="12"/>
  <c r="N9" i="12"/>
  <c r="O9" i="12"/>
  <c r="P9" i="12"/>
  <c r="Q9" i="12"/>
  <c r="R9" i="12"/>
  <c r="S9" i="12"/>
  <c r="T9" i="12"/>
  <c r="U9" i="12"/>
  <c r="U55" i="12" s="1"/>
  <c r="V9" i="12"/>
  <c r="V55" i="12" s="1"/>
  <c r="W9" i="12"/>
  <c r="X9" i="12"/>
  <c r="X55" i="12" s="1"/>
  <c r="Y9" i="12"/>
  <c r="Y55" i="12" s="1"/>
  <c r="Z9" i="12"/>
  <c r="AA9" i="12"/>
  <c r="AA55" i="12" s="1"/>
  <c r="AB9" i="12"/>
  <c r="AC9" i="12"/>
  <c r="AD9" i="12"/>
  <c r="AD55" i="12" s="1"/>
  <c r="AE9" i="12"/>
  <c r="AF9" i="12"/>
  <c r="AG9" i="12"/>
  <c r="AH9" i="12"/>
  <c r="AI9" i="12"/>
  <c r="AJ9" i="12"/>
  <c r="AK9" i="12"/>
  <c r="AK55" i="12" s="1"/>
  <c r="B10" i="12"/>
  <c r="B56" i="12" s="1"/>
  <c r="C10" i="12"/>
  <c r="C56" i="12" s="1"/>
  <c r="D10" i="12"/>
  <c r="E10" i="12"/>
  <c r="F10" i="12"/>
  <c r="G10" i="12"/>
  <c r="G56" i="12" s="1"/>
  <c r="H10" i="12"/>
  <c r="I10" i="12"/>
  <c r="I56" i="12" s="1"/>
  <c r="J10" i="12"/>
  <c r="K10" i="12"/>
  <c r="L10" i="12"/>
  <c r="L56" i="12" s="1"/>
  <c r="M10" i="12"/>
  <c r="N10" i="12"/>
  <c r="N56" i="12" s="1"/>
  <c r="O10" i="12"/>
  <c r="P10" i="12"/>
  <c r="Q10" i="12"/>
  <c r="R10" i="12"/>
  <c r="R56" i="12" s="1"/>
  <c r="S10" i="12"/>
  <c r="S56" i="12" s="1"/>
  <c r="T10" i="12"/>
  <c r="T56" i="12" s="1"/>
  <c r="U10" i="12"/>
  <c r="U56" i="12" s="1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I56" i="12" s="1"/>
  <c r="AJ10" i="12"/>
  <c r="AK10" i="12"/>
  <c r="B11" i="12"/>
  <c r="C11" i="12"/>
  <c r="D11" i="12"/>
  <c r="E11" i="12"/>
  <c r="F11" i="12"/>
  <c r="G11" i="12"/>
  <c r="H11" i="12"/>
  <c r="I11" i="12"/>
  <c r="J11" i="12"/>
  <c r="K11" i="12"/>
  <c r="L11" i="12"/>
  <c r="M11" i="12"/>
  <c r="M57" i="12" s="1"/>
  <c r="N11" i="12"/>
  <c r="O11" i="12"/>
  <c r="P11" i="12"/>
  <c r="P57" i="12" s="1"/>
  <c r="Q11" i="12"/>
  <c r="R11" i="12"/>
  <c r="S11" i="12"/>
  <c r="S57" i="12" s="1"/>
  <c r="T11" i="12"/>
  <c r="T57" i="12" s="1"/>
  <c r="U11" i="12"/>
  <c r="V11" i="12"/>
  <c r="W11" i="12"/>
  <c r="X11" i="12"/>
  <c r="Y11" i="12"/>
  <c r="Z11" i="12"/>
  <c r="AA11" i="12"/>
  <c r="AB11" i="12"/>
  <c r="AC11" i="12"/>
  <c r="AC57" i="12" s="1"/>
  <c r="AD11" i="12"/>
  <c r="AD57" i="12" s="1"/>
  <c r="AE11" i="12"/>
  <c r="AE57" i="12" s="1"/>
  <c r="AF11" i="12"/>
  <c r="AG11" i="12"/>
  <c r="AG57" i="12" s="1"/>
  <c r="AH11" i="12"/>
  <c r="AI11" i="12"/>
  <c r="AI57" i="12" s="1"/>
  <c r="AJ11" i="12"/>
  <c r="AJ57" i="12" s="1"/>
  <c r="AK11" i="12"/>
  <c r="AK57" i="12" s="1"/>
  <c r="B12" i="12"/>
  <c r="C12" i="12"/>
  <c r="C58" i="12" s="1"/>
  <c r="D12" i="12"/>
  <c r="E12" i="12"/>
  <c r="F12" i="12"/>
  <c r="G12" i="12"/>
  <c r="H12" i="12"/>
  <c r="I12" i="12"/>
  <c r="I58" i="12" s="1"/>
  <c r="J12" i="12"/>
  <c r="J58" i="12" s="1"/>
  <c r="K12" i="12"/>
  <c r="K58" i="12" s="1"/>
  <c r="L12" i="12"/>
  <c r="L58" i="12" s="1"/>
  <c r="M12" i="12"/>
  <c r="N12" i="12"/>
  <c r="O12" i="12"/>
  <c r="O58" i="12" s="1"/>
  <c r="P12" i="12"/>
  <c r="P58" i="12" s="1"/>
  <c r="Q12" i="12"/>
  <c r="Q58" i="12" s="1"/>
  <c r="R12" i="12"/>
  <c r="R58" i="12" s="1"/>
  <c r="S12" i="12"/>
  <c r="S58" i="12" s="1"/>
  <c r="T12" i="12"/>
  <c r="T58" i="12" s="1"/>
  <c r="U12" i="12"/>
  <c r="V12" i="12"/>
  <c r="V58" i="12" s="1"/>
  <c r="W12" i="12"/>
  <c r="X12" i="12"/>
  <c r="Y12" i="12"/>
  <c r="Y58" i="12" s="1"/>
  <c r="Z12" i="12"/>
  <c r="Z58" i="12" s="1"/>
  <c r="AA12" i="12"/>
  <c r="AA58" i="12" s="1"/>
  <c r="AB12" i="12"/>
  <c r="AC12" i="12"/>
  <c r="AD12" i="12"/>
  <c r="AE12" i="12"/>
  <c r="AF12" i="12"/>
  <c r="AG12" i="12"/>
  <c r="AH12" i="12"/>
  <c r="AI12" i="12"/>
  <c r="AJ12" i="12"/>
  <c r="AK12" i="12"/>
  <c r="B13" i="12"/>
  <c r="C13" i="12"/>
  <c r="D13" i="12"/>
  <c r="E13" i="12"/>
  <c r="E59" i="12" s="1"/>
  <c r="F13" i="12"/>
  <c r="G13" i="12"/>
  <c r="H13" i="12"/>
  <c r="I13" i="12"/>
  <c r="J13" i="12"/>
  <c r="K13" i="12"/>
  <c r="L13" i="12"/>
  <c r="M13" i="12"/>
  <c r="N13" i="12"/>
  <c r="O13" i="12"/>
  <c r="P13" i="12"/>
  <c r="Q13" i="12"/>
  <c r="R13" i="12"/>
  <c r="S13" i="12"/>
  <c r="T13" i="12"/>
  <c r="U13" i="12"/>
  <c r="V13" i="12"/>
  <c r="V59" i="12" s="1"/>
  <c r="W13" i="12"/>
  <c r="W59" i="12" s="1"/>
  <c r="X13" i="12"/>
  <c r="Y13" i="12"/>
  <c r="Z13" i="12"/>
  <c r="AA13" i="12"/>
  <c r="AB13" i="12"/>
  <c r="AC13" i="12"/>
  <c r="AC59" i="12" s="1"/>
  <c r="AD13" i="12"/>
  <c r="AE13" i="12"/>
  <c r="AF13" i="12"/>
  <c r="AG13" i="12"/>
  <c r="AH13" i="12"/>
  <c r="AI13" i="12"/>
  <c r="AJ13" i="12"/>
  <c r="AK13" i="12"/>
  <c r="B14" i="12"/>
  <c r="C14" i="12"/>
  <c r="C60" i="12" s="1"/>
  <c r="D14" i="12"/>
  <c r="E14" i="12"/>
  <c r="E60" i="12" s="1"/>
  <c r="F14" i="12"/>
  <c r="G14" i="12"/>
  <c r="G60" i="12" s="1"/>
  <c r="H14" i="12"/>
  <c r="H60" i="12" s="1"/>
  <c r="I14" i="12"/>
  <c r="I60" i="12" s="1"/>
  <c r="J14" i="12"/>
  <c r="K14" i="12"/>
  <c r="L14" i="12"/>
  <c r="M14" i="12"/>
  <c r="N14" i="12"/>
  <c r="O14" i="12"/>
  <c r="P14" i="12"/>
  <c r="Q14" i="12"/>
  <c r="Q60" i="12" s="1"/>
  <c r="R14" i="12"/>
  <c r="R60" i="12" s="1"/>
  <c r="S14" i="12"/>
  <c r="T14" i="12"/>
  <c r="U14" i="12"/>
  <c r="V14" i="12"/>
  <c r="W14" i="12"/>
  <c r="W60" i="12" s="1"/>
  <c r="X14" i="12"/>
  <c r="X60" i="12" s="1"/>
  <c r="Y14" i="12"/>
  <c r="Z14" i="12"/>
  <c r="AA14" i="12"/>
  <c r="AB14" i="12"/>
  <c r="AB60" i="12" s="1"/>
  <c r="AC14" i="12"/>
  <c r="AD14" i="12"/>
  <c r="AE14" i="12"/>
  <c r="AF14" i="12"/>
  <c r="AG14" i="12"/>
  <c r="AG60" i="12" s="1"/>
  <c r="AH14" i="12"/>
  <c r="AH60" i="12" s="1"/>
  <c r="AI14" i="12"/>
  <c r="AI60" i="12" s="1"/>
  <c r="AJ14" i="12"/>
  <c r="AK14" i="12"/>
  <c r="B15" i="12"/>
  <c r="C15" i="12"/>
  <c r="C61" i="12" s="1"/>
  <c r="D15" i="12"/>
  <c r="D61" i="12" s="1"/>
  <c r="E15" i="12"/>
  <c r="E61" i="12" s="1"/>
  <c r="F15" i="12"/>
  <c r="F61" i="12" s="1"/>
  <c r="G15" i="12"/>
  <c r="H15" i="12"/>
  <c r="I15" i="12"/>
  <c r="J15" i="12"/>
  <c r="K15" i="12"/>
  <c r="L15" i="12"/>
  <c r="M15" i="12"/>
  <c r="M61" i="12" s="1"/>
  <c r="N15" i="12"/>
  <c r="N61" i="12" s="1"/>
  <c r="O15" i="12"/>
  <c r="O61" i="12" s="1"/>
  <c r="P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C61" i="12" s="1"/>
  <c r="AD15" i="12"/>
  <c r="AE15" i="12"/>
  <c r="AF15" i="12"/>
  <c r="AG15" i="12"/>
  <c r="AH15" i="12"/>
  <c r="AI15" i="12"/>
  <c r="AJ15" i="12"/>
  <c r="AK15" i="12"/>
  <c r="B16" i="12"/>
  <c r="C16" i="12"/>
  <c r="D16" i="12"/>
  <c r="E16" i="12"/>
  <c r="F16" i="12"/>
  <c r="G16" i="12"/>
  <c r="H16" i="12"/>
  <c r="I16" i="12"/>
  <c r="J16" i="12"/>
  <c r="K16" i="12"/>
  <c r="K62" i="12" s="1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Y62" i="12" s="1"/>
  <c r="Z16" i="12"/>
  <c r="AA16" i="12"/>
  <c r="AA62" i="12" s="1"/>
  <c r="AB16" i="12"/>
  <c r="AC16" i="12"/>
  <c r="AD16" i="12"/>
  <c r="AE16" i="12"/>
  <c r="AF16" i="12"/>
  <c r="AG16" i="12"/>
  <c r="AH16" i="12"/>
  <c r="AI16" i="12"/>
  <c r="AJ16" i="12"/>
  <c r="AK16" i="12"/>
  <c r="B17" i="12"/>
  <c r="C17" i="12"/>
  <c r="D17" i="12"/>
  <c r="E17" i="12"/>
  <c r="E63" i="12" s="1"/>
  <c r="F17" i="12"/>
  <c r="G17" i="12"/>
  <c r="G63" i="12" s="1"/>
  <c r="H17" i="12"/>
  <c r="I17" i="12"/>
  <c r="J17" i="12"/>
  <c r="K17" i="12"/>
  <c r="L17" i="12"/>
  <c r="L63" i="12" s="1"/>
  <c r="M17" i="12"/>
  <c r="N17" i="12"/>
  <c r="O17" i="12"/>
  <c r="P17" i="12"/>
  <c r="Q17" i="12"/>
  <c r="R17" i="12"/>
  <c r="S17" i="12"/>
  <c r="T17" i="12"/>
  <c r="U17" i="12"/>
  <c r="V17" i="12"/>
  <c r="W17" i="12"/>
  <c r="W63" i="12" s="1"/>
  <c r="X17" i="12"/>
  <c r="Y17" i="12"/>
  <c r="Z17" i="12"/>
  <c r="AA17" i="12"/>
  <c r="AB17" i="12"/>
  <c r="AB63" i="12" s="1"/>
  <c r="AC17" i="12"/>
  <c r="AC63" i="12" s="1"/>
  <c r="AD17" i="12"/>
  <c r="AE17" i="12"/>
  <c r="AF17" i="12"/>
  <c r="AG17" i="12"/>
  <c r="AH17" i="12"/>
  <c r="AI17" i="12"/>
  <c r="AJ17" i="12"/>
  <c r="AK17" i="12"/>
  <c r="B18" i="12"/>
  <c r="C18" i="12"/>
  <c r="D18" i="12"/>
  <c r="E18" i="12"/>
  <c r="F18" i="12"/>
  <c r="G18" i="12"/>
  <c r="H18" i="12"/>
  <c r="I18" i="12"/>
  <c r="I64" i="12" s="1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Y64" i="12" s="1"/>
  <c r="Z18" i="12"/>
  <c r="AA18" i="12"/>
  <c r="AB18" i="12"/>
  <c r="AC18" i="12"/>
  <c r="AD18" i="12"/>
  <c r="AE18" i="12"/>
  <c r="AF18" i="12"/>
  <c r="AG18" i="12"/>
  <c r="AH18" i="12"/>
  <c r="AI18" i="12"/>
  <c r="AJ18" i="12"/>
  <c r="AK18" i="12"/>
  <c r="B19" i="12"/>
  <c r="C19" i="12"/>
  <c r="D19" i="12"/>
  <c r="E19" i="12"/>
  <c r="F19" i="12"/>
  <c r="G19" i="12"/>
  <c r="H19" i="12"/>
  <c r="I19" i="12"/>
  <c r="J19" i="12"/>
  <c r="K19" i="12"/>
  <c r="L19" i="12"/>
  <c r="M19" i="12"/>
  <c r="N19" i="12"/>
  <c r="O19" i="12"/>
  <c r="P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AD19" i="12"/>
  <c r="AE19" i="12"/>
  <c r="AF19" i="12"/>
  <c r="AG19" i="12"/>
  <c r="AH19" i="12"/>
  <c r="AI19" i="12"/>
  <c r="AJ19" i="12"/>
  <c r="AK19" i="12"/>
  <c r="B20" i="12"/>
  <c r="C20" i="12"/>
  <c r="D20" i="12"/>
  <c r="E20" i="12"/>
  <c r="F20" i="12"/>
  <c r="G20" i="12"/>
  <c r="H20" i="12"/>
  <c r="I20" i="12"/>
  <c r="J20" i="12"/>
  <c r="K20" i="12"/>
  <c r="L20" i="12"/>
  <c r="M20" i="12"/>
  <c r="N20" i="12"/>
  <c r="O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AJ20" i="12"/>
  <c r="AK20" i="12"/>
  <c r="B21" i="12"/>
  <c r="C21" i="12"/>
  <c r="D21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AJ21" i="12"/>
  <c r="AK21" i="12"/>
  <c r="B22" i="12"/>
  <c r="C22" i="12"/>
  <c r="D2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AJ22" i="12"/>
  <c r="AK22" i="12"/>
  <c r="A2" i="11"/>
  <c r="D2" i="11" s="1"/>
  <c r="A3" i="11"/>
  <c r="I3" i="11" s="1"/>
  <c r="F6" i="26" s="1"/>
  <c r="A4" i="11"/>
  <c r="B4" i="11" s="1"/>
  <c r="A5" i="11"/>
  <c r="B5" i="11" s="1"/>
  <c r="A6" i="11"/>
  <c r="A2" i="10"/>
  <c r="M2" i="10" s="1"/>
  <c r="D5" i="27" s="1"/>
  <c r="A3" i="10"/>
  <c r="M3" i="10" s="1"/>
  <c r="D6" i="27" s="1"/>
  <c r="A4" i="10"/>
  <c r="C7" i="27" s="1"/>
  <c r="A5" i="10"/>
  <c r="C8" i="27" s="1"/>
  <c r="A6" i="10"/>
  <c r="C9" i="27" s="1"/>
  <c r="A7" i="10"/>
  <c r="K7" i="10" s="1"/>
  <c r="A8" i="10"/>
  <c r="C11" i="27" s="1"/>
  <c r="A9" i="10"/>
  <c r="M9" i="10" s="1"/>
  <c r="D12" i="27" s="1"/>
  <c r="A2" i="9"/>
  <c r="W2" i="9" s="1"/>
  <c r="A3" i="9"/>
  <c r="N3" i="9" s="1"/>
  <c r="O3" i="9" s="1"/>
  <c r="A4" i="9"/>
  <c r="N4" i="9" s="1"/>
  <c r="O4" i="9" s="1"/>
  <c r="A5" i="9"/>
  <c r="N5" i="9" s="1"/>
  <c r="A6" i="9"/>
  <c r="N6" i="9" s="1"/>
  <c r="A7" i="9"/>
  <c r="C7" i="9" s="1"/>
  <c r="A8" i="9"/>
  <c r="W8" i="9" s="1"/>
  <c r="A9" i="9"/>
  <c r="A10" i="9"/>
  <c r="V10" i="9" s="1"/>
  <c r="A11" i="9"/>
  <c r="E11" i="9" s="1"/>
  <c r="A12" i="9"/>
  <c r="W12" i="9" s="1"/>
  <c r="A13" i="9"/>
  <c r="C13" i="9" s="1"/>
  <c r="A14" i="9"/>
  <c r="A15" i="9"/>
  <c r="A16" i="9"/>
  <c r="M16" i="9" s="1"/>
  <c r="A17" i="9"/>
  <c r="D17" i="9" s="1"/>
  <c r="A18" i="9"/>
  <c r="E18" i="9" s="1"/>
  <c r="A19" i="9"/>
  <c r="C19" i="9" s="1"/>
  <c r="A20" i="9"/>
  <c r="V20" i="9" s="1"/>
  <c r="A21" i="9"/>
  <c r="R21" i="9" s="1"/>
  <c r="S21" i="9" s="1"/>
  <c r="A2" i="8"/>
  <c r="F2" i="8" s="1"/>
  <c r="A3" i="8"/>
  <c r="F3" i="8" s="1"/>
  <c r="A4" i="8"/>
  <c r="B4" i="8" s="1"/>
  <c r="T4" i="8" s="1"/>
  <c r="A5" i="8"/>
  <c r="C5" i="8" s="1"/>
  <c r="A6" i="8"/>
  <c r="D6" i="8" s="1"/>
  <c r="A7" i="8"/>
  <c r="E7" i="8" s="1"/>
  <c r="A8" i="8"/>
  <c r="D8" i="8" s="1"/>
  <c r="A9" i="8"/>
  <c r="D9" i="8" s="1"/>
  <c r="A10" i="8"/>
  <c r="C10" i="8" s="1"/>
  <c r="M10" i="8" s="1"/>
  <c r="A11" i="8"/>
  <c r="F11" i="8" s="1"/>
  <c r="A12" i="8"/>
  <c r="F12" i="8" s="1"/>
  <c r="A13" i="8"/>
  <c r="A14" i="8"/>
  <c r="D14" i="8" s="1"/>
  <c r="A15" i="8"/>
  <c r="E15" i="8" s="1"/>
  <c r="A16" i="8"/>
  <c r="D16" i="8" s="1"/>
  <c r="A17" i="8"/>
  <c r="C17" i="8" s="1"/>
  <c r="M17" i="8" s="1"/>
  <c r="A18" i="8"/>
  <c r="D18" i="8" s="1"/>
  <c r="A19" i="8"/>
  <c r="B19" i="8" s="1"/>
  <c r="T19" i="8" s="1"/>
  <c r="A20" i="8"/>
  <c r="E20" i="8" s="1"/>
  <c r="A21" i="8"/>
  <c r="D21" i="8" s="1"/>
  <c r="A22" i="8"/>
  <c r="D22" i="8" s="1"/>
  <c r="A23" i="8"/>
  <c r="E23" i="8" s="1"/>
  <c r="A24" i="8"/>
  <c r="D24" i="8" s="1"/>
  <c r="A25" i="8"/>
  <c r="E25" i="8" s="1"/>
  <c r="A26" i="8"/>
  <c r="C26" i="8" s="1"/>
  <c r="A27" i="8"/>
  <c r="D27" i="8" s="1"/>
  <c r="A28" i="8"/>
  <c r="D28" i="8" s="1"/>
  <c r="A29" i="8"/>
  <c r="F29" i="8" s="1"/>
  <c r="A30" i="8"/>
  <c r="D30" i="8" s="1"/>
  <c r="A31" i="8"/>
  <c r="C31" i="8" s="1"/>
  <c r="A32" i="8"/>
  <c r="C32" i="8" s="1"/>
  <c r="N32" i="8" s="1"/>
  <c r="A33" i="8"/>
  <c r="C33" i="8" s="1"/>
  <c r="N33" i="8" s="1"/>
  <c r="A34" i="8"/>
  <c r="C34" i="8" s="1"/>
  <c r="A35" i="8"/>
  <c r="D35" i="8" s="1"/>
  <c r="A36" i="8"/>
  <c r="A37" i="8"/>
  <c r="C37" i="8" s="1"/>
  <c r="B25" i="1"/>
  <c r="B17" i="1"/>
  <c r="B15" i="1"/>
  <c r="B14" i="1"/>
  <c r="B13" i="1"/>
  <c r="B9" i="1"/>
  <c r="B11" i="1" s="1"/>
  <c r="B8" i="1"/>
  <c r="B7" i="1"/>
  <c r="B6" i="1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6" i="2"/>
  <c r="K5687" i="2"/>
  <c r="K5688" i="2"/>
  <c r="K5689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E17" i="9" l="1"/>
  <c r="R20" i="9"/>
  <c r="S20" i="9" s="1"/>
  <c r="F13" i="13"/>
  <c r="N11" i="13"/>
  <c r="F9" i="13"/>
  <c r="AD3" i="13"/>
  <c r="P17" i="9"/>
  <c r="I13" i="16"/>
  <c r="W17" i="9"/>
  <c r="M17" i="9"/>
  <c r="Y13" i="13"/>
  <c r="AC12" i="13"/>
  <c r="Q11" i="13"/>
  <c r="AK10" i="13"/>
  <c r="Q7" i="13"/>
  <c r="Y5" i="13"/>
  <c r="I5" i="13"/>
  <c r="Q3" i="13"/>
  <c r="D2" i="8"/>
  <c r="F18" i="8"/>
  <c r="C2" i="10"/>
  <c r="B2" i="9"/>
  <c r="K2" i="10"/>
  <c r="U11" i="13"/>
  <c r="P2" i="9"/>
  <c r="F27" i="8"/>
  <c r="B8" i="8"/>
  <c r="K8" i="8" s="1"/>
  <c r="B2" i="8"/>
  <c r="T2" i="8" s="1"/>
  <c r="G20" i="9"/>
  <c r="C18" i="8"/>
  <c r="M18" i="9"/>
  <c r="C3" i="10"/>
  <c r="B11" i="19"/>
  <c r="D5" i="40" s="1"/>
  <c r="E5" i="40" s="1"/>
  <c r="B7" i="16"/>
  <c r="D10" i="34" s="1"/>
  <c r="C2" i="8"/>
  <c r="N2" i="8" s="1"/>
  <c r="N19" i="9"/>
  <c r="O19" i="9" s="1"/>
  <c r="D6" i="10"/>
  <c r="C7" i="16"/>
  <c r="H7" i="16" s="1"/>
  <c r="E10" i="34" s="1"/>
  <c r="M13" i="13"/>
  <c r="M5" i="13"/>
  <c r="V8" i="9"/>
  <c r="X10" i="13"/>
  <c r="H10" i="13"/>
  <c r="AF8" i="13"/>
  <c r="B4" i="9"/>
  <c r="T4" i="9" s="1" a="1"/>
  <c r="T4" i="9" s="1"/>
  <c r="C8" i="9"/>
  <c r="B17" i="8"/>
  <c r="D37" i="8"/>
  <c r="B34" i="8"/>
  <c r="T34" i="8" s="1"/>
  <c r="D34" i="8"/>
  <c r="F17" i="8"/>
  <c r="B18" i="8"/>
  <c r="T18" i="8" s="1"/>
  <c r="D17" i="8"/>
  <c r="D3" i="9"/>
  <c r="R2" i="9"/>
  <c r="B5" i="10"/>
  <c r="E8" i="27" s="1"/>
  <c r="L3" i="11"/>
  <c r="J6" i="26" s="1"/>
  <c r="V19" i="9"/>
  <c r="C9" i="10"/>
  <c r="D5" i="8"/>
  <c r="D8" i="16"/>
  <c r="B3" i="8"/>
  <c r="T3" i="8" s="1"/>
  <c r="D3" i="8"/>
  <c r="G3" i="9"/>
  <c r="W20" i="9"/>
  <c r="D7" i="16"/>
  <c r="B6" i="19"/>
  <c r="R6" i="13"/>
  <c r="C27" i="8"/>
  <c r="M27" i="8" s="1"/>
  <c r="F35" i="8"/>
  <c r="E14" i="46" s="1" a="1"/>
  <c r="E14" i="46" s="1"/>
  <c r="C24" i="8"/>
  <c r="M24" i="8" s="1"/>
  <c r="F34" i="8"/>
  <c r="X17" i="9"/>
  <c r="B11" i="9"/>
  <c r="M2" i="9"/>
  <c r="W19" i="9"/>
  <c r="C23" i="8"/>
  <c r="N23" i="8" s="1"/>
  <c r="F28" i="8"/>
  <c r="R28" i="8" s="1"/>
  <c r="B10" i="9"/>
  <c r="N20" i="9"/>
  <c r="O20" i="9" s="1"/>
  <c r="W4" i="9"/>
  <c r="M8" i="10"/>
  <c r="D11" i="27" s="1"/>
  <c r="F24" i="8"/>
  <c r="G14" i="9"/>
  <c r="B3" i="9"/>
  <c r="P18" i="9"/>
  <c r="B8" i="16"/>
  <c r="B5" i="16"/>
  <c r="D8" i="34" s="1"/>
  <c r="G8" i="16"/>
  <c r="C17" i="16"/>
  <c r="H17" i="16" s="1"/>
  <c r="E20" i="34" s="1"/>
  <c r="G7" i="16"/>
  <c r="B33" i="8"/>
  <c r="D33" i="8"/>
  <c r="D19" i="9"/>
  <c r="R19" i="9"/>
  <c r="S19" i="9" s="1"/>
  <c r="B3" i="11"/>
  <c r="B27" i="8"/>
  <c r="T27" i="8" s="1"/>
  <c r="D19" i="8"/>
  <c r="G9" i="9"/>
  <c r="D18" i="9"/>
  <c r="R9" i="9"/>
  <c r="S9" i="9" s="1"/>
  <c r="D3" i="11"/>
  <c r="C15" i="16"/>
  <c r="H15" i="16" s="1"/>
  <c r="E18" i="34" s="1"/>
  <c r="G5" i="16"/>
  <c r="F19" i="8"/>
  <c r="H13" i="8" a="1"/>
  <c r="H13" i="8" s="1"/>
  <c r="H5" i="8" a="1"/>
  <c r="H5" i="8" s="1"/>
  <c r="I5" i="8" s="1"/>
  <c r="D10" i="9"/>
  <c r="R4" i="9"/>
  <c r="S4" i="9" s="1"/>
  <c r="C10" i="16"/>
  <c r="H10" i="16" s="1"/>
  <c r="E13" i="34" s="1"/>
  <c r="I15" i="16"/>
  <c r="AB9" i="9" a="1"/>
  <c r="AB9" i="9" s="1"/>
  <c r="AB3" i="9" a="1"/>
  <c r="AB3" i="9" s="1"/>
  <c r="AB19" i="9" a="1"/>
  <c r="AB19" i="9" s="1"/>
  <c r="C23" i="17"/>
  <c r="D23" i="17"/>
  <c r="Y19" i="9"/>
  <c r="D22" i="17"/>
  <c r="C22" i="17"/>
  <c r="H22" i="17" s="1"/>
  <c r="B28" i="19"/>
  <c r="D22" i="40" s="1"/>
  <c r="E22" i="40" s="1"/>
  <c r="C22" i="40"/>
  <c r="M34" i="8"/>
  <c r="N34" i="8"/>
  <c r="C6" i="40"/>
  <c r="B12" i="19"/>
  <c r="D6" i="40" s="1"/>
  <c r="E6" i="40" s="1"/>
  <c r="P9" i="9"/>
  <c r="C16" i="8"/>
  <c r="N16" i="8" s="1"/>
  <c r="B20" i="9"/>
  <c r="T20" i="9" s="1" a="1"/>
  <c r="T20" i="9" s="1"/>
  <c r="C4" i="9"/>
  <c r="Y4" i="9" s="1"/>
  <c r="E2" i="9"/>
  <c r="I18" i="9"/>
  <c r="R18" i="9"/>
  <c r="S18" i="9" s="1"/>
  <c r="M7" i="10"/>
  <c r="D10" i="27" s="1"/>
  <c r="Q46" i="12"/>
  <c r="I12" i="16"/>
  <c r="P11" i="9"/>
  <c r="E16" i="8"/>
  <c r="Q16" i="8" s="1"/>
  <c r="C8" i="8"/>
  <c r="D12" i="8"/>
  <c r="C7" i="8"/>
  <c r="M7" i="8" s="1"/>
  <c r="D11" i="8"/>
  <c r="F33" i="8"/>
  <c r="H16" i="8" a="1"/>
  <c r="H16" i="8" s="1"/>
  <c r="B19" i="9"/>
  <c r="C3" i="9"/>
  <c r="H3" i="9" s="1"/>
  <c r="I17" i="9"/>
  <c r="P20" i="9"/>
  <c r="R11" i="9"/>
  <c r="S11" i="9" s="1"/>
  <c r="V4" i="9"/>
  <c r="X13" i="13"/>
  <c r="AB12" i="13"/>
  <c r="AJ10" i="13"/>
  <c r="P7" i="13"/>
  <c r="H5" i="13"/>
  <c r="P46" i="12"/>
  <c r="C12" i="16"/>
  <c r="H12" i="16" s="1"/>
  <c r="E15" i="34" s="1"/>
  <c r="I11" i="16"/>
  <c r="D32" i="8"/>
  <c r="E32" i="8"/>
  <c r="C11" i="8"/>
  <c r="N11" i="8" s="1"/>
  <c r="H17" i="8" a="1"/>
  <c r="H17" i="8" s="1"/>
  <c r="I17" i="8" s="1"/>
  <c r="I21" i="9"/>
  <c r="V9" i="9"/>
  <c r="L2" i="11"/>
  <c r="J5" i="26" s="1"/>
  <c r="B35" i="8"/>
  <c r="T35" i="8" s="1"/>
  <c r="H11" i="8" a="1"/>
  <c r="H11" i="8" s="1"/>
  <c r="B18" i="9"/>
  <c r="D20" i="9"/>
  <c r="I2" i="9"/>
  <c r="P19" i="9"/>
  <c r="AA19" i="9" s="1"/>
  <c r="R10" i="9"/>
  <c r="S10" i="9" s="1"/>
  <c r="V3" i="9"/>
  <c r="B6" i="10"/>
  <c r="E9" i="27" s="1"/>
  <c r="S14" i="13"/>
  <c r="G13" i="13"/>
  <c r="W9" i="13"/>
  <c r="G5" i="13"/>
  <c r="K4" i="13"/>
  <c r="AE46" i="12"/>
  <c r="O46" i="12"/>
  <c r="C11" i="16"/>
  <c r="H11" i="16" s="1"/>
  <c r="E14" i="34" s="1"/>
  <c r="C6" i="17"/>
  <c r="J6" i="17" s="1"/>
  <c r="I46" i="12"/>
  <c r="C9" i="16"/>
  <c r="H9" i="16" s="1"/>
  <c r="E12" i="34" s="1"/>
  <c r="B28" i="8"/>
  <c r="K28" i="8" s="1"/>
  <c r="C28" i="8"/>
  <c r="M28" i="8" s="1"/>
  <c r="D4" i="8"/>
  <c r="E6" i="44" s="1" a="1"/>
  <c r="E6" i="44" s="1"/>
  <c r="H6" i="44" s="1"/>
  <c r="I6" i="44" s="1"/>
  <c r="F26" i="8"/>
  <c r="H4" i="8" a="1"/>
  <c r="H4" i="8" s="1"/>
  <c r="B9" i="9"/>
  <c r="G19" i="9"/>
  <c r="H19" i="9" s="1"/>
  <c r="M5" i="9"/>
  <c r="P13" i="9"/>
  <c r="AA13" i="9" s="1"/>
  <c r="R3" i="9"/>
  <c r="S3" i="9" s="1"/>
  <c r="W18" i="9"/>
  <c r="AB18" i="9" a="1"/>
  <c r="AB18" i="9" s="1"/>
  <c r="C7" i="10"/>
  <c r="AB46" i="12"/>
  <c r="L46" i="12"/>
  <c r="C8" i="16"/>
  <c r="H8" i="16" s="1"/>
  <c r="E11" i="34" s="1"/>
  <c r="AB11" i="9" a="1"/>
  <c r="AB11" i="9" s="1"/>
  <c r="C46" i="12"/>
  <c r="G33" i="17"/>
  <c r="D13" i="9"/>
  <c r="D11" i="9"/>
  <c r="X11" i="9" s="1"/>
  <c r="G10" i="9"/>
  <c r="P10" i="9"/>
  <c r="W13" i="9"/>
  <c r="AB10" i="9" a="1"/>
  <c r="AB10" i="9" s="1"/>
  <c r="H33" i="17"/>
  <c r="AG46" i="12"/>
  <c r="Y46" i="12"/>
  <c r="B17" i="16"/>
  <c r="G17" i="16"/>
  <c r="AB8" i="9" a="1"/>
  <c r="AB8" i="9" s="1"/>
  <c r="C20" i="9"/>
  <c r="Y20" i="9" s="1"/>
  <c r="D9" i="9"/>
  <c r="G8" i="9"/>
  <c r="H8" i="9" s="1"/>
  <c r="N18" i="9"/>
  <c r="O18" i="9" s="1"/>
  <c r="P8" i="9"/>
  <c r="Q8" i="9" s="1"/>
  <c r="W10" i="9"/>
  <c r="AB2" i="9" a="1"/>
  <c r="AB2" i="9" s="1"/>
  <c r="D5" i="10"/>
  <c r="P13" i="13"/>
  <c r="D12" i="13"/>
  <c r="L6" i="13"/>
  <c r="X3" i="13"/>
  <c r="X46" i="12"/>
  <c r="B9" i="16"/>
  <c r="D12" i="34" s="1"/>
  <c r="G12" i="16"/>
  <c r="C21" i="8"/>
  <c r="N21" i="8" s="1"/>
  <c r="E31" i="8"/>
  <c r="R17" i="8"/>
  <c r="K18" i="8"/>
  <c r="R34" i="8"/>
  <c r="B12" i="8"/>
  <c r="K12" i="8" s="1"/>
  <c r="E24" i="8"/>
  <c r="Q24" i="8" s="1"/>
  <c r="I7" i="9"/>
  <c r="J7" i="9" s="1"/>
  <c r="D8" i="9"/>
  <c r="G6" i="9"/>
  <c r="N11" i="9"/>
  <c r="P4" i="9"/>
  <c r="W9" i="9"/>
  <c r="F6" i="10"/>
  <c r="B2" i="11"/>
  <c r="O13" i="13"/>
  <c r="AA10" i="13"/>
  <c r="K10" i="13"/>
  <c r="AI8" i="13"/>
  <c r="G7" i="13"/>
  <c r="AE5" i="13"/>
  <c r="W46" i="12"/>
  <c r="G46" i="12"/>
  <c r="G9" i="16"/>
  <c r="B3" i="19"/>
  <c r="B11" i="8"/>
  <c r="D4" i="9"/>
  <c r="G4" i="9"/>
  <c r="N10" i="9"/>
  <c r="O10" i="9" s="1"/>
  <c r="P3" i="9"/>
  <c r="F5" i="10"/>
  <c r="AD13" i="13"/>
  <c r="AH12" i="13"/>
  <c r="F11" i="13"/>
  <c r="F7" i="13"/>
  <c r="AD5" i="13"/>
  <c r="N5" i="13"/>
  <c r="V3" i="13"/>
  <c r="B30" i="19"/>
  <c r="D24" i="40" s="1"/>
  <c r="E24" i="40" s="1"/>
  <c r="AK46" i="12"/>
  <c r="U46" i="12"/>
  <c r="E46" i="12"/>
  <c r="B6" i="16"/>
  <c r="D9" i="34" s="1"/>
  <c r="AB13" i="9" a="1"/>
  <c r="AB13" i="9" s="1"/>
  <c r="G13" i="9"/>
  <c r="H13" i="9" s="1"/>
  <c r="N9" i="9"/>
  <c r="O9" i="9" s="1"/>
  <c r="C15" i="8"/>
  <c r="M15" i="8" s="1"/>
  <c r="C9" i="9"/>
  <c r="Y9" i="9" s="1"/>
  <c r="D2" i="9"/>
  <c r="F2" i="9" s="1"/>
  <c r="V13" i="9"/>
  <c r="W3" i="9"/>
  <c r="I2" i="11"/>
  <c r="F5" i="26" s="1"/>
  <c r="L13" i="13"/>
  <c r="AF12" i="13"/>
  <c r="H3" i="8" a="1"/>
  <c r="H3" i="8" s="1"/>
  <c r="W11" i="9"/>
  <c r="C10" i="9"/>
  <c r="C12" i="8"/>
  <c r="H19" i="8" a="1"/>
  <c r="H19" i="8" s="1"/>
  <c r="AI46" i="12"/>
  <c r="D6" i="16"/>
  <c r="P18" i="8"/>
  <c r="D29" i="8"/>
  <c r="C29" i="8"/>
  <c r="A33" i="21"/>
  <c r="A15" i="22"/>
  <c r="C18" i="39" s="1"/>
  <c r="AB15" i="9" a="1"/>
  <c r="AB15" i="9" s="1"/>
  <c r="R15" i="9"/>
  <c r="S15" i="9" s="1"/>
  <c r="B15" i="9"/>
  <c r="N15" i="9"/>
  <c r="O15" i="9" s="1"/>
  <c r="M15" i="9"/>
  <c r="I15" i="9"/>
  <c r="E15" i="9"/>
  <c r="W15" i="9"/>
  <c r="P15" i="9"/>
  <c r="D15" i="9"/>
  <c r="F15" i="47"/>
  <c r="C36" i="8"/>
  <c r="P37" i="8" s="1"/>
  <c r="C20" i="8"/>
  <c r="C4" i="8"/>
  <c r="T17" i="8"/>
  <c r="K17" i="8"/>
  <c r="M5" i="8"/>
  <c r="E14" i="9"/>
  <c r="V68" i="12"/>
  <c r="V22" i="13"/>
  <c r="V22" i="14"/>
  <c r="J67" i="12"/>
  <c r="J21" i="14"/>
  <c r="J21" i="13"/>
  <c r="N66" i="12"/>
  <c r="N20" i="14"/>
  <c r="N20" i="13"/>
  <c r="B65" i="12"/>
  <c r="B19" i="14"/>
  <c r="F64" i="12"/>
  <c r="F18" i="14"/>
  <c r="F18" i="13"/>
  <c r="AD62" i="12"/>
  <c r="AD16" i="14"/>
  <c r="AD16" i="13"/>
  <c r="R61" i="12"/>
  <c r="R15" i="14"/>
  <c r="R15" i="13"/>
  <c r="V14" i="13"/>
  <c r="V60" i="12"/>
  <c r="V14" i="14"/>
  <c r="AD58" i="12"/>
  <c r="AD12" i="14"/>
  <c r="AD12" i="13"/>
  <c r="N58" i="12"/>
  <c r="N12" i="14"/>
  <c r="N12" i="13"/>
  <c r="V56" i="12"/>
  <c r="V10" i="13"/>
  <c r="V10" i="14"/>
  <c r="F56" i="12"/>
  <c r="F10" i="13"/>
  <c r="F10" i="14"/>
  <c r="Z55" i="12"/>
  <c r="Z9" i="13"/>
  <c r="Z9" i="14"/>
  <c r="J55" i="12"/>
  <c r="J9" i="13"/>
  <c r="J9" i="14"/>
  <c r="AD54" i="12"/>
  <c r="AD8" i="14"/>
  <c r="AD8" i="13"/>
  <c r="N54" i="12"/>
  <c r="N8" i="13"/>
  <c r="N8" i="14"/>
  <c r="AH53" i="12"/>
  <c r="AH7" i="14"/>
  <c r="AH7" i="13"/>
  <c r="R53" i="12"/>
  <c r="R7" i="14"/>
  <c r="R7" i="13"/>
  <c r="B53" i="12"/>
  <c r="B7" i="14"/>
  <c r="V6" i="14"/>
  <c r="V52" i="12"/>
  <c r="V6" i="13"/>
  <c r="F52" i="12"/>
  <c r="F6" i="14"/>
  <c r="F6" i="13"/>
  <c r="Z51" i="12"/>
  <c r="Z5" i="14"/>
  <c r="Z5" i="13"/>
  <c r="J51" i="12"/>
  <c r="J5" i="14"/>
  <c r="J5" i="13"/>
  <c r="AD50" i="12"/>
  <c r="AD4" i="14"/>
  <c r="AD4" i="13"/>
  <c r="H6" i="31" s="1" a="1"/>
  <c r="H6" i="31" s="1"/>
  <c r="N50" i="12"/>
  <c r="N4" i="14"/>
  <c r="N4" i="13"/>
  <c r="AH49" i="12"/>
  <c r="AH3" i="13"/>
  <c r="AH3" i="14"/>
  <c r="AH23" i="12"/>
  <c r="R49" i="12"/>
  <c r="R3" i="13"/>
  <c r="R23" i="12"/>
  <c r="R3" i="14"/>
  <c r="B49" i="12"/>
  <c r="B3" i="14"/>
  <c r="B23" i="12"/>
  <c r="D13" i="8"/>
  <c r="C13" i="8"/>
  <c r="B30" i="8"/>
  <c r="C9" i="26"/>
  <c r="D6" i="11"/>
  <c r="C6" i="11"/>
  <c r="I6" i="11"/>
  <c r="F9" i="26" s="1"/>
  <c r="B6" i="11"/>
  <c r="AK22" i="14"/>
  <c r="AK68" i="12"/>
  <c r="AK22" i="13"/>
  <c r="U22" i="13"/>
  <c r="U22" i="14"/>
  <c r="U68" i="12"/>
  <c r="E22" i="14"/>
  <c r="E68" i="12"/>
  <c r="E22" i="13"/>
  <c r="Y21" i="14"/>
  <c r="Y21" i="13"/>
  <c r="Y67" i="12"/>
  <c r="I21" i="14"/>
  <c r="I21" i="13"/>
  <c r="I67" i="12"/>
  <c r="AC20" i="14"/>
  <c r="AC20" i="13"/>
  <c r="AC66" i="12"/>
  <c r="B8" i="10"/>
  <c r="F8" i="10"/>
  <c r="K8" i="10"/>
  <c r="Z67" i="12"/>
  <c r="Z21" i="14"/>
  <c r="Z21" i="13"/>
  <c r="AD66" i="12"/>
  <c r="AD20" i="14"/>
  <c r="AD20" i="13"/>
  <c r="R65" i="12"/>
  <c r="R19" i="14"/>
  <c r="R19" i="13"/>
  <c r="V64" i="12"/>
  <c r="V18" i="14"/>
  <c r="V18" i="13"/>
  <c r="J63" i="12"/>
  <c r="J17" i="14"/>
  <c r="J17" i="13"/>
  <c r="N62" i="12"/>
  <c r="N16" i="14"/>
  <c r="N16" i="13"/>
  <c r="B61" i="12"/>
  <c r="B15" i="14"/>
  <c r="J59" i="12"/>
  <c r="J13" i="13"/>
  <c r="J13" i="14"/>
  <c r="R57" i="12"/>
  <c r="R11" i="14"/>
  <c r="R11" i="13"/>
  <c r="G11" i="46"/>
  <c r="G9" i="44"/>
  <c r="G16" i="43"/>
  <c r="G5" i="47"/>
  <c r="G6" i="47"/>
  <c r="G16" i="44"/>
  <c r="G13" i="43"/>
  <c r="G7" i="47"/>
  <c r="G9" i="47"/>
  <c r="G6" i="46"/>
  <c r="G5" i="45"/>
  <c r="G11" i="47"/>
  <c r="G8" i="46"/>
  <c r="G7" i="45"/>
  <c r="G16" i="45"/>
  <c r="G8" i="47"/>
  <c r="G5" i="46"/>
  <c r="G12" i="47"/>
  <c r="G9" i="46"/>
  <c r="G5" i="44"/>
  <c r="G13" i="46"/>
  <c r="G9" i="45"/>
  <c r="G11" i="44"/>
  <c r="G7" i="43"/>
  <c r="G14" i="46"/>
  <c r="G10" i="45"/>
  <c r="G16" i="46"/>
  <c r="G12" i="45"/>
  <c r="G14" i="44"/>
  <c r="G10" i="43"/>
  <c r="G10" i="47"/>
  <c r="G13" i="47"/>
  <c r="G15" i="43"/>
  <c r="G15" i="47"/>
  <c r="G10" i="46"/>
  <c r="G6" i="45"/>
  <c r="G8" i="44"/>
  <c r="G5" i="43"/>
  <c r="G14" i="47"/>
  <c r="G12" i="46"/>
  <c r="G16" i="47"/>
  <c r="G15" i="46"/>
  <c r="G10" i="44"/>
  <c r="G8" i="43"/>
  <c r="G15" i="44"/>
  <c r="G12" i="43"/>
  <c r="G8" i="45"/>
  <c r="G14" i="43"/>
  <c r="G11" i="45"/>
  <c r="G14" i="45"/>
  <c r="G6" i="43"/>
  <c r="G13" i="45"/>
  <c r="G15" i="45"/>
  <c r="G11" i="43"/>
  <c r="G7" i="44"/>
  <c r="G13" i="44"/>
  <c r="G6" i="44"/>
  <c r="G12" i="44"/>
  <c r="G7" i="46"/>
  <c r="G9" i="43"/>
  <c r="B14" i="8"/>
  <c r="P27" i="8"/>
  <c r="F17" i="9"/>
  <c r="E12" i="9"/>
  <c r="O15" i="17"/>
  <c r="O17" i="17"/>
  <c r="O8" i="17"/>
  <c r="O24" i="17"/>
  <c r="O29" i="17"/>
  <c r="O31" i="17"/>
  <c r="O33" i="17"/>
  <c r="L33" i="17"/>
  <c r="O11" i="17"/>
  <c r="O13" i="17"/>
  <c r="B12" i="1"/>
  <c r="B10" i="1"/>
  <c r="L34" i="8"/>
  <c r="L2" i="8"/>
  <c r="B13" i="8"/>
  <c r="N24" i="8"/>
  <c r="H35" i="8" a="1"/>
  <c r="H35" i="8" s="1"/>
  <c r="H8" i="8" a="1"/>
  <c r="H8" i="8" s="1"/>
  <c r="M26" i="8"/>
  <c r="D14" i="9"/>
  <c r="E7" i="9"/>
  <c r="M14" i="9"/>
  <c r="P14" i="9"/>
  <c r="S2" i="9"/>
  <c r="K3" i="10"/>
  <c r="C8" i="26"/>
  <c r="C5" i="11"/>
  <c r="L5" i="11"/>
  <c r="J8" i="26" s="1"/>
  <c r="AJ22" i="14"/>
  <c r="AJ22" i="13"/>
  <c r="AJ68" i="12"/>
  <c r="T22" i="13"/>
  <c r="T22" i="14"/>
  <c r="T68" i="12"/>
  <c r="D22" i="13"/>
  <c r="D22" i="14"/>
  <c r="D68" i="12"/>
  <c r="X21" i="14"/>
  <c r="X21" i="13"/>
  <c r="X67" i="12"/>
  <c r="D16" i="32"/>
  <c r="B13" i="22"/>
  <c r="K13" i="16"/>
  <c r="G16" i="34" s="1"/>
  <c r="Y13" i="9"/>
  <c r="B29" i="8"/>
  <c r="E29" i="8"/>
  <c r="E4" i="8"/>
  <c r="F13" i="8"/>
  <c r="U2" i="8"/>
  <c r="A24" i="21"/>
  <c r="A6" i="22"/>
  <c r="C9" i="39" s="1"/>
  <c r="W6" i="9"/>
  <c r="P6" i="9"/>
  <c r="D6" i="9"/>
  <c r="Z3" i="9"/>
  <c r="T3" i="9" a="1"/>
  <c r="T3" i="9" s="1"/>
  <c r="F68" i="12"/>
  <c r="F22" i="14"/>
  <c r="F22" i="13"/>
  <c r="AH65" i="12"/>
  <c r="AH19" i="14"/>
  <c r="AH19" i="13"/>
  <c r="Z63" i="12"/>
  <c r="Z17" i="14"/>
  <c r="Z17" i="13"/>
  <c r="AH61" i="12"/>
  <c r="AH15" i="14"/>
  <c r="AH15" i="13"/>
  <c r="F14" i="13"/>
  <c r="F60" i="12"/>
  <c r="F14" i="14"/>
  <c r="AH57" i="12"/>
  <c r="AH11" i="14"/>
  <c r="AH11" i="13"/>
  <c r="P2" i="8"/>
  <c r="E26" i="8"/>
  <c r="E5" i="45" s="1" a="1"/>
  <c r="E5" i="45" s="1"/>
  <c r="F36" i="8"/>
  <c r="H36" i="8" a="1"/>
  <c r="H36" i="8" s="1"/>
  <c r="A39" i="21"/>
  <c r="A21" i="22"/>
  <c r="C24" i="39" s="1"/>
  <c r="W21" i="9"/>
  <c r="P21" i="9"/>
  <c r="D21" i="9"/>
  <c r="V21" i="9"/>
  <c r="G21" i="9"/>
  <c r="C21" i="9"/>
  <c r="AB21" i="9" a="1"/>
  <c r="AB21" i="9" s="1"/>
  <c r="A23" i="21"/>
  <c r="A5" i="22"/>
  <c r="C8" i="39" s="1"/>
  <c r="W5" i="9"/>
  <c r="P5" i="9"/>
  <c r="D5" i="9"/>
  <c r="V5" i="9"/>
  <c r="O5" i="9"/>
  <c r="G5" i="9"/>
  <c r="C5" i="9"/>
  <c r="AB5" i="9" a="1"/>
  <c r="AB5" i="9" s="1"/>
  <c r="M23" i="8"/>
  <c r="D36" i="8"/>
  <c r="F10" i="8"/>
  <c r="H33" i="8" a="1"/>
  <c r="H33" i="8" s="1"/>
  <c r="I33" i="8" s="1"/>
  <c r="H21" i="8" a="1"/>
  <c r="H21" i="8" s="1"/>
  <c r="N31" i="8"/>
  <c r="R2" i="8"/>
  <c r="E6" i="9"/>
  <c r="M12" i="9"/>
  <c r="C7" i="26"/>
  <c r="C4" i="11"/>
  <c r="I4" i="11"/>
  <c r="F7" i="26" s="1"/>
  <c r="A34" i="21"/>
  <c r="A16" i="22"/>
  <c r="C19" i="39" s="1"/>
  <c r="V16" i="9"/>
  <c r="G16" i="9"/>
  <c r="C16" i="9"/>
  <c r="AB16" i="9" a="1"/>
  <c r="AB16" i="9" s="1"/>
  <c r="W16" i="9"/>
  <c r="P16" i="9"/>
  <c r="D16" i="9"/>
  <c r="L33" i="8"/>
  <c r="V6" i="9"/>
  <c r="AB6" i="9" a="1"/>
  <c r="AB6" i="9" s="1"/>
  <c r="F32" i="8"/>
  <c r="B32" i="8"/>
  <c r="F16" i="8"/>
  <c r="R16" i="8" s="1"/>
  <c r="B16" i="8"/>
  <c r="C22" i="8"/>
  <c r="E7" i="43" s="1" a="1"/>
  <c r="E7" i="43" s="1"/>
  <c r="R35" i="8"/>
  <c r="R11" i="8"/>
  <c r="F8" i="8"/>
  <c r="R8" i="8" s="1"/>
  <c r="H6" i="8" a="1"/>
  <c r="H6" i="8" s="1"/>
  <c r="K35" i="8"/>
  <c r="A36" i="21"/>
  <c r="A18" i="22"/>
  <c r="C21" i="39" s="1"/>
  <c r="V18" i="9"/>
  <c r="G18" i="9"/>
  <c r="C18" i="9"/>
  <c r="A20" i="21"/>
  <c r="A2" i="22"/>
  <c r="V2" i="9"/>
  <c r="G2" i="9"/>
  <c r="C2" i="9"/>
  <c r="C15" i="9"/>
  <c r="D12" i="9"/>
  <c r="E5" i="9"/>
  <c r="M7" i="9"/>
  <c r="N2" i="9"/>
  <c r="O2" i="9" s="1"/>
  <c r="P12" i="9"/>
  <c r="C8" i="10"/>
  <c r="A32" i="21"/>
  <c r="A14" i="22"/>
  <c r="C17" i="39" s="1"/>
  <c r="R14" i="9"/>
  <c r="S14" i="9" s="1"/>
  <c r="N14" i="9"/>
  <c r="O14" i="9" s="1"/>
  <c r="B14" i="9"/>
  <c r="F7" i="47"/>
  <c r="Z59" i="12"/>
  <c r="Z13" i="13"/>
  <c r="Z13" i="14"/>
  <c r="B57" i="12"/>
  <c r="B11" i="14"/>
  <c r="H22" i="8" a="1"/>
  <c r="H22" i="8" s="1"/>
  <c r="N5" i="8"/>
  <c r="Z2" i="9"/>
  <c r="L17" i="8"/>
  <c r="B36" i="8"/>
  <c r="X13" i="9"/>
  <c r="G15" i="9"/>
  <c r="D31" i="8"/>
  <c r="F31" i="8"/>
  <c r="B31" i="8"/>
  <c r="D15" i="8"/>
  <c r="F15" i="8"/>
  <c r="B15" i="8"/>
  <c r="B10" i="8"/>
  <c r="M21" i="8"/>
  <c r="D10" i="8"/>
  <c r="E22" i="8"/>
  <c r="Q22" i="8" s="1"/>
  <c r="F30" i="8"/>
  <c r="E15" i="46" s="1" a="1"/>
  <c r="E15" i="46" s="1"/>
  <c r="F4" i="8"/>
  <c r="G16" i="8"/>
  <c r="H32" i="8" a="1"/>
  <c r="H32" i="8" s="1"/>
  <c r="I32" i="8" s="1"/>
  <c r="H20" i="8" a="1"/>
  <c r="H20" i="8" s="1"/>
  <c r="K34" i="8"/>
  <c r="K4" i="8"/>
  <c r="N28" i="8"/>
  <c r="A35" i="21"/>
  <c r="A17" i="22"/>
  <c r="C20" i="39" s="1"/>
  <c r="V17" i="9"/>
  <c r="G17" i="9"/>
  <c r="C17" i="9"/>
  <c r="AB17" i="9" a="1"/>
  <c r="AB17" i="9" s="1"/>
  <c r="R17" i="9"/>
  <c r="S17" i="9" s="1"/>
  <c r="N17" i="9"/>
  <c r="O17" i="9" s="1"/>
  <c r="B17" i="9"/>
  <c r="B21" i="9"/>
  <c r="C14" i="9"/>
  <c r="M6" i="9"/>
  <c r="X18" i="9"/>
  <c r="I5" i="11"/>
  <c r="F8" i="26" s="1"/>
  <c r="D8" i="26"/>
  <c r="AF22" i="14"/>
  <c r="AF22" i="13"/>
  <c r="AF68" i="12"/>
  <c r="P22" i="13"/>
  <c r="P22" i="14"/>
  <c r="P68" i="12"/>
  <c r="AJ21" i="14"/>
  <c r="AJ67" i="12"/>
  <c r="AJ21" i="13"/>
  <c r="T21" i="14"/>
  <c r="T67" i="12"/>
  <c r="T21" i="13"/>
  <c r="D21" i="13"/>
  <c r="D67" i="12"/>
  <c r="D21" i="14"/>
  <c r="X20" i="14"/>
  <c r="X66" i="12"/>
  <c r="X20" i="13"/>
  <c r="H20" i="14"/>
  <c r="H20" i="13"/>
  <c r="H66" i="12"/>
  <c r="AB19" i="13"/>
  <c r="AB19" i="14"/>
  <c r="AB65" i="12"/>
  <c r="L19" i="13"/>
  <c r="L19" i="14"/>
  <c r="L65" i="12"/>
  <c r="AF18" i="14"/>
  <c r="AF18" i="13"/>
  <c r="AF64" i="12"/>
  <c r="P18" i="13"/>
  <c r="P18" i="14"/>
  <c r="P64" i="12"/>
  <c r="AJ17" i="13"/>
  <c r="AJ63" i="12"/>
  <c r="AJ17" i="14"/>
  <c r="T17" i="14"/>
  <c r="T17" i="13"/>
  <c r="T63" i="12"/>
  <c r="D63" i="12"/>
  <c r="D17" i="14"/>
  <c r="D17" i="13"/>
  <c r="X16" i="14"/>
  <c r="X16" i="13"/>
  <c r="X62" i="12"/>
  <c r="H16" i="14"/>
  <c r="H16" i="13"/>
  <c r="H62" i="12"/>
  <c r="AB15" i="14"/>
  <c r="AB15" i="13"/>
  <c r="AB61" i="12"/>
  <c r="L15" i="14"/>
  <c r="L61" i="12"/>
  <c r="L15" i="13"/>
  <c r="AF14" i="13"/>
  <c r="AF14" i="14"/>
  <c r="AF60" i="12"/>
  <c r="P14" i="13"/>
  <c r="P14" i="14"/>
  <c r="P60" i="12"/>
  <c r="AJ13" i="14"/>
  <c r="AJ13" i="13"/>
  <c r="AJ59" i="12"/>
  <c r="T13" i="13"/>
  <c r="T13" i="14"/>
  <c r="T59" i="12"/>
  <c r="D13" i="14"/>
  <c r="D13" i="13"/>
  <c r="D59" i="12"/>
  <c r="X12" i="14"/>
  <c r="X12" i="13"/>
  <c r="X58" i="12"/>
  <c r="D7" i="26"/>
  <c r="D24" i="30" a="1"/>
  <c r="D24" i="30" s="1"/>
  <c r="E24" i="41" a="1"/>
  <c r="E24" i="41" s="1"/>
  <c r="B31" i="20" a="1"/>
  <c r="B31" i="20" s="1"/>
  <c r="D24" i="41" s="1"/>
  <c r="AE22" i="14"/>
  <c r="AL22" i="14" s="1" a="1"/>
  <c r="AL22" i="14" s="1"/>
  <c r="G24" i="30" s="1"/>
  <c r="AE22" i="13"/>
  <c r="AE68" i="12"/>
  <c r="E24" i="30" s="1" a="1"/>
  <c r="E24" i="30" s="1"/>
  <c r="O22" i="14"/>
  <c r="O22" i="13"/>
  <c r="O68" i="12"/>
  <c r="AI21" i="14"/>
  <c r="AI67" i="12"/>
  <c r="AI21" i="13"/>
  <c r="S21" i="14"/>
  <c r="S67" i="12"/>
  <c r="S21" i="13"/>
  <c r="C21" i="14"/>
  <c r="C21" i="13"/>
  <c r="C67" i="12"/>
  <c r="W20" i="14"/>
  <c r="W66" i="12"/>
  <c r="W20" i="13"/>
  <c r="G20" i="14"/>
  <c r="G20" i="13"/>
  <c r="G66" i="12"/>
  <c r="AA19" i="14"/>
  <c r="AA19" i="13"/>
  <c r="AA65" i="12"/>
  <c r="K19" i="14"/>
  <c r="K19" i="13"/>
  <c r="K65" i="12"/>
  <c r="E20" i="41" a="1"/>
  <c r="E20" i="41" s="1"/>
  <c r="B27" i="20" a="1"/>
  <c r="B27" i="20" s="1"/>
  <c r="D20" i="41" s="1"/>
  <c r="D20" i="30" a="1"/>
  <c r="D20" i="30" s="1"/>
  <c r="AE18" i="14"/>
  <c r="AE18" i="13"/>
  <c r="AE64" i="12"/>
  <c r="E20" i="30" s="1" a="1"/>
  <c r="E20" i="30" s="1"/>
  <c r="O18" i="14"/>
  <c r="O18" i="13"/>
  <c r="O64" i="12"/>
  <c r="AI17" i="14"/>
  <c r="AI17" i="13"/>
  <c r="AI63" i="12"/>
  <c r="S17" i="14"/>
  <c r="S17" i="13"/>
  <c r="S63" i="12"/>
  <c r="C17" i="14"/>
  <c r="C17" i="13"/>
  <c r="C63" i="12"/>
  <c r="W16" i="14"/>
  <c r="W62" i="12"/>
  <c r="W16" i="13"/>
  <c r="G16" i="14"/>
  <c r="G16" i="13"/>
  <c r="G62" i="12"/>
  <c r="AA15" i="14"/>
  <c r="AA15" i="13"/>
  <c r="AA61" i="12"/>
  <c r="K15" i="14"/>
  <c r="K15" i="13"/>
  <c r="K61" i="12"/>
  <c r="E13" i="44" a="1"/>
  <c r="E13" i="44" s="1"/>
  <c r="N21" i="9"/>
  <c r="O21" i="9" s="1"/>
  <c r="AB20" i="9" a="1"/>
  <c r="AB20" i="9" s="1"/>
  <c r="C12" i="27"/>
  <c r="N9" i="10"/>
  <c r="O9" i="10" s="1" a="1"/>
  <c r="O9" i="10" s="1"/>
  <c r="F9" i="10"/>
  <c r="D9" i="10"/>
  <c r="E9" i="10" s="1"/>
  <c r="B9" i="10"/>
  <c r="D8" i="10"/>
  <c r="B8" i="22"/>
  <c r="D11" i="32"/>
  <c r="K8" i="16"/>
  <c r="G11" i="34" s="1"/>
  <c r="Y8" i="9"/>
  <c r="M22" i="13"/>
  <c r="M22" i="14"/>
  <c r="M68" i="12"/>
  <c r="AK20" i="13"/>
  <c r="AK66" i="12"/>
  <c r="AK20" i="14"/>
  <c r="E20" i="13"/>
  <c r="E20" i="14"/>
  <c r="E66" i="12"/>
  <c r="AC18" i="14"/>
  <c r="AC18" i="13"/>
  <c r="AC64" i="12"/>
  <c r="AG17" i="13"/>
  <c r="AG63" i="12"/>
  <c r="AG17" i="14"/>
  <c r="U16" i="13"/>
  <c r="U16" i="14"/>
  <c r="U62" i="12"/>
  <c r="E16" i="13"/>
  <c r="E16" i="14"/>
  <c r="E62" i="12"/>
  <c r="Y15" i="14"/>
  <c r="Y61" i="12"/>
  <c r="Y15" i="13"/>
  <c r="I15" i="14"/>
  <c r="I15" i="13"/>
  <c r="I61" i="12"/>
  <c r="AC14" i="14"/>
  <c r="AC14" i="13"/>
  <c r="AC60" i="12"/>
  <c r="M14" i="13"/>
  <c r="M14" i="14"/>
  <c r="M60" i="12"/>
  <c r="AG13" i="14"/>
  <c r="AG13" i="13"/>
  <c r="AG59" i="12"/>
  <c r="Q13" i="13"/>
  <c r="Q13" i="14"/>
  <c r="Q59" i="12"/>
  <c r="AK12" i="14"/>
  <c r="AK12" i="13"/>
  <c r="AK58" i="12"/>
  <c r="U12" i="14"/>
  <c r="U12" i="13"/>
  <c r="U58" i="12"/>
  <c r="E12" i="14"/>
  <c r="E58" i="12"/>
  <c r="E12" i="13"/>
  <c r="Y11" i="13"/>
  <c r="Y11" i="14"/>
  <c r="Y57" i="12"/>
  <c r="I11" i="13"/>
  <c r="I11" i="14"/>
  <c r="I57" i="12"/>
  <c r="AC10" i="14"/>
  <c r="AC10" i="13"/>
  <c r="AC56" i="12"/>
  <c r="M10" i="14"/>
  <c r="M10" i="13"/>
  <c r="M56" i="12"/>
  <c r="AG9" i="14"/>
  <c r="AG55" i="12"/>
  <c r="AG9" i="13"/>
  <c r="Q9" i="14"/>
  <c r="Q9" i="13"/>
  <c r="Q55" i="12"/>
  <c r="AK8" i="14"/>
  <c r="AK8" i="13"/>
  <c r="AK54" i="12"/>
  <c r="C10" i="27"/>
  <c r="N7" i="10"/>
  <c r="O7" i="10" s="1" a="1"/>
  <c r="O7" i="10" s="1"/>
  <c r="F7" i="10"/>
  <c r="D7" i="10"/>
  <c r="E7" i="10" s="1"/>
  <c r="B7" i="10"/>
  <c r="N8" i="10"/>
  <c r="O8" i="10" s="1" a="1"/>
  <c r="O8" i="10" s="1"/>
  <c r="D5" i="11"/>
  <c r="Z18" i="9"/>
  <c r="E12" i="44" a="1"/>
  <c r="E12" i="44" s="1"/>
  <c r="R27" i="8"/>
  <c r="D4" i="11"/>
  <c r="I16" i="8"/>
  <c r="E14" i="8"/>
  <c r="Q14" i="8" s="1"/>
  <c r="H29" i="8" a="1"/>
  <c r="H29" i="8" s="1"/>
  <c r="N18" i="8"/>
  <c r="T8" i="8"/>
  <c r="Q21" i="13"/>
  <c r="Q21" i="14"/>
  <c r="Q67" i="12"/>
  <c r="Y19" i="14"/>
  <c r="Y65" i="12"/>
  <c r="Y19" i="13"/>
  <c r="AK16" i="13"/>
  <c r="AK16" i="14"/>
  <c r="AK62" i="12"/>
  <c r="E11" i="43" a="1"/>
  <c r="E11" i="43" s="1"/>
  <c r="N26" i="8"/>
  <c r="D10" i="32"/>
  <c r="B7" i="22"/>
  <c r="K7" i="16"/>
  <c r="G10" i="34" s="1"/>
  <c r="Y7" i="9"/>
  <c r="B23" i="1" a="1"/>
  <c r="B23" i="1" s="1"/>
  <c r="C25" i="8"/>
  <c r="L27" i="8" s="1"/>
  <c r="F25" i="8"/>
  <c r="B25" i="8"/>
  <c r="C9" i="8"/>
  <c r="D5" i="28" s="1" a="1"/>
  <c r="D5" i="28" s="1"/>
  <c r="F9" i="8"/>
  <c r="R9" i="8" s="1"/>
  <c r="B9" i="8"/>
  <c r="B26" i="8"/>
  <c r="E10" i="8"/>
  <c r="F20" i="8"/>
  <c r="E5" i="46" s="1" a="1"/>
  <c r="E5" i="46" s="1"/>
  <c r="H28" i="8" a="1"/>
  <c r="H28" i="8" s="1"/>
  <c r="I28" i="8" s="1"/>
  <c r="H14" i="8" a="1"/>
  <c r="H14" i="8" s="1"/>
  <c r="I12" i="9"/>
  <c r="R24" i="8"/>
  <c r="B24" i="8"/>
  <c r="P33" i="8"/>
  <c r="E36" i="8"/>
  <c r="E9" i="8"/>
  <c r="Q9" i="8" s="1"/>
  <c r="H27" i="8" a="1"/>
  <c r="H27" i="8" s="1"/>
  <c r="I27" i="8" s="1"/>
  <c r="E21" i="9"/>
  <c r="N16" i="9"/>
  <c r="O16" i="9" s="1"/>
  <c r="O6" i="9"/>
  <c r="L6" i="11"/>
  <c r="J9" i="26" s="1"/>
  <c r="B16" i="9"/>
  <c r="I16" i="9"/>
  <c r="AC68" i="12"/>
  <c r="AC22" i="14"/>
  <c r="AC22" i="13"/>
  <c r="AG21" i="13"/>
  <c r="AG21" i="14"/>
  <c r="AG67" i="12"/>
  <c r="U20" i="13"/>
  <c r="U20" i="14"/>
  <c r="U66" i="12"/>
  <c r="I19" i="13"/>
  <c r="I19" i="14"/>
  <c r="I65" i="12"/>
  <c r="M18" i="13"/>
  <c r="M18" i="14"/>
  <c r="M64" i="12"/>
  <c r="Q17" i="14"/>
  <c r="Q63" i="12"/>
  <c r="Q17" i="13"/>
  <c r="N10" i="8"/>
  <c r="M37" i="8"/>
  <c r="C14" i="8"/>
  <c r="D26" i="8"/>
  <c r="R3" i="8"/>
  <c r="E13" i="8"/>
  <c r="N17" i="8"/>
  <c r="R18" i="8"/>
  <c r="A30" i="21"/>
  <c r="A12" i="22"/>
  <c r="C15" i="39" s="1"/>
  <c r="R12" i="9"/>
  <c r="S12" i="9" s="1"/>
  <c r="N12" i="9"/>
  <c r="O12" i="9" s="1"/>
  <c r="B12" i="9"/>
  <c r="AB12" i="9" a="1"/>
  <c r="AB12" i="9" s="1"/>
  <c r="V12" i="9"/>
  <c r="G12" i="9"/>
  <c r="C12" i="9"/>
  <c r="Z11" i="9"/>
  <c r="T11" i="9" a="1"/>
  <c r="T11" i="9" s="1"/>
  <c r="I14" i="9"/>
  <c r="R16" i="9"/>
  <c r="S16" i="9" s="1"/>
  <c r="W14" i="9"/>
  <c r="P34" i="8"/>
  <c r="D25" i="8"/>
  <c r="Q25" i="8" s="1"/>
  <c r="C6" i="9"/>
  <c r="B24" i="1" a="1"/>
  <c r="B24" i="1" s="1"/>
  <c r="F23" i="8"/>
  <c r="B23" i="8"/>
  <c r="D23" i="8"/>
  <c r="F7" i="8"/>
  <c r="B7" i="8"/>
  <c r="D7" i="8"/>
  <c r="B20" i="8"/>
  <c r="P32" i="8"/>
  <c r="M32" i="8"/>
  <c r="N8" i="8"/>
  <c r="E8" i="8"/>
  <c r="E10" i="45" s="1" a="1"/>
  <c r="E10" i="45" s="1"/>
  <c r="H25" i="8" a="1"/>
  <c r="H25" i="8" s="1"/>
  <c r="K19" i="8"/>
  <c r="M33" i="8"/>
  <c r="B6" i="9"/>
  <c r="I6" i="9"/>
  <c r="V15" i="9"/>
  <c r="AB14" i="9" a="1"/>
  <c r="AB14" i="9" s="1"/>
  <c r="L4" i="11"/>
  <c r="J7" i="26" s="1"/>
  <c r="T33" i="8"/>
  <c r="K33" i="8"/>
  <c r="B5" i="9"/>
  <c r="I5" i="9"/>
  <c r="M21" i="9"/>
  <c r="R6" i="9"/>
  <c r="S6" i="9" s="1"/>
  <c r="V14" i="9"/>
  <c r="C6" i="27"/>
  <c r="N3" i="10"/>
  <c r="O3" i="10" s="1" a="1"/>
  <c r="O3" i="10" s="1"/>
  <c r="F3" i="10"/>
  <c r="D3" i="10"/>
  <c r="E3" i="10" s="1"/>
  <c r="B3" i="10"/>
  <c r="H30" i="8" a="1"/>
  <c r="H30" i="8" s="1"/>
  <c r="F5" i="47"/>
  <c r="N6" i="10"/>
  <c r="O6" i="10" s="1" a="1"/>
  <c r="O6" i="10" s="1"/>
  <c r="N5" i="10"/>
  <c r="O5" i="10" s="1" a="1"/>
  <c r="O5" i="10" s="1"/>
  <c r="J8" i="27" s="1"/>
  <c r="F22" i="8"/>
  <c r="B22" i="8"/>
  <c r="F6" i="8"/>
  <c r="R6" i="8" s="1"/>
  <c r="B6" i="8"/>
  <c r="E16" i="43" a="1"/>
  <c r="E16" i="43" s="1"/>
  <c r="M31" i="8"/>
  <c r="D20" i="8"/>
  <c r="E5" i="28" a="1"/>
  <c r="E5" i="28" s="1"/>
  <c r="E6" i="28" a="1"/>
  <c r="E6" i="28" s="1"/>
  <c r="E7" i="28" a="1"/>
  <c r="E7" i="28" s="1"/>
  <c r="E8" i="28" a="1"/>
  <c r="E8" i="28" s="1"/>
  <c r="E10" i="28" a="1"/>
  <c r="E10" i="28" s="1"/>
  <c r="B5" i="20"/>
  <c r="F8" i="28"/>
  <c r="E9" i="28" a="1"/>
  <c r="E9" i="28" s="1"/>
  <c r="F5" i="28"/>
  <c r="F9" i="28"/>
  <c r="H9" i="8" a="1"/>
  <c r="H9" i="8" s="1"/>
  <c r="H2" i="8" a="1"/>
  <c r="H2" i="8" s="1"/>
  <c r="I2" i="8" s="1"/>
  <c r="H10" i="8" a="1"/>
  <c r="H10" i="8" s="1"/>
  <c r="I10" i="8" s="1"/>
  <c r="H18" i="8" a="1"/>
  <c r="H18" i="8" s="1"/>
  <c r="I18" i="8" s="1"/>
  <c r="H26" i="8" a="1"/>
  <c r="H26" i="8" s="1"/>
  <c r="I26" i="8" s="1"/>
  <c r="H34" i="8" a="1"/>
  <c r="H34" i="8" s="1"/>
  <c r="I34" i="8" s="1"/>
  <c r="H7" i="8" a="1"/>
  <c r="H7" i="8" s="1"/>
  <c r="H15" i="8" a="1"/>
  <c r="H15" i="8" s="1"/>
  <c r="H23" i="8" a="1"/>
  <c r="H23" i="8" s="1"/>
  <c r="I23" i="8" s="1"/>
  <c r="H31" i="8" a="1"/>
  <c r="H31" i="8" s="1"/>
  <c r="B7" i="23" s="1" a="1"/>
  <c r="B7" i="23" s="1"/>
  <c r="C7" i="23" s="1"/>
  <c r="C30" i="8"/>
  <c r="L32" i="8" s="1"/>
  <c r="C6" i="8"/>
  <c r="R19" i="8"/>
  <c r="E30" i="8"/>
  <c r="G30" i="8" s="1"/>
  <c r="E6" i="8"/>
  <c r="Q6" i="8" s="1"/>
  <c r="F14" i="8"/>
  <c r="R14" i="8" s="1"/>
  <c r="H37" i="8" a="1"/>
  <c r="H37" i="8" s="1"/>
  <c r="I37" i="8" s="1"/>
  <c r="H24" i="8" a="1"/>
  <c r="H24" i="8" s="1"/>
  <c r="I24" i="8" s="1"/>
  <c r="H12" i="8" a="1"/>
  <c r="H12" i="8" s="1"/>
  <c r="N37" i="8"/>
  <c r="N7" i="8"/>
  <c r="P24" i="8"/>
  <c r="R12" i="8"/>
  <c r="A25" i="21"/>
  <c r="A7" i="22"/>
  <c r="C10" i="39" s="1"/>
  <c r="AB7" i="9" a="1"/>
  <c r="AB7" i="9" s="1"/>
  <c r="W7" i="9"/>
  <c r="P7" i="9"/>
  <c r="AA7" i="9" s="1"/>
  <c r="D7" i="9"/>
  <c r="V7" i="9"/>
  <c r="G7" i="9"/>
  <c r="H7" i="9" s="1"/>
  <c r="R7" i="9"/>
  <c r="S7" i="9" s="1"/>
  <c r="N7" i="9"/>
  <c r="O7" i="9" s="1"/>
  <c r="B7" i="9"/>
  <c r="X19" i="9"/>
  <c r="E16" i="9"/>
  <c r="R5" i="9"/>
  <c r="S5" i="9" s="1"/>
  <c r="T18" i="9" a="1"/>
  <c r="T18" i="9" s="1"/>
  <c r="T2" i="9" a="1"/>
  <c r="T2" i="9" s="1"/>
  <c r="C5" i="27"/>
  <c r="N2" i="10"/>
  <c r="O2" i="10" s="1" a="1"/>
  <c r="O2" i="10" s="1"/>
  <c r="F2" i="10"/>
  <c r="D2" i="10"/>
  <c r="E2" i="10" s="1"/>
  <c r="B2" i="10"/>
  <c r="K9" i="10"/>
  <c r="F46" i="12"/>
  <c r="AD46" i="12"/>
  <c r="AH46" i="12"/>
  <c r="B46" i="12"/>
  <c r="M20" i="13"/>
  <c r="M66" i="12"/>
  <c r="M20" i="14"/>
  <c r="AG19" i="13"/>
  <c r="AG19" i="14"/>
  <c r="AG65" i="12"/>
  <c r="Q19" i="13"/>
  <c r="Q65" i="12"/>
  <c r="Q19" i="14"/>
  <c r="AK18" i="13"/>
  <c r="AK18" i="14"/>
  <c r="AK64" i="12"/>
  <c r="U18" i="13"/>
  <c r="U18" i="14"/>
  <c r="U64" i="12"/>
  <c r="E18" i="14"/>
  <c r="E18" i="13"/>
  <c r="E64" i="12"/>
  <c r="Y17" i="14"/>
  <c r="Y17" i="13"/>
  <c r="Y63" i="12"/>
  <c r="I17" i="14"/>
  <c r="I17" i="13"/>
  <c r="I63" i="12"/>
  <c r="AC16" i="14"/>
  <c r="AC16" i="13"/>
  <c r="AC62" i="12"/>
  <c r="M62" i="12"/>
  <c r="M16" i="14"/>
  <c r="M16" i="13"/>
  <c r="AG15" i="14"/>
  <c r="AG61" i="12"/>
  <c r="AG15" i="13"/>
  <c r="Q15" i="13"/>
  <c r="Q61" i="12"/>
  <c r="Q15" i="14"/>
  <c r="AK14" i="14"/>
  <c r="AK14" i="13"/>
  <c r="AK60" i="12"/>
  <c r="U60" i="12"/>
  <c r="U14" i="14"/>
  <c r="U14" i="13"/>
  <c r="E10" i="14"/>
  <c r="M8" i="14"/>
  <c r="H21" i="13"/>
  <c r="H67" i="12"/>
  <c r="H21" i="14"/>
  <c r="AB20" i="14"/>
  <c r="AB66" i="12"/>
  <c r="AB20" i="13"/>
  <c r="AF19" i="14"/>
  <c r="AF19" i="13"/>
  <c r="AF65" i="12"/>
  <c r="P19" i="14"/>
  <c r="P65" i="12"/>
  <c r="P19" i="13"/>
  <c r="T18" i="13"/>
  <c r="T18" i="14"/>
  <c r="T64" i="12"/>
  <c r="H17" i="13"/>
  <c r="H17" i="14"/>
  <c r="H63" i="12"/>
  <c r="AB16" i="14"/>
  <c r="AB16" i="13"/>
  <c r="AB62" i="12"/>
  <c r="L16" i="13"/>
  <c r="L62" i="12"/>
  <c r="L16" i="14"/>
  <c r="AF15" i="13"/>
  <c r="AF15" i="14"/>
  <c r="AF61" i="12"/>
  <c r="P15" i="13"/>
  <c r="P61" i="12"/>
  <c r="P15" i="14"/>
  <c r="AJ14" i="14"/>
  <c r="AJ60" i="12"/>
  <c r="AJ14" i="13"/>
  <c r="T60" i="12"/>
  <c r="T14" i="14"/>
  <c r="T14" i="13"/>
  <c r="D14" i="14"/>
  <c r="AF11" i="14"/>
  <c r="D10" i="14"/>
  <c r="AF23" i="12"/>
  <c r="P23" i="12"/>
  <c r="L20" i="14"/>
  <c r="L20" i="13"/>
  <c r="L66" i="12"/>
  <c r="AJ18" i="13"/>
  <c r="AJ18" i="14"/>
  <c r="AJ64" i="12"/>
  <c r="D18" i="13"/>
  <c r="D18" i="14"/>
  <c r="D64" i="12"/>
  <c r="X17" i="14"/>
  <c r="X17" i="13"/>
  <c r="X63" i="12"/>
  <c r="E28" i="8"/>
  <c r="Q28" i="8" s="1"/>
  <c r="E12" i="8"/>
  <c r="A38" i="21"/>
  <c r="A20" i="22"/>
  <c r="C23" i="39" s="1"/>
  <c r="A22" i="21"/>
  <c r="A4" i="22"/>
  <c r="C7" i="39" s="1"/>
  <c r="B8" i="9"/>
  <c r="E20" i="9"/>
  <c r="E4" i="9"/>
  <c r="I20" i="9"/>
  <c r="J20" i="9" s="1"/>
  <c r="I4" i="9"/>
  <c r="M20" i="9"/>
  <c r="M4" i="9"/>
  <c r="N8" i="9"/>
  <c r="O8" i="9" s="1"/>
  <c r="R8" i="9"/>
  <c r="S8" i="9" s="1"/>
  <c r="X20" i="9"/>
  <c r="X4" i="9"/>
  <c r="C6" i="10"/>
  <c r="E6" i="10" s="1"/>
  <c r="K6" i="10"/>
  <c r="L6" i="10" s="1"/>
  <c r="H9" i="27" s="1"/>
  <c r="M6" i="10"/>
  <c r="D9" i="27" s="1"/>
  <c r="C6" i="26"/>
  <c r="AI22" i="14"/>
  <c r="AI22" i="13"/>
  <c r="AI68" i="12"/>
  <c r="S22" i="14"/>
  <c r="S22" i="13"/>
  <c r="S68" i="12"/>
  <c r="C22" i="14"/>
  <c r="C22" i="13"/>
  <c r="C68" i="12"/>
  <c r="W21" i="14"/>
  <c r="W67" i="12"/>
  <c r="W21" i="13"/>
  <c r="G21" i="14"/>
  <c r="G21" i="13"/>
  <c r="G67" i="12"/>
  <c r="AA20" i="14"/>
  <c r="AA66" i="12"/>
  <c r="AA20" i="13"/>
  <c r="E22" i="31" s="1" a="1"/>
  <c r="E22" i="31" s="1"/>
  <c r="K20" i="14"/>
  <c r="K20" i="13"/>
  <c r="K66" i="12"/>
  <c r="E21" i="41" a="1"/>
  <c r="E21" i="41" s="1"/>
  <c r="B28" i="20" a="1"/>
  <c r="B28" i="20" s="1"/>
  <c r="D21" i="41" s="1"/>
  <c r="D21" i="30" a="1"/>
  <c r="D21" i="30" s="1"/>
  <c r="AE19" i="14"/>
  <c r="AE65" i="12"/>
  <c r="E21" i="30" s="1" a="1"/>
  <c r="E21" i="30" s="1"/>
  <c r="AE19" i="13"/>
  <c r="I21" i="31" s="1" a="1"/>
  <c r="I21" i="31" s="1"/>
  <c r="O19" i="14"/>
  <c r="AI18" i="13"/>
  <c r="C18" i="13"/>
  <c r="AE15" i="13"/>
  <c r="AE23" i="12"/>
  <c r="C35" i="8"/>
  <c r="E14" i="43" s="1" a="1"/>
  <c r="E14" i="43" s="1"/>
  <c r="C19" i="8"/>
  <c r="L19" i="8" s="1"/>
  <c r="C3" i="8"/>
  <c r="E27" i="8"/>
  <c r="Q27" i="8" s="1"/>
  <c r="E11" i="8"/>
  <c r="Q11" i="8" s="1"/>
  <c r="P11" i="8"/>
  <c r="A37" i="21"/>
  <c r="A19" i="22"/>
  <c r="C22" i="39" s="1"/>
  <c r="A21" i="21"/>
  <c r="A3" i="22"/>
  <c r="C6" i="39" s="1"/>
  <c r="C11" i="9"/>
  <c r="E19" i="9"/>
  <c r="E3" i="9"/>
  <c r="G11" i="9"/>
  <c r="I19" i="9"/>
  <c r="J19" i="9" s="1"/>
  <c r="I3" i="9"/>
  <c r="M19" i="9"/>
  <c r="M3" i="9"/>
  <c r="O11" i="9"/>
  <c r="Q19" i="9"/>
  <c r="V11" i="9"/>
  <c r="C5" i="10"/>
  <c r="K5" i="10"/>
  <c r="L5" i="10" s="1"/>
  <c r="H8" i="27" s="1"/>
  <c r="M5" i="10"/>
  <c r="D8" i="27" s="1"/>
  <c r="C5" i="26"/>
  <c r="AH22" i="14"/>
  <c r="AH68" i="12"/>
  <c r="AH22" i="13"/>
  <c r="R22" i="14"/>
  <c r="R22" i="13"/>
  <c r="R68" i="12"/>
  <c r="B22" i="14"/>
  <c r="B68" i="12"/>
  <c r="V21" i="14"/>
  <c r="V21" i="13"/>
  <c r="V67" i="12"/>
  <c r="F21" i="14"/>
  <c r="F21" i="13"/>
  <c r="F67" i="12"/>
  <c r="Z20" i="14"/>
  <c r="Z66" i="12"/>
  <c r="Z20" i="13"/>
  <c r="J20" i="14"/>
  <c r="J20" i="13"/>
  <c r="J66" i="12"/>
  <c r="AD19" i="14"/>
  <c r="AD19" i="13"/>
  <c r="AD65" i="12"/>
  <c r="N19" i="14"/>
  <c r="N19" i="13"/>
  <c r="N65" i="12"/>
  <c r="AH18" i="14"/>
  <c r="AH18" i="13"/>
  <c r="AH64" i="12"/>
  <c r="R18" i="14"/>
  <c r="R18" i="13"/>
  <c r="R64" i="12"/>
  <c r="B18" i="14"/>
  <c r="B64" i="12"/>
  <c r="V17" i="14"/>
  <c r="V63" i="12"/>
  <c r="V17" i="13"/>
  <c r="F17" i="14"/>
  <c r="F17" i="13"/>
  <c r="F63" i="12"/>
  <c r="Z16" i="14"/>
  <c r="Z16" i="13"/>
  <c r="Z62" i="12"/>
  <c r="J16" i="14"/>
  <c r="J16" i="13"/>
  <c r="J62" i="12"/>
  <c r="AD15" i="14"/>
  <c r="AD61" i="12"/>
  <c r="AD15" i="13"/>
  <c r="N46" i="12"/>
  <c r="AB4" i="9" a="1"/>
  <c r="AB4" i="9" s="1"/>
  <c r="C4" i="10"/>
  <c r="K4" i="10"/>
  <c r="M4" i="10"/>
  <c r="D7" i="27" s="1"/>
  <c r="AG22" i="14"/>
  <c r="AG68" i="12"/>
  <c r="AG22" i="13"/>
  <c r="Q22" i="14"/>
  <c r="Q68" i="12"/>
  <c r="Q22" i="13"/>
  <c r="AK21" i="14"/>
  <c r="AK67" i="12"/>
  <c r="AK21" i="13"/>
  <c r="U21" i="14"/>
  <c r="U21" i="13"/>
  <c r="U67" i="12"/>
  <c r="E21" i="14"/>
  <c r="E21" i="13"/>
  <c r="E67" i="12"/>
  <c r="Y20" i="14"/>
  <c r="Y20" i="13"/>
  <c r="Y66" i="12"/>
  <c r="I20" i="14"/>
  <c r="I20" i="13"/>
  <c r="I66" i="12"/>
  <c r="AC19" i="14"/>
  <c r="AC19" i="13"/>
  <c r="G21" i="31" s="1" a="1"/>
  <c r="G21" i="31" s="1"/>
  <c r="AC65" i="12"/>
  <c r="M19" i="14"/>
  <c r="M19" i="13"/>
  <c r="M65" i="12"/>
  <c r="AG18" i="14"/>
  <c r="AG18" i="13"/>
  <c r="AG64" i="12"/>
  <c r="Q18" i="14"/>
  <c r="Q64" i="12"/>
  <c r="Q18" i="13"/>
  <c r="AK17" i="14"/>
  <c r="AK17" i="13"/>
  <c r="AK63" i="12"/>
  <c r="U17" i="14"/>
  <c r="U63" i="12"/>
  <c r="U17" i="13"/>
  <c r="I16" i="13"/>
  <c r="AK13" i="13"/>
  <c r="AG10" i="13"/>
  <c r="M7" i="13"/>
  <c r="AC23" i="12"/>
  <c r="H12" i="14"/>
  <c r="H12" i="13"/>
  <c r="H58" i="12"/>
  <c r="AB11" i="13"/>
  <c r="AB11" i="14"/>
  <c r="AB57" i="12"/>
  <c r="L11" i="14"/>
  <c r="L11" i="13"/>
  <c r="L57" i="12"/>
  <c r="AF10" i="13"/>
  <c r="AF10" i="14"/>
  <c r="AF56" i="12"/>
  <c r="P10" i="14"/>
  <c r="P10" i="13"/>
  <c r="P56" i="12"/>
  <c r="AJ55" i="12"/>
  <c r="AJ9" i="14"/>
  <c r="AJ9" i="13"/>
  <c r="T9" i="14"/>
  <c r="T9" i="13"/>
  <c r="T55" i="12"/>
  <c r="D9" i="14"/>
  <c r="D9" i="13"/>
  <c r="D55" i="12"/>
  <c r="X8" i="13"/>
  <c r="X8" i="14"/>
  <c r="X54" i="12"/>
  <c r="H8" i="13"/>
  <c r="H54" i="12"/>
  <c r="H8" i="14"/>
  <c r="AB7" i="13"/>
  <c r="F9" i="31" s="1" a="1"/>
  <c r="F9" i="31" s="1"/>
  <c r="AB7" i="14"/>
  <c r="AB53" i="12"/>
  <c r="L7" i="13"/>
  <c r="L7" i="14"/>
  <c r="L53" i="12"/>
  <c r="AF6" i="14"/>
  <c r="AF6" i="13"/>
  <c r="AF52" i="12"/>
  <c r="P6" i="14"/>
  <c r="P52" i="12"/>
  <c r="P6" i="13"/>
  <c r="AJ5" i="13"/>
  <c r="AJ5" i="14"/>
  <c r="AJ51" i="12"/>
  <c r="T5" i="13"/>
  <c r="T5" i="14"/>
  <c r="T51" i="12"/>
  <c r="D5" i="13"/>
  <c r="D5" i="14"/>
  <c r="D51" i="12"/>
  <c r="X4" i="13"/>
  <c r="X4" i="14"/>
  <c r="X50" i="12"/>
  <c r="H4" i="13"/>
  <c r="H4" i="14"/>
  <c r="H50" i="12"/>
  <c r="AB3" i="14"/>
  <c r="AB3" i="13"/>
  <c r="AB23" i="12"/>
  <c r="AB49" i="12"/>
  <c r="L3" i="14"/>
  <c r="L3" i="13"/>
  <c r="L23" i="12"/>
  <c r="L49" i="12"/>
  <c r="D16" i="30" a="1"/>
  <c r="D16" i="30" s="1"/>
  <c r="E16" i="41" a="1"/>
  <c r="E16" i="41" s="1"/>
  <c r="B23" i="20" a="1"/>
  <c r="B23" i="20" s="1"/>
  <c r="D16" i="41" s="1"/>
  <c r="AE14" i="14"/>
  <c r="AE14" i="13"/>
  <c r="AE60" i="12"/>
  <c r="O14" i="14"/>
  <c r="O60" i="12"/>
  <c r="O14" i="13"/>
  <c r="AI13" i="14"/>
  <c r="AI13" i="13"/>
  <c r="AI59" i="12"/>
  <c r="S13" i="14"/>
  <c r="S13" i="13"/>
  <c r="S59" i="12"/>
  <c r="C13" i="14"/>
  <c r="C13" i="13"/>
  <c r="C59" i="12"/>
  <c r="W12" i="14"/>
  <c r="W12" i="13"/>
  <c r="W58" i="12"/>
  <c r="G12" i="14"/>
  <c r="G58" i="12"/>
  <c r="G12" i="13"/>
  <c r="AA11" i="14"/>
  <c r="AA11" i="13"/>
  <c r="AA57" i="12"/>
  <c r="K11" i="14"/>
  <c r="K11" i="13"/>
  <c r="K57" i="12"/>
  <c r="E12" i="41" a="1"/>
  <c r="E12" i="41" s="1"/>
  <c r="D12" i="30" a="1"/>
  <c r="D12" i="30" s="1"/>
  <c r="B19" i="20" a="1"/>
  <c r="B19" i="20" s="1"/>
  <c r="D12" i="41" s="1"/>
  <c r="AE10" i="14"/>
  <c r="AE10" i="13"/>
  <c r="AE56" i="12"/>
  <c r="O10" i="14"/>
  <c r="O10" i="13"/>
  <c r="O56" i="12"/>
  <c r="AI9" i="14"/>
  <c r="AI9" i="13"/>
  <c r="AI55" i="12"/>
  <c r="S55" i="12"/>
  <c r="S9" i="14"/>
  <c r="S9" i="13"/>
  <c r="C9" i="14"/>
  <c r="C9" i="13"/>
  <c r="C55" i="12"/>
  <c r="W8" i="14"/>
  <c r="W8" i="13"/>
  <c r="W54" i="12"/>
  <c r="G8" i="14"/>
  <c r="G8" i="13"/>
  <c r="G54" i="12"/>
  <c r="AA7" i="13"/>
  <c r="AA7" i="14"/>
  <c r="AA53" i="12"/>
  <c r="K7" i="13"/>
  <c r="K7" i="14"/>
  <c r="K53" i="12"/>
  <c r="E8" i="41" a="1"/>
  <c r="E8" i="41" s="1"/>
  <c r="B15" i="20" a="1"/>
  <c r="B15" i="20" s="1"/>
  <c r="D8" i="41" s="1"/>
  <c r="D8" i="30" a="1"/>
  <c r="D8" i="30" s="1"/>
  <c r="AE6" i="13"/>
  <c r="AE6" i="14"/>
  <c r="AL6" i="14" s="1" a="1"/>
  <c r="AL6" i="14" s="1"/>
  <c r="G8" i="30" s="1"/>
  <c r="AE52" i="12"/>
  <c r="O6" i="13"/>
  <c r="O6" i="14"/>
  <c r="O52" i="12"/>
  <c r="AI5" i="14"/>
  <c r="AI51" i="12"/>
  <c r="AI5" i="13"/>
  <c r="S5" i="13"/>
  <c r="S51" i="12"/>
  <c r="S5" i="14"/>
  <c r="C5" i="14"/>
  <c r="C5" i="13"/>
  <c r="C51" i="12"/>
  <c r="D6" i="26"/>
  <c r="AD22" i="14"/>
  <c r="AD22" i="13"/>
  <c r="H24" i="31" s="1" a="1"/>
  <c r="H24" i="31" s="1"/>
  <c r="AD68" i="12"/>
  <c r="N22" i="14"/>
  <c r="N22" i="13"/>
  <c r="N68" i="12"/>
  <c r="AH21" i="14"/>
  <c r="AH21" i="13"/>
  <c r="AH67" i="12"/>
  <c r="R21" i="14"/>
  <c r="R21" i="13"/>
  <c r="R67" i="12"/>
  <c r="B21" i="14"/>
  <c r="B67" i="12"/>
  <c r="V20" i="14"/>
  <c r="V20" i="13"/>
  <c r="V66" i="12"/>
  <c r="F20" i="14"/>
  <c r="F20" i="13"/>
  <c r="F66" i="12"/>
  <c r="Z19" i="14"/>
  <c r="Z65" i="12"/>
  <c r="Z19" i="13"/>
  <c r="J19" i="14"/>
  <c r="J19" i="13"/>
  <c r="J65" i="12"/>
  <c r="AD18" i="14"/>
  <c r="AD18" i="13"/>
  <c r="H20" i="31" s="1" a="1"/>
  <c r="H20" i="31" s="1"/>
  <c r="AD64" i="12"/>
  <c r="N18" i="14"/>
  <c r="N64" i="12"/>
  <c r="N18" i="13"/>
  <c r="AH17" i="14"/>
  <c r="AH17" i="13"/>
  <c r="AH63" i="12"/>
  <c r="R17" i="14"/>
  <c r="R17" i="13"/>
  <c r="R63" i="12"/>
  <c r="B17" i="14"/>
  <c r="B63" i="12"/>
  <c r="V16" i="14"/>
  <c r="V16" i="13"/>
  <c r="V62" i="12"/>
  <c r="F16" i="14"/>
  <c r="F62" i="12"/>
  <c r="F16" i="13"/>
  <c r="Z15" i="14"/>
  <c r="Z15" i="13"/>
  <c r="Z61" i="12"/>
  <c r="J15" i="14"/>
  <c r="R13" i="13"/>
  <c r="J7" i="14"/>
  <c r="U54" i="12"/>
  <c r="U8" i="14"/>
  <c r="U8" i="13"/>
  <c r="E8" i="14"/>
  <c r="E54" i="12"/>
  <c r="E8" i="13"/>
  <c r="Y7" i="14"/>
  <c r="Y7" i="13"/>
  <c r="Y53" i="12"/>
  <c r="I7" i="14"/>
  <c r="I7" i="13"/>
  <c r="I53" i="12"/>
  <c r="AC6" i="13"/>
  <c r="AC6" i="14"/>
  <c r="AC52" i="12"/>
  <c r="M52" i="12"/>
  <c r="M6" i="13"/>
  <c r="M6" i="14"/>
  <c r="AG5" i="13"/>
  <c r="AG5" i="14"/>
  <c r="AG51" i="12"/>
  <c r="Q5" i="13"/>
  <c r="Q5" i="14"/>
  <c r="Q51" i="12"/>
  <c r="AK4" i="13"/>
  <c r="AK4" i="14"/>
  <c r="AK50" i="12"/>
  <c r="U4" i="13"/>
  <c r="U50" i="12"/>
  <c r="U4" i="14"/>
  <c r="E4" i="13"/>
  <c r="E4" i="14"/>
  <c r="E50" i="12"/>
  <c r="Y3" i="14"/>
  <c r="Y23" i="12"/>
  <c r="Y49" i="12"/>
  <c r="Y3" i="13"/>
  <c r="I3" i="13"/>
  <c r="I3" i="14"/>
  <c r="I23" i="12"/>
  <c r="I49" i="12"/>
  <c r="E37" i="8"/>
  <c r="E21" i="8"/>
  <c r="E5" i="8"/>
  <c r="Q5" i="8" s="1"/>
  <c r="A31" i="21"/>
  <c r="A13" i="22"/>
  <c r="C16" i="39" s="1"/>
  <c r="E13" i="9"/>
  <c r="I13" i="9"/>
  <c r="J13" i="9" s="1"/>
  <c r="M13" i="9"/>
  <c r="AB22" i="14"/>
  <c r="AB22" i="13"/>
  <c r="AB68" i="12"/>
  <c r="L68" i="12"/>
  <c r="L22" i="14"/>
  <c r="L22" i="13"/>
  <c r="AF21" i="14"/>
  <c r="AF21" i="13"/>
  <c r="AF67" i="12"/>
  <c r="P21" i="13"/>
  <c r="P21" i="14"/>
  <c r="P67" i="12"/>
  <c r="AJ20" i="13"/>
  <c r="AJ66" i="12"/>
  <c r="AJ20" i="14"/>
  <c r="T20" i="13"/>
  <c r="T20" i="14"/>
  <c r="T66" i="12"/>
  <c r="D20" i="13"/>
  <c r="D20" i="14"/>
  <c r="D66" i="12"/>
  <c r="X19" i="13"/>
  <c r="X19" i="14"/>
  <c r="X65" i="12"/>
  <c r="H19" i="13"/>
  <c r="H19" i="14"/>
  <c r="H65" i="12"/>
  <c r="AB18" i="13"/>
  <c r="AB18" i="14"/>
  <c r="AB64" i="12"/>
  <c r="L18" i="14"/>
  <c r="L18" i="13"/>
  <c r="L64" i="12"/>
  <c r="AF17" i="13"/>
  <c r="AF63" i="12"/>
  <c r="AF17" i="14"/>
  <c r="P17" i="14"/>
  <c r="P63" i="12"/>
  <c r="P17" i="13"/>
  <c r="AJ16" i="14"/>
  <c r="K22" i="14"/>
  <c r="K22" i="13"/>
  <c r="K68" i="12"/>
  <c r="E23" i="41" a="1"/>
  <c r="E23" i="41" s="1"/>
  <c r="D23" i="30" a="1"/>
  <c r="D23" i="30" s="1"/>
  <c r="B30" i="20" a="1"/>
  <c r="B30" i="20" s="1"/>
  <c r="D23" i="41" s="1"/>
  <c r="AE67" i="12"/>
  <c r="AE21" i="14"/>
  <c r="AE21" i="13"/>
  <c r="O21" i="14"/>
  <c r="O67" i="12"/>
  <c r="O21" i="13"/>
  <c r="AI20" i="14"/>
  <c r="AI66" i="12"/>
  <c r="AI20" i="13"/>
  <c r="S20" i="14"/>
  <c r="S20" i="13"/>
  <c r="S66" i="12"/>
  <c r="C20" i="14"/>
  <c r="C20" i="13"/>
  <c r="C66" i="12"/>
  <c r="W19" i="13"/>
  <c r="W19" i="14"/>
  <c r="W65" i="12"/>
  <c r="G19" i="13"/>
  <c r="G19" i="14"/>
  <c r="G65" i="12"/>
  <c r="AA18" i="13"/>
  <c r="AA64" i="12"/>
  <c r="AA18" i="14"/>
  <c r="K18" i="13"/>
  <c r="K18" i="14"/>
  <c r="K64" i="12"/>
  <c r="D19" i="30" a="1"/>
  <c r="D19" i="30" s="1"/>
  <c r="B26" i="20" a="1"/>
  <c r="B26" i="20" s="1"/>
  <c r="D19" i="41" s="1"/>
  <c r="E19" i="41" a="1"/>
  <c r="E19" i="41" s="1"/>
  <c r="AE63" i="12"/>
  <c r="AE17" i="13"/>
  <c r="I19" i="31" s="1" a="1"/>
  <c r="I19" i="31" s="1"/>
  <c r="AE17" i="14"/>
  <c r="O17" i="14"/>
  <c r="O17" i="13"/>
  <c r="O63" i="12"/>
  <c r="AI16" i="14"/>
  <c r="AI62" i="12"/>
  <c r="AI16" i="13"/>
  <c r="S16" i="13"/>
  <c r="S16" i="14"/>
  <c r="S62" i="12"/>
  <c r="C16" i="13"/>
  <c r="C16" i="14"/>
  <c r="C62" i="12"/>
  <c r="W15" i="14"/>
  <c r="W15" i="13"/>
  <c r="W61" i="12"/>
  <c r="G15" i="14"/>
  <c r="G15" i="13"/>
  <c r="G61" i="12"/>
  <c r="B19" i="22"/>
  <c r="D22" i="32"/>
  <c r="K19" i="16"/>
  <c r="G22" i="34" s="1"/>
  <c r="I11" i="9"/>
  <c r="Z22" i="14"/>
  <c r="Z22" i="13"/>
  <c r="D24" i="31" s="1" a="1"/>
  <c r="D24" i="31" s="1"/>
  <c r="Z68" i="12"/>
  <c r="J22" i="14"/>
  <c r="J22" i="13"/>
  <c r="J68" i="12"/>
  <c r="AD21" i="13"/>
  <c r="AD67" i="12"/>
  <c r="AD21" i="14"/>
  <c r="N67" i="12"/>
  <c r="N21" i="14"/>
  <c r="N21" i="13"/>
  <c r="AH20" i="13"/>
  <c r="AH20" i="14"/>
  <c r="AH66" i="12"/>
  <c r="R20" i="14"/>
  <c r="R66" i="12"/>
  <c r="R20" i="13"/>
  <c r="B20" i="14"/>
  <c r="B66" i="12"/>
  <c r="V19" i="13"/>
  <c r="V19" i="14"/>
  <c r="V65" i="12"/>
  <c r="F19" i="14"/>
  <c r="F19" i="13"/>
  <c r="F65" i="12"/>
  <c r="Z18" i="13"/>
  <c r="Z64" i="12"/>
  <c r="Z18" i="14"/>
  <c r="J18" i="13"/>
  <c r="J18" i="14"/>
  <c r="J64" i="12"/>
  <c r="AD17" i="13"/>
  <c r="AD17" i="14"/>
  <c r="AD63" i="12"/>
  <c r="N17" i="13"/>
  <c r="N17" i="14"/>
  <c r="N63" i="12"/>
  <c r="AH16" i="14"/>
  <c r="AH16" i="13"/>
  <c r="AH62" i="12"/>
  <c r="R16" i="14"/>
  <c r="R16" i="13"/>
  <c r="R62" i="12"/>
  <c r="B16" i="14"/>
  <c r="B62" i="12"/>
  <c r="V15" i="14"/>
  <c r="Z14" i="14"/>
  <c r="B12" i="14"/>
  <c r="V46" i="12"/>
  <c r="F6" i="47"/>
  <c r="B4" i="10"/>
  <c r="D4" i="10"/>
  <c r="F4" i="10"/>
  <c r="N4" i="10"/>
  <c r="O4" i="10" s="1" a="1"/>
  <c r="O4" i="10" s="1"/>
  <c r="C3" i="11"/>
  <c r="Y22" i="14"/>
  <c r="Y22" i="13"/>
  <c r="Y68" i="12"/>
  <c r="I22" i="14"/>
  <c r="I22" i="13"/>
  <c r="I68" i="12"/>
  <c r="AC21" i="13"/>
  <c r="AC67" i="12"/>
  <c r="AC21" i="14"/>
  <c r="M21" i="13"/>
  <c r="Q20" i="13"/>
  <c r="U19" i="14"/>
  <c r="U15" i="14"/>
  <c r="Y14" i="14"/>
  <c r="E11" i="14"/>
  <c r="Q4" i="14"/>
  <c r="AK23" i="12"/>
  <c r="AA22" i="14"/>
  <c r="AA22" i="13"/>
  <c r="E24" i="31" s="1" a="1"/>
  <c r="E24" i="31" s="1"/>
  <c r="AA68" i="12"/>
  <c r="D6" i="29" a="1"/>
  <c r="D6" i="29" s="1"/>
  <c r="E35" i="8"/>
  <c r="Q35" i="8" s="1"/>
  <c r="E19" i="8"/>
  <c r="Q19" i="8" s="1"/>
  <c r="E3" i="8"/>
  <c r="Q3" i="8" s="1"/>
  <c r="N27" i="8"/>
  <c r="A29" i="21"/>
  <c r="A11" i="22"/>
  <c r="C14" i="39" s="1"/>
  <c r="M11" i="9"/>
  <c r="F12" i="47"/>
  <c r="C6" i="23" a="1"/>
  <c r="C6" i="23" s="1"/>
  <c r="E9" i="24" s="1"/>
  <c r="C3" i="23" a="1"/>
  <c r="C3" i="23" s="1"/>
  <c r="E6" i="24" s="1"/>
  <c r="E34" i="8"/>
  <c r="E18" i="8"/>
  <c r="Q18" i="8" s="1"/>
  <c r="E2" i="8"/>
  <c r="Q2" i="8" s="1"/>
  <c r="A28" i="21"/>
  <c r="A10" i="22"/>
  <c r="C13" i="39" s="1"/>
  <c r="E10" i="9"/>
  <c r="I10" i="9"/>
  <c r="M10" i="9"/>
  <c r="B37" i="8"/>
  <c r="B21" i="8"/>
  <c r="B5" i="8"/>
  <c r="E33" i="8"/>
  <c r="E17" i="8"/>
  <c r="F37" i="8"/>
  <c r="R37" i="8" s="1"/>
  <c r="F21" i="8"/>
  <c r="F5" i="8"/>
  <c r="R5" i="8" s="1"/>
  <c r="A27" i="21"/>
  <c r="A9" i="22"/>
  <c r="C12" i="39" s="1"/>
  <c r="B13" i="9"/>
  <c r="E9" i="9"/>
  <c r="I9" i="9"/>
  <c r="M9" i="9"/>
  <c r="N13" i="9"/>
  <c r="O13" i="9" s="1"/>
  <c r="R13" i="9"/>
  <c r="S13" i="9" s="1"/>
  <c r="C2" i="11"/>
  <c r="X22" i="14"/>
  <c r="X22" i="13"/>
  <c r="X68" i="12"/>
  <c r="H22" i="14"/>
  <c r="H22" i="13"/>
  <c r="H68" i="12"/>
  <c r="AB21" i="14"/>
  <c r="AB21" i="13"/>
  <c r="AB67" i="12"/>
  <c r="L21" i="14"/>
  <c r="L21" i="13"/>
  <c r="L67" i="12"/>
  <c r="AF20" i="14"/>
  <c r="AF66" i="12"/>
  <c r="AF20" i="13"/>
  <c r="P20" i="14"/>
  <c r="P66" i="12"/>
  <c r="P20" i="13"/>
  <c r="AJ19" i="14"/>
  <c r="AJ19" i="13"/>
  <c r="AJ65" i="12"/>
  <c r="T19" i="14"/>
  <c r="T65" i="12"/>
  <c r="T19" i="13"/>
  <c r="D19" i="14"/>
  <c r="D19" i="13"/>
  <c r="D65" i="12"/>
  <c r="X18" i="14"/>
  <c r="X64" i="12"/>
  <c r="X18" i="13"/>
  <c r="H18" i="14"/>
  <c r="H18" i="13"/>
  <c r="H64" i="12"/>
  <c r="AJ23" i="12"/>
  <c r="A26" i="21"/>
  <c r="A8" i="22"/>
  <c r="C11" i="39" s="1"/>
  <c r="E8" i="9"/>
  <c r="I8" i="9"/>
  <c r="J8" i="9" s="1"/>
  <c r="M8" i="9"/>
  <c r="W22" i="14"/>
  <c r="W22" i="13"/>
  <c r="W68" i="12"/>
  <c r="G22" i="13"/>
  <c r="G22" i="14"/>
  <c r="G68" i="12"/>
  <c r="AA21" i="13"/>
  <c r="AA67" i="12"/>
  <c r="AA21" i="14"/>
  <c r="K21" i="13"/>
  <c r="K21" i="14"/>
  <c r="K67" i="12"/>
  <c r="E22" i="41" a="1"/>
  <c r="E22" i="41" s="1"/>
  <c r="D22" i="30" a="1"/>
  <c r="D22" i="30" s="1"/>
  <c r="B29" i="20" a="1"/>
  <c r="B29" i="20" s="1"/>
  <c r="D22" i="41" s="1"/>
  <c r="AE20" i="13"/>
  <c r="AE20" i="14"/>
  <c r="AE66" i="12"/>
  <c r="O20" i="13"/>
  <c r="O66" i="12"/>
  <c r="O20" i="14"/>
  <c r="AI65" i="12"/>
  <c r="AI19" i="14"/>
  <c r="AI19" i="13"/>
  <c r="S19" i="14"/>
  <c r="S65" i="12"/>
  <c r="S19" i="13"/>
  <c r="C19" i="14"/>
  <c r="C19" i="13"/>
  <c r="C65" i="12"/>
  <c r="W18" i="14"/>
  <c r="W64" i="12"/>
  <c r="W18" i="13"/>
  <c r="G18" i="14"/>
  <c r="G18" i="13"/>
  <c r="G64" i="12"/>
  <c r="AA17" i="14"/>
  <c r="AA17" i="13"/>
  <c r="AA63" i="12"/>
  <c r="K17" i="14"/>
  <c r="K17" i="13"/>
  <c r="K63" i="12"/>
  <c r="B25" i="20" a="1"/>
  <c r="B25" i="20" s="1"/>
  <c r="D18" i="41" s="1"/>
  <c r="D18" i="30" a="1"/>
  <c r="D18" i="30" s="1"/>
  <c r="E18" i="41" a="1"/>
  <c r="E18" i="41" s="1"/>
  <c r="AE16" i="14"/>
  <c r="AL16" i="14" s="1" a="1"/>
  <c r="AL16" i="14" s="1"/>
  <c r="G18" i="30" s="1"/>
  <c r="AE16" i="13"/>
  <c r="I18" i="31" s="1" a="1"/>
  <c r="I18" i="31" s="1"/>
  <c r="AE62" i="12"/>
  <c r="O16" i="13"/>
  <c r="O62" i="12"/>
  <c r="O16" i="14"/>
  <c r="AE8" i="13"/>
  <c r="O4" i="13"/>
  <c r="AI23" i="12"/>
  <c r="S23" i="12"/>
  <c r="C3" i="13"/>
  <c r="M67" i="12"/>
  <c r="Y59" i="12"/>
  <c r="F59" i="12"/>
  <c r="Q53" i="12"/>
  <c r="Y51" i="12"/>
  <c r="AI49" i="12"/>
  <c r="X23" i="12"/>
  <c r="K9" i="13"/>
  <c r="AK11" i="14"/>
  <c r="C24" i="17"/>
  <c r="D24" i="17"/>
  <c r="W4" i="13"/>
  <c r="W4" i="14"/>
  <c r="G4" i="13"/>
  <c r="G4" i="14"/>
  <c r="AA3" i="13"/>
  <c r="AA3" i="14"/>
  <c r="K3" i="14"/>
  <c r="K3" i="13"/>
  <c r="AA46" i="12"/>
  <c r="K46" i="12"/>
  <c r="J61" i="12"/>
  <c r="X59" i="12"/>
  <c r="B58" i="12"/>
  <c r="AG56" i="12"/>
  <c r="F55" i="12"/>
  <c r="P53" i="12"/>
  <c r="AF49" i="12"/>
  <c r="AI14" i="13"/>
  <c r="J4" i="13"/>
  <c r="AG11" i="14"/>
  <c r="I8" i="14"/>
  <c r="Q3" i="14"/>
  <c r="D11" i="34"/>
  <c r="AD14" i="14"/>
  <c r="AD14" i="13"/>
  <c r="H16" i="31" s="1" a="1"/>
  <c r="H16" i="31" s="1"/>
  <c r="N14" i="14"/>
  <c r="AH13" i="14"/>
  <c r="R13" i="14"/>
  <c r="B13" i="14"/>
  <c r="V12" i="14"/>
  <c r="V12" i="13"/>
  <c r="F12" i="14"/>
  <c r="F12" i="13"/>
  <c r="F58" i="12"/>
  <c r="Z11" i="14"/>
  <c r="Z11" i="13"/>
  <c r="D13" i="31" s="1" a="1"/>
  <c r="D13" i="31" s="1"/>
  <c r="J11" i="14"/>
  <c r="AD10" i="14"/>
  <c r="N10" i="14"/>
  <c r="N10" i="13"/>
  <c r="AH9" i="14"/>
  <c r="R9" i="14"/>
  <c r="B55" i="12"/>
  <c r="B9" i="14"/>
  <c r="V8" i="14"/>
  <c r="F8" i="14"/>
  <c r="Z7" i="14"/>
  <c r="Z7" i="13"/>
  <c r="AD6" i="13"/>
  <c r="AD6" i="14"/>
  <c r="N6" i="13"/>
  <c r="N6" i="14"/>
  <c r="AH5" i="13"/>
  <c r="AH5" i="14"/>
  <c r="R5" i="13"/>
  <c r="R5" i="14"/>
  <c r="R51" i="12"/>
  <c r="B5" i="14"/>
  <c r="B51" i="12"/>
  <c r="F4" i="13"/>
  <c r="F4" i="14"/>
  <c r="Z3" i="13"/>
  <c r="Z3" i="14"/>
  <c r="J3" i="13"/>
  <c r="J3" i="14"/>
  <c r="Z46" i="12"/>
  <c r="J46" i="12"/>
  <c r="I62" i="12"/>
  <c r="Z60" i="12"/>
  <c r="Q57" i="12"/>
  <c r="M53" i="12"/>
  <c r="Q50" i="12"/>
  <c r="AE49" i="12"/>
  <c r="E5" i="30" s="1" a="1"/>
  <c r="E5" i="30" s="1"/>
  <c r="Z14" i="13"/>
  <c r="U10" i="13"/>
  <c r="Y18" i="14"/>
  <c r="C17" i="34"/>
  <c r="O14" i="16"/>
  <c r="C14" i="16"/>
  <c r="H14" i="16" s="1"/>
  <c r="E17" i="34" s="1"/>
  <c r="B14" i="16"/>
  <c r="D17" i="34" s="1"/>
  <c r="G14" i="16"/>
  <c r="D14" i="16"/>
  <c r="C23" i="40"/>
  <c r="B29" i="19"/>
  <c r="D23" i="40" s="1"/>
  <c r="E23" i="40" s="1"/>
  <c r="Y60" i="12"/>
  <c r="B59" i="12"/>
  <c r="K56" i="12"/>
  <c r="AC49" i="12"/>
  <c r="Q23" i="12"/>
  <c r="U19" i="13"/>
  <c r="X14" i="13"/>
  <c r="J7" i="13"/>
  <c r="AC3" i="13"/>
  <c r="F11" i="14"/>
  <c r="P7" i="14"/>
  <c r="T16" i="14"/>
  <c r="D16" i="13"/>
  <c r="D16" i="14"/>
  <c r="X15" i="13"/>
  <c r="X15" i="14"/>
  <c r="H15" i="13"/>
  <c r="H61" i="12"/>
  <c r="H15" i="14"/>
  <c r="AB14" i="14"/>
  <c r="AB14" i="13"/>
  <c r="L14" i="13"/>
  <c r="L14" i="14"/>
  <c r="AF13" i="14"/>
  <c r="AF13" i="13"/>
  <c r="P13" i="14"/>
  <c r="AJ12" i="14"/>
  <c r="AJ12" i="13"/>
  <c r="T12" i="14"/>
  <c r="D12" i="14"/>
  <c r="X11" i="13"/>
  <c r="X11" i="14"/>
  <c r="H11" i="14"/>
  <c r="H11" i="13"/>
  <c r="H57" i="12"/>
  <c r="AB10" i="13"/>
  <c r="F12" i="31" s="1" a="1"/>
  <c r="F12" i="31" s="1"/>
  <c r="AB10" i="14"/>
  <c r="L10" i="13"/>
  <c r="L10" i="14"/>
  <c r="AF9" i="13"/>
  <c r="AF9" i="14"/>
  <c r="P9" i="14"/>
  <c r="AJ8" i="14"/>
  <c r="AJ8" i="13"/>
  <c r="T8" i="14"/>
  <c r="T8" i="13"/>
  <c r="D54" i="12"/>
  <c r="D8" i="14"/>
  <c r="X7" i="14"/>
  <c r="X7" i="13"/>
  <c r="H7" i="14"/>
  <c r="H7" i="13"/>
  <c r="AB6" i="14"/>
  <c r="AF5" i="14"/>
  <c r="P5" i="14"/>
  <c r="P5" i="13"/>
  <c r="AJ4" i="13"/>
  <c r="AJ4" i="14"/>
  <c r="T4" i="13"/>
  <c r="T4" i="14"/>
  <c r="T50" i="12"/>
  <c r="D4" i="13"/>
  <c r="D4" i="14"/>
  <c r="D50" i="12"/>
  <c r="H3" i="13"/>
  <c r="H3" i="14"/>
  <c r="H46" i="12"/>
  <c r="X61" i="12"/>
  <c r="D60" i="12"/>
  <c r="N57" i="12"/>
  <c r="E13" i="30" s="1" a="1"/>
  <c r="E13" i="30" s="1"/>
  <c r="AD56" i="12"/>
  <c r="H56" i="12"/>
  <c r="W55" i="12"/>
  <c r="O50" i="12"/>
  <c r="AG11" i="13"/>
  <c r="I10" i="13"/>
  <c r="C10" i="40"/>
  <c r="B16" i="19"/>
  <c r="D10" i="40" s="1"/>
  <c r="E10" i="40" s="1"/>
  <c r="AA14" i="13"/>
  <c r="AA14" i="14"/>
  <c r="AA60" i="12"/>
  <c r="K14" i="13"/>
  <c r="K14" i="14"/>
  <c r="E15" i="41" a="1"/>
  <c r="E15" i="41" s="1"/>
  <c r="D15" i="30" a="1"/>
  <c r="D15" i="30" s="1"/>
  <c r="B22" i="20" a="1"/>
  <c r="B22" i="20" s="1"/>
  <c r="D15" i="41" s="1"/>
  <c r="AE13" i="14"/>
  <c r="AL13" i="14" s="1" a="1"/>
  <c r="AL13" i="14" s="1"/>
  <c r="G15" i="30" s="1"/>
  <c r="AE13" i="13"/>
  <c r="O13" i="14"/>
  <c r="AI12" i="14"/>
  <c r="AI12" i="13"/>
  <c r="S12" i="13"/>
  <c r="S12" i="14"/>
  <c r="C12" i="14"/>
  <c r="C12" i="13"/>
  <c r="W11" i="14"/>
  <c r="G11" i="14"/>
  <c r="G11" i="13"/>
  <c r="G57" i="12"/>
  <c r="AA10" i="14"/>
  <c r="AA56" i="12"/>
  <c r="K10" i="14"/>
  <c r="E11" i="41" a="1"/>
  <c r="E11" i="41" s="1"/>
  <c r="D11" i="30" a="1"/>
  <c r="D11" i="30" s="1"/>
  <c r="B18" i="20" a="1"/>
  <c r="B18" i="20" s="1"/>
  <c r="D11" i="41" s="1"/>
  <c r="AE9" i="13"/>
  <c r="AE9" i="14"/>
  <c r="O9" i="13"/>
  <c r="O9" i="14"/>
  <c r="AI8" i="14"/>
  <c r="S8" i="14"/>
  <c r="S8" i="13"/>
  <c r="C8" i="14"/>
  <c r="W53" i="12"/>
  <c r="W7" i="14"/>
  <c r="W7" i="13"/>
  <c r="G7" i="14"/>
  <c r="AA6" i="14"/>
  <c r="AA6" i="13"/>
  <c r="K6" i="14"/>
  <c r="K6" i="13"/>
  <c r="E7" i="41" a="1"/>
  <c r="E7" i="41" s="1"/>
  <c r="D7" i="30" a="1"/>
  <c r="D7" i="30" s="1"/>
  <c r="B14" i="20" a="1"/>
  <c r="B14" i="20" s="1"/>
  <c r="D7" i="41" s="1"/>
  <c r="AE5" i="14"/>
  <c r="O5" i="13"/>
  <c r="AI4" i="14"/>
  <c r="AI4" i="13"/>
  <c r="S4" i="14"/>
  <c r="S4" i="13"/>
  <c r="C4" i="14"/>
  <c r="C4" i="13"/>
  <c r="C50" i="12"/>
  <c r="W3" i="13"/>
  <c r="W23" i="12"/>
  <c r="W49" i="12"/>
  <c r="W3" i="14"/>
  <c r="G3" i="13"/>
  <c r="G23" i="12"/>
  <c r="G3" i="14"/>
  <c r="AJ58" i="12"/>
  <c r="J53" i="12"/>
  <c r="AA49" i="12"/>
  <c r="N23" i="12"/>
  <c r="W11" i="13"/>
  <c r="AA8" i="13"/>
  <c r="AK10" i="14"/>
  <c r="F15" i="14"/>
  <c r="J60" i="12"/>
  <c r="J14" i="13"/>
  <c r="J14" i="14"/>
  <c r="N13" i="13"/>
  <c r="N13" i="14"/>
  <c r="R12" i="13"/>
  <c r="R12" i="14"/>
  <c r="V11" i="13"/>
  <c r="V11" i="14"/>
  <c r="Z10" i="14"/>
  <c r="Z56" i="12"/>
  <c r="Z10" i="13"/>
  <c r="J10" i="13"/>
  <c r="J56" i="12"/>
  <c r="AD9" i="13"/>
  <c r="AD9" i="14"/>
  <c r="N9" i="14"/>
  <c r="N9" i="13"/>
  <c r="AH8" i="13"/>
  <c r="AH8" i="14"/>
  <c r="R8" i="13"/>
  <c r="R8" i="14"/>
  <c r="B8" i="14"/>
  <c r="V7" i="14"/>
  <c r="V7" i="13"/>
  <c r="F53" i="12"/>
  <c r="F7" i="14"/>
  <c r="Z6" i="14"/>
  <c r="J6" i="14"/>
  <c r="J6" i="13"/>
  <c r="AD5" i="14"/>
  <c r="AH4" i="14"/>
  <c r="R4" i="14"/>
  <c r="B4" i="14"/>
  <c r="V23" i="12"/>
  <c r="V3" i="14"/>
  <c r="V49" i="12"/>
  <c r="F23" i="12"/>
  <c r="F3" i="13"/>
  <c r="F3" i="14"/>
  <c r="D62" i="12"/>
  <c r="V61" i="12"/>
  <c r="AK59" i="12"/>
  <c r="R59" i="12"/>
  <c r="AI58" i="12"/>
  <c r="AB56" i="12"/>
  <c r="E56" i="12"/>
  <c r="AJ54" i="12"/>
  <c r="Z49" i="12"/>
  <c r="M23" i="12"/>
  <c r="E10" i="13"/>
  <c r="V8" i="13"/>
  <c r="AB6" i="13"/>
  <c r="AJ10" i="14"/>
  <c r="R6" i="14"/>
  <c r="M21" i="14"/>
  <c r="AG66" i="12"/>
  <c r="AG20" i="14"/>
  <c r="Q20" i="14"/>
  <c r="AK19" i="14"/>
  <c r="E19" i="14"/>
  <c r="E19" i="13"/>
  <c r="Y18" i="13"/>
  <c r="I18" i="14"/>
  <c r="AC17" i="13"/>
  <c r="G19" i="31" s="1" a="1"/>
  <c r="G19" i="31" s="1"/>
  <c r="AC17" i="14"/>
  <c r="M17" i="13"/>
  <c r="M17" i="14"/>
  <c r="AG16" i="13"/>
  <c r="AG16" i="14"/>
  <c r="Q16" i="13"/>
  <c r="AK15" i="13"/>
  <c r="AK15" i="14"/>
  <c r="U15" i="13"/>
  <c r="E15" i="14"/>
  <c r="E15" i="13"/>
  <c r="Y14" i="13"/>
  <c r="I14" i="13"/>
  <c r="I14" i="14"/>
  <c r="M13" i="14"/>
  <c r="AG12" i="13"/>
  <c r="Q12" i="13"/>
  <c r="Q12" i="14"/>
  <c r="AK11" i="13"/>
  <c r="U11" i="14"/>
  <c r="E11" i="13"/>
  <c r="Y10" i="14"/>
  <c r="Y10" i="13"/>
  <c r="AC9" i="13"/>
  <c r="AC9" i="14"/>
  <c r="AC55" i="12"/>
  <c r="M9" i="13"/>
  <c r="AG8" i="13"/>
  <c r="AG8" i="14"/>
  <c r="Q8" i="14"/>
  <c r="Q8" i="13"/>
  <c r="AK7" i="13"/>
  <c r="AK7" i="14"/>
  <c r="U7" i="14"/>
  <c r="U7" i="13"/>
  <c r="E7" i="14"/>
  <c r="E7" i="13"/>
  <c r="Y52" i="12"/>
  <c r="Y6" i="14"/>
  <c r="I6" i="14"/>
  <c r="I6" i="13"/>
  <c r="AC5" i="14"/>
  <c r="AC5" i="13"/>
  <c r="G7" i="31" s="1" a="1"/>
  <c r="G7" i="31" s="1"/>
  <c r="M5" i="14"/>
  <c r="AG4" i="14"/>
  <c r="AK3" i="14"/>
  <c r="AK3" i="13"/>
  <c r="U3" i="14"/>
  <c r="U3" i="13"/>
  <c r="U23" i="12"/>
  <c r="E3" i="14"/>
  <c r="E3" i="13"/>
  <c r="E49" i="12"/>
  <c r="E65" i="12"/>
  <c r="U61" i="12"/>
  <c r="AH58" i="12"/>
  <c r="Y56" i="12"/>
  <c r="D56" i="12"/>
  <c r="AI54" i="12"/>
  <c r="H53" i="12"/>
  <c r="P51" i="12"/>
  <c r="K23" i="12"/>
  <c r="I18" i="13"/>
  <c r="D10" i="13"/>
  <c r="Z6" i="13"/>
  <c r="AD13" i="14"/>
  <c r="J10" i="14"/>
  <c r="I14" i="16"/>
  <c r="AB17" i="14"/>
  <c r="AB17" i="13"/>
  <c r="L17" i="14"/>
  <c r="L17" i="13"/>
  <c r="AF16" i="13"/>
  <c r="AF16" i="14"/>
  <c r="P16" i="13"/>
  <c r="P16" i="14"/>
  <c r="AJ15" i="13"/>
  <c r="AJ15" i="14"/>
  <c r="T15" i="13"/>
  <c r="T15" i="14"/>
  <c r="D15" i="13"/>
  <c r="D15" i="14"/>
  <c r="X14" i="14"/>
  <c r="H14" i="14"/>
  <c r="H14" i="13"/>
  <c r="AB13" i="14"/>
  <c r="L13" i="14"/>
  <c r="L59" i="12"/>
  <c r="AF12" i="14"/>
  <c r="P12" i="14"/>
  <c r="P12" i="13"/>
  <c r="AJ11" i="13"/>
  <c r="AJ11" i="14"/>
  <c r="T11" i="13"/>
  <c r="T11" i="14"/>
  <c r="D11" i="13"/>
  <c r="D11" i="14"/>
  <c r="X10" i="14"/>
  <c r="H10" i="14"/>
  <c r="AB9" i="14"/>
  <c r="AB9" i="13"/>
  <c r="AB55" i="12"/>
  <c r="L9" i="14"/>
  <c r="L55" i="12"/>
  <c r="AF8" i="14"/>
  <c r="P8" i="14"/>
  <c r="P8" i="13"/>
  <c r="AJ7" i="14"/>
  <c r="AJ7" i="13"/>
  <c r="T7" i="14"/>
  <c r="D7" i="14"/>
  <c r="D7" i="13"/>
  <c r="X6" i="14"/>
  <c r="X6" i="13"/>
  <c r="H6" i="14"/>
  <c r="H6" i="13"/>
  <c r="H52" i="12"/>
  <c r="AB5" i="14"/>
  <c r="AB5" i="13"/>
  <c r="F7" i="31" s="1" a="1"/>
  <c r="F7" i="31" s="1"/>
  <c r="L5" i="14"/>
  <c r="L5" i="13"/>
  <c r="AF4" i="14"/>
  <c r="AF4" i="13"/>
  <c r="P4" i="14"/>
  <c r="AJ3" i="14"/>
  <c r="AJ3" i="13"/>
  <c r="T3" i="14"/>
  <c r="T3" i="13"/>
  <c r="T23" i="12"/>
  <c r="D3" i="14"/>
  <c r="D3" i="13"/>
  <c r="D49" i="12"/>
  <c r="AJ46" i="12"/>
  <c r="T46" i="12"/>
  <c r="D46" i="12"/>
  <c r="C64" i="12"/>
  <c r="T62" i="12"/>
  <c r="T61" i="12"/>
  <c r="P59" i="12"/>
  <c r="AG58" i="12"/>
  <c r="J57" i="12"/>
  <c r="X56" i="12"/>
  <c r="R55" i="12"/>
  <c r="AH54" i="12"/>
  <c r="G53" i="12"/>
  <c r="O51" i="12"/>
  <c r="X49" i="12"/>
  <c r="J23" i="12"/>
  <c r="O19" i="13"/>
  <c r="AJ16" i="13"/>
  <c r="N14" i="13"/>
  <c r="AH9" i="13"/>
  <c r="J8" i="13"/>
  <c r="Y6" i="13"/>
  <c r="AC13" i="14"/>
  <c r="I10" i="14"/>
  <c r="L6" i="14"/>
  <c r="AI15" i="13"/>
  <c r="AI15" i="14"/>
  <c r="S15" i="13"/>
  <c r="S15" i="14"/>
  <c r="C15" i="13"/>
  <c r="C15" i="14"/>
  <c r="W14" i="13"/>
  <c r="W14" i="14"/>
  <c r="G14" i="13"/>
  <c r="G14" i="14"/>
  <c r="AA13" i="14"/>
  <c r="AA13" i="13"/>
  <c r="E15" i="31" s="1" a="1"/>
  <c r="E15" i="31" s="1"/>
  <c r="K13" i="14"/>
  <c r="K13" i="13"/>
  <c r="D14" i="30" a="1"/>
  <c r="D14" i="30" s="1"/>
  <c r="B21" i="20" a="1"/>
  <c r="B21" i="20" s="1"/>
  <c r="D14" i="41" s="1"/>
  <c r="E14" i="41" a="1"/>
  <c r="E14" i="41" s="1"/>
  <c r="AE12" i="14"/>
  <c r="AL12" i="14" s="1" a="1"/>
  <c r="AL12" i="14" s="1"/>
  <c r="G14" i="30" s="1"/>
  <c r="AE12" i="13"/>
  <c r="I14" i="31" s="1" a="1"/>
  <c r="I14" i="31" s="1"/>
  <c r="AE58" i="12"/>
  <c r="E14" i="30" s="1" a="1"/>
  <c r="E14" i="30" s="1"/>
  <c r="O12" i="14"/>
  <c r="O12" i="13"/>
  <c r="AI11" i="13"/>
  <c r="AI11" i="14"/>
  <c r="S11" i="13"/>
  <c r="S11" i="14"/>
  <c r="C11" i="13"/>
  <c r="C11" i="14"/>
  <c r="W10" i="13"/>
  <c r="W10" i="14"/>
  <c r="G10" i="13"/>
  <c r="G10" i="14"/>
  <c r="AA9" i="14"/>
  <c r="AA9" i="13"/>
  <c r="E11" i="31" s="1" a="1"/>
  <c r="E11" i="31" s="1"/>
  <c r="E10" i="41" a="1"/>
  <c r="E10" i="41" s="1"/>
  <c r="B17" i="20" a="1"/>
  <c r="B17" i="20" s="1"/>
  <c r="D10" i="41" s="1"/>
  <c r="D10" i="30" a="1"/>
  <c r="D10" i="30" s="1"/>
  <c r="AE8" i="14"/>
  <c r="AL8" i="14" s="1" a="1"/>
  <c r="AL8" i="14" s="1"/>
  <c r="G10" i="30" s="1"/>
  <c r="AE54" i="12"/>
  <c r="O8" i="14"/>
  <c r="O8" i="13"/>
  <c r="AI7" i="14"/>
  <c r="AI7" i="13"/>
  <c r="S7" i="13"/>
  <c r="S7" i="14"/>
  <c r="C7" i="14"/>
  <c r="C7" i="13"/>
  <c r="W6" i="14"/>
  <c r="G6" i="13"/>
  <c r="G6" i="14"/>
  <c r="AA5" i="14"/>
  <c r="AA5" i="13"/>
  <c r="E7" i="31" s="1" a="1"/>
  <c r="E7" i="31" s="1"/>
  <c r="AA51" i="12"/>
  <c r="K5" i="14"/>
  <c r="K5" i="13"/>
  <c r="D6" i="30" a="1"/>
  <c r="D6" i="30" s="1"/>
  <c r="E6" i="41" a="1"/>
  <c r="E6" i="41" s="1"/>
  <c r="B13" i="20" a="1"/>
  <c r="B13" i="20" s="1"/>
  <c r="D6" i="41" s="1"/>
  <c r="F6" i="41" s="1"/>
  <c r="AE4" i="14"/>
  <c r="AL4" i="14" s="1" a="1"/>
  <c r="AL4" i="14" s="1"/>
  <c r="G6" i="30" s="1"/>
  <c r="AE4" i="13"/>
  <c r="I6" i="31" s="1" a="1"/>
  <c r="I6" i="31" s="1"/>
  <c r="AI3" i="13"/>
  <c r="AI3" i="14"/>
  <c r="S49" i="12"/>
  <c r="S3" i="14"/>
  <c r="S3" i="13"/>
  <c r="C49" i="12"/>
  <c r="C3" i="14"/>
  <c r="C23" i="12"/>
  <c r="S46" i="12"/>
  <c r="U65" i="12"/>
  <c r="AK61" i="12"/>
  <c r="S61" i="12"/>
  <c r="AH59" i="12"/>
  <c r="O59" i="12"/>
  <c r="AF58" i="12"/>
  <c r="W56" i="12"/>
  <c r="AG54" i="12"/>
  <c r="Z53" i="12"/>
  <c r="E53" i="12"/>
  <c r="AH51" i="12"/>
  <c r="N51" i="12"/>
  <c r="U49" i="12"/>
  <c r="D14" i="13"/>
  <c r="AA12" i="13"/>
  <c r="F8" i="13"/>
  <c r="W6" i="13"/>
  <c r="AH4" i="13"/>
  <c r="Y13" i="14"/>
  <c r="R46" i="12"/>
  <c r="AJ62" i="12"/>
  <c r="AJ61" i="12"/>
  <c r="N59" i="12"/>
  <c r="AC58" i="12"/>
  <c r="F57" i="12"/>
  <c r="P55" i="12"/>
  <c r="AF54" i="12"/>
  <c r="D53" i="12"/>
  <c r="M51" i="12"/>
  <c r="G50" i="12"/>
  <c r="T49" i="12"/>
  <c r="H23" i="12"/>
  <c r="V15" i="13"/>
  <c r="Z12" i="13"/>
  <c r="AG4" i="13"/>
  <c r="X13" i="14"/>
  <c r="O5" i="14"/>
  <c r="E14" i="13"/>
  <c r="E14" i="14"/>
  <c r="I13" i="13"/>
  <c r="I13" i="14"/>
  <c r="M12" i="13"/>
  <c r="M58" i="12"/>
  <c r="M12" i="14"/>
  <c r="Q11" i="14"/>
  <c r="U10" i="14"/>
  <c r="Y9" i="13"/>
  <c r="Y9" i="14"/>
  <c r="I9" i="13"/>
  <c r="I9" i="14"/>
  <c r="AC8" i="13"/>
  <c r="AC8" i="14"/>
  <c r="AC54" i="12"/>
  <c r="M8" i="13"/>
  <c r="M54" i="12"/>
  <c r="AG7" i="14"/>
  <c r="Q7" i="14"/>
  <c r="AK6" i="13"/>
  <c r="AK6" i="14"/>
  <c r="U6" i="14"/>
  <c r="U6" i="13"/>
  <c r="E6" i="14"/>
  <c r="Y5" i="14"/>
  <c r="I51" i="12"/>
  <c r="I5" i="14"/>
  <c r="AC4" i="14"/>
  <c r="AC4" i="13"/>
  <c r="M4" i="14"/>
  <c r="M4" i="13"/>
  <c r="AG3" i="14"/>
  <c r="AG3" i="13"/>
  <c r="AG23" i="12"/>
  <c r="AG49" i="12"/>
  <c r="AK65" i="12"/>
  <c r="AI64" i="12"/>
  <c r="Q62" i="12"/>
  <c r="AI61" i="12"/>
  <c r="AF59" i="12"/>
  <c r="M59" i="12"/>
  <c r="AB58" i="12"/>
  <c r="Z57" i="12"/>
  <c r="E57" i="12"/>
  <c r="O55" i="12"/>
  <c r="X53" i="12"/>
  <c r="C53" i="12"/>
  <c r="R52" i="12"/>
  <c r="AF51" i="12"/>
  <c r="L51" i="12"/>
  <c r="F50" i="12"/>
  <c r="Q49" i="12"/>
  <c r="E23" i="12"/>
  <c r="Y12" i="13"/>
  <c r="J11" i="13"/>
  <c r="D8" i="13"/>
  <c r="V4" i="13"/>
  <c r="Q16" i="14"/>
  <c r="AH12" i="14"/>
  <c r="M9" i="14"/>
  <c r="N5" i="14"/>
  <c r="H13" i="14"/>
  <c r="H13" i="13"/>
  <c r="L12" i="13"/>
  <c r="L12" i="14"/>
  <c r="AF11" i="13"/>
  <c r="AF57" i="12"/>
  <c r="P11" i="13"/>
  <c r="P11" i="14"/>
  <c r="T10" i="14"/>
  <c r="T10" i="13"/>
  <c r="X9" i="13"/>
  <c r="X9" i="14"/>
  <c r="H9" i="14"/>
  <c r="H9" i="13"/>
  <c r="AB8" i="13"/>
  <c r="AB8" i="14"/>
  <c r="L8" i="13"/>
  <c r="L8" i="14"/>
  <c r="L54" i="12"/>
  <c r="AF7" i="13"/>
  <c r="AF7" i="14"/>
  <c r="AF53" i="12"/>
  <c r="AJ6" i="13"/>
  <c r="AJ6" i="14"/>
  <c r="T6" i="14"/>
  <c r="T6" i="13"/>
  <c r="D6" i="13"/>
  <c r="D6" i="14"/>
  <c r="X5" i="14"/>
  <c r="X5" i="13"/>
  <c r="H5" i="14"/>
  <c r="AB50" i="12"/>
  <c r="AB4" i="14"/>
  <c r="AB4" i="13"/>
  <c r="F6" i="31" s="1" a="1"/>
  <c r="F6" i="31" s="1"/>
  <c r="L4" i="14"/>
  <c r="L4" i="13"/>
  <c r="AF3" i="14"/>
  <c r="AF3" i="13"/>
  <c r="P3" i="14"/>
  <c r="P3" i="13"/>
  <c r="AF46" i="12"/>
  <c r="P62" i="12"/>
  <c r="N60" i="12"/>
  <c r="AE59" i="12"/>
  <c r="K59" i="12"/>
  <c r="X57" i="12"/>
  <c r="D57" i="12"/>
  <c r="AH55" i="12"/>
  <c r="N55" i="12"/>
  <c r="V53" i="12"/>
  <c r="AK52" i="12"/>
  <c r="AE51" i="12"/>
  <c r="K51" i="12"/>
  <c r="P49" i="12"/>
  <c r="D23" i="12"/>
  <c r="J15" i="13"/>
  <c r="AH13" i="13"/>
  <c r="R9" i="13"/>
  <c r="C8" i="13"/>
  <c r="R4" i="13"/>
  <c r="AG12" i="14"/>
  <c r="K9" i="14"/>
  <c r="V4" i="14"/>
  <c r="AI18" i="14"/>
  <c r="S18" i="14"/>
  <c r="S64" i="12"/>
  <c r="S18" i="13"/>
  <c r="C18" i="14"/>
  <c r="W17" i="14"/>
  <c r="W17" i="13"/>
  <c r="G17" i="14"/>
  <c r="G17" i="13"/>
  <c r="AA16" i="14"/>
  <c r="AA16" i="13"/>
  <c r="E18" i="31" s="1" a="1"/>
  <c r="E18" i="31" s="1"/>
  <c r="K16" i="14"/>
  <c r="K16" i="13"/>
  <c r="E17" i="41" a="1"/>
  <c r="E17" i="41" s="1"/>
  <c r="D17" i="30" a="1"/>
  <c r="D17" i="30" s="1"/>
  <c r="B24" i="20" a="1"/>
  <c r="B24" i="20" s="1"/>
  <c r="D17" i="41" s="1"/>
  <c r="AE15" i="14"/>
  <c r="O15" i="14"/>
  <c r="O15" i="13"/>
  <c r="AI14" i="14"/>
  <c r="S14" i="14"/>
  <c r="S60" i="12"/>
  <c r="C14" i="14"/>
  <c r="C14" i="13"/>
  <c r="W13" i="14"/>
  <c r="W13" i="13"/>
  <c r="G13" i="14"/>
  <c r="AA12" i="14"/>
  <c r="K12" i="14"/>
  <c r="K12" i="13"/>
  <c r="E13" i="41" a="1"/>
  <c r="E13" i="41" s="1"/>
  <c r="D13" i="30" a="1"/>
  <c r="D13" i="30" s="1"/>
  <c r="B20" i="20" a="1"/>
  <c r="B20" i="20" s="1"/>
  <c r="D13" i="41" s="1"/>
  <c r="AE11" i="13"/>
  <c r="AE11" i="14"/>
  <c r="AL11" i="14" s="1" a="1"/>
  <c r="AL11" i="14" s="1"/>
  <c r="G13" i="30" s="1"/>
  <c r="O11" i="13"/>
  <c r="O11" i="14"/>
  <c r="O57" i="12"/>
  <c r="AI10" i="13"/>
  <c r="AI10" i="14"/>
  <c r="S10" i="13"/>
  <c r="S10" i="14"/>
  <c r="C10" i="13"/>
  <c r="C10" i="14"/>
  <c r="W9" i="14"/>
  <c r="G9" i="13"/>
  <c r="AA8" i="14"/>
  <c r="K8" i="13"/>
  <c r="K8" i="14"/>
  <c r="E9" i="41" a="1"/>
  <c r="E9" i="41" s="1"/>
  <c r="D9" i="30" a="1"/>
  <c r="D9" i="30" s="1"/>
  <c r="B16" i="20" a="1"/>
  <c r="B16" i="20" s="1"/>
  <c r="D9" i="41" s="1"/>
  <c r="AE7" i="13"/>
  <c r="AE7" i="14"/>
  <c r="AE53" i="12"/>
  <c r="E9" i="30" s="1" a="1"/>
  <c r="E9" i="30" s="1"/>
  <c r="O7" i="13"/>
  <c r="O53" i="12"/>
  <c r="O7" i="14"/>
  <c r="AI6" i="13"/>
  <c r="AI6" i="14"/>
  <c r="S6" i="13"/>
  <c r="S6" i="14"/>
  <c r="C6" i="13"/>
  <c r="C6" i="14"/>
  <c r="W5" i="14"/>
  <c r="W5" i="13"/>
  <c r="G5" i="14"/>
  <c r="AA4" i="14"/>
  <c r="AA4" i="13"/>
  <c r="K50" i="12"/>
  <c r="K4" i="14"/>
  <c r="D5" i="30" a="1"/>
  <c r="D5" i="30" s="1"/>
  <c r="E5" i="41" a="1"/>
  <c r="E5" i="41" s="1"/>
  <c r="B12" i="20" a="1"/>
  <c r="B12" i="20" s="1"/>
  <c r="D5" i="41" s="1"/>
  <c r="AE3" i="14"/>
  <c r="AL3" i="14" s="1" a="1"/>
  <c r="AL3" i="14" s="1"/>
  <c r="G5" i="30" s="1"/>
  <c r="AE3" i="13"/>
  <c r="I5" i="31" s="1" a="1"/>
  <c r="I5" i="31" s="1"/>
  <c r="O3" i="14"/>
  <c r="O23" i="12"/>
  <c r="O49" i="12"/>
  <c r="O3" i="13"/>
  <c r="Q66" i="12"/>
  <c r="O65" i="12"/>
  <c r="AG62" i="12"/>
  <c r="AD59" i="12"/>
  <c r="I59" i="12"/>
  <c r="W57" i="12"/>
  <c r="C57" i="12"/>
  <c r="M55" i="12"/>
  <c r="F54" i="12"/>
  <c r="U53" i="12"/>
  <c r="AJ52" i="12"/>
  <c r="N52" i="12"/>
  <c r="AD51" i="12"/>
  <c r="H51" i="12"/>
  <c r="B50" i="12"/>
  <c r="AA23" i="12"/>
  <c r="AG20" i="13"/>
  <c r="AK19" i="13"/>
  <c r="T16" i="13"/>
  <c r="T12" i="13"/>
  <c r="E6" i="13"/>
  <c r="Q4" i="13"/>
  <c r="AC12" i="14"/>
  <c r="G9" i="14"/>
  <c r="N15" i="14"/>
  <c r="N15" i="13"/>
  <c r="AH14" i="14"/>
  <c r="AH14" i="13"/>
  <c r="R14" i="14"/>
  <c r="R14" i="13"/>
  <c r="B14" i="14"/>
  <c r="B60" i="12"/>
  <c r="V13" i="14"/>
  <c r="V13" i="13"/>
  <c r="F13" i="14"/>
  <c r="Z12" i="14"/>
  <c r="J12" i="14"/>
  <c r="AD11" i="14"/>
  <c r="AD11" i="13"/>
  <c r="H13" i="31" s="1" a="1"/>
  <c r="H13" i="31" s="1"/>
  <c r="N11" i="14"/>
  <c r="AH10" i="13"/>
  <c r="AH10" i="14"/>
  <c r="AH56" i="12"/>
  <c r="R10" i="13"/>
  <c r="R10" i="14"/>
  <c r="B10" i="14"/>
  <c r="V9" i="13"/>
  <c r="V9" i="14"/>
  <c r="Z8" i="14"/>
  <c r="Z8" i="13"/>
  <c r="D10" i="31" s="1" a="1"/>
  <c r="D10" i="31" s="1"/>
  <c r="J8" i="14"/>
  <c r="AD7" i="13"/>
  <c r="AD7" i="14"/>
  <c r="N7" i="13"/>
  <c r="N7" i="14"/>
  <c r="N53" i="12"/>
  <c r="AH6" i="13"/>
  <c r="AH6" i="14"/>
  <c r="AH52" i="12"/>
  <c r="B6" i="14"/>
  <c r="V5" i="13"/>
  <c r="V5" i="14"/>
  <c r="F5" i="13"/>
  <c r="F5" i="14"/>
  <c r="Z4" i="14"/>
  <c r="Z4" i="13"/>
  <c r="J4" i="14"/>
  <c r="AD23" i="12"/>
  <c r="AD49" i="12"/>
  <c r="AD3" i="14"/>
  <c r="N3" i="14"/>
  <c r="N3" i="13"/>
  <c r="AF62" i="12"/>
  <c r="AE61" i="12"/>
  <c r="E17" i="30" s="1" a="1"/>
  <c r="E17" i="30" s="1"/>
  <c r="L60" i="12"/>
  <c r="AB59" i="12"/>
  <c r="H59" i="12"/>
  <c r="V57" i="12"/>
  <c r="AK56" i="12"/>
  <c r="AF55" i="12"/>
  <c r="I55" i="12"/>
  <c r="T53" i="12"/>
  <c r="AI52" i="12"/>
  <c r="AC51" i="12"/>
  <c r="G51" i="12"/>
  <c r="W50" i="12"/>
  <c r="AK49" i="12"/>
  <c r="Z23" i="12"/>
  <c r="AC13" i="13"/>
  <c r="J12" i="13"/>
  <c r="AD10" i="13"/>
  <c r="H12" i="31" s="1" a="1"/>
  <c r="H12" i="31" s="1"/>
  <c r="P9" i="13"/>
  <c r="AG7" i="13"/>
  <c r="P4" i="13"/>
  <c r="AB12" i="14"/>
  <c r="F9" i="14"/>
  <c r="O4" i="14"/>
  <c r="P13" i="17"/>
  <c r="J13" i="17"/>
  <c r="F13" i="17"/>
  <c r="N13" i="17" s="1"/>
  <c r="G13" i="17"/>
  <c r="H13" i="17"/>
  <c r="K13" i="17"/>
  <c r="E13" i="17"/>
  <c r="L13" i="17"/>
  <c r="E17" i="14"/>
  <c r="E17" i="13"/>
  <c r="Y16" i="14"/>
  <c r="Y16" i="13"/>
  <c r="I16" i="14"/>
  <c r="AC15" i="14"/>
  <c r="AC15" i="13"/>
  <c r="M15" i="14"/>
  <c r="M15" i="13"/>
  <c r="AG14" i="14"/>
  <c r="AG14" i="13"/>
  <c r="Q14" i="14"/>
  <c r="Q14" i="13"/>
  <c r="AK13" i="14"/>
  <c r="U13" i="14"/>
  <c r="U13" i="13"/>
  <c r="U59" i="12"/>
  <c r="E13" i="14"/>
  <c r="E13" i="13"/>
  <c r="Y12" i="14"/>
  <c r="I12" i="14"/>
  <c r="I12" i="13"/>
  <c r="AC11" i="14"/>
  <c r="AC11" i="13"/>
  <c r="M11" i="14"/>
  <c r="M11" i="13"/>
  <c r="AG10" i="14"/>
  <c r="Q10" i="14"/>
  <c r="Q56" i="12"/>
  <c r="Q10" i="13"/>
  <c r="AK9" i="13"/>
  <c r="AK9" i="14"/>
  <c r="U9" i="13"/>
  <c r="U9" i="14"/>
  <c r="E9" i="13"/>
  <c r="E9" i="14"/>
  <c r="Y8" i="13"/>
  <c r="Y8" i="14"/>
  <c r="I8" i="13"/>
  <c r="AC7" i="14"/>
  <c r="AC7" i="13"/>
  <c r="M7" i="14"/>
  <c r="AG6" i="13"/>
  <c r="AG6" i="14"/>
  <c r="AG52" i="12"/>
  <c r="Q6" i="13"/>
  <c r="Q52" i="12"/>
  <c r="Q6" i="14"/>
  <c r="AK5" i="13"/>
  <c r="AK5" i="14"/>
  <c r="U5" i="13"/>
  <c r="U5" i="14"/>
  <c r="E5" i="13"/>
  <c r="E5" i="14"/>
  <c r="Y4" i="13"/>
  <c r="Y4" i="14"/>
  <c r="I4" i="14"/>
  <c r="I4" i="13"/>
  <c r="AC3" i="14"/>
  <c r="M3" i="13"/>
  <c r="M3" i="14"/>
  <c r="AC46" i="12"/>
  <c r="M46" i="12"/>
  <c r="M63" i="12"/>
  <c r="AD60" i="12"/>
  <c r="K60" i="12"/>
  <c r="AA59" i="12"/>
  <c r="G59" i="12"/>
  <c r="D58" i="12"/>
  <c r="U57" i="12"/>
  <c r="AJ56" i="12"/>
  <c r="AE55" i="12"/>
  <c r="H55" i="12"/>
  <c r="C54" i="12"/>
  <c r="S53" i="12"/>
  <c r="L52" i="12"/>
  <c r="AB51" i="12"/>
  <c r="F51" i="12"/>
  <c r="AJ49" i="12"/>
  <c r="K49" i="12"/>
  <c r="F15" i="13"/>
  <c r="AB13" i="13"/>
  <c r="F15" i="31" s="1" a="1"/>
  <c r="F15" i="31" s="1"/>
  <c r="L9" i="13"/>
  <c r="T7" i="13"/>
  <c r="AF5" i="13"/>
  <c r="X3" i="14"/>
  <c r="D14" i="17"/>
  <c r="C14" i="17"/>
  <c r="I14" i="17" s="1"/>
  <c r="C16" i="34"/>
  <c r="C13" i="16"/>
  <c r="H13" i="16" s="1"/>
  <c r="E16" i="34" s="1"/>
  <c r="B13" i="16"/>
  <c r="D16" i="34" s="1"/>
  <c r="G13" i="16"/>
  <c r="O13" i="16"/>
  <c r="J18" i="17"/>
  <c r="F18" i="17"/>
  <c r="N18" i="17" s="1"/>
  <c r="K18" i="17"/>
  <c r="H18" i="17"/>
  <c r="L18" i="17"/>
  <c r="P18" i="17"/>
  <c r="M18" i="17"/>
  <c r="E18" i="17"/>
  <c r="G18" i="17"/>
  <c r="D8" i="47" a="1"/>
  <c r="D8" i="47" s="1"/>
  <c r="D8" i="45" a="1"/>
  <c r="D8" i="45" s="1"/>
  <c r="P23" i="17"/>
  <c r="L23" i="17"/>
  <c r="H23" i="17"/>
  <c r="K23" i="17"/>
  <c r="G23" i="17"/>
  <c r="M23" i="17"/>
  <c r="E23" i="17"/>
  <c r="D27" i="17"/>
  <c r="C27" i="17"/>
  <c r="D11" i="17"/>
  <c r="C11" i="17"/>
  <c r="I11" i="17" s="1"/>
  <c r="G6" i="16"/>
  <c r="B26" i="17"/>
  <c r="O26" i="17"/>
  <c r="B10" i="17"/>
  <c r="O10" i="17"/>
  <c r="I18" i="17"/>
  <c r="D18" i="17"/>
  <c r="O25" i="17"/>
  <c r="B25" i="17"/>
  <c r="C9" i="17"/>
  <c r="C16" i="17"/>
  <c r="D9" i="17"/>
  <c r="O9" i="17"/>
  <c r="C9" i="34"/>
  <c r="O6" i="16"/>
  <c r="C6" i="16"/>
  <c r="H6" i="16" s="1"/>
  <c r="E9" i="34" s="1"/>
  <c r="C24" i="34"/>
  <c r="O21" i="16"/>
  <c r="D21" i="16"/>
  <c r="I21" i="16"/>
  <c r="G21" i="16"/>
  <c r="B21" i="16"/>
  <c r="D24" i="34" s="1"/>
  <c r="C8" i="34"/>
  <c r="O5" i="16"/>
  <c r="D5" i="16"/>
  <c r="C5" i="16"/>
  <c r="H5" i="16" s="1"/>
  <c r="E8" i="34" s="1"/>
  <c r="C23" i="34"/>
  <c r="D20" i="16"/>
  <c r="I20" i="16"/>
  <c r="O20" i="16"/>
  <c r="G20" i="16"/>
  <c r="B20" i="16"/>
  <c r="D23" i="34" s="1"/>
  <c r="C7" i="34"/>
  <c r="D4" i="16"/>
  <c r="O4" i="16"/>
  <c r="I4" i="16"/>
  <c r="G4" i="16"/>
  <c r="B4" i="16"/>
  <c r="D7" i="34" s="1"/>
  <c r="J23" i="17"/>
  <c r="C22" i="34"/>
  <c r="O19" i="16"/>
  <c r="I19" i="16"/>
  <c r="D19" i="16"/>
  <c r="C19" i="16"/>
  <c r="H19" i="16" s="1"/>
  <c r="E22" i="34" s="1"/>
  <c r="G19" i="16"/>
  <c r="B19" i="16"/>
  <c r="D22" i="34" s="1"/>
  <c r="C6" i="34"/>
  <c r="O3" i="16"/>
  <c r="I3" i="16"/>
  <c r="D3" i="16"/>
  <c r="G3" i="16"/>
  <c r="B3" i="16"/>
  <c r="D6" i="34" s="1"/>
  <c r="F23" i="17"/>
  <c r="N23" i="17" s="1"/>
  <c r="C21" i="34"/>
  <c r="I18" i="16"/>
  <c r="D18" i="16"/>
  <c r="C18" i="16"/>
  <c r="H18" i="16" s="1"/>
  <c r="E21" i="34" s="1"/>
  <c r="O18" i="16"/>
  <c r="C5" i="34"/>
  <c r="O2" i="16"/>
  <c r="I2" i="16"/>
  <c r="D2" i="16"/>
  <c r="C2" i="16"/>
  <c r="H2" i="16" s="1"/>
  <c r="E5" i="34" s="1"/>
  <c r="G2" i="16"/>
  <c r="B2" i="16"/>
  <c r="D5" i="34" s="1"/>
  <c r="B18" i="16"/>
  <c r="D21" i="34" s="1"/>
  <c r="J2" i="17"/>
  <c r="F2" i="17"/>
  <c r="N2" i="17" s="1"/>
  <c r="G2" i="17"/>
  <c r="K2" i="17"/>
  <c r="H2" i="17"/>
  <c r="L2" i="17"/>
  <c r="P2" i="17"/>
  <c r="M2" i="17"/>
  <c r="E2" i="17"/>
  <c r="D20" i="34"/>
  <c r="C3" i="16"/>
  <c r="H3" i="16" s="1"/>
  <c r="E6" i="34" s="1"/>
  <c r="K22" i="17"/>
  <c r="G22" i="17"/>
  <c r="F22" i="17"/>
  <c r="N22" i="17" s="1"/>
  <c r="L22" i="17"/>
  <c r="P22" i="17"/>
  <c r="M22" i="17"/>
  <c r="J22" i="17"/>
  <c r="E22" i="17"/>
  <c r="C12" i="40"/>
  <c r="B18" i="19"/>
  <c r="D12" i="40" s="1"/>
  <c r="E12" i="40" s="1"/>
  <c r="D10" i="16"/>
  <c r="C9" i="40"/>
  <c r="B15" i="19"/>
  <c r="D9" i="40" s="1"/>
  <c r="E9" i="40" s="1"/>
  <c r="C19" i="34"/>
  <c r="O16" i="16"/>
  <c r="G16" i="16"/>
  <c r="C16" i="16"/>
  <c r="H16" i="16" s="1"/>
  <c r="E19" i="34" s="1"/>
  <c r="D9" i="16"/>
  <c r="O37" i="17"/>
  <c r="B37" i="17"/>
  <c r="C21" i="17"/>
  <c r="I21" i="17" s="1"/>
  <c r="D21" i="17"/>
  <c r="B5" i="17"/>
  <c r="O5" i="17"/>
  <c r="K6" i="17"/>
  <c r="G6" i="17"/>
  <c r="P6" i="17"/>
  <c r="M6" i="17"/>
  <c r="F6" i="17"/>
  <c r="N6" i="17" s="1"/>
  <c r="H6" i="17"/>
  <c r="L6" i="17"/>
  <c r="C20" i="40"/>
  <c r="B26" i="19"/>
  <c r="D20" i="40" s="1"/>
  <c r="E20" i="40" s="1"/>
  <c r="C18" i="34"/>
  <c r="O15" i="16"/>
  <c r="O36" i="17"/>
  <c r="B36" i="17"/>
  <c r="O20" i="17"/>
  <c r="B20" i="17"/>
  <c r="O4" i="17"/>
  <c r="B4" i="17"/>
  <c r="I13" i="17"/>
  <c r="C19" i="40"/>
  <c r="B25" i="19"/>
  <c r="D19" i="40" s="1"/>
  <c r="E19" i="40" s="1"/>
  <c r="C18" i="40"/>
  <c r="B24" i="19"/>
  <c r="D18" i="40" s="1"/>
  <c r="E18" i="40" s="1"/>
  <c r="O17" i="16"/>
  <c r="O34" i="17"/>
  <c r="O18" i="17"/>
  <c r="O2" i="17"/>
  <c r="D8" i="17"/>
  <c r="C8" i="17"/>
  <c r="D33" i="17"/>
  <c r="I33" i="17"/>
  <c r="C15" i="34"/>
  <c r="B12" i="16"/>
  <c r="D15" i="34" s="1"/>
  <c r="B16" i="16"/>
  <c r="D19" i="34" s="1"/>
  <c r="G15" i="16"/>
  <c r="P33" i="17"/>
  <c r="M33" i="17"/>
  <c r="E33" i="17"/>
  <c r="F33" i="17"/>
  <c r="N33" i="17" s="1"/>
  <c r="C17" i="17"/>
  <c r="I17" i="17" s="1"/>
  <c r="D34" i="17"/>
  <c r="K33" i="17"/>
  <c r="C14" i="34"/>
  <c r="O11" i="16"/>
  <c r="B15" i="16"/>
  <c r="D18" i="34" s="1"/>
  <c r="O12" i="16"/>
  <c r="O32" i="17"/>
  <c r="O16" i="17"/>
  <c r="C32" i="17"/>
  <c r="I32" i="17" s="1"/>
  <c r="I6" i="17"/>
  <c r="E6" i="17"/>
  <c r="C13" i="34"/>
  <c r="O10" i="16"/>
  <c r="I2" i="17"/>
  <c r="D2" i="17"/>
  <c r="F5" i="36"/>
  <c r="C12" i="34"/>
  <c r="L9" i="16"/>
  <c r="F12" i="34" s="1"/>
  <c r="O9" i="16"/>
  <c r="O30" i="17"/>
  <c r="O14" i="17"/>
  <c r="B30" i="17"/>
  <c r="B11" i="16"/>
  <c r="D14" i="34" s="1"/>
  <c r="D17" i="16"/>
  <c r="G11" i="16"/>
  <c r="I17" i="16"/>
  <c r="C34" i="17"/>
  <c r="C10" i="34"/>
  <c r="O7" i="16"/>
  <c r="B10" i="16"/>
  <c r="D16" i="16"/>
  <c r="G10" i="16"/>
  <c r="I16" i="16"/>
  <c r="B28" i="17"/>
  <c r="O28" i="17"/>
  <c r="O12" i="17"/>
  <c r="B12" i="17"/>
  <c r="C29" i="17"/>
  <c r="D8" i="43" s="1" a="1"/>
  <c r="D8" i="43" s="1"/>
  <c r="D17" i="17"/>
  <c r="O21" i="17"/>
  <c r="B19" i="19"/>
  <c r="D13" i="40" s="1"/>
  <c r="E13" i="40" s="1"/>
  <c r="C13" i="40"/>
  <c r="B27" i="19"/>
  <c r="D21" i="40" s="1"/>
  <c r="E21" i="40" s="1"/>
  <c r="C9" i="36" a="1"/>
  <c r="C9" i="36" s="1"/>
  <c r="C8" i="36" a="1"/>
  <c r="C8" i="36" s="1"/>
  <c r="C10" i="36" a="1"/>
  <c r="C10" i="36" s="1"/>
  <c r="C6" i="36" a="1"/>
  <c r="C6" i="36" s="1"/>
  <c r="C7" i="36" a="1"/>
  <c r="C7" i="36" s="1"/>
  <c r="C11" i="40"/>
  <c r="B17" i="19"/>
  <c r="D11" i="40" s="1"/>
  <c r="E11" i="40" s="1"/>
  <c r="I8" i="16"/>
  <c r="I23" i="17"/>
  <c r="O27" i="17"/>
  <c r="B23" i="19"/>
  <c r="D17" i="40" s="1"/>
  <c r="E17" i="40" s="1"/>
  <c r="O23" i="17"/>
  <c r="O7" i="17"/>
  <c r="C31" i="17"/>
  <c r="C15" i="17"/>
  <c r="B14" i="19"/>
  <c r="D8" i="40" s="1"/>
  <c r="E8" i="40" s="1"/>
  <c r="O22" i="17"/>
  <c r="O6" i="17"/>
  <c r="B13" i="19"/>
  <c r="D7" i="40" s="1"/>
  <c r="E7" i="40" s="1"/>
  <c r="H10" i="28" a="1"/>
  <c r="H10" i="28" s="1"/>
  <c r="F10" i="28"/>
  <c r="D10" i="29" a="1"/>
  <c r="D10" i="29" s="1"/>
  <c r="O35" i="17"/>
  <c r="O19" i="17"/>
  <c r="O3" i="17"/>
  <c r="D31" i="17"/>
  <c r="D15" i="17"/>
  <c r="H9" i="28" a="1"/>
  <c r="H9" i="28" s="1"/>
  <c r="D13" i="17"/>
  <c r="D7" i="29" a="1"/>
  <c r="D7" i="29" s="1"/>
  <c r="O8" i="16"/>
  <c r="B22" i="19"/>
  <c r="D16" i="40" s="1"/>
  <c r="E16" i="40" s="1"/>
  <c r="C16" i="40"/>
  <c r="F6" i="28"/>
  <c r="H6" i="28" a="1"/>
  <c r="H6" i="28" s="1"/>
  <c r="D6" i="28" a="1"/>
  <c r="D6" i="28" s="1"/>
  <c r="B35" i="17"/>
  <c r="B19" i="17"/>
  <c r="B3" i="17"/>
  <c r="C7" i="17"/>
  <c r="B21" i="19"/>
  <c r="D15" i="40" s="1"/>
  <c r="E15" i="40" s="1"/>
  <c r="C15" i="40"/>
  <c r="F6" i="43"/>
  <c r="E6" i="43" a="1"/>
  <c r="E6" i="43" s="1"/>
  <c r="F8" i="44"/>
  <c r="D8" i="44" a="1"/>
  <c r="D8" i="44" s="1"/>
  <c r="F7" i="28"/>
  <c r="D8" i="29" a="1"/>
  <c r="D8" i="29" s="1"/>
  <c r="E5" i="43" a="1"/>
  <c r="E5" i="43" s="1"/>
  <c r="F5" i="43"/>
  <c r="E7" i="44" a="1"/>
  <c r="E7" i="44" s="1"/>
  <c r="F7" i="44"/>
  <c r="D7" i="28" a="1"/>
  <c r="D7" i="28" s="1"/>
  <c r="D8" i="35" a="1"/>
  <c r="D8" i="35" s="1"/>
  <c r="B20" i="19"/>
  <c r="D14" i="40" s="1"/>
  <c r="E14" i="40" s="1"/>
  <c r="F11" i="36"/>
  <c r="D11" i="36"/>
  <c r="F13" i="43"/>
  <c r="E13" i="43" a="1"/>
  <c r="E13" i="43" s="1"/>
  <c r="F16" i="45"/>
  <c r="F5" i="44"/>
  <c r="F10" i="46"/>
  <c r="D5" i="29" a="1"/>
  <c r="D5" i="29" s="1"/>
  <c r="F7" i="45"/>
  <c r="E12" i="43" a="1"/>
  <c r="E12" i="43" s="1"/>
  <c r="F14" i="47"/>
  <c r="F11" i="47"/>
  <c r="E16" i="44" a="1"/>
  <c r="E16" i="44" s="1"/>
  <c r="F13" i="46"/>
  <c r="E13" i="46" a="1"/>
  <c r="E13" i="46" s="1"/>
  <c r="F9" i="45"/>
  <c r="F16" i="47"/>
  <c r="F9" i="44"/>
  <c r="F13" i="47"/>
  <c r="F5" i="45"/>
  <c r="E9" i="44" a="1"/>
  <c r="E9" i="44" s="1"/>
  <c r="F9" i="47"/>
  <c r="F12" i="36"/>
  <c r="F14" i="43"/>
  <c r="F10" i="44"/>
  <c r="E11" i="46" a="1"/>
  <c r="E11" i="46" s="1"/>
  <c r="F14" i="46"/>
  <c r="E12" i="46" a="1"/>
  <c r="E12" i="46" s="1"/>
  <c r="F12" i="46"/>
  <c r="B6" i="21"/>
  <c r="D8" i="46" a="1"/>
  <c r="D8" i="46" s="1"/>
  <c r="F8" i="46"/>
  <c r="F12" i="45"/>
  <c r="E9" i="46" a="1"/>
  <c r="E9" i="46" s="1"/>
  <c r="F9" i="46"/>
  <c r="F10" i="47"/>
  <c r="F7" i="46"/>
  <c r="F8" i="47"/>
  <c r="B15" i="21"/>
  <c r="D10" i="33" s="1"/>
  <c r="B2" i="20" a="1"/>
  <c r="B7" i="20" a="1"/>
  <c r="B4" i="20"/>
  <c r="AL19" i="14" l="1" a="1"/>
  <c r="AL19" i="14" s="1"/>
  <c r="G21" i="30" s="1"/>
  <c r="E6" i="30" a="1"/>
  <c r="E6" i="30" s="1"/>
  <c r="D12" i="31" a="1"/>
  <c r="D12" i="31" s="1"/>
  <c r="H14" i="46"/>
  <c r="I14" i="46" s="1"/>
  <c r="H15" i="31" a="1"/>
  <c r="H15" i="31" s="1"/>
  <c r="E16" i="31" a="1"/>
  <c r="E16" i="31" s="1"/>
  <c r="E19" i="31" a="1"/>
  <c r="E19" i="31" s="1"/>
  <c r="E12" i="30" a="1"/>
  <c r="E12" i="30" s="1"/>
  <c r="AL14" i="14" a="1"/>
  <c r="AL14" i="14" s="1"/>
  <c r="G16" i="30" s="1"/>
  <c r="F18" i="31" a="1"/>
  <c r="F18" i="31" s="1"/>
  <c r="G12" i="31" a="1"/>
  <c r="G12" i="31" s="1"/>
  <c r="D23" i="31" a="1"/>
  <c r="D23" i="31" s="1"/>
  <c r="E15" i="44" a="1"/>
  <c r="E15" i="44" s="1"/>
  <c r="G8" i="31" a="1"/>
  <c r="G8" i="31" s="1"/>
  <c r="J14" i="46"/>
  <c r="I13" i="31" a="1"/>
  <c r="I13" i="31" s="1"/>
  <c r="E22" i="30" a="1"/>
  <c r="E22" i="30" s="1"/>
  <c r="D17" i="31" a="1"/>
  <c r="D17" i="31" s="1"/>
  <c r="Q13" i="9"/>
  <c r="D7" i="31" a="1"/>
  <c r="D7" i="31" s="1"/>
  <c r="F11" i="31" a="1"/>
  <c r="F11" i="31" s="1"/>
  <c r="I11" i="31" a="1"/>
  <c r="I11" i="31" s="1"/>
  <c r="AL20" i="14" a="1"/>
  <c r="AL20" i="14" s="1"/>
  <c r="G22" i="30" s="1"/>
  <c r="E10" i="30" a="1"/>
  <c r="E10" i="30" s="1"/>
  <c r="F8" i="31" a="1"/>
  <c r="F8" i="31" s="1"/>
  <c r="H17" i="31" a="1"/>
  <c r="H17" i="31" s="1"/>
  <c r="D22" i="31" a="1"/>
  <c r="D22" i="31" s="1"/>
  <c r="G18" i="31" a="1"/>
  <c r="G18" i="31" s="1"/>
  <c r="AA8" i="9"/>
  <c r="E9" i="43" a="1"/>
  <c r="E9" i="43" s="1"/>
  <c r="D9" i="31" a="1"/>
  <c r="D9" i="31" s="1"/>
  <c r="F23" i="31" a="1"/>
  <c r="F23" i="31" s="1"/>
  <c r="G23" i="31" a="1"/>
  <c r="G23" i="31" s="1"/>
  <c r="E8" i="43" a="1"/>
  <c r="E8" i="43" s="1"/>
  <c r="E10" i="46" a="1"/>
  <c r="E10" i="46" s="1"/>
  <c r="H7" i="31" a="1"/>
  <c r="H7" i="31" s="1"/>
  <c r="D5" i="36"/>
  <c r="G15" i="31" a="1"/>
  <c r="G15" i="31" s="1"/>
  <c r="E10" i="31" a="1"/>
  <c r="E10" i="31" s="1"/>
  <c r="AL21" i="14" a="1"/>
  <c r="AL21" i="14" s="1"/>
  <c r="G23" i="30" s="1"/>
  <c r="D21" i="31" a="1"/>
  <c r="D21" i="31" s="1"/>
  <c r="B7" i="20"/>
  <c r="B2" i="20"/>
  <c r="D10" i="42" s="1"/>
  <c r="H18" i="31" a="1"/>
  <c r="H18" i="31" s="1"/>
  <c r="E8" i="45" a="1"/>
  <c r="E8" i="45" s="1"/>
  <c r="I23" i="31" a="1"/>
  <c r="I23" i="31" s="1"/>
  <c r="E6" i="31" a="1"/>
  <c r="E6" i="31" s="1"/>
  <c r="E7" i="30" a="1"/>
  <c r="E7" i="30" s="1"/>
  <c r="E9" i="31" a="1"/>
  <c r="E9" i="31" s="1"/>
  <c r="D18" i="31" a="1"/>
  <c r="D18" i="31" s="1"/>
  <c r="G14" i="31" a="1"/>
  <c r="G14" i="31" s="1"/>
  <c r="E23" i="31" a="1"/>
  <c r="E23" i="31" s="1"/>
  <c r="F24" i="31" a="1"/>
  <c r="F24" i="31" s="1"/>
  <c r="I9" i="31" a="1"/>
  <c r="I9" i="31" s="1"/>
  <c r="H9" i="31" a="1"/>
  <c r="H9" i="31" s="1"/>
  <c r="G11" i="31" a="1"/>
  <c r="G11" i="31" s="1"/>
  <c r="AL5" i="14" a="1"/>
  <c r="AL5" i="14" s="1"/>
  <c r="G7" i="30" s="1"/>
  <c r="H8" i="31" a="1"/>
  <c r="H8" i="31" s="1"/>
  <c r="I10" i="31" a="1"/>
  <c r="I10" i="31" s="1"/>
  <c r="H23" i="31" a="1"/>
  <c r="H23" i="31" s="1"/>
  <c r="AL17" i="14" a="1"/>
  <c r="AL17" i="14" s="1"/>
  <c r="G19" i="30" s="1"/>
  <c r="E23" i="30" a="1"/>
  <c r="E23" i="30" s="1"/>
  <c r="E16" i="30" a="1"/>
  <c r="E16" i="30" s="1"/>
  <c r="F22" i="31" a="1"/>
  <c r="F22" i="31" s="1"/>
  <c r="G22" i="31" a="1"/>
  <c r="G22" i="31" s="1"/>
  <c r="E20" i="31" a="1"/>
  <c r="E20" i="31" s="1"/>
  <c r="AL7" i="14" a="1"/>
  <c r="AL7" i="14" s="1"/>
  <c r="G9" i="30" s="1"/>
  <c r="I16" i="31" a="1"/>
  <c r="I16" i="31" s="1"/>
  <c r="D6" i="31" a="1"/>
  <c r="D6" i="31" s="1"/>
  <c r="AL9" i="14" a="1"/>
  <c r="AL9" i="14" s="1"/>
  <c r="G11" i="30" s="1"/>
  <c r="G9" i="31" a="1"/>
  <c r="G9" i="31" s="1"/>
  <c r="F19" i="31" a="1"/>
  <c r="F19" i="31" s="1"/>
  <c r="D6" i="32"/>
  <c r="E19" i="30" a="1"/>
  <c r="E19" i="30" s="1"/>
  <c r="J4" i="9"/>
  <c r="Z4" i="9"/>
  <c r="H10" i="31" a="1"/>
  <c r="H10" i="31" s="1"/>
  <c r="F14" i="31" a="1"/>
  <c r="F14" i="31" s="1"/>
  <c r="E11" i="30" a="1"/>
  <c r="E11" i="30" s="1"/>
  <c r="F11" i="30" s="1"/>
  <c r="G13" i="31" a="1"/>
  <c r="G13" i="31" s="1"/>
  <c r="AL15" i="14" a="1"/>
  <c r="AL15" i="14" s="1"/>
  <c r="G17" i="30" s="1"/>
  <c r="G6" i="31" a="1"/>
  <c r="G6" i="31" s="1"/>
  <c r="G10" i="31" a="1"/>
  <c r="G10" i="31" s="1"/>
  <c r="F6" i="30"/>
  <c r="D5" i="31" a="1"/>
  <c r="D5" i="31" s="1"/>
  <c r="B3" i="22"/>
  <c r="F20" i="31" a="1"/>
  <c r="F20" i="31" s="1"/>
  <c r="I12" i="31" a="1"/>
  <c r="I12" i="31" s="1"/>
  <c r="F13" i="31" a="1"/>
  <c r="F13" i="31" s="1"/>
  <c r="H21" i="31" a="1"/>
  <c r="H21" i="31" s="1"/>
  <c r="E16" i="45" a="1"/>
  <c r="E16" i="45" s="1"/>
  <c r="F21" i="31" a="1"/>
  <c r="F21" i="31" s="1"/>
  <c r="G17" i="31" a="1"/>
  <c r="G17" i="31" s="1"/>
  <c r="F13" i="30"/>
  <c r="F10" i="31" a="1"/>
  <c r="F10" i="31" s="1"/>
  <c r="D14" i="31" a="1"/>
  <c r="D14" i="31" s="1"/>
  <c r="G5" i="31" a="1"/>
  <c r="G5" i="31" s="1"/>
  <c r="E18" i="30" a="1"/>
  <c r="E18" i="30" s="1"/>
  <c r="I22" i="31" a="1"/>
  <c r="I22" i="31" s="1"/>
  <c r="E8" i="30" a="1"/>
  <c r="E8" i="30" s="1"/>
  <c r="AL10" i="14" a="1"/>
  <c r="AL10" i="14" s="1"/>
  <c r="G12" i="30" s="1"/>
  <c r="G16" i="31" a="1"/>
  <c r="G16" i="31" s="1"/>
  <c r="E21" i="31" a="1"/>
  <c r="E21" i="31" s="1"/>
  <c r="H14" i="31" a="1"/>
  <c r="H14" i="31" s="1"/>
  <c r="H5" i="31" a="1"/>
  <c r="H5" i="31" s="1"/>
  <c r="G24" i="31" a="1"/>
  <c r="G24" i="31" s="1"/>
  <c r="E8" i="46" a="1"/>
  <c r="E8" i="46" s="1"/>
  <c r="E8" i="31" a="1"/>
  <c r="E8" i="31" s="1"/>
  <c r="H19" i="31" a="1"/>
  <c r="H19" i="31" s="1"/>
  <c r="I8" i="31" a="1"/>
  <c r="I8" i="31" s="1"/>
  <c r="G20" i="31" a="1"/>
  <c r="G20" i="31" s="1"/>
  <c r="D10" i="28" a="1"/>
  <c r="D10" i="28" s="1"/>
  <c r="L6" i="16"/>
  <c r="F9" i="34" s="1"/>
  <c r="E15" i="30" a="1"/>
  <c r="E15" i="30" s="1"/>
  <c r="E14" i="31" a="1"/>
  <c r="E14" i="31" s="1"/>
  <c r="D8" i="31" a="1"/>
  <c r="D8" i="31" s="1"/>
  <c r="D16" i="31" a="1"/>
  <c r="D16" i="31" s="1"/>
  <c r="E5" i="42" a="1"/>
  <c r="E5" i="42" s="1"/>
  <c r="B2" i="23" a="1"/>
  <c r="B2" i="23" s="1"/>
  <c r="E17" i="31" a="1"/>
  <c r="E17" i="31" s="1"/>
  <c r="F17" i="31" a="1"/>
  <c r="F17" i="31" s="1"/>
  <c r="D19" i="31" a="1"/>
  <c r="D19" i="31" s="1"/>
  <c r="H22" i="31" a="1"/>
  <c r="H22" i="31" s="1"/>
  <c r="I15" i="31" a="1"/>
  <c r="I15" i="31" s="1"/>
  <c r="F16" i="31" a="1"/>
  <c r="F16" i="31" s="1"/>
  <c r="I17" i="31" a="1"/>
  <c r="I17" i="31" s="1"/>
  <c r="I7" i="31" a="1"/>
  <c r="I7" i="31" s="1"/>
  <c r="H11" i="31" a="1"/>
  <c r="H11" i="31" s="1"/>
  <c r="I24" i="31" a="1"/>
  <c r="I24" i="31" s="1"/>
  <c r="D15" i="31" a="1"/>
  <c r="D15" i="31" s="1"/>
  <c r="D11" i="31" a="1"/>
  <c r="D11" i="31" s="1"/>
  <c r="E11" i="45" a="1"/>
  <c r="E11" i="45" s="1"/>
  <c r="J11" i="45" s="1"/>
  <c r="B4" i="23" a="1"/>
  <c r="B4" i="23" s="1"/>
  <c r="E5" i="31" a="1"/>
  <c r="E5" i="31" s="1"/>
  <c r="D20" i="31" a="1"/>
  <c r="D20" i="31" s="1"/>
  <c r="E13" i="31" a="1"/>
  <c r="E13" i="31" s="1"/>
  <c r="F5" i="31" a="1"/>
  <c r="F5" i="31" s="1"/>
  <c r="I20" i="31" a="1"/>
  <c r="I20" i="31" s="1"/>
  <c r="E12" i="31" a="1"/>
  <c r="E12" i="31" s="1"/>
  <c r="E7" i="46" a="1"/>
  <c r="E7" i="46" s="1"/>
  <c r="AL18" i="14" a="1"/>
  <c r="AL18" i="14" s="1"/>
  <c r="G20" i="30" s="1"/>
  <c r="Q13" i="8"/>
  <c r="Q10" i="9"/>
  <c r="K3" i="8"/>
  <c r="L37" i="8"/>
  <c r="X3" i="9"/>
  <c r="E7" i="45" a="1"/>
  <c r="E7" i="45" s="1"/>
  <c r="J7" i="45" s="1"/>
  <c r="N15" i="8"/>
  <c r="F20" i="41"/>
  <c r="K27" i="8"/>
  <c r="D12" i="32"/>
  <c r="P17" i="8"/>
  <c r="J9" i="9"/>
  <c r="I15" i="8"/>
  <c r="H9" i="9"/>
  <c r="F21" i="41"/>
  <c r="Q4" i="9"/>
  <c r="B4" i="22"/>
  <c r="D7" i="39" s="1"/>
  <c r="Z20" i="9"/>
  <c r="D7" i="32"/>
  <c r="Y3" i="9"/>
  <c r="X9" i="9"/>
  <c r="L10" i="8"/>
  <c r="P16" i="8"/>
  <c r="M18" i="8"/>
  <c r="K2" i="8"/>
  <c r="J3" i="9"/>
  <c r="K9" i="16"/>
  <c r="G12" i="34" s="1"/>
  <c r="X10" i="9"/>
  <c r="B9" i="22"/>
  <c r="X2" i="9"/>
  <c r="Q9" i="9"/>
  <c r="F9" i="41"/>
  <c r="Q3" i="9"/>
  <c r="H4" i="9"/>
  <c r="K3" i="16"/>
  <c r="G6" i="34" s="1"/>
  <c r="M16" i="8"/>
  <c r="R30" i="8"/>
  <c r="J9" i="27"/>
  <c r="G32" i="8"/>
  <c r="S32" i="8" s="1"/>
  <c r="B20" i="22"/>
  <c r="T10" i="9" a="1"/>
  <c r="T10" i="9" s="1"/>
  <c r="I22" i="17"/>
  <c r="E13" i="45" a="1"/>
  <c r="E13" i="45" s="1"/>
  <c r="H13" i="45" s="1"/>
  <c r="I13" i="45" s="1"/>
  <c r="G28" i="8"/>
  <c r="C4" i="23" a="1"/>
  <c r="C4" i="23" s="1"/>
  <c r="E7" i="24" s="1"/>
  <c r="O12" i="8"/>
  <c r="Q32" i="8"/>
  <c r="I21" i="8"/>
  <c r="G4" i="8"/>
  <c r="L18" i="8"/>
  <c r="P28" i="8"/>
  <c r="P15" i="8"/>
  <c r="Q31" i="8"/>
  <c r="K4" i="16"/>
  <c r="G7" i="34" s="1"/>
  <c r="L29" i="8"/>
  <c r="M2" i="8"/>
  <c r="F7" i="41"/>
  <c r="J7" i="27"/>
  <c r="D23" i="32"/>
  <c r="I24" i="17"/>
  <c r="F20" i="30"/>
  <c r="G19" i="8"/>
  <c r="R32" i="8"/>
  <c r="E12" i="45" a="1"/>
  <c r="E12" i="45" s="1"/>
  <c r="H12" i="45" s="1"/>
  <c r="I12" i="45" s="1"/>
  <c r="L2" i="16"/>
  <c r="F5" i="34" s="1"/>
  <c r="L6" i="8"/>
  <c r="P21" i="8"/>
  <c r="Q4" i="8"/>
  <c r="Q20" i="9"/>
  <c r="R33" i="8"/>
  <c r="Q7" i="8"/>
  <c r="Q10" i="8"/>
  <c r="H20" i="9"/>
  <c r="K20" i="16"/>
  <c r="G23" i="34" s="1"/>
  <c r="T19" i="9" a="1"/>
  <c r="T19" i="9" s="1"/>
  <c r="Z10" i="9"/>
  <c r="F18" i="30"/>
  <c r="K10" i="16"/>
  <c r="G13" i="34" s="1"/>
  <c r="E8" i="44" a="1"/>
  <c r="E8" i="44" s="1"/>
  <c r="F21" i="30"/>
  <c r="T28" i="8"/>
  <c r="R4" i="8"/>
  <c r="I12" i="8"/>
  <c r="L20" i="16"/>
  <c r="F23" i="34" s="1"/>
  <c r="U21" i="8"/>
  <c r="H10" i="9"/>
  <c r="Y10" i="9"/>
  <c r="G11" i="8"/>
  <c r="F18" i="9"/>
  <c r="D5" i="26"/>
  <c r="G24" i="8"/>
  <c r="P12" i="8"/>
  <c r="L11" i="16"/>
  <c r="F14" i="34" s="1"/>
  <c r="L28" i="8"/>
  <c r="K13" i="9"/>
  <c r="L11" i="8"/>
  <c r="B10" i="22"/>
  <c r="D13" i="39" s="1"/>
  <c r="F14" i="41"/>
  <c r="D13" i="32"/>
  <c r="L20" i="8"/>
  <c r="AA10" i="9"/>
  <c r="E15" i="43" a="1"/>
  <c r="E15" i="43" s="1"/>
  <c r="J15" i="43" s="1"/>
  <c r="G4" i="11"/>
  <c r="M4" i="11" s="1"/>
  <c r="I7" i="26" s="1"/>
  <c r="L7" i="16"/>
  <c r="F10" i="34" s="1"/>
  <c r="L15" i="16"/>
  <c r="F18" i="34" s="1"/>
  <c r="L5" i="16"/>
  <c r="F8" i="34" s="1"/>
  <c r="U33" i="8"/>
  <c r="L12" i="16"/>
  <c r="F15" i="34" s="1"/>
  <c r="L8" i="16"/>
  <c r="F11" i="34" s="1"/>
  <c r="E9" i="45" a="1"/>
  <c r="E9" i="45" s="1"/>
  <c r="J9" i="45" s="1"/>
  <c r="D23" i="9"/>
  <c r="L19" i="16"/>
  <c r="F22" i="34" s="1"/>
  <c r="F23" i="41"/>
  <c r="E5" i="10"/>
  <c r="F8" i="27" s="1"/>
  <c r="L22" i="8"/>
  <c r="F11" i="9"/>
  <c r="AA20" i="9"/>
  <c r="I6" i="10"/>
  <c r="U31" i="8"/>
  <c r="L3" i="8"/>
  <c r="T9" i="9" a="1"/>
  <c r="T9" i="9" s="1"/>
  <c r="Z9" i="9"/>
  <c r="U13" i="8"/>
  <c r="L26" i="8"/>
  <c r="N12" i="8"/>
  <c r="M12" i="8"/>
  <c r="AA3" i="9"/>
  <c r="I11" i="8"/>
  <c r="M11" i="8"/>
  <c r="C2" i="23" a="1"/>
  <c r="C2" i="23" s="1"/>
  <c r="E5" i="24" s="1"/>
  <c r="P26" i="8"/>
  <c r="J6" i="27"/>
  <c r="K19" i="9"/>
  <c r="L12" i="8"/>
  <c r="D9" i="28" a="1"/>
  <c r="D9" i="28" s="1"/>
  <c r="G9" i="28" s="1"/>
  <c r="F16" i="30"/>
  <c r="L5" i="8"/>
  <c r="L25" i="8"/>
  <c r="L4" i="8"/>
  <c r="L17" i="16"/>
  <c r="F20" i="34" s="1"/>
  <c r="L3" i="16"/>
  <c r="F6" i="34" s="1"/>
  <c r="F17" i="41"/>
  <c r="F10" i="30"/>
  <c r="F11" i="41"/>
  <c r="L21" i="8"/>
  <c r="F16" i="41"/>
  <c r="I7" i="8"/>
  <c r="L30" i="8"/>
  <c r="Q36" i="8"/>
  <c r="X8" i="9"/>
  <c r="T12" i="8"/>
  <c r="I8" i="8"/>
  <c r="Z19" i="9"/>
  <c r="AA4" i="9"/>
  <c r="G7" i="28"/>
  <c r="J10" i="9"/>
  <c r="F8" i="30"/>
  <c r="U3" i="8"/>
  <c r="T11" i="8"/>
  <c r="K11" i="8"/>
  <c r="AA9" i="9"/>
  <c r="U5" i="8"/>
  <c r="I31" i="8"/>
  <c r="L8" i="9"/>
  <c r="F24" i="41"/>
  <c r="K9" i="9"/>
  <c r="M8" i="8"/>
  <c r="P8" i="8"/>
  <c r="F6" i="27"/>
  <c r="G3" i="10"/>
  <c r="F12" i="27"/>
  <c r="G9" i="10"/>
  <c r="F10" i="27"/>
  <c r="G7" i="10"/>
  <c r="F5" i="27"/>
  <c r="G2" i="10"/>
  <c r="C26" i="17"/>
  <c r="I26" i="17" s="1"/>
  <c r="D26" i="17"/>
  <c r="AM11" i="13"/>
  <c r="AN11" i="13"/>
  <c r="AP11" i="13" s="1"/>
  <c r="AO11" i="13"/>
  <c r="AO3" i="13"/>
  <c r="AN3" i="13"/>
  <c r="AP3" i="13" s="1"/>
  <c r="AM3" i="13"/>
  <c r="F8" i="41"/>
  <c r="P35" i="8"/>
  <c r="N35" i="8"/>
  <c r="I35" i="8"/>
  <c r="M35" i="8"/>
  <c r="O35" i="8"/>
  <c r="L36" i="8"/>
  <c r="F4" i="9"/>
  <c r="J16" i="43"/>
  <c r="H16" i="43"/>
  <c r="I16" i="43" s="1"/>
  <c r="T21" i="9" a="1"/>
  <c r="T21" i="9" s="1"/>
  <c r="Z21" i="9"/>
  <c r="T36" i="8"/>
  <c r="K36" i="8"/>
  <c r="O28" i="8"/>
  <c r="C5" i="39"/>
  <c r="U32" i="8"/>
  <c r="G18" i="8"/>
  <c r="S18" i="8" s="1"/>
  <c r="U29" i="8"/>
  <c r="U13" i="9"/>
  <c r="D7" i="38"/>
  <c r="K30" i="8"/>
  <c r="T30" i="8"/>
  <c r="H2" i="11"/>
  <c r="D6" i="39"/>
  <c r="C3" i="22"/>
  <c r="AM5" i="13"/>
  <c r="AN5" i="13"/>
  <c r="AP5" i="13" s="1"/>
  <c r="AO5" i="13"/>
  <c r="F20" i="9"/>
  <c r="T6" i="8"/>
  <c r="K6" i="8"/>
  <c r="K20" i="8"/>
  <c r="T20" i="8"/>
  <c r="Z12" i="9"/>
  <c r="T12" i="9" a="1"/>
  <c r="T12" i="9" s="1"/>
  <c r="R26" i="8"/>
  <c r="G26" i="8"/>
  <c r="U7" i="9"/>
  <c r="Z17" i="9"/>
  <c r="T17" i="9" a="1"/>
  <c r="T17" i="9" s="1"/>
  <c r="K10" i="8"/>
  <c r="T10" i="8"/>
  <c r="H3" i="11"/>
  <c r="B23" i="21"/>
  <c r="E8" i="32" s="1"/>
  <c r="D6" i="38"/>
  <c r="O13" i="8"/>
  <c r="N13" i="8"/>
  <c r="P13" i="8"/>
  <c r="M13" i="8"/>
  <c r="I13" i="8"/>
  <c r="H4" i="11"/>
  <c r="R36" i="8"/>
  <c r="G36" i="8"/>
  <c r="C5" i="23" s="1" a="1"/>
  <c r="C5" i="23" s="1"/>
  <c r="E8" i="24" s="1"/>
  <c r="C8" i="32"/>
  <c r="O11" i="8"/>
  <c r="B24" i="21"/>
  <c r="E9" i="32" s="1"/>
  <c r="D5" i="38"/>
  <c r="C3" i="25"/>
  <c r="C3" i="35"/>
  <c r="B16" i="1"/>
  <c r="E11" i="27"/>
  <c r="I8" i="10"/>
  <c r="H8" i="10"/>
  <c r="G11" i="27" s="1"/>
  <c r="L8" i="10"/>
  <c r="H11" i="27" s="1"/>
  <c r="R13" i="8"/>
  <c r="G13" i="8"/>
  <c r="M4" i="8"/>
  <c r="I4" i="8"/>
  <c r="S4" i="8" s="1"/>
  <c r="N4" i="8"/>
  <c r="P4" i="8"/>
  <c r="O4" i="8"/>
  <c r="R22" i="8"/>
  <c r="AO8" i="13"/>
  <c r="AM8" i="13"/>
  <c r="AN8" i="13"/>
  <c r="AP8" i="13" s="1"/>
  <c r="G17" i="8"/>
  <c r="S17" i="8" s="1"/>
  <c r="Q17" i="8"/>
  <c r="Q33" i="8"/>
  <c r="G33" i="8"/>
  <c r="Z7" i="9"/>
  <c r="T7" i="9" a="1"/>
  <c r="T7" i="9" s="1"/>
  <c r="M6" i="8"/>
  <c r="I6" i="8"/>
  <c r="P6" i="8"/>
  <c r="U17" i="8"/>
  <c r="L7" i="8"/>
  <c r="O6" i="8"/>
  <c r="N6" i="8"/>
  <c r="L8" i="8"/>
  <c r="G7" i="8"/>
  <c r="S7" i="8" s="1"/>
  <c r="R7" i="8"/>
  <c r="O14" i="8"/>
  <c r="N14" i="8"/>
  <c r="I14" i="8"/>
  <c r="P14" i="8"/>
  <c r="M14" i="8"/>
  <c r="K15" i="8"/>
  <c r="T15" i="8"/>
  <c r="F5" i="29"/>
  <c r="G5" i="29" a="1"/>
  <c r="G5" i="29" s="1"/>
  <c r="E5" i="29"/>
  <c r="P7" i="17"/>
  <c r="L7" i="17"/>
  <c r="H7" i="17"/>
  <c r="K7" i="17"/>
  <c r="G7" i="17"/>
  <c r="E7" i="17"/>
  <c r="M7" i="17"/>
  <c r="J7" i="17"/>
  <c r="F7" i="17"/>
  <c r="N7" i="17" s="1"/>
  <c r="I7" i="17"/>
  <c r="J31" i="17"/>
  <c r="F31" i="17"/>
  <c r="N31" i="17" s="1"/>
  <c r="M31" i="17"/>
  <c r="E31" i="17"/>
  <c r="P31" i="17"/>
  <c r="K31" i="17"/>
  <c r="G31" i="17"/>
  <c r="L31" i="17"/>
  <c r="H31" i="17"/>
  <c r="I31" i="17"/>
  <c r="D20" i="17"/>
  <c r="C20" i="17"/>
  <c r="I20" i="17" s="1"/>
  <c r="F13" i="41"/>
  <c r="T5" i="8"/>
  <c r="K5" i="8"/>
  <c r="F6" i="29"/>
  <c r="G6" i="29" a="1"/>
  <c r="G6" i="29" s="1"/>
  <c r="E6" i="29"/>
  <c r="F23" i="30"/>
  <c r="D6" i="42"/>
  <c r="E5" i="27"/>
  <c r="B13" i="23"/>
  <c r="C13" i="23" s="1"/>
  <c r="E8" i="42" a="1"/>
  <c r="E8" i="42" s="1"/>
  <c r="I13" i="15"/>
  <c r="L2" i="10"/>
  <c r="H5" i="27" s="1"/>
  <c r="H2" i="10"/>
  <c r="G5" i="27" s="1"/>
  <c r="I2" i="10"/>
  <c r="D9" i="29" a="1"/>
  <c r="D9" i="29" s="1"/>
  <c r="O30" i="8"/>
  <c r="M30" i="8"/>
  <c r="I30" i="8"/>
  <c r="S30" i="8" s="1"/>
  <c r="P30" i="8"/>
  <c r="N30" i="8"/>
  <c r="U6" i="8"/>
  <c r="T5" i="9" a="1"/>
  <c r="T5" i="9" s="1"/>
  <c r="Z5" i="9"/>
  <c r="K7" i="8"/>
  <c r="T7" i="8"/>
  <c r="O33" i="8"/>
  <c r="K7" i="9"/>
  <c r="J11" i="27"/>
  <c r="T14" i="9" a="1"/>
  <c r="T14" i="9" s="1"/>
  <c r="Z14" i="9"/>
  <c r="E8" i="10"/>
  <c r="B20" i="21"/>
  <c r="E5" i="32" s="1"/>
  <c r="O23" i="8"/>
  <c r="C9" i="32"/>
  <c r="D16" i="39"/>
  <c r="C13" i="22"/>
  <c r="G2" i="11"/>
  <c r="M2" i="11" s="1"/>
  <c r="I5" i="26" s="1"/>
  <c r="E7" i="38"/>
  <c r="U28" i="8"/>
  <c r="B22" i="1"/>
  <c r="B21" i="1"/>
  <c r="B20" i="1"/>
  <c r="G9" i="8"/>
  <c r="U4" i="8"/>
  <c r="Z15" i="9"/>
  <c r="T15" i="9" a="1"/>
  <c r="T15" i="9" s="1"/>
  <c r="G22" i="8"/>
  <c r="E7" i="47" s="1" a="1"/>
  <c r="E7" i="47" s="1"/>
  <c r="D9" i="36"/>
  <c r="F9" i="36"/>
  <c r="C4" i="17"/>
  <c r="I4" i="17" s="1"/>
  <c r="D4" i="17"/>
  <c r="D7" i="42"/>
  <c r="E5" i="26"/>
  <c r="F2" i="11"/>
  <c r="J2" i="11"/>
  <c r="G5" i="26" s="1"/>
  <c r="K2" i="11"/>
  <c r="H5" i="26" s="1"/>
  <c r="H5" i="11"/>
  <c r="E6" i="38"/>
  <c r="K14" i="8"/>
  <c r="T14" i="8"/>
  <c r="M20" i="8"/>
  <c r="I20" i="8"/>
  <c r="N20" i="8"/>
  <c r="O20" i="8"/>
  <c r="P20" i="8"/>
  <c r="H11" i="46"/>
  <c r="I11" i="46" s="1"/>
  <c r="J11" i="46"/>
  <c r="J15" i="17"/>
  <c r="F15" i="17"/>
  <c r="N15" i="17" s="1"/>
  <c r="M15" i="17"/>
  <c r="E15" i="17"/>
  <c r="H15" i="17"/>
  <c r="L15" i="17"/>
  <c r="G15" i="17"/>
  <c r="K15" i="17"/>
  <c r="P15" i="17"/>
  <c r="I15" i="17"/>
  <c r="D14" i="32"/>
  <c r="B11" i="22"/>
  <c r="K11" i="16"/>
  <c r="G14" i="34" s="1"/>
  <c r="Q11" i="9"/>
  <c r="L11" i="9"/>
  <c r="H11" i="9"/>
  <c r="K11" i="9"/>
  <c r="P11" i="16" s="1"/>
  <c r="H14" i="34" s="1"/>
  <c r="Y11" i="9"/>
  <c r="U11" i="9"/>
  <c r="J11" i="9"/>
  <c r="T8" i="9" a="1"/>
  <c r="T8" i="9" s="1"/>
  <c r="Z8" i="9"/>
  <c r="J12" i="45"/>
  <c r="J10" i="46"/>
  <c r="H10" i="46"/>
  <c r="I10" i="46" s="1"/>
  <c r="H7" i="44"/>
  <c r="I7" i="44" s="1"/>
  <c r="AN18" i="13"/>
  <c r="AP18" i="13" s="1"/>
  <c r="AO18" i="13"/>
  <c r="AM18" i="13"/>
  <c r="B22" i="21"/>
  <c r="E7" i="32" s="1"/>
  <c r="L10" i="9"/>
  <c r="L4" i="9"/>
  <c r="E10" i="27"/>
  <c r="L7" i="10"/>
  <c r="H10" i="27" s="1"/>
  <c r="H7" i="10"/>
  <c r="G10" i="27" s="1"/>
  <c r="I7" i="10"/>
  <c r="D11" i="39"/>
  <c r="C8" i="22"/>
  <c r="L13" i="9"/>
  <c r="E7" i="26"/>
  <c r="J4" i="11"/>
  <c r="G7" i="26" s="1"/>
  <c r="F4" i="11"/>
  <c r="K4" i="11"/>
  <c r="E11" i="44" a="1"/>
  <c r="E11" i="44" s="1"/>
  <c r="J16" i="17"/>
  <c r="K16" i="17"/>
  <c r="L16" i="17"/>
  <c r="F16" i="17"/>
  <c r="N16" i="17" s="1"/>
  <c r="M16" i="17"/>
  <c r="G16" i="17"/>
  <c r="E16" i="17"/>
  <c r="P16" i="17"/>
  <c r="H16" i="17"/>
  <c r="F19" i="30"/>
  <c r="I5" i="10"/>
  <c r="C6" i="32"/>
  <c r="H7" i="46"/>
  <c r="I7" i="46" s="1"/>
  <c r="J7" i="46"/>
  <c r="U7" i="8"/>
  <c r="F8" i="9"/>
  <c r="R15" i="8"/>
  <c r="G15" i="8"/>
  <c r="S15" i="8" s="1"/>
  <c r="H5" i="36" a="1"/>
  <c r="H5" i="36" s="1"/>
  <c r="F16" i="9"/>
  <c r="X16" i="9"/>
  <c r="O16" i="8"/>
  <c r="P9" i="17"/>
  <c r="E9" i="17"/>
  <c r="M9" i="17"/>
  <c r="J9" i="17"/>
  <c r="F9" i="17"/>
  <c r="N9" i="17" s="1"/>
  <c r="K9" i="17"/>
  <c r="H9" i="17"/>
  <c r="G9" i="17"/>
  <c r="L9" i="17"/>
  <c r="D13" i="34"/>
  <c r="L10" i="16"/>
  <c r="F13" i="34" s="1"/>
  <c r="L21" i="16"/>
  <c r="F24" i="34" s="1"/>
  <c r="M11" i="17"/>
  <c r="E11" i="17"/>
  <c r="P11" i="17"/>
  <c r="L11" i="17"/>
  <c r="H11" i="17"/>
  <c r="G11" i="17"/>
  <c r="K11" i="17"/>
  <c r="J11" i="17"/>
  <c r="F11" i="17"/>
  <c r="N11" i="17" s="1"/>
  <c r="M14" i="17"/>
  <c r="E14" i="17"/>
  <c r="L14" i="17"/>
  <c r="P14" i="17"/>
  <c r="J14" i="17"/>
  <c r="F14" i="17"/>
  <c r="N14" i="17" s="1"/>
  <c r="K14" i="17"/>
  <c r="G14" i="17"/>
  <c r="H14" i="17"/>
  <c r="D3" i="17"/>
  <c r="C3" i="17"/>
  <c r="L14" i="16"/>
  <c r="F17" i="34" s="1"/>
  <c r="T21" i="8"/>
  <c r="K21" i="8"/>
  <c r="O18" i="8"/>
  <c r="D7" i="24"/>
  <c r="F7" i="24" s="1"/>
  <c r="G7" i="24" s="1"/>
  <c r="K22" i="8"/>
  <c r="T22" i="8"/>
  <c r="J5" i="46"/>
  <c r="H5" i="46"/>
  <c r="I5" i="46" s="1"/>
  <c r="L7" i="9"/>
  <c r="O15" i="8"/>
  <c r="AA12" i="9"/>
  <c r="C5" i="32"/>
  <c r="H15" i="43"/>
  <c r="I15" i="43" s="1"/>
  <c r="T37" i="8"/>
  <c r="K37" i="8"/>
  <c r="H6" i="10"/>
  <c r="G9" i="27" s="1"/>
  <c r="J16" i="45"/>
  <c r="H16" i="45"/>
  <c r="I16" i="45" s="1"/>
  <c r="B30" i="21"/>
  <c r="E15" i="32" s="1"/>
  <c r="D24" i="32"/>
  <c r="B21" i="22"/>
  <c r="K21" i="16"/>
  <c r="G24" i="34" s="1"/>
  <c r="L21" i="9"/>
  <c r="H21" i="9"/>
  <c r="K21" i="9"/>
  <c r="Y21" i="9"/>
  <c r="Q21" i="9"/>
  <c r="U21" i="9"/>
  <c r="J21" i="9"/>
  <c r="J34" i="17"/>
  <c r="F34" i="17"/>
  <c r="N34" i="17" s="1"/>
  <c r="H34" i="17"/>
  <c r="L34" i="17"/>
  <c r="P34" i="17"/>
  <c r="M34" i="17"/>
  <c r="K34" i="17"/>
  <c r="G34" i="17"/>
  <c r="E34" i="17"/>
  <c r="I34" i="17"/>
  <c r="L18" i="16"/>
  <c r="F21" i="34" s="1"/>
  <c r="I16" i="17"/>
  <c r="AN15" i="13"/>
  <c r="AP15" i="13" s="1"/>
  <c r="AM15" i="13"/>
  <c r="AO15" i="13"/>
  <c r="AO20" i="13"/>
  <c r="AN20" i="13"/>
  <c r="AP20" i="13" s="1"/>
  <c r="AM20" i="13"/>
  <c r="B31" i="21"/>
  <c r="E16" i="32" s="1"/>
  <c r="F16" i="32" s="1"/>
  <c r="U37" i="8"/>
  <c r="E5" i="44" a="1"/>
  <c r="E5" i="44" s="1"/>
  <c r="J7" i="44" s="1"/>
  <c r="R20" i="8"/>
  <c r="G20" i="8"/>
  <c r="U22" i="8"/>
  <c r="H15" i="44"/>
  <c r="I15" i="44" s="1"/>
  <c r="Q8" i="8"/>
  <c r="G8" i="8"/>
  <c r="S8" i="8" s="1"/>
  <c r="G23" i="8"/>
  <c r="R23" i="8"/>
  <c r="K24" i="8"/>
  <c r="T24" i="8"/>
  <c r="T26" i="8"/>
  <c r="K26" i="8"/>
  <c r="S16" i="8"/>
  <c r="F24" i="30"/>
  <c r="K31" i="8"/>
  <c r="T31" i="8"/>
  <c r="D21" i="32"/>
  <c r="B18" i="22"/>
  <c r="K18" i="16"/>
  <c r="G21" i="34" s="1"/>
  <c r="K18" i="9"/>
  <c r="P18" i="16" s="1"/>
  <c r="H21" i="34" s="1"/>
  <c r="Y18" i="9"/>
  <c r="Q18" i="9"/>
  <c r="H18" i="9"/>
  <c r="L18" i="9"/>
  <c r="U18" i="9"/>
  <c r="J18" i="9"/>
  <c r="G35" i="8"/>
  <c r="AA16" i="9"/>
  <c r="H8" i="43"/>
  <c r="I8" i="43" s="1"/>
  <c r="J8" i="43"/>
  <c r="U30" i="8"/>
  <c r="AA14" i="9"/>
  <c r="H6" i="11"/>
  <c r="M36" i="8"/>
  <c r="I36" i="8"/>
  <c r="N36" i="8"/>
  <c r="P36" i="8"/>
  <c r="O36" i="8"/>
  <c r="Q23" i="8"/>
  <c r="G5" i="8"/>
  <c r="S5" i="8" s="1"/>
  <c r="U15" i="8"/>
  <c r="Q9" i="18" a="1"/>
  <c r="Q9" i="18" s="1"/>
  <c r="Q11" i="18" s="1" a="1"/>
  <c r="Q11" i="18" s="1"/>
  <c r="H14" i="43"/>
  <c r="I14" i="43" s="1"/>
  <c r="J14" i="43"/>
  <c r="D19" i="17"/>
  <c r="C19" i="17"/>
  <c r="I19" i="17" s="1"/>
  <c r="P8" i="17"/>
  <c r="L8" i="17"/>
  <c r="E8" i="17"/>
  <c r="M8" i="17"/>
  <c r="J8" i="17"/>
  <c r="F8" i="17"/>
  <c r="N8" i="17" s="1"/>
  <c r="H8" i="17"/>
  <c r="G8" i="17"/>
  <c r="K8" i="17"/>
  <c r="D36" i="17"/>
  <c r="C36" i="17"/>
  <c r="I36" i="17" s="1"/>
  <c r="M27" i="17"/>
  <c r="E27" i="17"/>
  <c r="P27" i="17"/>
  <c r="L27" i="17"/>
  <c r="H27" i="17"/>
  <c r="J27" i="17"/>
  <c r="F27" i="17"/>
  <c r="N27" i="17" s="1"/>
  <c r="K27" i="17"/>
  <c r="G27" i="17"/>
  <c r="AO6" i="13"/>
  <c r="AM6" i="13"/>
  <c r="AN6" i="13"/>
  <c r="AP6" i="13" s="1"/>
  <c r="C7" i="32"/>
  <c r="D20" i="32"/>
  <c r="B17" i="22"/>
  <c r="K17" i="16"/>
  <c r="G20" i="34" s="1"/>
  <c r="K17" i="9"/>
  <c r="Y17" i="9"/>
  <c r="U17" i="9"/>
  <c r="J17" i="9"/>
  <c r="Q17" i="9"/>
  <c r="H17" i="9"/>
  <c r="AA17" i="9"/>
  <c r="L17" i="9"/>
  <c r="Q26" i="8"/>
  <c r="O10" i="8"/>
  <c r="G3" i="11"/>
  <c r="M3" i="11" s="1"/>
  <c r="I6" i="26" s="1"/>
  <c r="U20" i="8"/>
  <c r="D35" i="17"/>
  <c r="C35" i="17"/>
  <c r="I35" i="17" s="1"/>
  <c r="G10" i="29" a="1"/>
  <c r="G10" i="29" s="1"/>
  <c r="F10" i="29"/>
  <c r="E10" i="29"/>
  <c r="P24" i="17"/>
  <c r="L24" i="17"/>
  <c r="M24" i="17"/>
  <c r="J24" i="17"/>
  <c r="E24" i="17"/>
  <c r="F24" i="17"/>
  <c r="N24" i="17" s="1"/>
  <c r="K24" i="17"/>
  <c r="G24" i="17"/>
  <c r="H24" i="17"/>
  <c r="D8" i="42"/>
  <c r="J5" i="27"/>
  <c r="J5" i="43"/>
  <c r="H5" i="43"/>
  <c r="I5" i="43" s="1"/>
  <c r="G6" i="28"/>
  <c r="G10" i="28"/>
  <c r="G17" i="17"/>
  <c r="H17" i="17"/>
  <c r="L17" i="17"/>
  <c r="P17" i="17"/>
  <c r="M17" i="17"/>
  <c r="E17" i="17"/>
  <c r="J17" i="17"/>
  <c r="K17" i="17"/>
  <c r="F17" i="17"/>
  <c r="N17" i="17" s="1"/>
  <c r="I8" i="17"/>
  <c r="L16" i="16"/>
  <c r="F19" i="34" s="1"/>
  <c r="C5" i="17"/>
  <c r="D5" i="17"/>
  <c r="L4" i="16"/>
  <c r="F7" i="34" s="1"/>
  <c r="I9" i="17"/>
  <c r="I27" i="17"/>
  <c r="F15" i="30"/>
  <c r="F10" i="41"/>
  <c r="F14" i="30"/>
  <c r="F15" i="41"/>
  <c r="F22" i="30"/>
  <c r="F19" i="41"/>
  <c r="F9" i="27"/>
  <c r="G6" i="10"/>
  <c r="L23" i="8"/>
  <c r="O7" i="8"/>
  <c r="K23" i="8"/>
  <c r="T23" i="8"/>
  <c r="F3" i="9"/>
  <c r="C15" i="32"/>
  <c r="T9" i="8"/>
  <c r="K9" i="8"/>
  <c r="D10" i="39"/>
  <c r="C7" i="22"/>
  <c r="J10" i="27"/>
  <c r="E16" i="46" a="1"/>
  <c r="E16" i="46" s="1"/>
  <c r="B6" i="23" a="1"/>
  <c r="B6" i="23" s="1"/>
  <c r="B32" i="21"/>
  <c r="E17" i="32" s="1"/>
  <c r="A30" i="18" a="1"/>
  <c r="A30" i="18" s="1"/>
  <c r="E8" i="26"/>
  <c r="J5" i="11"/>
  <c r="G8" i="26" s="1"/>
  <c r="F5" i="11"/>
  <c r="K5" i="11"/>
  <c r="H8" i="26" s="1"/>
  <c r="L35" i="8"/>
  <c r="U36" i="8"/>
  <c r="B33" i="21"/>
  <c r="E18" i="32" s="1"/>
  <c r="H8" i="45"/>
  <c r="I8" i="45" s="1"/>
  <c r="J8" i="45"/>
  <c r="P31" i="8"/>
  <c r="G5" i="11"/>
  <c r="M5" i="11" s="1"/>
  <c r="I8" i="26" s="1"/>
  <c r="D9" i="26"/>
  <c r="L15" i="8"/>
  <c r="E8" i="29"/>
  <c r="G8" i="29" a="1"/>
  <c r="G8" i="29" s="1"/>
  <c r="F8" i="29"/>
  <c r="M29" i="17"/>
  <c r="G8" i="35" s="1" a="1"/>
  <c r="G8" i="35" s="1"/>
  <c r="E29" i="17"/>
  <c r="J29" i="17"/>
  <c r="K29" i="17"/>
  <c r="H8" i="35" s="1" a="1"/>
  <c r="H8" i="35" s="1"/>
  <c r="G29" i="17"/>
  <c r="H29" i="17"/>
  <c r="F29" i="17"/>
  <c r="N29" i="17" s="1"/>
  <c r="I29" i="17"/>
  <c r="E8" i="35" s="1" a="1"/>
  <c r="E8" i="35" s="1"/>
  <c r="P29" i="17"/>
  <c r="L29" i="17"/>
  <c r="F8" i="35" s="1" a="1"/>
  <c r="F8" i="35" s="1"/>
  <c r="D25" i="17"/>
  <c r="C25" i="17"/>
  <c r="I25" i="17" s="1"/>
  <c r="AN10" i="13"/>
  <c r="AP10" i="13" s="1"/>
  <c r="AM10" i="13"/>
  <c r="AO10" i="13"/>
  <c r="AO4" i="13"/>
  <c r="AN4" i="13"/>
  <c r="AP4" i="13" s="1"/>
  <c r="AM4" i="13"/>
  <c r="T13" i="9" a="1"/>
  <c r="T13" i="9" s="1"/>
  <c r="P13" i="16" s="1"/>
  <c r="H16" i="34" s="1"/>
  <c r="Z13" i="9"/>
  <c r="E6" i="26"/>
  <c r="F3" i="11"/>
  <c r="K3" i="11"/>
  <c r="H6" i="26" s="1"/>
  <c r="J3" i="11"/>
  <c r="G6" i="26" s="1"/>
  <c r="H5" i="10"/>
  <c r="G8" i="27" s="1"/>
  <c r="AN16" i="13"/>
  <c r="AP16" i="13" s="1"/>
  <c r="AM16" i="13"/>
  <c r="AO16" i="13"/>
  <c r="C22" i="32"/>
  <c r="C23" i="32"/>
  <c r="E6" i="27"/>
  <c r="L3" i="10"/>
  <c r="H6" i="27" s="1"/>
  <c r="H3" i="10"/>
  <c r="G6" i="27" s="1"/>
  <c r="I3" i="10"/>
  <c r="U23" i="8"/>
  <c r="U9" i="8"/>
  <c r="B3" i="23" a="1"/>
  <c r="B3" i="23" s="1"/>
  <c r="G31" i="8"/>
  <c r="R31" i="8"/>
  <c r="C17" i="32"/>
  <c r="D18" i="32"/>
  <c r="B15" i="22"/>
  <c r="K15" i="16"/>
  <c r="G18" i="34" s="1"/>
  <c r="J15" i="9"/>
  <c r="Y15" i="9"/>
  <c r="U15" i="9"/>
  <c r="Q15" i="9"/>
  <c r="L15" i="9"/>
  <c r="H15" i="9"/>
  <c r="K15" i="9"/>
  <c r="M22" i="8"/>
  <c r="I22" i="8"/>
  <c r="L24" i="8"/>
  <c r="O22" i="8"/>
  <c r="P22" i="8"/>
  <c r="P23" i="8"/>
  <c r="N22" i="8"/>
  <c r="D8" i="32"/>
  <c r="B5" i="22"/>
  <c r="K5" i="16"/>
  <c r="G8" i="34" s="1"/>
  <c r="L5" i="9"/>
  <c r="H5" i="9"/>
  <c r="K5" i="9"/>
  <c r="U5" i="9"/>
  <c r="J5" i="9"/>
  <c r="Y5" i="9"/>
  <c r="Q5" i="9"/>
  <c r="F21" i="9"/>
  <c r="X21" i="9"/>
  <c r="C18" i="32"/>
  <c r="J10" i="45"/>
  <c r="H10" i="45"/>
  <c r="I10" i="45" s="1"/>
  <c r="G6" i="8"/>
  <c r="F12" i="9"/>
  <c r="X12" i="9"/>
  <c r="J7" i="43"/>
  <c r="H7" i="43"/>
  <c r="I7" i="43" s="1"/>
  <c r="H9" i="44"/>
  <c r="I9" i="44" s="1"/>
  <c r="D19" i="32"/>
  <c r="B16" i="22"/>
  <c r="K16" i="16"/>
  <c r="G19" i="34" s="1"/>
  <c r="K16" i="9"/>
  <c r="Y16" i="9"/>
  <c r="L16" i="9"/>
  <c r="H16" i="9"/>
  <c r="Q16" i="9"/>
  <c r="U16" i="9"/>
  <c r="J16" i="9"/>
  <c r="U27" i="8"/>
  <c r="J12" i="46"/>
  <c r="H12" i="46"/>
  <c r="I12" i="46" s="1"/>
  <c r="D12" i="17"/>
  <c r="C12" i="17"/>
  <c r="J32" i="17"/>
  <c r="L32" i="17"/>
  <c r="P32" i="17"/>
  <c r="M32" i="17"/>
  <c r="E32" i="17"/>
  <c r="F32" i="17"/>
  <c r="N32" i="17" s="1"/>
  <c r="K32" i="17"/>
  <c r="G32" i="17"/>
  <c r="H32" i="17"/>
  <c r="D6" i="47" a="1"/>
  <c r="D6" i="47" s="1"/>
  <c r="D6" i="45" a="1"/>
  <c r="D6" i="45" s="1"/>
  <c r="K21" i="17"/>
  <c r="G21" i="17"/>
  <c r="H21" i="17"/>
  <c r="L21" i="17"/>
  <c r="D6" i="35" a="1"/>
  <c r="D6" i="35" s="1"/>
  <c r="M21" i="17"/>
  <c r="E21" i="17"/>
  <c r="P21" i="17"/>
  <c r="J21" i="17"/>
  <c r="F21" i="17"/>
  <c r="N21" i="17" s="1"/>
  <c r="F17" i="30"/>
  <c r="F5" i="41"/>
  <c r="F5" i="30"/>
  <c r="F22" i="41"/>
  <c r="B28" i="21"/>
  <c r="E13" i="32" s="1"/>
  <c r="F12" i="30"/>
  <c r="AO22" i="13"/>
  <c r="AN22" i="13"/>
  <c r="AP22" i="13" s="1"/>
  <c r="AM22" i="13"/>
  <c r="O8" i="8"/>
  <c r="U11" i="8"/>
  <c r="N9" i="8"/>
  <c r="M9" i="8"/>
  <c r="I9" i="8"/>
  <c r="U19" i="8"/>
  <c r="L9" i="8"/>
  <c r="P10" i="8"/>
  <c r="O9" i="8"/>
  <c r="U18" i="8"/>
  <c r="P9" i="8"/>
  <c r="U14" i="8"/>
  <c r="Q20" i="8"/>
  <c r="AA11" i="9"/>
  <c r="J15" i="46"/>
  <c r="H15" i="46"/>
  <c r="I15" i="46" s="1"/>
  <c r="B2" i="22"/>
  <c r="D5" i="32"/>
  <c r="Q3" i="18"/>
  <c r="B7" i="19"/>
  <c r="L2" i="18" a="1"/>
  <c r="B15" i="15"/>
  <c r="C15" i="15" s="1"/>
  <c r="B6" i="15"/>
  <c r="B16" i="15"/>
  <c r="C16" i="15" s="1"/>
  <c r="B10" i="15"/>
  <c r="B17" i="15"/>
  <c r="C17" i="15" s="1"/>
  <c r="B11" i="15"/>
  <c r="B18" i="15"/>
  <c r="C18" i="15" s="1"/>
  <c r="I7" i="15"/>
  <c r="I6" i="15"/>
  <c r="I11" i="15" s="1"/>
  <c r="I3" i="15"/>
  <c r="I2" i="15"/>
  <c r="B16" i="23" s="1"/>
  <c r="C16" i="23" s="1"/>
  <c r="B2" i="15"/>
  <c r="B3" i="15"/>
  <c r="B5" i="15"/>
  <c r="B7" i="15"/>
  <c r="B8" i="15"/>
  <c r="B9" i="15"/>
  <c r="K2" i="16"/>
  <c r="G5" i="34" s="1"/>
  <c r="I5" i="15"/>
  <c r="I4" i="15"/>
  <c r="B14" i="15"/>
  <c r="C14" i="15" s="1"/>
  <c r="B4" i="15"/>
  <c r="C23" i="9"/>
  <c r="K2" i="9"/>
  <c r="U3" i="9"/>
  <c r="L2" i="9"/>
  <c r="U2" i="9"/>
  <c r="J2" i="9"/>
  <c r="L3" i="9"/>
  <c r="K20" i="9"/>
  <c r="P20" i="16" s="1"/>
  <c r="H23" i="34" s="1"/>
  <c r="U4" i="9"/>
  <c r="Q2" i="9"/>
  <c r="H2" i="9"/>
  <c r="K4" i="9"/>
  <c r="L19" i="9"/>
  <c r="U20" i="9"/>
  <c r="AA2" i="9"/>
  <c r="U9" i="9"/>
  <c r="Y2" i="9"/>
  <c r="T16" i="8"/>
  <c r="K16" i="8"/>
  <c r="AA21" i="9"/>
  <c r="F14" i="9"/>
  <c r="X14" i="9"/>
  <c r="O24" i="8"/>
  <c r="E9" i="26"/>
  <c r="J6" i="11"/>
  <c r="G9" i="26" s="1"/>
  <c r="F6" i="11"/>
  <c r="K6" i="11"/>
  <c r="H9" i="26" s="1"/>
  <c r="AA18" i="9"/>
  <c r="H8" i="44"/>
  <c r="I8" i="44" s="1"/>
  <c r="D30" i="17"/>
  <c r="C30" i="17"/>
  <c r="D9" i="45" s="1" a="1"/>
  <c r="D9" i="45" s="1"/>
  <c r="C37" i="17"/>
  <c r="I37" i="17" s="1"/>
  <c r="D37" i="17"/>
  <c r="Q12" i="8"/>
  <c r="G12" i="8"/>
  <c r="K10" i="9"/>
  <c r="P10" i="16" s="1"/>
  <c r="H13" i="34" s="1"/>
  <c r="D9" i="32"/>
  <c r="B6" i="22"/>
  <c r="K6" i="16"/>
  <c r="G9" i="34" s="1"/>
  <c r="L6" i="9"/>
  <c r="H6" i="9"/>
  <c r="J6" i="9"/>
  <c r="Y6" i="9"/>
  <c r="Q6" i="9"/>
  <c r="U6" i="9"/>
  <c r="K6" i="9"/>
  <c r="T25" i="8"/>
  <c r="K25" i="8"/>
  <c r="H5" i="45"/>
  <c r="I5" i="45" s="1"/>
  <c r="J5" i="45"/>
  <c r="AM21" i="13"/>
  <c r="AN21" i="13"/>
  <c r="AP21" i="13" s="1"/>
  <c r="AO21" i="13"/>
  <c r="C20" i="32"/>
  <c r="O17" i="8"/>
  <c r="G23" i="9"/>
  <c r="E14" i="45" a="1"/>
  <c r="E14" i="45" s="1"/>
  <c r="Q29" i="8"/>
  <c r="G6" i="11"/>
  <c r="M6" i="11" s="1"/>
  <c r="I9" i="26" s="1"/>
  <c r="G14" i="8"/>
  <c r="O37" i="8"/>
  <c r="F9" i="9"/>
  <c r="H13" i="44"/>
  <c r="I13" i="44" s="1"/>
  <c r="D15" i="32"/>
  <c r="B12" i="22"/>
  <c r="K12" i="16"/>
  <c r="G15" i="34" s="1"/>
  <c r="Y12" i="9"/>
  <c r="U12" i="9"/>
  <c r="J12" i="9"/>
  <c r="K12" i="9"/>
  <c r="L12" i="9"/>
  <c r="Q12" i="9"/>
  <c r="H12" i="9"/>
  <c r="Z16" i="9"/>
  <c r="T16" i="9" a="1"/>
  <c r="T16" i="9" s="1"/>
  <c r="O21" i="8"/>
  <c r="H11" i="43"/>
  <c r="I11" i="43" s="1"/>
  <c r="J11" i="43"/>
  <c r="E12" i="27"/>
  <c r="L9" i="10"/>
  <c r="H12" i="27" s="1"/>
  <c r="H9" i="10"/>
  <c r="G12" i="27" s="1"/>
  <c r="I9" i="10"/>
  <c r="R10" i="8"/>
  <c r="G10" i="8"/>
  <c r="S10" i="8" s="1"/>
  <c r="F13" i="9"/>
  <c r="C21" i="32"/>
  <c r="U16" i="8"/>
  <c r="Q15" i="8"/>
  <c r="H9" i="43"/>
  <c r="I9" i="43" s="1"/>
  <c r="J9" i="43"/>
  <c r="P5" i="8"/>
  <c r="F15" i="9"/>
  <c r="X15" i="9"/>
  <c r="D8" i="28" a="1"/>
  <c r="D8" i="28" s="1"/>
  <c r="G8" i="28" s="1"/>
  <c r="B6" i="20"/>
  <c r="O29" i="8"/>
  <c r="N29" i="8"/>
  <c r="M29" i="8"/>
  <c r="I29" i="8"/>
  <c r="P29" i="8"/>
  <c r="L31" i="8"/>
  <c r="G2" i="8"/>
  <c r="Q7" i="9"/>
  <c r="C16" i="32"/>
  <c r="B37" i="21"/>
  <c r="E22" i="32" s="1"/>
  <c r="F22" i="32" s="1"/>
  <c r="B38" i="21"/>
  <c r="E23" i="32" s="1"/>
  <c r="F23" i="32" s="1"/>
  <c r="J8" i="46"/>
  <c r="H8" i="46"/>
  <c r="I8" i="46" s="1"/>
  <c r="J13" i="46"/>
  <c r="H13" i="46"/>
  <c r="I13" i="46" s="1"/>
  <c r="B27" i="21"/>
  <c r="E12" i="32" s="1"/>
  <c r="F12" i="32" s="1"/>
  <c r="C14" i="32"/>
  <c r="AM14" i="13"/>
  <c r="AO14" i="13"/>
  <c r="AN14" i="13"/>
  <c r="AP14" i="13" s="1"/>
  <c r="AO7" i="13"/>
  <c r="AM7" i="13"/>
  <c r="AN7" i="13"/>
  <c r="AP7" i="13" s="1"/>
  <c r="AO19" i="13"/>
  <c r="AN19" i="13"/>
  <c r="AP19" i="13" s="1"/>
  <c r="AM19" i="13"/>
  <c r="C13" i="32"/>
  <c r="B11" i="23" a="1"/>
  <c r="B11" i="23" s="1"/>
  <c r="C11" i="23" s="1"/>
  <c r="K3" i="9"/>
  <c r="P3" i="16" s="1"/>
  <c r="H6" i="34" s="1"/>
  <c r="E10" i="44" a="1"/>
  <c r="E10" i="44" s="1"/>
  <c r="R25" i="8"/>
  <c r="G25" i="8"/>
  <c r="E10" i="47" s="1" a="1"/>
  <c r="E10" i="47" s="1"/>
  <c r="H12" i="43"/>
  <c r="I12" i="43" s="1"/>
  <c r="J12" i="43"/>
  <c r="F7" i="29"/>
  <c r="G7" i="29" a="1"/>
  <c r="G7" i="29" s="1"/>
  <c r="E7" i="29"/>
  <c r="F6" i="36"/>
  <c r="D6" i="36"/>
  <c r="D28" i="17"/>
  <c r="C28" i="17"/>
  <c r="I28" i="17" s="1"/>
  <c r="E13" i="35" s="1" a="1"/>
  <c r="E13" i="35" s="1"/>
  <c r="F9" i="30"/>
  <c r="C12" i="32"/>
  <c r="E7" i="27"/>
  <c r="L4" i="10"/>
  <c r="H7" i="27" s="1"/>
  <c r="H4" i="10"/>
  <c r="G7" i="27" s="1"/>
  <c r="I4" i="10"/>
  <c r="E6" i="45" a="1"/>
  <c r="E6" i="45" s="1"/>
  <c r="Q21" i="8"/>
  <c r="G21" i="8"/>
  <c r="E6" i="47" s="1" a="1"/>
  <c r="E6" i="47" s="1"/>
  <c r="F12" i="41"/>
  <c r="AO13" i="13"/>
  <c r="AM13" i="13"/>
  <c r="AN13" i="13"/>
  <c r="AP13" i="13" s="1"/>
  <c r="E4" i="10"/>
  <c r="O31" i="8"/>
  <c r="T6" i="9" a="1"/>
  <c r="T6" i="9" s="1"/>
  <c r="Z6" i="9"/>
  <c r="U12" i="8"/>
  <c r="U25" i="8"/>
  <c r="G5" i="28"/>
  <c r="G27" i="8"/>
  <c r="E12" i="47" s="1" a="1"/>
  <c r="E12" i="47" s="1"/>
  <c r="AO17" i="13"/>
  <c r="AM17" i="13"/>
  <c r="AN17" i="13"/>
  <c r="AP17" i="13" s="1"/>
  <c r="E23" i="9"/>
  <c r="U24" i="8"/>
  <c r="L16" i="8"/>
  <c r="L14" i="8"/>
  <c r="F5" i="9"/>
  <c r="X5" i="9"/>
  <c r="B39" i="21"/>
  <c r="E24" i="32" s="1"/>
  <c r="K29" i="8"/>
  <c r="T29" i="8"/>
  <c r="E5" i="38"/>
  <c r="L20" i="9"/>
  <c r="AA15" i="9"/>
  <c r="E14" i="44" a="1"/>
  <c r="E14" i="44" s="1"/>
  <c r="R29" i="8"/>
  <c r="G29" i="8"/>
  <c r="E14" i="47" s="1" a="1"/>
  <c r="E14" i="47" s="1"/>
  <c r="U10" i="9"/>
  <c r="L9" i="9"/>
  <c r="J13" i="43"/>
  <c r="H13" i="43"/>
  <c r="I13" i="43" s="1"/>
  <c r="D7" i="36"/>
  <c r="F7" i="36"/>
  <c r="H16" i="44"/>
  <c r="I16" i="44" s="1"/>
  <c r="J6" i="43"/>
  <c r="H6" i="43"/>
  <c r="I6" i="43" s="1"/>
  <c r="D10" i="36"/>
  <c r="F10" i="36"/>
  <c r="D10" i="17"/>
  <c r="C10" i="17"/>
  <c r="I10" i="17" s="1"/>
  <c r="AM12" i="13"/>
  <c r="AN12" i="13"/>
  <c r="AP12" i="13" s="1"/>
  <c r="AO12" i="13"/>
  <c r="F18" i="41"/>
  <c r="D22" i="39"/>
  <c r="C19" i="22"/>
  <c r="Q37" i="8"/>
  <c r="G37" i="8"/>
  <c r="S37" i="8" s="1"/>
  <c r="F19" i="9"/>
  <c r="E6" i="11" s="1"/>
  <c r="C10" i="32"/>
  <c r="E6" i="42" a="1"/>
  <c r="E6" i="42" s="1"/>
  <c r="E9" i="42" a="1"/>
  <c r="E9" i="42" s="1"/>
  <c r="F9" i="42" s="1"/>
  <c r="E10" i="42" a="1"/>
  <c r="E10" i="42" s="1"/>
  <c r="D5" i="24"/>
  <c r="D12" i="39"/>
  <c r="C9" i="22"/>
  <c r="U10" i="8"/>
  <c r="E10" i="43" a="1"/>
  <c r="E10" i="43" s="1"/>
  <c r="N25" i="8"/>
  <c r="M25" i="8"/>
  <c r="I25" i="8"/>
  <c r="P25" i="8"/>
  <c r="O25" i="8"/>
  <c r="I12" i="15"/>
  <c r="U26" i="8"/>
  <c r="T32" i="8"/>
  <c r="K32" i="8"/>
  <c r="B34" i="21"/>
  <c r="E19" i="32" s="1"/>
  <c r="AA5" i="9"/>
  <c r="C24" i="32"/>
  <c r="F6" i="9"/>
  <c r="X6" i="9"/>
  <c r="K13" i="8"/>
  <c r="T13" i="8"/>
  <c r="P7" i="8"/>
  <c r="F7" i="9"/>
  <c r="X7" i="9"/>
  <c r="P3" i="8"/>
  <c r="N3" i="8"/>
  <c r="U8" i="8"/>
  <c r="M3" i="8"/>
  <c r="I3" i="8"/>
  <c r="O26" i="8"/>
  <c r="O2" i="8"/>
  <c r="O27" i="8"/>
  <c r="O34" i="8"/>
  <c r="O3" i="8"/>
  <c r="O32" i="8"/>
  <c r="J9" i="46"/>
  <c r="H9" i="46"/>
  <c r="I9" i="46" s="1"/>
  <c r="F8" i="36"/>
  <c r="D8" i="36"/>
  <c r="L13" i="16"/>
  <c r="F16" i="34" s="1"/>
  <c r="F7" i="30"/>
  <c r="C11" i="32"/>
  <c r="E6" i="46" a="1"/>
  <c r="E6" i="46" s="1"/>
  <c r="R21" i="8"/>
  <c r="Q34" i="8"/>
  <c r="G34" i="8"/>
  <c r="S34" i="8" s="1"/>
  <c r="U19" i="9"/>
  <c r="AN9" i="13"/>
  <c r="AP9" i="13" s="1"/>
  <c r="AM9" i="13"/>
  <c r="AO9" i="13"/>
  <c r="P19" i="8"/>
  <c r="N19" i="8"/>
  <c r="O19" i="8"/>
  <c r="M19" i="8"/>
  <c r="I19" i="8"/>
  <c r="S19" i="8" s="1"/>
  <c r="E15" i="45" a="1"/>
  <c r="E15" i="45" s="1"/>
  <c r="Q30" i="8"/>
  <c r="U34" i="8"/>
  <c r="U35" i="8"/>
  <c r="G3" i="8"/>
  <c r="S33" i="8"/>
  <c r="H12" i="44"/>
  <c r="I12" i="44" s="1"/>
  <c r="U8" i="9"/>
  <c r="J12" i="27"/>
  <c r="D17" i="32"/>
  <c r="B14" i="22"/>
  <c r="K14" i="16"/>
  <c r="G17" i="34" s="1"/>
  <c r="Y14" i="9"/>
  <c r="U14" i="9"/>
  <c r="J14" i="9"/>
  <c r="H14" i="9"/>
  <c r="K14" i="9"/>
  <c r="L14" i="9"/>
  <c r="Q14" i="9"/>
  <c r="O5" i="8"/>
  <c r="C2" i="18" a="1"/>
  <c r="C2" i="18" s="1"/>
  <c r="L13" i="8"/>
  <c r="C19" i="32"/>
  <c r="AA6" i="9"/>
  <c r="D23" i="39"/>
  <c r="C20" i="22"/>
  <c r="K8" i="9"/>
  <c r="F10" i="9"/>
  <c r="B3" i="20" a="1"/>
  <c r="E6" i="35" l="1" a="1"/>
  <c r="E6" i="35" s="1"/>
  <c r="H11" i="45"/>
  <c r="I11" i="45" s="1"/>
  <c r="E16" i="35" a="1"/>
  <c r="E16" i="35" s="1"/>
  <c r="D9" i="43" a="1"/>
  <c r="D9" i="43" s="1"/>
  <c r="D16" i="43" a="1"/>
  <c r="D16" i="43" s="1"/>
  <c r="D9" i="46" a="1"/>
  <c r="D9" i="46" s="1"/>
  <c r="D9" i="47" a="1"/>
  <c r="D9" i="47" s="1"/>
  <c r="C4" i="22"/>
  <c r="D4" i="22" s="1"/>
  <c r="J13" i="45"/>
  <c r="D16" i="46" a="1"/>
  <c r="D16" i="46" s="1"/>
  <c r="D16" i="45" a="1"/>
  <c r="D16" i="45" s="1"/>
  <c r="E15" i="47" a="1"/>
  <c r="E15" i="47" s="1"/>
  <c r="J15" i="47" s="1"/>
  <c r="D16" i="35" a="1"/>
  <c r="D16" i="35" s="1"/>
  <c r="D9" i="35" a="1"/>
  <c r="D9" i="35" s="1"/>
  <c r="F10" i="42"/>
  <c r="C10" i="22"/>
  <c r="D10" i="22" s="1"/>
  <c r="E10" i="22" s="1"/>
  <c r="F10" i="22" s="1"/>
  <c r="G10" i="22" s="1"/>
  <c r="H10" i="22" s="1"/>
  <c r="H7" i="45"/>
  <c r="I7" i="45" s="1"/>
  <c r="D16" i="47" a="1"/>
  <c r="D16" i="47" s="1"/>
  <c r="I30" i="17"/>
  <c r="E15" i="35" s="1" a="1"/>
  <c r="E15" i="35" s="1"/>
  <c r="D9" i="44" a="1"/>
  <c r="D9" i="44" s="1"/>
  <c r="D14" i="35" a="1"/>
  <c r="D14" i="35" s="1"/>
  <c r="D16" i="44" a="1"/>
  <c r="D16" i="44" s="1"/>
  <c r="E9" i="47" a="1"/>
  <c r="E9" i="47" s="1"/>
  <c r="H9" i="47" s="1"/>
  <c r="I9" i="47" s="1"/>
  <c r="D14" i="47" a="1"/>
  <c r="D14" i="47" s="1"/>
  <c r="D6" i="46" a="1"/>
  <c r="D6" i="46" s="1"/>
  <c r="D4" i="23"/>
  <c r="E4" i="23" s="1"/>
  <c r="E11" i="35" a="1"/>
  <c r="E11" i="35" s="1"/>
  <c r="D12" i="35" a="1"/>
  <c r="D12" i="35" s="1"/>
  <c r="D12" i="43" a="1"/>
  <c r="D12" i="43" s="1"/>
  <c r="E13" i="47" a="1"/>
  <c r="E13" i="47" s="1"/>
  <c r="H13" i="47" s="1"/>
  <c r="I13" i="47" s="1"/>
  <c r="S21" i="8"/>
  <c r="D12" i="44" a="1"/>
  <c r="D12" i="44" s="1"/>
  <c r="D14" i="46" a="1"/>
  <c r="D14" i="46" s="1"/>
  <c r="D14" i="43" a="1"/>
  <c r="D14" i="43" s="1"/>
  <c r="E11" i="47" a="1"/>
  <c r="E11" i="47" s="1"/>
  <c r="D14" i="44" a="1"/>
  <c r="D14" i="44" s="1"/>
  <c r="E12" i="35" a="1"/>
  <c r="E12" i="35" s="1"/>
  <c r="E8" i="47" a="1"/>
  <c r="E8" i="47" s="1"/>
  <c r="H8" i="47" s="1"/>
  <c r="I8" i="47" s="1"/>
  <c r="B19" i="23" a="1"/>
  <c r="B19" i="23" s="1"/>
  <c r="C19" i="23" s="1"/>
  <c r="D14" i="45" a="1"/>
  <c r="D14" i="45" s="1"/>
  <c r="D12" i="45" a="1"/>
  <c r="D12" i="45" s="1"/>
  <c r="P19" i="16"/>
  <c r="H22" i="34" s="1"/>
  <c r="D12" i="46" a="1"/>
  <c r="D12" i="46" s="1"/>
  <c r="F7" i="32"/>
  <c r="E10" i="35" a="1"/>
  <c r="E10" i="35" s="1"/>
  <c r="D12" i="47" a="1"/>
  <c r="D12" i="47" s="1"/>
  <c r="I5" i="17"/>
  <c r="E7" i="35" s="1" a="1"/>
  <c r="E7" i="35" s="1"/>
  <c r="D7" i="46" a="1"/>
  <c r="D7" i="46" s="1"/>
  <c r="D7" i="43" a="1"/>
  <c r="D7" i="43" s="1"/>
  <c r="D7" i="45" a="1"/>
  <c r="D7" i="45" s="1"/>
  <c r="D7" i="35" a="1"/>
  <c r="D7" i="35" s="1"/>
  <c r="D7" i="44" a="1"/>
  <c r="D7" i="44" s="1"/>
  <c r="D7" i="47" a="1"/>
  <c r="D7" i="47" s="1"/>
  <c r="B18" i="23" a="1"/>
  <c r="B18" i="23" s="1"/>
  <c r="C18" i="23" s="1"/>
  <c r="D6" i="44" a="1"/>
  <c r="D6" i="44" s="1"/>
  <c r="E5" i="47" a="1"/>
  <c r="E5" i="47" s="1"/>
  <c r="J9" i="47" s="1"/>
  <c r="D6" i="43" a="1"/>
  <c r="D6" i="43" s="1"/>
  <c r="J16" i="44"/>
  <c r="S12" i="8"/>
  <c r="J12" i="44"/>
  <c r="J9" i="44"/>
  <c r="J13" i="44"/>
  <c r="S11" i="8"/>
  <c r="S28" i="8"/>
  <c r="J15" i="44"/>
  <c r="F8" i="32"/>
  <c r="H9" i="45"/>
  <c r="I9" i="45" s="1"/>
  <c r="F8" i="42"/>
  <c r="S22" i="8"/>
  <c r="B21" i="21"/>
  <c r="E6" i="32" s="1"/>
  <c r="F6" i="32" s="1"/>
  <c r="D9" i="22"/>
  <c r="E9" i="22" s="1"/>
  <c r="F9" i="22" s="1"/>
  <c r="G9" i="22" s="1"/>
  <c r="H9" i="22" s="1"/>
  <c r="D7" i="22"/>
  <c r="E7" i="22" s="1"/>
  <c r="F7" i="22" s="1"/>
  <c r="G7" i="22" s="1"/>
  <c r="H7" i="22" s="1"/>
  <c r="S36" i="8"/>
  <c r="J8" i="16"/>
  <c r="I11" i="34" s="1"/>
  <c r="F7" i="38"/>
  <c r="F13" i="32"/>
  <c r="S24" i="8"/>
  <c r="J11" i="8"/>
  <c r="P17" i="16"/>
  <c r="H20" i="34" s="1"/>
  <c r="S31" i="8"/>
  <c r="G5" i="10"/>
  <c r="J27" i="8"/>
  <c r="G5" i="37"/>
  <c r="E5" i="11"/>
  <c r="B15" i="23" a="1"/>
  <c r="B15" i="23" s="1"/>
  <c r="C15" i="23" s="1"/>
  <c r="J12" i="8"/>
  <c r="P16" i="16"/>
  <c r="H19" i="34" s="1"/>
  <c r="F18" i="32"/>
  <c r="J14" i="8"/>
  <c r="D2" i="23"/>
  <c r="E2" i="23" s="1"/>
  <c r="P9" i="16"/>
  <c r="H12" i="34" s="1"/>
  <c r="J31" i="8"/>
  <c r="S9" i="8"/>
  <c r="P15" i="16"/>
  <c r="H18" i="34" s="1"/>
  <c r="S27" i="8"/>
  <c r="B3" i="20"/>
  <c r="J14" i="16"/>
  <c r="I17" i="34" s="1"/>
  <c r="J20" i="16"/>
  <c r="I23" i="34" s="1"/>
  <c r="F13" i="25"/>
  <c r="E10" i="15"/>
  <c r="G13" i="25" s="1"/>
  <c r="C10" i="15"/>
  <c r="J20" i="8"/>
  <c r="G5" i="38"/>
  <c r="J25" i="8"/>
  <c r="J19" i="16"/>
  <c r="I22" i="34" s="1"/>
  <c r="D20" i="39"/>
  <c r="C17" i="22"/>
  <c r="D17" i="22" s="1"/>
  <c r="E17" i="22" s="1"/>
  <c r="J18" i="16"/>
  <c r="I21" i="34" s="1"/>
  <c r="G6" i="38"/>
  <c r="H7" i="47"/>
  <c r="I7" i="47" s="1"/>
  <c r="G9" i="29" a="1"/>
  <c r="G9" i="29" s="1"/>
  <c r="F9" i="29"/>
  <c r="E9" i="29"/>
  <c r="J5" i="8"/>
  <c r="J18" i="8"/>
  <c r="J8" i="8"/>
  <c r="J6" i="8"/>
  <c r="D17" i="39"/>
  <c r="C14" i="22"/>
  <c r="D14" i="22" s="1"/>
  <c r="E14" i="22" s="1"/>
  <c r="J9" i="16"/>
  <c r="I12" i="34" s="1"/>
  <c r="D15" i="46" a="1"/>
  <c r="D15" i="46" s="1"/>
  <c r="D15" i="45" a="1"/>
  <c r="D15" i="45" s="1"/>
  <c r="D15" i="35" a="1"/>
  <c r="D15" i="35" s="1"/>
  <c r="M30" i="17"/>
  <c r="G9" i="35" s="1" a="1"/>
  <c r="G9" i="35" s="1"/>
  <c r="E30" i="17"/>
  <c r="P30" i="17"/>
  <c r="J30" i="17"/>
  <c r="K30" i="17"/>
  <c r="H9" i="35" s="1" a="1"/>
  <c r="H9" i="35" s="1"/>
  <c r="G30" i="17"/>
  <c r="H30" i="17"/>
  <c r="L30" i="17"/>
  <c r="F30" i="17"/>
  <c r="N30" i="17" s="1"/>
  <c r="D15" i="44" a="1"/>
  <c r="D15" i="44" s="1"/>
  <c r="D15" i="43" a="1"/>
  <c r="D15" i="43" s="1"/>
  <c r="D15" i="47" a="1"/>
  <c r="D15" i="47" s="1"/>
  <c r="F10" i="25"/>
  <c r="E7" i="15"/>
  <c r="G10" i="25" s="1"/>
  <c r="C7" i="15"/>
  <c r="B5" i="23" a="1"/>
  <c r="B5" i="23" s="1"/>
  <c r="E16" i="47" a="1"/>
  <c r="E16" i="47" s="1"/>
  <c r="K19" i="17"/>
  <c r="G19" i="17"/>
  <c r="J19" i="17"/>
  <c r="F19" i="17"/>
  <c r="N19" i="17" s="1"/>
  <c r="H19" i="17"/>
  <c r="P19" i="17"/>
  <c r="M19" i="17"/>
  <c r="E19" i="17"/>
  <c r="L19" i="17"/>
  <c r="J26" i="8"/>
  <c r="J13" i="16"/>
  <c r="I16" i="34" s="1"/>
  <c r="D5" i="47" a="1"/>
  <c r="D5" i="47" s="1"/>
  <c r="K20" i="17"/>
  <c r="G20" i="17"/>
  <c r="H20" i="17"/>
  <c r="P20" i="17"/>
  <c r="M20" i="17"/>
  <c r="J20" i="17"/>
  <c r="E20" i="17"/>
  <c r="F20" i="17"/>
  <c r="N20" i="17" s="1"/>
  <c r="L20" i="17"/>
  <c r="D5" i="44" a="1"/>
  <c r="D5" i="44" s="1"/>
  <c r="D5" i="45" a="1"/>
  <c r="D5" i="45" s="1"/>
  <c r="D5" i="43" a="1"/>
  <c r="D5" i="43" s="1"/>
  <c r="D5" i="35" a="1"/>
  <c r="D5" i="35" s="1"/>
  <c r="D5" i="46" a="1"/>
  <c r="D5" i="46" s="1"/>
  <c r="C12" i="22"/>
  <c r="D12" i="22" s="1"/>
  <c r="E12" i="22" s="1"/>
  <c r="D15" i="39"/>
  <c r="D10" i="45" a="1"/>
  <c r="D10" i="45" s="1"/>
  <c r="D10" i="47" a="1"/>
  <c r="D10" i="47" s="1"/>
  <c r="D10" i="43" a="1"/>
  <c r="D10" i="43" s="1"/>
  <c r="D10" i="35" a="1"/>
  <c r="D10" i="35" s="1"/>
  <c r="F25" i="17"/>
  <c r="N25" i="17" s="1"/>
  <c r="K25" i="17"/>
  <c r="H10" i="35" s="1" a="1"/>
  <c r="H10" i="35" s="1"/>
  <c r="G25" i="17"/>
  <c r="H25" i="17"/>
  <c r="L25" i="17"/>
  <c r="F10" i="35" s="1" a="1"/>
  <c r="F10" i="35" s="1"/>
  <c r="M25" i="17"/>
  <c r="G10" i="35" s="1" a="1"/>
  <c r="G10" i="35" s="1"/>
  <c r="P25" i="17"/>
  <c r="E25" i="17"/>
  <c r="J25" i="17"/>
  <c r="D10" i="44" a="1"/>
  <c r="D10" i="44" s="1"/>
  <c r="D10" i="46" a="1"/>
  <c r="D10" i="46" s="1"/>
  <c r="E7" i="36" a="1"/>
  <c r="E7" i="36" s="1"/>
  <c r="E11" i="36" a="1"/>
  <c r="E11" i="36" s="1"/>
  <c r="E8" i="36" a="1"/>
  <c r="E8" i="36" s="1"/>
  <c r="E9" i="36" a="1"/>
  <c r="E9" i="36" s="1"/>
  <c r="L2" i="18"/>
  <c r="E5" i="36" s="1" a="1"/>
  <c r="E5" i="36" s="1"/>
  <c r="E6" i="36" a="1"/>
  <c r="E6" i="36" s="1"/>
  <c r="E12" i="36" a="1"/>
  <c r="E12" i="36" s="1"/>
  <c r="E10" i="36" a="1"/>
  <c r="E10" i="36" s="1"/>
  <c r="J16" i="16"/>
  <c r="I19" i="34" s="1"/>
  <c r="D6" i="24"/>
  <c r="F6" i="24" s="1"/>
  <c r="G6" i="24" s="1"/>
  <c r="D3" i="23"/>
  <c r="E3" i="23" s="1"/>
  <c r="H5" i="44"/>
  <c r="I5" i="44" s="1"/>
  <c r="J5" i="44"/>
  <c r="J6" i="44"/>
  <c r="K3" i="17"/>
  <c r="G3" i="17"/>
  <c r="J3" i="17"/>
  <c r="F3" i="17"/>
  <c r="N3" i="17" s="1"/>
  <c r="L3" i="17"/>
  <c r="E3" i="17"/>
  <c r="P3" i="17"/>
  <c r="H3" i="17"/>
  <c r="M3" i="17"/>
  <c r="D8" i="22"/>
  <c r="E8" i="22" s="1"/>
  <c r="J7" i="8"/>
  <c r="J10" i="8"/>
  <c r="F17" i="32"/>
  <c r="F8" i="25"/>
  <c r="C5" i="15"/>
  <c r="E5" i="15"/>
  <c r="G8" i="25" s="1"/>
  <c r="F6" i="25"/>
  <c r="C3" i="15"/>
  <c r="E3" i="15"/>
  <c r="G6" i="25" s="1"/>
  <c r="D21" i="39"/>
  <c r="C18" i="22"/>
  <c r="D18" i="22" s="1"/>
  <c r="E18" i="22" s="1"/>
  <c r="J7" i="16"/>
  <c r="I10" i="34" s="1"/>
  <c r="J19" i="8"/>
  <c r="J11" i="47"/>
  <c r="H11" i="47"/>
  <c r="I11" i="47" s="1"/>
  <c r="J3" i="8"/>
  <c r="F5" i="38"/>
  <c r="E4" i="11"/>
  <c r="F9" i="25"/>
  <c r="E6" i="15"/>
  <c r="G9" i="25" s="1"/>
  <c r="C6" i="15"/>
  <c r="J21" i="8"/>
  <c r="J28" i="8"/>
  <c r="J8" i="44"/>
  <c r="F5" i="25"/>
  <c r="E2" i="15"/>
  <c r="G5" i="25" s="1"/>
  <c r="C2" i="15"/>
  <c r="D5" i="39"/>
  <c r="C2" i="22"/>
  <c r="D2" i="22" s="1"/>
  <c r="E2" i="22" s="1"/>
  <c r="E3" i="11"/>
  <c r="F23" i="9"/>
  <c r="F6" i="38"/>
  <c r="J17" i="16"/>
  <c r="I20" i="34" s="1"/>
  <c r="K36" i="17"/>
  <c r="H36" i="17"/>
  <c r="L36" i="17"/>
  <c r="E36" i="17"/>
  <c r="F36" i="17"/>
  <c r="N36" i="17" s="1"/>
  <c r="M36" i="17"/>
  <c r="G36" i="17"/>
  <c r="P36" i="17"/>
  <c r="J36" i="17"/>
  <c r="J24" i="8"/>
  <c r="J21" i="16"/>
  <c r="I24" i="34" s="1"/>
  <c r="I3" i="17"/>
  <c r="E5" i="35" s="1" a="1"/>
  <c r="E5" i="35" s="1"/>
  <c r="P8" i="16"/>
  <c r="H11" i="34" s="1"/>
  <c r="J2" i="8"/>
  <c r="J15" i="8"/>
  <c r="S6" i="8"/>
  <c r="D3" i="22"/>
  <c r="E3" i="22" s="1"/>
  <c r="H7" i="26"/>
  <c r="B12" i="23"/>
  <c r="C12" i="23" s="1"/>
  <c r="F11" i="25"/>
  <c r="E8" i="15"/>
  <c r="G11" i="25" s="1"/>
  <c r="C8" i="15"/>
  <c r="J35" i="8"/>
  <c r="F5" i="37"/>
  <c r="F7" i="27"/>
  <c r="G4" i="10"/>
  <c r="F5" i="32"/>
  <c r="J15" i="16"/>
  <c r="I18" i="34" s="1"/>
  <c r="S25" i="8"/>
  <c r="H14" i="47"/>
  <c r="I14" i="47" s="1"/>
  <c r="J14" i="47"/>
  <c r="J12" i="47"/>
  <c r="H12" i="47"/>
  <c r="I12" i="47" s="1"/>
  <c r="J6" i="46"/>
  <c r="H6" i="46"/>
  <c r="I6" i="46" s="1"/>
  <c r="D19" i="22"/>
  <c r="E19" i="22" s="1"/>
  <c r="S29" i="8"/>
  <c r="B36" i="21"/>
  <c r="E21" i="32" s="1"/>
  <c r="F21" i="32" s="1"/>
  <c r="J6" i="16"/>
  <c r="I9" i="34" s="1"/>
  <c r="M12" i="17"/>
  <c r="L12" i="17"/>
  <c r="P12" i="17"/>
  <c r="E12" i="17"/>
  <c r="F12" i="17"/>
  <c r="N12" i="17" s="1"/>
  <c r="G12" i="17"/>
  <c r="K12" i="17"/>
  <c r="J12" i="17"/>
  <c r="H12" i="17"/>
  <c r="D8" i="39"/>
  <c r="C5" i="22"/>
  <c r="D5" i="22" s="1"/>
  <c r="E5" i="22" s="1"/>
  <c r="E4" i="22"/>
  <c r="J2" i="10"/>
  <c r="I5" i="27" s="1"/>
  <c r="J3" i="10"/>
  <c r="I6" i="27" s="1"/>
  <c r="J4" i="10"/>
  <c r="I7" i="27" s="1"/>
  <c r="J6" i="10"/>
  <c r="I9" i="27" s="1"/>
  <c r="J5" i="10"/>
  <c r="I8" i="27" s="1"/>
  <c r="J7" i="10"/>
  <c r="I10" i="27" s="1"/>
  <c r="J9" i="10"/>
  <c r="I12" i="27" s="1"/>
  <c r="J8" i="10"/>
  <c r="I11" i="27" s="1"/>
  <c r="P5" i="16"/>
  <c r="H8" i="34" s="1"/>
  <c r="B17" i="23"/>
  <c r="C17" i="23" s="1"/>
  <c r="C3" i="24"/>
  <c r="J36" i="8"/>
  <c r="J6" i="45"/>
  <c r="H6" i="45"/>
  <c r="I6" i="45" s="1"/>
  <c r="F7" i="25"/>
  <c r="E4" i="15"/>
  <c r="G7" i="25" s="1"/>
  <c r="C4" i="15"/>
  <c r="J10" i="47"/>
  <c r="H10" i="47"/>
  <c r="I10" i="47" s="1"/>
  <c r="H10" i="44"/>
  <c r="I10" i="44" s="1"/>
  <c r="J10" i="44"/>
  <c r="F12" i="25"/>
  <c r="E9" i="15"/>
  <c r="G12" i="25" s="1"/>
  <c r="C9" i="15"/>
  <c r="H5" i="47"/>
  <c r="I5" i="47" s="1"/>
  <c r="J5" i="47"/>
  <c r="B29" i="21"/>
  <c r="E14" i="32" s="1"/>
  <c r="F14" i="32" s="1"/>
  <c r="B35" i="21"/>
  <c r="E20" i="32" s="1"/>
  <c r="F20" i="32" s="1"/>
  <c r="J2" i="16"/>
  <c r="I5" i="34" s="1"/>
  <c r="D19" i="39"/>
  <c r="C16" i="22"/>
  <c r="D16" i="22" s="1"/>
  <c r="E16" i="22" s="1"/>
  <c r="J23" i="8"/>
  <c r="E5" i="17"/>
  <c r="F5" i="17"/>
  <c r="N5" i="17" s="1"/>
  <c r="G5" i="17"/>
  <c r="H5" i="17"/>
  <c r="P5" i="17"/>
  <c r="L5" i="17"/>
  <c r="J5" i="17"/>
  <c r="K5" i="17"/>
  <c r="H7" i="35" s="1" a="1"/>
  <c r="H7" i="35" s="1"/>
  <c r="M5" i="17"/>
  <c r="G7" i="35" s="1" a="1"/>
  <c r="G7" i="35" s="1"/>
  <c r="C21" i="22"/>
  <c r="D21" i="22" s="1"/>
  <c r="E21" i="22" s="1"/>
  <c r="D24" i="39"/>
  <c r="J37" i="8"/>
  <c r="S2" i="8"/>
  <c r="F6" i="42"/>
  <c r="P12" i="16"/>
  <c r="H15" i="34" s="1"/>
  <c r="D11" i="45" a="1"/>
  <c r="D11" i="45" s="1"/>
  <c r="D11" i="44" a="1"/>
  <c r="D11" i="44" s="1"/>
  <c r="D11" i="46" a="1"/>
  <c r="D11" i="46" s="1"/>
  <c r="D11" i="35" a="1"/>
  <c r="D11" i="35" s="1"/>
  <c r="D11" i="47" a="1"/>
  <c r="D11" i="47" s="1"/>
  <c r="P26" i="17"/>
  <c r="L26" i="17"/>
  <c r="F11" i="35" s="1" a="1"/>
  <c r="F11" i="35" s="1"/>
  <c r="H26" i="17"/>
  <c r="M26" i="17"/>
  <c r="G11" i="35" s="1" a="1"/>
  <c r="G11" i="35" s="1"/>
  <c r="J26" i="17"/>
  <c r="E26" i="17"/>
  <c r="F26" i="17"/>
  <c r="N26" i="17" s="1"/>
  <c r="K26" i="17"/>
  <c r="H11" i="35" s="1" a="1"/>
  <c r="H11" i="35" s="1"/>
  <c r="G26" i="17"/>
  <c r="D11" i="43" a="1"/>
  <c r="D11" i="43" s="1"/>
  <c r="P4" i="16"/>
  <c r="H7" i="34" s="1"/>
  <c r="B9" i="23"/>
  <c r="C9" i="23" s="1"/>
  <c r="D14" i="39"/>
  <c r="C11" i="22"/>
  <c r="D11" i="22" s="1"/>
  <c r="E11" i="22" s="1"/>
  <c r="E14" i="37"/>
  <c r="F13" i="37"/>
  <c r="E10" i="37"/>
  <c r="G11" i="37"/>
  <c r="F14" i="37"/>
  <c r="D15" i="37"/>
  <c r="E16" i="37"/>
  <c r="F16" i="37"/>
  <c r="F7" i="37"/>
  <c r="G12" i="37"/>
  <c r="G15" i="37"/>
  <c r="E8" i="37"/>
  <c r="E5" i="37"/>
  <c r="D5" i="37"/>
  <c r="F15" i="37"/>
  <c r="E11" i="37"/>
  <c r="E13" i="37"/>
  <c r="D10" i="37"/>
  <c r="G16" i="37"/>
  <c r="E9" i="37"/>
  <c r="G13" i="37"/>
  <c r="D8" i="37"/>
  <c r="E12" i="37"/>
  <c r="F9" i="37"/>
  <c r="D11" i="37"/>
  <c r="D9" i="37"/>
  <c r="G7" i="37"/>
  <c r="D6" i="37"/>
  <c r="F8" i="37"/>
  <c r="F11" i="37"/>
  <c r="F10" i="37"/>
  <c r="D13" i="37"/>
  <c r="E15" i="37"/>
  <c r="D7" i="37"/>
  <c r="D14" i="37"/>
  <c r="G10" i="37"/>
  <c r="G8" i="37"/>
  <c r="G14" i="37"/>
  <c r="E6" i="37"/>
  <c r="G6" i="37"/>
  <c r="E7" i="37"/>
  <c r="D16" i="37"/>
  <c r="F6" i="37"/>
  <c r="D12" i="37"/>
  <c r="G9" i="37"/>
  <c r="F12" i="37"/>
  <c r="F15" i="32"/>
  <c r="I8" i="15"/>
  <c r="B25" i="21"/>
  <c r="E10" i="32" s="1"/>
  <c r="F10" i="32" s="1"/>
  <c r="B8" i="21"/>
  <c r="H15" i="45"/>
  <c r="I15" i="45" s="1"/>
  <c r="J15" i="45"/>
  <c r="H14" i="44"/>
  <c r="I14" i="44" s="1"/>
  <c r="J14" i="44"/>
  <c r="B26" i="21"/>
  <c r="E11" i="32" s="1"/>
  <c r="F11" i="32" s="1"/>
  <c r="H10" i="43"/>
  <c r="I10" i="43" s="1"/>
  <c r="J10" i="43"/>
  <c r="D9" i="39"/>
  <c r="C6" i="22"/>
  <c r="D6" i="22" s="1"/>
  <c r="E6" i="22" s="1"/>
  <c r="J16" i="8"/>
  <c r="I12" i="17"/>
  <c r="E14" i="35" s="1" a="1"/>
  <c r="E14" i="35" s="1"/>
  <c r="F19" i="32"/>
  <c r="F24" i="32"/>
  <c r="J33" i="8"/>
  <c r="G7" i="38"/>
  <c r="F11" i="27"/>
  <c r="G8" i="10"/>
  <c r="P7" i="16"/>
  <c r="H10" i="34" s="1"/>
  <c r="J17" i="8"/>
  <c r="S3" i="8"/>
  <c r="F14" i="25"/>
  <c r="E11" i="15"/>
  <c r="G14" i="25" s="1"/>
  <c r="C11" i="15"/>
  <c r="J9" i="8"/>
  <c r="D20" i="22"/>
  <c r="E20" i="22" s="1"/>
  <c r="J29" i="8"/>
  <c r="G37" i="17"/>
  <c r="H37" i="17"/>
  <c r="L37" i="17"/>
  <c r="F16" i="35" s="1" a="1"/>
  <c r="F16" i="35" s="1"/>
  <c r="P37" i="17"/>
  <c r="M37" i="17"/>
  <c r="G16" i="35" s="1" a="1"/>
  <c r="G16" i="35" s="1"/>
  <c r="J37" i="17"/>
  <c r="E37" i="17"/>
  <c r="F37" i="17"/>
  <c r="N37" i="17" s="1"/>
  <c r="K37" i="17"/>
  <c r="H16" i="35" s="1" a="1"/>
  <c r="H16" i="35" s="1"/>
  <c r="K35" i="17"/>
  <c r="G35" i="17"/>
  <c r="J35" i="17"/>
  <c r="F35" i="17"/>
  <c r="N35" i="17" s="1"/>
  <c r="L35" i="17"/>
  <c r="H35" i="17"/>
  <c r="M35" i="17"/>
  <c r="E35" i="17"/>
  <c r="P35" i="17"/>
  <c r="J3" i="16"/>
  <c r="I6" i="34" s="1"/>
  <c r="J5" i="16"/>
  <c r="I8" i="34" s="1"/>
  <c r="E2" i="11"/>
  <c r="J6" i="47"/>
  <c r="H6" i="47"/>
  <c r="I6" i="47" s="1"/>
  <c r="J12" i="16"/>
  <c r="I15" i="34" s="1"/>
  <c r="F9" i="32"/>
  <c r="I9" i="15"/>
  <c r="I10" i="15" s="1"/>
  <c r="K23" i="9"/>
  <c r="J4" i="16"/>
  <c r="I7" i="34" s="1"/>
  <c r="B8" i="23"/>
  <c r="C8" i="23" s="1"/>
  <c r="S20" i="8"/>
  <c r="S14" i="8"/>
  <c r="S35" i="8"/>
  <c r="F5" i="24"/>
  <c r="G5" i="24" s="1"/>
  <c r="J13" i="8"/>
  <c r="J32" i="8"/>
  <c r="P6" i="16"/>
  <c r="H9" i="34" s="1"/>
  <c r="D5" i="42"/>
  <c r="F5" i="42" s="1"/>
  <c r="E7" i="42" a="1"/>
  <c r="E7" i="42" s="1"/>
  <c r="F7" i="42" s="1"/>
  <c r="D18" i="39"/>
  <c r="C15" i="22"/>
  <c r="D15" i="22" s="1"/>
  <c r="E15" i="22" s="1"/>
  <c r="D6" i="23"/>
  <c r="E6" i="23" s="1"/>
  <c r="D9" i="24"/>
  <c r="F9" i="24" s="1"/>
  <c r="G9" i="24" s="1"/>
  <c r="J22" i="8"/>
  <c r="J10" i="16"/>
  <c r="I13" i="34" s="1"/>
  <c r="K4" i="17"/>
  <c r="H6" i="35" s="1" a="1"/>
  <c r="H6" i="35" s="1"/>
  <c r="P4" i="17"/>
  <c r="M4" i="17"/>
  <c r="G6" i="35" s="1" a="1"/>
  <c r="G6" i="35" s="1"/>
  <c r="J4" i="17"/>
  <c r="G4" i="17"/>
  <c r="L4" i="17"/>
  <c r="F6" i="35" s="1" a="1"/>
  <c r="F6" i="35" s="1"/>
  <c r="E4" i="17"/>
  <c r="H4" i="17"/>
  <c r="F4" i="17"/>
  <c r="N4" i="17" s="1"/>
  <c r="D13" i="22"/>
  <c r="E13" i="22" s="1"/>
  <c r="P14" i="16"/>
  <c r="H17" i="34" s="1"/>
  <c r="S13" i="8"/>
  <c r="J30" i="8"/>
  <c r="S23" i="8"/>
  <c r="P2" i="16"/>
  <c r="H5" i="34" s="1"/>
  <c r="P21" i="16"/>
  <c r="H24" i="34" s="1"/>
  <c r="S26" i="8"/>
  <c r="H16" i="46"/>
  <c r="I16" i="46" s="1"/>
  <c r="J16" i="46"/>
  <c r="J8" i="47"/>
  <c r="P10" i="17"/>
  <c r="L10" i="17"/>
  <c r="F12" i="35" s="1" a="1"/>
  <c r="F12" i="35" s="1"/>
  <c r="H10" i="17"/>
  <c r="E10" i="17"/>
  <c r="M10" i="17"/>
  <c r="G12" i="35" s="1" a="1"/>
  <c r="G12" i="35" s="1"/>
  <c r="J10" i="17"/>
  <c r="G10" i="17"/>
  <c r="K10" i="17"/>
  <c r="H12" i="35" s="1" a="1"/>
  <c r="H12" i="35" s="1"/>
  <c r="F10" i="17"/>
  <c r="N10" i="17" s="1"/>
  <c r="D13" i="44" a="1"/>
  <c r="D13" i="44" s="1"/>
  <c r="D13" i="45" a="1"/>
  <c r="D13" i="45" s="1"/>
  <c r="M28" i="17"/>
  <c r="G13" i="35" s="1" a="1"/>
  <c r="G13" i="35" s="1"/>
  <c r="P28" i="17"/>
  <c r="E28" i="17"/>
  <c r="J28" i="17"/>
  <c r="F28" i="17"/>
  <c r="N28" i="17" s="1"/>
  <c r="H28" i="17"/>
  <c r="L28" i="17"/>
  <c r="F13" i="35" s="1" a="1"/>
  <c r="F13" i="35" s="1"/>
  <c r="K28" i="17"/>
  <c r="H13" i="35" s="1" a="1"/>
  <c r="H13" i="35" s="1"/>
  <c r="G28" i="17"/>
  <c r="D13" i="43" a="1"/>
  <c r="D13" i="43" s="1"/>
  <c r="D13" i="35" a="1"/>
  <c r="D13" i="35" s="1"/>
  <c r="D13" i="46" a="1"/>
  <c r="D13" i="46" s="1"/>
  <c r="D13" i="47" a="1"/>
  <c r="D13" i="47" s="1"/>
  <c r="H14" i="45"/>
  <c r="I14" i="45" s="1"/>
  <c r="J14" i="45"/>
  <c r="J34" i="8"/>
  <c r="H11" i="44"/>
  <c r="I11" i="44" s="1"/>
  <c r="J11" i="44"/>
  <c r="J11" i="16"/>
  <c r="I14" i="34" s="1"/>
  <c r="J4" i="8"/>
  <c r="H15" i="47" l="1"/>
  <c r="I15" i="47" s="1"/>
  <c r="F14" i="35" a="1"/>
  <c r="F14" i="35" s="1"/>
  <c r="G14" i="35" a="1"/>
  <c r="G14" i="35" s="1"/>
  <c r="E9" i="35" a="1"/>
  <c r="E9" i="35" s="1"/>
  <c r="G5" i="35" a="1"/>
  <c r="G5" i="35" s="1"/>
  <c r="J7" i="47"/>
  <c r="E12" i="39"/>
  <c r="F15" i="35" a="1"/>
  <c r="F15" i="35" s="1"/>
  <c r="H15" i="35" a="1"/>
  <c r="H15" i="35" s="1"/>
  <c r="F9" i="35" a="1"/>
  <c r="F9" i="35" s="1"/>
  <c r="G15" i="35" a="1"/>
  <c r="G15" i="35" s="1"/>
  <c r="H14" i="35" a="1"/>
  <c r="H14" i="35" s="1"/>
  <c r="F7" i="35" a="1"/>
  <c r="F7" i="35" s="1"/>
  <c r="B10" i="23" a="1"/>
  <c r="B10" i="23" s="1"/>
  <c r="C10" i="23" s="1"/>
  <c r="F5" i="35" a="1"/>
  <c r="F5" i="35" s="1"/>
  <c r="J13" i="47"/>
  <c r="H5" i="35" a="1"/>
  <c r="H5" i="35" s="1"/>
  <c r="E10" i="39"/>
  <c r="E13" i="39"/>
  <c r="C2" i="21"/>
  <c r="E7" i="39"/>
  <c r="F4" i="22"/>
  <c r="G4" i="22" s="1"/>
  <c r="H4" i="22" s="1"/>
  <c r="F6" i="22"/>
  <c r="G6" i="22" s="1"/>
  <c r="H6" i="22" s="1"/>
  <c r="E9" i="39"/>
  <c r="F12" i="39"/>
  <c r="I9" i="22"/>
  <c r="C31" i="21"/>
  <c r="G16" i="32" s="1"/>
  <c r="F11" i="22"/>
  <c r="G11" i="22" s="1"/>
  <c r="H11" i="22" s="1"/>
  <c r="E14" i="39"/>
  <c r="D11" i="25"/>
  <c r="F8" i="15"/>
  <c r="H11" i="25" s="1"/>
  <c r="D8" i="15"/>
  <c r="E11" i="25" s="1"/>
  <c r="D6" i="25"/>
  <c r="F3" i="15"/>
  <c r="H6" i="25" s="1"/>
  <c r="D3" i="15"/>
  <c r="E6" i="25" s="1"/>
  <c r="D8" i="25"/>
  <c r="D5" i="15"/>
  <c r="E8" i="25" s="1"/>
  <c r="F5" i="15"/>
  <c r="H8" i="25" s="1"/>
  <c r="F13" i="39"/>
  <c r="I10" i="22"/>
  <c r="C22" i="21"/>
  <c r="G7" i="32" s="1"/>
  <c r="E16" i="39"/>
  <c r="F13" i="22"/>
  <c r="G13" i="22" s="1"/>
  <c r="H13" i="22" s="1"/>
  <c r="F15" i="22"/>
  <c r="G15" i="22" s="1"/>
  <c r="H15" i="22" s="1"/>
  <c r="E18" i="39"/>
  <c r="C27" i="21"/>
  <c r="G12" i="32" s="1"/>
  <c r="E19" i="39"/>
  <c r="F16" i="22"/>
  <c r="G16" i="22" s="1"/>
  <c r="H16" i="22" s="1"/>
  <c r="E15" i="39"/>
  <c r="F12" i="22"/>
  <c r="G12" i="22" s="1"/>
  <c r="H12" i="22" s="1"/>
  <c r="H16" i="47"/>
  <c r="I16" i="47" s="1"/>
  <c r="J16" i="47"/>
  <c r="D14" i="25"/>
  <c r="F11" i="15"/>
  <c r="H14" i="25" s="1"/>
  <c r="D11" i="15"/>
  <c r="E14" i="25" s="1"/>
  <c r="B19" i="1"/>
  <c r="B10" i="21"/>
  <c r="D5" i="33" s="1"/>
  <c r="E8" i="39"/>
  <c r="F5" i="22"/>
  <c r="G5" i="22" s="1"/>
  <c r="H5" i="22" s="1"/>
  <c r="C38" i="21"/>
  <c r="G23" i="32" s="1"/>
  <c r="F18" i="22"/>
  <c r="G18" i="22" s="1"/>
  <c r="H18" i="22" s="1"/>
  <c r="E21" i="39"/>
  <c r="B11" i="21"/>
  <c r="D6" i="33" s="1"/>
  <c r="D9" i="25"/>
  <c r="D6" i="15"/>
  <c r="E9" i="25" s="1"/>
  <c r="F6" i="15"/>
  <c r="H9" i="25" s="1"/>
  <c r="D8" i="24"/>
  <c r="F8" i="24" s="1"/>
  <c r="G8" i="24" s="1"/>
  <c r="D5" i="23"/>
  <c r="E5" i="23" s="1"/>
  <c r="E20" i="39"/>
  <c r="F17" i="22"/>
  <c r="G17" i="22" s="1"/>
  <c r="H17" i="22" s="1"/>
  <c r="D10" i="25"/>
  <c r="F7" i="15"/>
  <c r="H10" i="25" s="1"/>
  <c r="D7" i="15"/>
  <c r="E10" i="25" s="1"/>
  <c r="D5" i="25"/>
  <c r="F2" i="15"/>
  <c r="H5" i="25" s="1"/>
  <c r="D2" i="15"/>
  <c r="E5" i="25" s="1"/>
  <c r="C21" i="21"/>
  <c r="G6" i="32" s="1"/>
  <c r="F20" i="22"/>
  <c r="G20" i="22" s="1"/>
  <c r="H20" i="22" s="1"/>
  <c r="E23" i="39"/>
  <c r="C37" i="21"/>
  <c r="G22" i="32" s="1"/>
  <c r="F10" i="39"/>
  <c r="I7" i="22"/>
  <c r="E5" i="39"/>
  <c r="F2" i="22"/>
  <c r="G2" i="22" s="1"/>
  <c r="H2" i="22" s="1"/>
  <c r="D7" i="25"/>
  <c r="F4" i="15"/>
  <c r="H7" i="25" s="1"/>
  <c r="D4" i="15"/>
  <c r="E7" i="25" s="1"/>
  <c r="D12" i="25"/>
  <c r="F9" i="15"/>
  <c r="H12" i="25" s="1"/>
  <c r="D9" i="15"/>
  <c r="E12" i="25" s="1"/>
  <c r="E6" i="39"/>
  <c r="F3" i="22"/>
  <c r="G3" i="22" s="1"/>
  <c r="H3" i="22" s="1"/>
  <c r="D13" i="25"/>
  <c r="D10" i="15"/>
  <c r="E13" i="25" s="1"/>
  <c r="F10" i="15"/>
  <c r="H13" i="25" s="1"/>
  <c r="F8" i="22"/>
  <c r="G8" i="22" s="1"/>
  <c r="H8" i="22" s="1"/>
  <c r="E11" i="39"/>
  <c r="E22" i="39"/>
  <c r="F19" i="22"/>
  <c r="G19" i="22" s="1"/>
  <c r="H19" i="22" s="1"/>
  <c r="F21" i="22"/>
  <c r="G21" i="22" s="1"/>
  <c r="H21" i="22" s="1"/>
  <c r="E24" i="39"/>
  <c r="C28" i="21"/>
  <c r="G13" i="32" s="1"/>
  <c r="E17" i="39"/>
  <c r="F14" i="22"/>
  <c r="G14" i="22" s="1"/>
  <c r="H14" i="22" s="1"/>
  <c r="B18" i="1" l="1"/>
  <c r="B13" i="21"/>
  <c r="D8" i="33" s="1"/>
  <c r="F22" i="39"/>
  <c r="I19" i="22"/>
  <c r="F18" i="39"/>
  <c r="I15" i="22"/>
  <c r="B4" i="21"/>
  <c r="B12" i="21"/>
  <c r="D7" i="33" s="1"/>
  <c r="C36" i="21"/>
  <c r="G21" i="32" s="1"/>
  <c r="G10" i="39"/>
  <c r="F21" i="39"/>
  <c r="I18" i="22"/>
  <c r="B2" i="21"/>
  <c r="B7" i="21"/>
  <c r="F17" i="39"/>
  <c r="I14" i="22"/>
  <c r="C30" i="21"/>
  <c r="G15" i="32" s="1"/>
  <c r="C34" i="21"/>
  <c r="G19" i="32" s="1"/>
  <c r="F19" i="39"/>
  <c r="I16" i="22"/>
  <c r="G12" i="39"/>
  <c r="F16" i="39"/>
  <c r="I13" i="22"/>
  <c r="C39" i="21"/>
  <c r="G24" i="32" s="1"/>
  <c r="F24" i="39"/>
  <c r="I21" i="22"/>
  <c r="C35" i="21"/>
  <c r="G20" i="32" s="1"/>
  <c r="C25" i="21"/>
  <c r="G10" i="32" s="1"/>
  <c r="G13" i="39"/>
  <c r="F9" i="39"/>
  <c r="I6" i="22"/>
  <c r="F20" i="39"/>
  <c r="I17" i="22"/>
  <c r="I20" i="22"/>
  <c r="F23" i="39"/>
  <c r="F7" i="39"/>
  <c r="I4" i="22"/>
  <c r="C20" i="21"/>
  <c r="G5" i="32" s="1"/>
  <c r="F15" i="39"/>
  <c r="I12" i="22"/>
  <c r="F6" i="39"/>
  <c r="I3" i="22"/>
  <c r="C23" i="21"/>
  <c r="G8" i="32" s="1"/>
  <c r="C29" i="21"/>
  <c r="G14" i="32" s="1"/>
  <c r="I8" i="22"/>
  <c r="F11" i="39"/>
  <c r="C33" i="21"/>
  <c r="G18" i="32" s="1"/>
  <c r="C26" i="21"/>
  <c r="G11" i="32" s="1"/>
  <c r="C24" i="21"/>
  <c r="G9" i="32" s="1"/>
  <c r="F5" i="39"/>
  <c r="I2" i="22"/>
  <c r="C32" i="21"/>
  <c r="G17" i="32" s="1"/>
  <c r="I5" i="22"/>
  <c r="F8" i="39"/>
  <c r="F14" i="39"/>
  <c r="I11" i="22"/>
  <c r="B3" i="21" l="1"/>
  <c r="J9" i="22"/>
  <c r="H12" i="39" s="1"/>
  <c r="K9" i="22"/>
  <c r="I12" i="39" s="1"/>
  <c r="G8" i="39"/>
  <c r="K5" i="22"/>
  <c r="I8" i="39" s="1"/>
  <c r="J5" i="22"/>
  <c r="H8" i="39" s="1"/>
  <c r="K17" i="22"/>
  <c r="I20" i="39" s="1"/>
  <c r="J17" i="22"/>
  <c r="H20" i="39" s="1"/>
  <c r="G20" i="39"/>
  <c r="G17" i="39"/>
  <c r="K14" i="22"/>
  <c r="I17" i="39" s="1"/>
  <c r="J14" i="22"/>
  <c r="H17" i="39" s="1"/>
  <c r="K10" i="22"/>
  <c r="I13" i="39" s="1"/>
  <c r="G18" i="39"/>
  <c r="K15" i="22"/>
  <c r="I18" i="39" s="1"/>
  <c r="J15" i="22"/>
  <c r="H18" i="39" s="1"/>
  <c r="G23" i="39"/>
  <c r="K20" i="22"/>
  <c r="I23" i="39" s="1"/>
  <c r="J20" i="22"/>
  <c r="H23" i="39" s="1"/>
  <c r="K13" i="22"/>
  <c r="I16" i="39" s="1"/>
  <c r="J13" i="22"/>
  <c r="H16" i="39" s="1"/>
  <c r="G16" i="39"/>
  <c r="G6" i="39"/>
  <c r="K3" i="22"/>
  <c r="I6" i="39" s="1"/>
  <c r="J3" i="22"/>
  <c r="H6" i="39" s="1"/>
  <c r="G15" i="39"/>
  <c r="K12" i="22"/>
  <c r="I15" i="39" s="1"/>
  <c r="J12" i="22"/>
  <c r="H15" i="39" s="1"/>
  <c r="K16" i="22"/>
  <c r="I19" i="39" s="1"/>
  <c r="G19" i="39"/>
  <c r="J16" i="22"/>
  <c r="H19" i="39" s="1"/>
  <c r="G21" i="39"/>
  <c r="K18" i="22"/>
  <c r="I21" i="39" s="1"/>
  <c r="J18" i="22"/>
  <c r="H21" i="39" s="1"/>
  <c r="G22" i="39"/>
  <c r="K19" i="22"/>
  <c r="I22" i="39" s="1"/>
  <c r="J19" i="22"/>
  <c r="H22" i="39" s="1"/>
  <c r="J8" i="22"/>
  <c r="H11" i="39" s="1"/>
  <c r="K8" i="22"/>
  <c r="I11" i="39" s="1"/>
  <c r="G11" i="39"/>
  <c r="G9" i="39"/>
  <c r="K6" i="22"/>
  <c r="I9" i="39" s="1"/>
  <c r="J6" i="22"/>
  <c r="H9" i="39" s="1"/>
  <c r="G5" i="39"/>
  <c r="K2" i="22"/>
  <c r="I5" i="39" s="1"/>
  <c r="J2" i="22"/>
  <c r="H5" i="39" s="1"/>
  <c r="B5" i="21"/>
  <c r="G7" i="39"/>
  <c r="K4" i="22"/>
  <c r="I7" i="39" s="1"/>
  <c r="J4" i="22"/>
  <c r="H7" i="39" s="1"/>
  <c r="B14" i="23"/>
  <c r="C14" i="23" s="1"/>
  <c r="G24" i="39"/>
  <c r="K21" i="22"/>
  <c r="I24" i="39" s="1"/>
  <c r="J21" i="22"/>
  <c r="H24" i="39" s="1"/>
  <c r="J7" i="22"/>
  <c r="H10" i="39" s="1"/>
  <c r="J10" i="22"/>
  <c r="H13" i="39" s="1"/>
  <c r="K7" i="22"/>
  <c r="I10" i="39" s="1"/>
  <c r="G14" i="39"/>
  <c r="K11" i="22"/>
  <c r="I14" i="39" s="1"/>
  <c r="J11" i="22"/>
  <c r="H14" i="39" s="1"/>
  <c r="B14" i="21" l="1"/>
  <c r="D9" i="3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<sst xmlns="http://schemas.openxmlformats.org/spreadsheetml/2006/main" count="18064" uniqueCount="327">
  <si>
    <t>Banca</t>
  </si>
  <si>
    <t>Mese</t>
  </si>
  <si>
    <t>Prodotto</t>
  </si>
  <si>
    <t>Data</t>
  </si>
  <si>
    <t>Volumi</t>
  </si>
  <si>
    <t>Ricavi</t>
  </si>
  <si>
    <t>Costi</t>
  </si>
  <si>
    <t>Clienti</t>
  </si>
  <si>
    <t>Regione</t>
  </si>
  <si>
    <t>Anno</t>
  </si>
  <si>
    <t>Margine</t>
  </si>
  <si>
    <t>Chiave</t>
  </si>
  <si>
    <t>Banca Alpi</t>
  </si>
  <si>
    <t>Mutui</t>
  </si>
  <si>
    <t>Nord-Ovest</t>
  </si>
  <si>
    <t>Prestiti</t>
  </si>
  <si>
    <t>Conti</t>
  </si>
  <si>
    <t>Carte</t>
  </si>
  <si>
    <t>Leasing</t>
  </si>
  <si>
    <t>Factoring</t>
  </si>
  <si>
    <t>Risparmio</t>
  </si>
  <si>
    <t>Assicurazioni</t>
  </si>
  <si>
    <t>Banca Adriatica</t>
  </si>
  <si>
    <t>Nord-Est</t>
  </si>
  <si>
    <t>Banca Tirrena</t>
  </si>
  <si>
    <t>Centro</t>
  </si>
  <si>
    <t>Banca Padana</t>
  </si>
  <si>
    <t>Banca Etrusca</t>
  </si>
  <si>
    <t>Banca Lariana</t>
  </si>
  <si>
    <t>Banca Sabina</t>
  </si>
  <si>
    <t>Banca Irpina</t>
  </si>
  <si>
    <t>Sud</t>
  </si>
  <si>
    <t>Banca Sannita</t>
  </si>
  <si>
    <t>Banca Ligure</t>
  </si>
  <si>
    <t>Banca Veneta</t>
  </si>
  <si>
    <t>Banca Friulana</t>
  </si>
  <si>
    <t>Banca Umbra</t>
  </si>
  <si>
    <t>Banca Marchigiana</t>
  </si>
  <si>
    <t>Banca Lucana</t>
  </si>
  <si>
    <t>Banca Calabra</t>
  </si>
  <si>
    <t>Banca Sicula</t>
  </si>
  <si>
    <t>Isole</t>
  </si>
  <si>
    <t>Banca Sarda</t>
  </si>
  <si>
    <t>Banca Romagnola</t>
  </si>
  <si>
    <t>Banca Città</t>
  </si>
  <si>
    <t>Codice</t>
  </si>
  <si>
    <t>Responsabile</t>
  </si>
  <si>
    <t>Segmento</t>
  </si>
  <si>
    <t>Fondazione</t>
  </si>
  <si>
    <t>Obiettivo</t>
  </si>
  <si>
    <t>Peso</t>
  </si>
  <si>
    <t>B101</t>
  </si>
  <si>
    <t>Rossi</t>
  </si>
  <si>
    <t>Grande</t>
  </si>
  <si>
    <t>B102</t>
  </si>
  <si>
    <t>Bianchi  Anna</t>
  </si>
  <si>
    <t>Media</t>
  </si>
  <si>
    <t>B103</t>
  </si>
  <si>
    <t>Verdi</t>
  </si>
  <si>
    <t>B104</t>
  </si>
  <si>
    <t xml:space="preserve"> Ferrari</t>
  </si>
  <si>
    <t>B105</t>
  </si>
  <si>
    <t>Russo</t>
  </si>
  <si>
    <t>B106</t>
  </si>
  <si>
    <t>Colombo  Luca</t>
  </si>
  <si>
    <t>Piccola</t>
  </si>
  <si>
    <t>B107</t>
  </si>
  <si>
    <t>Ricci</t>
  </si>
  <si>
    <t>B108</t>
  </si>
  <si>
    <t>Marino</t>
  </si>
  <si>
    <t>B109</t>
  </si>
  <si>
    <t>Greco</t>
  </si>
  <si>
    <t>B110</t>
  </si>
  <si>
    <t>Bruno</t>
  </si>
  <si>
    <t>B111</t>
  </si>
  <si>
    <t>Gallo</t>
  </si>
  <si>
    <t>B112</t>
  </si>
  <si>
    <t xml:space="preserve">Conti </t>
  </si>
  <si>
    <t>B113</t>
  </si>
  <si>
    <t>De Luca</t>
  </si>
  <si>
    <t>B114</t>
  </si>
  <si>
    <t>Mancini</t>
  </si>
  <si>
    <t>B115</t>
  </si>
  <si>
    <t>Costa</t>
  </si>
  <si>
    <t>B116</t>
  </si>
  <si>
    <t>Giordano</t>
  </si>
  <si>
    <t>B117</t>
  </si>
  <si>
    <t>Rizzo</t>
  </si>
  <si>
    <t>B118</t>
  </si>
  <si>
    <t>Lombardi</t>
  </si>
  <si>
    <t>B119</t>
  </si>
  <si>
    <t>Moretti</t>
  </si>
  <si>
    <t>B120</t>
  </si>
  <si>
    <t>Barbieri</t>
  </si>
  <si>
    <t>USD</t>
  </si>
  <si>
    <t>GBP</t>
  </si>
  <si>
    <t>CHF</t>
  </si>
  <si>
    <t>Budget volumi</t>
  </si>
  <si>
    <t>Budget ricavi</t>
  </si>
  <si>
    <t>Categoria</t>
  </si>
  <si>
    <t>Peso margine</t>
  </si>
  <si>
    <t>Credito</t>
  </si>
  <si>
    <t>P1</t>
  </si>
  <si>
    <t>P2</t>
  </si>
  <si>
    <t>Raccolta</t>
  </si>
  <si>
    <t>P3</t>
  </si>
  <si>
    <t>Servizi</t>
  </si>
  <si>
    <t>P4</t>
  </si>
  <si>
    <t>P5</t>
  </si>
  <si>
    <t>P6</t>
  </si>
  <si>
    <t>P7</t>
  </si>
  <si>
    <t>P8</t>
  </si>
  <si>
    <t>Galli</t>
  </si>
  <si>
    <t>Fontana</t>
  </si>
  <si>
    <t>Santoro</t>
  </si>
  <si>
    <t>Marini</t>
  </si>
  <si>
    <t>Caruso</t>
  </si>
  <si>
    <t>Parametro</t>
  </si>
  <si>
    <t>Mese (indice)</t>
  </si>
  <si>
    <t>Tasso scenario</t>
  </si>
  <si>
    <t>Indice banca</t>
  </si>
  <si>
    <t>Regione banca</t>
  </si>
  <si>
    <t>Data rif.</t>
  </si>
  <si>
    <t>Etichetta</t>
  </si>
  <si>
    <t>Mese anno</t>
  </si>
  <si>
    <t>Mese prec.</t>
  </si>
  <si>
    <t>Anno prec.</t>
  </si>
  <si>
    <t>Cambio USD</t>
  </si>
  <si>
    <t>Titolo</t>
  </si>
  <si>
    <t>Oggi</t>
  </si>
  <si>
    <t>Gap peer</t>
  </si>
  <si>
    <t>Totale regioni</t>
  </si>
  <si>
    <t>Trimestre</t>
  </si>
  <si>
    <t>Inizio trimestre</t>
  </si>
  <si>
    <t>Primo mese anno</t>
  </si>
  <si>
    <t>Tasso mensile</t>
  </si>
  <si>
    <t>Budget</t>
  </si>
  <si>
    <t>Scost. %</t>
  </si>
  <si>
    <t>YTD volumi</t>
  </si>
  <si>
    <t>Media mobile 3m</t>
  </si>
  <si>
    <t>Volumi USD</t>
  </si>
  <si>
    <t>Scenario</t>
  </si>
  <si>
    <t>Rango</t>
  </si>
  <si>
    <t>Var. m/m</t>
  </si>
  <si>
    <t>Cost/income</t>
  </si>
  <si>
    <t>Ricavo/cliente</t>
  </si>
  <si>
    <t>Esito</t>
  </si>
  <si>
    <t>Media 12m</t>
  </si>
  <si>
    <t>Var. %</t>
  </si>
  <si>
    <t>YoY</t>
  </si>
  <si>
    <t>Quota</t>
  </si>
  <si>
    <t>Max mutui</t>
  </si>
  <si>
    <t>Media prodotti</t>
  </si>
  <si>
    <t>Prodotti sopra media</t>
  </si>
  <si>
    <t>Gap budget</t>
  </si>
  <si>
    <t>Classe</t>
  </si>
  <si>
    <t>Codice area</t>
  </si>
  <si>
    <t>Quartile</t>
  </si>
  <si>
    <t>Selezionata</t>
  </si>
  <si>
    <t>In regione sel.</t>
  </si>
  <si>
    <t>Scost. LET</t>
  </si>
  <si>
    <t>YTD</t>
  </si>
  <si>
    <t>Totale</t>
  </si>
  <si>
    <t>Margine pesato</t>
  </si>
  <si>
    <t>Mercato</t>
  </si>
  <si>
    <t>Quota mercato</t>
  </si>
  <si>
    <t>Riga chiave</t>
  </si>
  <si>
    <t>Volumi da chiave</t>
  </si>
  <si>
    <t>Banche</t>
  </si>
  <si>
    <t>Media banca</t>
  </si>
  <si>
    <t>Max banca</t>
  </si>
  <si>
    <t>Min banca</t>
  </si>
  <si>
    <t>Gap</t>
  </si>
  <si>
    <t>Migliore</t>
  </si>
  <si>
    <t>Banca \ mese</t>
  </si>
  <si>
    <t>Scenario volumi</t>
  </si>
  <si>
    <t>Max</t>
  </si>
  <si>
    <t>Min</t>
  </si>
  <si>
    <t>Mese max</t>
  </si>
  <si>
    <t>Mese sel.</t>
  </si>
  <si>
    <t>k</t>
  </si>
  <si>
    <t>Mediana</t>
  </si>
  <si>
    <t>Dev. st.</t>
  </si>
  <si>
    <t>90° percentile</t>
  </si>
  <si>
    <t>1° quartile</t>
  </si>
  <si>
    <t>Campo</t>
  </si>
  <si>
    <t>Banche in crescita</t>
  </si>
  <si>
    <t>Concentrazione</t>
  </si>
  <si>
    <t>Radice</t>
  </si>
  <si>
    <t>Media arrot.</t>
  </si>
  <si>
    <t>Percent. rango sel.</t>
  </si>
  <si>
    <t>Sigla</t>
  </si>
  <si>
    <t>Nome</t>
  </si>
  <si>
    <t>Estratto</t>
  </si>
  <si>
    <t>Breve</t>
  </si>
  <si>
    <t>Email</t>
  </si>
  <si>
    <t>Proprio</t>
  </si>
  <si>
    <t>Stelle</t>
  </si>
  <si>
    <t>Volumi testo</t>
  </si>
  <si>
    <t>Elenco</t>
  </si>
  <si>
    <t>Numero codice</t>
  </si>
  <si>
    <t>Lunghezza</t>
  </si>
  <si>
    <t>Accento</t>
  </si>
  <si>
    <t>Inizio</t>
  </si>
  <si>
    <t>Fine</t>
  </si>
  <si>
    <t>+12 mesi</t>
  </si>
  <si>
    <t>Giorno</t>
  </si>
  <si>
    <t>Giorno sett.</t>
  </si>
  <si>
    <t>Giorni lav.</t>
  </si>
  <si>
    <t>Giorni</t>
  </si>
  <si>
    <t>Mesi da rif.</t>
  </si>
  <si>
    <t>Stato</t>
  </si>
  <si>
    <t>Fine rel.</t>
  </si>
  <si>
    <t>Primo lav. dopo</t>
  </si>
  <si>
    <t>Banche della regione</t>
  </si>
  <si>
    <t>Ordinate</t>
  </si>
  <si>
    <t>Prodotti</t>
  </si>
  <si>
    <t>Sequenza</t>
  </si>
  <si>
    <t>Ultimi 12</t>
  </si>
  <si>
    <t>Per volumi</t>
  </si>
  <si>
    <t>CONFRONTA.X</t>
  </si>
  <si>
    <t>LET media</t>
  </si>
  <si>
    <t>CERCA.X non trovato</t>
  </si>
  <si>
    <t>CERCA.X successivo</t>
  </si>
  <si>
    <t>CERCA.X precedente</t>
  </si>
  <si>
    <t>CERCA.X jolly</t>
  </si>
  <si>
    <t>CERCA.X dal fondo</t>
  </si>
  <si>
    <t>SOMMA(FILTRO)</t>
  </si>
  <si>
    <t>CONTA regione</t>
  </si>
  <si>
    <t>PIÙ.SE</t>
  </si>
  <si>
    <t>Volumi sel.</t>
  </si>
  <si>
    <t>Banche regione</t>
  </si>
  <si>
    <t>Prima banca</t>
  </si>
  <si>
    <t>Imposta</t>
  </si>
  <si>
    <t>Totale netto</t>
  </si>
  <si>
    <t>Nome calcolato</t>
  </si>
  <si>
    <t>INDIRETTO mese</t>
  </si>
  <si>
    <t>INDIRETTO slide</t>
  </si>
  <si>
    <t>INDIRETTO riga</t>
  </si>
  <si>
    <t>SCARTO cella</t>
  </si>
  <si>
    <t>SCARTO trimestre</t>
  </si>
  <si>
    <t>INDIRIZZO</t>
  </si>
  <si>
    <t>RIGHE</t>
  </si>
  <si>
    <t>L1 USD</t>
  </si>
  <si>
    <t>L2 +scenario</t>
  </si>
  <si>
    <t>L3 crescita</t>
  </si>
  <si>
    <t>L4 regione</t>
  </si>
  <si>
    <t>L5 statistica</t>
  </si>
  <si>
    <t>L6 arrot.</t>
  </si>
  <si>
    <t>L7 indice</t>
  </si>
  <si>
    <t>L8 date</t>
  </si>
  <si>
    <t>L9 classe</t>
  </si>
  <si>
    <t>L10 rango</t>
  </si>
  <si>
    <t>Voce</t>
  </si>
  <si>
    <t>Valore</t>
  </si>
  <si>
    <t>Riferimento</t>
  </si>
  <si>
    <t>Var.</t>
  </si>
  <si>
    <t>Quota regione</t>
  </si>
  <si>
    <t>Prodotto top</t>
  </si>
  <si>
    <t>Profondità</t>
  </si>
  <si>
    <t>Crescita media</t>
  </si>
  <si>
    <t>Mediana sistema</t>
  </si>
  <si>
    <t>Media mobile</t>
  </si>
  <si>
    <t>x</t>
  </si>
  <si>
    <t>Pos.</t>
  </si>
  <si>
    <t>Sel.</t>
  </si>
  <si>
    <t>Verifica</t>
  </si>
  <si>
    <t>Effettivo</t>
  </si>
  <si>
    <t>Budget (ORIZZ)</t>
  </si>
  <si>
    <t>Scost.</t>
  </si>
  <si>
    <t>Ricavi budget</t>
  </si>
  <si>
    <t>EUR</t>
  </si>
  <si>
    <t>Base</t>
  </si>
  <si>
    <t>Delta</t>
  </si>
  <si>
    <t>Scenario USD</t>
  </si>
  <si>
    <t>m-5</t>
  </si>
  <si>
    <t>m-4</t>
  </si>
  <si>
    <t>m-3</t>
  </si>
  <si>
    <t>m-2</t>
  </si>
  <si>
    <t>m-1</t>
  </si>
  <si>
    <t>m</t>
  </si>
  <si>
    <t>Peer</t>
  </si>
  <si>
    <t>Gap %</t>
  </si>
  <si>
    <t>Gap regione sel.</t>
  </si>
  <si>
    <t>Gap peer totale</t>
  </si>
  <si>
    <t>Gap peer sel.</t>
  </si>
  <si>
    <t>Rango peer</t>
  </si>
  <si>
    <t>Regione sel.</t>
  </si>
  <si>
    <t>Ordine</t>
  </si>
  <si>
    <t>Media mensile</t>
  </si>
  <si>
    <t>T1-2024</t>
  </si>
  <si>
    <t>T2-2024</t>
  </si>
  <si>
    <t>T3-2024</t>
  </si>
  <si>
    <t>T4-2024</t>
  </si>
  <si>
    <t>T1-2025</t>
  </si>
  <si>
    <t>T2-2025</t>
  </si>
  <si>
    <t>T3-2025</t>
  </si>
  <si>
    <t>T4-2025</t>
  </si>
  <si>
    <t>T1-2026</t>
  </si>
  <si>
    <t>T2-2026</t>
  </si>
  <si>
    <t>T3-2026</t>
  </si>
  <si>
    <t>T4-2026</t>
  </si>
  <si>
    <t>L1</t>
  </si>
  <si>
    <t>L4</t>
  </si>
  <si>
    <t>L7</t>
  </si>
  <si>
    <t>L9</t>
  </si>
  <si>
    <t>Netto</t>
  </si>
  <si>
    <t>Volumi mese</t>
  </si>
  <si>
    <t>Diretto</t>
  </si>
  <si>
    <t>Uguale</t>
  </si>
  <si>
    <t>Controllo</t>
  </si>
  <si>
    <t>Atteso</t>
  </si>
  <si>
    <t>Volumi banche = griglia</t>
  </si>
  <si>
    <t>Prodotti = banca</t>
  </si>
  <si>
    <t>Regioni = banche</t>
  </si>
  <si>
    <t>Chiave = SOMMA.PIÙ.SE</t>
  </si>
  <si>
    <t>Nomi = diretto</t>
  </si>
  <si>
    <t>Indiretto = diretto</t>
  </si>
  <si>
    <t>Sistema (media)</t>
  </si>
  <si>
    <t>Regione (media)</t>
  </si>
  <si>
    <t>Indice</t>
  </si>
  <si>
    <t>Gap % peer</t>
  </si>
  <si>
    <t>Gap totale</t>
  </si>
  <si>
    <t>Banche avanti</t>
  </si>
  <si>
    <t>Codice mese</t>
  </si>
  <si>
    <t>Etichetta gap</t>
  </si>
  <si>
    <t>Media peer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</si>
</sst>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eer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eg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rData"/>
      <sheetName val="PeerMaster"/>
      <sheetName val="Link"/>
      <sheetName val="Compare"/>
      <sheetName val="PeerTrend"/>
      <sheetName val="PeerGrid"/>
      <sheetName val="Summary"/>
      <sheetName val="SLIDE Peer Overview"/>
      <sheetName val="SLIDE Peer Trend"/>
      <sheetName val="SLIDE Peer Gap"/>
      <sheetName val="SLIDE Peer Rank"/>
    </sheetNames>
    <sheetDataSet>
      <sheetData sheetId="0"/>
      <sheetData sheetId="1"/>
      <sheetData sheetId="2"/>
      <sheetData sheetId="3">
        <row r="2">
          <cell r="A2" t="str">
            <v>Banca Alpi</v>
          </cell>
          <cell r="B2">
            <v>7595.8000000000011</v>
          </cell>
          <cell r="C2">
            <v>7400.4</v>
          </cell>
          <cell r="D2">
            <v>370.02</v>
          </cell>
          <cell r="E2">
            <v>195.40000000000146</v>
          </cell>
          <cell r="F2">
            <v>2.6403978163342719E-2</v>
          </cell>
          <cell r="G2" t="str">
            <v>G1</v>
          </cell>
          <cell r="H2">
            <v>1</v>
          </cell>
        </row>
        <row r="3">
          <cell r="A3" t="str">
            <v>Banca Adriatica</v>
          </cell>
          <cell r="B3">
            <v>8954.2000000000007</v>
          </cell>
          <cell r="C3">
            <v>8472.5</v>
          </cell>
          <cell r="D3">
            <v>423.63</v>
          </cell>
          <cell r="E3">
            <v>481.70000000000073</v>
          </cell>
          <cell r="F3">
            <v>5.6854529359693214E-2</v>
          </cell>
          <cell r="G3" t="str">
            <v>G2</v>
          </cell>
          <cell r="H3">
            <v>2</v>
          </cell>
        </row>
        <row r="4">
          <cell r="A4" t="str">
            <v>Banca Tirrena</v>
          </cell>
          <cell r="B4">
            <v>10243.300000000001</v>
          </cell>
          <cell r="C4">
            <v>9492.2000000000007</v>
          </cell>
          <cell r="D4">
            <v>474.61</v>
          </cell>
          <cell r="E4">
            <v>751.10000000000036</v>
          </cell>
          <cell r="F4">
            <v>7.9128126251027192E-2</v>
          </cell>
          <cell r="G4" t="str">
            <v>G3</v>
          </cell>
          <cell r="H4">
            <v>3</v>
          </cell>
        </row>
        <row r="5">
          <cell r="A5" t="str">
            <v>Banca Padana</v>
          </cell>
          <cell r="B5">
            <v>11467.099999999999</v>
          </cell>
          <cell r="C5">
            <v>11045.1</v>
          </cell>
          <cell r="D5">
            <v>552.25</v>
          </cell>
          <cell r="E5">
            <v>421.99999999999818</v>
          </cell>
          <cell r="F5">
            <v>3.820698771400876E-2</v>
          </cell>
          <cell r="G5" t="str">
            <v>G4</v>
          </cell>
          <cell r="H5">
            <v>1</v>
          </cell>
        </row>
        <row r="6">
          <cell r="A6" t="str">
            <v>Banca Etrusca</v>
          </cell>
          <cell r="B6">
            <v>12839.400000000001</v>
          </cell>
          <cell r="C6">
            <v>12156.2</v>
          </cell>
          <cell r="D6">
            <v>607.80999999999995</v>
          </cell>
          <cell r="E6">
            <v>683.20000000000073</v>
          </cell>
          <cell r="F6">
            <v>5.620177358055977E-2</v>
          </cell>
          <cell r="G6" t="str">
            <v>G1</v>
          </cell>
          <cell r="H6">
            <v>2</v>
          </cell>
        </row>
        <row r="7">
          <cell r="A7" t="str">
            <v>Banca Lariana</v>
          </cell>
          <cell r="B7">
            <v>14148.099999999999</v>
          </cell>
          <cell r="C7">
            <v>13305.8</v>
          </cell>
          <cell r="D7">
            <v>665.29</v>
          </cell>
          <cell r="E7">
            <v>842.29999999999927</v>
          </cell>
          <cell r="F7">
            <v>6.3303221151678163E-2</v>
          </cell>
          <cell r="G7" t="str">
            <v>G2</v>
          </cell>
          <cell r="H7">
            <v>3</v>
          </cell>
        </row>
        <row r="8">
          <cell r="A8" t="str">
            <v>Banca Sabina</v>
          </cell>
          <cell r="B8">
            <v>15403.7</v>
          </cell>
          <cell r="C8">
            <v>14723.6</v>
          </cell>
          <cell r="D8">
            <v>736.18</v>
          </cell>
          <cell r="E8">
            <v>680.10000000000036</v>
          </cell>
          <cell r="F8">
            <v>4.6191148903800723E-2</v>
          </cell>
          <cell r="G8" t="str">
            <v>G3</v>
          </cell>
          <cell r="H8">
            <v>1</v>
          </cell>
        </row>
        <row r="9">
          <cell r="A9" t="str">
            <v>Banca Irpina</v>
          </cell>
          <cell r="B9">
            <v>16713.899999999998</v>
          </cell>
          <cell r="C9">
            <v>15843.6</v>
          </cell>
          <cell r="D9">
            <v>792.18</v>
          </cell>
          <cell r="E9">
            <v>870.29999999999745</v>
          </cell>
          <cell r="F9">
            <v>5.493069756873422E-2</v>
          </cell>
          <cell r="G9" t="str">
            <v>G4</v>
          </cell>
          <cell r="H9">
            <v>2</v>
          </cell>
        </row>
        <row r="10">
          <cell r="A10" t="str">
            <v>Banca Sannita</v>
          </cell>
          <cell r="B10">
            <v>17981.400000000001</v>
          </cell>
          <cell r="C10">
            <v>17269.5</v>
          </cell>
          <cell r="D10">
            <v>863.48</v>
          </cell>
          <cell r="E10">
            <v>711.90000000000146</v>
          </cell>
          <cell r="F10">
            <v>4.1222965343524792E-2</v>
          </cell>
          <cell r="G10" t="str">
            <v>G1</v>
          </cell>
          <cell r="H10">
            <v>3</v>
          </cell>
        </row>
        <row r="11">
          <cell r="A11" t="str">
            <v>Banca Ligure</v>
          </cell>
          <cell r="B11">
            <v>19412</v>
          </cell>
          <cell r="C11">
            <v>18254.8</v>
          </cell>
          <cell r="D11">
            <v>912.74</v>
          </cell>
          <cell r="E11">
            <v>1157.2000000000007</v>
          </cell>
          <cell r="F11">
            <v>6.33915463330193E-2</v>
          </cell>
          <cell r="G11" t="str">
            <v>G2</v>
          </cell>
          <cell r="H11">
            <v>1</v>
          </cell>
        </row>
        <row r="12">
          <cell r="A12" t="str">
            <v>Banca Veneta</v>
          </cell>
          <cell r="B12">
            <v>20672.400000000001</v>
          </cell>
          <cell r="C12">
            <v>19587</v>
          </cell>
          <cell r="D12">
            <v>979.35</v>
          </cell>
          <cell r="E12">
            <v>1085.4000000000015</v>
          </cell>
          <cell r="F12">
            <v>5.5414305406647338E-2</v>
          </cell>
          <cell r="G12" t="str">
            <v>G3</v>
          </cell>
          <cell r="H12">
            <v>2</v>
          </cell>
        </row>
        <row r="13">
          <cell r="A13" t="str">
            <v>Banca Friulana</v>
          </cell>
          <cell r="B13">
            <v>21924.5</v>
          </cell>
          <cell r="C13">
            <v>20697.599999999999</v>
          </cell>
          <cell r="D13">
            <v>1034.8800000000001</v>
          </cell>
          <cell r="E13">
            <v>1226.9000000000015</v>
          </cell>
          <cell r="F13">
            <v>5.9277404143475647E-2</v>
          </cell>
          <cell r="G13" t="str">
            <v>G4</v>
          </cell>
          <cell r="H13">
            <v>3</v>
          </cell>
        </row>
        <row r="14">
          <cell r="A14" t="str">
            <v>Banca Umbra</v>
          </cell>
          <cell r="B14">
            <v>23266.5</v>
          </cell>
          <cell r="C14">
            <v>22011.200000000001</v>
          </cell>
          <cell r="D14">
            <v>1100.56</v>
          </cell>
          <cell r="E14">
            <v>1255.2999999999993</v>
          </cell>
          <cell r="F14">
            <v>5.7030057425310719E-2</v>
          </cell>
          <cell r="G14" t="str">
            <v>G1</v>
          </cell>
          <cell r="H14">
            <v>1</v>
          </cell>
        </row>
        <row r="15">
          <cell r="A15" t="str">
            <v>Banca Marchigiana</v>
          </cell>
          <cell r="B15">
            <v>24657.8</v>
          </cell>
          <cell r="C15">
            <v>23290.5</v>
          </cell>
          <cell r="D15">
            <v>1164.53</v>
          </cell>
          <cell r="E15">
            <v>1367.2999999999993</v>
          </cell>
          <cell r="F15">
            <v>5.8706339494643704E-2</v>
          </cell>
          <cell r="G15" t="str">
            <v>G2</v>
          </cell>
          <cell r="H15">
            <v>2</v>
          </cell>
        </row>
        <row r="16">
          <cell r="A16" t="str">
            <v>Banca Lucana</v>
          </cell>
          <cell r="B16">
            <v>25892.2</v>
          </cell>
          <cell r="C16">
            <v>24520.3</v>
          </cell>
          <cell r="D16">
            <v>1226.01</v>
          </cell>
          <cell r="E16">
            <v>1371.9000000000015</v>
          </cell>
          <cell r="F16">
            <v>5.5949560160356987E-2</v>
          </cell>
          <cell r="G16" t="str">
            <v>G3</v>
          </cell>
          <cell r="H16">
            <v>3</v>
          </cell>
        </row>
        <row r="17">
          <cell r="A17" t="str">
            <v>Banca Calabra</v>
          </cell>
          <cell r="B17">
            <v>27252.399999999998</v>
          </cell>
          <cell r="C17">
            <v>25881</v>
          </cell>
          <cell r="D17">
            <v>1294.05</v>
          </cell>
          <cell r="E17">
            <v>1371.3999999999978</v>
          </cell>
          <cell r="F17">
            <v>5.2988678953672493E-2</v>
          </cell>
          <cell r="G17" t="str">
            <v>G4</v>
          </cell>
          <cell r="H17">
            <v>1</v>
          </cell>
        </row>
        <row r="18">
          <cell r="A18" t="str">
            <v>Banca Sicula</v>
          </cell>
          <cell r="B18">
            <v>28525.599999999999</v>
          </cell>
          <cell r="C18">
            <v>26813.4</v>
          </cell>
          <cell r="D18">
            <v>1340.67</v>
          </cell>
          <cell r="E18">
            <v>1712.1999999999971</v>
          </cell>
          <cell r="F18">
            <v>6.3856131635674593E-2</v>
          </cell>
          <cell r="G18" t="str">
            <v>G1</v>
          </cell>
          <cell r="H18">
            <v>2</v>
          </cell>
        </row>
        <row r="19">
          <cell r="A19" t="str">
            <v>Banca Sarda</v>
          </cell>
          <cell r="B19">
            <v>29778.7</v>
          </cell>
          <cell r="C19">
            <v>28319.200000000001</v>
          </cell>
          <cell r="D19">
            <v>1415.96</v>
          </cell>
          <cell r="E19">
            <v>1459.5</v>
          </cell>
          <cell r="F19">
            <v>5.153747280996638E-2</v>
          </cell>
          <cell r="G19" t="str">
            <v>G2</v>
          </cell>
          <cell r="H19">
            <v>3</v>
          </cell>
        </row>
        <row r="20">
          <cell r="A20" t="str">
            <v>Banca Romagnola</v>
          </cell>
          <cell r="B20">
            <v>31096.1</v>
          </cell>
          <cell r="C20">
            <v>29563.8</v>
          </cell>
          <cell r="D20">
            <v>1478.19</v>
          </cell>
          <cell r="E20">
            <v>1532.2999999999993</v>
          </cell>
          <cell r="F20">
            <v>5.1830278922195362E-2</v>
          </cell>
          <cell r="G20" t="str">
            <v>G3</v>
          </cell>
          <cell r="H20">
            <v>1</v>
          </cell>
        </row>
        <row r="21">
          <cell r="A21" t="str">
            <v>Banca Città</v>
          </cell>
          <cell r="B21">
            <v>32434</v>
          </cell>
          <cell r="C21">
            <v>30797.200000000001</v>
          </cell>
          <cell r="D21">
            <v>1539.86</v>
          </cell>
          <cell r="E21">
            <v>1636.7999999999993</v>
          </cell>
          <cell r="F21">
            <v>5.3147688750925383E-2</v>
          </cell>
          <cell r="G21" t="str">
            <v>G4</v>
          </cell>
          <cell r="H21">
            <v>2</v>
          </cell>
        </row>
      </sheetData>
      <sheetData sheetId="4"/>
      <sheetData sheetId="5"/>
      <sheetData sheetId="6">
        <row r="2">
          <cell r="B2">
            <v>7.9128126251027192E-2</v>
          </cell>
        </row>
        <row r="3">
          <cell r="B3">
            <v>1</v>
          </cell>
        </row>
        <row r="4">
          <cell r="B4">
            <v>20814.199999999997</v>
          </cell>
        </row>
        <row r="5">
          <cell r="B5">
            <v>16</v>
          </cell>
        </row>
        <row r="6">
          <cell r="B6" t="str">
            <v>36</v>
          </cell>
        </row>
        <row r="7">
          <cell r="B7" t="str">
            <v>08%</v>
          </cell>
        </row>
        <row r="8">
          <cell r="B8">
            <v>18972.245000000003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Master"/>
      <sheetName val="RegTargets"/>
      <sheetName val="FromModel"/>
      <sheetName val="FromPeers"/>
      <sheetName val="RegCalc"/>
      <sheetName val="Summary"/>
      <sheetName val="SLIDE Region Overview"/>
      <sheetName val="SLIDE Region Trend"/>
      <sheetName val="SLIDE Region Peers"/>
    </sheetNames>
    <sheetDataSet>
      <sheetData sheetId="0"/>
      <sheetData sheetId="1"/>
      <sheetData sheetId="2"/>
      <sheetData sheetId="3"/>
      <sheetData sheetId="4"/>
      <sheetData sheetId="5">
        <row r="2">
          <cell r="B2">
            <v>400259.10000000003</v>
          </cell>
        </row>
        <row r="3">
          <cell r="B3">
            <v>61692.7</v>
          </cell>
        </row>
        <row r="4">
          <cell r="B4">
            <v>20814.199999999997</v>
          </cell>
        </row>
        <row r="5">
          <cell r="B5">
            <v>6373.7999999999993</v>
          </cell>
        </row>
        <row r="6">
          <cell r="B6">
            <v>1</v>
          </cell>
        </row>
        <row r="7">
          <cell r="B7" t="str">
            <v>Centro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C3B89-D07A-47E1-A1F0-546108733FA3}">
  <dimension ref="A1:B25"/>
  <sheetViews>
    <sheetView workbookViewId="0"/>
  </sheetViews>
  <sheetFormatPr defaultRowHeight="12.5" x14ac:dyDescent="0.25"/>
  <cols>
    <col min="2" max="2" width="10.453125" bestFit="1" customWidth="1"/>
  </cols>
  <sheetData>
    <row r="1" spans="1:2" x14ac:dyDescent="0.25">
      <c r="A1" t="s">
        <v>117</v>
      </c>
    </row>
    <row r="2" spans="1:2" x14ac:dyDescent="0.25">
      <c r="A2" t="s">
        <v>0</v>
      </c>
      <c r="B2" t="s">
        <v>24</v>
      </c>
    </row>
    <row r="3" spans="1:2" x14ac:dyDescent="0.25">
      <c r="A3" t="s">
        <v>118</v>
      </c>
      <c r="B3">
        <v>36</v>
      </c>
    </row>
    <row r="4" spans="1:2" x14ac:dyDescent="0.25">
      <c r="A4" t="s">
        <v>119</v>
      </c>
      <c r="B4" s="2">
        <v>0.03</v>
      </c>
    </row>
    <row r="5" spans="1:2" x14ac:dyDescent="0.25">
      <c r="A5" t="s">
        <v>8</v>
      </c>
      <c r="B5" t="s">
        <v>25</v>
      </c>
    </row>
    <row r="6" spans="1:2" x14ac:dyDescent="0.25">
      <c r="A6" t="s">
        <v>120</v>
      </c>
      <c r="B6">
        <f>MATCH(B2,Banks!$A$2:$A$21,0)</f>
        <v>3</v>
      </c>
    </row>
    <row r="7" spans="1:2" x14ac:dyDescent="0.25">
      <c r="A7" t="s">
        <v>45</v>
      </c>
      <c r="B7" t="str">
        <f>VLOOKUP(B2,Banks!$A$2:$H$21,2,FALSE)</f>
        <v>B103</v>
      </c>
    </row>
    <row r="8" spans="1:2" x14ac:dyDescent="0.25">
      <c r="A8" t="s">
        <v>121</v>
      </c>
      <c r="B8" t="str">
        <f>_xlfn.XLOOKUP(B2,Banks!$A$2:$A$21,Banks!$C$2:$C$21,"n.d.",0)</f>
        <v>Centro</v>
      </c>
    </row>
    <row r="9" spans="1:2" x14ac:dyDescent="0.25">
      <c r="A9" t="s">
        <v>122</v>
      </c>
      <c r="B9" s="1">
        <f>EOMONTH(DATE(2024,B3,1),0)</f>
        <v>46387</v>
      </c>
    </row>
    <row r="10" spans="1:2" x14ac:dyDescent="0.25">
      <c r="A10" t="s">
        <v>123</v>
      </c>
      <c r="B10" t="str">
        <f>TEXT(B9,"mmmm aaaa")</f>
        <v>dicembre 2026</v>
      </c>
    </row>
    <row r="11" spans="1:2" x14ac:dyDescent="0.25">
      <c r="A11" t="s">
        <v>9</v>
      </c>
      <c r="B11">
        <f>YEAR(B9)</f>
        <v>2026</v>
      </c>
    </row>
    <row r="12" spans="1:2" x14ac:dyDescent="0.25">
      <c r="A12" t="s">
        <v>124</v>
      </c>
      <c r="B12">
        <f>MONTH(B9)</f>
        <v>12</v>
      </c>
    </row>
    <row r="13" spans="1:2" x14ac:dyDescent="0.25">
      <c r="A13" t="s">
        <v>125</v>
      </c>
      <c r="B13">
        <f>MAX(1,B3-1)</f>
        <v>35</v>
      </c>
    </row>
    <row r="14" spans="1:2" x14ac:dyDescent="0.25">
      <c r="A14" t="s">
        <v>126</v>
      </c>
      <c r="B14">
        <f>MAX(1,B3-12)</f>
        <v>24</v>
      </c>
    </row>
    <row r="15" spans="1:2" x14ac:dyDescent="0.25">
      <c r="A15" t="s">
        <v>127</v>
      </c>
      <c r="B15">
        <f>_xlfn.XLOOKUP(B3,FX!$A$2:$A$37,FX!$C$2:$C$37)</f>
        <v>1.0852999999999999</v>
      </c>
    </row>
    <row r="16" spans="1:2" x14ac:dyDescent="0.25">
      <c r="A16" t="s">
        <v>128</v>
      </c>
      <c r="B16" t="str">
        <f>B2&amp;" ("&amp;B7&amp;") - "&amp;B10</f>
        <v>Banca Tirrena (B103) - dicembre 2026</v>
      </c>
    </row>
    <row r="17" spans="1:2" x14ac:dyDescent="0.25">
      <c r="A17" t="s">
        <v>129</v>
      </c>
      <c r="B17" s="1">
        <f ca="1">TODAY()</f>
        <v>46312</v>
      </c>
    </row>
    <row r="18" spans="1:2" x14ac:dyDescent="0.25">
      <c r="A18" t="s">
        <v>130</v>
      </c>
      <c r="B18" s="2">
        <f>[1]Summary!$B$2</f>
        <v>7.9128126251027192E-2</v>
      </c>
    </row>
    <row r="19" spans="1:2" x14ac:dyDescent="0.25">
      <c r="A19" t="s">
        <v>131</v>
      </c>
      <c r="B19">
        <f>[2]Summary!$B$2</f>
        <v>400259.10000000003</v>
      </c>
    </row>
    <row r="20" spans="1:2" x14ac:dyDescent="0.25">
      <c r="A20" t="s">
        <v>132</v>
      </c>
      <c r="B20">
        <f>ROUNDUP(B12/3,0)</f>
        <v>4</v>
      </c>
    </row>
    <row r="21" spans="1:2" x14ac:dyDescent="0.25">
      <c r="A21" t="s">
        <v>133</v>
      </c>
      <c r="B21">
        <f>B3-MOD(B12-1,3)</f>
        <v>34</v>
      </c>
    </row>
    <row r="22" spans="1:2" x14ac:dyDescent="0.25">
      <c r="A22" t="s">
        <v>134</v>
      </c>
      <c r="B22">
        <f>B3-B12+1</f>
        <v>25</v>
      </c>
    </row>
    <row r="23" spans="1:2" x14ac:dyDescent="0.25">
      <c r="A23" t="s">
        <v>46</v>
      </c>
      <c r="B23" t="str" cm="1">
        <f t="array" ref="B23">TRIM(INDEX(Banks!$D$2:$D$21,B6))</f>
        <v>Verdi</v>
      </c>
    </row>
    <row r="24" spans="1:2" x14ac:dyDescent="0.25">
      <c r="A24" t="s">
        <v>47</v>
      </c>
      <c r="B24" t="str" cm="1">
        <f t="array" ref="B24">INDEX(Banks!$E$2:$E$21,B6)</f>
        <v>Grande</v>
      </c>
    </row>
    <row r="25" spans="1:2" x14ac:dyDescent="0.25">
      <c r="A25" t="s">
        <v>135</v>
      </c>
      <c r="B25">
        <f>(1+B4)^(1/12)-1</f>
        <v>2.4662697723036864E-3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6D37-7AC8-43B7-99B8-52B956A5F3C4}">
  <dimension ref="A1:L5761"/>
  <sheetViews>
    <sheetView workbookViewId="0"/>
  </sheetViews>
  <sheetFormatPr defaultRowHeight="12.5" x14ac:dyDescent="0.25"/>
  <cols>
    <col min="4" max="4" width="10.45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s="1">
        <v>45322</v>
      </c>
      <c r="E2">
        <v>346</v>
      </c>
      <c r="F2">
        <v>15.89</v>
      </c>
      <c r="G2">
        <v>10.09</v>
      </c>
      <c r="H2">
        <v>50</v>
      </c>
      <c r="I2" t="s">
        <v>14</v>
      </c>
      <c r="J2">
        <v>2024</v>
      </c>
      <c r="K2">
        <f t="shared" ref="K2:K65" si="0">F2-G2</f>
        <v>5.8000000000000007</v>
      </c>
      <c r="L2" t="str">
        <f t="shared" ref="L2:L65" si="1">A2&amp;"|"&amp;B2&amp;"|"&amp;C2</f>
        <v>Banca Alpi|1|Mutui</v>
      </c>
    </row>
    <row r="3" spans="1:12" x14ac:dyDescent="0.25">
      <c r="A3" t="s">
        <v>12</v>
      </c>
      <c r="B3">
        <v>1</v>
      </c>
      <c r="C3" t="s">
        <v>15</v>
      </c>
      <c r="D3" s="1">
        <v>45322</v>
      </c>
      <c r="E3">
        <v>465.8</v>
      </c>
      <c r="F3">
        <v>22.55</v>
      </c>
      <c r="G3">
        <v>13.66</v>
      </c>
      <c r="H3">
        <v>65</v>
      </c>
      <c r="I3" t="s">
        <v>14</v>
      </c>
      <c r="J3">
        <v>2024</v>
      </c>
      <c r="K3">
        <f t="shared" si="0"/>
        <v>8.89</v>
      </c>
      <c r="L3" t="str">
        <f t="shared" si="1"/>
        <v>Banca Alpi|1|Prestiti</v>
      </c>
    </row>
    <row r="4" spans="1:12" x14ac:dyDescent="0.25">
      <c r="A4" t="s">
        <v>12</v>
      </c>
      <c r="B4">
        <v>1</v>
      </c>
      <c r="C4" t="s">
        <v>16</v>
      </c>
      <c r="D4" s="1">
        <v>45322</v>
      </c>
      <c r="E4">
        <v>536.6</v>
      </c>
      <c r="F4">
        <v>26.52</v>
      </c>
      <c r="G4">
        <v>16.420000000000002</v>
      </c>
      <c r="H4">
        <v>90</v>
      </c>
      <c r="I4" t="s">
        <v>14</v>
      </c>
      <c r="J4">
        <v>2024</v>
      </c>
      <c r="K4">
        <f t="shared" si="0"/>
        <v>10.099999999999998</v>
      </c>
      <c r="L4" t="str">
        <f t="shared" si="1"/>
        <v>Banca Alpi|1|Conti</v>
      </c>
    </row>
    <row r="5" spans="1:12" x14ac:dyDescent="0.25">
      <c r="A5" t="s">
        <v>12</v>
      </c>
      <c r="B5">
        <v>1</v>
      </c>
      <c r="C5" t="s">
        <v>17</v>
      </c>
      <c r="D5" s="1">
        <v>45322</v>
      </c>
      <c r="E5">
        <v>686.6</v>
      </c>
      <c r="F5">
        <v>35.92</v>
      </c>
      <c r="G5">
        <v>21.52</v>
      </c>
      <c r="H5">
        <v>68</v>
      </c>
      <c r="I5" t="s">
        <v>14</v>
      </c>
      <c r="J5">
        <v>2024</v>
      </c>
      <c r="K5">
        <f t="shared" si="0"/>
        <v>14.400000000000002</v>
      </c>
      <c r="L5" t="str">
        <f t="shared" si="1"/>
        <v>Banca Alpi|1|Carte</v>
      </c>
    </row>
    <row r="6" spans="1:12" x14ac:dyDescent="0.25">
      <c r="A6" t="s">
        <v>12</v>
      </c>
      <c r="B6">
        <v>1</v>
      </c>
      <c r="C6" t="s">
        <v>18</v>
      </c>
      <c r="D6" s="1">
        <v>45322</v>
      </c>
      <c r="E6">
        <v>780.2</v>
      </c>
      <c r="F6">
        <v>41.73</v>
      </c>
      <c r="G6">
        <v>25.8</v>
      </c>
      <c r="H6">
        <v>85</v>
      </c>
      <c r="I6" t="s">
        <v>14</v>
      </c>
      <c r="J6">
        <v>2024</v>
      </c>
      <c r="K6">
        <f t="shared" si="0"/>
        <v>15.929999999999996</v>
      </c>
      <c r="L6" t="str">
        <f t="shared" si="1"/>
        <v>Banca Alpi|1|Leasing</v>
      </c>
    </row>
    <row r="7" spans="1:12" x14ac:dyDescent="0.25">
      <c r="A7" t="s">
        <v>12</v>
      </c>
      <c r="B7">
        <v>1</v>
      </c>
      <c r="C7" t="s">
        <v>19</v>
      </c>
      <c r="D7" s="1">
        <v>45322</v>
      </c>
      <c r="E7">
        <v>923.8</v>
      </c>
      <c r="F7">
        <v>50.9</v>
      </c>
      <c r="G7">
        <v>31.24</v>
      </c>
      <c r="H7">
        <v>109</v>
      </c>
      <c r="I7" t="s">
        <v>14</v>
      </c>
      <c r="J7">
        <v>2024</v>
      </c>
      <c r="K7">
        <f t="shared" si="0"/>
        <v>19.66</v>
      </c>
      <c r="L7" t="str">
        <f t="shared" si="1"/>
        <v>Banca Alpi|1|Factoring</v>
      </c>
    </row>
    <row r="8" spans="1:12" x14ac:dyDescent="0.25">
      <c r="A8" t="s">
        <v>12</v>
      </c>
      <c r="B8">
        <v>1</v>
      </c>
      <c r="C8" t="s">
        <v>20</v>
      </c>
      <c r="D8" s="1">
        <v>45322</v>
      </c>
      <c r="E8">
        <v>1059.9000000000001</v>
      </c>
      <c r="F8">
        <v>61.23</v>
      </c>
      <c r="G8">
        <v>36.35</v>
      </c>
      <c r="H8">
        <v>130</v>
      </c>
      <c r="I8" t="s">
        <v>14</v>
      </c>
      <c r="J8">
        <v>2024</v>
      </c>
      <c r="K8">
        <f t="shared" si="0"/>
        <v>24.879999999999995</v>
      </c>
      <c r="L8" t="str">
        <f t="shared" si="1"/>
        <v>Banca Alpi|1|Risparmio</v>
      </c>
    </row>
    <row r="9" spans="1:12" x14ac:dyDescent="0.25">
      <c r="A9" t="s">
        <v>12</v>
      </c>
      <c r="B9">
        <v>1</v>
      </c>
      <c r="C9" t="s">
        <v>21</v>
      </c>
      <c r="D9" s="1">
        <v>45322</v>
      </c>
      <c r="E9">
        <v>1142.7</v>
      </c>
      <c r="F9">
        <v>67.94</v>
      </c>
      <c r="G9">
        <v>40.18</v>
      </c>
      <c r="H9">
        <v>147</v>
      </c>
      <c r="I9" t="s">
        <v>14</v>
      </c>
      <c r="J9">
        <v>2024</v>
      </c>
      <c r="K9">
        <f t="shared" si="0"/>
        <v>27.759999999999998</v>
      </c>
      <c r="L9" t="str">
        <f t="shared" si="1"/>
        <v>Banca Alpi|1|Assicurazioni</v>
      </c>
    </row>
    <row r="10" spans="1:12" x14ac:dyDescent="0.25">
      <c r="A10" t="s">
        <v>12</v>
      </c>
      <c r="B10">
        <v>2</v>
      </c>
      <c r="C10" t="s">
        <v>13</v>
      </c>
      <c r="D10" s="1">
        <v>45351</v>
      </c>
      <c r="E10">
        <v>301.3</v>
      </c>
      <c r="F10">
        <v>13.67</v>
      </c>
      <c r="G10">
        <v>8.4499999999999993</v>
      </c>
      <c r="H10">
        <v>32</v>
      </c>
      <c r="I10" t="s">
        <v>14</v>
      </c>
      <c r="J10">
        <v>2024</v>
      </c>
      <c r="K10">
        <f t="shared" si="0"/>
        <v>5.2200000000000006</v>
      </c>
      <c r="L10" t="str">
        <f t="shared" si="1"/>
        <v>Banca Alpi|2|Mutui</v>
      </c>
    </row>
    <row r="11" spans="1:12" x14ac:dyDescent="0.25">
      <c r="A11" t="s">
        <v>12</v>
      </c>
      <c r="B11">
        <v>2</v>
      </c>
      <c r="C11" t="s">
        <v>15</v>
      </c>
      <c r="D11" s="1">
        <v>45351</v>
      </c>
      <c r="E11">
        <v>447.6</v>
      </c>
      <c r="F11">
        <v>21.46</v>
      </c>
      <c r="G11">
        <v>13.03</v>
      </c>
      <c r="H11">
        <v>47</v>
      </c>
      <c r="I11" t="s">
        <v>14</v>
      </c>
      <c r="J11">
        <v>2024</v>
      </c>
      <c r="K11">
        <f t="shared" si="0"/>
        <v>8.4300000000000015</v>
      </c>
      <c r="L11" t="str">
        <f t="shared" si="1"/>
        <v>Banca Alpi|2|Prestiti</v>
      </c>
    </row>
    <row r="12" spans="1:12" x14ac:dyDescent="0.25">
      <c r="A12" t="s">
        <v>12</v>
      </c>
      <c r="B12">
        <v>2</v>
      </c>
      <c r="C12" t="s">
        <v>16</v>
      </c>
      <c r="D12" s="1">
        <v>45351</v>
      </c>
      <c r="E12">
        <v>570.20000000000005</v>
      </c>
      <c r="F12">
        <v>28.2</v>
      </c>
      <c r="G12">
        <v>18.02</v>
      </c>
      <c r="H12">
        <v>88</v>
      </c>
      <c r="I12" t="s">
        <v>14</v>
      </c>
      <c r="J12">
        <v>2024</v>
      </c>
      <c r="K12">
        <f t="shared" si="0"/>
        <v>10.18</v>
      </c>
      <c r="L12" t="str">
        <f t="shared" si="1"/>
        <v>Banca Alpi|2|Conti</v>
      </c>
    </row>
    <row r="13" spans="1:12" x14ac:dyDescent="0.25">
      <c r="A13" t="s">
        <v>12</v>
      </c>
      <c r="B13">
        <v>2</v>
      </c>
      <c r="C13" t="s">
        <v>17</v>
      </c>
      <c r="D13" s="1">
        <v>45351</v>
      </c>
      <c r="E13">
        <v>663.9</v>
      </c>
      <c r="F13">
        <v>34.35</v>
      </c>
      <c r="G13">
        <v>20.86</v>
      </c>
      <c r="H13">
        <v>68</v>
      </c>
      <c r="I13" t="s">
        <v>14</v>
      </c>
      <c r="J13">
        <v>2024</v>
      </c>
      <c r="K13">
        <f t="shared" si="0"/>
        <v>13.490000000000002</v>
      </c>
      <c r="L13" t="str">
        <f t="shared" si="1"/>
        <v>Banca Alpi|2|Carte</v>
      </c>
    </row>
    <row r="14" spans="1:12" x14ac:dyDescent="0.25">
      <c r="A14" t="s">
        <v>12</v>
      </c>
      <c r="B14">
        <v>2</v>
      </c>
      <c r="C14" t="s">
        <v>18</v>
      </c>
      <c r="D14" s="1">
        <v>45351</v>
      </c>
      <c r="E14">
        <v>806</v>
      </c>
      <c r="F14">
        <v>43.62</v>
      </c>
      <c r="G14">
        <v>26.5</v>
      </c>
      <c r="H14">
        <v>113</v>
      </c>
      <c r="I14" t="s">
        <v>14</v>
      </c>
      <c r="J14">
        <v>2024</v>
      </c>
      <c r="K14">
        <f t="shared" si="0"/>
        <v>17.119999999999997</v>
      </c>
      <c r="L14" t="str">
        <f t="shared" si="1"/>
        <v>Banca Alpi|2|Leasing</v>
      </c>
    </row>
    <row r="15" spans="1:12" x14ac:dyDescent="0.25">
      <c r="A15" t="s">
        <v>12</v>
      </c>
      <c r="B15">
        <v>2</v>
      </c>
      <c r="C15" t="s">
        <v>19</v>
      </c>
      <c r="D15" s="1">
        <v>45351</v>
      </c>
      <c r="E15">
        <v>934</v>
      </c>
      <c r="F15">
        <v>52.28</v>
      </c>
      <c r="G15">
        <v>31.48</v>
      </c>
      <c r="H15">
        <v>123</v>
      </c>
      <c r="I15" t="s">
        <v>14</v>
      </c>
      <c r="J15">
        <v>2024</v>
      </c>
      <c r="K15">
        <f t="shared" si="0"/>
        <v>20.8</v>
      </c>
      <c r="L15" t="str">
        <f t="shared" si="1"/>
        <v>Banca Alpi|2|Factoring</v>
      </c>
    </row>
    <row r="16" spans="1:12" x14ac:dyDescent="0.25">
      <c r="A16" t="s">
        <v>12</v>
      </c>
      <c r="B16">
        <v>2</v>
      </c>
      <c r="C16" t="s">
        <v>20</v>
      </c>
      <c r="D16" s="1">
        <v>45351</v>
      </c>
      <c r="E16">
        <v>1034.3</v>
      </c>
      <c r="F16">
        <v>59.67</v>
      </c>
      <c r="G16">
        <v>35.61</v>
      </c>
      <c r="H16">
        <v>140</v>
      </c>
      <c r="I16" t="s">
        <v>14</v>
      </c>
      <c r="J16">
        <v>2024</v>
      </c>
      <c r="K16">
        <f t="shared" si="0"/>
        <v>24.060000000000002</v>
      </c>
      <c r="L16" t="str">
        <f t="shared" si="1"/>
        <v>Banca Alpi|2|Risparmio</v>
      </c>
    </row>
    <row r="17" spans="1:12" x14ac:dyDescent="0.25">
      <c r="A17" t="s">
        <v>12</v>
      </c>
      <c r="B17">
        <v>2</v>
      </c>
      <c r="C17" t="s">
        <v>21</v>
      </c>
      <c r="D17" s="1">
        <v>45351</v>
      </c>
      <c r="E17">
        <v>1199.3</v>
      </c>
      <c r="F17">
        <v>71.12</v>
      </c>
      <c r="G17">
        <v>42.8</v>
      </c>
      <c r="H17">
        <v>140</v>
      </c>
      <c r="I17" t="s">
        <v>14</v>
      </c>
      <c r="J17">
        <v>2024</v>
      </c>
      <c r="K17">
        <f t="shared" si="0"/>
        <v>28.320000000000007</v>
      </c>
      <c r="L17" t="str">
        <f t="shared" si="1"/>
        <v>Banca Alpi|2|Assicurazioni</v>
      </c>
    </row>
    <row r="18" spans="1:12" x14ac:dyDescent="0.25">
      <c r="A18" t="s">
        <v>12</v>
      </c>
      <c r="B18">
        <v>3</v>
      </c>
      <c r="C18" t="s">
        <v>13</v>
      </c>
      <c r="D18" s="1">
        <v>45382</v>
      </c>
      <c r="E18">
        <v>348.7</v>
      </c>
      <c r="F18">
        <v>15.74</v>
      </c>
      <c r="G18">
        <v>10.42</v>
      </c>
      <c r="H18">
        <v>68</v>
      </c>
      <c r="I18" t="s">
        <v>14</v>
      </c>
      <c r="J18">
        <v>2024</v>
      </c>
      <c r="K18">
        <f t="shared" si="0"/>
        <v>5.32</v>
      </c>
      <c r="L18" t="str">
        <f t="shared" si="1"/>
        <v>Banca Alpi|3|Mutui</v>
      </c>
    </row>
    <row r="19" spans="1:12" x14ac:dyDescent="0.25">
      <c r="A19" t="s">
        <v>12</v>
      </c>
      <c r="B19">
        <v>3</v>
      </c>
      <c r="C19" t="s">
        <v>15</v>
      </c>
      <c r="D19" s="1">
        <v>45382</v>
      </c>
      <c r="E19">
        <v>444.9</v>
      </c>
      <c r="F19">
        <v>21.81</v>
      </c>
      <c r="G19">
        <v>13.42</v>
      </c>
      <c r="H19">
        <v>68</v>
      </c>
      <c r="I19" t="s">
        <v>14</v>
      </c>
      <c r="J19">
        <v>2024</v>
      </c>
      <c r="K19">
        <f t="shared" si="0"/>
        <v>8.3899999999999988</v>
      </c>
      <c r="L19" t="str">
        <f t="shared" si="1"/>
        <v>Banca Alpi|3|Prestiti</v>
      </c>
    </row>
    <row r="20" spans="1:12" x14ac:dyDescent="0.25">
      <c r="A20" t="s">
        <v>12</v>
      </c>
      <c r="B20">
        <v>3</v>
      </c>
      <c r="C20" t="s">
        <v>16</v>
      </c>
      <c r="D20" s="1">
        <v>45382</v>
      </c>
      <c r="E20">
        <v>545.4</v>
      </c>
      <c r="F20">
        <v>26.96</v>
      </c>
      <c r="G20">
        <v>16.52</v>
      </c>
      <c r="H20">
        <v>71</v>
      </c>
      <c r="I20" t="s">
        <v>14</v>
      </c>
      <c r="J20">
        <v>2024</v>
      </c>
      <c r="K20">
        <f t="shared" si="0"/>
        <v>10.440000000000001</v>
      </c>
      <c r="L20" t="str">
        <f t="shared" si="1"/>
        <v>Banca Alpi|3|Conti</v>
      </c>
    </row>
    <row r="21" spans="1:12" x14ac:dyDescent="0.25">
      <c r="A21" t="s">
        <v>12</v>
      </c>
      <c r="B21">
        <v>3</v>
      </c>
      <c r="C21" t="s">
        <v>17</v>
      </c>
      <c r="D21" s="1">
        <v>45382</v>
      </c>
      <c r="E21">
        <v>721.6</v>
      </c>
      <c r="F21">
        <v>37.200000000000003</v>
      </c>
      <c r="G21">
        <v>22.54</v>
      </c>
      <c r="H21">
        <v>88</v>
      </c>
      <c r="I21" t="s">
        <v>14</v>
      </c>
      <c r="J21">
        <v>2024</v>
      </c>
      <c r="K21">
        <f t="shared" si="0"/>
        <v>14.660000000000004</v>
      </c>
      <c r="L21" t="str">
        <f t="shared" si="1"/>
        <v>Banca Alpi|3|Carte</v>
      </c>
    </row>
    <row r="22" spans="1:12" x14ac:dyDescent="0.25">
      <c r="A22" t="s">
        <v>12</v>
      </c>
      <c r="B22">
        <v>3</v>
      </c>
      <c r="C22" t="s">
        <v>18</v>
      </c>
      <c r="D22" s="1">
        <v>45382</v>
      </c>
      <c r="E22">
        <v>802.9</v>
      </c>
      <c r="F22">
        <v>43.32</v>
      </c>
      <c r="G22">
        <v>25.94</v>
      </c>
      <c r="H22">
        <v>118</v>
      </c>
      <c r="I22" t="s">
        <v>14</v>
      </c>
      <c r="J22">
        <v>2024</v>
      </c>
      <c r="K22">
        <f t="shared" si="0"/>
        <v>17.38</v>
      </c>
      <c r="L22" t="str">
        <f t="shared" si="1"/>
        <v>Banca Alpi|3|Leasing</v>
      </c>
    </row>
    <row r="23" spans="1:12" x14ac:dyDescent="0.25">
      <c r="A23" t="s">
        <v>12</v>
      </c>
      <c r="B23">
        <v>3</v>
      </c>
      <c r="C23" t="s">
        <v>19</v>
      </c>
      <c r="D23" s="1">
        <v>45382</v>
      </c>
      <c r="E23">
        <v>967.6</v>
      </c>
      <c r="F23">
        <v>54.03</v>
      </c>
      <c r="G23">
        <v>31.94</v>
      </c>
      <c r="H23">
        <v>130</v>
      </c>
      <c r="I23" t="s">
        <v>14</v>
      </c>
      <c r="J23">
        <v>2024</v>
      </c>
      <c r="K23">
        <f t="shared" si="0"/>
        <v>22.09</v>
      </c>
      <c r="L23" t="str">
        <f t="shared" si="1"/>
        <v>Banca Alpi|3|Factoring</v>
      </c>
    </row>
    <row r="24" spans="1:12" x14ac:dyDescent="0.25">
      <c r="A24" t="s">
        <v>12</v>
      </c>
      <c r="B24">
        <v>3</v>
      </c>
      <c r="C24" t="s">
        <v>20</v>
      </c>
      <c r="D24" s="1">
        <v>45382</v>
      </c>
      <c r="E24">
        <v>1053.5999999999999</v>
      </c>
      <c r="F24">
        <v>60.73</v>
      </c>
      <c r="G24">
        <v>36.49</v>
      </c>
      <c r="H24">
        <v>110</v>
      </c>
      <c r="I24" t="s">
        <v>14</v>
      </c>
      <c r="J24">
        <v>2024</v>
      </c>
      <c r="K24">
        <f t="shared" si="0"/>
        <v>24.239999999999995</v>
      </c>
      <c r="L24" t="str">
        <f t="shared" si="1"/>
        <v>Banca Alpi|3|Risparmio</v>
      </c>
    </row>
    <row r="25" spans="1:12" x14ac:dyDescent="0.25">
      <c r="A25" t="s">
        <v>12</v>
      </c>
      <c r="B25">
        <v>3</v>
      </c>
      <c r="C25" t="s">
        <v>21</v>
      </c>
      <c r="D25" s="1">
        <v>45382</v>
      </c>
      <c r="E25">
        <v>1177</v>
      </c>
      <c r="F25">
        <v>69.680000000000007</v>
      </c>
      <c r="G25">
        <v>42</v>
      </c>
      <c r="H25">
        <v>133</v>
      </c>
      <c r="I25" t="s">
        <v>14</v>
      </c>
      <c r="J25">
        <v>2024</v>
      </c>
      <c r="K25">
        <f t="shared" si="0"/>
        <v>27.680000000000007</v>
      </c>
      <c r="L25" t="str">
        <f t="shared" si="1"/>
        <v>Banca Alpi|3|Assicurazioni</v>
      </c>
    </row>
    <row r="26" spans="1:12" x14ac:dyDescent="0.25">
      <c r="A26" t="s">
        <v>12</v>
      </c>
      <c r="B26">
        <v>4</v>
      </c>
      <c r="C26" t="s">
        <v>13</v>
      </c>
      <c r="D26" s="1">
        <v>45412</v>
      </c>
      <c r="E26">
        <v>311.60000000000002</v>
      </c>
      <c r="F26">
        <v>14.41</v>
      </c>
      <c r="G26">
        <v>8.76</v>
      </c>
      <c r="H26">
        <v>63</v>
      </c>
      <c r="I26" t="s">
        <v>14</v>
      </c>
      <c r="J26">
        <v>2024</v>
      </c>
      <c r="K26">
        <f t="shared" si="0"/>
        <v>5.65</v>
      </c>
      <c r="L26" t="str">
        <f t="shared" si="1"/>
        <v>Banca Alpi|4|Mutui</v>
      </c>
    </row>
    <row r="27" spans="1:12" x14ac:dyDescent="0.25">
      <c r="A27" t="s">
        <v>12</v>
      </c>
      <c r="B27">
        <v>4</v>
      </c>
      <c r="C27" t="s">
        <v>15</v>
      </c>
      <c r="D27" s="1">
        <v>45412</v>
      </c>
      <c r="E27">
        <v>436.5</v>
      </c>
      <c r="F27">
        <v>21.07</v>
      </c>
      <c r="G27">
        <v>12.72</v>
      </c>
      <c r="H27">
        <v>83</v>
      </c>
      <c r="I27" t="s">
        <v>14</v>
      </c>
      <c r="J27">
        <v>2024</v>
      </c>
      <c r="K27">
        <f t="shared" si="0"/>
        <v>8.35</v>
      </c>
      <c r="L27" t="str">
        <f t="shared" si="1"/>
        <v>Banca Alpi|4|Prestiti</v>
      </c>
    </row>
    <row r="28" spans="1:12" x14ac:dyDescent="0.25">
      <c r="A28" t="s">
        <v>12</v>
      </c>
      <c r="B28">
        <v>4</v>
      </c>
      <c r="C28" t="s">
        <v>16</v>
      </c>
      <c r="D28" s="1">
        <v>45412</v>
      </c>
      <c r="E28">
        <v>579.29999999999995</v>
      </c>
      <c r="F28">
        <v>28.58</v>
      </c>
      <c r="G28">
        <v>17.670000000000002</v>
      </c>
      <c r="H28">
        <v>71</v>
      </c>
      <c r="I28" t="s">
        <v>14</v>
      </c>
      <c r="J28">
        <v>2024</v>
      </c>
      <c r="K28">
        <f t="shared" si="0"/>
        <v>10.909999999999997</v>
      </c>
      <c r="L28" t="str">
        <f t="shared" si="1"/>
        <v>Banca Alpi|4|Conti</v>
      </c>
    </row>
    <row r="29" spans="1:12" x14ac:dyDescent="0.25">
      <c r="A29" t="s">
        <v>12</v>
      </c>
      <c r="B29">
        <v>4</v>
      </c>
      <c r="C29" t="s">
        <v>17</v>
      </c>
      <c r="D29" s="1">
        <v>45412</v>
      </c>
      <c r="E29">
        <v>683.1</v>
      </c>
      <c r="F29">
        <v>35.630000000000003</v>
      </c>
      <c r="G29">
        <v>21.86</v>
      </c>
      <c r="H29">
        <v>107</v>
      </c>
      <c r="I29" t="s">
        <v>14</v>
      </c>
      <c r="J29">
        <v>2024</v>
      </c>
      <c r="K29">
        <f t="shared" si="0"/>
        <v>13.770000000000003</v>
      </c>
      <c r="L29" t="str">
        <f t="shared" si="1"/>
        <v>Banca Alpi|4|Carte</v>
      </c>
    </row>
    <row r="30" spans="1:12" x14ac:dyDescent="0.25">
      <c r="A30" t="s">
        <v>12</v>
      </c>
      <c r="B30">
        <v>4</v>
      </c>
      <c r="C30" t="s">
        <v>18</v>
      </c>
      <c r="D30" s="1">
        <v>45412</v>
      </c>
      <c r="E30">
        <v>846.1</v>
      </c>
      <c r="F30">
        <v>45.74</v>
      </c>
      <c r="G30">
        <v>27.63</v>
      </c>
      <c r="H30">
        <v>92</v>
      </c>
      <c r="I30" t="s">
        <v>14</v>
      </c>
      <c r="J30">
        <v>2024</v>
      </c>
      <c r="K30">
        <f t="shared" si="0"/>
        <v>18.110000000000003</v>
      </c>
      <c r="L30" t="str">
        <f t="shared" si="1"/>
        <v>Banca Alpi|4|Leasing</v>
      </c>
    </row>
    <row r="31" spans="1:12" x14ac:dyDescent="0.25">
      <c r="A31" t="s">
        <v>12</v>
      </c>
      <c r="B31">
        <v>4</v>
      </c>
      <c r="C31" t="s">
        <v>19</v>
      </c>
      <c r="D31" s="1">
        <v>45412</v>
      </c>
      <c r="E31">
        <v>939.7</v>
      </c>
      <c r="F31">
        <v>52.26</v>
      </c>
      <c r="G31">
        <v>31.01</v>
      </c>
      <c r="H31">
        <v>94</v>
      </c>
      <c r="I31" t="s">
        <v>14</v>
      </c>
      <c r="J31">
        <v>2024</v>
      </c>
      <c r="K31">
        <f t="shared" si="0"/>
        <v>21.249999999999996</v>
      </c>
      <c r="L31" t="str">
        <f t="shared" si="1"/>
        <v>Banca Alpi|4|Factoring</v>
      </c>
    </row>
    <row r="32" spans="1:12" x14ac:dyDescent="0.25">
      <c r="A32" t="s">
        <v>12</v>
      </c>
      <c r="B32">
        <v>4</v>
      </c>
      <c r="C32" t="s">
        <v>20</v>
      </c>
      <c r="D32" s="1">
        <v>45412</v>
      </c>
      <c r="E32">
        <v>1090.3</v>
      </c>
      <c r="F32">
        <v>62.75</v>
      </c>
      <c r="G32">
        <v>37.799999999999997</v>
      </c>
      <c r="H32">
        <v>117</v>
      </c>
      <c r="I32" t="s">
        <v>14</v>
      </c>
      <c r="J32">
        <v>2024</v>
      </c>
      <c r="K32">
        <f t="shared" si="0"/>
        <v>24.950000000000003</v>
      </c>
      <c r="L32" t="str">
        <f t="shared" si="1"/>
        <v>Banca Alpi|4|Risparmio</v>
      </c>
    </row>
    <row r="33" spans="1:12" x14ac:dyDescent="0.25">
      <c r="A33" t="s">
        <v>12</v>
      </c>
      <c r="B33">
        <v>4</v>
      </c>
      <c r="C33" t="s">
        <v>21</v>
      </c>
      <c r="D33" s="1">
        <v>45412</v>
      </c>
      <c r="E33">
        <v>1216.4000000000001</v>
      </c>
      <c r="F33">
        <v>72.5</v>
      </c>
      <c r="G33">
        <v>43.05</v>
      </c>
      <c r="H33">
        <v>146</v>
      </c>
      <c r="I33" t="s">
        <v>14</v>
      </c>
      <c r="J33">
        <v>2024</v>
      </c>
      <c r="K33">
        <f t="shared" si="0"/>
        <v>29.450000000000003</v>
      </c>
      <c r="L33" t="str">
        <f t="shared" si="1"/>
        <v>Banca Alpi|4|Assicurazioni</v>
      </c>
    </row>
    <row r="34" spans="1:12" x14ac:dyDescent="0.25">
      <c r="A34" t="s">
        <v>12</v>
      </c>
      <c r="B34">
        <v>5</v>
      </c>
      <c r="C34" t="s">
        <v>13</v>
      </c>
      <c r="D34" s="1">
        <v>45443</v>
      </c>
      <c r="E34">
        <v>334.8</v>
      </c>
      <c r="F34">
        <v>15.82</v>
      </c>
      <c r="G34">
        <v>9.4</v>
      </c>
      <c r="H34">
        <v>49</v>
      </c>
      <c r="I34" t="s">
        <v>14</v>
      </c>
      <c r="J34">
        <v>2024</v>
      </c>
      <c r="K34">
        <f t="shared" si="0"/>
        <v>6.42</v>
      </c>
      <c r="L34" t="str">
        <f t="shared" si="1"/>
        <v>Banca Alpi|5|Mutui</v>
      </c>
    </row>
    <row r="35" spans="1:12" x14ac:dyDescent="0.25">
      <c r="A35" t="s">
        <v>12</v>
      </c>
      <c r="B35">
        <v>5</v>
      </c>
      <c r="C35" t="s">
        <v>15</v>
      </c>
      <c r="D35" s="1">
        <v>45443</v>
      </c>
      <c r="E35">
        <v>485.1</v>
      </c>
      <c r="F35">
        <v>23.17</v>
      </c>
      <c r="G35">
        <v>14.34</v>
      </c>
      <c r="H35">
        <v>83</v>
      </c>
      <c r="I35" t="s">
        <v>14</v>
      </c>
      <c r="J35">
        <v>2024</v>
      </c>
      <c r="K35">
        <f t="shared" si="0"/>
        <v>8.8300000000000018</v>
      </c>
      <c r="L35" t="str">
        <f t="shared" si="1"/>
        <v>Banca Alpi|5|Prestiti</v>
      </c>
    </row>
    <row r="36" spans="1:12" x14ac:dyDescent="0.25">
      <c r="A36" t="s">
        <v>12</v>
      </c>
      <c r="B36">
        <v>5</v>
      </c>
      <c r="C36" t="s">
        <v>16</v>
      </c>
      <c r="D36" s="1">
        <v>45443</v>
      </c>
      <c r="E36">
        <v>554.70000000000005</v>
      </c>
      <c r="F36">
        <v>27.74</v>
      </c>
      <c r="G36">
        <v>17.46</v>
      </c>
      <c r="H36">
        <v>80</v>
      </c>
      <c r="I36" t="s">
        <v>14</v>
      </c>
      <c r="J36">
        <v>2024</v>
      </c>
      <c r="K36">
        <f t="shared" si="0"/>
        <v>10.279999999999998</v>
      </c>
      <c r="L36" t="str">
        <f t="shared" si="1"/>
        <v>Banca Alpi|5|Conti</v>
      </c>
    </row>
    <row r="37" spans="1:12" x14ac:dyDescent="0.25">
      <c r="A37" t="s">
        <v>12</v>
      </c>
      <c r="B37">
        <v>5</v>
      </c>
      <c r="C37" t="s">
        <v>17</v>
      </c>
      <c r="D37" s="1">
        <v>45443</v>
      </c>
      <c r="E37">
        <v>719.7</v>
      </c>
      <c r="F37">
        <v>37.54</v>
      </c>
      <c r="G37">
        <v>23.03</v>
      </c>
      <c r="H37">
        <v>85</v>
      </c>
      <c r="I37" t="s">
        <v>14</v>
      </c>
      <c r="J37">
        <v>2024</v>
      </c>
      <c r="K37">
        <f t="shared" si="0"/>
        <v>14.509999999999998</v>
      </c>
      <c r="L37" t="str">
        <f t="shared" si="1"/>
        <v>Banca Alpi|5|Carte</v>
      </c>
    </row>
    <row r="38" spans="1:12" x14ac:dyDescent="0.25">
      <c r="A38" t="s">
        <v>12</v>
      </c>
      <c r="B38">
        <v>5</v>
      </c>
      <c r="C38" t="s">
        <v>18</v>
      </c>
      <c r="D38" s="1">
        <v>45443</v>
      </c>
      <c r="E38">
        <v>860.8</v>
      </c>
      <c r="F38">
        <v>46.18</v>
      </c>
      <c r="G38">
        <v>27.55</v>
      </c>
      <c r="H38">
        <v>87</v>
      </c>
      <c r="I38" t="s">
        <v>14</v>
      </c>
      <c r="J38">
        <v>2024</v>
      </c>
      <c r="K38">
        <f t="shared" si="0"/>
        <v>18.63</v>
      </c>
      <c r="L38" t="str">
        <f t="shared" si="1"/>
        <v>Banca Alpi|5|Leasing</v>
      </c>
    </row>
    <row r="39" spans="1:12" x14ac:dyDescent="0.25">
      <c r="A39" t="s">
        <v>12</v>
      </c>
      <c r="B39">
        <v>5</v>
      </c>
      <c r="C39" t="s">
        <v>19</v>
      </c>
      <c r="D39" s="1">
        <v>45443</v>
      </c>
      <c r="E39">
        <v>954.5</v>
      </c>
      <c r="F39">
        <v>52.96</v>
      </c>
      <c r="G39">
        <v>32.47</v>
      </c>
      <c r="H39">
        <v>114</v>
      </c>
      <c r="I39" t="s">
        <v>14</v>
      </c>
      <c r="J39">
        <v>2024</v>
      </c>
      <c r="K39">
        <f t="shared" si="0"/>
        <v>20.490000000000002</v>
      </c>
      <c r="L39" t="str">
        <f t="shared" si="1"/>
        <v>Banca Alpi|5|Factoring</v>
      </c>
    </row>
    <row r="40" spans="1:12" x14ac:dyDescent="0.25">
      <c r="A40" t="s">
        <v>12</v>
      </c>
      <c r="B40">
        <v>5</v>
      </c>
      <c r="C40" t="s">
        <v>20</v>
      </c>
      <c r="D40" s="1">
        <v>45443</v>
      </c>
      <c r="E40">
        <v>1106.2</v>
      </c>
      <c r="F40">
        <v>63.37</v>
      </c>
      <c r="G40">
        <v>38.53</v>
      </c>
      <c r="H40">
        <v>121</v>
      </c>
      <c r="I40" t="s">
        <v>14</v>
      </c>
      <c r="J40">
        <v>2024</v>
      </c>
      <c r="K40">
        <f t="shared" si="0"/>
        <v>24.839999999999996</v>
      </c>
      <c r="L40" t="str">
        <f t="shared" si="1"/>
        <v>Banca Alpi|5|Risparmio</v>
      </c>
    </row>
    <row r="41" spans="1:12" x14ac:dyDescent="0.25">
      <c r="A41" t="s">
        <v>12</v>
      </c>
      <c r="B41">
        <v>5</v>
      </c>
      <c r="C41" t="s">
        <v>21</v>
      </c>
      <c r="D41" s="1">
        <v>45443</v>
      </c>
      <c r="E41">
        <v>1227.0999999999999</v>
      </c>
      <c r="F41">
        <v>73.27</v>
      </c>
      <c r="G41">
        <v>43.07</v>
      </c>
      <c r="H41">
        <v>129</v>
      </c>
      <c r="I41" t="s">
        <v>14</v>
      </c>
      <c r="J41">
        <v>2024</v>
      </c>
      <c r="K41">
        <f t="shared" si="0"/>
        <v>30.199999999999996</v>
      </c>
      <c r="L41" t="str">
        <f t="shared" si="1"/>
        <v>Banca Alpi|5|Assicurazioni</v>
      </c>
    </row>
    <row r="42" spans="1:12" x14ac:dyDescent="0.25">
      <c r="A42" t="s">
        <v>12</v>
      </c>
      <c r="B42">
        <v>6</v>
      </c>
      <c r="C42" t="s">
        <v>13</v>
      </c>
      <c r="D42" s="1">
        <v>45473</v>
      </c>
      <c r="E42">
        <v>357.2</v>
      </c>
      <c r="F42">
        <v>16.38</v>
      </c>
      <c r="G42">
        <v>10.029999999999999</v>
      </c>
      <c r="H42">
        <v>32</v>
      </c>
      <c r="I42" t="s">
        <v>14</v>
      </c>
      <c r="J42">
        <v>2024</v>
      </c>
      <c r="K42">
        <f t="shared" si="0"/>
        <v>6.35</v>
      </c>
      <c r="L42" t="str">
        <f t="shared" si="1"/>
        <v>Banca Alpi|6|Mutui</v>
      </c>
    </row>
    <row r="43" spans="1:12" x14ac:dyDescent="0.25">
      <c r="A43" t="s">
        <v>12</v>
      </c>
      <c r="B43">
        <v>6</v>
      </c>
      <c r="C43" t="s">
        <v>15</v>
      </c>
      <c r="D43" s="1">
        <v>45473</v>
      </c>
      <c r="E43">
        <v>457.6</v>
      </c>
      <c r="F43">
        <v>22.29</v>
      </c>
      <c r="G43">
        <v>13.4</v>
      </c>
      <c r="H43">
        <v>68</v>
      </c>
      <c r="I43" t="s">
        <v>14</v>
      </c>
      <c r="J43">
        <v>2024</v>
      </c>
      <c r="K43">
        <f t="shared" si="0"/>
        <v>8.8899999999999988</v>
      </c>
      <c r="L43" t="str">
        <f t="shared" si="1"/>
        <v>Banca Alpi|6|Prestiti</v>
      </c>
    </row>
    <row r="44" spans="1:12" x14ac:dyDescent="0.25">
      <c r="A44" t="s">
        <v>12</v>
      </c>
      <c r="B44">
        <v>6</v>
      </c>
      <c r="C44" t="s">
        <v>16</v>
      </c>
      <c r="D44" s="1">
        <v>45473</v>
      </c>
      <c r="E44">
        <v>576.29999999999995</v>
      </c>
      <c r="F44">
        <v>28.25</v>
      </c>
      <c r="G44">
        <v>17.329999999999998</v>
      </c>
      <c r="H44">
        <v>87</v>
      </c>
      <c r="I44" t="s">
        <v>14</v>
      </c>
      <c r="J44">
        <v>2024</v>
      </c>
      <c r="K44">
        <f t="shared" si="0"/>
        <v>10.920000000000002</v>
      </c>
      <c r="L44" t="str">
        <f t="shared" si="1"/>
        <v>Banca Alpi|6|Conti</v>
      </c>
    </row>
    <row r="45" spans="1:12" x14ac:dyDescent="0.25">
      <c r="A45" t="s">
        <v>12</v>
      </c>
      <c r="B45">
        <v>6</v>
      </c>
      <c r="C45" t="s">
        <v>17</v>
      </c>
      <c r="D45" s="1">
        <v>45473</v>
      </c>
      <c r="E45">
        <v>728.1</v>
      </c>
      <c r="F45">
        <v>37.880000000000003</v>
      </c>
      <c r="G45">
        <v>23.4</v>
      </c>
      <c r="H45">
        <v>107</v>
      </c>
      <c r="I45" t="s">
        <v>14</v>
      </c>
      <c r="J45">
        <v>2024</v>
      </c>
      <c r="K45">
        <f t="shared" si="0"/>
        <v>14.480000000000004</v>
      </c>
      <c r="L45" t="str">
        <f t="shared" si="1"/>
        <v>Banca Alpi|6|Carte</v>
      </c>
    </row>
    <row r="46" spans="1:12" x14ac:dyDescent="0.25">
      <c r="A46" t="s">
        <v>12</v>
      </c>
      <c r="B46">
        <v>6</v>
      </c>
      <c r="C46" t="s">
        <v>18</v>
      </c>
      <c r="D46" s="1">
        <v>45473</v>
      </c>
      <c r="E46">
        <v>821.4</v>
      </c>
      <c r="F46">
        <v>43.94</v>
      </c>
      <c r="G46">
        <v>26.98</v>
      </c>
      <c r="H46">
        <v>82</v>
      </c>
      <c r="I46" t="s">
        <v>14</v>
      </c>
      <c r="J46">
        <v>2024</v>
      </c>
      <c r="K46">
        <f t="shared" si="0"/>
        <v>16.959999999999997</v>
      </c>
      <c r="L46" t="str">
        <f t="shared" si="1"/>
        <v>Banca Alpi|6|Leasing</v>
      </c>
    </row>
    <row r="47" spans="1:12" x14ac:dyDescent="0.25">
      <c r="A47" t="s">
        <v>12</v>
      </c>
      <c r="B47">
        <v>6</v>
      </c>
      <c r="C47" t="s">
        <v>19</v>
      </c>
      <c r="D47" s="1">
        <v>45473</v>
      </c>
      <c r="E47">
        <v>962.2</v>
      </c>
      <c r="F47">
        <v>53.55</v>
      </c>
      <c r="G47">
        <v>32.130000000000003</v>
      </c>
      <c r="H47">
        <v>122</v>
      </c>
      <c r="I47" t="s">
        <v>14</v>
      </c>
      <c r="J47">
        <v>2024</v>
      </c>
      <c r="K47">
        <f t="shared" si="0"/>
        <v>21.419999999999995</v>
      </c>
      <c r="L47" t="str">
        <f t="shared" si="1"/>
        <v>Banca Alpi|6|Factoring</v>
      </c>
    </row>
    <row r="48" spans="1:12" x14ac:dyDescent="0.25">
      <c r="A48" t="s">
        <v>12</v>
      </c>
      <c r="B48">
        <v>6</v>
      </c>
      <c r="C48" t="s">
        <v>20</v>
      </c>
      <c r="D48" s="1">
        <v>45473</v>
      </c>
      <c r="E48">
        <v>1119.5</v>
      </c>
      <c r="F48">
        <v>64.53</v>
      </c>
      <c r="G48">
        <v>38.44</v>
      </c>
      <c r="H48">
        <v>126</v>
      </c>
      <c r="I48" t="s">
        <v>14</v>
      </c>
      <c r="J48">
        <v>2024</v>
      </c>
      <c r="K48">
        <f t="shared" si="0"/>
        <v>26.090000000000003</v>
      </c>
      <c r="L48" t="str">
        <f t="shared" si="1"/>
        <v>Banca Alpi|6|Risparmio</v>
      </c>
    </row>
    <row r="49" spans="1:12" x14ac:dyDescent="0.25">
      <c r="A49" t="s">
        <v>12</v>
      </c>
      <c r="B49">
        <v>6</v>
      </c>
      <c r="C49" t="s">
        <v>21</v>
      </c>
      <c r="D49" s="1">
        <v>45473</v>
      </c>
      <c r="E49">
        <v>1192.2</v>
      </c>
      <c r="F49">
        <v>70.87</v>
      </c>
      <c r="G49">
        <v>42.71</v>
      </c>
      <c r="H49">
        <v>145</v>
      </c>
      <c r="I49" t="s">
        <v>14</v>
      </c>
      <c r="J49">
        <v>2024</v>
      </c>
      <c r="K49">
        <f t="shared" si="0"/>
        <v>28.160000000000004</v>
      </c>
      <c r="L49" t="str">
        <f t="shared" si="1"/>
        <v>Banca Alpi|6|Assicurazioni</v>
      </c>
    </row>
    <row r="50" spans="1:12" x14ac:dyDescent="0.25">
      <c r="A50" t="s">
        <v>12</v>
      </c>
      <c r="B50">
        <v>7</v>
      </c>
      <c r="C50" t="s">
        <v>13</v>
      </c>
      <c r="D50" s="1">
        <v>45504</v>
      </c>
      <c r="E50">
        <v>364.9</v>
      </c>
      <c r="F50">
        <v>16.75</v>
      </c>
      <c r="G50">
        <v>10.58</v>
      </c>
      <c r="H50">
        <v>41</v>
      </c>
      <c r="I50" t="s">
        <v>14</v>
      </c>
      <c r="J50">
        <v>2024</v>
      </c>
      <c r="K50">
        <f t="shared" si="0"/>
        <v>6.17</v>
      </c>
      <c r="L50" t="str">
        <f t="shared" si="1"/>
        <v>Banca Alpi|7|Mutui</v>
      </c>
    </row>
    <row r="51" spans="1:12" x14ac:dyDescent="0.25">
      <c r="A51" t="s">
        <v>12</v>
      </c>
      <c r="B51">
        <v>7</v>
      </c>
      <c r="C51" t="s">
        <v>15</v>
      </c>
      <c r="D51" s="1">
        <v>45504</v>
      </c>
      <c r="E51">
        <v>462.2</v>
      </c>
      <c r="F51">
        <v>22.01</v>
      </c>
      <c r="G51">
        <v>13.54</v>
      </c>
      <c r="H51">
        <v>71</v>
      </c>
      <c r="I51" t="s">
        <v>14</v>
      </c>
      <c r="J51">
        <v>2024</v>
      </c>
      <c r="K51">
        <f t="shared" si="0"/>
        <v>8.4700000000000024</v>
      </c>
      <c r="L51" t="str">
        <f t="shared" si="1"/>
        <v>Banca Alpi|7|Prestiti</v>
      </c>
    </row>
    <row r="52" spans="1:12" x14ac:dyDescent="0.25">
      <c r="A52" t="s">
        <v>12</v>
      </c>
      <c r="B52">
        <v>7</v>
      </c>
      <c r="C52" t="s">
        <v>16</v>
      </c>
      <c r="D52" s="1">
        <v>45504</v>
      </c>
      <c r="E52">
        <v>584.29999999999995</v>
      </c>
      <c r="F52">
        <v>28.67</v>
      </c>
      <c r="G52">
        <v>17.670000000000002</v>
      </c>
      <c r="H52">
        <v>61</v>
      </c>
      <c r="I52" t="s">
        <v>14</v>
      </c>
      <c r="J52">
        <v>2024</v>
      </c>
      <c r="K52">
        <f t="shared" si="0"/>
        <v>11</v>
      </c>
      <c r="L52" t="str">
        <f t="shared" si="1"/>
        <v>Banca Alpi|7|Conti</v>
      </c>
    </row>
    <row r="53" spans="1:12" x14ac:dyDescent="0.25">
      <c r="A53" t="s">
        <v>12</v>
      </c>
      <c r="B53">
        <v>7</v>
      </c>
      <c r="C53" t="s">
        <v>17</v>
      </c>
      <c r="D53" s="1">
        <v>45504</v>
      </c>
      <c r="E53">
        <v>738.5</v>
      </c>
      <c r="F53">
        <v>38.270000000000003</v>
      </c>
      <c r="G53">
        <v>23.85</v>
      </c>
      <c r="H53">
        <v>89</v>
      </c>
      <c r="I53" t="s">
        <v>14</v>
      </c>
      <c r="J53">
        <v>2024</v>
      </c>
      <c r="K53">
        <f t="shared" si="0"/>
        <v>14.420000000000002</v>
      </c>
      <c r="L53" t="str">
        <f t="shared" si="1"/>
        <v>Banca Alpi|7|Carte</v>
      </c>
    </row>
    <row r="54" spans="1:12" x14ac:dyDescent="0.25">
      <c r="A54" t="s">
        <v>12</v>
      </c>
      <c r="B54">
        <v>7</v>
      </c>
      <c r="C54" t="s">
        <v>18</v>
      </c>
      <c r="D54" s="1">
        <v>45504</v>
      </c>
      <c r="E54">
        <v>839.7</v>
      </c>
      <c r="F54">
        <v>44.9</v>
      </c>
      <c r="G54">
        <v>27.23</v>
      </c>
      <c r="H54">
        <v>104</v>
      </c>
      <c r="I54" t="s">
        <v>14</v>
      </c>
      <c r="J54">
        <v>2024</v>
      </c>
      <c r="K54">
        <f t="shared" si="0"/>
        <v>17.669999999999998</v>
      </c>
      <c r="L54" t="str">
        <f t="shared" si="1"/>
        <v>Banca Alpi|7|Leasing</v>
      </c>
    </row>
    <row r="55" spans="1:12" x14ac:dyDescent="0.25">
      <c r="A55" t="s">
        <v>12</v>
      </c>
      <c r="B55">
        <v>7</v>
      </c>
      <c r="C55" t="s">
        <v>19</v>
      </c>
      <c r="D55" s="1">
        <v>45504</v>
      </c>
      <c r="E55">
        <v>984.2</v>
      </c>
      <c r="F55">
        <v>54.77</v>
      </c>
      <c r="G55">
        <v>32.950000000000003</v>
      </c>
      <c r="H55">
        <v>119</v>
      </c>
      <c r="I55" t="s">
        <v>14</v>
      </c>
      <c r="J55">
        <v>2024</v>
      </c>
      <c r="K55">
        <f t="shared" si="0"/>
        <v>21.82</v>
      </c>
      <c r="L55" t="str">
        <f t="shared" si="1"/>
        <v>Banca Alpi|7|Factoring</v>
      </c>
    </row>
    <row r="56" spans="1:12" x14ac:dyDescent="0.25">
      <c r="A56" t="s">
        <v>12</v>
      </c>
      <c r="B56">
        <v>7</v>
      </c>
      <c r="C56" t="s">
        <v>20</v>
      </c>
      <c r="D56" s="1">
        <v>45504</v>
      </c>
      <c r="E56">
        <v>1085.2</v>
      </c>
      <c r="F56">
        <v>62.63</v>
      </c>
      <c r="G56">
        <v>36.979999999999997</v>
      </c>
      <c r="H56">
        <v>105</v>
      </c>
      <c r="I56" t="s">
        <v>14</v>
      </c>
      <c r="J56">
        <v>2024</v>
      </c>
      <c r="K56">
        <f t="shared" si="0"/>
        <v>25.650000000000006</v>
      </c>
      <c r="L56" t="str">
        <f t="shared" si="1"/>
        <v>Banca Alpi|7|Risparmio</v>
      </c>
    </row>
    <row r="57" spans="1:12" x14ac:dyDescent="0.25">
      <c r="A57" t="s">
        <v>12</v>
      </c>
      <c r="B57">
        <v>7</v>
      </c>
      <c r="C57" t="s">
        <v>21</v>
      </c>
      <c r="D57" s="1">
        <v>45504</v>
      </c>
      <c r="E57">
        <v>1210.5999999999999</v>
      </c>
      <c r="F57">
        <v>71.48</v>
      </c>
      <c r="G57">
        <v>42.83</v>
      </c>
      <c r="H57">
        <v>140</v>
      </c>
      <c r="I57" t="s">
        <v>14</v>
      </c>
      <c r="J57">
        <v>2024</v>
      </c>
      <c r="K57">
        <f t="shared" si="0"/>
        <v>28.650000000000006</v>
      </c>
      <c r="L57" t="str">
        <f t="shared" si="1"/>
        <v>Banca Alpi|7|Assicurazioni</v>
      </c>
    </row>
    <row r="58" spans="1:12" x14ac:dyDescent="0.25">
      <c r="A58" t="s">
        <v>12</v>
      </c>
      <c r="B58">
        <v>8</v>
      </c>
      <c r="C58" t="s">
        <v>13</v>
      </c>
      <c r="D58" s="1">
        <v>45535</v>
      </c>
      <c r="E58">
        <v>366.2</v>
      </c>
      <c r="F58">
        <v>16.98</v>
      </c>
      <c r="G58">
        <v>10.95</v>
      </c>
      <c r="H58">
        <v>47</v>
      </c>
      <c r="I58" t="s">
        <v>14</v>
      </c>
      <c r="J58">
        <v>2024</v>
      </c>
      <c r="K58">
        <f t="shared" si="0"/>
        <v>6.0300000000000011</v>
      </c>
      <c r="L58" t="str">
        <f t="shared" si="1"/>
        <v>Banca Alpi|8|Mutui</v>
      </c>
    </row>
    <row r="59" spans="1:12" x14ac:dyDescent="0.25">
      <c r="A59" t="s">
        <v>12</v>
      </c>
      <c r="B59">
        <v>8</v>
      </c>
      <c r="C59" t="s">
        <v>15</v>
      </c>
      <c r="D59" s="1">
        <v>45535</v>
      </c>
      <c r="E59">
        <v>438.7</v>
      </c>
      <c r="F59">
        <v>21.2</v>
      </c>
      <c r="G59">
        <v>12.97</v>
      </c>
      <c r="H59">
        <v>72</v>
      </c>
      <c r="I59" t="s">
        <v>14</v>
      </c>
      <c r="J59">
        <v>2024</v>
      </c>
      <c r="K59">
        <f t="shared" si="0"/>
        <v>8.2299999999999986</v>
      </c>
      <c r="L59" t="str">
        <f t="shared" si="1"/>
        <v>Banca Alpi|8|Prestiti</v>
      </c>
    </row>
    <row r="60" spans="1:12" x14ac:dyDescent="0.25">
      <c r="A60" t="s">
        <v>12</v>
      </c>
      <c r="B60">
        <v>8</v>
      </c>
      <c r="C60" t="s">
        <v>16</v>
      </c>
      <c r="D60" s="1">
        <v>45535</v>
      </c>
      <c r="E60">
        <v>605.70000000000005</v>
      </c>
      <c r="F60">
        <v>30.26</v>
      </c>
      <c r="G60">
        <v>18.600000000000001</v>
      </c>
      <c r="H60">
        <v>69</v>
      </c>
      <c r="I60" t="s">
        <v>14</v>
      </c>
      <c r="J60">
        <v>2024</v>
      </c>
      <c r="K60">
        <f t="shared" si="0"/>
        <v>11.66</v>
      </c>
      <c r="L60" t="str">
        <f t="shared" si="1"/>
        <v>Banca Alpi|8|Conti</v>
      </c>
    </row>
    <row r="61" spans="1:12" x14ac:dyDescent="0.25">
      <c r="A61" t="s">
        <v>12</v>
      </c>
      <c r="B61">
        <v>8</v>
      </c>
      <c r="C61" t="s">
        <v>17</v>
      </c>
      <c r="D61" s="1">
        <v>45535</v>
      </c>
      <c r="E61">
        <v>698.1</v>
      </c>
      <c r="F61">
        <v>36.57</v>
      </c>
      <c r="G61">
        <v>22.38</v>
      </c>
      <c r="H61">
        <v>89</v>
      </c>
      <c r="I61" t="s">
        <v>14</v>
      </c>
      <c r="J61">
        <v>2024</v>
      </c>
      <c r="K61">
        <f t="shared" si="0"/>
        <v>14.190000000000001</v>
      </c>
      <c r="L61" t="str">
        <f t="shared" si="1"/>
        <v>Banca Alpi|8|Carte</v>
      </c>
    </row>
    <row r="62" spans="1:12" x14ac:dyDescent="0.25">
      <c r="A62" t="s">
        <v>12</v>
      </c>
      <c r="B62">
        <v>8</v>
      </c>
      <c r="C62" t="s">
        <v>18</v>
      </c>
      <c r="D62" s="1">
        <v>45535</v>
      </c>
      <c r="E62">
        <v>865.1</v>
      </c>
      <c r="F62">
        <v>46.67</v>
      </c>
      <c r="G62">
        <v>28.14</v>
      </c>
      <c r="H62">
        <v>96</v>
      </c>
      <c r="I62" t="s">
        <v>14</v>
      </c>
      <c r="J62">
        <v>2024</v>
      </c>
      <c r="K62">
        <f t="shared" si="0"/>
        <v>18.53</v>
      </c>
      <c r="L62" t="str">
        <f t="shared" si="1"/>
        <v>Banca Alpi|8|Leasing</v>
      </c>
    </row>
    <row r="63" spans="1:12" x14ac:dyDescent="0.25">
      <c r="A63" t="s">
        <v>12</v>
      </c>
      <c r="B63">
        <v>8</v>
      </c>
      <c r="C63" t="s">
        <v>19</v>
      </c>
      <c r="D63" s="1">
        <v>45535</v>
      </c>
      <c r="E63">
        <v>976.1</v>
      </c>
      <c r="F63">
        <v>54.64</v>
      </c>
      <c r="G63">
        <v>32.32</v>
      </c>
      <c r="H63">
        <v>126</v>
      </c>
      <c r="I63" t="s">
        <v>14</v>
      </c>
      <c r="J63">
        <v>2024</v>
      </c>
      <c r="K63">
        <f t="shared" si="0"/>
        <v>22.32</v>
      </c>
      <c r="L63" t="str">
        <f t="shared" si="1"/>
        <v>Banca Alpi|8|Factoring</v>
      </c>
    </row>
    <row r="64" spans="1:12" x14ac:dyDescent="0.25">
      <c r="A64" t="s">
        <v>12</v>
      </c>
      <c r="B64">
        <v>8</v>
      </c>
      <c r="C64" t="s">
        <v>20</v>
      </c>
      <c r="D64" s="1">
        <v>45535</v>
      </c>
      <c r="E64">
        <v>1087</v>
      </c>
      <c r="F64">
        <v>62.11</v>
      </c>
      <c r="G64">
        <v>37.29</v>
      </c>
      <c r="H64">
        <v>129</v>
      </c>
      <c r="I64" t="s">
        <v>14</v>
      </c>
      <c r="J64">
        <v>2024</v>
      </c>
      <c r="K64">
        <f t="shared" si="0"/>
        <v>24.82</v>
      </c>
      <c r="L64" t="str">
        <f t="shared" si="1"/>
        <v>Banca Alpi|8|Risparmio</v>
      </c>
    </row>
    <row r="65" spans="1:12" x14ac:dyDescent="0.25">
      <c r="A65" t="s">
        <v>12</v>
      </c>
      <c r="B65">
        <v>8</v>
      </c>
      <c r="C65" t="s">
        <v>21</v>
      </c>
      <c r="D65" s="1">
        <v>45535</v>
      </c>
      <c r="E65">
        <v>1243.5999999999999</v>
      </c>
      <c r="F65">
        <v>74.069999999999993</v>
      </c>
      <c r="G65">
        <v>44.5</v>
      </c>
      <c r="H65">
        <v>140</v>
      </c>
      <c r="I65" t="s">
        <v>14</v>
      </c>
      <c r="J65">
        <v>2024</v>
      </c>
      <c r="K65">
        <f t="shared" si="0"/>
        <v>29.569999999999993</v>
      </c>
      <c r="L65" t="str">
        <f t="shared" si="1"/>
        <v>Banca Alpi|8|Assicurazioni</v>
      </c>
    </row>
    <row r="66" spans="1:12" x14ac:dyDescent="0.25">
      <c r="A66" t="s">
        <v>12</v>
      </c>
      <c r="B66">
        <v>9</v>
      </c>
      <c r="C66" t="s">
        <v>13</v>
      </c>
      <c r="D66" s="1">
        <v>45565</v>
      </c>
      <c r="E66">
        <v>319.2</v>
      </c>
      <c r="F66">
        <v>14.75</v>
      </c>
      <c r="G66">
        <v>9.68</v>
      </c>
      <c r="H66">
        <v>32</v>
      </c>
      <c r="I66" t="s">
        <v>14</v>
      </c>
      <c r="J66">
        <v>2024</v>
      </c>
      <c r="K66">
        <f t="shared" ref="K66:K129" si="2">F66-G66</f>
        <v>5.07</v>
      </c>
      <c r="L66" t="str">
        <f t="shared" ref="L66:L129" si="3">A66&amp;"|"&amp;B66&amp;"|"&amp;C66</f>
        <v>Banca Alpi|9|Mutui</v>
      </c>
    </row>
    <row r="67" spans="1:12" x14ac:dyDescent="0.25">
      <c r="A67" t="s">
        <v>12</v>
      </c>
      <c r="B67">
        <v>9</v>
      </c>
      <c r="C67" t="s">
        <v>15</v>
      </c>
      <c r="D67" s="1">
        <v>45565</v>
      </c>
      <c r="E67">
        <v>465</v>
      </c>
      <c r="F67">
        <v>22.2</v>
      </c>
      <c r="G67">
        <v>14.23</v>
      </c>
      <c r="H67">
        <v>82</v>
      </c>
      <c r="I67" t="s">
        <v>14</v>
      </c>
      <c r="J67">
        <v>2024</v>
      </c>
      <c r="K67">
        <f t="shared" si="2"/>
        <v>7.9699999999999989</v>
      </c>
      <c r="L67" t="str">
        <f t="shared" si="3"/>
        <v>Banca Alpi|9|Prestiti</v>
      </c>
    </row>
    <row r="68" spans="1:12" x14ac:dyDescent="0.25">
      <c r="A68" t="s">
        <v>12</v>
      </c>
      <c r="B68">
        <v>9</v>
      </c>
      <c r="C68" t="s">
        <v>16</v>
      </c>
      <c r="D68" s="1">
        <v>45565</v>
      </c>
      <c r="E68">
        <v>612</v>
      </c>
      <c r="F68">
        <v>30.3</v>
      </c>
      <c r="G68">
        <v>19.27</v>
      </c>
      <c r="H68">
        <v>91</v>
      </c>
      <c r="I68" t="s">
        <v>14</v>
      </c>
      <c r="J68">
        <v>2024</v>
      </c>
      <c r="K68">
        <f t="shared" si="2"/>
        <v>11.030000000000001</v>
      </c>
      <c r="L68" t="str">
        <f t="shared" si="3"/>
        <v>Banca Alpi|9|Conti</v>
      </c>
    </row>
    <row r="69" spans="1:12" x14ac:dyDescent="0.25">
      <c r="A69" t="s">
        <v>12</v>
      </c>
      <c r="B69">
        <v>9</v>
      </c>
      <c r="C69" t="s">
        <v>17</v>
      </c>
      <c r="D69" s="1">
        <v>45565</v>
      </c>
      <c r="E69">
        <v>699.9</v>
      </c>
      <c r="F69">
        <v>35.729999999999997</v>
      </c>
      <c r="G69">
        <v>21.98</v>
      </c>
      <c r="H69">
        <v>104</v>
      </c>
      <c r="I69" t="s">
        <v>14</v>
      </c>
      <c r="J69">
        <v>2024</v>
      </c>
      <c r="K69">
        <f t="shared" si="2"/>
        <v>13.749999999999996</v>
      </c>
      <c r="L69" t="str">
        <f t="shared" si="3"/>
        <v>Banca Alpi|9|Carte</v>
      </c>
    </row>
    <row r="70" spans="1:12" x14ac:dyDescent="0.25">
      <c r="A70" t="s">
        <v>12</v>
      </c>
      <c r="B70">
        <v>9</v>
      </c>
      <c r="C70" t="s">
        <v>18</v>
      </c>
      <c r="D70" s="1">
        <v>45565</v>
      </c>
      <c r="E70">
        <v>876.2</v>
      </c>
      <c r="F70">
        <v>46.91</v>
      </c>
      <c r="G70">
        <v>28.42</v>
      </c>
      <c r="H70">
        <v>102</v>
      </c>
      <c r="I70" t="s">
        <v>14</v>
      </c>
      <c r="J70">
        <v>2024</v>
      </c>
      <c r="K70">
        <f t="shared" si="2"/>
        <v>18.489999999999995</v>
      </c>
      <c r="L70" t="str">
        <f t="shared" si="3"/>
        <v>Banca Alpi|9|Leasing</v>
      </c>
    </row>
    <row r="71" spans="1:12" x14ac:dyDescent="0.25">
      <c r="A71" t="s">
        <v>12</v>
      </c>
      <c r="B71">
        <v>9</v>
      </c>
      <c r="C71" t="s">
        <v>19</v>
      </c>
      <c r="D71" s="1">
        <v>45565</v>
      </c>
      <c r="E71">
        <v>971</v>
      </c>
      <c r="F71">
        <v>53.64</v>
      </c>
      <c r="G71">
        <v>32.840000000000003</v>
      </c>
      <c r="H71">
        <v>118</v>
      </c>
      <c r="I71" t="s">
        <v>14</v>
      </c>
      <c r="J71">
        <v>2024</v>
      </c>
      <c r="K71">
        <f t="shared" si="2"/>
        <v>20.799999999999997</v>
      </c>
      <c r="L71" t="str">
        <f t="shared" si="3"/>
        <v>Banca Alpi|9|Factoring</v>
      </c>
    </row>
    <row r="72" spans="1:12" x14ac:dyDescent="0.25">
      <c r="A72" t="s">
        <v>12</v>
      </c>
      <c r="B72">
        <v>9</v>
      </c>
      <c r="C72" t="s">
        <v>20</v>
      </c>
      <c r="D72" s="1">
        <v>45565</v>
      </c>
      <c r="E72">
        <v>1126.7</v>
      </c>
      <c r="F72">
        <v>65.22</v>
      </c>
      <c r="G72">
        <v>38.44</v>
      </c>
      <c r="H72">
        <v>121</v>
      </c>
      <c r="I72" t="s">
        <v>14</v>
      </c>
      <c r="J72">
        <v>2024</v>
      </c>
      <c r="K72">
        <f t="shared" si="2"/>
        <v>26.78</v>
      </c>
      <c r="L72" t="str">
        <f t="shared" si="3"/>
        <v>Banca Alpi|9|Risparmio</v>
      </c>
    </row>
    <row r="73" spans="1:12" x14ac:dyDescent="0.25">
      <c r="A73" t="s">
        <v>12</v>
      </c>
      <c r="B73">
        <v>9</v>
      </c>
      <c r="C73" t="s">
        <v>21</v>
      </c>
      <c r="D73" s="1">
        <v>45565</v>
      </c>
      <c r="E73">
        <v>1248.0999999999999</v>
      </c>
      <c r="F73">
        <v>73.709999999999994</v>
      </c>
      <c r="G73">
        <v>44.12</v>
      </c>
      <c r="H73">
        <v>116</v>
      </c>
      <c r="I73" t="s">
        <v>14</v>
      </c>
      <c r="J73">
        <v>2024</v>
      </c>
      <c r="K73">
        <f t="shared" si="2"/>
        <v>29.589999999999996</v>
      </c>
      <c r="L73" t="str">
        <f t="shared" si="3"/>
        <v>Banca Alpi|9|Assicurazioni</v>
      </c>
    </row>
    <row r="74" spans="1:12" x14ac:dyDescent="0.25">
      <c r="A74" t="s">
        <v>12</v>
      </c>
      <c r="B74">
        <v>10</v>
      </c>
      <c r="C74" t="s">
        <v>13</v>
      </c>
      <c r="D74" s="1">
        <v>45596</v>
      </c>
      <c r="E74">
        <v>322.5</v>
      </c>
      <c r="F74">
        <v>14.72</v>
      </c>
      <c r="G74">
        <v>9.18</v>
      </c>
      <c r="H74">
        <v>39</v>
      </c>
      <c r="I74" t="s">
        <v>14</v>
      </c>
      <c r="J74">
        <v>2024</v>
      </c>
      <c r="K74">
        <f t="shared" si="2"/>
        <v>5.5400000000000009</v>
      </c>
      <c r="L74" t="str">
        <f t="shared" si="3"/>
        <v>Banca Alpi|10|Mutui</v>
      </c>
    </row>
    <row r="75" spans="1:12" x14ac:dyDescent="0.25">
      <c r="A75" t="s">
        <v>12</v>
      </c>
      <c r="B75">
        <v>10</v>
      </c>
      <c r="C75" t="s">
        <v>15</v>
      </c>
      <c r="D75" s="1">
        <v>45596</v>
      </c>
      <c r="E75">
        <v>472.3</v>
      </c>
      <c r="F75">
        <v>22.44</v>
      </c>
      <c r="G75">
        <v>14.14</v>
      </c>
      <c r="H75">
        <v>69</v>
      </c>
      <c r="I75" t="s">
        <v>14</v>
      </c>
      <c r="J75">
        <v>2024</v>
      </c>
      <c r="K75">
        <f t="shared" si="2"/>
        <v>8.3000000000000007</v>
      </c>
      <c r="L75" t="str">
        <f t="shared" si="3"/>
        <v>Banca Alpi|10|Prestiti</v>
      </c>
    </row>
    <row r="76" spans="1:12" x14ac:dyDescent="0.25">
      <c r="A76" t="s">
        <v>12</v>
      </c>
      <c r="B76">
        <v>10</v>
      </c>
      <c r="C76" t="s">
        <v>16</v>
      </c>
      <c r="D76" s="1">
        <v>45596</v>
      </c>
      <c r="E76">
        <v>619.1</v>
      </c>
      <c r="F76">
        <v>30.75</v>
      </c>
      <c r="G76">
        <v>18.63</v>
      </c>
      <c r="H76">
        <v>88</v>
      </c>
      <c r="I76" t="s">
        <v>14</v>
      </c>
      <c r="J76">
        <v>2024</v>
      </c>
      <c r="K76">
        <f t="shared" si="2"/>
        <v>12.120000000000001</v>
      </c>
      <c r="L76" t="str">
        <f t="shared" si="3"/>
        <v>Banca Alpi|10|Conti</v>
      </c>
    </row>
    <row r="77" spans="1:12" x14ac:dyDescent="0.25">
      <c r="A77" t="s">
        <v>12</v>
      </c>
      <c r="B77">
        <v>10</v>
      </c>
      <c r="C77" t="s">
        <v>17</v>
      </c>
      <c r="D77" s="1">
        <v>45596</v>
      </c>
      <c r="E77">
        <v>733.1</v>
      </c>
      <c r="F77">
        <v>37.4</v>
      </c>
      <c r="G77">
        <v>22.92</v>
      </c>
      <c r="H77">
        <v>99</v>
      </c>
      <c r="I77" t="s">
        <v>14</v>
      </c>
      <c r="J77">
        <v>2024</v>
      </c>
      <c r="K77">
        <f t="shared" si="2"/>
        <v>14.479999999999997</v>
      </c>
      <c r="L77" t="str">
        <f t="shared" si="3"/>
        <v>Banca Alpi|10|Carte</v>
      </c>
    </row>
    <row r="78" spans="1:12" x14ac:dyDescent="0.25">
      <c r="A78" t="s">
        <v>12</v>
      </c>
      <c r="B78">
        <v>10</v>
      </c>
      <c r="C78" t="s">
        <v>18</v>
      </c>
      <c r="D78" s="1">
        <v>45596</v>
      </c>
      <c r="E78">
        <v>873.1</v>
      </c>
      <c r="F78">
        <v>46.82</v>
      </c>
      <c r="G78">
        <v>28.01</v>
      </c>
      <c r="H78">
        <v>90</v>
      </c>
      <c r="I78" t="s">
        <v>14</v>
      </c>
      <c r="J78">
        <v>2024</v>
      </c>
      <c r="K78">
        <f t="shared" si="2"/>
        <v>18.809999999999999</v>
      </c>
      <c r="L78" t="str">
        <f t="shared" si="3"/>
        <v>Banca Alpi|10|Leasing</v>
      </c>
    </row>
    <row r="79" spans="1:12" x14ac:dyDescent="0.25">
      <c r="A79" t="s">
        <v>12</v>
      </c>
      <c r="B79">
        <v>10</v>
      </c>
      <c r="C79" t="s">
        <v>19</v>
      </c>
      <c r="D79" s="1">
        <v>45596</v>
      </c>
      <c r="E79">
        <v>1013.3</v>
      </c>
      <c r="F79">
        <v>55.92</v>
      </c>
      <c r="G79">
        <v>33.92</v>
      </c>
      <c r="H79">
        <v>104</v>
      </c>
      <c r="I79" t="s">
        <v>14</v>
      </c>
      <c r="J79">
        <v>2024</v>
      </c>
      <c r="K79">
        <f t="shared" si="2"/>
        <v>22</v>
      </c>
      <c r="L79" t="str">
        <f t="shared" si="3"/>
        <v>Banca Alpi|10|Factoring</v>
      </c>
    </row>
    <row r="80" spans="1:12" x14ac:dyDescent="0.25">
      <c r="A80" t="s">
        <v>12</v>
      </c>
      <c r="B80">
        <v>10</v>
      </c>
      <c r="C80" t="s">
        <v>20</v>
      </c>
      <c r="D80" s="1">
        <v>45596</v>
      </c>
      <c r="E80">
        <v>1122.0999999999999</v>
      </c>
      <c r="F80">
        <v>64.56</v>
      </c>
      <c r="G80">
        <v>38.42</v>
      </c>
      <c r="H80">
        <v>136</v>
      </c>
      <c r="I80" t="s">
        <v>14</v>
      </c>
      <c r="J80">
        <v>2024</v>
      </c>
      <c r="K80">
        <f t="shared" si="2"/>
        <v>26.14</v>
      </c>
      <c r="L80" t="str">
        <f t="shared" si="3"/>
        <v>Banca Alpi|10|Risparmio</v>
      </c>
    </row>
    <row r="81" spans="1:12" x14ac:dyDescent="0.25">
      <c r="A81" t="s">
        <v>12</v>
      </c>
      <c r="B81">
        <v>10</v>
      </c>
      <c r="C81" t="s">
        <v>21</v>
      </c>
      <c r="D81" s="1">
        <v>45596</v>
      </c>
      <c r="E81">
        <v>1279.2</v>
      </c>
      <c r="F81">
        <v>75.8</v>
      </c>
      <c r="G81">
        <v>44.96</v>
      </c>
      <c r="H81">
        <v>119</v>
      </c>
      <c r="I81" t="s">
        <v>14</v>
      </c>
      <c r="J81">
        <v>2024</v>
      </c>
      <c r="K81">
        <f t="shared" si="2"/>
        <v>30.839999999999996</v>
      </c>
      <c r="L81" t="str">
        <f t="shared" si="3"/>
        <v>Banca Alpi|10|Assicurazioni</v>
      </c>
    </row>
    <row r="82" spans="1:12" x14ac:dyDescent="0.25">
      <c r="A82" t="s">
        <v>12</v>
      </c>
      <c r="B82">
        <v>11</v>
      </c>
      <c r="C82" t="s">
        <v>13</v>
      </c>
      <c r="D82" s="1">
        <v>45626</v>
      </c>
      <c r="E82">
        <v>326.60000000000002</v>
      </c>
      <c r="F82">
        <v>15.49</v>
      </c>
      <c r="G82">
        <v>9.32</v>
      </c>
      <c r="H82">
        <v>69</v>
      </c>
      <c r="I82" t="s">
        <v>14</v>
      </c>
      <c r="J82">
        <v>2024</v>
      </c>
      <c r="K82">
        <f t="shared" si="2"/>
        <v>6.17</v>
      </c>
      <c r="L82" t="str">
        <f t="shared" si="3"/>
        <v>Banca Alpi|11|Mutui</v>
      </c>
    </row>
    <row r="83" spans="1:12" x14ac:dyDescent="0.25">
      <c r="A83" t="s">
        <v>12</v>
      </c>
      <c r="B83">
        <v>11</v>
      </c>
      <c r="C83" t="s">
        <v>15</v>
      </c>
      <c r="D83" s="1">
        <v>45626</v>
      </c>
      <c r="E83">
        <v>469.2</v>
      </c>
      <c r="F83">
        <v>22.99</v>
      </c>
      <c r="G83">
        <v>13.93</v>
      </c>
      <c r="H83">
        <v>82</v>
      </c>
      <c r="I83" t="s">
        <v>14</v>
      </c>
      <c r="J83">
        <v>2024</v>
      </c>
      <c r="K83">
        <f t="shared" si="2"/>
        <v>9.0599999999999987</v>
      </c>
      <c r="L83" t="str">
        <f t="shared" si="3"/>
        <v>Banca Alpi|11|Prestiti</v>
      </c>
    </row>
    <row r="84" spans="1:12" x14ac:dyDescent="0.25">
      <c r="A84" t="s">
        <v>12</v>
      </c>
      <c r="B84">
        <v>11</v>
      </c>
      <c r="C84" t="s">
        <v>16</v>
      </c>
      <c r="D84" s="1">
        <v>45626</v>
      </c>
      <c r="E84">
        <v>633.79999999999995</v>
      </c>
      <c r="F84">
        <v>31.94</v>
      </c>
      <c r="G84">
        <v>19.670000000000002</v>
      </c>
      <c r="H84">
        <v>70</v>
      </c>
      <c r="I84" t="s">
        <v>14</v>
      </c>
      <c r="J84">
        <v>2024</v>
      </c>
      <c r="K84">
        <f t="shared" si="2"/>
        <v>12.27</v>
      </c>
      <c r="L84" t="str">
        <f t="shared" si="3"/>
        <v>Banca Alpi|11|Conti</v>
      </c>
    </row>
    <row r="85" spans="1:12" x14ac:dyDescent="0.25">
      <c r="A85" t="s">
        <v>12</v>
      </c>
      <c r="B85">
        <v>11</v>
      </c>
      <c r="C85" t="s">
        <v>17</v>
      </c>
      <c r="D85" s="1">
        <v>45626</v>
      </c>
      <c r="E85">
        <v>710.2</v>
      </c>
      <c r="F85">
        <v>36.35</v>
      </c>
      <c r="G85">
        <v>22.89</v>
      </c>
      <c r="H85">
        <v>82</v>
      </c>
      <c r="I85" t="s">
        <v>14</v>
      </c>
      <c r="J85">
        <v>2024</v>
      </c>
      <c r="K85">
        <f t="shared" si="2"/>
        <v>13.46</v>
      </c>
      <c r="L85" t="str">
        <f t="shared" si="3"/>
        <v>Banca Alpi|11|Carte</v>
      </c>
    </row>
    <row r="86" spans="1:12" x14ac:dyDescent="0.25">
      <c r="A86" t="s">
        <v>12</v>
      </c>
      <c r="B86">
        <v>11</v>
      </c>
      <c r="C86" t="s">
        <v>18</v>
      </c>
      <c r="D86" s="1">
        <v>45626</v>
      </c>
      <c r="E86">
        <v>885.3</v>
      </c>
      <c r="F86">
        <v>47.69</v>
      </c>
      <c r="G86">
        <v>28.47</v>
      </c>
      <c r="H86">
        <v>86</v>
      </c>
      <c r="I86" t="s">
        <v>14</v>
      </c>
      <c r="J86">
        <v>2024</v>
      </c>
      <c r="K86">
        <f t="shared" si="2"/>
        <v>19.22</v>
      </c>
      <c r="L86" t="str">
        <f t="shared" si="3"/>
        <v>Banca Alpi|11|Leasing</v>
      </c>
    </row>
    <row r="87" spans="1:12" x14ac:dyDescent="0.25">
      <c r="A87" t="s">
        <v>12</v>
      </c>
      <c r="B87">
        <v>11</v>
      </c>
      <c r="C87" t="s">
        <v>19</v>
      </c>
      <c r="D87" s="1">
        <v>45626</v>
      </c>
      <c r="E87">
        <v>1023.7</v>
      </c>
      <c r="F87">
        <v>56.45</v>
      </c>
      <c r="G87">
        <v>34.03</v>
      </c>
      <c r="H87">
        <v>126</v>
      </c>
      <c r="I87" t="s">
        <v>14</v>
      </c>
      <c r="J87">
        <v>2024</v>
      </c>
      <c r="K87">
        <f t="shared" si="2"/>
        <v>22.42</v>
      </c>
      <c r="L87" t="str">
        <f t="shared" si="3"/>
        <v>Banca Alpi|11|Factoring</v>
      </c>
    </row>
    <row r="88" spans="1:12" x14ac:dyDescent="0.25">
      <c r="A88" t="s">
        <v>12</v>
      </c>
      <c r="B88">
        <v>11</v>
      </c>
      <c r="C88" t="s">
        <v>20</v>
      </c>
      <c r="D88" s="1">
        <v>45626</v>
      </c>
      <c r="E88">
        <v>1104.9000000000001</v>
      </c>
      <c r="F88">
        <v>63.8</v>
      </c>
      <c r="G88">
        <v>37.659999999999997</v>
      </c>
      <c r="H88">
        <v>129</v>
      </c>
      <c r="I88" t="s">
        <v>14</v>
      </c>
      <c r="J88">
        <v>2024</v>
      </c>
      <c r="K88">
        <f t="shared" si="2"/>
        <v>26.14</v>
      </c>
      <c r="L88" t="str">
        <f t="shared" si="3"/>
        <v>Banca Alpi|11|Risparmio</v>
      </c>
    </row>
    <row r="89" spans="1:12" x14ac:dyDescent="0.25">
      <c r="A89" t="s">
        <v>12</v>
      </c>
      <c r="B89">
        <v>11</v>
      </c>
      <c r="C89" t="s">
        <v>21</v>
      </c>
      <c r="D89" s="1">
        <v>45626</v>
      </c>
      <c r="E89">
        <v>1242.4000000000001</v>
      </c>
      <c r="F89">
        <v>73.680000000000007</v>
      </c>
      <c r="G89">
        <v>43.62</v>
      </c>
      <c r="H89">
        <v>153</v>
      </c>
      <c r="I89" t="s">
        <v>14</v>
      </c>
      <c r="J89">
        <v>2024</v>
      </c>
      <c r="K89">
        <f t="shared" si="2"/>
        <v>30.060000000000009</v>
      </c>
      <c r="L89" t="str">
        <f t="shared" si="3"/>
        <v>Banca Alpi|11|Assicurazioni</v>
      </c>
    </row>
    <row r="90" spans="1:12" x14ac:dyDescent="0.25">
      <c r="A90" t="s">
        <v>12</v>
      </c>
      <c r="B90">
        <v>12</v>
      </c>
      <c r="C90" t="s">
        <v>13</v>
      </c>
      <c r="D90" s="1">
        <v>45657</v>
      </c>
      <c r="E90">
        <v>343.5</v>
      </c>
      <c r="F90">
        <v>16.32</v>
      </c>
      <c r="G90">
        <v>10.15</v>
      </c>
      <c r="H90">
        <v>47</v>
      </c>
      <c r="I90" t="s">
        <v>14</v>
      </c>
      <c r="J90">
        <v>2024</v>
      </c>
      <c r="K90">
        <f t="shared" si="2"/>
        <v>6.17</v>
      </c>
      <c r="L90" t="str">
        <f t="shared" si="3"/>
        <v>Banca Alpi|12|Mutui</v>
      </c>
    </row>
    <row r="91" spans="1:12" x14ac:dyDescent="0.25">
      <c r="A91" t="s">
        <v>12</v>
      </c>
      <c r="B91">
        <v>12</v>
      </c>
      <c r="C91" t="s">
        <v>15</v>
      </c>
      <c r="D91" s="1">
        <v>45657</v>
      </c>
      <c r="E91">
        <v>510.2</v>
      </c>
      <c r="F91">
        <v>24.93</v>
      </c>
      <c r="G91">
        <v>15.7</v>
      </c>
      <c r="H91">
        <v>76</v>
      </c>
      <c r="I91" t="s">
        <v>14</v>
      </c>
      <c r="J91">
        <v>2024</v>
      </c>
      <c r="K91">
        <f t="shared" si="2"/>
        <v>9.23</v>
      </c>
      <c r="L91" t="str">
        <f t="shared" si="3"/>
        <v>Banca Alpi|12|Prestiti</v>
      </c>
    </row>
    <row r="92" spans="1:12" x14ac:dyDescent="0.25">
      <c r="A92" t="s">
        <v>12</v>
      </c>
      <c r="B92">
        <v>12</v>
      </c>
      <c r="C92" t="s">
        <v>16</v>
      </c>
      <c r="D92" s="1">
        <v>45657</v>
      </c>
      <c r="E92">
        <v>621.1</v>
      </c>
      <c r="F92">
        <v>30.88</v>
      </c>
      <c r="G92">
        <v>19.46</v>
      </c>
      <c r="H92">
        <v>70</v>
      </c>
      <c r="I92" t="s">
        <v>14</v>
      </c>
      <c r="J92">
        <v>2024</v>
      </c>
      <c r="K92">
        <f t="shared" si="2"/>
        <v>11.419999999999998</v>
      </c>
      <c r="L92" t="str">
        <f t="shared" si="3"/>
        <v>Banca Alpi|12|Conti</v>
      </c>
    </row>
    <row r="93" spans="1:12" x14ac:dyDescent="0.25">
      <c r="A93" t="s">
        <v>12</v>
      </c>
      <c r="B93">
        <v>12</v>
      </c>
      <c r="C93" t="s">
        <v>17</v>
      </c>
      <c r="D93" s="1">
        <v>45657</v>
      </c>
      <c r="E93">
        <v>730</v>
      </c>
      <c r="F93">
        <v>37.880000000000003</v>
      </c>
      <c r="G93">
        <v>22.64</v>
      </c>
      <c r="H93">
        <v>70</v>
      </c>
      <c r="I93" t="s">
        <v>14</v>
      </c>
      <c r="J93">
        <v>2024</v>
      </c>
      <c r="K93">
        <f t="shared" si="2"/>
        <v>15.240000000000002</v>
      </c>
      <c r="L93" t="str">
        <f t="shared" si="3"/>
        <v>Banca Alpi|12|Carte</v>
      </c>
    </row>
    <row r="94" spans="1:12" x14ac:dyDescent="0.25">
      <c r="A94" t="s">
        <v>12</v>
      </c>
      <c r="B94">
        <v>12</v>
      </c>
      <c r="C94" t="s">
        <v>18</v>
      </c>
      <c r="D94" s="1">
        <v>45657</v>
      </c>
      <c r="E94">
        <v>883.1</v>
      </c>
      <c r="F94">
        <v>47.5</v>
      </c>
      <c r="G94">
        <v>28.73</v>
      </c>
      <c r="H94">
        <v>115</v>
      </c>
      <c r="I94" t="s">
        <v>14</v>
      </c>
      <c r="J94">
        <v>2024</v>
      </c>
      <c r="K94">
        <f t="shared" si="2"/>
        <v>18.77</v>
      </c>
      <c r="L94" t="str">
        <f t="shared" si="3"/>
        <v>Banca Alpi|12|Leasing</v>
      </c>
    </row>
    <row r="95" spans="1:12" x14ac:dyDescent="0.25">
      <c r="A95" t="s">
        <v>12</v>
      </c>
      <c r="B95">
        <v>12</v>
      </c>
      <c r="C95" t="s">
        <v>19</v>
      </c>
      <c r="D95" s="1">
        <v>45657</v>
      </c>
      <c r="E95">
        <v>1012</v>
      </c>
      <c r="F95">
        <v>56.45</v>
      </c>
      <c r="G95">
        <v>33.42</v>
      </c>
      <c r="H95">
        <v>99</v>
      </c>
      <c r="I95" t="s">
        <v>14</v>
      </c>
      <c r="J95">
        <v>2024</v>
      </c>
      <c r="K95">
        <f t="shared" si="2"/>
        <v>23.03</v>
      </c>
      <c r="L95" t="str">
        <f t="shared" si="3"/>
        <v>Banca Alpi|12|Factoring</v>
      </c>
    </row>
    <row r="96" spans="1:12" x14ac:dyDescent="0.25">
      <c r="A96" t="s">
        <v>12</v>
      </c>
      <c r="B96">
        <v>12</v>
      </c>
      <c r="C96" t="s">
        <v>20</v>
      </c>
      <c r="D96" s="1">
        <v>45657</v>
      </c>
      <c r="E96">
        <v>1151.8</v>
      </c>
      <c r="F96">
        <v>66.650000000000006</v>
      </c>
      <c r="G96">
        <v>40.11</v>
      </c>
      <c r="H96">
        <v>143</v>
      </c>
      <c r="I96" t="s">
        <v>14</v>
      </c>
      <c r="J96">
        <v>2024</v>
      </c>
      <c r="K96">
        <f t="shared" si="2"/>
        <v>26.540000000000006</v>
      </c>
      <c r="L96" t="str">
        <f t="shared" si="3"/>
        <v>Banca Alpi|12|Risparmio</v>
      </c>
    </row>
    <row r="97" spans="1:12" x14ac:dyDescent="0.25">
      <c r="A97" t="s">
        <v>12</v>
      </c>
      <c r="B97">
        <v>12</v>
      </c>
      <c r="C97" t="s">
        <v>21</v>
      </c>
      <c r="D97" s="1">
        <v>45657</v>
      </c>
      <c r="E97">
        <v>1299.4000000000001</v>
      </c>
      <c r="F97">
        <v>76.900000000000006</v>
      </c>
      <c r="G97">
        <v>46.23</v>
      </c>
      <c r="H97">
        <v>124</v>
      </c>
      <c r="I97" t="s">
        <v>14</v>
      </c>
      <c r="J97">
        <v>2024</v>
      </c>
      <c r="K97">
        <f t="shared" si="2"/>
        <v>30.670000000000009</v>
      </c>
      <c r="L97" t="str">
        <f t="shared" si="3"/>
        <v>Banca Alpi|12|Assicurazioni</v>
      </c>
    </row>
    <row r="98" spans="1:12" x14ac:dyDescent="0.25">
      <c r="A98" t="s">
        <v>12</v>
      </c>
      <c r="B98">
        <v>13</v>
      </c>
      <c r="C98" t="s">
        <v>13</v>
      </c>
      <c r="D98" s="1">
        <v>45688</v>
      </c>
      <c r="E98">
        <v>377.1</v>
      </c>
      <c r="F98">
        <v>17.21</v>
      </c>
      <c r="G98">
        <v>11</v>
      </c>
      <c r="H98">
        <v>40</v>
      </c>
      <c r="I98" t="s">
        <v>14</v>
      </c>
      <c r="J98">
        <v>2025</v>
      </c>
      <c r="K98">
        <f t="shared" si="2"/>
        <v>6.2100000000000009</v>
      </c>
      <c r="L98" t="str">
        <f t="shared" si="3"/>
        <v>Banca Alpi|13|Mutui</v>
      </c>
    </row>
    <row r="99" spans="1:12" x14ac:dyDescent="0.25">
      <c r="A99" t="s">
        <v>12</v>
      </c>
      <c r="B99">
        <v>13</v>
      </c>
      <c r="C99" t="s">
        <v>15</v>
      </c>
      <c r="D99" s="1">
        <v>45688</v>
      </c>
      <c r="E99">
        <v>501.7</v>
      </c>
      <c r="F99">
        <v>24.57</v>
      </c>
      <c r="G99">
        <v>15.29</v>
      </c>
      <c r="H99">
        <v>59</v>
      </c>
      <c r="I99" t="s">
        <v>14</v>
      </c>
      <c r="J99">
        <v>2025</v>
      </c>
      <c r="K99">
        <f t="shared" si="2"/>
        <v>9.2800000000000011</v>
      </c>
      <c r="L99" t="str">
        <f t="shared" si="3"/>
        <v>Banca Alpi|13|Prestiti</v>
      </c>
    </row>
    <row r="100" spans="1:12" x14ac:dyDescent="0.25">
      <c r="A100" t="s">
        <v>12</v>
      </c>
      <c r="B100">
        <v>13</v>
      </c>
      <c r="C100" t="s">
        <v>16</v>
      </c>
      <c r="D100" s="1">
        <v>45688</v>
      </c>
      <c r="E100">
        <v>615.9</v>
      </c>
      <c r="F100">
        <v>30.54</v>
      </c>
      <c r="G100">
        <v>18.55</v>
      </c>
      <c r="H100">
        <v>68</v>
      </c>
      <c r="I100" t="s">
        <v>14</v>
      </c>
      <c r="J100">
        <v>2025</v>
      </c>
      <c r="K100">
        <f t="shared" si="2"/>
        <v>11.989999999999998</v>
      </c>
      <c r="L100" t="str">
        <f t="shared" si="3"/>
        <v>Banca Alpi|13|Conti</v>
      </c>
    </row>
    <row r="101" spans="1:12" x14ac:dyDescent="0.25">
      <c r="A101" t="s">
        <v>12</v>
      </c>
      <c r="B101">
        <v>13</v>
      </c>
      <c r="C101" t="s">
        <v>17</v>
      </c>
      <c r="D101" s="1">
        <v>45688</v>
      </c>
      <c r="E101">
        <v>723.8</v>
      </c>
      <c r="F101">
        <v>37.299999999999997</v>
      </c>
      <c r="G101">
        <v>23.07</v>
      </c>
      <c r="H101">
        <v>101</v>
      </c>
      <c r="I101" t="s">
        <v>14</v>
      </c>
      <c r="J101">
        <v>2025</v>
      </c>
      <c r="K101">
        <f t="shared" si="2"/>
        <v>14.229999999999997</v>
      </c>
      <c r="L101" t="str">
        <f t="shared" si="3"/>
        <v>Banca Alpi|13|Carte</v>
      </c>
    </row>
    <row r="102" spans="1:12" x14ac:dyDescent="0.25">
      <c r="A102" t="s">
        <v>12</v>
      </c>
      <c r="B102">
        <v>13</v>
      </c>
      <c r="C102" t="s">
        <v>18</v>
      </c>
      <c r="D102" s="1">
        <v>45688</v>
      </c>
      <c r="E102">
        <v>867.4</v>
      </c>
      <c r="F102">
        <v>46.89</v>
      </c>
      <c r="G102">
        <v>28.49</v>
      </c>
      <c r="H102">
        <v>84</v>
      </c>
      <c r="I102" t="s">
        <v>14</v>
      </c>
      <c r="J102">
        <v>2025</v>
      </c>
      <c r="K102">
        <f t="shared" si="2"/>
        <v>18.400000000000002</v>
      </c>
      <c r="L102" t="str">
        <f t="shared" si="3"/>
        <v>Banca Alpi|13|Leasing</v>
      </c>
    </row>
    <row r="103" spans="1:12" x14ac:dyDescent="0.25">
      <c r="A103" t="s">
        <v>12</v>
      </c>
      <c r="B103">
        <v>13</v>
      </c>
      <c r="C103" t="s">
        <v>19</v>
      </c>
      <c r="D103" s="1">
        <v>45688</v>
      </c>
      <c r="E103">
        <v>1027</v>
      </c>
      <c r="F103">
        <v>56.98</v>
      </c>
      <c r="G103">
        <v>34.72</v>
      </c>
      <c r="H103">
        <v>107</v>
      </c>
      <c r="I103" t="s">
        <v>14</v>
      </c>
      <c r="J103">
        <v>2025</v>
      </c>
      <c r="K103">
        <f t="shared" si="2"/>
        <v>22.259999999999998</v>
      </c>
      <c r="L103" t="str">
        <f t="shared" si="3"/>
        <v>Banca Alpi|13|Factoring</v>
      </c>
    </row>
    <row r="104" spans="1:12" x14ac:dyDescent="0.25">
      <c r="A104" t="s">
        <v>12</v>
      </c>
      <c r="B104">
        <v>13</v>
      </c>
      <c r="C104" t="s">
        <v>20</v>
      </c>
      <c r="D104" s="1">
        <v>45688</v>
      </c>
      <c r="E104">
        <v>1129.5999999999999</v>
      </c>
      <c r="F104">
        <v>65.290000000000006</v>
      </c>
      <c r="G104">
        <v>39.21</v>
      </c>
      <c r="H104">
        <v>110</v>
      </c>
      <c r="I104" t="s">
        <v>14</v>
      </c>
      <c r="J104">
        <v>2025</v>
      </c>
      <c r="K104">
        <f t="shared" si="2"/>
        <v>26.080000000000005</v>
      </c>
      <c r="L104" t="str">
        <f t="shared" si="3"/>
        <v>Banca Alpi|13|Risparmio</v>
      </c>
    </row>
    <row r="105" spans="1:12" x14ac:dyDescent="0.25">
      <c r="A105" t="s">
        <v>12</v>
      </c>
      <c r="B105">
        <v>13</v>
      </c>
      <c r="C105" t="s">
        <v>21</v>
      </c>
      <c r="D105" s="1">
        <v>45688</v>
      </c>
      <c r="E105">
        <v>1299.7</v>
      </c>
      <c r="F105">
        <v>76.94</v>
      </c>
      <c r="G105">
        <v>45.74</v>
      </c>
      <c r="H105">
        <v>121</v>
      </c>
      <c r="I105" t="s">
        <v>14</v>
      </c>
      <c r="J105">
        <v>2025</v>
      </c>
      <c r="K105">
        <f t="shared" si="2"/>
        <v>31.199999999999996</v>
      </c>
      <c r="L105" t="str">
        <f t="shared" si="3"/>
        <v>Banca Alpi|13|Assicurazioni</v>
      </c>
    </row>
    <row r="106" spans="1:12" x14ac:dyDescent="0.25">
      <c r="A106" t="s">
        <v>12</v>
      </c>
      <c r="B106">
        <v>14</v>
      </c>
      <c r="C106" t="s">
        <v>13</v>
      </c>
      <c r="D106" s="1">
        <v>45716</v>
      </c>
      <c r="E106">
        <v>364.6</v>
      </c>
      <c r="F106">
        <v>16.45</v>
      </c>
      <c r="G106">
        <v>10.84</v>
      </c>
      <c r="H106">
        <v>60</v>
      </c>
      <c r="I106" t="s">
        <v>14</v>
      </c>
      <c r="J106">
        <v>2025</v>
      </c>
      <c r="K106">
        <f t="shared" si="2"/>
        <v>5.6099999999999994</v>
      </c>
      <c r="L106" t="str">
        <f t="shared" si="3"/>
        <v>Banca Alpi|14|Mutui</v>
      </c>
    </row>
    <row r="107" spans="1:12" x14ac:dyDescent="0.25">
      <c r="A107" t="s">
        <v>12</v>
      </c>
      <c r="B107">
        <v>14</v>
      </c>
      <c r="C107" t="s">
        <v>15</v>
      </c>
      <c r="D107" s="1">
        <v>45716</v>
      </c>
      <c r="E107">
        <v>460.9</v>
      </c>
      <c r="F107">
        <v>22.59</v>
      </c>
      <c r="G107">
        <v>14</v>
      </c>
      <c r="H107">
        <v>81</v>
      </c>
      <c r="I107" t="s">
        <v>14</v>
      </c>
      <c r="J107">
        <v>2025</v>
      </c>
      <c r="K107">
        <f t="shared" si="2"/>
        <v>8.59</v>
      </c>
      <c r="L107" t="str">
        <f t="shared" si="3"/>
        <v>Banca Alpi|14|Prestiti</v>
      </c>
    </row>
    <row r="108" spans="1:12" x14ac:dyDescent="0.25">
      <c r="A108" t="s">
        <v>12</v>
      </c>
      <c r="B108">
        <v>14</v>
      </c>
      <c r="C108" t="s">
        <v>16</v>
      </c>
      <c r="D108" s="1">
        <v>45716</v>
      </c>
      <c r="E108">
        <v>646.4</v>
      </c>
      <c r="F108">
        <v>32.28</v>
      </c>
      <c r="G108">
        <v>20.3</v>
      </c>
      <c r="H108">
        <v>94</v>
      </c>
      <c r="I108" t="s">
        <v>14</v>
      </c>
      <c r="J108">
        <v>2025</v>
      </c>
      <c r="K108">
        <f t="shared" si="2"/>
        <v>11.98</v>
      </c>
      <c r="L108" t="str">
        <f t="shared" si="3"/>
        <v>Banca Alpi|14|Conti</v>
      </c>
    </row>
    <row r="109" spans="1:12" x14ac:dyDescent="0.25">
      <c r="A109" t="s">
        <v>12</v>
      </c>
      <c r="B109">
        <v>14</v>
      </c>
      <c r="C109" t="s">
        <v>17</v>
      </c>
      <c r="D109" s="1">
        <v>45716</v>
      </c>
      <c r="E109">
        <v>769</v>
      </c>
      <c r="F109">
        <v>39.729999999999997</v>
      </c>
      <c r="G109">
        <v>24.17</v>
      </c>
      <c r="H109">
        <v>89</v>
      </c>
      <c r="I109" t="s">
        <v>14</v>
      </c>
      <c r="J109">
        <v>2025</v>
      </c>
      <c r="K109">
        <f t="shared" si="2"/>
        <v>15.559999999999995</v>
      </c>
      <c r="L109" t="str">
        <f t="shared" si="3"/>
        <v>Banca Alpi|14|Carte</v>
      </c>
    </row>
    <row r="110" spans="1:12" x14ac:dyDescent="0.25">
      <c r="A110" t="s">
        <v>12</v>
      </c>
      <c r="B110">
        <v>14</v>
      </c>
      <c r="C110" t="s">
        <v>18</v>
      </c>
      <c r="D110" s="1">
        <v>45716</v>
      </c>
      <c r="E110">
        <v>888</v>
      </c>
      <c r="F110">
        <v>47.22</v>
      </c>
      <c r="G110">
        <v>28.77</v>
      </c>
      <c r="H110">
        <v>88</v>
      </c>
      <c r="I110" t="s">
        <v>14</v>
      </c>
      <c r="J110">
        <v>2025</v>
      </c>
      <c r="K110">
        <f t="shared" si="2"/>
        <v>18.45</v>
      </c>
      <c r="L110" t="str">
        <f t="shared" si="3"/>
        <v>Banca Alpi|14|Leasing</v>
      </c>
    </row>
    <row r="111" spans="1:12" x14ac:dyDescent="0.25">
      <c r="A111" t="s">
        <v>12</v>
      </c>
      <c r="B111">
        <v>14</v>
      </c>
      <c r="C111" t="s">
        <v>19</v>
      </c>
      <c r="D111" s="1">
        <v>45716</v>
      </c>
      <c r="E111">
        <v>1051.8</v>
      </c>
      <c r="F111">
        <v>58.41</v>
      </c>
      <c r="G111">
        <v>35.61</v>
      </c>
      <c r="H111">
        <v>111</v>
      </c>
      <c r="I111" t="s">
        <v>14</v>
      </c>
      <c r="J111">
        <v>2025</v>
      </c>
      <c r="K111">
        <f t="shared" si="2"/>
        <v>22.799999999999997</v>
      </c>
      <c r="L111" t="str">
        <f t="shared" si="3"/>
        <v>Banca Alpi|14|Factoring</v>
      </c>
    </row>
    <row r="112" spans="1:12" x14ac:dyDescent="0.25">
      <c r="A112" t="s">
        <v>12</v>
      </c>
      <c r="B112">
        <v>14</v>
      </c>
      <c r="C112" t="s">
        <v>20</v>
      </c>
      <c r="D112" s="1">
        <v>45716</v>
      </c>
      <c r="E112">
        <v>1186.3</v>
      </c>
      <c r="F112">
        <v>67.760000000000005</v>
      </c>
      <c r="G112">
        <v>40.83</v>
      </c>
      <c r="H112">
        <v>111</v>
      </c>
      <c r="I112" t="s">
        <v>14</v>
      </c>
      <c r="J112">
        <v>2025</v>
      </c>
      <c r="K112">
        <f t="shared" si="2"/>
        <v>26.930000000000007</v>
      </c>
      <c r="L112" t="str">
        <f t="shared" si="3"/>
        <v>Banca Alpi|14|Risparmio</v>
      </c>
    </row>
    <row r="113" spans="1:12" x14ac:dyDescent="0.25">
      <c r="A113" t="s">
        <v>12</v>
      </c>
      <c r="B113">
        <v>14</v>
      </c>
      <c r="C113" t="s">
        <v>21</v>
      </c>
      <c r="D113" s="1">
        <v>45716</v>
      </c>
      <c r="E113">
        <v>1292.0999999999999</v>
      </c>
      <c r="F113">
        <v>76.52</v>
      </c>
      <c r="G113">
        <v>45.24</v>
      </c>
      <c r="H113">
        <v>119</v>
      </c>
      <c r="I113" t="s">
        <v>14</v>
      </c>
      <c r="J113">
        <v>2025</v>
      </c>
      <c r="K113">
        <f t="shared" si="2"/>
        <v>31.279999999999994</v>
      </c>
      <c r="L113" t="str">
        <f t="shared" si="3"/>
        <v>Banca Alpi|14|Assicurazioni</v>
      </c>
    </row>
    <row r="114" spans="1:12" x14ac:dyDescent="0.25">
      <c r="A114" t="s">
        <v>12</v>
      </c>
      <c r="B114">
        <v>15</v>
      </c>
      <c r="C114" t="s">
        <v>13</v>
      </c>
      <c r="D114" s="1">
        <v>45747</v>
      </c>
      <c r="E114">
        <v>334.8</v>
      </c>
      <c r="F114">
        <v>15.93</v>
      </c>
      <c r="G114">
        <v>10.28</v>
      </c>
      <c r="H114">
        <v>51</v>
      </c>
      <c r="I114" t="s">
        <v>14</v>
      </c>
      <c r="J114">
        <v>2025</v>
      </c>
      <c r="K114">
        <f t="shared" si="2"/>
        <v>5.65</v>
      </c>
      <c r="L114" t="str">
        <f t="shared" si="3"/>
        <v>Banca Alpi|15|Mutui</v>
      </c>
    </row>
    <row r="115" spans="1:12" x14ac:dyDescent="0.25">
      <c r="A115" t="s">
        <v>12</v>
      </c>
      <c r="B115">
        <v>15</v>
      </c>
      <c r="C115" t="s">
        <v>15</v>
      </c>
      <c r="D115" s="1">
        <v>45747</v>
      </c>
      <c r="E115">
        <v>494.7</v>
      </c>
      <c r="F115">
        <v>24.25</v>
      </c>
      <c r="G115">
        <v>15.19</v>
      </c>
      <c r="H115">
        <v>62</v>
      </c>
      <c r="I115" t="s">
        <v>14</v>
      </c>
      <c r="J115">
        <v>2025</v>
      </c>
      <c r="K115">
        <f t="shared" si="2"/>
        <v>9.06</v>
      </c>
      <c r="L115" t="str">
        <f t="shared" si="3"/>
        <v>Banca Alpi|15|Prestiti</v>
      </c>
    </row>
    <row r="116" spans="1:12" x14ac:dyDescent="0.25">
      <c r="A116" t="s">
        <v>12</v>
      </c>
      <c r="B116">
        <v>15</v>
      </c>
      <c r="C116" t="s">
        <v>16</v>
      </c>
      <c r="D116" s="1">
        <v>45747</v>
      </c>
      <c r="E116">
        <v>654.79999999999995</v>
      </c>
      <c r="F116">
        <v>33.01</v>
      </c>
      <c r="G116">
        <v>20.36</v>
      </c>
      <c r="H116">
        <v>82</v>
      </c>
      <c r="I116" t="s">
        <v>14</v>
      </c>
      <c r="J116">
        <v>2025</v>
      </c>
      <c r="K116">
        <f t="shared" si="2"/>
        <v>12.649999999999999</v>
      </c>
      <c r="L116" t="str">
        <f t="shared" si="3"/>
        <v>Banca Alpi|15|Conti</v>
      </c>
    </row>
    <row r="117" spans="1:12" x14ac:dyDescent="0.25">
      <c r="A117" t="s">
        <v>12</v>
      </c>
      <c r="B117">
        <v>15</v>
      </c>
      <c r="C117" t="s">
        <v>17</v>
      </c>
      <c r="D117" s="1">
        <v>45747</v>
      </c>
      <c r="E117">
        <v>745.2</v>
      </c>
      <c r="F117">
        <v>38.69</v>
      </c>
      <c r="G117">
        <v>23.52</v>
      </c>
      <c r="H117">
        <v>97</v>
      </c>
      <c r="I117" t="s">
        <v>14</v>
      </c>
      <c r="J117">
        <v>2025</v>
      </c>
      <c r="K117">
        <f t="shared" si="2"/>
        <v>15.169999999999998</v>
      </c>
      <c r="L117" t="str">
        <f t="shared" si="3"/>
        <v>Banca Alpi|15|Carte</v>
      </c>
    </row>
    <row r="118" spans="1:12" x14ac:dyDescent="0.25">
      <c r="A118" t="s">
        <v>12</v>
      </c>
      <c r="B118">
        <v>15</v>
      </c>
      <c r="C118" t="s">
        <v>18</v>
      </c>
      <c r="D118" s="1">
        <v>45747</v>
      </c>
      <c r="E118">
        <v>881</v>
      </c>
      <c r="F118">
        <v>46.72</v>
      </c>
      <c r="G118">
        <v>28.33</v>
      </c>
      <c r="H118">
        <v>117</v>
      </c>
      <c r="I118" t="s">
        <v>14</v>
      </c>
      <c r="J118">
        <v>2025</v>
      </c>
      <c r="K118">
        <f t="shared" si="2"/>
        <v>18.39</v>
      </c>
      <c r="L118" t="str">
        <f t="shared" si="3"/>
        <v>Banca Alpi|15|Leasing</v>
      </c>
    </row>
    <row r="119" spans="1:12" x14ac:dyDescent="0.25">
      <c r="A119" t="s">
        <v>12</v>
      </c>
      <c r="B119">
        <v>15</v>
      </c>
      <c r="C119" t="s">
        <v>19</v>
      </c>
      <c r="D119" s="1">
        <v>45747</v>
      </c>
      <c r="E119">
        <v>1004.9</v>
      </c>
      <c r="F119">
        <v>55.38</v>
      </c>
      <c r="G119">
        <v>33.869999999999997</v>
      </c>
      <c r="H119">
        <v>108</v>
      </c>
      <c r="I119" t="s">
        <v>14</v>
      </c>
      <c r="J119">
        <v>2025</v>
      </c>
      <c r="K119">
        <f t="shared" si="2"/>
        <v>21.510000000000005</v>
      </c>
      <c r="L119" t="str">
        <f t="shared" si="3"/>
        <v>Banca Alpi|15|Factoring</v>
      </c>
    </row>
    <row r="120" spans="1:12" x14ac:dyDescent="0.25">
      <c r="A120" t="s">
        <v>12</v>
      </c>
      <c r="B120">
        <v>15</v>
      </c>
      <c r="C120" t="s">
        <v>20</v>
      </c>
      <c r="D120" s="1">
        <v>45747</v>
      </c>
      <c r="E120">
        <v>1168.4000000000001</v>
      </c>
      <c r="F120">
        <v>67.09</v>
      </c>
      <c r="G120">
        <v>39.96</v>
      </c>
      <c r="H120">
        <v>120</v>
      </c>
      <c r="I120" t="s">
        <v>14</v>
      </c>
      <c r="J120">
        <v>2025</v>
      </c>
      <c r="K120">
        <f t="shared" si="2"/>
        <v>27.130000000000003</v>
      </c>
      <c r="L120" t="str">
        <f t="shared" si="3"/>
        <v>Banca Alpi|15|Risparmio</v>
      </c>
    </row>
    <row r="121" spans="1:12" x14ac:dyDescent="0.25">
      <c r="A121" t="s">
        <v>12</v>
      </c>
      <c r="B121">
        <v>15</v>
      </c>
      <c r="C121" t="s">
        <v>21</v>
      </c>
      <c r="D121" s="1">
        <v>45747</v>
      </c>
      <c r="E121">
        <v>1275.8</v>
      </c>
      <c r="F121">
        <v>75.52</v>
      </c>
      <c r="G121">
        <v>45.52</v>
      </c>
      <c r="H121">
        <v>143</v>
      </c>
      <c r="I121" t="s">
        <v>14</v>
      </c>
      <c r="J121">
        <v>2025</v>
      </c>
      <c r="K121">
        <f t="shared" si="2"/>
        <v>29.999999999999993</v>
      </c>
      <c r="L121" t="str">
        <f t="shared" si="3"/>
        <v>Banca Alpi|15|Assicurazioni</v>
      </c>
    </row>
    <row r="122" spans="1:12" x14ac:dyDescent="0.25">
      <c r="A122" t="s">
        <v>12</v>
      </c>
      <c r="B122">
        <v>16</v>
      </c>
      <c r="C122" t="s">
        <v>13</v>
      </c>
      <c r="D122" s="1">
        <v>45777</v>
      </c>
      <c r="E122">
        <v>337.7</v>
      </c>
      <c r="F122">
        <v>15.91</v>
      </c>
      <c r="G122">
        <v>9.9</v>
      </c>
      <c r="H122">
        <v>53</v>
      </c>
      <c r="I122" t="s">
        <v>14</v>
      </c>
      <c r="J122">
        <v>2025</v>
      </c>
      <c r="K122">
        <f t="shared" si="2"/>
        <v>6.01</v>
      </c>
      <c r="L122" t="str">
        <f t="shared" si="3"/>
        <v>Banca Alpi|16|Mutui</v>
      </c>
    </row>
    <row r="123" spans="1:12" x14ac:dyDescent="0.25">
      <c r="A123" t="s">
        <v>12</v>
      </c>
      <c r="B123">
        <v>16</v>
      </c>
      <c r="C123" t="s">
        <v>15</v>
      </c>
      <c r="D123" s="1">
        <v>45777</v>
      </c>
      <c r="E123">
        <v>493.2</v>
      </c>
      <c r="F123">
        <v>23.61</v>
      </c>
      <c r="G123">
        <v>15.13</v>
      </c>
      <c r="H123">
        <v>82</v>
      </c>
      <c r="I123" t="s">
        <v>14</v>
      </c>
      <c r="J123">
        <v>2025</v>
      </c>
      <c r="K123">
        <f t="shared" si="2"/>
        <v>8.4799999999999986</v>
      </c>
      <c r="L123" t="str">
        <f t="shared" si="3"/>
        <v>Banca Alpi|16|Prestiti</v>
      </c>
    </row>
    <row r="124" spans="1:12" x14ac:dyDescent="0.25">
      <c r="A124" t="s">
        <v>12</v>
      </c>
      <c r="B124">
        <v>16</v>
      </c>
      <c r="C124" t="s">
        <v>16</v>
      </c>
      <c r="D124" s="1">
        <v>45777</v>
      </c>
      <c r="E124">
        <v>660.1</v>
      </c>
      <c r="F124">
        <v>33.21</v>
      </c>
      <c r="G124">
        <v>20.09</v>
      </c>
      <c r="H124">
        <v>89</v>
      </c>
      <c r="I124" t="s">
        <v>14</v>
      </c>
      <c r="J124">
        <v>2025</v>
      </c>
      <c r="K124">
        <f t="shared" si="2"/>
        <v>13.120000000000001</v>
      </c>
      <c r="L124" t="str">
        <f t="shared" si="3"/>
        <v>Banca Alpi|16|Conti</v>
      </c>
    </row>
    <row r="125" spans="1:12" x14ac:dyDescent="0.25">
      <c r="A125" t="s">
        <v>12</v>
      </c>
      <c r="B125">
        <v>16</v>
      </c>
      <c r="C125" t="s">
        <v>17</v>
      </c>
      <c r="D125" s="1">
        <v>45777</v>
      </c>
      <c r="E125">
        <v>742.4</v>
      </c>
      <c r="F125">
        <v>38.590000000000003</v>
      </c>
      <c r="G125">
        <v>23.98</v>
      </c>
      <c r="H125">
        <v>84</v>
      </c>
      <c r="I125" t="s">
        <v>14</v>
      </c>
      <c r="J125">
        <v>2025</v>
      </c>
      <c r="K125">
        <f t="shared" si="2"/>
        <v>14.610000000000003</v>
      </c>
      <c r="L125" t="str">
        <f t="shared" si="3"/>
        <v>Banca Alpi|16|Carte</v>
      </c>
    </row>
    <row r="126" spans="1:12" x14ac:dyDescent="0.25">
      <c r="A126" t="s">
        <v>12</v>
      </c>
      <c r="B126">
        <v>16</v>
      </c>
      <c r="C126" t="s">
        <v>18</v>
      </c>
      <c r="D126" s="1">
        <v>45777</v>
      </c>
      <c r="E126">
        <v>873.2</v>
      </c>
      <c r="F126">
        <v>46.57</v>
      </c>
      <c r="G126">
        <v>28.36</v>
      </c>
      <c r="H126">
        <v>116</v>
      </c>
      <c r="I126" t="s">
        <v>14</v>
      </c>
      <c r="J126">
        <v>2025</v>
      </c>
      <c r="K126">
        <f t="shared" si="2"/>
        <v>18.21</v>
      </c>
      <c r="L126" t="str">
        <f t="shared" si="3"/>
        <v>Banca Alpi|16|Leasing</v>
      </c>
    </row>
    <row r="127" spans="1:12" x14ac:dyDescent="0.25">
      <c r="A127" t="s">
        <v>12</v>
      </c>
      <c r="B127">
        <v>16</v>
      </c>
      <c r="C127" t="s">
        <v>19</v>
      </c>
      <c r="D127" s="1">
        <v>45777</v>
      </c>
      <c r="E127">
        <v>1030.8</v>
      </c>
      <c r="F127">
        <v>57.39</v>
      </c>
      <c r="G127">
        <v>34.31</v>
      </c>
      <c r="H127">
        <v>114</v>
      </c>
      <c r="I127" t="s">
        <v>14</v>
      </c>
      <c r="J127">
        <v>2025</v>
      </c>
      <c r="K127">
        <f t="shared" si="2"/>
        <v>23.08</v>
      </c>
      <c r="L127" t="str">
        <f t="shared" si="3"/>
        <v>Banca Alpi|16|Factoring</v>
      </c>
    </row>
    <row r="128" spans="1:12" x14ac:dyDescent="0.25">
      <c r="A128" t="s">
        <v>12</v>
      </c>
      <c r="B128">
        <v>16</v>
      </c>
      <c r="C128" t="s">
        <v>20</v>
      </c>
      <c r="D128" s="1">
        <v>45777</v>
      </c>
      <c r="E128">
        <v>1183.4000000000001</v>
      </c>
      <c r="F128">
        <v>68.28</v>
      </c>
      <c r="G128">
        <v>40.97</v>
      </c>
      <c r="H128">
        <v>129</v>
      </c>
      <c r="I128" t="s">
        <v>14</v>
      </c>
      <c r="J128">
        <v>2025</v>
      </c>
      <c r="K128">
        <f t="shared" si="2"/>
        <v>27.310000000000002</v>
      </c>
      <c r="L128" t="str">
        <f t="shared" si="3"/>
        <v>Banca Alpi|16|Risparmio</v>
      </c>
    </row>
    <row r="129" spans="1:12" x14ac:dyDescent="0.25">
      <c r="A129" t="s">
        <v>12</v>
      </c>
      <c r="B129">
        <v>16</v>
      </c>
      <c r="C129" t="s">
        <v>21</v>
      </c>
      <c r="D129" s="1">
        <v>45777</v>
      </c>
      <c r="E129">
        <v>1307.8</v>
      </c>
      <c r="F129">
        <v>77.75</v>
      </c>
      <c r="G129">
        <v>46.37</v>
      </c>
      <c r="H129">
        <v>135</v>
      </c>
      <c r="I129" t="s">
        <v>14</v>
      </c>
      <c r="J129">
        <v>2025</v>
      </c>
      <c r="K129">
        <f t="shared" si="2"/>
        <v>31.380000000000003</v>
      </c>
      <c r="L129" t="str">
        <f t="shared" si="3"/>
        <v>Banca Alpi|16|Assicurazioni</v>
      </c>
    </row>
    <row r="130" spans="1:12" x14ac:dyDescent="0.25">
      <c r="A130" t="s">
        <v>12</v>
      </c>
      <c r="B130">
        <v>17</v>
      </c>
      <c r="C130" t="s">
        <v>13</v>
      </c>
      <c r="D130" s="1">
        <v>45808</v>
      </c>
      <c r="E130">
        <v>343.6</v>
      </c>
      <c r="F130">
        <v>15.74</v>
      </c>
      <c r="G130">
        <v>10.36</v>
      </c>
      <c r="H130">
        <v>49</v>
      </c>
      <c r="I130" t="s">
        <v>14</v>
      </c>
      <c r="J130">
        <v>2025</v>
      </c>
      <c r="K130">
        <f t="shared" ref="K130:K193" si="4">F130-G130</f>
        <v>5.3800000000000008</v>
      </c>
      <c r="L130" t="str">
        <f t="shared" ref="L130:L193" si="5">A130&amp;"|"&amp;B130&amp;"|"&amp;C130</f>
        <v>Banca Alpi|17|Mutui</v>
      </c>
    </row>
    <row r="131" spans="1:12" x14ac:dyDescent="0.25">
      <c r="A131" t="s">
        <v>12</v>
      </c>
      <c r="B131">
        <v>17</v>
      </c>
      <c r="C131" t="s">
        <v>15</v>
      </c>
      <c r="D131" s="1">
        <v>45808</v>
      </c>
      <c r="E131">
        <v>475.6</v>
      </c>
      <c r="F131">
        <v>22.57</v>
      </c>
      <c r="G131">
        <v>14.2</v>
      </c>
      <c r="H131">
        <v>57</v>
      </c>
      <c r="I131" t="s">
        <v>14</v>
      </c>
      <c r="J131">
        <v>2025</v>
      </c>
      <c r="K131">
        <f t="shared" si="4"/>
        <v>8.370000000000001</v>
      </c>
      <c r="L131" t="str">
        <f t="shared" si="5"/>
        <v>Banca Alpi|17|Prestiti</v>
      </c>
    </row>
    <row r="132" spans="1:12" x14ac:dyDescent="0.25">
      <c r="A132" t="s">
        <v>12</v>
      </c>
      <c r="B132">
        <v>17</v>
      </c>
      <c r="C132" t="s">
        <v>16</v>
      </c>
      <c r="D132" s="1">
        <v>45808</v>
      </c>
      <c r="E132">
        <v>653</v>
      </c>
      <c r="F132">
        <v>32.29</v>
      </c>
      <c r="G132">
        <v>20.03</v>
      </c>
      <c r="H132">
        <v>83</v>
      </c>
      <c r="I132" t="s">
        <v>14</v>
      </c>
      <c r="J132">
        <v>2025</v>
      </c>
      <c r="K132">
        <f t="shared" si="4"/>
        <v>12.259999999999998</v>
      </c>
      <c r="L132" t="str">
        <f t="shared" si="5"/>
        <v>Banca Alpi|17|Conti</v>
      </c>
    </row>
    <row r="133" spans="1:12" x14ac:dyDescent="0.25">
      <c r="A133" t="s">
        <v>12</v>
      </c>
      <c r="B133">
        <v>17</v>
      </c>
      <c r="C133" t="s">
        <v>17</v>
      </c>
      <c r="D133" s="1">
        <v>45808</v>
      </c>
      <c r="E133">
        <v>763</v>
      </c>
      <c r="F133">
        <v>39.200000000000003</v>
      </c>
      <c r="G133">
        <v>24.19</v>
      </c>
      <c r="H133">
        <v>74</v>
      </c>
      <c r="I133" t="s">
        <v>14</v>
      </c>
      <c r="J133">
        <v>2025</v>
      </c>
      <c r="K133">
        <f t="shared" si="4"/>
        <v>15.010000000000002</v>
      </c>
      <c r="L133" t="str">
        <f t="shared" si="5"/>
        <v>Banca Alpi|17|Carte</v>
      </c>
    </row>
    <row r="134" spans="1:12" x14ac:dyDescent="0.25">
      <c r="A134" t="s">
        <v>12</v>
      </c>
      <c r="B134">
        <v>17</v>
      </c>
      <c r="C134" t="s">
        <v>18</v>
      </c>
      <c r="D134" s="1">
        <v>45808</v>
      </c>
      <c r="E134">
        <v>901</v>
      </c>
      <c r="F134">
        <v>47.89</v>
      </c>
      <c r="G134">
        <v>29.11</v>
      </c>
      <c r="H134">
        <v>91</v>
      </c>
      <c r="I134" t="s">
        <v>14</v>
      </c>
      <c r="J134">
        <v>2025</v>
      </c>
      <c r="K134">
        <f t="shared" si="4"/>
        <v>18.78</v>
      </c>
      <c r="L134" t="str">
        <f t="shared" si="5"/>
        <v>Banca Alpi|17|Leasing</v>
      </c>
    </row>
    <row r="135" spans="1:12" x14ac:dyDescent="0.25">
      <c r="A135" t="s">
        <v>12</v>
      </c>
      <c r="B135">
        <v>17</v>
      </c>
      <c r="C135" t="s">
        <v>19</v>
      </c>
      <c r="D135" s="1">
        <v>45808</v>
      </c>
      <c r="E135">
        <v>1055.8</v>
      </c>
      <c r="F135">
        <v>58.19</v>
      </c>
      <c r="G135">
        <v>35.49</v>
      </c>
      <c r="H135">
        <v>105</v>
      </c>
      <c r="I135" t="s">
        <v>14</v>
      </c>
      <c r="J135">
        <v>2025</v>
      </c>
      <c r="K135">
        <f t="shared" si="4"/>
        <v>22.699999999999996</v>
      </c>
      <c r="L135" t="str">
        <f t="shared" si="5"/>
        <v>Banca Alpi|17|Factoring</v>
      </c>
    </row>
    <row r="136" spans="1:12" x14ac:dyDescent="0.25">
      <c r="A136" t="s">
        <v>12</v>
      </c>
      <c r="B136">
        <v>17</v>
      </c>
      <c r="C136" t="s">
        <v>20</v>
      </c>
      <c r="D136" s="1">
        <v>45808</v>
      </c>
      <c r="E136">
        <v>1198.2</v>
      </c>
      <c r="F136">
        <v>68.42</v>
      </c>
      <c r="G136">
        <v>41.21</v>
      </c>
      <c r="H136">
        <v>113</v>
      </c>
      <c r="I136" t="s">
        <v>14</v>
      </c>
      <c r="J136">
        <v>2025</v>
      </c>
      <c r="K136">
        <f t="shared" si="4"/>
        <v>27.21</v>
      </c>
      <c r="L136" t="str">
        <f t="shared" si="5"/>
        <v>Banca Alpi|17|Risparmio</v>
      </c>
    </row>
    <row r="137" spans="1:12" x14ac:dyDescent="0.25">
      <c r="A137" t="s">
        <v>12</v>
      </c>
      <c r="B137">
        <v>17</v>
      </c>
      <c r="C137" t="s">
        <v>21</v>
      </c>
      <c r="D137" s="1">
        <v>45808</v>
      </c>
      <c r="E137">
        <v>1342.2</v>
      </c>
      <c r="F137">
        <v>79.739999999999995</v>
      </c>
      <c r="G137">
        <v>47.96</v>
      </c>
      <c r="H137">
        <v>148</v>
      </c>
      <c r="I137" t="s">
        <v>14</v>
      </c>
      <c r="J137">
        <v>2025</v>
      </c>
      <c r="K137">
        <f t="shared" si="4"/>
        <v>31.779999999999994</v>
      </c>
      <c r="L137" t="str">
        <f t="shared" si="5"/>
        <v>Banca Alpi|17|Assicurazioni</v>
      </c>
    </row>
    <row r="138" spans="1:12" x14ac:dyDescent="0.25">
      <c r="A138" t="s">
        <v>12</v>
      </c>
      <c r="B138">
        <v>18</v>
      </c>
      <c r="C138" t="s">
        <v>13</v>
      </c>
      <c r="D138" s="1">
        <v>45838</v>
      </c>
      <c r="E138">
        <v>376.9</v>
      </c>
      <c r="F138">
        <v>17.25</v>
      </c>
      <c r="G138">
        <v>11.5</v>
      </c>
      <c r="H138">
        <v>63</v>
      </c>
      <c r="I138" t="s">
        <v>14</v>
      </c>
      <c r="J138">
        <v>2025</v>
      </c>
      <c r="K138">
        <f t="shared" si="4"/>
        <v>5.75</v>
      </c>
      <c r="L138" t="str">
        <f t="shared" si="5"/>
        <v>Banca Alpi|18|Mutui</v>
      </c>
    </row>
    <row r="139" spans="1:12" x14ac:dyDescent="0.25">
      <c r="A139" t="s">
        <v>12</v>
      </c>
      <c r="B139">
        <v>18</v>
      </c>
      <c r="C139" t="s">
        <v>15</v>
      </c>
      <c r="D139" s="1">
        <v>45838</v>
      </c>
      <c r="E139">
        <v>524.4</v>
      </c>
      <c r="F139">
        <v>25.03</v>
      </c>
      <c r="G139">
        <v>15.26</v>
      </c>
      <c r="H139">
        <v>55</v>
      </c>
      <c r="I139" t="s">
        <v>14</v>
      </c>
      <c r="J139">
        <v>2025</v>
      </c>
      <c r="K139">
        <f t="shared" si="4"/>
        <v>9.7700000000000014</v>
      </c>
      <c r="L139" t="str">
        <f t="shared" si="5"/>
        <v>Banca Alpi|18|Prestiti</v>
      </c>
    </row>
    <row r="140" spans="1:12" x14ac:dyDescent="0.25">
      <c r="A140" t="s">
        <v>12</v>
      </c>
      <c r="B140">
        <v>18</v>
      </c>
      <c r="C140" t="s">
        <v>16</v>
      </c>
      <c r="D140" s="1">
        <v>45838</v>
      </c>
      <c r="E140">
        <v>610.70000000000005</v>
      </c>
      <c r="F140">
        <v>29.97</v>
      </c>
      <c r="G140">
        <v>18.77</v>
      </c>
      <c r="H140">
        <v>60</v>
      </c>
      <c r="I140" t="s">
        <v>14</v>
      </c>
      <c r="J140">
        <v>2025</v>
      </c>
      <c r="K140">
        <f t="shared" si="4"/>
        <v>11.2</v>
      </c>
      <c r="L140" t="str">
        <f t="shared" si="5"/>
        <v>Banca Alpi|18|Conti</v>
      </c>
    </row>
    <row r="141" spans="1:12" x14ac:dyDescent="0.25">
      <c r="A141" t="s">
        <v>12</v>
      </c>
      <c r="B141">
        <v>18</v>
      </c>
      <c r="C141" t="s">
        <v>17</v>
      </c>
      <c r="D141" s="1">
        <v>45838</v>
      </c>
      <c r="E141">
        <v>807.9</v>
      </c>
      <c r="F141">
        <v>41.21</v>
      </c>
      <c r="G141">
        <v>25.5</v>
      </c>
      <c r="H141">
        <v>98</v>
      </c>
      <c r="I141" t="s">
        <v>14</v>
      </c>
      <c r="J141">
        <v>2025</v>
      </c>
      <c r="K141">
        <f t="shared" si="4"/>
        <v>15.71</v>
      </c>
      <c r="L141" t="str">
        <f t="shared" si="5"/>
        <v>Banca Alpi|18|Carte</v>
      </c>
    </row>
    <row r="142" spans="1:12" x14ac:dyDescent="0.25">
      <c r="A142" t="s">
        <v>12</v>
      </c>
      <c r="B142">
        <v>18</v>
      </c>
      <c r="C142" t="s">
        <v>18</v>
      </c>
      <c r="D142" s="1">
        <v>45838</v>
      </c>
      <c r="E142">
        <v>912.8</v>
      </c>
      <c r="F142">
        <v>48.94</v>
      </c>
      <c r="G142">
        <v>29.28</v>
      </c>
      <c r="H142">
        <v>102</v>
      </c>
      <c r="I142" t="s">
        <v>14</v>
      </c>
      <c r="J142">
        <v>2025</v>
      </c>
      <c r="K142">
        <f t="shared" si="4"/>
        <v>19.659999999999997</v>
      </c>
      <c r="L142" t="str">
        <f t="shared" si="5"/>
        <v>Banca Alpi|18|Leasing</v>
      </c>
    </row>
    <row r="143" spans="1:12" x14ac:dyDescent="0.25">
      <c r="A143" t="s">
        <v>12</v>
      </c>
      <c r="B143">
        <v>18</v>
      </c>
      <c r="C143" t="s">
        <v>19</v>
      </c>
      <c r="D143" s="1">
        <v>45838</v>
      </c>
      <c r="E143">
        <v>1024.2</v>
      </c>
      <c r="F143">
        <v>57.15</v>
      </c>
      <c r="G143">
        <v>33.99</v>
      </c>
      <c r="H143">
        <v>123</v>
      </c>
      <c r="I143" t="s">
        <v>14</v>
      </c>
      <c r="J143">
        <v>2025</v>
      </c>
      <c r="K143">
        <f t="shared" si="4"/>
        <v>23.159999999999997</v>
      </c>
      <c r="L143" t="str">
        <f t="shared" si="5"/>
        <v>Banca Alpi|18|Factoring</v>
      </c>
    </row>
    <row r="144" spans="1:12" x14ac:dyDescent="0.25">
      <c r="A144" t="s">
        <v>12</v>
      </c>
      <c r="B144">
        <v>18</v>
      </c>
      <c r="C144" t="s">
        <v>20</v>
      </c>
      <c r="D144" s="1">
        <v>45838</v>
      </c>
      <c r="E144">
        <v>1211.7</v>
      </c>
      <c r="F144">
        <v>69.37</v>
      </c>
      <c r="G144">
        <v>41.93</v>
      </c>
      <c r="H144">
        <v>123</v>
      </c>
      <c r="I144" t="s">
        <v>14</v>
      </c>
      <c r="J144">
        <v>2025</v>
      </c>
      <c r="K144">
        <f t="shared" si="4"/>
        <v>27.440000000000005</v>
      </c>
      <c r="L144" t="str">
        <f t="shared" si="5"/>
        <v>Banca Alpi|18|Risparmio</v>
      </c>
    </row>
    <row r="145" spans="1:12" x14ac:dyDescent="0.25">
      <c r="A145" t="s">
        <v>12</v>
      </c>
      <c r="B145">
        <v>18</v>
      </c>
      <c r="C145" t="s">
        <v>21</v>
      </c>
      <c r="D145" s="1">
        <v>45838</v>
      </c>
      <c r="E145">
        <v>1329.9</v>
      </c>
      <c r="F145">
        <v>78.650000000000006</v>
      </c>
      <c r="G145">
        <v>47.04</v>
      </c>
      <c r="H145">
        <v>133</v>
      </c>
      <c r="I145" t="s">
        <v>14</v>
      </c>
      <c r="J145">
        <v>2025</v>
      </c>
      <c r="K145">
        <f t="shared" si="4"/>
        <v>31.610000000000007</v>
      </c>
      <c r="L145" t="str">
        <f t="shared" si="5"/>
        <v>Banca Alpi|18|Assicurazioni</v>
      </c>
    </row>
    <row r="146" spans="1:12" x14ac:dyDescent="0.25">
      <c r="A146" t="s">
        <v>12</v>
      </c>
      <c r="B146">
        <v>19</v>
      </c>
      <c r="C146" t="s">
        <v>13</v>
      </c>
      <c r="D146" s="1">
        <v>45869</v>
      </c>
      <c r="E146">
        <v>378.9</v>
      </c>
      <c r="F146">
        <v>17.12</v>
      </c>
      <c r="G146">
        <v>10.97</v>
      </c>
      <c r="H146">
        <v>45</v>
      </c>
      <c r="I146" t="s">
        <v>14</v>
      </c>
      <c r="J146">
        <v>2025</v>
      </c>
      <c r="K146">
        <f t="shared" si="4"/>
        <v>6.15</v>
      </c>
      <c r="L146" t="str">
        <f t="shared" si="5"/>
        <v>Banca Alpi|19|Mutui</v>
      </c>
    </row>
    <row r="147" spans="1:12" x14ac:dyDescent="0.25">
      <c r="A147" t="s">
        <v>12</v>
      </c>
      <c r="B147">
        <v>19</v>
      </c>
      <c r="C147" t="s">
        <v>15</v>
      </c>
      <c r="D147" s="1">
        <v>45869</v>
      </c>
      <c r="E147">
        <v>521.6</v>
      </c>
      <c r="F147">
        <v>25.19</v>
      </c>
      <c r="G147">
        <v>15.48</v>
      </c>
      <c r="H147">
        <v>54</v>
      </c>
      <c r="I147" t="s">
        <v>14</v>
      </c>
      <c r="J147">
        <v>2025</v>
      </c>
      <c r="K147">
        <f t="shared" si="4"/>
        <v>9.7100000000000009</v>
      </c>
      <c r="L147" t="str">
        <f t="shared" si="5"/>
        <v>Banca Alpi|19|Prestiti</v>
      </c>
    </row>
    <row r="148" spans="1:12" x14ac:dyDescent="0.25">
      <c r="A148" t="s">
        <v>12</v>
      </c>
      <c r="B148">
        <v>19</v>
      </c>
      <c r="C148" t="s">
        <v>16</v>
      </c>
      <c r="D148" s="1">
        <v>45869</v>
      </c>
      <c r="E148">
        <v>671.6</v>
      </c>
      <c r="F148">
        <v>33</v>
      </c>
      <c r="G148">
        <v>20.37</v>
      </c>
      <c r="H148">
        <v>70</v>
      </c>
      <c r="I148" t="s">
        <v>14</v>
      </c>
      <c r="J148">
        <v>2025</v>
      </c>
      <c r="K148">
        <f t="shared" si="4"/>
        <v>12.629999999999999</v>
      </c>
      <c r="L148" t="str">
        <f t="shared" si="5"/>
        <v>Banca Alpi|19|Conti</v>
      </c>
    </row>
    <row r="149" spans="1:12" x14ac:dyDescent="0.25">
      <c r="A149" t="s">
        <v>12</v>
      </c>
      <c r="B149">
        <v>19</v>
      </c>
      <c r="C149" t="s">
        <v>17</v>
      </c>
      <c r="D149" s="1">
        <v>45869</v>
      </c>
      <c r="E149">
        <v>758.6</v>
      </c>
      <c r="F149">
        <v>38.909999999999997</v>
      </c>
      <c r="G149">
        <v>23.9</v>
      </c>
      <c r="H149">
        <v>97</v>
      </c>
      <c r="I149" t="s">
        <v>14</v>
      </c>
      <c r="J149">
        <v>2025</v>
      </c>
      <c r="K149">
        <f t="shared" si="4"/>
        <v>15.009999999999998</v>
      </c>
      <c r="L149" t="str">
        <f t="shared" si="5"/>
        <v>Banca Alpi|19|Carte</v>
      </c>
    </row>
    <row r="150" spans="1:12" x14ac:dyDescent="0.25">
      <c r="A150" t="s">
        <v>12</v>
      </c>
      <c r="B150">
        <v>19</v>
      </c>
      <c r="C150" t="s">
        <v>18</v>
      </c>
      <c r="D150" s="1">
        <v>45869</v>
      </c>
      <c r="E150">
        <v>900.8</v>
      </c>
      <c r="F150">
        <v>47.93</v>
      </c>
      <c r="G150">
        <v>29.1</v>
      </c>
      <c r="H150">
        <v>97</v>
      </c>
      <c r="I150" t="s">
        <v>14</v>
      </c>
      <c r="J150">
        <v>2025</v>
      </c>
      <c r="K150">
        <f t="shared" si="4"/>
        <v>18.829999999999998</v>
      </c>
      <c r="L150" t="str">
        <f t="shared" si="5"/>
        <v>Banca Alpi|19|Leasing</v>
      </c>
    </row>
    <row r="151" spans="1:12" x14ac:dyDescent="0.25">
      <c r="A151" t="s">
        <v>12</v>
      </c>
      <c r="B151">
        <v>19</v>
      </c>
      <c r="C151" t="s">
        <v>19</v>
      </c>
      <c r="D151" s="1">
        <v>45869</v>
      </c>
      <c r="E151">
        <v>1034.5999999999999</v>
      </c>
      <c r="F151">
        <v>57.22</v>
      </c>
      <c r="G151">
        <v>35.119999999999997</v>
      </c>
      <c r="H151">
        <v>114</v>
      </c>
      <c r="I151" t="s">
        <v>14</v>
      </c>
      <c r="J151">
        <v>2025</v>
      </c>
      <c r="K151">
        <f t="shared" si="4"/>
        <v>22.1</v>
      </c>
      <c r="L151" t="str">
        <f t="shared" si="5"/>
        <v>Banca Alpi|19|Factoring</v>
      </c>
    </row>
    <row r="152" spans="1:12" x14ac:dyDescent="0.25">
      <c r="A152" t="s">
        <v>12</v>
      </c>
      <c r="B152">
        <v>19</v>
      </c>
      <c r="C152" t="s">
        <v>20</v>
      </c>
      <c r="D152" s="1">
        <v>45869</v>
      </c>
      <c r="E152">
        <v>1172.9000000000001</v>
      </c>
      <c r="F152">
        <v>67.37</v>
      </c>
      <c r="G152">
        <v>39.909999999999997</v>
      </c>
      <c r="H152">
        <v>107</v>
      </c>
      <c r="I152" t="s">
        <v>14</v>
      </c>
      <c r="J152">
        <v>2025</v>
      </c>
      <c r="K152">
        <f t="shared" si="4"/>
        <v>27.460000000000008</v>
      </c>
      <c r="L152" t="str">
        <f t="shared" si="5"/>
        <v>Banca Alpi|19|Risparmio</v>
      </c>
    </row>
    <row r="153" spans="1:12" x14ac:dyDescent="0.25">
      <c r="A153" t="s">
        <v>12</v>
      </c>
      <c r="B153">
        <v>19</v>
      </c>
      <c r="C153" t="s">
        <v>21</v>
      </c>
      <c r="D153" s="1">
        <v>45869</v>
      </c>
      <c r="E153">
        <v>1317.8</v>
      </c>
      <c r="F153">
        <v>77.95</v>
      </c>
      <c r="G153">
        <v>46.86</v>
      </c>
      <c r="H153">
        <v>149</v>
      </c>
      <c r="I153" t="s">
        <v>14</v>
      </c>
      <c r="J153">
        <v>2025</v>
      </c>
      <c r="K153">
        <f t="shared" si="4"/>
        <v>31.090000000000003</v>
      </c>
      <c r="L153" t="str">
        <f t="shared" si="5"/>
        <v>Banca Alpi|19|Assicurazioni</v>
      </c>
    </row>
    <row r="154" spans="1:12" x14ac:dyDescent="0.25">
      <c r="A154" t="s">
        <v>12</v>
      </c>
      <c r="B154">
        <v>20</v>
      </c>
      <c r="C154" t="s">
        <v>13</v>
      </c>
      <c r="D154" s="1">
        <v>45900</v>
      </c>
      <c r="E154">
        <v>361.2</v>
      </c>
      <c r="F154">
        <v>16.73</v>
      </c>
      <c r="G154">
        <v>11.05</v>
      </c>
      <c r="H154">
        <v>65</v>
      </c>
      <c r="I154" t="s">
        <v>14</v>
      </c>
      <c r="J154">
        <v>2025</v>
      </c>
      <c r="K154">
        <f t="shared" si="4"/>
        <v>5.68</v>
      </c>
      <c r="L154" t="str">
        <f t="shared" si="5"/>
        <v>Banca Alpi|20|Mutui</v>
      </c>
    </row>
    <row r="155" spans="1:12" x14ac:dyDescent="0.25">
      <c r="A155" t="s">
        <v>12</v>
      </c>
      <c r="B155">
        <v>20</v>
      </c>
      <c r="C155" t="s">
        <v>15</v>
      </c>
      <c r="D155" s="1">
        <v>45900</v>
      </c>
      <c r="E155">
        <v>503.2</v>
      </c>
      <c r="F155">
        <v>23.74</v>
      </c>
      <c r="G155">
        <v>14.97</v>
      </c>
      <c r="H155">
        <v>59</v>
      </c>
      <c r="I155" t="s">
        <v>14</v>
      </c>
      <c r="J155">
        <v>2025</v>
      </c>
      <c r="K155">
        <f t="shared" si="4"/>
        <v>8.7699999999999978</v>
      </c>
      <c r="L155" t="str">
        <f t="shared" si="5"/>
        <v>Banca Alpi|20|Prestiti</v>
      </c>
    </row>
    <row r="156" spans="1:12" x14ac:dyDescent="0.25">
      <c r="A156" t="s">
        <v>12</v>
      </c>
      <c r="B156">
        <v>20</v>
      </c>
      <c r="C156" t="s">
        <v>16</v>
      </c>
      <c r="D156" s="1">
        <v>45900</v>
      </c>
      <c r="E156">
        <v>635.29999999999995</v>
      </c>
      <c r="F156">
        <v>31.93</v>
      </c>
      <c r="G156">
        <v>19.809999999999999</v>
      </c>
      <c r="H156">
        <v>66</v>
      </c>
      <c r="I156" t="s">
        <v>14</v>
      </c>
      <c r="J156">
        <v>2025</v>
      </c>
      <c r="K156">
        <f t="shared" si="4"/>
        <v>12.120000000000001</v>
      </c>
      <c r="L156" t="str">
        <f t="shared" si="5"/>
        <v>Banca Alpi|20|Conti</v>
      </c>
    </row>
    <row r="157" spans="1:12" x14ac:dyDescent="0.25">
      <c r="A157" t="s">
        <v>12</v>
      </c>
      <c r="B157">
        <v>20</v>
      </c>
      <c r="C157" t="s">
        <v>17</v>
      </c>
      <c r="D157" s="1">
        <v>45900</v>
      </c>
      <c r="E157">
        <v>786.9</v>
      </c>
      <c r="F157">
        <v>40.92</v>
      </c>
      <c r="G157">
        <v>25.33</v>
      </c>
      <c r="H157">
        <v>78</v>
      </c>
      <c r="I157" t="s">
        <v>14</v>
      </c>
      <c r="J157">
        <v>2025</v>
      </c>
      <c r="K157">
        <f t="shared" si="4"/>
        <v>15.590000000000003</v>
      </c>
      <c r="L157" t="str">
        <f t="shared" si="5"/>
        <v>Banca Alpi|20|Carte</v>
      </c>
    </row>
    <row r="158" spans="1:12" x14ac:dyDescent="0.25">
      <c r="A158" t="s">
        <v>12</v>
      </c>
      <c r="B158">
        <v>20</v>
      </c>
      <c r="C158" t="s">
        <v>18</v>
      </c>
      <c r="D158" s="1">
        <v>45900</v>
      </c>
      <c r="E158">
        <v>899.4</v>
      </c>
      <c r="F158">
        <v>48.37</v>
      </c>
      <c r="G158">
        <v>29.56</v>
      </c>
      <c r="H158">
        <v>87</v>
      </c>
      <c r="I158" t="s">
        <v>14</v>
      </c>
      <c r="J158">
        <v>2025</v>
      </c>
      <c r="K158">
        <f t="shared" si="4"/>
        <v>18.809999999999999</v>
      </c>
      <c r="L158" t="str">
        <f t="shared" si="5"/>
        <v>Banca Alpi|20|Leasing</v>
      </c>
    </row>
    <row r="159" spans="1:12" x14ac:dyDescent="0.25">
      <c r="A159" t="s">
        <v>12</v>
      </c>
      <c r="B159">
        <v>20</v>
      </c>
      <c r="C159" t="s">
        <v>19</v>
      </c>
      <c r="D159" s="1">
        <v>45900</v>
      </c>
      <c r="E159">
        <v>1047.2</v>
      </c>
      <c r="F159">
        <v>57.65</v>
      </c>
      <c r="G159">
        <v>34.69</v>
      </c>
      <c r="H159">
        <v>98</v>
      </c>
      <c r="I159" t="s">
        <v>14</v>
      </c>
      <c r="J159">
        <v>2025</v>
      </c>
      <c r="K159">
        <f t="shared" si="4"/>
        <v>22.96</v>
      </c>
      <c r="L159" t="str">
        <f t="shared" si="5"/>
        <v>Banca Alpi|20|Factoring</v>
      </c>
    </row>
    <row r="160" spans="1:12" x14ac:dyDescent="0.25">
      <c r="A160" t="s">
        <v>12</v>
      </c>
      <c r="B160">
        <v>20</v>
      </c>
      <c r="C160" t="s">
        <v>20</v>
      </c>
      <c r="D160" s="1">
        <v>45900</v>
      </c>
      <c r="E160">
        <v>1210.5</v>
      </c>
      <c r="F160">
        <v>69.48</v>
      </c>
      <c r="G160">
        <v>41.71</v>
      </c>
      <c r="H160">
        <v>120</v>
      </c>
      <c r="I160" t="s">
        <v>14</v>
      </c>
      <c r="J160">
        <v>2025</v>
      </c>
      <c r="K160">
        <f t="shared" si="4"/>
        <v>27.770000000000003</v>
      </c>
      <c r="L160" t="str">
        <f t="shared" si="5"/>
        <v>Banca Alpi|20|Risparmio</v>
      </c>
    </row>
    <row r="161" spans="1:12" x14ac:dyDescent="0.25">
      <c r="A161" t="s">
        <v>12</v>
      </c>
      <c r="B161">
        <v>20</v>
      </c>
      <c r="C161" t="s">
        <v>21</v>
      </c>
      <c r="D161" s="1">
        <v>45900</v>
      </c>
      <c r="E161">
        <v>1323.3</v>
      </c>
      <c r="F161">
        <v>78.319999999999993</v>
      </c>
      <c r="G161">
        <v>46.76</v>
      </c>
      <c r="H161">
        <v>118</v>
      </c>
      <c r="I161" t="s">
        <v>14</v>
      </c>
      <c r="J161">
        <v>2025</v>
      </c>
      <c r="K161">
        <f t="shared" si="4"/>
        <v>31.559999999999995</v>
      </c>
      <c r="L161" t="str">
        <f t="shared" si="5"/>
        <v>Banca Alpi|20|Assicurazioni</v>
      </c>
    </row>
    <row r="162" spans="1:12" x14ac:dyDescent="0.25">
      <c r="A162" t="s">
        <v>12</v>
      </c>
      <c r="B162">
        <v>21</v>
      </c>
      <c r="C162" t="s">
        <v>13</v>
      </c>
      <c r="D162" s="1">
        <v>45930</v>
      </c>
      <c r="E162">
        <v>358.4</v>
      </c>
      <c r="F162">
        <v>17.059999999999999</v>
      </c>
      <c r="G162">
        <v>10.62</v>
      </c>
      <c r="H162">
        <v>44</v>
      </c>
      <c r="I162" t="s">
        <v>14</v>
      </c>
      <c r="J162">
        <v>2025</v>
      </c>
      <c r="K162">
        <f t="shared" si="4"/>
        <v>6.4399999999999995</v>
      </c>
      <c r="L162" t="str">
        <f t="shared" si="5"/>
        <v>Banca Alpi|21|Mutui</v>
      </c>
    </row>
    <row r="163" spans="1:12" x14ac:dyDescent="0.25">
      <c r="A163" t="s">
        <v>12</v>
      </c>
      <c r="B163">
        <v>21</v>
      </c>
      <c r="C163" t="s">
        <v>15</v>
      </c>
      <c r="D163" s="1">
        <v>45930</v>
      </c>
      <c r="E163">
        <v>507.9</v>
      </c>
      <c r="F163">
        <v>24.63</v>
      </c>
      <c r="G163">
        <v>15.49</v>
      </c>
      <c r="H163">
        <v>68</v>
      </c>
      <c r="I163" t="s">
        <v>14</v>
      </c>
      <c r="J163">
        <v>2025</v>
      </c>
      <c r="K163">
        <f t="shared" si="4"/>
        <v>9.1399999999999988</v>
      </c>
      <c r="L163" t="str">
        <f t="shared" si="5"/>
        <v>Banca Alpi|21|Prestiti</v>
      </c>
    </row>
    <row r="164" spans="1:12" x14ac:dyDescent="0.25">
      <c r="A164" t="s">
        <v>12</v>
      </c>
      <c r="B164">
        <v>21</v>
      </c>
      <c r="C164" t="s">
        <v>16</v>
      </c>
      <c r="D164" s="1">
        <v>45930</v>
      </c>
      <c r="E164">
        <v>631.79999999999995</v>
      </c>
      <c r="F164">
        <v>31.22</v>
      </c>
      <c r="G164">
        <v>19.440000000000001</v>
      </c>
      <c r="H164">
        <v>88</v>
      </c>
      <c r="I164" t="s">
        <v>14</v>
      </c>
      <c r="J164">
        <v>2025</v>
      </c>
      <c r="K164">
        <f t="shared" si="4"/>
        <v>11.779999999999998</v>
      </c>
      <c r="L164" t="str">
        <f t="shared" si="5"/>
        <v>Banca Alpi|21|Conti</v>
      </c>
    </row>
    <row r="165" spans="1:12" x14ac:dyDescent="0.25">
      <c r="A165" t="s">
        <v>12</v>
      </c>
      <c r="B165">
        <v>21</v>
      </c>
      <c r="C165" t="s">
        <v>17</v>
      </c>
      <c r="D165" s="1">
        <v>45930</v>
      </c>
      <c r="E165">
        <v>821.6</v>
      </c>
      <c r="F165">
        <v>42.59</v>
      </c>
      <c r="G165">
        <v>26.23</v>
      </c>
      <c r="H165">
        <v>94</v>
      </c>
      <c r="I165" t="s">
        <v>14</v>
      </c>
      <c r="J165">
        <v>2025</v>
      </c>
      <c r="K165">
        <f t="shared" si="4"/>
        <v>16.360000000000003</v>
      </c>
      <c r="L165" t="str">
        <f t="shared" si="5"/>
        <v>Banca Alpi|21|Carte</v>
      </c>
    </row>
    <row r="166" spans="1:12" x14ac:dyDescent="0.25">
      <c r="A166" t="s">
        <v>12</v>
      </c>
      <c r="B166">
        <v>21</v>
      </c>
      <c r="C166" t="s">
        <v>18</v>
      </c>
      <c r="D166" s="1">
        <v>45930</v>
      </c>
      <c r="E166">
        <v>929.2</v>
      </c>
      <c r="F166">
        <v>50.2</v>
      </c>
      <c r="G166">
        <v>29.95</v>
      </c>
      <c r="H166">
        <v>112</v>
      </c>
      <c r="I166" t="s">
        <v>14</v>
      </c>
      <c r="J166">
        <v>2025</v>
      </c>
      <c r="K166">
        <f t="shared" si="4"/>
        <v>20.250000000000004</v>
      </c>
      <c r="L166" t="str">
        <f t="shared" si="5"/>
        <v>Banca Alpi|21|Leasing</v>
      </c>
    </row>
    <row r="167" spans="1:12" x14ac:dyDescent="0.25">
      <c r="A167" t="s">
        <v>12</v>
      </c>
      <c r="B167">
        <v>21</v>
      </c>
      <c r="C167" t="s">
        <v>19</v>
      </c>
      <c r="D167" s="1">
        <v>45930</v>
      </c>
      <c r="E167">
        <v>1054.8</v>
      </c>
      <c r="F167">
        <v>58.27</v>
      </c>
      <c r="G167">
        <v>35.15</v>
      </c>
      <c r="H167">
        <v>97</v>
      </c>
      <c r="I167" t="s">
        <v>14</v>
      </c>
      <c r="J167">
        <v>2025</v>
      </c>
      <c r="K167">
        <f t="shared" si="4"/>
        <v>23.120000000000005</v>
      </c>
      <c r="L167" t="str">
        <f t="shared" si="5"/>
        <v>Banca Alpi|21|Factoring</v>
      </c>
    </row>
    <row r="168" spans="1:12" x14ac:dyDescent="0.25">
      <c r="A168" t="s">
        <v>12</v>
      </c>
      <c r="B168">
        <v>21</v>
      </c>
      <c r="C168" t="s">
        <v>20</v>
      </c>
      <c r="D168" s="1">
        <v>45930</v>
      </c>
      <c r="E168">
        <v>1230.5</v>
      </c>
      <c r="F168">
        <v>70.489999999999995</v>
      </c>
      <c r="G168">
        <v>42.72</v>
      </c>
      <c r="H168">
        <v>104</v>
      </c>
      <c r="I168" t="s">
        <v>14</v>
      </c>
      <c r="J168">
        <v>2025</v>
      </c>
      <c r="K168">
        <f t="shared" si="4"/>
        <v>27.769999999999996</v>
      </c>
      <c r="L168" t="str">
        <f t="shared" si="5"/>
        <v>Banca Alpi|21|Risparmio</v>
      </c>
    </row>
    <row r="169" spans="1:12" x14ac:dyDescent="0.25">
      <c r="A169" t="s">
        <v>12</v>
      </c>
      <c r="B169">
        <v>21</v>
      </c>
      <c r="C169" t="s">
        <v>21</v>
      </c>
      <c r="D169" s="1">
        <v>45930</v>
      </c>
      <c r="E169">
        <v>1347.3</v>
      </c>
      <c r="F169">
        <v>79.599999999999994</v>
      </c>
      <c r="G169">
        <v>47.62</v>
      </c>
      <c r="H169">
        <v>147</v>
      </c>
      <c r="I169" t="s">
        <v>14</v>
      </c>
      <c r="J169">
        <v>2025</v>
      </c>
      <c r="K169">
        <f t="shared" si="4"/>
        <v>31.979999999999997</v>
      </c>
      <c r="L169" t="str">
        <f t="shared" si="5"/>
        <v>Banca Alpi|21|Assicurazioni</v>
      </c>
    </row>
    <row r="170" spans="1:12" x14ac:dyDescent="0.25">
      <c r="A170" t="s">
        <v>12</v>
      </c>
      <c r="B170">
        <v>22</v>
      </c>
      <c r="C170" t="s">
        <v>13</v>
      </c>
      <c r="D170" s="1">
        <v>45961</v>
      </c>
      <c r="E170">
        <v>357.5</v>
      </c>
      <c r="F170">
        <v>16.39</v>
      </c>
      <c r="G170">
        <v>10.53</v>
      </c>
      <c r="H170">
        <v>33</v>
      </c>
      <c r="I170" t="s">
        <v>14</v>
      </c>
      <c r="J170">
        <v>2025</v>
      </c>
      <c r="K170">
        <f t="shared" si="4"/>
        <v>5.8600000000000012</v>
      </c>
      <c r="L170" t="str">
        <f t="shared" si="5"/>
        <v>Banca Alpi|22|Mutui</v>
      </c>
    </row>
    <row r="171" spans="1:12" x14ac:dyDescent="0.25">
      <c r="A171" t="s">
        <v>12</v>
      </c>
      <c r="B171">
        <v>22</v>
      </c>
      <c r="C171" t="s">
        <v>15</v>
      </c>
      <c r="D171" s="1">
        <v>45961</v>
      </c>
      <c r="E171">
        <v>539.29999999999995</v>
      </c>
      <c r="F171">
        <v>26.34</v>
      </c>
      <c r="G171">
        <v>16.38</v>
      </c>
      <c r="H171">
        <v>62</v>
      </c>
      <c r="I171" t="s">
        <v>14</v>
      </c>
      <c r="J171">
        <v>2025</v>
      </c>
      <c r="K171">
        <f t="shared" si="4"/>
        <v>9.9600000000000009</v>
      </c>
      <c r="L171" t="str">
        <f t="shared" si="5"/>
        <v>Banca Alpi|22|Prestiti</v>
      </c>
    </row>
    <row r="172" spans="1:12" x14ac:dyDescent="0.25">
      <c r="A172" t="s">
        <v>12</v>
      </c>
      <c r="B172">
        <v>22</v>
      </c>
      <c r="C172" t="s">
        <v>16</v>
      </c>
      <c r="D172" s="1">
        <v>45961</v>
      </c>
      <c r="E172">
        <v>675.6</v>
      </c>
      <c r="F172">
        <v>33.590000000000003</v>
      </c>
      <c r="G172">
        <v>21.04</v>
      </c>
      <c r="H172">
        <v>81</v>
      </c>
      <c r="I172" t="s">
        <v>14</v>
      </c>
      <c r="J172">
        <v>2025</v>
      </c>
      <c r="K172">
        <f t="shared" si="4"/>
        <v>12.550000000000004</v>
      </c>
      <c r="L172" t="str">
        <f t="shared" si="5"/>
        <v>Banca Alpi|22|Conti</v>
      </c>
    </row>
    <row r="173" spans="1:12" x14ac:dyDescent="0.25">
      <c r="A173" t="s">
        <v>12</v>
      </c>
      <c r="B173">
        <v>22</v>
      </c>
      <c r="C173" t="s">
        <v>17</v>
      </c>
      <c r="D173" s="1">
        <v>45961</v>
      </c>
      <c r="E173">
        <v>796.4</v>
      </c>
      <c r="F173">
        <v>41.33</v>
      </c>
      <c r="G173">
        <v>25.47</v>
      </c>
      <c r="H173">
        <v>73</v>
      </c>
      <c r="I173" t="s">
        <v>14</v>
      </c>
      <c r="J173">
        <v>2025</v>
      </c>
      <c r="K173">
        <f t="shared" si="4"/>
        <v>15.86</v>
      </c>
      <c r="L173" t="str">
        <f t="shared" si="5"/>
        <v>Banca Alpi|22|Carte</v>
      </c>
    </row>
    <row r="174" spans="1:12" x14ac:dyDescent="0.25">
      <c r="A174" t="s">
        <v>12</v>
      </c>
      <c r="B174">
        <v>22</v>
      </c>
      <c r="C174" t="s">
        <v>18</v>
      </c>
      <c r="D174" s="1">
        <v>45961</v>
      </c>
      <c r="E174">
        <v>922.5</v>
      </c>
      <c r="F174">
        <v>49.32</v>
      </c>
      <c r="G174">
        <v>30.13</v>
      </c>
      <c r="H174">
        <v>113</v>
      </c>
      <c r="I174" t="s">
        <v>14</v>
      </c>
      <c r="J174">
        <v>2025</v>
      </c>
      <c r="K174">
        <f t="shared" si="4"/>
        <v>19.190000000000001</v>
      </c>
      <c r="L174" t="str">
        <f t="shared" si="5"/>
        <v>Banca Alpi|22|Leasing</v>
      </c>
    </row>
    <row r="175" spans="1:12" x14ac:dyDescent="0.25">
      <c r="A175" t="s">
        <v>12</v>
      </c>
      <c r="B175">
        <v>22</v>
      </c>
      <c r="C175" t="s">
        <v>19</v>
      </c>
      <c r="D175" s="1">
        <v>45961</v>
      </c>
      <c r="E175">
        <v>1069.3</v>
      </c>
      <c r="F175">
        <v>59.2</v>
      </c>
      <c r="G175">
        <v>35.76</v>
      </c>
      <c r="H175">
        <v>109</v>
      </c>
      <c r="I175" t="s">
        <v>14</v>
      </c>
      <c r="J175">
        <v>2025</v>
      </c>
      <c r="K175">
        <f t="shared" si="4"/>
        <v>23.440000000000005</v>
      </c>
      <c r="L175" t="str">
        <f t="shared" si="5"/>
        <v>Banca Alpi|22|Factoring</v>
      </c>
    </row>
    <row r="176" spans="1:12" x14ac:dyDescent="0.25">
      <c r="A176" t="s">
        <v>12</v>
      </c>
      <c r="B176">
        <v>22</v>
      </c>
      <c r="C176" t="s">
        <v>20</v>
      </c>
      <c r="D176" s="1">
        <v>45961</v>
      </c>
      <c r="E176">
        <v>1223.3</v>
      </c>
      <c r="F176">
        <v>69.959999999999994</v>
      </c>
      <c r="G176">
        <v>42.56</v>
      </c>
      <c r="H176">
        <v>123</v>
      </c>
      <c r="I176" t="s">
        <v>14</v>
      </c>
      <c r="J176">
        <v>2025</v>
      </c>
      <c r="K176">
        <f t="shared" si="4"/>
        <v>27.399999999999991</v>
      </c>
      <c r="L176" t="str">
        <f t="shared" si="5"/>
        <v>Banca Alpi|22|Risparmio</v>
      </c>
    </row>
    <row r="177" spans="1:12" x14ac:dyDescent="0.25">
      <c r="A177" t="s">
        <v>12</v>
      </c>
      <c r="B177">
        <v>22</v>
      </c>
      <c r="C177" t="s">
        <v>21</v>
      </c>
      <c r="D177" s="1">
        <v>45961</v>
      </c>
      <c r="E177">
        <v>1346.6</v>
      </c>
      <c r="F177">
        <v>79.89</v>
      </c>
      <c r="G177">
        <v>47.31</v>
      </c>
      <c r="H177">
        <v>153</v>
      </c>
      <c r="I177" t="s">
        <v>14</v>
      </c>
      <c r="J177">
        <v>2025</v>
      </c>
      <c r="K177">
        <f t="shared" si="4"/>
        <v>32.58</v>
      </c>
      <c r="L177" t="str">
        <f t="shared" si="5"/>
        <v>Banca Alpi|22|Assicurazioni</v>
      </c>
    </row>
    <row r="178" spans="1:12" x14ac:dyDescent="0.25">
      <c r="A178" t="s">
        <v>12</v>
      </c>
      <c r="B178">
        <v>23</v>
      </c>
      <c r="C178" t="s">
        <v>13</v>
      </c>
      <c r="D178" s="1">
        <v>45991</v>
      </c>
      <c r="E178">
        <v>370.1</v>
      </c>
      <c r="F178">
        <v>17.170000000000002</v>
      </c>
      <c r="G178">
        <v>11.25</v>
      </c>
      <c r="H178">
        <v>46</v>
      </c>
      <c r="I178" t="s">
        <v>14</v>
      </c>
      <c r="J178">
        <v>2025</v>
      </c>
      <c r="K178">
        <f t="shared" si="4"/>
        <v>5.9200000000000017</v>
      </c>
      <c r="L178" t="str">
        <f t="shared" si="5"/>
        <v>Banca Alpi|23|Mutui</v>
      </c>
    </row>
    <row r="179" spans="1:12" x14ac:dyDescent="0.25">
      <c r="A179" t="s">
        <v>12</v>
      </c>
      <c r="B179">
        <v>23</v>
      </c>
      <c r="C179" t="s">
        <v>15</v>
      </c>
      <c r="D179" s="1">
        <v>45991</v>
      </c>
      <c r="E179">
        <v>535.29999999999995</v>
      </c>
      <c r="F179">
        <v>25.73</v>
      </c>
      <c r="G179">
        <v>15.76</v>
      </c>
      <c r="H179">
        <v>66</v>
      </c>
      <c r="I179" t="s">
        <v>14</v>
      </c>
      <c r="J179">
        <v>2025</v>
      </c>
      <c r="K179">
        <f t="shared" si="4"/>
        <v>9.9700000000000006</v>
      </c>
      <c r="L179" t="str">
        <f t="shared" si="5"/>
        <v>Banca Alpi|23|Prestiti</v>
      </c>
    </row>
    <row r="180" spans="1:12" x14ac:dyDescent="0.25">
      <c r="A180" t="s">
        <v>12</v>
      </c>
      <c r="B180">
        <v>23</v>
      </c>
      <c r="C180" t="s">
        <v>16</v>
      </c>
      <c r="D180" s="1">
        <v>45991</v>
      </c>
      <c r="E180">
        <v>675.8</v>
      </c>
      <c r="F180">
        <v>33.44</v>
      </c>
      <c r="G180">
        <v>20.6</v>
      </c>
      <c r="H180">
        <v>80</v>
      </c>
      <c r="I180" t="s">
        <v>14</v>
      </c>
      <c r="J180">
        <v>2025</v>
      </c>
      <c r="K180">
        <f t="shared" si="4"/>
        <v>12.839999999999996</v>
      </c>
      <c r="L180" t="str">
        <f t="shared" si="5"/>
        <v>Banca Alpi|23|Conti</v>
      </c>
    </row>
    <row r="181" spans="1:12" x14ac:dyDescent="0.25">
      <c r="A181" t="s">
        <v>12</v>
      </c>
      <c r="B181">
        <v>23</v>
      </c>
      <c r="C181" t="s">
        <v>17</v>
      </c>
      <c r="D181" s="1">
        <v>45991</v>
      </c>
      <c r="E181">
        <v>803.9</v>
      </c>
      <c r="F181">
        <v>41.69</v>
      </c>
      <c r="G181">
        <v>25.59</v>
      </c>
      <c r="H181">
        <v>98</v>
      </c>
      <c r="I181" t="s">
        <v>14</v>
      </c>
      <c r="J181">
        <v>2025</v>
      </c>
      <c r="K181">
        <f t="shared" si="4"/>
        <v>16.099999999999998</v>
      </c>
      <c r="L181" t="str">
        <f t="shared" si="5"/>
        <v>Banca Alpi|23|Carte</v>
      </c>
    </row>
    <row r="182" spans="1:12" x14ac:dyDescent="0.25">
      <c r="A182" t="s">
        <v>12</v>
      </c>
      <c r="B182">
        <v>23</v>
      </c>
      <c r="C182" t="s">
        <v>18</v>
      </c>
      <c r="D182" s="1">
        <v>45991</v>
      </c>
      <c r="E182">
        <v>946.6</v>
      </c>
      <c r="F182">
        <v>50.7</v>
      </c>
      <c r="G182">
        <v>30.61</v>
      </c>
      <c r="H182">
        <v>117</v>
      </c>
      <c r="I182" t="s">
        <v>14</v>
      </c>
      <c r="J182">
        <v>2025</v>
      </c>
      <c r="K182">
        <f t="shared" si="4"/>
        <v>20.090000000000003</v>
      </c>
      <c r="L182" t="str">
        <f t="shared" si="5"/>
        <v>Banca Alpi|23|Leasing</v>
      </c>
    </row>
    <row r="183" spans="1:12" x14ac:dyDescent="0.25">
      <c r="A183" t="s">
        <v>12</v>
      </c>
      <c r="B183">
        <v>23</v>
      </c>
      <c r="C183" t="s">
        <v>19</v>
      </c>
      <c r="D183" s="1">
        <v>45991</v>
      </c>
      <c r="E183">
        <v>1094.0999999999999</v>
      </c>
      <c r="F183">
        <v>60.69</v>
      </c>
      <c r="G183">
        <v>36.4</v>
      </c>
      <c r="H183">
        <v>109</v>
      </c>
      <c r="I183" t="s">
        <v>14</v>
      </c>
      <c r="J183">
        <v>2025</v>
      </c>
      <c r="K183">
        <f t="shared" si="4"/>
        <v>24.29</v>
      </c>
      <c r="L183" t="str">
        <f t="shared" si="5"/>
        <v>Banca Alpi|23|Factoring</v>
      </c>
    </row>
    <row r="184" spans="1:12" x14ac:dyDescent="0.25">
      <c r="A184" t="s">
        <v>12</v>
      </c>
      <c r="B184">
        <v>23</v>
      </c>
      <c r="C184" t="s">
        <v>20</v>
      </c>
      <c r="D184" s="1">
        <v>45991</v>
      </c>
      <c r="E184">
        <v>1258.5999999999999</v>
      </c>
      <c r="F184">
        <v>72.28</v>
      </c>
      <c r="G184">
        <v>43.63</v>
      </c>
      <c r="H184">
        <v>135</v>
      </c>
      <c r="I184" t="s">
        <v>14</v>
      </c>
      <c r="J184">
        <v>2025</v>
      </c>
      <c r="K184">
        <f t="shared" si="4"/>
        <v>28.65</v>
      </c>
      <c r="L184" t="str">
        <f t="shared" si="5"/>
        <v>Banca Alpi|23|Risparmio</v>
      </c>
    </row>
    <row r="185" spans="1:12" x14ac:dyDescent="0.25">
      <c r="A185" t="s">
        <v>12</v>
      </c>
      <c r="B185">
        <v>23</v>
      </c>
      <c r="C185" t="s">
        <v>21</v>
      </c>
      <c r="D185" s="1">
        <v>45991</v>
      </c>
      <c r="E185">
        <v>1401.6</v>
      </c>
      <c r="F185">
        <v>83.23</v>
      </c>
      <c r="G185">
        <v>49.31</v>
      </c>
      <c r="H185">
        <v>120</v>
      </c>
      <c r="I185" t="s">
        <v>14</v>
      </c>
      <c r="J185">
        <v>2025</v>
      </c>
      <c r="K185">
        <f t="shared" si="4"/>
        <v>33.92</v>
      </c>
      <c r="L185" t="str">
        <f t="shared" si="5"/>
        <v>Banca Alpi|23|Assicurazioni</v>
      </c>
    </row>
    <row r="186" spans="1:12" x14ac:dyDescent="0.25">
      <c r="A186" t="s">
        <v>12</v>
      </c>
      <c r="B186">
        <v>24</v>
      </c>
      <c r="C186" t="s">
        <v>13</v>
      </c>
      <c r="D186" s="1">
        <v>46022</v>
      </c>
      <c r="E186">
        <v>408.2</v>
      </c>
      <c r="F186">
        <v>18.52</v>
      </c>
      <c r="G186">
        <v>12.33</v>
      </c>
      <c r="H186">
        <v>61</v>
      </c>
      <c r="I186" t="s">
        <v>14</v>
      </c>
      <c r="J186">
        <v>2025</v>
      </c>
      <c r="K186">
        <f t="shared" si="4"/>
        <v>6.1899999999999995</v>
      </c>
      <c r="L186" t="str">
        <f t="shared" si="5"/>
        <v>Banca Alpi|24|Mutui</v>
      </c>
    </row>
    <row r="187" spans="1:12" x14ac:dyDescent="0.25">
      <c r="A187" t="s">
        <v>12</v>
      </c>
      <c r="B187">
        <v>24</v>
      </c>
      <c r="C187" t="s">
        <v>15</v>
      </c>
      <c r="D187" s="1">
        <v>46022</v>
      </c>
      <c r="E187">
        <v>541.4</v>
      </c>
      <c r="F187">
        <v>26.35</v>
      </c>
      <c r="G187">
        <v>16.07</v>
      </c>
      <c r="H187">
        <v>44</v>
      </c>
      <c r="I187" t="s">
        <v>14</v>
      </c>
      <c r="J187">
        <v>2025</v>
      </c>
      <c r="K187">
        <f t="shared" si="4"/>
        <v>10.280000000000001</v>
      </c>
      <c r="L187" t="str">
        <f t="shared" si="5"/>
        <v>Banca Alpi|24|Prestiti</v>
      </c>
    </row>
    <row r="188" spans="1:12" x14ac:dyDescent="0.25">
      <c r="A188" t="s">
        <v>12</v>
      </c>
      <c r="B188">
        <v>24</v>
      </c>
      <c r="C188" t="s">
        <v>16</v>
      </c>
      <c r="D188" s="1">
        <v>46022</v>
      </c>
      <c r="E188">
        <v>663.3</v>
      </c>
      <c r="F188">
        <v>33.270000000000003</v>
      </c>
      <c r="G188">
        <v>20.329999999999998</v>
      </c>
      <c r="H188">
        <v>74</v>
      </c>
      <c r="I188" t="s">
        <v>14</v>
      </c>
      <c r="J188">
        <v>2025</v>
      </c>
      <c r="K188">
        <f t="shared" si="4"/>
        <v>12.940000000000005</v>
      </c>
      <c r="L188" t="str">
        <f t="shared" si="5"/>
        <v>Banca Alpi|24|Conti</v>
      </c>
    </row>
    <row r="189" spans="1:12" x14ac:dyDescent="0.25">
      <c r="A189" t="s">
        <v>12</v>
      </c>
      <c r="B189">
        <v>24</v>
      </c>
      <c r="C189" t="s">
        <v>17</v>
      </c>
      <c r="D189" s="1">
        <v>46022</v>
      </c>
      <c r="E189">
        <v>836.2</v>
      </c>
      <c r="F189">
        <v>42.85</v>
      </c>
      <c r="G189">
        <v>26.87</v>
      </c>
      <c r="H189">
        <v>99</v>
      </c>
      <c r="I189" t="s">
        <v>14</v>
      </c>
      <c r="J189">
        <v>2025</v>
      </c>
      <c r="K189">
        <f t="shared" si="4"/>
        <v>15.98</v>
      </c>
      <c r="L189" t="str">
        <f t="shared" si="5"/>
        <v>Banca Alpi|24|Carte</v>
      </c>
    </row>
    <row r="190" spans="1:12" x14ac:dyDescent="0.25">
      <c r="A190" t="s">
        <v>12</v>
      </c>
      <c r="B190">
        <v>24</v>
      </c>
      <c r="C190" t="s">
        <v>18</v>
      </c>
      <c r="D190" s="1">
        <v>46022</v>
      </c>
      <c r="E190">
        <v>980.4</v>
      </c>
      <c r="F190">
        <v>52.24</v>
      </c>
      <c r="G190">
        <v>32.18</v>
      </c>
      <c r="H190">
        <v>104</v>
      </c>
      <c r="I190" t="s">
        <v>14</v>
      </c>
      <c r="J190">
        <v>2025</v>
      </c>
      <c r="K190">
        <f t="shared" si="4"/>
        <v>20.060000000000002</v>
      </c>
      <c r="L190" t="str">
        <f t="shared" si="5"/>
        <v>Banca Alpi|24|Leasing</v>
      </c>
    </row>
    <row r="191" spans="1:12" x14ac:dyDescent="0.25">
      <c r="A191" t="s">
        <v>12</v>
      </c>
      <c r="B191">
        <v>24</v>
      </c>
      <c r="C191" t="s">
        <v>19</v>
      </c>
      <c r="D191" s="1">
        <v>46022</v>
      </c>
      <c r="E191">
        <v>1093.8</v>
      </c>
      <c r="F191">
        <v>60.66</v>
      </c>
      <c r="G191">
        <v>36.64</v>
      </c>
      <c r="H191">
        <v>117</v>
      </c>
      <c r="I191" t="s">
        <v>14</v>
      </c>
      <c r="J191">
        <v>2025</v>
      </c>
      <c r="K191">
        <f t="shared" si="4"/>
        <v>24.019999999999996</v>
      </c>
      <c r="L191" t="str">
        <f t="shared" si="5"/>
        <v>Banca Alpi|24|Factoring</v>
      </c>
    </row>
    <row r="192" spans="1:12" x14ac:dyDescent="0.25">
      <c r="A192" t="s">
        <v>12</v>
      </c>
      <c r="B192">
        <v>24</v>
      </c>
      <c r="C192" t="s">
        <v>20</v>
      </c>
      <c r="D192" s="1">
        <v>46022</v>
      </c>
      <c r="E192">
        <v>1225.9000000000001</v>
      </c>
      <c r="F192">
        <v>70.319999999999993</v>
      </c>
      <c r="G192">
        <v>42.25</v>
      </c>
      <c r="H192">
        <v>136</v>
      </c>
      <c r="I192" t="s">
        <v>14</v>
      </c>
      <c r="J192">
        <v>2025</v>
      </c>
      <c r="K192">
        <f t="shared" si="4"/>
        <v>28.069999999999993</v>
      </c>
      <c r="L192" t="str">
        <f t="shared" si="5"/>
        <v>Banca Alpi|24|Risparmio</v>
      </c>
    </row>
    <row r="193" spans="1:12" x14ac:dyDescent="0.25">
      <c r="A193" t="s">
        <v>12</v>
      </c>
      <c r="B193">
        <v>24</v>
      </c>
      <c r="C193" t="s">
        <v>21</v>
      </c>
      <c r="D193" s="1">
        <v>46022</v>
      </c>
      <c r="E193">
        <v>1395</v>
      </c>
      <c r="F193">
        <v>82.93</v>
      </c>
      <c r="G193">
        <v>49.41</v>
      </c>
      <c r="H193">
        <v>122</v>
      </c>
      <c r="I193" t="s">
        <v>14</v>
      </c>
      <c r="J193">
        <v>2025</v>
      </c>
      <c r="K193">
        <f t="shared" si="4"/>
        <v>33.52000000000001</v>
      </c>
      <c r="L193" t="str">
        <f t="shared" si="5"/>
        <v>Banca Alpi|24|Assicurazioni</v>
      </c>
    </row>
    <row r="194" spans="1:12" x14ac:dyDescent="0.25">
      <c r="A194" t="s">
        <v>12</v>
      </c>
      <c r="B194">
        <v>25</v>
      </c>
      <c r="C194" t="s">
        <v>13</v>
      </c>
      <c r="D194" s="1">
        <v>46053</v>
      </c>
      <c r="E194">
        <v>394.9</v>
      </c>
      <c r="F194">
        <v>17.91</v>
      </c>
      <c r="G194">
        <v>11.34</v>
      </c>
      <c r="H194">
        <v>32</v>
      </c>
      <c r="I194" t="s">
        <v>14</v>
      </c>
      <c r="J194">
        <v>2026</v>
      </c>
      <c r="K194">
        <f t="shared" ref="K194:K257" si="6">F194-G194</f>
        <v>6.57</v>
      </c>
      <c r="L194" t="str">
        <f t="shared" ref="L194:L257" si="7">A194&amp;"|"&amp;B194&amp;"|"&amp;C194</f>
        <v>Banca Alpi|25|Mutui</v>
      </c>
    </row>
    <row r="195" spans="1:12" x14ac:dyDescent="0.25">
      <c r="A195" t="s">
        <v>12</v>
      </c>
      <c r="B195">
        <v>25</v>
      </c>
      <c r="C195" t="s">
        <v>15</v>
      </c>
      <c r="D195" s="1">
        <v>46053</v>
      </c>
      <c r="E195">
        <v>507.5</v>
      </c>
      <c r="F195">
        <v>23.96</v>
      </c>
      <c r="G195">
        <v>15.1</v>
      </c>
      <c r="H195">
        <v>78</v>
      </c>
      <c r="I195" t="s">
        <v>14</v>
      </c>
      <c r="J195">
        <v>2026</v>
      </c>
      <c r="K195">
        <f t="shared" si="6"/>
        <v>8.8600000000000012</v>
      </c>
      <c r="L195" t="str">
        <f t="shared" si="7"/>
        <v>Banca Alpi|25|Prestiti</v>
      </c>
    </row>
    <row r="196" spans="1:12" x14ac:dyDescent="0.25">
      <c r="A196" t="s">
        <v>12</v>
      </c>
      <c r="B196">
        <v>25</v>
      </c>
      <c r="C196" t="s">
        <v>16</v>
      </c>
      <c r="D196" s="1">
        <v>46053</v>
      </c>
      <c r="E196">
        <v>659</v>
      </c>
      <c r="F196">
        <v>32.880000000000003</v>
      </c>
      <c r="G196">
        <v>20.239999999999998</v>
      </c>
      <c r="H196">
        <v>62</v>
      </c>
      <c r="I196" t="s">
        <v>14</v>
      </c>
      <c r="J196">
        <v>2026</v>
      </c>
      <c r="K196">
        <f t="shared" si="6"/>
        <v>12.640000000000004</v>
      </c>
      <c r="L196" t="str">
        <f t="shared" si="7"/>
        <v>Banca Alpi|25|Conti</v>
      </c>
    </row>
    <row r="197" spans="1:12" x14ac:dyDescent="0.25">
      <c r="A197" t="s">
        <v>12</v>
      </c>
      <c r="B197">
        <v>25</v>
      </c>
      <c r="C197" t="s">
        <v>17</v>
      </c>
      <c r="D197" s="1">
        <v>46053</v>
      </c>
      <c r="E197">
        <v>792.5</v>
      </c>
      <c r="F197">
        <v>40.770000000000003</v>
      </c>
      <c r="G197">
        <v>24.86</v>
      </c>
      <c r="H197">
        <v>78</v>
      </c>
      <c r="I197" t="s">
        <v>14</v>
      </c>
      <c r="J197">
        <v>2026</v>
      </c>
      <c r="K197">
        <f t="shared" si="6"/>
        <v>15.910000000000004</v>
      </c>
      <c r="L197" t="str">
        <f t="shared" si="7"/>
        <v>Banca Alpi|25|Carte</v>
      </c>
    </row>
    <row r="198" spans="1:12" x14ac:dyDescent="0.25">
      <c r="A198" t="s">
        <v>12</v>
      </c>
      <c r="B198">
        <v>25</v>
      </c>
      <c r="C198" t="s">
        <v>18</v>
      </c>
      <c r="D198" s="1">
        <v>46053</v>
      </c>
      <c r="E198">
        <v>965.4</v>
      </c>
      <c r="F198">
        <v>51.53</v>
      </c>
      <c r="G198">
        <v>31.64</v>
      </c>
      <c r="H198">
        <v>109</v>
      </c>
      <c r="I198" t="s">
        <v>14</v>
      </c>
      <c r="J198">
        <v>2026</v>
      </c>
      <c r="K198">
        <f t="shared" si="6"/>
        <v>19.89</v>
      </c>
      <c r="L198" t="str">
        <f t="shared" si="7"/>
        <v>Banca Alpi|25|Leasing</v>
      </c>
    </row>
    <row r="199" spans="1:12" x14ac:dyDescent="0.25">
      <c r="A199" t="s">
        <v>12</v>
      </c>
      <c r="B199">
        <v>25</v>
      </c>
      <c r="C199" t="s">
        <v>19</v>
      </c>
      <c r="D199" s="1">
        <v>46053</v>
      </c>
      <c r="E199">
        <v>1085.4000000000001</v>
      </c>
      <c r="F199">
        <v>59.89</v>
      </c>
      <c r="G199">
        <v>36.43</v>
      </c>
      <c r="H199">
        <v>122</v>
      </c>
      <c r="I199" t="s">
        <v>14</v>
      </c>
      <c r="J199">
        <v>2026</v>
      </c>
      <c r="K199">
        <f t="shared" si="6"/>
        <v>23.46</v>
      </c>
      <c r="L199" t="str">
        <f t="shared" si="7"/>
        <v>Banca Alpi|25|Factoring</v>
      </c>
    </row>
    <row r="200" spans="1:12" x14ac:dyDescent="0.25">
      <c r="A200" t="s">
        <v>12</v>
      </c>
      <c r="B200">
        <v>25</v>
      </c>
      <c r="C200" t="s">
        <v>20</v>
      </c>
      <c r="D200" s="1">
        <v>46053</v>
      </c>
      <c r="E200">
        <v>1256.0999999999999</v>
      </c>
      <c r="F200">
        <v>72.209999999999994</v>
      </c>
      <c r="G200">
        <v>43.49</v>
      </c>
      <c r="H200">
        <v>107</v>
      </c>
      <c r="I200" t="s">
        <v>14</v>
      </c>
      <c r="J200">
        <v>2026</v>
      </c>
      <c r="K200">
        <f t="shared" si="6"/>
        <v>28.719999999999992</v>
      </c>
      <c r="L200" t="str">
        <f t="shared" si="7"/>
        <v>Banca Alpi|25|Risparmio</v>
      </c>
    </row>
    <row r="201" spans="1:12" x14ac:dyDescent="0.25">
      <c r="A201" t="s">
        <v>12</v>
      </c>
      <c r="B201">
        <v>25</v>
      </c>
      <c r="C201" t="s">
        <v>21</v>
      </c>
      <c r="D201" s="1">
        <v>46053</v>
      </c>
      <c r="E201">
        <v>1365.7</v>
      </c>
      <c r="F201">
        <v>81.569999999999993</v>
      </c>
      <c r="G201">
        <v>48.6</v>
      </c>
      <c r="H201">
        <v>133</v>
      </c>
      <c r="I201" t="s">
        <v>14</v>
      </c>
      <c r="J201">
        <v>2026</v>
      </c>
      <c r="K201">
        <f t="shared" si="6"/>
        <v>32.969999999999992</v>
      </c>
      <c r="L201" t="str">
        <f t="shared" si="7"/>
        <v>Banca Alpi|25|Assicurazioni</v>
      </c>
    </row>
    <row r="202" spans="1:12" x14ac:dyDescent="0.25">
      <c r="A202" t="s">
        <v>12</v>
      </c>
      <c r="B202">
        <v>26</v>
      </c>
      <c r="C202" t="s">
        <v>13</v>
      </c>
      <c r="D202" s="1">
        <v>46081</v>
      </c>
      <c r="E202">
        <v>414.6</v>
      </c>
      <c r="F202">
        <v>18.77</v>
      </c>
      <c r="G202">
        <v>12.29</v>
      </c>
      <c r="H202">
        <v>45</v>
      </c>
      <c r="I202" t="s">
        <v>14</v>
      </c>
      <c r="J202">
        <v>2026</v>
      </c>
      <c r="K202">
        <f t="shared" si="6"/>
        <v>6.48</v>
      </c>
      <c r="L202" t="str">
        <f t="shared" si="7"/>
        <v>Banca Alpi|26|Mutui</v>
      </c>
    </row>
    <row r="203" spans="1:12" x14ac:dyDescent="0.25">
      <c r="A203" t="s">
        <v>12</v>
      </c>
      <c r="B203">
        <v>26</v>
      </c>
      <c r="C203" t="s">
        <v>15</v>
      </c>
      <c r="D203" s="1">
        <v>46081</v>
      </c>
      <c r="E203">
        <v>518.20000000000005</v>
      </c>
      <c r="F203">
        <v>25.32</v>
      </c>
      <c r="G203">
        <v>15.45</v>
      </c>
      <c r="H203">
        <v>71</v>
      </c>
      <c r="I203" t="s">
        <v>14</v>
      </c>
      <c r="J203">
        <v>2026</v>
      </c>
      <c r="K203">
        <f t="shared" si="6"/>
        <v>9.870000000000001</v>
      </c>
      <c r="L203" t="str">
        <f t="shared" si="7"/>
        <v>Banca Alpi|26|Prestiti</v>
      </c>
    </row>
    <row r="204" spans="1:12" x14ac:dyDescent="0.25">
      <c r="A204" t="s">
        <v>12</v>
      </c>
      <c r="B204">
        <v>26</v>
      </c>
      <c r="C204" t="s">
        <v>16</v>
      </c>
      <c r="D204" s="1">
        <v>46081</v>
      </c>
      <c r="E204">
        <v>658.4</v>
      </c>
      <c r="F204">
        <v>32.590000000000003</v>
      </c>
      <c r="G204">
        <v>20.07</v>
      </c>
      <c r="H204">
        <v>79</v>
      </c>
      <c r="I204" t="s">
        <v>14</v>
      </c>
      <c r="J204">
        <v>2026</v>
      </c>
      <c r="K204">
        <f t="shared" si="6"/>
        <v>12.520000000000003</v>
      </c>
      <c r="L204" t="str">
        <f t="shared" si="7"/>
        <v>Banca Alpi|26|Conti</v>
      </c>
    </row>
    <row r="205" spans="1:12" x14ac:dyDescent="0.25">
      <c r="A205" t="s">
        <v>12</v>
      </c>
      <c r="B205">
        <v>26</v>
      </c>
      <c r="C205" t="s">
        <v>17</v>
      </c>
      <c r="D205" s="1">
        <v>46081</v>
      </c>
      <c r="E205">
        <v>809</v>
      </c>
      <c r="F205">
        <v>41.65</v>
      </c>
      <c r="G205">
        <v>25.62</v>
      </c>
      <c r="H205">
        <v>100</v>
      </c>
      <c r="I205" t="s">
        <v>14</v>
      </c>
      <c r="J205">
        <v>2026</v>
      </c>
      <c r="K205">
        <f t="shared" si="6"/>
        <v>16.029999999999998</v>
      </c>
      <c r="L205" t="str">
        <f t="shared" si="7"/>
        <v>Banca Alpi|26|Carte</v>
      </c>
    </row>
    <row r="206" spans="1:12" x14ac:dyDescent="0.25">
      <c r="A206" t="s">
        <v>12</v>
      </c>
      <c r="B206">
        <v>26</v>
      </c>
      <c r="C206" t="s">
        <v>18</v>
      </c>
      <c r="D206" s="1">
        <v>46081</v>
      </c>
      <c r="E206">
        <v>984.7</v>
      </c>
      <c r="F206">
        <v>52.68</v>
      </c>
      <c r="G206">
        <v>32.14</v>
      </c>
      <c r="H206">
        <v>89</v>
      </c>
      <c r="I206" t="s">
        <v>14</v>
      </c>
      <c r="J206">
        <v>2026</v>
      </c>
      <c r="K206">
        <f t="shared" si="6"/>
        <v>20.54</v>
      </c>
      <c r="L206" t="str">
        <f t="shared" si="7"/>
        <v>Banca Alpi|26|Leasing</v>
      </c>
    </row>
    <row r="207" spans="1:12" x14ac:dyDescent="0.25">
      <c r="A207" t="s">
        <v>12</v>
      </c>
      <c r="B207">
        <v>26</v>
      </c>
      <c r="C207" t="s">
        <v>19</v>
      </c>
      <c r="D207" s="1">
        <v>46081</v>
      </c>
      <c r="E207">
        <v>1095.7</v>
      </c>
      <c r="F207">
        <v>61.06</v>
      </c>
      <c r="G207">
        <v>36.53</v>
      </c>
      <c r="H207">
        <v>95</v>
      </c>
      <c r="I207" t="s">
        <v>14</v>
      </c>
      <c r="J207">
        <v>2026</v>
      </c>
      <c r="K207">
        <f t="shared" si="6"/>
        <v>24.53</v>
      </c>
      <c r="L207" t="str">
        <f t="shared" si="7"/>
        <v>Banca Alpi|26|Factoring</v>
      </c>
    </row>
    <row r="208" spans="1:12" x14ac:dyDescent="0.25">
      <c r="A208" t="s">
        <v>12</v>
      </c>
      <c r="B208">
        <v>26</v>
      </c>
      <c r="C208" t="s">
        <v>20</v>
      </c>
      <c r="D208" s="1">
        <v>46081</v>
      </c>
      <c r="E208">
        <v>1251.8</v>
      </c>
      <c r="F208">
        <v>71.900000000000006</v>
      </c>
      <c r="G208">
        <v>43.41</v>
      </c>
      <c r="H208">
        <v>115</v>
      </c>
      <c r="I208" t="s">
        <v>14</v>
      </c>
      <c r="J208">
        <v>2026</v>
      </c>
      <c r="K208">
        <f t="shared" si="6"/>
        <v>28.490000000000009</v>
      </c>
      <c r="L208" t="str">
        <f t="shared" si="7"/>
        <v>Banca Alpi|26|Risparmio</v>
      </c>
    </row>
    <row r="209" spans="1:12" x14ac:dyDescent="0.25">
      <c r="A209" t="s">
        <v>12</v>
      </c>
      <c r="B209">
        <v>26</v>
      </c>
      <c r="C209" t="s">
        <v>21</v>
      </c>
      <c r="D209" s="1">
        <v>46081</v>
      </c>
      <c r="E209">
        <v>1401.6</v>
      </c>
      <c r="F209">
        <v>83.38</v>
      </c>
      <c r="G209">
        <v>49.47</v>
      </c>
      <c r="H209">
        <v>134</v>
      </c>
      <c r="I209" t="s">
        <v>14</v>
      </c>
      <c r="J209">
        <v>2026</v>
      </c>
      <c r="K209">
        <f t="shared" si="6"/>
        <v>33.909999999999997</v>
      </c>
      <c r="L209" t="str">
        <f t="shared" si="7"/>
        <v>Banca Alpi|26|Assicurazioni</v>
      </c>
    </row>
    <row r="210" spans="1:12" x14ac:dyDescent="0.25">
      <c r="A210" t="s">
        <v>12</v>
      </c>
      <c r="B210">
        <v>27</v>
      </c>
      <c r="C210" t="s">
        <v>13</v>
      </c>
      <c r="D210" s="1">
        <v>46112</v>
      </c>
      <c r="E210">
        <v>390.5</v>
      </c>
      <c r="F210">
        <v>18.350000000000001</v>
      </c>
      <c r="G210">
        <v>11.85</v>
      </c>
      <c r="H210">
        <v>54</v>
      </c>
      <c r="I210" t="s">
        <v>14</v>
      </c>
      <c r="J210">
        <v>2026</v>
      </c>
      <c r="K210">
        <f t="shared" si="6"/>
        <v>6.5000000000000018</v>
      </c>
      <c r="L210" t="str">
        <f t="shared" si="7"/>
        <v>Banca Alpi|27|Mutui</v>
      </c>
    </row>
    <row r="211" spans="1:12" x14ac:dyDescent="0.25">
      <c r="A211" t="s">
        <v>12</v>
      </c>
      <c r="B211">
        <v>27</v>
      </c>
      <c r="C211" t="s">
        <v>15</v>
      </c>
      <c r="D211" s="1">
        <v>46112</v>
      </c>
      <c r="E211">
        <v>547.79999999999995</v>
      </c>
      <c r="F211">
        <v>26.04</v>
      </c>
      <c r="G211">
        <v>16.100000000000001</v>
      </c>
      <c r="H211">
        <v>76</v>
      </c>
      <c r="I211" t="s">
        <v>14</v>
      </c>
      <c r="J211">
        <v>2026</v>
      </c>
      <c r="K211">
        <f t="shared" si="6"/>
        <v>9.9399999999999977</v>
      </c>
      <c r="L211" t="str">
        <f t="shared" si="7"/>
        <v>Banca Alpi|27|Prestiti</v>
      </c>
    </row>
    <row r="212" spans="1:12" x14ac:dyDescent="0.25">
      <c r="A212" t="s">
        <v>12</v>
      </c>
      <c r="B212">
        <v>27</v>
      </c>
      <c r="C212" t="s">
        <v>16</v>
      </c>
      <c r="D212" s="1">
        <v>46112</v>
      </c>
      <c r="E212">
        <v>683.3</v>
      </c>
      <c r="F212">
        <v>33.93</v>
      </c>
      <c r="G212">
        <v>21.48</v>
      </c>
      <c r="H212">
        <v>81</v>
      </c>
      <c r="I212" t="s">
        <v>14</v>
      </c>
      <c r="J212">
        <v>2026</v>
      </c>
      <c r="K212">
        <f t="shared" si="6"/>
        <v>12.45</v>
      </c>
      <c r="L212" t="str">
        <f t="shared" si="7"/>
        <v>Banca Alpi|27|Conti</v>
      </c>
    </row>
    <row r="213" spans="1:12" x14ac:dyDescent="0.25">
      <c r="A213" t="s">
        <v>12</v>
      </c>
      <c r="B213">
        <v>27</v>
      </c>
      <c r="C213" t="s">
        <v>17</v>
      </c>
      <c r="D213" s="1">
        <v>46112</v>
      </c>
      <c r="E213">
        <v>838.5</v>
      </c>
      <c r="F213">
        <v>43.25</v>
      </c>
      <c r="G213">
        <v>26.44</v>
      </c>
      <c r="H213">
        <v>71</v>
      </c>
      <c r="I213" t="s">
        <v>14</v>
      </c>
      <c r="J213">
        <v>2026</v>
      </c>
      <c r="K213">
        <f t="shared" si="6"/>
        <v>16.809999999999999</v>
      </c>
      <c r="L213" t="str">
        <f t="shared" si="7"/>
        <v>Banca Alpi|27|Carte</v>
      </c>
    </row>
    <row r="214" spans="1:12" x14ac:dyDescent="0.25">
      <c r="A214" t="s">
        <v>12</v>
      </c>
      <c r="B214">
        <v>27</v>
      </c>
      <c r="C214" t="s">
        <v>18</v>
      </c>
      <c r="D214" s="1">
        <v>46112</v>
      </c>
      <c r="E214">
        <v>995.7</v>
      </c>
      <c r="F214">
        <v>53.36</v>
      </c>
      <c r="G214">
        <v>32.19</v>
      </c>
      <c r="H214">
        <v>91</v>
      </c>
      <c r="I214" t="s">
        <v>14</v>
      </c>
      <c r="J214">
        <v>2026</v>
      </c>
      <c r="K214">
        <f t="shared" si="6"/>
        <v>21.17</v>
      </c>
      <c r="L214" t="str">
        <f t="shared" si="7"/>
        <v>Banca Alpi|27|Leasing</v>
      </c>
    </row>
    <row r="215" spans="1:12" x14ac:dyDescent="0.25">
      <c r="A215" t="s">
        <v>12</v>
      </c>
      <c r="B215">
        <v>27</v>
      </c>
      <c r="C215" t="s">
        <v>19</v>
      </c>
      <c r="D215" s="1">
        <v>46112</v>
      </c>
      <c r="E215">
        <v>1129.0999999999999</v>
      </c>
      <c r="F215">
        <v>62.58</v>
      </c>
      <c r="G215">
        <v>37.29</v>
      </c>
      <c r="H215">
        <v>94</v>
      </c>
      <c r="I215" t="s">
        <v>14</v>
      </c>
      <c r="J215">
        <v>2026</v>
      </c>
      <c r="K215">
        <f t="shared" si="6"/>
        <v>25.29</v>
      </c>
      <c r="L215" t="str">
        <f t="shared" si="7"/>
        <v>Banca Alpi|27|Factoring</v>
      </c>
    </row>
    <row r="216" spans="1:12" x14ac:dyDescent="0.25">
      <c r="A216" t="s">
        <v>12</v>
      </c>
      <c r="B216">
        <v>27</v>
      </c>
      <c r="C216" t="s">
        <v>20</v>
      </c>
      <c r="D216" s="1">
        <v>46112</v>
      </c>
      <c r="E216">
        <v>1235.5</v>
      </c>
      <c r="F216">
        <v>71.400000000000006</v>
      </c>
      <c r="G216">
        <v>42.08</v>
      </c>
      <c r="H216">
        <v>115</v>
      </c>
      <c r="I216" t="s">
        <v>14</v>
      </c>
      <c r="J216">
        <v>2026</v>
      </c>
      <c r="K216">
        <f t="shared" si="6"/>
        <v>29.320000000000007</v>
      </c>
      <c r="L216" t="str">
        <f t="shared" si="7"/>
        <v>Banca Alpi|27|Risparmio</v>
      </c>
    </row>
    <row r="217" spans="1:12" x14ac:dyDescent="0.25">
      <c r="A217" t="s">
        <v>12</v>
      </c>
      <c r="B217">
        <v>27</v>
      </c>
      <c r="C217" t="s">
        <v>21</v>
      </c>
      <c r="D217" s="1">
        <v>46112</v>
      </c>
      <c r="E217">
        <v>1405.1</v>
      </c>
      <c r="F217">
        <v>83.47</v>
      </c>
      <c r="G217">
        <v>49.24</v>
      </c>
      <c r="H217">
        <v>136</v>
      </c>
      <c r="I217" t="s">
        <v>14</v>
      </c>
      <c r="J217">
        <v>2026</v>
      </c>
      <c r="K217">
        <f t="shared" si="6"/>
        <v>34.229999999999997</v>
      </c>
      <c r="L217" t="str">
        <f t="shared" si="7"/>
        <v>Banca Alpi|27|Assicurazioni</v>
      </c>
    </row>
    <row r="218" spans="1:12" x14ac:dyDescent="0.25">
      <c r="A218" t="s">
        <v>12</v>
      </c>
      <c r="B218">
        <v>28</v>
      </c>
      <c r="C218" t="s">
        <v>13</v>
      </c>
      <c r="D218" s="1">
        <v>46142</v>
      </c>
      <c r="E218">
        <v>391.8</v>
      </c>
      <c r="F218">
        <v>18.21</v>
      </c>
      <c r="G218">
        <v>11.53</v>
      </c>
      <c r="H218">
        <v>54</v>
      </c>
      <c r="I218" t="s">
        <v>14</v>
      </c>
      <c r="J218">
        <v>2026</v>
      </c>
      <c r="K218">
        <f t="shared" si="6"/>
        <v>6.6800000000000015</v>
      </c>
      <c r="L218" t="str">
        <f t="shared" si="7"/>
        <v>Banca Alpi|28|Mutui</v>
      </c>
    </row>
    <row r="219" spans="1:12" x14ac:dyDescent="0.25">
      <c r="A219" t="s">
        <v>12</v>
      </c>
      <c r="B219">
        <v>28</v>
      </c>
      <c r="C219" t="s">
        <v>15</v>
      </c>
      <c r="D219" s="1">
        <v>46142</v>
      </c>
      <c r="E219">
        <v>515.6</v>
      </c>
      <c r="F219">
        <v>24.8</v>
      </c>
      <c r="G219">
        <v>15.16</v>
      </c>
      <c r="H219">
        <v>68</v>
      </c>
      <c r="I219" t="s">
        <v>14</v>
      </c>
      <c r="J219">
        <v>2026</v>
      </c>
      <c r="K219">
        <f t="shared" si="6"/>
        <v>9.64</v>
      </c>
      <c r="L219" t="str">
        <f t="shared" si="7"/>
        <v>Banca Alpi|28|Prestiti</v>
      </c>
    </row>
    <row r="220" spans="1:12" x14ac:dyDescent="0.25">
      <c r="A220" t="s">
        <v>12</v>
      </c>
      <c r="B220">
        <v>28</v>
      </c>
      <c r="C220" t="s">
        <v>16</v>
      </c>
      <c r="D220" s="1">
        <v>46142</v>
      </c>
      <c r="E220">
        <v>710.2</v>
      </c>
      <c r="F220">
        <v>35.04</v>
      </c>
      <c r="G220">
        <v>21.63</v>
      </c>
      <c r="H220">
        <v>79</v>
      </c>
      <c r="I220" t="s">
        <v>14</v>
      </c>
      <c r="J220">
        <v>2026</v>
      </c>
      <c r="K220">
        <f t="shared" si="6"/>
        <v>13.41</v>
      </c>
      <c r="L220" t="str">
        <f t="shared" si="7"/>
        <v>Banca Alpi|28|Conti</v>
      </c>
    </row>
    <row r="221" spans="1:12" x14ac:dyDescent="0.25">
      <c r="A221" t="s">
        <v>12</v>
      </c>
      <c r="B221">
        <v>28</v>
      </c>
      <c r="C221" t="s">
        <v>17</v>
      </c>
      <c r="D221" s="1">
        <v>46142</v>
      </c>
      <c r="E221">
        <v>842.1</v>
      </c>
      <c r="F221">
        <v>43.4</v>
      </c>
      <c r="G221">
        <v>26.75</v>
      </c>
      <c r="H221">
        <v>103</v>
      </c>
      <c r="I221" t="s">
        <v>14</v>
      </c>
      <c r="J221">
        <v>2026</v>
      </c>
      <c r="K221">
        <f t="shared" si="6"/>
        <v>16.649999999999999</v>
      </c>
      <c r="L221" t="str">
        <f t="shared" si="7"/>
        <v>Banca Alpi|28|Carte</v>
      </c>
    </row>
    <row r="222" spans="1:12" x14ac:dyDescent="0.25">
      <c r="A222" t="s">
        <v>12</v>
      </c>
      <c r="B222">
        <v>28</v>
      </c>
      <c r="C222" t="s">
        <v>18</v>
      </c>
      <c r="D222" s="1">
        <v>46142</v>
      </c>
      <c r="E222">
        <v>968.4</v>
      </c>
      <c r="F222">
        <v>51.59</v>
      </c>
      <c r="G222">
        <v>31.13</v>
      </c>
      <c r="H222">
        <v>112</v>
      </c>
      <c r="I222" t="s">
        <v>14</v>
      </c>
      <c r="J222">
        <v>2026</v>
      </c>
      <c r="K222">
        <f t="shared" si="6"/>
        <v>20.460000000000004</v>
      </c>
      <c r="L222" t="str">
        <f t="shared" si="7"/>
        <v>Banca Alpi|28|Leasing</v>
      </c>
    </row>
    <row r="223" spans="1:12" x14ac:dyDescent="0.25">
      <c r="A223" t="s">
        <v>12</v>
      </c>
      <c r="B223">
        <v>28</v>
      </c>
      <c r="C223" t="s">
        <v>19</v>
      </c>
      <c r="D223" s="1">
        <v>46142</v>
      </c>
      <c r="E223">
        <v>1138.4000000000001</v>
      </c>
      <c r="F223">
        <v>62.99</v>
      </c>
      <c r="G223">
        <v>38.26</v>
      </c>
      <c r="H223">
        <v>101</v>
      </c>
      <c r="I223" t="s">
        <v>14</v>
      </c>
      <c r="J223">
        <v>2026</v>
      </c>
      <c r="K223">
        <f t="shared" si="6"/>
        <v>24.730000000000004</v>
      </c>
      <c r="L223" t="str">
        <f t="shared" si="7"/>
        <v>Banca Alpi|28|Factoring</v>
      </c>
    </row>
    <row r="224" spans="1:12" x14ac:dyDescent="0.25">
      <c r="A224" t="s">
        <v>12</v>
      </c>
      <c r="B224">
        <v>28</v>
      </c>
      <c r="C224" t="s">
        <v>20</v>
      </c>
      <c r="D224" s="1">
        <v>46142</v>
      </c>
      <c r="E224">
        <v>1253</v>
      </c>
      <c r="F224">
        <v>71.849999999999994</v>
      </c>
      <c r="G224">
        <v>43.53</v>
      </c>
      <c r="H224">
        <v>127</v>
      </c>
      <c r="I224" t="s">
        <v>14</v>
      </c>
      <c r="J224">
        <v>2026</v>
      </c>
      <c r="K224">
        <f t="shared" si="6"/>
        <v>28.319999999999993</v>
      </c>
      <c r="L224" t="str">
        <f t="shared" si="7"/>
        <v>Banca Alpi|28|Risparmio</v>
      </c>
    </row>
    <row r="225" spans="1:12" x14ac:dyDescent="0.25">
      <c r="A225" t="s">
        <v>12</v>
      </c>
      <c r="B225">
        <v>28</v>
      </c>
      <c r="C225" t="s">
        <v>21</v>
      </c>
      <c r="D225" s="1">
        <v>46142</v>
      </c>
      <c r="E225">
        <v>1437.1</v>
      </c>
      <c r="F225">
        <v>84.82</v>
      </c>
      <c r="G225">
        <v>51.07</v>
      </c>
      <c r="H225">
        <v>122</v>
      </c>
      <c r="I225" t="s">
        <v>14</v>
      </c>
      <c r="J225">
        <v>2026</v>
      </c>
      <c r="K225">
        <f t="shared" si="6"/>
        <v>33.749999999999993</v>
      </c>
      <c r="L225" t="str">
        <f t="shared" si="7"/>
        <v>Banca Alpi|28|Assicurazioni</v>
      </c>
    </row>
    <row r="226" spans="1:12" x14ac:dyDescent="0.25">
      <c r="A226" t="s">
        <v>12</v>
      </c>
      <c r="B226">
        <v>29</v>
      </c>
      <c r="C226" t="s">
        <v>13</v>
      </c>
      <c r="D226" s="1">
        <v>46173</v>
      </c>
      <c r="E226">
        <v>400.1</v>
      </c>
      <c r="F226">
        <v>18.28</v>
      </c>
      <c r="G226">
        <v>11.63</v>
      </c>
      <c r="H226">
        <v>38</v>
      </c>
      <c r="I226" t="s">
        <v>14</v>
      </c>
      <c r="J226">
        <v>2026</v>
      </c>
      <c r="K226">
        <f t="shared" si="6"/>
        <v>6.65</v>
      </c>
      <c r="L226" t="str">
        <f t="shared" si="7"/>
        <v>Banca Alpi|29|Mutui</v>
      </c>
    </row>
    <row r="227" spans="1:12" x14ac:dyDescent="0.25">
      <c r="A227" t="s">
        <v>12</v>
      </c>
      <c r="B227">
        <v>29</v>
      </c>
      <c r="C227" t="s">
        <v>15</v>
      </c>
      <c r="D227" s="1">
        <v>46173</v>
      </c>
      <c r="E227">
        <v>524.70000000000005</v>
      </c>
      <c r="F227">
        <v>25.32</v>
      </c>
      <c r="G227">
        <v>15.69</v>
      </c>
      <c r="H227">
        <v>69</v>
      </c>
      <c r="I227" t="s">
        <v>14</v>
      </c>
      <c r="J227">
        <v>2026</v>
      </c>
      <c r="K227">
        <f t="shared" si="6"/>
        <v>9.6300000000000008</v>
      </c>
      <c r="L227" t="str">
        <f t="shared" si="7"/>
        <v>Banca Alpi|29|Prestiti</v>
      </c>
    </row>
    <row r="228" spans="1:12" x14ac:dyDescent="0.25">
      <c r="A228" t="s">
        <v>12</v>
      </c>
      <c r="B228">
        <v>29</v>
      </c>
      <c r="C228" t="s">
        <v>16</v>
      </c>
      <c r="D228" s="1">
        <v>46173</v>
      </c>
      <c r="E228">
        <v>696</v>
      </c>
      <c r="F228">
        <v>35.04</v>
      </c>
      <c r="G228">
        <v>21.04</v>
      </c>
      <c r="H228">
        <v>63</v>
      </c>
      <c r="I228" t="s">
        <v>14</v>
      </c>
      <c r="J228">
        <v>2026</v>
      </c>
      <c r="K228">
        <f t="shared" si="6"/>
        <v>14</v>
      </c>
      <c r="L228" t="str">
        <f t="shared" si="7"/>
        <v>Banca Alpi|29|Conti</v>
      </c>
    </row>
    <row r="229" spans="1:12" x14ac:dyDescent="0.25">
      <c r="A229" t="s">
        <v>12</v>
      </c>
      <c r="B229">
        <v>29</v>
      </c>
      <c r="C229" t="s">
        <v>17</v>
      </c>
      <c r="D229" s="1">
        <v>46173</v>
      </c>
      <c r="E229">
        <v>823.6</v>
      </c>
      <c r="F229">
        <v>42.45</v>
      </c>
      <c r="G229">
        <v>26.28</v>
      </c>
      <c r="H229">
        <v>102</v>
      </c>
      <c r="I229" t="s">
        <v>14</v>
      </c>
      <c r="J229">
        <v>2026</v>
      </c>
      <c r="K229">
        <f t="shared" si="6"/>
        <v>16.170000000000002</v>
      </c>
      <c r="L229" t="str">
        <f t="shared" si="7"/>
        <v>Banca Alpi|29|Carte</v>
      </c>
    </row>
    <row r="230" spans="1:12" x14ac:dyDescent="0.25">
      <c r="A230" t="s">
        <v>12</v>
      </c>
      <c r="B230">
        <v>29</v>
      </c>
      <c r="C230" t="s">
        <v>18</v>
      </c>
      <c r="D230" s="1">
        <v>46173</v>
      </c>
      <c r="E230">
        <v>1004.3</v>
      </c>
      <c r="F230">
        <v>54.1</v>
      </c>
      <c r="G230">
        <v>33.11</v>
      </c>
      <c r="H230">
        <v>97</v>
      </c>
      <c r="I230" t="s">
        <v>14</v>
      </c>
      <c r="J230">
        <v>2026</v>
      </c>
      <c r="K230">
        <f t="shared" si="6"/>
        <v>20.990000000000002</v>
      </c>
      <c r="L230" t="str">
        <f t="shared" si="7"/>
        <v>Banca Alpi|29|Leasing</v>
      </c>
    </row>
    <row r="231" spans="1:12" x14ac:dyDescent="0.25">
      <c r="A231" t="s">
        <v>12</v>
      </c>
      <c r="B231">
        <v>29</v>
      </c>
      <c r="C231" t="s">
        <v>19</v>
      </c>
      <c r="D231" s="1">
        <v>46173</v>
      </c>
      <c r="E231">
        <v>1157.8</v>
      </c>
      <c r="F231">
        <v>63.99</v>
      </c>
      <c r="G231">
        <v>38.950000000000003</v>
      </c>
      <c r="H231">
        <v>124</v>
      </c>
      <c r="I231" t="s">
        <v>14</v>
      </c>
      <c r="J231">
        <v>2026</v>
      </c>
      <c r="K231">
        <f t="shared" si="6"/>
        <v>25.04</v>
      </c>
      <c r="L231" t="str">
        <f t="shared" si="7"/>
        <v>Banca Alpi|29|Factoring</v>
      </c>
    </row>
    <row r="232" spans="1:12" x14ac:dyDescent="0.25">
      <c r="A232" t="s">
        <v>12</v>
      </c>
      <c r="B232">
        <v>29</v>
      </c>
      <c r="C232" t="s">
        <v>20</v>
      </c>
      <c r="D232" s="1">
        <v>46173</v>
      </c>
      <c r="E232">
        <v>1274.0999999999999</v>
      </c>
      <c r="F232">
        <v>73.3</v>
      </c>
      <c r="G232">
        <v>43.8</v>
      </c>
      <c r="H232">
        <v>116</v>
      </c>
      <c r="I232" t="s">
        <v>14</v>
      </c>
      <c r="J232">
        <v>2026</v>
      </c>
      <c r="K232">
        <f t="shared" si="6"/>
        <v>29.5</v>
      </c>
      <c r="L232" t="str">
        <f t="shared" si="7"/>
        <v>Banca Alpi|29|Risparmio</v>
      </c>
    </row>
    <row r="233" spans="1:12" x14ac:dyDescent="0.25">
      <c r="A233" t="s">
        <v>12</v>
      </c>
      <c r="B233">
        <v>29</v>
      </c>
      <c r="C233" t="s">
        <v>21</v>
      </c>
      <c r="D233" s="1">
        <v>46173</v>
      </c>
      <c r="E233">
        <v>1430.1</v>
      </c>
      <c r="F233">
        <v>85.22</v>
      </c>
      <c r="G233">
        <v>51.04</v>
      </c>
      <c r="H233">
        <v>140</v>
      </c>
      <c r="I233" t="s">
        <v>14</v>
      </c>
      <c r="J233">
        <v>2026</v>
      </c>
      <c r="K233">
        <f t="shared" si="6"/>
        <v>34.18</v>
      </c>
      <c r="L233" t="str">
        <f t="shared" si="7"/>
        <v>Banca Alpi|29|Assicurazioni</v>
      </c>
    </row>
    <row r="234" spans="1:12" x14ac:dyDescent="0.25">
      <c r="A234" t="s">
        <v>12</v>
      </c>
      <c r="B234">
        <v>30</v>
      </c>
      <c r="C234" t="s">
        <v>13</v>
      </c>
      <c r="D234" s="1">
        <v>46203</v>
      </c>
      <c r="E234">
        <v>373.5</v>
      </c>
      <c r="F234">
        <v>17.71</v>
      </c>
      <c r="G234">
        <v>10.5</v>
      </c>
      <c r="H234">
        <v>57</v>
      </c>
      <c r="I234" t="s">
        <v>14</v>
      </c>
      <c r="J234">
        <v>2026</v>
      </c>
      <c r="K234">
        <f t="shared" si="6"/>
        <v>7.2100000000000009</v>
      </c>
      <c r="L234" t="str">
        <f t="shared" si="7"/>
        <v>Banca Alpi|30|Mutui</v>
      </c>
    </row>
    <row r="235" spans="1:12" x14ac:dyDescent="0.25">
      <c r="A235" t="s">
        <v>12</v>
      </c>
      <c r="B235">
        <v>30</v>
      </c>
      <c r="C235" t="s">
        <v>15</v>
      </c>
      <c r="D235" s="1">
        <v>46203</v>
      </c>
      <c r="E235">
        <v>521.70000000000005</v>
      </c>
      <c r="F235">
        <v>24.79</v>
      </c>
      <c r="G235">
        <v>15.86</v>
      </c>
      <c r="H235">
        <v>56</v>
      </c>
      <c r="I235" t="s">
        <v>14</v>
      </c>
      <c r="J235">
        <v>2026</v>
      </c>
      <c r="K235">
        <f t="shared" si="6"/>
        <v>8.93</v>
      </c>
      <c r="L235" t="str">
        <f t="shared" si="7"/>
        <v>Banca Alpi|30|Prestiti</v>
      </c>
    </row>
    <row r="236" spans="1:12" x14ac:dyDescent="0.25">
      <c r="A236" t="s">
        <v>12</v>
      </c>
      <c r="B236">
        <v>30</v>
      </c>
      <c r="C236" t="s">
        <v>16</v>
      </c>
      <c r="D236" s="1">
        <v>46203</v>
      </c>
      <c r="E236">
        <v>723.2</v>
      </c>
      <c r="F236">
        <v>35.729999999999997</v>
      </c>
      <c r="G236">
        <v>22.61</v>
      </c>
      <c r="H236">
        <v>69</v>
      </c>
      <c r="I236" t="s">
        <v>14</v>
      </c>
      <c r="J236">
        <v>2026</v>
      </c>
      <c r="K236">
        <f t="shared" si="6"/>
        <v>13.119999999999997</v>
      </c>
      <c r="L236" t="str">
        <f t="shared" si="7"/>
        <v>Banca Alpi|30|Conti</v>
      </c>
    </row>
    <row r="237" spans="1:12" x14ac:dyDescent="0.25">
      <c r="A237" t="s">
        <v>12</v>
      </c>
      <c r="B237">
        <v>30</v>
      </c>
      <c r="C237" t="s">
        <v>17</v>
      </c>
      <c r="D237" s="1">
        <v>46203</v>
      </c>
      <c r="E237">
        <v>868.1</v>
      </c>
      <c r="F237">
        <v>44.58</v>
      </c>
      <c r="G237">
        <v>27.91</v>
      </c>
      <c r="H237">
        <v>78</v>
      </c>
      <c r="I237" t="s">
        <v>14</v>
      </c>
      <c r="J237">
        <v>2026</v>
      </c>
      <c r="K237">
        <f t="shared" si="6"/>
        <v>16.669999999999998</v>
      </c>
      <c r="L237" t="str">
        <f t="shared" si="7"/>
        <v>Banca Alpi|30|Carte</v>
      </c>
    </row>
    <row r="238" spans="1:12" x14ac:dyDescent="0.25">
      <c r="A238" t="s">
        <v>12</v>
      </c>
      <c r="B238">
        <v>30</v>
      </c>
      <c r="C238" t="s">
        <v>18</v>
      </c>
      <c r="D238" s="1">
        <v>46203</v>
      </c>
      <c r="E238">
        <v>1012.3</v>
      </c>
      <c r="F238">
        <v>54.57</v>
      </c>
      <c r="G238">
        <v>33.07</v>
      </c>
      <c r="H238">
        <v>90</v>
      </c>
      <c r="I238" t="s">
        <v>14</v>
      </c>
      <c r="J238">
        <v>2026</v>
      </c>
      <c r="K238">
        <f t="shared" si="6"/>
        <v>21.5</v>
      </c>
      <c r="L238" t="str">
        <f t="shared" si="7"/>
        <v>Banca Alpi|30|Leasing</v>
      </c>
    </row>
    <row r="239" spans="1:12" x14ac:dyDescent="0.25">
      <c r="A239" t="s">
        <v>12</v>
      </c>
      <c r="B239">
        <v>30</v>
      </c>
      <c r="C239" t="s">
        <v>19</v>
      </c>
      <c r="D239" s="1">
        <v>46203</v>
      </c>
      <c r="E239">
        <v>1160.2</v>
      </c>
      <c r="F239">
        <v>64.260000000000005</v>
      </c>
      <c r="G239">
        <v>39.14</v>
      </c>
      <c r="H239">
        <v>119</v>
      </c>
      <c r="I239" t="s">
        <v>14</v>
      </c>
      <c r="J239">
        <v>2026</v>
      </c>
      <c r="K239">
        <f t="shared" si="6"/>
        <v>25.120000000000005</v>
      </c>
      <c r="L239" t="str">
        <f t="shared" si="7"/>
        <v>Banca Alpi|30|Factoring</v>
      </c>
    </row>
    <row r="240" spans="1:12" x14ac:dyDescent="0.25">
      <c r="A240" t="s">
        <v>12</v>
      </c>
      <c r="B240">
        <v>30</v>
      </c>
      <c r="C240" t="s">
        <v>20</v>
      </c>
      <c r="D240" s="1">
        <v>46203</v>
      </c>
      <c r="E240">
        <v>1277.5999999999999</v>
      </c>
      <c r="F240">
        <v>73.290000000000006</v>
      </c>
      <c r="G240">
        <v>43.57</v>
      </c>
      <c r="H240">
        <v>133</v>
      </c>
      <c r="I240" t="s">
        <v>14</v>
      </c>
      <c r="J240">
        <v>2026</v>
      </c>
      <c r="K240">
        <f t="shared" si="6"/>
        <v>29.720000000000006</v>
      </c>
      <c r="L240" t="str">
        <f t="shared" si="7"/>
        <v>Banca Alpi|30|Risparmio</v>
      </c>
    </row>
    <row r="241" spans="1:12" x14ac:dyDescent="0.25">
      <c r="A241" t="s">
        <v>12</v>
      </c>
      <c r="B241">
        <v>30</v>
      </c>
      <c r="C241" t="s">
        <v>21</v>
      </c>
      <c r="D241" s="1">
        <v>46203</v>
      </c>
      <c r="E241">
        <v>1418.2</v>
      </c>
      <c r="F241">
        <v>84.5</v>
      </c>
      <c r="G241">
        <v>49.98</v>
      </c>
      <c r="H241">
        <v>128</v>
      </c>
      <c r="I241" t="s">
        <v>14</v>
      </c>
      <c r="J241">
        <v>2026</v>
      </c>
      <c r="K241">
        <f t="shared" si="6"/>
        <v>34.520000000000003</v>
      </c>
      <c r="L241" t="str">
        <f t="shared" si="7"/>
        <v>Banca Alpi|30|Assicurazioni</v>
      </c>
    </row>
    <row r="242" spans="1:12" x14ac:dyDescent="0.25">
      <c r="A242" t="s">
        <v>12</v>
      </c>
      <c r="B242">
        <v>31</v>
      </c>
      <c r="C242" t="s">
        <v>13</v>
      </c>
      <c r="D242" s="1">
        <v>46234</v>
      </c>
      <c r="E242">
        <v>418.5</v>
      </c>
      <c r="F242">
        <v>19.420000000000002</v>
      </c>
      <c r="G242">
        <v>12.13</v>
      </c>
      <c r="H242">
        <v>65</v>
      </c>
      <c r="I242" t="s">
        <v>14</v>
      </c>
      <c r="J242">
        <v>2026</v>
      </c>
      <c r="K242">
        <f t="shared" si="6"/>
        <v>7.2900000000000009</v>
      </c>
      <c r="L242" t="str">
        <f t="shared" si="7"/>
        <v>Banca Alpi|31|Mutui</v>
      </c>
    </row>
    <row r="243" spans="1:12" x14ac:dyDescent="0.25">
      <c r="A243" t="s">
        <v>12</v>
      </c>
      <c r="B243">
        <v>31</v>
      </c>
      <c r="C243" t="s">
        <v>15</v>
      </c>
      <c r="D243" s="1">
        <v>46234</v>
      </c>
      <c r="E243">
        <v>551.6</v>
      </c>
      <c r="F243">
        <v>26.69</v>
      </c>
      <c r="G243">
        <v>16.13</v>
      </c>
      <c r="H243">
        <v>60</v>
      </c>
      <c r="I243" t="s">
        <v>14</v>
      </c>
      <c r="J243">
        <v>2026</v>
      </c>
      <c r="K243">
        <f t="shared" si="6"/>
        <v>10.560000000000002</v>
      </c>
      <c r="L243" t="str">
        <f t="shared" si="7"/>
        <v>Banca Alpi|31|Prestiti</v>
      </c>
    </row>
    <row r="244" spans="1:12" x14ac:dyDescent="0.25">
      <c r="A244" t="s">
        <v>12</v>
      </c>
      <c r="B244">
        <v>31</v>
      </c>
      <c r="C244" t="s">
        <v>16</v>
      </c>
      <c r="D244" s="1">
        <v>46234</v>
      </c>
      <c r="E244">
        <v>702.5</v>
      </c>
      <c r="F244">
        <v>35.270000000000003</v>
      </c>
      <c r="G244">
        <v>21.8</v>
      </c>
      <c r="H244">
        <v>86</v>
      </c>
      <c r="I244" t="s">
        <v>14</v>
      </c>
      <c r="J244">
        <v>2026</v>
      </c>
      <c r="K244">
        <f t="shared" si="6"/>
        <v>13.470000000000002</v>
      </c>
      <c r="L244" t="str">
        <f t="shared" si="7"/>
        <v>Banca Alpi|31|Conti</v>
      </c>
    </row>
    <row r="245" spans="1:12" x14ac:dyDescent="0.25">
      <c r="A245" t="s">
        <v>12</v>
      </c>
      <c r="B245">
        <v>31</v>
      </c>
      <c r="C245" t="s">
        <v>17</v>
      </c>
      <c r="D245" s="1">
        <v>46234</v>
      </c>
      <c r="E245">
        <v>868.4</v>
      </c>
      <c r="F245">
        <v>44.51</v>
      </c>
      <c r="G245">
        <v>27.7</v>
      </c>
      <c r="H245">
        <v>99</v>
      </c>
      <c r="I245" t="s">
        <v>14</v>
      </c>
      <c r="J245">
        <v>2026</v>
      </c>
      <c r="K245">
        <f t="shared" si="6"/>
        <v>16.809999999999999</v>
      </c>
      <c r="L245" t="str">
        <f t="shared" si="7"/>
        <v>Banca Alpi|31|Carte</v>
      </c>
    </row>
    <row r="246" spans="1:12" x14ac:dyDescent="0.25">
      <c r="A246" t="s">
        <v>12</v>
      </c>
      <c r="B246">
        <v>31</v>
      </c>
      <c r="C246" t="s">
        <v>18</v>
      </c>
      <c r="D246" s="1">
        <v>46234</v>
      </c>
      <c r="E246">
        <v>1012</v>
      </c>
      <c r="F246">
        <v>54.05</v>
      </c>
      <c r="G246">
        <v>32.42</v>
      </c>
      <c r="H246">
        <v>81</v>
      </c>
      <c r="I246" t="s">
        <v>14</v>
      </c>
      <c r="J246">
        <v>2026</v>
      </c>
      <c r="K246">
        <f t="shared" si="6"/>
        <v>21.629999999999995</v>
      </c>
      <c r="L246" t="str">
        <f t="shared" si="7"/>
        <v>Banca Alpi|31|Leasing</v>
      </c>
    </row>
    <row r="247" spans="1:12" x14ac:dyDescent="0.25">
      <c r="A247" t="s">
        <v>12</v>
      </c>
      <c r="B247">
        <v>31</v>
      </c>
      <c r="C247" t="s">
        <v>19</v>
      </c>
      <c r="D247" s="1">
        <v>46234</v>
      </c>
      <c r="E247">
        <v>1177.5</v>
      </c>
      <c r="F247">
        <v>64.92</v>
      </c>
      <c r="G247">
        <v>39.03</v>
      </c>
      <c r="H247">
        <v>99</v>
      </c>
      <c r="I247" t="s">
        <v>14</v>
      </c>
      <c r="J247">
        <v>2026</v>
      </c>
      <c r="K247">
        <f t="shared" si="6"/>
        <v>25.89</v>
      </c>
      <c r="L247" t="str">
        <f t="shared" si="7"/>
        <v>Banca Alpi|31|Factoring</v>
      </c>
    </row>
    <row r="248" spans="1:12" x14ac:dyDescent="0.25">
      <c r="A248" t="s">
        <v>12</v>
      </c>
      <c r="B248">
        <v>31</v>
      </c>
      <c r="C248" t="s">
        <v>20</v>
      </c>
      <c r="D248" s="1">
        <v>46234</v>
      </c>
      <c r="E248">
        <v>1274</v>
      </c>
      <c r="F248">
        <v>73.59</v>
      </c>
      <c r="G248">
        <v>44</v>
      </c>
      <c r="H248">
        <v>121</v>
      </c>
      <c r="I248" t="s">
        <v>14</v>
      </c>
      <c r="J248">
        <v>2026</v>
      </c>
      <c r="K248">
        <f t="shared" si="6"/>
        <v>29.590000000000003</v>
      </c>
      <c r="L248" t="str">
        <f t="shared" si="7"/>
        <v>Banca Alpi|31|Risparmio</v>
      </c>
    </row>
    <row r="249" spans="1:12" x14ac:dyDescent="0.25">
      <c r="A249" t="s">
        <v>12</v>
      </c>
      <c r="B249">
        <v>31</v>
      </c>
      <c r="C249" t="s">
        <v>21</v>
      </c>
      <c r="D249" s="1">
        <v>46234</v>
      </c>
      <c r="E249">
        <v>1462.4</v>
      </c>
      <c r="F249">
        <v>86.78</v>
      </c>
      <c r="G249">
        <v>52.02</v>
      </c>
      <c r="H249">
        <v>145</v>
      </c>
      <c r="I249" t="s">
        <v>14</v>
      </c>
      <c r="J249">
        <v>2026</v>
      </c>
      <c r="K249">
        <f t="shared" si="6"/>
        <v>34.76</v>
      </c>
      <c r="L249" t="str">
        <f t="shared" si="7"/>
        <v>Banca Alpi|31|Assicurazioni</v>
      </c>
    </row>
    <row r="250" spans="1:12" x14ac:dyDescent="0.25">
      <c r="A250" t="s">
        <v>12</v>
      </c>
      <c r="B250">
        <v>32</v>
      </c>
      <c r="C250" t="s">
        <v>13</v>
      </c>
      <c r="D250" s="1">
        <v>46265</v>
      </c>
      <c r="E250">
        <v>392.5</v>
      </c>
      <c r="F250">
        <v>17.98</v>
      </c>
      <c r="G250">
        <v>11.44</v>
      </c>
      <c r="H250">
        <v>37</v>
      </c>
      <c r="I250" t="s">
        <v>14</v>
      </c>
      <c r="J250">
        <v>2026</v>
      </c>
      <c r="K250">
        <f t="shared" si="6"/>
        <v>6.5400000000000009</v>
      </c>
      <c r="L250" t="str">
        <f t="shared" si="7"/>
        <v>Banca Alpi|32|Mutui</v>
      </c>
    </row>
    <row r="251" spans="1:12" x14ac:dyDescent="0.25">
      <c r="A251" t="s">
        <v>12</v>
      </c>
      <c r="B251">
        <v>32</v>
      </c>
      <c r="C251" t="s">
        <v>15</v>
      </c>
      <c r="D251" s="1">
        <v>46265</v>
      </c>
      <c r="E251">
        <v>559.79999999999995</v>
      </c>
      <c r="F251">
        <v>27.05</v>
      </c>
      <c r="G251">
        <v>16.61</v>
      </c>
      <c r="H251">
        <v>80</v>
      </c>
      <c r="I251" t="s">
        <v>14</v>
      </c>
      <c r="J251">
        <v>2026</v>
      </c>
      <c r="K251">
        <f t="shared" si="6"/>
        <v>10.440000000000001</v>
      </c>
      <c r="L251" t="str">
        <f t="shared" si="7"/>
        <v>Banca Alpi|32|Prestiti</v>
      </c>
    </row>
    <row r="252" spans="1:12" x14ac:dyDescent="0.25">
      <c r="A252" t="s">
        <v>12</v>
      </c>
      <c r="B252">
        <v>32</v>
      </c>
      <c r="C252" t="s">
        <v>16</v>
      </c>
      <c r="D252" s="1">
        <v>46265</v>
      </c>
      <c r="E252">
        <v>698.9</v>
      </c>
      <c r="F252">
        <v>34.29</v>
      </c>
      <c r="G252">
        <v>21.51</v>
      </c>
      <c r="H252">
        <v>79</v>
      </c>
      <c r="I252" t="s">
        <v>14</v>
      </c>
      <c r="J252">
        <v>2026</v>
      </c>
      <c r="K252">
        <f t="shared" si="6"/>
        <v>12.779999999999998</v>
      </c>
      <c r="L252" t="str">
        <f t="shared" si="7"/>
        <v>Banca Alpi|32|Conti</v>
      </c>
    </row>
    <row r="253" spans="1:12" x14ac:dyDescent="0.25">
      <c r="A253" t="s">
        <v>12</v>
      </c>
      <c r="B253">
        <v>32</v>
      </c>
      <c r="C253" t="s">
        <v>17</v>
      </c>
      <c r="D253" s="1">
        <v>46265</v>
      </c>
      <c r="E253">
        <v>835.8</v>
      </c>
      <c r="F253">
        <v>43.17</v>
      </c>
      <c r="G253">
        <v>26.29</v>
      </c>
      <c r="H253">
        <v>102</v>
      </c>
      <c r="I253" t="s">
        <v>14</v>
      </c>
      <c r="J253">
        <v>2026</v>
      </c>
      <c r="K253">
        <f t="shared" si="6"/>
        <v>16.880000000000003</v>
      </c>
      <c r="L253" t="str">
        <f t="shared" si="7"/>
        <v>Banca Alpi|32|Carte</v>
      </c>
    </row>
    <row r="254" spans="1:12" x14ac:dyDescent="0.25">
      <c r="A254" t="s">
        <v>12</v>
      </c>
      <c r="B254">
        <v>32</v>
      </c>
      <c r="C254" t="s">
        <v>18</v>
      </c>
      <c r="D254" s="1">
        <v>46265</v>
      </c>
      <c r="E254">
        <v>984.1</v>
      </c>
      <c r="F254">
        <v>52.75</v>
      </c>
      <c r="G254">
        <v>32.43</v>
      </c>
      <c r="H254">
        <v>91</v>
      </c>
      <c r="I254" t="s">
        <v>14</v>
      </c>
      <c r="J254">
        <v>2026</v>
      </c>
      <c r="K254">
        <f t="shared" si="6"/>
        <v>20.32</v>
      </c>
      <c r="L254" t="str">
        <f t="shared" si="7"/>
        <v>Banca Alpi|32|Leasing</v>
      </c>
    </row>
    <row r="255" spans="1:12" x14ac:dyDescent="0.25">
      <c r="A255" t="s">
        <v>12</v>
      </c>
      <c r="B255">
        <v>32</v>
      </c>
      <c r="C255" t="s">
        <v>19</v>
      </c>
      <c r="D255" s="1">
        <v>46265</v>
      </c>
      <c r="E255">
        <v>1152.2</v>
      </c>
      <c r="F255">
        <v>63.53</v>
      </c>
      <c r="G255">
        <v>38.31</v>
      </c>
      <c r="H255">
        <v>92</v>
      </c>
      <c r="I255" t="s">
        <v>14</v>
      </c>
      <c r="J255">
        <v>2026</v>
      </c>
      <c r="K255">
        <f t="shared" si="6"/>
        <v>25.22</v>
      </c>
      <c r="L255" t="str">
        <f t="shared" si="7"/>
        <v>Banca Alpi|32|Factoring</v>
      </c>
    </row>
    <row r="256" spans="1:12" x14ac:dyDescent="0.25">
      <c r="A256" t="s">
        <v>12</v>
      </c>
      <c r="B256">
        <v>32</v>
      </c>
      <c r="C256" t="s">
        <v>20</v>
      </c>
      <c r="D256" s="1">
        <v>46265</v>
      </c>
      <c r="E256">
        <v>1284.5</v>
      </c>
      <c r="F256">
        <v>73.599999999999994</v>
      </c>
      <c r="G256">
        <v>43.72</v>
      </c>
      <c r="H256">
        <v>121</v>
      </c>
      <c r="I256" t="s">
        <v>14</v>
      </c>
      <c r="J256">
        <v>2026</v>
      </c>
      <c r="K256">
        <f t="shared" si="6"/>
        <v>29.879999999999995</v>
      </c>
      <c r="L256" t="str">
        <f t="shared" si="7"/>
        <v>Banca Alpi|32|Risparmio</v>
      </c>
    </row>
    <row r="257" spans="1:12" x14ac:dyDescent="0.25">
      <c r="A257" t="s">
        <v>12</v>
      </c>
      <c r="B257">
        <v>32</v>
      </c>
      <c r="C257" t="s">
        <v>21</v>
      </c>
      <c r="D257" s="1">
        <v>46265</v>
      </c>
      <c r="E257">
        <v>1433.3</v>
      </c>
      <c r="F257">
        <v>85.53</v>
      </c>
      <c r="G257">
        <v>51.07</v>
      </c>
      <c r="H257">
        <v>132</v>
      </c>
      <c r="I257" t="s">
        <v>14</v>
      </c>
      <c r="J257">
        <v>2026</v>
      </c>
      <c r="K257">
        <f t="shared" si="6"/>
        <v>34.46</v>
      </c>
      <c r="L257" t="str">
        <f t="shared" si="7"/>
        <v>Banca Alpi|32|Assicurazioni</v>
      </c>
    </row>
    <row r="258" spans="1:12" x14ac:dyDescent="0.25">
      <c r="A258" t="s">
        <v>12</v>
      </c>
      <c r="B258">
        <v>33</v>
      </c>
      <c r="C258" t="s">
        <v>13</v>
      </c>
      <c r="D258" s="1">
        <v>46295</v>
      </c>
      <c r="E258">
        <v>425.1</v>
      </c>
      <c r="F258">
        <v>19.91</v>
      </c>
      <c r="G258">
        <v>12.15</v>
      </c>
      <c r="H258">
        <v>62</v>
      </c>
      <c r="I258" t="s">
        <v>14</v>
      </c>
      <c r="J258">
        <v>2026</v>
      </c>
      <c r="K258">
        <f t="shared" ref="K258:K321" si="8">F258-G258</f>
        <v>7.76</v>
      </c>
      <c r="L258" t="str">
        <f t="shared" ref="L258:L321" si="9">A258&amp;"|"&amp;B258&amp;"|"&amp;C258</f>
        <v>Banca Alpi|33|Mutui</v>
      </c>
    </row>
    <row r="259" spans="1:12" x14ac:dyDescent="0.25">
      <c r="A259" t="s">
        <v>12</v>
      </c>
      <c r="B259">
        <v>33</v>
      </c>
      <c r="C259" t="s">
        <v>15</v>
      </c>
      <c r="D259" s="1">
        <v>46295</v>
      </c>
      <c r="E259">
        <v>558.20000000000005</v>
      </c>
      <c r="F259">
        <v>26.66</v>
      </c>
      <c r="G259">
        <v>16.28</v>
      </c>
      <c r="H259">
        <v>53</v>
      </c>
      <c r="I259" t="s">
        <v>14</v>
      </c>
      <c r="J259">
        <v>2026</v>
      </c>
      <c r="K259">
        <f t="shared" si="8"/>
        <v>10.379999999999999</v>
      </c>
      <c r="L259" t="str">
        <f t="shared" si="9"/>
        <v>Banca Alpi|33|Prestiti</v>
      </c>
    </row>
    <row r="260" spans="1:12" x14ac:dyDescent="0.25">
      <c r="A260" t="s">
        <v>12</v>
      </c>
      <c r="B260">
        <v>33</v>
      </c>
      <c r="C260" t="s">
        <v>16</v>
      </c>
      <c r="D260" s="1">
        <v>46295</v>
      </c>
      <c r="E260">
        <v>682</v>
      </c>
      <c r="F260">
        <v>33.54</v>
      </c>
      <c r="G260">
        <v>21.45</v>
      </c>
      <c r="H260">
        <v>78</v>
      </c>
      <c r="I260" t="s">
        <v>14</v>
      </c>
      <c r="J260">
        <v>2026</v>
      </c>
      <c r="K260">
        <f t="shared" si="8"/>
        <v>12.09</v>
      </c>
      <c r="L260" t="str">
        <f t="shared" si="9"/>
        <v>Banca Alpi|33|Conti</v>
      </c>
    </row>
    <row r="261" spans="1:12" x14ac:dyDescent="0.25">
      <c r="A261" t="s">
        <v>12</v>
      </c>
      <c r="B261">
        <v>33</v>
      </c>
      <c r="C261" t="s">
        <v>17</v>
      </c>
      <c r="D261" s="1">
        <v>46295</v>
      </c>
      <c r="E261">
        <v>829.5</v>
      </c>
      <c r="F261">
        <v>42.68</v>
      </c>
      <c r="G261">
        <v>25.87</v>
      </c>
      <c r="H261">
        <v>95</v>
      </c>
      <c r="I261" t="s">
        <v>14</v>
      </c>
      <c r="J261">
        <v>2026</v>
      </c>
      <c r="K261">
        <f t="shared" si="8"/>
        <v>16.809999999999999</v>
      </c>
      <c r="L261" t="str">
        <f t="shared" si="9"/>
        <v>Banca Alpi|33|Carte</v>
      </c>
    </row>
    <row r="262" spans="1:12" x14ac:dyDescent="0.25">
      <c r="A262" t="s">
        <v>12</v>
      </c>
      <c r="B262">
        <v>33</v>
      </c>
      <c r="C262" t="s">
        <v>18</v>
      </c>
      <c r="D262" s="1">
        <v>46295</v>
      </c>
      <c r="E262">
        <v>1037.2</v>
      </c>
      <c r="F262">
        <v>55.42</v>
      </c>
      <c r="G262">
        <v>33.549999999999997</v>
      </c>
      <c r="H262">
        <v>111</v>
      </c>
      <c r="I262" t="s">
        <v>14</v>
      </c>
      <c r="J262">
        <v>2026</v>
      </c>
      <c r="K262">
        <f t="shared" si="8"/>
        <v>21.870000000000005</v>
      </c>
      <c r="L262" t="str">
        <f t="shared" si="9"/>
        <v>Banca Alpi|33|Leasing</v>
      </c>
    </row>
    <row r="263" spans="1:12" x14ac:dyDescent="0.25">
      <c r="A263" t="s">
        <v>12</v>
      </c>
      <c r="B263">
        <v>33</v>
      </c>
      <c r="C263" t="s">
        <v>19</v>
      </c>
      <c r="D263" s="1">
        <v>46295</v>
      </c>
      <c r="E263">
        <v>1144.0999999999999</v>
      </c>
      <c r="F263">
        <v>63.92</v>
      </c>
      <c r="G263">
        <v>37.85</v>
      </c>
      <c r="H263">
        <v>111</v>
      </c>
      <c r="I263" t="s">
        <v>14</v>
      </c>
      <c r="J263">
        <v>2026</v>
      </c>
      <c r="K263">
        <f t="shared" si="8"/>
        <v>26.07</v>
      </c>
      <c r="L263" t="str">
        <f t="shared" si="9"/>
        <v>Banca Alpi|33|Factoring</v>
      </c>
    </row>
    <row r="264" spans="1:12" x14ac:dyDescent="0.25">
      <c r="A264" t="s">
        <v>12</v>
      </c>
      <c r="B264">
        <v>33</v>
      </c>
      <c r="C264" t="s">
        <v>20</v>
      </c>
      <c r="D264" s="1">
        <v>46295</v>
      </c>
      <c r="E264">
        <v>1337.3</v>
      </c>
      <c r="F264">
        <v>76.87</v>
      </c>
      <c r="G264">
        <v>46.44</v>
      </c>
      <c r="H264">
        <v>104</v>
      </c>
      <c r="I264" t="s">
        <v>14</v>
      </c>
      <c r="J264">
        <v>2026</v>
      </c>
      <c r="K264">
        <f t="shared" si="8"/>
        <v>30.430000000000007</v>
      </c>
      <c r="L264" t="str">
        <f t="shared" si="9"/>
        <v>Banca Alpi|33|Risparmio</v>
      </c>
    </row>
    <row r="265" spans="1:12" x14ac:dyDescent="0.25">
      <c r="A265" t="s">
        <v>12</v>
      </c>
      <c r="B265">
        <v>33</v>
      </c>
      <c r="C265" t="s">
        <v>21</v>
      </c>
      <c r="D265" s="1">
        <v>46295</v>
      </c>
      <c r="E265">
        <v>1467.8</v>
      </c>
      <c r="F265">
        <v>86.95</v>
      </c>
      <c r="G265">
        <v>51.54</v>
      </c>
      <c r="H265">
        <v>146</v>
      </c>
      <c r="I265" t="s">
        <v>14</v>
      </c>
      <c r="J265">
        <v>2026</v>
      </c>
      <c r="K265">
        <f t="shared" si="8"/>
        <v>35.410000000000004</v>
      </c>
      <c r="L265" t="str">
        <f t="shared" si="9"/>
        <v>Banca Alpi|33|Assicurazioni</v>
      </c>
    </row>
    <row r="266" spans="1:12" x14ac:dyDescent="0.25">
      <c r="A266" t="s">
        <v>12</v>
      </c>
      <c r="B266">
        <v>34</v>
      </c>
      <c r="C266" t="s">
        <v>13</v>
      </c>
      <c r="D266" s="1">
        <v>46326</v>
      </c>
      <c r="E266">
        <v>399.3</v>
      </c>
      <c r="F266">
        <v>18.03</v>
      </c>
      <c r="G266">
        <v>11.23</v>
      </c>
      <c r="H266">
        <v>69</v>
      </c>
      <c r="I266" t="s">
        <v>14</v>
      </c>
      <c r="J266">
        <v>2026</v>
      </c>
      <c r="K266">
        <f t="shared" si="8"/>
        <v>6.8000000000000007</v>
      </c>
      <c r="L266" t="str">
        <f t="shared" si="9"/>
        <v>Banca Alpi|34|Mutui</v>
      </c>
    </row>
    <row r="267" spans="1:12" x14ac:dyDescent="0.25">
      <c r="A267" t="s">
        <v>12</v>
      </c>
      <c r="B267">
        <v>34</v>
      </c>
      <c r="C267" t="s">
        <v>15</v>
      </c>
      <c r="D267" s="1">
        <v>46326</v>
      </c>
      <c r="E267">
        <v>588.79999999999995</v>
      </c>
      <c r="F267">
        <v>28.07</v>
      </c>
      <c r="G267">
        <v>17.559999999999999</v>
      </c>
      <c r="H267">
        <v>61</v>
      </c>
      <c r="I267" t="s">
        <v>14</v>
      </c>
      <c r="J267">
        <v>2026</v>
      </c>
      <c r="K267">
        <f t="shared" si="8"/>
        <v>10.510000000000002</v>
      </c>
      <c r="L267" t="str">
        <f t="shared" si="9"/>
        <v>Banca Alpi|34|Prestiti</v>
      </c>
    </row>
    <row r="268" spans="1:12" x14ac:dyDescent="0.25">
      <c r="A268" t="s">
        <v>12</v>
      </c>
      <c r="B268">
        <v>34</v>
      </c>
      <c r="C268" t="s">
        <v>16</v>
      </c>
      <c r="D268" s="1">
        <v>46326</v>
      </c>
      <c r="E268">
        <v>687.3</v>
      </c>
      <c r="F268">
        <v>34.49</v>
      </c>
      <c r="G268">
        <v>20.83</v>
      </c>
      <c r="H268">
        <v>75</v>
      </c>
      <c r="I268" t="s">
        <v>14</v>
      </c>
      <c r="J268">
        <v>2026</v>
      </c>
      <c r="K268">
        <f t="shared" si="8"/>
        <v>13.660000000000004</v>
      </c>
      <c r="L268" t="str">
        <f t="shared" si="9"/>
        <v>Banca Alpi|34|Conti</v>
      </c>
    </row>
    <row r="269" spans="1:12" x14ac:dyDescent="0.25">
      <c r="A269" t="s">
        <v>12</v>
      </c>
      <c r="B269">
        <v>34</v>
      </c>
      <c r="C269" t="s">
        <v>17</v>
      </c>
      <c r="D269" s="1">
        <v>46326</v>
      </c>
      <c r="E269">
        <v>886.1</v>
      </c>
      <c r="F269">
        <v>45.61</v>
      </c>
      <c r="G269">
        <v>27.93</v>
      </c>
      <c r="H269">
        <v>91</v>
      </c>
      <c r="I269" t="s">
        <v>14</v>
      </c>
      <c r="J269">
        <v>2026</v>
      </c>
      <c r="K269">
        <f t="shared" si="8"/>
        <v>17.68</v>
      </c>
      <c r="L269" t="str">
        <f t="shared" si="9"/>
        <v>Banca Alpi|34|Carte</v>
      </c>
    </row>
    <row r="270" spans="1:12" x14ac:dyDescent="0.25">
      <c r="A270" t="s">
        <v>12</v>
      </c>
      <c r="B270">
        <v>34</v>
      </c>
      <c r="C270" t="s">
        <v>18</v>
      </c>
      <c r="D270" s="1">
        <v>46326</v>
      </c>
      <c r="E270">
        <v>1008.7</v>
      </c>
      <c r="F270">
        <v>53.79</v>
      </c>
      <c r="G270">
        <v>32.89</v>
      </c>
      <c r="H270">
        <v>94</v>
      </c>
      <c r="I270" t="s">
        <v>14</v>
      </c>
      <c r="J270">
        <v>2026</v>
      </c>
      <c r="K270">
        <f t="shared" si="8"/>
        <v>20.9</v>
      </c>
      <c r="L270" t="str">
        <f t="shared" si="9"/>
        <v>Banca Alpi|34|Leasing</v>
      </c>
    </row>
    <row r="271" spans="1:12" x14ac:dyDescent="0.25">
      <c r="A271" t="s">
        <v>12</v>
      </c>
      <c r="B271">
        <v>34</v>
      </c>
      <c r="C271" t="s">
        <v>19</v>
      </c>
      <c r="D271" s="1">
        <v>46326</v>
      </c>
      <c r="E271">
        <v>1161.7</v>
      </c>
      <c r="F271">
        <v>64.05</v>
      </c>
      <c r="G271">
        <v>39.32</v>
      </c>
      <c r="H271">
        <v>93</v>
      </c>
      <c r="I271" t="s">
        <v>14</v>
      </c>
      <c r="J271">
        <v>2026</v>
      </c>
      <c r="K271">
        <f t="shared" si="8"/>
        <v>24.729999999999997</v>
      </c>
      <c r="L271" t="str">
        <f t="shared" si="9"/>
        <v>Banca Alpi|34|Factoring</v>
      </c>
    </row>
    <row r="272" spans="1:12" x14ac:dyDescent="0.25">
      <c r="A272" t="s">
        <v>12</v>
      </c>
      <c r="B272">
        <v>34</v>
      </c>
      <c r="C272" t="s">
        <v>20</v>
      </c>
      <c r="D272" s="1">
        <v>46326</v>
      </c>
      <c r="E272">
        <v>1320.6</v>
      </c>
      <c r="F272">
        <v>75.48</v>
      </c>
      <c r="G272">
        <v>45.29</v>
      </c>
      <c r="H272">
        <v>116</v>
      </c>
      <c r="I272" t="s">
        <v>14</v>
      </c>
      <c r="J272">
        <v>2026</v>
      </c>
      <c r="K272">
        <f t="shared" si="8"/>
        <v>30.190000000000005</v>
      </c>
      <c r="L272" t="str">
        <f t="shared" si="9"/>
        <v>Banca Alpi|34|Risparmio</v>
      </c>
    </row>
    <row r="273" spans="1:12" x14ac:dyDescent="0.25">
      <c r="A273" t="s">
        <v>12</v>
      </c>
      <c r="B273">
        <v>34</v>
      </c>
      <c r="C273" t="s">
        <v>21</v>
      </c>
      <c r="D273" s="1">
        <v>46326</v>
      </c>
      <c r="E273">
        <v>1485.4</v>
      </c>
      <c r="F273">
        <v>88.05</v>
      </c>
      <c r="G273">
        <v>52.41</v>
      </c>
      <c r="H273">
        <v>147</v>
      </c>
      <c r="I273" t="s">
        <v>14</v>
      </c>
      <c r="J273">
        <v>2026</v>
      </c>
      <c r="K273">
        <f t="shared" si="8"/>
        <v>35.64</v>
      </c>
      <c r="L273" t="str">
        <f t="shared" si="9"/>
        <v>Banca Alpi|34|Assicurazioni</v>
      </c>
    </row>
    <row r="274" spans="1:12" x14ac:dyDescent="0.25">
      <c r="A274" t="s">
        <v>12</v>
      </c>
      <c r="B274">
        <v>35</v>
      </c>
      <c r="C274" t="s">
        <v>13</v>
      </c>
      <c r="D274" s="1">
        <v>46356</v>
      </c>
      <c r="E274">
        <v>384.4</v>
      </c>
      <c r="F274">
        <v>17.8</v>
      </c>
      <c r="G274">
        <v>11.43</v>
      </c>
      <c r="H274">
        <v>48</v>
      </c>
      <c r="I274" t="s">
        <v>14</v>
      </c>
      <c r="J274">
        <v>2026</v>
      </c>
      <c r="K274">
        <f t="shared" si="8"/>
        <v>6.370000000000001</v>
      </c>
      <c r="L274" t="str">
        <f t="shared" si="9"/>
        <v>Banca Alpi|35|Mutui</v>
      </c>
    </row>
    <row r="275" spans="1:12" x14ac:dyDescent="0.25">
      <c r="A275" t="s">
        <v>12</v>
      </c>
      <c r="B275">
        <v>35</v>
      </c>
      <c r="C275" t="s">
        <v>15</v>
      </c>
      <c r="D275" s="1">
        <v>46356</v>
      </c>
      <c r="E275">
        <v>590.1</v>
      </c>
      <c r="F275">
        <v>28.16</v>
      </c>
      <c r="G275">
        <v>17.600000000000001</v>
      </c>
      <c r="H275">
        <v>49</v>
      </c>
      <c r="I275" t="s">
        <v>14</v>
      </c>
      <c r="J275">
        <v>2026</v>
      </c>
      <c r="K275">
        <f t="shared" si="8"/>
        <v>10.559999999999999</v>
      </c>
      <c r="L275" t="str">
        <f t="shared" si="9"/>
        <v>Banca Alpi|35|Prestiti</v>
      </c>
    </row>
    <row r="276" spans="1:12" x14ac:dyDescent="0.25">
      <c r="A276" t="s">
        <v>12</v>
      </c>
      <c r="B276">
        <v>35</v>
      </c>
      <c r="C276" t="s">
        <v>16</v>
      </c>
      <c r="D276" s="1">
        <v>46356</v>
      </c>
      <c r="E276">
        <v>707.9</v>
      </c>
      <c r="F276">
        <v>35.57</v>
      </c>
      <c r="G276">
        <v>21.82</v>
      </c>
      <c r="H276">
        <v>71</v>
      </c>
      <c r="I276" t="s">
        <v>14</v>
      </c>
      <c r="J276">
        <v>2026</v>
      </c>
      <c r="K276">
        <f t="shared" si="8"/>
        <v>13.75</v>
      </c>
      <c r="L276" t="str">
        <f t="shared" si="9"/>
        <v>Banca Alpi|35|Conti</v>
      </c>
    </row>
    <row r="277" spans="1:12" x14ac:dyDescent="0.25">
      <c r="A277" t="s">
        <v>12</v>
      </c>
      <c r="B277">
        <v>35</v>
      </c>
      <c r="C277" t="s">
        <v>17</v>
      </c>
      <c r="D277" s="1">
        <v>46356</v>
      </c>
      <c r="E277">
        <v>858.3</v>
      </c>
      <c r="F277">
        <v>44.23</v>
      </c>
      <c r="G277">
        <v>27.29</v>
      </c>
      <c r="H277">
        <v>91</v>
      </c>
      <c r="I277" t="s">
        <v>14</v>
      </c>
      <c r="J277">
        <v>2026</v>
      </c>
      <c r="K277">
        <f t="shared" si="8"/>
        <v>16.939999999999998</v>
      </c>
      <c r="L277" t="str">
        <f t="shared" si="9"/>
        <v>Banca Alpi|35|Carte</v>
      </c>
    </row>
    <row r="278" spans="1:12" x14ac:dyDescent="0.25">
      <c r="A278" t="s">
        <v>12</v>
      </c>
      <c r="B278">
        <v>35</v>
      </c>
      <c r="C278" t="s">
        <v>18</v>
      </c>
      <c r="D278" s="1">
        <v>46356</v>
      </c>
      <c r="E278">
        <v>1023.9</v>
      </c>
      <c r="F278">
        <v>54.68</v>
      </c>
      <c r="G278">
        <v>33.22</v>
      </c>
      <c r="H278">
        <v>118</v>
      </c>
      <c r="I278" t="s">
        <v>14</v>
      </c>
      <c r="J278">
        <v>2026</v>
      </c>
      <c r="K278">
        <f t="shared" si="8"/>
        <v>21.46</v>
      </c>
      <c r="L278" t="str">
        <f t="shared" si="9"/>
        <v>Banca Alpi|35|Leasing</v>
      </c>
    </row>
    <row r="279" spans="1:12" x14ac:dyDescent="0.25">
      <c r="A279" t="s">
        <v>12</v>
      </c>
      <c r="B279">
        <v>35</v>
      </c>
      <c r="C279" t="s">
        <v>19</v>
      </c>
      <c r="D279" s="1">
        <v>46356</v>
      </c>
      <c r="E279">
        <v>1171.3</v>
      </c>
      <c r="F279">
        <v>64.84</v>
      </c>
      <c r="G279">
        <v>39.549999999999997</v>
      </c>
      <c r="H279">
        <v>125</v>
      </c>
      <c r="I279" t="s">
        <v>14</v>
      </c>
      <c r="J279">
        <v>2026</v>
      </c>
      <c r="K279">
        <f t="shared" si="8"/>
        <v>25.290000000000006</v>
      </c>
      <c r="L279" t="str">
        <f t="shared" si="9"/>
        <v>Banca Alpi|35|Factoring</v>
      </c>
    </row>
    <row r="280" spans="1:12" x14ac:dyDescent="0.25">
      <c r="A280" t="s">
        <v>12</v>
      </c>
      <c r="B280">
        <v>35</v>
      </c>
      <c r="C280" t="s">
        <v>20</v>
      </c>
      <c r="D280" s="1">
        <v>46356</v>
      </c>
      <c r="E280">
        <v>1359</v>
      </c>
      <c r="F280">
        <v>77.459999999999994</v>
      </c>
      <c r="G280">
        <v>46.87</v>
      </c>
      <c r="H280">
        <v>124</v>
      </c>
      <c r="I280" t="s">
        <v>14</v>
      </c>
      <c r="J280">
        <v>2026</v>
      </c>
      <c r="K280">
        <f t="shared" si="8"/>
        <v>30.589999999999996</v>
      </c>
      <c r="L280" t="str">
        <f t="shared" si="9"/>
        <v>Banca Alpi|35|Risparmio</v>
      </c>
    </row>
    <row r="281" spans="1:12" x14ac:dyDescent="0.25">
      <c r="A281" t="s">
        <v>12</v>
      </c>
      <c r="B281">
        <v>35</v>
      </c>
      <c r="C281" t="s">
        <v>21</v>
      </c>
      <c r="D281" s="1">
        <v>46356</v>
      </c>
      <c r="E281">
        <v>1489.4</v>
      </c>
      <c r="F281">
        <v>88.54</v>
      </c>
      <c r="G281">
        <v>52.32</v>
      </c>
      <c r="H281">
        <v>132</v>
      </c>
      <c r="I281" t="s">
        <v>14</v>
      </c>
      <c r="J281">
        <v>2026</v>
      </c>
      <c r="K281">
        <f t="shared" si="8"/>
        <v>36.220000000000006</v>
      </c>
      <c r="L281" t="str">
        <f t="shared" si="9"/>
        <v>Banca Alpi|35|Assicurazioni</v>
      </c>
    </row>
    <row r="282" spans="1:12" x14ac:dyDescent="0.25">
      <c r="A282" t="s">
        <v>12</v>
      </c>
      <c r="B282">
        <v>36</v>
      </c>
      <c r="C282" t="s">
        <v>13</v>
      </c>
      <c r="D282" s="1">
        <v>46387</v>
      </c>
      <c r="E282">
        <v>409.2</v>
      </c>
      <c r="F282">
        <v>19.09</v>
      </c>
      <c r="G282">
        <v>12.31</v>
      </c>
      <c r="H282">
        <v>59</v>
      </c>
      <c r="I282" t="s">
        <v>14</v>
      </c>
      <c r="J282">
        <v>2026</v>
      </c>
      <c r="K282">
        <f t="shared" si="8"/>
        <v>6.7799999999999994</v>
      </c>
      <c r="L282" t="str">
        <f t="shared" si="9"/>
        <v>Banca Alpi|36|Mutui</v>
      </c>
    </row>
    <row r="283" spans="1:12" x14ac:dyDescent="0.25">
      <c r="A283" t="s">
        <v>12</v>
      </c>
      <c r="B283">
        <v>36</v>
      </c>
      <c r="C283" t="s">
        <v>15</v>
      </c>
      <c r="D283" s="1">
        <v>46387</v>
      </c>
      <c r="E283">
        <v>556.5</v>
      </c>
      <c r="F283">
        <v>26.78</v>
      </c>
      <c r="G283">
        <v>16.14</v>
      </c>
      <c r="H283">
        <v>45</v>
      </c>
      <c r="I283" t="s">
        <v>14</v>
      </c>
      <c r="J283">
        <v>2026</v>
      </c>
      <c r="K283">
        <f t="shared" si="8"/>
        <v>10.64</v>
      </c>
      <c r="L283" t="str">
        <f t="shared" si="9"/>
        <v>Banca Alpi|36|Prestiti</v>
      </c>
    </row>
    <row r="284" spans="1:12" x14ac:dyDescent="0.25">
      <c r="A284" t="s">
        <v>12</v>
      </c>
      <c r="B284">
        <v>36</v>
      </c>
      <c r="C284" t="s">
        <v>16</v>
      </c>
      <c r="D284" s="1">
        <v>46387</v>
      </c>
      <c r="E284">
        <v>733.7</v>
      </c>
      <c r="F284">
        <v>36.68</v>
      </c>
      <c r="G284">
        <v>22.84</v>
      </c>
      <c r="H284">
        <v>68</v>
      </c>
      <c r="I284" t="s">
        <v>14</v>
      </c>
      <c r="J284">
        <v>2026</v>
      </c>
      <c r="K284">
        <f t="shared" si="8"/>
        <v>13.84</v>
      </c>
      <c r="L284" t="str">
        <f t="shared" si="9"/>
        <v>Banca Alpi|36|Conti</v>
      </c>
    </row>
    <row r="285" spans="1:12" x14ac:dyDescent="0.25">
      <c r="A285" t="s">
        <v>12</v>
      </c>
      <c r="B285">
        <v>36</v>
      </c>
      <c r="C285" t="s">
        <v>17</v>
      </c>
      <c r="D285" s="1">
        <v>46387</v>
      </c>
      <c r="E285">
        <v>853.2</v>
      </c>
      <c r="F285">
        <v>43.57</v>
      </c>
      <c r="G285">
        <v>27.14</v>
      </c>
      <c r="H285">
        <v>68</v>
      </c>
      <c r="I285" t="s">
        <v>14</v>
      </c>
      <c r="J285">
        <v>2026</v>
      </c>
      <c r="K285">
        <f t="shared" si="8"/>
        <v>16.43</v>
      </c>
      <c r="L285" t="str">
        <f t="shared" si="9"/>
        <v>Banca Alpi|36|Carte</v>
      </c>
    </row>
    <row r="286" spans="1:12" x14ac:dyDescent="0.25">
      <c r="A286" t="s">
        <v>12</v>
      </c>
      <c r="B286">
        <v>36</v>
      </c>
      <c r="C286" t="s">
        <v>18</v>
      </c>
      <c r="D286" s="1">
        <v>46387</v>
      </c>
      <c r="E286">
        <v>1012.9</v>
      </c>
      <c r="F286">
        <v>54.21</v>
      </c>
      <c r="G286">
        <v>33.06</v>
      </c>
      <c r="H286">
        <v>87</v>
      </c>
      <c r="I286" t="s">
        <v>14</v>
      </c>
      <c r="J286">
        <v>2026</v>
      </c>
      <c r="K286">
        <f t="shared" si="8"/>
        <v>21.15</v>
      </c>
      <c r="L286" t="str">
        <f t="shared" si="9"/>
        <v>Banca Alpi|36|Leasing</v>
      </c>
    </row>
    <row r="287" spans="1:12" x14ac:dyDescent="0.25">
      <c r="A287" t="s">
        <v>12</v>
      </c>
      <c r="B287">
        <v>36</v>
      </c>
      <c r="C287" t="s">
        <v>19</v>
      </c>
      <c r="D287" s="1">
        <v>46387</v>
      </c>
      <c r="E287">
        <v>1189.0999999999999</v>
      </c>
      <c r="F287">
        <v>65.62</v>
      </c>
      <c r="G287">
        <v>39.32</v>
      </c>
      <c r="H287">
        <v>124</v>
      </c>
      <c r="I287" t="s">
        <v>14</v>
      </c>
      <c r="J287">
        <v>2026</v>
      </c>
      <c r="K287">
        <f t="shared" si="8"/>
        <v>26.300000000000004</v>
      </c>
      <c r="L287" t="str">
        <f t="shared" si="9"/>
        <v>Banca Alpi|36|Factoring</v>
      </c>
    </row>
    <row r="288" spans="1:12" x14ac:dyDescent="0.25">
      <c r="A288" t="s">
        <v>12</v>
      </c>
      <c r="B288">
        <v>36</v>
      </c>
      <c r="C288" t="s">
        <v>20</v>
      </c>
      <c r="D288" s="1">
        <v>46387</v>
      </c>
      <c r="E288">
        <v>1352.8</v>
      </c>
      <c r="F288">
        <v>77.37</v>
      </c>
      <c r="G288">
        <v>46.26</v>
      </c>
      <c r="H288">
        <v>108</v>
      </c>
      <c r="I288" t="s">
        <v>14</v>
      </c>
      <c r="J288">
        <v>2026</v>
      </c>
      <c r="K288">
        <f t="shared" si="8"/>
        <v>31.110000000000007</v>
      </c>
      <c r="L288" t="str">
        <f t="shared" si="9"/>
        <v>Banca Alpi|36|Risparmio</v>
      </c>
    </row>
    <row r="289" spans="1:12" x14ac:dyDescent="0.25">
      <c r="A289" t="s">
        <v>12</v>
      </c>
      <c r="B289">
        <v>36</v>
      </c>
      <c r="C289" t="s">
        <v>21</v>
      </c>
      <c r="D289" s="1">
        <v>46387</v>
      </c>
      <c r="E289">
        <v>1488.4</v>
      </c>
      <c r="F289">
        <v>88.38</v>
      </c>
      <c r="G289">
        <v>52.87</v>
      </c>
      <c r="H289">
        <v>141</v>
      </c>
      <c r="I289" t="s">
        <v>14</v>
      </c>
      <c r="J289">
        <v>2026</v>
      </c>
      <c r="K289">
        <f t="shared" si="8"/>
        <v>35.51</v>
      </c>
      <c r="L289" t="str">
        <f t="shared" si="9"/>
        <v>Banca Alpi|36|Assicurazioni</v>
      </c>
    </row>
    <row r="290" spans="1:12" x14ac:dyDescent="0.25">
      <c r="A290" t="s">
        <v>22</v>
      </c>
      <c r="B290">
        <v>1</v>
      </c>
      <c r="C290" t="s">
        <v>13</v>
      </c>
      <c r="D290" s="1">
        <v>45322</v>
      </c>
      <c r="E290">
        <v>382.9</v>
      </c>
      <c r="F290">
        <v>17.649999999999999</v>
      </c>
      <c r="G290">
        <v>11.58</v>
      </c>
      <c r="H290">
        <v>42</v>
      </c>
      <c r="I290" t="s">
        <v>23</v>
      </c>
      <c r="J290">
        <v>2024</v>
      </c>
      <c r="K290">
        <f t="shared" si="8"/>
        <v>6.0699999999999985</v>
      </c>
      <c r="L290" t="str">
        <f t="shared" si="9"/>
        <v>Banca Adriatica|1|Mutui</v>
      </c>
    </row>
    <row r="291" spans="1:12" x14ac:dyDescent="0.25">
      <c r="A291" t="s">
        <v>22</v>
      </c>
      <c r="B291">
        <v>1</v>
      </c>
      <c r="C291" t="s">
        <v>15</v>
      </c>
      <c r="D291" s="1">
        <v>45322</v>
      </c>
      <c r="E291">
        <v>518.5</v>
      </c>
      <c r="F291">
        <v>24.54</v>
      </c>
      <c r="G291">
        <v>15.39</v>
      </c>
      <c r="H291">
        <v>66</v>
      </c>
      <c r="I291" t="s">
        <v>23</v>
      </c>
      <c r="J291">
        <v>2024</v>
      </c>
      <c r="K291">
        <f t="shared" si="8"/>
        <v>9.1499999999999986</v>
      </c>
      <c r="L291" t="str">
        <f t="shared" si="9"/>
        <v>Banca Adriatica|1|Prestiti</v>
      </c>
    </row>
    <row r="292" spans="1:12" x14ac:dyDescent="0.25">
      <c r="A292" t="s">
        <v>22</v>
      </c>
      <c r="B292">
        <v>1</v>
      </c>
      <c r="C292" t="s">
        <v>16</v>
      </c>
      <c r="D292" s="1">
        <v>45322</v>
      </c>
      <c r="E292">
        <v>644.70000000000005</v>
      </c>
      <c r="F292">
        <v>32.56</v>
      </c>
      <c r="G292">
        <v>19.52</v>
      </c>
      <c r="H292">
        <v>74</v>
      </c>
      <c r="I292" t="s">
        <v>23</v>
      </c>
      <c r="J292">
        <v>2024</v>
      </c>
      <c r="K292">
        <f t="shared" si="8"/>
        <v>13.040000000000003</v>
      </c>
      <c r="L292" t="str">
        <f t="shared" si="9"/>
        <v>Banca Adriatica|1|Conti</v>
      </c>
    </row>
    <row r="293" spans="1:12" x14ac:dyDescent="0.25">
      <c r="A293" t="s">
        <v>22</v>
      </c>
      <c r="B293">
        <v>1</v>
      </c>
      <c r="C293" t="s">
        <v>17</v>
      </c>
      <c r="D293" s="1">
        <v>45322</v>
      </c>
      <c r="E293">
        <v>831.4</v>
      </c>
      <c r="F293">
        <v>42.42</v>
      </c>
      <c r="G293">
        <v>26.43</v>
      </c>
      <c r="H293">
        <v>84</v>
      </c>
      <c r="I293" t="s">
        <v>23</v>
      </c>
      <c r="J293">
        <v>2024</v>
      </c>
      <c r="K293">
        <f t="shared" si="8"/>
        <v>15.990000000000002</v>
      </c>
      <c r="L293" t="str">
        <f t="shared" si="9"/>
        <v>Banca Adriatica|1|Carte</v>
      </c>
    </row>
    <row r="294" spans="1:12" x14ac:dyDescent="0.25">
      <c r="A294" t="s">
        <v>22</v>
      </c>
      <c r="B294">
        <v>1</v>
      </c>
      <c r="C294" t="s">
        <v>18</v>
      </c>
      <c r="D294" s="1">
        <v>45322</v>
      </c>
      <c r="E294">
        <v>926.1</v>
      </c>
      <c r="F294">
        <v>49.63</v>
      </c>
      <c r="G294">
        <v>29.83</v>
      </c>
      <c r="H294">
        <v>106</v>
      </c>
      <c r="I294" t="s">
        <v>23</v>
      </c>
      <c r="J294">
        <v>2024</v>
      </c>
      <c r="K294">
        <f t="shared" si="8"/>
        <v>19.800000000000004</v>
      </c>
      <c r="L294" t="str">
        <f t="shared" si="9"/>
        <v>Banca Adriatica|1|Leasing</v>
      </c>
    </row>
    <row r="295" spans="1:12" x14ac:dyDescent="0.25">
      <c r="A295" t="s">
        <v>22</v>
      </c>
      <c r="B295">
        <v>1</v>
      </c>
      <c r="C295" t="s">
        <v>19</v>
      </c>
      <c r="D295" s="1">
        <v>45322</v>
      </c>
      <c r="E295">
        <v>1081.4000000000001</v>
      </c>
      <c r="F295">
        <v>59.93</v>
      </c>
      <c r="G295">
        <v>36.39</v>
      </c>
      <c r="H295">
        <v>144</v>
      </c>
      <c r="I295" t="s">
        <v>23</v>
      </c>
      <c r="J295">
        <v>2024</v>
      </c>
      <c r="K295">
        <f t="shared" si="8"/>
        <v>23.54</v>
      </c>
      <c r="L295" t="str">
        <f t="shared" si="9"/>
        <v>Banca Adriatica|1|Factoring</v>
      </c>
    </row>
    <row r="296" spans="1:12" x14ac:dyDescent="0.25">
      <c r="A296" t="s">
        <v>22</v>
      </c>
      <c r="B296">
        <v>1</v>
      </c>
      <c r="C296" t="s">
        <v>20</v>
      </c>
      <c r="D296" s="1">
        <v>45322</v>
      </c>
      <c r="E296">
        <v>1249.5999999999999</v>
      </c>
      <c r="F296">
        <v>71.510000000000005</v>
      </c>
      <c r="G296">
        <v>42.54</v>
      </c>
      <c r="H296">
        <v>138</v>
      </c>
      <c r="I296" t="s">
        <v>23</v>
      </c>
      <c r="J296">
        <v>2024</v>
      </c>
      <c r="K296">
        <f t="shared" si="8"/>
        <v>28.970000000000006</v>
      </c>
      <c r="L296" t="str">
        <f t="shared" si="9"/>
        <v>Banca Adriatica|1|Risparmio</v>
      </c>
    </row>
    <row r="297" spans="1:12" x14ac:dyDescent="0.25">
      <c r="A297" t="s">
        <v>22</v>
      </c>
      <c r="B297">
        <v>1</v>
      </c>
      <c r="C297" t="s">
        <v>21</v>
      </c>
      <c r="D297" s="1">
        <v>45322</v>
      </c>
      <c r="E297">
        <v>1345.6</v>
      </c>
      <c r="F297">
        <v>80.05</v>
      </c>
      <c r="G297">
        <v>47.61</v>
      </c>
      <c r="H297">
        <v>163</v>
      </c>
      <c r="I297" t="s">
        <v>23</v>
      </c>
      <c r="J297">
        <v>2024</v>
      </c>
      <c r="K297">
        <f t="shared" si="8"/>
        <v>32.44</v>
      </c>
      <c r="L297" t="str">
        <f t="shared" si="9"/>
        <v>Banca Adriatica|1|Assicurazioni</v>
      </c>
    </row>
    <row r="298" spans="1:12" x14ac:dyDescent="0.25">
      <c r="A298" t="s">
        <v>22</v>
      </c>
      <c r="B298">
        <v>2</v>
      </c>
      <c r="C298" t="s">
        <v>13</v>
      </c>
      <c r="D298" s="1">
        <v>45351</v>
      </c>
      <c r="E298">
        <v>382.8</v>
      </c>
      <c r="F298">
        <v>18.079999999999998</v>
      </c>
      <c r="G298">
        <v>11.42</v>
      </c>
      <c r="H298">
        <v>60</v>
      </c>
      <c r="I298" t="s">
        <v>23</v>
      </c>
      <c r="J298">
        <v>2024</v>
      </c>
      <c r="K298">
        <f t="shared" si="8"/>
        <v>6.6599999999999984</v>
      </c>
      <c r="L298" t="str">
        <f t="shared" si="9"/>
        <v>Banca Adriatica|2|Mutui</v>
      </c>
    </row>
    <row r="299" spans="1:12" x14ac:dyDescent="0.25">
      <c r="A299" t="s">
        <v>22</v>
      </c>
      <c r="B299">
        <v>2</v>
      </c>
      <c r="C299" t="s">
        <v>15</v>
      </c>
      <c r="D299" s="1">
        <v>45351</v>
      </c>
      <c r="E299">
        <v>504.9</v>
      </c>
      <c r="F299">
        <v>23.81</v>
      </c>
      <c r="G299">
        <v>14.71</v>
      </c>
      <c r="H299">
        <v>57</v>
      </c>
      <c r="I299" t="s">
        <v>23</v>
      </c>
      <c r="J299">
        <v>2024</v>
      </c>
      <c r="K299">
        <f t="shared" si="8"/>
        <v>9.0999999999999979</v>
      </c>
      <c r="L299" t="str">
        <f t="shared" si="9"/>
        <v>Banca Adriatica|2|Prestiti</v>
      </c>
    </row>
    <row r="300" spans="1:12" x14ac:dyDescent="0.25">
      <c r="A300" t="s">
        <v>22</v>
      </c>
      <c r="B300">
        <v>2</v>
      </c>
      <c r="C300" t="s">
        <v>16</v>
      </c>
      <c r="D300" s="1">
        <v>45351</v>
      </c>
      <c r="E300">
        <v>687.6</v>
      </c>
      <c r="F300">
        <v>34.6</v>
      </c>
      <c r="G300">
        <v>21.3</v>
      </c>
      <c r="H300">
        <v>84</v>
      </c>
      <c r="I300" t="s">
        <v>23</v>
      </c>
      <c r="J300">
        <v>2024</v>
      </c>
      <c r="K300">
        <f t="shared" si="8"/>
        <v>13.3</v>
      </c>
      <c r="L300" t="str">
        <f t="shared" si="9"/>
        <v>Banca Adriatica|2|Conti</v>
      </c>
    </row>
    <row r="301" spans="1:12" x14ac:dyDescent="0.25">
      <c r="A301" t="s">
        <v>22</v>
      </c>
      <c r="B301">
        <v>2</v>
      </c>
      <c r="C301" t="s">
        <v>17</v>
      </c>
      <c r="D301" s="1">
        <v>45351</v>
      </c>
      <c r="E301">
        <v>780.7</v>
      </c>
      <c r="F301">
        <v>40.04</v>
      </c>
      <c r="G301">
        <v>24.75</v>
      </c>
      <c r="H301">
        <v>108</v>
      </c>
      <c r="I301" t="s">
        <v>23</v>
      </c>
      <c r="J301">
        <v>2024</v>
      </c>
      <c r="K301">
        <f t="shared" si="8"/>
        <v>15.29</v>
      </c>
      <c r="L301" t="str">
        <f t="shared" si="9"/>
        <v>Banca Adriatica|2|Carte</v>
      </c>
    </row>
    <row r="302" spans="1:12" x14ac:dyDescent="0.25">
      <c r="A302" t="s">
        <v>22</v>
      </c>
      <c r="B302">
        <v>2</v>
      </c>
      <c r="C302" t="s">
        <v>18</v>
      </c>
      <c r="D302" s="1">
        <v>45351</v>
      </c>
      <c r="E302">
        <v>939.6</v>
      </c>
      <c r="F302">
        <v>50.26</v>
      </c>
      <c r="G302">
        <v>30.52</v>
      </c>
      <c r="H302">
        <v>114</v>
      </c>
      <c r="I302" t="s">
        <v>23</v>
      </c>
      <c r="J302">
        <v>2024</v>
      </c>
      <c r="K302">
        <f t="shared" si="8"/>
        <v>19.739999999999998</v>
      </c>
      <c r="L302" t="str">
        <f t="shared" si="9"/>
        <v>Banca Adriatica|2|Leasing</v>
      </c>
    </row>
    <row r="303" spans="1:12" x14ac:dyDescent="0.25">
      <c r="A303" t="s">
        <v>22</v>
      </c>
      <c r="B303">
        <v>2</v>
      </c>
      <c r="C303" t="s">
        <v>19</v>
      </c>
      <c r="D303" s="1">
        <v>45351</v>
      </c>
      <c r="E303">
        <v>1090</v>
      </c>
      <c r="F303">
        <v>60.87</v>
      </c>
      <c r="G303">
        <v>36.729999999999997</v>
      </c>
      <c r="H303">
        <v>111</v>
      </c>
      <c r="I303" t="s">
        <v>23</v>
      </c>
      <c r="J303">
        <v>2024</v>
      </c>
      <c r="K303">
        <f t="shared" si="8"/>
        <v>24.14</v>
      </c>
      <c r="L303" t="str">
        <f t="shared" si="9"/>
        <v>Banca Adriatica|2|Factoring</v>
      </c>
    </row>
    <row r="304" spans="1:12" x14ac:dyDescent="0.25">
      <c r="A304" t="s">
        <v>22</v>
      </c>
      <c r="B304">
        <v>2</v>
      </c>
      <c r="C304" t="s">
        <v>20</v>
      </c>
      <c r="D304" s="1">
        <v>45351</v>
      </c>
      <c r="E304">
        <v>1263.5</v>
      </c>
      <c r="F304">
        <v>72.52</v>
      </c>
      <c r="G304">
        <v>43.92</v>
      </c>
      <c r="H304">
        <v>145</v>
      </c>
      <c r="I304" t="s">
        <v>23</v>
      </c>
      <c r="J304">
        <v>2024</v>
      </c>
      <c r="K304">
        <f t="shared" si="8"/>
        <v>28.599999999999994</v>
      </c>
      <c r="L304" t="str">
        <f t="shared" si="9"/>
        <v>Banca Adriatica|2|Risparmio</v>
      </c>
    </row>
    <row r="305" spans="1:12" x14ac:dyDescent="0.25">
      <c r="A305" t="s">
        <v>22</v>
      </c>
      <c r="B305">
        <v>2</v>
      </c>
      <c r="C305" t="s">
        <v>21</v>
      </c>
      <c r="D305" s="1">
        <v>45351</v>
      </c>
      <c r="E305">
        <v>1364.1</v>
      </c>
      <c r="F305">
        <v>81.33</v>
      </c>
      <c r="G305">
        <v>48.34</v>
      </c>
      <c r="H305">
        <v>140</v>
      </c>
      <c r="I305" t="s">
        <v>23</v>
      </c>
      <c r="J305">
        <v>2024</v>
      </c>
      <c r="K305">
        <f t="shared" si="8"/>
        <v>32.989999999999995</v>
      </c>
      <c r="L305" t="str">
        <f t="shared" si="9"/>
        <v>Banca Adriatica|2|Assicurazioni</v>
      </c>
    </row>
    <row r="306" spans="1:12" x14ac:dyDescent="0.25">
      <c r="A306" t="s">
        <v>22</v>
      </c>
      <c r="B306">
        <v>3</v>
      </c>
      <c r="C306" t="s">
        <v>13</v>
      </c>
      <c r="D306" s="1">
        <v>45382</v>
      </c>
      <c r="E306">
        <v>358.9</v>
      </c>
      <c r="F306">
        <v>16.54</v>
      </c>
      <c r="G306">
        <v>10.61</v>
      </c>
      <c r="H306">
        <v>39</v>
      </c>
      <c r="I306" t="s">
        <v>23</v>
      </c>
      <c r="J306">
        <v>2024</v>
      </c>
      <c r="K306">
        <f t="shared" si="8"/>
        <v>5.93</v>
      </c>
      <c r="L306" t="str">
        <f t="shared" si="9"/>
        <v>Banca Adriatica|3|Mutui</v>
      </c>
    </row>
    <row r="307" spans="1:12" x14ac:dyDescent="0.25">
      <c r="A307" t="s">
        <v>22</v>
      </c>
      <c r="B307">
        <v>3</v>
      </c>
      <c r="C307" t="s">
        <v>15</v>
      </c>
      <c r="D307" s="1">
        <v>45382</v>
      </c>
      <c r="E307">
        <v>534.6</v>
      </c>
      <c r="F307">
        <v>25.74</v>
      </c>
      <c r="G307">
        <v>16.09</v>
      </c>
      <c r="H307">
        <v>67</v>
      </c>
      <c r="I307" t="s">
        <v>23</v>
      </c>
      <c r="J307">
        <v>2024</v>
      </c>
      <c r="K307">
        <f t="shared" si="8"/>
        <v>9.6499999999999986</v>
      </c>
      <c r="L307" t="str">
        <f t="shared" si="9"/>
        <v>Banca Adriatica|3|Prestiti</v>
      </c>
    </row>
    <row r="308" spans="1:12" x14ac:dyDescent="0.25">
      <c r="A308" t="s">
        <v>22</v>
      </c>
      <c r="B308">
        <v>3</v>
      </c>
      <c r="C308" t="s">
        <v>16</v>
      </c>
      <c r="D308" s="1">
        <v>45382</v>
      </c>
      <c r="E308">
        <v>675.5</v>
      </c>
      <c r="F308">
        <v>33.22</v>
      </c>
      <c r="G308">
        <v>21.07</v>
      </c>
      <c r="H308">
        <v>82</v>
      </c>
      <c r="I308" t="s">
        <v>23</v>
      </c>
      <c r="J308">
        <v>2024</v>
      </c>
      <c r="K308">
        <f t="shared" si="8"/>
        <v>12.149999999999999</v>
      </c>
      <c r="L308" t="str">
        <f t="shared" si="9"/>
        <v>Banca Adriatica|3|Conti</v>
      </c>
    </row>
    <row r="309" spans="1:12" x14ac:dyDescent="0.25">
      <c r="A309" t="s">
        <v>22</v>
      </c>
      <c r="B309">
        <v>3</v>
      </c>
      <c r="C309" t="s">
        <v>17</v>
      </c>
      <c r="D309" s="1">
        <v>45382</v>
      </c>
      <c r="E309">
        <v>841.1</v>
      </c>
      <c r="F309">
        <v>43.3</v>
      </c>
      <c r="G309">
        <v>26.26</v>
      </c>
      <c r="H309">
        <v>86</v>
      </c>
      <c r="I309" t="s">
        <v>23</v>
      </c>
      <c r="J309">
        <v>2024</v>
      </c>
      <c r="K309">
        <f t="shared" si="8"/>
        <v>17.039999999999996</v>
      </c>
      <c r="L309" t="str">
        <f t="shared" si="9"/>
        <v>Banca Adriatica|3|Carte</v>
      </c>
    </row>
    <row r="310" spans="1:12" x14ac:dyDescent="0.25">
      <c r="A310" t="s">
        <v>22</v>
      </c>
      <c r="B310">
        <v>3</v>
      </c>
      <c r="C310" t="s">
        <v>18</v>
      </c>
      <c r="D310" s="1">
        <v>45382</v>
      </c>
      <c r="E310">
        <v>986.9</v>
      </c>
      <c r="F310">
        <v>52.63</v>
      </c>
      <c r="G310">
        <v>32.56</v>
      </c>
      <c r="H310">
        <v>102</v>
      </c>
      <c r="I310" t="s">
        <v>23</v>
      </c>
      <c r="J310">
        <v>2024</v>
      </c>
      <c r="K310">
        <f t="shared" si="8"/>
        <v>20.07</v>
      </c>
      <c r="L310" t="str">
        <f t="shared" si="9"/>
        <v>Banca Adriatica|3|Leasing</v>
      </c>
    </row>
    <row r="311" spans="1:12" x14ac:dyDescent="0.25">
      <c r="A311" t="s">
        <v>22</v>
      </c>
      <c r="B311">
        <v>3</v>
      </c>
      <c r="C311" t="s">
        <v>19</v>
      </c>
      <c r="D311" s="1">
        <v>45382</v>
      </c>
      <c r="E311">
        <v>1131.2</v>
      </c>
      <c r="F311">
        <v>63.16</v>
      </c>
      <c r="G311">
        <v>37.409999999999997</v>
      </c>
      <c r="H311">
        <v>117</v>
      </c>
      <c r="I311" t="s">
        <v>23</v>
      </c>
      <c r="J311">
        <v>2024</v>
      </c>
      <c r="K311">
        <f t="shared" si="8"/>
        <v>25.75</v>
      </c>
      <c r="L311" t="str">
        <f t="shared" si="9"/>
        <v>Banca Adriatica|3|Factoring</v>
      </c>
    </row>
    <row r="312" spans="1:12" x14ac:dyDescent="0.25">
      <c r="A312" t="s">
        <v>22</v>
      </c>
      <c r="B312">
        <v>3</v>
      </c>
      <c r="C312" t="s">
        <v>20</v>
      </c>
      <c r="D312" s="1">
        <v>45382</v>
      </c>
      <c r="E312">
        <v>1235</v>
      </c>
      <c r="F312">
        <v>71.03</v>
      </c>
      <c r="G312">
        <v>42.42</v>
      </c>
      <c r="H312">
        <v>146</v>
      </c>
      <c r="I312" t="s">
        <v>23</v>
      </c>
      <c r="J312">
        <v>2024</v>
      </c>
      <c r="K312">
        <f t="shared" si="8"/>
        <v>28.61</v>
      </c>
      <c r="L312" t="str">
        <f t="shared" si="9"/>
        <v>Banca Adriatica|3|Risparmio</v>
      </c>
    </row>
    <row r="313" spans="1:12" x14ac:dyDescent="0.25">
      <c r="A313" t="s">
        <v>22</v>
      </c>
      <c r="B313">
        <v>3</v>
      </c>
      <c r="C313" t="s">
        <v>21</v>
      </c>
      <c r="D313" s="1">
        <v>45382</v>
      </c>
      <c r="E313">
        <v>1371.5</v>
      </c>
      <c r="F313">
        <v>81.819999999999993</v>
      </c>
      <c r="G313">
        <v>48.39</v>
      </c>
      <c r="H313">
        <v>172</v>
      </c>
      <c r="I313" t="s">
        <v>23</v>
      </c>
      <c r="J313">
        <v>2024</v>
      </c>
      <c r="K313">
        <f t="shared" si="8"/>
        <v>33.429999999999993</v>
      </c>
      <c r="L313" t="str">
        <f t="shared" si="9"/>
        <v>Banca Adriatica|3|Assicurazioni</v>
      </c>
    </row>
    <row r="314" spans="1:12" x14ac:dyDescent="0.25">
      <c r="A314" t="s">
        <v>22</v>
      </c>
      <c r="B314">
        <v>4</v>
      </c>
      <c r="C314" t="s">
        <v>13</v>
      </c>
      <c r="D314" s="1">
        <v>45412</v>
      </c>
      <c r="E314">
        <v>388.4</v>
      </c>
      <c r="F314">
        <v>17.809999999999999</v>
      </c>
      <c r="G314">
        <v>11.24</v>
      </c>
      <c r="H314">
        <v>58</v>
      </c>
      <c r="I314" t="s">
        <v>23</v>
      </c>
      <c r="J314">
        <v>2024</v>
      </c>
      <c r="K314">
        <f t="shared" si="8"/>
        <v>6.5699999999999985</v>
      </c>
      <c r="L314" t="str">
        <f t="shared" si="9"/>
        <v>Banca Adriatica|4|Mutui</v>
      </c>
    </row>
    <row r="315" spans="1:12" x14ac:dyDescent="0.25">
      <c r="A315" t="s">
        <v>22</v>
      </c>
      <c r="B315">
        <v>4</v>
      </c>
      <c r="C315" t="s">
        <v>15</v>
      </c>
      <c r="D315" s="1">
        <v>45412</v>
      </c>
      <c r="E315">
        <v>506.6</v>
      </c>
      <c r="F315">
        <v>24.51</v>
      </c>
      <c r="G315">
        <v>15.25</v>
      </c>
      <c r="H315">
        <v>78</v>
      </c>
      <c r="I315" t="s">
        <v>23</v>
      </c>
      <c r="J315">
        <v>2024</v>
      </c>
      <c r="K315">
        <f t="shared" si="8"/>
        <v>9.2600000000000016</v>
      </c>
      <c r="L315" t="str">
        <f t="shared" si="9"/>
        <v>Banca Adriatica|4|Prestiti</v>
      </c>
    </row>
    <row r="316" spans="1:12" x14ac:dyDescent="0.25">
      <c r="A316" t="s">
        <v>22</v>
      </c>
      <c r="B316">
        <v>4</v>
      </c>
      <c r="C316" t="s">
        <v>16</v>
      </c>
      <c r="D316" s="1">
        <v>45412</v>
      </c>
      <c r="E316">
        <v>690.2</v>
      </c>
      <c r="F316">
        <v>34.479999999999997</v>
      </c>
      <c r="G316">
        <v>21.13</v>
      </c>
      <c r="H316">
        <v>72</v>
      </c>
      <c r="I316" t="s">
        <v>23</v>
      </c>
      <c r="J316">
        <v>2024</v>
      </c>
      <c r="K316">
        <f t="shared" si="8"/>
        <v>13.349999999999998</v>
      </c>
      <c r="L316" t="str">
        <f t="shared" si="9"/>
        <v>Banca Adriatica|4|Conti</v>
      </c>
    </row>
    <row r="317" spans="1:12" x14ac:dyDescent="0.25">
      <c r="A317" t="s">
        <v>22</v>
      </c>
      <c r="B317">
        <v>4</v>
      </c>
      <c r="C317" t="s">
        <v>17</v>
      </c>
      <c r="D317" s="1">
        <v>45412</v>
      </c>
      <c r="E317">
        <v>834.7</v>
      </c>
      <c r="F317">
        <v>42.98</v>
      </c>
      <c r="G317">
        <v>26.22</v>
      </c>
      <c r="H317">
        <v>83</v>
      </c>
      <c r="I317" t="s">
        <v>23</v>
      </c>
      <c r="J317">
        <v>2024</v>
      </c>
      <c r="K317">
        <f t="shared" si="8"/>
        <v>16.759999999999998</v>
      </c>
      <c r="L317" t="str">
        <f t="shared" si="9"/>
        <v>Banca Adriatica|4|Carte</v>
      </c>
    </row>
    <row r="318" spans="1:12" x14ac:dyDescent="0.25">
      <c r="A318" t="s">
        <v>22</v>
      </c>
      <c r="B318">
        <v>4</v>
      </c>
      <c r="C318" t="s">
        <v>18</v>
      </c>
      <c r="D318" s="1">
        <v>45412</v>
      </c>
      <c r="E318">
        <v>988.9</v>
      </c>
      <c r="F318">
        <v>52.95</v>
      </c>
      <c r="G318">
        <v>31.99</v>
      </c>
      <c r="H318">
        <v>97</v>
      </c>
      <c r="I318" t="s">
        <v>23</v>
      </c>
      <c r="J318">
        <v>2024</v>
      </c>
      <c r="K318">
        <f t="shared" si="8"/>
        <v>20.960000000000004</v>
      </c>
      <c r="L318" t="str">
        <f t="shared" si="9"/>
        <v>Banca Adriatica|4|Leasing</v>
      </c>
    </row>
    <row r="319" spans="1:12" x14ac:dyDescent="0.25">
      <c r="A319" t="s">
        <v>22</v>
      </c>
      <c r="B319">
        <v>4</v>
      </c>
      <c r="C319" t="s">
        <v>19</v>
      </c>
      <c r="D319" s="1">
        <v>45412</v>
      </c>
      <c r="E319">
        <v>1133.2</v>
      </c>
      <c r="F319">
        <v>63.01</v>
      </c>
      <c r="G319">
        <v>37.590000000000003</v>
      </c>
      <c r="H319">
        <v>117</v>
      </c>
      <c r="I319" t="s">
        <v>23</v>
      </c>
      <c r="J319">
        <v>2024</v>
      </c>
      <c r="K319">
        <f t="shared" si="8"/>
        <v>25.419999999999995</v>
      </c>
      <c r="L319" t="str">
        <f t="shared" si="9"/>
        <v>Banca Adriatica|4|Factoring</v>
      </c>
    </row>
    <row r="320" spans="1:12" x14ac:dyDescent="0.25">
      <c r="A320" t="s">
        <v>22</v>
      </c>
      <c r="B320">
        <v>4</v>
      </c>
      <c r="C320" t="s">
        <v>20</v>
      </c>
      <c r="D320" s="1">
        <v>45412</v>
      </c>
      <c r="E320">
        <v>1270.7</v>
      </c>
      <c r="F320">
        <v>72.45</v>
      </c>
      <c r="G320">
        <v>43.47</v>
      </c>
      <c r="H320">
        <v>147</v>
      </c>
      <c r="I320" t="s">
        <v>23</v>
      </c>
      <c r="J320">
        <v>2024</v>
      </c>
      <c r="K320">
        <f t="shared" si="8"/>
        <v>28.980000000000004</v>
      </c>
      <c r="L320" t="str">
        <f t="shared" si="9"/>
        <v>Banca Adriatica|4|Risparmio</v>
      </c>
    </row>
    <row r="321" spans="1:12" x14ac:dyDescent="0.25">
      <c r="A321" t="s">
        <v>22</v>
      </c>
      <c r="B321">
        <v>4</v>
      </c>
      <c r="C321" t="s">
        <v>21</v>
      </c>
      <c r="D321" s="1">
        <v>45412</v>
      </c>
      <c r="E321">
        <v>1392.2</v>
      </c>
      <c r="F321">
        <v>83.1</v>
      </c>
      <c r="G321">
        <v>49.18</v>
      </c>
      <c r="H321">
        <v>141</v>
      </c>
      <c r="I321" t="s">
        <v>23</v>
      </c>
      <c r="J321">
        <v>2024</v>
      </c>
      <c r="K321">
        <f t="shared" si="8"/>
        <v>33.919999999999995</v>
      </c>
      <c r="L321" t="str">
        <f t="shared" si="9"/>
        <v>Banca Adriatica|4|Assicurazioni</v>
      </c>
    </row>
    <row r="322" spans="1:12" x14ac:dyDescent="0.25">
      <c r="A322" t="s">
        <v>22</v>
      </c>
      <c r="B322">
        <v>5</v>
      </c>
      <c r="C322" t="s">
        <v>13</v>
      </c>
      <c r="D322" s="1">
        <v>45443</v>
      </c>
      <c r="E322">
        <v>370.8</v>
      </c>
      <c r="F322">
        <v>17.07</v>
      </c>
      <c r="G322">
        <v>10.81</v>
      </c>
      <c r="H322">
        <v>57</v>
      </c>
      <c r="I322" t="s">
        <v>23</v>
      </c>
      <c r="J322">
        <v>2024</v>
      </c>
      <c r="K322">
        <f t="shared" ref="K322:K385" si="10">F322-G322</f>
        <v>6.26</v>
      </c>
      <c r="L322" t="str">
        <f t="shared" ref="L322:L385" si="11">A322&amp;"|"&amp;B322&amp;"|"&amp;C322</f>
        <v>Banca Adriatica|5|Mutui</v>
      </c>
    </row>
    <row r="323" spans="1:12" x14ac:dyDescent="0.25">
      <c r="A323" t="s">
        <v>22</v>
      </c>
      <c r="B323">
        <v>5</v>
      </c>
      <c r="C323" t="s">
        <v>15</v>
      </c>
      <c r="D323" s="1">
        <v>45443</v>
      </c>
      <c r="E323">
        <v>565</v>
      </c>
      <c r="F323">
        <v>26.76</v>
      </c>
      <c r="G323">
        <v>16.66</v>
      </c>
      <c r="H323">
        <v>88</v>
      </c>
      <c r="I323" t="s">
        <v>23</v>
      </c>
      <c r="J323">
        <v>2024</v>
      </c>
      <c r="K323">
        <f t="shared" si="10"/>
        <v>10.100000000000001</v>
      </c>
      <c r="L323" t="str">
        <f t="shared" si="11"/>
        <v>Banca Adriatica|5|Prestiti</v>
      </c>
    </row>
    <row r="324" spans="1:12" x14ac:dyDescent="0.25">
      <c r="A324" t="s">
        <v>22</v>
      </c>
      <c r="B324">
        <v>5</v>
      </c>
      <c r="C324" t="s">
        <v>16</v>
      </c>
      <c r="D324" s="1">
        <v>45443</v>
      </c>
      <c r="E324">
        <v>674.9</v>
      </c>
      <c r="F324">
        <v>33.630000000000003</v>
      </c>
      <c r="G324">
        <v>20.54</v>
      </c>
      <c r="H324">
        <v>68</v>
      </c>
      <c r="I324" t="s">
        <v>23</v>
      </c>
      <c r="J324">
        <v>2024</v>
      </c>
      <c r="K324">
        <f t="shared" si="10"/>
        <v>13.090000000000003</v>
      </c>
      <c r="L324" t="str">
        <f t="shared" si="11"/>
        <v>Banca Adriatica|5|Conti</v>
      </c>
    </row>
    <row r="325" spans="1:12" x14ac:dyDescent="0.25">
      <c r="A325" t="s">
        <v>22</v>
      </c>
      <c r="B325">
        <v>5</v>
      </c>
      <c r="C325" t="s">
        <v>17</v>
      </c>
      <c r="D325" s="1">
        <v>45443</v>
      </c>
      <c r="E325">
        <v>832.4</v>
      </c>
      <c r="F325">
        <v>43.44</v>
      </c>
      <c r="G325">
        <v>26.06</v>
      </c>
      <c r="H325">
        <v>106</v>
      </c>
      <c r="I325" t="s">
        <v>23</v>
      </c>
      <c r="J325">
        <v>2024</v>
      </c>
      <c r="K325">
        <f t="shared" si="10"/>
        <v>17.38</v>
      </c>
      <c r="L325" t="str">
        <f t="shared" si="11"/>
        <v>Banca Adriatica|5|Carte</v>
      </c>
    </row>
    <row r="326" spans="1:12" x14ac:dyDescent="0.25">
      <c r="A326" t="s">
        <v>22</v>
      </c>
      <c r="B326">
        <v>5</v>
      </c>
      <c r="C326" t="s">
        <v>18</v>
      </c>
      <c r="D326" s="1">
        <v>45443</v>
      </c>
      <c r="E326">
        <v>996.6</v>
      </c>
      <c r="F326">
        <v>53.33</v>
      </c>
      <c r="G326">
        <v>32.22</v>
      </c>
      <c r="H326">
        <v>131</v>
      </c>
      <c r="I326" t="s">
        <v>23</v>
      </c>
      <c r="J326">
        <v>2024</v>
      </c>
      <c r="K326">
        <f t="shared" si="10"/>
        <v>21.11</v>
      </c>
      <c r="L326" t="str">
        <f t="shared" si="11"/>
        <v>Banca Adriatica|5|Leasing</v>
      </c>
    </row>
    <row r="327" spans="1:12" x14ac:dyDescent="0.25">
      <c r="A327" t="s">
        <v>22</v>
      </c>
      <c r="B327">
        <v>5</v>
      </c>
      <c r="C327" t="s">
        <v>19</v>
      </c>
      <c r="D327" s="1">
        <v>45443</v>
      </c>
      <c r="E327">
        <v>1097.9000000000001</v>
      </c>
      <c r="F327">
        <v>60.78</v>
      </c>
      <c r="G327">
        <v>37.01</v>
      </c>
      <c r="H327">
        <v>140</v>
      </c>
      <c r="I327" t="s">
        <v>23</v>
      </c>
      <c r="J327">
        <v>2024</v>
      </c>
      <c r="K327">
        <f t="shared" si="10"/>
        <v>23.770000000000003</v>
      </c>
      <c r="L327" t="str">
        <f t="shared" si="11"/>
        <v>Banca Adriatica|5|Factoring</v>
      </c>
    </row>
    <row r="328" spans="1:12" x14ac:dyDescent="0.25">
      <c r="A328" t="s">
        <v>22</v>
      </c>
      <c r="B328">
        <v>5</v>
      </c>
      <c r="C328" t="s">
        <v>20</v>
      </c>
      <c r="D328" s="1">
        <v>45443</v>
      </c>
      <c r="E328">
        <v>1275.7</v>
      </c>
      <c r="F328">
        <v>73.67</v>
      </c>
      <c r="G328">
        <v>43.57</v>
      </c>
      <c r="H328">
        <v>158</v>
      </c>
      <c r="I328" t="s">
        <v>23</v>
      </c>
      <c r="J328">
        <v>2024</v>
      </c>
      <c r="K328">
        <f t="shared" si="10"/>
        <v>30.1</v>
      </c>
      <c r="L328" t="str">
        <f t="shared" si="11"/>
        <v>Banca Adriatica|5|Risparmio</v>
      </c>
    </row>
    <row r="329" spans="1:12" x14ac:dyDescent="0.25">
      <c r="A329" t="s">
        <v>22</v>
      </c>
      <c r="B329">
        <v>5</v>
      </c>
      <c r="C329" t="s">
        <v>21</v>
      </c>
      <c r="D329" s="1">
        <v>45443</v>
      </c>
      <c r="E329">
        <v>1431.6</v>
      </c>
      <c r="F329">
        <v>84.57</v>
      </c>
      <c r="G329">
        <v>50.93</v>
      </c>
      <c r="H329">
        <v>140</v>
      </c>
      <c r="I329" t="s">
        <v>23</v>
      </c>
      <c r="J329">
        <v>2024</v>
      </c>
      <c r="K329">
        <f t="shared" si="10"/>
        <v>33.639999999999993</v>
      </c>
      <c r="L329" t="str">
        <f t="shared" si="11"/>
        <v>Banca Adriatica|5|Assicurazioni</v>
      </c>
    </row>
    <row r="330" spans="1:12" x14ac:dyDescent="0.25">
      <c r="A330" t="s">
        <v>22</v>
      </c>
      <c r="B330">
        <v>6</v>
      </c>
      <c r="C330" t="s">
        <v>13</v>
      </c>
      <c r="D330" s="1">
        <v>45473</v>
      </c>
      <c r="E330">
        <v>410.8</v>
      </c>
      <c r="F330">
        <v>18.899999999999999</v>
      </c>
      <c r="G330">
        <v>11.78</v>
      </c>
      <c r="H330">
        <v>70</v>
      </c>
      <c r="I330" t="s">
        <v>23</v>
      </c>
      <c r="J330">
        <v>2024</v>
      </c>
      <c r="K330">
        <f t="shared" si="10"/>
        <v>7.1199999999999992</v>
      </c>
      <c r="L330" t="str">
        <f t="shared" si="11"/>
        <v>Banca Adriatica|6|Mutui</v>
      </c>
    </row>
    <row r="331" spans="1:12" x14ac:dyDescent="0.25">
      <c r="A331" t="s">
        <v>22</v>
      </c>
      <c r="B331">
        <v>6</v>
      </c>
      <c r="C331" t="s">
        <v>15</v>
      </c>
      <c r="D331" s="1">
        <v>45473</v>
      </c>
      <c r="E331">
        <v>565.1</v>
      </c>
      <c r="F331">
        <v>27.28</v>
      </c>
      <c r="G331">
        <v>16.600000000000001</v>
      </c>
      <c r="H331">
        <v>54</v>
      </c>
      <c r="I331" t="s">
        <v>23</v>
      </c>
      <c r="J331">
        <v>2024</v>
      </c>
      <c r="K331">
        <f t="shared" si="10"/>
        <v>10.68</v>
      </c>
      <c r="L331" t="str">
        <f t="shared" si="11"/>
        <v>Banca Adriatica|6|Prestiti</v>
      </c>
    </row>
    <row r="332" spans="1:12" x14ac:dyDescent="0.25">
      <c r="A332" t="s">
        <v>22</v>
      </c>
      <c r="B332">
        <v>6</v>
      </c>
      <c r="C332" t="s">
        <v>16</v>
      </c>
      <c r="D332" s="1">
        <v>45473</v>
      </c>
      <c r="E332">
        <v>671.5</v>
      </c>
      <c r="F332">
        <v>33.61</v>
      </c>
      <c r="G332">
        <v>20.93</v>
      </c>
      <c r="H332">
        <v>76</v>
      </c>
      <c r="I332" t="s">
        <v>23</v>
      </c>
      <c r="J332">
        <v>2024</v>
      </c>
      <c r="K332">
        <f t="shared" si="10"/>
        <v>12.68</v>
      </c>
      <c r="L332" t="str">
        <f t="shared" si="11"/>
        <v>Banca Adriatica|6|Conti</v>
      </c>
    </row>
    <row r="333" spans="1:12" x14ac:dyDescent="0.25">
      <c r="A333" t="s">
        <v>22</v>
      </c>
      <c r="B333">
        <v>6</v>
      </c>
      <c r="C333" t="s">
        <v>17</v>
      </c>
      <c r="D333" s="1">
        <v>45473</v>
      </c>
      <c r="E333">
        <v>811.2</v>
      </c>
      <c r="F333">
        <v>41.42</v>
      </c>
      <c r="G333">
        <v>25.64</v>
      </c>
      <c r="H333">
        <v>96</v>
      </c>
      <c r="I333" t="s">
        <v>23</v>
      </c>
      <c r="J333">
        <v>2024</v>
      </c>
      <c r="K333">
        <f t="shared" si="10"/>
        <v>15.780000000000001</v>
      </c>
      <c r="L333" t="str">
        <f t="shared" si="11"/>
        <v>Banca Adriatica|6|Carte</v>
      </c>
    </row>
    <row r="334" spans="1:12" x14ac:dyDescent="0.25">
      <c r="A334" t="s">
        <v>22</v>
      </c>
      <c r="B334">
        <v>6</v>
      </c>
      <c r="C334" t="s">
        <v>18</v>
      </c>
      <c r="D334" s="1">
        <v>45473</v>
      </c>
      <c r="E334">
        <v>993.6</v>
      </c>
      <c r="F334">
        <v>53.09</v>
      </c>
      <c r="G334">
        <v>32.25</v>
      </c>
      <c r="H334">
        <v>104</v>
      </c>
      <c r="I334" t="s">
        <v>23</v>
      </c>
      <c r="J334">
        <v>2024</v>
      </c>
      <c r="K334">
        <f t="shared" si="10"/>
        <v>20.840000000000003</v>
      </c>
      <c r="L334" t="str">
        <f t="shared" si="11"/>
        <v>Banca Adriatica|6|Leasing</v>
      </c>
    </row>
    <row r="335" spans="1:12" x14ac:dyDescent="0.25">
      <c r="A335" t="s">
        <v>22</v>
      </c>
      <c r="B335">
        <v>6</v>
      </c>
      <c r="C335" t="s">
        <v>19</v>
      </c>
      <c r="D335" s="1">
        <v>45473</v>
      </c>
      <c r="E335">
        <v>1133.0999999999999</v>
      </c>
      <c r="F335">
        <v>62.69</v>
      </c>
      <c r="G335">
        <v>37.78</v>
      </c>
      <c r="H335">
        <v>118</v>
      </c>
      <c r="I335" t="s">
        <v>23</v>
      </c>
      <c r="J335">
        <v>2024</v>
      </c>
      <c r="K335">
        <f t="shared" si="10"/>
        <v>24.909999999999997</v>
      </c>
      <c r="L335" t="str">
        <f t="shared" si="11"/>
        <v>Banca Adriatica|6|Factoring</v>
      </c>
    </row>
    <row r="336" spans="1:12" x14ac:dyDescent="0.25">
      <c r="A336" t="s">
        <v>22</v>
      </c>
      <c r="B336">
        <v>6</v>
      </c>
      <c r="C336" t="s">
        <v>20</v>
      </c>
      <c r="D336" s="1">
        <v>45473</v>
      </c>
      <c r="E336">
        <v>1247.5</v>
      </c>
      <c r="F336">
        <v>71.27</v>
      </c>
      <c r="G336">
        <v>42.57</v>
      </c>
      <c r="H336">
        <v>156</v>
      </c>
      <c r="I336" t="s">
        <v>23</v>
      </c>
      <c r="J336">
        <v>2024</v>
      </c>
      <c r="K336">
        <f t="shared" si="10"/>
        <v>28.699999999999996</v>
      </c>
      <c r="L336" t="str">
        <f t="shared" si="11"/>
        <v>Banca Adriatica|6|Risparmio</v>
      </c>
    </row>
    <row r="337" spans="1:12" x14ac:dyDescent="0.25">
      <c r="A337" t="s">
        <v>22</v>
      </c>
      <c r="B337">
        <v>6</v>
      </c>
      <c r="C337" t="s">
        <v>21</v>
      </c>
      <c r="D337" s="1">
        <v>45473</v>
      </c>
      <c r="E337">
        <v>1446.5</v>
      </c>
      <c r="F337">
        <v>85.58</v>
      </c>
      <c r="G337">
        <v>51.12</v>
      </c>
      <c r="H337">
        <v>136</v>
      </c>
      <c r="I337" t="s">
        <v>23</v>
      </c>
      <c r="J337">
        <v>2024</v>
      </c>
      <c r="K337">
        <f t="shared" si="10"/>
        <v>34.46</v>
      </c>
      <c r="L337" t="str">
        <f t="shared" si="11"/>
        <v>Banca Adriatica|6|Assicurazioni</v>
      </c>
    </row>
    <row r="338" spans="1:12" x14ac:dyDescent="0.25">
      <c r="A338" t="s">
        <v>22</v>
      </c>
      <c r="B338">
        <v>7</v>
      </c>
      <c r="C338" t="s">
        <v>13</v>
      </c>
      <c r="D338" s="1">
        <v>45504</v>
      </c>
      <c r="E338">
        <v>370.4</v>
      </c>
      <c r="F338">
        <v>16.850000000000001</v>
      </c>
      <c r="G338">
        <v>11.09</v>
      </c>
      <c r="H338">
        <v>59</v>
      </c>
      <c r="I338" t="s">
        <v>23</v>
      </c>
      <c r="J338">
        <v>2024</v>
      </c>
      <c r="K338">
        <f t="shared" si="10"/>
        <v>5.7600000000000016</v>
      </c>
      <c r="L338" t="str">
        <f t="shared" si="11"/>
        <v>Banca Adriatica|7|Mutui</v>
      </c>
    </row>
    <row r="339" spans="1:12" x14ac:dyDescent="0.25">
      <c r="A339" t="s">
        <v>22</v>
      </c>
      <c r="B339">
        <v>7</v>
      </c>
      <c r="C339" t="s">
        <v>15</v>
      </c>
      <c r="D339" s="1">
        <v>45504</v>
      </c>
      <c r="E339">
        <v>547.29999999999995</v>
      </c>
      <c r="F339">
        <v>25.9</v>
      </c>
      <c r="G339">
        <v>16.8</v>
      </c>
      <c r="H339">
        <v>84</v>
      </c>
      <c r="I339" t="s">
        <v>23</v>
      </c>
      <c r="J339">
        <v>2024</v>
      </c>
      <c r="K339">
        <f t="shared" si="10"/>
        <v>9.0999999999999979</v>
      </c>
      <c r="L339" t="str">
        <f t="shared" si="11"/>
        <v>Banca Adriatica|7|Prestiti</v>
      </c>
    </row>
    <row r="340" spans="1:12" x14ac:dyDescent="0.25">
      <c r="A340" t="s">
        <v>22</v>
      </c>
      <c r="B340">
        <v>7</v>
      </c>
      <c r="C340" t="s">
        <v>16</v>
      </c>
      <c r="D340" s="1">
        <v>45504</v>
      </c>
      <c r="E340">
        <v>679.1</v>
      </c>
      <c r="F340">
        <v>33.9</v>
      </c>
      <c r="G340">
        <v>20.8</v>
      </c>
      <c r="H340">
        <v>82</v>
      </c>
      <c r="I340" t="s">
        <v>23</v>
      </c>
      <c r="J340">
        <v>2024</v>
      </c>
      <c r="K340">
        <f t="shared" si="10"/>
        <v>13.099999999999998</v>
      </c>
      <c r="L340" t="str">
        <f t="shared" si="11"/>
        <v>Banca Adriatica|7|Conti</v>
      </c>
    </row>
    <row r="341" spans="1:12" x14ac:dyDescent="0.25">
      <c r="A341" t="s">
        <v>22</v>
      </c>
      <c r="B341">
        <v>7</v>
      </c>
      <c r="C341" t="s">
        <v>17</v>
      </c>
      <c r="D341" s="1">
        <v>45504</v>
      </c>
      <c r="E341">
        <v>820.6</v>
      </c>
      <c r="F341">
        <v>42.81</v>
      </c>
      <c r="G341">
        <v>25.44</v>
      </c>
      <c r="H341">
        <v>91</v>
      </c>
      <c r="I341" t="s">
        <v>23</v>
      </c>
      <c r="J341">
        <v>2024</v>
      </c>
      <c r="K341">
        <f t="shared" si="10"/>
        <v>17.37</v>
      </c>
      <c r="L341" t="str">
        <f t="shared" si="11"/>
        <v>Banca Adriatica|7|Carte</v>
      </c>
    </row>
    <row r="342" spans="1:12" x14ac:dyDescent="0.25">
      <c r="A342" t="s">
        <v>22</v>
      </c>
      <c r="B342">
        <v>7</v>
      </c>
      <c r="C342" t="s">
        <v>18</v>
      </c>
      <c r="D342" s="1">
        <v>45504</v>
      </c>
      <c r="E342">
        <v>966.1</v>
      </c>
      <c r="F342">
        <v>51.53</v>
      </c>
      <c r="G342">
        <v>31.87</v>
      </c>
      <c r="H342">
        <v>95</v>
      </c>
      <c r="I342" t="s">
        <v>23</v>
      </c>
      <c r="J342">
        <v>2024</v>
      </c>
      <c r="K342">
        <f t="shared" si="10"/>
        <v>19.66</v>
      </c>
      <c r="L342" t="str">
        <f t="shared" si="11"/>
        <v>Banca Adriatica|7|Leasing</v>
      </c>
    </row>
    <row r="343" spans="1:12" x14ac:dyDescent="0.25">
      <c r="A343" t="s">
        <v>22</v>
      </c>
      <c r="B343">
        <v>7</v>
      </c>
      <c r="C343" t="s">
        <v>19</v>
      </c>
      <c r="D343" s="1">
        <v>45504</v>
      </c>
      <c r="E343">
        <v>1123.8</v>
      </c>
      <c r="F343">
        <v>62.36</v>
      </c>
      <c r="G343">
        <v>38.01</v>
      </c>
      <c r="H343">
        <v>123</v>
      </c>
      <c r="I343" t="s">
        <v>23</v>
      </c>
      <c r="J343">
        <v>2024</v>
      </c>
      <c r="K343">
        <f t="shared" si="10"/>
        <v>24.35</v>
      </c>
      <c r="L343" t="str">
        <f t="shared" si="11"/>
        <v>Banca Adriatica|7|Factoring</v>
      </c>
    </row>
    <row r="344" spans="1:12" x14ac:dyDescent="0.25">
      <c r="A344" t="s">
        <v>22</v>
      </c>
      <c r="B344">
        <v>7</v>
      </c>
      <c r="C344" t="s">
        <v>20</v>
      </c>
      <c r="D344" s="1">
        <v>45504</v>
      </c>
      <c r="E344">
        <v>1281.5999999999999</v>
      </c>
      <c r="F344">
        <v>73.61</v>
      </c>
      <c r="G344">
        <v>44.06</v>
      </c>
      <c r="H344">
        <v>134</v>
      </c>
      <c r="I344" t="s">
        <v>23</v>
      </c>
      <c r="J344">
        <v>2024</v>
      </c>
      <c r="K344">
        <f t="shared" si="10"/>
        <v>29.549999999999997</v>
      </c>
      <c r="L344" t="str">
        <f t="shared" si="11"/>
        <v>Banca Adriatica|7|Risparmio</v>
      </c>
    </row>
    <row r="345" spans="1:12" x14ac:dyDescent="0.25">
      <c r="A345" t="s">
        <v>22</v>
      </c>
      <c r="B345">
        <v>7</v>
      </c>
      <c r="C345" t="s">
        <v>21</v>
      </c>
      <c r="D345" s="1">
        <v>45504</v>
      </c>
      <c r="E345">
        <v>1412.2</v>
      </c>
      <c r="F345">
        <v>84.03</v>
      </c>
      <c r="G345">
        <v>50.31</v>
      </c>
      <c r="H345">
        <v>164</v>
      </c>
      <c r="I345" t="s">
        <v>23</v>
      </c>
      <c r="J345">
        <v>2024</v>
      </c>
      <c r="K345">
        <f t="shared" si="10"/>
        <v>33.72</v>
      </c>
      <c r="L345" t="str">
        <f t="shared" si="11"/>
        <v>Banca Adriatica|7|Assicurazioni</v>
      </c>
    </row>
    <row r="346" spans="1:12" x14ac:dyDescent="0.25">
      <c r="A346" t="s">
        <v>22</v>
      </c>
      <c r="B346">
        <v>8</v>
      </c>
      <c r="C346" t="s">
        <v>13</v>
      </c>
      <c r="D346" s="1">
        <v>45535</v>
      </c>
      <c r="E346">
        <v>394.4</v>
      </c>
      <c r="F346">
        <v>18.18</v>
      </c>
      <c r="G346">
        <v>11.64</v>
      </c>
      <c r="H346">
        <v>76</v>
      </c>
      <c r="I346" t="s">
        <v>23</v>
      </c>
      <c r="J346">
        <v>2024</v>
      </c>
      <c r="K346">
        <f t="shared" si="10"/>
        <v>6.5399999999999991</v>
      </c>
      <c r="L346" t="str">
        <f t="shared" si="11"/>
        <v>Banca Adriatica|8|Mutui</v>
      </c>
    </row>
    <row r="347" spans="1:12" x14ac:dyDescent="0.25">
      <c r="A347" t="s">
        <v>22</v>
      </c>
      <c r="B347">
        <v>8</v>
      </c>
      <c r="C347" t="s">
        <v>15</v>
      </c>
      <c r="D347" s="1">
        <v>45535</v>
      </c>
      <c r="E347">
        <v>547.70000000000005</v>
      </c>
      <c r="F347">
        <v>26.48</v>
      </c>
      <c r="G347">
        <v>16.62</v>
      </c>
      <c r="H347">
        <v>80</v>
      </c>
      <c r="I347" t="s">
        <v>23</v>
      </c>
      <c r="J347">
        <v>2024</v>
      </c>
      <c r="K347">
        <f t="shared" si="10"/>
        <v>9.86</v>
      </c>
      <c r="L347" t="str">
        <f t="shared" si="11"/>
        <v>Banca Adriatica|8|Prestiti</v>
      </c>
    </row>
    <row r="348" spans="1:12" x14ac:dyDescent="0.25">
      <c r="A348" t="s">
        <v>22</v>
      </c>
      <c r="B348">
        <v>8</v>
      </c>
      <c r="C348" t="s">
        <v>16</v>
      </c>
      <c r="D348" s="1">
        <v>45535</v>
      </c>
      <c r="E348">
        <v>686.6</v>
      </c>
      <c r="F348">
        <v>33.869999999999997</v>
      </c>
      <c r="G348">
        <v>20.79</v>
      </c>
      <c r="H348">
        <v>101</v>
      </c>
      <c r="I348" t="s">
        <v>23</v>
      </c>
      <c r="J348">
        <v>2024</v>
      </c>
      <c r="K348">
        <f t="shared" si="10"/>
        <v>13.079999999999998</v>
      </c>
      <c r="L348" t="str">
        <f t="shared" si="11"/>
        <v>Banca Adriatica|8|Conti</v>
      </c>
    </row>
    <row r="349" spans="1:12" x14ac:dyDescent="0.25">
      <c r="A349" t="s">
        <v>22</v>
      </c>
      <c r="B349">
        <v>8</v>
      </c>
      <c r="C349" t="s">
        <v>17</v>
      </c>
      <c r="D349" s="1">
        <v>45535</v>
      </c>
      <c r="E349">
        <v>841.7</v>
      </c>
      <c r="F349">
        <v>43.16</v>
      </c>
      <c r="G349">
        <v>26.76</v>
      </c>
      <c r="H349">
        <v>92</v>
      </c>
      <c r="I349" t="s">
        <v>23</v>
      </c>
      <c r="J349">
        <v>2024</v>
      </c>
      <c r="K349">
        <f t="shared" si="10"/>
        <v>16.399999999999995</v>
      </c>
      <c r="L349" t="str">
        <f t="shared" si="11"/>
        <v>Banca Adriatica|8|Carte</v>
      </c>
    </row>
    <row r="350" spans="1:12" x14ac:dyDescent="0.25">
      <c r="A350" t="s">
        <v>22</v>
      </c>
      <c r="B350">
        <v>8</v>
      </c>
      <c r="C350" t="s">
        <v>18</v>
      </c>
      <c r="D350" s="1">
        <v>45535</v>
      </c>
      <c r="E350">
        <v>1005.5</v>
      </c>
      <c r="F350">
        <v>53.55</v>
      </c>
      <c r="G350">
        <v>32.72</v>
      </c>
      <c r="H350">
        <v>108</v>
      </c>
      <c r="I350" t="s">
        <v>23</v>
      </c>
      <c r="J350">
        <v>2024</v>
      </c>
      <c r="K350">
        <f t="shared" si="10"/>
        <v>20.83</v>
      </c>
      <c r="L350" t="str">
        <f t="shared" si="11"/>
        <v>Banca Adriatica|8|Leasing</v>
      </c>
    </row>
    <row r="351" spans="1:12" x14ac:dyDescent="0.25">
      <c r="A351" t="s">
        <v>22</v>
      </c>
      <c r="B351">
        <v>8</v>
      </c>
      <c r="C351" t="s">
        <v>19</v>
      </c>
      <c r="D351" s="1">
        <v>45535</v>
      </c>
      <c r="E351">
        <v>1174.5</v>
      </c>
      <c r="F351">
        <v>64.73</v>
      </c>
      <c r="G351">
        <v>38.86</v>
      </c>
      <c r="H351">
        <v>119</v>
      </c>
      <c r="I351" t="s">
        <v>23</v>
      </c>
      <c r="J351">
        <v>2024</v>
      </c>
      <c r="K351">
        <f t="shared" si="10"/>
        <v>25.870000000000005</v>
      </c>
      <c r="L351" t="str">
        <f t="shared" si="11"/>
        <v>Banca Adriatica|8|Factoring</v>
      </c>
    </row>
    <row r="352" spans="1:12" x14ac:dyDescent="0.25">
      <c r="A352" t="s">
        <v>22</v>
      </c>
      <c r="B352">
        <v>8</v>
      </c>
      <c r="C352" t="s">
        <v>20</v>
      </c>
      <c r="D352" s="1">
        <v>45535</v>
      </c>
      <c r="E352">
        <v>1306.9000000000001</v>
      </c>
      <c r="F352">
        <v>74.569999999999993</v>
      </c>
      <c r="G352">
        <v>44.73</v>
      </c>
      <c r="H352">
        <v>156</v>
      </c>
      <c r="I352" t="s">
        <v>23</v>
      </c>
      <c r="J352">
        <v>2024</v>
      </c>
      <c r="K352">
        <f t="shared" si="10"/>
        <v>29.839999999999996</v>
      </c>
      <c r="L352" t="str">
        <f t="shared" si="11"/>
        <v>Banca Adriatica|8|Risparmio</v>
      </c>
    </row>
    <row r="353" spans="1:12" x14ac:dyDescent="0.25">
      <c r="A353" t="s">
        <v>22</v>
      </c>
      <c r="B353">
        <v>8</v>
      </c>
      <c r="C353" t="s">
        <v>21</v>
      </c>
      <c r="D353" s="1">
        <v>45535</v>
      </c>
      <c r="E353">
        <v>1442.8</v>
      </c>
      <c r="F353">
        <v>85.86</v>
      </c>
      <c r="G353">
        <v>51.46</v>
      </c>
      <c r="H353">
        <v>157</v>
      </c>
      <c r="I353" t="s">
        <v>23</v>
      </c>
      <c r="J353">
        <v>2024</v>
      </c>
      <c r="K353">
        <f t="shared" si="10"/>
        <v>34.4</v>
      </c>
      <c r="L353" t="str">
        <f t="shared" si="11"/>
        <v>Banca Adriatica|8|Assicurazioni</v>
      </c>
    </row>
    <row r="354" spans="1:12" x14ac:dyDescent="0.25">
      <c r="A354" t="s">
        <v>22</v>
      </c>
      <c r="B354">
        <v>9</v>
      </c>
      <c r="C354" t="s">
        <v>13</v>
      </c>
      <c r="D354" s="1">
        <v>45565</v>
      </c>
      <c r="E354">
        <v>426</v>
      </c>
      <c r="F354">
        <v>19.989999999999998</v>
      </c>
      <c r="G354">
        <v>12.15</v>
      </c>
      <c r="H354">
        <v>40</v>
      </c>
      <c r="I354" t="s">
        <v>23</v>
      </c>
      <c r="J354">
        <v>2024</v>
      </c>
      <c r="K354">
        <f t="shared" si="10"/>
        <v>7.8399999999999981</v>
      </c>
      <c r="L354" t="str">
        <f t="shared" si="11"/>
        <v>Banca Adriatica|9|Mutui</v>
      </c>
    </row>
    <row r="355" spans="1:12" x14ac:dyDescent="0.25">
      <c r="A355" t="s">
        <v>22</v>
      </c>
      <c r="B355">
        <v>9</v>
      </c>
      <c r="C355" t="s">
        <v>15</v>
      </c>
      <c r="D355" s="1">
        <v>45565</v>
      </c>
      <c r="E355">
        <v>564.5</v>
      </c>
      <c r="F355">
        <v>26.9</v>
      </c>
      <c r="G355">
        <v>16.96</v>
      </c>
      <c r="H355">
        <v>88</v>
      </c>
      <c r="I355" t="s">
        <v>23</v>
      </c>
      <c r="J355">
        <v>2024</v>
      </c>
      <c r="K355">
        <f t="shared" si="10"/>
        <v>9.9399999999999977</v>
      </c>
      <c r="L355" t="str">
        <f t="shared" si="11"/>
        <v>Banca Adriatica|9|Prestiti</v>
      </c>
    </row>
    <row r="356" spans="1:12" x14ac:dyDescent="0.25">
      <c r="A356" t="s">
        <v>22</v>
      </c>
      <c r="B356">
        <v>9</v>
      </c>
      <c r="C356" t="s">
        <v>16</v>
      </c>
      <c r="D356" s="1">
        <v>45565</v>
      </c>
      <c r="E356">
        <v>725.4</v>
      </c>
      <c r="F356">
        <v>35.590000000000003</v>
      </c>
      <c r="G356">
        <v>22.33</v>
      </c>
      <c r="H356">
        <v>68</v>
      </c>
      <c r="I356" t="s">
        <v>23</v>
      </c>
      <c r="J356">
        <v>2024</v>
      </c>
      <c r="K356">
        <f t="shared" si="10"/>
        <v>13.260000000000005</v>
      </c>
      <c r="L356" t="str">
        <f t="shared" si="11"/>
        <v>Banca Adriatica|9|Conti</v>
      </c>
    </row>
    <row r="357" spans="1:12" x14ac:dyDescent="0.25">
      <c r="A357" t="s">
        <v>22</v>
      </c>
      <c r="B357">
        <v>9</v>
      </c>
      <c r="C357" t="s">
        <v>17</v>
      </c>
      <c r="D357" s="1">
        <v>45565</v>
      </c>
      <c r="E357">
        <v>875.2</v>
      </c>
      <c r="F357">
        <v>45.53</v>
      </c>
      <c r="G357">
        <v>27.35</v>
      </c>
      <c r="H357">
        <v>81</v>
      </c>
      <c r="I357" t="s">
        <v>23</v>
      </c>
      <c r="J357">
        <v>2024</v>
      </c>
      <c r="K357">
        <f t="shared" si="10"/>
        <v>18.18</v>
      </c>
      <c r="L357" t="str">
        <f t="shared" si="11"/>
        <v>Banca Adriatica|9|Carte</v>
      </c>
    </row>
    <row r="358" spans="1:12" x14ac:dyDescent="0.25">
      <c r="A358" t="s">
        <v>22</v>
      </c>
      <c r="B358">
        <v>9</v>
      </c>
      <c r="C358" t="s">
        <v>18</v>
      </c>
      <c r="D358" s="1">
        <v>45565</v>
      </c>
      <c r="E358">
        <v>1006.7</v>
      </c>
      <c r="F358">
        <v>54</v>
      </c>
      <c r="G358">
        <v>32.65</v>
      </c>
      <c r="H358">
        <v>94</v>
      </c>
      <c r="I358" t="s">
        <v>23</v>
      </c>
      <c r="J358">
        <v>2024</v>
      </c>
      <c r="K358">
        <f t="shared" si="10"/>
        <v>21.35</v>
      </c>
      <c r="L358" t="str">
        <f t="shared" si="11"/>
        <v>Banca Adriatica|9|Leasing</v>
      </c>
    </row>
    <row r="359" spans="1:12" x14ac:dyDescent="0.25">
      <c r="A359" t="s">
        <v>22</v>
      </c>
      <c r="B359">
        <v>9</v>
      </c>
      <c r="C359" t="s">
        <v>19</v>
      </c>
      <c r="D359" s="1">
        <v>45565</v>
      </c>
      <c r="E359">
        <v>1151.8</v>
      </c>
      <c r="F359">
        <v>64.28</v>
      </c>
      <c r="G359">
        <v>38.340000000000003</v>
      </c>
      <c r="H359">
        <v>125</v>
      </c>
      <c r="I359" t="s">
        <v>23</v>
      </c>
      <c r="J359">
        <v>2024</v>
      </c>
      <c r="K359">
        <f t="shared" si="10"/>
        <v>25.939999999999998</v>
      </c>
      <c r="L359" t="str">
        <f t="shared" si="11"/>
        <v>Banca Adriatica|9|Factoring</v>
      </c>
    </row>
    <row r="360" spans="1:12" x14ac:dyDescent="0.25">
      <c r="A360" t="s">
        <v>22</v>
      </c>
      <c r="B360">
        <v>9</v>
      </c>
      <c r="C360" t="s">
        <v>20</v>
      </c>
      <c r="D360" s="1">
        <v>45565</v>
      </c>
      <c r="E360">
        <v>1286.3</v>
      </c>
      <c r="F360">
        <v>73.59</v>
      </c>
      <c r="G360">
        <v>43.85</v>
      </c>
      <c r="H360">
        <v>138</v>
      </c>
      <c r="I360" t="s">
        <v>23</v>
      </c>
      <c r="J360">
        <v>2024</v>
      </c>
      <c r="K360">
        <f t="shared" si="10"/>
        <v>29.740000000000002</v>
      </c>
      <c r="L360" t="str">
        <f t="shared" si="11"/>
        <v>Banca Adriatica|9|Risparmio</v>
      </c>
    </row>
    <row r="361" spans="1:12" x14ac:dyDescent="0.25">
      <c r="A361" t="s">
        <v>22</v>
      </c>
      <c r="B361">
        <v>9</v>
      </c>
      <c r="C361" t="s">
        <v>21</v>
      </c>
      <c r="D361" s="1">
        <v>45565</v>
      </c>
      <c r="E361">
        <v>1455.2</v>
      </c>
      <c r="F361">
        <v>85.89</v>
      </c>
      <c r="G361">
        <v>51.38</v>
      </c>
      <c r="H361">
        <v>162</v>
      </c>
      <c r="I361" t="s">
        <v>23</v>
      </c>
      <c r="J361">
        <v>2024</v>
      </c>
      <c r="K361">
        <f t="shared" si="10"/>
        <v>34.51</v>
      </c>
      <c r="L361" t="str">
        <f t="shared" si="11"/>
        <v>Banca Adriatica|9|Assicurazioni</v>
      </c>
    </row>
    <row r="362" spans="1:12" x14ac:dyDescent="0.25">
      <c r="A362" t="s">
        <v>22</v>
      </c>
      <c r="B362">
        <v>10</v>
      </c>
      <c r="C362" t="s">
        <v>13</v>
      </c>
      <c r="D362" s="1">
        <v>45596</v>
      </c>
      <c r="E362">
        <v>427.4</v>
      </c>
      <c r="F362">
        <v>19.77</v>
      </c>
      <c r="G362">
        <v>12.15</v>
      </c>
      <c r="H362">
        <v>53</v>
      </c>
      <c r="I362" t="s">
        <v>23</v>
      </c>
      <c r="J362">
        <v>2024</v>
      </c>
      <c r="K362">
        <f t="shared" si="10"/>
        <v>7.6199999999999992</v>
      </c>
      <c r="L362" t="str">
        <f t="shared" si="11"/>
        <v>Banca Adriatica|10|Mutui</v>
      </c>
    </row>
    <row r="363" spans="1:12" x14ac:dyDescent="0.25">
      <c r="A363" t="s">
        <v>22</v>
      </c>
      <c r="B363">
        <v>10</v>
      </c>
      <c r="C363" t="s">
        <v>15</v>
      </c>
      <c r="D363" s="1">
        <v>45596</v>
      </c>
      <c r="E363">
        <v>553.4</v>
      </c>
      <c r="F363">
        <v>26.52</v>
      </c>
      <c r="G363">
        <v>16.28</v>
      </c>
      <c r="H363">
        <v>52</v>
      </c>
      <c r="I363" t="s">
        <v>23</v>
      </c>
      <c r="J363">
        <v>2024</v>
      </c>
      <c r="K363">
        <f t="shared" si="10"/>
        <v>10.239999999999998</v>
      </c>
      <c r="L363" t="str">
        <f t="shared" si="11"/>
        <v>Banca Adriatica|10|Prestiti</v>
      </c>
    </row>
    <row r="364" spans="1:12" x14ac:dyDescent="0.25">
      <c r="A364" t="s">
        <v>22</v>
      </c>
      <c r="B364">
        <v>10</v>
      </c>
      <c r="C364" t="s">
        <v>16</v>
      </c>
      <c r="D364" s="1">
        <v>45596</v>
      </c>
      <c r="E364">
        <v>681.7</v>
      </c>
      <c r="F364">
        <v>33.92</v>
      </c>
      <c r="G364">
        <v>21.38</v>
      </c>
      <c r="H364">
        <v>66</v>
      </c>
      <c r="I364" t="s">
        <v>23</v>
      </c>
      <c r="J364">
        <v>2024</v>
      </c>
      <c r="K364">
        <f t="shared" si="10"/>
        <v>12.540000000000003</v>
      </c>
      <c r="L364" t="str">
        <f t="shared" si="11"/>
        <v>Banca Adriatica|10|Conti</v>
      </c>
    </row>
    <row r="365" spans="1:12" x14ac:dyDescent="0.25">
      <c r="A365" t="s">
        <v>22</v>
      </c>
      <c r="B365">
        <v>10</v>
      </c>
      <c r="C365" t="s">
        <v>17</v>
      </c>
      <c r="D365" s="1">
        <v>45596</v>
      </c>
      <c r="E365">
        <v>870.7</v>
      </c>
      <c r="F365">
        <v>44.79</v>
      </c>
      <c r="G365">
        <v>27.19</v>
      </c>
      <c r="H365">
        <v>106</v>
      </c>
      <c r="I365" t="s">
        <v>23</v>
      </c>
      <c r="J365">
        <v>2024</v>
      </c>
      <c r="K365">
        <f t="shared" si="10"/>
        <v>17.599999999999998</v>
      </c>
      <c r="L365" t="str">
        <f t="shared" si="11"/>
        <v>Banca Adriatica|10|Carte</v>
      </c>
    </row>
    <row r="366" spans="1:12" x14ac:dyDescent="0.25">
      <c r="A366" t="s">
        <v>22</v>
      </c>
      <c r="B366">
        <v>10</v>
      </c>
      <c r="C366" t="s">
        <v>18</v>
      </c>
      <c r="D366" s="1">
        <v>45596</v>
      </c>
      <c r="E366">
        <v>986.1</v>
      </c>
      <c r="F366">
        <v>52.3</v>
      </c>
      <c r="G366">
        <v>31.7</v>
      </c>
      <c r="H366">
        <v>123</v>
      </c>
      <c r="I366" t="s">
        <v>23</v>
      </c>
      <c r="J366">
        <v>2024</v>
      </c>
      <c r="K366">
        <f t="shared" si="10"/>
        <v>20.599999999999998</v>
      </c>
      <c r="L366" t="str">
        <f t="shared" si="11"/>
        <v>Banca Adriatica|10|Leasing</v>
      </c>
    </row>
    <row r="367" spans="1:12" x14ac:dyDescent="0.25">
      <c r="A367" t="s">
        <v>22</v>
      </c>
      <c r="B367">
        <v>10</v>
      </c>
      <c r="C367" t="s">
        <v>19</v>
      </c>
      <c r="D367" s="1">
        <v>45596</v>
      </c>
      <c r="E367">
        <v>1156.7</v>
      </c>
      <c r="F367">
        <v>64.540000000000006</v>
      </c>
      <c r="G367">
        <v>38.340000000000003</v>
      </c>
      <c r="H367">
        <v>131</v>
      </c>
      <c r="I367" t="s">
        <v>23</v>
      </c>
      <c r="J367">
        <v>2024</v>
      </c>
      <c r="K367">
        <f t="shared" si="10"/>
        <v>26.200000000000003</v>
      </c>
      <c r="L367" t="str">
        <f t="shared" si="11"/>
        <v>Banca Adriatica|10|Factoring</v>
      </c>
    </row>
    <row r="368" spans="1:12" x14ac:dyDescent="0.25">
      <c r="A368" t="s">
        <v>22</v>
      </c>
      <c r="B368">
        <v>10</v>
      </c>
      <c r="C368" t="s">
        <v>20</v>
      </c>
      <c r="D368" s="1">
        <v>45596</v>
      </c>
      <c r="E368">
        <v>1291.9000000000001</v>
      </c>
      <c r="F368">
        <v>74.09</v>
      </c>
      <c r="G368">
        <v>44.49</v>
      </c>
      <c r="H368">
        <v>128</v>
      </c>
      <c r="I368" t="s">
        <v>23</v>
      </c>
      <c r="J368">
        <v>2024</v>
      </c>
      <c r="K368">
        <f t="shared" si="10"/>
        <v>29.6</v>
      </c>
      <c r="L368" t="str">
        <f t="shared" si="11"/>
        <v>Banca Adriatica|10|Risparmio</v>
      </c>
    </row>
    <row r="369" spans="1:12" x14ac:dyDescent="0.25">
      <c r="A369" t="s">
        <v>22</v>
      </c>
      <c r="B369">
        <v>10</v>
      </c>
      <c r="C369" t="s">
        <v>21</v>
      </c>
      <c r="D369" s="1">
        <v>45596</v>
      </c>
      <c r="E369">
        <v>1495</v>
      </c>
      <c r="F369">
        <v>88.67</v>
      </c>
      <c r="G369">
        <v>52.35</v>
      </c>
      <c r="H369">
        <v>159</v>
      </c>
      <c r="I369" t="s">
        <v>23</v>
      </c>
      <c r="J369">
        <v>2024</v>
      </c>
      <c r="K369">
        <f t="shared" si="10"/>
        <v>36.32</v>
      </c>
      <c r="L369" t="str">
        <f t="shared" si="11"/>
        <v>Banca Adriatica|10|Assicurazioni</v>
      </c>
    </row>
    <row r="370" spans="1:12" x14ac:dyDescent="0.25">
      <c r="A370" t="s">
        <v>22</v>
      </c>
      <c r="B370">
        <v>11</v>
      </c>
      <c r="C370" t="s">
        <v>13</v>
      </c>
      <c r="D370" s="1">
        <v>45626</v>
      </c>
      <c r="E370">
        <v>414.9</v>
      </c>
      <c r="F370">
        <v>19.37</v>
      </c>
      <c r="G370">
        <v>11.95</v>
      </c>
      <c r="H370">
        <v>52</v>
      </c>
      <c r="I370" t="s">
        <v>23</v>
      </c>
      <c r="J370">
        <v>2024</v>
      </c>
      <c r="K370">
        <f t="shared" si="10"/>
        <v>7.4200000000000017</v>
      </c>
      <c r="L370" t="str">
        <f t="shared" si="11"/>
        <v>Banca Adriatica|11|Mutui</v>
      </c>
    </row>
    <row r="371" spans="1:12" x14ac:dyDescent="0.25">
      <c r="A371" t="s">
        <v>22</v>
      </c>
      <c r="B371">
        <v>11</v>
      </c>
      <c r="C371" t="s">
        <v>15</v>
      </c>
      <c r="D371" s="1">
        <v>45626</v>
      </c>
      <c r="E371">
        <v>580.70000000000005</v>
      </c>
      <c r="F371">
        <v>27.63</v>
      </c>
      <c r="G371">
        <v>16.95</v>
      </c>
      <c r="H371">
        <v>81</v>
      </c>
      <c r="I371" t="s">
        <v>23</v>
      </c>
      <c r="J371">
        <v>2024</v>
      </c>
      <c r="K371">
        <f t="shared" si="10"/>
        <v>10.68</v>
      </c>
      <c r="L371" t="str">
        <f t="shared" si="11"/>
        <v>Banca Adriatica|11|Prestiti</v>
      </c>
    </row>
    <row r="372" spans="1:12" x14ac:dyDescent="0.25">
      <c r="A372" t="s">
        <v>22</v>
      </c>
      <c r="B372">
        <v>11</v>
      </c>
      <c r="C372" t="s">
        <v>16</v>
      </c>
      <c r="D372" s="1">
        <v>45626</v>
      </c>
      <c r="E372">
        <v>740</v>
      </c>
      <c r="F372">
        <v>37.090000000000003</v>
      </c>
      <c r="G372">
        <v>23</v>
      </c>
      <c r="H372">
        <v>89</v>
      </c>
      <c r="I372" t="s">
        <v>23</v>
      </c>
      <c r="J372">
        <v>2024</v>
      </c>
      <c r="K372">
        <f t="shared" si="10"/>
        <v>14.090000000000003</v>
      </c>
      <c r="L372" t="str">
        <f t="shared" si="11"/>
        <v>Banca Adriatica|11|Conti</v>
      </c>
    </row>
    <row r="373" spans="1:12" x14ac:dyDescent="0.25">
      <c r="A373" t="s">
        <v>22</v>
      </c>
      <c r="B373">
        <v>11</v>
      </c>
      <c r="C373" t="s">
        <v>17</v>
      </c>
      <c r="D373" s="1">
        <v>45626</v>
      </c>
      <c r="E373">
        <v>880.1</v>
      </c>
      <c r="F373">
        <v>45.28</v>
      </c>
      <c r="G373">
        <v>27.72</v>
      </c>
      <c r="H373">
        <v>82</v>
      </c>
      <c r="I373" t="s">
        <v>23</v>
      </c>
      <c r="J373">
        <v>2024</v>
      </c>
      <c r="K373">
        <f t="shared" si="10"/>
        <v>17.560000000000002</v>
      </c>
      <c r="L373" t="str">
        <f t="shared" si="11"/>
        <v>Banca Adriatica|11|Carte</v>
      </c>
    </row>
    <row r="374" spans="1:12" x14ac:dyDescent="0.25">
      <c r="A374" t="s">
        <v>22</v>
      </c>
      <c r="B374">
        <v>11</v>
      </c>
      <c r="C374" t="s">
        <v>18</v>
      </c>
      <c r="D374" s="1">
        <v>45626</v>
      </c>
      <c r="E374">
        <v>1017.4</v>
      </c>
      <c r="F374">
        <v>54.26</v>
      </c>
      <c r="G374">
        <v>33.200000000000003</v>
      </c>
      <c r="H374">
        <v>129</v>
      </c>
      <c r="I374" t="s">
        <v>23</v>
      </c>
      <c r="J374">
        <v>2024</v>
      </c>
      <c r="K374">
        <f t="shared" si="10"/>
        <v>21.059999999999995</v>
      </c>
      <c r="L374" t="str">
        <f t="shared" si="11"/>
        <v>Banca Adriatica|11|Leasing</v>
      </c>
    </row>
    <row r="375" spans="1:12" x14ac:dyDescent="0.25">
      <c r="A375" t="s">
        <v>22</v>
      </c>
      <c r="B375">
        <v>11</v>
      </c>
      <c r="C375" t="s">
        <v>19</v>
      </c>
      <c r="D375" s="1">
        <v>45626</v>
      </c>
      <c r="E375">
        <v>1184.3</v>
      </c>
      <c r="F375">
        <v>66.08</v>
      </c>
      <c r="G375">
        <v>39.86</v>
      </c>
      <c r="H375">
        <v>110</v>
      </c>
      <c r="I375" t="s">
        <v>23</v>
      </c>
      <c r="J375">
        <v>2024</v>
      </c>
      <c r="K375">
        <f t="shared" si="10"/>
        <v>26.22</v>
      </c>
      <c r="L375" t="str">
        <f t="shared" si="11"/>
        <v>Banca Adriatica|11|Factoring</v>
      </c>
    </row>
    <row r="376" spans="1:12" x14ac:dyDescent="0.25">
      <c r="A376" t="s">
        <v>22</v>
      </c>
      <c r="B376">
        <v>11</v>
      </c>
      <c r="C376" t="s">
        <v>20</v>
      </c>
      <c r="D376" s="1">
        <v>45626</v>
      </c>
      <c r="E376">
        <v>1354.4</v>
      </c>
      <c r="F376">
        <v>77.56</v>
      </c>
      <c r="G376">
        <v>46.67</v>
      </c>
      <c r="H376">
        <v>123</v>
      </c>
      <c r="I376" t="s">
        <v>23</v>
      </c>
      <c r="J376">
        <v>2024</v>
      </c>
      <c r="K376">
        <f t="shared" si="10"/>
        <v>30.89</v>
      </c>
      <c r="L376" t="str">
        <f t="shared" si="11"/>
        <v>Banca Adriatica|11|Risparmio</v>
      </c>
    </row>
    <row r="377" spans="1:12" x14ac:dyDescent="0.25">
      <c r="A377" t="s">
        <v>22</v>
      </c>
      <c r="B377">
        <v>11</v>
      </c>
      <c r="C377" t="s">
        <v>21</v>
      </c>
      <c r="D377" s="1">
        <v>45626</v>
      </c>
      <c r="E377">
        <v>1504.7</v>
      </c>
      <c r="F377">
        <v>89.48</v>
      </c>
      <c r="G377">
        <v>53.43</v>
      </c>
      <c r="H377">
        <v>172</v>
      </c>
      <c r="I377" t="s">
        <v>23</v>
      </c>
      <c r="J377">
        <v>2024</v>
      </c>
      <c r="K377">
        <f t="shared" si="10"/>
        <v>36.050000000000004</v>
      </c>
      <c r="L377" t="str">
        <f t="shared" si="11"/>
        <v>Banca Adriatica|11|Assicurazioni</v>
      </c>
    </row>
    <row r="378" spans="1:12" x14ac:dyDescent="0.25">
      <c r="A378" t="s">
        <v>22</v>
      </c>
      <c r="B378">
        <v>12</v>
      </c>
      <c r="C378" t="s">
        <v>13</v>
      </c>
      <c r="D378" s="1">
        <v>45657</v>
      </c>
      <c r="E378">
        <v>403.4</v>
      </c>
      <c r="F378">
        <v>18.96</v>
      </c>
      <c r="G378">
        <v>11.73</v>
      </c>
      <c r="H378">
        <v>62</v>
      </c>
      <c r="I378" t="s">
        <v>23</v>
      </c>
      <c r="J378">
        <v>2024</v>
      </c>
      <c r="K378">
        <f t="shared" si="10"/>
        <v>7.23</v>
      </c>
      <c r="L378" t="str">
        <f t="shared" si="11"/>
        <v>Banca Adriatica|12|Mutui</v>
      </c>
    </row>
    <row r="379" spans="1:12" x14ac:dyDescent="0.25">
      <c r="A379" t="s">
        <v>22</v>
      </c>
      <c r="B379">
        <v>12</v>
      </c>
      <c r="C379" t="s">
        <v>15</v>
      </c>
      <c r="D379" s="1">
        <v>45657</v>
      </c>
      <c r="E379">
        <v>579.4</v>
      </c>
      <c r="F379">
        <v>27.88</v>
      </c>
      <c r="G379">
        <v>17.79</v>
      </c>
      <c r="H379">
        <v>69</v>
      </c>
      <c r="I379" t="s">
        <v>23</v>
      </c>
      <c r="J379">
        <v>2024</v>
      </c>
      <c r="K379">
        <f t="shared" si="10"/>
        <v>10.09</v>
      </c>
      <c r="L379" t="str">
        <f t="shared" si="11"/>
        <v>Banca Adriatica|12|Prestiti</v>
      </c>
    </row>
    <row r="380" spans="1:12" x14ac:dyDescent="0.25">
      <c r="A380" t="s">
        <v>22</v>
      </c>
      <c r="B380">
        <v>12</v>
      </c>
      <c r="C380" t="s">
        <v>16</v>
      </c>
      <c r="D380" s="1">
        <v>45657</v>
      </c>
      <c r="E380">
        <v>712.2</v>
      </c>
      <c r="F380">
        <v>34.92</v>
      </c>
      <c r="G380">
        <v>22.34</v>
      </c>
      <c r="H380">
        <v>70</v>
      </c>
      <c r="I380" t="s">
        <v>23</v>
      </c>
      <c r="J380">
        <v>2024</v>
      </c>
      <c r="K380">
        <f t="shared" si="10"/>
        <v>12.580000000000002</v>
      </c>
      <c r="L380" t="str">
        <f t="shared" si="11"/>
        <v>Banca Adriatica|12|Conti</v>
      </c>
    </row>
    <row r="381" spans="1:12" x14ac:dyDescent="0.25">
      <c r="A381" t="s">
        <v>22</v>
      </c>
      <c r="B381">
        <v>12</v>
      </c>
      <c r="C381" t="s">
        <v>17</v>
      </c>
      <c r="D381" s="1">
        <v>45657</v>
      </c>
      <c r="E381">
        <v>886.7</v>
      </c>
      <c r="F381">
        <v>45.27</v>
      </c>
      <c r="G381">
        <v>27.93</v>
      </c>
      <c r="H381">
        <v>107</v>
      </c>
      <c r="I381" t="s">
        <v>23</v>
      </c>
      <c r="J381">
        <v>2024</v>
      </c>
      <c r="K381">
        <f t="shared" si="10"/>
        <v>17.340000000000003</v>
      </c>
      <c r="L381" t="str">
        <f t="shared" si="11"/>
        <v>Banca Adriatica|12|Carte</v>
      </c>
    </row>
    <row r="382" spans="1:12" x14ac:dyDescent="0.25">
      <c r="A382" t="s">
        <v>22</v>
      </c>
      <c r="B382">
        <v>12</v>
      </c>
      <c r="C382" t="s">
        <v>18</v>
      </c>
      <c r="D382" s="1">
        <v>45657</v>
      </c>
      <c r="E382">
        <v>1052</v>
      </c>
      <c r="F382">
        <v>56.32</v>
      </c>
      <c r="G382">
        <v>33.72</v>
      </c>
      <c r="H382">
        <v>123</v>
      </c>
      <c r="I382" t="s">
        <v>23</v>
      </c>
      <c r="J382">
        <v>2024</v>
      </c>
      <c r="K382">
        <f t="shared" si="10"/>
        <v>22.6</v>
      </c>
      <c r="L382" t="str">
        <f t="shared" si="11"/>
        <v>Banca Adriatica|12|Leasing</v>
      </c>
    </row>
    <row r="383" spans="1:12" x14ac:dyDescent="0.25">
      <c r="A383" t="s">
        <v>22</v>
      </c>
      <c r="B383">
        <v>12</v>
      </c>
      <c r="C383" t="s">
        <v>19</v>
      </c>
      <c r="D383" s="1">
        <v>45657</v>
      </c>
      <c r="E383">
        <v>1203</v>
      </c>
      <c r="F383">
        <v>66.38</v>
      </c>
      <c r="G383">
        <v>40.46</v>
      </c>
      <c r="H383">
        <v>133</v>
      </c>
      <c r="I383" t="s">
        <v>23</v>
      </c>
      <c r="J383">
        <v>2024</v>
      </c>
      <c r="K383">
        <f t="shared" si="10"/>
        <v>25.919999999999995</v>
      </c>
      <c r="L383" t="str">
        <f t="shared" si="11"/>
        <v>Banca Adriatica|12|Factoring</v>
      </c>
    </row>
    <row r="384" spans="1:12" x14ac:dyDescent="0.25">
      <c r="A384" t="s">
        <v>22</v>
      </c>
      <c r="B384">
        <v>12</v>
      </c>
      <c r="C384" t="s">
        <v>20</v>
      </c>
      <c r="D384" s="1">
        <v>45657</v>
      </c>
      <c r="E384">
        <v>1321.9</v>
      </c>
      <c r="F384">
        <v>75.98</v>
      </c>
      <c r="G384">
        <v>45.46</v>
      </c>
      <c r="H384">
        <v>149</v>
      </c>
      <c r="I384" t="s">
        <v>23</v>
      </c>
      <c r="J384">
        <v>2024</v>
      </c>
      <c r="K384">
        <f t="shared" si="10"/>
        <v>30.520000000000003</v>
      </c>
      <c r="L384" t="str">
        <f t="shared" si="11"/>
        <v>Banca Adriatica|12|Risparmio</v>
      </c>
    </row>
    <row r="385" spans="1:12" x14ac:dyDescent="0.25">
      <c r="A385" t="s">
        <v>22</v>
      </c>
      <c r="B385">
        <v>12</v>
      </c>
      <c r="C385" t="s">
        <v>21</v>
      </c>
      <c r="D385" s="1">
        <v>45657</v>
      </c>
      <c r="E385">
        <v>1508.2</v>
      </c>
      <c r="F385">
        <v>89.89</v>
      </c>
      <c r="G385">
        <v>52.79</v>
      </c>
      <c r="H385">
        <v>141</v>
      </c>
      <c r="I385" t="s">
        <v>23</v>
      </c>
      <c r="J385">
        <v>2024</v>
      </c>
      <c r="K385">
        <f t="shared" si="10"/>
        <v>37.1</v>
      </c>
      <c r="L385" t="str">
        <f t="shared" si="11"/>
        <v>Banca Adriatica|12|Assicurazioni</v>
      </c>
    </row>
    <row r="386" spans="1:12" x14ac:dyDescent="0.25">
      <c r="A386" t="s">
        <v>22</v>
      </c>
      <c r="B386">
        <v>13</v>
      </c>
      <c r="C386" t="s">
        <v>13</v>
      </c>
      <c r="D386" s="1">
        <v>45688</v>
      </c>
      <c r="E386">
        <v>393</v>
      </c>
      <c r="F386">
        <v>18.64</v>
      </c>
      <c r="G386">
        <v>11.36</v>
      </c>
      <c r="H386">
        <v>63</v>
      </c>
      <c r="I386" t="s">
        <v>23</v>
      </c>
      <c r="J386">
        <v>2025</v>
      </c>
      <c r="K386">
        <f t="shared" ref="K386:K449" si="12">F386-G386</f>
        <v>7.2800000000000011</v>
      </c>
      <c r="L386" t="str">
        <f t="shared" ref="L386:L449" si="13">A386&amp;"|"&amp;B386&amp;"|"&amp;C386</f>
        <v>Banca Adriatica|13|Mutui</v>
      </c>
    </row>
    <row r="387" spans="1:12" x14ac:dyDescent="0.25">
      <c r="A387" t="s">
        <v>22</v>
      </c>
      <c r="B387">
        <v>13</v>
      </c>
      <c r="C387" t="s">
        <v>15</v>
      </c>
      <c r="D387" s="1">
        <v>45688</v>
      </c>
      <c r="E387">
        <v>580</v>
      </c>
      <c r="F387">
        <v>27.65</v>
      </c>
      <c r="G387">
        <v>17.309999999999999</v>
      </c>
      <c r="H387">
        <v>64</v>
      </c>
      <c r="I387" t="s">
        <v>23</v>
      </c>
      <c r="J387">
        <v>2025</v>
      </c>
      <c r="K387">
        <f t="shared" si="12"/>
        <v>10.34</v>
      </c>
      <c r="L387" t="str">
        <f t="shared" si="13"/>
        <v>Banca Adriatica|13|Prestiti</v>
      </c>
    </row>
    <row r="388" spans="1:12" x14ac:dyDescent="0.25">
      <c r="A388" t="s">
        <v>22</v>
      </c>
      <c r="B388">
        <v>13</v>
      </c>
      <c r="C388" t="s">
        <v>16</v>
      </c>
      <c r="D388" s="1">
        <v>45688</v>
      </c>
      <c r="E388">
        <v>703.5</v>
      </c>
      <c r="F388">
        <v>34.74</v>
      </c>
      <c r="G388">
        <v>21.19</v>
      </c>
      <c r="H388">
        <v>105</v>
      </c>
      <c r="I388" t="s">
        <v>23</v>
      </c>
      <c r="J388">
        <v>2025</v>
      </c>
      <c r="K388">
        <f t="shared" si="12"/>
        <v>13.55</v>
      </c>
      <c r="L388" t="str">
        <f t="shared" si="13"/>
        <v>Banca Adriatica|13|Conti</v>
      </c>
    </row>
    <row r="389" spans="1:12" x14ac:dyDescent="0.25">
      <c r="A389" t="s">
        <v>22</v>
      </c>
      <c r="B389">
        <v>13</v>
      </c>
      <c r="C389" t="s">
        <v>17</v>
      </c>
      <c r="D389" s="1">
        <v>45688</v>
      </c>
      <c r="E389">
        <v>868.3</v>
      </c>
      <c r="F389">
        <v>45.04</v>
      </c>
      <c r="G389">
        <v>27.61</v>
      </c>
      <c r="H389">
        <v>110</v>
      </c>
      <c r="I389" t="s">
        <v>23</v>
      </c>
      <c r="J389">
        <v>2025</v>
      </c>
      <c r="K389">
        <f t="shared" si="12"/>
        <v>17.43</v>
      </c>
      <c r="L389" t="str">
        <f t="shared" si="13"/>
        <v>Banca Adriatica|13|Carte</v>
      </c>
    </row>
    <row r="390" spans="1:12" x14ac:dyDescent="0.25">
      <c r="A390" t="s">
        <v>22</v>
      </c>
      <c r="B390">
        <v>13</v>
      </c>
      <c r="C390" t="s">
        <v>18</v>
      </c>
      <c r="D390" s="1">
        <v>45688</v>
      </c>
      <c r="E390">
        <v>1048.8</v>
      </c>
      <c r="F390">
        <v>56.47</v>
      </c>
      <c r="G390">
        <v>33.93</v>
      </c>
      <c r="H390">
        <v>99</v>
      </c>
      <c r="I390" t="s">
        <v>23</v>
      </c>
      <c r="J390">
        <v>2025</v>
      </c>
      <c r="K390">
        <f t="shared" si="12"/>
        <v>22.54</v>
      </c>
      <c r="L390" t="str">
        <f t="shared" si="13"/>
        <v>Banca Adriatica|13|Leasing</v>
      </c>
    </row>
    <row r="391" spans="1:12" x14ac:dyDescent="0.25">
      <c r="A391" t="s">
        <v>22</v>
      </c>
      <c r="B391">
        <v>13</v>
      </c>
      <c r="C391" t="s">
        <v>19</v>
      </c>
      <c r="D391" s="1">
        <v>45688</v>
      </c>
      <c r="E391">
        <v>1192.3</v>
      </c>
      <c r="F391">
        <v>66.08</v>
      </c>
      <c r="G391">
        <v>39.64</v>
      </c>
      <c r="H391">
        <v>119</v>
      </c>
      <c r="I391" t="s">
        <v>23</v>
      </c>
      <c r="J391">
        <v>2025</v>
      </c>
      <c r="K391">
        <f t="shared" si="12"/>
        <v>26.439999999999998</v>
      </c>
      <c r="L391" t="str">
        <f t="shared" si="13"/>
        <v>Banca Adriatica|13|Factoring</v>
      </c>
    </row>
    <row r="392" spans="1:12" x14ac:dyDescent="0.25">
      <c r="A392" t="s">
        <v>22</v>
      </c>
      <c r="B392">
        <v>13</v>
      </c>
      <c r="C392" t="s">
        <v>20</v>
      </c>
      <c r="D392" s="1">
        <v>45688</v>
      </c>
      <c r="E392">
        <v>1353.7</v>
      </c>
      <c r="F392">
        <v>77.2</v>
      </c>
      <c r="G392">
        <v>46.33</v>
      </c>
      <c r="H392">
        <v>142</v>
      </c>
      <c r="I392" t="s">
        <v>23</v>
      </c>
      <c r="J392">
        <v>2025</v>
      </c>
      <c r="K392">
        <f t="shared" si="12"/>
        <v>30.870000000000005</v>
      </c>
      <c r="L392" t="str">
        <f t="shared" si="13"/>
        <v>Banca Adriatica|13|Risparmio</v>
      </c>
    </row>
    <row r="393" spans="1:12" x14ac:dyDescent="0.25">
      <c r="A393" t="s">
        <v>22</v>
      </c>
      <c r="B393">
        <v>13</v>
      </c>
      <c r="C393" t="s">
        <v>21</v>
      </c>
      <c r="D393" s="1">
        <v>45688</v>
      </c>
      <c r="E393">
        <v>1510</v>
      </c>
      <c r="F393">
        <v>89.31</v>
      </c>
      <c r="G393">
        <v>53.24</v>
      </c>
      <c r="H393">
        <v>138</v>
      </c>
      <c r="I393" t="s">
        <v>23</v>
      </c>
      <c r="J393">
        <v>2025</v>
      </c>
      <c r="K393">
        <f t="shared" si="12"/>
        <v>36.07</v>
      </c>
      <c r="L393" t="str">
        <f t="shared" si="13"/>
        <v>Banca Adriatica|13|Assicurazioni</v>
      </c>
    </row>
    <row r="394" spans="1:12" x14ac:dyDescent="0.25">
      <c r="A394" t="s">
        <v>22</v>
      </c>
      <c r="B394">
        <v>14</v>
      </c>
      <c r="C394" t="s">
        <v>13</v>
      </c>
      <c r="D394" s="1">
        <v>45716</v>
      </c>
      <c r="E394">
        <v>436.4</v>
      </c>
      <c r="F394">
        <v>20.350000000000001</v>
      </c>
      <c r="G394">
        <v>12.67</v>
      </c>
      <c r="H394">
        <v>55</v>
      </c>
      <c r="I394" t="s">
        <v>23</v>
      </c>
      <c r="J394">
        <v>2025</v>
      </c>
      <c r="K394">
        <f t="shared" si="12"/>
        <v>7.6800000000000015</v>
      </c>
      <c r="L394" t="str">
        <f t="shared" si="13"/>
        <v>Banca Adriatica|14|Mutui</v>
      </c>
    </row>
    <row r="395" spans="1:12" x14ac:dyDescent="0.25">
      <c r="A395" t="s">
        <v>22</v>
      </c>
      <c r="B395">
        <v>14</v>
      </c>
      <c r="C395" t="s">
        <v>15</v>
      </c>
      <c r="D395" s="1">
        <v>45716</v>
      </c>
      <c r="E395">
        <v>595.70000000000005</v>
      </c>
      <c r="F395">
        <v>28.55</v>
      </c>
      <c r="G395">
        <v>17.8</v>
      </c>
      <c r="H395">
        <v>65</v>
      </c>
      <c r="I395" t="s">
        <v>23</v>
      </c>
      <c r="J395">
        <v>2025</v>
      </c>
      <c r="K395">
        <f t="shared" si="12"/>
        <v>10.75</v>
      </c>
      <c r="L395" t="str">
        <f t="shared" si="13"/>
        <v>Banca Adriatica|14|Prestiti</v>
      </c>
    </row>
    <row r="396" spans="1:12" x14ac:dyDescent="0.25">
      <c r="A396" t="s">
        <v>22</v>
      </c>
      <c r="B396">
        <v>14</v>
      </c>
      <c r="C396" t="s">
        <v>16</v>
      </c>
      <c r="D396" s="1">
        <v>45716</v>
      </c>
      <c r="E396">
        <v>744.7</v>
      </c>
      <c r="F396">
        <v>36.71</v>
      </c>
      <c r="G396">
        <v>22.59</v>
      </c>
      <c r="H396">
        <v>81</v>
      </c>
      <c r="I396" t="s">
        <v>23</v>
      </c>
      <c r="J396">
        <v>2025</v>
      </c>
      <c r="K396">
        <f t="shared" si="12"/>
        <v>14.120000000000001</v>
      </c>
      <c r="L396" t="str">
        <f t="shared" si="13"/>
        <v>Banca Adriatica|14|Conti</v>
      </c>
    </row>
    <row r="397" spans="1:12" x14ac:dyDescent="0.25">
      <c r="A397" t="s">
        <v>22</v>
      </c>
      <c r="B397">
        <v>14</v>
      </c>
      <c r="C397" t="s">
        <v>17</v>
      </c>
      <c r="D397" s="1">
        <v>45716</v>
      </c>
      <c r="E397">
        <v>906</v>
      </c>
      <c r="F397">
        <v>46.8</v>
      </c>
      <c r="G397">
        <v>28.29</v>
      </c>
      <c r="H397">
        <v>84</v>
      </c>
      <c r="I397" t="s">
        <v>23</v>
      </c>
      <c r="J397">
        <v>2025</v>
      </c>
      <c r="K397">
        <f t="shared" si="12"/>
        <v>18.509999999999998</v>
      </c>
      <c r="L397" t="str">
        <f t="shared" si="13"/>
        <v>Banca Adriatica|14|Carte</v>
      </c>
    </row>
    <row r="398" spans="1:12" x14ac:dyDescent="0.25">
      <c r="A398" t="s">
        <v>22</v>
      </c>
      <c r="B398">
        <v>14</v>
      </c>
      <c r="C398" t="s">
        <v>18</v>
      </c>
      <c r="D398" s="1">
        <v>45716</v>
      </c>
      <c r="E398">
        <v>1014.5</v>
      </c>
      <c r="F398">
        <v>53.86</v>
      </c>
      <c r="G398">
        <v>32.659999999999997</v>
      </c>
      <c r="H398">
        <v>120</v>
      </c>
      <c r="I398" t="s">
        <v>23</v>
      </c>
      <c r="J398">
        <v>2025</v>
      </c>
      <c r="K398">
        <f t="shared" si="12"/>
        <v>21.200000000000003</v>
      </c>
      <c r="L398" t="str">
        <f t="shared" si="13"/>
        <v>Banca Adriatica|14|Leasing</v>
      </c>
    </row>
    <row r="399" spans="1:12" x14ac:dyDescent="0.25">
      <c r="A399" t="s">
        <v>22</v>
      </c>
      <c r="B399">
        <v>14</v>
      </c>
      <c r="C399" t="s">
        <v>19</v>
      </c>
      <c r="D399" s="1">
        <v>45716</v>
      </c>
      <c r="E399">
        <v>1185.5999999999999</v>
      </c>
      <c r="F399">
        <v>66.17</v>
      </c>
      <c r="G399">
        <v>39.69</v>
      </c>
      <c r="H399">
        <v>120</v>
      </c>
      <c r="I399" t="s">
        <v>23</v>
      </c>
      <c r="J399">
        <v>2025</v>
      </c>
      <c r="K399">
        <f t="shared" si="12"/>
        <v>26.480000000000004</v>
      </c>
      <c r="L399" t="str">
        <f t="shared" si="13"/>
        <v>Banca Adriatica|14|Factoring</v>
      </c>
    </row>
    <row r="400" spans="1:12" x14ac:dyDescent="0.25">
      <c r="A400" t="s">
        <v>22</v>
      </c>
      <c r="B400">
        <v>14</v>
      </c>
      <c r="C400" t="s">
        <v>20</v>
      </c>
      <c r="D400" s="1">
        <v>45716</v>
      </c>
      <c r="E400">
        <v>1339.4</v>
      </c>
      <c r="F400">
        <v>76.709999999999994</v>
      </c>
      <c r="G400">
        <v>46.18</v>
      </c>
      <c r="H400">
        <v>159</v>
      </c>
      <c r="I400" t="s">
        <v>23</v>
      </c>
      <c r="J400">
        <v>2025</v>
      </c>
      <c r="K400">
        <f t="shared" si="12"/>
        <v>30.529999999999994</v>
      </c>
      <c r="L400" t="str">
        <f t="shared" si="13"/>
        <v>Banca Adriatica|14|Risparmio</v>
      </c>
    </row>
    <row r="401" spans="1:12" x14ac:dyDescent="0.25">
      <c r="A401" t="s">
        <v>22</v>
      </c>
      <c r="B401">
        <v>14</v>
      </c>
      <c r="C401" t="s">
        <v>21</v>
      </c>
      <c r="D401" s="1">
        <v>45716</v>
      </c>
      <c r="E401">
        <v>1488.4</v>
      </c>
      <c r="F401">
        <v>88.25</v>
      </c>
      <c r="G401">
        <v>53</v>
      </c>
      <c r="H401">
        <v>146</v>
      </c>
      <c r="I401" t="s">
        <v>23</v>
      </c>
      <c r="J401">
        <v>2025</v>
      </c>
      <c r="K401">
        <f t="shared" si="12"/>
        <v>35.25</v>
      </c>
      <c r="L401" t="str">
        <f t="shared" si="13"/>
        <v>Banca Adriatica|14|Assicurazioni</v>
      </c>
    </row>
    <row r="402" spans="1:12" x14ac:dyDescent="0.25">
      <c r="A402" t="s">
        <v>22</v>
      </c>
      <c r="B402">
        <v>15</v>
      </c>
      <c r="C402" t="s">
        <v>13</v>
      </c>
      <c r="D402" s="1">
        <v>45747</v>
      </c>
      <c r="E402">
        <v>447.9</v>
      </c>
      <c r="F402">
        <v>21.13</v>
      </c>
      <c r="G402">
        <v>13.49</v>
      </c>
      <c r="H402">
        <v>58</v>
      </c>
      <c r="I402" t="s">
        <v>23</v>
      </c>
      <c r="J402">
        <v>2025</v>
      </c>
      <c r="K402">
        <f t="shared" si="12"/>
        <v>7.6399999999999988</v>
      </c>
      <c r="L402" t="str">
        <f t="shared" si="13"/>
        <v>Banca Adriatica|15|Mutui</v>
      </c>
    </row>
    <row r="403" spans="1:12" x14ac:dyDescent="0.25">
      <c r="A403" t="s">
        <v>22</v>
      </c>
      <c r="B403">
        <v>15</v>
      </c>
      <c r="C403" t="s">
        <v>15</v>
      </c>
      <c r="D403" s="1">
        <v>45747</v>
      </c>
      <c r="E403">
        <v>565.79999999999995</v>
      </c>
      <c r="F403">
        <v>27.4</v>
      </c>
      <c r="G403">
        <v>17.309999999999999</v>
      </c>
      <c r="H403">
        <v>78</v>
      </c>
      <c r="I403" t="s">
        <v>23</v>
      </c>
      <c r="J403">
        <v>2025</v>
      </c>
      <c r="K403">
        <f t="shared" si="12"/>
        <v>10.09</v>
      </c>
      <c r="L403" t="str">
        <f t="shared" si="13"/>
        <v>Banca Adriatica|15|Prestiti</v>
      </c>
    </row>
    <row r="404" spans="1:12" x14ac:dyDescent="0.25">
      <c r="A404" t="s">
        <v>22</v>
      </c>
      <c r="B404">
        <v>15</v>
      </c>
      <c r="C404" t="s">
        <v>16</v>
      </c>
      <c r="D404" s="1">
        <v>45747</v>
      </c>
      <c r="E404">
        <v>724.1</v>
      </c>
      <c r="F404">
        <v>35.49</v>
      </c>
      <c r="G404">
        <v>22</v>
      </c>
      <c r="H404">
        <v>66</v>
      </c>
      <c r="I404" t="s">
        <v>23</v>
      </c>
      <c r="J404">
        <v>2025</v>
      </c>
      <c r="K404">
        <f t="shared" si="12"/>
        <v>13.490000000000002</v>
      </c>
      <c r="L404" t="str">
        <f t="shared" si="13"/>
        <v>Banca Adriatica|15|Conti</v>
      </c>
    </row>
    <row r="405" spans="1:12" x14ac:dyDescent="0.25">
      <c r="A405" t="s">
        <v>22</v>
      </c>
      <c r="B405">
        <v>15</v>
      </c>
      <c r="C405" t="s">
        <v>17</v>
      </c>
      <c r="D405" s="1">
        <v>45747</v>
      </c>
      <c r="E405">
        <v>878.5</v>
      </c>
      <c r="F405">
        <v>45.32</v>
      </c>
      <c r="G405">
        <v>28.02</v>
      </c>
      <c r="H405">
        <v>86</v>
      </c>
      <c r="I405" t="s">
        <v>23</v>
      </c>
      <c r="J405">
        <v>2025</v>
      </c>
      <c r="K405">
        <f t="shared" si="12"/>
        <v>17.3</v>
      </c>
      <c r="L405" t="str">
        <f t="shared" si="13"/>
        <v>Banca Adriatica|15|Carte</v>
      </c>
    </row>
    <row r="406" spans="1:12" x14ac:dyDescent="0.25">
      <c r="A406" t="s">
        <v>22</v>
      </c>
      <c r="B406">
        <v>15</v>
      </c>
      <c r="C406" t="s">
        <v>18</v>
      </c>
      <c r="D406" s="1">
        <v>45747</v>
      </c>
      <c r="E406">
        <v>1051.0999999999999</v>
      </c>
      <c r="F406">
        <v>56.69</v>
      </c>
      <c r="G406">
        <v>33.85</v>
      </c>
      <c r="H406">
        <v>98</v>
      </c>
      <c r="I406" t="s">
        <v>23</v>
      </c>
      <c r="J406">
        <v>2025</v>
      </c>
      <c r="K406">
        <f t="shared" si="12"/>
        <v>22.839999999999996</v>
      </c>
      <c r="L406" t="str">
        <f t="shared" si="13"/>
        <v>Banca Adriatica|15|Leasing</v>
      </c>
    </row>
    <row r="407" spans="1:12" x14ac:dyDescent="0.25">
      <c r="A407" t="s">
        <v>22</v>
      </c>
      <c r="B407">
        <v>15</v>
      </c>
      <c r="C407" t="s">
        <v>19</v>
      </c>
      <c r="D407" s="1">
        <v>45747</v>
      </c>
      <c r="E407">
        <v>1231.8</v>
      </c>
      <c r="F407">
        <v>68.34</v>
      </c>
      <c r="G407">
        <v>40.96</v>
      </c>
      <c r="H407">
        <v>118</v>
      </c>
      <c r="I407" t="s">
        <v>23</v>
      </c>
      <c r="J407">
        <v>2025</v>
      </c>
      <c r="K407">
        <f t="shared" si="12"/>
        <v>27.380000000000003</v>
      </c>
      <c r="L407" t="str">
        <f t="shared" si="13"/>
        <v>Banca Adriatica|15|Factoring</v>
      </c>
    </row>
    <row r="408" spans="1:12" x14ac:dyDescent="0.25">
      <c r="A408" t="s">
        <v>22</v>
      </c>
      <c r="B408">
        <v>15</v>
      </c>
      <c r="C408" t="s">
        <v>20</v>
      </c>
      <c r="D408" s="1">
        <v>45747</v>
      </c>
      <c r="E408">
        <v>1349.2</v>
      </c>
      <c r="F408">
        <v>77.59</v>
      </c>
      <c r="G408">
        <v>46.8</v>
      </c>
      <c r="H408">
        <v>127</v>
      </c>
      <c r="I408" t="s">
        <v>23</v>
      </c>
      <c r="J408">
        <v>2025</v>
      </c>
      <c r="K408">
        <f t="shared" si="12"/>
        <v>30.790000000000006</v>
      </c>
      <c r="L408" t="str">
        <f t="shared" si="13"/>
        <v>Banca Adriatica|15|Risparmio</v>
      </c>
    </row>
    <row r="409" spans="1:12" x14ac:dyDescent="0.25">
      <c r="A409" t="s">
        <v>22</v>
      </c>
      <c r="B409">
        <v>15</v>
      </c>
      <c r="C409" t="s">
        <v>21</v>
      </c>
      <c r="D409" s="1">
        <v>45747</v>
      </c>
      <c r="E409">
        <v>1547.3</v>
      </c>
      <c r="F409">
        <v>91.44</v>
      </c>
      <c r="G409">
        <v>54.82</v>
      </c>
      <c r="H409">
        <v>150</v>
      </c>
      <c r="I409" t="s">
        <v>23</v>
      </c>
      <c r="J409">
        <v>2025</v>
      </c>
      <c r="K409">
        <f t="shared" si="12"/>
        <v>36.619999999999997</v>
      </c>
      <c r="L409" t="str">
        <f t="shared" si="13"/>
        <v>Banca Adriatica|15|Assicurazioni</v>
      </c>
    </row>
    <row r="410" spans="1:12" x14ac:dyDescent="0.25">
      <c r="A410" t="s">
        <v>22</v>
      </c>
      <c r="B410">
        <v>16</v>
      </c>
      <c r="C410" t="s">
        <v>13</v>
      </c>
      <c r="D410" s="1">
        <v>45777</v>
      </c>
      <c r="E410">
        <v>431.3</v>
      </c>
      <c r="F410">
        <v>19.47</v>
      </c>
      <c r="G410">
        <v>12.97</v>
      </c>
      <c r="H410">
        <v>76</v>
      </c>
      <c r="I410" t="s">
        <v>23</v>
      </c>
      <c r="J410">
        <v>2025</v>
      </c>
      <c r="K410">
        <f t="shared" si="12"/>
        <v>6.4999999999999982</v>
      </c>
      <c r="L410" t="str">
        <f t="shared" si="13"/>
        <v>Banca Adriatica|16|Mutui</v>
      </c>
    </row>
    <row r="411" spans="1:12" x14ac:dyDescent="0.25">
      <c r="A411" t="s">
        <v>22</v>
      </c>
      <c r="B411">
        <v>16</v>
      </c>
      <c r="C411" t="s">
        <v>15</v>
      </c>
      <c r="D411" s="1">
        <v>45777</v>
      </c>
      <c r="E411">
        <v>596.20000000000005</v>
      </c>
      <c r="F411">
        <v>28.11</v>
      </c>
      <c r="G411">
        <v>17.91</v>
      </c>
      <c r="H411">
        <v>78</v>
      </c>
      <c r="I411" t="s">
        <v>23</v>
      </c>
      <c r="J411">
        <v>2025</v>
      </c>
      <c r="K411">
        <f t="shared" si="12"/>
        <v>10.199999999999999</v>
      </c>
      <c r="L411" t="str">
        <f t="shared" si="13"/>
        <v>Banca Adriatica|16|Prestiti</v>
      </c>
    </row>
    <row r="412" spans="1:12" x14ac:dyDescent="0.25">
      <c r="A412" t="s">
        <v>22</v>
      </c>
      <c r="B412">
        <v>16</v>
      </c>
      <c r="C412" t="s">
        <v>16</v>
      </c>
      <c r="D412" s="1">
        <v>45777</v>
      </c>
      <c r="E412">
        <v>745.9</v>
      </c>
      <c r="F412">
        <v>37.200000000000003</v>
      </c>
      <c r="G412">
        <v>23.11</v>
      </c>
      <c r="H412">
        <v>95</v>
      </c>
      <c r="I412" t="s">
        <v>23</v>
      </c>
      <c r="J412">
        <v>2025</v>
      </c>
      <c r="K412">
        <f t="shared" si="12"/>
        <v>14.090000000000003</v>
      </c>
      <c r="L412" t="str">
        <f t="shared" si="13"/>
        <v>Banca Adriatica|16|Conti</v>
      </c>
    </row>
    <row r="413" spans="1:12" x14ac:dyDescent="0.25">
      <c r="A413" t="s">
        <v>22</v>
      </c>
      <c r="B413">
        <v>16</v>
      </c>
      <c r="C413" t="s">
        <v>17</v>
      </c>
      <c r="D413" s="1">
        <v>45777</v>
      </c>
      <c r="E413">
        <v>889.5</v>
      </c>
      <c r="F413">
        <v>46.12</v>
      </c>
      <c r="G413">
        <v>28.41</v>
      </c>
      <c r="H413">
        <v>104</v>
      </c>
      <c r="I413" t="s">
        <v>23</v>
      </c>
      <c r="J413">
        <v>2025</v>
      </c>
      <c r="K413">
        <f t="shared" si="12"/>
        <v>17.709999999999997</v>
      </c>
      <c r="L413" t="str">
        <f t="shared" si="13"/>
        <v>Banca Adriatica|16|Carte</v>
      </c>
    </row>
    <row r="414" spans="1:12" x14ac:dyDescent="0.25">
      <c r="A414" t="s">
        <v>22</v>
      </c>
      <c r="B414">
        <v>16</v>
      </c>
      <c r="C414" t="s">
        <v>18</v>
      </c>
      <c r="D414" s="1">
        <v>45777</v>
      </c>
      <c r="E414">
        <v>1047</v>
      </c>
      <c r="F414">
        <v>55.98</v>
      </c>
      <c r="G414">
        <v>34.14</v>
      </c>
      <c r="H414">
        <v>111</v>
      </c>
      <c r="I414" t="s">
        <v>23</v>
      </c>
      <c r="J414">
        <v>2025</v>
      </c>
      <c r="K414">
        <f t="shared" si="12"/>
        <v>21.839999999999996</v>
      </c>
      <c r="L414" t="str">
        <f t="shared" si="13"/>
        <v>Banca Adriatica|16|Leasing</v>
      </c>
    </row>
    <row r="415" spans="1:12" x14ac:dyDescent="0.25">
      <c r="A415" t="s">
        <v>22</v>
      </c>
      <c r="B415">
        <v>16</v>
      </c>
      <c r="C415" t="s">
        <v>19</v>
      </c>
      <c r="D415" s="1">
        <v>45777</v>
      </c>
      <c r="E415">
        <v>1209.3</v>
      </c>
      <c r="F415">
        <v>66.59</v>
      </c>
      <c r="G415">
        <v>40.04</v>
      </c>
      <c r="H415">
        <v>111</v>
      </c>
      <c r="I415" t="s">
        <v>23</v>
      </c>
      <c r="J415">
        <v>2025</v>
      </c>
      <c r="K415">
        <f t="shared" si="12"/>
        <v>26.550000000000004</v>
      </c>
      <c r="L415" t="str">
        <f t="shared" si="13"/>
        <v>Banca Adriatica|16|Factoring</v>
      </c>
    </row>
    <row r="416" spans="1:12" x14ac:dyDescent="0.25">
      <c r="A416" t="s">
        <v>22</v>
      </c>
      <c r="B416">
        <v>16</v>
      </c>
      <c r="C416" t="s">
        <v>20</v>
      </c>
      <c r="D416" s="1">
        <v>45777</v>
      </c>
      <c r="E416">
        <v>1386.4</v>
      </c>
      <c r="F416">
        <v>79.88</v>
      </c>
      <c r="G416">
        <v>47.56</v>
      </c>
      <c r="H416">
        <v>143</v>
      </c>
      <c r="I416" t="s">
        <v>23</v>
      </c>
      <c r="J416">
        <v>2025</v>
      </c>
      <c r="K416">
        <f t="shared" si="12"/>
        <v>32.319999999999993</v>
      </c>
      <c r="L416" t="str">
        <f t="shared" si="13"/>
        <v>Banca Adriatica|16|Risparmio</v>
      </c>
    </row>
    <row r="417" spans="1:12" x14ac:dyDescent="0.25">
      <c r="A417" t="s">
        <v>22</v>
      </c>
      <c r="B417">
        <v>16</v>
      </c>
      <c r="C417" t="s">
        <v>21</v>
      </c>
      <c r="D417" s="1">
        <v>45777</v>
      </c>
      <c r="E417">
        <v>1561.1</v>
      </c>
      <c r="F417">
        <v>92.2</v>
      </c>
      <c r="G417">
        <v>54.87</v>
      </c>
      <c r="H417">
        <v>150</v>
      </c>
      <c r="I417" t="s">
        <v>23</v>
      </c>
      <c r="J417">
        <v>2025</v>
      </c>
      <c r="K417">
        <f t="shared" si="12"/>
        <v>37.330000000000005</v>
      </c>
      <c r="L417" t="str">
        <f t="shared" si="13"/>
        <v>Banca Adriatica|16|Assicurazioni</v>
      </c>
    </row>
    <row r="418" spans="1:12" x14ac:dyDescent="0.25">
      <c r="A418" t="s">
        <v>22</v>
      </c>
      <c r="B418">
        <v>17</v>
      </c>
      <c r="C418" t="s">
        <v>13</v>
      </c>
      <c r="D418" s="1">
        <v>45808</v>
      </c>
      <c r="E418">
        <v>400.6</v>
      </c>
      <c r="F418">
        <v>19</v>
      </c>
      <c r="G418">
        <v>11.88</v>
      </c>
      <c r="H418">
        <v>63</v>
      </c>
      <c r="I418" t="s">
        <v>23</v>
      </c>
      <c r="J418">
        <v>2025</v>
      </c>
      <c r="K418">
        <f t="shared" si="12"/>
        <v>7.1199999999999992</v>
      </c>
      <c r="L418" t="str">
        <f t="shared" si="13"/>
        <v>Banca Adriatica|17|Mutui</v>
      </c>
    </row>
    <row r="419" spans="1:12" x14ac:dyDescent="0.25">
      <c r="A419" t="s">
        <v>22</v>
      </c>
      <c r="B419">
        <v>17</v>
      </c>
      <c r="C419" t="s">
        <v>15</v>
      </c>
      <c r="D419" s="1">
        <v>45808</v>
      </c>
      <c r="E419">
        <v>563.70000000000005</v>
      </c>
      <c r="F419">
        <v>27.45</v>
      </c>
      <c r="G419">
        <v>16.53</v>
      </c>
      <c r="H419">
        <v>83</v>
      </c>
      <c r="I419" t="s">
        <v>23</v>
      </c>
      <c r="J419">
        <v>2025</v>
      </c>
      <c r="K419">
        <f t="shared" si="12"/>
        <v>10.919999999999998</v>
      </c>
      <c r="L419" t="str">
        <f t="shared" si="13"/>
        <v>Banca Adriatica|17|Prestiti</v>
      </c>
    </row>
    <row r="420" spans="1:12" x14ac:dyDescent="0.25">
      <c r="A420" t="s">
        <v>22</v>
      </c>
      <c r="B420">
        <v>17</v>
      </c>
      <c r="C420" t="s">
        <v>16</v>
      </c>
      <c r="D420" s="1">
        <v>45808</v>
      </c>
      <c r="E420">
        <v>763.9</v>
      </c>
      <c r="F420">
        <v>37.74</v>
      </c>
      <c r="G420">
        <v>22.96</v>
      </c>
      <c r="H420">
        <v>66</v>
      </c>
      <c r="I420" t="s">
        <v>23</v>
      </c>
      <c r="J420">
        <v>2025</v>
      </c>
      <c r="K420">
        <f t="shared" si="12"/>
        <v>14.780000000000001</v>
      </c>
      <c r="L420" t="str">
        <f t="shared" si="13"/>
        <v>Banca Adriatica|17|Conti</v>
      </c>
    </row>
    <row r="421" spans="1:12" x14ac:dyDescent="0.25">
      <c r="A421" t="s">
        <v>22</v>
      </c>
      <c r="B421">
        <v>17</v>
      </c>
      <c r="C421" t="s">
        <v>17</v>
      </c>
      <c r="D421" s="1">
        <v>45808</v>
      </c>
      <c r="E421">
        <v>908.8</v>
      </c>
      <c r="F421">
        <v>46.78</v>
      </c>
      <c r="G421">
        <v>28.63</v>
      </c>
      <c r="H421">
        <v>103</v>
      </c>
      <c r="I421" t="s">
        <v>23</v>
      </c>
      <c r="J421">
        <v>2025</v>
      </c>
      <c r="K421">
        <f t="shared" si="12"/>
        <v>18.150000000000002</v>
      </c>
      <c r="L421" t="str">
        <f t="shared" si="13"/>
        <v>Banca Adriatica|17|Carte</v>
      </c>
    </row>
    <row r="422" spans="1:12" x14ac:dyDescent="0.25">
      <c r="A422" t="s">
        <v>22</v>
      </c>
      <c r="B422">
        <v>17</v>
      </c>
      <c r="C422" t="s">
        <v>18</v>
      </c>
      <c r="D422" s="1">
        <v>45808</v>
      </c>
      <c r="E422">
        <v>1090.2</v>
      </c>
      <c r="F422">
        <v>58.74</v>
      </c>
      <c r="G422">
        <v>35.409999999999997</v>
      </c>
      <c r="H422">
        <v>131</v>
      </c>
      <c r="I422" t="s">
        <v>23</v>
      </c>
      <c r="J422">
        <v>2025</v>
      </c>
      <c r="K422">
        <f t="shared" si="12"/>
        <v>23.330000000000005</v>
      </c>
      <c r="L422" t="str">
        <f t="shared" si="13"/>
        <v>Banca Adriatica|17|Leasing</v>
      </c>
    </row>
    <row r="423" spans="1:12" x14ac:dyDescent="0.25">
      <c r="A423" t="s">
        <v>22</v>
      </c>
      <c r="B423">
        <v>17</v>
      </c>
      <c r="C423" t="s">
        <v>19</v>
      </c>
      <c r="D423" s="1">
        <v>45808</v>
      </c>
      <c r="E423">
        <v>1208.3</v>
      </c>
      <c r="F423">
        <v>66.69</v>
      </c>
      <c r="G423">
        <v>40.08</v>
      </c>
      <c r="H423">
        <v>138</v>
      </c>
      <c r="I423" t="s">
        <v>23</v>
      </c>
      <c r="J423">
        <v>2025</v>
      </c>
      <c r="K423">
        <f t="shared" si="12"/>
        <v>26.61</v>
      </c>
      <c r="L423" t="str">
        <f t="shared" si="13"/>
        <v>Banca Adriatica|17|Factoring</v>
      </c>
    </row>
    <row r="424" spans="1:12" x14ac:dyDescent="0.25">
      <c r="A424" t="s">
        <v>22</v>
      </c>
      <c r="B424">
        <v>17</v>
      </c>
      <c r="C424" t="s">
        <v>20</v>
      </c>
      <c r="D424" s="1">
        <v>45808</v>
      </c>
      <c r="E424">
        <v>1400.8</v>
      </c>
      <c r="F424">
        <v>80.37</v>
      </c>
      <c r="G424">
        <v>48.09</v>
      </c>
      <c r="H424">
        <v>144</v>
      </c>
      <c r="I424" t="s">
        <v>23</v>
      </c>
      <c r="J424">
        <v>2025</v>
      </c>
      <c r="K424">
        <f t="shared" si="12"/>
        <v>32.28</v>
      </c>
      <c r="L424" t="str">
        <f t="shared" si="13"/>
        <v>Banca Adriatica|17|Risparmio</v>
      </c>
    </row>
    <row r="425" spans="1:12" x14ac:dyDescent="0.25">
      <c r="A425" t="s">
        <v>22</v>
      </c>
      <c r="B425">
        <v>17</v>
      </c>
      <c r="C425" t="s">
        <v>21</v>
      </c>
      <c r="D425" s="1">
        <v>45808</v>
      </c>
      <c r="E425">
        <v>1541.5</v>
      </c>
      <c r="F425">
        <v>91.78</v>
      </c>
      <c r="G425">
        <v>54.93</v>
      </c>
      <c r="H425">
        <v>147</v>
      </c>
      <c r="I425" t="s">
        <v>23</v>
      </c>
      <c r="J425">
        <v>2025</v>
      </c>
      <c r="K425">
        <f t="shared" si="12"/>
        <v>36.85</v>
      </c>
      <c r="L425" t="str">
        <f t="shared" si="13"/>
        <v>Banca Adriatica|17|Assicurazioni</v>
      </c>
    </row>
    <row r="426" spans="1:12" x14ac:dyDescent="0.25">
      <c r="A426" t="s">
        <v>22</v>
      </c>
      <c r="B426">
        <v>18</v>
      </c>
      <c r="C426" t="s">
        <v>13</v>
      </c>
      <c r="D426" s="1">
        <v>45838</v>
      </c>
      <c r="E426">
        <v>405.6</v>
      </c>
      <c r="F426">
        <v>19.149999999999999</v>
      </c>
      <c r="G426">
        <v>11.7</v>
      </c>
      <c r="H426">
        <v>48</v>
      </c>
      <c r="I426" t="s">
        <v>23</v>
      </c>
      <c r="J426">
        <v>2025</v>
      </c>
      <c r="K426">
        <f t="shared" si="12"/>
        <v>7.4499999999999993</v>
      </c>
      <c r="L426" t="str">
        <f t="shared" si="13"/>
        <v>Banca Adriatica|18|Mutui</v>
      </c>
    </row>
    <row r="427" spans="1:12" x14ac:dyDescent="0.25">
      <c r="A427" t="s">
        <v>22</v>
      </c>
      <c r="B427">
        <v>18</v>
      </c>
      <c r="C427" t="s">
        <v>15</v>
      </c>
      <c r="D427" s="1">
        <v>45838</v>
      </c>
      <c r="E427">
        <v>612.6</v>
      </c>
      <c r="F427">
        <v>29.61</v>
      </c>
      <c r="G427">
        <v>18.170000000000002</v>
      </c>
      <c r="H427">
        <v>89</v>
      </c>
      <c r="I427" t="s">
        <v>23</v>
      </c>
      <c r="J427">
        <v>2025</v>
      </c>
      <c r="K427">
        <f t="shared" si="12"/>
        <v>11.439999999999998</v>
      </c>
      <c r="L427" t="str">
        <f t="shared" si="13"/>
        <v>Banca Adriatica|18|Prestiti</v>
      </c>
    </row>
    <row r="428" spans="1:12" x14ac:dyDescent="0.25">
      <c r="A428" t="s">
        <v>22</v>
      </c>
      <c r="B428">
        <v>18</v>
      </c>
      <c r="C428" t="s">
        <v>16</v>
      </c>
      <c r="D428" s="1">
        <v>45838</v>
      </c>
      <c r="E428">
        <v>774.5</v>
      </c>
      <c r="F428">
        <v>38.590000000000003</v>
      </c>
      <c r="G428">
        <v>23.86</v>
      </c>
      <c r="H428">
        <v>84</v>
      </c>
      <c r="I428" t="s">
        <v>23</v>
      </c>
      <c r="J428">
        <v>2025</v>
      </c>
      <c r="K428">
        <f t="shared" si="12"/>
        <v>14.730000000000004</v>
      </c>
      <c r="L428" t="str">
        <f t="shared" si="13"/>
        <v>Banca Adriatica|18|Conti</v>
      </c>
    </row>
    <row r="429" spans="1:12" x14ac:dyDescent="0.25">
      <c r="A429" t="s">
        <v>22</v>
      </c>
      <c r="B429">
        <v>18</v>
      </c>
      <c r="C429" t="s">
        <v>17</v>
      </c>
      <c r="D429" s="1">
        <v>45838</v>
      </c>
      <c r="E429">
        <v>900.1</v>
      </c>
      <c r="F429">
        <v>46.34</v>
      </c>
      <c r="G429">
        <v>28.62</v>
      </c>
      <c r="H429">
        <v>97</v>
      </c>
      <c r="I429" t="s">
        <v>23</v>
      </c>
      <c r="J429">
        <v>2025</v>
      </c>
      <c r="K429">
        <f t="shared" si="12"/>
        <v>17.720000000000002</v>
      </c>
      <c r="L429" t="str">
        <f t="shared" si="13"/>
        <v>Banca Adriatica|18|Carte</v>
      </c>
    </row>
    <row r="430" spans="1:12" x14ac:dyDescent="0.25">
      <c r="A430" t="s">
        <v>22</v>
      </c>
      <c r="B430">
        <v>18</v>
      </c>
      <c r="C430" t="s">
        <v>18</v>
      </c>
      <c r="D430" s="1">
        <v>45838</v>
      </c>
      <c r="E430">
        <v>1096</v>
      </c>
      <c r="F430">
        <v>58.83</v>
      </c>
      <c r="G430">
        <v>35.49</v>
      </c>
      <c r="H430">
        <v>133</v>
      </c>
      <c r="I430" t="s">
        <v>23</v>
      </c>
      <c r="J430">
        <v>2025</v>
      </c>
      <c r="K430">
        <f t="shared" si="12"/>
        <v>23.339999999999996</v>
      </c>
      <c r="L430" t="str">
        <f t="shared" si="13"/>
        <v>Banca Adriatica|18|Leasing</v>
      </c>
    </row>
    <row r="431" spans="1:12" x14ac:dyDescent="0.25">
      <c r="A431" t="s">
        <v>22</v>
      </c>
      <c r="B431">
        <v>18</v>
      </c>
      <c r="C431" t="s">
        <v>19</v>
      </c>
      <c r="D431" s="1">
        <v>45838</v>
      </c>
      <c r="E431">
        <v>1249</v>
      </c>
      <c r="F431">
        <v>69.55</v>
      </c>
      <c r="G431">
        <v>41.7</v>
      </c>
      <c r="H431">
        <v>129</v>
      </c>
      <c r="I431" t="s">
        <v>23</v>
      </c>
      <c r="J431">
        <v>2025</v>
      </c>
      <c r="K431">
        <f t="shared" si="12"/>
        <v>27.849999999999994</v>
      </c>
      <c r="L431" t="str">
        <f t="shared" si="13"/>
        <v>Banca Adriatica|18|Factoring</v>
      </c>
    </row>
    <row r="432" spans="1:12" x14ac:dyDescent="0.25">
      <c r="A432" t="s">
        <v>22</v>
      </c>
      <c r="B432">
        <v>18</v>
      </c>
      <c r="C432" t="s">
        <v>20</v>
      </c>
      <c r="D432" s="1">
        <v>45838</v>
      </c>
      <c r="E432">
        <v>1392.7</v>
      </c>
      <c r="F432">
        <v>79.84</v>
      </c>
      <c r="G432">
        <v>47.52</v>
      </c>
      <c r="H432">
        <v>141</v>
      </c>
      <c r="I432" t="s">
        <v>23</v>
      </c>
      <c r="J432">
        <v>2025</v>
      </c>
      <c r="K432">
        <f t="shared" si="12"/>
        <v>32.32</v>
      </c>
      <c r="L432" t="str">
        <f t="shared" si="13"/>
        <v>Banca Adriatica|18|Risparmio</v>
      </c>
    </row>
    <row r="433" spans="1:12" x14ac:dyDescent="0.25">
      <c r="A433" t="s">
        <v>22</v>
      </c>
      <c r="B433">
        <v>18</v>
      </c>
      <c r="C433" t="s">
        <v>21</v>
      </c>
      <c r="D433" s="1">
        <v>45838</v>
      </c>
      <c r="E433">
        <v>1528.2</v>
      </c>
      <c r="F433">
        <v>90.78</v>
      </c>
      <c r="G433">
        <v>53.72</v>
      </c>
      <c r="H433">
        <v>138</v>
      </c>
      <c r="I433" t="s">
        <v>23</v>
      </c>
      <c r="J433">
        <v>2025</v>
      </c>
      <c r="K433">
        <f t="shared" si="12"/>
        <v>37.06</v>
      </c>
      <c r="L433" t="str">
        <f t="shared" si="13"/>
        <v>Banca Adriatica|18|Assicurazioni</v>
      </c>
    </row>
    <row r="434" spans="1:12" x14ac:dyDescent="0.25">
      <c r="A434" t="s">
        <v>22</v>
      </c>
      <c r="B434">
        <v>19</v>
      </c>
      <c r="C434" t="s">
        <v>13</v>
      </c>
      <c r="D434" s="1">
        <v>45869</v>
      </c>
      <c r="E434">
        <v>412.2</v>
      </c>
      <c r="F434">
        <v>19.37</v>
      </c>
      <c r="G434">
        <v>11.81</v>
      </c>
      <c r="H434">
        <v>71</v>
      </c>
      <c r="I434" t="s">
        <v>23</v>
      </c>
      <c r="J434">
        <v>2025</v>
      </c>
      <c r="K434">
        <f t="shared" si="12"/>
        <v>7.5600000000000005</v>
      </c>
      <c r="L434" t="str">
        <f t="shared" si="13"/>
        <v>Banca Adriatica|19|Mutui</v>
      </c>
    </row>
    <row r="435" spans="1:12" x14ac:dyDescent="0.25">
      <c r="A435" t="s">
        <v>22</v>
      </c>
      <c r="B435">
        <v>19</v>
      </c>
      <c r="C435" t="s">
        <v>15</v>
      </c>
      <c r="D435" s="1">
        <v>45869</v>
      </c>
      <c r="E435">
        <v>603.1</v>
      </c>
      <c r="F435">
        <v>29.24</v>
      </c>
      <c r="G435">
        <v>17.5</v>
      </c>
      <c r="H435">
        <v>61</v>
      </c>
      <c r="I435" t="s">
        <v>23</v>
      </c>
      <c r="J435">
        <v>2025</v>
      </c>
      <c r="K435">
        <f t="shared" si="12"/>
        <v>11.739999999999998</v>
      </c>
      <c r="L435" t="str">
        <f t="shared" si="13"/>
        <v>Banca Adriatica|19|Prestiti</v>
      </c>
    </row>
    <row r="436" spans="1:12" x14ac:dyDescent="0.25">
      <c r="A436" t="s">
        <v>22</v>
      </c>
      <c r="B436">
        <v>19</v>
      </c>
      <c r="C436" t="s">
        <v>16</v>
      </c>
      <c r="D436" s="1">
        <v>45869</v>
      </c>
      <c r="E436">
        <v>760.3</v>
      </c>
      <c r="F436">
        <v>37.369999999999997</v>
      </c>
      <c r="G436">
        <v>23.35</v>
      </c>
      <c r="H436">
        <v>81</v>
      </c>
      <c r="I436" t="s">
        <v>23</v>
      </c>
      <c r="J436">
        <v>2025</v>
      </c>
      <c r="K436">
        <f t="shared" si="12"/>
        <v>14.019999999999996</v>
      </c>
      <c r="L436" t="str">
        <f t="shared" si="13"/>
        <v>Banca Adriatica|19|Conti</v>
      </c>
    </row>
    <row r="437" spans="1:12" x14ac:dyDescent="0.25">
      <c r="A437" t="s">
        <v>22</v>
      </c>
      <c r="B437">
        <v>19</v>
      </c>
      <c r="C437" t="s">
        <v>17</v>
      </c>
      <c r="D437" s="1">
        <v>45869</v>
      </c>
      <c r="E437">
        <v>890.6</v>
      </c>
      <c r="F437">
        <v>45.9</v>
      </c>
      <c r="G437">
        <v>27.95</v>
      </c>
      <c r="H437">
        <v>100</v>
      </c>
      <c r="I437" t="s">
        <v>23</v>
      </c>
      <c r="J437">
        <v>2025</v>
      </c>
      <c r="K437">
        <f t="shared" si="12"/>
        <v>17.95</v>
      </c>
      <c r="L437" t="str">
        <f t="shared" si="13"/>
        <v>Banca Adriatica|19|Carte</v>
      </c>
    </row>
    <row r="438" spans="1:12" x14ac:dyDescent="0.25">
      <c r="A438" t="s">
        <v>22</v>
      </c>
      <c r="B438">
        <v>19</v>
      </c>
      <c r="C438" t="s">
        <v>18</v>
      </c>
      <c r="D438" s="1">
        <v>45869</v>
      </c>
      <c r="E438">
        <v>1085.5999999999999</v>
      </c>
      <c r="F438">
        <v>57.87</v>
      </c>
      <c r="G438">
        <v>35.61</v>
      </c>
      <c r="H438">
        <v>112</v>
      </c>
      <c r="I438" t="s">
        <v>23</v>
      </c>
      <c r="J438">
        <v>2025</v>
      </c>
      <c r="K438">
        <f t="shared" si="12"/>
        <v>22.259999999999998</v>
      </c>
      <c r="L438" t="str">
        <f t="shared" si="13"/>
        <v>Banca Adriatica|19|Leasing</v>
      </c>
    </row>
    <row r="439" spans="1:12" x14ac:dyDescent="0.25">
      <c r="A439" t="s">
        <v>22</v>
      </c>
      <c r="B439">
        <v>19</v>
      </c>
      <c r="C439" t="s">
        <v>19</v>
      </c>
      <c r="D439" s="1">
        <v>45869</v>
      </c>
      <c r="E439">
        <v>1253</v>
      </c>
      <c r="F439">
        <v>69.39</v>
      </c>
      <c r="G439">
        <v>41.49</v>
      </c>
      <c r="H439">
        <v>123</v>
      </c>
      <c r="I439" t="s">
        <v>23</v>
      </c>
      <c r="J439">
        <v>2025</v>
      </c>
      <c r="K439">
        <f t="shared" si="12"/>
        <v>27.9</v>
      </c>
      <c r="L439" t="str">
        <f t="shared" si="13"/>
        <v>Banca Adriatica|19|Factoring</v>
      </c>
    </row>
    <row r="440" spans="1:12" x14ac:dyDescent="0.25">
      <c r="A440" t="s">
        <v>22</v>
      </c>
      <c r="B440">
        <v>19</v>
      </c>
      <c r="C440" t="s">
        <v>20</v>
      </c>
      <c r="D440" s="1">
        <v>45869</v>
      </c>
      <c r="E440">
        <v>1400.5</v>
      </c>
      <c r="F440">
        <v>80.03</v>
      </c>
      <c r="G440">
        <v>48.29</v>
      </c>
      <c r="H440">
        <v>132</v>
      </c>
      <c r="I440" t="s">
        <v>23</v>
      </c>
      <c r="J440">
        <v>2025</v>
      </c>
      <c r="K440">
        <f t="shared" si="12"/>
        <v>31.740000000000002</v>
      </c>
      <c r="L440" t="str">
        <f t="shared" si="13"/>
        <v>Banca Adriatica|19|Risparmio</v>
      </c>
    </row>
    <row r="441" spans="1:12" x14ac:dyDescent="0.25">
      <c r="A441" t="s">
        <v>22</v>
      </c>
      <c r="B441">
        <v>19</v>
      </c>
      <c r="C441" t="s">
        <v>21</v>
      </c>
      <c r="D441" s="1">
        <v>45869</v>
      </c>
      <c r="E441">
        <v>1564.4</v>
      </c>
      <c r="F441">
        <v>92.78</v>
      </c>
      <c r="G441">
        <v>55.32</v>
      </c>
      <c r="H441">
        <v>149</v>
      </c>
      <c r="I441" t="s">
        <v>23</v>
      </c>
      <c r="J441">
        <v>2025</v>
      </c>
      <c r="K441">
        <f t="shared" si="12"/>
        <v>37.46</v>
      </c>
      <c r="L441" t="str">
        <f t="shared" si="13"/>
        <v>Banca Adriatica|19|Assicurazioni</v>
      </c>
    </row>
    <row r="442" spans="1:12" x14ac:dyDescent="0.25">
      <c r="A442" t="s">
        <v>22</v>
      </c>
      <c r="B442">
        <v>20</v>
      </c>
      <c r="C442" t="s">
        <v>13</v>
      </c>
      <c r="D442" s="1">
        <v>45900</v>
      </c>
      <c r="E442">
        <v>427.2</v>
      </c>
      <c r="F442">
        <v>20.07</v>
      </c>
      <c r="G442">
        <v>12.21</v>
      </c>
      <c r="H442">
        <v>75</v>
      </c>
      <c r="I442" t="s">
        <v>23</v>
      </c>
      <c r="J442">
        <v>2025</v>
      </c>
      <c r="K442">
        <f t="shared" si="12"/>
        <v>7.8599999999999994</v>
      </c>
      <c r="L442" t="str">
        <f t="shared" si="13"/>
        <v>Banca Adriatica|20|Mutui</v>
      </c>
    </row>
    <row r="443" spans="1:12" x14ac:dyDescent="0.25">
      <c r="A443" t="s">
        <v>22</v>
      </c>
      <c r="B443">
        <v>20</v>
      </c>
      <c r="C443" t="s">
        <v>15</v>
      </c>
      <c r="D443" s="1">
        <v>45900</v>
      </c>
      <c r="E443">
        <v>616.9</v>
      </c>
      <c r="F443">
        <v>29.9</v>
      </c>
      <c r="G443">
        <v>18.68</v>
      </c>
      <c r="H443">
        <v>69</v>
      </c>
      <c r="I443" t="s">
        <v>23</v>
      </c>
      <c r="J443">
        <v>2025</v>
      </c>
      <c r="K443">
        <f t="shared" si="12"/>
        <v>11.219999999999999</v>
      </c>
      <c r="L443" t="str">
        <f t="shared" si="13"/>
        <v>Banca Adriatica|20|Prestiti</v>
      </c>
    </row>
    <row r="444" spans="1:12" x14ac:dyDescent="0.25">
      <c r="A444" t="s">
        <v>22</v>
      </c>
      <c r="B444">
        <v>20</v>
      </c>
      <c r="C444" t="s">
        <v>16</v>
      </c>
      <c r="D444" s="1">
        <v>45900</v>
      </c>
      <c r="E444">
        <v>786.2</v>
      </c>
      <c r="F444">
        <v>38.799999999999997</v>
      </c>
      <c r="G444">
        <v>24.31</v>
      </c>
      <c r="H444">
        <v>83</v>
      </c>
      <c r="I444" t="s">
        <v>23</v>
      </c>
      <c r="J444">
        <v>2025</v>
      </c>
      <c r="K444">
        <f t="shared" si="12"/>
        <v>14.489999999999998</v>
      </c>
      <c r="L444" t="str">
        <f t="shared" si="13"/>
        <v>Banca Adriatica|20|Conti</v>
      </c>
    </row>
    <row r="445" spans="1:12" x14ac:dyDescent="0.25">
      <c r="A445" t="s">
        <v>22</v>
      </c>
      <c r="B445">
        <v>20</v>
      </c>
      <c r="C445" t="s">
        <v>17</v>
      </c>
      <c r="D445" s="1">
        <v>45900</v>
      </c>
      <c r="E445">
        <v>952</v>
      </c>
      <c r="F445">
        <v>49.51</v>
      </c>
      <c r="G445">
        <v>30.32</v>
      </c>
      <c r="H445">
        <v>86</v>
      </c>
      <c r="I445" t="s">
        <v>23</v>
      </c>
      <c r="J445">
        <v>2025</v>
      </c>
      <c r="K445">
        <f t="shared" si="12"/>
        <v>19.189999999999998</v>
      </c>
      <c r="L445" t="str">
        <f t="shared" si="13"/>
        <v>Banca Adriatica|20|Carte</v>
      </c>
    </row>
    <row r="446" spans="1:12" x14ac:dyDescent="0.25">
      <c r="A446" t="s">
        <v>22</v>
      </c>
      <c r="B446">
        <v>20</v>
      </c>
      <c r="C446" t="s">
        <v>18</v>
      </c>
      <c r="D446" s="1">
        <v>45900</v>
      </c>
      <c r="E446">
        <v>1116.8</v>
      </c>
      <c r="F446">
        <v>59.95</v>
      </c>
      <c r="G446">
        <v>36.35</v>
      </c>
      <c r="H446">
        <v>125</v>
      </c>
      <c r="I446" t="s">
        <v>23</v>
      </c>
      <c r="J446">
        <v>2025</v>
      </c>
      <c r="K446">
        <f t="shared" si="12"/>
        <v>23.6</v>
      </c>
      <c r="L446" t="str">
        <f t="shared" si="13"/>
        <v>Banca Adriatica|20|Leasing</v>
      </c>
    </row>
    <row r="447" spans="1:12" x14ac:dyDescent="0.25">
      <c r="A447" t="s">
        <v>22</v>
      </c>
      <c r="B447">
        <v>20</v>
      </c>
      <c r="C447" t="s">
        <v>19</v>
      </c>
      <c r="D447" s="1">
        <v>45900</v>
      </c>
      <c r="E447">
        <v>1236.4000000000001</v>
      </c>
      <c r="F447">
        <v>68.45</v>
      </c>
      <c r="G447">
        <v>41.1</v>
      </c>
      <c r="H447">
        <v>143</v>
      </c>
      <c r="I447" t="s">
        <v>23</v>
      </c>
      <c r="J447">
        <v>2025</v>
      </c>
      <c r="K447">
        <f t="shared" si="12"/>
        <v>27.35</v>
      </c>
      <c r="L447" t="str">
        <f t="shared" si="13"/>
        <v>Banca Adriatica|20|Factoring</v>
      </c>
    </row>
    <row r="448" spans="1:12" x14ac:dyDescent="0.25">
      <c r="A448" t="s">
        <v>22</v>
      </c>
      <c r="B448">
        <v>20</v>
      </c>
      <c r="C448" t="s">
        <v>20</v>
      </c>
      <c r="D448" s="1">
        <v>45900</v>
      </c>
      <c r="E448">
        <v>1432.6</v>
      </c>
      <c r="F448">
        <v>82.57</v>
      </c>
      <c r="G448">
        <v>48.72</v>
      </c>
      <c r="H448">
        <v>127</v>
      </c>
      <c r="I448" t="s">
        <v>23</v>
      </c>
      <c r="J448">
        <v>2025</v>
      </c>
      <c r="K448">
        <f t="shared" si="12"/>
        <v>33.849999999999994</v>
      </c>
      <c r="L448" t="str">
        <f t="shared" si="13"/>
        <v>Banca Adriatica|20|Risparmio</v>
      </c>
    </row>
    <row r="449" spans="1:12" x14ac:dyDescent="0.25">
      <c r="A449" t="s">
        <v>22</v>
      </c>
      <c r="B449">
        <v>20</v>
      </c>
      <c r="C449" t="s">
        <v>21</v>
      </c>
      <c r="D449" s="1">
        <v>45900</v>
      </c>
      <c r="E449">
        <v>1558.4</v>
      </c>
      <c r="F449">
        <v>92.03</v>
      </c>
      <c r="G449">
        <v>55.45</v>
      </c>
      <c r="H449">
        <v>161</v>
      </c>
      <c r="I449" t="s">
        <v>23</v>
      </c>
      <c r="J449">
        <v>2025</v>
      </c>
      <c r="K449">
        <f t="shared" si="12"/>
        <v>36.58</v>
      </c>
      <c r="L449" t="str">
        <f t="shared" si="13"/>
        <v>Banca Adriatica|20|Assicurazioni</v>
      </c>
    </row>
    <row r="450" spans="1:12" x14ac:dyDescent="0.25">
      <c r="A450" t="s">
        <v>22</v>
      </c>
      <c r="B450">
        <v>21</v>
      </c>
      <c r="C450" t="s">
        <v>13</v>
      </c>
      <c r="D450" s="1">
        <v>45930</v>
      </c>
      <c r="E450">
        <v>441.5</v>
      </c>
      <c r="F450">
        <v>20.56</v>
      </c>
      <c r="G450">
        <v>13.06</v>
      </c>
      <c r="H450">
        <v>55</v>
      </c>
      <c r="I450" t="s">
        <v>23</v>
      </c>
      <c r="J450">
        <v>2025</v>
      </c>
      <c r="K450">
        <f t="shared" ref="K450:K513" si="14">F450-G450</f>
        <v>7.4999999999999982</v>
      </c>
      <c r="L450" t="str">
        <f t="shared" ref="L450:L513" si="15">A450&amp;"|"&amp;B450&amp;"|"&amp;C450</f>
        <v>Banca Adriatica|21|Mutui</v>
      </c>
    </row>
    <row r="451" spans="1:12" x14ac:dyDescent="0.25">
      <c r="A451" t="s">
        <v>22</v>
      </c>
      <c r="B451">
        <v>21</v>
      </c>
      <c r="C451" t="s">
        <v>15</v>
      </c>
      <c r="D451" s="1">
        <v>45930</v>
      </c>
      <c r="E451">
        <v>575.9</v>
      </c>
      <c r="F451">
        <v>27.55</v>
      </c>
      <c r="G451">
        <v>16.920000000000002</v>
      </c>
      <c r="H451">
        <v>63</v>
      </c>
      <c r="I451" t="s">
        <v>23</v>
      </c>
      <c r="J451">
        <v>2025</v>
      </c>
      <c r="K451">
        <f t="shared" si="14"/>
        <v>10.629999999999999</v>
      </c>
      <c r="L451" t="str">
        <f t="shared" si="15"/>
        <v>Banca Adriatica|21|Prestiti</v>
      </c>
    </row>
    <row r="452" spans="1:12" x14ac:dyDescent="0.25">
      <c r="A452" t="s">
        <v>22</v>
      </c>
      <c r="B452">
        <v>21</v>
      </c>
      <c r="C452" t="s">
        <v>16</v>
      </c>
      <c r="D452" s="1">
        <v>45930</v>
      </c>
      <c r="E452">
        <v>759.4</v>
      </c>
      <c r="F452">
        <v>37.880000000000003</v>
      </c>
      <c r="G452">
        <v>23.18</v>
      </c>
      <c r="H452">
        <v>79</v>
      </c>
      <c r="I452" t="s">
        <v>23</v>
      </c>
      <c r="J452">
        <v>2025</v>
      </c>
      <c r="K452">
        <f t="shared" si="14"/>
        <v>14.700000000000003</v>
      </c>
      <c r="L452" t="str">
        <f t="shared" si="15"/>
        <v>Banca Adriatica|21|Conti</v>
      </c>
    </row>
    <row r="453" spans="1:12" x14ac:dyDescent="0.25">
      <c r="A453" t="s">
        <v>22</v>
      </c>
      <c r="B453">
        <v>21</v>
      </c>
      <c r="C453" t="s">
        <v>17</v>
      </c>
      <c r="D453" s="1">
        <v>45930</v>
      </c>
      <c r="E453">
        <v>927.9</v>
      </c>
      <c r="F453">
        <v>47.56</v>
      </c>
      <c r="G453">
        <v>29.23</v>
      </c>
      <c r="H453">
        <v>107</v>
      </c>
      <c r="I453" t="s">
        <v>23</v>
      </c>
      <c r="J453">
        <v>2025</v>
      </c>
      <c r="K453">
        <f t="shared" si="14"/>
        <v>18.330000000000002</v>
      </c>
      <c r="L453" t="str">
        <f t="shared" si="15"/>
        <v>Banca Adriatica|21|Carte</v>
      </c>
    </row>
    <row r="454" spans="1:12" x14ac:dyDescent="0.25">
      <c r="A454" t="s">
        <v>22</v>
      </c>
      <c r="B454">
        <v>21</v>
      </c>
      <c r="C454" t="s">
        <v>18</v>
      </c>
      <c r="D454" s="1">
        <v>45930</v>
      </c>
      <c r="E454">
        <v>1086.0999999999999</v>
      </c>
      <c r="F454">
        <v>58.17</v>
      </c>
      <c r="G454">
        <v>35.65</v>
      </c>
      <c r="H454">
        <v>118</v>
      </c>
      <c r="I454" t="s">
        <v>23</v>
      </c>
      <c r="J454">
        <v>2025</v>
      </c>
      <c r="K454">
        <f t="shared" si="14"/>
        <v>22.520000000000003</v>
      </c>
      <c r="L454" t="str">
        <f t="shared" si="15"/>
        <v>Banca Adriatica|21|Leasing</v>
      </c>
    </row>
    <row r="455" spans="1:12" x14ac:dyDescent="0.25">
      <c r="A455" t="s">
        <v>22</v>
      </c>
      <c r="B455">
        <v>21</v>
      </c>
      <c r="C455" t="s">
        <v>19</v>
      </c>
      <c r="D455" s="1">
        <v>45930</v>
      </c>
      <c r="E455">
        <v>1246.0999999999999</v>
      </c>
      <c r="F455">
        <v>68.8</v>
      </c>
      <c r="G455">
        <v>41.71</v>
      </c>
      <c r="H455">
        <v>117</v>
      </c>
      <c r="I455" t="s">
        <v>23</v>
      </c>
      <c r="J455">
        <v>2025</v>
      </c>
      <c r="K455">
        <f t="shared" si="14"/>
        <v>27.089999999999996</v>
      </c>
      <c r="L455" t="str">
        <f t="shared" si="15"/>
        <v>Banca Adriatica|21|Factoring</v>
      </c>
    </row>
    <row r="456" spans="1:12" x14ac:dyDescent="0.25">
      <c r="A456" t="s">
        <v>22</v>
      </c>
      <c r="B456">
        <v>21</v>
      </c>
      <c r="C456" t="s">
        <v>20</v>
      </c>
      <c r="D456" s="1">
        <v>45930</v>
      </c>
      <c r="E456">
        <v>1428.7</v>
      </c>
      <c r="F456">
        <v>81.489999999999995</v>
      </c>
      <c r="G456">
        <v>48.75</v>
      </c>
      <c r="H456">
        <v>146</v>
      </c>
      <c r="I456" t="s">
        <v>23</v>
      </c>
      <c r="J456">
        <v>2025</v>
      </c>
      <c r="K456">
        <f t="shared" si="14"/>
        <v>32.739999999999995</v>
      </c>
      <c r="L456" t="str">
        <f t="shared" si="15"/>
        <v>Banca Adriatica|21|Risparmio</v>
      </c>
    </row>
    <row r="457" spans="1:12" x14ac:dyDescent="0.25">
      <c r="A457" t="s">
        <v>22</v>
      </c>
      <c r="B457">
        <v>21</v>
      </c>
      <c r="C457" t="s">
        <v>21</v>
      </c>
      <c r="D457" s="1">
        <v>45930</v>
      </c>
      <c r="E457">
        <v>1569.1</v>
      </c>
      <c r="F457">
        <v>92.64</v>
      </c>
      <c r="G457">
        <v>55.06</v>
      </c>
      <c r="H457">
        <v>164</v>
      </c>
      <c r="I457" t="s">
        <v>23</v>
      </c>
      <c r="J457">
        <v>2025</v>
      </c>
      <c r="K457">
        <f t="shared" si="14"/>
        <v>37.58</v>
      </c>
      <c r="L457" t="str">
        <f t="shared" si="15"/>
        <v>Banca Adriatica|21|Assicurazioni</v>
      </c>
    </row>
    <row r="458" spans="1:12" x14ac:dyDescent="0.25">
      <c r="A458" t="s">
        <v>22</v>
      </c>
      <c r="B458">
        <v>22</v>
      </c>
      <c r="C458" t="s">
        <v>13</v>
      </c>
      <c r="D458" s="1">
        <v>45961</v>
      </c>
      <c r="E458">
        <v>426.7</v>
      </c>
      <c r="F458">
        <v>19.43</v>
      </c>
      <c r="G458">
        <v>11.96</v>
      </c>
      <c r="H458">
        <v>56</v>
      </c>
      <c r="I458" t="s">
        <v>23</v>
      </c>
      <c r="J458">
        <v>2025</v>
      </c>
      <c r="K458">
        <f t="shared" si="14"/>
        <v>7.4699999999999989</v>
      </c>
      <c r="L458" t="str">
        <f t="shared" si="15"/>
        <v>Banca Adriatica|22|Mutui</v>
      </c>
    </row>
    <row r="459" spans="1:12" x14ac:dyDescent="0.25">
      <c r="A459" t="s">
        <v>22</v>
      </c>
      <c r="B459">
        <v>22</v>
      </c>
      <c r="C459" t="s">
        <v>15</v>
      </c>
      <c r="D459" s="1">
        <v>45961</v>
      </c>
      <c r="E459">
        <v>609</v>
      </c>
      <c r="F459">
        <v>29.14</v>
      </c>
      <c r="G459">
        <v>18.329999999999998</v>
      </c>
      <c r="H459">
        <v>78</v>
      </c>
      <c r="I459" t="s">
        <v>23</v>
      </c>
      <c r="J459">
        <v>2025</v>
      </c>
      <c r="K459">
        <f t="shared" si="14"/>
        <v>10.810000000000002</v>
      </c>
      <c r="L459" t="str">
        <f t="shared" si="15"/>
        <v>Banca Adriatica|22|Prestiti</v>
      </c>
    </row>
    <row r="460" spans="1:12" x14ac:dyDescent="0.25">
      <c r="A460" t="s">
        <v>22</v>
      </c>
      <c r="B460">
        <v>22</v>
      </c>
      <c r="C460" t="s">
        <v>16</v>
      </c>
      <c r="D460" s="1">
        <v>45961</v>
      </c>
      <c r="E460">
        <v>775.5</v>
      </c>
      <c r="F460">
        <v>38.619999999999997</v>
      </c>
      <c r="G460">
        <v>23.48</v>
      </c>
      <c r="H460">
        <v>76</v>
      </c>
      <c r="I460" t="s">
        <v>23</v>
      </c>
      <c r="J460">
        <v>2025</v>
      </c>
      <c r="K460">
        <f t="shared" si="14"/>
        <v>15.139999999999997</v>
      </c>
      <c r="L460" t="str">
        <f t="shared" si="15"/>
        <v>Banca Adriatica|22|Conti</v>
      </c>
    </row>
    <row r="461" spans="1:12" x14ac:dyDescent="0.25">
      <c r="A461" t="s">
        <v>22</v>
      </c>
      <c r="B461">
        <v>22</v>
      </c>
      <c r="C461" t="s">
        <v>17</v>
      </c>
      <c r="D461" s="1">
        <v>45961</v>
      </c>
      <c r="E461">
        <v>959.8</v>
      </c>
      <c r="F461">
        <v>49.74</v>
      </c>
      <c r="G461">
        <v>29.83</v>
      </c>
      <c r="H461">
        <v>87</v>
      </c>
      <c r="I461" t="s">
        <v>23</v>
      </c>
      <c r="J461">
        <v>2025</v>
      </c>
      <c r="K461">
        <f t="shared" si="14"/>
        <v>19.910000000000004</v>
      </c>
      <c r="L461" t="str">
        <f t="shared" si="15"/>
        <v>Banca Adriatica|22|Carte</v>
      </c>
    </row>
    <row r="462" spans="1:12" x14ac:dyDescent="0.25">
      <c r="A462" t="s">
        <v>22</v>
      </c>
      <c r="B462">
        <v>22</v>
      </c>
      <c r="C462" t="s">
        <v>18</v>
      </c>
      <c r="D462" s="1">
        <v>45961</v>
      </c>
      <c r="E462">
        <v>1107.7</v>
      </c>
      <c r="F462">
        <v>59.6</v>
      </c>
      <c r="G462">
        <v>36.42</v>
      </c>
      <c r="H462">
        <v>121</v>
      </c>
      <c r="I462" t="s">
        <v>23</v>
      </c>
      <c r="J462">
        <v>2025</v>
      </c>
      <c r="K462">
        <f t="shared" si="14"/>
        <v>23.18</v>
      </c>
      <c r="L462" t="str">
        <f t="shared" si="15"/>
        <v>Banca Adriatica|22|Leasing</v>
      </c>
    </row>
    <row r="463" spans="1:12" x14ac:dyDescent="0.25">
      <c r="A463" t="s">
        <v>22</v>
      </c>
      <c r="B463">
        <v>22</v>
      </c>
      <c r="C463" t="s">
        <v>19</v>
      </c>
      <c r="D463" s="1">
        <v>45961</v>
      </c>
      <c r="E463">
        <v>1260.4000000000001</v>
      </c>
      <c r="F463">
        <v>69.819999999999993</v>
      </c>
      <c r="G463">
        <v>42.39</v>
      </c>
      <c r="H463">
        <v>113</v>
      </c>
      <c r="I463" t="s">
        <v>23</v>
      </c>
      <c r="J463">
        <v>2025</v>
      </c>
      <c r="K463">
        <f t="shared" si="14"/>
        <v>27.429999999999993</v>
      </c>
      <c r="L463" t="str">
        <f t="shared" si="15"/>
        <v>Banca Adriatica|22|Factoring</v>
      </c>
    </row>
    <row r="464" spans="1:12" x14ac:dyDescent="0.25">
      <c r="A464" t="s">
        <v>22</v>
      </c>
      <c r="B464">
        <v>22</v>
      </c>
      <c r="C464" t="s">
        <v>20</v>
      </c>
      <c r="D464" s="1">
        <v>45961</v>
      </c>
      <c r="E464">
        <v>1416.1</v>
      </c>
      <c r="F464">
        <v>80.81</v>
      </c>
      <c r="G464">
        <v>48.89</v>
      </c>
      <c r="H464">
        <v>139</v>
      </c>
      <c r="I464" t="s">
        <v>23</v>
      </c>
      <c r="J464">
        <v>2025</v>
      </c>
      <c r="K464">
        <f t="shared" si="14"/>
        <v>31.92</v>
      </c>
      <c r="L464" t="str">
        <f t="shared" si="15"/>
        <v>Banca Adriatica|22|Risparmio</v>
      </c>
    </row>
    <row r="465" spans="1:12" x14ac:dyDescent="0.25">
      <c r="A465" t="s">
        <v>22</v>
      </c>
      <c r="B465">
        <v>22</v>
      </c>
      <c r="C465" t="s">
        <v>21</v>
      </c>
      <c r="D465" s="1">
        <v>45961</v>
      </c>
      <c r="E465">
        <v>1590.2</v>
      </c>
      <c r="F465">
        <v>94.42</v>
      </c>
      <c r="G465">
        <v>56.06</v>
      </c>
      <c r="H465">
        <v>138</v>
      </c>
      <c r="I465" t="s">
        <v>23</v>
      </c>
      <c r="J465">
        <v>2025</v>
      </c>
      <c r="K465">
        <f t="shared" si="14"/>
        <v>38.36</v>
      </c>
      <c r="L465" t="str">
        <f t="shared" si="15"/>
        <v>Banca Adriatica|22|Assicurazioni</v>
      </c>
    </row>
    <row r="466" spans="1:12" x14ac:dyDescent="0.25">
      <c r="A466" t="s">
        <v>22</v>
      </c>
      <c r="B466">
        <v>23</v>
      </c>
      <c r="C466" t="s">
        <v>13</v>
      </c>
      <c r="D466" s="1">
        <v>45991</v>
      </c>
      <c r="E466">
        <v>432.7</v>
      </c>
      <c r="F466">
        <v>20.07</v>
      </c>
      <c r="G466">
        <v>13.03</v>
      </c>
      <c r="H466">
        <v>64</v>
      </c>
      <c r="I466" t="s">
        <v>23</v>
      </c>
      <c r="J466">
        <v>2025</v>
      </c>
      <c r="K466">
        <f t="shared" si="14"/>
        <v>7.0400000000000009</v>
      </c>
      <c r="L466" t="str">
        <f t="shared" si="15"/>
        <v>Banca Adriatica|23|Mutui</v>
      </c>
    </row>
    <row r="467" spans="1:12" x14ac:dyDescent="0.25">
      <c r="A467" t="s">
        <v>22</v>
      </c>
      <c r="B467">
        <v>23</v>
      </c>
      <c r="C467" t="s">
        <v>15</v>
      </c>
      <c r="D467" s="1">
        <v>45991</v>
      </c>
      <c r="E467">
        <v>608.6</v>
      </c>
      <c r="F467">
        <v>29.44</v>
      </c>
      <c r="G467">
        <v>18.55</v>
      </c>
      <c r="H467">
        <v>80</v>
      </c>
      <c r="I467" t="s">
        <v>23</v>
      </c>
      <c r="J467">
        <v>2025</v>
      </c>
      <c r="K467">
        <f t="shared" si="14"/>
        <v>10.89</v>
      </c>
      <c r="L467" t="str">
        <f t="shared" si="15"/>
        <v>Banca Adriatica|23|Prestiti</v>
      </c>
    </row>
    <row r="468" spans="1:12" x14ac:dyDescent="0.25">
      <c r="A468" t="s">
        <v>22</v>
      </c>
      <c r="B468">
        <v>23</v>
      </c>
      <c r="C468" t="s">
        <v>16</v>
      </c>
      <c r="D468" s="1">
        <v>45991</v>
      </c>
      <c r="E468">
        <v>749</v>
      </c>
      <c r="F468">
        <v>37.69</v>
      </c>
      <c r="G468">
        <v>23.44</v>
      </c>
      <c r="H468">
        <v>70</v>
      </c>
      <c r="I468" t="s">
        <v>23</v>
      </c>
      <c r="J468">
        <v>2025</v>
      </c>
      <c r="K468">
        <f t="shared" si="14"/>
        <v>14.249999999999996</v>
      </c>
      <c r="L468" t="str">
        <f t="shared" si="15"/>
        <v>Banca Adriatica|23|Conti</v>
      </c>
    </row>
    <row r="469" spans="1:12" x14ac:dyDescent="0.25">
      <c r="A469" t="s">
        <v>22</v>
      </c>
      <c r="B469">
        <v>23</v>
      </c>
      <c r="C469" t="s">
        <v>17</v>
      </c>
      <c r="D469" s="1">
        <v>45991</v>
      </c>
      <c r="E469">
        <v>943.1</v>
      </c>
      <c r="F469">
        <v>48.35</v>
      </c>
      <c r="G469">
        <v>29.56</v>
      </c>
      <c r="H469">
        <v>83</v>
      </c>
      <c r="I469" t="s">
        <v>23</v>
      </c>
      <c r="J469">
        <v>2025</v>
      </c>
      <c r="K469">
        <f t="shared" si="14"/>
        <v>18.790000000000003</v>
      </c>
      <c r="L469" t="str">
        <f t="shared" si="15"/>
        <v>Banca Adriatica|23|Carte</v>
      </c>
    </row>
    <row r="470" spans="1:12" x14ac:dyDescent="0.25">
      <c r="A470" t="s">
        <v>22</v>
      </c>
      <c r="B470">
        <v>23</v>
      </c>
      <c r="C470" t="s">
        <v>18</v>
      </c>
      <c r="D470" s="1">
        <v>45991</v>
      </c>
      <c r="E470">
        <v>1098.9000000000001</v>
      </c>
      <c r="F470">
        <v>58.96</v>
      </c>
      <c r="G470">
        <v>35.700000000000003</v>
      </c>
      <c r="H470">
        <v>111</v>
      </c>
      <c r="I470" t="s">
        <v>23</v>
      </c>
      <c r="J470">
        <v>2025</v>
      </c>
      <c r="K470">
        <f t="shared" si="14"/>
        <v>23.259999999999998</v>
      </c>
      <c r="L470" t="str">
        <f t="shared" si="15"/>
        <v>Banca Adriatica|23|Leasing</v>
      </c>
    </row>
    <row r="471" spans="1:12" x14ac:dyDescent="0.25">
      <c r="A471" t="s">
        <v>22</v>
      </c>
      <c r="B471">
        <v>23</v>
      </c>
      <c r="C471" t="s">
        <v>19</v>
      </c>
      <c r="D471" s="1">
        <v>45991</v>
      </c>
      <c r="E471">
        <v>1304.9000000000001</v>
      </c>
      <c r="F471">
        <v>72.64</v>
      </c>
      <c r="G471">
        <v>43.84</v>
      </c>
      <c r="H471">
        <v>143</v>
      </c>
      <c r="I471" t="s">
        <v>23</v>
      </c>
      <c r="J471">
        <v>2025</v>
      </c>
      <c r="K471">
        <f t="shared" si="14"/>
        <v>28.799999999999997</v>
      </c>
      <c r="L471" t="str">
        <f t="shared" si="15"/>
        <v>Banca Adriatica|23|Factoring</v>
      </c>
    </row>
    <row r="472" spans="1:12" x14ac:dyDescent="0.25">
      <c r="A472" t="s">
        <v>22</v>
      </c>
      <c r="B472">
        <v>23</v>
      </c>
      <c r="C472" t="s">
        <v>20</v>
      </c>
      <c r="D472" s="1">
        <v>45991</v>
      </c>
      <c r="E472">
        <v>1439.8</v>
      </c>
      <c r="F472">
        <v>82.46</v>
      </c>
      <c r="G472">
        <v>48.96</v>
      </c>
      <c r="H472">
        <v>156</v>
      </c>
      <c r="I472" t="s">
        <v>23</v>
      </c>
      <c r="J472">
        <v>2025</v>
      </c>
      <c r="K472">
        <f t="shared" si="14"/>
        <v>33.499999999999993</v>
      </c>
      <c r="L472" t="str">
        <f t="shared" si="15"/>
        <v>Banca Adriatica|23|Risparmio</v>
      </c>
    </row>
    <row r="473" spans="1:12" x14ac:dyDescent="0.25">
      <c r="A473" t="s">
        <v>22</v>
      </c>
      <c r="B473">
        <v>23</v>
      </c>
      <c r="C473" t="s">
        <v>21</v>
      </c>
      <c r="D473" s="1">
        <v>45991</v>
      </c>
      <c r="E473">
        <v>1616.8</v>
      </c>
      <c r="F473">
        <v>96.37</v>
      </c>
      <c r="G473">
        <v>56.88</v>
      </c>
      <c r="H473">
        <v>144</v>
      </c>
      <c r="I473" t="s">
        <v>23</v>
      </c>
      <c r="J473">
        <v>2025</v>
      </c>
      <c r="K473">
        <f t="shared" si="14"/>
        <v>39.49</v>
      </c>
      <c r="L473" t="str">
        <f t="shared" si="15"/>
        <v>Banca Adriatica|23|Assicurazioni</v>
      </c>
    </row>
    <row r="474" spans="1:12" x14ac:dyDescent="0.25">
      <c r="A474" t="s">
        <v>22</v>
      </c>
      <c r="B474">
        <v>24</v>
      </c>
      <c r="C474" t="s">
        <v>13</v>
      </c>
      <c r="D474" s="1">
        <v>46022</v>
      </c>
      <c r="E474">
        <v>417.2</v>
      </c>
      <c r="F474">
        <v>19.37</v>
      </c>
      <c r="G474">
        <v>11.77</v>
      </c>
      <c r="H474">
        <v>40</v>
      </c>
      <c r="I474" t="s">
        <v>23</v>
      </c>
      <c r="J474">
        <v>2025</v>
      </c>
      <c r="K474">
        <f t="shared" si="14"/>
        <v>7.6000000000000014</v>
      </c>
      <c r="L474" t="str">
        <f t="shared" si="15"/>
        <v>Banca Adriatica|24|Mutui</v>
      </c>
    </row>
    <row r="475" spans="1:12" x14ac:dyDescent="0.25">
      <c r="A475" t="s">
        <v>22</v>
      </c>
      <c r="B475">
        <v>24</v>
      </c>
      <c r="C475" t="s">
        <v>15</v>
      </c>
      <c r="D475" s="1">
        <v>46022</v>
      </c>
      <c r="E475">
        <v>631.9</v>
      </c>
      <c r="F475">
        <v>29.82</v>
      </c>
      <c r="G475">
        <v>18.95</v>
      </c>
      <c r="H475">
        <v>89</v>
      </c>
      <c r="I475" t="s">
        <v>23</v>
      </c>
      <c r="J475">
        <v>2025</v>
      </c>
      <c r="K475">
        <f t="shared" si="14"/>
        <v>10.870000000000001</v>
      </c>
      <c r="L475" t="str">
        <f t="shared" si="15"/>
        <v>Banca Adriatica|24|Prestiti</v>
      </c>
    </row>
    <row r="476" spans="1:12" x14ac:dyDescent="0.25">
      <c r="A476" t="s">
        <v>22</v>
      </c>
      <c r="B476">
        <v>24</v>
      </c>
      <c r="C476" t="s">
        <v>16</v>
      </c>
      <c r="D476" s="1">
        <v>46022</v>
      </c>
      <c r="E476">
        <v>768</v>
      </c>
      <c r="F476">
        <v>37.909999999999997</v>
      </c>
      <c r="G476">
        <v>23.35</v>
      </c>
      <c r="H476">
        <v>95</v>
      </c>
      <c r="I476" t="s">
        <v>23</v>
      </c>
      <c r="J476">
        <v>2025</v>
      </c>
      <c r="K476">
        <f t="shared" si="14"/>
        <v>14.559999999999995</v>
      </c>
      <c r="L476" t="str">
        <f t="shared" si="15"/>
        <v>Banca Adriatica|24|Conti</v>
      </c>
    </row>
    <row r="477" spans="1:12" x14ac:dyDescent="0.25">
      <c r="A477" t="s">
        <v>22</v>
      </c>
      <c r="B477">
        <v>24</v>
      </c>
      <c r="C477" t="s">
        <v>17</v>
      </c>
      <c r="D477" s="1">
        <v>46022</v>
      </c>
      <c r="E477">
        <v>969.6</v>
      </c>
      <c r="F477">
        <v>49.51</v>
      </c>
      <c r="G477">
        <v>30.53</v>
      </c>
      <c r="H477">
        <v>107</v>
      </c>
      <c r="I477" t="s">
        <v>23</v>
      </c>
      <c r="J477">
        <v>2025</v>
      </c>
      <c r="K477">
        <f t="shared" si="14"/>
        <v>18.979999999999997</v>
      </c>
      <c r="L477" t="str">
        <f t="shared" si="15"/>
        <v>Banca Adriatica|24|Carte</v>
      </c>
    </row>
    <row r="478" spans="1:12" x14ac:dyDescent="0.25">
      <c r="A478" t="s">
        <v>22</v>
      </c>
      <c r="B478">
        <v>24</v>
      </c>
      <c r="C478" t="s">
        <v>18</v>
      </c>
      <c r="D478" s="1">
        <v>46022</v>
      </c>
      <c r="E478">
        <v>1113.4000000000001</v>
      </c>
      <c r="F478">
        <v>59.06</v>
      </c>
      <c r="G478">
        <v>35.64</v>
      </c>
      <c r="H478">
        <v>104</v>
      </c>
      <c r="I478" t="s">
        <v>23</v>
      </c>
      <c r="J478">
        <v>2025</v>
      </c>
      <c r="K478">
        <f t="shared" si="14"/>
        <v>23.42</v>
      </c>
      <c r="L478" t="str">
        <f t="shared" si="15"/>
        <v>Banca Adriatica|24|Leasing</v>
      </c>
    </row>
    <row r="479" spans="1:12" x14ac:dyDescent="0.25">
      <c r="A479" t="s">
        <v>22</v>
      </c>
      <c r="B479">
        <v>24</v>
      </c>
      <c r="C479" t="s">
        <v>19</v>
      </c>
      <c r="D479" s="1">
        <v>46022</v>
      </c>
      <c r="E479">
        <v>1283.5</v>
      </c>
      <c r="F479">
        <v>71.58</v>
      </c>
      <c r="G479">
        <v>42.46</v>
      </c>
      <c r="H479">
        <v>127</v>
      </c>
      <c r="I479" t="s">
        <v>23</v>
      </c>
      <c r="J479">
        <v>2025</v>
      </c>
      <c r="K479">
        <f t="shared" si="14"/>
        <v>29.119999999999997</v>
      </c>
      <c r="L479" t="str">
        <f t="shared" si="15"/>
        <v>Banca Adriatica|24|Factoring</v>
      </c>
    </row>
    <row r="480" spans="1:12" x14ac:dyDescent="0.25">
      <c r="A480" t="s">
        <v>22</v>
      </c>
      <c r="B480">
        <v>24</v>
      </c>
      <c r="C480" t="s">
        <v>20</v>
      </c>
      <c r="D480" s="1">
        <v>46022</v>
      </c>
      <c r="E480">
        <v>1442.1</v>
      </c>
      <c r="F480">
        <v>83.16</v>
      </c>
      <c r="G480">
        <v>49.16</v>
      </c>
      <c r="H480">
        <v>125</v>
      </c>
      <c r="I480" t="s">
        <v>23</v>
      </c>
      <c r="J480">
        <v>2025</v>
      </c>
      <c r="K480">
        <f t="shared" si="14"/>
        <v>34</v>
      </c>
      <c r="L480" t="str">
        <f t="shared" si="15"/>
        <v>Banca Adriatica|24|Risparmio</v>
      </c>
    </row>
    <row r="481" spans="1:12" x14ac:dyDescent="0.25">
      <c r="A481" t="s">
        <v>22</v>
      </c>
      <c r="B481">
        <v>24</v>
      </c>
      <c r="C481" t="s">
        <v>21</v>
      </c>
      <c r="D481" s="1">
        <v>46022</v>
      </c>
      <c r="E481">
        <v>1646.4</v>
      </c>
      <c r="F481">
        <v>97.77</v>
      </c>
      <c r="G481">
        <v>58.07</v>
      </c>
      <c r="H481">
        <v>162</v>
      </c>
      <c r="I481" t="s">
        <v>23</v>
      </c>
      <c r="J481">
        <v>2025</v>
      </c>
      <c r="K481">
        <f t="shared" si="14"/>
        <v>39.699999999999996</v>
      </c>
      <c r="L481" t="str">
        <f t="shared" si="15"/>
        <v>Banca Adriatica|24|Assicurazioni</v>
      </c>
    </row>
    <row r="482" spans="1:12" x14ac:dyDescent="0.25">
      <c r="A482" t="s">
        <v>22</v>
      </c>
      <c r="B482">
        <v>25</v>
      </c>
      <c r="C482" t="s">
        <v>13</v>
      </c>
      <c r="D482" s="1">
        <v>46053</v>
      </c>
      <c r="E482">
        <v>444.7</v>
      </c>
      <c r="F482">
        <v>20.260000000000002</v>
      </c>
      <c r="G482">
        <v>13.3</v>
      </c>
      <c r="H482">
        <v>61</v>
      </c>
      <c r="I482" t="s">
        <v>23</v>
      </c>
      <c r="J482">
        <v>2026</v>
      </c>
      <c r="K482">
        <f t="shared" si="14"/>
        <v>6.9600000000000009</v>
      </c>
      <c r="L482" t="str">
        <f t="shared" si="15"/>
        <v>Banca Adriatica|25|Mutui</v>
      </c>
    </row>
    <row r="483" spans="1:12" x14ac:dyDescent="0.25">
      <c r="A483" t="s">
        <v>22</v>
      </c>
      <c r="B483">
        <v>25</v>
      </c>
      <c r="C483" t="s">
        <v>15</v>
      </c>
      <c r="D483" s="1">
        <v>46053</v>
      </c>
      <c r="E483">
        <v>603.70000000000005</v>
      </c>
      <c r="F483">
        <v>28.46</v>
      </c>
      <c r="G483">
        <v>17.77</v>
      </c>
      <c r="H483">
        <v>53</v>
      </c>
      <c r="I483" t="s">
        <v>23</v>
      </c>
      <c r="J483">
        <v>2026</v>
      </c>
      <c r="K483">
        <f t="shared" si="14"/>
        <v>10.690000000000001</v>
      </c>
      <c r="L483" t="str">
        <f t="shared" si="15"/>
        <v>Banca Adriatica|25|Prestiti</v>
      </c>
    </row>
    <row r="484" spans="1:12" x14ac:dyDescent="0.25">
      <c r="A484" t="s">
        <v>22</v>
      </c>
      <c r="B484">
        <v>25</v>
      </c>
      <c r="C484" t="s">
        <v>16</v>
      </c>
      <c r="D484" s="1">
        <v>46053</v>
      </c>
      <c r="E484">
        <v>780.2</v>
      </c>
      <c r="F484">
        <v>38.74</v>
      </c>
      <c r="G484">
        <v>24.02</v>
      </c>
      <c r="H484">
        <v>96</v>
      </c>
      <c r="I484" t="s">
        <v>23</v>
      </c>
      <c r="J484">
        <v>2026</v>
      </c>
      <c r="K484">
        <f t="shared" si="14"/>
        <v>14.720000000000002</v>
      </c>
      <c r="L484" t="str">
        <f t="shared" si="15"/>
        <v>Banca Adriatica|25|Conti</v>
      </c>
    </row>
    <row r="485" spans="1:12" x14ac:dyDescent="0.25">
      <c r="A485" t="s">
        <v>22</v>
      </c>
      <c r="B485">
        <v>25</v>
      </c>
      <c r="C485" t="s">
        <v>17</v>
      </c>
      <c r="D485" s="1">
        <v>46053</v>
      </c>
      <c r="E485">
        <v>955.1</v>
      </c>
      <c r="F485">
        <v>49.3</v>
      </c>
      <c r="G485">
        <v>30.44</v>
      </c>
      <c r="H485">
        <v>103</v>
      </c>
      <c r="I485" t="s">
        <v>23</v>
      </c>
      <c r="J485">
        <v>2026</v>
      </c>
      <c r="K485">
        <f t="shared" si="14"/>
        <v>18.859999999999996</v>
      </c>
      <c r="L485" t="str">
        <f t="shared" si="15"/>
        <v>Banca Adriatica|25|Carte</v>
      </c>
    </row>
    <row r="486" spans="1:12" x14ac:dyDescent="0.25">
      <c r="A486" t="s">
        <v>22</v>
      </c>
      <c r="B486">
        <v>25</v>
      </c>
      <c r="C486" t="s">
        <v>18</v>
      </c>
      <c r="D486" s="1">
        <v>46053</v>
      </c>
      <c r="E486">
        <v>1139</v>
      </c>
      <c r="F486">
        <v>60.39</v>
      </c>
      <c r="G486">
        <v>36.58</v>
      </c>
      <c r="H486">
        <v>117</v>
      </c>
      <c r="I486" t="s">
        <v>23</v>
      </c>
      <c r="J486">
        <v>2026</v>
      </c>
      <c r="K486">
        <f t="shared" si="14"/>
        <v>23.810000000000002</v>
      </c>
      <c r="L486" t="str">
        <f t="shared" si="15"/>
        <v>Banca Adriatica|25|Leasing</v>
      </c>
    </row>
    <row r="487" spans="1:12" x14ac:dyDescent="0.25">
      <c r="A487" t="s">
        <v>22</v>
      </c>
      <c r="B487">
        <v>25</v>
      </c>
      <c r="C487" t="s">
        <v>19</v>
      </c>
      <c r="D487" s="1">
        <v>46053</v>
      </c>
      <c r="E487">
        <v>1272.3</v>
      </c>
      <c r="F487">
        <v>70.13</v>
      </c>
      <c r="G487">
        <v>42.2</v>
      </c>
      <c r="H487">
        <v>140</v>
      </c>
      <c r="I487" t="s">
        <v>23</v>
      </c>
      <c r="J487">
        <v>2026</v>
      </c>
      <c r="K487">
        <f t="shared" si="14"/>
        <v>27.929999999999993</v>
      </c>
      <c r="L487" t="str">
        <f t="shared" si="15"/>
        <v>Banca Adriatica|25|Factoring</v>
      </c>
    </row>
    <row r="488" spans="1:12" x14ac:dyDescent="0.25">
      <c r="A488" t="s">
        <v>22</v>
      </c>
      <c r="B488">
        <v>25</v>
      </c>
      <c r="C488" t="s">
        <v>20</v>
      </c>
      <c r="D488" s="1">
        <v>46053</v>
      </c>
      <c r="E488">
        <v>1489.3</v>
      </c>
      <c r="F488">
        <v>85.5</v>
      </c>
      <c r="G488">
        <v>51.45</v>
      </c>
      <c r="H488">
        <v>132</v>
      </c>
      <c r="I488" t="s">
        <v>23</v>
      </c>
      <c r="J488">
        <v>2026</v>
      </c>
      <c r="K488">
        <f t="shared" si="14"/>
        <v>34.049999999999997</v>
      </c>
      <c r="L488" t="str">
        <f t="shared" si="15"/>
        <v>Banca Adriatica|25|Risparmio</v>
      </c>
    </row>
    <row r="489" spans="1:12" x14ac:dyDescent="0.25">
      <c r="A489" t="s">
        <v>22</v>
      </c>
      <c r="B489">
        <v>25</v>
      </c>
      <c r="C489" t="s">
        <v>21</v>
      </c>
      <c r="D489" s="1">
        <v>46053</v>
      </c>
      <c r="E489">
        <v>1631.6</v>
      </c>
      <c r="F489">
        <v>96.47</v>
      </c>
      <c r="G489">
        <v>57.51</v>
      </c>
      <c r="H489">
        <v>175</v>
      </c>
      <c r="I489" t="s">
        <v>23</v>
      </c>
      <c r="J489">
        <v>2026</v>
      </c>
      <c r="K489">
        <f t="shared" si="14"/>
        <v>38.96</v>
      </c>
      <c r="L489" t="str">
        <f t="shared" si="15"/>
        <v>Banca Adriatica|25|Assicurazioni</v>
      </c>
    </row>
    <row r="490" spans="1:12" x14ac:dyDescent="0.25">
      <c r="A490" t="s">
        <v>22</v>
      </c>
      <c r="B490">
        <v>26</v>
      </c>
      <c r="C490" t="s">
        <v>13</v>
      </c>
      <c r="D490" s="1">
        <v>46081</v>
      </c>
      <c r="E490">
        <v>435.7</v>
      </c>
      <c r="F490">
        <v>20.34</v>
      </c>
      <c r="G490">
        <v>12.27</v>
      </c>
      <c r="H490">
        <v>40</v>
      </c>
      <c r="I490" t="s">
        <v>23</v>
      </c>
      <c r="J490">
        <v>2026</v>
      </c>
      <c r="K490">
        <f t="shared" si="14"/>
        <v>8.07</v>
      </c>
      <c r="L490" t="str">
        <f t="shared" si="15"/>
        <v>Banca Adriatica|26|Mutui</v>
      </c>
    </row>
    <row r="491" spans="1:12" x14ac:dyDescent="0.25">
      <c r="A491" t="s">
        <v>22</v>
      </c>
      <c r="B491">
        <v>26</v>
      </c>
      <c r="C491" t="s">
        <v>15</v>
      </c>
      <c r="D491" s="1">
        <v>46081</v>
      </c>
      <c r="E491">
        <v>607.20000000000005</v>
      </c>
      <c r="F491">
        <v>28.88</v>
      </c>
      <c r="G491">
        <v>17.97</v>
      </c>
      <c r="H491">
        <v>76</v>
      </c>
      <c r="I491" t="s">
        <v>23</v>
      </c>
      <c r="J491">
        <v>2026</v>
      </c>
      <c r="K491">
        <f t="shared" si="14"/>
        <v>10.91</v>
      </c>
      <c r="L491" t="str">
        <f t="shared" si="15"/>
        <v>Banca Adriatica|26|Prestiti</v>
      </c>
    </row>
    <row r="492" spans="1:12" x14ac:dyDescent="0.25">
      <c r="A492" t="s">
        <v>22</v>
      </c>
      <c r="B492">
        <v>26</v>
      </c>
      <c r="C492" t="s">
        <v>16</v>
      </c>
      <c r="D492" s="1">
        <v>46081</v>
      </c>
      <c r="E492">
        <v>797.6</v>
      </c>
      <c r="F492">
        <v>39.89</v>
      </c>
      <c r="G492">
        <v>24.78</v>
      </c>
      <c r="H492">
        <v>102</v>
      </c>
      <c r="I492" t="s">
        <v>23</v>
      </c>
      <c r="J492">
        <v>2026</v>
      </c>
      <c r="K492">
        <f t="shared" si="14"/>
        <v>15.11</v>
      </c>
      <c r="L492" t="str">
        <f t="shared" si="15"/>
        <v>Banca Adriatica|26|Conti</v>
      </c>
    </row>
    <row r="493" spans="1:12" x14ac:dyDescent="0.25">
      <c r="A493" t="s">
        <v>22</v>
      </c>
      <c r="B493">
        <v>26</v>
      </c>
      <c r="C493" t="s">
        <v>17</v>
      </c>
      <c r="D493" s="1">
        <v>46081</v>
      </c>
      <c r="E493">
        <v>982</v>
      </c>
      <c r="F493">
        <v>50.2</v>
      </c>
      <c r="G493">
        <v>30.7</v>
      </c>
      <c r="H493">
        <v>97</v>
      </c>
      <c r="I493" t="s">
        <v>23</v>
      </c>
      <c r="J493">
        <v>2026</v>
      </c>
      <c r="K493">
        <f t="shared" si="14"/>
        <v>19.500000000000004</v>
      </c>
      <c r="L493" t="str">
        <f t="shared" si="15"/>
        <v>Banca Adriatica|26|Carte</v>
      </c>
    </row>
    <row r="494" spans="1:12" x14ac:dyDescent="0.25">
      <c r="A494" t="s">
        <v>22</v>
      </c>
      <c r="B494">
        <v>26</v>
      </c>
      <c r="C494" t="s">
        <v>18</v>
      </c>
      <c r="D494" s="1">
        <v>46081</v>
      </c>
      <c r="E494">
        <v>1104</v>
      </c>
      <c r="F494">
        <v>59.39</v>
      </c>
      <c r="G494">
        <v>35.78</v>
      </c>
      <c r="H494">
        <v>96</v>
      </c>
      <c r="I494" t="s">
        <v>23</v>
      </c>
      <c r="J494">
        <v>2026</v>
      </c>
      <c r="K494">
        <f t="shared" si="14"/>
        <v>23.61</v>
      </c>
      <c r="L494" t="str">
        <f t="shared" si="15"/>
        <v>Banca Adriatica|26|Leasing</v>
      </c>
    </row>
    <row r="495" spans="1:12" x14ac:dyDescent="0.25">
      <c r="A495" t="s">
        <v>22</v>
      </c>
      <c r="B495">
        <v>26</v>
      </c>
      <c r="C495" t="s">
        <v>19</v>
      </c>
      <c r="D495" s="1">
        <v>46081</v>
      </c>
      <c r="E495">
        <v>1319.2</v>
      </c>
      <c r="F495">
        <v>73.25</v>
      </c>
      <c r="G495">
        <v>43.88</v>
      </c>
      <c r="H495">
        <v>117</v>
      </c>
      <c r="I495" t="s">
        <v>23</v>
      </c>
      <c r="J495">
        <v>2026</v>
      </c>
      <c r="K495">
        <f t="shared" si="14"/>
        <v>29.369999999999997</v>
      </c>
      <c r="L495" t="str">
        <f t="shared" si="15"/>
        <v>Banca Adriatica|26|Factoring</v>
      </c>
    </row>
    <row r="496" spans="1:12" x14ac:dyDescent="0.25">
      <c r="A496" t="s">
        <v>22</v>
      </c>
      <c r="B496">
        <v>26</v>
      </c>
      <c r="C496" t="s">
        <v>20</v>
      </c>
      <c r="D496" s="1">
        <v>46081</v>
      </c>
      <c r="E496">
        <v>1455.6</v>
      </c>
      <c r="F496">
        <v>83.16</v>
      </c>
      <c r="G496">
        <v>50.33</v>
      </c>
      <c r="H496">
        <v>137</v>
      </c>
      <c r="I496" t="s">
        <v>23</v>
      </c>
      <c r="J496">
        <v>2026</v>
      </c>
      <c r="K496">
        <f t="shared" si="14"/>
        <v>32.83</v>
      </c>
      <c r="L496" t="str">
        <f t="shared" si="15"/>
        <v>Banca Adriatica|26|Risparmio</v>
      </c>
    </row>
    <row r="497" spans="1:12" x14ac:dyDescent="0.25">
      <c r="A497" t="s">
        <v>22</v>
      </c>
      <c r="B497">
        <v>26</v>
      </c>
      <c r="C497" t="s">
        <v>21</v>
      </c>
      <c r="D497" s="1">
        <v>46081</v>
      </c>
      <c r="E497">
        <v>1657.1</v>
      </c>
      <c r="F497">
        <v>98.72</v>
      </c>
      <c r="G497">
        <v>58.04</v>
      </c>
      <c r="H497">
        <v>149</v>
      </c>
      <c r="I497" t="s">
        <v>23</v>
      </c>
      <c r="J497">
        <v>2026</v>
      </c>
      <c r="K497">
        <f t="shared" si="14"/>
        <v>40.68</v>
      </c>
      <c r="L497" t="str">
        <f t="shared" si="15"/>
        <v>Banca Adriatica|26|Assicurazioni</v>
      </c>
    </row>
    <row r="498" spans="1:12" x14ac:dyDescent="0.25">
      <c r="A498" t="s">
        <v>22</v>
      </c>
      <c r="B498">
        <v>27</v>
      </c>
      <c r="C498" t="s">
        <v>13</v>
      </c>
      <c r="D498" s="1">
        <v>46112</v>
      </c>
      <c r="E498">
        <v>459.6</v>
      </c>
      <c r="F498">
        <v>21.47</v>
      </c>
      <c r="G498">
        <v>13.48</v>
      </c>
      <c r="H498">
        <v>45</v>
      </c>
      <c r="I498" t="s">
        <v>23</v>
      </c>
      <c r="J498">
        <v>2026</v>
      </c>
      <c r="K498">
        <f t="shared" si="14"/>
        <v>7.9899999999999984</v>
      </c>
      <c r="L498" t="str">
        <f t="shared" si="15"/>
        <v>Banca Adriatica|27|Mutui</v>
      </c>
    </row>
    <row r="499" spans="1:12" x14ac:dyDescent="0.25">
      <c r="A499" t="s">
        <v>22</v>
      </c>
      <c r="B499">
        <v>27</v>
      </c>
      <c r="C499" t="s">
        <v>15</v>
      </c>
      <c r="D499" s="1">
        <v>46112</v>
      </c>
      <c r="E499">
        <v>638.5</v>
      </c>
      <c r="F499">
        <v>30.77</v>
      </c>
      <c r="G499">
        <v>19.399999999999999</v>
      </c>
      <c r="H499">
        <v>69</v>
      </c>
      <c r="I499" t="s">
        <v>23</v>
      </c>
      <c r="J499">
        <v>2026</v>
      </c>
      <c r="K499">
        <f t="shared" si="14"/>
        <v>11.370000000000001</v>
      </c>
      <c r="L499" t="str">
        <f t="shared" si="15"/>
        <v>Banca Adriatica|27|Prestiti</v>
      </c>
    </row>
    <row r="500" spans="1:12" x14ac:dyDescent="0.25">
      <c r="A500" t="s">
        <v>22</v>
      </c>
      <c r="B500">
        <v>27</v>
      </c>
      <c r="C500" t="s">
        <v>16</v>
      </c>
      <c r="D500" s="1">
        <v>46112</v>
      </c>
      <c r="E500">
        <v>805.7</v>
      </c>
      <c r="F500">
        <v>40.43</v>
      </c>
      <c r="G500">
        <v>25.13</v>
      </c>
      <c r="H500">
        <v>104</v>
      </c>
      <c r="I500" t="s">
        <v>23</v>
      </c>
      <c r="J500">
        <v>2026</v>
      </c>
      <c r="K500">
        <f t="shared" si="14"/>
        <v>15.3</v>
      </c>
      <c r="L500" t="str">
        <f t="shared" si="15"/>
        <v>Banca Adriatica|27|Conti</v>
      </c>
    </row>
    <row r="501" spans="1:12" x14ac:dyDescent="0.25">
      <c r="A501" t="s">
        <v>22</v>
      </c>
      <c r="B501">
        <v>27</v>
      </c>
      <c r="C501" t="s">
        <v>17</v>
      </c>
      <c r="D501" s="1">
        <v>46112</v>
      </c>
      <c r="E501">
        <v>941.6</v>
      </c>
      <c r="F501">
        <v>48.3</v>
      </c>
      <c r="G501">
        <v>29.2</v>
      </c>
      <c r="H501">
        <v>91</v>
      </c>
      <c r="I501" t="s">
        <v>23</v>
      </c>
      <c r="J501">
        <v>2026</v>
      </c>
      <c r="K501">
        <f t="shared" si="14"/>
        <v>19.099999999999998</v>
      </c>
      <c r="L501" t="str">
        <f t="shared" si="15"/>
        <v>Banca Adriatica|27|Carte</v>
      </c>
    </row>
    <row r="502" spans="1:12" x14ac:dyDescent="0.25">
      <c r="A502" t="s">
        <v>22</v>
      </c>
      <c r="B502">
        <v>27</v>
      </c>
      <c r="C502" t="s">
        <v>18</v>
      </c>
      <c r="D502" s="1">
        <v>46112</v>
      </c>
      <c r="E502">
        <v>1155.3</v>
      </c>
      <c r="F502">
        <v>62.23</v>
      </c>
      <c r="G502">
        <v>37.1</v>
      </c>
      <c r="H502">
        <v>108</v>
      </c>
      <c r="I502" t="s">
        <v>23</v>
      </c>
      <c r="J502">
        <v>2026</v>
      </c>
      <c r="K502">
        <f t="shared" si="14"/>
        <v>25.129999999999995</v>
      </c>
      <c r="L502" t="str">
        <f t="shared" si="15"/>
        <v>Banca Adriatica|27|Leasing</v>
      </c>
    </row>
    <row r="503" spans="1:12" x14ac:dyDescent="0.25">
      <c r="A503" t="s">
        <v>22</v>
      </c>
      <c r="B503">
        <v>27</v>
      </c>
      <c r="C503" t="s">
        <v>19</v>
      </c>
      <c r="D503" s="1">
        <v>46112</v>
      </c>
      <c r="E503">
        <v>1307.4000000000001</v>
      </c>
      <c r="F503">
        <v>72.87</v>
      </c>
      <c r="G503">
        <v>43.6</v>
      </c>
      <c r="H503">
        <v>114</v>
      </c>
      <c r="I503" t="s">
        <v>23</v>
      </c>
      <c r="J503">
        <v>2026</v>
      </c>
      <c r="K503">
        <f t="shared" si="14"/>
        <v>29.270000000000003</v>
      </c>
      <c r="L503" t="str">
        <f t="shared" si="15"/>
        <v>Banca Adriatica|27|Factoring</v>
      </c>
    </row>
    <row r="504" spans="1:12" x14ac:dyDescent="0.25">
      <c r="A504" t="s">
        <v>22</v>
      </c>
      <c r="B504">
        <v>27</v>
      </c>
      <c r="C504" t="s">
        <v>20</v>
      </c>
      <c r="D504" s="1">
        <v>46112</v>
      </c>
      <c r="E504">
        <v>1509.1</v>
      </c>
      <c r="F504">
        <v>86.1</v>
      </c>
      <c r="G504">
        <v>52.22</v>
      </c>
      <c r="H504">
        <v>157</v>
      </c>
      <c r="I504" t="s">
        <v>23</v>
      </c>
      <c r="J504">
        <v>2026</v>
      </c>
      <c r="K504">
        <f t="shared" si="14"/>
        <v>33.879999999999995</v>
      </c>
      <c r="L504" t="str">
        <f t="shared" si="15"/>
        <v>Banca Adriatica|27|Risparmio</v>
      </c>
    </row>
    <row r="505" spans="1:12" x14ac:dyDescent="0.25">
      <c r="A505" t="s">
        <v>22</v>
      </c>
      <c r="B505">
        <v>27</v>
      </c>
      <c r="C505" t="s">
        <v>21</v>
      </c>
      <c r="D505" s="1">
        <v>46112</v>
      </c>
      <c r="E505">
        <v>1631.5</v>
      </c>
      <c r="F505">
        <v>96.52</v>
      </c>
      <c r="G505">
        <v>57.33</v>
      </c>
      <c r="H505">
        <v>151</v>
      </c>
      <c r="I505" t="s">
        <v>23</v>
      </c>
      <c r="J505">
        <v>2026</v>
      </c>
      <c r="K505">
        <f t="shared" si="14"/>
        <v>39.19</v>
      </c>
      <c r="L505" t="str">
        <f t="shared" si="15"/>
        <v>Banca Adriatica|27|Assicurazioni</v>
      </c>
    </row>
    <row r="506" spans="1:12" x14ac:dyDescent="0.25">
      <c r="A506" t="s">
        <v>22</v>
      </c>
      <c r="B506">
        <v>28</v>
      </c>
      <c r="C506" t="s">
        <v>13</v>
      </c>
      <c r="D506" s="1">
        <v>46142</v>
      </c>
      <c r="E506">
        <v>429.5</v>
      </c>
      <c r="F506">
        <v>20.14</v>
      </c>
      <c r="G506">
        <v>12.93</v>
      </c>
      <c r="H506">
        <v>60</v>
      </c>
      <c r="I506" t="s">
        <v>23</v>
      </c>
      <c r="J506">
        <v>2026</v>
      </c>
      <c r="K506">
        <f t="shared" si="14"/>
        <v>7.2100000000000009</v>
      </c>
      <c r="L506" t="str">
        <f t="shared" si="15"/>
        <v>Banca Adriatica|28|Mutui</v>
      </c>
    </row>
    <row r="507" spans="1:12" x14ac:dyDescent="0.25">
      <c r="A507" t="s">
        <v>22</v>
      </c>
      <c r="B507">
        <v>28</v>
      </c>
      <c r="C507" t="s">
        <v>15</v>
      </c>
      <c r="D507" s="1">
        <v>46142</v>
      </c>
      <c r="E507">
        <v>606</v>
      </c>
      <c r="F507">
        <v>28.71</v>
      </c>
      <c r="G507">
        <v>18.46</v>
      </c>
      <c r="H507">
        <v>65</v>
      </c>
      <c r="I507" t="s">
        <v>23</v>
      </c>
      <c r="J507">
        <v>2026</v>
      </c>
      <c r="K507">
        <f t="shared" si="14"/>
        <v>10.25</v>
      </c>
      <c r="L507" t="str">
        <f t="shared" si="15"/>
        <v>Banca Adriatica|28|Prestiti</v>
      </c>
    </row>
    <row r="508" spans="1:12" x14ac:dyDescent="0.25">
      <c r="A508" t="s">
        <v>22</v>
      </c>
      <c r="B508">
        <v>28</v>
      </c>
      <c r="C508" t="s">
        <v>16</v>
      </c>
      <c r="D508" s="1">
        <v>46142</v>
      </c>
      <c r="E508">
        <v>812.4</v>
      </c>
      <c r="F508">
        <v>40.74</v>
      </c>
      <c r="G508">
        <v>25.12</v>
      </c>
      <c r="H508">
        <v>89</v>
      </c>
      <c r="I508" t="s">
        <v>23</v>
      </c>
      <c r="J508">
        <v>2026</v>
      </c>
      <c r="K508">
        <f t="shared" si="14"/>
        <v>15.620000000000001</v>
      </c>
      <c r="L508" t="str">
        <f t="shared" si="15"/>
        <v>Banca Adriatica|28|Conti</v>
      </c>
    </row>
    <row r="509" spans="1:12" x14ac:dyDescent="0.25">
      <c r="A509" t="s">
        <v>22</v>
      </c>
      <c r="B509">
        <v>28</v>
      </c>
      <c r="C509" t="s">
        <v>17</v>
      </c>
      <c r="D509" s="1">
        <v>46142</v>
      </c>
      <c r="E509">
        <v>983.7</v>
      </c>
      <c r="F509">
        <v>50.83</v>
      </c>
      <c r="G509">
        <v>30.73</v>
      </c>
      <c r="H509">
        <v>110</v>
      </c>
      <c r="I509" t="s">
        <v>23</v>
      </c>
      <c r="J509">
        <v>2026</v>
      </c>
      <c r="K509">
        <f t="shared" si="14"/>
        <v>20.099999999999998</v>
      </c>
      <c r="L509" t="str">
        <f t="shared" si="15"/>
        <v>Banca Adriatica|28|Carte</v>
      </c>
    </row>
    <row r="510" spans="1:12" x14ac:dyDescent="0.25">
      <c r="A510" t="s">
        <v>22</v>
      </c>
      <c r="B510">
        <v>28</v>
      </c>
      <c r="C510" t="s">
        <v>18</v>
      </c>
      <c r="D510" s="1">
        <v>46142</v>
      </c>
      <c r="E510">
        <v>1152.7</v>
      </c>
      <c r="F510">
        <v>61.4</v>
      </c>
      <c r="G510">
        <v>37.619999999999997</v>
      </c>
      <c r="H510">
        <v>112</v>
      </c>
      <c r="I510" t="s">
        <v>23</v>
      </c>
      <c r="J510">
        <v>2026</v>
      </c>
      <c r="K510">
        <f t="shared" si="14"/>
        <v>23.78</v>
      </c>
      <c r="L510" t="str">
        <f t="shared" si="15"/>
        <v>Banca Adriatica|28|Leasing</v>
      </c>
    </row>
    <row r="511" spans="1:12" x14ac:dyDescent="0.25">
      <c r="A511" t="s">
        <v>22</v>
      </c>
      <c r="B511">
        <v>28</v>
      </c>
      <c r="C511" t="s">
        <v>19</v>
      </c>
      <c r="D511" s="1">
        <v>46142</v>
      </c>
      <c r="E511">
        <v>1331</v>
      </c>
      <c r="F511">
        <v>73.239999999999995</v>
      </c>
      <c r="G511">
        <v>43.99</v>
      </c>
      <c r="H511">
        <v>140</v>
      </c>
      <c r="I511" t="s">
        <v>23</v>
      </c>
      <c r="J511">
        <v>2026</v>
      </c>
      <c r="K511">
        <f t="shared" si="14"/>
        <v>29.249999999999993</v>
      </c>
      <c r="L511" t="str">
        <f t="shared" si="15"/>
        <v>Banca Adriatica|28|Factoring</v>
      </c>
    </row>
    <row r="512" spans="1:12" x14ac:dyDescent="0.25">
      <c r="A512" t="s">
        <v>22</v>
      </c>
      <c r="B512">
        <v>28</v>
      </c>
      <c r="C512" t="s">
        <v>20</v>
      </c>
      <c r="D512" s="1">
        <v>46142</v>
      </c>
      <c r="E512">
        <v>1503.8</v>
      </c>
      <c r="F512">
        <v>85.77</v>
      </c>
      <c r="G512">
        <v>51.77</v>
      </c>
      <c r="H512">
        <v>133</v>
      </c>
      <c r="I512" t="s">
        <v>23</v>
      </c>
      <c r="J512">
        <v>2026</v>
      </c>
      <c r="K512">
        <f t="shared" si="14"/>
        <v>33.999999999999993</v>
      </c>
      <c r="L512" t="str">
        <f t="shared" si="15"/>
        <v>Banca Adriatica|28|Risparmio</v>
      </c>
    </row>
    <row r="513" spans="1:12" x14ac:dyDescent="0.25">
      <c r="A513" t="s">
        <v>22</v>
      </c>
      <c r="B513">
        <v>28</v>
      </c>
      <c r="C513" t="s">
        <v>21</v>
      </c>
      <c r="D513" s="1">
        <v>46142</v>
      </c>
      <c r="E513">
        <v>1635.1</v>
      </c>
      <c r="F513">
        <v>96.56</v>
      </c>
      <c r="G513">
        <v>57.76</v>
      </c>
      <c r="H513">
        <v>146</v>
      </c>
      <c r="I513" t="s">
        <v>23</v>
      </c>
      <c r="J513">
        <v>2026</v>
      </c>
      <c r="K513">
        <f t="shared" si="14"/>
        <v>38.800000000000004</v>
      </c>
      <c r="L513" t="str">
        <f t="shared" si="15"/>
        <v>Banca Adriatica|28|Assicurazioni</v>
      </c>
    </row>
    <row r="514" spans="1:12" x14ac:dyDescent="0.25">
      <c r="A514" t="s">
        <v>22</v>
      </c>
      <c r="B514">
        <v>29</v>
      </c>
      <c r="C514" t="s">
        <v>13</v>
      </c>
      <c r="D514" s="1">
        <v>46173</v>
      </c>
      <c r="E514">
        <v>447.6</v>
      </c>
      <c r="F514">
        <v>20.22</v>
      </c>
      <c r="G514">
        <v>12.66</v>
      </c>
      <c r="H514">
        <v>56</v>
      </c>
      <c r="I514" t="s">
        <v>23</v>
      </c>
      <c r="J514">
        <v>2026</v>
      </c>
      <c r="K514">
        <f t="shared" ref="K514:K577" si="16">F514-G514</f>
        <v>7.5599999999999987</v>
      </c>
      <c r="L514" t="str">
        <f t="shared" ref="L514:L577" si="17">A514&amp;"|"&amp;B514&amp;"|"&amp;C514</f>
        <v>Banca Adriatica|29|Mutui</v>
      </c>
    </row>
    <row r="515" spans="1:12" x14ac:dyDescent="0.25">
      <c r="A515" t="s">
        <v>22</v>
      </c>
      <c r="B515">
        <v>29</v>
      </c>
      <c r="C515" t="s">
        <v>15</v>
      </c>
      <c r="D515" s="1">
        <v>46173</v>
      </c>
      <c r="E515">
        <v>627.9</v>
      </c>
      <c r="F515">
        <v>29.84</v>
      </c>
      <c r="G515">
        <v>18.54</v>
      </c>
      <c r="H515">
        <v>61</v>
      </c>
      <c r="I515" t="s">
        <v>23</v>
      </c>
      <c r="J515">
        <v>2026</v>
      </c>
      <c r="K515">
        <f t="shared" si="16"/>
        <v>11.3</v>
      </c>
      <c r="L515" t="str">
        <f t="shared" si="17"/>
        <v>Banca Adriatica|29|Prestiti</v>
      </c>
    </row>
    <row r="516" spans="1:12" x14ac:dyDescent="0.25">
      <c r="A516" t="s">
        <v>22</v>
      </c>
      <c r="B516">
        <v>29</v>
      </c>
      <c r="C516" t="s">
        <v>16</v>
      </c>
      <c r="D516" s="1">
        <v>46173</v>
      </c>
      <c r="E516">
        <v>793.8</v>
      </c>
      <c r="F516">
        <v>38.92</v>
      </c>
      <c r="G516">
        <v>24.28</v>
      </c>
      <c r="H516">
        <v>97</v>
      </c>
      <c r="I516" t="s">
        <v>23</v>
      </c>
      <c r="J516">
        <v>2026</v>
      </c>
      <c r="K516">
        <f t="shared" si="16"/>
        <v>14.64</v>
      </c>
      <c r="L516" t="str">
        <f t="shared" si="17"/>
        <v>Banca Adriatica|29|Conti</v>
      </c>
    </row>
    <row r="517" spans="1:12" x14ac:dyDescent="0.25">
      <c r="A517" t="s">
        <v>22</v>
      </c>
      <c r="B517">
        <v>29</v>
      </c>
      <c r="C517" t="s">
        <v>17</v>
      </c>
      <c r="D517" s="1">
        <v>46173</v>
      </c>
      <c r="E517">
        <v>961.6</v>
      </c>
      <c r="F517">
        <v>49.13</v>
      </c>
      <c r="G517">
        <v>30.25</v>
      </c>
      <c r="H517">
        <v>115</v>
      </c>
      <c r="I517" t="s">
        <v>23</v>
      </c>
      <c r="J517">
        <v>2026</v>
      </c>
      <c r="K517">
        <f t="shared" si="16"/>
        <v>18.880000000000003</v>
      </c>
      <c r="L517" t="str">
        <f t="shared" si="17"/>
        <v>Banca Adriatica|29|Carte</v>
      </c>
    </row>
    <row r="518" spans="1:12" x14ac:dyDescent="0.25">
      <c r="A518" t="s">
        <v>22</v>
      </c>
      <c r="B518">
        <v>29</v>
      </c>
      <c r="C518" t="s">
        <v>18</v>
      </c>
      <c r="D518" s="1">
        <v>46173</v>
      </c>
      <c r="E518">
        <v>1125.5</v>
      </c>
      <c r="F518">
        <v>59.81</v>
      </c>
      <c r="G518">
        <v>36.1</v>
      </c>
      <c r="H518">
        <v>118</v>
      </c>
      <c r="I518" t="s">
        <v>23</v>
      </c>
      <c r="J518">
        <v>2026</v>
      </c>
      <c r="K518">
        <f t="shared" si="16"/>
        <v>23.71</v>
      </c>
      <c r="L518" t="str">
        <f t="shared" si="17"/>
        <v>Banca Adriatica|29|Leasing</v>
      </c>
    </row>
    <row r="519" spans="1:12" x14ac:dyDescent="0.25">
      <c r="A519" t="s">
        <v>22</v>
      </c>
      <c r="B519">
        <v>29</v>
      </c>
      <c r="C519" t="s">
        <v>19</v>
      </c>
      <c r="D519" s="1">
        <v>46173</v>
      </c>
      <c r="E519">
        <v>1348.1</v>
      </c>
      <c r="F519">
        <v>74.44</v>
      </c>
      <c r="G519">
        <v>44.95</v>
      </c>
      <c r="H519">
        <v>129</v>
      </c>
      <c r="I519" t="s">
        <v>23</v>
      </c>
      <c r="J519">
        <v>2026</v>
      </c>
      <c r="K519">
        <f t="shared" si="16"/>
        <v>29.489999999999995</v>
      </c>
      <c r="L519" t="str">
        <f t="shared" si="17"/>
        <v>Banca Adriatica|29|Factoring</v>
      </c>
    </row>
    <row r="520" spans="1:12" x14ac:dyDescent="0.25">
      <c r="A520" t="s">
        <v>22</v>
      </c>
      <c r="B520">
        <v>29</v>
      </c>
      <c r="C520" t="s">
        <v>20</v>
      </c>
      <c r="D520" s="1">
        <v>46173</v>
      </c>
      <c r="E520">
        <v>1503.5</v>
      </c>
      <c r="F520">
        <v>85.82</v>
      </c>
      <c r="G520">
        <v>52.08</v>
      </c>
      <c r="H520">
        <v>142</v>
      </c>
      <c r="I520" t="s">
        <v>23</v>
      </c>
      <c r="J520">
        <v>2026</v>
      </c>
      <c r="K520">
        <f t="shared" si="16"/>
        <v>33.739999999999995</v>
      </c>
      <c r="L520" t="str">
        <f t="shared" si="17"/>
        <v>Banca Adriatica|29|Risparmio</v>
      </c>
    </row>
    <row r="521" spans="1:12" x14ac:dyDescent="0.25">
      <c r="A521" t="s">
        <v>22</v>
      </c>
      <c r="B521">
        <v>29</v>
      </c>
      <c r="C521" t="s">
        <v>21</v>
      </c>
      <c r="D521" s="1">
        <v>46173</v>
      </c>
      <c r="E521">
        <v>1687.6</v>
      </c>
      <c r="F521">
        <v>99.75</v>
      </c>
      <c r="G521">
        <v>59.3</v>
      </c>
      <c r="H521">
        <v>139</v>
      </c>
      <c r="I521" t="s">
        <v>23</v>
      </c>
      <c r="J521">
        <v>2026</v>
      </c>
      <c r="K521">
        <f t="shared" si="16"/>
        <v>40.450000000000003</v>
      </c>
      <c r="L521" t="str">
        <f t="shared" si="17"/>
        <v>Banca Adriatica|29|Assicurazioni</v>
      </c>
    </row>
    <row r="522" spans="1:12" x14ac:dyDescent="0.25">
      <c r="A522" t="s">
        <v>22</v>
      </c>
      <c r="B522">
        <v>30</v>
      </c>
      <c r="C522" t="s">
        <v>13</v>
      </c>
      <c r="D522" s="1">
        <v>46203</v>
      </c>
      <c r="E522">
        <v>477.5</v>
      </c>
      <c r="F522">
        <v>22.19</v>
      </c>
      <c r="G522">
        <v>14.19</v>
      </c>
      <c r="H522">
        <v>58</v>
      </c>
      <c r="I522" t="s">
        <v>23</v>
      </c>
      <c r="J522">
        <v>2026</v>
      </c>
      <c r="K522">
        <f t="shared" si="16"/>
        <v>8.0000000000000018</v>
      </c>
      <c r="L522" t="str">
        <f t="shared" si="17"/>
        <v>Banca Adriatica|30|Mutui</v>
      </c>
    </row>
    <row r="523" spans="1:12" x14ac:dyDescent="0.25">
      <c r="A523" t="s">
        <v>22</v>
      </c>
      <c r="B523">
        <v>30</v>
      </c>
      <c r="C523" t="s">
        <v>15</v>
      </c>
      <c r="D523" s="1">
        <v>46203</v>
      </c>
      <c r="E523">
        <v>610.79999999999995</v>
      </c>
      <c r="F523">
        <v>29.29</v>
      </c>
      <c r="G523">
        <v>18.57</v>
      </c>
      <c r="H523">
        <v>56</v>
      </c>
      <c r="I523" t="s">
        <v>23</v>
      </c>
      <c r="J523">
        <v>2026</v>
      </c>
      <c r="K523">
        <f t="shared" si="16"/>
        <v>10.719999999999999</v>
      </c>
      <c r="L523" t="str">
        <f t="shared" si="17"/>
        <v>Banca Adriatica|30|Prestiti</v>
      </c>
    </row>
    <row r="524" spans="1:12" x14ac:dyDescent="0.25">
      <c r="A524" t="s">
        <v>22</v>
      </c>
      <c r="B524">
        <v>30</v>
      </c>
      <c r="C524" t="s">
        <v>16</v>
      </c>
      <c r="D524" s="1">
        <v>46203</v>
      </c>
      <c r="E524">
        <v>820.3</v>
      </c>
      <c r="F524">
        <v>40.85</v>
      </c>
      <c r="G524">
        <v>25.26</v>
      </c>
      <c r="H524">
        <v>75</v>
      </c>
      <c r="I524" t="s">
        <v>23</v>
      </c>
      <c r="J524">
        <v>2026</v>
      </c>
      <c r="K524">
        <f t="shared" si="16"/>
        <v>15.59</v>
      </c>
      <c r="L524" t="str">
        <f t="shared" si="17"/>
        <v>Banca Adriatica|30|Conti</v>
      </c>
    </row>
    <row r="525" spans="1:12" x14ac:dyDescent="0.25">
      <c r="A525" t="s">
        <v>22</v>
      </c>
      <c r="B525">
        <v>30</v>
      </c>
      <c r="C525" t="s">
        <v>17</v>
      </c>
      <c r="D525" s="1">
        <v>46203</v>
      </c>
      <c r="E525">
        <v>964.3</v>
      </c>
      <c r="F525">
        <v>50.17</v>
      </c>
      <c r="G525">
        <v>30.4</v>
      </c>
      <c r="H525">
        <v>106</v>
      </c>
      <c r="I525" t="s">
        <v>23</v>
      </c>
      <c r="J525">
        <v>2026</v>
      </c>
      <c r="K525">
        <f t="shared" si="16"/>
        <v>19.770000000000003</v>
      </c>
      <c r="L525" t="str">
        <f t="shared" si="17"/>
        <v>Banca Adriatica|30|Carte</v>
      </c>
    </row>
    <row r="526" spans="1:12" x14ac:dyDescent="0.25">
      <c r="A526" t="s">
        <v>22</v>
      </c>
      <c r="B526">
        <v>30</v>
      </c>
      <c r="C526" t="s">
        <v>18</v>
      </c>
      <c r="D526" s="1">
        <v>46203</v>
      </c>
      <c r="E526">
        <v>1183.5999999999999</v>
      </c>
      <c r="F526">
        <v>63.59</v>
      </c>
      <c r="G526">
        <v>38.68</v>
      </c>
      <c r="H526">
        <v>122</v>
      </c>
      <c r="I526" t="s">
        <v>23</v>
      </c>
      <c r="J526">
        <v>2026</v>
      </c>
      <c r="K526">
        <f t="shared" si="16"/>
        <v>24.910000000000004</v>
      </c>
      <c r="L526" t="str">
        <f t="shared" si="17"/>
        <v>Banca Adriatica|30|Leasing</v>
      </c>
    </row>
    <row r="527" spans="1:12" x14ac:dyDescent="0.25">
      <c r="A527" t="s">
        <v>22</v>
      </c>
      <c r="B527">
        <v>30</v>
      </c>
      <c r="C527" t="s">
        <v>19</v>
      </c>
      <c r="D527" s="1">
        <v>46203</v>
      </c>
      <c r="E527">
        <v>1333.7</v>
      </c>
      <c r="F527">
        <v>73.42</v>
      </c>
      <c r="G527">
        <v>44.98</v>
      </c>
      <c r="H527">
        <v>110</v>
      </c>
      <c r="I527" t="s">
        <v>23</v>
      </c>
      <c r="J527">
        <v>2026</v>
      </c>
      <c r="K527">
        <f t="shared" si="16"/>
        <v>28.440000000000005</v>
      </c>
      <c r="L527" t="str">
        <f t="shared" si="17"/>
        <v>Banca Adriatica|30|Factoring</v>
      </c>
    </row>
    <row r="528" spans="1:12" x14ac:dyDescent="0.25">
      <c r="A528" t="s">
        <v>22</v>
      </c>
      <c r="B528">
        <v>30</v>
      </c>
      <c r="C528" t="s">
        <v>20</v>
      </c>
      <c r="D528" s="1">
        <v>46203</v>
      </c>
      <c r="E528">
        <v>1505.7</v>
      </c>
      <c r="F528">
        <v>86.67</v>
      </c>
      <c r="G528">
        <v>51.54</v>
      </c>
      <c r="H528">
        <v>129</v>
      </c>
      <c r="I528" t="s">
        <v>23</v>
      </c>
      <c r="J528">
        <v>2026</v>
      </c>
      <c r="K528">
        <f t="shared" si="16"/>
        <v>35.130000000000003</v>
      </c>
      <c r="L528" t="str">
        <f t="shared" si="17"/>
        <v>Banca Adriatica|30|Risparmio</v>
      </c>
    </row>
    <row r="529" spans="1:12" x14ac:dyDescent="0.25">
      <c r="A529" t="s">
        <v>22</v>
      </c>
      <c r="B529">
        <v>30</v>
      </c>
      <c r="C529" t="s">
        <v>21</v>
      </c>
      <c r="D529" s="1">
        <v>46203</v>
      </c>
      <c r="E529">
        <v>1672.2</v>
      </c>
      <c r="F529">
        <v>99</v>
      </c>
      <c r="G529">
        <v>59.07</v>
      </c>
      <c r="H529">
        <v>160</v>
      </c>
      <c r="I529" t="s">
        <v>23</v>
      </c>
      <c r="J529">
        <v>2026</v>
      </c>
      <c r="K529">
        <f t="shared" si="16"/>
        <v>39.93</v>
      </c>
      <c r="L529" t="str">
        <f t="shared" si="17"/>
        <v>Banca Adriatica|30|Assicurazioni</v>
      </c>
    </row>
    <row r="530" spans="1:12" x14ac:dyDescent="0.25">
      <c r="A530" t="s">
        <v>22</v>
      </c>
      <c r="B530">
        <v>31</v>
      </c>
      <c r="C530" t="s">
        <v>13</v>
      </c>
      <c r="D530" s="1">
        <v>46234</v>
      </c>
      <c r="E530">
        <v>439.7</v>
      </c>
      <c r="F530">
        <v>20.23</v>
      </c>
      <c r="G530">
        <v>12.67</v>
      </c>
      <c r="H530">
        <v>73</v>
      </c>
      <c r="I530" t="s">
        <v>23</v>
      </c>
      <c r="J530">
        <v>2026</v>
      </c>
      <c r="K530">
        <f t="shared" si="16"/>
        <v>7.5600000000000005</v>
      </c>
      <c r="L530" t="str">
        <f t="shared" si="17"/>
        <v>Banca Adriatica|31|Mutui</v>
      </c>
    </row>
    <row r="531" spans="1:12" x14ac:dyDescent="0.25">
      <c r="A531" t="s">
        <v>22</v>
      </c>
      <c r="B531">
        <v>31</v>
      </c>
      <c r="C531" t="s">
        <v>15</v>
      </c>
      <c r="D531" s="1">
        <v>46234</v>
      </c>
      <c r="E531">
        <v>644.29999999999995</v>
      </c>
      <c r="F531">
        <v>30.76</v>
      </c>
      <c r="G531">
        <v>19.41</v>
      </c>
      <c r="H531">
        <v>67</v>
      </c>
      <c r="I531" t="s">
        <v>23</v>
      </c>
      <c r="J531">
        <v>2026</v>
      </c>
      <c r="K531">
        <f t="shared" si="16"/>
        <v>11.350000000000001</v>
      </c>
      <c r="L531" t="str">
        <f t="shared" si="17"/>
        <v>Banca Adriatica|31|Prestiti</v>
      </c>
    </row>
    <row r="532" spans="1:12" x14ac:dyDescent="0.25">
      <c r="A532" t="s">
        <v>22</v>
      </c>
      <c r="B532">
        <v>31</v>
      </c>
      <c r="C532" t="s">
        <v>16</v>
      </c>
      <c r="D532" s="1">
        <v>46234</v>
      </c>
      <c r="E532">
        <v>790.3</v>
      </c>
      <c r="F532">
        <v>39.4</v>
      </c>
      <c r="G532">
        <v>24.29</v>
      </c>
      <c r="H532">
        <v>74</v>
      </c>
      <c r="I532" t="s">
        <v>23</v>
      </c>
      <c r="J532">
        <v>2026</v>
      </c>
      <c r="K532">
        <f t="shared" si="16"/>
        <v>15.11</v>
      </c>
      <c r="L532" t="str">
        <f t="shared" si="17"/>
        <v>Banca Adriatica|31|Conti</v>
      </c>
    </row>
    <row r="533" spans="1:12" x14ac:dyDescent="0.25">
      <c r="A533" t="s">
        <v>22</v>
      </c>
      <c r="B533">
        <v>31</v>
      </c>
      <c r="C533" t="s">
        <v>17</v>
      </c>
      <c r="D533" s="1">
        <v>46234</v>
      </c>
      <c r="E533">
        <v>964.8</v>
      </c>
      <c r="F533">
        <v>50.1</v>
      </c>
      <c r="G533">
        <v>30.03</v>
      </c>
      <c r="H533">
        <v>83</v>
      </c>
      <c r="I533" t="s">
        <v>23</v>
      </c>
      <c r="J533">
        <v>2026</v>
      </c>
      <c r="K533">
        <f t="shared" si="16"/>
        <v>20.07</v>
      </c>
      <c r="L533" t="str">
        <f t="shared" si="17"/>
        <v>Banca Adriatica|31|Carte</v>
      </c>
    </row>
    <row r="534" spans="1:12" x14ac:dyDescent="0.25">
      <c r="A534" t="s">
        <v>22</v>
      </c>
      <c r="B534">
        <v>31</v>
      </c>
      <c r="C534" t="s">
        <v>18</v>
      </c>
      <c r="D534" s="1">
        <v>46234</v>
      </c>
      <c r="E534">
        <v>1166.0999999999999</v>
      </c>
      <c r="F534">
        <v>62.41</v>
      </c>
      <c r="G534">
        <v>38.119999999999997</v>
      </c>
      <c r="H534">
        <v>121</v>
      </c>
      <c r="I534" t="s">
        <v>23</v>
      </c>
      <c r="J534">
        <v>2026</v>
      </c>
      <c r="K534">
        <f t="shared" si="16"/>
        <v>24.29</v>
      </c>
      <c r="L534" t="str">
        <f t="shared" si="17"/>
        <v>Banca Adriatica|31|Leasing</v>
      </c>
    </row>
    <row r="535" spans="1:12" x14ac:dyDescent="0.25">
      <c r="A535" t="s">
        <v>22</v>
      </c>
      <c r="B535">
        <v>31</v>
      </c>
      <c r="C535" t="s">
        <v>19</v>
      </c>
      <c r="D535" s="1">
        <v>46234</v>
      </c>
      <c r="E535">
        <v>1338</v>
      </c>
      <c r="F535">
        <v>73.89</v>
      </c>
      <c r="G535">
        <v>44.61</v>
      </c>
      <c r="H535">
        <v>145</v>
      </c>
      <c r="I535" t="s">
        <v>23</v>
      </c>
      <c r="J535">
        <v>2026</v>
      </c>
      <c r="K535">
        <f t="shared" si="16"/>
        <v>29.28</v>
      </c>
      <c r="L535" t="str">
        <f t="shared" si="17"/>
        <v>Banca Adriatica|31|Factoring</v>
      </c>
    </row>
    <row r="536" spans="1:12" x14ac:dyDescent="0.25">
      <c r="A536" t="s">
        <v>22</v>
      </c>
      <c r="B536">
        <v>31</v>
      </c>
      <c r="C536" t="s">
        <v>20</v>
      </c>
      <c r="D536" s="1">
        <v>46234</v>
      </c>
      <c r="E536">
        <v>1528.6</v>
      </c>
      <c r="F536">
        <v>87.57</v>
      </c>
      <c r="G536">
        <v>52.87</v>
      </c>
      <c r="H536">
        <v>147</v>
      </c>
      <c r="I536" t="s">
        <v>23</v>
      </c>
      <c r="J536">
        <v>2026</v>
      </c>
      <c r="K536">
        <f t="shared" si="16"/>
        <v>34.699999999999996</v>
      </c>
      <c r="L536" t="str">
        <f t="shared" si="17"/>
        <v>Banca Adriatica|31|Risparmio</v>
      </c>
    </row>
    <row r="537" spans="1:12" x14ac:dyDescent="0.25">
      <c r="A537" t="s">
        <v>22</v>
      </c>
      <c r="B537">
        <v>31</v>
      </c>
      <c r="C537" t="s">
        <v>21</v>
      </c>
      <c r="D537" s="1">
        <v>46234</v>
      </c>
      <c r="E537">
        <v>1720.8</v>
      </c>
      <c r="F537">
        <v>102.04</v>
      </c>
      <c r="G537">
        <v>61.13</v>
      </c>
      <c r="H537">
        <v>143</v>
      </c>
      <c r="I537" t="s">
        <v>23</v>
      </c>
      <c r="J537">
        <v>2026</v>
      </c>
      <c r="K537">
        <f t="shared" si="16"/>
        <v>40.910000000000004</v>
      </c>
      <c r="L537" t="str">
        <f t="shared" si="17"/>
        <v>Banca Adriatica|31|Assicurazioni</v>
      </c>
    </row>
    <row r="538" spans="1:12" x14ac:dyDescent="0.25">
      <c r="A538" t="s">
        <v>22</v>
      </c>
      <c r="B538">
        <v>32</v>
      </c>
      <c r="C538" t="s">
        <v>13</v>
      </c>
      <c r="D538" s="1">
        <v>46265</v>
      </c>
      <c r="E538">
        <v>458.8</v>
      </c>
      <c r="F538">
        <v>20.99</v>
      </c>
      <c r="G538">
        <v>13.42</v>
      </c>
      <c r="H538">
        <v>38</v>
      </c>
      <c r="I538" t="s">
        <v>23</v>
      </c>
      <c r="J538">
        <v>2026</v>
      </c>
      <c r="K538">
        <f t="shared" si="16"/>
        <v>7.5699999999999985</v>
      </c>
      <c r="L538" t="str">
        <f t="shared" si="17"/>
        <v>Banca Adriatica|32|Mutui</v>
      </c>
    </row>
    <row r="539" spans="1:12" x14ac:dyDescent="0.25">
      <c r="A539" t="s">
        <v>22</v>
      </c>
      <c r="B539">
        <v>32</v>
      </c>
      <c r="C539" t="s">
        <v>15</v>
      </c>
      <c r="D539" s="1">
        <v>46265</v>
      </c>
      <c r="E539">
        <v>656.8</v>
      </c>
      <c r="F539">
        <v>31.14</v>
      </c>
      <c r="G539">
        <v>19.18</v>
      </c>
      <c r="H539">
        <v>59</v>
      </c>
      <c r="I539" t="s">
        <v>23</v>
      </c>
      <c r="J539">
        <v>2026</v>
      </c>
      <c r="K539">
        <f t="shared" si="16"/>
        <v>11.96</v>
      </c>
      <c r="L539" t="str">
        <f t="shared" si="17"/>
        <v>Banca Adriatica|32|Prestiti</v>
      </c>
    </row>
    <row r="540" spans="1:12" x14ac:dyDescent="0.25">
      <c r="A540" t="s">
        <v>22</v>
      </c>
      <c r="B540">
        <v>32</v>
      </c>
      <c r="C540" t="s">
        <v>16</v>
      </c>
      <c r="D540" s="1">
        <v>46265</v>
      </c>
      <c r="E540">
        <v>819.4</v>
      </c>
      <c r="F540">
        <v>40.369999999999997</v>
      </c>
      <c r="G540">
        <v>25.04</v>
      </c>
      <c r="H540">
        <v>72</v>
      </c>
      <c r="I540" t="s">
        <v>23</v>
      </c>
      <c r="J540">
        <v>2026</v>
      </c>
      <c r="K540">
        <f t="shared" si="16"/>
        <v>15.329999999999998</v>
      </c>
      <c r="L540" t="str">
        <f t="shared" si="17"/>
        <v>Banca Adriatica|32|Conti</v>
      </c>
    </row>
    <row r="541" spans="1:12" x14ac:dyDescent="0.25">
      <c r="A541" t="s">
        <v>22</v>
      </c>
      <c r="B541">
        <v>32</v>
      </c>
      <c r="C541" t="s">
        <v>17</v>
      </c>
      <c r="D541" s="1">
        <v>46265</v>
      </c>
      <c r="E541">
        <v>987.7</v>
      </c>
      <c r="F541">
        <v>51.02</v>
      </c>
      <c r="G541">
        <v>31.28</v>
      </c>
      <c r="H541">
        <v>100</v>
      </c>
      <c r="I541" t="s">
        <v>23</v>
      </c>
      <c r="J541">
        <v>2026</v>
      </c>
      <c r="K541">
        <f t="shared" si="16"/>
        <v>19.740000000000002</v>
      </c>
      <c r="L541" t="str">
        <f t="shared" si="17"/>
        <v>Banca Adriatica|32|Carte</v>
      </c>
    </row>
    <row r="542" spans="1:12" x14ac:dyDescent="0.25">
      <c r="A542" t="s">
        <v>22</v>
      </c>
      <c r="B542">
        <v>32</v>
      </c>
      <c r="C542" t="s">
        <v>18</v>
      </c>
      <c r="D542" s="1">
        <v>46265</v>
      </c>
      <c r="E542">
        <v>1168.7</v>
      </c>
      <c r="F542">
        <v>61.96</v>
      </c>
      <c r="G542">
        <v>38.18</v>
      </c>
      <c r="H542">
        <v>124</v>
      </c>
      <c r="I542" t="s">
        <v>23</v>
      </c>
      <c r="J542">
        <v>2026</v>
      </c>
      <c r="K542">
        <f t="shared" si="16"/>
        <v>23.78</v>
      </c>
      <c r="L542" t="str">
        <f t="shared" si="17"/>
        <v>Banca Adriatica|32|Leasing</v>
      </c>
    </row>
    <row r="543" spans="1:12" x14ac:dyDescent="0.25">
      <c r="A543" t="s">
        <v>22</v>
      </c>
      <c r="B543">
        <v>32</v>
      </c>
      <c r="C543" t="s">
        <v>19</v>
      </c>
      <c r="D543" s="1">
        <v>46265</v>
      </c>
      <c r="E543">
        <v>1362.7</v>
      </c>
      <c r="F543">
        <v>75.73</v>
      </c>
      <c r="G543">
        <v>45.92</v>
      </c>
      <c r="H543">
        <v>120</v>
      </c>
      <c r="I543" t="s">
        <v>23</v>
      </c>
      <c r="J543">
        <v>2026</v>
      </c>
      <c r="K543">
        <f t="shared" si="16"/>
        <v>29.810000000000002</v>
      </c>
      <c r="L543" t="str">
        <f t="shared" si="17"/>
        <v>Banca Adriatica|32|Factoring</v>
      </c>
    </row>
    <row r="544" spans="1:12" x14ac:dyDescent="0.25">
      <c r="A544" t="s">
        <v>22</v>
      </c>
      <c r="B544">
        <v>32</v>
      </c>
      <c r="C544" t="s">
        <v>20</v>
      </c>
      <c r="D544" s="1">
        <v>46265</v>
      </c>
      <c r="E544">
        <v>1544.3</v>
      </c>
      <c r="F544">
        <v>88.03</v>
      </c>
      <c r="G544">
        <v>53.45</v>
      </c>
      <c r="H544">
        <v>153</v>
      </c>
      <c r="I544" t="s">
        <v>23</v>
      </c>
      <c r="J544">
        <v>2026</v>
      </c>
      <c r="K544">
        <f t="shared" si="16"/>
        <v>34.58</v>
      </c>
      <c r="L544" t="str">
        <f t="shared" si="17"/>
        <v>Banca Adriatica|32|Risparmio</v>
      </c>
    </row>
    <row r="545" spans="1:12" x14ac:dyDescent="0.25">
      <c r="A545" t="s">
        <v>22</v>
      </c>
      <c r="B545">
        <v>32</v>
      </c>
      <c r="C545" t="s">
        <v>21</v>
      </c>
      <c r="D545" s="1">
        <v>46265</v>
      </c>
      <c r="E545">
        <v>1697.9</v>
      </c>
      <c r="F545">
        <v>100.21</v>
      </c>
      <c r="G545">
        <v>60.2</v>
      </c>
      <c r="H545">
        <v>137</v>
      </c>
      <c r="I545" t="s">
        <v>23</v>
      </c>
      <c r="J545">
        <v>2026</v>
      </c>
      <c r="K545">
        <f t="shared" si="16"/>
        <v>40.009999999999991</v>
      </c>
      <c r="L545" t="str">
        <f t="shared" si="17"/>
        <v>Banca Adriatica|32|Assicurazioni</v>
      </c>
    </row>
    <row r="546" spans="1:12" x14ac:dyDescent="0.25">
      <c r="A546" t="s">
        <v>22</v>
      </c>
      <c r="B546">
        <v>33</v>
      </c>
      <c r="C546" t="s">
        <v>13</v>
      </c>
      <c r="D546" s="1">
        <v>46295</v>
      </c>
      <c r="E546">
        <v>493.7</v>
      </c>
      <c r="F546">
        <v>22.39</v>
      </c>
      <c r="G546">
        <v>14.09</v>
      </c>
      <c r="H546">
        <v>57</v>
      </c>
      <c r="I546" t="s">
        <v>23</v>
      </c>
      <c r="J546">
        <v>2026</v>
      </c>
      <c r="K546">
        <f t="shared" si="16"/>
        <v>8.3000000000000007</v>
      </c>
      <c r="L546" t="str">
        <f t="shared" si="17"/>
        <v>Banca Adriatica|33|Mutui</v>
      </c>
    </row>
    <row r="547" spans="1:12" x14ac:dyDescent="0.25">
      <c r="A547" t="s">
        <v>22</v>
      </c>
      <c r="B547">
        <v>33</v>
      </c>
      <c r="C547" t="s">
        <v>15</v>
      </c>
      <c r="D547" s="1">
        <v>46295</v>
      </c>
      <c r="E547">
        <v>625.6</v>
      </c>
      <c r="F547">
        <v>30.38</v>
      </c>
      <c r="G547">
        <v>18.89</v>
      </c>
      <c r="H547">
        <v>65</v>
      </c>
      <c r="I547" t="s">
        <v>23</v>
      </c>
      <c r="J547">
        <v>2026</v>
      </c>
      <c r="K547">
        <f t="shared" si="16"/>
        <v>11.489999999999998</v>
      </c>
      <c r="L547" t="str">
        <f t="shared" si="17"/>
        <v>Banca Adriatica|33|Prestiti</v>
      </c>
    </row>
    <row r="548" spans="1:12" x14ac:dyDescent="0.25">
      <c r="A548" t="s">
        <v>22</v>
      </c>
      <c r="B548">
        <v>33</v>
      </c>
      <c r="C548" t="s">
        <v>16</v>
      </c>
      <c r="D548" s="1">
        <v>46295</v>
      </c>
      <c r="E548">
        <v>834.7</v>
      </c>
      <c r="F548">
        <v>41.74</v>
      </c>
      <c r="G548">
        <v>25.42</v>
      </c>
      <c r="H548">
        <v>98</v>
      </c>
      <c r="I548" t="s">
        <v>23</v>
      </c>
      <c r="J548">
        <v>2026</v>
      </c>
      <c r="K548">
        <f t="shared" si="16"/>
        <v>16.32</v>
      </c>
      <c r="L548" t="str">
        <f t="shared" si="17"/>
        <v>Banca Adriatica|33|Conti</v>
      </c>
    </row>
    <row r="549" spans="1:12" x14ac:dyDescent="0.25">
      <c r="A549" t="s">
        <v>22</v>
      </c>
      <c r="B549">
        <v>33</v>
      </c>
      <c r="C549" t="s">
        <v>17</v>
      </c>
      <c r="D549" s="1">
        <v>46295</v>
      </c>
      <c r="E549">
        <v>1003.8</v>
      </c>
      <c r="F549">
        <v>51.76</v>
      </c>
      <c r="G549">
        <v>31.93</v>
      </c>
      <c r="H549">
        <v>94</v>
      </c>
      <c r="I549" t="s">
        <v>23</v>
      </c>
      <c r="J549">
        <v>2026</v>
      </c>
      <c r="K549">
        <f t="shared" si="16"/>
        <v>19.829999999999998</v>
      </c>
      <c r="L549" t="str">
        <f t="shared" si="17"/>
        <v>Banca Adriatica|33|Carte</v>
      </c>
    </row>
    <row r="550" spans="1:12" x14ac:dyDescent="0.25">
      <c r="A550" t="s">
        <v>22</v>
      </c>
      <c r="B550">
        <v>33</v>
      </c>
      <c r="C550" t="s">
        <v>18</v>
      </c>
      <c r="D550" s="1">
        <v>46295</v>
      </c>
      <c r="E550">
        <v>1174.2</v>
      </c>
      <c r="F550">
        <v>62.55</v>
      </c>
      <c r="G550">
        <v>38.4</v>
      </c>
      <c r="H550">
        <v>111</v>
      </c>
      <c r="I550" t="s">
        <v>23</v>
      </c>
      <c r="J550">
        <v>2026</v>
      </c>
      <c r="K550">
        <f t="shared" si="16"/>
        <v>24.15</v>
      </c>
      <c r="L550" t="str">
        <f t="shared" si="17"/>
        <v>Banca Adriatica|33|Leasing</v>
      </c>
    </row>
    <row r="551" spans="1:12" x14ac:dyDescent="0.25">
      <c r="A551" t="s">
        <v>22</v>
      </c>
      <c r="B551">
        <v>33</v>
      </c>
      <c r="C551" t="s">
        <v>19</v>
      </c>
      <c r="D551" s="1">
        <v>46295</v>
      </c>
      <c r="E551">
        <v>1334.6</v>
      </c>
      <c r="F551">
        <v>73.680000000000007</v>
      </c>
      <c r="G551">
        <v>44.73</v>
      </c>
      <c r="H551">
        <v>139</v>
      </c>
      <c r="I551" t="s">
        <v>23</v>
      </c>
      <c r="J551">
        <v>2026</v>
      </c>
      <c r="K551">
        <f t="shared" si="16"/>
        <v>28.95000000000001</v>
      </c>
      <c r="L551" t="str">
        <f t="shared" si="17"/>
        <v>Banca Adriatica|33|Factoring</v>
      </c>
    </row>
    <row r="552" spans="1:12" x14ac:dyDescent="0.25">
      <c r="A552" t="s">
        <v>22</v>
      </c>
      <c r="B552">
        <v>33</v>
      </c>
      <c r="C552" t="s">
        <v>20</v>
      </c>
      <c r="D552" s="1">
        <v>46295</v>
      </c>
      <c r="E552">
        <v>1564</v>
      </c>
      <c r="F552">
        <v>90.02</v>
      </c>
      <c r="G552">
        <v>53.8</v>
      </c>
      <c r="H552">
        <v>149</v>
      </c>
      <c r="I552" t="s">
        <v>23</v>
      </c>
      <c r="J552">
        <v>2026</v>
      </c>
      <c r="K552">
        <f t="shared" si="16"/>
        <v>36.22</v>
      </c>
      <c r="L552" t="str">
        <f t="shared" si="17"/>
        <v>Banca Adriatica|33|Risparmio</v>
      </c>
    </row>
    <row r="553" spans="1:12" x14ac:dyDescent="0.25">
      <c r="A553" t="s">
        <v>22</v>
      </c>
      <c r="B553">
        <v>33</v>
      </c>
      <c r="C553" t="s">
        <v>21</v>
      </c>
      <c r="D553" s="1">
        <v>46295</v>
      </c>
      <c r="E553">
        <v>1715</v>
      </c>
      <c r="F553">
        <v>101.93</v>
      </c>
      <c r="G553">
        <v>60.28</v>
      </c>
      <c r="H553">
        <v>163</v>
      </c>
      <c r="I553" t="s">
        <v>23</v>
      </c>
      <c r="J553">
        <v>2026</v>
      </c>
      <c r="K553">
        <f t="shared" si="16"/>
        <v>41.650000000000006</v>
      </c>
      <c r="L553" t="str">
        <f t="shared" si="17"/>
        <v>Banca Adriatica|33|Assicurazioni</v>
      </c>
    </row>
    <row r="554" spans="1:12" x14ac:dyDescent="0.25">
      <c r="A554" t="s">
        <v>22</v>
      </c>
      <c r="B554">
        <v>34</v>
      </c>
      <c r="C554" t="s">
        <v>13</v>
      </c>
      <c r="D554" s="1">
        <v>46326</v>
      </c>
      <c r="E554">
        <v>477.1</v>
      </c>
      <c r="F554">
        <v>21.5</v>
      </c>
      <c r="G554">
        <v>13.98</v>
      </c>
      <c r="H554">
        <v>65</v>
      </c>
      <c r="I554" t="s">
        <v>23</v>
      </c>
      <c r="J554">
        <v>2026</v>
      </c>
      <c r="K554">
        <f t="shared" si="16"/>
        <v>7.52</v>
      </c>
      <c r="L554" t="str">
        <f t="shared" si="17"/>
        <v>Banca Adriatica|34|Mutui</v>
      </c>
    </row>
    <row r="555" spans="1:12" x14ac:dyDescent="0.25">
      <c r="A555" t="s">
        <v>22</v>
      </c>
      <c r="B555">
        <v>34</v>
      </c>
      <c r="C555" t="s">
        <v>15</v>
      </c>
      <c r="D555" s="1">
        <v>46326</v>
      </c>
      <c r="E555">
        <v>634.1</v>
      </c>
      <c r="F555">
        <v>30.42</v>
      </c>
      <c r="G555">
        <v>18.5</v>
      </c>
      <c r="H555">
        <v>64</v>
      </c>
      <c r="I555" t="s">
        <v>23</v>
      </c>
      <c r="J555">
        <v>2026</v>
      </c>
      <c r="K555">
        <f t="shared" si="16"/>
        <v>11.920000000000002</v>
      </c>
      <c r="L555" t="str">
        <f t="shared" si="17"/>
        <v>Banca Adriatica|34|Prestiti</v>
      </c>
    </row>
    <row r="556" spans="1:12" x14ac:dyDescent="0.25">
      <c r="A556" t="s">
        <v>22</v>
      </c>
      <c r="B556">
        <v>34</v>
      </c>
      <c r="C556" t="s">
        <v>16</v>
      </c>
      <c r="D556" s="1">
        <v>46326</v>
      </c>
      <c r="E556">
        <v>821.1</v>
      </c>
      <c r="F556">
        <v>40.47</v>
      </c>
      <c r="G556">
        <v>25.04</v>
      </c>
      <c r="H556">
        <v>94</v>
      </c>
      <c r="I556" t="s">
        <v>23</v>
      </c>
      <c r="J556">
        <v>2026</v>
      </c>
      <c r="K556">
        <f t="shared" si="16"/>
        <v>15.43</v>
      </c>
      <c r="L556" t="str">
        <f t="shared" si="17"/>
        <v>Banca Adriatica|34|Conti</v>
      </c>
    </row>
    <row r="557" spans="1:12" x14ac:dyDescent="0.25">
      <c r="A557" t="s">
        <v>22</v>
      </c>
      <c r="B557">
        <v>34</v>
      </c>
      <c r="C557" t="s">
        <v>17</v>
      </c>
      <c r="D557" s="1">
        <v>46326</v>
      </c>
      <c r="E557">
        <v>985.7</v>
      </c>
      <c r="F557">
        <v>50.62</v>
      </c>
      <c r="G557">
        <v>31.38</v>
      </c>
      <c r="H557">
        <v>99</v>
      </c>
      <c r="I557" t="s">
        <v>23</v>
      </c>
      <c r="J557">
        <v>2026</v>
      </c>
      <c r="K557">
        <f t="shared" si="16"/>
        <v>19.239999999999998</v>
      </c>
      <c r="L557" t="str">
        <f t="shared" si="17"/>
        <v>Banca Adriatica|34|Carte</v>
      </c>
    </row>
    <row r="558" spans="1:12" x14ac:dyDescent="0.25">
      <c r="A558" t="s">
        <v>22</v>
      </c>
      <c r="B558">
        <v>34</v>
      </c>
      <c r="C558" t="s">
        <v>18</v>
      </c>
      <c r="D558" s="1">
        <v>46326</v>
      </c>
      <c r="E558">
        <v>1192.7</v>
      </c>
      <c r="F558">
        <v>63.51</v>
      </c>
      <c r="G558">
        <v>39.119999999999997</v>
      </c>
      <c r="H558">
        <v>110</v>
      </c>
      <c r="I558" t="s">
        <v>23</v>
      </c>
      <c r="J558">
        <v>2026</v>
      </c>
      <c r="K558">
        <f t="shared" si="16"/>
        <v>24.39</v>
      </c>
      <c r="L558" t="str">
        <f t="shared" si="17"/>
        <v>Banca Adriatica|34|Leasing</v>
      </c>
    </row>
    <row r="559" spans="1:12" x14ac:dyDescent="0.25">
      <c r="A559" t="s">
        <v>22</v>
      </c>
      <c r="B559">
        <v>34</v>
      </c>
      <c r="C559" t="s">
        <v>19</v>
      </c>
      <c r="D559" s="1">
        <v>46326</v>
      </c>
      <c r="E559">
        <v>1358.4</v>
      </c>
      <c r="F559">
        <v>74.930000000000007</v>
      </c>
      <c r="G559">
        <v>45.52</v>
      </c>
      <c r="H559">
        <v>122</v>
      </c>
      <c r="I559" t="s">
        <v>23</v>
      </c>
      <c r="J559">
        <v>2026</v>
      </c>
      <c r="K559">
        <f t="shared" si="16"/>
        <v>29.410000000000004</v>
      </c>
      <c r="L559" t="str">
        <f t="shared" si="17"/>
        <v>Banca Adriatica|34|Factoring</v>
      </c>
    </row>
    <row r="560" spans="1:12" x14ac:dyDescent="0.25">
      <c r="A560" t="s">
        <v>22</v>
      </c>
      <c r="B560">
        <v>34</v>
      </c>
      <c r="C560" t="s">
        <v>20</v>
      </c>
      <c r="D560" s="1">
        <v>46326</v>
      </c>
      <c r="E560">
        <v>1566.8</v>
      </c>
      <c r="F560">
        <v>89.62</v>
      </c>
      <c r="G560">
        <v>53.39</v>
      </c>
      <c r="H560">
        <v>156</v>
      </c>
      <c r="I560" t="s">
        <v>23</v>
      </c>
      <c r="J560">
        <v>2026</v>
      </c>
      <c r="K560">
        <f t="shared" si="16"/>
        <v>36.230000000000004</v>
      </c>
      <c r="L560" t="str">
        <f t="shared" si="17"/>
        <v>Banca Adriatica|34|Risparmio</v>
      </c>
    </row>
    <row r="561" spans="1:12" x14ac:dyDescent="0.25">
      <c r="A561" t="s">
        <v>22</v>
      </c>
      <c r="B561">
        <v>34</v>
      </c>
      <c r="C561" t="s">
        <v>21</v>
      </c>
      <c r="D561" s="1">
        <v>46326</v>
      </c>
      <c r="E561">
        <v>1757</v>
      </c>
      <c r="F561">
        <v>104.35</v>
      </c>
      <c r="G561">
        <v>61.59</v>
      </c>
      <c r="H561">
        <v>148</v>
      </c>
      <c r="I561" t="s">
        <v>23</v>
      </c>
      <c r="J561">
        <v>2026</v>
      </c>
      <c r="K561">
        <f t="shared" si="16"/>
        <v>42.759999999999991</v>
      </c>
      <c r="L561" t="str">
        <f t="shared" si="17"/>
        <v>Banca Adriatica|34|Assicurazioni</v>
      </c>
    </row>
    <row r="562" spans="1:12" x14ac:dyDescent="0.25">
      <c r="A562" t="s">
        <v>22</v>
      </c>
      <c r="B562">
        <v>35</v>
      </c>
      <c r="C562" t="s">
        <v>13</v>
      </c>
      <c r="D562" s="1">
        <v>46356</v>
      </c>
      <c r="E562">
        <v>481.7</v>
      </c>
      <c r="F562">
        <v>21.83</v>
      </c>
      <c r="G562">
        <v>13.85</v>
      </c>
      <c r="H562">
        <v>57</v>
      </c>
      <c r="I562" t="s">
        <v>23</v>
      </c>
      <c r="J562">
        <v>2026</v>
      </c>
      <c r="K562">
        <f t="shared" si="16"/>
        <v>7.9799999999999986</v>
      </c>
      <c r="L562" t="str">
        <f t="shared" si="17"/>
        <v>Banca Adriatica|35|Mutui</v>
      </c>
    </row>
    <row r="563" spans="1:12" x14ac:dyDescent="0.25">
      <c r="A563" t="s">
        <v>22</v>
      </c>
      <c r="B563">
        <v>35</v>
      </c>
      <c r="C563" t="s">
        <v>15</v>
      </c>
      <c r="D563" s="1">
        <v>46356</v>
      </c>
      <c r="E563">
        <v>634.70000000000005</v>
      </c>
      <c r="F563">
        <v>30.29</v>
      </c>
      <c r="G563">
        <v>19.309999999999999</v>
      </c>
      <c r="H563">
        <v>77</v>
      </c>
      <c r="I563" t="s">
        <v>23</v>
      </c>
      <c r="J563">
        <v>2026</v>
      </c>
      <c r="K563">
        <f t="shared" si="16"/>
        <v>10.98</v>
      </c>
      <c r="L563" t="str">
        <f t="shared" si="17"/>
        <v>Banca Adriatica|35|Prestiti</v>
      </c>
    </row>
    <row r="564" spans="1:12" x14ac:dyDescent="0.25">
      <c r="A564" t="s">
        <v>22</v>
      </c>
      <c r="B564">
        <v>35</v>
      </c>
      <c r="C564" t="s">
        <v>16</v>
      </c>
      <c r="D564" s="1">
        <v>46356</v>
      </c>
      <c r="E564">
        <v>860.9</v>
      </c>
      <c r="F564">
        <v>43.1</v>
      </c>
      <c r="G564">
        <v>26.6</v>
      </c>
      <c r="H564">
        <v>73</v>
      </c>
      <c r="I564" t="s">
        <v>23</v>
      </c>
      <c r="J564">
        <v>2026</v>
      </c>
      <c r="K564">
        <f t="shared" si="16"/>
        <v>16.5</v>
      </c>
      <c r="L564" t="str">
        <f t="shared" si="17"/>
        <v>Banca Adriatica|35|Conti</v>
      </c>
    </row>
    <row r="565" spans="1:12" x14ac:dyDescent="0.25">
      <c r="A565" t="s">
        <v>22</v>
      </c>
      <c r="B565">
        <v>35</v>
      </c>
      <c r="C565" t="s">
        <v>17</v>
      </c>
      <c r="D565" s="1">
        <v>46356</v>
      </c>
      <c r="E565">
        <v>1026.5</v>
      </c>
      <c r="F565">
        <v>52.43</v>
      </c>
      <c r="G565">
        <v>32.03</v>
      </c>
      <c r="H565">
        <v>97</v>
      </c>
      <c r="I565" t="s">
        <v>23</v>
      </c>
      <c r="J565">
        <v>2026</v>
      </c>
      <c r="K565">
        <f t="shared" si="16"/>
        <v>20.399999999999999</v>
      </c>
      <c r="L565" t="str">
        <f t="shared" si="17"/>
        <v>Banca Adriatica|35|Carte</v>
      </c>
    </row>
    <row r="566" spans="1:12" x14ac:dyDescent="0.25">
      <c r="A566" t="s">
        <v>22</v>
      </c>
      <c r="B566">
        <v>35</v>
      </c>
      <c r="C566" t="s">
        <v>18</v>
      </c>
      <c r="D566" s="1">
        <v>46356</v>
      </c>
      <c r="E566">
        <v>1193.7</v>
      </c>
      <c r="F566">
        <v>64.19</v>
      </c>
      <c r="G566">
        <v>38.94</v>
      </c>
      <c r="H566">
        <v>115</v>
      </c>
      <c r="I566" t="s">
        <v>23</v>
      </c>
      <c r="J566">
        <v>2026</v>
      </c>
      <c r="K566">
        <f t="shared" si="16"/>
        <v>25.25</v>
      </c>
      <c r="L566" t="str">
        <f t="shared" si="17"/>
        <v>Banca Adriatica|35|Leasing</v>
      </c>
    </row>
    <row r="567" spans="1:12" x14ac:dyDescent="0.25">
      <c r="A567" t="s">
        <v>22</v>
      </c>
      <c r="B567">
        <v>35</v>
      </c>
      <c r="C567" t="s">
        <v>19</v>
      </c>
      <c r="D567" s="1">
        <v>46356</v>
      </c>
      <c r="E567">
        <v>1405.8</v>
      </c>
      <c r="F567">
        <v>77.430000000000007</v>
      </c>
      <c r="G567">
        <v>46.94</v>
      </c>
      <c r="H567">
        <v>137</v>
      </c>
      <c r="I567" t="s">
        <v>23</v>
      </c>
      <c r="J567">
        <v>2026</v>
      </c>
      <c r="K567">
        <f t="shared" si="16"/>
        <v>30.490000000000009</v>
      </c>
      <c r="L567" t="str">
        <f t="shared" si="17"/>
        <v>Banca Adriatica|35|Factoring</v>
      </c>
    </row>
    <row r="568" spans="1:12" x14ac:dyDescent="0.25">
      <c r="A568" t="s">
        <v>22</v>
      </c>
      <c r="B568">
        <v>35</v>
      </c>
      <c r="C568" t="s">
        <v>20</v>
      </c>
      <c r="D568" s="1">
        <v>46356</v>
      </c>
      <c r="E568">
        <v>1547.1</v>
      </c>
      <c r="F568">
        <v>88.44</v>
      </c>
      <c r="G568">
        <v>53.13</v>
      </c>
      <c r="H568">
        <v>160</v>
      </c>
      <c r="I568" t="s">
        <v>23</v>
      </c>
      <c r="J568">
        <v>2026</v>
      </c>
      <c r="K568">
        <f t="shared" si="16"/>
        <v>35.309999999999995</v>
      </c>
      <c r="L568" t="str">
        <f t="shared" si="17"/>
        <v>Banca Adriatica|35|Risparmio</v>
      </c>
    </row>
    <row r="569" spans="1:12" x14ac:dyDescent="0.25">
      <c r="A569" t="s">
        <v>22</v>
      </c>
      <c r="B569">
        <v>35</v>
      </c>
      <c r="C569" t="s">
        <v>21</v>
      </c>
      <c r="D569" s="1">
        <v>46356</v>
      </c>
      <c r="E569">
        <v>1742.8</v>
      </c>
      <c r="F569">
        <v>103.75</v>
      </c>
      <c r="G569">
        <v>61.43</v>
      </c>
      <c r="H569">
        <v>149</v>
      </c>
      <c r="I569" t="s">
        <v>23</v>
      </c>
      <c r="J569">
        <v>2026</v>
      </c>
      <c r="K569">
        <f t="shared" si="16"/>
        <v>42.32</v>
      </c>
      <c r="L569" t="str">
        <f t="shared" si="17"/>
        <v>Banca Adriatica|35|Assicurazioni</v>
      </c>
    </row>
    <row r="570" spans="1:12" x14ac:dyDescent="0.25">
      <c r="A570" t="s">
        <v>22</v>
      </c>
      <c r="B570">
        <v>36</v>
      </c>
      <c r="C570" t="s">
        <v>13</v>
      </c>
      <c r="D570" s="1">
        <v>46387</v>
      </c>
      <c r="E570">
        <v>466</v>
      </c>
      <c r="F570">
        <v>21.29</v>
      </c>
      <c r="G570">
        <v>13.09</v>
      </c>
      <c r="H570">
        <v>57</v>
      </c>
      <c r="I570" t="s">
        <v>23</v>
      </c>
      <c r="J570">
        <v>2026</v>
      </c>
      <c r="K570">
        <f t="shared" si="16"/>
        <v>8.1999999999999993</v>
      </c>
      <c r="L570" t="str">
        <f t="shared" si="17"/>
        <v>Banca Adriatica|36|Mutui</v>
      </c>
    </row>
    <row r="571" spans="1:12" x14ac:dyDescent="0.25">
      <c r="A571" t="s">
        <v>22</v>
      </c>
      <c r="B571">
        <v>36</v>
      </c>
      <c r="C571" t="s">
        <v>15</v>
      </c>
      <c r="D571" s="1">
        <v>46387</v>
      </c>
      <c r="E571">
        <v>661.2</v>
      </c>
      <c r="F571">
        <v>31.62</v>
      </c>
      <c r="G571">
        <v>20.12</v>
      </c>
      <c r="H571">
        <v>60</v>
      </c>
      <c r="I571" t="s">
        <v>23</v>
      </c>
      <c r="J571">
        <v>2026</v>
      </c>
      <c r="K571">
        <f t="shared" si="16"/>
        <v>11.5</v>
      </c>
      <c r="L571" t="str">
        <f t="shared" si="17"/>
        <v>Banca Adriatica|36|Prestiti</v>
      </c>
    </row>
    <row r="572" spans="1:12" x14ac:dyDescent="0.25">
      <c r="A572" t="s">
        <v>22</v>
      </c>
      <c r="B572">
        <v>36</v>
      </c>
      <c r="C572" t="s">
        <v>16</v>
      </c>
      <c r="D572" s="1">
        <v>46387</v>
      </c>
      <c r="E572">
        <v>870.5</v>
      </c>
      <c r="F572">
        <v>43.14</v>
      </c>
      <c r="G572">
        <v>26.78</v>
      </c>
      <c r="H572">
        <v>102</v>
      </c>
      <c r="I572" t="s">
        <v>23</v>
      </c>
      <c r="J572">
        <v>2026</v>
      </c>
      <c r="K572">
        <f t="shared" si="16"/>
        <v>16.36</v>
      </c>
      <c r="L572" t="str">
        <f t="shared" si="17"/>
        <v>Banca Adriatica|36|Conti</v>
      </c>
    </row>
    <row r="573" spans="1:12" x14ac:dyDescent="0.25">
      <c r="A573" t="s">
        <v>22</v>
      </c>
      <c r="B573">
        <v>36</v>
      </c>
      <c r="C573" t="s">
        <v>17</v>
      </c>
      <c r="D573" s="1">
        <v>46387</v>
      </c>
      <c r="E573">
        <v>1008.8</v>
      </c>
      <c r="F573">
        <v>51.87</v>
      </c>
      <c r="G573">
        <v>32.1</v>
      </c>
      <c r="H573">
        <v>102</v>
      </c>
      <c r="I573" t="s">
        <v>23</v>
      </c>
      <c r="J573">
        <v>2026</v>
      </c>
      <c r="K573">
        <f t="shared" si="16"/>
        <v>19.769999999999996</v>
      </c>
      <c r="L573" t="str">
        <f t="shared" si="17"/>
        <v>Banca Adriatica|36|Carte</v>
      </c>
    </row>
    <row r="574" spans="1:12" x14ac:dyDescent="0.25">
      <c r="A574" t="s">
        <v>22</v>
      </c>
      <c r="B574">
        <v>36</v>
      </c>
      <c r="C574" t="s">
        <v>18</v>
      </c>
      <c r="D574" s="1">
        <v>46387</v>
      </c>
      <c r="E574">
        <v>1211.8</v>
      </c>
      <c r="F574">
        <v>65.14</v>
      </c>
      <c r="G574">
        <v>38.950000000000003</v>
      </c>
      <c r="H574">
        <v>108</v>
      </c>
      <c r="I574" t="s">
        <v>23</v>
      </c>
      <c r="J574">
        <v>2026</v>
      </c>
      <c r="K574">
        <f t="shared" si="16"/>
        <v>26.189999999999998</v>
      </c>
      <c r="L574" t="str">
        <f t="shared" si="17"/>
        <v>Banca Adriatica|36|Leasing</v>
      </c>
    </row>
    <row r="575" spans="1:12" x14ac:dyDescent="0.25">
      <c r="A575" t="s">
        <v>22</v>
      </c>
      <c r="B575">
        <v>36</v>
      </c>
      <c r="C575" t="s">
        <v>19</v>
      </c>
      <c r="D575" s="1">
        <v>46387</v>
      </c>
      <c r="E575">
        <v>1415</v>
      </c>
      <c r="F575">
        <v>78.22</v>
      </c>
      <c r="G575">
        <v>47.51</v>
      </c>
      <c r="H575">
        <v>132</v>
      </c>
      <c r="I575" t="s">
        <v>23</v>
      </c>
      <c r="J575">
        <v>2026</v>
      </c>
      <c r="K575">
        <f t="shared" si="16"/>
        <v>30.71</v>
      </c>
      <c r="L575" t="str">
        <f t="shared" si="17"/>
        <v>Banca Adriatica|36|Factoring</v>
      </c>
    </row>
    <row r="576" spans="1:12" x14ac:dyDescent="0.25">
      <c r="A576" t="s">
        <v>22</v>
      </c>
      <c r="B576">
        <v>36</v>
      </c>
      <c r="C576" t="s">
        <v>20</v>
      </c>
      <c r="D576" s="1">
        <v>46387</v>
      </c>
      <c r="E576">
        <v>1593</v>
      </c>
      <c r="F576">
        <v>91.45</v>
      </c>
      <c r="G576">
        <v>55.03</v>
      </c>
      <c r="H576">
        <v>130</v>
      </c>
      <c r="I576" t="s">
        <v>23</v>
      </c>
      <c r="J576">
        <v>2026</v>
      </c>
      <c r="K576">
        <f t="shared" si="16"/>
        <v>36.42</v>
      </c>
      <c r="L576" t="str">
        <f t="shared" si="17"/>
        <v>Banca Adriatica|36|Risparmio</v>
      </c>
    </row>
    <row r="577" spans="1:12" x14ac:dyDescent="0.25">
      <c r="A577" t="s">
        <v>22</v>
      </c>
      <c r="B577">
        <v>36</v>
      </c>
      <c r="C577" t="s">
        <v>21</v>
      </c>
      <c r="D577" s="1">
        <v>46387</v>
      </c>
      <c r="E577">
        <v>1727.9</v>
      </c>
      <c r="F577">
        <v>102.83</v>
      </c>
      <c r="G577">
        <v>60.71</v>
      </c>
      <c r="H577">
        <v>138</v>
      </c>
      <c r="I577" t="s">
        <v>23</v>
      </c>
      <c r="J577">
        <v>2026</v>
      </c>
      <c r="K577">
        <f t="shared" si="16"/>
        <v>42.12</v>
      </c>
      <c r="L577" t="str">
        <f t="shared" si="17"/>
        <v>Banca Adriatica|36|Assicurazioni</v>
      </c>
    </row>
    <row r="578" spans="1:12" x14ac:dyDescent="0.25">
      <c r="A578" t="s">
        <v>24</v>
      </c>
      <c r="B578">
        <v>1</v>
      </c>
      <c r="C578" t="s">
        <v>13</v>
      </c>
      <c r="D578" s="1">
        <v>45322</v>
      </c>
      <c r="E578">
        <v>436</v>
      </c>
      <c r="F578">
        <v>19.79</v>
      </c>
      <c r="G578">
        <v>12.53</v>
      </c>
      <c r="H578">
        <v>75</v>
      </c>
      <c r="I578" t="s">
        <v>25</v>
      </c>
      <c r="J578">
        <v>2024</v>
      </c>
      <c r="K578">
        <f t="shared" ref="K578:K641" si="18">F578-G578</f>
        <v>7.26</v>
      </c>
      <c r="L578" t="str">
        <f t="shared" ref="L578:L641" si="19">A578&amp;"|"&amp;B578&amp;"|"&amp;C578</f>
        <v>Banca Tirrena|1|Mutui</v>
      </c>
    </row>
    <row r="579" spans="1:12" x14ac:dyDescent="0.25">
      <c r="A579" t="s">
        <v>24</v>
      </c>
      <c r="B579">
        <v>1</v>
      </c>
      <c r="C579" t="s">
        <v>15</v>
      </c>
      <c r="D579" s="1">
        <v>45322</v>
      </c>
      <c r="E579">
        <v>602.79999999999995</v>
      </c>
      <c r="F579">
        <v>28.92</v>
      </c>
      <c r="G579">
        <v>18.100000000000001</v>
      </c>
      <c r="H579">
        <v>88</v>
      </c>
      <c r="I579" t="s">
        <v>25</v>
      </c>
      <c r="J579">
        <v>2024</v>
      </c>
      <c r="K579">
        <f t="shared" si="18"/>
        <v>10.82</v>
      </c>
      <c r="L579" t="str">
        <f t="shared" si="19"/>
        <v>Banca Tirrena|1|Prestiti</v>
      </c>
    </row>
    <row r="580" spans="1:12" x14ac:dyDescent="0.25">
      <c r="A580" t="s">
        <v>24</v>
      </c>
      <c r="B580">
        <v>1</v>
      </c>
      <c r="C580" t="s">
        <v>16</v>
      </c>
      <c r="D580" s="1">
        <v>45322</v>
      </c>
      <c r="E580">
        <v>760.1</v>
      </c>
      <c r="F580">
        <v>37.35</v>
      </c>
      <c r="G580">
        <v>23.67</v>
      </c>
      <c r="H580">
        <v>105</v>
      </c>
      <c r="I580" t="s">
        <v>25</v>
      </c>
      <c r="J580">
        <v>2024</v>
      </c>
      <c r="K580">
        <f t="shared" si="18"/>
        <v>13.68</v>
      </c>
      <c r="L580" t="str">
        <f t="shared" si="19"/>
        <v>Banca Tirrena|1|Conti</v>
      </c>
    </row>
    <row r="581" spans="1:12" x14ac:dyDescent="0.25">
      <c r="A581" t="s">
        <v>24</v>
      </c>
      <c r="B581">
        <v>1</v>
      </c>
      <c r="C581" t="s">
        <v>17</v>
      </c>
      <c r="D581" s="1">
        <v>45322</v>
      </c>
      <c r="E581">
        <v>906.6</v>
      </c>
      <c r="F581">
        <v>46.39</v>
      </c>
      <c r="G581">
        <v>28.79</v>
      </c>
      <c r="H581">
        <v>112</v>
      </c>
      <c r="I581" t="s">
        <v>25</v>
      </c>
      <c r="J581">
        <v>2024</v>
      </c>
      <c r="K581">
        <f t="shared" si="18"/>
        <v>17.600000000000001</v>
      </c>
      <c r="L581" t="str">
        <f t="shared" si="19"/>
        <v>Banca Tirrena|1|Carte</v>
      </c>
    </row>
    <row r="582" spans="1:12" x14ac:dyDescent="0.25">
      <c r="A582" t="s">
        <v>24</v>
      </c>
      <c r="B582">
        <v>1</v>
      </c>
      <c r="C582" t="s">
        <v>18</v>
      </c>
      <c r="D582" s="1">
        <v>45322</v>
      </c>
      <c r="E582">
        <v>1075.5999999999999</v>
      </c>
      <c r="F582">
        <v>57.73</v>
      </c>
      <c r="G582">
        <v>34.75</v>
      </c>
      <c r="H582">
        <v>119</v>
      </c>
      <c r="I582" t="s">
        <v>25</v>
      </c>
      <c r="J582">
        <v>2024</v>
      </c>
      <c r="K582">
        <f t="shared" si="18"/>
        <v>22.979999999999997</v>
      </c>
      <c r="L582" t="str">
        <f t="shared" si="19"/>
        <v>Banca Tirrena|1|Leasing</v>
      </c>
    </row>
    <row r="583" spans="1:12" x14ac:dyDescent="0.25">
      <c r="A583" t="s">
        <v>24</v>
      </c>
      <c r="B583">
        <v>1</v>
      </c>
      <c r="C583" t="s">
        <v>19</v>
      </c>
      <c r="D583" s="1">
        <v>45322</v>
      </c>
      <c r="E583">
        <v>1263</v>
      </c>
      <c r="F583">
        <v>70.08</v>
      </c>
      <c r="G583">
        <v>42.15</v>
      </c>
      <c r="H583">
        <v>155</v>
      </c>
      <c r="I583" t="s">
        <v>25</v>
      </c>
      <c r="J583">
        <v>2024</v>
      </c>
      <c r="K583">
        <f t="shared" si="18"/>
        <v>27.93</v>
      </c>
      <c r="L583" t="str">
        <f t="shared" si="19"/>
        <v>Banca Tirrena|1|Factoring</v>
      </c>
    </row>
    <row r="584" spans="1:12" x14ac:dyDescent="0.25">
      <c r="A584" t="s">
        <v>24</v>
      </c>
      <c r="B584">
        <v>1</v>
      </c>
      <c r="C584" t="s">
        <v>20</v>
      </c>
      <c r="D584" s="1">
        <v>45322</v>
      </c>
      <c r="E584">
        <v>1391.5</v>
      </c>
      <c r="F584">
        <v>79.5</v>
      </c>
      <c r="G584">
        <v>48.07</v>
      </c>
      <c r="H584">
        <v>141</v>
      </c>
      <c r="I584" t="s">
        <v>25</v>
      </c>
      <c r="J584">
        <v>2024</v>
      </c>
      <c r="K584">
        <f t="shared" si="18"/>
        <v>31.43</v>
      </c>
      <c r="L584" t="str">
        <f t="shared" si="19"/>
        <v>Banca Tirrena|1|Risparmio</v>
      </c>
    </row>
    <row r="585" spans="1:12" x14ac:dyDescent="0.25">
      <c r="A585" t="s">
        <v>24</v>
      </c>
      <c r="B585">
        <v>1</v>
      </c>
      <c r="C585" t="s">
        <v>21</v>
      </c>
      <c r="D585" s="1">
        <v>45322</v>
      </c>
      <c r="E585">
        <v>1576.5</v>
      </c>
      <c r="F585">
        <v>93.6</v>
      </c>
      <c r="G585">
        <v>55.53</v>
      </c>
      <c r="H585">
        <v>185</v>
      </c>
      <c r="I585" t="s">
        <v>25</v>
      </c>
      <c r="J585">
        <v>2024</v>
      </c>
      <c r="K585">
        <f t="shared" si="18"/>
        <v>38.069999999999993</v>
      </c>
      <c r="L585" t="str">
        <f t="shared" si="19"/>
        <v>Banca Tirrena|1|Assicurazioni</v>
      </c>
    </row>
    <row r="586" spans="1:12" x14ac:dyDescent="0.25">
      <c r="A586" t="s">
        <v>24</v>
      </c>
      <c r="B586">
        <v>2</v>
      </c>
      <c r="C586" t="s">
        <v>13</v>
      </c>
      <c r="D586" s="1">
        <v>45351</v>
      </c>
      <c r="E586">
        <v>440</v>
      </c>
      <c r="F586">
        <v>20.57</v>
      </c>
      <c r="G586">
        <v>12.4</v>
      </c>
      <c r="H586">
        <v>45</v>
      </c>
      <c r="I586" t="s">
        <v>25</v>
      </c>
      <c r="J586">
        <v>2024</v>
      </c>
      <c r="K586">
        <f t="shared" si="18"/>
        <v>8.17</v>
      </c>
      <c r="L586" t="str">
        <f t="shared" si="19"/>
        <v>Banca Tirrena|2|Mutui</v>
      </c>
    </row>
    <row r="587" spans="1:12" x14ac:dyDescent="0.25">
      <c r="A587" t="s">
        <v>24</v>
      </c>
      <c r="B587">
        <v>2</v>
      </c>
      <c r="C587" t="s">
        <v>15</v>
      </c>
      <c r="D587" s="1">
        <v>45351</v>
      </c>
      <c r="E587">
        <v>606.20000000000005</v>
      </c>
      <c r="F587">
        <v>29.28</v>
      </c>
      <c r="G587">
        <v>17.690000000000001</v>
      </c>
      <c r="H587">
        <v>96</v>
      </c>
      <c r="I587" t="s">
        <v>25</v>
      </c>
      <c r="J587">
        <v>2024</v>
      </c>
      <c r="K587">
        <f t="shared" si="18"/>
        <v>11.59</v>
      </c>
      <c r="L587" t="str">
        <f t="shared" si="19"/>
        <v>Banca Tirrena|2|Prestiti</v>
      </c>
    </row>
    <row r="588" spans="1:12" x14ac:dyDescent="0.25">
      <c r="A588" t="s">
        <v>24</v>
      </c>
      <c r="B588">
        <v>2</v>
      </c>
      <c r="C588" t="s">
        <v>16</v>
      </c>
      <c r="D588" s="1">
        <v>45351</v>
      </c>
      <c r="E588">
        <v>779.7</v>
      </c>
      <c r="F588">
        <v>38.4</v>
      </c>
      <c r="G588">
        <v>24.07</v>
      </c>
      <c r="H588">
        <v>101</v>
      </c>
      <c r="I588" t="s">
        <v>25</v>
      </c>
      <c r="J588">
        <v>2024</v>
      </c>
      <c r="K588">
        <f t="shared" si="18"/>
        <v>14.329999999999998</v>
      </c>
      <c r="L588" t="str">
        <f t="shared" si="19"/>
        <v>Banca Tirrena|2|Conti</v>
      </c>
    </row>
    <row r="589" spans="1:12" x14ac:dyDescent="0.25">
      <c r="A589" t="s">
        <v>24</v>
      </c>
      <c r="B589">
        <v>2</v>
      </c>
      <c r="C589" t="s">
        <v>17</v>
      </c>
      <c r="D589" s="1">
        <v>45351</v>
      </c>
      <c r="E589">
        <v>928.8</v>
      </c>
      <c r="F589">
        <v>48.2</v>
      </c>
      <c r="G589">
        <v>28.81</v>
      </c>
      <c r="H589">
        <v>91</v>
      </c>
      <c r="I589" t="s">
        <v>25</v>
      </c>
      <c r="J589">
        <v>2024</v>
      </c>
      <c r="K589">
        <f t="shared" si="18"/>
        <v>19.390000000000004</v>
      </c>
      <c r="L589" t="str">
        <f t="shared" si="19"/>
        <v>Banca Tirrena|2|Carte</v>
      </c>
    </row>
    <row r="590" spans="1:12" x14ac:dyDescent="0.25">
      <c r="A590" t="s">
        <v>24</v>
      </c>
      <c r="B590">
        <v>2</v>
      </c>
      <c r="C590" t="s">
        <v>18</v>
      </c>
      <c r="D590" s="1">
        <v>45351</v>
      </c>
      <c r="E590">
        <v>1097</v>
      </c>
      <c r="F590">
        <v>58.26</v>
      </c>
      <c r="G590">
        <v>35.950000000000003</v>
      </c>
      <c r="H590">
        <v>127</v>
      </c>
      <c r="I590" t="s">
        <v>25</v>
      </c>
      <c r="J590">
        <v>2024</v>
      </c>
      <c r="K590">
        <f t="shared" si="18"/>
        <v>22.309999999999995</v>
      </c>
      <c r="L590" t="str">
        <f t="shared" si="19"/>
        <v>Banca Tirrena|2|Leasing</v>
      </c>
    </row>
    <row r="591" spans="1:12" x14ac:dyDescent="0.25">
      <c r="A591" t="s">
        <v>24</v>
      </c>
      <c r="B591">
        <v>2</v>
      </c>
      <c r="C591" t="s">
        <v>19</v>
      </c>
      <c r="D591" s="1">
        <v>45351</v>
      </c>
      <c r="E591">
        <v>1250</v>
      </c>
      <c r="F591">
        <v>69.09</v>
      </c>
      <c r="G591">
        <v>42.08</v>
      </c>
      <c r="H591">
        <v>129</v>
      </c>
      <c r="I591" t="s">
        <v>25</v>
      </c>
      <c r="J591">
        <v>2024</v>
      </c>
      <c r="K591">
        <f t="shared" si="18"/>
        <v>27.010000000000005</v>
      </c>
      <c r="L591" t="str">
        <f t="shared" si="19"/>
        <v>Banca Tirrena|2|Factoring</v>
      </c>
    </row>
    <row r="592" spans="1:12" x14ac:dyDescent="0.25">
      <c r="A592" t="s">
        <v>24</v>
      </c>
      <c r="B592">
        <v>2</v>
      </c>
      <c r="C592" t="s">
        <v>20</v>
      </c>
      <c r="D592" s="1">
        <v>45351</v>
      </c>
      <c r="E592">
        <v>1418.3</v>
      </c>
      <c r="F592">
        <v>81.64</v>
      </c>
      <c r="G592">
        <v>49.17</v>
      </c>
      <c r="H592">
        <v>179</v>
      </c>
      <c r="I592" t="s">
        <v>25</v>
      </c>
      <c r="J592">
        <v>2024</v>
      </c>
      <c r="K592">
        <f t="shared" si="18"/>
        <v>32.47</v>
      </c>
      <c r="L592" t="str">
        <f t="shared" si="19"/>
        <v>Banca Tirrena|2|Risparmio</v>
      </c>
    </row>
    <row r="593" spans="1:12" x14ac:dyDescent="0.25">
      <c r="A593" t="s">
        <v>24</v>
      </c>
      <c r="B593">
        <v>2</v>
      </c>
      <c r="C593" t="s">
        <v>21</v>
      </c>
      <c r="D593" s="1">
        <v>45351</v>
      </c>
      <c r="E593">
        <v>1606.5</v>
      </c>
      <c r="F593">
        <v>95.42</v>
      </c>
      <c r="G593">
        <v>56.49</v>
      </c>
      <c r="H593">
        <v>183</v>
      </c>
      <c r="I593" t="s">
        <v>25</v>
      </c>
      <c r="J593">
        <v>2024</v>
      </c>
      <c r="K593">
        <f t="shared" si="18"/>
        <v>38.93</v>
      </c>
      <c r="L593" t="str">
        <f t="shared" si="19"/>
        <v>Banca Tirrena|2|Assicurazioni</v>
      </c>
    </row>
    <row r="594" spans="1:12" x14ac:dyDescent="0.25">
      <c r="A594" t="s">
        <v>24</v>
      </c>
      <c r="B594">
        <v>3</v>
      </c>
      <c r="C594" t="s">
        <v>13</v>
      </c>
      <c r="D594" s="1">
        <v>45382</v>
      </c>
      <c r="E594">
        <v>456.1</v>
      </c>
      <c r="F594">
        <v>21.03</v>
      </c>
      <c r="G594">
        <v>13.31</v>
      </c>
      <c r="H594">
        <v>43</v>
      </c>
      <c r="I594" t="s">
        <v>25</v>
      </c>
      <c r="J594">
        <v>2024</v>
      </c>
      <c r="K594">
        <f t="shared" si="18"/>
        <v>7.7200000000000006</v>
      </c>
      <c r="L594" t="str">
        <f t="shared" si="19"/>
        <v>Banca Tirrena|3|Mutui</v>
      </c>
    </row>
    <row r="595" spans="1:12" x14ac:dyDescent="0.25">
      <c r="A595" t="s">
        <v>24</v>
      </c>
      <c r="B595">
        <v>3</v>
      </c>
      <c r="C595" t="s">
        <v>15</v>
      </c>
      <c r="D595" s="1">
        <v>45382</v>
      </c>
      <c r="E595">
        <v>599.79999999999995</v>
      </c>
      <c r="F595">
        <v>28.69</v>
      </c>
      <c r="G595">
        <v>17.48</v>
      </c>
      <c r="H595">
        <v>79</v>
      </c>
      <c r="I595" t="s">
        <v>25</v>
      </c>
      <c r="J595">
        <v>2024</v>
      </c>
      <c r="K595">
        <f t="shared" si="18"/>
        <v>11.21</v>
      </c>
      <c r="L595" t="str">
        <f t="shared" si="19"/>
        <v>Banca Tirrena|3|Prestiti</v>
      </c>
    </row>
    <row r="596" spans="1:12" x14ac:dyDescent="0.25">
      <c r="A596" t="s">
        <v>24</v>
      </c>
      <c r="B596">
        <v>3</v>
      </c>
      <c r="C596" t="s">
        <v>16</v>
      </c>
      <c r="D596" s="1">
        <v>45382</v>
      </c>
      <c r="E596">
        <v>761.8</v>
      </c>
      <c r="F596">
        <v>37.9</v>
      </c>
      <c r="G596">
        <v>23.2</v>
      </c>
      <c r="H596">
        <v>80</v>
      </c>
      <c r="I596" t="s">
        <v>25</v>
      </c>
      <c r="J596">
        <v>2024</v>
      </c>
      <c r="K596">
        <f t="shared" si="18"/>
        <v>14.7</v>
      </c>
      <c r="L596" t="str">
        <f t="shared" si="19"/>
        <v>Banca Tirrena|3|Conti</v>
      </c>
    </row>
    <row r="597" spans="1:12" x14ac:dyDescent="0.25">
      <c r="A597" t="s">
        <v>24</v>
      </c>
      <c r="B597">
        <v>3</v>
      </c>
      <c r="C597" t="s">
        <v>17</v>
      </c>
      <c r="D597" s="1">
        <v>45382</v>
      </c>
      <c r="E597">
        <v>950.2</v>
      </c>
      <c r="F597">
        <v>49.39</v>
      </c>
      <c r="G597">
        <v>30.03</v>
      </c>
      <c r="H597">
        <v>117</v>
      </c>
      <c r="I597" t="s">
        <v>25</v>
      </c>
      <c r="J597">
        <v>2024</v>
      </c>
      <c r="K597">
        <f t="shared" si="18"/>
        <v>19.36</v>
      </c>
      <c r="L597" t="str">
        <f t="shared" si="19"/>
        <v>Banca Tirrena|3|Carte</v>
      </c>
    </row>
    <row r="598" spans="1:12" x14ac:dyDescent="0.25">
      <c r="A598" t="s">
        <v>24</v>
      </c>
      <c r="B598">
        <v>3</v>
      </c>
      <c r="C598" t="s">
        <v>18</v>
      </c>
      <c r="D598" s="1">
        <v>45382</v>
      </c>
      <c r="E598">
        <v>1099.5</v>
      </c>
      <c r="F598">
        <v>59.22</v>
      </c>
      <c r="G598">
        <v>36.15</v>
      </c>
      <c r="H598">
        <v>124</v>
      </c>
      <c r="I598" t="s">
        <v>25</v>
      </c>
      <c r="J598">
        <v>2024</v>
      </c>
      <c r="K598">
        <f t="shared" si="18"/>
        <v>23.07</v>
      </c>
      <c r="L598" t="str">
        <f t="shared" si="19"/>
        <v>Banca Tirrena|3|Leasing</v>
      </c>
    </row>
    <row r="599" spans="1:12" x14ac:dyDescent="0.25">
      <c r="A599" t="s">
        <v>24</v>
      </c>
      <c r="B599">
        <v>3</v>
      </c>
      <c r="C599" t="s">
        <v>19</v>
      </c>
      <c r="D599" s="1">
        <v>45382</v>
      </c>
      <c r="E599">
        <v>1292.8</v>
      </c>
      <c r="F599">
        <v>71.349999999999994</v>
      </c>
      <c r="G599">
        <v>43.35</v>
      </c>
      <c r="H599">
        <v>154</v>
      </c>
      <c r="I599" t="s">
        <v>25</v>
      </c>
      <c r="J599">
        <v>2024</v>
      </c>
      <c r="K599">
        <f t="shared" si="18"/>
        <v>27.999999999999993</v>
      </c>
      <c r="L599" t="str">
        <f t="shared" si="19"/>
        <v>Banca Tirrena|3|Factoring</v>
      </c>
    </row>
    <row r="600" spans="1:12" x14ac:dyDescent="0.25">
      <c r="A600" t="s">
        <v>24</v>
      </c>
      <c r="B600">
        <v>3</v>
      </c>
      <c r="C600" t="s">
        <v>20</v>
      </c>
      <c r="D600" s="1">
        <v>45382</v>
      </c>
      <c r="E600">
        <v>1417.3</v>
      </c>
      <c r="F600">
        <v>81.36</v>
      </c>
      <c r="G600">
        <v>48.51</v>
      </c>
      <c r="H600">
        <v>149</v>
      </c>
      <c r="I600" t="s">
        <v>25</v>
      </c>
      <c r="J600">
        <v>2024</v>
      </c>
      <c r="K600">
        <f t="shared" si="18"/>
        <v>32.85</v>
      </c>
      <c r="L600" t="str">
        <f t="shared" si="19"/>
        <v>Banca Tirrena|3|Risparmio</v>
      </c>
    </row>
    <row r="601" spans="1:12" x14ac:dyDescent="0.25">
      <c r="A601" t="s">
        <v>24</v>
      </c>
      <c r="B601">
        <v>3</v>
      </c>
      <c r="C601" t="s">
        <v>21</v>
      </c>
      <c r="D601" s="1">
        <v>45382</v>
      </c>
      <c r="E601">
        <v>1586</v>
      </c>
      <c r="F601">
        <v>94.15</v>
      </c>
      <c r="G601">
        <v>56.33</v>
      </c>
      <c r="H601">
        <v>160</v>
      </c>
      <c r="I601" t="s">
        <v>25</v>
      </c>
      <c r="J601">
        <v>2024</v>
      </c>
      <c r="K601">
        <f t="shared" si="18"/>
        <v>37.820000000000007</v>
      </c>
      <c r="L601" t="str">
        <f t="shared" si="19"/>
        <v>Banca Tirrena|3|Assicurazioni</v>
      </c>
    </row>
    <row r="602" spans="1:12" x14ac:dyDescent="0.25">
      <c r="A602" t="s">
        <v>24</v>
      </c>
      <c r="B602">
        <v>4</v>
      </c>
      <c r="C602" t="s">
        <v>13</v>
      </c>
      <c r="D602" s="1">
        <v>45412</v>
      </c>
      <c r="E602">
        <v>443</v>
      </c>
      <c r="F602">
        <v>20.190000000000001</v>
      </c>
      <c r="G602">
        <v>12.74</v>
      </c>
      <c r="H602">
        <v>74</v>
      </c>
      <c r="I602" t="s">
        <v>25</v>
      </c>
      <c r="J602">
        <v>2024</v>
      </c>
      <c r="K602">
        <f t="shared" si="18"/>
        <v>7.4500000000000011</v>
      </c>
      <c r="L602" t="str">
        <f t="shared" si="19"/>
        <v>Banca Tirrena|4|Mutui</v>
      </c>
    </row>
    <row r="603" spans="1:12" x14ac:dyDescent="0.25">
      <c r="A603" t="s">
        <v>24</v>
      </c>
      <c r="B603">
        <v>4</v>
      </c>
      <c r="C603" t="s">
        <v>15</v>
      </c>
      <c r="D603" s="1">
        <v>45412</v>
      </c>
      <c r="E603">
        <v>611.79999999999995</v>
      </c>
      <c r="F603">
        <v>29.21</v>
      </c>
      <c r="G603">
        <v>18.54</v>
      </c>
      <c r="H603">
        <v>68</v>
      </c>
      <c r="I603" t="s">
        <v>25</v>
      </c>
      <c r="J603">
        <v>2024</v>
      </c>
      <c r="K603">
        <f t="shared" si="18"/>
        <v>10.670000000000002</v>
      </c>
      <c r="L603" t="str">
        <f t="shared" si="19"/>
        <v>Banca Tirrena|4|Prestiti</v>
      </c>
    </row>
    <row r="604" spans="1:12" x14ac:dyDescent="0.25">
      <c r="A604" t="s">
        <v>24</v>
      </c>
      <c r="B604">
        <v>4</v>
      </c>
      <c r="C604" t="s">
        <v>16</v>
      </c>
      <c r="D604" s="1">
        <v>45412</v>
      </c>
      <c r="E604">
        <v>778.2</v>
      </c>
      <c r="F604">
        <v>38.19</v>
      </c>
      <c r="G604">
        <v>23.96</v>
      </c>
      <c r="H604">
        <v>83</v>
      </c>
      <c r="I604" t="s">
        <v>25</v>
      </c>
      <c r="J604">
        <v>2024</v>
      </c>
      <c r="K604">
        <f t="shared" si="18"/>
        <v>14.229999999999997</v>
      </c>
      <c r="L604" t="str">
        <f t="shared" si="19"/>
        <v>Banca Tirrena|4|Conti</v>
      </c>
    </row>
    <row r="605" spans="1:12" x14ac:dyDescent="0.25">
      <c r="A605" t="s">
        <v>24</v>
      </c>
      <c r="B605">
        <v>4</v>
      </c>
      <c r="C605" t="s">
        <v>17</v>
      </c>
      <c r="D605" s="1">
        <v>45412</v>
      </c>
      <c r="E605">
        <v>918.4</v>
      </c>
      <c r="F605">
        <v>47.38</v>
      </c>
      <c r="G605">
        <v>28.57</v>
      </c>
      <c r="H605">
        <v>92</v>
      </c>
      <c r="I605" t="s">
        <v>25</v>
      </c>
      <c r="J605">
        <v>2024</v>
      </c>
      <c r="K605">
        <f t="shared" si="18"/>
        <v>18.810000000000002</v>
      </c>
      <c r="L605" t="str">
        <f t="shared" si="19"/>
        <v>Banca Tirrena|4|Carte</v>
      </c>
    </row>
    <row r="606" spans="1:12" x14ac:dyDescent="0.25">
      <c r="A606" t="s">
        <v>24</v>
      </c>
      <c r="B606">
        <v>4</v>
      </c>
      <c r="C606" t="s">
        <v>18</v>
      </c>
      <c r="D606" s="1">
        <v>45412</v>
      </c>
      <c r="E606">
        <v>1100.0999999999999</v>
      </c>
      <c r="F606">
        <v>59.11</v>
      </c>
      <c r="G606">
        <v>35.53</v>
      </c>
      <c r="H606">
        <v>115</v>
      </c>
      <c r="I606" t="s">
        <v>25</v>
      </c>
      <c r="J606">
        <v>2024</v>
      </c>
      <c r="K606">
        <f t="shared" si="18"/>
        <v>23.58</v>
      </c>
      <c r="L606" t="str">
        <f t="shared" si="19"/>
        <v>Banca Tirrena|4|Leasing</v>
      </c>
    </row>
    <row r="607" spans="1:12" x14ac:dyDescent="0.25">
      <c r="A607" t="s">
        <v>24</v>
      </c>
      <c r="B607">
        <v>4</v>
      </c>
      <c r="C607" t="s">
        <v>19</v>
      </c>
      <c r="D607" s="1">
        <v>45412</v>
      </c>
      <c r="E607">
        <v>1290</v>
      </c>
      <c r="F607">
        <v>71.2</v>
      </c>
      <c r="G607">
        <v>42.68</v>
      </c>
      <c r="H607">
        <v>155</v>
      </c>
      <c r="I607" t="s">
        <v>25</v>
      </c>
      <c r="J607">
        <v>2024</v>
      </c>
      <c r="K607">
        <f t="shared" si="18"/>
        <v>28.520000000000003</v>
      </c>
      <c r="L607" t="str">
        <f t="shared" si="19"/>
        <v>Banca Tirrena|4|Factoring</v>
      </c>
    </row>
    <row r="608" spans="1:12" x14ac:dyDescent="0.25">
      <c r="A608" t="s">
        <v>24</v>
      </c>
      <c r="B608">
        <v>4</v>
      </c>
      <c r="C608" t="s">
        <v>20</v>
      </c>
      <c r="D608" s="1">
        <v>45412</v>
      </c>
      <c r="E608">
        <v>1438.7</v>
      </c>
      <c r="F608">
        <v>82.11</v>
      </c>
      <c r="G608">
        <v>49.39</v>
      </c>
      <c r="H608">
        <v>146</v>
      </c>
      <c r="I608" t="s">
        <v>25</v>
      </c>
      <c r="J608">
        <v>2024</v>
      </c>
      <c r="K608">
        <f t="shared" si="18"/>
        <v>32.72</v>
      </c>
      <c r="L608" t="str">
        <f t="shared" si="19"/>
        <v>Banca Tirrena|4|Risparmio</v>
      </c>
    </row>
    <row r="609" spans="1:12" x14ac:dyDescent="0.25">
      <c r="A609" t="s">
        <v>24</v>
      </c>
      <c r="B609">
        <v>4</v>
      </c>
      <c r="C609" t="s">
        <v>21</v>
      </c>
      <c r="D609" s="1">
        <v>45412</v>
      </c>
      <c r="E609">
        <v>1629.5</v>
      </c>
      <c r="F609">
        <v>96.76</v>
      </c>
      <c r="G609">
        <v>57.21</v>
      </c>
      <c r="H609">
        <v>192</v>
      </c>
      <c r="I609" t="s">
        <v>25</v>
      </c>
      <c r="J609">
        <v>2024</v>
      </c>
      <c r="K609">
        <f t="shared" si="18"/>
        <v>39.550000000000004</v>
      </c>
      <c r="L609" t="str">
        <f t="shared" si="19"/>
        <v>Banca Tirrena|4|Assicurazioni</v>
      </c>
    </row>
    <row r="610" spans="1:12" x14ac:dyDescent="0.25">
      <c r="A610" t="s">
        <v>24</v>
      </c>
      <c r="B610">
        <v>5</v>
      </c>
      <c r="C610" t="s">
        <v>13</v>
      </c>
      <c r="D610" s="1">
        <v>45443</v>
      </c>
      <c r="E610">
        <v>462.4</v>
      </c>
      <c r="F610">
        <v>21.25</v>
      </c>
      <c r="G610">
        <v>13.4</v>
      </c>
      <c r="H610">
        <v>51</v>
      </c>
      <c r="I610" t="s">
        <v>25</v>
      </c>
      <c r="J610">
        <v>2024</v>
      </c>
      <c r="K610">
        <f t="shared" si="18"/>
        <v>7.85</v>
      </c>
      <c r="L610" t="str">
        <f t="shared" si="19"/>
        <v>Banca Tirrena|5|Mutui</v>
      </c>
    </row>
    <row r="611" spans="1:12" x14ac:dyDescent="0.25">
      <c r="A611" t="s">
        <v>24</v>
      </c>
      <c r="B611">
        <v>5</v>
      </c>
      <c r="C611" t="s">
        <v>15</v>
      </c>
      <c r="D611" s="1">
        <v>45443</v>
      </c>
      <c r="E611">
        <v>642.9</v>
      </c>
      <c r="F611">
        <v>31.18</v>
      </c>
      <c r="G611">
        <v>18.75</v>
      </c>
      <c r="H611">
        <v>64</v>
      </c>
      <c r="I611" t="s">
        <v>25</v>
      </c>
      <c r="J611">
        <v>2024</v>
      </c>
      <c r="K611">
        <f t="shared" si="18"/>
        <v>12.43</v>
      </c>
      <c r="L611" t="str">
        <f t="shared" si="19"/>
        <v>Banca Tirrena|5|Prestiti</v>
      </c>
    </row>
    <row r="612" spans="1:12" x14ac:dyDescent="0.25">
      <c r="A612" t="s">
        <v>24</v>
      </c>
      <c r="B612">
        <v>5</v>
      </c>
      <c r="C612" t="s">
        <v>16</v>
      </c>
      <c r="D612" s="1">
        <v>45443</v>
      </c>
      <c r="E612">
        <v>756.6</v>
      </c>
      <c r="F612">
        <v>37.56</v>
      </c>
      <c r="G612">
        <v>23.48</v>
      </c>
      <c r="H612">
        <v>104</v>
      </c>
      <c r="I612" t="s">
        <v>25</v>
      </c>
      <c r="J612">
        <v>2024</v>
      </c>
      <c r="K612">
        <f t="shared" si="18"/>
        <v>14.080000000000002</v>
      </c>
      <c r="L612" t="str">
        <f t="shared" si="19"/>
        <v>Banca Tirrena|5|Conti</v>
      </c>
    </row>
    <row r="613" spans="1:12" x14ac:dyDescent="0.25">
      <c r="A613" t="s">
        <v>24</v>
      </c>
      <c r="B613">
        <v>5</v>
      </c>
      <c r="C613" t="s">
        <v>17</v>
      </c>
      <c r="D613" s="1">
        <v>45443</v>
      </c>
      <c r="E613">
        <v>967.2</v>
      </c>
      <c r="F613">
        <v>50.26</v>
      </c>
      <c r="G613">
        <v>30.1</v>
      </c>
      <c r="H613">
        <v>92</v>
      </c>
      <c r="I613" t="s">
        <v>25</v>
      </c>
      <c r="J613">
        <v>2024</v>
      </c>
      <c r="K613">
        <f t="shared" si="18"/>
        <v>20.159999999999997</v>
      </c>
      <c r="L613" t="str">
        <f t="shared" si="19"/>
        <v>Banca Tirrena|5|Carte</v>
      </c>
    </row>
    <row r="614" spans="1:12" x14ac:dyDescent="0.25">
      <c r="A614" t="s">
        <v>24</v>
      </c>
      <c r="B614">
        <v>5</v>
      </c>
      <c r="C614" t="s">
        <v>18</v>
      </c>
      <c r="D614" s="1">
        <v>45443</v>
      </c>
      <c r="E614">
        <v>1096.9000000000001</v>
      </c>
      <c r="F614">
        <v>58.48</v>
      </c>
      <c r="G614">
        <v>35.11</v>
      </c>
      <c r="H614">
        <v>137</v>
      </c>
      <c r="I614" t="s">
        <v>25</v>
      </c>
      <c r="J614">
        <v>2024</v>
      </c>
      <c r="K614">
        <f t="shared" si="18"/>
        <v>23.369999999999997</v>
      </c>
      <c r="L614" t="str">
        <f t="shared" si="19"/>
        <v>Banca Tirrena|5|Leasing</v>
      </c>
    </row>
    <row r="615" spans="1:12" x14ac:dyDescent="0.25">
      <c r="A615" t="s">
        <v>24</v>
      </c>
      <c r="B615">
        <v>5</v>
      </c>
      <c r="C615" t="s">
        <v>19</v>
      </c>
      <c r="D615" s="1">
        <v>45443</v>
      </c>
      <c r="E615">
        <v>1299.7</v>
      </c>
      <c r="F615">
        <v>72.06</v>
      </c>
      <c r="G615">
        <v>43.33</v>
      </c>
      <c r="H615">
        <v>137</v>
      </c>
      <c r="I615" t="s">
        <v>25</v>
      </c>
      <c r="J615">
        <v>2024</v>
      </c>
      <c r="K615">
        <f t="shared" si="18"/>
        <v>28.730000000000004</v>
      </c>
      <c r="L615" t="str">
        <f t="shared" si="19"/>
        <v>Banca Tirrena|5|Factoring</v>
      </c>
    </row>
    <row r="616" spans="1:12" x14ac:dyDescent="0.25">
      <c r="A616" t="s">
        <v>24</v>
      </c>
      <c r="B616">
        <v>5</v>
      </c>
      <c r="C616" t="s">
        <v>20</v>
      </c>
      <c r="D616" s="1">
        <v>45443</v>
      </c>
      <c r="E616">
        <v>1463.7</v>
      </c>
      <c r="F616">
        <v>83.8</v>
      </c>
      <c r="G616">
        <v>49.96</v>
      </c>
      <c r="H616">
        <v>151</v>
      </c>
      <c r="I616" t="s">
        <v>25</v>
      </c>
      <c r="J616">
        <v>2024</v>
      </c>
      <c r="K616">
        <f t="shared" si="18"/>
        <v>33.839999999999996</v>
      </c>
      <c r="L616" t="str">
        <f t="shared" si="19"/>
        <v>Banca Tirrena|5|Risparmio</v>
      </c>
    </row>
    <row r="617" spans="1:12" x14ac:dyDescent="0.25">
      <c r="A617" t="s">
        <v>24</v>
      </c>
      <c r="B617">
        <v>5</v>
      </c>
      <c r="C617" t="s">
        <v>21</v>
      </c>
      <c r="D617" s="1">
        <v>45443</v>
      </c>
      <c r="E617">
        <v>1635.8</v>
      </c>
      <c r="F617">
        <v>96.86</v>
      </c>
      <c r="G617">
        <v>57.37</v>
      </c>
      <c r="H617">
        <v>165</v>
      </c>
      <c r="I617" t="s">
        <v>25</v>
      </c>
      <c r="J617">
        <v>2024</v>
      </c>
      <c r="K617">
        <f t="shared" si="18"/>
        <v>39.49</v>
      </c>
      <c r="L617" t="str">
        <f t="shared" si="19"/>
        <v>Banca Tirrena|5|Assicurazioni</v>
      </c>
    </row>
    <row r="618" spans="1:12" x14ac:dyDescent="0.25">
      <c r="A618" t="s">
        <v>24</v>
      </c>
      <c r="B618">
        <v>6</v>
      </c>
      <c r="C618" t="s">
        <v>13</v>
      </c>
      <c r="D618" s="1">
        <v>45473</v>
      </c>
      <c r="E618">
        <v>431.6</v>
      </c>
      <c r="F618">
        <v>19.559999999999999</v>
      </c>
      <c r="G618">
        <v>13.07</v>
      </c>
      <c r="H618">
        <v>71</v>
      </c>
      <c r="I618" t="s">
        <v>25</v>
      </c>
      <c r="J618">
        <v>2024</v>
      </c>
      <c r="K618">
        <f t="shared" si="18"/>
        <v>6.4899999999999984</v>
      </c>
      <c r="L618" t="str">
        <f t="shared" si="19"/>
        <v>Banca Tirrena|6|Mutui</v>
      </c>
    </row>
    <row r="619" spans="1:12" x14ac:dyDescent="0.25">
      <c r="A619" t="s">
        <v>24</v>
      </c>
      <c r="B619">
        <v>6</v>
      </c>
      <c r="C619" t="s">
        <v>15</v>
      </c>
      <c r="D619" s="1">
        <v>45473</v>
      </c>
      <c r="E619">
        <v>631.4</v>
      </c>
      <c r="F619">
        <v>30</v>
      </c>
      <c r="G619">
        <v>19.05</v>
      </c>
      <c r="H619">
        <v>73</v>
      </c>
      <c r="I619" t="s">
        <v>25</v>
      </c>
      <c r="J619">
        <v>2024</v>
      </c>
      <c r="K619">
        <f t="shared" si="18"/>
        <v>10.95</v>
      </c>
      <c r="L619" t="str">
        <f t="shared" si="19"/>
        <v>Banca Tirrena|6|Prestiti</v>
      </c>
    </row>
    <row r="620" spans="1:12" x14ac:dyDescent="0.25">
      <c r="A620" t="s">
        <v>24</v>
      </c>
      <c r="B620">
        <v>6</v>
      </c>
      <c r="C620" t="s">
        <v>16</v>
      </c>
      <c r="D620" s="1">
        <v>45473</v>
      </c>
      <c r="E620">
        <v>761.4</v>
      </c>
      <c r="F620">
        <v>37.81</v>
      </c>
      <c r="G620">
        <v>22.98</v>
      </c>
      <c r="H620">
        <v>104</v>
      </c>
      <c r="I620" t="s">
        <v>25</v>
      </c>
      <c r="J620">
        <v>2024</v>
      </c>
      <c r="K620">
        <f t="shared" si="18"/>
        <v>14.830000000000002</v>
      </c>
      <c r="L620" t="str">
        <f t="shared" si="19"/>
        <v>Banca Tirrena|6|Conti</v>
      </c>
    </row>
    <row r="621" spans="1:12" x14ac:dyDescent="0.25">
      <c r="A621" t="s">
        <v>24</v>
      </c>
      <c r="B621">
        <v>6</v>
      </c>
      <c r="C621" t="s">
        <v>17</v>
      </c>
      <c r="D621" s="1">
        <v>45473</v>
      </c>
      <c r="E621">
        <v>975</v>
      </c>
      <c r="F621">
        <v>50.16</v>
      </c>
      <c r="G621">
        <v>30.91</v>
      </c>
      <c r="H621">
        <v>109</v>
      </c>
      <c r="I621" t="s">
        <v>25</v>
      </c>
      <c r="J621">
        <v>2024</v>
      </c>
      <c r="K621">
        <f t="shared" si="18"/>
        <v>19.249999999999996</v>
      </c>
      <c r="L621" t="str">
        <f t="shared" si="19"/>
        <v>Banca Tirrena|6|Carte</v>
      </c>
    </row>
    <row r="622" spans="1:12" x14ac:dyDescent="0.25">
      <c r="A622" t="s">
        <v>24</v>
      </c>
      <c r="B622">
        <v>6</v>
      </c>
      <c r="C622" t="s">
        <v>18</v>
      </c>
      <c r="D622" s="1">
        <v>45473</v>
      </c>
      <c r="E622">
        <v>1141.5</v>
      </c>
      <c r="F622">
        <v>61.02</v>
      </c>
      <c r="G622">
        <v>37.299999999999997</v>
      </c>
      <c r="H622">
        <v>124</v>
      </c>
      <c r="I622" t="s">
        <v>25</v>
      </c>
      <c r="J622">
        <v>2024</v>
      </c>
      <c r="K622">
        <f t="shared" si="18"/>
        <v>23.720000000000006</v>
      </c>
      <c r="L622" t="str">
        <f t="shared" si="19"/>
        <v>Banca Tirrena|6|Leasing</v>
      </c>
    </row>
    <row r="623" spans="1:12" x14ac:dyDescent="0.25">
      <c r="A623" t="s">
        <v>24</v>
      </c>
      <c r="B623">
        <v>6</v>
      </c>
      <c r="C623" t="s">
        <v>19</v>
      </c>
      <c r="D623" s="1">
        <v>45473</v>
      </c>
      <c r="E623">
        <v>1287.8</v>
      </c>
      <c r="F623">
        <v>71.12</v>
      </c>
      <c r="G623">
        <v>43</v>
      </c>
      <c r="H623">
        <v>162</v>
      </c>
      <c r="I623" t="s">
        <v>25</v>
      </c>
      <c r="J623">
        <v>2024</v>
      </c>
      <c r="K623">
        <f t="shared" si="18"/>
        <v>28.120000000000005</v>
      </c>
      <c r="L623" t="str">
        <f t="shared" si="19"/>
        <v>Banca Tirrena|6|Factoring</v>
      </c>
    </row>
    <row r="624" spans="1:12" x14ac:dyDescent="0.25">
      <c r="A624" t="s">
        <v>24</v>
      </c>
      <c r="B624">
        <v>6</v>
      </c>
      <c r="C624" t="s">
        <v>20</v>
      </c>
      <c r="D624" s="1">
        <v>45473</v>
      </c>
      <c r="E624">
        <v>1466.7</v>
      </c>
      <c r="F624">
        <v>84.41</v>
      </c>
      <c r="G624">
        <v>50.74</v>
      </c>
      <c r="H624">
        <v>173</v>
      </c>
      <c r="I624" t="s">
        <v>25</v>
      </c>
      <c r="J624">
        <v>2024</v>
      </c>
      <c r="K624">
        <f t="shared" si="18"/>
        <v>33.669999999999995</v>
      </c>
      <c r="L624" t="str">
        <f t="shared" si="19"/>
        <v>Banca Tirrena|6|Risparmio</v>
      </c>
    </row>
    <row r="625" spans="1:12" x14ac:dyDescent="0.25">
      <c r="A625" t="s">
        <v>24</v>
      </c>
      <c r="B625">
        <v>6</v>
      </c>
      <c r="C625" t="s">
        <v>21</v>
      </c>
      <c r="D625" s="1">
        <v>45473</v>
      </c>
      <c r="E625">
        <v>1647.9</v>
      </c>
      <c r="F625">
        <v>97.59</v>
      </c>
      <c r="G625">
        <v>57.96</v>
      </c>
      <c r="H625">
        <v>158</v>
      </c>
      <c r="I625" t="s">
        <v>25</v>
      </c>
      <c r="J625">
        <v>2024</v>
      </c>
      <c r="K625">
        <f t="shared" si="18"/>
        <v>39.630000000000003</v>
      </c>
      <c r="L625" t="str">
        <f t="shared" si="19"/>
        <v>Banca Tirrena|6|Assicurazioni</v>
      </c>
    </row>
    <row r="626" spans="1:12" x14ac:dyDescent="0.25">
      <c r="A626" t="s">
        <v>24</v>
      </c>
      <c r="B626">
        <v>7</v>
      </c>
      <c r="C626" t="s">
        <v>13</v>
      </c>
      <c r="D626" s="1">
        <v>45504</v>
      </c>
      <c r="E626">
        <v>450.5</v>
      </c>
      <c r="F626">
        <v>21.11</v>
      </c>
      <c r="G626">
        <v>12.69</v>
      </c>
      <c r="H626">
        <v>53</v>
      </c>
      <c r="I626" t="s">
        <v>25</v>
      </c>
      <c r="J626">
        <v>2024</v>
      </c>
      <c r="K626">
        <f t="shared" si="18"/>
        <v>8.42</v>
      </c>
      <c r="L626" t="str">
        <f t="shared" si="19"/>
        <v>Banca Tirrena|7|Mutui</v>
      </c>
    </row>
    <row r="627" spans="1:12" x14ac:dyDescent="0.25">
      <c r="A627" t="s">
        <v>24</v>
      </c>
      <c r="B627">
        <v>7</v>
      </c>
      <c r="C627" t="s">
        <v>15</v>
      </c>
      <c r="D627" s="1">
        <v>45504</v>
      </c>
      <c r="E627">
        <v>605.9</v>
      </c>
      <c r="F627">
        <v>28.7</v>
      </c>
      <c r="G627">
        <v>18.03</v>
      </c>
      <c r="H627">
        <v>78</v>
      </c>
      <c r="I627" t="s">
        <v>25</v>
      </c>
      <c r="J627">
        <v>2024</v>
      </c>
      <c r="K627">
        <f t="shared" si="18"/>
        <v>10.669999999999998</v>
      </c>
      <c r="L627" t="str">
        <f t="shared" si="19"/>
        <v>Banca Tirrena|7|Prestiti</v>
      </c>
    </row>
    <row r="628" spans="1:12" x14ac:dyDescent="0.25">
      <c r="A628" t="s">
        <v>24</v>
      </c>
      <c r="B628">
        <v>7</v>
      </c>
      <c r="C628" t="s">
        <v>16</v>
      </c>
      <c r="D628" s="1">
        <v>45504</v>
      </c>
      <c r="E628">
        <v>796.7</v>
      </c>
      <c r="F628">
        <v>39.700000000000003</v>
      </c>
      <c r="G628">
        <v>24.57</v>
      </c>
      <c r="H628">
        <v>94</v>
      </c>
      <c r="I628" t="s">
        <v>25</v>
      </c>
      <c r="J628">
        <v>2024</v>
      </c>
      <c r="K628">
        <f t="shared" si="18"/>
        <v>15.130000000000003</v>
      </c>
      <c r="L628" t="str">
        <f t="shared" si="19"/>
        <v>Banca Tirrena|7|Conti</v>
      </c>
    </row>
    <row r="629" spans="1:12" x14ac:dyDescent="0.25">
      <c r="A629" t="s">
        <v>24</v>
      </c>
      <c r="B629">
        <v>7</v>
      </c>
      <c r="C629" t="s">
        <v>17</v>
      </c>
      <c r="D629" s="1">
        <v>45504</v>
      </c>
      <c r="E629">
        <v>947.9</v>
      </c>
      <c r="F629">
        <v>48.71</v>
      </c>
      <c r="G629">
        <v>29.93</v>
      </c>
      <c r="H629">
        <v>103</v>
      </c>
      <c r="I629" t="s">
        <v>25</v>
      </c>
      <c r="J629">
        <v>2024</v>
      </c>
      <c r="K629">
        <f t="shared" si="18"/>
        <v>18.78</v>
      </c>
      <c r="L629" t="str">
        <f t="shared" si="19"/>
        <v>Banca Tirrena|7|Carte</v>
      </c>
    </row>
    <row r="630" spans="1:12" x14ac:dyDescent="0.25">
      <c r="A630" t="s">
        <v>24</v>
      </c>
      <c r="B630">
        <v>7</v>
      </c>
      <c r="C630" t="s">
        <v>18</v>
      </c>
      <c r="D630" s="1">
        <v>45504</v>
      </c>
      <c r="E630">
        <v>1123.2</v>
      </c>
      <c r="F630">
        <v>60.35</v>
      </c>
      <c r="G630">
        <v>36.729999999999997</v>
      </c>
      <c r="H630">
        <v>139</v>
      </c>
      <c r="I630" t="s">
        <v>25</v>
      </c>
      <c r="J630">
        <v>2024</v>
      </c>
      <c r="K630">
        <f t="shared" si="18"/>
        <v>23.620000000000005</v>
      </c>
      <c r="L630" t="str">
        <f t="shared" si="19"/>
        <v>Banca Tirrena|7|Leasing</v>
      </c>
    </row>
    <row r="631" spans="1:12" x14ac:dyDescent="0.25">
      <c r="A631" t="s">
        <v>24</v>
      </c>
      <c r="B631">
        <v>7</v>
      </c>
      <c r="C631" t="s">
        <v>19</v>
      </c>
      <c r="D631" s="1">
        <v>45504</v>
      </c>
      <c r="E631">
        <v>1309.9000000000001</v>
      </c>
      <c r="F631">
        <v>72.67</v>
      </c>
      <c r="G631">
        <v>43.53</v>
      </c>
      <c r="H631">
        <v>163</v>
      </c>
      <c r="I631" t="s">
        <v>25</v>
      </c>
      <c r="J631">
        <v>2024</v>
      </c>
      <c r="K631">
        <f t="shared" si="18"/>
        <v>29.14</v>
      </c>
      <c r="L631" t="str">
        <f t="shared" si="19"/>
        <v>Banca Tirrena|7|Factoring</v>
      </c>
    </row>
    <row r="632" spans="1:12" x14ac:dyDescent="0.25">
      <c r="A632" t="s">
        <v>24</v>
      </c>
      <c r="B632">
        <v>7</v>
      </c>
      <c r="C632" t="s">
        <v>20</v>
      </c>
      <c r="D632" s="1">
        <v>45504</v>
      </c>
      <c r="E632">
        <v>1503.3</v>
      </c>
      <c r="F632">
        <v>85.84</v>
      </c>
      <c r="G632">
        <v>51.74</v>
      </c>
      <c r="H632">
        <v>140</v>
      </c>
      <c r="I632" t="s">
        <v>25</v>
      </c>
      <c r="J632">
        <v>2024</v>
      </c>
      <c r="K632">
        <f t="shared" si="18"/>
        <v>34.1</v>
      </c>
      <c r="L632" t="str">
        <f t="shared" si="19"/>
        <v>Banca Tirrena|7|Risparmio</v>
      </c>
    </row>
    <row r="633" spans="1:12" x14ac:dyDescent="0.25">
      <c r="A633" t="s">
        <v>24</v>
      </c>
      <c r="B633">
        <v>7</v>
      </c>
      <c r="C633" t="s">
        <v>21</v>
      </c>
      <c r="D633" s="1">
        <v>45504</v>
      </c>
      <c r="E633">
        <v>1667.6</v>
      </c>
      <c r="F633">
        <v>98.84</v>
      </c>
      <c r="G633">
        <v>58.87</v>
      </c>
      <c r="H633">
        <v>165</v>
      </c>
      <c r="I633" t="s">
        <v>25</v>
      </c>
      <c r="J633">
        <v>2024</v>
      </c>
      <c r="K633">
        <f t="shared" si="18"/>
        <v>39.970000000000006</v>
      </c>
      <c r="L633" t="str">
        <f t="shared" si="19"/>
        <v>Banca Tirrena|7|Assicurazioni</v>
      </c>
    </row>
    <row r="634" spans="1:12" x14ac:dyDescent="0.25">
      <c r="A634" t="s">
        <v>24</v>
      </c>
      <c r="B634">
        <v>8</v>
      </c>
      <c r="C634" t="s">
        <v>13</v>
      </c>
      <c r="D634" s="1">
        <v>45535</v>
      </c>
      <c r="E634">
        <v>440.3</v>
      </c>
      <c r="F634">
        <v>20.65</v>
      </c>
      <c r="G634">
        <v>12.35</v>
      </c>
      <c r="H634">
        <v>59</v>
      </c>
      <c r="I634" t="s">
        <v>25</v>
      </c>
      <c r="J634">
        <v>2024</v>
      </c>
      <c r="K634">
        <f t="shared" si="18"/>
        <v>8.2999999999999989</v>
      </c>
      <c r="L634" t="str">
        <f t="shared" si="19"/>
        <v>Banca Tirrena|8|Mutui</v>
      </c>
    </row>
    <row r="635" spans="1:12" x14ac:dyDescent="0.25">
      <c r="A635" t="s">
        <v>24</v>
      </c>
      <c r="B635">
        <v>8</v>
      </c>
      <c r="C635" t="s">
        <v>15</v>
      </c>
      <c r="D635" s="1">
        <v>45535</v>
      </c>
      <c r="E635">
        <v>644.29999999999995</v>
      </c>
      <c r="F635">
        <v>30.43</v>
      </c>
      <c r="G635">
        <v>19.079999999999998</v>
      </c>
      <c r="H635">
        <v>83</v>
      </c>
      <c r="I635" t="s">
        <v>25</v>
      </c>
      <c r="J635">
        <v>2024</v>
      </c>
      <c r="K635">
        <f t="shared" si="18"/>
        <v>11.350000000000001</v>
      </c>
      <c r="L635" t="str">
        <f t="shared" si="19"/>
        <v>Banca Tirrena|8|Prestiti</v>
      </c>
    </row>
    <row r="636" spans="1:12" x14ac:dyDescent="0.25">
      <c r="A636" t="s">
        <v>24</v>
      </c>
      <c r="B636">
        <v>8</v>
      </c>
      <c r="C636" t="s">
        <v>16</v>
      </c>
      <c r="D636" s="1">
        <v>45535</v>
      </c>
      <c r="E636">
        <v>822.4</v>
      </c>
      <c r="F636">
        <v>41.11</v>
      </c>
      <c r="G636">
        <v>25.63</v>
      </c>
      <c r="H636">
        <v>104</v>
      </c>
      <c r="I636" t="s">
        <v>25</v>
      </c>
      <c r="J636">
        <v>2024</v>
      </c>
      <c r="K636">
        <f t="shared" si="18"/>
        <v>15.48</v>
      </c>
      <c r="L636" t="str">
        <f t="shared" si="19"/>
        <v>Banca Tirrena|8|Conti</v>
      </c>
    </row>
    <row r="637" spans="1:12" x14ac:dyDescent="0.25">
      <c r="A637" t="s">
        <v>24</v>
      </c>
      <c r="B637">
        <v>8</v>
      </c>
      <c r="C637" t="s">
        <v>17</v>
      </c>
      <c r="D637" s="1">
        <v>45535</v>
      </c>
      <c r="E637">
        <v>966.4</v>
      </c>
      <c r="F637">
        <v>49.34</v>
      </c>
      <c r="G637">
        <v>30.23</v>
      </c>
      <c r="H637">
        <v>118</v>
      </c>
      <c r="I637" t="s">
        <v>25</v>
      </c>
      <c r="J637">
        <v>2024</v>
      </c>
      <c r="K637">
        <f t="shared" si="18"/>
        <v>19.110000000000003</v>
      </c>
      <c r="L637" t="str">
        <f t="shared" si="19"/>
        <v>Banca Tirrena|8|Carte</v>
      </c>
    </row>
    <row r="638" spans="1:12" x14ac:dyDescent="0.25">
      <c r="A638" t="s">
        <v>24</v>
      </c>
      <c r="B638">
        <v>8</v>
      </c>
      <c r="C638" t="s">
        <v>18</v>
      </c>
      <c r="D638" s="1">
        <v>45535</v>
      </c>
      <c r="E638">
        <v>1145.3</v>
      </c>
      <c r="F638">
        <v>61.62</v>
      </c>
      <c r="G638">
        <v>37.119999999999997</v>
      </c>
      <c r="H638">
        <v>126</v>
      </c>
      <c r="I638" t="s">
        <v>25</v>
      </c>
      <c r="J638">
        <v>2024</v>
      </c>
      <c r="K638">
        <f t="shared" si="18"/>
        <v>24.5</v>
      </c>
      <c r="L638" t="str">
        <f t="shared" si="19"/>
        <v>Banca Tirrena|8|Leasing</v>
      </c>
    </row>
    <row r="639" spans="1:12" x14ac:dyDescent="0.25">
      <c r="A639" t="s">
        <v>24</v>
      </c>
      <c r="B639">
        <v>8</v>
      </c>
      <c r="C639" t="s">
        <v>19</v>
      </c>
      <c r="D639" s="1">
        <v>45535</v>
      </c>
      <c r="E639">
        <v>1324.8</v>
      </c>
      <c r="F639">
        <v>72.900000000000006</v>
      </c>
      <c r="G639">
        <v>44.38</v>
      </c>
      <c r="H639">
        <v>147</v>
      </c>
      <c r="I639" t="s">
        <v>25</v>
      </c>
      <c r="J639">
        <v>2024</v>
      </c>
      <c r="K639">
        <f t="shared" si="18"/>
        <v>28.520000000000003</v>
      </c>
      <c r="L639" t="str">
        <f t="shared" si="19"/>
        <v>Banca Tirrena|8|Factoring</v>
      </c>
    </row>
    <row r="640" spans="1:12" x14ac:dyDescent="0.25">
      <c r="A640" t="s">
        <v>24</v>
      </c>
      <c r="B640">
        <v>8</v>
      </c>
      <c r="C640" t="s">
        <v>20</v>
      </c>
      <c r="D640" s="1">
        <v>45535</v>
      </c>
      <c r="E640">
        <v>1461</v>
      </c>
      <c r="F640">
        <v>84.14</v>
      </c>
      <c r="G640">
        <v>49.99</v>
      </c>
      <c r="H640">
        <v>143</v>
      </c>
      <c r="I640" t="s">
        <v>25</v>
      </c>
      <c r="J640">
        <v>2024</v>
      </c>
      <c r="K640">
        <f t="shared" si="18"/>
        <v>34.15</v>
      </c>
      <c r="L640" t="str">
        <f t="shared" si="19"/>
        <v>Banca Tirrena|8|Risparmio</v>
      </c>
    </row>
    <row r="641" spans="1:12" x14ac:dyDescent="0.25">
      <c r="A641" t="s">
        <v>24</v>
      </c>
      <c r="B641">
        <v>8</v>
      </c>
      <c r="C641" t="s">
        <v>21</v>
      </c>
      <c r="D641" s="1">
        <v>45535</v>
      </c>
      <c r="E641">
        <v>1636.1</v>
      </c>
      <c r="F641">
        <v>97.34</v>
      </c>
      <c r="G641">
        <v>57.64</v>
      </c>
      <c r="H641">
        <v>157</v>
      </c>
      <c r="I641" t="s">
        <v>25</v>
      </c>
      <c r="J641">
        <v>2024</v>
      </c>
      <c r="K641">
        <f t="shared" si="18"/>
        <v>39.700000000000003</v>
      </c>
      <c r="L641" t="str">
        <f t="shared" si="19"/>
        <v>Banca Tirrena|8|Assicurazioni</v>
      </c>
    </row>
    <row r="642" spans="1:12" x14ac:dyDescent="0.25">
      <c r="A642" t="s">
        <v>24</v>
      </c>
      <c r="B642">
        <v>9</v>
      </c>
      <c r="C642" t="s">
        <v>13</v>
      </c>
      <c r="D642" s="1">
        <v>45565</v>
      </c>
      <c r="E642">
        <v>478</v>
      </c>
      <c r="F642">
        <v>21.75</v>
      </c>
      <c r="G642">
        <v>14.08</v>
      </c>
      <c r="H642">
        <v>47</v>
      </c>
      <c r="I642" t="s">
        <v>25</v>
      </c>
      <c r="J642">
        <v>2024</v>
      </c>
      <c r="K642">
        <f t="shared" ref="K642:K705" si="20">F642-G642</f>
        <v>7.67</v>
      </c>
      <c r="L642" t="str">
        <f t="shared" ref="L642:L705" si="21">A642&amp;"|"&amp;B642&amp;"|"&amp;C642</f>
        <v>Banca Tirrena|9|Mutui</v>
      </c>
    </row>
    <row r="643" spans="1:12" x14ac:dyDescent="0.25">
      <c r="A643" t="s">
        <v>24</v>
      </c>
      <c r="B643">
        <v>9</v>
      </c>
      <c r="C643" t="s">
        <v>15</v>
      </c>
      <c r="D643" s="1">
        <v>45565</v>
      </c>
      <c r="E643">
        <v>634.29999999999995</v>
      </c>
      <c r="F643">
        <v>30</v>
      </c>
      <c r="G643">
        <v>19.28</v>
      </c>
      <c r="H643">
        <v>81</v>
      </c>
      <c r="I643" t="s">
        <v>25</v>
      </c>
      <c r="J643">
        <v>2024</v>
      </c>
      <c r="K643">
        <f t="shared" si="20"/>
        <v>10.719999999999999</v>
      </c>
      <c r="L643" t="str">
        <f t="shared" si="21"/>
        <v>Banca Tirrena|9|Prestiti</v>
      </c>
    </row>
    <row r="644" spans="1:12" x14ac:dyDescent="0.25">
      <c r="A644" t="s">
        <v>24</v>
      </c>
      <c r="B644">
        <v>9</v>
      </c>
      <c r="C644" t="s">
        <v>16</v>
      </c>
      <c r="D644" s="1">
        <v>45565</v>
      </c>
      <c r="E644">
        <v>826</v>
      </c>
      <c r="F644">
        <v>40.65</v>
      </c>
      <c r="G644">
        <v>25.6</v>
      </c>
      <c r="H644">
        <v>102</v>
      </c>
      <c r="I644" t="s">
        <v>25</v>
      </c>
      <c r="J644">
        <v>2024</v>
      </c>
      <c r="K644">
        <f t="shared" si="20"/>
        <v>15.049999999999997</v>
      </c>
      <c r="L644" t="str">
        <f t="shared" si="21"/>
        <v>Banca Tirrena|9|Conti</v>
      </c>
    </row>
    <row r="645" spans="1:12" x14ac:dyDescent="0.25">
      <c r="A645" t="s">
        <v>24</v>
      </c>
      <c r="B645">
        <v>9</v>
      </c>
      <c r="C645" t="s">
        <v>17</v>
      </c>
      <c r="D645" s="1">
        <v>45565</v>
      </c>
      <c r="E645">
        <v>989.9</v>
      </c>
      <c r="F645">
        <v>50.85</v>
      </c>
      <c r="G645">
        <v>31.21</v>
      </c>
      <c r="H645">
        <v>120</v>
      </c>
      <c r="I645" t="s">
        <v>25</v>
      </c>
      <c r="J645">
        <v>2024</v>
      </c>
      <c r="K645">
        <f t="shared" si="20"/>
        <v>19.64</v>
      </c>
      <c r="L645" t="str">
        <f t="shared" si="21"/>
        <v>Banca Tirrena|9|Carte</v>
      </c>
    </row>
    <row r="646" spans="1:12" x14ac:dyDescent="0.25">
      <c r="A646" t="s">
        <v>24</v>
      </c>
      <c r="B646">
        <v>9</v>
      </c>
      <c r="C646" t="s">
        <v>18</v>
      </c>
      <c r="D646" s="1">
        <v>45565</v>
      </c>
      <c r="E646">
        <v>1129.0999999999999</v>
      </c>
      <c r="F646">
        <v>60.33</v>
      </c>
      <c r="G646">
        <v>36.93</v>
      </c>
      <c r="H646">
        <v>127</v>
      </c>
      <c r="I646" t="s">
        <v>25</v>
      </c>
      <c r="J646">
        <v>2024</v>
      </c>
      <c r="K646">
        <f t="shared" si="20"/>
        <v>23.4</v>
      </c>
      <c r="L646" t="str">
        <f t="shared" si="21"/>
        <v>Banca Tirrena|9|Leasing</v>
      </c>
    </row>
    <row r="647" spans="1:12" x14ac:dyDescent="0.25">
      <c r="A647" t="s">
        <v>24</v>
      </c>
      <c r="B647">
        <v>9</v>
      </c>
      <c r="C647" t="s">
        <v>19</v>
      </c>
      <c r="D647" s="1">
        <v>45565</v>
      </c>
      <c r="E647">
        <v>1320.6</v>
      </c>
      <c r="F647">
        <v>73.13</v>
      </c>
      <c r="G647">
        <v>44.45</v>
      </c>
      <c r="H647">
        <v>147</v>
      </c>
      <c r="I647" t="s">
        <v>25</v>
      </c>
      <c r="J647">
        <v>2024</v>
      </c>
      <c r="K647">
        <f t="shared" si="20"/>
        <v>28.679999999999993</v>
      </c>
      <c r="L647" t="str">
        <f t="shared" si="21"/>
        <v>Banca Tirrena|9|Factoring</v>
      </c>
    </row>
    <row r="648" spans="1:12" x14ac:dyDescent="0.25">
      <c r="A648" t="s">
        <v>24</v>
      </c>
      <c r="B648">
        <v>9</v>
      </c>
      <c r="C648" t="s">
        <v>20</v>
      </c>
      <c r="D648" s="1">
        <v>45565</v>
      </c>
      <c r="E648">
        <v>1481</v>
      </c>
      <c r="F648">
        <v>85.1</v>
      </c>
      <c r="G648">
        <v>50.59</v>
      </c>
      <c r="H648">
        <v>175</v>
      </c>
      <c r="I648" t="s">
        <v>25</v>
      </c>
      <c r="J648">
        <v>2024</v>
      </c>
      <c r="K648">
        <f t="shared" si="20"/>
        <v>34.509999999999991</v>
      </c>
      <c r="L648" t="str">
        <f t="shared" si="21"/>
        <v>Banca Tirrena|9|Risparmio</v>
      </c>
    </row>
    <row r="649" spans="1:12" x14ac:dyDescent="0.25">
      <c r="A649" t="s">
        <v>24</v>
      </c>
      <c r="B649">
        <v>9</v>
      </c>
      <c r="C649" t="s">
        <v>21</v>
      </c>
      <c r="D649" s="1">
        <v>45565</v>
      </c>
      <c r="E649">
        <v>1640.7</v>
      </c>
      <c r="F649">
        <v>97.03</v>
      </c>
      <c r="G649">
        <v>57.8</v>
      </c>
      <c r="H649">
        <v>195</v>
      </c>
      <c r="I649" t="s">
        <v>25</v>
      </c>
      <c r="J649">
        <v>2024</v>
      </c>
      <c r="K649">
        <f t="shared" si="20"/>
        <v>39.230000000000004</v>
      </c>
      <c r="L649" t="str">
        <f t="shared" si="21"/>
        <v>Banca Tirrena|9|Assicurazioni</v>
      </c>
    </row>
    <row r="650" spans="1:12" x14ac:dyDescent="0.25">
      <c r="A650" t="s">
        <v>24</v>
      </c>
      <c r="B650">
        <v>10</v>
      </c>
      <c r="C650" t="s">
        <v>13</v>
      </c>
      <c r="D650" s="1">
        <v>45596</v>
      </c>
      <c r="E650">
        <v>470.4</v>
      </c>
      <c r="F650">
        <v>21.32</v>
      </c>
      <c r="G650">
        <v>13.26</v>
      </c>
      <c r="H650">
        <v>73</v>
      </c>
      <c r="I650" t="s">
        <v>25</v>
      </c>
      <c r="J650">
        <v>2024</v>
      </c>
      <c r="K650">
        <f t="shared" si="20"/>
        <v>8.06</v>
      </c>
      <c r="L650" t="str">
        <f t="shared" si="21"/>
        <v>Banca Tirrena|10|Mutui</v>
      </c>
    </row>
    <row r="651" spans="1:12" x14ac:dyDescent="0.25">
      <c r="A651" t="s">
        <v>24</v>
      </c>
      <c r="B651">
        <v>10</v>
      </c>
      <c r="C651" t="s">
        <v>15</v>
      </c>
      <c r="D651" s="1">
        <v>45596</v>
      </c>
      <c r="E651">
        <v>609.20000000000005</v>
      </c>
      <c r="F651">
        <v>28.67</v>
      </c>
      <c r="G651">
        <v>18.3</v>
      </c>
      <c r="H651">
        <v>75</v>
      </c>
      <c r="I651" t="s">
        <v>25</v>
      </c>
      <c r="J651">
        <v>2024</v>
      </c>
      <c r="K651">
        <f t="shared" si="20"/>
        <v>10.370000000000001</v>
      </c>
      <c r="L651" t="str">
        <f t="shared" si="21"/>
        <v>Banca Tirrena|10|Prestiti</v>
      </c>
    </row>
    <row r="652" spans="1:12" x14ac:dyDescent="0.25">
      <c r="A652" t="s">
        <v>24</v>
      </c>
      <c r="B652">
        <v>10</v>
      </c>
      <c r="C652" t="s">
        <v>16</v>
      </c>
      <c r="D652" s="1">
        <v>45596</v>
      </c>
      <c r="E652">
        <v>836.8</v>
      </c>
      <c r="F652">
        <v>41.28</v>
      </c>
      <c r="G652">
        <v>25.74</v>
      </c>
      <c r="H652">
        <v>111</v>
      </c>
      <c r="I652" t="s">
        <v>25</v>
      </c>
      <c r="J652">
        <v>2024</v>
      </c>
      <c r="K652">
        <f t="shared" si="20"/>
        <v>15.540000000000003</v>
      </c>
      <c r="L652" t="str">
        <f t="shared" si="21"/>
        <v>Banca Tirrena|10|Conti</v>
      </c>
    </row>
    <row r="653" spans="1:12" x14ac:dyDescent="0.25">
      <c r="A653" t="s">
        <v>24</v>
      </c>
      <c r="B653">
        <v>10</v>
      </c>
      <c r="C653" t="s">
        <v>17</v>
      </c>
      <c r="D653" s="1">
        <v>45596</v>
      </c>
      <c r="E653">
        <v>958</v>
      </c>
      <c r="F653">
        <v>49.29</v>
      </c>
      <c r="G653">
        <v>29.88</v>
      </c>
      <c r="H653">
        <v>117</v>
      </c>
      <c r="I653" t="s">
        <v>25</v>
      </c>
      <c r="J653">
        <v>2024</v>
      </c>
      <c r="K653">
        <f t="shared" si="20"/>
        <v>19.41</v>
      </c>
      <c r="L653" t="str">
        <f t="shared" si="21"/>
        <v>Banca Tirrena|10|Carte</v>
      </c>
    </row>
    <row r="654" spans="1:12" x14ac:dyDescent="0.25">
      <c r="A654" t="s">
        <v>24</v>
      </c>
      <c r="B654">
        <v>10</v>
      </c>
      <c r="C654" t="s">
        <v>18</v>
      </c>
      <c r="D654" s="1">
        <v>45596</v>
      </c>
      <c r="E654">
        <v>1185.5</v>
      </c>
      <c r="F654">
        <v>63.15</v>
      </c>
      <c r="G654">
        <v>38.229999999999997</v>
      </c>
      <c r="H654">
        <v>119</v>
      </c>
      <c r="I654" t="s">
        <v>25</v>
      </c>
      <c r="J654">
        <v>2024</v>
      </c>
      <c r="K654">
        <f t="shared" si="20"/>
        <v>24.92</v>
      </c>
      <c r="L654" t="str">
        <f t="shared" si="21"/>
        <v>Banca Tirrena|10|Leasing</v>
      </c>
    </row>
    <row r="655" spans="1:12" x14ac:dyDescent="0.25">
      <c r="A655" t="s">
        <v>24</v>
      </c>
      <c r="B655">
        <v>10</v>
      </c>
      <c r="C655" t="s">
        <v>19</v>
      </c>
      <c r="D655" s="1">
        <v>45596</v>
      </c>
      <c r="E655">
        <v>1339.3</v>
      </c>
      <c r="F655">
        <v>74.599999999999994</v>
      </c>
      <c r="G655">
        <v>45.14</v>
      </c>
      <c r="H655">
        <v>150</v>
      </c>
      <c r="I655" t="s">
        <v>25</v>
      </c>
      <c r="J655">
        <v>2024</v>
      </c>
      <c r="K655">
        <f t="shared" si="20"/>
        <v>29.459999999999994</v>
      </c>
      <c r="L655" t="str">
        <f t="shared" si="21"/>
        <v>Banca Tirrena|10|Factoring</v>
      </c>
    </row>
    <row r="656" spans="1:12" x14ac:dyDescent="0.25">
      <c r="A656" t="s">
        <v>24</v>
      </c>
      <c r="B656">
        <v>10</v>
      </c>
      <c r="C656" t="s">
        <v>20</v>
      </c>
      <c r="D656" s="1">
        <v>45596</v>
      </c>
      <c r="E656">
        <v>1499.9</v>
      </c>
      <c r="F656">
        <v>86.49</v>
      </c>
      <c r="G656">
        <v>51.54</v>
      </c>
      <c r="H656">
        <v>145</v>
      </c>
      <c r="I656" t="s">
        <v>25</v>
      </c>
      <c r="J656">
        <v>2024</v>
      </c>
      <c r="K656">
        <f t="shared" si="20"/>
        <v>34.949999999999996</v>
      </c>
      <c r="L656" t="str">
        <f t="shared" si="21"/>
        <v>Banca Tirrena|10|Risparmio</v>
      </c>
    </row>
    <row r="657" spans="1:12" x14ac:dyDescent="0.25">
      <c r="A657" t="s">
        <v>24</v>
      </c>
      <c r="B657">
        <v>10</v>
      </c>
      <c r="C657" t="s">
        <v>21</v>
      </c>
      <c r="D657" s="1">
        <v>45596</v>
      </c>
      <c r="E657">
        <v>1691.5</v>
      </c>
      <c r="F657">
        <v>100.2</v>
      </c>
      <c r="G657">
        <v>59.24</v>
      </c>
      <c r="H657">
        <v>175</v>
      </c>
      <c r="I657" t="s">
        <v>25</v>
      </c>
      <c r="J657">
        <v>2024</v>
      </c>
      <c r="K657">
        <f t="shared" si="20"/>
        <v>40.96</v>
      </c>
      <c r="L657" t="str">
        <f t="shared" si="21"/>
        <v>Banca Tirrena|10|Assicurazioni</v>
      </c>
    </row>
    <row r="658" spans="1:12" x14ac:dyDescent="0.25">
      <c r="A658" t="s">
        <v>24</v>
      </c>
      <c r="B658">
        <v>11</v>
      </c>
      <c r="C658" t="s">
        <v>13</v>
      </c>
      <c r="D658" s="1">
        <v>45626</v>
      </c>
      <c r="E658">
        <v>448</v>
      </c>
      <c r="F658">
        <v>21.03</v>
      </c>
      <c r="G658">
        <v>13</v>
      </c>
      <c r="H658">
        <v>70</v>
      </c>
      <c r="I658" t="s">
        <v>25</v>
      </c>
      <c r="J658">
        <v>2024</v>
      </c>
      <c r="K658">
        <f t="shared" si="20"/>
        <v>8.0300000000000011</v>
      </c>
      <c r="L658" t="str">
        <f t="shared" si="21"/>
        <v>Banca Tirrena|11|Mutui</v>
      </c>
    </row>
    <row r="659" spans="1:12" x14ac:dyDescent="0.25">
      <c r="A659" t="s">
        <v>24</v>
      </c>
      <c r="B659">
        <v>11</v>
      </c>
      <c r="C659" t="s">
        <v>15</v>
      </c>
      <c r="D659" s="1">
        <v>45626</v>
      </c>
      <c r="E659">
        <v>638.6</v>
      </c>
      <c r="F659">
        <v>30.06</v>
      </c>
      <c r="G659">
        <v>18.84</v>
      </c>
      <c r="H659">
        <v>92</v>
      </c>
      <c r="I659" t="s">
        <v>25</v>
      </c>
      <c r="J659">
        <v>2024</v>
      </c>
      <c r="K659">
        <f t="shared" si="20"/>
        <v>11.219999999999999</v>
      </c>
      <c r="L659" t="str">
        <f t="shared" si="21"/>
        <v>Banca Tirrena|11|Prestiti</v>
      </c>
    </row>
    <row r="660" spans="1:12" x14ac:dyDescent="0.25">
      <c r="A660" t="s">
        <v>24</v>
      </c>
      <c r="B660">
        <v>11</v>
      </c>
      <c r="C660" t="s">
        <v>16</v>
      </c>
      <c r="D660" s="1">
        <v>45626</v>
      </c>
      <c r="E660">
        <v>847.8</v>
      </c>
      <c r="F660">
        <v>41.58</v>
      </c>
      <c r="G660">
        <v>26.15</v>
      </c>
      <c r="H660">
        <v>76</v>
      </c>
      <c r="I660" t="s">
        <v>25</v>
      </c>
      <c r="J660">
        <v>2024</v>
      </c>
      <c r="K660">
        <f t="shared" si="20"/>
        <v>15.43</v>
      </c>
      <c r="L660" t="str">
        <f t="shared" si="21"/>
        <v>Banca Tirrena|11|Conti</v>
      </c>
    </row>
    <row r="661" spans="1:12" x14ac:dyDescent="0.25">
      <c r="A661" t="s">
        <v>24</v>
      </c>
      <c r="B661">
        <v>11</v>
      </c>
      <c r="C661" t="s">
        <v>17</v>
      </c>
      <c r="D661" s="1">
        <v>45626</v>
      </c>
      <c r="E661">
        <v>966.4</v>
      </c>
      <c r="F661">
        <v>50.14</v>
      </c>
      <c r="G661">
        <v>30.72</v>
      </c>
      <c r="H661">
        <v>97</v>
      </c>
      <c r="I661" t="s">
        <v>25</v>
      </c>
      <c r="J661">
        <v>2024</v>
      </c>
      <c r="K661">
        <f t="shared" si="20"/>
        <v>19.420000000000002</v>
      </c>
      <c r="L661" t="str">
        <f t="shared" si="21"/>
        <v>Banca Tirrena|11|Carte</v>
      </c>
    </row>
    <row r="662" spans="1:12" x14ac:dyDescent="0.25">
      <c r="A662" t="s">
        <v>24</v>
      </c>
      <c r="B662">
        <v>11</v>
      </c>
      <c r="C662" t="s">
        <v>18</v>
      </c>
      <c r="D662" s="1">
        <v>45626</v>
      </c>
      <c r="E662">
        <v>1175.8</v>
      </c>
      <c r="F662">
        <v>62.41</v>
      </c>
      <c r="G662">
        <v>38.590000000000003</v>
      </c>
      <c r="H662">
        <v>108</v>
      </c>
      <c r="I662" t="s">
        <v>25</v>
      </c>
      <c r="J662">
        <v>2024</v>
      </c>
      <c r="K662">
        <f t="shared" si="20"/>
        <v>23.819999999999993</v>
      </c>
      <c r="L662" t="str">
        <f t="shared" si="21"/>
        <v>Banca Tirrena|11|Leasing</v>
      </c>
    </row>
    <row r="663" spans="1:12" x14ac:dyDescent="0.25">
      <c r="A663" t="s">
        <v>24</v>
      </c>
      <c r="B663">
        <v>11</v>
      </c>
      <c r="C663" t="s">
        <v>19</v>
      </c>
      <c r="D663" s="1">
        <v>45626</v>
      </c>
      <c r="E663">
        <v>1366.6</v>
      </c>
      <c r="F663">
        <v>75.900000000000006</v>
      </c>
      <c r="G663">
        <v>45.61</v>
      </c>
      <c r="H663">
        <v>134</v>
      </c>
      <c r="I663" t="s">
        <v>25</v>
      </c>
      <c r="J663">
        <v>2024</v>
      </c>
      <c r="K663">
        <f t="shared" si="20"/>
        <v>30.290000000000006</v>
      </c>
      <c r="L663" t="str">
        <f t="shared" si="21"/>
        <v>Banca Tirrena|11|Factoring</v>
      </c>
    </row>
    <row r="664" spans="1:12" x14ac:dyDescent="0.25">
      <c r="A664" t="s">
        <v>24</v>
      </c>
      <c r="B664">
        <v>11</v>
      </c>
      <c r="C664" t="s">
        <v>20</v>
      </c>
      <c r="D664" s="1">
        <v>45626</v>
      </c>
      <c r="E664">
        <v>1514.7</v>
      </c>
      <c r="F664">
        <v>86.74</v>
      </c>
      <c r="G664">
        <v>52.2</v>
      </c>
      <c r="H664">
        <v>159</v>
      </c>
      <c r="I664" t="s">
        <v>25</v>
      </c>
      <c r="J664">
        <v>2024</v>
      </c>
      <c r="K664">
        <f t="shared" si="20"/>
        <v>34.539999999999992</v>
      </c>
      <c r="L664" t="str">
        <f t="shared" si="21"/>
        <v>Banca Tirrena|11|Risparmio</v>
      </c>
    </row>
    <row r="665" spans="1:12" x14ac:dyDescent="0.25">
      <c r="A665" t="s">
        <v>24</v>
      </c>
      <c r="B665">
        <v>11</v>
      </c>
      <c r="C665" t="s">
        <v>21</v>
      </c>
      <c r="D665" s="1">
        <v>45626</v>
      </c>
      <c r="E665">
        <v>1687</v>
      </c>
      <c r="F665">
        <v>100.4</v>
      </c>
      <c r="G665">
        <v>59.66</v>
      </c>
      <c r="H665">
        <v>191</v>
      </c>
      <c r="I665" t="s">
        <v>25</v>
      </c>
      <c r="J665">
        <v>2024</v>
      </c>
      <c r="K665">
        <f t="shared" si="20"/>
        <v>40.740000000000009</v>
      </c>
      <c r="L665" t="str">
        <f t="shared" si="21"/>
        <v>Banca Tirrena|11|Assicurazioni</v>
      </c>
    </row>
    <row r="666" spans="1:12" x14ac:dyDescent="0.25">
      <c r="A666" t="s">
        <v>24</v>
      </c>
      <c r="B666">
        <v>12</v>
      </c>
      <c r="C666" t="s">
        <v>13</v>
      </c>
      <c r="D666" s="1">
        <v>45657</v>
      </c>
      <c r="E666">
        <v>478.2</v>
      </c>
      <c r="F666">
        <v>22.14</v>
      </c>
      <c r="G666">
        <v>13.49</v>
      </c>
      <c r="H666">
        <v>69</v>
      </c>
      <c r="I666" t="s">
        <v>25</v>
      </c>
      <c r="J666">
        <v>2024</v>
      </c>
      <c r="K666">
        <f t="shared" si="20"/>
        <v>8.65</v>
      </c>
      <c r="L666" t="str">
        <f t="shared" si="21"/>
        <v>Banca Tirrena|12|Mutui</v>
      </c>
    </row>
    <row r="667" spans="1:12" x14ac:dyDescent="0.25">
      <c r="A667" t="s">
        <v>24</v>
      </c>
      <c r="B667">
        <v>12</v>
      </c>
      <c r="C667" t="s">
        <v>15</v>
      </c>
      <c r="D667" s="1">
        <v>45657</v>
      </c>
      <c r="E667">
        <v>648.4</v>
      </c>
      <c r="F667">
        <v>30.75</v>
      </c>
      <c r="G667">
        <v>19.309999999999999</v>
      </c>
      <c r="H667">
        <v>62</v>
      </c>
      <c r="I667" t="s">
        <v>25</v>
      </c>
      <c r="J667">
        <v>2024</v>
      </c>
      <c r="K667">
        <f t="shared" si="20"/>
        <v>11.440000000000001</v>
      </c>
      <c r="L667" t="str">
        <f t="shared" si="21"/>
        <v>Banca Tirrena|12|Prestiti</v>
      </c>
    </row>
    <row r="668" spans="1:12" x14ac:dyDescent="0.25">
      <c r="A668" t="s">
        <v>24</v>
      </c>
      <c r="B668">
        <v>12</v>
      </c>
      <c r="C668" t="s">
        <v>16</v>
      </c>
      <c r="D668" s="1">
        <v>45657</v>
      </c>
      <c r="E668">
        <v>825.7</v>
      </c>
      <c r="F668">
        <v>41.1</v>
      </c>
      <c r="G668">
        <v>25.64</v>
      </c>
      <c r="H668">
        <v>109</v>
      </c>
      <c r="I668" t="s">
        <v>25</v>
      </c>
      <c r="J668">
        <v>2024</v>
      </c>
      <c r="K668">
        <f t="shared" si="20"/>
        <v>15.46</v>
      </c>
      <c r="L668" t="str">
        <f t="shared" si="21"/>
        <v>Banca Tirrena|12|Conti</v>
      </c>
    </row>
    <row r="669" spans="1:12" x14ac:dyDescent="0.25">
      <c r="A669" t="s">
        <v>24</v>
      </c>
      <c r="B669">
        <v>12</v>
      </c>
      <c r="C669" t="s">
        <v>17</v>
      </c>
      <c r="D669" s="1">
        <v>45657</v>
      </c>
      <c r="E669">
        <v>1022</v>
      </c>
      <c r="F669">
        <v>53.02</v>
      </c>
      <c r="G669">
        <v>32.11</v>
      </c>
      <c r="H669">
        <v>122</v>
      </c>
      <c r="I669" t="s">
        <v>25</v>
      </c>
      <c r="J669">
        <v>2024</v>
      </c>
      <c r="K669">
        <f t="shared" si="20"/>
        <v>20.910000000000004</v>
      </c>
      <c r="L669" t="str">
        <f t="shared" si="21"/>
        <v>Banca Tirrena|12|Carte</v>
      </c>
    </row>
    <row r="670" spans="1:12" x14ac:dyDescent="0.25">
      <c r="A670" t="s">
        <v>24</v>
      </c>
      <c r="B670">
        <v>12</v>
      </c>
      <c r="C670" t="s">
        <v>18</v>
      </c>
      <c r="D670" s="1">
        <v>45657</v>
      </c>
      <c r="E670">
        <v>1183.3</v>
      </c>
      <c r="F670">
        <v>63.25</v>
      </c>
      <c r="G670">
        <v>37.92</v>
      </c>
      <c r="H670">
        <v>123</v>
      </c>
      <c r="I670" t="s">
        <v>25</v>
      </c>
      <c r="J670">
        <v>2024</v>
      </c>
      <c r="K670">
        <f t="shared" si="20"/>
        <v>25.33</v>
      </c>
      <c r="L670" t="str">
        <f t="shared" si="21"/>
        <v>Banca Tirrena|12|Leasing</v>
      </c>
    </row>
    <row r="671" spans="1:12" x14ac:dyDescent="0.25">
      <c r="A671" t="s">
        <v>24</v>
      </c>
      <c r="B671">
        <v>12</v>
      </c>
      <c r="C671" t="s">
        <v>19</v>
      </c>
      <c r="D671" s="1">
        <v>45657</v>
      </c>
      <c r="E671">
        <v>1346.1</v>
      </c>
      <c r="F671">
        <v>74.37</v>
      </c>
      <c r="G671">
        <v>44.65</v>
      </c>
      <c r="H671">
        <v>150</v>
      </c>
      <c r="I671" t="s">
        <v>25</v>
      </c>
      <c r="J671">
        <v>2024</v>
      </c>
      <c r="K671">
        <f t="shared" si="20"/>
        <v>29.720000000000006</v>
      </c>
      <c r="L671" t="str">
        <f t="shared" si="21"/>
        <v>Banca Tirrena|12|Factoring</v>
      </c>
    </row>
    <row r="672" spans="1:12" x14ac:dyDescent="0.25">
      <c r="A672" t="s">
        <v>24</v>
      </c>
      <c r="B672">
        <v>12</v>
      </c>
      <c r="C672" t="s">
        <v>20</v>
      </c>
      <c r="D672" s="1">
        <v>45657</v>
      </c>
      <c r="E672">
        <v>1521.5</v>
      </c>
      <c r="F672">
        <v>86.97</v>
      </c>
      <c r="G672">
        <v>52.6</v>
      </c>
      <c r="H672">
        <v>161</v>
      </c>
      <c r="I672" t="s">
        <v>25</v>
      </c>
      <c r="J672">
        <v>2024</v>
      </c>
      <c r="K672">
        <f t="shared" si="20"/>
        <v>34.369999999999997</v>
      </c>
      <c r="L672" t="str">
        <f t="shared" si="21"/>
        <v>Banca Tirrena|12|Risparmio</v>
      </c>
    </row>
    <row r="673" spans="1:12" x14ac:dyDescent="0.25">
      <c r="A673" t="s">
        <v>24</v>
      </c>
      <c r="B673">
        <v>12</v>
      </c>
      <c r="C673" t="s">
        <v>21</v>
      </c>
      <c r="D673" s="1">
        <v>45657</v>
      </c>
      <c r="E673">
        <v>1693.5</v>
      </c>
      <c r="F673">
        <v>100.91</v>
      </c>
      <c r="G673">
        <v>59.57</v>
      </c>
      <c r="H673">
        <v>176</v>
      </c>
      <c r="I673" t="s">
        <v>25</v>
      </c>
      <c r="J673">
        <v>2024</v>
      </c>
      <c r="K673">
        <f t="shared" si="20"/>
        <v>41.339999999999996</v>
      </c>
      <c r="L673" t="str">
        <f t="shared" si="21"/>
        <v>Banca Tirrena|12|Assicurazioni</v>
      </c>
    </row>
    <row r="674" spans="1:12" x14ac:dyDescent="0.25">
      <c r="A674" t="s">
        <v>24</v>
      </c>
      <c r="B674">
        <v>13</v>
      </c>
      <c r="C674" t="s">
        <v>13</v>
      </c>
      <c r="D674" s="1">
        <v>45688</v>
      </c>
      <c r="E674">
        <v>497.8</v>
      </c>
      <c r="F674">
        <v>22.64</v>
      </c>
      <c r="G674">
        <v>14.37</v>
      </c>
      <c r="H674">
        <v>72</v>
      </c>
      <c r="I674" t="s">
        <v>25</v>
      </c>
      <c r="J674">
        <v>2025</v>
      </c>
      <c r="K674">
        <f t="shared" si="20"/>
        <v>8.2700000000000014</v>
      </c>
      <c r="L674" t="str">
        <f t="shared" si="21"/>
        <v>Banca Tirrena|13|Mutui</v>
      </c>
    </row>
    <row r="675" spans="1:12" x14ac:dyDescent="0.25">
      <c r="A675" t="s">
        <v>24</v>
      </c>
      <c r="B675">
        <v>13</v>
      </c>
      <c r="C675" t="s">
        <v>15</v>
      </c>
      <c r="D675" s="1">
        <v>45688</v>
      </c>
      <c r="E675">
        <v>663.1</v>
      </c>
      <c r="F675">
        <v>31.7</v>
      </c>
      <c r="G675">
        <v>20.079999999999998</v>
      </c>
      <c r="H675">
        <v>83</v>
      </c>
      <c r="I675" t="s">
        <v>25</v>
      </c>
      <c r="J675">
        <v>2025</v>
      </c>
      <c r="K675">
        <f t="shared" si="20"/>
        <v>11.620000000000001</v>
      </c>
      <c r="L675" t="str">
        <f t="shared" si="21"/>
        <v>Banca Tirrena|13|Prestiti</v>
      </c>
    </row>
    <row r="676" spans="1:12" x14ac:dyDescent="0.25">
      <c r="A676" t="s">
        <v>24</v>
      </c>
      <c r="B676">
        <v>13</v>
      </c>
      <c r="C676" t="s">
        <v>16</v>
      </c>
      <c r="D676" s="1">
        <v>45688</v>
      </c>
      <c r="E676">
        <v>855.8</v>
      </c>
      <c r="F676">
        <v>42.37</v>
      </c>
      <c r="G676">
        <v>26.49</v>
      </c>
      <c r="H676">
        <v>86</v>
      </c>
      <c r="I676" t="s">
        <v>25</v>
      </c>
      <c r="J676">
        <v>2025</v>
      </c>
      <c r="K676">
        <f t="shared" si="20"/>
        <v>15.879999999999999</v>
      </c>
      <c r="L676" t="str">
        <f t="shared" si="21"/>
        <v>Banca Tirrena|13|Conti</v>
      </c>
    </row>
    <row r="677" spans="1:12" x14ac:dyDescent="0.25">
      <c r="A677" t="s">
        <v>24</v>
      </c>
      <c r="B677">
        <v>13</v>
      </c>
      <c r="C677" t="s">
        <v>17</v>
      </c>
      <c r="D677" s="1">
        <v>45688</v>
      </c>
      <c r="E677">
        <v>1001.7</v>
      </c>
      <c r="F677">
        <v>51.66</v>
      </c>
      <c r="G677">
        <v>31.73</v>
      </c>
      <c r="H677">
        <v>102</v>
      </c>
      <c r="I677" t="s">
        <v>25</v>
      </c>
      <c r="J677">
        <v>2025</v>
      </c>
      <c r="K677">
        <f t="shared" si="20"/>
        <v>19.929999999999996</v>
      </c>
      <c r="L677" t="str">
        <f t="shared" si="21"/>
        <v>Banca Tirrena|13|Carte</v>
      </c>
    </row>
    <row r="678" spans="1:12" x14ac:dyDescent="0.25">
      <c r="A678" t="s">
        <v>24</v>
      </c>
      <c r="B678">
        <v>13</v>
      </c>
      <c r="C678" t="s">
        <v>18</v>
      </c>
      <c r="D678" s="1">
        <v>45688</v>
      </c>
      <c r="E678">
        <v>1158.4000000000001</v>
      </c>
      <c r="F678">
        <v>61.44</v>
      </c>
      <c r="G678">
        <v>37.909999999999997</v>
      </c>
      <c r="H678">
        <v>135</v>
      </c>
      <c r="I678" t="s">
        <v>25</v>
      </c>
      <c r="J678">
        <v>2025</v>
      </c>
      <c r="K678">
        <f t="shared" si="20"/>
        <v>23.53</v>
      </c>
      <c r="L678" t="str">
        <f t="shared" si="21"/>
        <v>Banca Tirrena|13|Leasing</v>
      </c>
    </row>
    <row r="679" spans="1:12" x14ac:dyDescent="0.25">
      <c r="A679" t="s">
        <v>24</v>
      </c>
      <c r="B679">
        <v>13</v>
      </c>
      <c r="C679" t="s">
        <v>19</v>
      </c>
      <c r="D679" s="1">
        <v>45688</v>
      </c>
      <c r="E679">
        <v>1348.1</v>
      </c>
      <c r="F679">
        <v>74.92</v>
      </c>
      <c r="G679">
        <v>44.8</v>
      </c>
      <c r="H679">
        <v>147</v>
      </c>
      <c r="I679" t="s">
        <v>25</v>
      </c>
      <c r="J679">
        <v>2025</v>
      </c>
      <c r="K679">
        <f t="shared" si="20"/>
        <v>30.120000000000005</v>
      </c>
      <c r="L679" t="str">
        <f t="shared" si="21"/>
        <v>Banca Tirrena|13|Factoring</v>
      </c>
    </row>
    <row r="680" spans="1:12" x14ac:dyDescent="0.25">
      <c r="A680" t="s">
        <v>24</v>
      </c>
      <c r="B680">
        <v>13</v>
      </c>
      <c r="C680" t="s">
        <v>20</v>
      </c>
      <c r="D680" s="1">
        <v>45688</v>
      </c>
      <c r="E680">
        <v>1520.9</v>
      </c>
      <c r="F680">
        <v>87.3</v>
      </c>
      <c r="G680">
        <v>52.62</v>
      </c>
      <c r="H680">
        <v>176</v>
      </c>
      <c r="I680" t="s">
        <v>25</v>
      </c>
      <c r="J680">
        <v>2025</v>
      </c>
      <c r="K680">
        <f t="shared" si="20"/>
        <v>34.68</v>
      </c>
      <c r="L680" t="str">
        <f t="shared" si="21"/>
        <v>Banca Tirrena|13|Risparmio</v>
      </c>
    </row>
    <row r="681" spans="1:12" x14ac:dyDescent="0.25">
      <c r="A681" t="s">
        <v>24</v>
      </c>
      <c r="B681">
        <v>13</v>
      </c>
      <c r="C681" t="s">
        <v>21</v>
      </c>
      <c r="D681" s="1">
        <v>45688</v>
      </c>
      <c r="E681">
        <v>1693.3</v>
      </c>
      <c r="F681">
        <v>100.01</v>
      </c>
      <c r="G681">
        <v>59.57</v>
      </c>
      <c r="H681">
        <v>185</v>
      </c>
      <c r="I681" t="s">
        <v>25</v>
      </c>
      <c r="J681">
        <v>2025</v>
      </c>
      <c r="K681">
        <f t="shared" si="20"/>
        <v>40.440000000000005</v>
      </c>
      <c r="L681" t="str">
        <f t="shared" si="21"/>
        <v>Banca Tirrena|13|Assicurazioni</v>
      </c>
    </row>
    <row r="682" spans="1:12" x14ac:dyDescent="0.25">
      <c r="A682" t="s">
        <v>24</v>
      </c>
      <c r="B682">
        <v>14</v>
      </c>
      <c r="C682" t="s">
        <v>13</v>
      </c>
      <c r="D682" s="1">
        <v>45716</v>
      </c>
      <c r="E682">
        <v>471.7</v>
      </c>
      <c r="F682">
        <v>21.71</v>
      </c>
      <c r="G682">
        <v>13.81</v>
      </c>
      <c r="H682">
        <v>72</v>
      </c>
      <c r="I682" t="s">
        <v>25</v>
      </c>
      <c r="J682">
        <v>2025</v>
      </c>
      <c r="K682">
        <f t="shared" si="20"/>
        <v>7.9</v>
      </c>
      <c r="L682" t="str">
        <f t="shared" si="21"/>
        <v>Banca Tirrena|14|Mutui</v>
      </c>
    </row>
    <row r="683" spans="1:12" x14ac:dyDescent="0.25">
      <c r="A683" t="s">
        <v>24</v>
      </c>
      <c r="B683">
        <v>14</v>
      </c>
      <c r="C683" t="s">
        <v>15</v>
      </c>
      <c r="D683" s="1">
        <v>45716</v>
      </c>
      <c r="E683">
        <v>661.7</v>
      </c>
      <c r="F683">
        <v>31.53</v>
      </c>
      <c r="G683">
        <v>19.760000000000002</v>
      </c>
      <c r="H683">
        <v>65</v>
      </c>
      <c r="I683" t="s">
        <v>25</v>
      </c>
      <c r="J683">
        <v>2025</v>
      </c>
      <c r="K683">
        <f t="shared" si="20"/>
        <v>11.77</v>
      </c>
      <c r="L683" t="str">
        <f t="shared" si="21"/>
        <v>Banca Tirrena|14|Prestiti</v>
      </c>
    </row>
    <row r="684" spans="1:12" x14ac:dyDescent="0.25">
      <c r="A684" t="s">
        <v>24</v>
      </c>
      <c r="B684">
        <v>14</v>
      </c>
      <c r="C684" t="s">
        <v>16</v>
      </c>
      <c r="D684" s="1">
        <v>45716</v>
      </c>
      <c r="E684">
        <v>833.1</v>
      </c>
      <c r="F684">
        <v>41.13</v>
      </c>
      <c r="G684">
        <v>25.99</v>
      </c>
      <c r="H684">
        <v>94</v>
      </c>
      <c r="I684" t="s">
        <v>25</v>
      </c>
      <c r="J684">
        <v>2025</v>
      </c>
      <c r="K684">
        <f t="shared" si="20"/>
        <v>15.140000000000004</v>
      </c>
      <c r="L684" t="str">
        <f t="shared" si="21"/>
        <v>Banca Tirrena|14|Conti</v>
      </c>
    </row>
    <row r="685" spans="1:12" x14ac:dyDescent="0.25">
      <c r="A685" t="s">
        <v>24</v>
      </c>
      <c r="B685">
        <v>14</v>
      </c>
      <c r="C685" t="s">
        <v>17</v>
      </c>
      <c r="D685" s="1">
        <v>45716</v>
      </c>
      <c r="E685">
        <v>998.6</v>
      </c>
      <c r="F685">
        <v>51.32</v>
      </c>
      <c r="G685">
        <v>31.68</v>
      </c>
      <c r="H685">
        <v>111</v>
      </c>
      <c r="I685" t="s">
        <v>25</v>
      </c>
      <c r="J685">
        <v>2025</v>
      </c>
      <c r="K685">
        <f t="shared" si="20"/>
        <v>19.64</v>
      </c>
      <c r="L685" t="str">
        <f t="shared" si="21"/>
        <v>Banca Tirrena|14|Carte</v>
      </c>
    </row>
    <row r="686" spans="1:12" x14ac:dyDescent="0.25">
      <c r="A686" t="s">
        <v>24</v>
      </c>
      <c r="B686">
        <v>14</v>
      </c>
      <c r="C686" t="s">
        <v>18</v>
      </c>
      <c r="D686" s="1">
        <v>45716</v>
      </c>
      <c r="E686">
        <v>1173.5</v>
      </c>
      <c r="F686">
        <v>62.41</v>
      </c>
      <c r="G686">
        <v>37.82</v>
      </c>
      <c r="H686">
        <v>125</v>
      </c>
      <c r="I686" t="s">
        <v>25</v>
      </c>
      <c r="J686">
        <v>2025</v>
      </c>
      <c r="K686">
        <f t="shared" si="20"/>
        <v>24.589999999999996</v>
      </c>
      <c r="L686" t="str">
        <f t="shared" si="21"/>
        <v>Banca Tirrena|14|Leasing</v>
      </c>
    </row>
    <row r="687" spans="1:12" x14ac:dyDescent="0.25">
      <c r="A687" t="s">
        <v>24</v>
      </c>
      <c r="B687">
        <v>14</v>
      </c>
      <c r="C687" t="s">
        <v>19</v>
      </c>
      <c r="D687" s="1">
        <v>45716</v>
      </c>
      <c r="E687">
        <v>1370.6</v>
      </c>
      <c r="F687">
        <v>75.92</v>
      </c>
      <c r="G687">
        <v>46.14</v>
      </c>
      <c r="H687">
        <v>133</v>
      </c>
      <c r="I687" t="s">
        <v>25</v>
      </c>
      <c r="J687">
        <v>2025</v>
      </c>
      <c r="K687">
        <f t="shared" si="20"/>
        <v>29.78</v>
      </c>
      <c r="L687" t="str">
        <f t="shared" si="21"/>
        <v>Banca Tirrena|14|Factoring</v>
      </c>
    </row>
    <row r="688" spans="1:12" x14ac:dyDescent="0.25">
      <c r="A688" t="s">
        <v>24</v>
      </c>
      <c r="B688">
        <v>14</v>
      </c>
      <c r="C688" t="s">
        <v>20</v>
      </c>
      <c r="D688" s="1">
        <v>45716</v>
      </c>
      <c r="E688">
        <v>1547.3</v>
      </c>
      <c r="F688">
        <v>88.47</v>
      </c>
      <c r="G688">
        <v>53.54</v>
      </c>
      <c r="H688">
        <v>176</v>
      </c>
      <c r="I688" t="s">
        <v>25</v>
      </c>
      <c r="J688">
        <v>2025</v>
      </c>
      <c r="K688">
        <f t="shared" si="20"/>
        <v>34.93</v>
      </c>
      <c r="L688" t="str">
        <f t="shared" si="21"/>
        <v>Banca Tirrena|14|Risparmio</v>
      </c>
    </row>
    <row r="689" spans="1:12" x14ac:dyDescent="0.25">
      <c r="A689" t="s">
        <v>24</v>
      </c>
      <c r="B689">
        <v>14</v>
      </c>
      <c r="C689" t="s">
        <v>21</v>
      </c>
      <c r="D689" s="1">
        <v>45716</v>
      </c>
      <c r="E689">
        <v>1707.9</v>
      </c>
      <c r="F689">
        <v>101.21</v>
      </c>
      <c r="G689">
        <v>59.88</v>
      </c>
      <c r="H689">
        <v>161</v>
      </c>
      <c r="I689" t="s">
        <v>25</v>
      </c>
      <c r="J689">
        <v>2025</v>
      </c>
      <c r="K689">
        <f t="shared" si="20"/>
        <v>41.329999999999991</v>
      </c>
      <c r="L689" t="str">
        <f t="shared" si="21"/>
        <v>Banca Tirrena|14|Assicurazioni</v>
      </c>
    </row>
    <row r="690" spans="1:12" x14ac:dyDescent="0.25">
      <c r="A690" t="s">
        <v>24</v>
      </c>
      <c r="B690">
        <v>15</v>
      </c>
      <c r="C690" t="s">
        <v>13</v>
      </c>
      <c r="D690" s="1">
        <v>45747</v>
      </c>
      <c r="E690">
        <v>475.2</v>
      </c>
      <c r="F690">
        <v>21.59</v>
      </c>
      <c r="G690">
        <v>13.47</v>
      </c>
      <c r="H690">
        <v>47</v>
      </c>
      <c r="I690" t="s">
        <v>25</v>
      </c>
      <c r="J690">
        <v>2025</v>
      </c>
      <c r="K690">
        <f t="shared" si="20"/>
        <v>8.1199999999999992</v>
      </c>
      <c r="L690" t="str">
        <f t="shared" si="21"/>
        <v>Banca Tirrena|15|Mutui</v>
      </c>
    </row>
    <row r="691" spans="1:12" x14ac:dyDescent="0.25">
      <c r="A691" t="s">
        <v>24</v>
      </c>
      <c r="B691">
        <v>15</v>
      </c>
      <c r="C691" t="s">
        <v>15</v>
      </c>
      <c r="D691" s="1">
        <v>45747</v>
      </c>
      <c r="E691">
        <v>632.70000000000005</v>
      </c>
      <c r="F691">
        <v>30.35</v>
      </c>
      <c r="G691">
        <v>18.78</v>
      </c>
      <c r="H691">
        <v>86</v>
      </c>
      <c r="I691" t="s">
        <v>25</v>
      </c>
      <c r="J691">
        <v>2025</v>
      </c>
      <c r="K691">
        <f t="shared" si="20"/>
        <v>11.57</v>
      </c>
      <c r="L691" t="str">
        <f t="shared" si="21"/>
        <v>Banca Tirrena|15|Prestiti</v>
      </c>
    </row>
    <row r="692" spans="1:12" x14ac:dyDescent="0.25">
      <c r="A692" t="s">
        <v>24</v>
      </c>
      <c r="B692">
        <v>15</v>
      </c>
      <c r="C692" t="s">
        <v>16</v>
      </c>
      <c r="D692" s="1">
        <v>45747</v>
      </c>
      <c r="E692">
        <v>845.6</v>
      </c>
      <c r="F692">
        <v>41.82</v>
      </c>
      <c r="G692">
        <v>26.17</v>
      </c>
      <c r="H692">
        <v>98</v>
      </c>
      <c r="I692" t="s">
        <v>25</v>
      </c>
      <c r="J692">
        <v>2025</v>
      </c>
      <c r="K692">
        <f t="shared" si="20"/>
        <v>15.649999999999999</v>
      </c>
      <c r="L692" t="str">
        <f t="shared" si="21"/>
        <v>Banca Tirrena|15|Conti</v>
      </c>
    </row>
    <row r="693" spans="1:12" x14ac:dyDescent="0.25">
      <c r="A693" t="s">
        <v>24</v>
      </c>
      <c r="B693">
        <v>15</v>
      </c>
      <c r="C693" t="s">
        <v>17</v>
      </c>
      <c r="D693" s="1">
        <v>45747</v>
      </c>
      <c r="E693">
        <v>1004.2</v>
      </c>
      <c r="F693">
        <v>51.43</v>
      </c>
      <c r="G693">
        <v>31.27</v>
      </c>
      <c r="H693">
        <v>102</v>
      </c>
      <c r="I693" t="s">
        <v>25</v>
      </c>
      <c r="J693">
        <v>2025</v>
      </c>
      <c r="K693">
        <f t="shared" si="20"/>
        <v>20.16</v>
      </c>
      <c r="L693" t="str">
        <f t="shared" si="21"/>
        <v>Banca Tirrena|15|Carte</v>
      </c>
    </row>
    <row r="694" spans="1:12" x14ac:dyDescent="0.25">
      <c r="A694" t="s">
        <v>24</v>
      </c>
      <c r="B694">
        <v>15</v>
      </c>
      <c r="C694" t="s">
        <v>18</v>
      </c>
      <c r="D694" s="1">
        <v>45747</v>
      </c>
      <c r="E694">
        <v>1196.2</v>
      </c>
      <c r="F694">
        <v>63.92</v>
      </c>
      <c r="G694">
        <v>38.619999999999997</v>
      </c>
      <c r="H694">
        <v>136</v>
      </c>
      <c r="I694" t="s">
        <v>25</v>
      </c>
      <c r="J694">
        <v>2025</v>
      </c>
      <c r="K694">
        <f t="shared" si="20"/>
        <v>25.300000000000004</v>
      </c>
      <c r="L694" t="str">
        <f t="shared" si="21"/>
        <v>Banca Tirrena|15|Leasing</v>
      </c>
    </row>
    <row r="695" spans="1:12" x14ac:dyDescent="0.25">
      <c r="A695" t="s">
        <v>24</v>
      </c>
      <c r="B695">
        <v>15</v>
      </c>
      <c r="C695" t="s">
        <v>19</v>
      </c>
      <c r="D695" s="1">
        <v>45747</v>
      </c>
      <c r="E695">
        <v>1399.2</v>
      </c>
      <c r="F695">
        <v>77.33</v>
      </c>
      <c r="G695">
        <v>46.27</v>
      </c>
      <c r="H695">
        <v>138</v>
      </c>
      <c r="I695" t="s">
        <v>25</v>
      </c>
      <c r="J695">
        <v>2025</v>
      </c>
      <c r="K695">
        <f t="shared" si="20"/>
        <v>31.059999999999995</v>
      </c>
      <c r="L695" t="str">
        <f t="shared" si="21"/>
        <v>Banca Tirrena|15|Factoring</v>
      </c>
    </row>
    <row r="696" spans="1:12" x14ac:dyDescent="0.25">
      <c r="A696" t="s">
        <v>24</v>
      </c>
      <c r="B696">
        <v>15</v>
      </c>
      <c r="C696" t="s">
        <v>20</v>
      </c>
      <c r="D696" s="1">
        <v>45747</v>
      </c>
      <c r="E696">
        <v>1536.8</v>
      </c>
      <c r="F696">
        <v>87.89</v>
      </c>
      <c r="G696">
        <v>52.83</v>
      </c>
      <c r="H696">
        <v>143</v>
      </c>
      <c r="I696" t="s">
        <v>25</v>
      </c>
      <c r="J696">
        <v>2025</v>
      </c>
      <c r="K696">
        <f t="shared" si="20"/>
        <v>35.06</v>
      </c>
      <c r="L696" t="str">
        <f t="shared" si="21"/>
        <v>Banca Tirrena|15|Risparmio</v>
      </c>
    </row>
    <row r="697" spans="1:12" x14ac:dyDescent="0.25">
      <c r="A697" t="s">
        <v>24</v>
      </c>
      <c r="B697">
        <v>15</v>
      </c>
      <c r="C697" t="s">
        <v>21</v>
      </c>
      <c r="D697" s="1">
        <v>45747</v>
      </c>
      <c r="E697">
        <v>1718.2</v>
      </c>
      <c r="F697">
        <v>101.42</v>
      </c>
      <c r="G697">
        <v>60.29</v>
      </c>
      <c r="H697">
        <v>173</v>
      </c>
      <c r="I697" t="s">
        <v>25</v>
      </c>
      <c r="J697">
        <v>2025</v>
      </c>
      <c r="K697">
        <f t="shared" si="20"/>
        <v>41.13</v>
      </c>
      <c r="L697" t="str">
        <f t="shared" si="21"/>
        <v>Banca Tirrena|15|Assicurazioni</v>
      </c>
    </row>
    <row r="698" spans="1:12" x14ac:dyDescent="0.25">
      <c r="A698" t="s">
        <v>24</v>
      </c>
      <c r="B698">
        <v>16</v>
      </c>
      <c r="C698" t="s">
        <v>13</v>
      </c>
      <c r="D698" s="1">
        <v>45777</v>
      </c>
      <c r="E698">
        <v>473.2</v>
      </c>
      <c r="F698">
        <v>21.4</v>
      </c>
      <c r="G698">
        <v>13.48</v>
      </c>
      <c r="H698">
        <v>70</v>
      </c>
      <c r="I698" t="s">
        <v>25</v>
      </c>
      <c r="J698">
        <v>2025</v>
      </c>
      <c r="K698">
        <f t="shared" si="20"/>
        <v>7.9199999999999982</v>
      </c>
      <c r="L698" t="str">
        <f t="shared" si="21"/>
        <v>Banca Tirrena|16|Mutui</v>
      </c>
    </row>
    <row r="699" spans="1:12" x14ac:dyDescent="0.25">
      <c r="A699" t="s">
        <v>24</v>
      </c>
      <c r="B699">
        <v>16</v>
      </c>
      <c r="C699" t="s">
        <v>15</v>
      </c>
      <c r="D699" s="1">
        <v>45777</v>
      </c>
      <c r="E699">
        <v>684.6</v>
      </c>
      <c r="F699">
        <v>32.65</v>
      </c>
      <c r="G699">
        <v>20.2</v>
      </c>
      <c r="H699">
        <v>87</v>
      </c>
      <c r="I699" t="s">
        <v>25</v>
      </c>
      <c r="J699">
        <v>2025</v>
      </c>
      <c r="K699">
        <f t="shared" si="20"/>
        <v>12.45</v>
      </c>
      <c r="L699" t="str">
        <f t="shared" si="21"/>
        <v>Banca Tirrena|16|Prestiti</v>
      </c>
    </row>
    <row r="700" spans="1:12" x14ac:dyDescent="0.25">
      <c r="A700" t="s">
        <v>24</v>
      </c>
      <c r="B700">
        <v>16</v>
      </c>
      <c r="C700" t="s">
        <v>16</v>
      </c>
      <c r="D700" s="1">
        <v>45777</v>
      </c>
      <c r="E700">
        <v>842</v>
      </c>
      <c r="F700">
        <v>41.55</v>
      </c>
      <c r="G700">
        <v>26.08</v>
      </c>
      <c r="H700">
        <v>104</v>
      </c>
      <c r="I700" t="s">
        <v>25</v>
      </c>
      <c r="J700">
        <v>2025</v>
      </c>
      <c r="K700">
        <f t="shared" si="20"/>
        <v>15.469999999999999</v>
      </c>
      <c r="L700" t="str">
        <f t="shared" si="21"/>
        <v>Banca Tirrena|16|Conti</v>
      </c>
    </row>
    <row r="701" spans="1:12" x14ac:dyDescent="0.25">
      <c r="A701" t="s">
        <v>24</v>
      </c>
      <c r="B701">
        <v>16</v>
      </c>
      <c r="C701" t="s">
        <v>17</v>
      </c>
      <c r="D701" s="1">
        <v>45777</v>
      </c>
      <c r="E701">
        <v>1006.3</v>
      </c>
      <c r="F701">
        <v>52.19</v>
      </c>
      <c r="G701">
        <v>31.61</v>
      </c>
      <c r="H701">
        <v>105</v>
      </c>
      <c r="I701" t="s">
        <v>25</v>
      </c>
      <c r="J701">
        <v>2025</v>
      </c>
      <c r="K701">
        <f t="shared" si="20"/>
        <v>20.58</v>
      </c>
      <c r="L701" t="str">
        <f t="shared" si="21"/>
        <v>Banca Tirrena|16|Carte</v>
      </c>
    </row>
    <row r="702" spans="1:12" x14ac:dyDescent="0.25">
      <c r="A702" t="s">
        <v>24</v>
      </c>
      <c r="B702">
        <v>16</v>
      </c>
      <c r="C702" t="s">
        <v>18</v>
      </c>
      <c r="D702" s="1">
        <v>45777</v>
      </c>
      <c r="E702">
        <v>1192.2</v>
      </c>
      <c r="F702">
        <v>63.7</v>
      </c>
      <c r="G702">
        <v>38.21</v>
      </c>
      <c r="H702">
        <v>131</v>
      </c>
      <c r="I702" t="s">
        <v>25</v>
      </c>
      <c r="J702">
        <v>2025</v>
      </c>
      <c r="K702">
        <f t="shared" si="20"/>
        <v>25.490000000000002</v>
      </c>
      <c r="L702" t="str">
        <f t="shared" si="21"/>
        <v>Banca Tirrena|16|Leasing</v>
      </c>
    </row>
    <row r="703" spans="1:12" x14ac:dyDescent="0.25">
      <c r="A703" t="s">
        <v>24</v>
      </c>
      <c r="B703">
        <v>16</v>
      </c>
      <c r="C703" t="s">
        <v>19</v>
      </c>
      <c r="D703" s="1">
        <v>45777</v>
      </c>
      <c r="E703">
        <v>1392.5</v>
      </c>
      <c r="F703">
        <v>77.39</v>
      </c>
      <c r="G703">
        <v>46.65</v>
      </c>
      <c r="H703">
        <v>144</v>
      </c>
      <c r="I703" t="s">
        <v>25</v>
      </c>
      <c r="J703">
        <v>2025</v>
      </c>
      <c r="K703">
        <f t="shared" si="20"/>
        <v>30.740000000000002</v>
      </c>
      <c r="L703" t="str">
        <f t="shared" si="21"/>
        <v>Banca Tirrena|16|Factoring</v>
      </c>
    </row>
    <row r="704" spans="1:12" x14ac:dyDescent="0.25">
      <c r="A704" t="s">
        <v>24</v>
      </c>
      <c r="B704">
        <v>16</v>
      </c>
      <c r="C704" t="s">
        <v>20</v>
      </c>
      <c r="D704" s="1">
        <v>45777</v>
      </c>
      <c r="E704">
        <v>1556.6</v>
      </c>
      <c r="F704">
        <v>88.79</v>
      </c>
      <c r="G704">
        <v>53.63</v>
      </c>
      <c r="H704">
        <v>178</v>
      </c>
      <c r="I704" t="s">
        <v>25</v>
      </c>
      <c r="J704">
        <v>2025</v>
      </c>
      <c r="K704">
        <f t="shared" si="20"/>
        <v>35.160000000000004</v>
      </c>
      <c r="L704" t="str">
        <f t="shared" si="21"/>
        <v>Banca Tirrena|16|Risparmio</v>
      </c>
    </row>
    <row r="705" spans="1:12" x14ac:dyDescent="0.25">
      <c r="A705" t="s">
        <v>24</v>
      </c>
      <c r="B705">
        <v>16</v>
      </c>
      <c r="C705" t="s">
        <v>21</v>
      </c>
      <c r="D705" s="1">
        <v>45777</v>
      </c>
      <c r="E705">
        <v>1775.8</v>
      </c>
      <c r="F705">
        <v>105.06</v>
      </c>
      <c r="G705">
        <v>62.81</v>
      </c>
      <c r="H705">
        <v>193</v>
      </c>
      <c r="I705" t="s">
        <v>25</v>
      </c>
      <c r="J705">
        <v>2025</v>
      </c>
      <c r="K705">
        <f t="shared" si="20"/>
        <v>42.25</v>
      </c>
      <c r="L705" t="str">
        <f t="shared" si="21"/>
        <v>Banca Tirrena|16|Assicurazioni</v>
      </c>
    </row>
    <row r="706" spans="1:12" x14ac:dyDescent="0.25">
      <c r="A706" t="s">
        <v>24</v>
      </c>
      <c r="B706">
        <v>17</v>
      </c>
      <c r="C706" t="s">
        <v>13</v>
      </c>
      <c r="D706" s="1">
        <v>45808</v>
      </c>
      <c r="E706">
        <v>483.4</v>
      </c>
      <c r="F706">
        <v>21.78</v>
      </c>
      <c r="G706">
        <v>13.92</v>
      </c>
      <c r="H706">
        <v>82</v>
      </c>
      <c r="I706" t="s">
        <v>25</v>
      </c>
      <c r="J706">
        <v>2025</v>
      </c>
      <c r="K706">
        <f t="shared" ref="K706:K769" si="22">F706-G706</f>
        <v>7.8600000000000012</v>
      </c>
      <c r="L706" t="str">
        <f t="shared" ref="L706:L769" si="23">A706&amp;"|"&amp;B706&amp;"|"&amp;C706</f>
        <v>Banca Tirrena|17|Mutui</v>
      </c>
    </row>
    <row r="707" spans="1:12" x14ac:dyDescent="0.25">
      <c r="A707" t="s">
        <v>24</v>
      </c>
      <c r="B707">
        <v>17</v>
      </c>
      <c r="C707" t="s">
        <v>15</v>
      </c>
      <c r="D707" s="1">
        <v>45808</v>
      </c>
      <c r="E707">
        <v>646.79999999999995</v>
      </c>
      <c r="F707">
        <v>30.87</v>
      </c>
      <c r="G707">
        <v>19.600000000000001</v>
      </c>
      <c r="H707">
        <v>98</v>
      </c>
      <c r="I707" t="s">
        <v>25</v>
      </c>
      <c r="J707">
        <v>2025</v>
      </c>
      <c r="K707">
        <f t="shared" si="22"/>
        <v>11.27</v>
      </c>
      <c r="L707" t="str">
        <f t="shared" si="23"/>
        <v>Banca Tirrena|17|Prestiti</v>
      </c>
    </row>
    <row r="708" spans="1:12" x14ac:dyDescent="0.25">
      <c r="A708" t="s">
        <v>24</v>
      </c>
      <c r="B708">
        <v>17</v>
      </c>
      <c r="C708" t="s">
        <v>16</v>
      </c>
      <c r="D708" s="1">
        <v>45808</v>
      </c>
      <c r="E708">
        <v>854.2</v>
      </c>
      <c r="F708">
        <v>42.49</v>
      </c>
      <c r="G708">
        <v>26.42</v>
      </c>
      <c r="H708">
        <v>85</v>
      </c>
      <c r="I708" t="s">
        <v>25</v>
      </c>
      <c r="J708">
        <v>2025</v>
      </c>
      <c r="K708">
        <f t="shared" si="22"/>
        <v>16.07</v>
      </c>
      <c r="L708" t="str">
        <f t="shared" si="23"/>
        <v>Banca Tirrena|17|Conti</v>
      </c>
    </row>
    <row r="709" spans="1:12" x14ac:dyDescent="0.25">
      <c r="A709" t="s">
        <v>24</v>
      </c>
      <c r="B709">
        <v>17</v>
      </c>
      <c r="C709" t="s">
        <v>17</v>
      </c>
      <c r="D709" s="1">
        <v>45808</v>
      </c>
      <c r="E709">
        <v>1038.0999999999999</v>
      </c>
      <c r="F709">
        <v>52.99</v>
      </c>
      <c r="G709">
        <v>32.79</v>
      </c>
      <c r="H709">
        <v>98</v>
      </c>
      <c r="I709" t="s">
        <v>25</v>
      </c>
      <c r="J709">
        <v>2025</v>
      </c>
      <c r="K709">
        <f t="shared" si="22"/>
        <v>20.200000000000003</v>
      </c>
      <c r="L709" t="str">
        <f t="shared" si="23"/>
        <v>Banca Tirrena|17|Carte</v>
      </c>
    </row>
    <row r="710" spans="1:12" x14ac:dyDescent="0.25">
      <c r="A710" t="s">
        <v>24</v>
      </c>
      <c r="B710">
        <v>17</v>
      </c>
      <c r="C710" t="s">
        <v>18</v>
      </c>
      <c r="D710" s="1">
        <v>45808</v>
      </c>
      <c r="E710">
        <v>1219.5999999999999</v>
      </c>
      <c r="F710">
        <v>65.41</v>
      </c>
      <c r="G710">
        <v>39.86</v>
      </c>
      <c r="H710">
        <v>127</v>
      </c>
      <c r="I710" t="s">
        <v>25</v>
      </c>
      <c r="J710">
        <v>2025</v>
      </c>
      <c r="K710">
        <f t="shared" si="22"/>
        <v>25.549999999999997</v>
      </c>
      <c r="L710" t="str">
        <f t="shared" si="23"/>
        <v>Banca Tirrena|17|Leasing</v>
      </c>
    </row>
    <row r="711" spans="1:12" x14ac:dyDescent="0.25">
      <c r="A711" t="s">
        <v>24</v>
      </c>
      <c r="B711">
        <v>17</v>
      </c>
      <c r="C711" t="s">
        <v>19</v>
      </c>
      <c r="D711" s="1">
        <v>45808</v>
      </c>
      <c r="E711">
        <v>1417</v>
      </c>
      <c r="F711">
        <v>78.52</v>
      </c>
      <c r="G711">
        <v>47.6</v>
      </c>
      <c r="H711">
        <v>160</v>
      </c>
      <c r="I711" t="s">
        <v>25</v>
      </c>
      <c r="J711">
        <v>2025</v>
      </c>
      <c r="K711">
        <f t="shared" si="22"/>
        <v>30.919999999999995</v>
      </c>
      <c r="L711" t="str">
        <f t="shared" si="23"/>
        <v>Banca Tirrena|17|Factoring</v>
      </c>
    </row>
    <row r="712" spans="1:12" x14ac:dyDescent="0.25">
      <c r="A712" t="s">
        <v>24</v>
      </c>
      <c r="B712">
        <v>17</v>
      </c>
      <c r="C712" t="s">
        <v>20</v>
      </c>
      <c r="D712" s="1">
        <v>45808</v>
      </c>
      <c r="E712">
        <v>1610.4</v>
      </c>
      <c r="F712">
        <v>92</v>
      </c>
      <c r="G712">
        <v>55.23</v>
      </c>
      <c r="H712">
        <v>177</v>
      </c>
      <c r="I712" t="s">
        <v>25</v>
      </c>
      <c r="J712">
        <v>2025</v>
      </c>
      <c r="K712">
        <f t="shared" si="22"/>
        <v>36.770000000000003</v>
      </c>
      <c r="L712" t="str">
        <f t="shared" si="23"/>
        <v>Banca Tirrena|17|Risparmio</v>
      </c>
    </row>
    <row r="713" spans="1:12" x14ac:dyDescent="0.25">
      <c r="A713" t="s">
        <v>24</v>
      </c>
      <c r="B713">
        <v>17</v>
      </c>
      <c r="C713" t="s">
        <v>21</v>
      </c>
      <c r="D713" s="1">
        <v>45808</v>
      </c>
      <c r="E713">
        <v>1786.8</v>
      </c>
      <c r="F713">
        <v>105.56</v>
      </c>
      <c r="G713">
        <v>62.62</v>
      </c>
      <c r="H713">
        <v>176</v>
      </c>
      <c r="I713" t="s">
        <v>25</v>
      </c>
      <c r="J713">
        <v>2025</v>
      </c>
      <c r="K713">
        <f t="shared" si="22"/>
        <v>42.940000000000005</v>
      </c>
      <c r="L713" t="str">
        <f t="shared" si="23"/>
        <v>Banca Tirrena|17|Assicurazioni</v>
      </c>
    </row>
    <row r="714" spans="1:12" x14ac:dyDescent="0.25">
      <c r="A714" t="s">
        <v>24</v>
      </c>
      <c r="B714">
        <v>18</v>
      </c>
      <c r="C714" t="s">
        <v>13</v>
      </c>
      <c r="D714" s="1">
        <v>45838</v>
      </c>
      <c r="E714">
        <v>506.3</v>
      </c>
      <c r="F714">
        <v>23.74</v>
      </c>
      <c r="G714">
        <v>14.89</v>
      </c>
      <c r="H714">
        <v>43</v>
      </c>
      <c r="I714" t="s">
        <v>25</v>
      </c>
      <c r="J714">
        <v>2025</v>
      </c>
      <c r="K714">
        <f t="shared" si="22"/>
        <v>8.8499999999999979</v>
      </c>
      <c r="L714" t="str">
        <f t="shared" si="23"/>
        <v>Banca Tirrena|18|Mutui</v>
      </c>
    </row>
    <row r="715" spans="1:12" x14ac:dyDescent="0.25">
      <c r="A715" t="s">
        <v>24</v>
      </c>
      <c r="B715">
        <v>18</v>
      </c>
      <c r="C715" t="s">
        <v>15</v>
      </c>
      <c r="D715" s="1">
        <v>45838</v>
      </c>
      <c r="E715">
        <v>648.79999999999995</v>
      </c>
      <c r="F715">
        <v>30.76</v>
      </c>
      <c r="G715">
        <v>19.260000000000002</v>
      </c>
      <c r="H715">
        <v>76</v>
      </c>
      <c r="I715" t="s">
        <v>25</v>
      </c>
      <c r="J715">
        <v>2025</v>
      </c>
      <c r="K715">
        <f t="shared" si="22"/>
        <v>11.5</v>
      </c>
      <c r="L715" t="str">
        <f t="shared" si="23"/>
        <v>Banca Tirrena|18|Prestiti</v>
      </c>
    </row>
    <row r="716" spans="1:12" x14ac:dyDescent="0.25">
      <c r="A716" t="s">
        <v>24</v>
      </c>
      <c r="B716">
        <v>18</v>
      </c>
      <c r="C716" t="s">
        <v>16</v>
      </c>
      <c r="D716" s="1">
        <v>45838</v>
      </c>
      <c r="E716">
        <v>875.2</v>
      </c>
      <c r="F716">
        <v>43.56</v>
      </c>
      <c r="G716">
        <v>26.72</v>
      </c>
      <c r="H716">
        <v>92</v>
      </c>
      <c r="I716" t="s">
        <v>25</v>
      </c>
      <c r="J716">
        <v>2025</v>
      </c>
      <c r="K716">
        <f t="shared" si="22"/>
        <v>16.840000000000003</v>
      </c>
      <c r="L716" t="str">
        <f t="shared" si="23"/>
        <v>Banca Tirrena|18|Conti</v>
      </c>
    </row>
    <row r="717" spans="1:12" x14ac:dyDescent="0.25">
      <c r="A717" t="s">
        <v>24</v>
      </c>
      <c r="B717">
        <v>18</v>
      </c>
      <c r="C717" t="s">
        <v>17</v>
      </c>
      <c r="D717" s="1">
        <v>45838</v>
      </c>
      <c r="E717">
        <v>1069</v>
      </c>
      <c r="F717">
        <v>54.71</v>
      </c>
      <c r="G717">
        <v>33.99</v>
      </c>
      <c r="H717">
        <v>101</v>
      </c>
      <c r="I717" t="s">
        <v>25</v>
      </c>
      <c r="J717">
        <v>2025</v>
      </c>
      <c r="K717">
        <f t="shared" si="22"/>
        <v>20.72</v>
      </c>
      <c r="L717" t="str">
        <f t="shared" si="23"/>
        <v>Banca Tirrena|18|Carte</v>
      </c>
    </row>
    <row r="718" spans="1:12" x14ac:dyDescent="0.25">
      <c r="A718" t="s">
        <v>24</v>
      </c>
      <c r="B718">
        <v>18</v>
      </c>
      <c r="C718" t="s">
        <v>18</v>
      </c>
      <c r="D718" s="1">
        <v>45838</v>
      </c>
      <c r="E718">
        <v>1210.8</v>
      </c>
      <c r="F718">
        <v>64.8</v>
      </c>
      <c r="G718">
        <v>39.67</v>
      </c>
      <c r="H718">
        <v>110</v>
      </c>
      <c r="I718" t="s">
        <v>25</v>
      </c>
      <c r="J718">
        <v>2025</v>
      </c>
      <c r="K718">
        <f t="shared" si="22"/>
        <v>25.129999999999995</v>
      </c>
      <c r="L718" t="str">
        <f t="shared" si="23"/>
        <v>Banca Tirrena|18|Leasing</v>
      </c>
    </row>
    <row r="719" spans="1:12" x14ac:dyDescent="0.25">
      <c r="A719" t="s">
        <v>24</v>
      </c>
      <c r="B719">
        <v>18</v>
      </c>
      <c r="C719" t="s">
        <v>19</v>
      </c>
      <c r="D719" s="1">
        <v>45838</v>
      </c>
      <c r="E719">
        <v>1396.9</v>
      </c>
      <c r="F719">
        <v>76.989999999999995</v>
      </c>
      <c r="G719">
        <v>46.97</v>
      </c>
      <c r="H719">
        <v>142</v>
      </c>
      <c r="I719" t="s">
        <v>25</v>
      </c>
      <c r="J719">
        <v>2025</v>
      </c>
      <c r="K719">
        <f t="shared" si="22"/>
        <v>30.019999999999996</v>
      </c>
      <c r="L719" t="str">
        <f t="shared" si="23"/>
        <v>Banca Tirrena|18|Factoring</v>
      </c>
    </row>
    <row r="720" spans="1:12" x14ac:dyDescent="0.25">
      <c r="A720" t="s">
        <v>24</v>
      </c>
      <c r="B720">
        <v>18</v>
      </c>
      <c r="C720" t="s">
        <v>20</v>
      </c>
      <c r="D720" s="1">
        <v>45838</v>
      </c>
      <c r="E720">
        <v>1614.2</v>
      </c>
      <c r="F720">
        <v>92.98</v>
      </c>
      <c r="G720">
        <v>54.97</v>
      </c>
      <c r="H720">
        <v>158</v>
      </c>
      <c r="I720" t="s">
        <v>25</v>
      </c>
      <c r="J720">
        <v>2025</v>
      </c>
      <c r="K720">
        <f t="shared" si="22"/>
        <v>38.010000000000005</v>
      </c>
      <c r="L720" t="str">
        <f t="shared" si="23"/>
        <v>Banca Tirrena|18|Risparmio</v>
      </c>
    </row>
    <row r="721" spans="1:12" x14ac:dyDescent="0.25">
      <c r="A721" t="s">
        <v>24</v>
      </c>
      <c r="B721">
        <v>18</v>
      </c>
      <c r="C721" t="s">
        <v>21</v>
      </c>
      <c r="D721" s="1">
        <v>45838</v>
      </c>
      <c r="E721">
        <v>1792.1</v>
      </c>
      <c r="F721">
        <v>105.8</v>
      </c>
      <c r="G721">
        <v>63.56</v>
      </c>
      <c r="H721">
        <v>174</v>
      </c>
      <c r="I721" t="s">
        <v>25</v>
      </c>
      <c r="J721">
        <v>2025</v>
      </c>
      <c r="K721">
        <f t="shared" si="22"/>
        <v>42.239999999999995</v>
      </c>
      <c r="L721" t="str">
        <f t="shared" si="23"/>
        <v>Banca Tirrena|18|Assicurazioni</v>
      </c>
    </row>
    <row r="722" spans="1:12" x14ac:dyDescent="0.25">
      <c r="A722" t="s">
        <v>24</v>
      </c>
      <c r="B722">
        <v>19</v>
      </c>
      <c r="C722" t="s">
        <v>13</v>
      </c>
      <c r="D722" s="1">
        <v>45869</v>
      </c>
      <c r="E722">
        <v>506.5</v>
      </c>
      <c r="F722">
        <v>22.93</v>
      </c>
      <c r="G722">
        <v>14.58</v>
      </c>
      <c r="H722">
        <v>49</v>
      </c>
      <c r="I722" t="s">
        <v>25</v>
      </c>
      <c r="J722">
        <v>2025</v>
      </c>
      <c r="K722">
        <f t="shared" si="22"/>
        <v>8.35</v>
      </c>
      <c r="L722" t="str">
        <f t="shared" si="23"/>
        <v>Banca Tirrena|19|Mutui</v>
      </c>
    </row>
    <row r="723" spans="1:12" x14ac:dyDescent="0.25">
      <c r="A723" t="s">
        <v>24</v>
      </c>
      <c r="B723">
        <v>19</v>
      </c>
      <c r="C723" t="s">
        <v>15</v>
      </c>
      <c r="D723" s="1">
        <v>45869</v>
      </c>
      <c r="E723">
        <v>696.1</v>
      </c>
      <c r="F723">
        <v>33.46</v>
      </c>
      <c r="G723">
        <v>20.22</v>
      </c>
      <c r="H723">
        <v>59</v>
      </c>
      <c r="I723" t="s">
        <v>25</v>
      </c>
      <c r="J723">
        <v>2025</v>
      </c>
      <c r="K723">
        <f t="shared" si="22"/>
        <v>13.240000000000002</v>
      </c>
      <c r="L723" t="str">
        <f t="shared" si="23"/>
        <v>Banca Tirrena|19|Prestiti</v>
      </c>
    </row>
    <row r="724" spans="1:12" x14ac:dyDescent="0.25">
      <c r="A724" t="s">
        <v>24</v>
      </c>
      <c r="B724">
        <v>19</v>
      </c>
      <c r="C724" t="s">
        <v>16</v>
      </c>
      <c r="D724" s="1">
        <v>45869</v>
      </c>
      <c r="E724">
        <v>846.6</v>
      </c>
      <c r="F724">
        <v>41.76</v>
      </c>
      <c r="G724">
        <v>26.22</v>
      </c>
      <c r="H724">
        <v>87</v>
      </c>
      <c r="I724" t="s">
        <v>25</v>
      </c>
      <c r="J724">
        <v>2025</v>
      </c>
      <c r="K724">
        <f t="shared" si="22"/>
        <v>15.54</v>
      </c>
      <c r="L724" t="str">
        <f t="shared" si="23"/>
        <v>Banca Tirrena|19|Conti</v>
      </c>
    </row>
    <row r="725" spans="1:12" x14ac:dyDescent="0.25">
      <c r="A725" t="s">
        <v>24</v>
      </c>
      <c r="B725">
        <v>19</v>
      </c>
      <c r="C725" t="s">
        <v>17</v>
      </c>
      <c r="D725" s="1">
        <v>45869</v>
      </c>
      <c r="E725">
        <v>1054.9000000000001</v>
      </c>
      <c r="F725">
        <v>53.84</v>
      </c>
      <c r="G725">
        <v>33.33</v>
      </c>
      <c r="H725">
        <v>121</v>
      </c>
      <c r="I725" t="s">
        <v>25</v>
      </c>
      <c r="J725">
        <v>2025</v>
      </c>
      <c r="K725">
        <f t="shared" si="22"/>
        <v>20.510000000000005</v>
      </c>
      <c r="L725" t="str">
        <f t="shared" si="23"/>
        <v>Banca Tirrena|19|Carte</v>
      </c>
    </row>
    <row r="726" spans="1:12" x14ac:dyDescent="0.25">
      <c r="A726" t="s">
        <v>24</v>
      </c>
      <c r="B726">
        <v>19</v>
      </c>
      <c r="C726" t="s">
        <v>18</v>
      </c>
      <c r="D726" s="1">
        <v>45869</v>
      </c>
      <c r="E726">
        <v>1215.0999999999999</v>
      </c>
      <c r="F726">
        <v>64.8</v>
      </c>
      <c r="G726">
        <v>39.86</v>
      </c>
      <c r="H726">
        <v>133</v>
      </c>
      <c r="I726" t="s">
        <v>25</v>
      </c>
      <c r="J726">
        <v>2025</v>
      </c>
      <c r="K726">
        <f t="shared" si="22"/>
        <v>24.939999999999998</v>
      </c>
      <c r="L726" t="str">
        <f t="shared" si="23"/>
        <v>Banca Tirrena|19|Leasing</v>
      </c>
    </row>
    <row r="727" spans="1:12" x14ac:dyDescent="0.25">
      <c r="A727" t="s">
        <v>24</v>
      </c>
      <c r="B727">
        <v>19</v>
      </c>
      <c r="C727" t="s">
        <v>19</v>
      </c>
      <c r="D727" s="1">
        <v>45869</v>
      </c>
      <c r="E727">
        <v>1443</v>
      </c>
      <c r="F727">
        <v>79.959999999999994</v>
      </c>
      <c r="G727">
        <v>47.63</v>
      </c>
      <c r="H727">
        <v>155</v>
      </c>
      <c r="I727" t="s">
        <v>25</v>
      </c>
      <c r="J727">
        <v>2025</v>
      </c>
      <c r="K727">
        <f t="shared" si="22"/>
        <v>32.329999999999991</v>
      </c>
      <c r="L727" t="str">
        <f t="shared" si="23"/>
        <v>Banca Tirrena|19|Factoring</v>
      </c>
    </row>
    <row r="728" spans="1:12" x14ac:dyDescent="0.25">
      <c r="A728" t="s">
        <v>24</v>
      </c>
      <c r="B728">
        <v>19</v>
      </c>
      <c r="C728" t="s">
        <v>20</v>
      </c>
      <c r="D728" s="1">
        <v>45869</v>
      </c>
      <c r="E728">
        <v>1599</v>
      </c>
      <c r="F728">
        <v>91.49</v>
      </c>
      <c r="G728">
        <v>54.75</v>
      </c>
      <c r="H728">
        <v>162</v>
      </c>
      <c r="I728" t="s">
        <v>25</v>
      </c>
      <c r="J728">
        <v>2025</v>
      </c>
      <c r="K728">
        <f t="shared" si="22"/>
        <v>36.739999999999995</v>
      </c>
      <c r="L728" t="str">
        <f t="shared" si="23"/>
        <v>Banca Tirrena|19|Risparmio</v>
      </c>
    </row>
    <row r="729" spans="1:12" x14ac:dyDescent="0.25">
      <c r="A729" t="s">
        <v>24</v>
      </c>
      <c r="B729">
        <v>19</v>
      </c>
      <c r="C729" t="s">
        <v>21</v>
      </c>
      <c r="D729" s="1">
        <v>45869</v>
      </c>
      <c r="E729">
        <v>1797</v>
      </c>
      <c r="F729">
        <v>106.26</v>
      </c>
      <c r="G729">
        <v>63.66</v>
      </c>
      <c r="H729">
        <v>168</v>
      </c>
      <c r="I729" t="s">
        <v>25</v>
      </c>
      <c r="J729">
        <v>2025</v>
      </c>
      <c r="K729">
        <f t="shared" si="22"/>
        <v>42.600000000000009</v>
      </c>
      <c r="L729" t="str">
        <f t="shared" si="23"/>
        <v>Banca Tirrena|19|Assicurazioni</v>
      </c>
    </row>
    <row r="730" spans="1:12" x14ac:dyDescent="0.25">
      <c r="A730" t="s">
        <v>24</v>
      </c>
      <c r="B730">
        <v>20</v>
      </c>
      <c r="C730" t="s">
        <v>13</v>
      </c>
      <c r="D730" s="1">
        <v>45900</v>
      </c>
      <c r="E730">
        <v>506.5</v>
      </c>
      <c r="F730">
        <v>22.92</v>
      </c>
      <c r="G730">
        <v>15.03</v>
      </c>
      <c r="H730">
        <v>54</v>
      </c>
      <c r="I730" t="s">
        <v>25</v>
      </c>
      <c r="J730">
        <v>2025</v>
      </c>
      <c r="K730">
        <f t="shared" si="22"/>
        <v>7.8900000000000023</v>
      </c>
      <c r="L730" t="str">
        <f t="shared" si="23"/>
        <v>Banca Tirrena|20|Mutui</v>
      </c>
    </row>
    <row r="731" spans="1:12" x14ac:dyDescent="0.25">
      <c r="A731" t="s">
        <v>24</v>
      </c>
      <c r="B731">
        <v>20</v>
      </c>
      <c r="C731" t="s">
        <v>15</v>
      </c>
      <c r="D731" s="1">
        <v>45900</v>
      </c>
      <c r="E731">
        <v>668.9</v>
      </c>
      <c r="F731">
        <v>31.58</v>
      </c>
      <c r="G731">
        <v>20.170000000000002</v>
      </c>
      <c r="H731">
        <v>94</v>
      </c>
      <c r="I731" t="s">
        <v>25</v>
      </c>
      <c r="J731">
        <v>2025</v>
      </c>
      <c r="K731">
        <f t="shared" si="22"/>
        <v>11.409999999999997</v>
      </c>
      <c r="L731" t="str">
        <f t="shared" si="23"/>
        <v>Banca Tirrena|20|Prestiti</v>
      </c>
    </row>
    <row r="732" spans="1:12" x14ac:dyDescent="0.25">
      <c r="A732" t="s">
        <v>24</v>
      </c>
      <c r="B732">
        <v>20</v>
      </c>
      <c r="C732" t="s">
        <v>16</v>
      </c>
      <c r="D732" s="1">
        <v>45900</v>
      </c>
      <c r="E732">
        <v>870.6</v>
      </c>
      <c r="F732">
        <v>43.09</v>
      </c>
      <c r="G732">
        <v>26.18</v>
      </c>
      <c r="H732">
        <v>88</v>
      </c>
      <c r="I732" t="s">
        <v>25</v>
      </c>
      <c r="J732">
        <v>2025</v>
      </c>
      <c r="K732">
        <f t="shared" si="22"/>
        <v>16.910000000000004</v>
      </c>
      <c r="L732" t="str">
        <f t="shared" si="23"/>
        <v>Banca Tirrena|20|Conti</v>
      </c>
    </row>
    <row r="733" spans="1:12" x14ac:dyDescent="0.25">
      <c r="A733" t="s">
        <v>24</v>
      </c>
      <c r="B733">
        <v>20</v>
      </c>
      <c r="C733" t="s">
        <v>17</v>
      </c>
      <c r="D733" s="1">
        <v>45900</v>
      </c>
      <c r="E733">
        <v>1078.2</v>
      </c>
      <c r="F733">
        <v>55.15</v>
      </c>
      <c r="G733">
        <v>34.159999999999997</v>
      </c>
      <c r="H733">
        <v>103</v>
      </c>
      <c r="I733" t="s">
        <v>25</v>
      </c>
      <c r="J733">
        <v>2025</v>
      </c>
      <c r="K733">
        <f t="shared" si="22"/>
        <v>20.990000000000002</v>
      </c>
      <c r="L733" t="str">
        <f t="shared" si="23"/>
        <v>Banca Tirrena|20|Carte</v>
      </c>
    </row>
    <row r="734" spans="1:12" x14ac:dyDescent="0.25">
      <c r="A734" t="s">
        <v>24</v>
      </c>
      <c r="B734">
        <v>20</v>
      </c>
      <c r="C734" t="s">
        <v>18</v>
      </c>
      <c r="D734" s="1">
        <v>45900</v>
      </c>
      <c r="E734">
        <v>1249.8</v>
      </c>
      <c r="F734">
        <v>66.97</v>
      </c>
      <c r="G734">
        <v>40.25</v>
      </c>
      <c r="H734">
        <v>134</v>
      </c>
      <c r="I734" t="s">
        <v>25</v>
      </c>
      <c r="J734">
        <v>2025</v>
      </c>
      <c r="K734">
        <f t="shared" si="22"/>
        <v>26.72</v>
      </c>
      <c r="L734" t="str">
        <f t="shared" si="23"/>
        <v>Banca Tirrena|20|Leasing</v>
      </c>
    </row>
    <row r="735" spans="1:12" x14ac:dyDescent="0.25">
      <c r="A735" t="s">
        <v>24</v>
      </c>
      <c r="B735">
        <v>20</v>
      </c>
      <c r="C735" t="s">
        <v>19</v>
      </c>
      <c r="D735" s="1">
        <v>45900</v>
      </c>
      <c r="E735">
        <v>1440.9</v>
      </c>
      <c r="F735">
        <v>80.14</v>
      </c>
      <c r="G735">
        <v>47.81</v>
      </c>
      <c r="H735">
        <v>154</v>
      </c>
      <c r="I735" t="s">
        <v>25</v>
      </c>
      <c r="J735">
        <v>2025</v>
      </c>
      <c r="K735">
        <f t="shared" si="22"/>
        <v>32.33</v>
      </c>
      <c r="L735" t="str">
        <f t="shared" si="23"/>
        <v>Banca Tirrena|20|Factoring</v>
      </c>
    </row>
    <row r="736" spans="1:12" x14ac:dyDescent="0.25">
      <c r="A736" t="s">
        <v>24</v>
      </c>
      <c r="B736">
        <v>20</v>
      </c>
      <c r="C736" t="s">
        <v>20</v>
      </c>
      <c r="D736" s="1">
        <v>45900</v>
      </c>
      <c r="E736">
        <v>1621.6</v>
      </c>
      <c r="F736">
        <v>92.7</v>
      </c>
      <c r="G736">
        <v>55.45</v>
      </c>
      <c r="H736">
        <v>145</v>
      </c>
      <c r="I736" t="s">
        <v>25</v>
      </c>
      <c r="J736">
        <v>2025</v>
      </c>
      <c r="K736">
        <f t="shared" si="22"/>
        <v>37.25</v>
      </c>
      <c r="L736" t="str">
        <f t="shared" si="23"/>
        <v>Banca Tirrena|20|Risparmio</v>
      </c>
    </row>
    <row r="737" spans="1:12" x14ac:dyDescent="0.25">
      <c r="A737" t="s">
        <v>24</v>
      </c>
      <c r="B737">
        <v>20</v>
      </c>
      <c r="C737" t="s">
        <v>21</v>
      </c>
      <c r="D737" s="1">
        <v>45900</v>
      </c>
      <c r="E737">
        <v>1833.2</v>
      </c>
      <c r="F737">
        <v>108.71</v>
      </c>
      <c r="G737">
        <v>64.849999999999994</v>
      </c>
      <c r="H737">
        <v>173</v>
      </c>
      <c r="I737" t="s">
        <v>25</v>
      </c>
      <c r="J737">
        <v>2025</v>
      </c>
      <c r="K737">
        <f t="shared" si="22"/>
        <v>43.86</v>
      </c>
      <c r="L737" t="str">
        <f t="shared" si="23"/>
        <v>Banca Tirrena|20|Assicurazioni</v>
      </c>
    </row>
    <row r="738" spans="1:12" x14ac:dyDescent="0.25">
      <c r="A738" t="s">
        <v>24</v>
      </c>
      <c r="B738">
        <v>21</v>
      </c>
      <c r="C738" t="s">
        <v>13</v>
      </c>
      <c r="D738" s="1">
        <v>45930</v>
      </c>
      <c r="E738">
        <v>482.8</v>
      </c>
      <c r="F738">
        <v>22.54</v>
      </c>
      <c r="G738">
        <v>13.64</v>
      </c>
      <c r="H738">
        <v>55</v>
      </c>
      <c r="I738" t="s">
        <v>25</v>
      </c>
      <c r="J738">
        <v>2025</v>
      </c>
      <c r="K738">
        <f t="shared" si="22"/>
        <v>8.8999999999999986</v>
      </c>
      <c r="L738" t="str">
        <f t="shared" si="23"/>
        <v>Banca Tirrena|21|Mutui</v>
      </c>
    </row>
    <row r="739" spans="1:12" x14ac:dyDescent="0.25">
      <c r="A739" t="s">
        <v>24</v>
      </c>
      <c r="B739">
        <v>21</v>
      </c>
      <c r="C739" t="s">
        <v>15</v>
      </c>
      <c r="D739" s="1">
        <v>45930</v>
      </c>
      <c r="E739">
        <v>708.1</v>
      </c>
      <c r="F739">
        <v>33.57</v>
      </c>
      <c r="G739">
        <v>20.57</v>
      </c>
      <c r="H739">
        <v>88</v>
      </c>
      <c r="I739" t="s">
        <v>25</v>
      </c>
      <c r="J739">
        <v>2025</v>
      </c>
      <c r="K739">
        <f t="shared" si="22"/>
        <v>13</v>
      </c>
      <c r="L739" t="str">
        <f t="shared" si="23"/>
        <v>Banca Tirrena|21|Prestiti</v>
      </c>
    </row>
    <row r="740" spans="1:12" x14ac:dyDescent="0.25">
      <c r="A740" t="s">
        <v>24</v>
      </c>
      <c r="B740">
        <v>21</v>
      </c>
      <c r="C740" t="s">
        <v>16</v>
      </c>
      <c r="D740" s="1">
        <v>45930</v>
      </c>
      <c r="E740">
        <v>868</v>
      </c>
      <c r="F740">
        <v>43.02</v>
      </c>
      <c r="G740">
        <v>26.49</v>
      </c>
      <c r="H740">
        <v>104</v>
      </c>
      <c r="I740" t="s">
        <v>25</v>
      </c>
      <c r="J740">
        <v>2025</v>
      </c>
      <c r="K740">
        <f t="shared" si="22"/>
        <v>16.530000000000005</v>
      </c>
      <c r="L740" t="str">
        <f t="shared" si="23"/>
        <v>Banca Tirrena|21|Conti</v>
      </c>
    </row>
    <row r="741" spans="1:12" x14ac:dyDescent="0.25">
      <c r="A741" t="s">
        <v>24</v>
      </c>
      <c r="B741">
        <v>21</v>
      </c>
      <c r="C741" t="s">
        <v>17</v>
      </c>
      <c r="D741" s="1">
        <v>45930</v>
      </c>
      <c r="E741">
        <v>1073.7</v>
      </c>
      <c r="F741">
        <v>55.64</v>
      </c>
      <c r="G741">
        <v>33.450000000000003</v>
      </c>
      <c r="H741">
        <v>117</v>
      </c>
      <c r="I741" t="s">
        <v>25</v>
      </c>
      <c r="J741">
        <v>2025</v>
      </c>
      <c r="K741">
        <f t="shared" si="22"/>
        <v>22.189999999999998</v>
      </c>
      <c r="L741" t="str">
        <f t="shared" si="23"/>
        <v>Banca Tirrena|21|Carte</v>
      </c>
    </row>
    <row r="742" spans="1:12" x14ac:dyDescent="0.25">
      <c r="A742" t="s">
        <v>24</v>
      </c>
      <c r="B742">
        <v>21</v>
      </c>
      <c r="C742" t="s">
        <v>18</v>
      </c>
      <c r="D742" s="1">
        <v>45930</v>
      </c>
      <c r="E742">
        <v>1225.2</v>
      </c>
      <c r="F742">
        <v>65.819999999999993</v>
      </c>
      <c r="G742">
        <v>39.229999999999997</v>
      </c>
      <c r="H742">
        <v>121</v>
      </c>
      <c r="I742" t="s">
        <v>25</v>
      </c>
      <c r="J742">
        <v>2025</v>
      </c>
      <c r="K742">
        <f t="shared" si="22"/>
        <v>26.589999999999996</v>
      </c>
      <c r="L742" t="str">
        <f t="shared" si="23"/>
        <v>Banca Tirrena|21|Leasing</v>
      </c>
    </row>
    <row r="743" spans="1:12" x14ac:dyDescent="0.25">
      <c r="A743" t="s">
        <v>24</v>
      </c>
      <c r="B743">
        <v>21</v>
      </c>
      <c r="C743" t="s">
        <v>19</v>
      </c>
      <c r="D743" s="1">
        <v>45930</v>
      </c>
      <c r="E743">
        <v>1441.9</v>
      </c>
      <c r="F743">
        <v>79.41</v>
      </c>
      <c r="G743">
        <v>48.51</v>
      </c>
      <c r="H743">
        <v>140</v>
      </c>
      <c r="I743" t="s">
        <v>25</v>
      </c>
      <c r="J743">
        <v>2025</v>
      </c>
      <c r="K743">
        <f t="shared" si="22"/>
        <v>30.9</v>
      </c>
      <c r="L743" t="str">
        <f t="shared" si="23"/>
        <v>Banca Tirrena|21|Factoring</v>
      </c>
    </row>
    <row r="744" spans="1:12" x14ac:dyDescent="0.25">
      <c r="A744" t="s">
        <v>24</v>
      </c>
      <c r="B744">
        <v>21</v>
      </c>
      <c r="C744" t="s">
        <v>20</v>
      </c>
      <c r="D744" s="1">
        <v>45930</v>
      </c>
      <c r="E744">
        <v>1606.5</v>
      </c>
      <c r="F744">
        <v>92.04</v>
      </c>
      <c r="G744">
        <v>54.91</v>
      </c>
      <c r="H744">
        <v>145</v>
      </c>
      <c r="I744" t="s">
        <v>25</v>
      </c>
      <c r="J744">
        <v>2025</v>
      </c>
      <c r="K744">
        <f t="shared" si="22"/>
        <v>37.13000000000001</v>
      </c>
      <c r="L744" t="str">
        <f t="shared" si="23"/>
        <v>Banca Tirrena|21|Risparmio</v>
      </c>
    </row>
    <row r="745" spans="1:12" x14ac:dyDescent="0.25">
      <c r="A745" t="s">
        <v>24</v>
      </c>
      <c r="B745">
        <v>21</v>
      </c>
      <c r="C745" t="s">
        <v>21</v>
      </c>
      <c r="D745" s="1">
        <v>45930</v>
      </c>
      <c r="E745">
        <v>1821.1</v>
      </c>
      <c r="F745">
        <v>108.05</v>
      </c>
      <c r="G745">
        <v>64.680000000000007</v>
      </c>
      <c r="H745">
        <v>190</v>
      </c>
      <c r="I745" t="s">
        <v>25</v>
      </c>
      <c r="J745">
        <v>2025</v>
      </c>
      <c r="K745">
        <f t="shared" si="22"/>
        <v>43.36999999999999</v>
      </c>
      <c r="L745" t="str">
        <f t="shared" si="23"/>
        <v>Banca Tirrena|21|Assicurazioni</v>
      </c>
    </row>
    <row r="746" spans="1:12" x14ac:dyDescent="0.25">
      <c r="A746" t="s">
        <v>24</v>
      </c>
      <c r="B746">
        <v>22</v>
      </c>
      <c r="C746" t="s">
        <v>13</v>
      </c>
      <c r="D746" s="1">
        <v>45961</v>
      </c>
      <c r="E746">
        <v>506.1</v>
      </c>
      <c r="F746">
        <v>23.63</v>
      </c>
      <c r="G746">
        <v>14.69</v>
      </c>
      <c r="H746">
        <v>60</v>
      </c>
      <c r="I746" t="s">
        <v>25</v>
      </c>
      <c r="J746">
        <v>2025</v>
      </c>
      <c r="K746">
        <f t="shared" si="22"/>
        <v>8.94</v>
      </c>
      <c r="L746" t="str">
        <f t="shared" si="23"/>
        <v>Banca Tirrena|22|Mutui</v>
      </c>
    </row>
    <row r="747" spans="1:12" x14ac:dyDescent="0.25">
      <c r="A747" t="s">
        <v>24</v>
      </c>
      <c r="B747">
        <v>22</v>
      </c>
      <c r="C747" t="s">
        <v>15</v>
      </c>
      <c r="D747" s="1">
        <v>45961</v>
      </c>
      <c r="E747">
        <v>704.1</v>
      </c>
      <c r="F747">
        <v>33.92</v>
      </c>
      <c r="G747">
        <v>21</v>
      </c>
      <c r="H747">
        <v>79</v>
      </c>
      <c r="I747" t="s">
        <v>25</v>
      </c>
      <c r="J747">
        <v>2025</v>
      </c>
      <c r="K747">
        <f t="shared" si="22"/>
        <v>12.920000000000002</v>
      </c>
      <c r="L747" t="str">
        <f t="shared" si="23"/>
        <v>Banca Tirrena|22|Prestiti</v>
      </c>
    </row>
    <row r="748" spans="1:12" x14ac:dyDescent="0.25">
      <c r="A748" t="s">
        <v>24</v>
      </c>
      <c r="B748">
        <v>22</v>
      </c>
      <c r="C748" t="s">
        <v>16</v>
      </c>
      <c r="D748" s="1">
        <v>45961</v>
      </c>
      <c r="E748">
        <v>883</v>
      </c>
      <c r="F748">
        <v>43.65</v>
      </c>
      <c r="G748">
        <v>26.53</v>
      </c>
      <c r="H748">
        <v>92</v>
      </c>
      <c r="I748" t="s">
        <v>25</v>
      </c>
      <c r="J748">
        <v>2025</v>
      </c>
      <c r="K748">
        <f t="shared" si="22"/>
        <v>17.119999999999997</v>
      </c>
      <c r="L748" t="str">
        <f t="shared" si="23"/>
        <v>Banca Tirrena|22|Conti</v>
      </c>
    </row>
    <row r="749" spans="1:12" x14ac:dyDescent="0.25">
      <c r="A749" t="s">
        <v>24</v>
      </c>
      <c r="B749">
        <v>22</v>
      </c>
      <c r="C749" t="s">
        <v>17</v>
      </c>
      <c r="D749" s="1">
        <v>45961</v>
      </c>
      <c r="E749">
        <v>1068.7</v>
      </c>
      <c r="F749">
        <v>55.3</v>
      </c>
      <c r="G749">
        <v>33.880000000000003</v>
      </c>
      <c r="H749">
        <v>123</v>
      </c>
      <c r="I749" t="s">
        <v>25</v>
      </c>
      <c r="J749">
        <v>2025</v>
      </c>
      <c r="K749">
        <f t="shared" si="22"/>
        <v>21.419999999999995</v>
      </c>
      <c r="L749" t="str">
        <f t="shared" si="23"/>
        <v>Banca Tirrena|22|Carte</v>
      </c>
    </row>
    <row r="750" spans="1:12" x14ac:dyDescent="0.25">
      <c r="A750" t="s">
        <v>24</v>
      </c>
      <c r="B750">
        <v>22</v>
      </c>
      <c r="C750" t="s">
        <v>18</v>
      </c>
      <c r="D750" s="1">
        <v>45961</v>
      </c>
      <c r="E750">
        <v>1266</v>
      </c>
      <c r="F750">
        <v>67.459999999999994</v>
      </c>
      <c r="G750">
        <v>41.14</v>
      </c>
      <c r="H750">
        <v>133</v>
      </c>
      <c r="I750" t="s">
        <v>25</v>
      </c>
      <c r="J750">
        <v>2025</v>
      </c>
      <c r="K750">
        <f t="shared" si="22"/>
        <v>26.319999999999993</v>
      </c>
      <c r="L750" t="str">
        <f t="shared" si="23"/>
        <v>Banca Tirrena|22|Leasing</v>
      </c>
    </row>
    <row r="751" spans="1:12" x14ac:dyDescent="0.25">
      <c r="A751" t="s">
        <v>24</v>
      </c>
      <c r="B751">
        <v>22</v>
      </c>
      <c r="C751" t="s">
        <v>19</v>
      </c>
      <c r="D751" s="1">
        <v>45961</v>
      </c>
      <c r="E751">
        <v>1459.9</v>
      </c>
      <c r="F751">
        <v>80.489999999999995</v>
      </c>
      <c r="G751">
        <v>48.49</v>
      </c>
      <c r="H751">
        <v>131</v>
      </c>
      <c r="I751" t="s">
        <v>25</v>
      </c>
      <c r="J751">
        <v>2025</v>
      </c>
      <c r="K751">
        <f t="shared" si="22"/>
        <v>31.999999999999993</v>
      </c>
      <c r="L751" t="str">
        <f t="shared" si="23"/>
        <v>Banca Tirrena|22|Factoring</v>
      </c>
    </row>
    <row r="752" spans="1:12" x14ac:dyDescent="0.25">
      <c r="A752" t="s">
        <v>24</v>
      </c>
      <c r="B752">
        <v>22</v>
      </c>
      <c r="C752" t="s">
        <v>20</v>
      </c>
      <c r="D752" s="1">
        <v>45961</v>
      </c>
      <c r="E752">
        <v>1638.8</v>
      </c>
      <c r="F752">
        <v>94.35</v>
      </c>
      <c r="G752">
        <v>56.02</v>
      </c>
      <c r="H752">
        <v>145</v>
      </c>
      <c r="I752" t="s">
        <v>25</v>
      </c>
      <c r="J752">
        <v>2025</v>
      </c>
      <c r="K752">
        <f t="shared" si="22"/>
        <v>38.329999999999991</v>
      </c>
      <c r="L752" t="str">
        <f t="shared" si="23"/>
        <v>Banca Tirrena|22|Risparmio</v>
      </c>
    </row>
    <row r="753" spans="1:12" x14ac:dyDescent="0.25">
      <c r="A753" t="s">
        <v>24</v>
      </c>
      <c r="B753">
        <v>22</v>
      </c>
      <c r="C753" t="s">
        <v>21</v>
      </c>
      <c r="D753" s="1">
        <v>45961</v>
      </c>
      <c r="E753">
        <v>1807.3</v>
      </c>
      <c r="F753">
        <v>107</v>
      </c>
      <c r="G753">
        <v>63.85</v>
      </c>
      <c r="H753">
        <v>184</v>
      </c>
      <c r="I753" t="s">
        <v>25</v>
      </c>
      <c r="J753">
        <v>2025</v>
      </c>
      <c r="K753">
        <f t="shared" si="22"/>
        <v>43.15</v>
      </c>
      <c r="L753" t="str">
        <f t="shared" si="23"/>
        <v>Banca Tirrena|22|Assicurazioni</v>
      </c>
    </row>
    <row r="754" spans="1:12" x14ac:dyDescent="0.25">
      <c r="A754" t="s">
        <v>24</v>
      </c>
      <c r="B754">
        <v>23</v>
      </c>
      <c r="C754" t="s">
        <v>13</v>
      </c>
      <c r="D754" s="1">
        <v>45991</v>
      </c>
      <c r="E754">
        <v>480.1</v>
      </c>
      <c r="F754">
        <v>22.14</v>
      </c>
      <c r="G754">
        <v>13.86</v>
      </c>
      <c r="H754">
        <v>80</v>
      </c>
      <c r="I754" t="s">
        <v>25</v>
      </c>
      <c r="J754">
        <v>2025</v>
      </c>
      <c r="K754">
        <f t="shared" si="22"/>
        <v>8.2800000000000011</v>
      </c>
      <c r="L754" t="str">
        <f t="shared" si="23"/>
        <v>Banca Tirrena|23|Mutui</v>
      </c>
    </row>
    <row r="755" spans="1:12" x14ac:dyDescent="0.25">
      <c r="A755" t="s">
        <v>24</v>
      </c>
      <c r="B755">
        <v>23</v>
      </c>
      <c r="C755" t="s">
        <v>15</v>
      </c>
      <c r="D755" s="1">
        <v>45991</v>
      </c>
      <c r="E755">
        <v>682.7</v>
      </c>
      <c r="F755">
        <v>32.520000000000003</v>
      </c>
      <c r="G755">
        <v>20.66</v>
      </c>
      <c r="H755">
        <v>86</v>
      </c>
      <c r="I755" t="s">
        <v>25</v>
      </c>
      <c r="J755">
        <v>2025</v>
      </c>
      <c r="K755">
        <f t="shared" si="22"/>
        <v>11.860000000000003</v>
      </c>
      <c r="L755" t="str">
        <f t="shared" si="23"/>
        <v>Banca Tirrena|23|Prestiti</v>
      </c>
    </row>
    <row r="756" spans="1:12" x14ac:dyDescent="0.25">
      <c r="A756" t="s">
        <v>24</v>
      </c>
      <c r="B756">
        <v>23</v>
      </c>
      <c r="C756" t="s">
        <v>16</v>
      </c>
      <c r="D756" s="1">
        <v>45991</v>
      </c>
      <c r="E756">
        <v>883.5</v>
      </c>
      <c r="F756">
        <v>44.15</v>
      </c>
      <c r="G756">
        <v>26.64</v>
      </c>
      <c r="H756">
        <v>87</v>
      </c>
      <c r="I756" t="s">
        <v>25</v>
      </c>
      <c r="J756">
        <v>2025</v>
      </c>
      <c r="K756">
        <f t="shared" si="22"/>
        <v>17.509999999999998</v>
      </c>
      <c r="L756" t="str">
        <f t="shared" si="23"/>
        <v>Banca Tirrena|23|Conti</v>
      </c>
    </row>
    <row r="757" spans="1:12" x14ac:dyDescent="0.25">
      <c r="A757" t="s">
        <v>24</v>
      </c>
      <c r="B757">
        <v>23</v>
      </c>
      <c r="C757" t="s">
        <v>17</v>
      </c>
      <c r="D757" s="1">
        <v>45991</v>
      </c>
      <c r="E757">
        <v>1081.4000000000001</v>
      </c>
      <c r="F757">
        <v>55.38</v>
      </c>
      <c r="G757">
        <v>34.39</v>
      </c>
      <c r="H757">
        <v>122</v>
      </c>
      <c r="I757" t="s">
        <v>25</v>
      </c>
      <c r="J757">
        <v>2025</v>
      </c>
      <c r="K757">
        <f t="shared" si="22"/>
        <v>20.990000000000002</v>
      </c>
      <c r="L757" t="str">
        <f t="shared" si="23"/>
        <v>Banca Tirrena|23|Carte</v>
      </c>
    </row>
    <row r="758" spans="1:12" x14ac:dyDescent="0.25">
      <c r="A758" t="s">
        <v>24</v>
      </c>
      <c r="B758">
        <v>23</v>
      </c>
      <c r="C758" t="s">
        <v>18</v>
      </c>
      <c r="D758" s="1">
        <v>45991</v>
      </c>
      <c r="E758">
        <v>1255.9000000000001</v>
      </c>
      <c r="F758">
        <v>67.06</v>
      </c>
      <c r="G758">
        <v>40.57</v>
      </c>
      <c r="H758">
        <v>110</v>
      </c>
      <c r="I758" t="s">
        <v>25</v>
      </c>
      <c r="J758">
        <v>2025</v>
      </c>
      <c r="K758">
        <f t="shared" si="22"/>
        <v>26.490000000000002</v>
      </c>
      <c r="L758" t="str">
        <f t="shared" si="23"/>
        <v>Banca Tirrena|23|Leasing</v>
      </c>
    </row>
    <row r="759" spans="1:12" x14ac:dyDescent="0.25">
      <c r="A759" t="s">
        <v>24</v>
      </c>
      <c r="B759">
        <v>23</v>
      </c>
      <c r="C759" t="s">
        <v>19</v>
      </c>
      <c r="D759" s="1">
        <v>45991</v>
      </c>
      <c r="E759">
        <v>1471.3</v>
      </c>
      <c r="F759">
        <v>81.010000000000005</v>
      </c>
      <c r="G759">
        <v>49.45</v>
      </c>
      <c r="H759">
        <v>137</v>
      </c>
      <c r="I759" t="s">
        <v>25</v>
      </c>
      <c r="J759">
        <v>2025</v>
      </c>
      <c r="K759">
        <f t="shared" si="22"/>
        <v>31.560000000000002</v>
      </c>
      <c r="L759" t="str">
        <f t="shared" si="23"/>
        <v>Banca Tirrena|23|Factoring</v>
      </c>
    </row>
    <row r="760" spans="1:12" x14ac:dyDescent="0.25">
      <c r="A760" t="s">
        <v>24</v>
      </c>
      <c r="B760">
        <v>23</v>
      </c>
      <c r="C760" t="s">
        <v>20</v>
      </c>
      <c r="D760" s="1">
        <v>45991</v>
      </c>
      <c r="E760">
        <v>1654.9</v>
      </c>
      <c r="F760">
        <v>94.53</v>
      </c>
      <c r="G760">
        <v>56.3</v>
      </c>
      <c r="H760">
        <v>171</v>
      </c>
      <c r="I760" t="s">
        <v>25</v>
      </c>
      <c r="J760">
        <v>2025</v>
      </c>
      <c r="K760">
        <f t="shared" si="22"/>
        <v>38.230000000000004</v>
      </c>
      <c r="L760" t="str">
        <f t="shared" si="23"/>
        <v>Banca Tirrena|23|Risparmio</v>
      </c>
    </row>
    <row r="761" spans="1:12" x14ac:dyDescent="0.25">
      <c r="A761" t="s">
        <v>24</v>
      </c>
      <c r="B761">
        <v>23</v>
      </c>
      <c r="C761" t="s">
        <v>21</v>
      </c>
      <c r="D761" s="1">
        <v>45991</v>
      </c>
      <c r="E761">
        <v>1821.3</v>
      </c>
      <c r="F761">
        <v>108.4</v>
      </c>
      <c r="G761">
        <v>64.45</v>
      </c>
      <c r="H761">
        <v>173</v>
      </c>
      <c r="I761" t="s">
        <v>25</v>
      </c>
      <c r="J761">
        <v>2025</v>
      </c>
      <c r="K761">
        <f t="shared" si="22"/>
        <v>43.95</v>
      </c>
      <c r="L761" t="str">
        <f t="shared" si="23"/>
        <v>Banca Tirrena|23|Assicurazioni</v>
      </c>
    </row>
    <row r="762" spans="1:12" x14ac:dyDescent="0.25">
      <c r="A762" t="s">
        <v>24</v>
      </c>
      <c r="B762">
        <v>24</v>
      </c>
      <c r="C762" t="s">
        <v>13</v>
      </c>
      <c r="D762" s="1">
        <v>46022</v>
      </c>
      <c r="E762">
        <v>502.1</v>
      </c>
      <c r="F762">
        <v>22.93</v>
      </c>
      <c r="G762">
        <v>14.68</v>
      </c>
      <c r="H762">
        <v>75</v>
      </c>
      <c r="I762" t="s">
        <v>25</v>
      </c>
      <c r="J762">
        <v>2025</v>
      </c>
      <c r="K762">
        <f t="shared" si="22"/>
        <v>8.25</v>
      </c>
      <c r="L762" t="str">
        <f t="shared" si="23"/>
        <v>Banca Tirrena|24|Mutui</v>
      </c>
    </row>
    <row r="763" spans="1:12" x14ac:dyDescent="0.25">
      <c r="A763" t="s">
        <v>24</v>
      </c>
      <c r="B763">
        <v>24</v>
      </c>
      <c r="C763" t="s">
        <v>15</v>
      </c>
      <c r="D763" s="1">
        <v>46022</v>
      </c>
      <c r="E763">
        <v>677.1</v>
      </c>
      <c r="F763">
        <v>32.630000000000003</v>
      </c>
      <c r="G763">
        <v>20.63</v>
      </c>
      <c r="H763">
        <v>84</v>
      </c>
      <c r="I763" t="s">
        <v>25</v>
      </c>
      <c r="J763">
        <v>2025</v>
      </c>
      <c r="K763">
        <f t="shared" si="22"/>
        <v>12.000000000000004</v>
      </c>
      <c r="L763" t="str">
        <f t="shared" si="23"/>
        <v>Banca Tirrena|24|Prestiti</v>
      </c>
    </row>
    <row r="764" spans="1:12" x14ac:dyDescent="0.25">
      <c r="A764" t="s">
        <v>24</v>
      </c>
      <c r="B764">
        <v>24</v>
      </c>
      <c r="C764" t="s">
        <v>16</v>
      </c>
      <c r="D764" s="1">
        <v>46022</v>
      </c>
      <c r="E764">
        <v>897.8</v>
      </c>
      <c r="F764">
        <v>44.49</v>
      </c>
      <c r="G764">
        <v>27.73</v>
      </c>
      <c r="H764">
        <v>93</v>
      </c>
      <c r="I764" t="s">
        <v>25</v>
      </c>
      <c r="J764">
        <v>2025</v>
      </c>
      <c r="K764">
        <f t="shared" si="22"/>
        <v>16.760000000000002</v>
      </c>
      <c r="L764" t="str">
        <f t="shared" si="23"/>
        <v>Banca Tirrena|24|Conti</v>
      </c>
    </row>
    <row r="765" spans="1:12" x14ac:dyDescent="0.25">
      <c r="A765" t="s">
        <v>24</v>
      </c>
      <c r="B765">
        <v>24</v>
      </c>
      <c r="C765" t="s">
        <v>17</v>
      </c>
      <c r="D765" s="1">
        <v>46022</v>
      </c>
      <c r="E765">
        <v>1103.0999999999999</v>
      </c>
      <c r="F765">
        <v>56.41</v>
      </c>
      <c r="G765">
        <v>34.54</v>
      </c>
      <c r="H765">
        <v>102</v>
      </c>
      <c r="I765" t="s">
        <v>25</v>
      </c>
      <c r="J765">
        <v>2025</v>
      </c>
      <c r="K765">
        <f t="shared" si="22"/>
        <v>21.869999999999997</v>
      </c>
      <c r="L765" t="str">
        <f t="shared" si="23"/>
        <v>Banca Tirrena|24|Carte</v>
      </c>
    </row>
    <row r="766" spans="1:12" x14ac:dyDescent="0.25">
      <c r="A766" t="s">
        <v>24</v>
      </c>
      <c r="B766">
        <v>24</v>
      </c>
      <c r="C766" t="s">
        <v>18</v>
      </c>
      <c r="D766" s="1">
        <v>46022</v>
      </c>
      <c r="E766">
        <v>1267.4000000000001</v>
      </c>
      <c r="F766">
        <v>67.709999999999994</v>
      </c>
      <c r="G766">
        <v>41.08</v>
      </c>
      <c r="H766">
        <v>113</v>
      </c>
      <c r="I766" t="s">
        <v>25</v>
      </c>
      <c r="J766">
        <v>2025</v>
      </c>
      <c r="K766">
        <f t="shared" si="22"/>
        <v>26.629999999999995</v>
      </c>
      <c r="L766" t="str">
        <f t="shared" si="23"/>
        <v>Banca Tirrena|24|Leasing</v>
      </c>
    </row>
    <row r="767" spans="1:12" x14ac:dyDescent="0.25">
      <c r="A767" t="s">
        <v>24</v>
      </c>
      <c r="B767">
        <v>24</v>
      </c>
      <c r="C767" t="s">
        <v>19</v>
      </c>
      <c r="D767" s="1">
        <v>46022</v>
      </c>
      <c r="E767">
        <v>1478.4</v>
      </c>
      <c r="F767">
        <v>82.13</v>
      </c>
      <c r="G767">
        <v>49.13</v>
      </c>
      <c r="H767">
        <v>131</v>
      </c>
      <c r="I767" t="s">
        <v>25</v>
      </c>
      <c r="J767">
        <v>2025</v>
      </c>
      <c r="K767">
        <f t="shared" si="22"/>
        <v>32.999999999999993</v>
      </c>
      <c r="L767" t="str">
        <f t="shared" si="23"/>
        <v>Banca Tirrena|24|Factoring</v>
      </c>
    </row>
    <row r="768" spans="1:12" x14ac:dyDescent="0.25">
      <c r="A768" t="s">
        <v>24</v>
      </c>
      <c r="B768">
        <v>24</v>
      </c>
      <c r="C768" t="s">
        <v>20</v>
      </c>
      <c r="D768" s="1">
        <v>46022</v>
      </c>
      <c r="E768">
        <v>1636.9</v>
      </c>
      <c r="F768">
        <v>93.83</v>
      </c>
      <c r="G768">
        <v>56.09</v>
      </c>
      <c r="H768">
        <v>158</v>
      </c>
      <c r="I768" t="s">
        <v>25</v>
      </c>
      <c r="J768">
        <v>2025</v>
      </c>
      <c r="K768">
        <f t="shared" si="22"/>
        <v>37.739999999999995</v>
      </c>
      <c r="L768" t="str">
        <f t="shared" si="23"/>
        <v>Banca Tirrena|24|Risparmio</v>
      </c>
    </row>
    <row r="769" spans="1:12" x14ac:dyDescent="0.25">
      <c r="A769" t="s">
        <v>24</v>
      </c>
      <c r="B769">
        <v>24</v>
      </c>
      <c r="C769" t="s">
        <v>21</v>
      </c>
      <c r="D769" s="1">
        <v>46022</v>
      </c>
      <c r="E769">
        <v>1843.2</v>
      </c>
      <c r="F769">
        <v>109.63</v>
      </c>
      <c r="G769">
        <v>65.09</v>
      </c>
      <c r="H769">
        <v>157</v>
      </c>
      <c r="I769" t="s">
        <v>25</v>
      </c>
      <c r="J769">
        <v>2025</v>
      </c>
      <c r="K769">
        <f t="shared" si="22"/>
        <v>44.539999999999992</v>
      </c>
      <c r="L769" t="str">
        <f t="shared" si="23"/>
        <v>Banca Tirrena|24|Assicurazioni</v>
      </c>
    </row>
    <row r="770" spans="1:12" x14ac:dyDescent="0.25">
      <c r="A770" t="s">
        <v>24</v>
      </c>
      <c r="B770">
        <v>25</v>
      </c>
      <c r="C770" t="s">
        <v>13</v>
      </c>
      <c r="D770" s="1">
        <v>46053</v>
      </c>
      <c r="E770">
        <v>523.6</v>
      </c>
      <c r="F770">
        <v>23.66</v>
      </c>
      <c r="G770">
        <v>14.93</v>
      </c>
      <c r="H770">
        <v>75</v>
      </c>
      <c r="I770" t="s">
        <v>25</v>
      </c>
      <c r="J770">
        <v>2026</v>
      </c>
      <c r="K770">
        <f t="shared" ref="K770:K833" si="24">F770-G770</f>
        <v>8.73</v>
      </c>
      <c r="L770" t="str">
        <f t="shared" ref="L770:L833" si="25">A770&amp;"|"&amp;B770&amp;"|"&amp;C770</f>
        <v>Banca Tirrena|25|Mutui</v>
      </c>
    </row>
    <row r="771" spans="1:12" x14ac:dyDescent="0.25">
      <c r="A771" t="s">
        <v>24</v>
      </c>
      <c r="B771">
        <v>25</v>
      </c>
      <c r="C771" t="s">
        <v>15</v>
      </c>
      <c r="D771" s="1">
        <v>46053</v>
      </c>
      <c r="E771">
        <v>730.1</v>
      </c>
      <c r="F771">
        <v>34.72</v>
      </c>
      <c r="G771">
        <v>21.74</v>
      </c>
      <c r="H771">
        <v>60</v>
      </c>
      <c r="I771" t="s">
        <v>25</v>
      </c>
      <c r="J771">
        <v>2026</v>
      </c>
      <c r="K771">
        <f t="shared" si="24"/>
        <v>12.98</v>
      </c>
      <c r="L771" t="str">
        <f t="shared" si="25"/>
        <v>Banca Tirrena|25|Prestiti</v>
      </c>
    </row>
    <row r="772" spans="1:12" x14ac:dyDescent="0.25">
      <c r="A772" t="s">
        <v>24</v>
      </c>
      <c r="B772">
        <v>25</v>
      </c>
      <c r="C772" t="s">
        <v>16</v>
      </c>
      <c r="D772" s="1">
        <v>46053</v>
      </c>
      <c r="E772">
        <v>883.5</v>
      </c>
      <c r="F772">
        <v>43.89</v>
      </c>
      <c r="G772">
        <v>26.91</v>
      </c>
      <c r="H772">
        <v>80</v>
      </c>
      <c r="I772" t="s">
        <v>25</v>
      </c>
      <c r="J772">
        <v>2026</v>
      </c>
      <c r="K772">
        <f t="shared" si="24"/>
        <v>16.98</v>
      </c>
      <c r="L772" t="str">
        <f t="shared" si="25"/>
        <v>Banca Tirrena|25|Conti</v>
      </c>
    </row>
    <row r="773" spans="1:12" x14ac:dyDescent="0.25">
      <c r="A773" t="s">
        <v>24</v>
      </c>
      <c r="B773">
        <v>25</v>
      </c>
      <c r="C773" t="s">
        <v>17</v>
      </c>
      <c r="D773" s="1">
        <v>46053</v>
      </c>
      <c r="E773">
        <v>1070.9000000000001</v>
      </c>
      <c r="F773">
        <v>55.43</v>
      </c>
      <c r="G773">
        <v>33.65</v>
      </c>
      <c r="H773">
        <v>98</v>
      </c>
      <c r="I773" t="s">
        <v>25</v>
      </c>
      <c r="J773">
        <v>2026</v>
      </c>
      <c r="K773">
        <f t="shared" si="24"/>
        <v>21.78</v>
      </c>
      <c r="L773" t="str">
        <f t="shared" si="25"/>
        <v>Banca Tirrena|25|Carte</v>
      </c>
    </row>
    <row r="774" spans="1:12" x14ac:dyDescent="0.25">
      <c r="A774" t="s">
        <v>24</v>
      </c>
      <c r="B774">
        <v>25</v>
      </c>
      <c r="C774" t="s">
        <v>18</v>
      </c>
      <c r="D774" s="1">
        <v>46053</v>
      </c>
      <c r="E774">
        <v>1310</v>
      </c>
      <c r="F774">
        <v>69.89</v>
      </c>
      <c r="G774">
        <v>42.73</v>
      </c>
      <c r="H774">
        <v>130</v>
      </c>
      <c r="I774" t="s">
        <v>25</v>
      </c>
      <c r="J774">
        <v>2026</v>
      </c>
      <c r="K774">
        <f t="shared" si="24"/>
        <v>27.160000000000004</v>
      </c>
      <c r="L774" t="str">
        <f t="shared" si="25"/>
        <v>Banca Tirrena|25|Leasing</v>
      </c>
    </row>
    <row r="775" spans="1:12" x14ac:dyDescent="0.25">
      <c r="A775" t="s">
        <v>24</v>
      </c>
      <c r="B775">
        <v>25</v>
      </c>
      <c r="C775" t="s">
        <v>19</v>
      </c>
      <c r="D775" s="1">
        <v>46053</v>
      </c>
      <c r="E775">
        <v>1506.3</v>
      </c>
      <c r="F775">
        <v>82.91</v>
      </c>
      <c r="G775">
        <v>50.03</v>
      </c>
      <c r="H775">
        <v>132</v>
      </c>
      <c r="I775" t="s">
        <v>25</v>
      </c>
      <c r="J775">
        <v>2026</v>
      </c>
      <c r="K775">
        <f t="shared" si="24"/>
        <v>32.879999999999995</v>
      </c>
      <c r="L775" t="str">
        <f t="shared" si="25"/>
        <v>Banca Tirrena|25|Factoring</v>
      </c>
    </row>
    <row r="776" spans="1:12" x14ac:dyDescent="0.25">
      <c r="A776" t="s">
        <v>24</v>
      </c>
      <c r="B776">
        <v>25</v>
      </c>
      <c r="C776" t="s">
        <v>20</v>
      </c>
      <c r="D776" s="1">
        <v>46053</v>
      </c>
      <c r="E776">
        <v>1693.5</v>
      </c>
      <c r="F776">
        <v>97.1</v>
      </c>
      <c r="G776">
        <v>57.89</v>
      </c>
      <c r="H776">
        <v>165</v>
      </c>
      <c r="I776" t="s">
        <v>25</v>
      </c>
      <c r="J776">
        <v>2026</v>
      </c>
      <c r="K776">
        <f t="shared" si="24"/>
        <v>39.209999999999994</v>
      </c>
      <c r="L776" t="str">
        <f t="shared" si="25"/>
        <v>Banca Tirrena|25|Risparmio</v>
      </c>
    </row>
    <row r="777" spans="1:12" x14ac:dyDescent="0.25">
      <c r="A777" t="s">
        <v>24</v>
      </c>
      <c r="B777">
        <v>25</v>
      </c>
      <c r="C777" t="s">
        <v>21</v>
      </c>
      <c r="D777" s="1">
        <v>46053</v>
      </c>
      <c r="E777">
        <v>1848.9</v>
      </c>
      <c r="F777">
        <v>109.35</v>
      </c>
      <c r="G777">
        <v>65.430000000000007</v>
      </c>
      <c r="H777">
        <v>168</v>
      </c>
      <c r="I777" t="s">
        <v>25</v>
      </c>
      <c r="J777">
        <v>2026</v>
      </c>
      <c r="K777">
        <f t="shared" si="24"/>
        <v>43.919999999999987</v>
      </c>
      <c r="L777" t="str">
        <f t="shared" si="25"/>
        <v>Banca Tirrena|25|Assicurazioni</v>
      </c>
    </row>
    <row r="778" spans="1:12" x14ac:dyDescent="0.25">
      <c r="A778" t="s">
        <v>24</v>
      </c>
      <c r="B778">
        <v>26</v>
      </c>
      <c r="C778" t="s">
        <v>13</v>
      </c>
      <c r="D778" s="1">
        <v>46081</v>
      </c>
      <c r="E778">
        <v>508.7</v>
      </c>
      <c r="F778">
        <v>23.15</v>
      </c>
      <c r="G778">
        <v>14.54</v>
      </c>
      <c r="H778">
        <v>82</v>
      </c>
      <c r="I778" t="s">
        <v>25</v>
      </c>
      <c r="J778">
        <v>2026</v>
      </c>
      <c r="K778">
        <f t="shared" si="24"/>
        <v>8.61</v>
      </c>
      <c r="L778" t="str">
        <f t="shared" si="25"/>
        <v>Banca Tirrena|26|Mutui</v>
      </c>
    </row>
    <row r="779" spans="1:12" x14ac:dyDescent="0.25">
      <c r="A779" t="s">
        <v>24</v>
      </c>
      <c r="B779">
        <v>26</v>
      </c>
      <c r="C779" t="s">
        <v>15</v>
      </c>
      <c r="D779" s="1">
        <v>46081</v>
      </c>
      <c r="E779">
        <v>726.6</v>
      </c>
      <c r="F779">
        <v>34.270000000000003</v>
      </c>
      <c r="G779">
        <v>21.36</v>
      </c>
      <c r="H779">
        <v>73</v>
      </c>
      <c r="I779" t="s">
        <v>25</v>
      </c>
      <c r="J779">
        <v>2026</v>
      </c>
      <c r="K779">
        <f t="shared" si="24"/>
        <v>12.910000000000004</v>
      </c>
      <c r="L779" t="str">
        <f t="shared" si="25"/>
        <v>Banca Tirrena|26|Prestiti</v>
      </c>
    </row>
    <row r="780" spans="1:12" x14ac:dyDescent="0.25">
      <c r="A780" t="s">
        <v>24</v>
      </c>
      <c r="B780">
        <v>26</v>
      </c>
      <c r="C780" t="s">
        <v>16</v>
      </c>
      <c r="D780" s="1">
        <v>46081</v>
      </c>
      <c r="E780">
        <v>927.3</v>
      </c>
      <c r="F780">
        <v>45.87</v>
      </c>
      <c r="G780">
        <v>28.2</v>
      </c>
      <c r="H780">
        <v>82</v>
      </c>
      <c r="I780" t="s">
        <v>25</v>
      </c>
      <c r="J780">
        <v>2026</v>
      </c>
      <c r="K780">
        <f t="shared" si="24"/>
        <v>17.669999999999998</v>
      </c>
      <c r="L780" t="str">
        <f t="shared" si="25"/>
        <v>Banca Tirrena|26|Conti</v>
      </c>
    </row>
    <row r="781" spans="1:12" x14ac:dyDescent="0.25">
      <c r="A781" t="s">
        <v>24</v>
      </c>
      <c r="B781">
        <v>26</v>
      </c>
      <c r="C781" t="s">
        <v>17</v>
      </c>
      <c r="D781" s="1">
        <v>46081</v>
      </c>
      <c r="E781">
        <v>1101.4000000000001</v>
      </c>
      <c r="F781">
        <v>56.46</v>
      </c>
      <c r="G781">
        <v>34.82</v>
      </c>
      <c r="H781">
        <v>126</v>
      </c>
      <c r="I781" t="s">
        <v>25</v>
      </c>
      <c r="J781">
        <v>2026</v>
      </c>
      <c r="K781">
        <f t="shared" si="24"/>
        <v>21.64</v>
      </c>
      <c r="L781" t="str">
        <f t="shared" si="25"/>
        <v>Banca Tirrena|26|Carte</v>
      </c>
    </row>
    <row r="782" spans="1:12" x14ac:dyDescent="0.25">
      <c r="A782" t="s">
        <v>24</v>
      </c>
      <c r="B782">
        <v>26</v>
      </c>
      <c r="C782" t="s">
        <v>18</v>
      </c>
      <c r="D782" s="1">
        <v>46081</v>
      </c>
      <c r="E782">
        <v>1310.5999999999999</v>
      </c>
      <c r="F782">
        <v>69.540000000000006</v>
      </c>
      <c r="G782">
        <v>42.29</v>
      </c>
      <c r="H782">
        <v>116</v>
      </c>
      <c r="I782" t="s">
        <v>25</v>
      </c>
      <c r="J782">
        <v>2026</v>
      </c>
      <c r="K782">
        <f t="shared" si="24"/>
        <v>27.250000000000007</v>
      </c>
      <c r="L782" t="str">
        <f t="shared" si="25"/>
        <v>Banca Tirrena|26|Leasing</v>
      </c>
    </row>
    <row r="783" spans="1:12" x14ac:dyDescent="0.25">
      <c r="A783" t="s">
        <v>24</v>
      </c>
      <c r="B783">
        <v>26</v>
      </c>
      <c r="C783" t="s">
        <v>19</v>
      </c>
      <c r="D783" s="1">
        <v>46081</v>
      </c>
      <c r="E783">
        <v>1470.7</v>
      </c>
      <c r="F783">
        <v>81.180000000000007</v>
      </c>
      <c r="G783">
        <v>49.3</v>
      </c>
      <c r="H783">
        <v>162</v>
      </c>
      <c r="I783" t="s">
        <v>25</v>
      </c>
      <c r="J783">
        <v>2026</v>
      </c>
      <c r="K783">
        <f t="shared" si="24"/>
        <v>31.88000000000001</v>
      </c>
      <c r="L783" t="str">
        <f t="shared" si="25"/>
        <v>Banca Tirrena|26|Factoring</v>
      </c>
    </row>
    <row r="784" spans="1:12" x14ac:dyDescent="0.25">
      <c r="A784" t="s">
        <v>24</v>
      </c>
      <c r="B784">
        <v>26</v>
      </c>
      <c r="C784" t="s">
        <v>20</v>
      </c>
      <c r="D784" s="1">
        <v>46081</v>
      </c>
      <c r="E784">
        <v>1714.8</v>
      </c>
      <c r="F784">
        <v>97.84</v>
      </c>
      <c r="G784">
        <v>58.45</v>
      </c>
      <c r="H784">
        <v>174</v>
      </c>
      <c r="I784" t="s">
        <v>25</v>
      </c>
      <c r="J784">
        <v>2026</v>
      </c>
      <c r="K784">
        <f t="shared" si="24"/>
        <v>39.39</v>
      </c>
      <c r="L784" t="str">
        <f t="shared" si="25"/>
        <v>Banca Tirrena|26|Risparmio</v>
      </c>
    </row>
    <row r="785" spans="1:12" x14ac:dyDescent="0.25">
      <c r="A785" t="s">
        <v>24</v>
      </c>
      <c r="B785">
        <v>26</v>
      </c>
      <c r="C785" t="s">
        <v>21</v>
      </c>
      <c r="D785" s="1">
        <v>46081</v>
      </c>
      <c r="E785">
        <v>1856.1</v>
      </c>
      <c r="F785">
        <v>109.68</v>
      </c>
      <c r="G785">
        <v>65.790000000000006</v>
      </c>
      <c r="H785">
        <v>190</v>
      </c>
      <c r="I785" t="s">
        <v>25</v>
      </c>
      <c r="J785">
        <v>2026</v>
      </c>
      <c r="K785">
        <f t="shared" si="24"/>
        <v>43.89</v>
      </c>
      <c r="L785" t="str">
        <f t="shared" si="25"/>
        <v>Banca Tirrena|26|Assicurazioni</v>
      </c>
    </row>
    <row r="786" spans="1:12" x14ac:dyDescent="0.25">
      <c r="A786" t="s">
        <v>24</v>
      </c>
      <c r="B786">
        <v>27</v>
      </c>
      <c r="C786" t="s">
        <v>13</v>
      </c>
      <c r="D786" s="1">
        <v>46112</v>
      </c>
      <c r="E786">
        <v>545.4</v>
      </c>
      <c r="F786">
        <v>25.32</v>
      </c>
      <c r="G786">
        <v>16.22</v>
      </c>
      <c r="H786">
        <v>58</v>
      </c>
      <c r="I786" t="s">
        <v>25</v>
      </c>
      <c r="J786">
        <v>2026</v>
      </c>
      <c r="K786">
        <f t="shared" si="24"/>
        <v>9.1000000000000014</v>
      </c>
      <c r="L786" t="str">
        <f t="shared" si="25"/>
        <v>Banca Tirrena|27|Mutui</v>
      </c>
    </row>
    <row r="787" spans="1:12" x14ac:dyDescent="0.25">
      <c r="A787" t="s">
        <v>24</v>
      </c>
      <c r="B787">
        <v>27</v>
      </c>
      <c r="C787" t="s">
        <v>15</v>
      </c>
      <c r="D787" s="1">
        <v>46112</v>
      </c>
      <c r="E787">
        <v>729.9</v>
      </c>
      <c r="F787">
        <v>34.5</v>
      </c>
      <c r="G787">
        <v>21.29</v>
      </c>
      <c r="H787">
        <v>65</v>
      </c>
      <c r="I787" t="s">
        <v>25</v>
      </c>
      <c r="J787">
        <v>2026</v>
      </c>
      <c r="K787">
        <f t="shared" si="24"/>
        <v>13.21</v>
      </c>
      <c r="L787" t="str">
        <f t="shared" si="25"/>
        <v>Banca Tirrena|27|Prestiti</v>
      </c>
    </row>
    <row r="788" spans="1:12" x14ac:dyDescent="0.25">
      <c r="A788" t="s">
        <v>24</v>
      </c>
      <c r="B788">
        <v>27</v>
      </c>
      <c r="C788" t="s">
        <v>16</v>
      </c>
      <c r="D788" s="1">
        <v>46112</v>
      </c>
      <c r="E788">
        <v>915</v>
      </c>
      <c r="F788">
        <v>45.43</v>
      </c>
      <c r="G788">
        <v>28.28</v>
      </c>
      <c r="H788">
        <v>98</v>
      </c>
      <c r="I788" t="s">
        <v>25</v>
      </c>
      <c r="J788">
        <v>2026</v>
      </c>
      <c r="K788">
        <f t="shared" si="24"/>
        <v>17.149999999999999</v>
      </c>
      <c r="L788" t="str">
        <f t="shared" si="25"/>
        <v>Banca Tirrena|27|Conti</v>
      </c>
    </row>
    <row r="789" spans="1:12" x14ac:dyDescent="0.25">
      <c r="A789" t="s">
        <v>24</v>
      </c>
      <c r="B789">
        <v>27</v>
      </c>
      <c r="C789" t="s">
        <v>17</v>
      </c>
      <c r="D789" s="1">
        <v>46112</v>
      </c>
      <c r="E789">
        <v>1086.8</v>
      </c>
      <c r="F789">
        <v>56.33</v>
      </c>
      <c r="G789">
        <v>33.75</v>
      </c>
      <c r="H789">
        <v>124</v>
      </c>
      <c r="I789" t="s">
        <v>25</v>
      </c>
      <c r="J789">
        <v>2026</v>
      </c>
      <c r="K789">
        <f t="shared" si="24"/>
        <v>22.58</v>
      </c>
      <c r="L789" t="str">
        <f t="shared" si="25"/>
        <v>Banca Tirrena|27|Carte</v>
      </c>
    </row>
    <row r="790" spans="1:12" x14ac:dyDescent="0.25">
      <c r="A790" t="s">
        <v>24</v>
      </c>
      <c r="B790">
        <v>27</v>
      </c>
      <c r="C790" t="s">
        <v>18</v>
      </c>
      <c r="D790" s="1">
        <v>46112</v>
      </c>
      <c r="E790">
        <v>1334.7</v>
      </c>
      <c r="F790">
        <v>71.099999999999994</v>
      </c>
      <c r="G790">
        <v>43.03</v>
      </c>
      <c r="H790">
        <v>123</v>
      </c>
      <c r="I790" t="s">
        <v>25</v>
      </c>
      <c r="J790">
        <v>2026</v>
      </c>
      <c r="K790">
        <f t="shared" si="24"/>
        <v>28.069999999999993</v>
      </c>
      <c r="L790" t="str">
        <f t="shared" si="25"/>
        <v>Banca Tirrena|27|Leasing</v>
      </c>
    </row>
    <row r="791" spans="1:12" x14ac:dyDescent="0.25">
      <c r="A791" t="s">
        <v>24</v>
      </c>
      <c r="B791">
        <v>27</v>
      </c>
      <c r="C791" t="s">
        <v>19</v>
      </c>
      <c r="D791" s="1">
        <v>46112</v>
      </c>
      <c r="E791">
        <v>1509.9</v>
      </c>
      <c r="F791">
        <v>83.32</v>
      </c>
      <c r="G791">
        <v>50.33</v>
      </c>
      <c r="H791">
        <v>128</v>
      </c>
      <c r="I791" t="s">
        <v>25</v>
      </c>
      <c r="J791">
        <v>2026</v>
      </c>
      <c r="K791">
        <f t="shared" si="24"/>
        <v>32.989999999999995</v>
      </c>
      <c r="L791" t="str">
        <f t="shared" si="25"/>
        <v>Banca Tirrena|27|Factoring</v>
      </c>
    </row>
    <row r="792" spans="1:12" x14ac:dyDescent="0.25">
      <c r="A792" t="s">
        <v>24</v>
      </c>
      <c r="B792">
        <v>27</v>
      </c>
      <c r="C792" t="s">
        <v>20</v>
      </c>
      <c r="D792" s="1">
        <v>46112</v>
      </c>
      <c r="E792">
        <v>1701.3</v>
      </c>
      <c r="F792">
        <v>97.43</v>
      </c>
      <c r="G792">
        <v>58.65</v>
      </c>
      <c r="H792">
        <v>140</v>
      </c>
      <c r="I792" t="s">
        <v>25</v>
      </c>
      <c r="J792">
        <v>2026</v>
      </c>
      <c r="K792">
        <f t="shared" si="24"/>
        <v>38.780000000000008</v>
      </c>
      <c r="L792" t="str">
        <f t="shared" si="25"/>
        <v>Banca Tirrena|27|Risparmio</v>
      </c>
    </row>
    <row r="793" spans="1:12" x14ac:dyDescent="0.25">
      <c r="A793" t="s">
        <v>24</v>
      </c>
      <c r="B793">
        <v>27</v>
      </c>
      <c r="C793" t="s">
        <v>21</v>
      </c>
      <c r="D793" s="1">
        <v>46112</v>
      </c>
      <c r="E793">
        <v>1906.1</v>
      </c>
      <c r="F793">
        <v>112.59</v>
      </c>
      <c r="G793">
        <v>67.69</v>
      </c>
      <c r="H793">
        <v>177</v>
      </c>
      <c r="I793" t="s">
        <v>25</v>
      </c>
      <c r="J793">
        <v>2026</v>
      </c>
      <c r="K793">
        <f t="shared" si="24"/>
        <v>44.900000000000006</v>
      </c>
      <c r="L793" t="str">
        <f t="shared" si="25"/>
        <v>Banca Tirrena|27|Assicurazioni</v>
      </c>
    </row>
    <row r="794" spans="1:12" x14ac:dyDescent="0.25">
      <c r="A794" t="s">
        <v>24</v>
      </c>
      <c r="B794">
        <v>28</v>
      </c>
      <c r="C794" t="s">
        <v>13</v>
      </c>
      <c r="D794" s="1">
        <v>46142</v>
      </c>
      <c r="E794">
        <v>527.4</v>
      </c>
      <c r="F794">
        <v>23.89</v>
      </c>
      <c r="G794">
        <v>15.35</v>
      </c>
      <c r="H794">
        <v>61</v>
      </c>
      <c r="I794" t="s">
        <v>25</v>
      </c>
      <c r="J794">
        <v>2026</v>
      </c>
      <c r="K794">
        <f t="shared" si="24"/>
        <v>8.5400000000000009</v>
      </c>
      <c r="L794" t="str">
        <f t="shared" si="25"/>
        <v>Banca Tirrena|28|Mutui</v>
      </c>
    </row>
    <row r="795" spans="1:12" x14ac:dyDescent="0.25">
      <c r="A795" t="s">
        <v>24</v>
      </c>
      <c r="B795">
        <v>28</v>
      </c>
      <c r="C795" t="s">
        <v>15</v>
      </c>
      <c r="D795" s="1">
        <v>46142</v>
      </c>
      <c r="E795">
        <v>700.6</v>
      </c>
      <c r="F795">
        <v>33.200000000000003</v>
      </c>
      <c r="G795">
        <v>20.89</v>
      </c>
      <c r="H795">
        <v>89</v>
      </c>
      <c r="I795" t="s">
        <v>25</v>
      </c>
      <c r="J795">
        <v>2026</v>
      </c>
      <c r="K795">
        <f t="shared" si="24"/>
        <v>12.310000000000002</v>
      </c>
      <c r="L795" t="str">
        <f t="shared" si="25"/>
        <v>Banca Tirrena|28|Prestiti</v>
      </c>
    </row>
    <row r="796" spans="1:12" x14ac:dyDescent="0.25">
      <c r="A796" t="s">
        <v>24</v>
      </c>
      <c r="B796">
        <v>28</v>
      </c>
      <c r="C796" t="s">
        <v>16</v>
      </c>
      <c r="D796" s="1">
        <v>46142</v>
      </c>
      <c r="E796">
        <v>911.2</v>
      </c>
      <c r="F796">
        <v>44.76</v>
      </c>
      <c r="G796">
        <v>28.31</v>
      </c>
      <c r="H796">
        <v>110</v>
      </c>
      <c r="I796" t="s">
        <v>25</v>
      </c>
      <c r="J796">
        <v>2026</v>
      </c>
      <c r="K796">
        <f t="shared" si="24"/>
        <v>16.45</v>
      </c>
      <c r="L796" t="str">
        <f t="shared" si="25"/>
        <v>Banca Tirrena|28|Conti</v>
      </c>
    </row>
    <row r="797" spans="1:12" x14ac:dyDescent="0.25">
      <c r="A797" t="s">
        <v>24</v>
      </c>
      <c r="B797">
        <v>28</v>
      </c>
      <c r="C797" t="s">
        <v>17</v>
      </c>
      <c r="D797" s="1">
        <v>46142</v>
      </c>
      <c r="E797">
        <v>1097.0999999999999</v>
      </c>
      <c r="F797">
        <v>56.41</v>
      </c>
      <c r="G797">
        <v>34.549999999999997</v>
      </c>
      <c r="H797">
        <v>120</v>
      </c>
      <c r="I797" t="s">
        <v>25</v>
      </c>
      <c r="J797">
        <v>2026</v>
      </c>
      <c r="K797">
        <f t="shared" si="24"/>
        <v>21.86</v>
      </c>
      <c r="L797" t="str">
        <f t="shared" si="25"/>
        <v>Banca Tirrena|28|Carte</v>
      </c>
    </row>
    <row r="798" spans="1:12" x14ac:dyDescent="0.25">
      <c r="A798" t="s">
        <v>24</v>
      </c>
      <c r="B798">
        <v>28</v>
      </c>
      <c r="C798" t="s">
        <v>18</v>
      </c>
      <c r="D798" s="1">
        <v>46142</v>
      </c>
      <c r="E798">
        <v>1323.9</v>
      </c>
      <c r="F798">
        <v>70.86</v>
      </c>
      <c r="G798">
        <v>42.38</v>
      </c>
      <c r="H798">
        <v>131</v>
      </c>
      <c r="I798" t="s">
        <v>25</v>
      </c>
      <c r="J798">
        <v>2026</v>
      </c>
      <c r="K798">
        <f t="shared" si="24"/>
        <v>28.479999999999997</v>
      </c>
      <c r="L798" t="str">
        <f t="shared" si="25"/>
        <v>Banca Tirrena|28|Leasing</v>
      </c>
    </row>
    <row r="799" spans="1:12" x14ac:dyDescent="0.25">
      <c r="A799" t="s">
        <v>24</v>
      </c>
      <c r="B799">
        <v>28</v>
      </c>
      <c r="C799" t="s">
        <v>19</v>
      </c>
      <c r="D799" s="1">
        <v>46142</v>
      </c>
      <c r="E799">
        <v>1483.2</v>
      </c>
      <c r="F799">
        <v>82.35</v>
      </c>
      <c r="G799">
        <v>49.76</v>
      </c>
      <c r="H799">
        <v>158</v>
      </c>
      <c r="I799" t="s">
        <v>25</v>
      </c>
      <c r="J799">
        <v>2026</v>
      </c>
      <c r="K799">
        <f t="shared" si="24"/>
        <v>32.589999999999996</v>
      </c>
      <c r="L799" t="str">
        <f t="shared" si="25"/>
        <v>Banca Tirrena|28|Factoring</v>
      </c>
    </row>
    <row r="800" spans="1:12" x14ac:dyDescent="0.25">
      <c r="A800" t="s">
        <v>24</v>
      </c>
      <c r="B800">
        <v>28</v>
      </c>
      <c r="C800" t="s">
        <v>20</v>
      </c>
      <c r="D800" s="1">
        <v>46142</v>
      </c>
      <c r="E800">
        <v>1719.5</v>
      </c>
      <c r="F800">
        <v>98.94</v>
      </c>
      <c r="G800">
        <v>58.98</v>
      </c>
      <c r="H800">
        <v>153</v>
      </c>
      <c r="I800" t="s">
        <v>25</v>
      </c>
      <c r="J800">
        <v>2026</v>
      </c>
      <c r="K800">
        <f t="shared" si="24"/>
        <v>39.96</v>
      </c>
      <c r="L800" t="str">
        <f t="shared" si="25"/>
        <v>Banca Tirrena|28|Risparmio</v>
      </c>
    </row>
    <row r="801" spans="1:12" x14ac:dyDescent="0.25">
      <c r="A801" t="s">
        <v>24</v>
      </c>
      <c r="B801">
        <v>28</v>
      </c>
      <c r="C801" t="s">
        <v>21</v>
      </c>
      <c r="D801" s="1">
        <v>46142</v>
      </c>
      <c r="E801">
        <v>1902.7</v>
      </c>
      <c r="F801">
        <v>113.03</v>
      </c>
      <c r="G801">
        <v>67.459999999999994</v>
      </c>
      <c r="H801">
        <v>167</v>
      </c>
      <c r="I801" t="s">
        <v>25</v>
      </c>
      <c r="J801">
        <v>2026</v>
      </c>
      <c r="K801">
        <f t="shared" si="24"/>
        <v>45.570000000000007</v>
      </c>
      <c r="L801" t="str">
        <f t="shared" si="25"/>
        <v>Banca Tirrena|28|Assicurazioni</v>
      </c>
    </row>
    <row r="802" spans="1:12" x14ac:dyDescent="0.25">
      <c r="A802" t="s">
        <v>24</v>
      </c>
      <c r="B802">
        <v>29</v>
      </c>
      <c r="C802" t="s">
        <v>13</v>
      </c>
      <c r="D802" s="1">
        <v>46173</v>
      </c>
      <c r="E802">
        <v>503</v>
      </c>
      <c r="F802">
        <v>23.34</v>
      </c>
      <c r="G802">
        <v>14.83</v>
      </c>
      <c r="H802">
        <v>73</v>
      </c>
      <c r="I802" t="s">
        <v>25</v>
      </c>
      <c r="J802">
        <v>2026</v>
      </c>
      <c r="K802">
        <f t="shared" si="24"/>
        <v>8.51</v>
      </c>
      <c r="L802" t="str">
        <f t="shared" si="25"/>
        <v>Banca Tirrena|29|Mutui</v>
      </c>
    </row>
    <row r="803" spans="1:12" x14ac:dyDescent="0.25">
      <c r="A803" t="s">
        <v>24</v>
      </c>
      <c r="B803">
        <v>29</v>
      </c>
      <c r="C803" t="s">
        <v>15</v>
      </c>
      <c r="D803" s="1">
        <v>46173</v>
      </c>
      <c r="E803">
        <v>731.1</v>
      </c>
      <c r="F803">
        <v>34.85</v>
      </c>
      <c r="G803">
        <v>22.12</v>
      </c>
      <c r="H803">
        <v>93</v>
      </c>
      <c r="I803" t="s">
        <v>25</v>
      </c>
      <c r="J803">
        <v>2026</v>
      </c>
      <c r="K803">
        <f t="shared" si="24"/>
        <v>12.73</v>
      </c>
      <c r="L803" t="str">
        <f t="shared" si="25"/>
        <v>Banca Tirrena|29|Prestiti</v>
      </c>
    </row>
    <row r="804" spans="1:12" x14ac:dyDescent="0.25">
      <c r="A804" t="s">
        <v>24</v>
      </c>
      <c r="B804">
        <v>29</v>
      </c>
      <c r="C804" t="s">
        <v>16</v>
      </c>
      <c r="D804" s="1">
        <v>46173</v>
      </c>
      <c r="E804">
        <v>899.2</v>
      </c>
      <c r="F804">
        <v>44.64</v>
      </c>
      <c r="G804">
        <v>27.22</v>
      </c>
      <c r="H804">
        <v>110</v>
      </c>
      <c r="I804" t="s">
        <v>25</v>
      </c>
      <c r="J804">
        <v>2026</v>
      </c>
      <c r="K804">
        <f t="shared" si="24"/>
        <v>17.420000000000002</v>
      </c>
      <c r="L804" t="str">
        <f t="shared" si="25"/>
        <v>Banca Tirrena|29|Conti</v>
      </c>
    </row>
    <row r="805" spans="1:12" x14ac:dyDescent="0.25">
      <c r="A805" t="s">
        <v>24</v>
      </c>
      <c r="B805">
        <v>29</v>
      </c>
      <c r="C805" t="s">
        <v>17</v>
      </c>
      <c r="D805" s="1">
        <v>46173</v>
      </c>
      <c r="E805">
        <v>1105.5999999999999</v>
      </c>
      <c r="F805">
        <v>56.53</v>
      </c>
      <c r="G805">
        <v>35.25</v>
      </c>
      <c r="H805">
        <v>108</v>
      </c>
      <c r="I805" t="s">
        <v>25</v>
      </c>
      <c r="J805">
        <v>2026</v>
      </c>
      <c r="K805">
        <f t="shared" si="24"/>
        <v>21.28</v>
      </c>
      <c r="L805" t="str">
        <f t="shared" si="25"/>
        <v>Banca Tirrena|29|Carte</v>
      </c>
    </row>
    <row r="806" spans="1:12" x14ac:dyDescent="0.25">
      <c r="A806" t="s">
        <v>24</v>
      </c>
      <c r="B806">
        <v>29</v>
      </c>
      <c r="C806" t="s">
        <v>18</v>
      </c>
      <c r="D806" s="1">
        <v>46173</v>
      </c>
      <c r="E806">
        <v>1337</v>
      </c>
      <c r="F806">
        <v>71.31</v>
      </c>
      <c r="G806">
        <v>43.48</v>
      </c>
      <c r="H806">
        <v>110</v>
      </c>
      <c r="I806" t="s">
        <v>25</v>
      </c>
      <c r="J806">
        <v>2026</v>
      </c>
      <c r="K806">
        <f t="shared" si="24"/>
        <v>27.830000000000005</v>
      </c>
      <c r="L806" t="str">
        <f t="shared" si="25"/>
        <v>Banca Tirrena|29|Leasing</v>
      </c>
    </row>
    <row r="807" spans="1:12" x14ac:dyDescent="0.25">
      <c r="A807" t="s">
        <v>24</v>
      </c>
      <c r="B807">
        <v>29</v>
      </c>
      <c r="C807" t="s">
        <v>19</v>
      </c>
      <c r="D807" s="1">
        <v>46173</v>
      </c>
      <c r="E807">
        <v>1538.7</v>
      </c>
      <c r="F807">
        <v>85.22</v>
      </c>
      <c r="G807">
        <v>51.42</v>
      </c>
      <c r="H807">
        <v>142</v>
      </c>
      <c r="I807" t="s">
        <v>25</v>
      </c>
      <c r="J807">
        <v>2026</v>
      </c>
      <c r="K807">
        <f t="shared" si="24"/>
        <v>33.799999999999997</v>
      </c>
      <c r="L807" t="str">
        <f t="shared" si="25"/>
        <v>Banca Tirrena|29|Factoring</v>
      </c>
    </row>
    <row r="808" spans="1:12" x14ac:dyDescent="0.25">
      <c r="A808" t="s">
        <v>24</v>
      </c>
      <c r="B808">
        <v>29</v>
      </c>
      <c r="C808" t="s">
        <v>20</v>
      </c>
      <c r="D808" s="1">
        <v>46173</v>
      </c>
      <c r="E808">
        <v>1725</v>
      </c>
      <c r="F808">
        <v>98.92</v>
      </c>
      <c r="G808">
        <v>58.91</v>
      </c>
      <c r="H808">
        <v>167</v>
      </c>
      <c r="I808" t="s">
        <v>25</v>
      </c>
      <c r="J808">
        <v>2026</v>
      </c>
      <c r="K808">
        <f t="shared" si="24"/>
        <v>40.010000000000005</v>
      </c>
      <c r="L808" t="str">
        <f t="shared" si="25"/>
        <v>Banca Tirrena|29|Risparmio</v>
      </c>
    </row>
    <row r="809" spans="1:12" x14ac:dyDescent="0.25">
      <c r="A809" t="s">
        <v>24</v>
      </c>
      <c r="B809">
        <v>29</v>
      </c>
      <c r="C809" t="s">
        <v>21</v>
      </c>
      <c r="D809" s="1">
        <v>46173</v>
      </c>
      <c r="E809">
        <v>1943.2</v>
      </c>
      <c r="F809">
        <v>115.59</v>
      </c>
      <c r="G809">
        <v>68.27</v>
      </c>
      <c r="H809">
        <v>158</v>
      </c>
      <c r="I809" t="s">
        <v>25</v>
      </c>
      <c r="J809">
        <v>2026</v>
      </c>
      <c r="K809">
        <f t="shared" si="24"/>
        <v>47.320000000000007</v>
      </c>
      <c r="L809" t="str">
        <f t="shared" si="25"/>
        <v>Banca Tirrena|29|Assicurazioni</v>
      </c>
    </row>
    <row r="810" spans="1:12" x14ac:dyDescent="0.25">
      <c r="A810" t="s">
        <v>24</v>
      </c>
      <c r="B810">
        <v>30</v>
      </c>
      <c r="C810" t="s">
        <v>13</v>
      </c>
      <c r="D810" s="1">
        <v>46203</v>
      </c>
      <c r="E810">
        <v>541.6</v>
      </c>
      <c r="F810">
        <v>25.23</v>
      </c>
      <c r="G810">
        <v>16.13</v>
      </c>
      <c r="H810">
        <v>76</v>
      </c>
      <c r="I810" t="s">
        <v>25</v>
      </c>
      <c r="J810">
        <v>2026</v>
      </c>
      <c r="K810">
        <f t="shared" si="24"/>
        <v>9.1000000000000014</v>
      </c>
      <c r="L810" t="str">
        <f t="shared" si="25"/>
        <v>Banca Tirrena|30|Mutui</v>
      </c>
    </row>
    <row r="811" spans="1:12" x14ac:dyDescent="0.25">
      <c r="A811" t="s">
        <v>24</v>
      </c>
      <c r="B811">
        <v>30</v>
      </c>
      <c r="C811" t="s">
        <v>15</v>
      </c>
      <c r="D811" s="1">
        <v>46203</v>
      </c>
      <c r="E811">
        <v>745.5</v>
      </c>
      <c r="F811">
        <v>35.729999999999997</v>
      </c>
      <c r="G811">
        <v>22.25</v>
      </c>
      <c r="H811">
        <v>65</v>
      </c>
      <c r="I811" t="s">
        <v>25</v>
      </c>
      <c r="J811">
        <v>2026</v>
      </c>
      <c r="K811">
        <f t="shared" si="24"/>
        <v>13.479999999999997</v>
      </c>
      <c r="L811" t="str">
        <f t="shared" si="25"/>
        <v>Banca Tirrena|30|Prestiti</v>
      </c>
    </row>
    <row r="812" spans="1:12" x14ac:dyDescent="0.25">
      <c r="A812" t="s">
        <v>24</v>
      </c>
      <c r="B812">
        <v>30</v>
      </c>
      <c r="C812" t="s">
        <v>16</v>
      </c>
      <c r="D812" s="1">
        <v>46203</v>
      </c>
      <c r="E812">
        <v>936.7</v>
      </c>
      <c r="F812">
        <v>46.69</v>
      </c>
      <c r="G812">
        <v>28.53</v>
      </c>
      <c r="H812">
        <v>97</v>
      </c>
      <c r="I812" t="s">
        <v>25</v>
      </c>
      <c r="J812">
        <v>2026</v>
      </c>
      <c r="K812">
        <f t="shared" si="24"/>
        <v>18.159999999999997</v>
      </c>
      <c r="L812" t="str">
        <f t="shared" si="25"/>
        <v>Banca Tirrena|30|Conti</v>
      </c>
    </row>
    <row r="813" spans="1:12" x14ac:dyDescent="0.25">
      <c r="A813" t="s">
        <v>24</v>
      </c>
      <c r="B813">
        <v>30</v>
      </c>
      <c r="C813" t="s">
        <v>17</v>
      </c>
      <c r="D813" s="1">
        <v>46203</v>
      </c>
      <c r="E813">
        <v>1116.3</v>
      </c>
      <c r="F813">
        <v>56.94</v>
      </c>
      <c r="G813">
        <v>35.270000000000003</v>
      </c>
      <c r="H813">
        <v>129</v>
      </c>
      <c r="I813" t="s">
        <v>25</v>
      </c>
      <c r="J813">
        <v>2026</v>
      </c>
      <c r="K813">
        <f t="shared" si="24"/>
        <v>21.669999999999995</v>
      </c>
      <c r="L813" t="str">
        <f t="shared" si="25"/>
        <v>Banca Tirrena|30|Carte</v>
      </c>
    </row>
    <row r="814" spans="1:12" x14ac:dyDescent="0.25">
      <c r="A814" t="s">
        <v>24</v>
      </c>
      <c r="B814">
        <v>30</v>
      </c>
      <c r="C814" t="s">
        <v>18</v>
      </c>
      <c r="D814" s="1">
        <v>46203</v>
      </c>
      <c r="E814">
        <v>1330.6</v>
      </c>
      <c r="F814">
        <v>71.37</v>
      </c>
      <c r="G814">
        <v>43.04</v>
      </c>
      <c r="H814">
        <v>117</v>
      </c>
      <c r="I814" t="s">
        <v>25</v>
      </c>
      <c r="J814">
        <v>2026</v>
      </c>
      <c r="K814">
        <f t="shared" si="24"/>
        <v>28.330000000000005</v>
      </c>
      <c r="L814" t="str">
        <f t="shared" si="25"/>
        <v>Banca Tirrena|30|Leasing</v>
      </c>
    </row>
    <row r="815" spans="1:12" x14ac:dyDescent="0.25">
      <c r="A815" t="s">
        <v>24</v>
      </c>
      <c r="B815">
        <v>30</v>
      </c>
      <c r="C815" t="s">
        <v>19</v>
      </c>
      <c r="D815" s="1">
        <v>46203</v>
      </c>
      <c r="E815">
        <v>1509.9</v>
      </c>
      <c r="F815">
        <v>83.37</v>
      </c>
      <c r="G815">
        <v>50.39</v>
      </c>
      <c r="H815">
        <v>163</v>
      </c>
      <c r="I815" t="s">
        <v>25</v>
      </c>
      <c r="J815">
        <v>2026</v>
      </c>
      <c r="K815">
        <f t="shared" si="24"/>
        <v>32.980000000000004</v>
      </c>
      <c r="L815" t="str">
        <f t="shared" si="25"/>
        <v>Banca Tirrena|30|Factoring</v>
      </c>
    </row>
    <row r="816" spans="1:12" x14ac:dyDescent="0.25">
      <c r="A816" t="s">
        <v>24</v>
      </c>
      <c r="B816">
        <v>30</v>
      </c>
      <c r="C816" t="s">
        <v>20</v>
      </c>
      <c r="D816" s="1">
        <v>46203</v>
      </c>
      <c r="E816">
        <v>1734.2</v>
      </c>
      <c r="F816">
        <v>99.74</v>
      </c>
      <c r="G816">
        <v>59.88</v>
      </c>
      <c r="H816">
        <v>171</v>
      </c>
      <c r="I816" t="s">
        <v>25</v>
      </c>
      <c r="J816">
        <v>2026</v>
      </c>
      <c r="K816">
        <f t="shared" si="24"/>
        <v>39.859999999999992</v>
      </c>
      <c r="L816" t="str">
        <f t="shared" si="25"/>
        <v>Banca Tirrena|30|Risparmio</v>
      </c>
    </row>
    <row r="817" spans="1:12" x14ac:dyDescent="0.25">
      <c r="A817" t="s">
        <v>24</v>
      </c>
      <c r="B817">
        <v>30</v>
      </c>
      <c r="C817" t="s">
        <v>21</v>
      </c>
      <c r="D817" s="1">
        <v>46203</v>
      </c>
      <c r="E817">
        <v>1951</v>
      </c>
      <c r="F817">
        <v>115.59</v>
      </c>
      <c r="G817">
        <v>69.150000000000006</v>
      </c>
      <c r="H817">
        <v>171</v>
      </c>
      <c r="I817" t="s">
        <v>25</v>
      </c>
      <c r="J817">
        <v>2026</v>
      </c>
      <c r="K817">
        <f t="shared" si="24"/>
        <v>46.44</v>
      </c>
      <c r="L817" t="str">
        <f t="shared" si="25"/>
        <v>Banca Tirrena|30|Assicurazioni</v>
      </c>
    </row>
    <row r="818" spans="1:12" x14ac:dyDescent="0.25">
      <c r="A818" t="s">
        <v>24</v>
      </c>
      <c r="B818">
        <v>31</v>
      </c>
      <c r="C818" t="s">
        <v>13</v>
      </c>
      <c r="D818" s="1">
        <v>46234</v>
      </c>
      <c r="E818">
        <v>553.5</v>
      </c>
      <c r="F818">
        <v>25.86</v>
      </c>
      <c r="G818">
        <v>15.99</v>
      </c>
      <c r="H818">
        <v>78</v>
      </c>
      <c r="I818" t="s">
        <v>25</v>
      </c>
      <c r="J818">
        <v>2026</v>
      </c>
      <c r="K818">
        <f t="shared" si="24"/>
        <v>9.8699999999999992</v>
      </c>
      <c r="L818" t="str">
        <f t="shared" si="25"/>
        <v>Banca Tirrena|31|Mutui</v>
      </c>
    </row>
    <row r="819" spans="1:12" x14ac:dyDescent="0.25">
      <c r="A819" t="s">
        <v>24</v>
      </c>
      <c r="B819">
        <v>31</v>
      </c>
      <c r="C819" t="s">
        <v>15</v>
      </c>
      <c r="D819" s="1">
        <v>46234</v>
      </c>
      <c r="E819">
        <v>716.3</v>
      </c>
      <c r="F819">
        <v>33.82</v>
      </c>
      <c r="G819">
        <v>21.47</v>
      </c>
      <c r="H819">
        <v>76</v>
      </c>
      <c r="I819" t="s">
        <v>25</v>
      </c>
      <c r="J819">
        <v>2026</v>
      </c>
      <c r="K819">
        <f t="shared" si="24"/>
        <v>12.350000000000001</v>
      </c>
      <c r="L819" t="str">
        <f t="shared" si="25"/>
        <v>Banca Tirrena|31|Prestiti</v>
      </c>
    </row>
    <row r="820" spans="1:12" x14ac:dyDescent="0.25">
      <c r="A820" t="s">
        <v>24</v>
      </c>
      <c r="B820">
        <v>31</v>
      </c>
      <c r="C820" t="s">
        <v>16</v>
      </c>
      <c r="D820" s="1">
        <v>46234</v>
      </c>
      <c r="E820">
        <v>944.9</v>
      </c>
      <c r="F820">
        <v>46.57</v>
      </c>
      <c r="G820">
        <v>28.65</v>
      </c>
      <c r="H820">
        <v>98</v>
      </c>
      <c r="I820" t="s">
        <v>25</v>
      </c>
      <c r="J820">
        <v>2026</v>
      </c>
      <c r="K820">
        <f t="shared" si="24"/>
        <v>17.920000000000002</v>
      </c>
      <c r="L820" t="str">
        <f t="shared" si="25"/>
        <v>Banca Tirrena|31|Conti</v>
      </c>
    </row>
    <row r="821" spans="1:12" x14ac:dyDescent="0.25">
      <c r="A821" t="s">
        <v>24</v>
      </c>
      <c r="B821">
        <v>31</v>
      </c>
      <c r="C821" t="s">
        <v>17</v>
      </c>
      <c r="D821" s="1">
        <v>46234</v>
      </c>
      <c r="E821">
        <v>1159.4000000000001</v>
      </c>
      <c r="F821">
        <v>59.52</v>
      </c>
      <c r="G821">
        <v>36.630000000000003</v>
      </c>
      <c r="H821">
        <v>118</v>
      </c>
      <c r="I821" t="s">
        <v>25</v>
      </c>
      <c r="J821">
        <v>2026</v>
      </c>
      <c r="K821">
        <f t="shared" si="24"/>
        <v>22.89</v>
      </c>
      <c r="L821" t="str">
        <f t="shared" si="25"/>
        <v>Banca Tirrena|31|Carte</v>
      </c>
    </row>
    <row r="822" spans="1:12" x14ac:dyDescent="0.25">
      <c r="A822" t="s">
        <v>24</v>
      </c>
      <c r="B822">
        <v>31</v>
      </c>
      <c r="C822" t="s">
        <v>18</v>
      </c>
      <c r="D822" s="1">
        <v>46234</v>
      </c>
      <c r="E822">
        <v>1330</v>
      </c>
      <c r="F822">
        <v>70.62</v>
      </c>
      <c r="G822">
        <v>43.22</v>
      </c>
      <c r="H822">
        <v>131</v>
      </c>
      <c r="I822" t="s">
        <v>25</v>
      </c>
      <c r="J822">
        <v>2026</v>
      </c>
      <c r="K822">
        <f t="shared" si="24"/>
        <v>27.400000000000006</v>
      </c>
      <c r="L822" t="str">
        <f t="shared" si="25"/>
        <v>Banca Tirrena|31|Leasing</v>
      </c>
    </row>
    <row r="823" spans="1:12" x14ac:dyDescent="0.25">
      <c r="A823" t="s">
        <v>24</v>
      </c>
      <c r="B823">
        <v>31</v>
      </c>
      <c r="C823" t="s">
        <v>19</v>
      </c>
      <c r="D823" s="1">
        <v>46234</v>
      </c>
      <c r="E823">
        <v>1550.9</v>
      </c>
      <c r="F823">
        <v>86.18</v>
      </c>
      <c r="G823">
        <v>51.82</v>
      </c>
      <c r="H823">
        <v>153</v>
      </c>
      <c r="I823" t="s">
        <v>25</v>
      </c>
      <c r="J823">
        <v>2026</v>
      </c>
      <c r="K823">
        <f t="shared" si="24"/>
        <v>34.360000000000007</v>
      </c>
      <c r="L823" t="str">
        <f t="shared" si="25"/>
        <v>Banca Tirrena|31|Factoring</v>
      </c>
    </row>
    <row r="824" spans="1:12" x14ac:dyDescent="0.25">
      <c r="A824" t="s">
        <v>24</v>
      </c>
      <c r="B824">
        <v>31</v>
      </c>
      <c r="C824" t="s">
        <v>20</v>
      </c>
      <c r="D824" s="1">
        <v>46234</v>
      </c>
      <c r="E824">
        <v>1731.3</v>
      </c>
      <c r="F824">
        <v>98.83</v>
      </c>
      <c r="G824">
        <v>59.15</v>
      </c>
      <c r="H824">
        <v>146</v>
      </c>
      <c r="I824" t="s">
        <v>25</v>
      </c>
      <c r="J824">
        <v>2026</v>
      </c>
      <c r="K824">
        <f t="shared" si="24"/>
        <v>39.68</v>
      </c>
      <c r="L824" t="str">
        <f t="shared" si="25"/>
        <v>Banca Tirrena|31|Risparmio</v>
      </c>
    </row>
    <row r="825" spans="1:12" x14ac:dyDescent="0.25">
      <c r="A825" t="s">
        <v>24</v>
      </c>
      <c r="B825">
        <v>31</v>
      </c>
      <c r="C825" t="s">
        <v>21</v>
      </c>
      <c r="D825" s="1">
        <v>46234</v>
      </c>
      <c r="E825">
        <v>1919.3</v>
      </c>
      <c r="F825">
        <v>113.6</v>
      </c>
      <c r="G825">
        <v>67.760000000000005</v>
      </c>
      <c r="H825">
        <v>160</v>
      </c>
      <c r="I825" t="s">
        <v>25</v>
      </c>
      <c r="J825">
        <v>2026</v>
      </c>
      <c r="K825">
        <f t="shared" si="24"/>
        <v>45.839999999999989</v>
      </c>
      <c r="L825" t="str">
        <f t="shared" si="25"/>
        <v>Banca Tirrena|31|Assicurazioni</v>
      </c>
    </row>
    <row r="826" spans="1:12" x14ac:dyDescent="0.25">
      <c r="A826" t="s">
        <v>24</v>
      </c>
      <c r="B826">
        <v>32</v>
      </c>
      <c r="C826" t="s">
        <v>13</v>
      </c>
      <c r="D826" s="1">
        <v>46265</v>
      </c>
      <c r="E826">
        <v>512.79999999999995</v>
      </c>
      <c r="F826">
        <v>23.71</v>
      </c>
      <c r="G826">
        <v>14.5</v>
      </c>
      <c r="H826">
        <v>57</v>
      </c>
      <c r="I826" t="s">
        <v>25</v>
      </c>
      <c r="J826">
        <v>2026</v>
      </c>
      <c r="K826">
        <f t="shared" si="24"/>
        <v>9.2100000000000009</v>
      </c>
      <c r="L826" t="str">
        <f t="shared" si="25"/>
        <v>Banca Tirrena|32|Mutui</v>
      </c>
    </row>
    <row r="827" spans="1:12" x14ac:dyDescent="0.25">
      <c r="A827" t="s">
        <v>24</v>
      </c>
      <c r="B827">
        <v>32</v>
      </c>
      <c r="C827" t="s">
        <v>15</v>
      </c>
      <c r="D827" s="1">
        <v>46265</v>
      </c>
      <c r="E827">
        <v>767.6</v>
      </c>
      <c r="F827">
        <v>36.659999999999997</v>
      </c>
      <c r="G827">
        <v>22.6</v>
      </c>
      <c r="H827">
        <v>96</v>
      </c>
      <c r="I827" t="s">
        <v>25</v>
      </c>
      <c r="J827">
        <v>2026</v>
      </c>
      <c r="K827">
        <f t="shared" si="24"/>
        <v>14.059999999999995</v>
      </c>
      <c r="L827" t="str">
        <f t="shared" si="25"/>
        <v>Banca Tirrena|32|Prestiti</v>
      </c>
    </row>
    <row r="828" spans="1:12" x14ac:dyDescent="0.25">
      <c r="A828" t="s">
        <v>24</v>
      </c>
      <c r="B828">
        <v>32</v>
      </c>
      <c r="C828" t="s">
        <v>16</v>
      </c>
      <c r="D828" s="1">
        <v>46265</v>
      </c>
      <c r="E828">
        <v>960.8</v>
      </c>
      <c r="F828">
        <v>47.87</v>
      </c>
      <c r="G828">
        <v>29</v>
      </c>
      <c r="H828">
        <v>77</v>
      </c>
      <c r="I828" t="s">
        <v>25</v>
      </c>
      <c r="J828">
        <v>2026</v>
      </c>
      <c r="K828">
        <f t="shared" si="24"/>
        <v>18.869999999999997</v>
      </c>
      <c r="L828" t="str">
        <f t="shared" si="25"/>
        <v>Banca Tirrena|32|Conti</v>
      </c>
    </row>
    <row r="829" spans="1:12" x14ac:dyDescent="0.25">
      <c r="A829" t="s">
        <v>24</v>
      </c>
      <c r="B829">
        <v>32</v>
      </c>
      <c r="C829" t="s">
        <v>17</v>
      </c>
      <c r="D829" s="1">
        <v>46265</v>
      </c>
      <c r="E829">
        <v>1124.9000000000001</v>
      </c>
      <c r="F829">
        <v>57.67</v>
      </c>
      <c r="G829">
        <v>35.75</v>
      </c>
      <c r="H829">
        <v>99</v>
      </c>
      <c r="I829" t="s">
        <v>25</v>
      </c>
      <c r="J829">
        <v>2026</v>
      </c>
      <c r="K829">
        <f t="shared" si="24"/>
        <v>21.92</v>
      </c>
      <c r="L829" t="str">
        <f t="shared" si="25"/>
        <v>Banca Tirrena|32|Carte</v>
      </c>
    </row>
    <row r="830" spans="1:12" x14ac:dyDescent="0.25">
      <c r="A830" t="s">
        <v>24</v>
      </c>
      <c r="B830">
        <v>32</v>
      </c>
      <c r="C830" t="s">
        <v>18</v>
      </c>
      <c r="D830" s="1">
        <v>46265</v>
      </c>
      <c r="E830">
        <v>1356.2</v>
      </c>
      <c r="F830">
        <v>72.39</v>
      </c>
      <c r="G830">
        <v>44.37</v>
      </c>
      <c r="H830">
        <v>111</v>
      </c>
      <c r="I830" t="s">
        <v>25</v>
      </c>
      <c r="J830">
        <v>2026</v>
      </c>
      <c r="K830">
        <f t="shared" si="24"/>
        <v>28.020000000000003</v>
      </c>
      <c r="L830" t="str">
        <f t="shared" si="25"/>
        <v>Banca Tirrena|32|Leasing</v>
      </c>
    </row>
    <row r="831" spans="1:12" x14ac:dyDescent="0.25">
      <c r="A831" t="s">
        <v>24</v>
      </c>
      <c r="B831">
        <v>32</v>
      </c>
      <c r="C831" t="s">
        <v>19</v>
      </c>
      <c r="D831" s="1">
        <v>46265</v>
      </c>
      <c r="E831">
        <v>1568.8</v>
      </c>
      <c r="F831">
        <v>87.27</v>
      </c>
      <c r="G831">
        <v>51.91</v>
      </c>
      <c r="H831">
        <v>143</v>
      </c>
      <c r="I831" t="s">
        <v>25</v>
      </c>
      <c r="J831">
        <v>2026</v>
      </c>
      <c r="K831">
        <f t="shared" si="24"/>
        <v>35.36</v>
      </c>
      <c r="L831" t="str">
        <f t="shared" si="25"/>
        <v>Banca Tirrena|32|Factoring</v>
      </c>
    </row>
    <row r="832" spans="1:12" x14ac:dyDescent="0.25">
      <c r="A832" t="s">
        <v>24</v>
      </c>
      <c r="B832">
        <v>32</v>
      </c>
      <c r="C832" t="s">
        <v>20</v>
      </c>
      <c r="D832" s="1">
        <v>46265</v>
      </c>
      <c r="E832">
        <v>1724.3</v>
      </c>
      <c r="F832">
        <v>99.1</v>
      </c>
      <c r="G832">
        <v>59.2</v>
      </c>
      <c r="H832">
        <v>165</v>
      </c>
      <c r="I832" t="s">
        <v>25</v>
      </c>
      <c r="J832">
        <v>2026</v>
      </c>
      <c r="K832">
        <f t="shared" si="24"/>
        <v>39.899999999999991</v>
      </c>
      <c r="L832" t="str">
        <f t="shared" si="25"/>
        <v>Banca Tirrena|32|Risparmio</v>
      </c>
    </row>
    <row r="833" spans="1:12" x14ac:dyDescent="0.25">
      <c r="A833" t="s">
        <v>24</v>
      </c>
      <c r="B833">
        <v>32</v>
      </c>
      <c r="C833" t="s">
        <v>21</v>
      </c>
      <c r="D833" s="1">
        <v>46265</v>
      </c>
      <c r="E833">
        <v>1931</v>
      </c>
      <c r="F833">
        <v>114.92</v>
      </c>
      <c r="G833">
        <v>67.87</v>
      </c>
      <c r="H833">
        <v>183</v>
      </c>
      <c r="I833" t="s">
        <v>25</v>
      </c>
      <c r="J833">
        <v>2026</v>
      </c>
      <c r="K833">
        <f t="shared" si="24"/>
        <v>47.05</v>
      </c>
      <c r="L833" t="str">
        <f t="shared" si="25"/>
        <v>Banca Tirrena|32|Assicurazioni</v>
      </c>
    </row>
    <row r="834" spans="1:12" x14ac:dyDescent="0.25">
      <c r="A834" t="s">
        <v>24</v>
      </c>
      <c r="B834">
        <v>33</v>
      </c>
      <c r="C834" t="s">
        <v>13</v>
      </c>
      <c r="D834" s="1">
        <v>46295</v>
      </c>
      <c r="E834">
        <v>515</v>
      </c>
      <c r="F834">
        <v>23.71</v>
      </c>
      <c r="G834">
        <v>15.11</v>
      </c>
      <c r="H834">
        <v>80</v>
      </c>
      <c r="I834" t="s">
        <v>25</v>
      </c>
      <c r="J834">
        <v>2026</v>
      </c>
      <c r="K834">
        <f t="shared" ref="K834:K897" si="26">F834-G834</f>
        <v>8.6000000000000014</v>
      </c>
      <c r="L834" t="str">
        <f t="shared" ref="L834:L897" si="27">A834&amp;"|"&amp;B834&amp;"|"&amp;C834</f>
        <v>Banca Tirrena|33|Mutui</v>
      </c>
    </row>
    <row r="835" spans="1:12" x14ac:dyDescent="0.25">
      <c r="A835" t="s">
        <v>24</v>
      </c>
      <c r="B835">
        <v>33</v>
      </c>
      <c r="C835" t="s">
        <v>15</v>
      </c>
      <c r="D835" s="1">
        <v>46295</v>
      </c>
      <c r="E835">
        <v>760.7</v>
      </c>
      <c r="F835">
        <v>36.72</v>
      </c>
      <c r="G835">
        <v>22.28</v>
      </c>
      <c r="H835">
        <v>60</v>
      </c>
      <c r="I835" t="s">
        <v>25</v>
      </c>
      <c r="J835">
        <v>2026</v>
      </c>
      <c r="K835">
        <f t="shared" si="26"/>
        <v>14.439999999999998</v>
      </c>
      <c r="L835" t="str">
        <f t="shared" si="27"/>
        <v>Banca Tirrena|33|Prestiti</v>
      </c>
    </row>
    <row r="836" spans="1:12" x14ac:dyDescent="0.25">
      <c r="A836" t="s">
        <v>24</v>
      </c>
      <c r="B836">
        <v>33</v>
      </c>
      <c r="C836" t="s">
        <v>16</v>
      </c>
      <c r="D836" s="1">
        <v>46295</v>
      </c>
      <c r="E836">
        <v>969.8</v>
      </c>
      <c r="F836">
        <v>48</v>
      </c>
      <c r="G836">
        <v>29.46</v>
      </c>
      <c r="H836">
        <v>95</v>
      </c>
      <c r="I836" t="s">
        <v>25</v>
      </c>
      <c r="J836">
        <v>2026</v>
      </c>
      <c r="K836">
        <f t="shared" si="26"/>
        <v>18.54</v>
      </c>
      <c r="L836" t="str">
        <f t="shared" si="27"/>
        <v>Banca Tirrena|33|Conti</v>
      </c>
    </row>
    <row r="837" spans="1:12" x14ac:dyDescent="0.25">
      <c r="A837" t="s">
        <v>24</v>
      </c>
      <c r="B837">
        <v>33</v>
      </c>
      <c r="C837" t="s">
        <v>17</v>
      </c>
      <c r="D837" s="1">
        <v>46295</v>
      </c>
      <c r="E837">
        <v>1173.5999999999999</v>
      </c>
      <c r="F837">
        <v>60.51</v>
      </c>
      <c r="G837">
        <v>36.4</v>
      </c>
      <c r="H837">
        <v>114</v>
      </c>
      <c r="I837" t="s">
        <v>25</v>
      </c>
      <c r="J837">
        <v>2026</v>
      </c>
      <c r="K837">
        <f t="shared" si="26"/>
        <v>24.11</v>
      </c>
      <c r="L837" t="str">
        <f t="shared" si="27"/>
        <v>Banca Tirrena|33|Carte</v>
      </c>
    </row>
    <row r="838" spans="1:12" x14ac:dyDescent="0.25">
      <c r="A838" t="s">
        <v>24</v>
      </c>
      <c r="B838">
        <v>33</v>
      </c>
      <c r="C838" t="s">
        <v>18</v>
      </c>
      <c r="D838" s="1">
        <v>46295</v>
      </c>
      <c r="E838">
        <v>1354.2</v>
      </c>
      <c r="F838">
        <v>72.22</v>
      </c>
      <c r="G838">
        <v>44.18</v>
      </c>
      <c r="H838">
        <v>144</v>
      </c>
      <c r="I838" t="s">
        <v>25</v>
      </c>
      <c r="J838">
        <v>2026</v>
      </c>
      <c r="K838">
        <f t="shared" si="26"/>
        <v>28.04</v>
      </c>
      <c r="L838" t="str">
        <f t="shared" si="27"/>
        <v>Banca Tirrena|33|Leasing</v>
      </c>
    </row>
    <row r="839" spans="1:12" x14ac:dyDescent="0.25">
      <c r="A839" t="s">
        <v>24</v>
      </c>
      <c r="B839">
        <v>33</v>
      </c>
      <c r="C839" t="s">
        <v>19</v>
      </c>
      <c r="D839" s="1">
        <v>46295</v>
      </c>
      <c r="E839">
        <v>1535.9</v>
      </c>
      <c r="F839">
        <v>84.69</v>
      </c>
      <c r="G839">
        <v>51.23</v>
      </c>
      <c r="H839">
        <v>162</v>
      </c>
      <c r="I839" t="s">
        <v>25</v>
      </c>
      <c r="J839">
        <v>2026</v>
      </c>
      <c r="K839">
        <f t="shared" si="26"/>
        <v>33.46</v>
      </c>
      <c r="L839" t="str">
        <f t="shared" si="27"/>
        <v>Banca Tirrena|33|Factoring</v>
      </c>
    </row>
    <row r="840" spans="1:12" x14ac:dyDescent="0.25">
      <c r="A840" t="s">
        <v>24</v>
      </c>
      <c r="B840">
        <v>33</v>
      </c>
      <c r="C840" t="s">
        <v>20</v>
      </c>
      <c r="D840" s="1">
        <v>46295</v>
      </c>
      <c r="E840">
        <v>1741.1</v>
      </c>
      <c r="F840">
        <v>99.25</v>
      </c>
      <c r="G840">
        <v>59.38</v>
      </c>
      <c r="H840">
        <v>148</v>
      </c>
      <c r="I840" t="s">
        <v>25</v>
      </c>
      <c r="J840">
        <v>2026</v>
      </c>
      <c r="K840">
        <f t="shared" si="26"/>
        <v>39.869999999999997</v>
      </c>
      <c r="L840" t="str">
        <f t="shared" si="27"/>
        <v>Banca Tirrena|33|Risparmio</v>
      </c>
    </row>
    <row r="841" spans="1:12" x14ac:dyDescent="0.25">
      <c r="A841" t="s">
        <v>24</v>
      </c>
      <c r="B841">
        <v>33</v>
      </c>
      <c r="C841" t="s">
        <v>21</v>
      </c>
      <c r="D841" s="1">
        <v>46295</v>
      </c>
      <c r="E841">
        <v>1979.1</v>
      </c>
      <c r="F841">
        <v>117.59</v>
      </c>
      <c r="G841">
        <v>69.290000000000006</v>
      </c>
      <c r="H841">
        <v>171</v>
      </c>
      <c r="I841" t="s">
        <v>25</v>
      </c>
      <c r="J841">
        <v>2026</v>
      </c>
      <c r="K841">
        <f t="shared" si="26"/>
        <v>48.3</v>
      </c>
      <c r="L841" t="str">
        <f t="shared" si="27"/>
        <v>Banca Tirrena|33|Assicurazioni</v>
      </c>
    </row>
    <row r="842" spans="1:12" x14ac:dyDescent="0.25">
      <c r="A842" t="s">
        <v>24</v>
      </c>
      <c r="B842">
        <v>34</v>
      </c>
      <c r="C842" t="s">
        <v>13</v>
      </c>
      <c r="D842" s="1">
        <v>46326</v>
      </c>
      <c r="E842">
        <v>562</v>
      </c>
      <c r="F842">
        <v>26.06</v>
      </c>
      <c r="G842">
        <v>15.85</v>
      </c>
      <c r="H842">
        <v>69</v>
      </c>
      <c r="I842" t="s">
        <v>25</v>
      </c>
      <c r="J842">
        <v>2026</v>
      </c>
      <c r="K842">
        <f t="shared" si="26"/>
        <v>10.209999999999999</v>
      </c>
      <c r="L842" t="str">
        <f t="shared" si="27"/>
        <v>Banca Tirrena|34|Mutui</v>
      </c>
    </row>
    <row r="843" spans="1:12" x14ac:dyDescent="0.25">
      <c r="A843" t="s">
        <v>24</v>
      </c>
      <c r="B843">
        <v>34</v>
      </c>
      <c r="C843" t="s">
        <v>15</v>
      </c>
      <c r="D843" s="1">
        <v>46326</v>
      </c>
      <c r="E843">
        <v>748.6</v>
      </c>
      <c r="F843">
        <v>35.630000000000003</v>
      </c>
      <c r="G843">
        <v>21.78</v>
      </c>
      <c r="H843">
        <v>91</v>
      </c>
      <c r="I843" t="s">
        <v>25</v>
      </c>
      <c r="J843">
        <v>2026</v>
      </c>
      <c r="K843">
        <f t="shared" si="26"/>
        <v>13.850000000000001</v>
      </c>
      <c r="L843" t="str">
        <f t="shared" si="27"/>
        <v>Banca Tirrena|34|Prestiti</v>
      </c>
    </row>
    <row r="844" spans="1:12" x14ac:dyDescent="0.25">
      <c r="A844" t="s">
        <v>24</v>
      </c>
      <c r="B844">
        <v>34</v>
      </c>
      <c r="C844" t="s">
        <v>16</v>
      </c>
      <c r="D844" s="1">
        <v>46326</v>
      </c>
      <c r="E844">
        <v>949.7</v>
      </c>
      <c r="F844">
        <v>47.51</v>
      </c>
      <c r="G844">
        <v>29.19</v>
      </c>
      <c r="H844">
        <v>85</v>
      </c>
      <c r="I844" t="s">
        <v>25</v>
      </c>
      <c r="J844">
        <v>2026</v>
      </c>
      <c r="K844">
        <f t="shared" si="26"/>
        <v>18.319999999999997</v>
      </c>
      <c r="L844" t="str">
        <f t="shared" si="27"/>
        <v>Banca Tirrena|34|Conti</v>
      </c>
    </row>
    <row r="845" spans="1:12" x14ac:dyDescent="0.25">
      <c r="A845" t="s">
        <v>24</v>
      </c>
      <c r="B845">
        <v>34</v>
      </c>
      <c r="C845" t="s">
        <v>17</v>
      </c>
      <c r="D845" s="1">
        <v>46326</v>
      </c>
      <c r="E845">
        <v>1153.7</v>
      </c>
      <c r="F845">
        <v>59.52</v>
      </c>
      <c r="G845">
        <v>36.520000000000003</v>
      </c>
      <c r="H845">
        <v>125</v>
      </c>
      <c r="I845" t="s">
        <v>25</v>
      </c>
      <c r="J845">
        <v>2026</v>
      </c>
      <c r="K845">
        <f t="shared" si="26"/>
        <v>23</v>
      </c>
      <c r="L845" t="str">
        <f t="shared" si="27"/>
        <v>Banca Tirrena|34|Carte</v>
      </c>
    </row>
    <row r="846" spans="1:12" x14ac:dyDescent="0.25">
      <c r="A846" t="s">
        <v>24</v>
      </c>
      <c r="B846">
        <v>34</v>
      </c>
      <c r="C846" t="s">
        <v>18</v>
      </c>
      <c r="D846" s="1">
        <v>46326</v>
      </c>
      <c r="E846">
        <v>1336.9</v>
      </c>
      <c r="F846">
        <v>71.28</v>
      </c>
      <c r="G846">
        <v>43.04</v>
      </c>
      <c r="H846">
        <v>144</v>
      </c>
      <c r="I846" t="s">
        <v>25</v>
      </c>
      <c r="J846">
        <v>2026</v>
      </c>
      <c r="K846">
        <f t="shared" si="26"/>
        <v>28.240000000000002</v>
      </c>
      <c r="L846" t="str">
        <f t="shared" si="27"/>
        <v>Banca Tirrena|34|Leasing</v>
      </c>
    </row>
    <row r="847" spans="1:12" x14ac:dyDescent="0.25">
      <c r="A847" t="s">
        <v>24</v>
      </c>
      <c r="B847">
        <v>34</v>
      </c>
      <c r="C847" t="s">
        <v>19</v>
      </c>
      <c r="D847" s="1">
        <v>46326</v>
      </c>
      <c r="E847">
        <v>1574.6</v>
      </c>
      <c r="F847">
        <v>86.89</v>
      </c>
      <c r="G847">
        <v>52.13</v>
      </c>
      <c r="H847">
        <v>157</v>
      </c>
      <c r="I847" t="s">
        <v>25</v>
      </c>
      <c r="J847">
        <v>2026</v>
      </c>
      <c r="K847">
        <f t="shared" si="26"/>
        <v>34.76</v>
      </c>
      <c r="L847" t="str">
        <f t="shared" si="27"/>
        <v>Banca Tirrena|34|Factoring</v>
      </c>
    </row>
    <row r="848" spans="1:12" x14ac:dyDescent="0.25">
      <c r="A848" t="s">
        <v>24</v>
      </c>
      <c r="B848">
        <v>34</v>
      </c>
      <c r="C848" t="s">
        <v>20</v>
      </c>
      <c r="D848" s="1">
        <v>46326</v>
      </c>
      <c r="E848">
        <v>1754.9</v>
      </c>
      <c r="F848">
        <v>100.66</v>
      </c>
      <c r="G848">
        <v>60.3</v>
      </c>
      <c r="H848">
        <v>173</v>
      </c>
      <c r="I848" t="s">
        <v>25</v>
      </c>
      <c r="J848">
        <v>2026</v>
      </c>
      <c r="K848">
        <f t="shared" si="26"/>
        <v>40.36</v>
      </c>
      <c r="L848" t="str">
        <f t="shared" si="27"/>
        <v>Banca Tirrena|34|Risparmio</v>
      </c>
    </row>
    <row r="849" spans="1:12" x14ac:dyDescent="0.25">
      <c r="A849" t="s">
        <v>24</v>
      </c>
      <c r="B849">
        <v>34</v>
      </c>
      <c r="C849" t="s">
        <v>21</v>
      </c>
      <c r="D849" s="1">
        <v>46326</v>
      </c>
      <c r="E849">
        <v>2006.8</v>
      </c>
      <c r="F849">
        <v>118.74</v>
      </c>
      <c r="G849">
        <v>70.42</v>
      </c>
      <c r="H849">
        <v>174</v>
      </c>
      <c r="I849" t="s">
        <v>25</v>
      </c>
      <c r="J849">
        <v>2026</v>
      </c>
      <c r="K849">
        <f t="shared" si="26"/>
        <v>48.319999999999993</v>
      </c>
      <c r="L849" t="str">
        <f t="shared" si="27"/>
        <v>Banca Tirrena|34|Assicurazioni</v>
      </c>
    </row>
    <row r="850" spans="1:12" x14ac:dyDescent="0.25">
      <c r="A850" t="s">
        <v>24</v>
      </c>
      <c r="B850">
        <v>35</v>
      </c>
      <c r="C850" t="s">
        <v>13</v>
      </c>
      <c r="D850" s="1">
        <v>46356</v>
      </c>
      <c r="E850">
        <v>571.20000000000005</v>
      </c>
      <c r="F850">
        <v>25.84</v>
      </c>
      <c r="G850">
        <v>16.73</v>
      </c>
      <c r="H850">
        <v>66</v>
      </c>
      <c r="I850" t="s">
        <v>25</v>
      </c>
      <c r="J850">
        <v>2026</v>
      </c>
      <c r="K850">
        <f t="shared" si="26"/>
        <v>9.11</v>
      </c>
      <c r="L850" t="str">
        <f t="shared" si="27"/>
        <v>Banca Tirrena|35|Mutui</v>
      </c>
    </row>
    <row r="851" spans="1:12" x14ac:dyDescent="0.25">
      <c r="A851" t="s">
        <v>24</v>
      </c>
      <c r="B851">
        <v>35</v>
      </c>
      <c r="C851" t="s">
        <v>15</v>
      </c>
      <c r="D851" s="1">
        <v>46356</v>
      </c>
      <c r="E851">
        <v>769.4</v>
      </c>
      <c r="F851">
        <v>36.479999999999997</v>
      </c>
      <c r="G851">
        <v>23.25</v>
      </c>
      <c r="H851">
        <v>92</v>
      </c>
      <c r="I851" t="s">
        <v>25</v>
      </c>
      <c r="J851">
        <v>2026</v>
      </c>
      <c r="K851">
        <f t="shared" si="26"/>
        <v>13.229999999999997</v>
      </c>
      <c r="L851" t="str">
        <f t="shared" si="27"/>
        <v>Banca Tirrena|35|Prestiti</v>
      </c>
    </row>
    <row r="852" spans="1:12" x14ac:dyDescent="0.25">
      <c r="A852" t="s">
        <v>24</v>
      </c>
      <c r="B852">
        <v>35</v>
      </c>
      <c r="C852" t="s">
        <v>16</v>
      </c>
      <c r="D852" s="1">
        <v>46356</v>
      </c>
      <c r="E852">
        <v>942.3</v>
      </c>
      <c r="F852">
        <v>46.24</v>
      </c>
      <c r="G852">
        <v>28.42</v>
      </c>
      <c r="H852">
        <v>89</v>
      </c>
      <c r="I852" t="s">
        <v>25</v>
      </c>
      <c r="J852">
        <v>2026</v>
      </c>
      <c r="K852">
        <f t="shared" si="26"/>
        <v>17.82</v>
      </c>
      <c r="L852" t="str">
        <f t="shared" si="27"/>
        <v>Banca Tirrena|35|Conti</v>
      </c>
    </row>
    <row r="853" spans="1:12" x14ac:dyDescent="0.25">
      <c r="A853" t="s">
        <v>24</v>
      </c>
      <c r="B853">
        <v>35</v>
      </c>
      <c r="C853" t="s">
        <v>17</v>
      </c>
      <c r="D853" s="1">
        <v>46356</v>
      </c>
      <c r="E853">
        <v>1194.5999999999999</v>
      </c>
      <c r="F853">
        <v>61.44</v>
      </c>
      <c r="G853">
        <v>37.22</v>
      </c>
      <c r="H853">
        <v>95</v>
      </c>
      <c r="I853" t="s">
        <v>25</v>
      </c>
      <c r="J853">
        <v>2026</v>
      </c>
      <c r="K853">
        <f t="shared" si="26"/>
        <v>24.22</v>
      </c>
      <c r="L853" t="str">
        <f t="shared" si="27"/>
        <v>Banca Tirrena|35|Carte</v>
      </c>
    </row>
    <row r="854" spans="1:12" x14ac:dyDescent="0.25">
      <c r="A854" t="s">
        <v>24</v>
      </c>
      <c r="B854">
        <v>35</v>
      </c>
      <c r="C854" t="s">
        <v>18</v>
      </c>
      <c r="D854" s="1">
        <v>46356</v>
      </c>
      <c r="E854">
        <v>1401.7</v>
      </c>
      <c r="F854">
        <v>74.569999999999993</v>
      </c>
      <c r="G854">
        <v>45.09</v>
      </c>
      <c r="H854">
        <v>133</v>
      </c>
      <c r="I854" t="s">
        <v>25</v>
      </c>
      <c r="J854">
        <v>2026</v>
      </c>
      <c r="K854">
        <f t="shared" si="26"/>
        <v>29.47999999999999</v>
      </c>
      <c r="L854" t="str">
        <f t="shared" si="27"/>
        <v>Banca Tirrena|35|Leasing</v>
      </c>
    </row>
    <row r="855" spans="1:12" x14ac:dyDescent="0.25">
      <c r="A855" t="s">
        <v>24</v>
      </c>
      <c r="B855">
        <v>35</v>
      </c>
      <c r="C855" t="s">
        <v>19</v>
      </c>
      <c r="D855" s="1">
        <v>46356</v>
      </c>
      <c r="E855">
        <v>1580.7</v>
      </c>
      <c r="F855">
        <v>87.27</v>
      </c>
      <c r="G855">
        <v>53.03</v>
      </c>
      <c r="H855">
        <v>137</v>
      </c>
      <c r="I855" t="s">
        <v>25</v>
      </c>
      <c r="J855">
        <v>2026</v>
      </c>
      <c r="K855">
        <f t="shared" si="26"/>
        <v>34.239999999999995</v>
      </c>
      <c r="L855" t="str">
        <f t="shared" si="27"/>
        <v>Banca Tirrena|35|Factoring</v>
      </c>
    </row>
    <row r="856" spans="1:12" x14ac:dyDescent="0.25">
      <c r="A856" t="s">
        <v>24</v>
      </c>
      <c r="B856">
        <v>35</v>
      </c>
      <c r="C856" t="s">
        <v>20</v>
      </c>
      <c r="D856" s="1">
        <v>46356</v>
      </c>
      <c r="E856">
        <v>1786.3</v>
      </c>
      <c r="F856">
        <v>102.31</v>
      </c>
      <c r="G856">
        <v>61.02</v>
      </c>
      <c r="H856">
        <v>140</v>
      </c>
      <c r="I856" t="s">
        <v>25</v>
      </c>
      <c r="J856">
        <v>2026</v>
      </c>
      <c r="K856">
        <f t="shared" si="26"/>
        <v>41.29</v>
      </c>
      <c r="L856" t="str">
        <f t="shared" si="27"/>
        <v>Banca Tirrena|35|Risparmio</v>
      </c>
    </row>
    <row r="857" spans="1:12" x14ac:dyDescent="0.25">
      <c r="A857" t="s">
        <v>24</v>
      </c>
      <c r="B857">
        <v>35</v>
      </c>
      <c r="C857" t="s">
        <v>21</v>
      </c>
      <c r="D857" s="1">
        <v>46356</v>
      </c>
      <c r="E857">
        <v>2006</v>
      </c>
      <c r="F857">
        <v>119.03</v>
      </c>
      <c r="G857">
        <v>70.88</v>
      </c>
      <c r="H857">
        <v>163</v>
      </c>
      <c r="I857" t="s">
        <v>25</v>
      </c>
      <c r="J857">
        <v>2026</v>
      </c>
      <c r="K857">
        <f t="shared" si="26"/>
        <v>48.150000000000006</v>
      </c>
      <c r="L857" t="str">
        <f t="shared" si="27"/>
        <v>Banca Tirrena|35|Assicurazioni</v>
      </c>
    </row>
    <row r="858" spans="1:12" x14ac:dyDescent="0.25">
      <c r="A858" t="s">
        <v>24</v>
      </c>
      <c r="B858">
        <v>36</v>
      </c>
      <c r="C858" t="s">
        <v>13</v>
      </c>
      <c r="D858" s="1">
        <v>46387</v>
      </c>
      <c r="E858">
        <v>537.5</v>
      </c>
      <c r="F858">
        <v>24.54</v>
      </c>
      <c r="G858">
        <v>15.38</v>
      </c>
      <c r="H858">
        <v>69</v>
      </c>
      <c r="I858" t="s">
        <v>25</v>
      </c>
      <c r="J858">
        <v>2026</v>
      </c>
      <c r="K858">
        <f t="shared" si="26"/>
        <v>9.1599999999999984</v>
      </c>
      <c r="L858" t="str">
        <f t="shared" si="27"/>
        <v>Banca Tirrena|36|Mutui</v>
      </c>
    </row>
    <row r="859" spans="1:12" x14ac:dyDescent="0.25">
      <c r="A859" t="s">
        <v>24</v>
      </c>
      <c r="B859">
        <v>36</v>
      </c>
      <c r="C859" t="s">
        <v>15</v>
      </c>
      <c r="D859" s="1">
        <v>46387</v>
      </c>
      <c r="E859">
        <v>738.6</v>
      </c>
      <c r="F859">
        <v>35.200000000000003</v>
      </c>
      <c r="G859">
        <v>21.69</v>
      </c>
      <c r="H859">
        <v>94</v>
      </c>
      <c r="I859" t="s">
        <v>25</v>
      </c>
      <c r="J859">
        <v>2026</v>
      </c>
      <c r="K859">
        <f t="shared" si="26"/>
        <v>13.510000000000002</v>
      </c>
      <c r="L859" t="str">
        <f t="shared" si="27"/>
        <v>Banca Tirrena|36|Prestiti</v>
      </c>
    </row>
    <row r="860" spans="1:12" x14ac:dyDescent="0.25">
      <c r="A860" t="s">
        <v>24</v>
      </c>
      <c r="B860">
        <v>36</v>
      </c>
      <c r="C860" t="s">
        <v>16</v>
      </c>
      <c r="D860" s="1">
        <v>46387</v>
      </c>
      <c r="E860">
        <v>988.7</v>
      </c>
      <c r="F860">
        <v>48.6</v>
      </c>
      <c r="G860">
        <v>29.74</v>
      </c>
      <c r="H860">
        <v>96</v>
      </c>
      <c r="I860" t="s">
        <v>25</v>
      </c>
      <c r="J860">
        <v>2026</v>
      </c>
      <c r="K860">
        <f t="shared" si="26"/>
        <v>18.860000000000003</v>
      </c>
      <c r="L860" t="str">
        <f t="shared" si="27"/>
        <v>Banca Tirrena|36|Conti</v>
      </c>
    </row>
    <row r="861" spans="1:12" x14ac:dyDescent="0.25">
      <c r="A861" t="s">
        <v>24</v>
      </c>
      <c r="B861">
        <v>36</v>
      </c>
      <c r="C861" t="s">
        <v>17</v>
      </c>
      <c r="D861" s="1">
        <v>46387</v>
      </c>
      <c r="E861">
        <v>1200.8</v>
      </c>
      <c r="F861">
        <v>62.14</v>
      </c>
      <c r="G861">
        <v>37.29</v>
      </c>
      <c r="H861">
        <v>94</v>
      </c>
      <c r="I861" t="s">
        <v>25</v>
      </c>
      <c r="J861">
        <v>2026</v>
      </c>
      <c r="K861">
        <f t="shared" si="26"/>
        <v>24.85</v>
      </c>
      <c r="L861" t="str">
        <f t="shared" si="27"/>
        <v>Banca Tirrena|36|Carte</v>
      </c>
    </row>
    <row r="862" spans="1:12" x14ac:dyDescent="0.25">
      <c r="A862" t="s">
        <v>24</v>
      </c>
      <c r="B862">
        <v>36</v>
      </c>
      <c r="C862" t="s">
        <v>18</v>
      </c>
      <c r="D862" s="1">
        <v>46387</v>
      </c>
      <c r="E862">
        <v>1413.3</v>
      </c>
      <c r="F862">
        <v>75.36</v>
      </c>
      <c r="G862">
        <v>45.83</v>
      </c>
      <c r="H862">
        <v>121</v>
      </c>
      <c r="I862" t="s">
        <v>25</v>
      </c>
      <c r="J862">
        <v>2026</v>
      </c>
      <c r="K862">
        <f t="shared" si="26"/>
        <v>29.53</v>
      </c>
      <c r="L862" t="str">
        <f t="shared" si="27"/>
        <v>Banca Tirrena|36|Leasing</v>
      </c>
    </row>
    <row r="863" spans="1:12" x14ac:dyDescent="0.25">
      <c r="A863" t="s">
        <v>24</v>
      </c>
      <c r="B863">
        <v>36</v>
      </c>
      <c r="C863" t="s">
        <v>19</v>
      </c>
      <c r="D863" s="1">
        <v>46387</v>
      </c>
      <c r="E863">
        <v>1561.3</v>
      </c>
      <c r="F863">
        <v>86.65</v>
      </c>
      <c r="G863">
        <v>51.67</v>
      </c>
      <c r="H863">
        <v>150</v>
      </c>
      <c r="I863" t="s">
        <v>25</v>
      </c>
      <c r="J863">
        <v>2026</v>
      </c>
      <c r="K863">
        <f t="shared" si="26"/>
        <v>34.980000000000004</v>
      </c>
      <c r="L863" t="str">
        <f t="shared" si="27"/>
        <v>Banca Tirrena|36|Factoring</v>
      </c>
    </row>
    <row r="864" spans="1:12" x14ac:dyDescent="0.25">
      <c r="A864" t="s">
        <v>24</v>
      </c>
      <c r="B864">
        <v>36</v>
      </c>
      <c r="C864" t="s">
        <v>20</v>
      </c>
      <c r="D864" s="1">
        <v>46387</v>
      </c>
      <c r="E864">
        <v>1783.7</v>
      </c>
      <c r="F864">
        <v>102.51</v>
      </c>
      <c r="G864">
        <v>61.63</v>
      </c>
      <c r="H864">
        <v>174</v>
      </c>
      <c r="I864" t="s">
        <v>25</v>
      </c>
      <c r="J864">
        <v>2026</v>
      </c>
      <c r="K864">
        <f t="shared" si="26"/>
        <v>40.880000000000003</v>
      </c>
      <c r="L864" t="str">
        <f t="shared" si="27"/>
        <v>Banca Tirrena|36|Risparmio</v>
      </c>
    </row>
    <row r="865" spans="1:12" x14ac:dyDescent="0.25">
      <c r="A865" t="s">
        <v>24</v>
      </c>
      <c r="B865">
        <v>36</v>
      </c>
      <c r="C865" t="s">
        <v>21</v>
      </c>
      <c r="D865" s="1">
        <v>46387</v>
      </c>
      <c r="E865">
        <v>2019.4</v>
      </c>
      <c r="F865">
        <v>120.09</v>
      </c>
      <c r="G865">
        <v>71.260000000000005</v>
      </c>
      <c r="H865">
        <v>177</v>
      </c>
      <c r="I865" t="s">
        <v>25</v>
      </c>
      <c r="J865">
        <v>2026</v>
      </c>
      <c r="K865">
        <f t="shared" si="26"/>
        <v>48.83</v>
      </c>
      <c r="L865" t="str">
        <f t="shared" si="27"/>
        <v>Banca Tirrena|36|Assicurazioni</v>
      </c>
    </row>
    <row r="866" spans="1:12" x14ac:dyDescent="0.25">
      <c r="A866" t="s">
        <v>26</v>
      </c>
      <c r="B866">
        <v>1</v>
      </c>
      <c r="C866" t="s">
        <v>13</v>
      </c>
      <c r="D866" s="1">
        <v>45322</v>
      </c>
      <c r="E866">
        <v>498.5</v>
      </c>
      <c r="F866">
        <v>22.5</v>
      </c>
      <c r="G866">
        <v>14.93</v>
      </c>
      <c r="H866">
        <v>67</v>
      </c>
      <c r="I866" t="s">
        <v>14</v>
      </c>
      <c r="J866">
        <v>2024</v>
      </c>
      <c r="K866">
        <f t="shared" si="26"/>
        <v>7.57</v>
      </c>
      <c r="L866" t="str">
        <f t="shared" si="27"/>
        <v>Banca Padana|1|Mutui</v>
      </c>
    </row>
    <row r="867" spans="1:12" x14ac:dyDescent="0.25">
      <c r="A867" t="s">
        <v>26</v>
      </c>
      <c r="B867">
        <v>1</v>
      </c>
      <c r="C867" t="s">
        <v>15</v>
      </c>
      <c r="D867" s="1">
        <v>45322</v>
      </c>
      <c r="E867">
        <v>647.4</v>
      </c>
      <c r="F867">
        <v>30.84</v>
      </c>
      <c r="G867">
        <v>19.52</v>
      </c>
      <c r="H867">
        <v>69</v>
      </c>
      <c r="I867" t="s">
        <v>14</v>
      </c>
      <c r="J867">
        <v>2024</v>
      </c>
      <c r="K867">
        <f t="shared" si="26"/>
        <v>11.32</v>
      </c>
      <c r="L867" t="str">
        <f t="shared" si="27"/>
        <v>Banca Padana|1|Prestiti</v>
      </c>
    </row>
    <row r="868" spans="1:12" x14ac:dyDescent="0.25">
      <c r="A868" t="s">
        <v>26</v>
      </c>
      <c r="B868">
        <v>1</v>
      </c>
      <c r="C868" t="s">
        <v>16</v>
      </c>
      <c r="D868" s="1">
        <v>45322</v>
      </c>
      <c r="E868">
        <v>865.3</v>
      </c>
      <c r="F868">
        <v>43.01</v>
      </c>
      <c r="G868">
        <v>26.55</v>
      </c>
      <c r="H868">
        <v>93</v>
      </c>
      <c r="I868" t="s">
        <v>14</v>
      </c>
      <c r="J868">
        <v>2024</v>
      </c>
      <c r="K868">
        <f t="shared" si="26"/>
        <v>16.459999999999997</v>
      </c>
      <c r="L868" t="str">
        <f t="shared" si="27"/>
        <v>Banca Padana|1|Conti</v>
      </c>
    </row>
    <row r="869" spans="1:12" x14ac:dyDescent="0.25">
      <c r="A869" t="s">
        <v>26</v>
      </c>
      <c r="B869">
        <v>1</v>
      </c>
      <c r="C869" t="s">
        <v>17</v>
      </c>
      <c r="D869" s="1">
        <v>45322</v>
      </c>
      <c r="E869">
        <v>1024.3</v>
      </c>
      <c r="F869">
        <v>52.99</v>
      </c>
      <c r="G869">
        <v>32.729999999999997</v>
      </c>
      <c r="H869">
        <v>129</v>
      </c>
      <c r="I869" t="s">
        <v>14</v>
      </c>
      <c r="J869">
        <v>2024</v>
      </c>
      <c r="K869">
        <f t="shared" si="26"/>
        <v>20.260000000000005</v>
      </c>
      <c r="L869" t="str">
        <f t="shared" si="27"/>
        <v>Banca Padana|1|Carte</v>
      </c>
    </row>
    <row r="870" spans="1:12" x14ac:dyDescent="0.25">
      <c r="A870" t="s">
        <v>26</v>
      </c>
      <c r="B870">
        <v>1</v>
      </c>
      <c r="C870" t="s">
        <v>18</v>
      </c>
      <c r="D870" s="1">
        <v>45322</v>
      </c>
      <c r="E870">
        <v>1226.7</v>
      </c>
      <c r="F870">
        <v>65.349999999999994</v>
      </c>
      <c r="G870">
        <v>39.86</v>
      </c>
      <c r="H870">
        <v>146</v>
      </c>
      <c r="I870" t="s">
        <v>14</v>
      </c>
      <c r="J870">
        <v>2024</v>
      </c>
      <c r="K870">
        <f t="shared" si="26"/>
        <v>25.489999999999995</v>
      </c>
      <c r="L870" t="str">
        <f t="shared" si="27"/>
        <v>Banca Padana|1|Leasing</v>
      </c>
    </row>
    <row r="871" spans="1:12" x14ac:dyDescent="0.25">
      <c r="A871" t="s">
        <v>26</v>
      </c>
      <c r="B871">
        <v>1</v>
      </c>
      <c r="C871" t="s">
        <v>19</v>
      </c>
      <c r="D871" s="1">
        <v>45322</v>
      </c>
      <c r="E871">
        <v>1399.3</v>
      </c>
      <c r="F871">
        <v>77.13</v>
      </c>
      <c r="G871">
        <v>46.39</v>
      </c>
      <c r="H871">
        <v>171</v>
      </c>
      <c r="I871" t="s">
        <v>14</v>
      </c>
      <c r="J871">
        <v>2024</v>
      </c>
      <c r="K871">
        <f t="shared" si="26"/>
        <v>30.739999999999995</v>
      </c>
      <c r="L871" t="str">
        <f t="shared" si="27"/>
        <v>Banca Padana|1|Factoring</v>
      </c>
    </row>
    <row r="872" spans="1:12" x14ac:dyDescent="0.25">
      <c r="A872" t="s">
        <v>26</v>
      </c>
      <c r="B872">
        <v>1</v>
      </c>
      <c r="C872" t="s">
        <v>20</v>
      </c>
      <c r="D872" s="1">
        <v>45322</v>
      </c>
      <c r="E872">
        <v>1578</v>
      </c>
      <c r="F872">
        <v>90.26</v>
      </c>
      <c r="G872">
        <v>54.17</v>
      </c>
      <c r="H872">
        <v>173</v>
      </c>
      <c r="I872" t="s">
        <v>14</v>
      </c>
      <c r="J872">
        <v>2024</v>
      </c>
      <c r="K872">
        <f t="shared" si="26"/>
        <v>36.090000000000003</v>
      </c>
      <c r="L872" t="str">
        <f t="shared" si="27"/>
        <v>Banca Padana|1|Risparmio</v>
      </c>
    </row>
    <row r="873" spans="1:12" x14ac:dyDescent="0.25">
      <c r="A873" t="s">
        <v>26</v>
      </c>
      <c r="B873">
        <v>1</v>
      </c>
      <c r="C873" t="s">
        <v>21</v>
      </c>
      <c r="D873" s="1">
        <v>45322</v>
      </c>
      <c r="E873">
        <v>1784.9</v>
      </c>
      <c r="F873">
        <v>105.79</v>
      </c>
      <c r="G873">
        <v>62.59</v>
      </c>
      <c r="H873">
        <v>185</v>
      </c>
      <c r="I873" t="s">
        <v>14</v>
      </c>
      <c r="J873">
        <v>2024</v>
      </c>
      <c r="K873">
        <f t="shared" si="26"/>
        <v>43.2</v>
      </c>
      <c r="L873" t="str">
        <f t="shared" si="27"/>
        <v>Banca Padana|1|Assicurazioni</v>
      </c>
    </row>
    <row r="874" spans="1:12" x14ac:dyDescent="0.25">
      <c r="A874" t="s">
        <v>26</v>
      </c>
      <c r="B874">
        <v>2</v>
      </c>
      <c r="C874" t="s">
        <v>13</v>
      </c>
      <c r="D874" s="1">
        <v>45351</v>
      </c>
      <c r="E874">
        <v>462.2</v>
      </c>
      <c r="F874">
        <v>20.84</v>
      </c>
      <c r="G874">
        <v>13.02</v>
      </c>
      <c r="H874">
        <v>87</v>
      </c>
      <c r="I874" t="s">
        <v>14</v>
      </c>
      <c r="J874">
        <v>2024</v>
      </c>
      <c r="K874">
        <f t="shared" si="26"/>
        <v>7.82</v>
      </c>
      <c r="L874" t="str">
        <f t="shared" si="27"/>
        <v>Banca Padana|2|Mutui</v>
      </c>
    </row>
    <row r="875" spans="1:12" x14ac:dyDescent="0.25">
      <c r="A875" t="s">
        <v>26</v>
      </c>
      <c r="B875">
        <v>2</v>
      </c>
      <c r="C875" t="s">
        <v>15</v>
      </c>
      <c r="D875" s="1">
        <v>45351</v>
      </c>
      <c r="E875">
        <v>675.5</v>
      </c>
      <c r="F875">
        <v>32</v>
      </c>
      <c r="G875">
        <v>20.36</v>
      </c>
      <c r="H875">
        <v>90</v>
      </c>
      <c r="I875" t="s">
        <v>14</v>
      </c>
      <c r="J875">
        <v>2024</v>
      </c>
      <c r="K875">
        <f t="shared" si="26"/>
        <v>11.64</v>
      </c>
      <c r="L875" t="str">
        <f t="shared" si="27"/>
        <v>Banca Padana|2|Prestiti</v>
      </c>
    </row>
    <row r="876" spans="1:12" x14ac:dyDescent="0.25">
      <c r="A876" t="s">
        <v>26</v>
      </c>
      <c r="B876">
        <v>2</v>
      </c>
      <c r="C876" t="s">
        <v>16</v>
      </c>
      <c r="D876" s="1">
        <v>45351</v>
      </c>
      <c r="E876">
        <v>890.1</v>
      </c>
      <c r="F876">
        <v>44.58</v>
      </c>
      <c r="G876">
        <v>27.63</v>
      </c>
      <c r="H876">
        <v>122</v>
      </c>
      <c r="I876" t="s">
        <v>14</v>
      </c>
      <c r="J876">
        <v>2024</v>
      </c>
      <c r="K876">
        <f t="shared" si="26"/>
        <v>16.95</v>
      </c>
      <c r="L876" t="str">
        <f t="shared" si="27"/>
        <v>Banca Padana|2|Conti</v>
      </c>
    </row>
    <row r="877" spans="1:12" x14ac:dyDescent="0.25">
      <c r="A877" t="s">
        <v>26</v>
      </c>
      <c r="B877">
        <v>2</v>
      </c>
      <c r="C877" t="s">
        <v>17</v>
      </c>
      <c r="D877" s="1">
        <v>45351</v>
      </c>
      <c r="E877">
        <v>1053.7</v>
      </c>
      <c r="F877">
        <v>54.2</v>
      </c>
      <c r="G877">
        <v>33</v>
      </c>
      <c r="H877">
        <v>105</v>
      </c>
      <c r="I877" t="s">
        <v>14</v>
      </c>
      <c r="J877">
        <v>2024</v>
      </c>
      <c r="K877">
        <f t="shared" si="26"/>
        <v>21.200000000000003</v>
      </c>
      <c r="L877" t="str">
        <f t="shared" si="27"/>
        <v>Banca Padana|2|Carte</v>
      </c>
    </row>
    <row r="878" spans="1:12" x14ac:dyDescent="0.25">
      <c r="A878" t="s">
        <v>26</v>
      </c>
      <c r="B878">
        <v>2</v>
      </c>
      <c r="C878" t="s">
        <v>18</v>
      </c>
      <c r="D878" s="1">
        <v>45351</v>
      </c>
      <c r="E878">
        <v>1235.2</v>
      </c>
      <c r="F878">
        <v>65.67</v>
      </c>
      <c r="G878">
        <v>40.47</v>
      </c>
      <c r="H878">
        <v>149</v>
      </c>
      <c r="I878" t="s">
        <v>14</v>
      </c>
      <c r="J878">
        <v>2024</v>
      </c>
      <c r="K878">
        <f t="shared" si="26"/>
        <v>25.200000000000003</v>
      </c>
      <c r="L878" t="str">
        <f t="shared" si="27"/>
        <v>Banca Padana|2|Leasing</v>
      </c>
    </row>
    <row r="879" spans="1:12" x14ac:dyDescent="0.25">
      <c r="A879" t="s">
        <v>26</v>
      </c>
      <c r="B879">
        <v>2</v>
      </c>
      <c r="C879" t="s">
        <v>19</v>
      </c>
      <c r="D879" s="1">
        <v>45351</v>
      </c>
      <c r="E879">
        <v>1421.4</v>
      </c>
      <c r="F879">
        <v>78.27</v>
      </c>
      <c r="G879">
        <v>47.08</v>
      </c>
      <c r="H879">
        <v>158</v>
      </c>
      <c r="I879" t="s">
        <v>14</v>
      </c>
      <c r="J879">
        <v>2024</v>
      </c>
      <c r="K879">
        <f t="shared" si="26"/>
        <v>31.189999999999998</v>
      </c>
      <c r="L879" t="str">
        <f t="shared" si="27"/>
        <v>Banca Padana|2|Factoring</v>
      </c>
    </row>
    <row r="880" spans="1:12" x14ac:dyDescent="0.25">
      <c r="A880" t="s">
        <v>26</v>
      </c>
      <c r="B880">
        <v>2</v>
      </c>
      <c r="C880" t="s">
        <v>20</v>
      </c>
      <c r="D880" s="1">
        <v>45351</v>
      </c>
      <c r="E880">
        <v>1591.8</v>
      </c>
      <c r="F880">
        <v>91.37</v>
      </c>
      <c r="G880">
        <v>54.86</v>
      </c>
      <c r="H880">
        <v>182</v>
      </c>
      <c r="I880" t="s">
        <v>14</v>
      </c>
      <c r="J880">
        <v>2024</v>
      </c>
      <c r="K880">
        <f t="shared" si="26"/>
        <v>36.510000000000005</v>
      </c>
      <c r="L880" t="str">
        <f t="shared" si="27"/>
        <v>Banca Padana|2|Risparmio</v>
      </c>
    </row>
    <row r="881" spans="1:12" x14ac:dyDescent="0.25">
      <c r="A881" t="s">
        <v>26</v>
      </c>
      <c r="B881">
        <v>2</v>
      </c>
      <c r="C881" t="s">
        <v>21</v>
      </c>
      <c r="D881" s="1">
        <v>45351</v>
      </c>
      <c r="E881">
        <v>1784.1</v>
      </c>
      <c r="F881">
        <v>105.51</v>
      </c>
      <c r="G881">
        <v>63.06</v>
      </c>
      <c r="H881">
        <v>182</v>
      </c>
      <c r="I881" t="s">
        <v>14</v>
      </c>
      <c r="J881">
        <v>2024</v>
      </c>
      <c r="K881">
        <f t="shared" si="26"/>
        <v>42.45</v>
      </c>
      <c r="L881" t="str">
        <f t="shared" si="27"/>
        <v>Banca Padana|2|Assicurazioni</v>
      </c>
    </row>
    <row r="882" spans="1:12" x14ac:dyDescent="0.25">
      <c r="A882" t="s">
        <v>26</v>
      </c>
      <c r="B882">
        <v>3</v>
      </c>
      <c r="C882" t="s">
        <v>13</v>
      </c>
      <c r="D882" s="1">
        <v>45382</v>
      </c>
      <c r="E882">
        <v>503.3</v>
      </c>
      <c r="F882">
        <v>23.05</v>
      </c>
      <c r="G882">
        <v>14.72</v>
      </c>
      <c r="H882">
        <v>81</v>
      </c>
      <c r="I882" t="s">
        <v>14</v>
      </c>
      <c r="J882">
        <v>2024</v>
      </c>
      <c r="K882">
        <f t="shared" si="26"/>
        <v>8.33</v>
      </c>
      <c r="L882" t="str">
        <f t="shared" si="27"/>
        <v>Banca Padana|3|Mutui</v>
      </c>
    </row>
    <row r="883" spans="1:12" x14ac:dyDescent="0.25">
      <c r="A883" t="s">
        <v>26</v>
      </c>
      <c r="B883">
        <v>3</v>
      </c>
      <c r="C883" t="s">
        <v>15</v>
      </c>
      <c r="D883" s="1">
        <v>45382</v>
      </c>
      <c r="E883">
        <v>683.1</v>
      </c>
      <c r="F883">
        <v>32.5</v>
      </c>
      <c r="G883">
        <v>20.39</v>
      </c>
      <c r="H883">
        <v>98</v>
      </c>
      <c r="I883" t="s">
        <v>14</v>
      </c>
      <c r="J883">
        <v>2024</v>
      </c>
      <c r="K883">
        <f t="shared" si="26"/>
        <v>12.11</v>
      </c>
      <c r="L883" t="str">
        <f t="shared" si="27"/>
        <v>Banca Padana|3|Prestiti</v>
      </c>
    </row>
    <row r="884" spans="1:12" x14ac:dyDescent="0.25">
      <c r="A884" t="s">
        <v>26</v>
      </c>
      <c r="B884">
        <v>3</v>
      </c>
      <c r="C884" t="s">
        <v>16</v>
      </c>
      <c r="D884" s="1">
        <v>45382</v>
      </c>
      <c r="E884">
        <v>886.5</v>
      </c>
      <c r="F884">
        <v>43.59</v>
      </c>
      <c r="G884">
        <v>26.64</v>
      </c>
      <c r="H884">
        <v>111</v>
      </c>
      <c r="I884" t="s">
        <v>14</v>
      </c>
      <c r="J884">
        <v>2024</v>
      </c>
      <c r="K884">
        <f t="shared" si="26"/>
        <v>16.950000000000003</v>
      </c>
      <c r="L884" t="str">
        <f t="shared" si="27"/>
        <v>Banca Padana|3|Conti</v>
      </c>
    </row>
    <row r="885" spans="1:12" x14ac:dyDescent="0.25">
      <c r="A885" t="s">
        <v>26</v>
      </c>
      <c r="B885">
        <v>3</v>
      </c>
      <c r="C885" t="s">
        <v>17</v>
      </c>
      <c r="D885" s="1">
        <v>45382</v>
      </c>
      <c r="E885">
        <v>1034.9000000000001</v>
      </c>
      <c r="F885">
        <v>52.88</v>
      </c>
      <c r="G885">
        <v>32.44</v>
      </c>
      <c r="H885">
        <v>118</v>
      </c>
      <c r="I885" t="s">
        <v>14</v>
      </c>
      <c r="J885">
        <v>2024</v>
      </c>
      <c r="K885">
        <f t="shared" si="26"/>
        <v>20.440000000000005</v>
      </c>
      <c r="L885" t="str">
        <f t="shared" si="27"/>
        <v>Banca Padana|3|Carte</v>
      </c>
    </row>
    <row r="886" spans="1:12" x14ac:dyDescent="0.25">
      <c r="A886" t="s">
        <v>26</v>
      </c>
      <c r="B886">
        <v>3</v>
      </c>
      <c r="C886" t="s">
        <v>18</v>
      </c>
      <c r="D886" s="1">
        <v>45382</v>
      </c>
      <c r="E886">
        <v>1211.8</v>
      </c>
      <c r="F886">
        <v>64.3</v>
      </c>
      <c r="G886">
        <v>39.07</v>
      </c>
      <c r="H886">
        <v>129</v>
      </c>
      <c r="I886" t="s">
        <v>14</v>
      </c>
      <c r="J886">
        <v>2024</v>
      </c>
      <c r="K886">
        <f t="shared" si="26"/>
        <v>25.229999999999997</v>
      </c>
      <c r="L886" t="str">
        <f t="shared" si="27"/>
        <v>Banca Padana|3|Leasing</v>
      </c>
    </row>
    <row r="887" spans="1:12" x14ac:dyDescent="0.25">
      <c r="A887" t="s">
        <v>26</v>
      </c>
      <c r="B887">
        <v>3</v>
      </c>
      <c r="C887" t="s">
        <v>19</v>
      </c>
      <c r="D887" s="1">
        <v>45382</v>
      </c>
      <c r="E887">
        <v>1437.3</v>
      </c>
      <c r="F887">
        <v>79.28</v>
      </c>
      <c r="G887">
        <v>47.72</v>
      </c>
      <c r="H887">
        <v>156</v>
      </c>
      <c r="I887" t="s">
        <v>14</v>
      </c>
      <c r="J887">
        <v>2024</v>
      </c>
      <c r="K887">
        <f t="shared" si="26"/>
        <v>31.560000000000002</v>
      </c>
      <c r="L887" t="str">
        <f t="shared" si="27"/>
        <v>Banca Padana|3|Factoring</v>
      </c>
    </row>
    <row r="888" spans="1:12" x14ac:dyDescent="0.25">
      <c r="A888" t="s">
        <v>26</v>
      </c>
      <c r="B888">
        <v>3</v>
      </c>
      <c r="C888" t="s">
        <v>20</v>
      </c>
      <c r="D888" s="1">
        <v>45382</v>
      </c>
      <c r="E888">
        <v>1619.7</v>
      </c>
      <c r="F888">
        <v>93.17</v>
      </c>
      <c r="G888">
        <v>55.25</v>
      </c>
      <c r="H888">
        <v>174</v>
      </c>
      <c r="I888" t="s">
        <v>14</v>
      </c>
      <c r="J888">
        <v>2024</v>
      </c>
      <c r="K888">
        <f t="shared" si="26"/>
        <v>37.92</v>
      </c>
      <c r="L888" t="str">
        <f t="shared" si="27"/>
        <v>Banca Padana|3|Risparmio</v>
      </c>
    </row>
    <row r="889" spans="1:12" x14ac:dyDescent="0.25">
      <c r="A889" t="s">
        <v>26</v>
      </c>
      <c r="B889">
        <v>3</v>
      </c>
      <c r="C889" t="s">
        <v>21</v>
      </c>
      <c r="D889" s="1">
        <v>45382</v>
      </c>
      <c r="E889">
        <v>1785.5</v>
      </c>
      <c r="F889">
        <v>105.93</v>
      </c>
      <c r="G889">
        <v>62.59</v>
      </c>
      <c r="H889">
        <v>183</v>
      </c>
      <c r="I889" t="s">
        <v>14</v>
      </c>
      <c r="J889">
        <v>2024</v>
      </c>
      <c r="K889">
        <f t="shared" si="26"/>
        <v>43.34</v>
      </c>
      <c r="L889" t="str">
        <f t="shared" si="27"/>
        <v>Banca Padana|3|Assicurazioni</v>
      </c>
    </row>
    <row r="890" spans="1:12" x14ac:dyDescent="0.25">
      <c r="A890" t="s">
        <v>26</v>
      </c>
      <c r="B890">
        <v>4</v>
      </c>
      <c r="C890" t="s">
        <v>13</v>
      </c>
      <c r="D890" s="1">
        <v>45412</v>
      </c>
      <c r="E890">
        <v>499</v>
      </c>
      <c r="F890">
        <v>22.96</v>
      </c>
      <c r="G890">
        <v>14.36</v>
      </c>
      <c r="H890">
        <v>74</v>
      </c>
      <c r="I890" t="s">
        <v>14</v>
      </c>
      <c r="J890">
        <v>2024</v>
      </c>
      <c r="K890">
        <f t="shared" si="26"/>
        <v>8.6000000000000014</v>
      </c>
      <c r="L890" t="str">
        <f t="shared" si="27"/>
        <v>Banca Padana|4|Mutui</v>
      </c>
    </row>
    <row r="891" spans="1:12" x14ac:dyDescent="0.25">
      <c r="A891" t="s">
        <v>26</v>
      </c>
      <c r="B891">
        <v>4</v>
      </c>
      <c r="C891" t="s">
        <v>15</v>
      </c>
      <c r="D891" s="1">
        <v>45412</v>
      </c>
      <c r="E891">
        <v>712.5</v>
      </c>
      <c r="F891">
        <v>34.07</v>
      </c>
      <c r="G891">
        <v>20.74</v>
      </c>
      <c r="H891">
        <v>85</v>
      </c>
      <c r="I891" t="s">
        <v>14</v>
      </c>
      <c r="J891">
        <v>2024</v>
      </c>
      <c r="K891">
        <f t="shared" si="26"/>
        <v>13.330000000000002</v>
      </c>
      <c r="L891" t="str">
        <f t="shared" si="27"/>
        <v>Banca Padana|4|Prestiti</v>
      </c>
    </row>
    <row r="892" spans="1:12" x14ac:dyDescent="0.25">
      <c r="A892" t="s">
        <v>26</v>
      </c>
      <c r="B892">
        <v>4</v>
      </c>
      <c r="C892" t="s">
        <v>16</v>
      </c>
      <c r="D892" s="1">
        <v>45412</v>
      </c>
      <c r="E892">
        <v>881.7</v>
      </c>
      <c r="F892">
        <v>44.1</v>
      </c>
      <c r="G892">
        <v>26.69</v>
      </c>
      <c r="H892">
        <v>90</v>
      </c>
      <c r="I892" t="s">
        <v>14</v>
      </c>
      <c r="J892">
        <v>2024</v>
      </c>
      <c r="K892">
        <f t="shared" si="26"/>
        <v>17.41</v>
      </c>
      <c r="L892" t="str">
        <f t="shared" si="27"/>
        <v>Banca Padana|4|Conti</v>
      </c>
    </row>
    <row r="893" spans="1:12" x14ac:dyDescent="0.25">
      <c r="A893" t="s">
        <v>26</v>
      </c>
      <c r="B893">
        <v>4</v>
      </c>
      <c r="C893" t="s">
        <v>17</v>
      </c>
      <c r="D893" s="1">
        <v>45412</v>
      </c>
      <c r="E893">
        <v>1086.5</v>
      </c>
      <c r="F893">
        <v>55.51</v>
      </c>
      <c r="G893">
        <v>34.090000000000003</v>
      </c>
      <c r="H893">
        <v>108</v>
      </c>
      <c r="I893" t="s">
        <v>14</v>
      </c>
      <c r="J893">
        <v>2024</v>
      </c>
      <c r="K893">
        <f t="shared" si="26"/>
        <v>21.419999999999995</v>
      </c>
      <c r="L893" t="str">
        <f t="shared" si="27"/>
        <v>Banca Padana|4|Carte</v>
      </c>
    </row>
    <row r="894" spans="1:12" x14ac:dyDescent="0.25">
      <c r="A894" t="s">
        <v>26</v>
      </c>
      <c r="B894">
        <v>4</v>
      </c>
      <c r="C894" t="s">
        <v>18</v>
      </c>
      <c r="D894" s="1">
        <v>45412</v>
      </c>
      <c r="E894">
        <v>1240.5999999999999</v>
      </c>
      <c r="F894">
        <v>65.86</v>
      </c>
      <c r="G894">
        <v>39.85</v>
      </c>
      <c r="H894">
        <v>127</v>
      </c>
      <c r="I894" t="s">
        <v>14</v>
      </c>
      <c r="J894">
        <v>2024</v>
      </c>
      <c r="K894">
        <f t="shared" si="26"/>
        <v>26.009999999999998</v>
      </c>
      <c r="L894" t="str">
        <f t="shared" si="27"/>
        <v>Banca Padana|4|Leasing</v>
      </c>
    </row>
    <row r="895" spans="1:12" x14ac:dyDescent="0.25">
      <c r="A895" t="s">
        <v>26</v>
      </c>
      <c r="B895">
        <v>4</v>
      </c>
      <c r="C895" t="s">
        <v>19</v>
      </c>
      <c r="D895" s="1">
        <v>45412</v>
      </c>
      <c r="E895">
        <v>1415.8</v>
      </c>
      <c r="F895">
        <v>78.84</v>
      </c>
      <c r="G895">
        <v>47.33</v>
      </c>
      <c r="H895">
        <v>154</v>
      </c>
      <c r="I895" t="s">
        <v>14</v>
      </c>
      <c r="J895">
        <v>2024</v>
      </c>
      <c r="K895">
        <f t="shared" si="26"/>
        <v>31.510000000000005</v>
      </c>
      <c r="L895" t="str">
        <f t="shared" si="27"/>
        <v>Banca Padana|4|Factoring</v>
      </c>
    </row>
    <row r="896" spans="1:12" x14ac:dyDescent="0.25">
      <c r="A896" t="s">
        <v>26</v>
      </c>
      <c r="B896">
        <v>4</v>
      </c>
      <c r="C896" t="s">
        <v>20</v>
      </c>
      <c r="D896" s="1">
        <v>45412</v>
      </c>
      <c r="E896">
        <v>1639</v>
      </c>
      <c r="F896">
        <v>94.42</v>
      </c>
      <c r="G896">
        <v>55.89</v>
      </c>
      <c r="H896">
        <v>192</v>
      </c>
      <c r="I896" t="s">
        <v>14</v>
      </c>
      <c r="J896">
        <v>2024</v>
      </c>
      <c r="K896">
        <f t="shared" si="26"/>
        <v>38.53</v>
      </c>
      <c r="L896" t="str">
        <f t="shared" si="27"/>
        <v>Banca Padana|4|Risparmio</v>
      </c>
    </row>
    <row r="897" spans="1:12" x14ac:dyDescent="0.25">
      <c r="A897" t="s">
        <v>26</v>
      </c>
      <c r="B897">
        <v>4</v>
      </c>
      <c r="C897" t="s">
        <v>21</v>
      </c>
      <c r="D897" s="1">
        <v>45412</v>
      </c>
      <c r="E897">
        <v>1839.3</v>
      </c>
      <c r="F897">
        <v>109.2</v>
      </c>
      <c r="G897">
        <v>65.010000000000005</v>
      </c>
      <c r="H897">
        <v>187</v>
      </c>
      <c r="I897" t="s">
        <v>14</v>
      </c>
      <c r="J897">
        <v>2024</v>
      </c>
      <c r="K897">
        <f t="shared" si="26"/>
        <v>44.19</v>
      </c>
      <c r="L897" t="str">
        <f t="shared" si="27"/>
        <v>Banca Padana|4|Assicurazioni</v>
      </c>
    </row>
    <row r="898" spans="1:12" x14ac:dyDescent="0.25">
      <c r="A898" t="s">
        <v>26</v>
      </c>
      <c r="B898">
        <v>5</v>
      </c>
      <c r="C898" t="s">
        <v>13</v>
      </c>
      <c r="D898" s="1">
        <v>45443</v>
      </c>
      <c r="E898">
        <v>507.4</v>
      </c>
      <c r="F898">
        <v>22.98</v>
      </c>
      <c r="G898">
        <v>15.03</v>
      </c>
      <c r="H898">
        <v>80</v>
      </c>
      <c r="I898" t="s">
        <v>14</v>
      </c>
      <c r="J898">
        <v>2024</v>
      </c>
      <c r="K898">
        <f t="shared" ref="K898:K961" si="28">F898-G898</f>
        <v>7.9500000000000011</v>
      </c>
      <c r="L898" t="str">
        <f t="shared" ref="L898:L961" si="29">A898&amp;"|"&amp;B898&amp;"|"&amp;C898</f>
        <v>Banca Padana|5|Mutui</v>
      </c>
    </row>
    <row r="899" spans="1:12" x14ac:dyDescent="0.25">
      <c r="A899" t="s">
        <v>26</v>
      </c>
      <c r="B899">
        <v>5</v>
      </c>
      <c r="C899" t="s">
        <v>15</v>
      </c>
      <c r="D899" s="1">
        <v>45443</v>
      </c>
      <c r="E899">
        <v>705.5</v>
      </c>
      <c r="F899">
        <v>33.76</v>
      </c>
      <c r="G899">
        <v>20.49</v>
      </c>
      <c r="H899">
        <v>88</v>
      </c>
      <c r="I899" t="s">
        <v>14</v>
      </c>
      <c r="J899">
        <v>2024</v>
      </c>
      <c r="K899">
        <f t="shared" si="28"/>
        <v>13.27</v>
      </c>
      <c r="L899" t="str">
        <f t="shared" si="29"/>
        <v>Banca Padana|5|Prestiti</v>
      </c>
    </row>
    <row r="900" spans="1:12" x14ac:dyDescent="0.25">
      <c r="A900" t="s">
        <v>26</v>
      </c>
      <c r="B900">
        <v>5</v>
      </c>
      <c r="C900" t="s">
        <v>16</v>
      </c>
      <c r="D900" s="1">
        <v>45443</v>
      </c>
      <c r="E900">
        <v>855.9</v>
      </c>
      <c r="F900">
        <v>42.12</v>
      </c>
      <c r="G900">
        <v>26.63</v>
      </c>
      <c r="H900">
        <v>119</v>
      </c>
      <c r="I900" t="s">
        <v>14</v>
      </c>
      <c r="J900">
        <v>2024</v>
      </c>
      <c r="K900">
        <f t="shared" si="28"/>
        <v>15.489999999999998</v>
      </c>
      <c r="L900" t="str">
        <f t="shared" si="29"/>
        <v>Banca Padana|5|Conti</v>
      </c>
    </row>
    <row r="901" spans="1:12" x14ac:dyDescent="0.25">
      <c r="A901" t="s">
        <v>26</v>
      </c>
      <c r="B901">
        <v>5</v>
      </c>
      <c r="C901" t="s">
        <v>17</v>
      </c>
      <c r="D901" s="1">
        <v>45443</v>
      </c>
      <c r="E901">
        <v>1077.5</v>
      </c>
      <c r="F901">
        <v>55.31</v>
      </c>
      <c r="G901">
        <v>33.64</v>
      </c>
      <c r="H901">
        <v>123</v>
      </c>
      <c r="I901" t="s">
        <v>14</v>
      </c>
      <c r="J901">
        <v>2024</v>
      </c>
      <c r="K901">
        <f t="shared" si="28"/>
        <v>21.67</v>
      </c>
      <c r="L901" t="str">
        <f t="shared" si="29"/>
        <v>Banca Padana|5|Carte</v>
      </c>
    </row>
    <row r="902" spans="1:12" x14ac:dyDescent="0.25">
      <c r="A902" t="s">
        <v>26</v>
      </c>
      <c r="B902">
        <v>5</v>
      </c>
      <c r="C902" t="s">
        <v>18</v>
      </c>
      <c r="D902" s="1">
        <v>45443</v>
      </c>
      <c r="E902">
        <v>1247.5999999999999</v>
      </c>
      <c r="F902">
        <v>67.099999999999994</v>
      </c>
      <c r="G902">
        <v>40.619999999999997</v>
      </c>
      <c r="H902">
        <v>149</v>
      </c>
      <c r="I902" t="s">
        <v>14</v>
      </c>
      <c r="J902">
        <v>2024</v>
      </c>
      <c r="K902">
        <f t="shared" si="28"/>
        <v>26.479999999999997</v>
      </c>
      <c r="L902" t="str">
        <f t="shared" si="29"/>
        <v>Banca Padana|5|Leasing</v>
      </c>
    </row>
    <row r="903" spans="1:12" x14ac:dyDescent="0.25">
      <c r="A903" t="s">
        <v>26</v>
      </c>
      <c r="B903">
        <v>5</v>
      </c>
      <c r="C903" t="s">
        <v>19</v>
      </c>
      <c r="D903" s="1">
        <v>45443</v>
      </c>
      <c r="E903">
        <v>1437.3</v>
      </c>
      <c r="F903">
        <v>79.790000000000006</v>
      </c>
      <c r="G903">
        <v>47.78</v>
      </c>
      <c r="H903">
        <v>146</v>
      </c>
      <c r="I903" t="s">
        <v>14</v>
      </c>
      <c r="J903">
        <v>2024</v>
      </c>
      <c r="K903">
        <f t="shared" si="28"/>
        <v>32.010000000000005</v>
      </c>
      <c r="L903" t="str">
        <f t="shared" si="29"/>
        <v>Banca Padana|5|Factoring</v>
      </c>
    </row>
    <row r="904" spans="1:12" x14ac:dyDescent="0.25">
      <c r="A904" t="s">
        <v>26</v>
      </c>
      <c r="B904">
        <v>5</v>
      </c>
      <c r="C904" t="s">
        <v>20</v>
      </c>
      <c r="D904" s="1">
        <v>45443</v>
      </c>
      <c r="E904">
        <v>1649.8</v>
      </c>
      <c r="F904">
        <v>94.51</v>
      </c>
      <c r="G904">
        <v>56.2</v>
      </c>
      <c r="H904">
        <v>180</v>
      </c>
      <c r="I904" t="s">
        <v>14</v>
      </c>
      <c r="J904">
        <v>2024</v>
      </c>
      <c r="K904">
        <f t="shared" si="28"/>
        <v>38.31</v>
      </c>
      <c r="L904" t="str">
        <f t="shared" si="29"/>
        <v>Banca Padana|5|Risparmio</v>
      </c>
    </row>
    <row r="905" spans="1:12" x14ac:dyDescent="0.25">
      <c r="A905" t="s">
        <v>26</v>
      </c>
      <c r="B905">
        <v>5</v>
      </c>
      <c r="C905" t="s">
        <v>21</v>
      </c>
      <c r="D905" s="1">
        <v>45443</v>
      </c>
      <c r="E905">
        <v>1839.9</v>
      </c>
      <c r="F905">
        <v>108.84</v>
      </c>
      <c r="G905">
        <v>64.73</v>
      </c>
      <c r="H905">
        <v>193</v>
      </c>
      <c r="I905" t="s">
        <v>14</v>
      </c>
      <c r="J905">
        <v>2024</v>
      </c>
      <c r="K905">
        <f t="shared" si="28"/>
        <v>44.11</v>
      </c>
      <c r="L905" t="str">
        <f t="shared" si="29"/>
        <v>Banca Padana|5|Assicurazioni</v>
      </c>
    </row>
    <row r="906" spans="1:12" x14ac:dyDescent="0.25">
      <c r="A906" t="s">
        <v>26</v>
      </c>
      <c r="B906">
        <v>6</v>
      </c>
      <c r="C906" t="s">
        <v>13</v>
      </c>
      <c r="D906" s="1">
        <v>45473</v>
      </c>
      <c r="E906">
        <v>499.7</v>
      </c>
      <c r="F906">
        <v>23.42</v>
      </c>
      <c r="G906">
        <v>14.07</v>
      </c>
      <c r="H906">
        <v>59</v>
      </c>
      <c r="I906" t="s">
        <v>14</v>
      </c>
      <c r="J906">
        <v>2024</v>
      </c>
      <c r="K906">
        <f t="shared" si="28"/>
        <v>9.3500000000000014</v>
      </c>
      <c r="L906" t="str">
        <f t="shared" si="29"/>
        <v>Banca Padana|6|Mutui</v>
      </c>
    </row>
    <row r="907" spans="1:12" x14ac:dyDescent="0.25">
      <c r="A907" t="s">
        <v>26</v>
      </c>
      <c r="B907">
        <v>6</v>
      </c>
      <c r="C907" t="s">
        <v>15</v>
      </c>
      <c r="D907" s="1">
        <v>45473</v>
      </c>
      <c r="E907">
        <v>692.2</v>
      </c>
      <c r="F907">
        <v>32.58</v>
      </c>
      <c r="G907">
        <v>20.38</v>
      </c>
      <c r="H907">
        <v>77</v>
      </c>
      <c r="I907" t="s">
        <v>14</v>
      </c>
      <c r="J907">
        <v>2024</v>
      </c>
      <c r="K907">
        <f t="shared" si="28"/>
        <v>12.2</v>
      </c>
      <c r="L907" t="str">
        <f t="shared" si="29"/>
        <v>Banca Padana|6|Prestiti</v>
      </c>
    </row>
    <row r="908" spans="1:12" x14ac:dyDescent="0.25">
      <c r="A908" t="s">
        <v>26</v>
      </c>
      <c r="B908">
        <v>6</v>
      </c>
      <c r="C908" t="s">
        <v>16</v>
      </c>
      <c r="D908" s="1">
        <v>45473</v>
      </c>
      <c r="E908">
        <v>918.2</v>
      </c>
      <c r="F908">
        <v>45.44</v>
      </c>
      <c r="G908">
        <v>27.66</v>
      </c>
      <c r="H908">
        <v>124</v>
      </c>
      <c r="I908" t="s">
        <v>14</v>
      </c>
      <c r="J908">
        <v>2024</v>
      </c>
      <c r="K908">
        <f t="shared" si="28"/>
        <v>17.779999999999998</v>
      </c>
      <c r="L908" t="str">
        <f t="shared" si="29"/>
        <v>Banca Padana|6|Conti</v>
      </c>
    </row>
    <row r="909" spans="1:12" x14ac:dyDescent="0.25">
      <c r="A909" t="s">
        <v>26</v>
      </c>
      <c r="B909">
        <v>6</v>
      </c>
      <c r="C909" t="s">
        <v>17</v>
      </c>
      <c r="D909" s="1">
        <v>45473</v>
      </c>
      <c r="E909">
        <v>1073.4000000000001</v>
      </c>
      <c r="F909">
        <v>55.19</v>
      </c>
      <c r="G909">
        <v>33.369999999999997</v>
      </c>
      <c r="H909">
        <v>123</v>
      </c>
      <c r="I909" t="s">
        <v>14</v>
      </c>
      <c r="J909">
        <v>2024</v>
      </c>
      <c r="K909">
        <f t="shared" si="28"/>
        <v>21.82</v>
      </c>
      <c r="L909" t="str">
        <f t="shared" si="29"/>
        <v>Banca Padana|6|Carte</v>
      </c>
    </row>
    <row r="910" spans="1:12" x14ac:dyDescent="0.25">
      <c r="A910" t="s">
        <v>26</v>
      </c>
      <c r="B910">
        <v>6</v>
      </c>
      <c r="C910" t="s">
        <v>18</v>
      </c>
      <c r="D910" s="1">
        <v>45473</v>
      </c>
      <c r="E910">
        <v>1286.2</v>
      </c>
      <c r="F910">
        <v>68.42</v>
      </c>
      <c r="G910">
        <v>42</v>
      </c>
      <c r="H910">
        <v>153</v>
      </c>
      <c r="I910" t="s">
        <v>14</v>
      </c>
      <c r="J910">
        <v>2024</v>
      </c>
      <c r="K910">
        <f t="shared" si="28"/>
        <v>26.42</v>
      </c>
      <c r="L910" t="str">
        <f t="shared" si="29"/>
        <v>Banca Padana|6|Leasing</v>
      </c>
    </row>
    <row r="911" spans="1:12" x14ac:dyDescent="0.25">
      <c r="A911" t="s">
        <v>26</v>
      </c>
      <c r="B911">
        <v>6</v>
      </c>
      <c r="C911" t="s">
        <v>19</v>
      </c>
      <c r="D911" s="1">
        <v>45473</v>
      </c>
      <c r="E911">
        <v>1462.4</v>
      </c>
      <c r="F911">
        <v>80.5</v>
      </c>
      <c r="G911">
        <v>48.62</v>
      </c>
      <c r="H911">
        <v>144</v>
      </c>
      <c r="I911" t="s">
        <v>14</v>
      </c>
      <c r="J911">
        <v>2024</v>
      </c>
      <c r="K911">
        <f t="shared" si="28"/>
        <v>31.880000000000003</v>
      </c>
      <c r="L911" t="str">
        <f t="shared" si="29"/>
        <v>Banca Padana|6|Factoring</v>
      </c>
    </row>
    <row r="912" spans="1:12" x14ac:dyDescent="0.25">
      <c r="A912" t="s">
        <v>26</v>
      </c>
      <c r="B912">
        <v>6</v>
      </c>
      <c r="C912" t="s">
        <v>20</v>
      </c>
      <c r="D912" s="1">
        <v>45473</v>
      </c>
      <c r="E912">
        <v>1672.5</v>
      </c>
      <c r="F912">
        <v>95.36</v>
      </c>
      <c r="G912">
        <v>57.66</v>
      </c>
      <c r="H912">
        <v>162</v>
      </c>
      <c r="I912" t="s">
        <v>14</v>
      </c>
      <c r="J912">
        <v>2024</v>
      </c>
      <c r="K912">
        <f t="shared" si="28"/>
        <v>37.700000000000003</v>
      </c>
      <c r="L912" t="str">
        <f t="shared" si="29"/>
        <v>Banca Padana|6|Risparmio</v>
      </c>
    </row>
    <row r="913" spans="1:12" x14ac:dyDescent="0.25">
      <c r="A913" t="s">
        <v>26</v>
      </c>
      <c r="B913">
        <v>6</v>
      </c>
      <c r="C913" t="s">
        <v>21</v>
      </c>
      <c r="D913" s="1">
        <v>45473</v>
      </c>
      <c r="E913">
        <v>1828.4</v>
      </c>
      <c r="F913">
        <v>108.77</v>
      </c>
      <c r="G913">
        <v>64.400000000000006</v>
      </c>
      <c r="H913">
        <v>188</v>
      </c>
      <c r="I913" t="s">
        <v>14</v>
      </c>
      <c r="J913">
        <v>2024</v>
      </c>
      <c r="K913">
        <f t="shared" si="28"/>
        <v>44.36999999999999</v>
      </c>
      <c r="L913" t="str">
        <f t="shared" si="29"/>
        <v>Banca Padana|6|Assicurazioni</v>
      </c>
    </row>
    <row r="914" spans="1:12" x14ac:dyDescent="0.25">
      <c r="A914" t="s">
        <v>26</v>
      </c>
      <c r="B914">
        <v>7</v>
      </c>
      <c r="C914" t="s">
        <v>13</v>
      </c>
      <c r="D914" s="1">
        <v>45504</v>
      </c>
      <c r="E914">
        <v>492.4</v>
      </c>
      <c r="F914">
        <v>22.59</v>
      </c>
      <c r="G914">
        <v>13.87</v>
      </c>
      <c r="H914">
        <v>55</v>
      </c>
      <c r="I914" t="s">
        <v>14</v>
      </c>
      <c r="J914">
        <v>2024</v>
      </c>
      <c r="K914">
        <f t="shared" si="28"/>
        <v>8.7200000000000006</v>
      </c>
      <c r="L914" t="str">
        <f t="shared" si="29"/>
        <v>Banca Padana|7|Mutui</v>
      </c>
    </row>
    <row r="915" spans="1:12" x14ac:dyDescent="0.25">
      <c r="A915" t="s">
        <v>26</v>
      </c>
      <c r="B915">
        <v>7</v>
      </c>
      <c r="C915" t="s">
        <v>15</v>
      </c>
      <c r="D915" s="1">
        <v>45504</v>
      </c>
      <c r="E915">
        <v>725.4</v>
      </c>
      <c r="F915">
        <v>34.44</v>
      </c>
      <c r="G915">
        <v>21.16</v>
      </c>
      <c r="H915">
        <v>73</v>
      </c>
      <c r="I915" t="s">
        <v>14</v>
      </c>
      <c r="J915">
        <v>2024</v>
      </c>
      <c r="K915">
        <f t="shared" si="28"/>
        <v>13.279999999999998</v>
      </c>
      <c r="L915" t="str">
        <f t="shared" si="29"/>
        <v>Banca Padana|7|Prestiti</v>
      </c>
    </row>
    <row r="916" spans="1:12" x14ac:dyDescent="0.25">
      <c r="A916" t="s">
        <v>26</v>
      </c>
      <c r="B916">
        <v>7</v>
      </c>
      <c r="C916" t="s">
        <v>16</v>
      </c>
      <c r="D916" s="1">
        <v>45504</v>
      </c>
      <c r="E916">
        <v>870.5</v>
      </c>
      <c r="F916">
        <v>42.84</v>
      </c>
      <c r="G916">
        <v>26.94</v>
      </c>
      <c r="H916">
        <v>110</v>
      </c>
      <c r="I916" t="s">
        <v>14</v>
      </c>
      <c r="J916">
        <v>2024</v>
      </c>
      <c r="K916">
        <f t="shared" si="28"/>
        <v>15.900000000000002</v>
      </c>
      <c r="L916" t="str">
        <f t="shared" si="29"/>
        <v>Banca Padana|7|Conti</v>
      </c>
    </row>
    <row r="917" spans="1:12" x14ac:dyDescent="0.25">
      <c r="A917" t="s">
        <v>26</v>
      </c>
      <c r="B917">
        <v>7</v>
      </c>
      <c r="C917" t="s">
        <v>17</v>
      </c>
      <c r="D917" s="1">
        <v>45504</v>
      </c>
      <c r="E917">
        <v>1078.7</v>
      </c>
      <c r="F917">
        <v>55.11</v>
      </c>
      <c r="G917">
        <v>33.71</v>
      </c>
      <c r="H917">
        <v>133</v>
      </c>
      <c r="I917" t="s">
        <v>14</v>
      </c>
      <c r="J917">
        <v>2024</v>
      </c>
      <c r="K917">
        <f t="shared" si="28"/>
        <v>21.4</v>
      </c>
      <c r="L917" t="str">
        <f t="shared" si="29"/>
        <v>Banca Padana|7|Carte</v>
      </c>
    </row>
    <row r="918" spans="1:12" x14ac:dyDescent="0.25">
      <c r="A918" t="s">
        <v>26</v>
      </c>
      <c r="B918">
        <v>7</v>
      </c>
      <c r="C918" t="s">
        <v>18</v>
      </c>
      <c r="D918" s="1">
        <v>45504</v>
      </c>
      <c r="E918">
        <v>1280.9000000000001</v>
      </c>
      <c r="F918">
        <v>68.569999999999993</v>
      </c>
      <c r="G918">
        <v>41.16</v>
      </c>
      <c r="H918">
        <v>136</v>
      </c>
      <c r="I918" t="s">
        <v>14</v>
      </c>
      <c r="J918">
        <v>2024</v>
      </c>
      <c r="K918">
        <f t="shared" si="28"/>
        <v>27.409999999999997</v>
      </c>
      <c r="L918" t="str">
        <f t="shared" si="29"/>
        <v>Banca Padana|7|Leasing</v>
      </c>
    </row>
    <row r="919" spans="1:12" x14ac:dyDescent="0.25">
      <c r="A919" t="s">
        <v>26</v>
      </c>
      <c r="B919">
        <v>7</v>
      </c>
      <c r="C919" t="s">
        <v>19</v>
      </c>
      <c r="D919" s="1">
        <v>45504</v>
      </c>
      <c r="E919">
        <v>1460.4</v>
      </c>
      <c r="F919">
        <v>80.98</v>
      </c>
      <c r="G919">
        <v>49.18</v>
      </c>
      <c r="H919">
        <v>165</v>
      </c>
      <c r="I919" t="s">
        <v>14</v>
      </c>
      <c r="J919">
        <v>2024</v>
      </c>
      <c r="K919">
        <f t="shared" si="28"/>
        <v>31.800000000000004</v>
      </c>
      <c r="L919" t="str">
        <f t="shared" si="29"/>
        <v>Banca Padana|7|Factoring</v>
      </c>
    </row>
    <row r="920" spans="1:12" x14ac:dyDescent="0.25">
      <c r="A920" t="s">
        <v>26</v>
      </c>
      <c r="B920">
        <v>7</v>
      </c>
      <c r="C920" t="s">
        <v>20</v>
      </c>
      <c r="D920" s="1">
        <v>45504</v>
      </c>
      <c r="E920">
        <v>1645.2</v>
      </c>
      <c r="F920">
        <v>93.83</v>
      </c>
      <c r="G920">
        <v>56.72</v>
      </c>
      <c r="H920">
        <v>170</v>
      </c>
      <c r="I920" t="s">
        <v>14</v>
      </c>
      <c r="J920">
        <v>2024</v>
      </c>
      <c r="K920">
        <f t="shared" si="28"/>
        <v>37.11</v>
      </c>
      <c r="L920" t="str">
        <f t="shared" si="29"/>
        <v>Banca Padana|7|Risparmio</v>
      </c>
    </row>
    <row r="921" spans="1:12" x14ac:dyDescent="0.25">
      <c r="A921" t="s">
        <v>26</v>
      </c>
      <c r="B921">
        <v>7</v>
      </c>
      <c r="C921" t="s">
        <v>21</v>
      </c>
      <c r="D921" s="1">
        <v>45504</v>
      </c>
      <c r="E921">
        <v>1880.9</v>
      </c>
      <c r="F921">
        <v>111.15</v>
      </c>
      <c r="G921">
        <v>66.48</v>
      </c>
      <c r="H921">
        <v>213</v>
      </c>
      <c r="I921" t="s">
        <v>14</v>
      </c>
      <c r="J921">
        <v>2024</v>
      </c>
      <c r="K921">
        <f t="shared" si="28"/>
        <v>44.67</v>
      </c>
      <c r="L921" t="str">
        <f t="shared" si="29"/>
        <v>Banca Padana|7|Assicurazioni</v>
      </c>
    </row>
    <row r="922" spans="1:12" x14ac:dyDescent="0.25">
      <c r="A922" t="s">
        <v>26</v>
      </c>
      <c r="B922">
        <v>8</v>
      </c>
      <c r="C922" t="s">
        <v>13</v>
      </c>
      <c r="D922" s="1">
        <v>45535</v>
      </c>
      <c r="E922">
        <v>512.9</v>
      </c>
      <c r="F922">
        <v>24.03</v>
      </c>
      <c r="G922">
        <v>14.56</v>
      </c>
      <c r="H922">
        <v>49</v>
      </c>
      <c r="I922" t="s">
        <v>14</v>
      </c>
      <c r="J922">
        <v>2024</v>
      </c>
      <c r="K922">
        <f t="shared" si="28"/>
        <v>9.4700000000000006</v>
      </c>
      <c r="L922" t="str">
        <f t="shared" si="29"/>
        <v>Banca Padana|8|Mutui</v>
      </c>
    </row>
    <row r="923" spans="1:12" x14ac:dyDescent="0.25">
      <c r="A923" t="s">
        <v>26</v>
      </c>
      <c r="B923">
        <v>8</v>
      </c>
      <c r="C923" t="s">
        <v>15</v>
      </c>
      <c r="D923" s="1">
        <v>45535</v>
      </c>
      <c r="E923">
        <v>715.2</v>
      </c>
      <c r="F923">
        <v>33.81</v>
      </c>
      <c r="G923">
        <v>20.89</v>
      </c>
      <c r="H923">
        <v>98</v>
      </c>
      <c r="I923" t="s">
        <v>14</v>
      </c>
      <c r="J923">
        <v>2024</v>
      </c>
      <c r="K923">
        <f t="shared" si="28"/>
        <v>12.920000000000002</v>
      </c>
      <c r="L923" t="str">
        <f t="shared" si="29"/>
        <v>Banca Padana|8|Prestiti</v>
      </c>
    </row>
    <row r="924" spans="1:12" x14ac:dyDescent="0.25">
      <c r="A924" t="s">
        <v>26</v>
      </c>
      <c r="B924">
        <v>8</v>
      </c>
      <c r="C924" t="s">
        <v>16</v>
      </c>
      <c r="D924" s="1">
        <v>45535</v>
      </c>
      <c r="E924">
        <v>906.1</v>
      </c>
      <c r="F924">
        <v>45.02</v>
      </c>
      <c r="G924">
        <v>27.83</v>
      </c>
      <c r="H924">
        <v>116</v>
      </c>
      <c r="I924" t="s">
        <v>14</v>
      </c>
      <c r="J924">
        <v>2024</v>
      </c>
      <c r="K924">
        <f t="shared" si="28"/>
        <v>17.190000000000005</v>
      </c>
      <c r="L924" t="str">
        <f t="shared" si="29"/>
        <v>Banca Padana|8|Conti</v>
      </c>
    </row>
    <row r="925" spans="1:12" x14ac:dyDescent="0.25">
      <c r="A925" t="s">
        <v>26</v>
      </c>
      <c r="B925">
        <v>8</v>
      </c>
      <c r="C925" t="s">
        <v>17</v>
      </c>
      <c r="D925" s="1">
        <v>45535</v>
      </c>
      <c r="E925">
        <v>1071.4000000000001</v>
      </c>
      <c r="F925">
        <v>54.9</v>
      </c>
      <c r="G925">
        <v>33.9</v>
      </c>
      <c r="H925">
        <v>138</v>
      </c>
      <c r="I925" t="s">
        <v>14</v>
      </c>
      <c r="J925">
        <v>2024</v>
      </c>
      <c r="K925">
        <f t="shared" si="28"/>
        <v>21</v>
      </c>
      <c r="L925" t="str">
        <f t="shared" si="29"/>
        <v>Banca Padana|8|Carte</v>
      </c>
    </row>
    <row r="926" spans="1:12" x14ac:dyDescent="0.25">
      <c r="A926" t="s">
        <v>26</v>
      </c>
      <c r="B926">
        <v>8</v>
      </c>
      <c r="C926" t="s">
        <v>18</v>
      </c>
      <c r="D926" s="1">
        <v>45535</v>
      </c>
      <c r="E926">
        <v>1261.9000000000001</v>
      </c>
      <c r="F926">
        <v>67.25</v>
      </c>
      <c r="G926">
        <v>40.840000000000003</v>
      </c>
      <c r="H926">
        <v>159</v>
      </c>
      <c r="I926" t="s">
        <v>14</v>
      </c>
      <c r="J926">
        <v>2024</v>
      </c>
      <c r="K926">
        <f t="shared" si="28"/>
        <v>26.409999999999997</v>
      </c>
      <c r="L926" t="str">
        <f t="shared" si="29"/>
        <v>Banca Padana|8|Leasing</v>
      </c>
    </row>
    <row r="927" spans="1:12" x14ac:dyDescent="0.25">
      <c r="A927" t="s">
        <v>26</v>
      </c>
      <c r="B927">
        <v>8</v>
      </c>
      <c r="C927" t="s">
        <v>19</v>
      </c>
      <c r="D927" s="1">
        <v>45535</v>
      </c>
      <c r="E927">
        <v>1473</v>
      </c>
      <c r="F927">
        <v>81.42</v>
      </c>
      <c r="G927">
        <v>49.1</v>
      </c>
      <c r="H927">
        <v>167</v>
      </c>
      <c r="I927" t="s">
        <v>14</v>
      </c>
      <c r="J927">
        <v>2024</v>
      </c>
      <c r="K927">
        <f t="shared" si="28"/>
        <v>32.32</v>
      </c>
      <c r="L927" t="str">
        <f t="shared" si="29"/>
        <v>Banca Padana|8|Factoring</v>
      </c>
    </row>
    <row r="928" spans="1:12" x14ac:dyDescent="0.25">
      <c r="A928" t="s">
        <v>26</v>
      </c>
      <c r="B928">
        <v>8</v>
      </c>
      <c r="C928" t="s">
        <v>20</v>
      </c>
      <c r="D928" s="1">
        <v>45535</v>
      </c>
      <c r="E928">
        <v>1690.6</v>
      </c>
      <c r="F928">
        <v>96.81</v>
      </c>
      <c r="G928">
        <v>57.82</v>
      </c>
      <c r="H928">
        <v>168</v>
      </c>
      <c r="I928" t="s">
        <v>14</v>
      </c>
      <c r="J928">
        <v>2024</v>
      </c>
      <c r="K928">
        <f t="shared" si="28"/>
        <v>38.99</v>
      </c>
      <c r="L928" t="str">
        <f t="shared" si="29"/>
        <v>Banca Padana|8|Risparmio</v>
      </c>
    </row>
    <row r="929" spans="1:12" x14ac:dyDescent="0.25">
      <c r="A929" t="s">
        <v>26</v>
      </c>
      <c r="B929">
        <v>8</v>
      </c>
      <c r="C929" t="s">
        <v>21</v>
      </c>
      <c r="D929" s="1">
        <v>45535</v>
      </c>
      <c r="E929">
        <v>1839.4</v>
      </c>
      <c r="F929">
        <v>109.01</v>
      </c>
      <c r="G929">
        <v>64.53</v>
      </c>
      <c r="H929">
        <v>207</v>
      </c>
      <c r="I929" t="s">
        <v>14</v>
      </c>
      <c r="J929">
        <v>2024</v>
      </c>
      <c r="K929">
        <f t="shared" si="28"/>
        <v>44.480000000000004</v>
      </c>
      <c r="L929" t="str">
        <f t="shared" si="29"/>
        <v>Banca Padana|8|Assicurazioni</v>
      </c>
    </row>
    <row r="930" spans="1:12" x14ac:dyDescent="0.25">
      <c r="A930" t="s">
        <v>26</v>
      </c>
      <c r="B930">
        <v>9</v>
      </c>
      <c r="C930" t="s">
        <v>13</v>
      </c>
      <c r="D930" s="1">
        <v>45565</v>
      </c>
      <c r="E930">
        <v>539.9</v>
      </c>
      <c r="F930">
        <v>24.8</v>
      </c>
      <c r="G930">
        <v>15.32</v>
      </c>
      <c r="H930">
        <v>52</v>
      </c>
      <c r="I930" t="s">
        <v>14</v>
      </c>
      <c r="J930">
        <v>2024</v>
      </c>
      <c r="K930">
        <f t="shared" si="28"/>
        <v>9.48</v>
      </c>
      <c r="L930" t="str">
        <f t="shared" si="29"/>
        <v>Banca Padana|9|Mutui</v>
      </c>
    </row>
    <row r="931" spans="1:12" x14ac:dyDescent="0.25">
      <c r="A931" t="s">
        <v>26</v>
      </c>
      <c r="B931">
        <v>9</v>
      </c>
      <c r="C931" t="s">
        <v>15</v>
      </c>
      <c r="D931" s="1">
        <v>45565</v>
      </c>
      <c r="E931">
        <v>688.1</v>
      </c>
      <c r="F931">
        <v>32.75</v>
      </c>
      <c r="G931">
        <v>19.96</v>
      </c>
      <c r="H931">
        <v>76</v>
      </c>
      <c r="I931" t="s">
        <v>14</v>
      </c>
      <c r="J931">
        <v>2024</v>
      </c>
      <c r="K931">
        <f t="shared" si="28"/>
        <v>12.79</v>
      </c>
      <c r="L931" t="str">
        <f t="shared" si="29"/>
        <v>Banca Padana|9|Prestiti</v>
      </c>
    </row>
    <row r="932" spans="1:12" x14ac:dyDescent="0.25">
      <c r="A932" t="s">
        <v>26</v>
      </c>
      <c r="B932">
        <v>9</v>
      </c>
      <c r="C932" t="s">
        <v>16</v>
      </c>
      <c r="D932" s="1">
        <v>45565</v>
      </c>
      <c r="E932">
        <v>924.1</v>
      </c>
      <c r="F932">
        <v>45.77</v>
      </c>
      <c r="G932">
        <v>28.5</v>
      </c>
      <c r="H932">
        <v>119</v>
      </c>
      <c r="I932" t="s">
        <v>14</v>
      </c>
      <c r="J932">
        <v>2024</v>
      </c>
      <c r="K932">
        <f t="shared" si="28"/>
        <v>17.270000000000003</v>
      </c>
      <c r="L932" t="str">
        <f t="shared" si="29"/>
        <v>Banca Padana|9|Conti</v>
      </c>
    </row>
    <row r="933" spans="1:12" x14ac:dyDescent="0.25">
      <c r="A933" t="s">
        <v>26</v>
      </c>
      <c r="B933">
        <v>9</v>
      </c>
      <c r="C933" t="s">
        <v>17</v>
      </c>
      <c r="D933" s="1">
        <v>45565</v>
      </c>
      <c r="E933">
        <v>1075.5999999999999</v>
      </c>
      <c r="F933">
        <v>55.35</v>
      </c>
      <c r="G933">
        <v>33.58</v>
      </c>
      <c r="H933">
        <v>129</v>
      </c>
      <c r="I933" t="s">
        <v>14</v>
      </c>
      <c r="J933">
        <v>2024</v>
      </c>
      <c r="K933">
        <f t="shared" si="28"/>
        <v>21.770000000000003</v>
      </c>
      <c r="L933" t="str">
        <f t="shared" si="29"/>
        <v>Banca Padana|9|Carte</v>
      </c>
    </row>
    <row r="934" spans="1:12" x14ac:dyDescent="0.25">
      <c r="A934" t="s">
        <v>26</v>
      </c>
      <c r="B934">
        <v>9</v>
      </c>
      <c r="C934" t="s">
        <v>18</v>
      </c>
      <c r="D934" s="1">
        <v>45565</v>
      </c>
      <c r="E934">
        <v>1290.3</v>
      </c>
      <c r="F934">
        <v>69.099999999999994</v>
      </c>
      <c r="G934">
        <v>41.73</v>
      </c>
      <c r="H934">
        <v>122</v>
      </c>
      <c r="I934" t="s">
        <v>14</v>
      </c>
      <c r="J934">
        <v>2024</v>
      </c>
      <c r="K934">
        <f t="shared" si="28"/>
        <v>27.369999999999997</v>
      </c>
      <c r="L934" t="str">
        <f t="shared" si="29"/>
        <v>Banca Padana|9|Leasing</v>
      </c>
    </row>
    <row r="935" spans="1:12" x14ac:dyDescent="0.25">
      <c r="A935" t="s">
        <v>26</v>
      </c>
      <c r="B935">
        <v>9</v>
      </c>
      <c r="C935" t="s">
        <v>19</v>
      </c>
      <c r="D935" s="1">
        <v>45565</v>
      </c>
      <c r="E935">
        <v>1522.6</v>
      </c>
      <c r="F935">
        <v>84.03</v>
      </c>
      <c r="G935">
        <v>50.61</v>
      </c>
      <c r="H935">
        <v>169</v>
      </c>
      <c r="I935" t="s">
        <v>14</v>
      </c>
      <c r="J935">
        <v>2024</v>
      </c>
      <c r="K935">
        <f t="shared" si="28"/>
        <v>33.42</v>
      </c>
      <c r="L935" t="str">
        <f t="shared" si="29"/>
        <v>Banca Padana|9|Factoring</v>
      </c>
    </row>
    <row r="936" spans="1:12" x14ac:dyDescent="0.25">
      <c r="A936" t="s">
        <v>26</v>
      </c>
      <c r="B936">
        <v>9</v>
      </c>
      <c r="C936" t="s">
        <v>20</v>
      </c>
      <c r="D936" s="1">
        <v>45565</v>
      </c>
      <c r="E936">
        <v>1717.3</v>
      </c>
      <c r="F936">
        <v>98</v>
      </c>
      <c r="G936">
        <v>59.29</v>
      </c>
      <c r="H936">
        <v>158</v>
      </c>
      <c r="I936" t="s">
        <v>14</v>
      </c>
      <c r="J936">
        <v>2024</v>
      </c>
      <c r="K936">
        <f t="shared" si="28"/>
        <v>38.71</v>
      </c>
      <c r="L936" t="str">
        <f t="shared" si="29"/>
        <v>Banca Padana|9|Risparmio</v>
      </c>
    </row>
    <row r="937" spans="1:12" x14ac:dyDescent="0.25">
      <c r="A937" t="s">
        <v>26</v>
      </c>
      <c r="B937">
        <v>9</v>
      </c>
      <c r="C937" t="s">
        <v>21</v>
      </c>
      <c r="D937" s="1">
        <v>45565</v>
      </c>
      <c r="E937">
        <v>1880.3</v>
      </c>
      <c r="F937">
        <v>111.1</v>
      </c>
      <c r="G937">
        <v>66.16</v>
      </c>
      <c r="H937">
        <v>211</v>
      </c>
      <c r="I937" t="s">
        <v>14</v>
      </c>
      <c r="J937">
        <v>2024</v>
      </c>
      <c r="K937">
        <f t="shared" si="28"/>
        <v>44.94</v>
      </c>
      <c r="L937" t="str">
        <f t="shared" si="29"/>
        <v>Banca Padana|9|Assicurazioni</v>
      </c>
    </row>
    <row r="938" spans="1:12" x14ac:dyDescent="0.25">
      <c r="A938" t="s">
        <v>26</v>
      </c>
      <c r="B938">
        <v>10</v>
      </c>
      <c r="C938" t="s">
        <v>13</v>
      </c>
      <c r="D938" s="1">
        <v>45596</v>
      </c>
      <c r="E938">
        <v>508</v>
      </c>
      <c r="F938">
        <v>23.26</v>
      </c>
      <c r="G938">
        <v>14.48</v>
      </c>
      <c r="H938">
        <v>86</v>
      </c>
      <c r="I938" t="s">
        <v>14</v>
      </c>
      <c r="J938">
        <v>2024</v>
      </c>
      <c r="K938">
        <f t="shared" si="28"/>
        <v>8.7800000000000011</v>
      </c>
      <c r="L938" t="str">
        <f t="shared" si="29"/>
        <v>Banca Padana|10|Mutui</v>
      </c>
    </row>
    <row r="939" spans="1:12" x14ac:dyDescent="0.25">
      <c r="A939" t="s">
        <v>26</v>
      </c>
      <c r="B939">
        <v>10</v>
      </c>
      <c r="C939" t="s">
        <v>15</v>
      </c>
      <c r="D939" s="1">
        <v>45596</v>
      </c>
      <c r="E939">
        <v>713.4</v>
      </c>
      <c r="F939">
        <v>34.200000000000003</v>
      </c>
      <c r="G939">
        <v>21.16</v>
      </c>
      <c r="H939">
        <v>77</v>
      </c>
      <c r="I939" t="s">
        <v>14</v>
      </c>
      <c r="J939">
        <v>2024</v>
      </c>
      <c r="K939">
        <f t="shared" si="28"/>
        <v>13.040000000000003</v>
      </c>
      <c r="L939" t="str">
        <f t="shared" si="29"/>
        <v>Banca Padana|10|Prestiti</v>
      </c>
    </row>
    <row r="940" spans="1:12" x14ac:dyDescent="0.25">
      <c r="A940" t="s">
        <v>26</v>
      </c>
      <c r="B940">
        <v>10</v>
      </c>
      <c r="C940" t="s">
        <v>16</v>
      </c>
      <c r="D940" s="1">
        <v>45596</v>
      </c>
      <c r="E940">
        <v>937.1</v>
      </c>
      <c r="F940">
        <v>46.17</v>
      </c>
      <c r="G940">
        <v>28.59</v>
      </c>
      <c r="H940">
        <v>101</v>
      </c>
      <c r="I940" t="s">
        <v>14</v>
      </c>
      <c r="J940">
        <v>2024</v>
      </c>
      <c r="K940">
        <f t="shared" si="28"/>
        <v>17.580000000000002</v>
      </c>
      <c r="L940" t="str">
        <f t="shared" si="29"/>
        <v>Banca Padana|10|Conti</v>
      </c>
    </row>
    <row r="941" spans="1:12" x14ac:dyDescent="0.25">
      <c r="A941" t="s">
        <v>26</v>
      </c>
      <c r="B941">
        <v>10</v>
      </c>
      <c r="C941" t="s">
        <v>17</v>
      </c>
      <c r="D941" s="1">
        <v>45596</v>
      </c>
      <c r="E941">
        <v>1127.5999999999999</v>
      </c>
      <c r="F941">
        <v>57.57</v>
      </c>
      <c r="G941">
        <v>35.130000000000003</v>
      </c>
      <c r="H941">
        <v>107</v>
      </c>
      <c r="I941" t="s">
        <v>14</v>
      </c>
      <c r="J941">
        <v>2024</v>
      </c>
      <c r="K941">
        <f t="shared" si="28"/>
        <v>22.439999999999998</v>
      </c>
      <c r="L941" t="str">
        <f t="shared" si="29"/>
        <v>Banca Padana|10|Carte</v>
      </c>
    </row>
    <row r="942" spans="1:12" x14ac:dyDescent="0.25">
      <c r="A942" t="s">
        <v>26</v>
      </c>
      <c r="B942">
        <v>10</v>
      </c>
      <c r="C942" t="s">
        <v>18</v>
      </c>
      <c r="D942" s="1">
        <v>45596</v>
      </c>
      <c r="E942">
        <v>1301.7</v>
      </c>
      <c r="F942">
        <v>69.03</v>
      </c>
      <c r="G942">
        <v>41.9</v>
      </c>
      <c r="H942">
        <v>130</v>
      </c>
      <c r="I942" t="s">
        <v>14</v>
      </c>
      <c r="J942">
        <v>2024</v>
      </c>
      <c r="K942">
        <f t="shared" si="28"/>
        <v>27.130000000000003</v>
      </c>
      <c r="L942" t="str">
        <f t="shared" si="29"/>
        <v>Banca Padana|10|Leasing</v>
      </c>
    </row>
    <row r="943" spans="1:12" x14ac:dyDescent="0.25">
      <c r="A943" t="s">
        <v>26</v>
      </c>
      <c r="B943">
        <v>10</v>
      </c>
      <c r="C943" t="s">
        <v>19</v>
      </c>
      <c r="D943" s="1">
        <v>45596</v>
      </c>
      <c r="E943">
        <v>1477.3</v>
      </c>
      <c r="F943">
        <v>81.84</v>
      </c>
      <c r="G943">
        <v>49.48</v>
      </c>
      <c r="H943">
        <v>155</v>
      </c>
      <c r="I943" t="s">
        <v>14</v>
      </c>
      <c r="J943">
        <v>2024</v>
      </c>
      <c r="K943">
        <f t="shared" si="28"/>
        <v>32.360000000000007</v>
      </c>
      <c r="L943" t="str">
        <f t="shared" si="29"/>
        <v>Banca Padana|10|Factoring</v>
      </c>
    </row>
    <row r="944" spans="1:12" x14ac:dyDescent="0.25">
      <c r="A944" t="s">
        <v>26</v>
      </c>
      <c r="B944">
        <v>10</v>
      </c>
      <c r="C944" t="s">
        <v>20</v>
      </c>
      <c r="D944" s="1">
        <v>45596</v>
      </c>
      <c r="E944">
        <v>1677.2</v>
      </c>
      <c r="F944">
        <v>95.74</v>
      </c>
      <c r="G944">
        <v>57.37</v>
      </c>
      <c r="H944">
        <v>173</v>
      </c>
      <c r="I944" t="s">
        <v>14</v>
      </c>
      <c r="J944">
        <v>2024</v>
      </c>
      <c r="K944">
        <f t="shared" si="28"/>
        <v>38.369999999999997</v>
      </c>
      <c r="L944" t="str">
        <f t="shared" si="29"/>
        <v>Banca Padana|10|Risparmio</v>
      </c>
    </row>
    <row r="945" spans="1:12" x14ac:dyDescent="0.25">
      <c r="A945" t="s">
        <v>26</v>
      </c>
      <c r="B945">
        <v>10</v>
      </c>
      <c r="C945" t="s">
        <v>21</v>
      </c>
      <c r="D945" s="1">
        <v>45596</v>
      </c>
      <c r="E945">
        <v>1900.1</v>
      </c>
      <c r="F945">
        <v>112.56</v>
      </c>
      <c r="G945">
        <v>66.989999999999995</v>
      </c>
      <c r="H945">
        <v>200</v>
      </c>
      <c r="I945" t="s">
        <v>14</v>
      </c>
      <c r="J945">
        <v>2024</v>
      </c>
      <c r="K945">
        <f t="shared" si="28"/>
        <v>45.570000000000007</v>
      </c>
      <c r="L945" t="str">
        <f t="shared" si="29"/>
        <v>Banca Padana|10|Assicurazioni</v>
      </c>
    </row>
    <row r="946" spans="1:12" x14ac:dyDescent="0.25">
      <c r="A946" t="s">
        <v>26</v>
      </c>
      <c r="B946">
        <v>11</v>
      </c>
      <c r="C946" t="s">
        <v>13</v>
      </c>
      <c r="D946" s="1">
        <v>45626</v>
      </c>
      <c r="E946">
        <v>551</v>
      </c>
      <c r="F946">
        <v>25.62</v>
      </c>
      <c r="G946">
        <v>15.54</v>
      </c>
      <c r="H946">
        <v>83</v>
      </c>
      <c r="I946" t="s">
        <v>14</v>
      </c>
      <c r="J946">
        <v>2024</v>
      </c>
      <c r="K946">
        <f t="shared" si="28"/>
        <v>10.080000000000002</v>
      </c>
      <c r="L946" t="str">
        <f t="shared" si="29"/>
        <v>Banca Padana|11|Mutui</v>
      </c>
    </row>
    <row r="947" spans="1:12" x14ac:dyDescent="0.25">
      <c r="A947" t="s">
        <v>26</v>
      </c>
      <c r="B947">
        <v>11</v>
      </c>
      <c r="C947" t="s">
        <v>15</v>
      </c>
      <c r="D947" s="1">
        <v>45626</v>
      </c>
      <c r="E947">
        <v>716.1</v>
      </c>
      <c r="F947">
        <v>34.29</v>
      </c>
      <c r="G947">
        <v>21.25</v>
      </c>
      <c r="H947">
        <v>78</v>
      </c>
      <c r="I947" t="s">
        <v>14</v>
      </c>
      <c r="J947">
        <v>2024</v>
      </c>
      <c r="K947">
        <f t="shared" si="28"/>
        <v>13.04</v>
      </c>
      <c r="L947" t="str">
        <f t="shared" si="29"/>
        <v>Banca Padana|11|Prestiti</v>
      </c>
    </row>
    <row r="948" spans="1:12" x14ac:dyDescent="0.25">
      <c r="A948" t="s">
        <v>26</v>
      </c>
      <c r="B948">
        <v>11</v>
      </c>
      <c r="C948" t="s">
        <v>16</v>
      </c>
      <c r="D948" s="1">
        <v>45626</v>
      </c>
      <c r="E948">
        <v>926.2</v>
      </c>
      <c r="F948">
        <v>46.37</v>
      </c>
      <c r="G948">
        <v>28.03</v>
      </c>
      <c r="H948">
        <v>104</v>
      </c>
      <c r="I948" t="s">
        <v>14</v>
      </c>
      <c r="J948">
        <v>2024</v>
      </c>
      <c r="K948">
        <f t="shared" si="28"/>
        <v>18.339999999999996</v>
      </c>
      <c r="L948" t="str">
        <f t="shared" si="29"/>
        <v>Banca Padana|11|Conti</v>
      </c>
    </row>
    <row r="949" spans="1:12" x14ac:dyDescent="0.25">
      <c r="A949" t="s">
        <v>26</v>
      </c>
      <c r="B949">
        <v>11</v>
      </c>
      <c r="C949" t="s">
        <v>17</v>
      </c>
      <c r="D949" s="1">
        <v>45626</v>
      </c>
      <c r="E949">
        <v>1115.7</v>
      </c>
      <c r="F949">
        <v>57.06</v>
      </c>
      <c r="G949">
        <v>34.61</v>
      </c>
      <c r="H949">
        <v>139</v>
      </c>
      <c r="I949" t="s">
        <v>14</v>
      </c>
      <c r="J949">
        <v>2024</v>
      </c>
      <c r="K949">
        <f t="shared" si="28"/>
        <v>22.450000000000003</v>
      </c>
      <c r="L949" t="str">
        <f t="shared" si="29"/>
        <v>Banca Padana|11|Carte</v>
      </c>
    </row>
    <row r="950" spans="1:12" x14ac:dyDescent="0.25">
      <c r="A950" t="s">
        <v>26</v>
      </c>
      <c r="B950">
        <v>11</v>
      </c>
      <c r="C950" t="s">
        <v>18</v>
      </c>
      <c r="D950" s="1">
        <v>45626</v>
      </c>
      <c r="E950">
        <v>1298.0999999999999</v>
      </c>
      <c r="F950">
        <v>69.73</v>
      </c>
      <c r="G950">
        <v>41.59</v>
      </c>
      <c r="H950">
        <v>126</v>
      </c>
      <c r="I950" t="s">
        <v>14</v>
      </c>
      <c r="J950">
        <v>2024</v>
      </c>
      <c r="K950">
        <f t="shared" si="28"/>
        <v>28.14</v>
      </c>
      <c r="L950" t="str">
        <f t="shared" si="29"/>
        <v>Banca Padana|11|Leasing</v>
      </c>
    </row>
    <row r="951" spans="1:12" x14ac:dyDescent="0.25">
      <c r="A951" t="s">
        <v>26</v>
      </c>
      <c r="B951">
        <v>11</v>
      </c>
      <c r="C951" t="s">
        <v>19</v>
      </c>
      <c r="D951" s="1">
        <v>45626</v>
      </c>
      <c r="E951">
        <v>1537.7</v>
      </c>
      <c r="F951">
        <v>85.48</v>
      </c>
      <c r="G951">
        <v>50.8</v>
      </c>
      <c r="H951">
        <v>173</v>
      </c>
      <c r="I951" t="s">
        <v>14</v>
      </c>
      <c r="J951">
        <v>2024</v>
      </c>
      <c r="K951">
        <f t="shared" si="28"/>
        <v>34.680000000000007</v>
      </c>
      <c r="L951" t="str">
        <f t="shared" si="29"/>
        <v>Banca Padana|11|Factoring</v>
      </c>
    </row>
    <row r="952" spans="1:12" x14ac:dyDescent="0.25">
      <c r="A952" t="s">
        <v>26</v>
      </c>
      <c r="B952">
        <v>11</v>
      </c>
      <c r="C952" t="s">
        <v>20</v>
      </c>
      <c r="D952" s="1">
        <v>45626</v>
      </c>
      <c r="E952">
        <v>1687.3</v>
      </c>
      <c r="F952">
        <v>96.76</v>
      </c>
      <c r="G952">
        <v>57.93</v>
      </c>
      <c r="H952">
        <v>164</v>
      </c>
      <c r="I952" t="s">
        <v>14</v>
      </c>
      <c r="J952">
        <v>2024</v>
      </c>
      <c r="K952">
        <f t="shared" si="28"/>
        <v>38.830000000000005</v>
      </c>
      <c r="L952" t="str">
        <f t="shared" si="29"/>
        <v>Banca Padana|11|Risparmio</v>
      </c>
    </row>
    <row r="953" spans="1:12" x14ac:dyDescent="0.25">
      <c r="A953" t="s">
        <v>26</v>
      </c>
      <c r="B953">
        <v>11</v>
      </c>
      <c r="C953" t="s">
        <v>21</v>
      </c>
      <c r="D953" s="1">
        <v>45626</v>
      </c>
      <c r="E953">
        <v>1903.5</v>
      </c>
      <c r="F953">
        <v>113.24</v>
      </c>
      <c r="G953">
        <v>66.959999999999994</v>
      </c>
      <c r="H953">
        <v>211</v>
      </c>
      <c r="I953" t="s">
        <v>14</v>
      </c>
      <c r="J953">
        <v>2024</v>
      </c>
      <c r="K953">
        <f t="shared" si="28"/>
        <v>46.28</v>
      </c>
      <c r="L953" t="str">
        <f t="shared" si="29"/>
        <v>Banca Padana|11|Assicurazioni</v>
      </c>
    </row>
    <row r="954" spans="1:12" x14ac:dyDescent="0.25">
      <c r="A954" t="s">
        <v>26</v>
      </c>
      <c r="B954">
        <v>12</v>
      </c>
      <c r="C954" t="s">
        <v>13</v>
      </c>
      <c r="D954" s="1">
        <v>45657</v>
      </c>
      <c r="E954">
        <v>537.5</v>
      </c>
      <c r="F954">
        <v>24.29</v>
      </c>
      <c r="G954">
        <v>15.5</v>
      </c>
      <c r="H954">
        <v>82</v>
      </c>
      <c r="I954" t="s">
        <v>14</v>
      </c>
      <c r="J954">
        <v>2024</v>
      </c>
      <c r="K954">
        <f t="shared" si="28"/>
        <v>8.7899999999999991</v>
      </c>
      <c r="L954" t="str">
        <f t="shared" si="29"/>
        <v>Banca Padana|12|Mutui</v>
      </c>
    </row>
    <row r="955" spans="1:12" x14ac:dyDescent="0.25">
      <c r="A955" t="s">
        <v>26</v>
      </c>
      <c r="B955">
        <v>12</v>
      </c>
      <c r="C955" t="s">
        <v>15</v>
      </c>
      <c r="D955" s="1">
        <v>45657</v>
      </c>
      <c r="E955">
        <v>715</v>
      </c>
      <c r="F955">
        <v>34.49</v>
      </c>
      <c r="G955">
        <v>21.59</v>
      </c>
      <c r="H955">
        <v>67</v>
      </c>
      <c r="I955" t="s">
        <v>14</v>
      </c>
      <c r="J955">
        <v>2024</v>
      </c>
      <c r="K955">
        <f t="shared" si="28"/>
        <v>12.900000000000002</v>
      </c>
      <c r="L955" t="str">
        <f t="shared" si="29"/>
        <v>Banca Padana|12|Prestiti</v>
      </c>
    </row>
    <row r="956" spans="1:12" x14ac:dyDescent="0.25">
      <c r="A956" t="s">
        <v>26</v>
      </c>
      <c r="B956">
        <v>12</v>
      </c>
      <c r="C956" t="s">
        <v>16</v>
      </c>
      <c r="D956" s="1">
        <v>45657</v>
      </c>
      <c r="E956">
        <v>945.6</v>
      </c>
      <c r="F956">
        <v>46.76</v>
      </c>
      <c r="G956">
        <v>28.95</v>
      </c>
      <c r="H956">
        <v>102</v>
      </c>
      <c r="I956" t="s">
        <v>14</v>
      </c>
      <c r="J956">
        <v>2024</v>
      </c>
      <c r="K956">
        <f t="shared" si="28"/>
        <v>17.809999999999999</v>
      </c>
      <c r="L956" t="str">
        <f t="shared" si="29"/>
        <v>Banca Padana|12|Conti</v>
      </c>
    </row>
    <row r="957" spans="1:12" x14ac:dyDescent="0.25">
      <c r="A957" t="s">
        <v>26</v>
      </c>
      <c r="B957">
        <v>12</v>
      </c>
      <c r="C957" t="s">
        <v>17</v>
      </c>
      <c r="D957" s="1">
        <v>45657</v>
      </c>
      <c r="E957">
        <v>1123.2</v>
      </c>
      <c r="F957">
        <v>58.06</v>
      </c>
      <c r="G957">
        <v>35.79</v>
      </c>
      <c r="H957">
        <v>103</v>
      </c>
      <c r="I957" t="s">
        <v>14</v>
      </c>
      <c r="J957">
        <v>2024</v>
      </c>
      <c r="K957">
        <f t="shared" si="28"/>
        <v>22.270000000000003</v>
      </c>
      <c r="L957" t="str">
        <f t="shared" si="29"/>
        <v>Banca Padana|12|Carte</v>
      </c>
    </row>
    <row r="958" spans="1:12" x14ac:dyDescent="0.25">
      <c r="A958" t="s">
        <v>26</v>
      </c>
      <c r="B958">
        <v>12</v>
      </c>
      <c r="C958" t="s">
        <v>18</v>
      </c>
      <c r="D958" s="1">
        <v>45657</v>
      </c>
      <c r="E958">
        <v>1349.8</v>
      </c>
      <c r="F958">
        <v>72.11</v>
      </c>
      <c r="G958">
        <v>43.82</v>
      </c>
      <c r="H958">
        <v>129</v>
      </c>
      <c r="I958" t="s">
        <v>14</v>
      </c>
      <c r="J958">
        <v>2024</v>
      </c>
      <c r="K958">
        <f t="shared" si="28"/>
        <v>28.29</v>
      </c>
      <c r="L958" t="str">
        <f t="shared" si="29"/>
        <v>Banca Padana|12|Leasing</v>
      </c>
    </row>
    <row r="959" spans="1:12" x14ac:dyDescent="0.25">
      <c r="A959" t="s">
        <v>26</v>
      </c>
      <c r="B959">
        <v>12</v>
      </c>
      <c r="C959" t="s">
        <v>19</v>
      </c>
      <c r="D959" s="1">
        <v>45657</v>
      </c>
      <c r="E959">
        <v>1502.6</v>
      </c>
      <c r="F959">
        <v>83.08</v>
      </c>
      <c r="G959">
        <v>49.65</v>
      </c>
      <c r="H959">
        <v>143</v>
      </c>
      <c r="I959" t="s">
        <v>14</v>
      </c>
      <c r="J959">
        <v>2024</v>
      </c>
      <c r="K959">
        <f t="shared" si="28"/>
        <v>33.43</v>
      </c>
      <c r="L959" t="str">
        <f t="shared" si="29"/>
        <v>Banca Padana|12|Factoring</v>
      </c>
    </row>
    <row r="960" spans="1:12" x14ac:dyDescent="0.25">
      <c r="A960" t="s">
        <v>26</v>
      </c>
      <c r="B960">
        <v>12</v>
      </c>
      <c r="C960" t="s">
        <v>20</v>
      </c>
      <c r="D960" s="1">
        <v>45657</v>
      </c>
      <c r="E960">
        <v>1720.3</v>
      </c>
      <c r="F960">
        <v>98.87</v>
      </c>
      <c r="G960">
        <v>58.64</v>
      </c>
      <c r="H960">
        <v>168</v>
      </c>
      <c r="I960" t="s">
        <v>14</v>
      </c>
      <c r="J960">
        <v>2024</v>
      </c>
      <c r="K960">
        <f t="shared" si="28"/>
        <v>40.230000000000004</v>
      </c>
      <c r="L960" t="str">
        <f t="shared" si="29"/>
        <v>Banca Padana|12|Risparmio</v>
      </c>
    </row>
    <row r="961" spans="1:12" x14ac:dyDescent="0.25">
      <c r="A961" t="s">
        <v>26</v>
      </c>
      <c r="B961">
        <v>12</v>
      </c>
      <c r="C961" t="s">
        <v>21</v>
      </c>
      <c r="D961" s="1">
        <v>45657</v>
      </c>
      <c r="E961">
        <v>1928.9</v>
      </c>
      <c r="F961">
        <v>114.29</v>
      </c>
      <c r="G961">
        <v>67.7</v>
      </c>
      <c r="H961">
        <v>211</v>
      </c>
      <c r="I961" t="s">
        <v>14</v>
      </c>
      <c r="J961">
        <v>2024</v>
      </c>
      <c r="K961">
        <f t="shared" si="28"/>
        <v>46.59</v>
      </c>
      <c r="L961" t="str">
        <f t="shared" si="29"/>
        <v>Banca Padana|12|Assicurazioni</v>
      </c>
    </row>
    <row r="962" spans="1:12" x14ac:dyDescent="0.25">
      <c r="A962" t="s">
        <v>26</v>
      </c>
      <c r="B962">
        <v>13</v>
      </c>
      <c r="C962" t="s">
        <v>13</v>
      </c>
      <c r="D962" s="1">
        <v>45688</v>
      </c>
      <c r="E962">
        <v>557.4</v>
      </c>
      <c r="F962">
        <v>25.13</v>
      </c>
      <c r="G962">
        <v>15.67</v>
      </c>
      <c r="H962">
        <v>51</v>
      </c>
      <c r="I962" t="s">
        <v>14</v>
      </c>
      <c r="J962">
        <v>2025</v>
      </c>
      <c r="K962">
        <f t="shared" ref="K962:K1025" si="30">F962-G962</f>
        <v>9.4599999999999991</v>
      </c>
      <c r="L962" t="str">
        <f t="shared" ref="L962:L1025" si="31">A962&amp;"|"&amp;B962&amp;"|"&amp;C962</f>
        <v>Banca Padana|13|Mutui</v>
      </c>
    </row>
    <row r="963" spans="1:12" x14ac:dyDescent="0.25">
      <c r="A963" t="s">
        <v>26</v>
      </c>
      <c r="B963">
        <v>13</v>
      </c>
      <c r="C963" t="s">
        <v>15</v>
      </c>
      <c r="D963" s="1">
        <v>45688</v>
      </c>
      <c r="E963">
        <v>738.3</v>
      </c>
      <c r="F963">
        <v>34.71</v>
      </c>
      <c r="G963">
        <v>21.53</v>
      </c>
      <c r="H963">
        <v>97</v>
      </c>
      <c r="I963" t="s">
        <v>14</v>
      </c>
      <c r="J963">
        <v>2025</v>
      </c>
      <c r="K963">
        <f t="shared" si="30"/>
        <v>13.18</v>
      </c>
      <c r="L963" t="str">
        <f t="shared" si="31"/>
        <v>Banca Padana|13|Prestiti</v>
      </c>
    </row>
    <row r="964" spans="1:12" x14ac:dyDescent="0.25">
      <c r="A964" t="s">
        <v>26</v>
      </c>
      <c r="B964">
        <v>13</v>
      </c>
      <c r="C964" t="s">
        <v>16</v>
      </c>
      <c r="D964" s="1">
        <v>45688</v>
      </c>
      <c r="E964">
        <v>924.1</v>
      </c>
      <c r="F964">
        <v>46.25</v>
      </c>
      <c r="G964">
        <v>28.04</v>
      </c>
      <c r="H964">
        <v>85</v>
      </c>
      <c r="I964" t="s">
        <v>14</v>
      </c>
      <c r="J964">
        <v>2025</v>
      </c>
      <c r="K964">
        <f t="shared" si="30"/>
        <v>18.21</v>
      </c>
      <c r="L964" t="str">
        <f t="shared" si="31"/>
        <v>Banca Padana|13|Conti</v>
      </c>
    </row>
    <row r="965" spans="1:12" x14ac:dyDescent="0.25">
      <c r="A965" t="s">
        <v>26</v>
      </c>
      <c r="B965">
        <v>13</v>
      </c>
      <c r="C965" t="s">
        <v>17</v>
      </c>
      <c r="D965" s="1">
        <v>45688</v>
      </c>
      <c r="E965">
        <v>1110.4000000000001</v>
      </c>
      <c r="F965">
        <v>57.11</v>
      </c>
      <c r="G965">
        <v>34.67</v>
      </c>
      <c r="H965">
        <v>133</v>
      </c>
      <c r="I965" t="s">
        <v>14</v>
      </c>
      <c r="J965">
        <v>2025</v>
      </c>
      <c r="K965">
        <f t="shared" si="30"/>
        <v>22.439999999999998</v>
      </c>
      <c r="L965" t="str">
        <f t="shared" si="31"/>
        <v>Banca Padana|13|Carte</v>
      </c>
    </row>
    <row r="966" spans="1:12" x14ac:dyDescent="0.25">
      <c r="A966" t="s">
        <v>26</v>
      </c>
      <c r="B966">
        <v>13</v>
      </c>
      <c r="C966" t="s">
        <v>18</v>
      </c>
      <c r="D966" s="1">
        <v>45688</v>
      </c>
      <c r="E966">
        <v>1364.5</v>
      </c>
      <c r="F966">
        <v>73.150000000000006</v>
      </c>
      <c r="G966">
        <v>44.42</v>
      </c>
      <c r="H966">
        <v>144</v>
      </c>
      <c r="I966" t="s">
        <v>14</v>
      </c>
      <c r="J966">
        <v>2025</v>
      </c>
      <c r="K966">
        <f t="shared" si="30"/>
        <v>28.730000000000004</v>
      </c>
      <c r="L966" t="str">
        <f t="shared" si="31"/>
        <v>Banca Padana|13|Leasing</v>
      </c>
    </row>
    <row r="967" spans="1:12" x14ac:dyDescent="0.25">
      <c r="A967" t="s">
        <v>26</v>
      </c>
      <c r="B967">
        <v>13</v>
      </c>
      <c r="C967" t="s">
        <v>19</v>
      </c>
      <c r="D967" s="1">
        <v>45688</v>
      </c>
      <c r="E967">
        <v>1563.2</v>
      </c>
      <c r="F967">
        <v>86.26</v>
      </c>
      <c r="G967">
        <v>51.87</v>
      </c>
      <c r="H967">
        <v>173</v>
      </c>
      <c r="I967" t="s">
        <v>14</v>
      </c>
      <c r="J967">
        <v>2025</v>
      </c>
      <c r="K967">
        <f t="shared" si="30"/>
        <v>34.390000000000008</v>
      </c>
      <c r="L967" t="str">
        <f t="shared" si="31"/>
        <v>Banca Padana|13|Factoring</v>
      </c>
    </row>
    <row r="968" spans="1:12" x14ac:dyDescent="0.25">
      <c r="A968" t="s">
        <v>26</v>
      </c>
      <c r="B968">
        <v>13</v>
      </c>
      <c r="C968" t="s">
        <v>20</v>
      </c>
      <c r="D968" s="1">
        <v>45688</v>
      </c>
      <c r="E968">
        <v>1709.6</v>
      </c>
      <c r="F968">
        <v>98.03</v>
      </c>
      <c r="G968">
        <v>58.2</v>
      </c>
      <c r="H968">
        <v>163</v>
      </c>
      <c r="I968" t="s">
        <v>14</v>
      </c>
      <c r="J968">
        <v>2025</v>
      </c>
      <c r="K968">
        <f t="shared" si="30"/>
        <v>39.83</v>
      </c>
      <c r="L968" t="str">
        <f t="shared" si="31"/>
        <v>Banca Padana|13|Risparmio</v>
      </c>
    </row>
    <row r="969" spans="1:12" x14ac:dyDescent="0.25">
      <c r="A969" t="s">
        <v>26</v>
      </c>
      <c r="B969">
        <v>13</v>
      </c>
      <c r="C969" t="s">
        <v>21</v>
      </c>
      <c r="D969" s="1">
        <v>45688</v>
      </c>
      <c r="E969">
        <v>1925.1</v>
      </c>
      <c r="F969">
        <v>114.09</v>
      </c>
      <c r="G969">
        <v>67.91</v>
      </c>
      <c r="H969">
        <v>201</v>
      </c>
      <c r="I969" t="s">
        <v>14</v>
      </c>
      <c r="J969">
        <v>2025</v>
      </c>
      <c r="K969">
        <f t="shared" si="30"/>
        <v>46.180000000000007</v>
      </c>
      <c r="L969" t="str">
        <f t="shared" si="31"/>
        <v>Banca Padana|13|Assicurazioni</v>
      </c>
    </row>
    <row r="970" spans="1:12" x14ac:dyDescent="0.25">
      <c r="A970" t="s">
        <v>26</v>
      </c>
      <c r="B970">
        <v>14</v>
      </c>
      <c r="C970" t="s">
        <v>13</v>
      </c>
      <c r="D970" s="1">
        <v>45716</v>
      </c>
      <c r="E970">
        <v>513.9</v>
      </c>
      <c r="F970">
        <v>23.44</v>
      </c>
      <c r="G970">
        <v>14.68</v>
      </c>
      <c r="H970">
        <v>79</v>
      </c>
      <c r="I970" t="s">
        <v>14</v>
      </c>
      <c r="J970">
        <v>2025</v>
      </c>
      <c r="K970">
        <f t="shared" si="30"/>
        <v>8.7600000000000016</v>
      </c>
      <c r="L970" t="str">
        <f t="shared" si="31"/>
        <v>Banca Padana|14|Mutui</v>
      </c>
    </row>
    <row r="971" spans="1:12" x14ac:dyDescent="0.25">
      <c r="A971" t="s">
        <v>26</v>
      </c>
      <c r="B971">
        <v>14</v>
      </c>
      <c r="C971" t="s">
        <v>15</v>
      </c>
      <c r="D971" s="1">
        <v>45716</v>
      </c>
      <c r="E971">
        <v>721.5</v>
      </c>
      <c r="F971">
        <v>34.409999999999997</v>
      </c>
      <c r="G971">
        <v>21.07</v>
      </c>
      <c r="H971">
        <v>76</v>
      </c>
      <c r="I971" t="s">
        <v>14</v>
      </c>
      <c r="J971">
        <v>2025</v>
      </c>
      <c r="K971">
        <f t="shared" si="30"/>
        <v>13.339999999999996</v>
      </c>
      <c r="L971" t="str">
        <f t="shared" si="31"/>
        <v>Banca Padana|14|Prestiti</v>
      </c>
    </row>
    <row r="972" spans="1:12" x14ac:dyDescent="0.25">
      <c r="A972" t="s">
        <v>26</v>
      </c>
      <c r="B972">
        <v>14</v>
      </c>
      <c r="C972" t="s">
        <v>16</v>
      </c>
      <c r="D972" s="1">
        <v>45716</v>
      </c>
      <c r="E972">
        <v>945.6</v>
      </c>
      <c r="F972">
        <v>46.57</v>
      </c>
      <c r="G972">
        <v>28.8</v>
      </c>
      <c r="H972">
        <v>122</v>
      </c>
      <c r="I972" t="s">
        <v>14</v>
      </c>
      <c r="J972">
        <v>2025</v>
      </c>
      <c r="K972">
        <f t="shared" si="30"/>
        <v>17.77</v>
      </c>
      <c r="L972" t="str">
        <f t="shared" si="31"/>
        <v>Banca Padana|14|Conti</v>
      </c>
    </row>
    <row r="973" spans="1:12" x14ac:dyDescent="0.25">
      <c r="A973" t="s">
        <v>26</v>
      </c>
      <c r="B973">
        <v>14</v>
      </c>
      <c r="C973" t="s">
        <v>17</v>
      </c>
      <c r="D973" s="1">
        <v>45716</v>
      </c>
      <c r="E973">
        <v>1133.4000000000001</v>
      </c>
      <c r="F973">
        <v>58.1</v>
      </c>
      <c r="G973">
        <v>35.6</v>
      </c>
      <c r="H973">
        <v>109</v>
      </c>
      <c r="I973" t="s">
        <v>14</v>
      </c>
      <c r="J973">
        <v>2025</v>
      </c>
      <c r="K973">
        <f t="shared" si="30"/>
        <v>22.5</v>
      </c>
      <c r="L973" t="str">
        <f t="shared" si="31"/>
        <v>Banca Padana|14|Carte</v>
      </c>
    </row>
    <row r="974" spans="1:12" x14ac:dyDescent="0.25">
      <c r="A974" t="s">
        <v>26</v>
      </c>
      <c r="B974">
        <v>14</v>
      </c>
      <c r="C974" t="s">
        <v>18</v>
      </c>
      <c r="D974" s="1">
        <v>45716</v>
      </c>
      <c r="E974">
        <v>1368.4</v>
      </c>
      <c r="F974">
        <v>73.25</v>
      </c>
      <c r="G974">
        <v>44.05</v>
      </c>
      <c r="H974">
        <v>150</v>
      </c>
      <c r="I974" t="s">
        <v>14</v>
      </c>
      <c r="J974">
        <v>2025</v>
      </c>
      <c r="K974">
        <f t="shared" si="30"/>
        <v>29.200000000000003</v>
      </c>
      <c r="L974" t="str">
        <f t="shared" si="31"/>
        <v>Banca Padana|14|Leasing</v>
      </c>
    </row>
    <row r="975" spans="1:12" x14ac:dyDescent="0.25">
      <c r="A975" t="s">
        <v>26</v>
      </c>
      <c r="B975">
        <v>14</v>
      </c>
      <c r="C975" t="s">
        <v>19</v>
      </c>
      <c r="D975" s="1">
        <v>45716</v>
      </c>
      <c r="E975">
        <v>1561.3</v>
      </c>
      <c r="F975">
        <v>86.77</v>
      </c>
      <c r="G975">
        <v>51.69</v>
      </c>
      <c r="H975">
        <v>168</v>
      </c>
      <c r="I975" t="s">
        <v>14</v>
      </c>
      <c r="J975">
        <v>2025</v>
      </c>
      <c r="K975">
        <f t="shared" si="30"/>
        <v>35.08</v>
      </c>
      <c r="L975" t="str">
        <f t="shared" si="31"/>
        <v>Banca Padana|14|Factoring</v>
      </c>
    </row>
    <row r="976" spans="1:12" x14ac:dyDescent="0.25">
      <c r="A976" t="s">
        <v>26</v>
      </c>
      <c r="B976">
        <v>14</v>
      </c>
      <c r="C976" t="s">
        <v>20</v>
      </c>
      <c r="D976" s="1">
        <v>45716</v>
      </c>
      <c r="E976">
        <v>1755.1</v>
      </c>
      <c r="F976">
        <v>100.98</v>
      </c>
      <c r="G976">
        <v>60.28</v>
      </c>
      <c r="H976">
        <v>183</v>
      </c>
      <c r="I976" t="s">
        <v>14</v>
      </c>
      <c r="J976">
        <v>2025</v>
      </c>
      <c r="K976">
        <f t="shared" si="30"/>
        <v>40.700000000000003</v>
      </c>
      <c r="L976" t="str">
        <f t="shared" si="31"/>
        <v>Banca Padana|14|Risparmio</v>
      </c>
    </row>
    <row r="977" spans="1:12" x14ac:dyDescent="0.25">
      <c r="A977" t="s">
        <v>26</v>
      </c>
      <c r="B977">
        <v>14</v>
      </c>
      <c r="C977" t="s">
        <v>21</v>
      </c>
      <c r="D977" s="1">
        <v>45716</v>
      </c>
      <c r="E977">
        <v>1963.9</v>
      </c>
      <c r="F977">
        <v>116.4</v>
      </c>
      <c r="G977">
        <v>69.7</v>
      </c>
      <c r="H977">
        <v>192</v>
      </c>
      <c r="I977" t="s">
        <v>14</v>
      </c>
      <c r="J977">
        <v>2025</v>
      </c>
      <c r="K977">
        <f t="shared" si="30"/>
        <v>46.7</v>
      </c>
      <c r="L977" t="str">
        <f t="shared" si="31"/>
        <v>Banca Padana|14|Assicurazioni</v>
      </c>
    </row>
    <row r="978" spans="1:12" x14ac:dyDescent="0.25">
      <c r="A978" t="s">
        <v>26</v>
      </c>
      <c r="B978">
        <v>15</v>
      </c>
      <c r="C978" t="s">
        <v>13</v>
      </c>
      <c r="D978" s="1">
        <v>45747</v>
      </c>
      <c r="E978">
        <v>514.70000000000005</v>
      </c>
      <c r="F978">
        <v>23.3</v>
      </c>
      <c r="G978">
        <v>14.47</v>
      </c>
      <c r="H978">
        <v>60</v>
      </c>
      <c r="I978" t="s">
        <v>14</v>
      </c>
      <c r="J978">
        <v>2025</v>
      </c>
      <c r="K978">
        <f t="shared" si="30"/>
        <v>8.83</v>
      </c>
      <c r="L978" t="str">
        <f t="shared" si="31"/>
        <v>Banca Padana|15|Mutui</v>
      </c>
    </row>
    <row r="979" spans="1:12" x14ac:dyDescent="0.25">
      <c r="A979" t="s">
        <v>26</v>
      </c>
      <c r="B979">
        <v>15</v>
      </c>
      <c r="C979" t="s">
        <v>15</v>
      </c>
      <c r="D979" s="1">
        <v>45747</v>
      </c>
      <c r="E979">
        <v>722.3</v>
      </c>
      <c r="F979">
        <v>34.1</v>
      </c>
      <c r="G979">
        <v>21.09</v>
      </c>
      <c r="H979">
        <v>100</v>
      </c>
      <c r="I979" t="s">
        <v>14</v>
      </c>
      <c r="J979">
        <v>2025</v>
      </c>
      <c r="K979">
        <f t="shared" si="30"/>
        <v>13.010000000000002</v>
      </c>
      <c r="L979" t="str">
        <f t="shared" si="31"/>
        <v>Banca Padana|15|Prestiti</v>
      </c>
    </row>
    <row r="980" spans="1:12" x14ac:dyDescent="0.25">
      <c r="A980" t="s">
        <v>26</v>
      </c>
      <c r="B980">
        <v>15</v>
      </c>
      <c r="C980" t="s">
        <v>16</v>
      </c>
      <c r="D980" s="1">
        <v>45747</v>
      </c>
      <c r="E980">
        <v>948.6</v>
      </c>
      <c r="F980">
        <v>46.53</v>
      </c>
      <c r="G980">
        <v>28.83</v>
      </c>
      <c r="H980">
        <v>116</v>
      </c>
      <c r="I980" t="s">
        <v>14</v>
      </c>
      <c r="J980">
        <v>2025</v>
      </c>
      <c r="K980">
        <f t="shared" si="30"/>
        <v>17.700000000000003</v>
      </c>
      <c r="L980" t="str">
        <f t="shared" si="31"/>
        <v>Banca Padana|15|Conti</v>
      </c>
    </row>
    <row r="981" spans="1:12" x14ac:dyDescent="0.25">
      <c r="A981" t="s">
        <v>26</v>
      </c>
      <c r="B981">
        <v>15</v>
      </c>
      <c r="C981" t="s">
        <v>17</v>
      </c>
      <c r="D981" s="1">
        <v>45747</v>
      </c>
      <c r="E981">
        <v>1143.4000000000001</v>
      </c>
      <c r="F981">
        <v>58.36</v>
      </c>
      <c r="G981">
        <v>35.99</v>
      </c>
      <c r="H981">
        <v>106</v>
      </c>
      <c r="I981" t="s">
        <v>14</v>
      </c>
      <c r="J981">
        <v>2025</v>
      </c>
      <c r="K981">
        <f t="shared" si="30"/>
        <v>22.369999999999997</v>
      </c>
      <c r="L981" t="str">
        <f t="shared" si="31"/>
        <v>Banca Padana|15|Carte</v>
      </c>
    </row>
    <row r="982" spans="1:12" x14ac:dyDescent="0.25">
      <c r="A982" t="s">
        <v>26</v>
      </c>
      <c r="B982">
        <v>15</v>
      </c>
      <c r="C982" t="s">
        <v>18</v>
      </c>
      <c r="D982" s="1">
        <v>45747</v>
      </c>
      <c r="E982">
        <v>1357.3</v>
      </c>
      <c r="F982">
        <v>72.27</v>
      </c>
      <c r="G982">
        <v>43.85</v>
      </c>
      <c r="H982">
        <v>146</v>
      </c>
      <c r="I982" t="s">
        <v>14</v>
      </c>
      <c r="J982">
        <v>2025</v>
      </c>
      <c r="K982">
        <f t="shared" si="30"/>
        <v>28.419999999999995</v>
      </c>
      <c r="L982" t="str">
        <f t="shared" si="31"/>
        <v>Banca Padana|15|Leasing</v>
      </c>
    </row>
    <row r="983" spans="1:12" x14ac:dyDescent="0.25">
      <c r="A983" t="s">
        <v>26</v>
      </c>
      <c r="B983">
        <v>15</v>
      </c>
      <c r="C983" t="s">
        <v>19</v>
      </c>
      <c r="D983" s="1">
        <v>45747</v>
      </c>
      <c r="E983">
        <v>1531.8</v>
      </c>
      <c r="F983">
        <v>84.87</v>
      </c>
      <c r="G983">
        <v>51.31</v>
      </c>
      <c r="H983">
        <v>148</v>
      </c>
      <c r="I983" t="s">
        <v>14</v>
      </c>
      <c r="J983">
        <v>2025</v>
      </c>
      <c r="K983">
        <f t="shared" si="30"/>
        <v>33.56</v>
      </c>
      <c r="L983" t="str">
        <f t="shared" si="31"/>
        <v>Banca Padana|15|Factoring</v>
      </c>
    </row>
    <row r="984" spans="1:12" x14ac:dyDescent="0.25">
      <c r="A984" t="s">
        <v>26</v>
      </c>
      <c r="B984">
        <v>15</v>
      </c>
      <c r="C984" t="s">
        <v>20</v>
      </c>
      <c r="D984" s="1">
        <v>45747</v>
      </c>
      <c r="E984">
        <v>1735.5</v>
      </c>
      <c r="F984">
        <v>99.25</v>
      </c>
      <c r="G984">
        <v>59.06</v>
      </c>
      <c r="H984">
        <v>161</v>
      </c>
      <c r="I984" t="s">
        <v>14</v>
      </c>
      <c r="J984">
        <v>2025</v>
      </c>
      <c r="K984">
        <f t="shared" si="30"/>
        <v>40.19</v>
      </c>
      <c r="L984" t="str">
        <f t="shared" si="31"/>
        <v>Banca Padana|15|Risparmio</v>
      </c>
    </row>
    <row r="985" spans="1:12" x14ac:dyDescent="0.25">
      <c r="A985" t="s">
        <v>26</v>
      </c>
      <c r="B985">
        <v>15</v>
      </c>
      <c r="C985" t="s">
        <v>21</v>
      </c>
      <c r="D985" s="1">
        <v>45747</v>
      </c>
      <c r="E985">
        <v>1977.3</v>
      </c>
      <c r="F985">
        <v>117.33</v>
      </c>
      <c r="G985">
        <v>70.16</v>
      </c>
      <c r="H985">
        <v>201</v>
      </c>
      <c r="I985" t="s">
        <v>14</v>
      </c>
      <c r="J985">
        <v>2025</v>
      </c>
      <c r="K985">
        <f t="shared" si="30"/>
        <v>47.17</v>
      </c>
      <c r="L985" t="str">
        <f t="shared" si="31"/>
        <v>Banca Padana|15|Assicurazioni</v>
      </c>
    </row>
    <row r="986" spans="1:12" x14ac:dyDescent="0.25">
      <c r="A986" t="s">
        <v>26</v>
      </c>
      <c r="B986">
        <v>16</v>
      </c>
      <c r="C986" t="s">
        <v>13</v>
      </c>
      <c r="D986" s="1">
        <v>45777</v>
      </c>
      <c r="E986">
        <v>536.9</v>
      </c>
      <c r="F986">
        <v>24.92</v>
      </c>
      <c r="G986">
        <v>15.36</v>
      </c>
      <c r="H986">
        <v>57</v>
      </c>
      <c r="I986" t="s">
        <v>14</v>
      </c>
      <c r="J986">
        <v>2025</v>
      </c>
      <c r="K986">
        <f t="shared" si="30"/>
        <v>9.5600000000000023</v>
      </c>
      <c r="L986" t="str">
        <f t="shared" si="31"/>
        <v>Banca Padana|16|Mutui</v>
      </c>
    </row>
    <row r="987" spans="1:12" x14ac:dyDescent="0.25">
      <c r="A987" t="s">
        <v>26</v>
      </c>
      <c r="B987">
        <v>16</v>
      </c>
      <c r="C987" t="s">
        <v>15</v>
      </c>
      <c r="D987" s="1">
        <v>45777</v>
      </c>
      <c r="E987">
        <v>744.8</v>
      </c>
      <c r="F987">
        <v>35.57</v>
      </c>
      <c r="G987">
        <v>22.43</v>
      </c>
      <c r="H987">
        <v>80</v>
      </c>
      <c r="I987" t="s">
        <v>14</v>
      </c>
      <c r="J987">
        <v>2025</v>
      </c>
      <c r="K987">
        <f t="shared" si="30"/>
        <v>13.14</v>
      </c>
      <c r="L987" t="str">
        <f t="shared" si="31"/>
        <v>Banca Padana|16|Prestiti</v>
      </c>
    </row>
    <row r="988" spans="1:12" x14ac:dyDescent="0.25">
      <c r="A988" t="s">
        <v>26</v>
      </c>
      <c r="B988">
        <v>16</v>
      </c>
      <c r="C988" t="s">
        <v>16</v>
      </c>
      <c r="D988" s="1">
        <v>45777</v>
      </c>
      <c r="E988">
        <v>933.4</v>
      </c>
      <c r="F988">
        <v>46.73</v>
      </c>
      <c r="G988">
        <v>28.88</v>
      </c>
      <c r="H988">
        <v>121</v>
      </c>
      <c r="I988" t="s">
        <v>14</v>
      </c>
      <c r="J988">
        <v>2025</v>
      </c>
      <c r="K988">
        <f t="shared" si="30"/>
        <v>17.849999999999998</v>
      </c>
      <c r="L988" t="str">
        <f t="shared" si="31"/>
        <v>Banca Padana|16|Conti</v>
      </c>
    </row>
    <row r="989" spans="1:12" x14ac:dyDescent="0.25">
      <c r="A989" t="s">
        <v>26</v>
      </c>
      <c r="B989">
        <v>16</v>
      </c>
      <c r="C989" t="s">
        <v>17</v>
      </c>
      <c r="D989" s="1">
        <v>45777</v>
      </c>
      <c r="E989">
        <v>1135</v>
      </c>
      <c r="F989">
        <v>58.61</v>
      </c>
      <c r="G989">
        <v>35.590000000000003</v>
      </c>
      <c r="H989">
        <v>114</v>
      </c>
      <c r="I989" t="s">
        <v>14</v>
      </c>
      <c r="J989">
        <v>2025</v>
      </c>
      <c r="K989">
        <f t="shared" si="30"/>
        <v>23.019999999999996</v>
      </c>
      <c r="L989" t="str">
        <f t="shared" si="31"/>
        <v>Banca Padana|16|Carte</v>
      </c>
    </row>
    <row r="990" spans="1:12" x14ac:dyDescent="0.25">
      <c r="A990" t="s">
        <v>26</v>
      </c>
      <c r="B990">
        <v>16</v>
      </c>
      <c r="C990" t="s">
        <v>18</v>
      </c>
      <c r="D990" s="1">
        <v>45777</v>
      </c>
      <c r="E990">
        <v>1343.7</v>
      </c>
      <c r="F990">
        <v>71.599999999999994</v>
      </c>
      <c r="G990">
        <v>43.89</v>
      </c>
      <c r="H990">
        <v>152</v>
      </c>
      <c r="I990" t="s">
        <v>14</v>
      </c>
      <c r="J990">
        <v>2025</v>
      </c>
      <c r="K990">
        <f t="shared" si="30"/>
        <v>27.709999999999994</v>
      </c>
      <c r="L990" t="str">
        <f t="shared" si="31"/>
        <v>Banca Padana|16|Leasing</v>
      </c>
    </row>
    <row r="991" spans="1:12" x14ac:dyDescent="0.25">
      <c r="A991" t="s">
        <v>26</v>
      </c>
      <c r="B991">
        <v>16</v>
      </c>
      <c r="C991" t="s">
        <v>19</v>
      </c>
      <c r="D991" s="1">
        <v>45777</v>
      </c>
      <c r="E991">
        <v>1556.8</v>
      </c>
      <c r="F991">
        <v>86.62</v>
      </c>
      <c r="G991">
        <v>51.62</v>
      </c>
      <c r="H991">
        <v>143</v>
      </c>
      <c r="I991" t="s">
        <v>14</v>
      </c>
      <c r="J991">
        <v>2025</v>
      </c>
      <c r="K991">
        <f t="shared" si="30"/>
        <v>35.000000000000007</v>
      </c>
      <c r="L991" t="str">
        <f t="shared" si="31"/>
        <v>Banca Padana|16|Factoring</v>
      </c>
    </row>
    <row r="992" spans="1:12" x14ac:dyDescent="0.25">
      <c r="A992" t="s">
        <v>26</v>
      </c>
      <c r="B992">
        <v>16</v>
      </c>
      <c r="C992" t="s">
        <v>20</v>
      </c>
      <c r="D992" s="1">
        <v>45777</v>
      </c>
      <c r="E992">
        <v>1790.7</v>
      </c>
      <c r="F992">
        <v>102.16</v>
      </c>
      <c r="G992">
        <v>61.79</v>
      </c>
      <c r="H992">
        <v>186</v>
      </c>
      <c r="I992" t="s">
        <v>14</v>
      </c>
      <c r="J992">
        <v>2025</v>
      </c>
      <c r="K992">
        <f t="shared" si="30"/>
        <v>40.369999999999997</v>
      </c>
      <c r="L992" t="str">
        <f t="shared" si="31"/>
        <v>Banca Padana|16|Risparmio</v>
      </c>
    </row>
    <row r="993" spans="1:12" x14ac:dyDescent="0.25">
      <c r="A993" t="s">
        <v>26</v>
      </c>
      <c r="B993">
        <v>16</v>
      </c>
      <c r="C993" t="s">
        <v>21</v>
      </c>
      <c r="D993" s="1">
        <v>45777</v>
      </c>
      <c r="E993">
        <v>1950.9</v>
      </c>
      <c r="F993">
        <v>115.12</v>
      </c>
      <c r="G993">
        <v>68.459999999999994</v>
      </c>
      <c r="H993">
        <v>186</v>
      </c>
      <c r="I993" t="s">
        <v>14</v>
      </c>
      <c r="J993">
        <v>2025</v>
      </c>
      <c r="K993">
        <f t="shared" si="30"/>
        <v>46.660000000000011</v>
      </c>
      <c r="L993" t="str">
        <f t="shared" si="31"/>
        <v>Banca Padana|16|Assicurazioni</v>
      </c>
    </row>
    <row r="994" spans="1:12" x14ac:dyDescent="0.25">
      <c r="A994" t="s">
        <v>26</v>
      </c>
      <c r="B994">
        <v>17</v>
      </c>
      <c r="C994" t="s">
        <v>13</v>
      </c>
      <c r="D994" s="1">
        <v>45808</v>
      </c>
      <c r="E994">
        <v>553.70000000000005</v>
      </c>
      <c r="F994">
        <v>25.71</v>
      </c>
      <c r="G994">
        <v>15.94</v>
      </c>
      <c r="H994">
        <v>52</v>
      </c>
      <c r="I994" t="s">
        <v>14</v>
      </c>
      <c r="J994">
        <v>2025</v>
      </c>
      <c r="K994">
        <f t="shared" si="30"/>
        <v>9.7700000000000014</v>
      </c>
      <c r="L994" t="str">
        <f t="shared" si="31"/>
        <v>Banca Padana|17|Mutui</v>
      </c>
    </row>
    <row r="995" spans="1:12" x14ac:dyDescent="0.25">
      <c r="A995" t="s">
        <v>26</v>
      </c>
      <c r="B995">
        <v>17</v>
      </c>
      <c r="C995" t="s">
        <v>15</v>
      </c>
      <c r="D995" s="1">
        <v>45808</v>
      </c>
      <c r="E995">
        <v>776.9</v>
      </c>
      <c r="F995">
        <v>36.96</v>
      </c>
      <c r="G995">
        <v>22.68</v>
      </c>
      <c r="H995">
        <v>69</v>
      </c>
      <c r="I995" t="s">
        <v>14</v>
      </c>
      <c r="J995">
        <v>2025</v>
      </c>
      <c r="K995">
        <f t="shared" si="30"/>
        <v>14.280000000000001</v>
      </c>
      <c r="L995" t="str">
        <f t="shared" si="31"/>
        <v>Banca Padana|17|Prestiti</v>
      </c>
    </row>
    <row r="996" spans="1:12" x14ac:dyDescent="0.25">
      <c r="A996" t="s">
        <v>26</v>
      </c>
      <c r="B996">
        <v>17</v>
      </c>
      <c r="C996" t="s">
        <v>16</v>
      </c>
      <c r="D996" s="1">
        <v>45808</v>
      </c>
      <c r="E996">
        <v>981.9</v>
      </c>
      <c r="F996">
        <v>48.37</v>
      </c>
      <c r="G996">
        <v>30.13</v>
      </c>
      <c r="H996">
        <v>105</v>
      </c>
      <c r="I996" t="s">
        <v>14</v>
      </c>
      <c r="J996">
        <v>2025</v>
      </c>
      <c r="K996">
        <f t="shared" si="30"/>
        <v>18.239999999999998</v>
      </c>
      <c r="L996" t="str">
        <f t="shared" si="31"/>
        <v>Banca Padana|17|Conti</v>
      </c>
    </row>
    <row r="997" spans="1:12" x14ac:dyDescent="0.25">
      <c r="A997" t="s">
        <v>26</v>
      </c>
      <c r="B997">
        <v>17</v>
      </c>
      <c r="C997" t="s">
        <v>17</v>
      </c>
      <c r="D997" s="1">
        <v>45808</v>
      </c>
      <c r="E997">
        <v>1175.5</v>
      </c>
      <c r="F997">
        <v>60.81</v>
      </c>
      <c r="G997">
        <v>36.97</v>
      </c>
      <c r="H997">
        <v>142</v>
      </c>
      <c r="I997" t="s">
        <v>14</v>
      </c>
      <c r="J997">
        <v>2025</v>
      </c>
      <c r="K997">
        <f t="shared" si="30"/>
        <v>23.840000000000003</v>
      </c>
      <c r="L997" t="str">
        <f t="shared" si="31"/>
        <v>Banca Padana|17|Carte</v>
      </c>
    </row>
    <row r="998" spans="1:12" x14ac:dyDescent="0.25">
      <c r="A998" t="s">
        <v>26</v>
      </c>
      <c r="B998">
        <v>17</v>
      </c>
      <c r="C998" t="s">
        <v>18</v>
      </c>
      <c r="D998" s="1">
        <v>45808</v>
      </c>
      <c r="E998">
        <v>1376.2</v>
      </c>
      <c r="F998">
        <v>73.260000000000005</v>
      </c>
      <c r="G998">
        <v>44.76</v>
      </c>
      <c r="H998">
        <v>144</v>
      </c>
      <c r="I998" t="s">
        <v>14</v>
      </c>
      <c r="J998">
        <v>2025</v>
      </c>
      <c r="K998">
        <f t="shared" si="30"/>
        <v>28.500000000000007</v>
      </c>
      <c r="L998" t="str">
        <f t="shared" si="31"/>
        <v>Banca Padana|17|Leasing</v>
      </c>
    </row>
    <row r="999" spans="1:12" x14ac:dyDescent="0.25">
      <c r="A999" t="s">
        <v>26</v>
      </c>
      <c r="B999">
        <v>17</v>
      </c>
      <c r="C999" t="s">
        <v>19</v>
      </c>
      <c r="D999" s="1">
        <v>45808</v>
      </c>
      <c r="E999">
        <v>1566.2</v>
      </c>
      <c r="F999">
        <v>86.23</v>
      </c>
      <c r="G999">
        <v>51.82</v>
      </c>
      <c r="H999">
        <v>174</v>
      </c>
      <c r="I999" t="s">
        <v>14</v>
      </c>
      <c r="J999">
        <v>2025</v>
      </c>
      <c r="K999">
        <f t="shared" si="30"/>
        <v>34.410000000000004</v>
      </c>
      <c r="L999" t="str">
        <f t="shared" si="31"/>
        <v>Banca Padana|17|Factoring</v>
      </c>
    </row>
    <row r="1000" spans="1:12" x14ac:dyDescent="0.25">
      <c r="A1000" t="s">
        <v>26</v>
      </c>
      <c r="B1000">
        <v>17</v>
      </c>
      <c r="C1000" t="s">
        <v>20</v>
      </c>
      <c r="D1000" s="1">
        <v>45808</v>
      </c>
      <c r="E1000">
        <v>1808.3</v>
      </c>
      <c r="F1000">
        <v>103.61</v>
      </c>
      <c r="G1000">
        <v>61.63</v>
      </c>
      <c r="H1000">
        <v>185</v>
      </c>
      <c r="I1000" t="s">
        <v>14</v>
      </c>
      <c r="J1000">
        <v>2025</v>
      </c>
      <c r="K1000">
        <f t="shared" si="30"/>
        <v>41.98</v>
      </c>
      <c r="L1000" t="str">
        <f t="shared" si="31"/>
        <v>Banca Padana|17|Risparmio</v>
      </c>
    </row>
    <row r="1001" spans="1:12" x14ac:dyDescent="0.25">
      <c r="A1001" t="s">
        <v>26</v>
      </c>
      <c r="B1001">
        <v>17</v>
      </c>
      <c r="C1001" t="s">
        <v>21</v>
      </c>
      <c r="D1001" s="1">
        <v>45808</v>
      </c>
      <c r="E1001">
        <v>2007.7</v>
      </c>
      <c r="F1001">
        <v>119.41</v>
      </c>
      <c r="G1001">
        <v>71.05</v>
      </c>
      <c r="H1001">
        <v>214</v>
      </c>
      <c r="I1001" t="s">
        <v>14</v>
      </c>
      <c r="J1001">
        <v>2025</v>
      </c>
      <c r="K1001">
        <f t="shared" si="30"/>
        <v>48.36</v>
      </c>
      <c r="L1001" t="str">
        <f t="shared" si="31"/>
        <v>Banca Padana|17|Assicurazioni</v>
      </c>
    </row>
    <row r="1002" spans="1:12" x14ac:dyDescent="0.25">
      <c r="A1002" t="s">
        <v>26</v>
      </c>
      <c r="B1002">
        <v>18</v>
      </c>
      <c r="C1002" t="s">
        <v>13</v>
      </c>
      <c r="D1002" s="1">
        <v>45838</v>
      </c>
      <c r="E1002">
        <v>524.6</v>
      </c>
      <c r="F1002">
        <v>24.45</v>
      </c>
      <c r="G1002">
        <v>14.87</v>
      </c>
      <c r="H1002">
        <v>60</v>
      </c>
      <c r="I1002" t="s">
        <v>14</v>
      </c>
      <c r="J1002">
        <v>2025</v>
      </c>
      <c r="K1002">
        <f t="shared" si="30"/>
        <v>9.58</v>
      </c>
      <c r="L1002" t="str">
        <f t="shared" si="31"/>
        <v>Banca Padana|18|Mutui</v>
      </c>
    </row>
    <row r="1003" spans="1:12" x14ac:dyDescent="0.25">
      <c r="A1003" t="s">
        <v>26</v>
      </c>
      <c r="B1003">
        <v>18</v>
      </c>
      <c r="C1003" t="s">
        <v>15</v>
      </c>
      <c r="D1003" s="1">
        <v>45838</v>
      </c>
      <c r="E1003">
        <v>783.6</v>
      </c>
      <c r="F1003">
        <v>37.25</v>
      </c>
      <c r="G1003">
        <v>23.11</v>
      </c>
      <c r="H1003">
        <v>72</v>
      </c>
      <c r="I1003" t="s">
        <v>14</v>
      </c>
      <c r="J1003">
        <v>2025</v>
      </c>
      <c r="K1003">
        <f t="shared" si="30"/>
        <v>14.14</v>
      </c>
      <c r="L1003" t="str">
        <f t="shared" si="31"/>
        <v>Banca Padana|18|Prestiti</v>
      </c>
    </row>
    <row r="1004" spans="1:12" x14ac:dyDescent="0.25">
      <c r="A1004" t="s">
        <v>26</v>
      </c>
      <c r="B1004">
        <v>18</v>
      </c>
      <c r="C1004" t="s">
        <v>16</v>
      </c>
      <c r="D1004" s="1">
        <v>45838</v>
      </c>
      <c r="E1004">
        <v>992.1</v>
      </c>
      <c r="F1004">
        <v>49.1</v>
      </c>
      <c r="G1004">
        <v>29.97</v>
      </c>
      <c r="H1004">
        <v>114</v>
      </c>
      <c r="I1004" t="s">
        <v>14</v>
      </c>
      <c r="J1004">
        <v>2025</v>
      </c>
      <c r="K1004">
        <f t="shared" si="30"/>
        <v>19.130000000000003</v>
      </c>
      <c r="L1004" t="str">
        <f t="shared" si="31"/>
        <v>Banca Padana|18|Conti</v>
      </c>
    </row>
    <row r="1005" spans="1:12" x14ac:dyDescent="0.25">
      <c r="A1005" t="s">
        <v>26</v>
      </c>
      <c r="B1005">
        <v>18</v>
      </c>
      <c r="C1005" t="s">
        <v>17</v>
      </c>
      <c r="D1005" s="1">
        <v>45838</v>
      </c>
      <c r="E1005">
        <v>1152.7</v>
      </c>
      <c r="F1005">
        <v>58.86</v>
      </c>
      <c r="G1005">
        <v>36.58</v>
      </c>
      <c r="H1005">
        <v>137</v>
      </c>
      <c r="I1005" t="s">
        <v>14</v>
      </c>
      <c r="J1005">
        <v>2025</v>
      </c>
      <c r="K1005">
        <f t="shared" si="30"/>
        <v>22.28</v>
      </c>
      <c r="L1005" t="str">
        <f t="shared" si="31"/>
        <v>Banca Padana|18|Carte</v>
      </c>
    </row>
    <row r="1006" spans="1:12" x14ac:dyDescent="0.25">
      <c r="A1006" t="s">
        <v>26</v>
      </c>
      <c r="B1006">
        <v>18</v>
      </c>
      <c r="C1006" t="s">
        <v>18</v>
      </c>
      <c r="D1006" s="1">
        <v>45838</v>
      </c>
      <c r="E1006">
        <v>1398.5</v>
      </c>
      <c r="F1006">
        <v>74.430000000000007</v>
      </c>
      <c r="G1006">
        <v>45</v>
      </c>
      <c r="H1006">
        <v>130</v>
      </c>
      <c r="I1006" t="s">
        <v>14</v>
      </c>
      <c r="J1006">
        <v>2025</v>
      </c>
      <c r="K1006">
        <f t="shared" si="30"/>
        <v>29.430000000000007</v>
      </c>
      <c r="L1006" t="str">
        <f t="shared" si="31"/>
        <v>Banca Padana|18|Leasing</v>
      </c>
    </row>
    <row r="1007" spans="1:12" x14ac:dyDescent="0.25">
      <c r="A1007" t="s">
        <v>26</v>
      </c>
      <c r="B1007">
        <v>18</v>
      </c>
      <c r="C1007" t="s">
        <v>19</v>
      </c>
      <c r="D1007" s="1">
        <v>45838</v>
      </c>
      <c r="E1007">
        <v>1620.5</v>
      </c>
      <c r="F1007">
        <v>89.24</v>
      </c>
      <c r="G1007">
        <v>54.43</v>
      </c>
      <c r="H1007">
        <v>171</v>
      </c>
      <c r="I1007" t="s">
        <v>14</v>
      </c>
      <c r="J1007">
        <v>2025</v>
      </c>
      <c r="K1007">
        <f t="shared" si="30"/>
        <v>34.809999999999995</v>
      </c>
      <c r="L1007" t="str">
        <f t="shared" si="31"/>
        <v>Banca Padana|18|Factoring</v>
      </c>
    </row>
    <row r="1008" spans="1:12" x14ac:dyDescent="0.25">
      <c r="A1008" t="s">
        <v>26</v>
      </c>
      <c r="B1008">
        <v>18</v>
      </c>
      <c r="C1008" t="s">
        <v>20</v>
      </c>
      <c r="D1008" s="1">
        <v>45838</v>
      </c>
      <c r="E1008">
        <v>1811.2</v>
      </c>
      <c r="F1008">
        <v>103.32</v>
      </c>
      <c r="G1008">
        <v>62.15</v>
      </c>
      <c r="H1008">
        <v>195</v>
      </c>
      <c r="I1008" t="s">
        <v>14</v>
      </c>
      <c r="J1008">
        <v>2025</v>
      </c>
      <c r="K1008">
        <f t="shared" si="30"/>
        <v>41.169999999999995</v>
      </c>
      <c r="L1008" t="str">
        <f t="shared" si="31"/>
        <v>Banca Padana|18|Risparmio</v>
      </c>
    </row>
    <row r="1009" spans="1:12" x14ac:dyDescent="0.25">
      <c r="A1009" t="s">
        <v>26</v>
      </c>
      <c r="B1009">
        <v>18</v>
      </c>
      <c r="C1009" t="s">
        <v>21</v>
      </c>
      <c r="D1009" s="1">
        <v>45838</v>
      </c>
      <c r="E1009">
        <v>1984.4</v>
      </c>
      <c r="F1009">
        <v>117.22</v>
      </c>
      <c r="G1009">
        <v>69.88</v>
      </c>
      <c r="H1009">
        <v>204</v>
      </c>
      <c r="I1009" t="s">
        <v>14</v>
      </c>
      <c r="J1009">
        <v>2025</v>
      </c>
      <c r="K1009">
        <f t="shared" si="30"/>
        <v>47.34</v>
      </c>
      <c r="L1009" t="str">
        <f t="shared" si="31"/>
        <v>Banca Padana|18|Assicurazioni</v>
      </c>
    </row>
    <row r="1010" spans="1:12" x14ac:dyDescent="0.25">
      <c r="A1010" t="s">
        <v>26</v>
      </c>
      <c r="B1010">
        <v>19</v>
      </c>
      <c r="C1010" t="s">
        <v>13</v>
      </c>
      <c r="D1010" s="1">
        <v>45869</v>
      </c>
      <c r="E1010">
        <v>564.70000000000005</v>
      </c>
      <c r="F1010">
        <v>26.12</v>
      </c>
      <c r="G1010">
        <v>15.82</v>
      </c>
      <c r="H1010">
        <v>48</v>
      </c>
      <c r="I1010" t="s">
        <v>14</v>
      </c>
      <c r="J1010">
        <v>2025</v>
      </c>
      <c r="K1010">
        <f t="shared" si="30"/>
        <v>10.3</v>
      </c>
      <c r="L1010" t="str">
        <f t="shared" si="31"/>
        <v>Banca Padana|19|Mutui</v>
      </c>
    </row>
    <row r="1011" spans="1:12" x14ac:dyDescent="0.25">
      <c r="A1011" t="s">
        <v>26</v>
      </c>
      <c r="B1011">
        <v>19</v>
      </c>
      <c r="C1011" t="s">
        <v>15</v>
      </c>
      <c r="D1011" s="1">
        <v>45869</v>
      </c>
      <c r="E1011">
        <v>764.7</v>
      </c>
      <c r="F1011">
        <v>36.28</v>
      </c>
      <c r="G1011">
        <v>22.58</v>
      </c>
      <c r="H1011">
        <v>92</v>
      </c>
      <c r="I1011" t="s">
        <v>14</v>
      </c>
      <c r="J1011">
        <v>2025</v>
      </c>
      <c r="K1011">
        <f t="shared" si="30"/>
        <v>13.700000000000003</v>
      </c>
      <c r="L1011" t="str">
        <f t="shared" si="31"/>
        <v>Banca Padana|19|Prestiti</v>
      </c>
    </row>
    <row r="1012" spans="1:12" x14ac:dyDescent="0.25">
      <c r="A1012" t="s">
        <v>26</v>
      </c>
      <c r="B1012">
        <v>19</v>
      </c>
      <c r="C1012" t="s">
        <v>16</v>
      </c>
      <c r="D1012" s="1">
        <v>45869</v>
      </c>
      <c r="E1012">
        <v>983.4</v>
      </c>
      <c r="F1012">
        <v>48.29</v>
      </c>
      <c r="G1012">
        <v>30.42</v>
      </c>
      <c r="H1012">
        <v>94</v>
      </c>
      <c r="I1012" t="s">
        <v>14</v>
      </c>
      <c r="J1012">
        <v>2025</v>
      </c>
      <c r="K1012">
        <f t="shared" si="30"/>
        <v>17.869999999999997</v>
      </c>
      <c r="L1012" t="str">
        <f t="shared" si="31"/>
        <v>Banca Padana|19|Conti</v>
      </c>
    </row>
    <row r="1013" spans="1:12" x14ac:dyDescent="0.25">
      <c r="A1013" t="s">
        <v>26</v>
      </c>
      <c r="B1013">
        <v>19</v>
      </c>
      <c r="C1013" t="s">
        <v>17</v>
      </c>
      <c r="D1013" s="1">
        <v>45869</v>
      </c>
      <c r="E1013">
        <v>1205.9000000000001</v>
      </c>
      <c r="F1013">
        <v>62.1</v>
      </c>
      <c r="G1013">
        <v>38.32</v>
      </c>
      <c r="H1013">
        <v>116</v>
      </c>
      <c r="I1013" t="s">
        <v>14</v>
      </c>
      <c r="J1013">
        <v>2025</v>
      </c>
      <c r="K1013">
        <f t="shared" si="30"/>
        <v>23.78</v>
      </c>
      <c r="L1013" t="str">
        <f t="shared" si="31"/>
        <v>Banca Padana|19|Carte</v>
      </c>
    </row>
    <row r="1014" spans="1:12" x14ac:dyDescent="0.25">
      <c r="A1014" t="s">
        <v>26</v>
      </c>
      <c r="B1014">
        <v>19</v>
      </c>
      <c r="C1014" t="s">
        <v>18</v>
      </c>
      <c r="D1014" s="1">
        <v>45869</v>
      </c>
      <c r="E1014">
        <v>1396.6</v>
      </c>
      <c r="F1014">
        <v>74.48</v>
      </c>
      <c r="G1014">
        <v>45.25</v>
      </c>
      <c r="H1014">
        <v>139</v>
      </c>
      <c r="I1014" t="s">
        <v>14</v>
      </c>
      <c r="J1014">
        <v>2025</v>
      </c>
      <c r="K1014">
        <f t="shared" si="30"/>
        <v>29.230000000000004</v>
      </c>
      <c r="L1014" t="str">
        <f t="shared" si="31"/>
        <v>Banca Padana|19|Leasing</v>
      </c>
    </row>
    <row r="1015" spans="1:12" x14ac:dyDescent="0.25">
      <c r="A1015" t="s">
        <v>26</v>
      </c>
      <c r="B1015">
        <v>19</v>
      </c>
      <c r="C1015" t="s">
        <v>19</v>
      </c>
      <c r="D1015" s="1">
        <v>45869</v>
      </c>
      <c r="E1015">
        <v>1616.6</v>
      </c>
      <c r="F1015">
        <v>89.83</v>
      </c>
      <c r="G1015">
        <v>53.58</v>
      </c>
      <c r="H1015">
        <v>165</v>
      </c>
      <c r="I1015" t="s">
        <v>14</v>
      </c>
      <c r="J1015">
        <v>2025</v>
      </c>
      <c r="K1015">
        <f t="shared" si="30"/>
        <v>36.25</v>
      </c>
      <c r="L1015" t="str">
        <f t="shared" si="31"/>
        <v>Banca Padana|19|Factoring</v>
      </c>
    </row>
    <row r="1016" spans="1:12" x14ac:dyDescent="0.25">
      <c r="A1016" t="s">
        <v>26</v>
      </c>
      <c r="B1016">
        <v>19</v>
      </c>
      <c r="C1016" t="s">
        <v>20</v>
      </c>
      <c r="D1016" s="1">
        <v>45869</v>
      </c>
      <c r="E1016">
        <v>1811.5</v>
      </c>
      <c r="F1016">
        <v>103.91</v>
      </c>
      <c r="G1016">
        <v>61.73</v>
      </c>
      <c r="H1016">
        <v>166</v>
      </c>
      <c r="I1016" t="s">
        <v>14</v>
      </c>
      <c r="J1016">
        <v>2025</v>
      </c>
      <c r="K1016">
        <f t="shared" si="30"/>
        <v>42.18</v>
      </c>
      <c r="L1016" t="str">
        <f t="shared" si="31"/>
        <v>Banca Padana|19|Risparmio</v>
      </c>
    </row>
    <row r="1017" spans="1:12" x14ac:dyDescent="0.25">
      <c r="A1017" t="s">
        <v>26</v>
      </c>
      <c r="B1017">
        <v>19</v>
      </c>
      <c r="C1017" t="s">
        <v>21</v>
      </c>
      <c r="D1017" s="1">
        <v>45869</v>
      </c>
      <c r="E1017">
        <v>1994.3</v>
      </c>
      <c r="F1017">
        <v>117.96</v>
      </c>
      <c r="G1017">
        <v>70.03</v>
      </c>
      <c r="H1017">
        <v>206</v>
      </c>
      <c r="I1017" t="s">
        <v>14</v>
      </c>
      <c r="J1017">
        <v>2025</v>
      </c>
      <c r="K1017">
        <f t="shared" si="30"/>
        <v>47.929999999999993</v>
      </c>
      <c r="L1017" t="str">
        <f t="shared" si="31"/>
        <v>Banca Padana|19|Assicurazioni</v>
      </c>
    </row>
    <row r="1018" spans="1:12" x14ac:dyDescent="0.25">
      <c r="A1018" t="s">
        <v>26</v>
      </c>
      <c r="B1018">
        <v>20</v>
      </c>
      <c r="C1018" t="s">
        <v>13</v>
      </c>
      <c r="D1018" s="1">
        <v>45900</v>
      </c>
      <c r="E1018">
        <v>567.9</v>
      </c>
      <c r="F1018">
        <v>26.26</v>
      </c>
      <c r="G1018">
        <v>16.22</v>
      </c>
      <c r="H1018">
        <v>56</v>
      </c>
      <c r="I1018" t="s">
        <v>14</v>
      </c>
      <c r="J1018">
        <v>2025</v>
      </c>
      <c r="K1018">
        <f t="shared" si="30"/>
        <v>10.040000000000003</v>
      </c>
      <c r="L1018" t="str">
        <f t="shared" si="31"/>
        <v>Banca Padana|20|Mutui</v>
      </c>
    </row>
    <row r="1019" spans="1:12" x14ac:dyDescent="0.25">
      <c r="A1019" t="s">
        <v>26</v>
      </c>
      <c r="B1019">
        <v>20</v>
      </c>
      <c r="C1019" t="s">
        <v>15</v>
      </c>
      <c r="D1019" s="1">
        <v>45900</v>
      </c>
      <c r="E1019">
        <v>790.7</v>
      </c>
      <c r="F1019">
        <v>37.32</v>
      </c>
      <c r="G1019">
        <v>23.27</v>
      </c>
      <c r="H1019">
        <v>72</v>
      </c>
      <c r="I1019" t="s">
        <v>14</v>
      </c>
      <c r="J1019">
        <v>2025</v>
      </c>
      <c r="K1019">
        <f t="shared" si="30"/>
        <v>14.05</v>
      </c>
      <c r="L1019" t="str">
        <f t="shared" si="31"/>
        <v>Banca Padana|20|Prestiti</v>
      </c>
    </row>
    <row r="1020" spans="1:12" x14ac:dyDescent="0.25">
      <c r="A1020" t="s">
        <v>26</v>
      </c>
      <c r="B1020">
        <v>20</v>
      </c>
      <c r="C1020" t="s">
        <v>16</v>
      </c>
      <c r="D1020" s="1">
        <v>45900</v>
      </c>
      <c r="E1020">
        <v>1011.4</v>
      </c>
      <c r="F1020">
        <v>49.76</v>
      </c>
      <c r="G1020">
        <v>30.42</v>
      </c>
      <c r="H1020">
        <v>92</v>
      </c>
      <c r="I1020" t="s">
        <v>14</v>
      </c>
      <c r="J1020">
        <v>2025</v>
      </c>
      <c r="K1020">
        <f t="shared" si="30"/>
        <v>19.339999999999996</v>
      </c>
      <c r="L1020" t="str">
        <f t="shared" si="31"/>
        <v>Banca Padana|20|Conti</v>
      </c>
    </row>
    <row r="1021" spans="1:12" x14ac:dyDescent="0.25">
      <c r="A1021" t="s">
        <v>26</v>
      </c>
      <c r="B1021">
        <v>20</v>
      </c>
      <c r="C1021" t="s">
        <v>17</v>
      </c>
      <c r="D1021" s="1">
        <v>45900</v>
      </c>
      <c r="E1021">
        <v>1169.3</v>
      </c>
      <c r="F1021">
        <v>59.78</v>
      </c>
      <c r="G1021">
        <v>36.799999999999997</v>
      </c>
      <c r="H1021">
        <v>115</v>
      </c>
      <c r="I1021" t="s">
        <v>14</v>
      </c>
      <c r="J1021">
        <v>2025</v>
      </c>
      <c r="K1021">
        <f t="shared" si="30"/>
        <v>22.980000000000004</v>
      </c>
      <c r="L1021" t="str">
        <f t="shared" si="31"/>
        <v>Banca Padana|20|Carte</v>
      </c>
    </row>
    <row r="1022" spans="1:12" x14ac:dyDescent="0.25">
      <c r="A1022" t="s">
        <v>26</v>
      </c>
      <c r="B1022">
        <v>20</v>
      </c>
      <c r="C1022" t="s">
        <v>18</v>
      </c>
      <c r="D1022" s="1">
        <v>45900</v>
      </c>
      <c r="E1022">
        <v>1385.2</v>
      </c>
      <c r="F1022">
        <v>73.53</v>
      </c>
      <c r="G1022">
        <v>45.07</v>
      </c>
      <c r="H1022">
        <v>128</v>
      </c>
      <c r="I1022" t="s">
        <v>14</v>
      </c>
      <c r="J1022">
        <v>2025</v>
      </c>
      <c r="K1022">
        <f t="shared" si="30"/>
        <v>28.46</v>
      </c>
      <c r="L1022" t="str">
        <f t="shared" si="31"/>
        <v>Banca Padana|20|Leasing</v>
      </c>
    </row>
    <row r="1023" spans="1:12" x14ac:dyDescent="0.25">
      <c r="A1023" t="s">
        <v>26</v>
      </c>
      <c r="B1023">
        <v>20</v>
      </c>
      <c r="C1023" t="s">
        <v>19</v>
      </c>
      <c r="D1023" s="1">
        <v>45900</v>
      </c>
      <c r="E1023">
        <v>1624.7</v>
      </c>
      <c r="F1023">
        <v>90.33</v>
      </c>
      <c r="G1023">
        <v>54.29</v>
      </c>
      <c r="H1023">
        <v>147</v>
      </c>
      <c r="I1023" t="s">
        <v>14</v>
      </c>
      <c r="J1023">
        <v>2025</v>
      </c>
      <c r="K1023">
        <f t="shared" si="30"/>
        <v>36.04</v>
      </c>
      <c r="L1023" t="str">
        <f t="shared" si="31"/>
        <v>Banca Padana|20|Factoring</v>
      </c>
    </row>
    <row r="1024" spans="1:12" x14ac:dyDescent="0.25">
      <c r="A1024" t="s">
        <v>26</v>
      </c>
      <c r="B1024">
        <v>20</v>
      </c>
      <c r="C1024" t="s">
        <v>20</v>
      </c>
      <c r="D1024" s="1">
        <v>45900</v>
      </c>
      <c r="E1024">
        <v>1820</v>
      </c>
      <c r="F1024">
        <v>104.11</v>
      </c>
      <c r="G1024">
        <v>62.05</v>
      </c>
      <c r="H1024">
        <v>186</v>
      </c>
      <c r="I1024" t="s">
        <v>14</v>
      </c>
      <c r="J1024">
        <v>2025</v>
      </c>
      <c r="K1024">
        <f t="shared" si="30"/>
        <v>42.06</v>
      </c>
      <c r="L1024" t="str">
        <f t="shared" si="31"/>
        <v>Banca Padana|20|Risparmio</v>
      </c>
    </row>
    <row r="1025" spans="1:12" x14ac:dyDescent="0.25">
      <c r="A1025" t="s">
        <v>26</v>
      </c>
      <c r="B1025">
        <v>20</v>
      </c>
      <c r="C1025" t="s">
        <v>21</v>
      </c>
      <c r="D1025" s="1">
        <v>45900</v>
      </c>
      <c r="E1025">
        <v>2039.7</v>
      </c>
      <c r="F1025">
        <v>120.49</v>
      </c>
      <c r="G1025">
        <v>71.739999999999995</v>
      </c>
      <c r="H1025">
        <v>201</v>
      </c>
      <c r="I1025" t="s">
        <v>14</v>
      </c>
      <c r="J1025">
        <v>2025</v>
      </c>
      <c r="K1025">
        <f t="shared" si="30"/>
        <v>48.75</v>
      </c>
      <c r="L1025" t="str">
        <f t="shared" si="31"/>
        <v>Banca Padana|20|Assicurazioni</v>
      </c>
    </row>
    <row r="1026" spans="1:12" x14ac:dyDescent="0.25">
      <c r="A1026" t="s">
        <v>26</v>
      </c>
      <c r="B1026">
        <v>21</v>
      </c>
      <c r="C1026" t="s">
        <v>13</v>
      </c>
      <c r="D1026" s="1">
        <v>45930</v>
      </c>
      <c r="E1026">
        <v>573.9</v>
      </c>
      <c r="F1026">
        <v>26.4</v>
      </c>
      <c r="G1026">
        <v>16.170000000000002</v>
      </c>
      <c r="H1026">
        <v>75</v>
      </c>
      <c r="I1026" t="s">
        <v>14</v>
      </c>
      <c r="J1026">
        <v>2025</v>
      </c>
      <c r="K1026">
        <f t="shared" ref="K1026:K1089" si="32">F1026-G1026</f>
        <v>10.229999999999997</v>
      </c>
      <c r="L1026" t="str">
        <f t="shared" ref="L1026:L1089" si="33">A1026&amp;"|"&amp;B1026&amp;"|"&amp;C1026</f>
        <v>Banca Padana|21|Mutui</v>
      </c>
    </row>
    <row r="1027" spans="1:12" x14ac:dyDescent="0.25">
      <c r="A1027" t="s">
        <v>26</v>
      </c>
      <c r="B1027">
        <v>21</v>
      </c>
      <c r="C1027" t="s">
        <v>15</v>
      </c>
      <c r="D1027" s="1">
        <v>45930</v>
      </c>
      <c r="E1027">
        <v>773.7</v>
      </c>
      <c r="F1027">
        <v>36.94</v>
      </c>
      <c r="G1027">
        <v>23.39</v>
      </c>
      <c r="H1027">
        <v>73</v>
      </c>
      <c r="I1027" t="s">
        <v>14</v>
      </c>
      <c r="J1027">
        <v>2025</v>
      </c>
      <c r="K1027">
        <f t="shared" si="32"/>
        <v>13.549999999999997</v>
      </c>
      <c r="L1027" t="str">
        <f t="shared" si="33"/>
        <v>Banca Padana|21|Prestiti</v>
      </c>
    </row>
    <row r="1028" spans="1:12" x14ac:dyDescent="0.25">
      <c r="A1028" t="s">
        <v>26</v>
      </c>
      <c r="B1028">
        <v>21</v>
      </c>
      <c r="C1028" t="s">
        <v>16</v>
      </c>
      <c r="D1028" s="1">
        <v>45930</v>
      </c>
      <c r="E1028">
        <v>1007.4</v>
      </c>
      <c r="F1028">
        <v>50.11</v>
      </c>
      <c r="G1028">
        <v>31.14</v>
      </c>
      <c r="H1028">
        <v>108</v>
      </c>
      <c r="I1028" t="s">
        <v>14</v>
      </c>
      <c r="J1028">
        <v>2025</v>
      </c>
      <c r="K1028">
        <f t="shared" si="32"/>
        <v>18.97</v>
      </c>
      <c r="L1028" t="str">
        <f t="shared" si="33"/>
        <v>Banca Padana|21|Conti</v>
      </c>
    </row>
    <row r="1029" spans="1:12" x14ac:dyDescent="0.25">
      <c r="A1029" t="s">
        <v>26</v>
      </c>
      <c r="B1029">
        <v>21</v>
      </c>
      <c r="C1029" t="s">
        <v>17</v>
      </c>
      <c r="D1029" s="1">
        <v>45930</v>
      </c>
      <c r="E1029">
        <v>1181.2</v>
      </c>
      <c r="F1029">
        <v>61.2</v>
      </c>
      <c r="G1029">
        <v>36.76</v>
      </c>
      <c r="H1029">
        <v>125</v>
      </c>
      <c r="I1029" t="s">
        <v>14</v>
      </c>
      <c r="J1029">
        <v>2025</v>
      </c>
      <c r="K1029">
        <f t="shared" si="32"/>
        <v>24.440000000000005</v>
      </c>
      <c r="L1029" t="str">
        <f t="shared" si="33"/>
        <v>Banca Padana|21|Carte</v>
      </c>
    </row>
    <row r="1030" spans="1:12" x14ac:dyDescent="0.25">
      <c r="A1030" t="s">
        <v>26</v>
      </c>
      <c r="B1030">
        <v>21</v>
      </c>
      <c r="C1030" t="s">
        <v>18</v>
      </c>
      <c r="D1030" s="1">
        <v>45930</v>
      </c>
      <c r="E1030">
        <v>1420.6</v>
      </c>
      <c r="F1030">
        <v>75.78</v>
      </c>
      <c r="G1030">
        <v>45.59</v>
      </c>
      <c r="H1030">
        <v>150</v>
      </c>
      <c r="I1030" t="s">
        <v>14</v>
      </c>
      <c r="J1030">
        <v>2025</v>
      </c>
      <c r="K1030">
        <f t="shared" si="32"/>
        <v>30.189999999999998</v>
      </c>
      <c r="L1030" t="str">
        <f t="shared" si="33"/>
        <v>Banca Padana|21|Leasing</v>
      </c>
    </row>
    <row r="1031" spans="1:12" x14ac:dyDescent="0.25">
      <c r="A1031" t="s">
        <v>26</v>
      </c>
      <c r="B1031">
        <v>21</v>
      </c>
      <c r="C1031" t="s">
        <v>19</v>
      </c>
      <c r="D1031" s="1">
        <v>45930</v>
      </c>
      <c r="E1031">
        <v>1606.3</v>
      </c>
      <c r="F1031">
        <v>88.38</v>
      </c>
      <c r="G1031">
        <v>53.34</v>
      </c>
      <c r="H1031">
        <v>164</v>
      </c>
      <c r="I1031" t="s">
        <v>14</v>
      </c>
      <c r="J1031">
        <v>2025</v>
      </c>
      <c r="K1031">
        <f t="shared" si="32"/>
        <v>35.039999999999992</v>
      </c>
      <c r="L1031" t="str">
        <f t="shared" si="33"/>
        <v>Banca Padana|21|Factoring</v>
      </c>
    </row>
    <row r="1032" spans="1:12" x14ac:dyDescent="0.25">
      <c r="A1032" t="s">
        <v>26</v>
      </c>
      <c r="B1032">
        <v>21</v>
      </c>
      <c r="C1032" t="s">
        <v>20</v>
      </c>
      <c r="D1032" s="1">
        <v>45930</v>
      </c>
      <c r="E1032">
        <v>1824.9</v>
      </c>
      <c r="F1032">
        <v>104.81</v>
      </c>
      <c r="G1032">
        <v>62.95</v>
      </c>
      <c r="H1032">
        <v>183</v>
      </c>
      <c r="I1032" t="s">
        <v>14</v>
      </c>
      <c r="J1032">
        <v>2025</v>
      </c>
      <c r="K1032">
        <f t="shared" si="32"/>
        <v>41.86</v>
      </c>
      <c r="L1032" t="str">
        <f t="shared" si="33"/>
        <v>Banca Padana|21|Risparmio</v>
      </c>
    </row>
    <row r="1033" spans="1:12" x14ac:dyDescent="0.25">
      <c r="A1033" t="s">
        <v>26</v>
      </c>
      <c r="B1033">
        <v>21</v>
      </c>
      <c r="C1033" t="s">
        <v>21</v>
      </c>
      <c r="D1033" s="1">
        <v>45930</v>
      </c>
      <c r="E1033">
        <v>2024.8</v>
      </c>
      <c r="F1033">
        <v>119.48</v>
      </c>
      <c r="G1033">
        <v>70.94</v>
      </c>
      <c r="H1033">
        <v>206</v>
      </c>
      <c r="I1033" t="s">
        <v>14</v>
      </c>
      <c r="J1033">
        <v>2025</v>
      </c>
      <c r="K1033">
        <f t="shared" si="32"/>
        <v>48.540000000000006</v>
      </c>
      <c r="L1033" t="str">
        <f t="shared" si="33"/>
        <v>Banca Padana|21|Assicurazioni</v>
      </c>
    </row>
    <row r="1034" spans="1:12" x14ac:dyDescent="0.25">
      <c r="A1034" t="s">
        <v>26</v>
      </c>
      <c r="B1034">
        <v>22</v>
      </c>
      <c r="C1034" t="s">
        <v>13</v>
      </c>
      <c r="D1034" s="1">
        <v>45961</v>
      </c>
      <c r="E1034">
        <v>594.29999999999995</v>
      </c>
      <c r="F1034">
        <v>26.76</v>
      </c>
      <c r="G1034">
        <v>17.16</v>
      </c>
      <c r="H1034">
        <v>64</v>
      </c>
      <c r="I1034" t="s">
        <v>14</v>
      </c>
      <c r="J1034">
        <v>2025</v>
      </c>
      <c r="K1034">
        <f t="shared" si="32"/>
        <v>9.6000000000000014</v>
      </c>
      <c r="L1034" t="str">
        <f t="shared" si="33"/>
        <v>Banca Padana|22|Mutui</v>
      </c>
    </row>
    <row r="1035" spans="1:12" x14ac:dyDescent="0.25">
      <c r="A1035" t="s">
        <v>26</v>
      </c>
      <c r="B1035">
        <v>22</v>
      </c>
      <c r="C1035" t="s">
        <v>15</v>
      </c>
      <c r="D1035" s="1">
        <v>45961</v>
      </c>
      <c r="E1035">
        <v>757.3</v>
      </c>
      <c r="F1035">
        <v>36.04</v>
      </c>
      <c r="G1035">
        <v>22.54</v>
      </c>
      <c r="H1035">
        <v>91</v>
      </c>
      <c r="I1035" t="s">
        <v>14</v>
      </c>
      <c r="J1035">
        <v>2025</v>
      </c>
      <c r="K1035">
        <f t="shared" si="32"/>
        <v>13.5</v>
      </c>
      <c r="L1035" t="str">
        <f t="shared" si="33"/>
        <v>Banca Padana|22|Prestiti</v>
      </c>
    </row>
    <row r="1036" spans="1:12" x14ac:dyDescent="0.25">
      <c r="A1036" t="s">
        <v>26</v>
      </c>
      <c r="B1036">
        <v>22</v>
      </c>
      <c r="C1036" t="s">
        <v>16</v>
      </c>
      <c r="D1036" s="1">
        <v>45961</v>
      </c>
      <c r="E1036">
        <v>1006.7</v>
      </c>
      <c r="F1036">
        <v>49.33</v>
      </c>
      <c r="G1036">
        <v>30.99</v>
      </c>
      <c r="H1036">
        <v>86</v>
      </c>
      <c r="I1036" t="s">
        <v>14</v>
      </c>
      <c r="J1036">
        <v>2025</v>
      </c>
      <c r="K1036">
        <f t="shared" si="32"/>
        <v>18.34</v>
      </c>
      <c r="L1036" t="str">
        <f t="shared" si="33"/>
        <v>Banca Padana|22|Conti</v>
      </c>
    </row>
    <row r="1037" spans="1:12" x14ac:dyDescent="0.25">
      <c r="A1037" t="s">
        <v>26</v>
      </c>
      <c r="B1037">
        <v>22</v>
      </c>
      <c r="C1037" t="s">
        <v>17</v>
      </c>
      <c r="D1037" s="1">
        <v>45961</v>
      </c>
      <c r="E1037">
        <v>1213.0999999999999</v>
      </c>
      <c r="F1037">
        <v>62.32</v>
      </c>
      <c r="G1037">
        <v>37.97</v>
      </c>
      <c r="H1037">
        <v>123</v>
      </c>
      <c r="I1037" t="s">
        <v>14</v>
      </c>
      <c r="J1037">
        <v>2025</v>
      </c>
      <c r="K1037">
        <f t="shared" si="32"/>
        <v>24.35</v>
      </c>
      <c r="L1037" t="str">
        <f t="shared" si="33"/>
        <v>Banca Padana|22|Carte</v>
      </c>
    </row>
    <row r="1038" spans="1:12" x14ac:dyDescent="0.25">
      <c r="A1038" t="s">
        <v>26</v>
      </c>
      <c r="B1038">
        <v>22</v>
      </c>
      <c r="C1038" t="s">
        <v>18</v>
      </c>
      <c r="D1038" s="1">
        <v>45961</v>
      </c>
      <c r="E1038">
        <v>1439.8</v>
      </c>
      <c r="F1038">
        <v>76.55</v>
      </c>
      <c r="G1038">
        <v>46.38</v>
      </c>
      <c r="H1038">
        <v>155</v>
      </c>
      <c r="I1038" t="s">
        <v>14</v>
      </c>
      <c r="J1038">
        <v>2025</v>
      </c>
      <c r="K1038">
        <f t="shared" si="32"/>
        <v>30.169999999999995</v>
      </c>
      <c r="L1038" t="str">
        <f t="shared" si="33"/>
        <v>Banca Padana|22|Leasing</v>
      </c>
    </row>
    <row r="1039" spans="1:12" x14ac:dyDescent="0.25">
      <c r="A1039" t="s">
        <v>26</v>
      </c>
      <c r="B1039">
        <v>22</v>
      </c>
      <c r="C1039" t="s">
        <v>19</v>
      </c>
      <c r="D1039" s="1">
        <v>45961</v>
      </c>
      <c r="E1039">
        <v>1650.3</v>
      </c>
      <c r="F1039">
        <v>91.6</v>
      </c>
      <c r="G1039">
        <v>54.71</v>
      </c>
      <c r="H1039">
        <v>160</v>
      </c>
      <c r="I1039" t="s">
        <v>14</v>
      </c>
      <c r="J1039">
        <v>2025</v>
      </c>
      <c r="K1039">
        <f t="shared" si="32"/>
        <v>36.889999999999993</v>
      </c>
      <c r="L1039" t="str">
        <f t="shared" si="33"/>
        <v>Banca Padana|22|Factoring</v>
      </c>
    </row>
    <row r="1040" spans="1:12" x14ac:dyDescent="0.25">
      <c r="A1040" t="s">
        <v>26</v>
      </c>
      <c r="B1040">
        <v>22</v>
      </c>
      <c r="C1040" t="s">
        <v>20</v>
      </c>
      <c r="D1040" s="1">
        <v>45961</v>
      </c>
      <c r="E1040">
        <v>1838.2</v>
      </c>
      <c r="F1040">
        <v>105.67</v>
      </c>
      <c r="G1040">
        <v>62.88</v>
      </c>
      <c r="H1040">
        <v>183</v>
      </c>
      <c r="I1040" t="s">
        <v>14</v>
      </c>
      <c r="J1040">
        <v>2025</v>
      </c>
      <c r="K1040">
        <f t="shared" si="32"/>
        <v>42.79</v>
      </c>
      <c r="L1040" t="str">
        <f t="shared" si="33"/>
        <v>Banca Padana|22|Risparmio</v>
      </c>
    </row>
    <row r="1041" spans="1:12" x14ac:dyDescent="0.25">
      <c r="A1041" t="s">
        <v>26</v>
      </c>
      <c r="B1041">
        <v>22</v>
      </c>
      <c r="C1041" t="s">
        <v>21</v>
      </c>
      <c r="D1041" s="1">
        <v>45961</v>
      </c>
      <c r="E1041">
        <v>2093.1</v>
      </c>
      <c r="F1041">
        <v>124.46</v>
      </c>
      <c r="G1041">
        <v>73.98</v>
      </c>
      <c r="H1041">
        <v>202</v>
      </c>
      <c r="I1041" t="s">
        <v>14</v>
      </c>
      <c r="J1041">
        <v>2025</v>
      </c>
      <c r="K1041">
        <f t="shared" si="32"/>
        <v>50.47999999999999</v>
      </c>
      <c r="L1041" t="str">
        <f t="shared" si="33"/>
        <v>Banca Padana|22|Assicurazioni</v>
      </c>
    </row>
    <row r="1042" spans="1:12" x14ac:dyDescent="0.25">
      <c r="A1042" t="s">
        <v>26</v>
      </c>
      <c r="B1042">
        <v>23</v>
      </c>
      <c r="C1042" t="s">
        <v>13</v>
      </c>
      <c r="D1042" s="1">
        <v>45991</v>
      </c>
      <c r="E1042">
        <v>548.79999999999995</v>
      </c>
      <c r="F1042">
        <v>25.16</v>
      </c>
      <c r="G1042">
        <v>16.100000000000001</v>
      </c>
      <c r="H1042">
        <v>87</v>
      </c>
      <c r="I1042" t="s">
        <v>14</v>
      </c>
      <c r="J1042">
        <v>2025</v>
      </c>
      <c r="K1042">
        <f t="shared" si="32"/>
        <v>9.0599999999999987</v>
      </c>
      <c r="L1042" t="str">
        <f t="shared" si="33"/>
        <v>Banca Padana|23|Mutui</v>
      </c>
    </row>
    <row r="1043" spans="1:12" x14ac:dyDescent="0.25">
      <c r="A1043" t="s">
        <v>26</v>
      </c>
      <c r="B1043">
        <v>23</v>
      </c>
      <c r="C1043" t="s">
        <v>15</v>
      </c>
      <c r="D1043" s="1">
        <v>45991</v>
      </c>
      <c r="E1043">
        <v>783.7</v>
      </c>
      <c r="F1043">
        <v>36.840000000000003</v>
      </c>
      <c r="G1043">
        <v>23.59</v>
      </c>
      <c r="H1043">
        <v>72</v>
      </c>
      <c r="I1043" t="s">
        <v>14</v>
      </c>
      <c r="J1043">
        <v>2025</v>
      </c>
      <c r="K1043">
        <f t="shared" si="32"/>
        <v>13.250000000000004</v>
      </c>
      <c r="L1043" t="str">
        <f t="shared" si="33"/>
        <v>Banca Padana|23|Prestiti</v>
      </c>
    </row>
    <row r="1044" spans="1:12" x14ac:dyDescent="0.25">
      <c r="A1044" t="s">
        <v>26</v>
      </c>
      <c r="B1044">
        <v>23</v>
      </c>
      <c r="C1044" t="s">
        <v>16</v>
      </c>
      <c r="D1044" s="1">
        <v>45991</v>
      </c>
      <c r="E1044">
        <v>999.1</v>
      </c>
      <c r="F1044">
        <v>49.61</v>
      </c>
      <c r="G1044">
        <v>30.53</v>
      </c>
      <c r="H1044">
        <v>85</v>
      </c>
      <c r="I1044" t="s">
        <v>14</v>
      </c>
      <c r="J1044">
        <v>2025</v>
      </c>
      <c r="K1044">
        <f t="shared" si="32"/>
        <v>19.079999999999998</v>
      </c>
      <c r="L1044" t="str">
        <f t="shared" si="33"/>
        <v>Banca Padana|23|Conti</v>
      </c>
    </row>
    <row r="1045" spans="1:12" x14ac:dyDescent="0.25">
      <c r="A1045" t="s">
        <v>26</v>
      </c>
      <c r="B1045">
        <v>23</v>
      </c>
      <c r="C1045" t="s">
        <v>17</v>
      </c>
      <c r="D1045" s="1">
        <v>45991</v>
      </c>
      <c r="E1045">
        <v>1200.0999999999999</v>
      </c>
      <c r="F1045">
        <v>61.92</v>
      </c>
      <c r="G1045">
        <v>37.85</v>
      </c>
      <c r="H1045">
        <v>130</v>
      </c>
      <c r="I1045" t="s">
        <v>14</v>
      </c>
      <c r="J1045">
        <v>2025</v>
      </c>
      <c r="K1045">
        <f t="shared" si="32"/>
        <v>24.07</v>
      </c>
      <c r="L1045" t="str">
        <f t="shared" si="33"/>
        <v>Banca Padana|23|Carte</v>
      </c>
    </row>
    <row r="1046" spans="1:12" x14ac:dyDescent="0.25">
      <c r="A1046" t="s">
        <v>26</v>
      </c>
      <c r="B1046">
        <v>23</v>
      </c>
      <c r="C1046" t="s">
        <v>18</v>
      </c>
      <c r="D1046" s="1">
        <v>45991</v>
      </c>
      <c r="E1046">
        <v>1437.1</v>
      </c>
      <c r="F1046">
        <v>76.36</v>
      </c>
      <c r="G1046">
        <v>46.03</v>
      </c>
      <c r="H1046">
        <v>134</v>
      </c>
      <c r="I1046" t="s">
        <v>14</v>
      </c>
      <c r="J1046">
        <v>2025</v>
      </c>
      <c r="K1046">
        <f t="shared" si="32"/>
        <v>30.33</v>
      </c>
      <c r="L1046" t="str">
        <f t="shared" si="33"/>
        <v>Banca Padana|23|Leasing</v>
      </c>
    </row>
    <row r="1047" spans="1:12" x14ac:dyDescent="0.25">
      <c r="A1047" t="s">
        <v>26</v>
      </c>
      <c r="B1047">
        <v>23</v>
      </c>
      <c r="C1047" t="s">
        <v>19</v>
      </c>
      <c r="D1047" s="1">
        <v>45991</v>
      </c>
      <c r="E1047">
        <v>1666.9</v>
      </c>
      <c r="F1047">
        <v>92.3</v>
      </c>
      <c r="G1047">
        <v>55.13</v>
      </c>
      <c r="H1047">
        <v>141</v>
      </c>
      <c r="I1047" t="s">
        <v>14</v>
      </c>
      <c r="J1047">
        <v>2025</v>
      </c>
      <c r="K1047">
        <f t="shared" si="32"/>
        <v>37.169999999999995</v>
      </c>
      <c r="L1047" t="str">
        <f t="shared" si="33"/>
        <v>Banca Padana|23|Factoring</v>
      </c>
    </row>
    <row r="1048" spans="1:12" x14ac:dyDescent="0.25">
      <c r="A1048" t="s">
        <v>26</v>
      </c>
      <c r="B1048">
        <v>23</v>
      </c>
      <c r="C1048" t="s">
        <v>20</v>
      </c>
      <c r="D1048" s="1">
        <v>45991</v>
      </c>
      <c r="E1048">
        <v>1861.6</v>
      </c>
      <c r="F1048">
        <v>106.84</v>
      </c>
      <c r="G1048">
        <v>63.99</v>
      </c>
      <c r="H1048">
        <v>173</v>
      </c>
      <c r="I1048" t="s">
        <v>14</v>
      </c>
      <c r="J1048">
        <v>2025</v>
      </c>
      <c r="K1048">
        <f t="shared" si="32"/>
        <v>42.85</v>
      </c>
      <c r="L1048" t="str">
        <f t="shared" si="33"/>
        <v>Banca Padana|23|Risparmio</v>
      </c>
    </row>
    <row r="1049" spans="1:12" x14ac:dyDescent="0.25">
      <c r="A1049" t="s">
        <v>26</v>
      </c>
      <c r="B1049">
        <v>23</v>
      </c>
      <c r="C1049" t="s">
        <v>21</v>
      </c>
      <c r="D1049" s="1">
        <v>45991</v>
      </c>
      <c r="E1049">
        <v>2080.3000000000002</v>
      </c>
      <c r="F1049">
        <v>123.25</v>
      </c>
      <c r="G1049">
        <v>73.13</v>
      </c>
      <c r="H1049">
        <v>193</v>
      </c>
      <c r="I1049" t="s">
        <v>14</v>
      </c>
      <c r="J1049">
        <v>2025</v>
      </c>
      <c r="K1049">
        <f t="shared" si="32"/>
        <v>50.120000000000005</v>
      </c>
      <c r="L1049" t="str">
        <f t="shared" si="33"/>
        <v>Banca Padana|23|Assicurazioni</v>
      </c>
    </row>
    <row r="1050" spans="1:12" x14ac:dyDescent="0.25">
      <c r="A1050" t="s">
        <v>26</v>
      </c>
      <c r="B1050">
        <v>24</v>
      </c>
      <c r="C1050" t="s">
        <v>13</v>
      </c>
      <c r="D1050" s="1">
        <v>46022</v>
      </c>
      <c r="E1050">
        <v>584.9</v>
      </c>
      <c r="F1050">
        <v>27.29</v>
      </c>
      <c r="G1050">
        <v>16.5</v>
      </c>
      <c r="H1050">
        <v>52</v>
      </c>
      <c r="I1050" t="s">
        <v>14</v>
      </c>
      <c r="J1050">
        <v>2025</v>
      </c>
      <c r="K1050">
        <f t="shared" si="32"/>
        <v>10.79</v>
      </c>
      <c r="L1050" t="str">
        <f t="shared" si="33"/>
        <v>Banca Padana|24|Mutui</v>
      </c>
    </row>
    <row r="1051" spans="1:12" x14ac:dyDescent="0.25">
      <c r="A1051" t="s">
        <v>26</v>
      </c>
      <c r="B1051">
        <v>24</v>
      </c>
      <c r="C1051" t="s">
        <v>15</v>
      </c>
      <c r="D1051" s="1">
        <v>46022</v>
      </c>
      <c r="E1051">
        <v>814.1</v>
      </c>
      <c r="F1051">
        <v>38.6</v>
      </c>
      <c r="G1051">
        <v>23.97</v>
      </c>
      <c r="H1051">
        <v>85</v>
      </c>
      <c r="I1051" t="s">
        <v>14</v>
      </c>
      <c r="J1051">
        <v>2025</v>
      </c>
      <c r="K1051">
        <f t="shared" si="32"/>
        <v>14.630000000000003</v>
      </c>
      <c r="L1051" t="str">
        <f t="shared" si="33"/>
        <v>Banca Padana|24|Prestiti</v>
      </c>
    </row>
    <row r="1052" spans="1:12" x14ac:dyDescent="0.25">
      <c r="A1052" t="s">
        <v>26</v>
      </c>
      <c r="B1052">
        <v>24</v>
      </c>
      <c r="C1052" t="s">
        <v>16</v>
      </c>
      <c r="D1052" s="1">
        <v>46022</v>
      </c>
      <c r="E1052">
        <v>1014.8</v>
      </c>
      <c r="F1052">
        <v>50.05</v>
      </c>
      <c r="G1052">
        <v>30.47</v>
      </c>
      <c r="H1052">
        <v>89</v>
      </c>
      <c r="I1052" t="s">
        <v>14</v>
      </c>
      <c r="J1052">
        <v>2025</v>
      </c>
      <c r="K1052">
        <f t="shared" si="32"/>
        <v>19.579999999999998</v>
      </c>
      <c r="L1052" t="str">
        <f t="shared" si="33"/>
        <v>Banca Padana|24|Conti</v>
      </c>
    </row>
    <row r="1053" spans="1:12" x14ac:dyDescent="0.25">
      <c r="A1053" t="s">
        <v>26</v>
      </c>
      <c r="B1053">
        <v>24</v>
      </c>
      <c r="C1053" t="s">
        <v>17</v>
      </c>
      <c r="D1053" s="1">
        <v>46022</v>
      </c>
      <c r="E1053">
        <v>1249</v>
      </c>
      <c r="F1053">
        <v>64.12</v>
      </c>
      <c r="G1053">
        <v>39.119999999999997</v>
      </c>
      <c r="H1053">
        <v>110</v>
      </c>
      <c r="I1053" t="s">
        <v>14</v>
      </c>
      <c r="J1053">
        <v>2025</v>
      </c>
      <c r="K1053">
        <f t="shared" si="32"/>
        <v>25.000000000000007</v>
      </c>
      <c r="L1053" t="str">
        <f t="shared" si="33"/>
        <v>Banca Padana|24|Carte</v>
      </c>
    </row>
    <row r="1054" spans="1:12" x14ac:dyDescent="0.25">
      <c r="A1054" t="s">
        <v>26</v>
      </c>
      <c r="B1054">
        <v>24</v>
      </c>
      <c r="C1054" t="s">
        <v>18</v>
      </c>
      <c r="D1054" s="1">
        <v>46022</v>
      </c>
      <c r="E1054">
        <v>1442</v>
      </c>
      <c r="F1054">
        <v>77.3</v>
      </c>
      <c r="G1054">
        <v>46.94</v>
      </c>
      <c r="H1054">
        <v>148</v>
      </c>
      <c r="I1054" t="s">
        <v>14</v>
      </c>
      <c r="J1054">
        <v>2025</v>
      </c>
      <c r="K1054">
        <f t="shared" si="32"/>
        <v>30.36</v>
      </c>
      <c r="L1054" t="str">
        <f t="shared" si="33"/>
        <v>Banca Padana|24|Leasing</v>
      </c>
    </row>
    <row r="1055" spans="1:12" x14ac:dyDescent="0.25">
      <c r="A1055" t="s">
        <v>26</v>
      </c>
      <c r="B1055">
        <v>24</v>
      </c>
      <c r="C1055" t="s">
        <v>19</v>
      </c>
      <c r="D1055" s="1">
        <v>46022</v>
      </c>
      <c r="E1055">
        <v>1676.7</v>
      </c>
      <c r="F1055">
        <v>93.18</v>
      </c>
      <c r="G1055">
        <v>55.48</v>
      </c>
      <c r="H1055">
        <v>158</v>
      </c>
      <c r="I1055" t="s">
        <v>14</v>
      </c>
      <c r="J1055">
        <v>2025</v>
      </c>
      <c r="K1055">
        <f t="shared" si="32"/>
        <v>37.70000000000001</v>
      </c>
      <c r="L1055" t="str">
        <f t="shared" si="33"/>
        <v>Banca Padana|24|Factoring</v>
      </c>
    </row>
    <row r="1056" spans="1:12" x14ac:dyDescent="0.25">
      <c r="A1056" t="s">
        <v>26</v>
      </c>
      <c r="B1056">
        <v>24</v>
      </c>
      <c r="C1056" t="s">
        <v>20</v>
      </c>
      <c r="D1056" s="1">
        <v>46022</v>
      </c>
      <c r="E1056">
        <v>1903.4</v>
      </c>
      <c r="F1056">
        <v>108.89</v>
      </c>
      <c r="G1056">
        <v>64.930000000000007</v>
      </c>
      <c r="H1056">
        <v>160</v>
      </c>
      <c r="I1056" t="s">
        <v>14</v>
      </c>
      <c r="J1056">
        <v>2025</v>
      </c>
      <c r="K1056">
        <f t="shared" si="32"/>
        <v>43.959999999999994</v>
      </c>
      <c r="L1056" t="str">
        <f t="shared" si="33"/>
        <v>Banca Padana|24|Risparmio</v>
      </c>
    </row>
    <row r="1057" spans="1:12" x14ac:dyDescent="0.25">
      <c r="A1057" t="s">
        <v>26</v>
      </c>
      <c r="B1057">
        <v>24</v>
      </c>
      <c r="C1057" t="s">
        <v>21</v>
      </c>
      <c r="D1057" s="1">
        <v>46022</v>
      </c>
      <c r="E1057">
        <v>2065.4</v>
      </c>
      <c r="F1057">
        <v>121.93</v>
      </c>
      <c r="G1057">
        <v>73.23</v>
      </c>
      <c r="H1057">
        <v>195</v>
      </c>
      <c r="I1057" t="s">
        <v>14</v>
      </c>
      <c r="J1057">
        <v>2025</v>
      </c>
      <c r="K1057">
        <f t="shared" si="32"/>
        <v>48.7</v>
      </c>
      <c r="L1057" t="str">
        <f t="shared" si="33"/>
        <v>Banca Padana|24|Assicurazioni</v>
      </c>
    </row>
    <row r="1058" spans="1:12" x14ac:dyDescent="0.25">
      <c r="A1058" t="s">
        <v>26</v>
      </c>
      <c r="B1058">
        <v>25</v>
      </c>
      <c r="C1058" t="s">
        <v>13</v>
      </c>
      <c r="D1058" s="1">
        <v>46053</v>
      </c>
      <c r="E1058">
        <v>585.9</v>
      </c>
      <c r="F1058">
        <v>26.63</v>
      </c>
      <c r="G1058">
        <v>17.059999999999999</v>
      </c>
      <c r="H1058">
        <v>67</v>
      </c>
      <c r="I1058" t="s">
        <v>14</v>
      </c>
      <c r="J1058">
        <v>2026</v>
      </c>
      <c r="K1058">
        <f t="shared" si="32"/>
        <v>9.57</v>
      </c>
      <c r="L1058" t="str">
        <f t="shared" si="33"/>
        <v>Banca Padana|25|Mutui</v>
      </c>
    </row>
    <row r="1059" spans="1:12" x14ac:dyDescent="0.25">
      <c r="A1059" t="s">
        <v>26</v>
      </c>
      <c r="B1059">
        <v>25</v>
      </c>
      <c r="C1059" t="s">
        <v>15</v>
      </c>
      <c r="D1059" s="1">
        <v>46053</v>
      </c>
      <c r="E1059">
        <v>774.6</v>
      </c>
      <c r="F1059">
        <v>37.11</v>
      </c>
      <c r="G1059">
        <v>23.04</v>
      </c>
      <c r="H1059">
        <v>88</v>
      </c>
      <c r="I1059" t="s">
        <v>14</v>
      </c>
      <c r="J1059">
        <v>2026</v>
      </c>
      <c r="K1059">
        <f t="shared" si="32"/>
        <v>14.07</v>
      </c>
      <c r="L1059" t="str">
        <f t="shared" si="33"/>
        <v>Banca Padana|25|Prestiti</v>
      </c>
    </row>
    <row r="1060" spans="1:12" x14ac:dyDescent="0.25">
      <c r="A1060" t="s">
        <v>26</v>
      </c>
      <c r="B1060">
        <v>25</v>
      </c>
      <c r="C1060" t="s">
        <v>16</v>
      </c>
      <c r="D1060" s="1">
        <v>46053</v>
      </c>
      <c r="E1060">
        <v>1018.1</v>
      </c>
      <c r="F1060">
        <v>50</v>
      </c>
      <c r="G1060">
        <v>30.67</v>
      </c>
      <c r="H1060">
        <v>123</v>
      </c>
      <c r="I1060" t="s">
        <v>14</v>
      </c>
      <c r="J1060">
        <v>2026</v>
      </c>
      <c r="K1060">
        <f t="shared" si="32"/>
        <v>19.329999999999998</v>
      </c>
      <c r="L1060" t="str">
        <f t="shared" si="33"/>
        <v>Banca Padana|25|Conti</v>
      </c>
    </row>
    <row r="1061" spans="1:12" x14ac:dyDescent="0.25">
      <c r="A1061" t="s">
        <v>26</v>
      </c>
      <c r="B1061">
        <v>25</v>
      </c>
      <c r="C1061" t="s">
        <v>17</v>
      </c>
      <c r="D1061" s="1">
        <v>46053</v>
      </c>
      <c r="E1061">
        <v>1214.9000000000001</v>
      </c>
      <c r="F1061">
        <v>62.13</v>
      </c>
      <c r="G1061">
        <v>38.1</v>
      </c>
      <c r="H1061">
        <v>116</v>
      </c>
      <c r="I1061" t="s">
        <v>14</v>
      </c>
      <c r="J1061">
        <v>2026</v>
      </c>
      <c r="K1061">
        <f t="shared" si="32"/>
        <v>24.03</v>
      </c>
      <c r="L1061" t="str">
        <f t="shared" si="33"/>
        <v>Banca Padana|25|Carte</v>
      </c>
    </row>
    <row r="1062" spans="1:12" x14ac:dyDescent="0.25">
      <c r="A1062" t="s">
        <v>26</v>
      </c>
      <c r="B1062">
        <v>25</v>
      </c>
      <c r="C1062" t="s">
        <v>18</v>
      </c>
      <c r="D1062" s="1">
        <v>46053</v>
      </c>
      <c r="E1062">
        <v>1430.5</v>
      </c>
      <c r="F1062">
        <v>76.010000000000005</v>
      </c>
      <c r="G1062">
        <v>46.65</v>
      </c>
      <c r="H1062">
        <v>142</v>
      </c>
      <c r="I1062" t="s">
        <v>14</v>
      </c>
      <c r="J1062">
        <v>2026</v>
      </c>
      <c r="K1062">
        <f t="shared" si="32"/>
        <v>29.360000000000007</v>
      </c>
      <c r="L1062" t="str">
        <f t="shared" si="33"/>
        <v>Banca Padana|25|Leasing</v>
      </c>
    </row>
    <row r="1063" spans="1:12" x14ac:dyDescent="0.25">
      <c r="A1063" t="s">
        <v>26</v>
      </c>
      <c r="B1063">
        <v>25</v>
      </c>
      <c r="C1063" t="s">
        <v>19</v>
      </c>
      <c r="D1063" s="1">
        <v>46053</v>
      </c>
      <c r="E1063">
        <v>1683.1</v>
      </c>
      <c r="F1063">
        <v>92.69</v>
      </c>
      <c r="G1063">
        <v>56.49</v>
      </c>
      <c r="H1063">
        <v>142</v>
      </c>
      <c r="I1063" t="s">
        <v>14</v>
      </c>
      <c r="J1063">
        <v>2026</v>
      </c>
      <c r="K1063">
        <f t="shared" si="32"/>
        <v>36.199999999999996</v>
      </c>
      <c r="L1063" t="str">
        <f t="shared" si="33"/>
        <v>Banca Padana|25|Factoring</v>
      </c>
    </row>
    <row r="1064" spans="1:12" x14ac:dyDescent="0.25">
      <c r="A1064" t="s">
        <v>26</v>
      </c>
      <c r="B1064">
        <v>25</v>
      </c>
      <c r="C1064" t="s">
        <v>20</v>
      </c>
      <c r="D1064" s="1">
        <v>46053</v>
      </c>
      <c r="E1064">
        <v>1896.1</v>
      </c>
      <c r="F1064">
        <v>108.55</v>
      </c>
      <c r="G1064">
        <v>65.37</v>
      </c>
      <c r="H1064">
        <v>181</v>
      </c>
      <c r="I1064" t="s">
        <v>14</v>
      </c>
      <c r="J1064">
        <v>2026</v>
      </c>
      <c r="K1064">
        <f t="shared" si="32"/>
        <v>43.179999999999993</v>
      </c>
      <c r="L1064" t="str">
        <f t="shared" si="33"/>
        <v>Banca Padana|25|Risparmio</v>
      </c>
    </row>
    <row r="1065" spans="1:12" x14ac:dyDescent="0.25">
      <c r="A1065" t="s">
        <v>26</v>
      </c>
      <c r="B1065">
        <v>25</v>
      </c>
      <c r="C1065" t="s">
        <v>21</v>
      </c>
      <c r="D1065" s="1">
        <v>46053</v>
      </c>
      <c r="E1065">
        <v>2128.3000000000002</v>
      </c>
      <c r="F1065">
        <v>125.8</v>
      </c>
      <c r="G1065">
        <v>74.8</v>
      </c>
      <c r="H1065">
        <v>199</v>
      </c>
      <c r="I1065" t="s">
        <v>14</v>
      </c>
      <c r="J1065">
        <v>2026</v>
      </c>
      <c r="K1065">
        <f t="shared" si="32"/>
        <v>51</v>
      </c>
      <c r="L1065" t="str">
        <f t="shared" si="33"/>
        <v>Banca Padana|25|Assicurazioni</v>
      </c>
    </row>
    <row r="1066" spans="1:12" x14ac:dyDescent="0.25">
      <c r="A1066" t="s">
        <v>26</v>
      </c>
      <c r="B1066">
        <v>26</v>
      </c>
      <c r="C1066" t="s">
        <v>13</v>
      </c>
      <c r="D1066" s="1">
        <v>46081</v>
      </c>
      <c r="E1066">
        <v>581.20000000000005</v>
      </c>
      <c r="F1066">
        <v>26.54</v>
      </c>
      <c r="G1066">
        <v>16.87</v>
      </c>
      <c r="H1066">
        <v>87</v>
      </c>
      <c r="I1066" t="s">
        <v>14</v>
      </c>
      <c r="J1066">
        <v>2026</v>
      </c>
      <c r="K1066">
        <f t="shared" si="32"/>
        <v>9.6699999999999982</v>
      </c>
      <c r="L1066" t="str">
        <f t="shared" si="33"/>
        <v>Banca Padana|26|Mutui</v>
      </c>
    </row>
    <row r="1067" spans="1:12" x14ac:dyDescent="0.25">
      <c r="A1067" t="s">
        <v>26</v>
      </c>
      <c r="B1067">
        <v>26</v>
      </c>
      <c r="C1067" t="s">
        <v>15</v>
      </c>
      <c r="D1067" s="1">
        <v>46081</v>
      </c>
      <c r="E1067">
        <v>781.4</v>
      </c>
      <c r="F1067">
        <v>36.99</v>
      </c>
      <c r="G1067">
        <v>22.91</v>
      </c>
      <c r="H1067">
        <v>103</v>
      </c>
      <c r="I1067" t="s">
        <v>14</v>
      </c>
      <c r="J1067">
        <v>2026</v>
      </c>
      <c r="K1067">
        <f t="shared" si="32"/>
        <v>14.080000000000002</v>
      </c>
      <c r="L1067" t="str">
        <f t="shared" si="33"/>
        <v>Banca Padana|26|Prestiti</v>
      </c>
    </row>
    <row r="1068" spans="1:12" x14ac:dyDescent="0.25">
      <c r="A1068" t="s">
        <v>26</v>
      </c>
      <c r="B1068">
        <v>26</v>
      </c>
      <c r="C1068" t="s">
        <v>16</v>
      </c>
      <c r="D1068" s="1">
        <v>46081</v>
      </c>
      <c r="E1068">
        <v>1017.1</v>
      </c>
      <c r="F1068">
        <v>50.47</v>
      </c>
      <c r="G1068">
        <v>31.13</v>
      </c>
      <c r="H1068">
        <v>99</v>
      </c>
      <c r="I1068" t="s">
        <v>14</v>
      </c>
      <c r="J1068">
        <v>2026</v>
      </c>
      <c r="K1068">
        <f t="shared" si="32"/>
        <v>19.34</v>
      </c>
      <c r="L1068" t="str">
        <f t="shared" si="33"/>
        <v>Banca Padana|26|Conti</v>
      </c>
    </row>
    <row r="1069" spans="1:12" x14ac:dyDescent="0.25">
      <c r="A1069" t="s">
        <v>26</v>
      </c>
      <c r="B1069">
        <v>26</v>
      </c>
      <c r="C1069" t="s">
        <v>17</v>
      </c>
      <c r="D1069" s="1">
        <v>46081</v>
      </c>
      <c r="E1069">
        <v>1232.9000000000001</v>
      </c>
      <c r="F1069">
        <v>63.26</v>
      </c>
      <c r="G1069">
        <v>38.340000000000003</v>
      </c>
      <c r="H1069">
        <v>134</v>
      </c>
      <c r="I1069" t="s">
        <v>14</v>
      </c>
      <c r="J1069">
        <v>2026</v>
      </c>
      <c r="K1069">
        <f t="shared" si="32"/>
        <v>24.919999999999995</v>
      </c>
      <c r="L1069" t="str">
        <f t="shared" si="33"/>
        <v>Banca Padana|26|Carte</v>
      </c>
    </row>
    <row r="1070" spans="1:12" x14ac:dyDescent="0.25">
      <c r="A1070" t="s">
        <v>26</v>
      </c>
      <c r="B1070">
        <v>26</v>
      </c>
      <c r="C1070" t="s">
        <v>18</v>
      </c>
      <c r="D1070" s="1">
        <v>46081</v>
      </c>
      <c r="E1070">
        <v>1440.1</v>
      </c>
      <c r="F1070">
        <v>77.08</v>
      </c>
      <c r="G1070">
        <v>46.57</v>
      </c>
      <c r="H1070">
        <v>158</v>
      </c>
      <c r="I1070" t="s">
        <v>14</v>
      </c>
      <c r="J1070">
        <v>2026</v>
      </c>
      <c r="K1070">
        <f t="shared" si="32"/>
        <v>30.509999999999998</v>
      </c>
      <c r="L1070" t="str">
        <f t="shared" si="33"/>
        <v>Banca Padana|26|Leasing</v>
      </c>
    </row>
    <row r="1071" spans="1:12" x14ac:dyDescent="0.25">
      <c r="A1071" t="s">
        <v>26</v>
      </c>
      <c r="B1071">
        <v>26</v>
      </c>
      <c r="C1071" t="s">
        <v>19</v>
      </c>
      <c r="D1071" s="1">
        <v>46081</v>
      </c>
      <c r="E1071">
        <v>1685.7</v>
      </c>
      <c r="F1071">
        <v>92.92</v>
      </c>
      <c r="G1071">
        <v>56.14</v>
      </c>
      <c r="H1071">
        <v>143</v>
      </c>
      <c r="I1071" t="s">
        <v>14</v>
      </c>
      <c r="J1071">
        <v>2026</v>
      </c>
      <c r="K1071">
        <f t="shared" si="32"/>
        <v>36.78</v>
      </c>
      <c r="L1071" t="str">
        <f t="shared" si="33"/>
        <v>Banca Padana|26|Factoring</v>
      </c>
    </row>
    <row r="1072" spans="1:12" x14ac:dyDescent="0.25">
      <c r="A1072" t="s">
        <v>26</v>
      </c>
      <c r="B1072">
        <v>26</v>
      </c>
      <c r="C1072" t="s">
        <v>20</v>
      </c>
      <c r="D1072" s="1">
        <v>46081</v>
      </c>
      <c r="E1072">
        <v>1929.2</v>
      </c>
      <c r="F1072">
        <v>110.83</v>
      </c>
      <c r="G1072">
        <v>66.44</v>
      </c>
      <c r="H1072">
        <v>192</v>
      </c>
      <c r="I1072" t="s">
        <v>14</v>
      </c>
      <c r="J1072">
        <v>2026</v>
      </c>
      <c r="K1072">
        <f t="shared" si="32"/>
        <v>44.39</v>
      </c>
      <c r="L1072" t="str">
        <f t="shared" si="33"/>
        <v>Banca Padana|26|Risparmio</v>
      </c>
    </row>
    <row r="1073" spans="1:12" x14ac:dyDescent="0.25">
      <c r="A1073" t="s">
        <v>26</v>
      </c>
      <c r="B1073">
        <v>26</v>
      </c>
      <c r="C1073" t="s">
        <v>21</v>
      </c>
      <c r="D1073" s="1">
        <v>46081</v>
      </c>
      <c r="E1073">
        <v>2099.1</v>
      </c>
      <c r="F1073">
        <v>124.44</v>
      </c>
      <c r="G1073">
        <v>74.36</v>
      </c>
      <c r="H1073">
        <v>193</v>
      </c>
      <c r="I1073" t="s">
        <v>14</v>
      </c>
      <c r="J1073">
        <v>2026</v>
      </c>
      <c r="K1073">
        <f t="shared" si="32"/>
        <v>50.08</v>
      </c>
      <c r="L1073" t="str">
        <f t="shared" si="33"/>
        <v>Banca Padana|26|Assicurazioni</v>
      </c>
    </row>
    <row r="1074" spans="1:12" x14ac:dyDescent="0.25">
      <c r="A1074" t="s">
        <v>26</v>
      </c>
      <c r="B1074">
        <v>27</v>
      </c>
      <c r="C1074" t="s">
        <v>13</v>
      </c>
      <c r="D1074" s="1">
        <v>46112</v>
      </c>
      <c r="E1074">
        <v>614.70000000000005</v>
      </c>
      <c r="F1074">
        <v>28.53</v>
      </c>
      <c r="G1074">
        <v>17.239999999999998</v>
      </c>
      <c r="H1074">
        <v>75</v>
      </c>
      <c r="I1074" t="s">
        <v>14</v>
      </c>
      <c r="J1074">
        <v>2026</v>
      </c>
      <c r="K1074">
        <f t="shared" si="32"/>
        <v>11.290000000000003</v>
      </c>
      <c r="L1074" t="str">
        <f t="shared" si="33"/>
        <v>Banca Padana|27|Mutui</v>
      </c>
    </row>
    <row r="1075" spans="1:12" x14ac:dyDescent="0.25">
      <c r="A1075" t="s">
        <v>26</v>
      </c>
      <c r="B1075">
        <v>27</v>
      </c>
      <c r="C1075" t="s">
        <v>15</v>
      </c>
      <c r="D1075" s="1">
        <v>46112</v>
      </c>
      <c r="E1075">
        <v>811.2</v>
      </c>
      <c r="F1075">
        <v>38.99</v>
      </c>
      <c r="G1075">
        <v>24.06</v>
      </c>
      <c r="H1075">
        <v>78</v>
      </c>
      <c r="I1075" t="s">
        <v>14</v>
      </c>
      <c r="J1075">
        <v>2026</v>
      </c>
      <c r="K1075">
        <f t="shared" si="32"/>
        <v>14.930000000000003</v>
      </c>
      <c r="L1075" t="str">
        <f t="shared" si="33"/>
        <v>Banca Padana|27|Prestiti</v>
      </c>
    </row>
    <row r="1076" spans="1:12" x14ac:dyDescent="0.25">
      <c r="A1076" t="s">
        <v>26</v>
      </c>
      <c r="B1076">
        <v>27</v>
      </c>
      <c r="C1076" t="s">
        <v>16</v>
      </c>
      <c r="D1076" s="1">
        <v>46112</v>
      </c>
      <c r="E1076">
        <v>1026.5999999999999</v>
      </c>
      <c r="F1076">
        <v>50.41</v>
      </c>
      <c r="G1076">
        <v>31.31</v>
      </c>
      <c r="H1076">
        <v>103</v>
      </c>
      <c r="I1076" t="s">
        <v>14</v>
      </c>
      <c r="J1076">
        <v>2026</v>
      </c>
      <c r="K1076">
        <f t="shared" si="32"/>
        <v>19.099999999999998</v>
      </c>
      <c r="L1076" t="str">
        <f t="shared" si="33"/>
        <v>Banca Padana|27|Conti</v>
      </c>
    </row>
    <row r="1077" spans="1:12" x14ac:dyDescent="0.25">
      <c r="A1077" t="s">
        <v>26</v>
      </c>
      <c r="B1077">
        <v>27</v>
      </c>
      <c r="C1077" t="s">
        <v>17</v>
      </c>
      <c r="D1077" s="1">
        <v>46112</v>
      </c>
      <c r="E1077">
        <v>1233.9000000000001</v>
      </c>
      <c r="F1077">
        <v>63.83</v>
      </c>
      <c r="G1077">
        <v>38.909999999999997</v>
      </c>
      <c r="H1077">
        <v>120</v>
      </c>
      <c r="I1077" t="s">
        <v>14</v>
      </c>
      <c r="J1077">
        <v>2026</v>
      </c>
      <c r="K1077">
        <f t="shared" si="32"/>
        <v>24.92</v>
      </c>
      <c r="L1077" t="str">
        <f t="shared" si="33"/>
        <v>Banca Padana|27|Carte</v>
      </c>
    </row>
    <row r="1078" spans="1:12" x14ac:dyDescent="0.25">
      <c r="A1078" t="s">
        <v>26</v>
      </c>
      <c r="B1078">
        <v>27</v>
      </c>
      <c r="C1078" t="s">
        <v>18</v>
      </c>
      <c r="D1078" s="1">
        <v>46112</v>
      </c>
      <c r="E1078">
        <v>1487.1</v>
      </c>
      <c r="F1078">
        <v>79.569999999999993</v>
      </c>
      <c r="G1078">
        <v>47.74</v>
      </c>
      <c r="H1078">
        <v>159</v>
      </c>
      <c r="I1078" t="s">
        <v>14</v>
      </c>
      <c r="J1078">
        <v>2026</v>
      </c>
      <c r="K1078">
        <f t="shared" si="32"/>
        <v>31.829999999999991</v>
      </c>
      <c r="L1078" t="str">
        <f t="shared" si="33"/>
        <v>Banca Padana|27|Leasing</v>
      </c>
    </row>
    <row r="1079" spans="1:12" x14ac:dyDescent="0.25">
      <c r="A1079" t="s">
        <v>26</v>
      </c>
      <c r="B1079">
        <v>27</v>
      </c>
      <c r="C1079" t="s">
        <v>19</v>
      </c>
      <c r="D1079" s="1">
        <v>46112</v>
      </c>
      <c r="E1079">
        <v>1721.7</v>
      </c>
      <c r="F1079">
        <v>95.47</v>
      </c>
      <c r="G1079">
        <v>57.53</v>
      </c>
      <c r="H1079">
        <v>148</v>
      </c>
      <c r="I1079" t="s">
        <v>14</v>
      </c>
      <c r="J1079">
        <v>2026</v>
      </c>
      <c r="K1079">
        <f t="shared" si="32"/>
        <v>37.94</v>
      </c>
      <c r="L1079" t="str">
        <f t="shared" si="33"/>
        <v>Banca Padana|27|Factoring</v>
      </c>
    </row>
    <row r="1080" spans="1:12" x14ac:dyDescent="0.25">
      <c r="A1080" t="s">
        <v>26</v>
      </c>
      <c r="B1080">
        <v>27</v>
      </c>
      <c r="C1080" t="s">
        <v>20</v>
      </c>
      <c r="D1080" s="1">
        <v>46112</v>
      </c>
      <c r="E1080">
        <v>1912.2</v>
      </c>
      <c r="F1080">
        <v>109.48</v>
      </c>
      <c r="G1080">
        <v>65.7</v>
      </c>
      <c r="H1080">
        <v>191</v>
      </c>
      <c r="I1080" t="s">
        <v>14</v>
      </c>
      <c r="J1080">
        <v>2026</v>
      </c>
      <c r="K1080">
        <f t="shared" si="32"/>
        <v>43.78</v>
      </c>
      <c r="L1080" t="str">
        <f t="shared" si="33"/>
        <v>Banca Padana|27|Risparmio</v>
      </c>
    </row>
    <row r="1081" spans="1:12" x14ac:dyDescent="0.25">
      <c r="A1081" t="s">
        <v>26</v>
      </c>
      <c r="B1081">
        <v>27</v>
      </c>
      <c r="C1081" t="s">
        <v>21</v>
      </c>
      <c r="D1081" s="1">
        <v>46112</v>
      </c>
      <c r="E1081">
        <v>2130.6</v>
      </c>
      <c r="F1081">
        <v>126.43</v>
      </c>
      <c r="G1081">
        <v>75.38</v>
      </c>
      <c r="H1081">
        <v>192</v>
      </c>
      <c r="I1081" t="s">
        <v>14</v>
      </c>
      <c r="J1081">
        <v>2026</v>
      </c>
      <c r="K1081">
        <f t="shared" si="32"/>
        <v>51.050000000000011</v>
      </c>
      <c r="L1081" t="str">
        <f t="shared" si="33"/>
        <v>Banca Padana|27|Assicurazioni</v>
      </c>
    </row>
    <row r="1082" spans="1:12" x14ac:dyDescent="0.25">
      <c r="A1082" t="s">
        <v>26</v>
      </c>
      <c r="B1082">
        <v>28</v>
      </c>
      <c r="C1082" t="s">
        <v>13</v>
      </c>
      <c r="D1082" s="1">
        <v>46142</v>
      </c>
      <c r="E1082">
        <v>577.4</v>
      </c>
      <c r="F1082">
        <v>26.65</v>
      </c>
      <c r="G1082">
        <v>16.39</v>
      </c>
      <c r="H1082">
        <v>74</v>
      </c>
      <c r="I1082" t="s">
        <v>14</v>
      </c>
      <c r="J1082">
        <v>2026</v>
      </c>
      <c r="K1082">
        <f t="shared" si="32"/>
        <v>10.259999999999998</v>
      </c>
      <c r="L1082" t="str">
        <f t="shared" si="33"/>
        <v>Banca Padana|28|Mutui</v>
      </c>
    </row>
    <row r="1083" spans="1:12" x14ac:dyDescent="0.25">
      <c r="A1083" t="s">
        <v>26</v>
      </c>
      <c r="B1083">
        <v>28</v>
      </c>
      <c r="C1083" t="s">
        <v>15</v>
      </c>
      <c r="D1083" s="1">
        <v>46142</v>
      </c>
      <c r="E1083">
        <v>793.6</v>
      </c>
      <c r="F1083">
        <v>37.65</v>
      </c>
      <c r="G1083">
        <v>23.4</v>
      </c>
      <c r="H1083">
        <v>94</v>
      </c>
      <c r="I1083" t="s">
        <v>14</v>
      </c>
      <c r="J1083">
        <v>2026</v>
      </c>
      <c r="K1083">
        <f t="shared" si="32"/>
        <v>14.25</v>
      </c>
      <c r="L1083" t="str">
        <f t="shared" si="33"/>
        <v>Banca Padana|28|Prestiti</v>
      </c>
    </row>
    <row r="1084" spans="1:12" x14ac:dyDescent="0.25">
      <c r="A1084" t="s">
        <v>26</v>
      </c>
      <c r="B1084">
        <v>28</v>
      </c>
      <c r="C1084" t="s">
        <v>16</v>
      </c>
      <c r="D1084" s="1">
        <v>46142</v>
      </c>
      <c r="E1084">
        <v>1060.5999999999999</v>
      </c>
      <c r="F1084">
        <v>52.9</v>
      </c>
      <c r="G1084">
        <v>32.28</v>
      </c>
      <c r="H1084">
        <v>112</v>
      </c>
      <c r="I1084" t="s">
        <v>14</v>
      </c>
      <c r="J1084">
        <v>2026</v>
      </c>
      <c r="K1084">
        <f t="shared" si="32"/>
        <v>20.619999999999997</v>
      </c>
      <c r="L1084" t="str">
        <f t="shared" si="33"/>
        <v>Banca Padana|28|Conti</v>
      </c>
    </row>
    <row r="1085" spans="1:12" x14ac:dyDescent="0.25">
      <c r="A1085" t="s">
        <v>26</v>
      </c>
      <c r="B1085">
        <v>28</v>
      </c>
      <c r="C1085" t="s">
        <v>17</v>
      </c>
      <c r="D1085" s="1">
        <v>46142</v>
      </c>
      <c r="E1085">
        <v>1251.9000000000001</v>
      </c>
      <c r="F1085">
        <v>64.56</v>
      </c>
      <c r="G1085">
        <v>38.880000000000003</v>
      </c>
      <c r="H1085">
        <v>131</v>
      </c>
      <c r="I1085" t="s">
        <v>14</v>
      </c>
      <c r="J1085">
        <v>2026</v>
      </c>
      <c r="K1085">
        <f t="shared" si="32"/>
        <v>25.68</v>
      </c>
      <c r="L1085" t="str">
        <f t="shared" si="33"/>
        <v>Banca Padana|28|Carte</v>
      </c>
    </row>
    <row r="1086" spans="1:12" x14ac:dyDescent="0.25">
      <c r="A1086" t="s">
        <v>26</v>
      </c>
      <c r="B1086">
        <v>28</v>
      </c>
      <c r="C1086" t="s">
        <v>18</v>
      </c>
      <c r="D1086" s="1">
        <v>46142</v>
      </c>
      <c r="E1086">
        <v>1469.8</v>
      </c>
      <c r="F1086">
        <v>78.040000000000006</v>
      </c>
      <c r="G1086">
        <v>47.33</v>
      </c>
      <c r="H1086">
        <v>154</v>
      </c>
      <c r="I1086" t="s">
        <v>14</v>
      </c>
      <c r="J1086">
        <v>2026</v>
      </c>
      <c r="K1086">
        <f t="shared" si="32"/>
        <v>30.710000000000008</v>
      </c>
      <c r="L1086" t="str">
        <f t="shared" si="33"/>
        <v>Banca Padana|28|Leasing</v>
      </c>
    </row>
    <row r="1087" spans="1:12" x14ac:dyDescent="0.25">
      <c r="A1087" t="s">
        <v>26</v>
      </c>
      <c r="B1087">
        <v>28</v>
      </c>
      <c r="C1087" t="s">
        <v>19</v>
      </c>
      <c r="D1087" s="1">
        <v>46142</v>
      </c>
      <c r="E1087">
        <v>1709.9</v>
      </c>
      <c r="F1087">
        <v>94.47</v>
      </c>
      <c r="G1087">
        <v>57.08</v>
      </c>
      <c r="H1087">
        <v>141</v>
      </c>
      <c r="I1087" t="s">
        <v>14</v>
      </c>
      <c r="J1087">
        <v>2026</v>
      </c>
      <c r="K1087">
        <f t="shared" si="32"/>
        <v>37.39</v>
      </c>
      <c r="L1087" t="str">
        <f t="shared" si="33"/>
        <v>Banca Padana|28|Factoring</v>
      </c>
    </row>
    <row r="1088" spans="1:12" x14ac:dyDescent="0.25">
      <c r="A1088" t="s">
        <v>26</v>
      </c>
      <c r="B1088">
        <v>28</v>
      </c>
      <c r="C1088" t="s">
        <v>20</v>
      </c>
      <c r="D1088" s="1">
        <v>46142</v>
      </c>
      <c r="E1088">
        <v>1948.5</v>
      </c>
      <c r="F1088">
        <v>111.16</v>
      </c>
      <c r="G1088">
        <v>66.489999999999995</v>
      </c>
      <c r="H1088">
        <v>164</v>
      </c>
      <c r="I1088" t="s">
        <v>14</v>
      </c>
      <c r="J1088">
        <v>2026</v>
      </c>
      <c r="K1088">
        <f t="shared" si="32"/>
        <v>44.67</v>
      </c>
      <c r="L1088" t="str">
        <f t="shared" si="33"/>
        <v>Banca Padana|28|Risparmio</v>
      </c>
    </row>
    <row r="1089" spans="1:12" x14ac:dyDescent="0.25">
      <c r="A1089" t="s">
        <v>26</v>
      </c>
      <c r="B1089">
        <v>28</v>
      </c>
      <c r="C1089" t="s">
        <v>21</v>
      </c>
      <c r="D1089" s="1">
        <v>46142</v>
      </c>
      <c r="E1089">
        <v>2134.1999999999998</v>
      </c>
      <c r="F1089">
        <v>126.44</v>
      </c>
      <c r="G1089">
        <v>75.180000000000007</v>
      </c>
      <c r="H1089">
        <v>208</v>
      </c>
      <c r="I1089" t="s">
        <v>14</v>
      </c>
      <c r="J1089">
        <v>2026</v>
      </c>
      <c r="K1089">
        <f t="shared" si="32"/>
        <v>51.259999999999991</v>
      </c>
      <c r="L1089" t="str">
        <f t="shared" si="33"/>
        <v>Banca Padana|28|Assicurazioni</v>
      </c>
    </row>
    <row r="1090" spans="1:12" x14ac:dyDescent="0.25">
      <c r="A1090" t="s">
        <v>26</v>
      </c>
      <c r="B1090">
        <v>29</v>
      </c>
      <c r="C1090" t="s">
        <v>13</v>
      </c>
      <c r="D1090" s="1">
        <v>46173</v>
      </c>
      <c r="E1090">
        <v>607.6</v>
      </c>
      <c r="F1090">
        <v>27.74</v>
      </c>
      <c r="G1090">
        <v>17.04</v>
      </c>
      <c r="H1090">
        <v>62</v>
      </c>
      <c r="I1090" t="s">
        <v>14</v>
      </c>
      <c r="J1090">
        <v>2026</v>
      </c>
      <c r="K1090">
        <f t="shared" ref="K1090:K1153" si="34">F1090-G1090</f>
        <v>10.7</v>
      </c>
      <c r="L1090" t="str">
        <f t="shared" ref="L1090:L1153" si="35">A1090&amp;"|"&amp;B1090&amp;"|"&amp;C1090</f>
        <v>Banca Padana|29|Mutui</v>
      </c>
    </row>
    <row r="1091" spans="1:12" x14ac:dyDescent="0.25">
      <c r="A1091" t="s">
        <v>26</v>
      </c>
      <c r="B1091">
        <v>29</v>
      </c>
      <c r="C1091" t="s">
        <v>15</v>
      </c>
      <c r="D1091" s="1">
        <v>46173</v>
      </c>
      <c r="E1091">
        <v>820.5</v>
      </c>
      <c r="F1091">
        <v>38.590000000000003</v>
      </c>
      <c r="G1091">
        <v>24.79</v>
      </c>
      <c r="H1091">
        <v>87</v>
      </c>
      <c r="I1091" t="s">
        <v>14</v>
      </c>
      <c r="J1091">
        <v>2026</v>
      </c>
      <c r="K1091">
        <f t="shared" si="34"/>
        <v>13.800000000000004</v>
      </c>
      <c r="L1091" t="str">
        <f t="shared" si="35"/>
        <v>Banca Padana|29|Prestiti</v>
      </c>
    </row>
    <row r="1092" spans="1:12" x14ac:dyDescent="0.25">
      <c r="A1092" t="s">
        <v>26</v>
      </c>
      <c r="B1092">
        <v>29</v>
      </c>
      <c r="C1092" t="s">
        <v>16</v>
      </c>
      <c r="D1092" s="1">
        <v>46173</v>
      </c>
      <c r="E1092">
        <v>1043</v>
      </c>
      <c r="F1092">
        <v>51.76</v>
      </c>
      <c r="G1092">
        <v>31.39</v>
      </c>
      <c r="H1092">
        <v>89</v>
      </c>
      <c r="I1092" t="s">
        <v>14</v>
      </c>
      <c r="J1092">
        <v>2026</v>
      </c>
      <c r="K1092">
        <f t="shared" si="34"/>
        <v>20.369999999999997</v>
      </c>
      <c r="L1092" t="str">
        <f t="shared" si="35"/>
        <v>Banca Padana|29|Conti</v>
      </c>
    </row>
    <row r="1093" spans="1:12" x14ac:dyDescent="0.25">
      <c r="A1093" t="s">
        <v>26</v>
      </c>
      <c r="B1093">
        <v>29</v>
      </c>
      <c r="C1093" t="s">
        <v>17</v>
      </c>
      <c r="D1093" s="1">
        <v>46173</v>
      </c>
      <c r="E1093">
        <v>1279.5</v>
      </c>
      <c r="F1093">
        <v>65.62</v>
      </c>
      <c r="G1093">
        <v>40.06</v>
      </c>
      <c r="H1093">
        <v>105</v>
      </c>
      <c r="I1093" t="s">
        <v>14</v>
      </c>
      <c r="J1093">
        <v>2026</v>
      </c>
      <c r="K1093">
        <f t="shared" si="34"/>
        <v>25.560000000000002</v>
      </c>
      <c r="L1093" t="str">
        <f t="shared" si="35"/>
        <v>Banca Padana|29|Carte</v>
      </c>
    </row>
    <row r="1094" spans="1:12" x14ac:dyDescent="0.25">
      <c r="A1094" t="s">
        <v>26</v>
      </c>
      <c r="B1094">
        <v>29</v>
      </c>
      <c r="C1094" t="s">
        <v>18</v>
      </c>
      <c r="D1094" s="1">
        <v>46173</v>
      </c>
      <c r="E1094">
        <v>1510.8</v>
      </c>
      <c r="F1094">
        <v>80.78</v>
      </c>
      <c r="G1094">
        <v>48.68</v>
      </c>
      <c r="H1094">
        <v>154</v>
      </c>
      <c r="I1094" t="s">
        <v>14</v>
      </c>
      <c r="J1094">
        <v>2026</v>
      </c>
      <c r="K1094">
        <f t="shared" si="34"/>
        <v>32.1</v>
      </c>
      <c r="L1094" t="str">
        <f t="shared" si="35"/>
        <v>Banca Padana|29|Leasing</v>
      </c>
    </row>
    <row r="1095" spans="1:12" x14ac:dyDescent="0.25">
      <c r="A1095" t="s">
        <v>26</v>
      </c>
      <c r="B1095">
        <v>29</v>
      </c>
      <c r="C1095" t="s">
        <v>19</v>
      </c>
      <c r="D1095" s="1">
        <v>46173</v>
      </c>
      <c r="E1095">
        <v>1707.6</v>
      </c>
      <c r="F1095">
        <v>94.61</v>
      </c>
      <c r="G1095">
        <v>56.62</v>
      </c>
      <c r="H1095">
        <v>157</v>
      </c>
      <c r="I1095" t="s">
        <v>14</v>
      </c>
      <c r="J1095">
        <v>2026</v>
      </c>
      <c r="K1095">
        <f t="shared" si="34"/>
        <v>37.99</v>
      </c>
      <c r="L1095" t="str">
        <f t="shared" si="35"/>
        <v>Banca Padana|29|Factoring</v>
      </c>
    </row>
    <row r="1096" spans="1:12" x14ac:dyDescent="0.25">
      <c r="A1096" t="s">
        <v>26</v>
      </c>
      <c r="B1096">
        <v>29</v>
      </c>
      <c r="C1096" t="s">
        <v>20</v>
      </c>
      <c r="D1096" s="1">
        <v>46173</v>
      </c>
      <c r="E1096">
        <v>1937</v>
      </c>
      <c r="F1096">
        <v>110.64</v>
      </c>
      <c r="G1096">
        <v>66.11</v>
      </c>
      <c r="H1096">
        <v>158</v>
      </c>
      <c r="I1096" t="s">
        <v>14</v>
      </c>
      <c r="J1096">
        <v>2026</v>
      </c>
      <c r="K1096">
        <f t="shared" si="34"/>
        <v>44.53</v>
      </c>
      <c r="L1096" t="str">
        <f t="shared" si="35"/>
        <v>Banca Padana|29|Risparmio</v>
      </c>
    </row>
    <row r="1097" spans="1:12" x14ac:dyDescent="0.25">
      <c r="A1097" t="s">
        <v>26</v>
      </c>
      <c r="B1097">
        <v>29</v>
      </c>
      <c r="C1097" t="s">
        <v>21</v>
      </c>
      <c r="D1097" s="1">
        <v>46173</v>
      </c>
      <c r="E1097">
        <v>2159.5</v>
      </c>
      <c r="F1097">
        <v>127.52</v>
      </c>
      <c r="G1097">
        <v>76.52</v>
      </c>
      <c r="H1097">
        <v>189</v>
      </c>
      <c r="I1097" t="s">
        <v>14</v>
      </c>
      <c r="J1097">
        <v>2026</v>
      </c>
      <c r="K1097">
        <f t="shared" si="34"/>
        <v>51</v>
      </c>
      <c r="L1097" t="str">
        <f t="shared" si="35"/>
        <v>Banca Padana|29|Assicurazioni</v>
      </c>
    </row>
    <row r="1098" spans="1:12" x14ac:dyDescent="0.25">
      <c r="A1098" t="s">
        <v>26</v>
      </c>
      <c r="B1098">
        <v>30</v>
      </c>
      <c r="C1098" t="s">
        <v>13</v>
      </c>
      <c r="D1098" s="1">
        <v>46203</v>
      </c>
      <c r="E1098">
        <v>612</v>
      </c>
      <c r="F1098">
        <v>27.97</v>
      </c>
      <c r="G1098">
        <v>17.28</v>
      </c>
      <c r="H1098">
        <v>71</v>
      </c>
      <c r="I1098" t="s">
        <v>14</v>
      </c>
      <c r="J1098">
        <v>2026</v>
      </c>
      <c r="K1098">
        <f t="shared" si="34"/>
        <v>10.689999999999998</v>
      </c>
      <c r="L1098" t="str">
        <f t="shared" si="35"/>
        <v>Banca Padana|30|Mutui</v>
      </c>
    </row>
    <row r="1099" spans="1:12" x14ac:dyDescent="0.25">
      <c r="A1099" t="s">
        <v>26</v>
      </c>
      <c r="B1099">
        <v>30</v>
      </c>
      <c r="C1099" t="s">
        <v>15</v>
      </c>
      <c r="D1099" s="1">
        <v>46203</v>
      </c>
      <c r="E1099">
        <v>808.8</v>
      </c>
      <c r="F1099">
        <v>39.01</v>
      </c>
      <c r="G1099">
        <v>23.57</v>
      </c>
      <c r="H1099">
        <v>87</v>
      </c>
      <c r="I1099" t="s">
        <v>14</v>
      </c>
      <c r="J1099">
        <v>2026</v>
      </c>
      <c r="K1099">
        <f t="shared" si="34"/>
        <v>15.439999999999998</v>
      </c>
      <c r="L1099" t="str">
        <f t="shared" si="35"/>
        <v>Banca Padana|30|Prestiti</v>
      </c>
    </row>
    <row r="1100" spans="1:12" x14ac:dyDescent="0.25">
      <c r="A1100" t="s">
        <v>26</v>
      </c>
      <c r="B1100">
        <v>30</v>
      </c>
      <c r="C1100" t="s">
        <v>16</v>
      </c>
      <c r="D1100" s="1">
        <v>46203</v>
      </c>
      <c r="E1100">
        <v>1073.7</v>
      </c>
      <c r="F1100">
        <v>52.74</v>
      </c>
      <c r="G1100">
        <v>32.619999999999997</v>
      </c>
      <c r="H1100">
        <v>85</v>
      </c>
      <c r="I1100" t="s">
        <v>14</v>
      </c>
      <c r="J1100">
        <v>2026</v>
      </c>
      <c r="K1100">
        <f t="shared" si="34"/>
        <v>20.120000000000005</v>
      </c>
      <c r="L1100" t="str">
        <f t="shared" si="35"/>
        <v>Banca Padana|30|Conti</v>
      </c>
    </row>
    <row r="1101" spans="1:12" x14ac:dyDescent="0.25">
      <c r="A1101" t="s">
        <v>26</v>
      </c>
      <c r="B1101">
        <v>30</v>
      </c>
      <c r="C1101" t="s">
        <v>17</v>
      </c>
      <c r="D1101" s="1">
        <v>46203</v>
      </c>
      <c r="E1101">
        <v>1292.5</v>
      </c>
      <c r="F1101">
        <v>65.98</v>
      </c>
      <c r="G1101">
        <v>40.270000000000003</v>
      </c>
      <c r="H1101">
        <v>103</v>
      </c>
      <c r="I1101" t="s">
        <v>14</v>
      </c>
      <c r="J1101">
        <v>2026</v>
      </c>
      <c r="K1101">
        <f t="shared" si="34"/>
        <v>25.71</v>
      </c>
      <c r="L1101" t="str">
        <f t="shared" si="35"/>
        <v>Banca Padana|30|Carte</v>
      </c>
    </row>
    <row r="1102" spans="1:12" x14ac:dyDescent="0.25">
      <c r="A1102" t="s">
        <v>26</v>
      </c>
      <c r="B1102">
        <v>30</v>
      </c>
      <c r="C1102" t="s">
        <v>18</v>
      </c>
      <c r="D1102" s="1">
        <v>46203</v>
      </c>
      <c r="E1102">
        <v>1507.9</v>
      </c>
      <c r="F1102">
        <v>80.680000000000007</v>
      </c>
      <c r="G1102">
        <v>48.79</v>
      </c>
      <c r="H1102">
        <v>122</v>
      </c>
      <c r="I1102" t="s">
        <v>14</v>
      </c>
      <c r="J1102">
        <v>2026</v>
      </c>
      <c r="K1102">
        <f t="shared" si="34"/>
        <v>31.890000000000008</v>
      </c>
      <c r="L1102" t="str">
        <f t="shared" si="35"/>
        <v>Banca Padana|30|Leasing</v>
      </c>
    </row>
    <row r="1103" spans="1:12" x14ac:dyDescent="0.25">
      <c r="A1103" t="s">
        <v>26</v>
      </c>
      <c r="B1103">
        <v>30</v>
      </c>
      <c r="C1103" t="s">
        <v>19</v>
      </c>
      <c r="D1103" s="1">
        <v>46203</v>
      </c>
      <c r="E1103">
        <v>1699.3</v>
      </c>
      <c r="F1103">
        <v>93.86</v>
      </c>
      <c r="G1103">
        <v>56.13</v>
      </c>
      <c r="H1103">
        <v>166</v>
      </c>
      <c r="I1103" t="s">
        <v>14</v>
      </c>
      <c r="J1103">
        <v>2026</v>
      </c>
      <c r="K1103">
        <f t="shared" si="34"/>
        <v>37.729999999999997</v>
      </c>
      <c r="L1103" t="str">
        <f t="shared" si="35"/>
        <v>Banca Padana|30|Factoring</v>
      </c>
    </row>
    <row r="1104" spans="1:12" x14ac:dyDescent="0.25">
      <c r="A1104" t="s">
        <v>26</v>
      </c>
      <c r="B1104">
        <v>30</v>
      </c>
      <c r="C1104" t="s">
        <v>20</v>
      </c>
      <c r="D1104" s="1">
        <v>46203</v>
      </c>
      <c r="E1104">
        <v>1955.4</v>
      </c>
      <c r="F1104">
        <v>111.89</v>
      </c>
      <c r="G1104">
        <v>66.53</v>
      </c>
      <c r="H1104">
        <v>171</v>
      </c>
      <c r="I1104" t="s">
        <v>14</v>
      </c>
      <c r="J1104">
        <v>2026</v>
      </c>
      <c r="K1104">
        <f t="shared" si="34"/>
        <v>45.36</v>
      </c>
      <c r="L1104" t="str">
        <f t="shared" si="35"/>
        <v>Banca Padana|30|Risparmio</v>
      </c>
    </row>
    <row r="1105" spans="1:12" x14ac:dyDescent="0.25">
      <c r="A1105" t="s">
        <v>26</v>
      </c>
      <c r="B1105">
        <v>30</v>
      </c>
      <c r="C1105" t="s">
        <v>21</v>
      </c>
      <c r="D1105" s="1">
        <v>46203</v>
      </c>
      <c r="E1105">
        <v>2177.8000000000002</v>
      </c>
      <c r="F1105">
        <v>129.06</v>
      </c>
      <c r="G1105">
        <v>76.97</v>
      </c>
      <c r="H1105">
        <v>201</v>
      </c>
      <c r="I1105" t="s">
        <v>14</v>
      </c>
      <c r="J1105">
        <v>2026</v>
      </c>
      <c r="K1105">
        <f t="shared" si="34"/>
        <v>52.09</v>
      </c>
      <c r="L1105" t="str">
        <f t="shared" si="35"/>
        <v>Banca Padana|30|Assicurazioni</v>
      </c>
    </row>
    <row r="1106" spans="1:12" x14ac:dyDescent="0.25">
      <c r="A1106" t="s">
        <v>26</v>
      </c>
      <c r="B1106">
        <v>31</v>
      </c>
      <c r="C1106" t="s">
        <v>13</v>
      </c>
      <c r="D1106" s="1">
        <v>46234</v>
      </c>
      <c r="E1106">
        <v>604.4</v>
      </c>
      <c r="F1106">
        <v>27.77</v>
      </c>
      <c r="G1106">
        <v>17.690000000000001</v>
      </c>
      <c r="H1106">
        <v>70</v>
      </c>
      <c r="I1106" t="s">
        <v>14</v>
      </c>
      <c r="J1106">
        <v>2026</v>
      </c>
      <c r="K1106">
        <f t="shared" si="34"/>
        <v>10.079999999999998</v>
      </c>
      <c r="L1106" t="str">
        <f t="shared" si="35"/>
        <v>Banca Padana|31|Mutui</v>
      </c>
    </row>
    <row r="1107" spans="1:12" x14ac:dyDescent="0.25">
      <c r="A1107" t="s">
        <v>26</v>
      </c>
      <c r="B1107">
        <v>31</v>
      </c>
      <c r="C1107" t="s">
        <v>15</v>
      </c>
      <c r="D1107" s="1">
        <v>46234</v>
      </c>
      <c r="E1107">
        <v>857.5</v>
      </c>
      <c r="F1107">
        <v>41.12</v>
      </c>
      <c r="G1107">
        <v>25.12</v>
      </c>
      <c r="H1107">
        <v>77</v>
      </c>
      <c r="I1107" t="s">
        <v>14</v>
      </c>
      <c r="J1107">
        <v>2026</v>
      </c>
      <c r="K1107">
        <f t="shared" si="34"/>
        <v>15.999999999999996</v>
      </c>
      <c r="L1107" t="str">
        <f t="shared" si="35"/>
        <v>Banca Padana|31|Prestiti</v>
      </c>
    </row>
    <row r="1108" spans="1:12" x14ac:dyDescent="0.25">
      <c r="A1108" t="s">
        <v>26</v>
      </c>
      <c r="B1108">
        <v>31</v>
      </c>
      <c r="C1108" t="s">
        <v>16</v>
      </c>
      <c r="D1108" s="1">
        <v>46234</v>
      </c>
      <c r="E1108">
        <v>1045</v>
      </c>
      <c r="F1108">
        <v>52.12</v>
      </c>
      <c r="G1108">
        <v>32.28</v>
      </c>
      <c r="H1108">
        <v>114</v>
      </c>
      <c r="I1108" t="s">
        <v>14</v>
      </c>
      <c r="J1108">
        <v>2026</v>
      </c>
      <c r="K1108">
        <f t="shared" si="34"/>
        <v>19.839999999999996</v>
      </c>
      <c r="L1108" t="str">
        <f t="shared" si="35"/>
        <v>Banca Padana|31|Conti</v>
      </c>
    </row>
    <row r="1109" spans="1:12" x14ac:dyDescent="0.25">
      <c r="A1109" t="s">
        <v>26</v>
      </c>
      <c r="B1109">
        <v>31</v>
      </c>
      <c r="C1109" t="s">
        <v>17</v>
      </c>
      <c r="D1109" s="1">
        <v>46234</v>
      </c>
      <c r="E1109">
        <v>1283.2</v>
      </c>
      <c r="F1109">
        <v>66.33</v>
      </c>
      <c r="G1109">
        <v>39.89</v>
      </c>
      <c r="H1109">
        <v>124</v>
      </c>
      <c r="I1109" t="s">
        <v>14</v>
      </c>
      <c r="J1109">
        <v>2026</v>
      </c>
      <c r="K1109">
        <f t="shared" si="34"/>
        <v>26.439999999999998</v>
      </c>
      <c r="L1109" t="str">
        <f t="shared" si="35"/>
        <v>Banca Padana|31|Carte</v>
      </c>
    </row>
    <row r="1110" spans="1:12" x14ac:dyDescent="0.25">
      <c r="A1110" t="s">
        <v>26</v>
      </c>
      <c r="B1110">
        <v>31</v>
      </c>
      <c r="C1110" t="s">
        <v>18</v>
      </c>
      <c r="D1110" s="1">
        <v>46234</v>
      </c>
      <c r="E1110">
        <v>1528.8</v>
      </c>
      <c r="F1110">
        <v>81.97</v>
      </c>
      <c r="G1110">
        <v>49.35</v>
      </c>
      <c r="H1110">
        <v>158</v>
      </c>
      <c r="I1110" t="s">
        <v>14</v>
      </c>
      <c r="J1110">
        <v>2026</v>
      </c>
      <c r="K1110">
        <f t="shared" si="34"/>
        <v>32.619999999999997</v>
      </c>
      <c r="L1110" t="str">
        <f t="shared" si="35"/>
        <v>Banca Padana|31|Leasing</v>
      </c>
    </row>
    <row r="1111" spans="1:12" x14ac:dyDescent="0.25">
      <c r="A1111" t="s">
        <v>26</v>
      </c>
      <c r="B1111">
        <v>31</v>
      </c>
      <c r="C1111" t="s">
        <v>19</v>
      </c>
      <c r="D1111" s="1">
        <v>46234</v>
      </c>
      <c r="E1111">
        <v>1745.1</v>
      </c>
      <c r="F1111">
        <v>96.06</v>
      </c>
      <c r="G1111">
        <v>57.63</v>
      </c>
      <c r="H1111">
        <v>158</v>
      </c>
      <c r="I1111" t="s">
        <v>14</v>
      </c>
      <c r="J1111">
        <v>2026</v>
      </c>
      <c r="K1111">
        <f t="shared" si="34"/>
        <v>38.43</v>
      </c>
      <c r="L1111" t="str">
        <f t="shared" si="35"/>
        <v>Banca Padana|31|Factoring</v>
      </c>
    </row>
    <row r="1112" spans="1:12" x14ac:dyDescent="0.25">
      <c r="A1112" t="s">
        <v>26</v>
      </c>
      <c r="B1112">
        <v>31</v>
      </c>
      <c r="C1112" t="s">
        <v>20</v>
      </c>
      <c r="D1112" s="1">
        <v>46234</v>
      </c>
      <c r="E1112">
        <v>1954.3</v>
      </c>
      <c r="F1112">
        <v>111.71</v>
      </c>
      <c r="G1112">
        <v>67.02</v>
      </c>
      <c r="H1112">
        <v>177</v>
      </c>
      <c r="I1112" t="s">
        <v>14</v>
      </c>
      <c r="J1112">
        <v>2026</v>
      </c>
      <c r="K1112">
        <f t="shared" si="34"/>
        <v>44.69</v>
      </c>
      <c r="L1112" t="str">
        <f t="shared" si="35"/>
        <v>Banca Padana|31|Risparmio</v>
      </c>
    </row>
    <row r="1113" spans="1:12" x14ac:dyDescent="0.25">
      <c r="A1113" t="s">
        <v>26</v>
      </c>
      <c r="B1113">
        <v>31</v>
      </c>
      <c r="C1113" t="s">
        <v>21</v>
      </c>
      <c r="D1113" s="1">
        <v>46234</v>
      </c>
      <c r="E1113">
        <v>2206.1</v>
      </c>
      <c r="F1113">
        <v>131.15</v>
      </c>
      <c r="G1113">
        <v>78.180000000000007</v>
      </c>
      <c r="H1113">
        <v>180</v>
      </c>
      <c r="I1113" t="s">
        <v>14</v>
      </c>
      <c r="J1113">
        <v>2026</v>
      </c>
      <c r="K1113">
        <f t="shared" si="34"/>
        <v>52.97</v>
      </c>
      <c r="L1113" t="str">
        <f t="shared" si="35"/>
        <v>Banca Padana|31|Assicurazioni</v>
      </c>
    </row>
    <row r="1114" spans="1:12" x14ac:dyDescent="0.25">
      <c r="A1114" t="s">
        <v>26</v>
      </c>
      <c r="B1114">
        <v>32</v>
      </c>
      <c r="C1114" t="s">
        <v>13</v>
      </c>
      <c r="D1114" s="1">
        <v>46265</v>
      </c>
      <c r="E1114">
        <v>624</v>
      </c>
      <c r="F1114">
        <v>28.23</v>
      </c>
      <c r="G1114">
        <v>18.27</v>
      </c>
      <c r="H1114">
        <v>63</v>
      </c>
      <c r="I1114" t="s">
        <v>14</v>
      </c>
      <c r="J1114">
        <v>2026</v>
      </c>
      <c r="K1114">
        <f t="shared" si="34"/>
        <v>9.9600000000000009</v>
      </c>
      <c r="L1114" t="str">
        <f t="shared" si="35"/>
        <v>Banca Padana|32|Mutui</v>
      </c>
    </row>
    <row r="1115" spans="1:12" x14ac:dyDescent="0.25">
      <c r="A1115" t="s">
        <v>26</v>
      </c>
      <c r="B1115">
        <v>32</v>
      </c>
      <c r="C1115" t="s">
        <v>15</v>
      </c>
      <c r="D1115" s="1">
        <v>46265</v>
      </c>
      <c r="E1115">
        <v>834.9</v>
      </c>
      <c r="F1115">
        <v>39.74</v>
      </c>
      <c r="G1115">
        <v>24.53</v>
      </c>
      <c r="H1115">
        <v>102</v>
      </c>
      <c r="I1115" t="s">
        <v>14</v>
      </c>
      <c r="J1115">
        <v>2026</v>
      </c>
      <c r="K1115">
        <f t="shared" si="34"/>
        <v>15.21</v>
      </c>
      <c r="L1115" t="str">
        <f t="shared" si="35"/>
        <v>Banca Padana|32|Prestiti</v>
      </c>
    </row>
    <row r="1116" spans="1:12" x14ac:dyDescent="0.25">
      <c r="A1116" t="s">
        <v>26</v>
      </c>
      <c r="B1116">
        <v>32</v>
      </c>
      <c r="C1116" t="s">
        <v>16</v>
      </c>
      <c r="D1116" s="1">
        <v>46265</v>
      </c>
      <c r="E1116">
        <v>1092.3</v>
      </c>
      <c r="F1116">
        <v>53.98</v>
      </c>
      <c r="G1116">
        <v>32.979999999999997</v>
      </c>
      <c r="H1116">
        <v>118</v>
      </c>
      <c r="I1116" t="s">
        <v>14</v>
      </c>
      <c r="J1116">
        <v>2026</v>
      </c>
      <c r="K1116">
        <f t="shared" si="34"/>
        <v>21</v>
      </c>
      <c r="L1116" t="str">
        <f t="shared" si="35"/>
        <v>Banca Padana|32|Conti</v>
      </c>
    </row>
    <row r="1117" spans="1:12" x14ac:dyDescent="0.25">
      <c r="A1117" t="s">
        <v>26</v>
      </c>
      <c r="B1117">
        <v>32</v>
      </c>
      <c r="C1117" t="s">
        <v>17</v>
      </c>
      <c r="D1117" s="1">
        <v>46265</v>
      </c>
      <c r="E1117">
        <v>1264.8</v>
      </c>
      <c r="F1117">
        <v>64.650000000000006</v>
      </c>
      <c r="G1117">
        <v>40.03</v>
      </c>
      <c r="H1117">
        <v>140</v>
      </c>
      <c r="I1117" t="s">
        <v>14</v>
      </c>
      <c r="J1117">
        <v>2026</v>
      </c>
      <c r="K1117">
        <f t="shared" si="34"/>
        <v>24.620000000000005</v>
      </c>
      <c r="L1117" t="str">
        <f t="shared" si="35"/>
        <v>Banca Padana|32|Carte</v>
      </c>
    </row>
    <row r="1118" spans="1:12" x14ac:dyDescent="0.25">
      <c r="A1118" t="s">
        <v>26</v>
      </c>
      <c r="B1118">
        <v>32</v>
      </c>
      <c r="C1118" t="s">
        <v>18</v>
      </c>
      <c r="D1118" s="1">
        <v>46265</v>
      </c>
      <c r="E1118">
        <v>1541.2</v>
      </c>
      <c r="F1118">
        <v>82.47</v>
      </c>
      <c r="G1118">
        <v>50.07</v>
      </c>
      <c r="H1118">
        <v>158</v>
      </c>
      <c r="I1118" t="s">
        <v>14</v>
      </c>
      <c r="J1118">
        <v>2026</v>
      </c>
      <c r="K1118">
        <f t="shared" si="34"/>
        <v>32.4</v>
      </c>
      <c r="L1118" t="str">
        <f t="shared" si="35"/>
        <v>Banca Padana|32|Leasing</v>
      </c>
    </row>
    <row r="1119" spans="1:12" x14ac:dyDescent="0.25">
      <c r="A1119" t="s">
        <v>26</v>
      </c>
      <c r="B1119">
        <v>32</v>
      </c>
      <c r="C1119" t="s">
        <v>19</v>
      </c>
      <c r="D1119" s="1">
        <v>46265</v>
      </c>
      <c r="E1119">
        <v>1760.9</v>
      </c>
      <c r="F1119">
        <v>97.19</v>
      </c>
      <c r="G1119">
        <v>58.53</v>
      </c>
      <c r="H1119">
        <v>178</v>
      </c>
      <c r="I1119" t="s">
        <v>14</v>
      </c>
      <c r="J1119">
        <v>2026</v>
      </c>
      <c r="K1119">
        <f t="shared" si="34"/>
        <v>38.659999999999997</v>
      </c>
      <c r="L1119" t="str">
        <f t="shared" si="35"/>
        <v>Banca Padana|32|Factoring</v>
      </c>
    </row>
    <row r="1120" spans="1:12" x14ac:dyDescent="0.25">
      <c r="A1120" t="s">
        <v>26</v>
      </c>
      <c r="B1120">
        <v>32</v>
      </c>
      <c r="C1120" t="s">
        <v>20</v>
      </c>
      <c r="D1120" s="1">
        <v>46265</v>
      </c>
      <c r="E1120">
        <v>1997.9</v>
      </c>
      <c r="F1120">
        <v>114.8</v>
      </c>
      <c r="G1120">
        <v>67.930000000000007</v>
      </c>
      <c r="H1120">
        <v>188</v>
      </c>
      <c r="I1120" t="s">
        <v>14</v>
      </c>
      <c r="J1120">
        <v>2026</v>
      </c>
      <c r="K1120">
        <f t="shared" si="34"/>
        <v>46.86999999999999</v>
      </c>
      <c r="L1120" t="str">
        <f t="shared" si="35"/>
        <v>Banca Padana|32|Risparmio</v>
      </c>
    </row>
    <row r="1121" spans="1:12" x14ac:dyDescent="0.25">
      <c r="A1121" t="s">
        <v>26</v>
      </c>
      <c r="B1121">
        <v>32</v>
      </c>
      <c r="C1121" t="s">
        <v>21</v>
      </c>
      <c r="D1121" s="1">
        <v>46265</v>
      </c>
      <c r="E1121">
        <v>2186.8000000000002</v>
      </c>
      <c r="F1121">
        <v>129.16</v>
      </c>
      <c r="G1121">
        <v>76.569999999999993</v>
      </c>
      <c r="H1121">
        <v>194</v>
      </c>
      <c r="I1121" t="s">
        <v>14</v>
      </c>
      <c r="J1121">
        <v>2026</v>
      </c>
      <c r="K1121">
        <f t="shared" si="34"/>
        <v>52.59</v>
      </c>
      <c r="L1121" t="str">
        <f t="shared" si="35"/>
        <v>Banca Padana|32|Assicurazioni</v>
      </c>
    </row>
    <row r="1122" spans="1:12" x14ac:dyDescent="0.25">
      <c r="A1122" t="s">
        <v>26</v>
      </c>
      <c r="B1122">
        <v>33</v>
      </c>
      <c r="C1122" t="s">
        <v>13</v>
      </c>
      <c r="D1122" s="1">
        <v>46295</v>
      </c>
      <c r="E1122">
        <v>599.9</v>
      </c>
      <c r="F1122">
        <v>27.76</v>
      </c>
      <c r="G1122">
        <v>16.940000000000001</v>
      </c>
      <c r="H1122">
        <v>69</v>
      </c>
      <c r="I1122" t="s">
        <v>14</v>
      </c>
      <c r="J1122">
        <v>2026</v>
      </c>
      <c r="K1122">
        <f t="shared" si="34"/>
        <v>10.82</v>
      </c>
      <c r="L1122" t="str">
        <f t="shared" si="35"/>
        <v>Banca Padana|33|Mutui</v>
      </c>
    </row>
    <row r="1123" spans="1:12" x14ac:dyDescent="0.25">
      <c r="A1123" t="s">
        <v>26</v>
      </c>
      <c r="B1123">
        <v>33</v>
      </c>
      <c r="C1123" t="s">
        <v>15</v>
      </c>
      <c r="D1123" s="1">
        <v>46295</v>
      </c>
      <c r="E1123">
        <v>857</v>
      </c>
      <c r="F1123">
        <v>40.380000000000003</v>
      </c>
      <c r="G1123">
        <v>25.59</v>
      </c>
      <c r="H1123">
        <v>86</v>
      </c>
      <c r="I1123" t="s">
        <v>14</v>
      </c>
      <c r="J1123">
        <v>2026</v>
      </c>
      <c r="K1123">
        <f t="shared" si="34"/>
        <v>14.790000000000003</v>
      </c>
      <c r="L1123" t="str">
        <f t="shared" si="35"/>
        <v>Banca Padana|33|Prestiti</v>
      </c>
    </row>
    <row r="1124" spans="1:12" x14ac:dyDescent="0.25">
      <c r="A1124" t="s">
        <v>26</v>
      </c>
      <c r="B1124">
        <v>33</v>
      </c>
      <c r="C1124" t="s">
        <v>16</v>
      </c>
      <c r="D1124" s="1">
        <v>46295</v>
      </c>
      <c r="E1124">
        <v>1089</v>
      </c>
      <c r="F1124">
        <v>53.54</v>
      </c>
      <c r="G1124">
        <v>32.700000000000003</v>
      </c>
      <c r="H1124">
        <v>95</v>
      </c>
      <c r="I1124" t="s">
        <v>14</v>
      </c>
      <c r="J1124">
        <v>2026</v>
      </c>
      <c r="K1124">
        <f t="shared" si="34"/>
        <v>20.839999999999996</v>
      </c>
      <c r="L1124" t="str">
        <f t="shared" si="35"/>
        <v>Banca Padana|33|Conti</v>
      </c>
    </row>
    <row r="1125" spans="1:12" x14ac:dyDescent="0.25">
      <c r="A1125" t="s">
        <v>26</v>
      </c>
      <c r="B1125">
        <v>33</v>
      </c>
      <c r="C1125" t="s">
        <v>17</v>
      </c>
      <c r="D1125" s="1">
        <v>46295</v>
      </c>
      <c r="E1125">
        <v>1304.9000000000001</v>
      </c>
      <c r="F1125">
        <v>66.94</v>
      </c>
      <c r="G1125">
        <v>41.32</v>
      </c>
      <c r="H1125">
        <v>130</v>
      </c>
      <c r="I1125" t="s">
        <v>14</v>
      </c>
      <c r="J1125">
        <v>2026</v>
      </c>
      <c r="K1125">
        <f t="shared" si="34"/>
        <v>25.619999999999997</v>
      </c>
      <c r="L1125" t="str">
        <f t="shared" si="35"/>
        <v>Banca Padana|33|Carte</v>
      </c>
    </row>
    <row r="1126" spans="1:12" x14ac:dyDescent="0.25">
      <c r="A1126" t="s">
        <v>26</v>
      </c>
      <c r="B1126">
        <v>33</v>
      </c>
      <c r="C1126" t="s">
        <v>18</v>
      </c>
      <c r="D1126" s="1">
        <v>46295</v>
      </c>
      <c r="E1126">
        <v>1544.7</v>
      </c>
      <c r="F1126">
        <v>81.94</v>
      </c>
      <c r="G1126">
        <v>49.75</v>
      </c>
      <c r="H1126">
        <v>122</v>
      </c>
      <c r="I1126" t="s">
        <v>14</v>
      </c>
      <c r="J1126">
        <v>2026</v>
      </c>
      <c r="K1126">
        <f t="shared" si="34"/>
        <v>32.19</v>
      </c>
      <c r="L1126" t="str">
        <f t="shared" si="35"/>
        <v>Banca Padana|33|Leasing</v>
      </c>
    </row>
    <row r="1127" spans="1:12" x14ac:dyDescent="0.25">
      <c r="A1127" t="s">
        <v>26</v>
      </c>
      <c r="B1127">
        <v>33</v>
      </c>
      <c r="C1127" t="s">
        <v>19</v>
      </c>
      <c r="D1127" s="1">
        <v>46295</v>
      </c>
      <c r="E1127">
        <v>1755</v>
      </c>
      <c r="F1127">
        <v>96.97</v>
      </c>
      <c r="G1127">
        <v>58.35</v>
      </c>
      <c r="H1127">
        <v>164</v>
      </c>
      <c r="I1127" t="s">
        <v>14</v>
      </c>
      <c r="J1127">
        <v>2026</v>
      </c>
      <c r="K1127">
        <f t="shared" si="34"/>
        <v>38.619999999999997</v>
      </c>
      <c r="L1127" t="str">
        <f t="shared" si="35"/>
        <v>Banca Padana|33|Factoring</v>
      </c>
    </row>
    <row r="1128" spans="1:12" x14ac:dyDescent="0.25">
      <c r="A1128" t="s">
        <v>26</v>
      </c>
      <c r="B1128">
        <v>33</v>
      </c>
      <c r="C1128" t="s">
        <v>20</v>
      </c>
      <c r="D1128" s="1">
        <v>46295</v>
      </c>
      <c r="E1128">
        <v>2002.7</v>
      </c>
      <c r="F1128">
        <v>114.26</v>
      </c>
      <c r="G1128">
        <v>68.45</v>
      </c>
      <c r="H1128">
        <v>182</v>
      </c>
      <c r="I1128" t="s">
        <v>14</v>
      </c>
      <c r="J1128">
        <v>2026</v>
      </c>
      <c r="K1128">
        <f t="shared" si="34"/>
        <v>45.81</v>
      </c>
      <c r="L1128" t="str">
        <f t="shared" si="35"/>
        <v>Banca Padana|33|Risparmio</v>
      </c>
    </row>
    <row r="1129" spans="1:12" x14ac:dyDescent="0.25">
      <c r="A1129" t="s">
        <v>26</v>
      </c>
      <c r="B1129">
        <v>33</v>
      </c>
      <c r="C1129" t="s">
        <v>21</v>
      </c>
      <c r="D1129" s="1">
        <v>46295</v>
      </c>
      <c r="E1129">
        <v>2204</v>
      </c>
      <c r="F1129">
        <v>130.66999999999999</v>
      </c>
      <c r="G1129">
        <v>77.36</v>
      </c>
      <c r="H1129">
        <v>182</v>
      </c>
      <c r="I1129" t="s">
        <v>14</v>
      </c>
      <c r="J1129">
        <v>2026</v>
      </c>
      <c r="K1129">
        <f t="shared" si="34"/>
        <v>53.309999999999988</v>
      </c>
      <c r="L1129" t="str">
        <f t="shared" si="35"/>
        <v>Banca Padana|33|Assicurazioni</v>
      </c>
    </row>
    <row r="1130" spans="1:12" x14ac:dyDescent="0.25">
      <c r="A1130" t="s">
        <v>26</v>
      </c>
      <c r="B1130">
        <v>34</v>
      </c>
      <c r="C1130" t="s">
        <v>13</v>
      </c>
      <c r="D1130" s="1">
        <v>46326</v>
      </c>
      <c r="E1130">
        <v>620.79999999999995</v>
      </c>
      <c r="F1130">
        <v>28.54</v>
      </c>
      <c r="G1130">
        <v>18.32</v>
      </c>
      <c r="H1130">
        <v>56</v>
      </c>
      <c r="I1130" t="s">
        <v>14</v>
      </c>
      <c r="J1130">
        <v>2026</v>
      </c>
      <c r="K1130">
        <f t="shared" si="34"/>
        <v>10.219999999999999</v>
      </c>
      <c r="L1130" t="str">
        <f t="shared" si="35"/>
        <v>Banca Padana|34|Mutui</v>
      </c>
    </row>
    <row r="1131" spans="1:12" x14ac:dyDescent="0.25">
      <c r="A1131" t="s">
        <v>26</v>
      </c>
      <c r="B1131">
        <v>34</v>
      </c>
      <c r="C1131" t="s">
        <v>15</v>
      </c>
      <c r="D1131" s="1">
        <v>46326</v>
      </c>
      <c r="E1131">
        <v>837.6</v>
      </c>
      <c r="F1131">
        <v>40.25</v>
      </c>
      <c r="G1131">
        <v>25.03</v>
      </c>
      <c r="H1131">
        <v>75</v>
      </c>
      <c r="I1131" t="s">
        <v>14</v>
      </c>
      <c r="J1131">
        <v>2026</v>
      </c>
      <c r="K1131">
        <f t="shared" si="34"/>
        <v>15.219999999999999</v>
      </c>
      <c r="L1131" t="str">
        <f t="shared" si="35"/>
        <v>Banca Padana|34|Prestiti</v>
      </c>
    </row>
    <row r="1132" spans="1:12" x14ac:dyDescent="0.25">
      <c r="A1132" t="s">
        <v>26</v>
      </c>
      <c r="B1132">
        <v>34</v>
      </c>
      <c r="C1132" t="s">
        <v>16</v>
      </c>
      <c r="D1132" s="1">
        <v>46326</v>
      </c>
      <c r="E1132">
        <v>1071.2</v>
      </c>
      <c r="F1132">
        <v>52.76</v>
      </c>
      <c r="G1132">
        <v>32.47</v>
      </c>
      <c r="H1132">
        <v>114</v>
      </c>
      <c r="I1132" t="s">
        <v>14</v>
      </c>
      <c r="J1132">
        <v>2026</v>
      </c>
      <c r="K1132">
        <f t="shared" si="34"/>
        <v>20.29</v>
      </c>
      <c r="L1132" t="str">
        <f t="shared" si="35"/>
        <v>Banca Padana|34|Conti</v>
      </c>
    </row>
    <row r="1133" spans="1:12" x14ac:dyDescent="0.25">
      <c r="A1133" t="s">
        <v>26</v>
      </c>
      <c r="B1133">
        <v>34</v>
      </c>
      <c r="C1133" t="s">
        <v>17</v>
      </c>
      <c r="D1133" s="1">
        <v>46326</v>
      </c>
      <c r="E1133">
        <v>1297.9000000000001</v>
      </c>
      <c r="F1133">
        <v>66.63</v>
      </c>
      <c r="G1133">
        <v>40.33</v>
      </c>
      <c r="H1133">
        <v>107</v>
      </c>
      <c r="I1133" t="s">
        <v>14</v>
      </c>
      <c r="J1133">
        <v>2026</v>
      </c>
      <c r="K1133">
        <f t="shared" si="34"/>
        <v>26.299999999999997</v>
      </c>
      <c r="L1133" t="str">
        <f t="shared" si="35"/>
        <v>Banca Padana|34|Carte</v>
      </c>
    </row>
    <row r="1134" spans="1:12" x14ac:dyDescent="0.25">
      <c r="A1134" t="s">
        <v>26</v>
      </c>
      <c r="B1134">
        <v>34</v>
      </c>
      <c r="C1134" t="s">
        <v>18</v>
      </c>
      <c r="D1134" s="1">
        <v>46326</v>
      </c>
      <c r="E1134">
        <v>1517.1</v>
      </c>
      <c r="F1134">
        <v>81.069999999999993</v>
      </c>
      <c r="G1134">
        <v>48.63</v>
      </c>
      <c r="H1134">
        <v>151</v>
      </c>
      <c r="I1134" t="s">
        <v>14</v>
      </c>
      <c r="J1134">
        <v>2026</v>
      </c>
      <c r="K1134">
        <f t="shared" si="34"/>
        <v>32.439999999999991</v>
      </c>
      <c r="L1134" t="str">
        <f t="shared" si="35"/>
        <v>Banca Padana|34|Leasing</v>
      </c>
    </row>
    <row r="1135" spans="1:12" x14ac:dyDescent="0.25">
      <c r="A1135" t="s">
        <v>26</v>
      </c>
      <c r="B1135">
        <v>34</v>
      </c>
      <c r="C1135" t="s">
        <v>19</v>
      </c>
      <c r="D1135" s="1">
        <v>46326</v>
      </c>
      <c r="E1135">
        <v>1800.8</v>
      </c>
      <c r="F1135">
        <v>99.86</v>
      </c>
      <c r="G1135">
        <v>59.82</v>
      </c>
      <c r="H1135">
        <v>140</v>
      </c>
      <c r="I1135" t="s">
        <v>14</v>
      </c>
      <c r="J1135">
        <v>2026</v>
      </c>
      <c r="K1135">
        <f t="shared" si="34"/>
        <v>40.04</v>
      </c>
      <c r="L1135" t="str">
        <f t="shared" si="35"/>
        <v>Banca Padana|34|Factoring</v>
      </c>
    </row>
    <row r="1136" spans="1:12" x14ac:dyDescent="0.25">
      <c r="A1136" t="s">
        <v>26</v>
      </c>
      <c r="B1136">
        <v>34</v>
      </c>
      <c r="C1136" t="s">
        <v>20</v>
      </c>
      <c r="D1136" s="1">
        <v>46326</v>
      </c>
      <c r="E1136">
        <v>1978.7</v>
      </c>
      <c r="F1136">
        <v>112.96</v>
      </c>
      <c r="G1136">
        <v>67.97</v>
      </c>
      <c r="H1136">
        <v>162</v>
      </c>
      <c r="I1136" t="s">
        <v>14</v>
      </c>
      <c r="J1136">
        <v>2026</v>
      </c>
      <c r="K1136">
        <f t="shared" si="34"/>
        <v>44.989999999999995</v>
      </c>
      <c r="L1136" t="str">
        <f t="shared" si="35"/>
        <v>Banca Padana|34|Risparmio</v>
      </c>
    </row>
    <row r="1137" spans="1:12" x14ac:dyDescent="0.25">
      <c r="A1137" t="s">
        <v>26</v>
      </c>
      <c r="B1137">
        <v>34</v>
      </c>
      <c r="C1137" t="s">
        <v>21</v>
      </c>
      <c r="D1137" s="1">
        <v>46326</v>
      </c>
      <c r="E1137">
        <v>2207</v>
      </c>
      <c r="F1137">
        <v>130.34</v>
      </c>
      <c r="G1137">
        <v>77.37</v>
      </c>
      <c r="H1137">
        <v>203</v>
      </c>
      <c r="I1137" t="s">
        <v>14</v>
      </c>
      <c r="J1137">
        <v>2026</v>
      </c>
      <c r="K1137">
        <f t="shared" si="34"/>
        <v>52.97</v>
      </c>
      <c r="L1137" t="str">
        <f t="shared" si="35"/>
        <v>Banca Padana|34|Assicurazioni</v>
      </c>
    </row>
    <row r="1138" spans="1:12" x14ac:dyDescent="0.25">
      <c r="A1138" t="s">
        <v>26</v>
      </c>
      <c r="B1138">
        <v>35</v>
      </c>
      <c r="C1138" t="s">
        <v>13</v>
      </c>
      <c r="D1138" s="1">
        <v>46356</v>
      </c>
      <c r="E1138">
        <v>592.79999999999995</v>
      </c>
      <c r="F1138">
        <v>27.39</v>
      </c>
      <c r="G1138">
        <v>16.809999999999999</v>
      </c>
      <c r="H1138">
        <v>58</v>
      </c>
      <c r="I1138" t="s">
        <v>14</v>
      </c>
      <c r="J1138">
        <v>2026</v>
      </c>
      <c r="K1138">
        <f t="shared" si="34"/>
        <v>10.580000000000002</v>
      </c>
      <c r="L1138" t="str">
        <f t="shared" si="35"/>
        <v>Banca Padana|35|Mutui</v>
      </c>
    </row>
    <row r="1139" spans="1:12" x14ac:dyDescent="0.25">
      <c r="A1139" t="s">
        <v>26</v>
      </c>
      <c r="B1139">
        <v>35</v>
      </c>
      <c r="C1139" t="s">
        <v>15</v>
      </c>
      <c r="D1139" s="1">
        <v>46356</v>
      </c>
      <c r="E1139">
        <v>869.1</v>
      </c>
      <c r="F1139">
        <v>41.62</v>
      </c>
      <c r="G1139">
        <v>25.82</v>
      </c>
      <c r="H1139">
        <v>80</v>
      </c>
      <c r="I1139" t="s">
        <v>14</v>
      </c>
      <c r="J1139">
        <v>2026</v>
      </c>
      <c r="K1139">
        <f t="shared" si="34"/>
        <v>15.799999999999997</v>
      </c>
      <c r="L1139" t="str">
        <f t="shared" si="35"/>
        <v>Banca Padana|35|Prestiti</v>
      </c>
    </row>
    <row r="1140" spans="1:12" x14ac:dyDescent="0.25">
      <c r="A1140" t="s">
        <v>26</v>
      </c>
      <c r="B1140">
        <v>35</v>
      </c>
      <c r="C1140" t="s">
        <v>16</v>
      </c>
      <c r="D1140" s="1">
        <v>46356</v>
      </c>
      <c r="E1140">
        <v>1097.0999999999999</v>
      </c>
      <c r="F1140">
        <v>54.29</v>
      </c>
      <c r="G1140">
        <v>33.01</v>
      </c>
      <c r="H1140">
        <v>87</v>
      </c>
      <c r="I1140" t="s">
        <v>14</v>
      </c>
      <c r="J1140">
        <v>2026</v>
      </c>
      <c r="K1140">
        <f t="shared" si="34"/>
        <v>21.28</v>
      </c>
      <c r="L1140" t="str">
        <f t="shared" si="35"/>
        <v>Banca Padana|35|Conti</v>
      </c>
    </row>
    <row r="1141" spans="1:12" x14ac:dyDescent="0.25">
      <c r="A1141" t="s">
        <v>26</v>
      </c>
      <c r="B1141">
        <v>35</v>
      </c>
      <c r="C1141" t="s">
        <v>17</v>
      </c>
      <c r="D1141" s="1">
        <v>46356</v>
      </c>
      <c r="E1141">
        <v>1341.6</v>
      </c>
      <c r="F1141">
        <v>68.94</v>
      </c>
      <c r="G1141">
        <v>41.76</v>
      </c>
      <c r="H1141">
        <v>111</v>
      </c>
      <c r="I1141" t="s">
        <v>14</v>
      </c>
      <c r="J1141">
        <v>2026</v>
      </c>
      <c r="K1141">
        <f t="shared" si="34"/>
        <v>27.18</v>
      </c>
      <c r="L1141" t="str">
        <f t="shared" si="35"/>
        <v>Banca Padana|35|Carte</v>
      </c>
    </row>
    <row r="1142" spans="1:12" x14ac:dyDescent="0.25">
      <c r="A1142" t="s">
        <v>26</v>
      </c>
      <c r="B1142">
        <v>35</v>
      </c>
      <c r="C1142" t="s">
        <v>18</v>
      </c>
      <c r="D1142" s="1">
        <v>46356</v>
      </c>
      <c r="E1142">
        <v>1577.6</v>
      </c>
      <c r="F1142">
        <v>84.11</v>
      </c>
      <c r="G1142">
        <v>51.2</v>
      </c>
      <c r="H1142">
        <v>125</v>
      </c>
      <c r="I1142" t="s">
        <v>14</v>
      </c>
      <c r="J1142">
        <v>2026</v>
      </c>
      <c r="K1142">
        <f t="shared" si="34"/>
        <v>32.909999999999997</v>
      </c>
      <c r="L1142" t="str">
        <f t="shared" si="35"/>
        <v>Banca Padana|35|Leasing</v>
      </c>
    </row>
    <row r="1143" spans="1:12" x14ac:dyDescent="0.25">
      <c r="A1143" t="s">
        <v>26</v>
      </c>
      <c r="B1143">
        <v>35</v>
      </c>
      <c r="C1143" t="s">
        <v>19</v>
      </c>
      <c r="D1143" s="1">
        <v>46356</v>
      </c>
      <c r="E1143">
        <v>1764.3</v>
      </c>
      <c r="F1143">
        <v>97.61</v>
      </c>
      <c r="G1143">
        <v>58.42</v>
      </c>
      <c r="H1143">
        <v>165</v>
      </c>
      <c r="I1143" t="s">
        <v>14</v>
      </c>
      <c r="J1143">
        <v>2026</v>
      </c>
      <c r="K1143">
        <f t="shared" si="34"/>
        <v>39.19</v>
      </c>
      <c r="L1143" t="str">
        <f t="shared" si="35"/>
        <v>Banca Padana|35|Factoring</v>
      </c>
    </row>
    <row r="1144" spans="1:12" x14ac:dyDescent="0.25">
      <c r="A1144" t="s">
        <v>26</v>
      </c>
      <c r="B1144">
        <v>35</v>
      </c>
      <c r="C1144" t="s">
        <v>20</v>
      </c>
      <c r="D1144" s="1">
        <v>46356</v>
      </c>
      <c r="E1144">
        <v>2040.5</v>
      </c>
      <c r="F1144">
        <v>116.62</v>
      </c>
      <c r="G1144">
        <v>69.78</v>
      </c>
      <c r="H1144">
        <v>160</v>
      </c>
      <c r="I1144" t="s">
        <v>14</v>
      </c>
      <c r="J1144">
        <v>2026</v>
      </c>
      <c r="K1144">
        <f t="shared" si="34"/>
        <v>46.84</v>
      </c>
      <c r="L1144" t="str">
        <f t="shared" si="35"/>
        <v>Banca Padana|35|Risparmio</v>
      </c>
    </row>
    <row r="1145" spans="1:12" x14ac:dyDescent="0.25">
      <c r="A1145" t="s">
        <v>26</v>
      </c>
      <c r="B1145">
        <v>35</v>
      </c>
      <c r="C1145" t="s">
        <v>21</v>
      </c>
      <c r="D1145" s="1">
        <v>46356</v>
      </c>
      <c r="E1145">
        <v>2238.6</v>
      </c>
      <c r="F1145">
        <v>132.53</v>
      </c>
      <c r="G1145">
        <v>79.16</v>
      </c>
      <c r="H1145">
        <v>215</v>
      </c>
      <c r="I1145" t="s">
        <v>14</v>
      </c>
      <c r="J1145">
        <v>2026</v>
      </c>
      <c r="K1145">
        <f t="shared" si="34"/>
        <v>53.370000000000005</v>
      </c>
      <c r="L1145" t="str">
        <f t="shared" si="35"/>
        <v>Banca Padana|35|Assicurazioni</v>
      </c>
    </row>
    <row r="1146" spans="1:12" x14ac:dyDescent="0.25">
      <c r="A1146" t="s">
        <v>26</v>
      </c>
      <c r="B1146">
        <v>36</v>
      </c>
      <c r="C1146" t="s">
        <v>13</v>
      </c>
      <c r="D1146" s="1">
        <v>46387</v>
      </c>
      <c r="E1146">
        <v>621.5</v>
      </c>
      <c r="F1146">
        <v>28.16</v>
      </c>
      <c r="G1146">
        <v>17.46</v>
      </c>
      <c r="H1146">
        <v>60</v>
      </c>
      <c r="I1146" t="s">
        <v>14</v>
      </c>
      <c r="J1146">
        <v>2026</v>
      </c>
      <c r="K1146">
        <f t="shared" si="34"/>
        <v>10.7</v>
      </c>
      <c r="L1146" t="str">
        <f t="shared" si="35"/>
        <v>Banca Padana|36|Mutui</v>
      </c>
    </row>
    <row r="1147" spans="1:12" x14ac:dyDescent="0.25">
      <c r="A1147" t="s">
        <v>26</v>
      </c>
      <c r="B1147">
        <v>36</v>
      </c>
      <c r="C1147" t="s">
        <v>15</v>
      </c>
      <c r="D1147" s="1">
        <v>46387</v>
      </c>
      <c r="E1147">
        <v>834.5</v>
      </c>
      <c r="F1147">
        <v>39.299999999999997</v>
      </c>
      <c r="G1147">
        <v>24.84</v>
      </c>
      <c r="H1147">
        <v>76</v>
      </c>
      <c r="I1147" t="s">
        <v>14</v>
      </c>
      <c r="J1147">
        <v>2026</v>
      </c>
      <c r="K1147">
        <f t="shared" si="34"/>
        <v>14.459999999999997</v>
      </c>
      <c r="L1147" t="str">
        <f t="shared" si="35"/>
        <v>Banca Padana|36|Prestiti</v>
      </c>
    </row>
    <row r="1148" spans="1:12" x14ac:dyDescent="0.25">
      <c r="A1148" t="s">
        <v>26</v>
      </c>
      <c r="B1148">
        <v>36</v>
      </c>
      <c r="C1148" t="s">
        <v>16</v>
      </c>
      <c r="D1148" s="1">
        <v>46387</v>
      </c>
      <c r="E1148">
        <v>1066.7</v>
      </c>
      <c r="F1148">
        <v>53.23</v>
      </c>
      <c r="G1148">
        <v>32.909999999999997</v>
      </c>
      <c r="H1148">
        <v>114</v>
      </c>
      <c r="I1148" t="s">
        <v>14</v>
      </c>
      <c r="J1148">
        <v>2026</v>
      </c>
      <c r="K1148">
        <f t="shared" si="34"/>
        <v>20.32</v>
      </c>
      <c r="L1148" t="str">
        <f t="shared" si="35"/>
        <v>Banca Padana|36|Conti</v>
      </c>
    </row>
    <row r="1149" spans="1:12" x14ac:dyDescent="0.25">
      <c r="A1149" t="s">
        <v>26</v>
      </c>
      <c r="B1149">
        <v>36</v>
      </c>
      <c r="C1149" t="s">
        <v>17</v>
      </c>
      <c r="D1149" s="1">
        <v>46387</v>
      </c>
      <c r="E1149">
        <v>1325.1</v>
      </c>
      <c r="F1149">
        <v>68.58</v>
      </c>
      <c r="G1149">
        <v>41.18</v>
      </c>
      <c r="H1149">
        <v>106</v>
      </c>
      <c r="I1149" t="s">
        <v>14</v>
      </c>
      <c r="J1149">
        <v>2026</v>
      </c>
      <c r="K1149">
        <f t="shared" si="34"/>
        <v>27.4</v>
      </c>
      <c r="L1149" t="str">
        <f t="shared" si="35"/>
        <v>Banca Padana|36|Carte</v>
      </c>
    </row>
    <row r="1150" spans="1:12" x14ac:dyDescent="0.25">
      <c r="A1150" t="s">
        <v>26</v>
      </c>
      <c r="B1150">
        <v>36</v>
      </c>
      <c r="C1150" t="s">
        <v>18</v>
      </c>
      <c r="D1150" s="1">
        <v>46387</v>
      </c>
      <c r="E1150">
        <v>1531.7</v>
      </c>
      <c r="F1150">
        <v>81.75</v>
      </c>
      <c r="G1150">
        <v>49.96</v>
      </c>
      <c r="H1150">
        <v>137</v>
      </c>
      <c r="I1150" t="s">
        <v>14</v>
      </c>
      <c r="J1150">
        <v>2026</v>
      </c>
      <c r="K1150">
        <f t="shared" si="34"/>
        <v>31.79</v>
      </c>
      <c r="L1150" t="str">
        <f t="shared" si="35"/>
        <v>Banca Padana|36|Leasing</v>
      </c>
    </row>
    <row r="1151" spans="1:12" x14ac:dyDescent="0.25">
      <c r="A1151" t="s">
        <v>26</v>
      </c>
      <c r="B1151">
        <v>36</v>
      </c>
      <c r="C1151" t="s">
        <v>19</v>
      </c>
      <c r="D1151" s="1">
        <v>46387</v>
      </c>
      <c r="E1151">
        <v>1783.4</v>
      </c>
      <c r="F1151">
        <v>98.22</v>
      </c>
      <c r="G1151">
        <v>58.87</v>
      </c>
      <c r="H1151">
        <v>167</v>
      </c>
      <c r="I1151" t="s">
        <v>14</v>
      </c>
      <c r="J1151">
        <v>2026</v>
      </c>
      <c r="K1151">
        <f t="shared" si="34"/>
        <v>39.35</v>
      </c>
      <c r="L1151" t="str">
        <f t="shared" si="35"/>
        <v>Banca Padana|36|Factoring</v>
      </c>
    </row>
    <row r="1152" spans="1:12" x14ac:dyDescent="0.25">
      <c r="A1152" t="s">
        <v>26</v>
      </c>
      <c r="B1152">
        <v>36</v>
      </c>
      <c r="C1152" t="s">
        <v>20</v>
      </c>
      <c r="D1152" s="1">
        <v>46387</v>
      </c>
      <c r="E1152">
        <v>2052.1999999999998</v>
      </c>
      <c r="F1152">
        <v>117.69</v>
      </c>
      <c r="G1152">
        <v>69.95</v>
      </c>
      <c r="H1152">
        <v>186</v>
      </c>
      <c r="I1152" t="s">
        <v>14</v>
      </c>
      <c r="J1152">
        <v>2026</v>
      </c>
      <c r="K1152">
        <f t="shared" si="34"/>
        <v>47.739999999999995</v>
      </c>
      <c r="L1152" t="str">
        <f t="shared" si="35"/>
        <v>Banca Padana|36|Risparmio</v>
      </c>
    </row>
    <row r="1153" spans="1:12" x14ac:dyDescent="0.25">
      <c r="A1153" t="s">
        <v>26</v>
      </c>
      <c r="B1153">
        <v>36</v>
      </c>
      <c r="C1153" t="s">
        <v>21</v>
      </c>
      <c r="D1153" s="1">
        <v>46387</v>
      </c>
      <c r="E1153">
        <v>2252</v>
      </c>
      <c r="F1153">
        <v>133.31</v>
      </c>
      <c r="G1153">
        <v>79.22</v>
      </c>
      <c r="H1153">
        <v>176</v>
      </c>
      <c r="I1153" t="s">
        <v>14</v>
      </c>
      <c r="J1153">
        <v>2026</v>
      </c>
      <c r="K1153">
        <f t="shared" si="34"/>
        <v>54.09</v>
      </c>
      <c r="L1153" t="str">
        <f t="shared" si="35"/>
        <v>Banca Padana|36|Assicurazioni</v>
      </c>
    </row>
    <row r="1154" spans="1:12" x14ac:dyDescent="0.25">
      <c r="A1154" t="s">
        <v>27</v>
      </c>
      <c r="B1154">
        <v>1</v>
      </c>
      <c r="C1154" t="s">
        <v>13</v>
      </c>
      <c r="D1154" s="1">
        <v>45322</v>
      </c>
      <c r="E1154">
        <v>546.20000000000005</v>
      </c>
      <c r="F1154">
        <v>25.52</v>
      </c>
      <c r="G1154">
        <v>16.25</v>
      </c>
      <c r="H1154">
        <v>78</v>
      </c>
      <c r="I1154" t="s">
        <v>25</v>
      </c>
      <c r="J1154">
        <v>2024</v>
      </c>
      <c r="K1154">
        <f t="shared" ref="K1154:K1217" si="36">F1154-G1154</f>
        <v>9.27</v>
      </c>
      <c r="L1154" t="str">
        <f t="shared" ref="L1154:L1217" si="37">A1154&amp;"|"&amp;B1154&amp;"|"&amp;C1154</f>
        <v>Banca Etrusca|1|Mutui</v>
      </c>
    </row>
    <row r="1155" spans="1:12" x14ac:dyDescent="0.25">
      <c r="A1155" t="s">
        <v>27</v>
      </c>
      <c r="B1155">
        <v>1</v>
      </c>
      <c r="C1155" t="s">
        <v>15</v>
      </c>
      <c r="D1155" s="1">
        <v>45322</v>
      </c>
      <c r="E1155">
        <v>720.8</v>
      </c>
      <c r="F1155">
        <v>34.28</v>
      </c>
      <c r="G1155">
        <v>21.57</v>
      </c>
      <c r="H1155">
        <v>97</v>
      </c>
      <c r="I1155" t="s">
        <v>25</v>
      </c>
      <c r="J1155">
        <v>2024</v>
      </c>
      <c r="K1155">
        <f t="shared" si="36"/>
        <v>12.71</v>
      </c>
      <c r="L1155" t="str">
        <f t="shared" si="37"/>
        <v>Banca Etrusca|1|Prestiti</v>
      </c>
    </row>
    <row r="1156" spans="1:12" x14ac:dyDescent="0.25">
      <c r="A1156" t="s">
        <v>27</v>
      </c>
      <c r="B1156">
        <v>1</v>
      </c>
      <c r="C1156" t="s">
        <v>16</v>
      </c>
      <c r="D1156" s="1">
        <v>45322</v>
      </c>
      <c r="E1156">
        <v>926.1</v>
      </c>
      <c r="F1156">
        <v>45.73</v>
      </c>
      <c r="G1156">
        <v>28.51</v>
      </c>
      <c r="H1156">
        <v>132</v>
      </c>
      <c r="I1156" t="s">
        <v>25</v>
      </c>
      <c r="J1156">
        <v>2024</v>
      </c>
      <c r="K1156">
        <f t="shared" si="36"/>
        <v>17.219999999999995</v>
      </c>
      <c r="L1156" t="str">
        <f t="shared" si="37"/>
        <v>Banca Etrusca|1|Conti</v>
      </c>
    </row>
    <row r="1157" spans="1:12" x14ac:dyDescent="0.25">
      <c r="A1157" t="s">
        <v>27</v>
      </c>
      <c r="B1157">
        <v>1</v>
      </c>
      <c r="C1157" t="s">
        <v>17</v>
      </c>
      <c r="D1157" s="1">
        <v>45322</v>
      </c>
      <c r="E1157">
        <v>1155</v>
      </c>
      <c r="F1157">
        <v>59.15</v>
      </c>
      <c r="G1157">
        <v>36.450000000000003</v>
      </c>
      <c r="H1157">
        <v>154</v>
      </c>
      <c r="I1157" t="s">
        <v>25</v>
      </c>
      <c r="J1157">
        <v>2024</v>
      </c>
      <c r="K1157">
        <f t="shared" si="36"/>
        <v>22.699999999999996</v>
      </c>
      <c r="L1157" t="str">
        <f t="shared" si="37"/>
        <v>Banca Etrusca|1|Carte</v>
      </c>
    </row>
    <row r="1158" spans="1:12" x14ac:dyDescent="0.25">
      <c r="A1158" t="s">
        <v>27</v>
      </c>
      <c r="B1158">
        <v>1</v>
      </c>
      <c r="C1158" t="s">
        <v>18</v>
      </c>
      <c r="D1158" s="1">
        <v>45322</v>
      </c>
      <c r="E1158">
        <v>1353.3</v>
      </c>
      <c r="F1158">
        <v>71.78</v>
      </c>
      <c r="G1158">
        <v>44.22</v>
      </c>
      <c r="H1158">
        <v>148</v>
      </c>
      <c r="I1158" t="s">
        <v>25</v>
      </c>
      <c r="J1158">
        <v>2024</v>
      </c>
      <c r="K1158">
        <f t="shared" si="36"/>
        <v>27.560000000000002</v>
      </c>
      <c r="L1158" t="str">
        <f t="shared" si="37"/>
        <v>Banca Etrusca|1|Leasing</v>
      </c>
    </row>
    <row r="1159" spans="1:12" x14ac:dyDescent="0.25">
      <c r="A1159" t="s">
        <v>27</v>
      </c>
      <c r="B1159">
        <v>1</v>
      </c>
      <c r="C1159" t="s">
        <v>19</v>
      </c>
      <c r="D1159" s="1">
        <v>45322</v>
      </c>
      <c r="E1159">
        <v>1563.8</v>
      </c>
      <c r="F1159">
        <v>86.8</v>
      </c>
      <c r="G1159">
        <v>51.77</v>
      </c>
      <c r="H1159">
        <v>170</v>
      </c>
      <c r="I1159" t="s">
        <v>25</v>
      </c>
      <c r="J1159">
        <v>2024</v>
      </c>
      <c r="K1159">
        <f t="shared" si="36"/>
        <v>35.029999999999994</v>
      </c>
      <c r="L1159" t="str">
        <f t="shared" si="37"/>
        <v>Banca Etrusca|1|Factoring</v>
      </c>
    </row>
    <row r="1160" spans="1:12" x14ac:dyDescent="0.25">
      <c r="A1160" t="s">
        <v>27</v>
      </c>
      <c r="B1160">
        <v>1</v>
      </c>
      <c r="C1160" t="s">
        <v>20</v>
      </c>
      <c r="D1160" s="1">
        <v>45322</v>
      </c>
      <c r="E1160">
        <v>1744.3</v>
      </c>
      <c r="F1160">
        <v>100.02</v>
      </c>
      <c r="G1160">
        <v>59.39</v>
      </c>
      <c r="H1160">
        <v>196</v>
      </c>
      <c r="I1160" t="s">
        <v>25</v>
      </c>
      <c r="J1160">
        <v>2024</v>
      </c>
      <c r="K1160">
        <f t="shared" si="36"/>
        <v>40.629999999999995</v>
      </c>
      <c r="L1160" t="str">
        <f t="shared" si="37"/>
        <v>Banca Etrusca|1|Risparmio</v>
      </c>
    </row>
    <row r="1161" spans="1:12" x14ac:dyDescent="0.25">
      <c r="A1161" t="s">
        <v>27</v>
      </c>
      <c r="B1161">
        <v>1</v>
      </c>
      <c r="C1161" t="s">
        <v>21</v>
      </c>
      <c r="D1161" s="1">
        <v>45322</v>
      </c>
      <c r="E1161">
        <v>1961.3</v>
      </c>
      <c r="F1161">
        <v>116.33</v>
      </c>
      <c r="G1161">
        <v>68.98</v>
      </c>
      <c r="H1161">
        <v>209</v>
      </c>
      <c r="I1161" t="s">
        <v>25</v>
      </c>
      <c r="J1161">
        <v>2024</v>
      </c>
      <c r="K1161">
        <f t="shared" si="36"/>
        <v>47.349999999999994</v>
      </c>
      <c r="L1161" t="str">
        <f t="shared" si="37"/>
        <v>Banca Etrusca|1|Assicurazioni</v>
      </c>
    </row>
    <row r="1162" spans="1:12" x14ac:dyDescent="0.25">
      <c r="A1162" t="s">
        <v>27</v>
      </c>
      <c r="B1162">
        <v>2</v>
      </c>
      <c r="C1162" t="s">
        <v>13</v>
      </c>
      <c r="D1162" s="1">
        <v>45351</v>
      </c>
      <c r="E1162">
        <v>571.1</v>
      </c>
      <c r="F1162">
        <v>26.17</v>
      </c>
      <c r="G1162">
        <v>16.420000000000002</v>
      </c>
      <c r="H1162">
        <v>79</v>
      </c>
      <c r="I1162" t="s">
        <v>25</v>
      </c>
      <c r="J1162">
        <v>2024</v>
      </c>
      <c r="K1162">
        <f t="shared" si="36"/>
        <v>9.75</v>
      </c>
      <c r="L1162" t="str">
        <f t="shared" si="37"/>
        <v>Banca Etrusca|2|Mutui</v>
      </c>
    </row>
    <row r="1163" spans="1:12" x14ac:dyDescent="0.25">
      <c r="A1163" t="s">
        <v>27</v>
      </c>
      <c r="B1163">
        <v>2</v>
      </c>
      <c r="C1163" t="s">
        <v>15</v>
      </c>
      <c r="D1163" s="1">
        <v>45351</v>
      </c>
      <c r="E1163">
        <v>779.5</v>
      </c>
      <c r="F1163">
        <v>37.619999999999997</v>
      </c>
      <c r="G1163">
        <v>22.81</v>
      </c>
      <c r="H1163">
        <v>83</v>
      </c>
      <c r="I1163" t="s">
        <v>25</v>
      </c>
      <c r="J1163">
        <v>2024</v>
      </c>
      <c r="K1163">
        <f t="shared" si="36"/>
        <v>14.809999999999999</v>
      </c>
      <c r="L1163" t="str">
        <f t="shared" si="37"/>
        <v>Banca Etrusca|2|Prestiti</v>
      </c>
    </row>
    <row r="1164" spans="1:12" x14ac:dyDescent="0.25">
      <c r="A1164" t="s">
        <v>27</v>
      </c>
      <c r="B1164">
        <v>2</v>
      </c>
      <c r="C1164" t="s">
        <v>16</v>
      </c>
      <c r="D1164" s="1">
        <v>45351</v>
      </c>
      <c r="E1164">
        <v>946.8</v>
      </c>
      <c r="F1164">
        <v>47.19</v>
      </c>
      <c r="G1164">
        <v>28.81</v>
      </c>
      <c r="H1164">
        <v>117</v>
      </c>
      <c r="I1164" t="s">
        <v>25</v>
      </c>
      <c r="J1164">
        <v>2024</v>
      </c>
      <c r="K1164">
        <f t="shared" si="36"/>
        <v>18.38</v>
      </c>
      <c r="L1164" t="str">
        <f t="shared" si="37"/>
        <v>Banca Etrusca|2|Conti</v>
      </c>
    </row>
    <row r="1165" spans="1:12" x14ac:dyDescent="0.25">
      <c r="A1165" t="s">
        <v>27</v>
      </c>
      <c r="B1165">
        <v>2</v>
      </c>
      <c r="C1165" t="s">
        <v>17</v>
      </c>
      <c r="D1165" s="1">
        <v>45351</v>
      </c>
      <c r="E1165">
        <v>1135.8</v>
      </c>
      <c r="F1165">
        <v>57.95</v>
      </c>
      <c r="G1165">
        <v>35.83</v>
      </c>
      <c r="H1165">
        <v>118</v>
      </c>
      <c r="I1165" t="s">
        <v>25</v>
      </c>
      <c r="J1165">
        <v>2024</v>
      </c>
      <c r="K1165">
        <f t="shared" si="36"/>
        <v>22.120000000000005</v>
      </c>
      <c r="L1165" t="str">
        <f t="shared" si="37"/>
        <v>Banca Etrusca|2|Carte</v>
      </c>
    </row>
    <row r="1166" spans="1:12" x14ac:dyDescent="0.25">
      <c r="A1166" t="s">
        <v>27</v>
      </c>
      <c r="B1166">
        <v>2</v>
      </c>
      <c r="C1166" t="s">
        <v>18</v>
      </c>
      <c r="D1166" s="1">
        <v>45351</v>
      </c>
      <c r="E1166">
        <v>1394.2</v>
      </c>
      <c r="F1166">
        <v>74.13</v>
      </c>
      <c r="G1166">
        <v>44.88</v>
      </c>
      <c r="H1166">
        <v>153</v>
      </c>
      <c r="I1166" t="s">
        <v>25</v>
      </c>
      <c r="J1166">
        <v>2024</v>
      </c>
      <c r="K1166">
        <f t="shared" si="36"/>
        <v>29.249999999999993</v>
      </c>
      <c r="L1166" t="str">
        <f t="shared" si="37"/>
        <v>Banca Etrusca|2|Leasing</v>
      </c>
    </row>
    <row r="1167" spans="1:12" x14ac:dyDescent="0.25">
      <c r="A1167" t="s">
        <v>27</v>
      </c>
      <c r="B1167">
        <v>2</v>
      </c>
      <c r="C1167" t="s">
        <v>19</v>
      </c>
      <c r="D1167" s="1">
        <v>45351</v>
      </c>
      <c r="E1167">
        <v>1559.4</v>
      </c>
      <c r="F1167">
        <v>86.02</v>
      </c>
      <c r="G1167">
        <v>51.64</v>
      </c>
      <c r="H1167">
        <v>179</v>
      </c>
      <c r="I1167" t="s">
        <v>25</v>
      </c>
      <c r="J1167">
        <v>2024</v>
      </c>
      <c r="K1167">
        <f t="shared" si="36"/>
        <v>34.379999999999995</v>
      </c>
      <c r="L1167" t="str">
        <f t="shared" si="37"/>
        <v>Banca Etrusca|2|Factoring</v>
      </c>
    </row>
    <row r="1168" spans="1:12" x14ac:dyDescent="0.25">
      <c r="A1168" t="s">
        <v>27</v>
      </c>
      <c r="B1168">
        <v>2</v>
      </c>
      <c r="C1168" t="s">
        <v>20</v>
      </c>
      <c r="D1168" s="1">
        <v>45351</v>
      </c>
      <c r="E1168">
        <v>1778.9</v>
      </c>
      <c r="F1168">
        <v>102.3</v>
      </c>
      <c r="G1168">
        <v>60.76</v>
      </c>
      <c r="H1168">
        <v>178</v>
      </c>
      <c r="I1168" t="s">
        <v>25</v>
      </c>
      <c r="J1168">
        <v>2024</v>
      </c>
      <c r="K1168">
        <f t="shared" si="36"/>
        <v>41.54</v>
      </c>
      <c r="L1168" t="str">
        <f t="shared" si="37"/>
        <v>Banca Etrusca|2|Risparmio</v>
      </c>
    </row>
    <row r="1169" spans="1:12" x14ac:dyDescent="0.25">
      <c r="A1169" t="s">
        <v>27</v>
      </c>
      <c r="B1169">
        <v>2</v>
      </c>
      <c r="C1169" t="s">
        <v>21</v>
      </c>
      <c r="D1169" s="1">
        <v>45351</v>
      </c>
      <c r="E1169">
        <v>1962.9</v>
      </c>
      <c r="F1169">
        <v>116.44</v>
      </c>
      <c r="G1169">
        <v>68.97</v>
      </c>
      <c r="H1169">
        <v>210</v>
      </c>
      <c r="I1169" t="s">
        <v>25</v>
      </c>
      <c r="J1169">
        <v>2024</v>
      </c>
      <c r="K1169">
        <f t="shared" si="36"/>
        <v>47.47</v>
      </c>
      <c r="L1169" t="str">
        <f t="shared" si="37"/>
        <v>Banca Etrusca|2|Assicurazioni</v>
      </c>
    </row>
    <row r="1170" spans="1:12" x14ac:dyDescent="0.25">
      <c r="A1170" t="s">
        <v>27</v>
      </c>
      <c r="B1170">
        <v>3</v>
      </c>
      <c r="C1170" t="s">
        <v>13</v>
      </c>
      <c r="D1170" s="1">
        <v>45382</v>
      </c>
      <c r="E1170">
        <v>541.29999999999995</v>
      </c>
      <c r="F1170">
        <v>24.94</v>
      </c>
      <c r="G1170">
        <v>16.07</v>
      </c>
      <c r="H1170">
        <v>57</v>
      </c>
      <c r="I1170" t="s">
        <v>25</v>
      </c>
      <c r="J1170">
        <v>2024</v>
      </c>
      <c r="K1170">
        <f t="shared" si="36"/>
        <v>8.870000000000001</v>
      </c>
      <c r="L1170" t="str">
        <f t="shared" si="37"/>
        <v>Banca Etrusca|3|Mutui</v>
      </c>
    </row>
    <row r="1171" spans="1:12" x14ac:dyDescent="0.25">
      <c r="A1171" t="s">
        <v>27</v>
      </c>
      <c r="B1171">
        <v>3</v>
      </c>
      <c r="C1171" t="s">
        <v>15</v>
      </c>
      <c r="D1171" s="1">
        <v>45382</v>
      </c>
      <c r="E1171">
        <v>729.2</v>
      </c>
      <c r="F1171">
        <v>34.46</v>
      </c>
      <c r="G1171">
        <v>21.64</v>
      </c>
      <c r="H1171">
        <v>95</v>
      </c>
      <c r="I1171" t="s">
        <v>25</v>
      </c>
      <c r="J1171">
        <v>2024</v>
      </c>
      <c r="K1171">
        <f t="shared" si="36"/>
        <v>12.82</v>
      </c>
      <c r="L1171" t="str">
        <f t="shared" si="37"/>
        <v>Banca Etrusca|3|Prestiti</v>
      </c>
    </row>
    <row r="1172" spans="1:12" x14ac:dyDescent="0.25">
      <c r="A1172" t="s">
        <v>27</v>
      </c>
      <c r="B1172">
        <v>3</v>
      </c>
      <c r="C1172" t="s">
        <v>16</v>
      </c>
      <c r="D1172" s="1">
        <v>45382</v>
      </c>
      <c r="E1172">
        <v>979.2</v>
      </c>
      <c r="F1172">
        <v>48.97</v>
      </c>
      <c r="G1172">
        <v>29.63</v>
      </c>
      <c r="H1172">
        <v>112</v>
      </c>
      <c r="I1172" t="s">
        <v>25</v>
      </c>
      <c r="J1172">
        <v>2024</v>
      </c>
      <c r="K1172">
        <f t="shared" si="36"/>
        <v>19.34</v>
      </c>
      <c r="L1172" t="str">
        <f t="shared" si="37"/>
        <v>Banca Etrusca|3|Conti</v>
      </c>
    </row>
    <row r="1173" spans="1:12" x14ac:dyDescent="0.25">
      <c r="A1173" t="s">
        <v>27</v>
      </c>
      <c r="B1173">
        <v>3</v>
      </c>
      <c r="C1173" t="s">
        <v>17</v>
      </c>
      <c r="D1173" s="1">
        <v>45382</v>
      </c>
      <c r="E1173">
        <v>1158.3</v>
      </c>
      <c r="F1173">
        <v>59.27</v>
      </c>
      <c r="G1173">
        <v>36.86</v>
      </c>
      <c r="H1173">
        <v>131</v>
      </c>
      <c r="I1173" t="s">
        <v>25</v>
      </c>
      <c r="J1173">
        <v>2024</v>
      </c>
      <c r="K1173">
        <f t="shared" si="36"/>
        <v>22.410000000000004</v>
      </c>
      <c r="L1173" t="str">
        <f t="shared" si="37"/>
        <v>Banca Etrusca|3|Carte</v>
      </c>
    </row>
    <row r="1174" spans="1:12" x14ac:dyDescent="0.25">
      <c r="A1174" t="s">
        <v>27</v>
      </c>
      <c r="B1174">
        <v>3</v>
      </c>
      <c r="C1174" t="s">
        <v>18</v>
      </c>
      <c r="D1174" s="1">
        <v>45382</v>
      </c>
      <c r="E1174">
        <v>1384.3</v>
      </c>
      <c r="F1174">
        <v>74.17</v>
      </c>
      <c r="G1174">
        <v>44.89</v>
      </c>
      <c r="H1174">
        <v>165</v>
      </c>
      <c r="I1174" t="s">
        <v>25</v>
      </c>
      <c r="J1174">
        <v>2024</v>
      </c>
      <c r="K1174">
        <f t="shared" si="36"/>
        <v>29.28</v>
      </c>
      <c r="L1174" t="str">
        <f t="shared" si="37"/>
        <v>Banca Etrusca|3|Leasing</v>
      </c>
    </row>
    <row r="1175" spans="1:12" x14ac:dyDescent="0.25">
      <c r="A1175" t="s">
        <v>27</v>
      </c>
      <c r="B1175">
        <v>3</v>
      </c>
      <c r="C1175" t="s">
        <v>19</v>
      </c>
      <c r="D1175" s="1">
        <v>45382</v>
      </c>
      <c r="E1175">
        <v>1609.6</v>
      </c>
      <c r="F1175">
        <v>89.05</v>
      </c>
      <c r="G1175">
        <v>53.43</v>
      </c>
      <c r="H1175">
        <v>173</v>
      </c>
      <c r="I1175" t="s">
        <v>25</v>
      </c>
      <c r="J1175">
        <v>2024</v>
      </c>
      <c r="K1175">
        <f t="shared" si="36"/>
        <v>35.619999999999997</v>
      </c>
      <c r="L1175" t="str">
        <f t="shared" si="37"/>
        <v>Banca Etrusca|3|Factoring</v>
      </c>
    </row>
    <row r="1176" spans="1:12" x14ac:dyDescent="0.25">
      <c r="A1176" t="s">
        <v>27</v>
      </c>
      <c r="B1176">
        <v>3</v>
      </c>
      <c r="C1176" t="s">
        <v>20</v>
      </c>
      <c r="D1176" s="1">
        <v>45382</v>
      </c>
      <c r="E1176">
        <v>1822.5</v>
      </c>
      <c r="F1176">
        <v>104.64</v>
      </c>
      <c r="G1176">
        <v>62.2</v>
      </c>
      <c r="H1176">
        <v>205</v>
      </c>
      <c r="I1176" t="s">
        <v>25</v>
      </c>
      <c r="J1176">
        <v>2024</v>
      </c>
      <c r="K1176">
        <f t="shared" si="36"/>
        <v>42.44</v>
      </c>
      <c r="L1176" t="str">
        <f t="shared" si="37"/>
        <v>Banca Etrusca|3|Risparmio</v>
      </c>
    </row>
    <row r="1177" spans="1:12" x14ac:dyDescent="0.25">
      <c r="A1177" t="s">
        <v>27</v>
      </c>
      <c r="B1177">
        <v>3</v>
      </c>
      <c r="C1177" t="s">
        <v>21</v>
      </c>
      <c r="D1177" s="1">
        <v>45382</v>
      </c>
      <c r="E1177">
        <v>2015.6</v>
      </c>
      <c r="F1177">
        <v>119.24</v>
      </c>
      <c r="G1177">
        <v>70.72</v>
      </c>
      <c r="H1177">
        <v>213</v>
      </c>
      <c r="I1177" t="s">
        <v>25</v>
      </c>
      <c r="J1177">
        <v>2024</v>
      </c>
      <c r="K1177">
        <f t="shared" si="36"/>
        <v>48.519999999999996</v>
      </c>
      <c r="L1177" t="str">
        <f t="shared" si="37"/>
        <v>Banca Etrusca|3|Assicurazioni</v>
      </c>
    </row>
    <row r="1178" spans="1:12" x14ac:dyDescent="0.25">
      <c r="A1178" t="s">
        <v>27</v>
      </c>
      <c r="B1178">
        <v>4</v>
      </c>
      <c r="C1178" t="s">
        <v>13</v>
      </c>
      <c r="D1178" s="1">
        <v>45412</v>
      </c>
      <c r="E1178">
        <v>538.6</v>
      </c>
      <c r="F1178">
        <v>25.01</v>
      </c>
      <c r="G1178">
        <v>15.74</v>
      </c>
      <c r="H1178">
        <v>89</v>
      </c>
      <c r="I1178" t="s">
        <v>25</v>
      </c>
      <c r="J1178">
        <v>2024</v>
      </c>
      <c r="K1178">
        <f t="shared" si="36"/>
        <v>9.2700000000000014</v>
      </c>
      <c r="L1178" t="str">
        <f t="shared" si="37"/>
        <v>Banca Etrusca|4|Mutui</v>
      </c>
    </row>
    <row r="1179" spans="1:12" x14ac:dyDescent="0.25">
      <c r="A1179" t="s">
        <v>27</v>
      </c>
      <c r="B1179">
        <v>4</v>
      </c>
      <c r="C1179" t="s">
        <v>15</v>
      </c>
      <c r="D1179" s="1">
        <v>45412</v>
      </c>
      <c r="E1179">
        <v>763.6</v>
      </c>
      <c r="F1179">
        <v>36.54</v>
      </c>
      <c r="G1179">
        <v>22.97</v>
      </c>
      <c r="H1179">
        <v>107</v>
      </c>
      <c r="I1179" t="s">
        <v>25</v>
      </c>
      <c r="J1179">
        <v>2024</v>
      </c>
      <c r="K1179">
        <f t="shared" si="36"/>
        <v>13.57</v>
      </c>
      <c r="L1179" t="str">
        <f t="shared" si="37"/>
        <v>Banca Etrusca|4|Prestiti</v>
      </c>
    </row>
    <row r="1180" spans="1:12" x14ac:dyDescent="0.25">
      <c r="A1180" t="s">
        <v>27</v>
      </c>
      <c r="B1180">
        <v>4</v>
      </c>
      <c r="C1180" t="s">
        <v>16</v>
      </c>
      <c r="D1180" s="1">
        <v>45412</v>
      </c>
      <c r="E1180">
        <v>948.7</v>
      </c>
      <c r="F1180">
        <v>47.16</v>
      </c>
      <c r="G1180">
        <v>29.31</v>
      </c>
      <c r="H1180">
        <v>127</v>
      </c>
      <c r="I1180" t="s">
        <v>25</v>
      </c>
      <c r="J1180">
        <v>2024</v>
      </c>
      <c r="K1180">
        <f t="shared" si="36"/>
        <v>17.849999999999998</v>
      </c>
      <c r="L1180" t="str">
        <f t="shared" si="37"/>
        <v>Banca Etrusca|4|Conti</v>
      </c>
    </row>
    <row r="1181" spans="1:12" x14ac:dyDescent="0.25">
      <c r="A1181" t="s">
        <v>27</v>
      </c>
      <c r="B1181">
        <v>4</v>
      </c>
      <c r="C1181" t="s">
        <v>17</v>
      </c>
      <c r="D1181" s="1">
        <v>45412</v>
      </c>
      <c r="E1181">
        <v>1174.8</v>
      </c>
      <c r="F1181">
        <v>60.91</v>
      </c>
      <c r="G1181">
        <v>36.57</v>
      </c>
      <c r="H1181">
        <v>123</v>
      </c>
      <c r="I1181" t="s">
        <v>25</v>
      </c>
      <c r="J1181">
        <v>2024</v>
      </c>
      <c r="K1181">
        <f t="shared" si="36"/>
        <v>24.339999999999996</v>
      </c>
      <c r="L1181" t="str">
        <f t="shared" si="37"/>
        <v>Banca Etrusca|4|Carte</v>
      </c>
    </row>
    <row r="1182" spans="1:12" x14ac:dyDescent="0.25">
      <c r="A1182" t="s">
        <v>27</v>
      </c>
      <c r="B1182">
        <v>4</v>
      </c>
      <c r="C1182" t="s">
        <v>18</v>
      </c>
      <c r="D1182" s="1">
        <v>45412</v>
      </c>
      <c r="E1182">
        <v>1408.7</v>
      </c>
      <c r="F1182">
        <v>75.540000000000006</v>
      </c>
      <c r="G1182">
        <v>45.1</v>
      </c>
      <c r="H1182">
        <v>157</v>
      </c>
      <c r="I1182" t="s">
        <v>25</v>
      </c>
      <c r="J1182">
        <v>2024</v>
      </c>
      <c r="K1182">
        <f t="shared" si="36"/>
        <v>30.440000000000005</v>
      </c>
      <c r="L1182" t="str">
        <f t="shared" si="37"/>
        <v>Banca Etrusca|4|Leasing</v>
      </c>
    </row>
    <row r="1183" spans="1:12" x14ac:dyDescent="0.25">
      <c r="A1183" t="s">
        <v>27</v>
      </c>
      <c r="B1183">
        <v>4</v>
      </c>
      <c r="C1183" t="s">
        <v>19</v>
      </c>
      <c r="D1183" s="1">
        <v>45412</v>
      </c>
      <c r="E1183">
        <v>1614</v>
      </c>
      <c r="F1183">
        <v>89.53</v>
      </c>
      <c r="G1183">
        <v>53.75</v>
      </c>
      <c r="H1183">
        <v>183</v>
      </c>
      <c r="I1183" t="s">
        <v>25</v>
      </c>
      <c r="J1183">
        <v>2024</v>
      </c>
      <c r="K1183">
        <f t="shared" si="36"/>
        <v>35.78</v>
      </c>
      <c r="L1183" t="str">
        <f t="shared" si="37"/>
        <v>Banca Etrusca|4|Factoring</v>
      </c>
    </row>
    <row r="1184" spans="1:12" x14ac:dyDescent="0.25">
      <c r="A1184" t="s">
        <v>27</v>
      </c>
      <c r="B1184">
        <v>4</v>
      </c>
      <c r="C1184" t="s">
        <v>20</v>
      </c>
      <c r="D1184" s="1">
        <v>45412</v>
      </c>
      <c r="E1184">
        <v>1791.2</v>
      </c>
      <c r="F1184">
        <v>102.12</v>
      </c>
      <c r="G1184">
        <v>61.38</v>
      </c>
      <c r="H1184">
        <v>183</v>
      </c>
      <c r="I1184" t="s">
        <v>25</v>
      </c>
      <c r="J1184">
        <v>2024</v>
      </c>
      <c r="K1184">
        <f t="shared" si="36"/>
        <v>40.74</v>
      </c>
      <c r="L1184" t="str">
        <f t="shared" si="37"/>
        <v>Banca Etrusca|4|Risparmio</v>
      </c>
    </row>
    <row r="1185" spans="1:12" x14ac:dyDescent="0.25">
      <c r="A1185" t="s">
        <v>27</v>
      </c>
      <c r="B1185">
        <v>4</v>
      </c>
      <c r="C1185" t="s">
        <v>21</v>
      </c>
      <c r="D1185" s="1">
        <v>45412</v>
      </c>
      <c r="E1185">
        <v>2009.3</v>
      </c>
      <c r="F1185">
        <v>118.7</v>
      </c>
      <c r="G1185">
        <v>71.040000000000006</v>
      </c>
      <c r="H1185">
        <v>206</v>
      </c>
      <c r="I1185" t="s">
        <v>25</v>
      </c>
      <c r="J1185">
        <v>2024</v>
      </c>
      <c r="K1185">
        <f t="shared" si="36"/>
        <v>47.66</v>
      </c>
      <c r="L1185" t="str">
        <f t="shared" si="37"/>
        <v>Banca Etrusca|4|Assicurazioni</v>
      </c>
    </row>
    <row r="1186" spans="1:12" x14ac:dyDescent="0.25">
      <c r="A1186" t="s">
        <v>27</v>
      </c>
      <c r="B1186">
        <v>5</v>
      </c>
      <c r="C1186" t="s">
        <v>13</v>
      </c>
      <c r="D1186" s="1">
        <v>45443</v>
      </c>
      <c r="E1186">
        <v>557.29999999999995</v>
      </c>
      <c r="F1186">
        <v>25.77</v>
      </c>
      <c r="G1186">
        <v>16.09</v>
      </c>
      <c r="H1186">
        <v>69</v>
      </c>
      <c r="I1186" t="s">
        <v>25</v>
      </c>
      <c r="J1186">
        <v>2024</v>
      </c>
      <c r="K1186">
        <f t="shared" si="36"/>
        <v>9.68</v>
      </c>
      <c r="L1186" t="str">
        <f t="shared" si="37"/>
        <v>Banca Etrusca|5|Mutui</v>
      </c>
    </row>
    <row r="1187" spans="1:12" x14ac:dyDescent="0.25">
      <c r="A1187" t="s">
        <v>27</v>
      </c>
      <c r="B1187">
        <v>5</v>
      </c>
      <c r="C1187" t="s">
        <v>15</v>
      </c>
      <c r="D1187" s="1">
        <v>45443</v>
      </c>
      <c r="E1187">
        <v>747.4</v>
      </c>
      <c r="F1187">
        <v>36.03</v>
      </c>
      <c r="G1187">
        <v>22.08</v>
      </c>
      <c r="H1187">
        <v>89</v>
      </c>
      <c r="I1187" t="s">
        <v>25</v>
      </c>
      <c r="J1187">
        <v>2024</v>
      </c>
      <c r="K1187">
        <f t="shared" si="36"/>
        <v>13.950000000000003</v>
      </c>
      <c r="L1187" t="str">
        <f t="shared" si="37"/>
        <v>Banca Etrusca|5|Prestiti</v>
      </c>
    </row>
    <row r="1188" spans="1:12" x14ac:dyDescent="0.25">
      <c r="A1188" t="s">
        <v>27</v>
      </c>
      <c r="B1188">
        <v>5</v>
      </c>
      <c r="C1188" t="s">
        <v>16</v>
      </c>
      <c r="D1188" s="1">
        <v>45443</v>
      </c>
      <c r="E1188">
        <v>973.4</v>
      </c>
      <c r="F1188">
        <v>47.87</v>
      </c>
      <c r="G1188">
        <v>30.16</v>
      </c>
      <c r="H1188">
        <v>121</v>
      </c>
      <c r="I1188" t="s">
        <v>25</v>
      </c>
      <c r="J1188">
        <v>2024</v>
      </c>
      <c r="K1188">
        <f t="shared" si="36"/>
        <v>17.709999999999997</v>
      </c>
      <c r="L1188" t="str">
        <f t="shared" si="37"/>
        <v>Banca Etrusca|5|Conti</v>
      </c>
    </row>
    <row r="1189" spans="1:12" x14ac:dyDescent="0.25">
      <c r="A1189" t="s">
        <v>27</v>
      </c>
      <c r="B1189">
        <v>5</v>
      </c>
      <c r="C1189" t="s">
        <v>17</v>
      </c>
      <c r="D1189" s="1">
        <v>45443</v>
      </c>
      <c r="E1189">
        <v>1202.9000000000001</v>
      </c>
      <c r="F1189">
        <v>62.1</v>
      </c>
      <c r="G1189">
        <v>37.39</v>
      </c>
      <c r="H1189">
        <v>120</v>
      </c>
      <c r="I1189" t="s">
        <v>25</v>
      </c>
      <c r="J1189">
        <v>2024</v>
      </c>
      <c r="K1189">
        <f t="shared" si="36"/>
        <v>24.71</v>
      </c>
      <c r="L1189" t="str">
        <f t="shared" si="37"/>
        <v>Banca Etrusca|5|Carte</v>
      </c>
    </row>
    <row r="1190" spans="1:12" x14ac:dyDescent="0.25">
      <c r="A1190" t="s">
        <v>27</v>
      </c>
      <c r="B1190">
        <v>5</v>
      </c>
      <c r="C1190" t="s">
        <v>18</v>
      </c>
      <c r="D1190" s="1">
        <v>45443</v>
      </c>
      <c r="E1190">
        <v>1385.6</v>
      </c>
      <c r="F1190">
        <v>73.599999999999994</v>
      </c>
      <c r="G1190">
        <v>44.45</v>
      </c>
      <c r="H1190">
        <v>159</v>
      </c>
      <c r="I1190" t="s">
        <v>25</v>
      </c>
      <c r="J1190">
        <v>2024</v>
      </c>
      <c r="K1190">
        <f t="shared" si="36"/>
        <v>29.149999999999991</v>
      </c>
      <c r="L1190" t="str">
        <f t="shared" si="37"/>
        <v>Banca Etrusca|5|Leasing</v>
      </c>
    </row>
    <row r="1191" spans="1:12" x14ac:dyDescent="0.25">
      <c r="A1191" t="s">
        <v>27</v>
      </c>
      <c r="B1191">
        <v>5</v>
      </c>
      <c r="C1191" t="s">
        <v>19</v>
      </c>
      <c r="D1191" s="1">
        <v>45443</v>
      </c>
      <c r="E1191">
        <v>1604</v>
      </c>
      <c r="F1191">
        <v>88.41</v>
      </c>
      <c r="G1191">
        <v>53.58</v>
      </c>
      <c r="H1191">
        <v>172</v>
      </c>
      <c r="I1191" t="s">
        <v>25</v>
      </c>
      <c r="J1191">
        <v>2024</v>
      </c>
      <c r="K1191">
        <f t="shared" si="36"/>
        <v>34.83</v>
      </c>
      <c r="L1191" t="str">
        <f t="shared" si="37"/>
        <v>Banca Etrusca|5|Factoring</v>
      </c>
    </row>
    <row r="1192" spans="1:12" x14ac:dyDescent="0.25">
      <c r="A1192" t="s">
        <v>27</v>
      </c>
      <c r="B1192">
        <v>5</v>
      </c>
      <c r="C1192" t="s">
        <v>20</v>
      </c>
      <c r="D1192" s="1">
        <v>45443</v>
      </c>
      <c r="E1192">
        <v>1804.7</v>
      </c>
      <c r="F1192">
        <v>103.15</v>
      </c>
      <c r="G1192">
        <v>62.21</v>
      </c>
      <c r="H1192">
        <v>206</v>
      </c>
      <c r="I1192" t="s">
        <v>25</v>
      </c>
      <c r="J1192">
        <v>2024</v>
      </c>
      <c r="K1192">
        <f t="shared" si="36"/>
        <v>40.940000000000005</v>
      </c>
      <c r="L1192" t="str">
        <f t="shared" si="37"/>
        <v>Banca Etrusca|5|Risparmio</v>
      </c>
    </row>
    <row r="1193" spans="1:12" x14ac:dyDescent="0.25">
      <c r="A1193" t="s">
        <v>27</v>
      </c>
      <c r="B1193">
        <v>5</v>
      </c>
      <c r="C1193" t="s">
        <v>21</v>
      </c>
      <c r="D1193" s="1">
        <v>45443</v>
      </c>
      <c r="E1193">
        <v>2017.6</v>
      </c>
      <c r="F1193">
        <v>119.43</v>
      </c>
      <c r="G1193">
        <v>71.25</v>
      </c>
      <c r="H1193">
        <v>213</v>
      </c>
      <c r="I1193" t="s">
        <v>25</v>
      </c>
      <c r="J1193">
        <v>2024</v>
      </c>
      <c r="K1193">
        <f t="shared" si="36"/>
        <v>48.180000000000007</v>
      </c>
      <c r="L1193" t="str">
        <f t="shared" si="37"/>
        <v>Banca Etrusca|5|Assicurazioni</v>
      </c>
    </row>
    <row r="1194" spans="1:12" x14ac:dyDescent="0.25">
      <c r="A1194" t="s">
        <v>27</v>
      </c>
      <c r="B1194">
        <v>6</v>
      </c>
      <c r="C1194" t="s">
        <v>13</v>
      </c>
      <c r="D1194" s="1">
        <v>45473</v>
      </c>
      <c r="E1194">
        <v>560.4</v>
      </c>
      <c r="F1194">
        <v>25.56</v>
      </c>
      <c r="G1194">
        <v>15.8</v>
      </c>
      <c r="H1194">
        <v>67</v>
      </c>
      <c r="I1194" t="s">
        <v>25</v>
      </c>
      <c r="J1194">
        <v>2024</v>
      </c>
      <c r="K1194">
        <f t="shared" si="36"/>
        <v>9.759999999999998</v>
      </c>
      <c r="L1194" t="str">
        <f t="shared" si="37"/>
        <v>Banca Etrusca|6|Mutui</v>
      </c>
    </row>
    <row r="1195" spans="1:12" x14ac:dyDescent="0.25">
      <c r="A1195" t="s">
        <v>27</v>
      </c>
      <c r="B1195">
        <v>6</v>
      </c>
      <c r="C1195" t="s">
        <v>15</v>
      </c>
      <c r="D1195" s="1">
        <v>45473</v>
      </c>
      <c r="E1195">
        <v>756.5</v>
      </c>
      <c r="F1195">
        <v>35.619999999999997</v>
      </c>
      <c r="G1195">
        <v>22.74</v>
      </c>
      <c r="H1195">
        <v>94</v>
      </c>
      <c r="I1195" t="s">
        <v>25</v>
      </c>
      <c r="J1195">
        <v>2024</v>
      </c>
      <c r="K1195">
        <f t="shared" si="36"/>
        <v>12.879999999999999</v>
      </c>
      <c r="L1195" t="str">
        <f t="shared" si="37"/>
        <v>Banca Etrusca|6|Prestiti</v>
      </c>
    </row>
    <row r="1196" spans="1:12" x14ac:dyDescent="0.25">
      <c r="A1196" t="s">
        <v>27</v>
      </c>
      <c r="B1196">
        <v>6</v>
      </c>
      <c r="C1196" t="s">
        <v>16</v>
      </c>
      <c r="D1196" s="1">
        <v>45473</v>
      </c>
      <c r="E1196">
        <v>963.3</v>
      </c>
      <c r="F1196">
        <v>47.26</v>
      </c>
      <c r="G1196">
        <v>29.47</v>
      </c>
      <c r="H1196">
        <v>96</v>
      </c>
      <c r="I1196" t="s">
        <v>25</v>
      </c>
      <c r="J1196">
        <v>2024</v>
      </c>
      <c r="K1196">
        <f t="shared" si="36"/>
        <v>17.79</v>
      </c>
      <c r="L1196" t="str">
        <f t="shared" si="37"/>
        <v>Banca Etrusca|6|Conti</v>
      </c>
    </row>
    <row r="1197" spans="1:12" x14ac:dyDescent="0.25">
      <c r="A1197" t="s">
        <v>27</v>
      </c>
      <c r="B1197">
        <v>6</v>
      </c>
      <c r="C1197" t="s">
        <v>17</v>
      </c>
      <c r="D1197" s="1">
        <v>45473</v>
      </c>
      <c r="E1197">
        <v>1216.2</v>
      </c>
      <c r="F1197">
        <v>62.6</v>
      </c>
      <c r="G1197">
        <v>38.57</v>
      </c>
      <c r="H1197">
        <v>116</v>
      </c>
      <c r="I1197" t="s">
        <v>25</v>
      </c>
      <c r="J1197">
        <v>2024</v>
      </c>
      <c r="K1197">
        <f t="shared" si="36"/>
        <v>24.03</v>
      </c>
      <c r="L1197" t="str">
        <f t="shared" si="37"/>
        <v>Banca Etrusca|6|Carte</v>
      </c>
    </row>
    <row r="1198" spans="1:12" x14ac:dyDescent="0.25">
      <c r="A1198" t="s">
        <v>27</v>
      </c>
      <c r="B1198">
        <v>6</v>
      </c>
      <c r="C1198" t="s">
        <v>18</v>
      </c>
      <c r="D1198" s="1">
        <v>45473</v>
      </c>
      <c r="E1198">
        <v>1398.8</v>
      </c>
      <c r="F1198">
        <v>74.39</v>
      </c>
      <c r="G1198">
        <v>45.73</v>
      </c>
      <c r="H1198">
        <v>141</v>
      </c>
      <c r="I1198" t="s">
        <v>25</v>
      </c>
      <c r="J1198">
        <v>2024</v>
      </c>
      <c r="K1198">
        <f t="shared" si="36"/>
        <v>28.660000000000004</v>
      </c>
      <c r="L1198" t="str">
        <f t="shared" si="37"/>
        <v>Banca Etrusca|6|Leasing</v>
      </c>
    </row>
    <row r="1199" spans="1:12" x14ac:dyDescent="0.25">
      <c r="A1199" t="s">
        <v>27</v>
      </c>
      <c r="B1199">
        <v>6</v>
      </c>
      <c r="C1199" t="s">
        <v>19</v>
      </c>
      <c r="D1199" s="1">
        <v>45473</v>
      </c>
      <c r="E1199">
        <v>1604.4</v>
      </c>
      <c r="F1199">
        <v>88.57</v>
      </c>
      <c r="G1199">
        <v>53.13</v>
      </c>
      <c r="H1199">
        <v>172</v>
      </c>
      <c r="I1199" t="s">
        <v>25</v>
      </c>
      <c r="J1199">
        <v>2024</v>
      </c>
      <c r="K1199">
        <f t="shared" si="36"/>
        <v>35.439999999999991</v>
      </c>
      <c r="L1199" t="str">
        <f t="shared" si="37"/>
        <v>Banca Etrusca|6|Factoring</v>
      </c>
    </row>
    <row r="1200" spans="1:12" x14ac:dyDescent="0.25">
      <c r="A1200" t="s">
        <v>27</v>
      </c>
      <c r="B1200">
        <v>6</v>
      </c>
      <c r="C1200" t="s">
        <v>20</v>
      </c>
      <c r="D1200" s="1">
        <v>45473</v>
      </c>
      <c r="E1200">
        <v>1858.4</v>
      </c>
      <c r="F1200">
        <v>106.05</v>
      </c>
      <c r="G1200">
        <v>63.83</v>
      </c>
      <c r="H1200">
        <v>203</v>
      </c>
      <c r="I1200" t="s">
        <v>25</v>
      </c>
      <c r="J1200">
        <v>2024</v>
      </c>
      <c r="K1200">
        <f t="shared" si="36"/>
        <v>42.22</v>
      </c>
      <c r="L1200" t="str">
        <f t="shared" si="37"/>
        <v>Banca Etrusca|6|Risparmio</v>
      </c>
    </row>
    <row r="1201" spans="1:12" x14ac:dyDescent="0.25">
      <c r="A1201" t="s">
        <v>27</v>
      </c>
      <c r="B1201">
        <v>6</v>
      </c>
      <c r="C1201" t="s">
        <v>21</v>
      </c>
      <c r="D1201" s="1">
        <v>45473</v>
      </c>
      <c r="E1201">
        <v>2071.8000000000002</v>
      </c>
      <c r="F1201">
        <v>122.29</v>
      </c>
      <c r="G1201">
        <v>73.290000000000006</v>
      </c>
      <c r="H1201">
        <v>213</v>
      </c>
      <c r="I1201" t="s">
        <v>25</v>
      </c>
      <c r="J1201">
        <v>2024</v>
      </c>
      <c r="K1201">
        <f t="shared" si="36"/>
        <v>49</v>
      </c>
      <c r="L1201" t="str">
        <f t="shared" si="37"/>
        <v>Banca Etrusca|6|Assicurazioni</v>
      </c>
    </row>
    <row r="1202" spans="1:12" x14ac:dyDescent="0.25">
      <c r="A1202" t="s">
        <v>27</v>
      </c>
      <c r="B1202">
        <v>7</v>
      </c>
      <c r="C1202" t="s">
        <v>13</v>
      </c>
      <c r="D1202" s="1">
        <v>45504</v>
      </c>
      <c r="E1202">
        <v>588.20000000000005</v>
      </c>
      <c r="F1202">
        <v>26.85</v>
      </c>
      <c r="G1202">
        <v>16.600000000000001</v>
      </c>
      <c r="H1202">
        <v>69</v>
      </c>
      <c r="I1202" t="s">
        <v>25</v>
      </c>
      <c r="J1202">
        <v>2024</v>
      </c>
      <c r="K1202">
        <f t="shared" si="36"/>
        <v>10.25</v>
      </c>
      <c r="L1202" t="str">
        <f t="shared" si="37"/>
        <v>Banca Etrusca|7|Mutui</v>
      </c>
    </row>
    <row r="1203" spans="1:12" x14ac:dyDescent="0.25">
      <c r="A1203" t="s">
        <v>27</v>
      </c>
      <c r="B1203">
        <v>7</v>
      </c>
      <c r="C1203" t="s">
        <v>15</v>
      </c>
      <c r="D1203" s="1">
        <v>45504</v>
      </c>
      <c r="E1203">
        <v>799.1</v>
      </c>
      <c r="F1203">
        <v>38.270000000000003</v>
      </c>
      <c r="G1203">
        <v>23.96</v>
      </c>
      <c r="H1203">
        <v>74</v>
      </c>
      <c r="I1203" t="s">
        <v>25</v>
      </c>
      <c r="J1203">
        <v>2024</v>
      </c>
      <c r="K1203">
        <f t="shared" si="36"/>
        <v>14.310000000000002</v>
      </c>
      <c r="L1203" t="str">
        <f t="shared" si="37"/>
        <v>Banca Etrusca|7|Prestiti</v>
      </c>
    </row>
    <row r="1204" spans="1:12" x14ac:dyDescent="0.25">
      <c r="A1204" t="s">
        <v>27</v>
      </c>
      <c r="B1204">
        <v>7</v>
      </c>
      <c r="C1204" t="s">
        <v>16</v>
      </c>
      <c r="D1204" s="1">
        <v>45504</v>
      </c>
      <c r="E1204">
        <v>1016.7</v>
      </c>
      <c r="F1204">
        <v>50.34</v>
      </c>
      <c r="G1204">
        <v>31.09</v>
      </c>
      <c r="H1204">
        <v>101</v>
      </c>
      <c r="I1204" t="s">
        <v>25</v>
      </c>
      <c r="J1204">
        <v>2024</v>
      </c>
      <c r="K1204">
        <f t="shared" si="36"/>
        <v>19.250000000000004</v>
      </c>
      <c r="L1204" t="str">
        <f t="shared" si="37"/>
        <v>Banca Etrusca|7|Conti</v>
      </c>
    </row>
    <row r="1205" spans="1:12" x14ac:dyDescent="0.25">
      <c r="A1205" t="s">
        <v>27</v>
      </c>
      <c r="B1205">
        <v>7</v>
      </c>
      <c r="C1205" t="s">
        <v>17</v>
      </c>
      <c r="D1205" s="1">
        <v>45504</v>
      </c>
      <c r="E1205">
        <v>1197.0999999999999</v>
      </c>
      <c r="F1205">
        <v>61.43</v>
      </c>
      <c r="G1205">
        <v>38.04</v>
      </c>
      <c r="H1205">
        <v>121</v>
      </c>
      <c r="I1205" t="s">
        <v>25</v>
      </c>
      <c r="J1205">
        <v>2024</v>
      </c>
      <c r="K1205">
        <f t="shared" si="36"/>
        <v>23.39</v>
      </c>
      <c r="L1205" t="str">
        <f t="shared" si="37"/>
        <v>Banca Etrusca|7|Carte</v>
      </c>
    </row>
    <row r="1206" spans="1:12" x14ac:dyDescent="0.25">
      <c r="A1206" t="s">
        <v>27</v>
      </c>
      <c r="B1206">
        <v>7</v>
      </c>
      <c r="C1206" t="s">
        <v>18</v>
      </c>
      <c r="D1206" s="1">
        <v>45504</v>
      </c>
      <c r="E1206">
        <v>1415.7</v>
      </c>
      <c r="F1206">
        <v>75.91</v>
      </c>
      <c r="G1206">
        <v>45.67</v>
      </c>
      <c r="H1206">
        <v>161</v>
      </c>
      <c r="I1206" t="s">
        <v>25</v>
      </c>
      <c r="J1206">
        <v>2024</v>
      </c>
      <c r="K1206">
        <f t="shared" si="36"/>
        <v>30.239999999999995</v>
      </c>
      <c r="L1206" t="str">
        <f t="shared" si="37"/>
        <v>Banca Etrusca|7|Leasing</v>
      </c>
    </row>
    <row r="1207" spans="1:12" x14ac:dyDescent="0.25">
      <c r="A1207" t="s">
        <v>27</v>
      </c>
      <c r="B1207">
        <v>7</v>
      </c>
      <c r="C1207" t="s">
        <v>19</v>
      </c>
      <c r="D1207" s="1">
        <v>45504</v>
      </c>
      <c r="E1207">
        <v>1616.3</v>
      </c>
      <c r="F1207">
        <v>89.31</v>
      </c>
      <c r="G1207">
        <v>54.18</v>
      </c>
      <c r="H1207">
        <v>161</v>
      </c>
      <c r="I1207" t="s">
        <v>25</v>
      </c>
      <c r="J1207">
        <v>2024</v>
      </c>
      <c r="K1207">
        <f t="shared" si="36"/>
        <v>35.130000000000003</v>
      </c>
      <c r="L1207" t="str">
        <f t="shared" si="37"/>
        <v>Banca Etrusca|7|Factoring</v>
      </c>
    </row>
    <row r="1208" spans="1:12" x14ac:dyDescent="0.25">
      <c r="A1208" t="s">
        <v>27</v>
      </c>
      <c r="B1208">
        <v>7</v>
      </c>
      <c r="C1208" t="s">
        <v>20</v>
      </c>
      <c r="D1208" s="1">
        <v>45504</v>
      </c>
      <c r="E1208">
        <v>1845.9</v>
      </c>
      <c r="F1208">
        <v>106.01</v>
      </c>
      <c r="G1208">
        <v>63.17</v>
      </c>
      <c r="H1208">
        <v>184</v>
      </c>
      <c r="I1208" t="s">
        <v>25</v>
      </c>
      <c r="J1208">
        <v>2024</v>
      </c>
      <c r="K1208">
        <f t="shared" si="36"/>
        <v>42.84</v>
      </c>
      <c r="L1208" t="str">
        <f t="shared" si="37"/>
        <v>Banca Etrusca|7|Risparmio</v>
      </c>
    </row>
    <row r="1209" spans="1:12" x14ac:dyDescent="0.25">
      <c r="A1209" t="s">
        <v>27</v>
      </c>
      <c r="B1209">
        <v>7</v>
      </c>
      <c r="C1209" t="s">
        <v>21</v>
      </c>
      <c r="D1209" s="1">
        <v>45504</v>
      </c>
      <c r="E1209">
        <v>2063.8000000000002</v>
      </c>
      <c r="F1209">
        <v>121.89</v>
      </c>
      <c r="G1209">
        <v>72.819999999999993</v>
      </c>
      <c r="H1209">
        <v>210</v>
      </c>
      <c r="I1209" t="s">
        <v>25</v>
      </c>
      <c r="J1209">
        <v>2024</v>
      </c>
      <c r="K1209">
        <f t="shared" si="36"/>
        <v>49.070000000000007</v>
      </c>
      <c r="L1209" t="str">
        <f t="shared" si="37"/>
        <v>Banca Etrusca|7|Assicurazioni</v>
      </c>
    </row>
    <row r="1210" spans="1:12" x14ac:dyDescent="0.25">
      <c r="A1210" t="s">
        <v>27</v>
      </c>
      <c r="B1210">
        <v>8</v>
      </c>
      <c r="C1210" t="s">
        <v>13</v>
      </c>
      <c r="D1210" s="1">
        <v>45535</v>
      </c>
      <c r="E1210">
        <v>543.79999999999995</v>
      </c>
      <c r="F1210">
        <v>25.01</v>
      </c>
      <c r="G1210">
        <v>15.4</v>
      </c>
      <c r="H1210">
        <v>77</v>
      </c>
      <c r="I1210" t="s">
        <v>25</v>
      </c>
      <c r="J1210">
        <v>2024</v>
      </c>
      <c r="K1210">
        <f t="shared" si="36"/>
        <v>9.6100000000000012</v>
      </c>
      <c r="L1210" t="str">
        <f t="shared" si="37"/>
        <v>Banca Etrusca|8|Mutui</v>
      </c>
    </row>
    <row r="1211" spans="1:12" x14ac:dyDescent="0.25">
      <c r="A1211" t="s">
        <v>27</v>
      </c>
      <c r="B1211">
        <v>8</v>
      </c>
      <c r="C1211" t="s">
        <v>15</v>
      </c>
      <c r="D1211" s="1">
        <v>45535</v>
      </c>
      <c r="E1211">
        <v>794.2</v>
      </c>
      <c r="F1211">
        <v>37.85</v>
      </c>
      <c r="G1211">
        <v>23.5</v>
      </c>
      <c r="H1211">
        <v>91</v>
      </c>
      <c r="I1211" t="s">
        <v>25</v>
      </c>
      <c r="J1211">
        <v>2024</v>
      </c>
      <c r="K1211">
        <f t="shared" si="36"/>
        <v>14.350000000000001</v>
      </c>
      <c r="L1211" t="str">
        <f t="shared" si="37"/>
        <v>Banca Etrusca|8|Prestiti</v>
      </c>
    </row>
    <row r="1212" spans="1:12" x14ac:dyDescent="0.25">
      <c r="A1212" t="s">
        <v>27</v>
      </c>
      <c r="B1212">
        <v>8</v>
      </c>
      <c r="C1212" t="s">
        <v>16</v>
      </c>
      <c r="D1212" s="1">
        <v>45535</v>
      </c>
      <c r="E1212">
        <v>1022.9</v>
      </c>
      <c r="F1212">
        <v>50.25</v>
      </c>
      <c r="G1212">
        <v>31.3</v>
      </c>
      <c r="H1212">
        <v>97</v>
      </c>
      <c r="I1212" t="s">
        <v>25</v>
      </c>
      <c r="J1212">
        <v>2024</v>
      </c>
      <c r="K1212">
        <f t="shared" si="36"/>
        <v>18.95</v>
      </c>
      <c r="L1212" t="str">
        <f t="shared" si="37"/>
        <v>Banca Etrusca|8|Conti</v>
      </c>
    </row>
    <row r="1213" spans="1:12" x14ac:dyDescent="0.25">
      <c r="A1213" t="s">
        <v>27</v>
      </c>
      <c r="B1213">
        <v>8</v>
      </c>
      <c r="C1213" t="s">
        <v>17</v>
      </c>
      <c r="D1213" s="1">
        <v>45535</v>
      </c>
      <c r="E1213">
        <v>1225</v>
      </c>
      <c r="F1213">
        <v>62.5</v>
      </c>
      <c r="G1213">
        <v>38.44</v>
      </c>
      <c r="H1213">
        <v>124</v>
      </c>
      <c r="I1213" t="s">
        <v>25</v>
      </c>
      <c r="J1213">
        <v>2024</v>
      </c>
      <c r="K1213">
        <f t="shared" si="36"/>
        <v>24.060000000000002</v>
      </c>
      <c r="L1213" t="str">
        <f t="shared" si="37"/>
        <v>Banca Etrusca|8|Carte</v>
      </c>
    </row>
    <row r="1214" spans="1:12" x14ac:dyDescent="0.25">
      <c r="A1214" t="s">
        <v>27</v>
      </c>
      <c r="B1214">
        <v>8</v>
      </c>
      <c r="C1214" t="s">
        <v>18</v>
      </c>
      <c r="D1214" s="1">
        <v>45535</v>
      </c>
      <c r="E1214">
        <v>1433</v>
      </c>
      <c r="F1214">
        <v>76.819999999999993</v>
      </c>
      <c r="G1214">
        <v>46.47</v>
      </c>
      <c r="H1214">
        <v>158</v>
      </c>
      <c r="I1214" t="s">
        <v>25</v>
      </c>
      <c r="J1214">
        <v>2024</v>
      </c>
      <c r="K1214">
        <f t="shared" si="36"/>
        <v>30.349999999999994</v>
      </c>
      <c r="L1214" t="str">
        <f t="shared" si="37"/>
        <v>Banca Etrusca|8|Leasing</v>
      </c>
    </row>
    <row r="1215" spans="1:12" x14ac:dyDescent="0.25">
      <c r="A1215" t="s">
        <v>27</v>
      </c>
      <c r="B1215">
        <v>8</v>
      </c>
      <c r="C1215" t="s">
        <v>19</v>
      </c>
      <c r="D1215" s="1">
        <v>45535</v>
      </c>
      <c r="E1215">
        <v>1649.9</v>
      </c>
      <c r="F1215">
        <v>90.86</v>
      </c>
      <c r="G1215">
        <v>54.81</v>
      </c>
      <c r="H1215">
        <v>182</v>
      </c>
      <c r="I1215" t="s">
        <v>25</v>
      </c>
      <c r="J1215">
        <v>2024</v>
      </c>
      <c r="K1215">
        <f t="shared" si="36"/>
        <v>36.049999999999997</v>
      </c>
      <c r="L1215" t="str">
        <f t="shared" si="37"/>
        <v>Banca Etrusca|8|Factoring</v>
      </c>
    </row>
    <row r="1216" spans="1:12" x14ac:dyDescent="0.25">
      <c r="A1216" t="s">
        <v>27</v>
      </c>
      <c r="B1216">
        <v>8</v>
      </c>
      <c r="C1216" t="s">
        <v>20</v>
      </c>
      <c r="D1216" s="1">
        <v>45535</v>
      </c>
      <c r="E1216">
        <v>1867.5</v>
      </c>
      <c r="F1216">
        <v>107.25</v>
      </c>
      <c r="G1216">
        <v>64.040000000000006</v>
      </c>
      <c r="H1216">
        <v>181</v>
      </c>
      <c r="I1216" t="s">
        <v>25</v>
      </c>
      <c r="J1216">
        <v>2024</v>
      </c>
      <c r="K1216">
        <f t="shared" si="36"/>
        <v>43.209999999999994</v>
      </c>
      <c r="L1216" t="str">
        <f t="shared" si="37"/>
        <v>Banca Etrusca|8|Risparmio</v>
      </c>
    </row>
    <row r="1217" spans="1:12" x14ac:dyDescent="0.25">
      <c r="A1217" t="s">
        <v>27</v>
      </c>
      <c r="B1217">
        <v>8</v>
      </c>
      <c r="C1217" t="s">
        <v>21</v>
      </c>
      <c r="D1217" s="1">
        <v>45535</v>
      </c>
      <c r="E1217">
        <v>2068.4</v>
      </c>
      <c r="F1217">
        <v>122.74</v>
      </c>
      <c r="G1217">
        <v>73.16</v>
      </c>
      <c r="H1217">
        <v>197</v>
      </c>
      <c r="I1217" t="s">
        <v>25</v>
      </c>
      <c r="J1217">
        <v>2024</v>
      </c>
      <c r="K1217">
        <f t="shared" si="36"/>
        <v>49.58</v>
      </c>
      <c r="L1217" t="str">
        <f t="shared" si="37"/>
        <v>Banca Etrusca|8|Assicurazioni</v>
      </c>
    </row>
    <row r="1218" spans="1:12" x14ac:dyDescent="0.25">
      <c r="A1218" t="s">
        <v>27</v>
      </c>
      <c r="B1218">
        <v>9</v>
      </c>
      <c r="C1218" t="s">
        <v>13</v>
      </c>
      <c r="D1218" s="1">
        <v>45565</v>
      </c>
      <c r="E1218">
        <v>593.79999999999995</v>
      </c>
      <c r="F1218">
        <v>27.66</v>
      </c>
      <c r="G1218">
        <v>17.03</v>
      </c>
      <c r="H1218">
        <v>68</v>
      </c>
      <c r="I1218" t="s">
        <v>25</v>
      </c>
      <c r="J1218">
        <v>2024</v>
      </c>
      <c r="K1218">
        <f t="shared" ref="K1218:K1281" si="38">F1218-G1218</f>
        <v>10.629999999999999</v>
      </c>
      <c r="L1218" t="str">
        <f t="shared" ref="L1218:L1281" si="39">A1218&amp;"|"&amp;B1218&amp;"|"&amp;C1218</f>
        <v>Banca Etrusca|9|Mutui</v>
      </c>
    </row>
    <row r="1219" spans="1:12" x14ac:dyDescent="0.25">
      <c r="A1219" t="s">
        <v>27</v>
      </c>
      <c r="B1219">
        <v>9</v>
      </c>
      <c r="C1219" t="s">
        <v>15</v>
      </c>
      <c r="D1219" s="1">
        <v>45565</v>
      </c>
      <c r="E1219">
        <v>793</v>
      </c>
      <c r="F1219">
        <v>37.46</v>
      </c>
      <c r="G1219">
        <v>23.33</v>
      </c>
      <c r="H1219">
        <v>99</v>
      </c>
      <c r="I1219" t="s">
        <v>25</v>
      </c>
      <c r="J1219">
        <v>2024</v>
      </c>
      <c r="K1219">
        <f t="shared" si="38"/>
        <v>14.130000000000003</v>
      </c>
      <c r="L1219" t="str">
        <f t="shared" si="39"/>
        <v>Banca Etrusca|9|Prestiti</v>
      </c>
    </row>
    <row r="1220" spans="1:12" x14ac:dyDescent="0.25">
      <c r="A1220" t="s">
        <v>27</v>
      </c>
      <c r="B1220">
        <v>9</v>
      </c>
      <c r="C1220" t="s">
        <v>16</v>
      </c>
      <c r="D1220" s="1">
        <v>45565</v>
      </c>
      <c r="E1220">
        <v>1018.3</v>
      </c>
      <c r="F1220">
        <v>50.56</v>
      </c>
      <c r="G1220">
        <v>30.9</v>
      </c>
      <c r="H1220">
        <v>130</v>
      </c>
      <c r="I1220" t="s">
        <v>25</v>
      </c>
      <c r="J1220">
        <v>2024</v>
      </c>
      <c r="K1220">
        <f t="shared" si="38"/>
        <v>19.660000000000004</v>
      </c>
      <c r="L1220" t="str">
        <f t="shared" si="39"/>
        <v>Banca Etrusca|9|Conti</v>
      </c>
    </row>
    <row r="1221" spans="1:12" x14ac:dyDescent="0.25">
      <c r="A1221" t="s">
        <v>27</v>
      </c>
      <c r="B1221">
        <v>9</v>
      </c>
      <c r="C1221" t="s">
        <v>17</v>
      </c>
      <c r="D1221" s="1">
        <v>45565</v>
      </c>
      <c r="E1221">
        <v>1213.5</v>
      </c>
      <c r="F1221">
        <v>62.82</v>
      </c>
      <c r="G1221">
        <v>38.200000000000003</v>
      </c>
      <c r="H1221">
        <v>118</v>
      </c>
      <c r="I1221" t="s">
        <v>25</v>
      </c>
      <c r="J1221">
        <v>2024</v>
      </c>
      <c r="K1221">
        <f t="shared" si="38"/>
        <v>24.619999999999997</v>
      </c>
      <c r="L1221" t="str">
        <f t="shared" si="39"/>
        <v>Banca Etrusca|9|Carte</v>
      </c>
    </row>
    <row r="1222" spans="1:12" x14ac:dyDescent="0.25">
      <c r="A1222" t="s">
        <v>27</v>
      </c>
      <c r="B1222">
        <v>9</v>
      </c>
      <c r="C1222" t="s">
        <v>18</v>
      </c>
      <c r="D1222" s="1">
        <v>45565</v>
      </c>
      <c r="E1222">
        <v>1422.3</v>
      </c>
      <c r="F1222">
        <v>75.540000000000006</v>
      </c>
      <c r="G1222">
        <v>46.3</v>
      </c>
      <c r="H1222">
        <v>170</v>
      </c>
      <c r="I1222" t="s">
        <v>25</v>
      </c>
      <c r="J1222">
        <v>2024</v>
      </c>
      <c r="K1222">
        <f t="shared" si="38"/>
        <v>29.240000000000009</v>
      </c>
      <c r="L1222" t="str">
        <f t="shared" si="39"/>
        <v>Banca Etrusca|9|Leasing</v>
      </c>
    </row>
    <row r="1223" spans="1:12" x14ac:dyDescent="0.25">
      <c r="A1223" t="s">
        <v>27</v>
      </c>
      <c r="B1223">
        <v>9</v>
      </c>
      <c r="C1223" t="s">
        <v>19</v>
      </c>
      <c r="D1223" s="1">
        <v>45565</v>
      </c>
      <c r="E1223">
        <v>1682</v>
      </c>
      <c r="F1223">
        <v>93.09</v>
      </c>
      <c r="G1223">
        <v>55.94</v>
      </c>
      <c r="H1223">
        <v>185</v>
      </c>
      <c r="I1223" t="s">
        <v>25</v>
      </c>
      <c r="J1223">
        <v>2024</v>
      </c>
      <c r="K1223">
        <f t="shared" si="38"/>
        <v>37.150000000000006</v>
      </c>
      <c r="L1223" t="str">
        <f t="shared" si="39"/>
        <v>Banca Etrusca|9|Factoring</v>
      </c>
    </row>
    <row r="1224" spans="1:12" x14ac:dyDescent="0.25">
      <c r="A1224" t="s">
        <v>27</v>
      </c>
      <c r="B1224">
        <v>9</v>
      </c>
      <c r="C1224" t="s">
        <v>20</v>
      </c>
      <c r="D1224" s="1">
        <v>45565</v>
      </c>
      <c r="E1224">
        <v>1902.8</v>
      </c>
      <c r="F1224">
        <v>108.71</v>
      </c>
      <c r="G1224">
        <v>65.09</v>
      </c>
      <c r="H1224">
        <v>193</v>
      </c>
      <c r="I1224" t="s">
        <v>25</v>
      </c>
      <c r="J1224">
        <v>2024</v>
      </c>
      <c r="K1224">
        <f t="shared" si="38"/>
        <v>43.61999999999999</v>
      </c>
      <c r="L1224" t="str">
        <f t="shared" si="39"/>
        <v>Banca Etrusca|9|Risparmio</v>
      </c>
    </row>
    <row r="1225" spans="1:12" x14ac:dyDescent="0.25">
      <c r="A1225" t="s">
        <v>27</v>
      </c>
      <c r="B1225">
        <v>9</v>
      </c>
      <c r="C1225" t="s">
        <v>21</v>
      </c>
      <c r="D1225" s="1">
        <v>45565</v>
      </c>
      <c r="E1225">
        <v>2107.1</v>
      </c>
      <c r="F1225">
        <v>124.78</v>
      </c>
      <c r="G1225">
        <v>73.989999999999995</v>
      </c>
      <c r="H1225">
        <v>199</v>
      </c>
      <c r="I1225" t="s">
        <v>25</v>
      </c>
      <c r="J1225">
        <v>2024</v>
      </c>
      <c r="K1225">
        <f t="shared" si="38"/>
        <v>50.790000000000006</v>
      </c>
      <c r="L1225" t="str">
        <f t="shared" si="39"/>
        <v>Banca Etrusca|9|Assicurazioni</v>
      </c>
    </row>
    <row r="1226" spans="1:12" x14ac:dyDescent="0.25">
      <c r="A1226" t="s">
        <v>27</v>
      </c>
      <c r="B1226">
        <v>10</v>
      </c>
      <c r="C1226" t="s">
        <v>13</v>
      </c>
      <c r="D1226" s="1">
        <v>45596</v>
      </c>
      <c r="E1226">
        <v>570.6</v>
      </c>
      <c r="F1226">
        <v>26.46</v>
      </c>
      <c r="G1226">
        <v>16.7</v>
      </c>
      <c r="H1226">
        <v>57</v>
      </c>
      <c r="I1226" t="s">
        <v>25</v>
      </c>
      <c r="J1226">
        <v>2024</v>
      </c>
      <c r="K1226">
        <f t="shared" si="38"/>
        <v>9.7600000000000016</v>
      </c>
      <c r="L1226" t="str">
        <f t="shared" si="39"/>
        <v>Banca Etrusca|10|Mutui</v>
      </c>
    </row>
    <row r="1227" spans="1:12" x14ac:dyDescent="0.25">
      <c r="A1227" t="s">
        <v>27</v>
      </c>
      <c r="B1227">
        <v>10</v>
      </c>
      <c r="C1227" t="s">
        <v>15</v>
      </c>
      <c r="D1227" s="1">
        <v>45596</v>
      </c>
      <c r="E1227">
        <v>820</v>
      </c>
      <c r="F1227">
        <v>38.99</v>
      </c>
      <c r="G1227">
        <v>24.41</v>
      </c>
      <c r="H1227">
        <v>110</v>
      </c>
      <c r="I1227" t="s">
        <v>25</v>
      </c>
      <c r="J1227">
        <v>2024</v>
      </c>
      <c r="K1227">
        <f t="shared" si="38"/>
        <v>14.580000000000002</v>
      </c>
      <c r="L1227" t="str">
        <f t="shared" si="39"/>
        <v>Banca Etrusca|10|Prestiti</v>
      </c>
    </row>
    <row r="1228" spans="1:12" x14ac:dyDescent="0.25">
      <c r="A1228" t="s">
        <v>27</v>
      </c>
      <c r="B1228">
        <v>10</v>
      </c>
      <c r="C1228" t="s">
        <v>16</v>
      </c>
      <c r="D1228" s="1">
        <v>45596</v>
      </c>
      <c r="E1228">
        <v>995.8</v>
      </c>
      <c r="F1228">
        <v>48.92</v>
      </c>
      <c r="G1228">
        <v>30.56</v>
      </c>
      <c r="H1228">
        <v>131</v>
      </c>
      <c r="I1228" t="s">
        <v>25</v>
      </c>
      <c r="J1228">
        <v>2024</v>
      </c>
      <c r="K1228">
        <f t="shared" si="38"/>
        <v>18.360000000000003</v>
      </c>
      <c r="L1228" t="str">
        <f t="shared" si="39"/>
        <v>Banca Etrusca|10|Conti</v>
      </c>
    </row>
    <row r="1229" spans="1:12" x14ac:dyDescent="0.25">
      <c r="A1229" t="s">
        <v>27</v>
      </c>
      <c r="B1229">
        <v>10</v>
      </c>
      <c r="C1229" t="s">
        <v>17</v>
      </c>
      <c r="D1229" s="1">
        <v>45596</v>
      </c>
      <c r="E1229">
        <v>1236.0999999999999</v>
      </c>
      <c r="F1229">
        <v>63.2</v>
      </c>
      <c r="G1229">
        <v>38.840000000000003</v>
      </c>
      <c r="H1229">
        <v>136</v>
      </c>
      <c r="I1229" t="s">
        <v>25</v>
      </c>
      <c r="J1229">
        <v>2024</v>
      </c>
      <c r="K1229">
        <f t="shared" si="38"/>
        <v>24.36</v>
      </c>
      <c r="L1229" t="str">
        <f t="shared" si="39"/>
        <v>Banca Etrusca|10|Carte</v>
      </c>
    </row>
    <row r="1230" spans="1:12" x14ac:dyDescent="0.25">
      <c r="A1230" t="s">
        <v>27</v>
      </c>
      <c r="B1230">
        <v>10</v>
      </c>
      <c r="C1230" t="s">
        <v>18</v>
      </c>
      <c r="D1230" s="1">
        <v>45596</v>
      </c>
      <c r="E1230">
        <v>1445.5</v>
      </c>
      <c r="F1230">
        <v>77.36</v>
      </c>
      <c r="G1230">
        <v>46.82</v>
      </c>
      <c r="H1230">
        <v>164</v>
      </c>
      <c r="I1230" t="s">
        <v>25</v>
      </c>
      <c r="J1230">
        <v>2024</v>
      </c>
      <c r="K1230">
        <f t="shared" si="38"/>
        <v>30.54</v>
      </c>
      <c r="L1230" t="str">
        <f t="shared" si="39"/>
        <v>Banca Etrusca|10|Leasing</v>
      </c>
    </row>
    <row r="1231" spans="1:12" x14ac:dyDescent="0.25">
      <c r="A1231" t="s">
        <v>27</v>
      </c>
      <c r="B1231">
        <v>10</v>
      </c>
      <c r="C1231" t="s">
        <v>19</v>
      </c>
      <c r="D1231" s="1">
        <v>45596</v>
      </c>
      <c r="E1231">
        <v>1668.7</v>
      </c>
      <c r="F1231">
        <v>92.05</v>
      </c>
      <c r="G1231">
        <v>55.95</v>
      </c>
      <c r="H1231">
        <v>164</v>
      </c>
      <c r="I1231" t="s">
        <v>25</v>
      </c>
      <c r="J1231">
        <v>2024</v>
      </c>
      <c r="K1231">
        <f t="shared" si="38"/>
        <v>36.099999999999994</v>
      </c>
      <c r="L1231" t="str">
        <f t="shared" si="39"/>
        <v>Banca Etrusca|10|Factoring</v>
      </c>
    </row>
    <row r="1232" spans="1:12" x14ac:dyDescent="0.25">
      <c r="A1232" t="s">
        <v>27</v>
      </c>
      <c r="B1232">
        <v>10</v>
      </c>
      <c r="C1232" t="s">
        <v>20</v>
      </c>
      <c r="D1232" s="1">
        <v>45596</v>
      </c>
      <c r="E1232">
        <v>1889.3</v>
      </c>
      <c r="F1232">
        <v>108.38</v>
      </c>
      <c r="G1232">
        <v>64.72</v>
      </c>
      <c r="H1232">
        <v>206</v>
      </c>
      <c r="I1232" t="s">
        <v>25</v>
      </c>
      <c r="J1232">
        <v>2024</v>
      </c>
      <c r="K1232">
        <f t="shared" si="38"/>
        <v>43.66</v>
      </c>
      <c r="L1232" t="str">
        <f t="shared" si="39"/>
        <v>Banca Etrusca|10|Risparmio</v>
      </c>
    </row>
    <row r="1233" spans="1:12" x14ac:dyDescent="0.25">
      <c r="A1233" t="s">
        <v>27</v>
      </c>
      <c r="B1233">
        <v>10</v>
      </c>
      <c r="C1233" t="s">
        <v>21</v>
      </c>
      <c r="D1233" s="1">
        <v>45596</v>
      </c>
      <c r="E1233">
        <v>2132.5</v>
      </c>
      <c r="F1233">
        <v>126.25</v>
      </c>
      <c r="G1233">
        <v>75.34</v>
      </c>
      <c r="H1233">
        <v>197</v>
      </c>
      <c r="I1233" t="s">
        <v>25</v>
      </c>
      <c r="J1233">
        <v>2024</v>
      </c>
      <c r="K1233">
        <f t="shared" si="38"/>
        <v>50.91</v>
      </c>
      <c r="L1233" t="str">
        <f t="shared" si="39"/>
        <v>Banca Etrusca|10|Assicurazioni</v>
      </c>
    </row>
    <row r="1234" spans="1:12" x14ac:dyDescent="0.25">
      <c r="A1234" t="s">
        <v>27</v>
      </c>
      <c r="B1234">
        <v>11</v>
      </c>
      <c r="C1234" t="s">
        <v>13</v>
      </c>
      <c r="D1234" s="1">
        <v>45626</v>
      </c>
      <c r="E1234">
        <v>589.4</v>
      </c>
      <c r="F1234">
        <v>27.47</v>
      </c>
      <c r="G1234">
        <v>17.02</v>
      </c>
      <c r="H1234">
        <v>80</v>
      </c>
      <c r="I1234" t="s">
        <v>25</v>
      </c>
      <c r="J1234">
        <v>2024</v>
      </c>
      <c r="K1234">
        <f t="shared" si="38"/>
        <v>10.45</v>
      </c>
      <c r="L1234" t="str">
        <f t="shared" si="39"/>
        <v>Banca Etrusca|11|Mutui</v>
      </c>
    </row>
    <row r="1235" spans="1:12" x14ac:dyDescent="0.25">
      <c r="A1235" t="s">
        <v>27</v>
      </c>
      <c r="B1235">
        <v>11</v>
      </c>
      <c r="C1235" t="s">
        <v>15</v>
      </c>
      <c r="D1235" s="1">
        <v>45626</v>
      </c>
      <c r="E1235">
        <v>785.7</v>
      </c>
      <c r="F1235">
        <v>37.5</v>
      </c>
      <c r="G1235">
        <v>23.24</v>
      </c>
      <c r="H1235">
        <v>113</v>
      </c>
      <c r="I1235" t="s">
        <v>25</v>
      </c>
      <c r="J1235">
        <v>2024</v>
      </c>
      <c r="K1235">
        <f t="shared" si="38"/>
        <v>14.260000000000002</v>
      </c>
      <c r="L1235" t="str">
        <f t="shared" si="39"/>
        <v>Banca Etrusca|11|Prestiti</v>
      </c>
    </row>
    <row r="1236" spans="1:12" x14ac:dyDescent="0.25">
      <c r="A1236" t="s">
        <v>27</v>
      </c>
      <c r="B1236">
        <v>11</v>
      </c>
      <c r="C1236" t="s">
        <v>16</v>
      </c>
      <c r="D1236" s="1">
        <v>45626</v>
      </c>
      <c r="E1236">
        <v>1000.3</v>
      </c>
      <c r="F1236">
        <v>49.96</v>
      </c>
      <c r="G1236">
        <v>30.72</v>
      </c>
      <c r="H1236">
        <v>125</v>
      </c>
      <c r="I1236" t="s">
        <v>25</v>
      </c>
      <c r="J1236">
        <v>2024</v>
      </c>
      <c r="K1236">
        <f t="shared" si="38"/>
        <v>19.240000000000002</v>
      </c>
      <c r="L1236" t="str">
        <f t="shared" si="39"/>
        <v>Banca Etrusca|11|Conti</v>
      </c>
    </row>
    <row r="1237" spans="1:12" x14ac:dyDescent="0.25">
      <c r="A1237" t="s">
        <v>27</v>
      </c>
      <c r="B1237">
        <v>11</v>
      </c>
      <c r="C1237" t="s">
        <v>17</v>
      </c>
      <c r="D1237" s="1">
        <v>45626</v>
      </c>
      <c r="E1237">
        <v>1257.2</v>
      </c>
      <c r="F1237">
        <v>64.33</v>
      </c>
      <c r="G1237">
        <v>39.97</v>
      </c>
      <c r="H1237">
        <v>141</v>
      </c>
      <c r="I1237" t="s">
        <v>25</v>
      </c>
      <c r="J1237">
        <v>2024</v>
      </c>
      <c r="K1237">
        <f t="shared" si="38"/>
        <v>24.36</v>
      </c>
      <c r="L1237" t="str">
        <f t="shared" si="39"/>
        <v>Banca Etrusca|11|Carte</v>
      </c>
    </row>
    <row r="1238" spans="1:12" x14ac:dyDescent="0.25">
      <c r="A1238" t="s">
        <v>27</v>
      </c>
      <c r="B1238">
        <v>11</v>
      </c>
      <c r="C1238" t="s">
        <v>18</v>
      </c>
      <c r="D1238" s="1">
        <v>45626</v>
      </c>
      <c r="E1238">
        <v>1457.6</v>
      </c>
      <c r="F1238">
        <v>77.819999999999993</v>
      </c>
      <c r="G1238">
        <v>47.04</v>
      </c>
      <c r="H1238">
        <v>153</v>
      </c>
      <c r="I1238" t="s">
        <v>25</v>
      </c>
      <c r="J1238">
        <v>2024</v>
      </c>
      <c r="K1238">
        <f t="shared" si="38"/>
        <v>30.779999999999994</v>
      </c>
      <c r="L1238" t="str">
        <f t="shared" si="39"/>
        <v>Banca Etrusca|11|Leasing</v>
      </c>
    </row>
    <row r="1239" spans="1:12" x14ac:dyDescent="0.25">
      <c r="A1239" t="s">
        <v>27</v>
      </c>
      <c r="B1239">
        <v>11</v>
      </c>
      <c r="C1239" t="s">
        <v>19</v>
      </c>
      <c r="D1239" s="1">
        <v>45626</v>
      </c>
      <c r="E1239">
        <v>1678.7</v>
      </c>
      <c r="F1239">
        <v>92.97</v>
      </c>
      <c r="G1239">
        <v>56.3</v>
      </c>
      <c r="H1239">
        <v>158</v>
      </c>
      <c r="I1239" t="s">
        <v>25</v>
      </c>
      <c r="J1239">
        <v>2024</v>
      </c>
      <c r="K1239">
        <f t="shared" si="38"/>
        <v>36.67</v>
      </c>
      <c r="L1239" t="str">
        <f t="shared" si="39"/>
        <v>Banca Etrusca|11|Factoring</v>
      </c>
    </row>
    <row r="1240" spans="1:12" x14ac:dyDescent="0.25">
      <c r="A1240" t="s">
        <v>27</v>
      </c>
      <c r="B1240">
        <v>11</v>
      </c>
      <c r="C1240" t="s">
        <v>20</v>
      </c>
      <c r="D1240" s="1">
        <v>45626</v>
      </c>
      <c r="E1240">
        <v>1934.8</v>
      </c>
      <c r="F1240">
        <v>110.73</v>
      </c>
      <c r="G1240">
        <v>66.23</v>
      </c>
      <c r="H1240">
        <v>214</v>
      </c>
      <c r="I1240" t="s">
        <v>25</v>
      </c>
      <c r="J1240">
        <v>2024</v>
      </c>
      <c r="K1240">
        <f t="shared" si="38"/>
        <v>44.5</v>
      </c>
      <c r="L1240" t="str">
        <f t="shared" si="39"/>
        <v>Banca Etrusca|11|Risparmio</v>
      </c>
    </row>
    <row r="1241" spans="1:12" x14ac:dyDescent="0.25">
      <c r="A1241" t="s">
        <v>27</v>
      </c>
      <c r="B1241">
        <v>11</v>
      </c>
      <c r="C1241" t="s">
        <v>21</v>
      </c>
      <c r="D1241" s="1">
        <v>45626</v>
      </c>
      <c r="E1241">
        <v>2134.3000000000002</v>
      </c>
      <c r="F1241">
        <v>126.15</v>
      </c>
      <c r="G1241">
        <v>75.61</v>
      </c>
      <c r="H1241">
        <v>217</v>
      </c>
      <c r="I1241" t="s">
        <v>25</v>
      </c>
      <c r="J1241">
        <v>2024</v>
      </c>
      <c r="K1241">
        <f t="shared" si="38"/>
        <v>50.540000000000006</v>
      </c>
      <c r="L1241" t="str">
        <f t="shared" si="39"/>
        <v>Banca Etrusca|11|Assicurazioni</v>
      </c>
    </row>
    <row r="1242" spans="1:12" x14ac:dyDescent="0.25">
      <c r="A1242" t="s">
        <v>27</v>
      </c>
      <c r="B1242">
        <v>12</v>
      </c>
      <c r="C1242" t="s">
        <v>13</v>
      </c>
      <c r="D1242" s="1">
        <v>45657</v>
      </c>
      <c r="E1242">
        <v>581.9</v>
      </c>
      <c r="F1242">
        <v>27</v>
      </c>
      <c r="G1242">
        <v>17.18</v>
      </c>
      <c r="H1242">
        <v>61</v>
      </c>
      <c r="I1242" t="s">
        <v>25</v>
      </c>
      <c r="J1242">
        <v>2024</v>
      </c>
      <c r="K1242">
        <f t="shared" si="38"/>
        <v>9.82</v>
      </c>
      <c r="L1242" t="str">
        <f t="shared" si="39"/>
        <v>Banca Etrusca|12|Mutui</v>
      </c>
    </row>
    <row r="1243" spans="1:12" x14ac:dyDescent="0.25">
      <c r="A1243" t="s">
        <v>27</v>
      </c>
      <c r="B1243">
        <v>12</v>
      </c>
      <c r="C1243" t="s">
        <v>15</v>
      </c>
      <c r="D1243" s="1">
        <v>45657</v>
      </c>
      <c r="E1243">
        <v>830.4</v>
      </c>
      <c r="F1243">
        <v>40.01</v>
      </c>
      <c r="G1243">
        <v>24.77</v>
      </c>
      <c r="H1243">
        <v>78</v>
      </c>
      <c r="I1243" t="s">
        <v>25</v>
      </c>
      <c r="J1243">
        <v>2024</v>
      </c>
      <c r="K1243">
        <f t="shared" si="38"/>
        <v>15.239999999999998</v>
      </c>
      <c r="L1243" t="str">
        <f t="shared" si="39"/>
        <v>Banca Etrusca|12|Prestiti</v>
      </c>
    </row>
    <row r="1244" spans="1:12" x14ac:dyDescent="0.25">
      <c r="A1244" t="s">
        <v>27</v>
      </c>
      <c r="B1244">
        <v>12</v>
      </c>
      <c r="C1244" t="s">
        <v>16</v>
      </c>
      <c r="D1244" s="1">
        <v>45657</v>
      </c>
      <c r="E1244">
        <v>1023.5</v>
      </c>
      <c r="F1244">
        <v>50.59</v>
      </c>
      <c r="G1244">
        <v>30.74</v>
      </c>
      <c r="H1244">
        <v>122</v>
      </c>
      <c r="I1244" t="s">
        <v>25</v>
      </c>
      <c r="J1244">
        <v>2024</v>
      </c>
      <c r="K1244">
        <f t="shared" si="38"/>
        <v>19.850000000000005</v>
      </c>
      <c r="L1244" t="str">
        <f t="shared" si="39"/>
        <v>Banca Etrusca|12|Conti</v>
      </c>
    </row>
    <row r="1245" spans="1:12" x14ac:dyDescent="0.25">
      <c r="A1245" t="s">
        <v>27</v>
      </c>
      <c r="B1245">
        <v>12</v>
      </c>
      <c r="C1245" t="s">
        <v>17</v>
      </c>
      <c r="D1245" s="1">
        <v>45657</v>
      </c>
      <c r="E1245">
        <v>1256.9000000000001</v>
      </c>
      <c r="F1245">
        <v>64.67</v>
      </c>
      <c r="G1245">
        <v>39.020000000000003</v>
      </c>
      <c r="H1245">
        <v>126</v>
      </c>
      <c r="I1245" t="s">
        <v>25</v>
      </c>
      <c r="J1245">
        <v>2024</v>
      </c>
      <c r="K1245">
        <f t="shared" si="38"/>
        <v>25.65</v>
      </c>
      <c r="L1245" t="str">
        <f t="shared" si="39"/>
        <v>Banca Etrusca|12|Carte</v>
      </c>
    </row>
    <row r="1246" spans="1:12" x14ac:dyDescent="0.25">
      <c r="A1246" t="s">
        <v>27</v>
      </c>
      <c r="B1246">
        <v>12</v>
      </c>
      <c r="C1246" t="s">
        <v>18</v>
      </c>
      <c r="D1246" s="1">
        <v>45657</v>
      </c>
      <c r="E1246">
        <v>1453.8</v>
      </c>
      <c r="F1246">
        <v>77.72</v>
      </c>
      <c r="G1246">
        <v>46.9</v>
      </c>
      <c r="H1246">
        <v>135</v>
      </c>
      <c r="I1246" t="s">
        <v>25</v>
      </c>
      <c r="J1246">
        <v>2024</v>
      </c>
      <c r="K1246">
        <f t="shared" si="38"/>
        <v>30.82</v>
      </c>
      <c r="L1246" t="str">
        <f t="shared" si="39"/>
        <v>Banca Etrusca|12|Leasing</v>
      </c>
    </row>
    <row r="1247" spans="1:12" x14ac:dyDescent="0.25">
      <c r="A1247" t="s">
        <v>27</v>
      </c>
      <c r="B1247">
        <v>12</v>
      </c>
      <c r="C1247" t="s">
        <v>19</v>
      </c>
      <c r="D1247" s="1">
        <v>45657</v>
      </c>
      <c r="E1247">
        <v>1720.2</v>
      </c>
      <c r="F1247">
        <v>95.11</v>
      </c>
      <c r="G1247">
        <v>57.49</v>
      </c>
      <c r="H1247">
        <v>161</v>
      </c>
      <c r="I1247" t="s">
        <v>25</v>
      </c>
      <c r="J1247">
        <v>2024</v>
      </c>
      <c r="K1247">
        <f t="shared" si="38"/>
        <v>37.619999999999997</v>
      </c>
      <c r="L1247" t="str">
        <f t="shared" si="39"/>
        <v>Banca Etrusca|12|Factoring</v>
      </c>
    </row>
    <row r="1248" spans="1:12" x14ac:dyDescent="0.25">
      <c r="A1248" t="s">
        <v>27</v>
      </c>
      <c r="B1248">
        <v>12</v>
      </c>
      <c r="C1248" t="s">
        <v>20</v>
      </c>
      <c r="D1248" s="1">
        <v>45657</v>
      </c>
      <c r="E1248">
        <v>1949.9</v>
      </c>
      <c r="F1248">
        <v>111.45</v>
      </c>
      <c r="G1248">
        <v>66.739999999999995</v>
      </c>
      <c r="H1248">
        <v>188</v>
      </c>
      <c r="I1248" t="s">
        <v>25</v>
      </c>
      <c r="J1248">
        <v>2024</v>
      </c>
      <c r="K1248">
        <f t="shared" si="38"/>
        <v>44.710000000000008</v>
      </c>
      <c r="L1248" t="str">
        <f t="shared" si="39"/>
        <v>Banca Etrusca|12|Risparmio</v>
      </c>
    </row>
    <row r="1249" spans="1:12" x14ac:dyDescent="0.25">
      <c r="A1249" t="s">
        <v>27</v>
      </c>
      <c r="B1249">
        <v>12</v>
      </c>
      <c r="C1249" t="s">
        <v>21</v>
      </c>
      <c r="D1249" s="1">
        <v>45657</v>
      </c>
      <c r="E1249">
        <v>2139.5</v>
      </c>
      <c r="F1249">
        <v>126.91</v>
      </c>
      <c r="G1249">
        <v>75.09</v>
      </c>
      <c r="H1249">
        <v>222</v>
      </c>
      <c r="I1249" t="s">
        <v>25</v>
      </c>
      <c r="J1249">
        <v>2024</v>
      </c>
      <c r="K1249">
        <f t="shared" si="38"/>
        <v>51.819999999999993</v>
      </c>
      <c r="L1249" t="str">
        <f t="shared" si="39"/>
        <v>Banca Etrusca|12|Assicurazioni</v>
      </c>
    </row>
    <row r="1250" spans="1:12" x14ac:dyDescent="0.25">
      <c r="A1250" t="s">
        <v>27</v>
      </c>
      <c r="B1250">
        <v>13</v>
      </c>
      <c r="C1250" t="s">
        <v>13</v>
      </c>
      <c r="D1250" s="1">
        <v>45688</v>
      </c>
      <c r="E1250">
        <v>599.4</v>
      </c>
      <c r="F1250">
        <v>27.92</v>
      </c>
      <c r="G1250">
        <v>17.57</v>
      </c>
      <c r="H1250">
        <v>84</v>
      </c>
      <c r="I1250" t="s">
        <v>25</v>
      </c>
      <c r="J1250">
        <v>2025</v>
      </c>
      <c r="K1250">
        <f t="shared" si="38"/>
        <v>10.350000000000001</v>
      </c>
      <c r="L1250" t="str">
        <f t="shared" si="39"/>
        <v>Banca Etrusca|13|Mutui</v>
      </c>
    </row>
    <row r="1251" spans="1:12" x14ac:dyDescent="0.25">
      <c r="A1251" t="s">
        <v>27</v>
      </c>
      <c r="B1251">
        <v>13</v>
      </c>
      <c r="C1251" t="s">
        <v>15</v>
      </c>
      <c r="D1251" s="1">
        <v>45688</v>
      </c>
      <c r="E1251">
        <v>830.3</v>
      </c>
      <c r="F1251">
        <v>39.43</v>
      </c>
      <c r="G1251">
        <v>24.81</v>
      </c>
      <c r="H1251">
        <v>92</v>
      </c>
      <c r="I1251" t="s">
        <v>25</v>
      </c>
      <c r="J1251">
        <v>2025</v>
      </c>
      <c r="K1251">
        <f t="shared" si="38"/>
        <v>14.620000000000001</v>
      </c>
      <c r="L1251" t="str">
        <f t="shared" si="39"/>
        <v>Banca Etrusca|13|Prestiti</v>
      </c>
    </row>
    <row r="1252" spans="1:12" x14ac:dyDescent="0.25">
      <c r="A1252" t="s">
        <v>27</v>
      </c>
      <c r="B1252">
        <v>13</v>
      </c>
      <c r="C1252" t="s">
        <v>16</v>
      </c>
      <c r="D1252" s="1">
        <v>45688</v>
      </c>
      <c r="E1252">
        <v>1039.8</v>
      </c>
      <c r="F1252">
        <v>51.13</v>
      </c>
      <c r="G1252">
        <v>31.83</v>
      </c>
      <c r="H1252">
        <v>111</v>
      </c>
      <c r="I1252" t="s">
        <v>25</v>
      </c>
      <c r="J1252">
        <v>2025</v>
      </c>
      <c r="K1252">
        <f t="shared" si="38"/>
        <v>19.300000000000004</v>
      </c>
      <c r="L1252" t="str">
        <f t="shared" si="39"/>
        <v>Banca Etrusca|13|Conti</v>
      </c>
    </row>
    <row r="1253" spans="1:12" x14ac:dyDescent="0.25">
      <c r="A1253" t="s">
        <v>27</v>
      </c>
      <c r="B1253">
        <v>13</v>
      </c>
      <c r="C1253" t="s">
        <v>17</v>
      </c>
      <c r="D1253" s="1">
        <v>45688</v>
      </c>
      <c r="E1253">
        <v>1289.2</v>
      </c>
      <c r="F1253">
        <v>66.19</v>
      </c>
      <c r="G1253">
        <v>40.83</v>
      </c>
      <c r="H1253">
        <v>127</v>
      </c>
      <c r="I1253" t="s">
        <v>25</v>
      </c>
      <c r="J1253">
        <v>2025</v>
      </c>
      <c r="K1253">
        <f t="shared" si="38"/>
        <v>25.36</v>
      </c>
      <c r="L1253" t="str">
        <f t="shared" si="39"/>
        <v>Banca Etrusca|13|Carte</v>
      </c>
    </row>
    <row r="1254" spans="1:12" x14ac:dyDescent="0.25">
      <c r="A1254" t="s">
        <v>27</v>
      </c>
      <c r="B1254">
        <v>13</v>
      </c>
      <c r="C1254" t="s">
        <v>18</v>
      </c>
      <c r="D1254" s="1">
        <v>45688</v>
      </c>
      <c r="E1254">
        <v>1493.5</v>
      </c>
      <c r="F1254">
        <v>79.41</v>
      </c>
      <c r="G1254">
        <v>48.32</v>
      </c>
      <c r="H1254">
        <v>139</v>
      </c>
      <c r="I1254" t="s">
        <v>25</v>
      </c>
      <c r="J1254">
        <v>2025</v>
      </c>
      <c r="K1254">
        <f t="shared" si="38"/>
        <v>31.089999999999996</v>
      </c>
      <c r="L1254" t="str">
        <f t="shared" si="39"/>
        <v>Banca Etrusca|13|Leasing</v>
      </c>
    </row>
    <row r="1255" spans="1:12" x14ac:dyDescent="0.25">
      <c r="A1255" t="s">
        <v>27</v>
      </c>
      <c r="B1255">
        <v>13</v>
      </c>
      <c r="C1255" t="s">
        <v>19</v>
      </c>
      <c r="D1255" s="1">
        <v>45688</v>
      </c>
      <c r="E1255">
        <v>1683.4</v>
      </c>
      <c r="F1255">
        <v>93.58</v>
      </c>
      <c r="G1255">
        <v>56.26</v>
      </c>
      <c r="H1255">
        <v>165</v>
      </c>
      <c r="I1255" t="s">
        <v>25</v>
      </c>
      <c r="J1255">
        <v>2025</v>
      </c>
      <c r="K1255">
        <f t="shared" si="38"/>
        <v>37.32</v>
      </c>
      <c r="L1255" t="str">
        <f t="shared" si="39"/>
        <v>Banca Etrusca|13|Factoring</v>
      </c>
    </row>
    <row r="1256" spans="1:12" x14ac:dyDescent="0.25">
      <c r="A1256" t="s">
        <v>27</v>
      </c>
      <c r="B1256">
        <v>13</v>
      </c>
      <c r="C1256" t="s">
        <v>20</v>
      </c>
      <c r="D1256" s="1">
        <v>45688</v>
      </c>
      <c r="E1256">
        <v>1923.1</v>
      </c>
      <c r="F1256">
        <v>109.97</v>
      </c>
      <c r="G1256">
        <v>65.760000000000005</v>
      </c>
      <c r="H1256">
        <v>202</v>
      </c>
      <c r="I1256" t="s">
        <v>25</v>
      </c>
      <c r="J1256">
        <v>2025</v>
      </c>
      <c r="K1256">
        <f t="shared" si="38"/>
        <v>44.209999999999994</v>
      </c>
      <c r="L1256" t="str">
        <f t="shared" si="39"/>
        <v>Banca Etrusca|13|Risparmio</v>
      </c>
    </row>
    <row r="1257" spans="1:12" x14ac:dyDescent="0.25">
      <c r="A1257" t="s">
        <v>27</v>
      </c>
      <c r="B1257">
        <v>13</v>
      </c>
      <c r="C1257" t="s">
        <v>21</v>
      </c>
      <c r="D1257" s="1">
        <v>45688</v>
      </c>
      <c r="E1257">
        <v>2130.4</v>
      </c>
      <c r="F1257">
        <v>126.57</v>
      </c>
      <c r="G1257">
        <v>75.180000000000007</v>
      </c>
      <c r="H1257">
        <v>207</v>
      </c>
      <c r="I1257" t="s">
        <v>25</v>
      </c>
      <c r="J1257">
        <v>2025</v>
      </c>
      <c r="K1257">
        <f t="shared" si="38"/>
        <v>51.389999999999986</v>
      </c>
      <c r="L1257" t="str">
        <f t="shared" si="39"/>
        <v>Banca Etrusca|13|Assicurazioni</v>
      </c>
    </row>
    <row r="1258" spans="1:12" x14ac:dyDescent="0.25">
      <c r="A1258" t="s">
        <v>27</v>
      </c>
      <c r="B1258">
        <v>14</v>
      </c>
      <c r="C1258" t="s">
        <v>13</v>
      </c>
      <c r="D1258" s="1">
        <v>45716</v>
      </c>
      <c r="E1258">
        <v>576.4</v>
      </c>
      <c r="F1258">
        <v>26.7</v>
      </c>
      <c r="G1258">
        <v>16.39</v>
      </c>
      <c r="H1258">
        <v>81</v>
      </c>
      <c r="I1258" t="s">
        <v>25</v>
      </c>
      <c r="J1258">
        <v>2025</v>
      </c>
      <c r="K1258">
        <f t="shared" si="38"/>
        <v>10.309999999999999</v>
      </c>
      <c r="L1258" t="str">
        <f t="shared" si="39"/>
        <v>Banca Etrusca|14|Mutui</v>
      </c>
    </row>
    <row r="1259" spans="1:12" x14ac:dyDescent="0.25">
      <c r="A1259" t="s">
        <v>27</v>
      </c>
      <c r="B1259">
        <v>14</v>
      </c>
      <c r="C1259" t="s">
        <v>15</v>
      </c>
      <c r="D1259" s="1">
        <v>45716</v>
      </c>
      <c r="E1259">
        <v>846.6</v>
      </c>
      <c r="F1259">
        <v>40.46</v>
      </c>
      <c r="G1259">
        <v>25.54</v>
      </c>
      <c r="H1259">
        <v>90</v>
      </c>
      <c r="I1259" t="s">
        <v>25</v>
      </c>
      <c r="J1259">
        <v>2025</v>
      </c>
      <c r="K1259">
        <f t="shared" si="38"/>
        <v>14.920000000000002</v>
      </c>
      <c r="L1259" t="str">
        <f t="shared" si="39"/>
        <v>Banca Etrusca|14|Prestiti</v>
      </c>
    </row>
    <row r="1260" spans="1:12" x14ac:dyDescent="0.25">
      <c r="A1260" t="s">
        <v>27</v>
      </c>
      <c r="B1260">
        <v>14</v>
      </c>
      <c r="C1260" t="s">
        <v>16</v>
      </c>
      <c r="D1260" s="1">
        <v>45716</v>
      </c>
      <c r="E1260">
        <v>1033.0999999999999</v>
      </c>
      <c r="F1260">
        <v>51.43</v>
      </c>
      <c r="G1260">
        <v>31.89</v>
      </c>
      <c r="H1260">
        <v>97</v>
      </c>
      <c r="I1260" t="s">
        <v>25</v>
      </c>
      <c r="J1260">
        <v>2025</v>
      </c>
      <c r="K1260">
        <f t="shared" si="38"/>
        <v>19.54</v>
      </c>
      <c r="L1260" t="str">
        <f t="shared" si="39"/>
        <v>Banca Etrusca|14|Conti</v>
      </c>
    </row>
    <row r="1261" spans="1:12" x14ac:dyDescent="0.25">
      <c r="A1261" t="s">
        <v>27</v>
      </c>
      <c r="B1261">
        <v>14</v>
      </c>
      <c r="C1261" t="s">
        <v>17</v>
      </c>
      <c r="D1261" s="1">
        <v>45716</v>
      </c>
      <c r="E1261">
        <v>1260.9000000000001</v>
      </c>
      <c r="F1261">
        <v>64.73</v>
      </c>
      <c r="G1261">
        <v>39.76</v>
      </c>
      <c r="H1261">
        <v>144</v>
      </c>
      <c r="I1261" t="s">
        <v>25</v>
      </c>
      <c r="J1261">
        <v>2025</v>
      </c>
      <c r="K1261">
        <f t="shared" si="38"/>
        <v>24.970000000000006</v>
      </c>
      <c r="L1261" t="str">
        <f t="shared" si="39"/>
        <v>Banca Etrusca|14|Carte</v>
      </c>
    </row>
    <row r="1262" spans="1:12" x14ac:dyDescent="0.25">
      <c r="A1262" t="s">
        <v>27</v>
      </c>
      <c r="B1262">
        <v>14</v>
      </c>
      <c r="C1262" t="s">
        <v>18</v>
      </c>
      <c r="D1262" s="1">
        <v>45716</v>
      </c>
      <c r="E1262">
        <v>1511.7</v>
      </c>
      <c r="F1262">
        <v>80.819999999999993</v>
      </c>
      <c r="G1262">
        <v>48.84</v>
      </c>
      <c r="H1262">
        <v>141</v>
      </c>
      <c r="I1262" t="s">
        <v>25</v>
      </c>
      <c r="J1262">
        <v>2025</v>
      </c>
      <c r="K1262">
        <f t="shared" si="38"/>
        <v>31.97999999999999</v>
      </c>
      <c r="L1262" t="str">
        <f t="shared" si="39"/>
        <v>Banca Etrusca|14|Leasing</v>
      </c>
    </row>
    <row r="1263" spans="1:12" x14ac:dyDescent="0.25">
      <c r="A1263" t="s">
        <v>27</v>
      </c>
      <c r="B1263">
        <v>14</v>
      </c>
      <c r="C1263" t="s">
        <v>19</v>
      </c>
      <c r="D1263" s="1">
        <v>45716</v>
      </c>
      <c r="E1263">
        <v>1695.6</v>
      </c>
      <c r="F1263">
        <v>94.05</v>
      </c>
      <c r="G1263">
        <v>56.89</v>
      </c>
      <c r="H1263">
        <v>171</v>
      </c>
      <c r="I1263" t="s">
        <v>25</v>
      </c>
      <c r="J1263">
        <v>2025</v>
      </c>
      <c r="K1263">
        <f t="shared" si="38"/>
        <v>37.159999999999997</v>
      </c>
      <c r="L1263" t="str">
        <f t="shared" si="39"/>
        <v>Banca Etrusca|14|Factoring</v>
      </c>
    </row>
    <row r="1264" spans="1:12" x14ac:dyDescent="0.25">
      <c r="A1264" t="s">
        <v>27</v>
      </c>
      <c r="B1264">
        <v>14</v>
      </c>
      <c r="C1264" t="s">
        <v>20</v>
      </c>
      <c r="D1264" s="1">
        <v>45716</v>
      </c>
      <c r="E1264">
        <v>1945</v>
      </c>
      <c r="F1264">
        <v>111.69</v>
      </c>
      <c r="G1264">
        <v>66.680000000000007</v>
      </c>
      <c r="H1264">
        <v>183</v>
      </c>
      <c r="I1264" t="s">
        <v>25</v>
      </c>
      <c r="J1264">
        <v>2025</v>
      </c>
      <c r="K1264">
        <f t="shared" si="38"/>
        <v>45.009999999999991</v>
      </c>
      <c r="L1264" t="str">
        <f t="shared" si="39"/>
        <v>Banca Etrusca|14|Risparmio</v>
      </c>
    </row>
    <row r="1265" spans="1:12" x14ac:dyDescent="0.25">
      <c r="A1265" t="s">
        <v>27</v>
      </c>
      <c r="B1265">
        <v>14</v>
      </c>
      <c r="C1265" t="s">
        <v>21</v>
      </c>
      <c r="D1265" s="1">
        <v>45716</v>
      </c>
      <c r="E1265">
        <v>2191</v>
      </c>
      <c r="F1265">
        <v>129.28</v>
      </c>
      <c r="G1265">
        <v>77.52</v>
      </c>
      <c r="H1265">
        <v>204</v>
      </c>
      <c r="I1265" t="s">
        <v>25</v>
      </c>
      <c r="J1265">
        <v>2025</v>
      </c>
      <c r="K1265">
        <f t="shared" si="38"/>
        <v>51.760000000000005</v>
      </c>
      <c r="L1265" t="str">
        <f t="shared" si="39"/>
        <v>Banca Etrusca|14|Assicurazioni</v>
      </c>
    </row>
    <row r="1266" spans="1:12" x14ac:dyDescent="0.25">
      <c r="A1266" t="s">
        <v>27</v>
      </c>
      <c r="B1266">
        <v>15</v>
      </c>
      <c r="C1266" t="s">
        <v>13</v>
      </c>
      <c r="D1266" s="1">
        <v>45747</v>
      </c>
      <c r="E1266">
        <v>627.20000000000005</v>
      </c>
      <c r="F1266">
        <v>28.23</v>
      </c>
      <c r="G1266">
        <v>17.850000000000001</v>
      </c>
      <c r="H1266">
        <v>55</v>
      </c>
      <c r="I1266" t="s">
        <v>25</v>
      </c>
      <c r="J1266">
        <v>2025</v>
      </c>
      <c r="K1266">
        <f t="shared" si="38"/>
        <v>10.379999999999999</v>
      </c>
      <c r="L1266" t="str">
        <f t="shared" si="39"/>
        <v>Banca Etrusca|15|Mutui</v>
      </c>
    </row>
    <row r="1267" spans="1:12" x14ac:dyDescent="0.25">
      <c r="A1267" t="s">
        <v>27</v>
      </c>
      <c r="B1267">
        <v>15</v>
      </c>
      <c r="C1267" t="s">
        <v>15</v>
      </c>
      <c r="D1267" s="1">
        <v>45747</v>
      </c>
      <c r="E1267">
        <v>833</v>
      </c>
      <c r="F1267">
        <v>39.6</v>
      </c>
      <c r="G1267">
        <v>24.45</v>
      </c>
      <c r="H1267">
        <v>90</v>
      </c>
      <c r="I1267" t="s">
        <v>25</v>
      </c>
      <c r="J1267">
        <v>2025</v>
      </c>
      <c r="K1267">
        <f t="shared" si="38"/>
        <v>15.150000000000002</v>
      </c>
      <c r="L1267" t="str">
        <f t="shared" si="39"/>
        <v>Banca Etrusca|15|Prestiti</v>
      </c>
    </row>
    <row r="1268" spans="1:12" x14ac:dyDescent="0.25">
      <c r="A1268" t="s">
        <v>27</v>
      </c>
      <c r="B1268">
        <v>15</v>
      </c>
      <c r="C1268" t="s">
        <v>16</v>
      </c>
      <c r="D1268" s="1">
        <v>45747</v>
      </c>
      <c r="E1268">
        <v>1039.9000000000001</v>
      </c>
      <c r="F1268">
        <v>51.16</v>
      </c>
      <c r="G1268">
        <v>32.08</v>
      </c>
      <c r="H1268">
        <v>118</v>
      </c>
      <c r="I1268" t="s">
        <v>25</v>
      </c>
      <c r="J1268">
        <v>2025</v>
      </c>
      <c r="K1268">
        <f t="shared" si="38"/>
        <v>19.079999999999998</v>
      </c>
      <c r="L1268" t="str">
        <f t="shared" si="39"/>
        <v>Banca Etrusca|15|Conti</v>
      </c>
    </row>
    <row r="1269" spans="1:12" x14ac:dyDescent="0.25">
      <c r="A1269" t="s">
        <v>27</v>
      </c>
      <c r="B1269">
        <v>15</v>
      </c>
      <c r="C1269" t="s">
        <v>17</v>
      </c>
      <c r="D1269" s="1">
        <v>45747</v>
      </c>
      <c r="E1269">
        <v>1273.4000000000001</v>
      </c>
      <c r="F1269">
        <v>65.239999999999995</v>
      </c>
      <c r="G1269">
        <v>39.57</v>
      </c>
      <c r="H1269">
        <v>141</v>
      </c>
      <c r="I1269" t="s">
        <v>25</v>
      </c>
      <c r="J1269">
        <v>2025</v>
      </c>
      <c r="K1269">
        <f t="shared" si="38"/>
        <v>25.669999999999995</v>
      </c>
      <c r="L1269" t="str">
        <f t="shared" si="39"/>
        <v>Banca Etrusca|15|Carte</v>
      </c>
    </row>
    <row r="1270" spans="1:12" x14ac:dyDescent="0.25">
      <c r="A1270" t="s">
        <v>27</v>
      </c>
      <c r="B1270">
        <v>15</v>
      </c>
      <c r="C1270" t="s">
        <v>18</v>
      </c>
      <c r="D1270" s="1">
        <v>45747</v>
      </c>
      <c r="E1270">
        <v>1486.1</v>
      </c>
      <c r="F1270">
        <v>79.5</v>
      </c>
      <c r="G1270">
        <v>48.13</v>
      </c>
      <c r="H1270">
        <v>174</v>
      </c>
      <c r="I1270" t="s">
        <v>25</v>
      </c>
      <c r="J1270">
        <v>2025</v>
      </c>
      <c r="K1270">
        <f t="shared" si="38"/>
        <v>31.369999999999997</v>
      </c>
      <c r="L1270" t="str">
        <f t="shared" si="39"/>
        <v>Banca Etrusca|15|Leasing</v>
      </c>
    </row>
    <row r="1271" spans="1:12" x14ac:dyDescent="0.25">
      <c r="A1271" t="s">
        <v>27</v>
      </c>
      <c r="B1271">
        <v>15</v>
      </c>
      <c r="C1271" t="s">
        <v>19</v>
      </c>
      <c r="D1271" s="1">
        <v>45747</v>
      </c>
      <c r="E1271">
        <v>1759.2</v>
      </c>
      <c r="F1271">
        <v>97.02</v>
      </c>
      <c r="G1271">
        <v>58.75</v>
      </c>
      <c r="H1271">
        <v>166</v>
      </c>
      <c r="I1271" t="s">
        <v>25</v>
      </c>
      <c r="J1271">
        <v>2025</v>
      </c>
      <c r="K1271">
        <f t="shared" si="38"/>
        <v>38.269999999999996</v>
      </c>
      <c r="L1271" t="str">
        <f t="shared" si="39"/>
        <v>Banca Etrusca|15|Factoring</v>
      </c>
    </row>
    <row r="1272" spans="1:12" x14ac:dyDescent="0.25">
      <c r="A1272" t="s">
        <v>27</v>
      </c>
      <c r="B1272">
        <v>15</v>
      </c>
      <c r="C1272" t="s">
        <v>20</v>
      </c>
      <c r="D1272" s="1">
        <v>45747</v>
      </c>
      <c r="E1272">
        <v>1977.5</v>
      </c>
      <c r="F1272">
        <v>113.3</v>
      </c>
      <c r="G1272">
        <v>67.67</v>
      </c>
      <c r="H1272">
        <v>208</v>
      </c>
      <c r="I1272" t="s">
        <v>25</v>
      </c>
      <c r="J1272">
        <v>2025</v>
      </c>
      <c r="K1272">
        <f t="shared" si="38"/>
        <v>45.629999999999995</v>
      </c>
      <c r="L1272" t="str">
        <f t="shared" si="39"/>
        <v>Banca Etrusca|15|Risparmio</v>
      </c>
    </row>
    <row r="1273" spans="1:12" x14ac:dyDescent="0.25">
      <c r="A1273" t="s">
        <v>27</v>
      </c>
      <c r="B1273">
        <v>15</v>
      </c>
      <c r="C1273" t="s">
        <v>21</v>
      </c>
      <c r="D1273" s="1">
        <v>45747</v>
      </c>
      <c r="E1273">
        <v>2182.9</v>
      </c>
      <c r="F1273">
        <v>129.19999999999999</v>
      </c>
      <c r="G1273">
        <v>76.83</v>
      </c>
      <c r="H1273">
        <v>219</v>
      </c>
      <c r="I1273" t="s">
        <v>25</v>
      </c>
      <c r="J1273">
        <v>2025</v>
      </c>
      <c r="K1273">
        <f t="shared" si="38"/>
        <v>52.36999999999999</v>
      </c>
      <c r="L1273" t="str">
        <f t="shared" si="39"/>
        <v>Banca Etrusca|15|Assicurazioni</v>
      </c>
    </row>
    <row r="1274" spans="1:12" x14ac:dyDescent="0.25">
      <c r="A1274" t="s">
        <v>27</v>
      </c>
      <c r="B1274">
        <v>16</v>
      </c>
      <c r="C1274" t="s">
        <v>13</v>
      </c>
      <c r="D1274" s="1">
        <v>45777</v>
      </c>
      <c r="E1274">
        <v>600.5</v>
      </c>
      <c r="F1274">
        <v>27.53</v>
      </c>
      <c r="G1274">
        <v>17.329999999999998</v>
      </c>
      <c r="H1274">
        <v>61</v>
      </c>
      <c r="I1274" t="s">
        <v>25</v>
      </c>
      <c r="J1274">
        <v>2025</v>
      </c>
      <c r="K1274">
        <f t="shared" si="38"/>
        <v>10.200000000000003</v>
      </c>
      <c r="L1274" t="str">
        <f t="shared" si="39"/>
        <v>Banca Etrusca|16|Mutui</v>
      </c>
    </row>
    <row r="1275" spans="1:12" x14ac:dyDescent="0.25">
      <c r="A1275" t="s">
        <v>27</v>
      </c>
      <c r="B1275">
        <v>16</v>
      </c>
      <c r="C1275" t="s">
        <v>15</v>
      </c>
      <c r="D1275" s="1">
        <v>45777</v>
      </c>
      <c r="E1275">
        <v>828.4</v>
      </c>
      <c r="F1275">
        <v>39.880000000000003</v>
      </c>
      <c r="G1275">
        <v>24.95</v>
      </c>
      <c r="H1275">
        <v>108</v>
      </c>
      <c r="I1275" t="s">
        <v>25</v>
      </c>
      <c r="J1275">
        <v>2025</v>
      </c>
      <c r="K1275">
        <f t="shared" si="38"/>
        <v>14.930000000000003</v>
      </c>
      <c r="L1275" t="str">
        <f t="shared" si="39"/>
        <v>Banca Etrusca|16|Prestiti</v>
      </c>
    </row>
    <row r="1276" spans="1:12" x14ac:dyDescent="0.25">
      <c r="A1276" t="s">
        <v>27</v>
      </c>
      <c r="B1276">
        <v>16</v>
      </c>
      <c r="C1276" t="s">
        <v>16</v>
      </c>
      <c r="D1276" s="1">
        <v>45777</v>
      </c>
      <c r="E1276">
        <v>1076.5999999999999</v>
      </c>
      <c r="F1276">
        <v>53.67</v>
      </c>
      <c r="G1276">
        <v>32.46</v>
      </c>
      <c r="H1276">
        <v>99</v>
      </c>
      <c r="I1276" t="s">
        <v>25</v>
      </c>
      <c r="J1276">
        <v>2025</v>
      </c>
      <c r="K1276">
        <f t="shared" si="38"/>
        <v>21.21</v>
      </c>
      <c r="L1276" t="str">
        <f t="shared" si="39"/>
        <v>Banca Etrusca|16|Conti</v>
      </c>
    </row>
    <row r="1277" spans="1:12" x14ac:dyDescent="0.25">
      <c r="A1277" t="s">
        <v>27</v>
      </c>
      <c r="B1277">
        <v>16</v>
      </c>
      <c r="C1277" t="s">
        <v>17</v>
      </c>
      <c r="D1277" s="1">
        <v>45777</v>
      </c>
      <c r="E1277">
        <v>1296</v>
      </c>
      <c r="F1277">
        <v>66.53</v>
      </c>
      <c r="G1277">
        <v>40.479999999999997</v>
      </c>
      <c r="H1277">
        <v>121</v>
      </c>
      <c r="I1277" t="s">
        <v>25</v>
      </c>
      <c r="J1277">
        <v>2025</v>
      </c>
      <c r="K1277">
        <f t="shared" si="38"/>
        <v>26.050000000000004</v>
      </c>
      <c r="L1277" t="str">
        <f t="shared" si="39"/>
        <v>Banca Etrusca|16|Carte</v>
      </c>
    </row>
    <row r="1278" spans="1:12" x14ac:dyDescent="0.25">
      <c r="A1278" t="s">
        <v>27</v>
      </c>
      <c r="B1278">
        <v>16</v>
      </c>
      <c r="C1278" t="s">
        <v>18</v>
      </c>
      <c r="D1278" s="1">
        <v>45777</v>
      </c>
      <c r="E1278">
        <v>1526.9</v>
      </c>
      <c r="F1278">
        <v>81.680000000000007</v>
      </c>
      <c r="G1278">
        <v>49.86</v>
      </c>
      <c r="H1278">
        <v>161</v>
      </c>
      <c r="I1278" t="s">
        <v>25</v>
      </c>
      <c r="J1278">
        <v>2025</v>
      </c>
      <c r="K1278">
        <f t="shared" si="38"/>
        <v>31.820000000000007</v>
      </c>
      <c r="L1278" t="str">
        <f t="shared" si="39"/>
        <v>Banca Etrusca|16|Leasing</v>
      </c>
    </row>
    <row r="1279" spans="1:12" x14ac:dyDescent="0.25">
      <c r="A1279" t="s">
        <v>27</v>
      </c>
      <c r="B1279">
        <v>16</v>
      </c>
      <c r="C1279" t="s">
        <v>19</v>
      </c>
      <c r="D1279" s="1">
        <v>45777</v>
      </c>
      <c r="E1279">
        <v>1743.1</v>
      </c>
      <c r="F1279">
        <v>96.64</v>
      </c>
      <c r="G1279">
        <v>57.55</v>
      </c>
      <c r="H1279">
        <v>164</v>
      </c>
      <c r="I1279" t="s">
        <v>25</v>
      </c>
      <c r="J1279">
        <v>2025</v>
      </c>
      <c r="K1279">
        <f t="shared" si="38"/>
        <v>39.090000000000003</v>
      </c>
      <c r="L1279" t="str">
        <f t="shared" si="39"/>
        <v>Banca Etrusca|16|Factoring</v>
      </c>
    </row>
    <row r="1280" spans="1:12" x14ac:dyDescent="0.25">
      <c r="A1280" t="s">
        <v>27</v>
      </c>
      <c r="B1280">
        <v>16</v>
      </c>
      <c r="C1280" t="s">
        <v>20</v>
      </c>
      <c r="D1280" s="1">
        <v>45777</v>
      </c>
      <c r="E1280">
        <v>1982.4</v>
      </c>
      <c r="F1280">
        <v>113.87</v>
      </c>
      <c r="G1280">
        <v>67.88</v>
      </c>
      <c r="H1280">
        <v>186</v>
      </c>
      <c r="I1280" t="s">
        <v>25</v>
      </c>
      <c r="J1280">
        <v>2025</v>
      </c>
      <c r="K1280">
        <f t="shared" si="38"/>
        <v>45.990000000000009</v>
      </c>
      <c r="L1280" t="str">
        <f t="shared" si="39"/>
        <v>Banca Etrusca|16|Risparmio</v>
      </c>
    </row>
    <row r="1281" spans="1:12" x14ac:dyDescent="0.25">
      <c r="A1281" t="s">
        <v>27</v>
      </c>
      <c r="B1281">
        <v>16</v>
      </c>
      <c r="C1281" t="s">
        <v>21</v>
      </c>
      <c r="D1281" s="1">
        <v>45777</v>
      </c>
      <c r="E1281">
        <v>2222.6</v>
      </c>
      <c r="F1281">
        <v>131.35</v>
      </c>
      <c r="G1281">
        <v>78.180000000000007</v>
      </c>
      <c r="H1281">
        <v>219</v>
      </c>
      <c r="I1281" t="s">
        <v>25</v>
      </c>
      <c r="J1281">
        <v>2025</v>
      </c>
      <c r="K1281">
        <f t="shared" si="38"/>
        <v>53.169999999999987</v>
      </c>
      <c r="L1281" t="str">
        <f t="shared" si="39"/>
        <v>Banca Etrusca|16|Assicurazioni</v>
      </c>
    </row>
    <row r="1282" spans="1:12" x14ac:dyDescent="0.25">
      <c r="A1282" t="s">
        <v>27</v>
      </c>
      <c r="B1282">
        <v>17</v>
      </c>
      <c r="C1282" t="s">
        <v>13</v>
      </c>
      <c r="D1282" s="1">
        <v>45808</v>
      </c>
      <c r="E1282">
        <v>626.5</v>
      </c>
      <c r="F1282">
        <v>28.53</v>
      </c>
      <c r="G1282">
        <v>18.38</v>
      </c>
      <c r="H1282">
        <v>77</v>
      </c>
      <c r="I1282" t="s">
        <v>25</v>
      </c>
      <c r="J1282">
        <v>2025</v>
      </c>
      <c r="K1282">
        <f t="shared" ref="K1282:K1345" si="40">F1282-G1282</f>
        <v>10.150000000000002</v>
      </c>
      <c r="L1282" t="str">
        <f t="shared" ref="L1282:L1345" si="41">A1282&amp;"|"&amp;B1282&amp;"|"&amp;C1282</f>
        <v>Banca Etrusca|17|Mutui</v>
      </c>
    </row>
    <row r="1283" spans="1:12" x14ac:dyDescent="0.25">
      <c r="A1283" t="s">
        <v>27</v>
      </c>
      <c r="B1283">
        <v>17</v>
      </c>
      <c r="C1283" t="s">
        <v>15</v>
      </c>
      <c r="D1283" s="1">
        <v>45808</v>
      </c>
      <c r="E1283">
        <v>843.1</v>
      </c>
      <c r="F1283">
        <v>40.049999999999997</v>
      </c>
      <c r="G1283">
        <v>24.76</v>
      </c>
      <c r="H1283">
        <v>85</v>
      </c>
      <c r="I1283" t="s">
        <v>25</v>
      </c>
      <c r="J1283">
        <v>2025</v>
      </c>
      <c r="K1283">
        <f t="shared" si="40"/>
        <v>15.289999999999996</v>
      </c>
      <c r="L1283" t="str">
        <f t="shared" si="41"/>
        <v>Banca Etrusca|17|Prestiti</v>
      </c>
    </row>
    <row r="1284" spans="1:12" x14ac:dyDescent="0.25">
      <c r="A1284" t="s">
        <v>27</v>
      </c>
      <c r="B1284">
        <v>17</v>
      </c>
      <c r="C1284" t="s">
        <v>16</v>
      </c>
      <c r="D1284" s="1">
        <v>45808</v>
      </c>
      <c r="E1284">
        <v>1089.3</v>
      </c>
      <c r="F1284">
        <v>53.48</v>
      </c>
      <c r="G1284">
        <v>32.950000000000003</v>
      </c>
      <c r="H1284">
        <v>94</v>
      </c>
      <c r="I1284" t="s">
        <v>25</v>
      </c>
      <c r="J1284">
        <v>2025</v>
      </c>
      <c r="K1284">
        <f t="shared" si="40"/>
        <v>20.529999999999994</v>
      </c>
      <c r="L1284" t="str">
        <f t="shared" si="41"/>
        <v>Banca Etrusca|17|Conti</v>
      </c>
    </row>
    <row r="1285" spans="1:12" x14ac:dyDescent="0.25">
      <c r="A1285" t="s">
        <v>27</v>
      </c>
      <c r="B1285">
        <v>17</v>
      </c>
      <c r="C1285" t="s">
        <v>17</v>
      </c>
      <c r="D1285" s="1">
        <v>45808</v>
      </c>
      <c r="E1285">
        <v>1331.2</v>
      </c>
      <c r="F1285">
        <v>68.400000000000006</v>
      </c>
      <c r="G1285">
        <v>42.11</v>
      </c>
      <c r="H1285">
        <v>146</v>
      </c>
      <c r="I1285" t="s">
        <v>25</v>
      </c>
      <c r="J1285">
        <v>2025</v>
      </c>
      <c r="K1285">
        <f t="shared" si="40"/>
        <v>26.290000000000006</v>
      </c>
      <c r="L1285" t="str">
        <f t="shared" si="41"/>
        <v>Banca Etrusca|17|Carte</v>
      </c>
    </row>
    <row r="1286" spans="1:12" x14ac:dyDescent="0.25">
      <c r="A1286" t="s">
        <v>27</v>
      </c>
      <c r="B1286">
        <v>17</v>
      </c>
      <c r="C1286" t="s">
        <v>18</v>
      </c>
      <c r="D1286" s="1">
        <v>45808</v>
      </c>
      <c r="E1286">
        <v>1555.7</v>
      </c>
      <c r="F1286">
        <v>83.37</v>
      </c>
      <c r="G1286">
        <v>50.48</v>
      </c>
      <c r="H1286">
        <v>145</v>
      </c>
      <c r="I1286" t="s">
        <v>25</v>
      </c>
      <c r="J1286">
        <v>2025</v>
      </c>
      <c r="K1286">
        <f t="shared" si="40"/>
        <v>32.890000000000008</v>
      </c>
      <c r="L1286" t="str">
        <f t="shared" si="41"/>
        <v>Banca Etrusca|17|Leasing</v>
      </c>
    </row>
    <row r="1287" spans="1:12" x14ac:dyDescent="0.25">
      <c r="A1287" t="s">
        <v>27</v>
      </c>
      <c r="B1287">
        <v>17</v>
      </c>
      <c r="C1287" t="s">
        <v>19</v>
      </c>
      <c r="D1287" s="1">
        <v>45808</v>
      </c>
      <c r="E1287">
        <v>1732.4</v>
      </c>
      <c r="F1287">
        <v>95.72</v>
      </c>
      <c r="G1287">
        <v>58.04</v>
      </c>
      <c r="H1287">
        <v>168</v>
      </c>
      <c r="I1287" t="s">
        <v>25</v>
      </c>
      <c r="J1287">
        <v>2025</v>
      </c>
      <c r="K1287">
        <f t="shared" si="40"/>
        <v>37.68</v>
      </c>
      <c r="L1287" t="str">
        <f t="shared" si="41"/>
        <v>Banca Etrusca|17|Factoring</v>
      </c>
    </row>
    <row r="1288" spans="1:12" x14ac:dyDescent="0.25">
      <c r="A1288" t="s">
        <v>27</v>
      </c>
      <c r="B1288">
        <v>17</v>
      </c>
      <c r="C1288" t="s">
        <v>20</v>
      </c>
      <c r="D1288" s="1">
        <v>45808</v>
      </c>
      <c r="E1288">
        <v>2004.1</v>
      </c>
      <c r="F1288">
        <v>114.28</v>
      </c>
      <c r="G1288">
        <v>68.84</v>
      </c>
      <c r="H1288">
        <v>192</v>
      </c>
      <c r="I1288" t="s">
        <v>25</v>
      </c>
      <c r="J1288">
        <v>2025</v>
      </c>
      <c r="K1288">
        <f t="shared" si="40"/>
        <v>45.44</v>
      </c>
      <c r="L1288" t="str">
        <f t="shared" si="41"/>
        <v>Banca Etrusca|17|Risparmio</v>
      </c>
    </row>
    <row r="1289" spans="1:12" x14ac:dyDescent="0.25">
      <c r="A1289" t="s">
        <v>27</v>
      </c>
      <c r="B1289">
        <v>17</v>
      </c>
      <c r="C1289" t="s">
        <v>21</v>
      </c>
      <c r="D1289" s="1">
        <v>45808</v>
      </c>
      <c r="E1289">
        <v>2226.5</v>
      </c>
      <c r="F1289">
        <v>132.28</v>
      </c>
      <c r="G1289">
        <v>78.33</v>
      </c>
      <c r="H1289">
        <v>201</v>
      </c>
      <c r="I1289" t="s">
        <v>25</v>
      </c>
      <c r="J1289">
        <v>2025</v>
      </c>
      <c r="K1289">
        <f t="shared" si="40"/>
        <v>53.95</v>
      </c>
      <c r="L1289" t="str">
        <f t="shared" si="41"/>
        <v>Banca Etrusca|17|Assicurazioni</v>
      </c>
    </row>
    <row r="1290" spans="1:12" x14ac:dyDescent="0.25">
      <c r="A1290" t="s">
        <v>27</v>
      </c>
      <c r="B1290">
        <v>18</v>
      </c>
      <c r="C1290" t="s">
        <v>13</v>
      </c>
      <c r="D1290" s="1">
        <v>45838</v>
      </c>
      <c r="E1290">
        <v>616.9</v>
      </c>
      <c r="F1290">
        <v>28.22</v>
      </c>
      <c r="G1290">
        <v>18.010000000000002</v>
      </c>
      <c r="H1290">
        <v>71</v>
      </c>
      <c r="I1290" t="s">
        <v>25</v>
      </c>
      <c r="J1290">
        <v>2025</v>
      </c>
      <c r="K1290">
        <f t="shared" si="40"/>
        <v>10.209999999999997</v>
      </c>
      <c r="L1290" t="str">
        <f t="shared" si="41"/>
        <v>Banca Etrusca|18|Mutui</v>
      </c>
    </row>
    <row r="1291" spans="1:12" x14ac:dyDescent="0.25">
      <c r="A1291" t="s">
        <v>27</v>
      </c>
      <c r="B1291">
        <v>18</v>
      </c>
      <c r="C1291" t="s">
        <v>15</v>
      </c>
      <c r="D1291" s="1">
        <v>45838</v>
      </c>
      <c r="E1291">
        <v>833.7</v>
      </c>
      <c r="F1291">
        <v>39.79</v>
      </c>
      <c r="G1291">
        <v>24.64</v>
      </c>
      <c r="H1291">
        <v>85</v>
      </c>
      <c r="I1291" t="s">
        <v>25</v>
      </c>
      <c r="J1291">
        <v>2025</v>
      </c>
      <c r="K1291">
        <f t="shared" si="40"/>
        <v>15.149999999999999</v>
      </c>
      <c r="L1291" t="str">
        <f t="shared" si="41"/>
        <v>Banca Etrusca|18|Prestiti</v>
      </c>
    </row>
    <row r="1292" spans="1:12" x14ac:dyDescent="0.25">
      <c r="A1292" t="s">
        <v>27</v>
      </c>
      <c r="B1292">
        <v>18</v>
      </c>
      <c r="C1292" t="s">
        <v>16</v>
      </c>
      <c r="D1292" s="1">
        <v>45838</v>
      </c>
      <c r="E1292">
        <v>1062.8</v>
      </c>
      <c r="F1292">
        <v>52.45</v>
      </c>
      <c r="G1292">
        <v>32.49</v>
      </c>
      <c r="H1292">
        <v>121</v>
      </c>
      <c r="I1292" t="s">
        <v>25</v>
      </c>
      <c r="J1292">
        <v>2025</v>
      </c>
      <c r="K1292">
        <f t="shared" si="40"/>
        <v>19.96</v>
      </c>
      <c r="L1292" t="str">
        <f t="shared" si="41"/>
        <v>Banca Etrusca|18|Conti</v>
      </c>
    </row>
    <row r="1293" spans="1:12" x14ac:dyDescent="0.25">
      <c r="A1293" t="s">
        <v>27</v>
      </c>
      <c r="B1293">
        <v>18</v>
      </c>
      <c r="C1293" t="s">
        <v>17</v>
      </c>
      <c r="D1293" s="1">
        <v>45838</v>
      </c>
      <c r="E1293">
        <v>1300.9000000000001</v>
      </c>
      <c r="F1293">
        <v>66.989999999999995</v>
      </c>
      <c r="G1293">
        <v>40.89</v>
      </c>
      <c r="H1293">
        <v>137</v>
      </c>
      <c r="I1293" t="s">
        <v>25</v>
      </c>
      <c r="J1293">
        <v>2025</v>
      </c>
      <c r="K1293">
        <f t="shared" si="40"/>
        <v>26.099999999999994</v>
      </c>
      <c r="L1293" t="str">
        <f t="shared" si="41"/>
        <v>Banca Etrusca|18|Carte</v>
      </c>
    </row>
    <row r="1294" spans="1:12" x14ac:dyDescent="0.25">
      <c r="A1294" t="s">
        <v>27</v>
      </c>
      <c r="B1294">
        <v>18</v>
      </c>
      <c r="C1294" t="s">
        <v>18</v>
      </c>
      <c r="D1294" s="1">
        <v>45838</v>
      </c>
      <c r="E1294">
        <v>1521.6</v>
      </c>
      <c r="F1294">
        <v>81.19</v>
      </c>
      <c r="G1294">
        <v>49.66</v>
      </c>
      <c r="H1294">
        <v>157</v>
      </c>
      <c r="I1294" t="s">
        <v>25</v>
      </c>
      <c r="J1294">
        <v>2025</v>
      </c>
      <c r="K1294">
        <f t="shared" si="40"/>
        <v>31.53</v>
      </c>
      <c r="L1294" t="str">
        <f t="shared" si="41"/>
        <v>Banca Etrusca|18|Leasing</v>
      </c>
    </row>
    <row r="1295" spans="1:12" x14ac:dyDescent="0.25">
      <c r="A1295" t="s">
        <v>27</v>
      </c>
      <c r="B1295">
        <v>18</v>
      </c>
      <c r="C1295" t="s">
        <v>19</v>
      </c>
      <c r="D1295" s="1">
        <v>45838</v>
      </c>
      <c r="E1295">
        <v>1768.7</v>
      </c>
      <c r="F1295">
        <v>97.68</v>
      </c>
      <c r="G1295">
        <v>59.21</v>
      </c>
      <c r="H1295">
        <v>171</v>
      </c>
      <c r="I1295" t="s">
        <v>25</v>
      </c>
      <c r="J1295">
        <v>2025</v>
      </c>
      <c r="K1295">
        <f t="shared" si="40"/>
        <v>38.470000000000006</v>
      </c>
      <c r="L1295" t="str">
        <f t="shared" si="41"/>
        <v>Banca Etrusca|18|Factoring</v>
      </c>
    </row>
    <row r="1296" spans="1:12" x14ac:dyDescent="0.25">
      <c r="A1296" t="s">
        <v>27</v>
      </c>
      <c r="B1296">
        <v>18</v>
      </c>
      <c r="C1296" t="s">
        <v>20</v>
      </c>
      <c r="D1296" s="1">
        <v>45838</v>
      </c>
      <c r="E1296">
        <v>2032.4</v>
      </c>
      <c r="F1296">
        <v>115.95</v>
      </c>
      <c r="G1296">
        <v>69.790000000000006</v>
      </c>
      <c r="H1296">
        <v>185</v>
      </c>
      <c r="I1296" t="s">
        <v>25</v>
      </c>
      <c r="J1296">
        <v>2025</v>
      </c>
      <c r="K1296">
        <f t="shared" si="40"/>
        <v>46.16</v>
      </c>
      <c r="L1296" t="str">
        <f t="shared" si="41"/>
        <v>Banca Etrusca|18|Risparmio</v>
      </c>
    </row>
    <row r="1297" spans="1:12" x14ac:dyDescent="0.25">
      <c r="A1297" t="s">
        <v>27</v>
      </c>
      <c r="B1297">
        <v>18</v>
      </c>
      <c r="C1297" t="s">
        <v>21</v>
      </c>
      <c r="D1297" s="1">
        <v>45838</v>
      </c>
      <c r="E1297">
        <v>2258</v>
      </c>
      <c r="F1297">
        <v>133.4</v>
      </c>
      <c r="G1297">
        <v>79.290000000000006</v>
      </c>
      <c r="H1297">
        <v>195</v>
      </c>
      <c r="I1297" t="s">
        <v>25</v>
      </c>
      <c r="J1297">
        <v>2025</v>
      </c>
      <c r="K1297">
        <f t="shared" si="40"/>
        <v>54.11</v>
      </c>
      <c r="L1297" t="str">
        <f t="shared" si="41"/>
        <v>Banca Etrusca|18|Assicurazioni</v>
      </c>
    </row>
    <row r="1298" spans="1:12" x14ac:dyDescent="0.25">
      <c r="A1298" t="s">
        <v>27</v>
      </c>
      <c r="B1298">
        <v>19</v>
      </c>
      <c r="C1298" t="s">
        <v>13</v>
      </c>
      <c r="D1298" s="1">
        <v>45869</v>
      </c>
      <c r="E1298">
        <v>617.9</v>
      </c>
      <c r="F1298">
        <v>28.78</v>
      </c>
      <c r="G1298">
        <v>17.87</v>
      </c>
      <c r="H1298">
        <v>58</v>
      </c>
      <c r="I1298" t="s">
        <v>25</v>
      </c>
      <c r="J1298">
        <v>2025</v>
      </c>
      <c r="K1298">
        <f t="shared" si="40"/>
        <v>10.91</v>
      </c>
      <c r="L1298" t="str">
        <f t="shared" si="41"/>
        <v>Banca Etrusca|19|Mutui</v>
      </c>
    </row>
    <row r="1299" spans="1:12" x14ac:dyDescent="0.25">
      <c r="A1299" t="s">
        <v>27</v>
      </c>
      <c r="B1299">
        <v>19</v>
      </c>
      <c r="C1299" t="s">
        <v>15</v>
      </c>
      <c r="D1299" s="1">
        <v>45869</v>
      </c>
      <c r="E1299">
        <v>848.1</v>
      </c>
      <c r="F1299">
        <v>40.299999999999997</v>
      </c>
      <c r="G1299">
        <v>24.6</v>
      </c>
      <c r="H1299">
        <v>77</v>
      </c>
      <c r="I1299" t="s">
        <v>25</v>
      </c>
      <c r="J1299">
        <v>2025</v>
      </c>
      <c r="K1299">
        <f t="shared" si="40"/>
        <v>15.699999999999996</v>
      </c>
      <c r="L1299" t="str">
        <f t="shared" si="41"/>
        <v>Banca Etrusca|19|Prestiti</v>
      </c>
    </row>
    <row r="1300" spans="1:12" x14ac:dyDescent="0.25">
      <c r="A1300" t="s">
        <v>27</v>
      </c>
      <c r="B1300">
        <v>19</v>
      </c>
      <c r="C1300" t="s">
        <v>16</v>
      </c>
      <c r="D1300" s="1">
        <v>45869</v>
      </c>
      <c r="E1300">
        <v>1088.4000000000001</v>
      </c>
      <c r="F1300">
        <v>53.69</v>
      </c>
      <c r="G1300">
        <v>33.49</v>
      </c>
      <c r="H1300">
        <v>94</v>
      </c>
      <c r="I1300" t="s">
        <v>25</v>
      </c>
      <c r="J1300">
        <v>2025</v>
      </c>
      <c r="K1300">
        <f t="shared" si="40"/>
        <v>20.199999999999996</v>
      </c>
      <c r="L1300" t="str">
        <f t="shared" si="41"/>
        <v>Banca Etrusca|19|Conti</v>
      </c>
    </row>
    <row r="1301" spans="1:12" x14ac:dyDescent="0.25">
      <c r="A1301" t="s">
        <v>27</v>
      </c>
      <c r="B1301">
        <v>19</v>
      </c>
      <c r="C1301" t="s">
        <v>17</v>
      </c>
      <c r="D1301" s="1">
        <v>45869</v>
      </c>
      <c r="E1301">
        <v>1293.5</v>
      </c>
      <c r="F1301">
        <v>66.45</v>
      </c>
      <c r="G1301">
        <v>40.26</v>
      </c>
      <c r="H1301">
        <v>115</v>
      </c>
      <c r="I1301" t="s">
        <v>25</v>
      </c>
      <c r="J1301">
        <v>2025</v>
      </c>
      <c r="K1301">
        <f t="shared" si="40"/>
        <v>26.190000000000005</v>
      </c>
      <c r="L1301" t="str">
        <f t="shared" si="41"/>
        <v>Banca Etrusca|19|Carte</v>
      </c>
    </row>
    <row r="1302" spans="1:12" x14ac:dyDescent="0.25">
      <c r="A1302" t="s">
        <v>27</v>
      </c>
      <c r="B1302">
        <v>19</v>
      </c>
      <c r="C1302" t="s">
        <v>18</v>
      </c>
      <c r="D1302" s="1">
        <v>45869</v>
      </c>
      <c r="E1302">
        <v>1582.1</v>
      </c>
      <c r="F1302">
        <v>84.61</v>
      </c>
      <c r="G1302">
        <v>50.67</v>
      </c>
      <c r="H1302">
        <v>148</v>
      </c>
      <c r="I1302" t="s">
        <v>25</v>
      </c>
      <c r="J1302">
        <v>2025</v>
      </c>
      <c r="K1302">
        <f t="shared" si="40"/>
        <v>33.94</v>
      </c>
      <c r="L1302" t="str">
        <f t="shared" si="41"/>
        <v>Banca Etrusca|19|Leasing</v>
      </c>
    </row>
    <row r="1303" spans="1:12" x14ac:dyDescent="0.25">
      <c r="A1303" t="s">
        <v>27</v>
      </c>
      <c r="B1303">
        <v>19</v>
      </c>
      <c r="C1303" t="s">
        <v>19</v>
      </c>
      <c r="D1303" s="1">
        <v>45869</v>
      </c>
      <c r="E1303">
        <v>1790</v>
      </c>
      <c r="F1303">
        <v>99.13</v>
      </c>
      <c r="G1303">
        <v>59.41</v>
      </c>
      <c r="H1303">
        <v>188</v>
      </c>
      <c r="I1303" t="s">
        <v>25</v>
      </c>
      <c r="J1303">
        <v>2025</v>
      </c>
      <c r="K1303">
        <f t="shared" si="40"/>
        <v>39.72</v>
      </c>
      <c r="L1303" t="str">
        <f t="shared" si="41"/>
        <v>Banca Etrusca|19|Factoring</v>
      </c>
    </row>
    <row r="1304" spans="1:12" x14ac:dyDescent="0.25">
      <c r="A1304" t="s">
        <v>27</v>
      </c>
      <c r="B1304">
        <v>19</v>
      </c>
      <c r="C1304" t="s">
        <v>20</v>
      </c>
      <c r="D1304" s="1">
        <v>45869</v>
      </c>
      <c r="E1304">
        <v>2014.7</v>
      </c>
      <c r="F1304">
        <v>115.23</v>
      </c>
      <c r="G1304">
        <v>69.05</v>
      </c>
      <c r="H1304">
        <v>179</v>
      </c>
      <c r="I1304" t="s">
        <v>25</v>
      </c>
      <c r="J1304">
        <v>2025</v>
      </c>
      <c r="K1304">
        <f t="shared" si="40"/>
        <v>46.180000000000007</v>
      </c>
      <c r="L1304" t="str">
        <f t="shared" si="41"/>
        <v>Banca Etrusca|19|Risparmio</v>
      </c>
    </row>
    <row r="1305" spans="1:12" x14ac:dyDescent="0.25">
      <c r="A1305" t="s">
        <v>27</v>
      </c>
      <c r="B1305">
        <v>19</v>
      </c>
      <c r="C1305" t="s">
        <v>21</v>
      </c>
      <c r="D1305" s="1">
        <v>45869</v>
      </c>
      <c r="E1305">
        <v>2245.1999999999998</v>
      </c>
      <c r="F1305">
        <v>133.44</v>
      </c>
      <c r="G1305">
        <v>79.44</v>
      </c>
      <c r="H1305">
        <v>201</v>
      </c>
      <c r="I1305" t="s">
        <v>25</v>
      </c>
      <c r="J1305">
        <v>2025</v>
      </c>
      <c r="K1305">
        <f t="shared" si="40"/>
        <v>54</v>
      </c>
      <c r="L1305" t="str">
        <f t="shared" si="41"/>
        <v>Banca Etrusca|19|Assicurazioni</v>
      </c>
    </row>
    <row r="1306" spans="1:12" x14ac:dyDescent="0.25">
      <c r="A1306" t="s">
        <v>27</v>
      </c>
      <c r="B1306">
        <v>20</v>
      </c>
      <c r="C1306" t="s">
        <v>13</v>
      </c>
      <c r="D1306" s="1">
        <v>45900</v>
      </c>
      <c r="E1306">
        <v>621.29999999999995</v>
      </c>
      <c r="F1306">
        <v>28.36</v>
      </c>
      <c r="G1306">
        <v>18.16</v>
      </c>
      <c r="H1306">
        <v>89</v>
      </c>
      <c r="I1306" t="s">
        <v>25</v>
      </c>
      <c r="J1306">
        <v>2025</v>
      </c>
      <c r="K1306">
        <f t="shared" si="40"/>
        <v>10.199999999999999</v>
      </c>
      <c r="L1306" t="str">
        <f t="shared" si="41"/>
        <v>Banca Etrusca|20|Mutui</v>
      </c>
    </row>
    <row r="1307" spans="1:12" x14ac:dyDescent="0.25">
      <c r="A1307" t="s">
        <v>27</v>
      </c>
      <c r="B1307">
        <v>20</v>
      </c>
      <c r="C1307" t="s">
        <v>15</v>
      </c>
      <c r="D1307" s="1">
        <v>45900</v>
      </c>
      <c r="E1307">
        <v>864.3</v>
      </c>
      <c r="F1307">
        <v>40.89</v>
      </c>
      <c r="G1307">
        <v>25.75</v>
      </c>
      <c r="H1307">
        <v>82</v>
      </c>
      <c r="I1307" t="s">
        <v>25</v>
      </c>
      <c r="J1307">
        <v>2025</v>
      </c>
      <c r="K1307">
        <f t="shared" si="40"/>
        <v>15.14</v>
      </c>
      <c r="L1307" t="str">
        <f t="shared" si="41"/>
        <v>Banca Etrusca|20|Prestiti</v>
      </c>
    </row>
    <row r="1308" spans="1:12" x14ac:dyDescent="0.25">
      <c r="A1308" t="s">
        <v>27</v>
      </c>
      <c r="B1308">
        <v>20</v>
      </c>
      <c r="C1308" t="s">
        <v>16</v>
      </c>
      <c r="D1308" s="1">
        <v>45900</v>
      </c>
      <c r="E1308">
        <v>1086</v>
      </c>
      <c r="F1308">
        <v>53.22</v>
      </c>
      <c r="G1308">
        <v>32.83</v>
      </c>
      <c r="H1308">
        <v>95</v>
      </c>
      <c r="I1308" t="s">
        <v>25</v>
      </c>
      <c r="J1308">
        <v>2025</v>
      </c>
      <c r="K1308">
        <f t="shared" si="40"/>
        <v>20.39</v>
      </c>
      <c r="L1308" t="str">
        <f t="shared" si="41"/>
        <v>Banca Etrusca|20|Conti</v>
      </c>
    </row>
    <row r="1309" spans="1:12" x14ac:dyDescent="0.25">
      <c r="A1309" t="s">
        <v>27</v>
      </c>
      <c r="B1309">
        <v>20</v>
      </c>
      <c r="C1309" t="s">
        <v>17</v>
      </c>
      <c r="D1309" s="1">
        <v>45900</v>
      </c>
      <c r="E1309">
        <v>1315.1</v>
      </c>
      <c r="F1309">
        <v>68</v>
      </c>
      <c r="G1309">
        <v>41</v>
      </c>
      <c r="H1309">
        <v>136</v>
      </c>
      <c r="I1309" t="s">
        <v>25</v>
      </c>
      <c r="J1309">
        <v>2025</v>
      </c>
      <c r="K1309">
        <f t="shared" si="40"/>
        <v>27</v>
      </c>
      <c r="L1309" t="str">
        <f t="shared" si="41"/>
        <v>Banca Etrusca|20|Carte</v>
      </c>
    </row>
    <row r="1310" spans="1:12" x14ac:dyDescent="0.25">
      <c r="A1310" t="s">
        <v>27</v>
      </c>
      <c r="B1310">
        <v>20</v>
      </c>
      <c r="C1310" t="s">
        <v>18</v>
      </c>
      <c r="D1310" s="1">
        <v>45900</v>
      </c>
      <c r="E1310">
        <v>1545</v>
      </c>
      <c r="F1310">
        <v>81.99</v>
      </c>
      <c r="G1310">
        <v>49.62</v>
      </c>
      <c r="H1310">
        <v>161</v>
      </c>
      <c r="I1310" t="s">
        <v>25</v>
      </c>
      <c r="J1310">
        <v>2025</v>
      </c>
      <c r="K1310">
        <f t="shared" si="40"/>
        <v>32.369999999999997</v>
      </c>
      <c r="L1310" t="str">
        <f t="shared" si="41"/>
        <v>Banca Etrusca|20|Leasing</v>
      </c>
    </row>
    <row r="1311" spans="1:12" x14ac:dyDescent="0.25">
      <c r="A1311" t="s">
        <v>27</v>
      </c>
      <c r="B1311">
        <v>20</v>
      </c>
      <c r="C1311" t="s">
        <v>19</v>
      </c>
      <c r="D1311" s="1">
        <v>45900</v>
      </c>
      <c r="E1311">
        <v>1805.2</v>
      </c>
      <c r="F1311">
        <v>100.1</v>
      </c>
      <c r="G1311">
        <v>60.29</v>
      </c>
      <c r="H1311">
        <v>179</v>
      </c>
      <c r="I1311" t="s">
        <v>25</v>
      </c>
      <c r="J1311">
        <v>2025</v>
      </c>
      <c r="K1311">
        <f t="shared" si="40"/>
        <v>39.809999999999995</v>
      </c>
      <c r="L1311" t="str">
        <f t="shared" si="41"/>
        <v>Banca Etrusca|20|Factoring</v>
      </c>
    </row>
    <row r="1312" spans="1:12" x14ac:dyDescent="0.25">
      <c r="A1312" t="s">
        <v>27</v>
      </c>
      <c r="B1312">
        <v>20</v>
      </c>
      <c r="C1312" t="s">
        <v>20</v>
      </c>
      <c r="D1312" s="1">
        <v>45900</v>
      </c>
      <c r="E1312">
        <v>2037.3</v>
      </c>
      <c r="F1312">
        <v>116.75</v>
      </c>
      <c r="G1312">
        <v>69.27</v>
      </c>
      <c r="H1312">
        <v>198</v>
      </c>
      <c r="I1312" t="s">
        <v>25</v>
      </c>
      <c r="J1312">
        <v>2025</v>
      </c>
      <c r="K1312">
        <f t="shared" si="40"/>
        <v>47.480000000000004</v>
      </c>
      <c r="L1312" t="str">
        <f t="shared" si="41"/>
        <v>Banca Etrusca|20|Risparmio</v>
      </c>
    </row>
    <row r="1313" spans="1:12" x14ac:dyDescent="0.25">
      <c r="A1313" t="s">
        <v>27</v>
      </c>
      <c r="B1313">
        <v>20</v>
      </c>
      <c r="C1313" t="s">
        <v>21</v>
      </c>
      <c r="D1313" s="1">
        <v>45900</v>
      </c>
      <c r="E1313">
        <v>2246.1</v>
      </c>
      <c r="F1313">
        <v>133.51</v>
      </c>
      <c r="G1313">
        <v>78.760000000000005</v>
      </c>
      <c r="H1313">
        <v>225</v>
      </c>
      <c r="I1313" t="s">
        <v>25</v>
      </c>
      <c r="J1313">
        <v>2025</v>
      </c>
      <c r="K1313">
        <f t="shared" si="40"/>
        <v>54.749999999999986</v>
      </c>
      <c r="L1313" t="str">
        <f t="shared" si="41"/>
        <v>Banca Etrusca|20|Assicurazioni</v>
      </c>
    </row>
    <row r="1314" spans="1:12" x14ac:dyDescent="0.25">
      <c r="A1314" t="s">
        <v>27</v>
      </c>
      <c r="B1314">
        <v>21</v>
      </c>
      <c r="C1314" t="s">
        <v>13</v>
      </c>
      <c r="D1314" s="1">
        <v>45930</v>
      </c>
      <c r="E1314">
        <v>617.70000000000005</v>
      </c>
      <c r="F1314">
        <v>28.79</v>
      </c>
      <c r="G1314">
        <v>17.420000000000002</v>
      </c>
      <c r="H1314">
        <v>72</v>
      </c>
      <c r="I1314" t="s">
        <v>25</v>
      </c>
      <c r="J1314">
        <v>2025</v>
      </c>
      <c r="K1314">
        <f t="shared" si="40"/>
        <v>11.369999999999997</v>
      </c>
      <c r="L1314" t="str">
        <f t="shared" si="41"/>
        <v>Banca Etrusca|21|Mutui</v>
      </c>
    </row>
    <row r="1315" spans="1:12" x14ac:dyDescent="0.25">
      <c r="A1315" t="s">
        <v>27</v>
      </c>
      <c r="B1315">
        <v>21</v>
      </c>
      <c r="C1315" t="s">
        <v>15</v>
      </c>
      <c r="D1315" s="1">
        <v>45930</v>
      </c>
      <c r="E1315">
        <v>895.9</v>
      </c>
      <c r="F1315">
        <v>42.24</v>
      </c>
      <c r="G1315">
        <v>26.5</v>
      </c>
      <c r="H1315">
        <v>107</v>
      </c>
      <c r="I1315" t="s">
        <v>25</v>
      </c>
      <c r="J1315">
        <v>2025</v>
      </c>
      <c r="K1315">
        <f t="shared" si="40"/>
        <v>15.740000000000002</v>
      </c>
      <c r="L1315" t="str">
        <f t="shared" si="41"/>
        <v>Banca Etrusca|21|Prestiti</v>
      </c>
    </row>
    <row r="1316" spans="1:12" x14ac:dyDescent="0.25">
      <c r="A1316" t="s">
        <v>27</v>
      </c>
      <c r="B1316">
        <v>21</v>
      </c>
      <c r="C1316" t="s">
        <v>16</v>
      </c>
      <c r="D1316" s="1">
        <v>45930</v>
      </c>
      <c r="E1316">
        <v>1095.7</v>
      </c>
      <c r="F1316">
        <v>54.43</v>
      </c>
      <c r="G1316">
        <v>33.19</v>
      </c>
      <c r="H1316">
        <v>133</v>
      </c>
      <c r="I1316" t="s">
        <v>25</v>
      </c>
      <c r="J1316">
        <v>2025</v>
      </c>
      <c r="K1316">
        <f t="shared" si="40"/>
        <v>21.240000000000002</v>
      </c>
      <c r="L1316" t="str">
        <f t="shared" si="41"/>
        <v>Banca Etrusca|21|Conti</v>
      </c>
    </row>
    <row r="1317" spans="1:12" x14ac:dyDescent="0.25">
      <c r="A1317" t="s">
        <v>27</v>
      </c>
      <c r="B1317">
        <v>21</v>
      </c>
      <c r="C1317" t="s">
        <v>17</v>
      </c>
      <c r="D1317" s="1">
        <v>45930</v>
      </c>
      <c r="E1317">
        <v>1315</v>
      </c>
      <c r="F1317">
        <v>67.290000000000006</v>
      </c>
      <c r="G1317">
        <v>40.880000000000003</v>
      </c>
      <c r="H1317">
        <v>126</v>
      </c>
      <c r="I1317" t="s">
        <v>25</v>
      </c>
      <c r="J1317">
        <v>2025</v>
      </c>
      <c r="K1317">
        <f t="shared" si="40"/>
        <v>26.410000000000004</v>
      </c>
      <c r="L1317" t="str">
        <f t="shared" si="41"/>
        <v>Banca Etrusca|21|Carte</v>
      </c>
    </row>
    <row r="1318" spans="1:12" x14ac:dyDescent="0.25">
      <c r="A1318" t="s">
        <v>27</v>
      </c>
      <c r="B1318">
        <v>21</v>
      </c>
      <c r="C1318" t="s">
        <v>18</v>
      </c>
      <c r="D1318" s="1">
        <v>45930</v>
      </c>
      <c r="E1318">
        <v>1578.9</v>
      </c>
      <c r="F1318">
        <v>84.23</v>
      </c>
      <c r="G1318">
        <v>50.6</v>
      </c>
      <c r="H1318">
        <v>160</v>
      </c>
      <c r="I1318" t="s">
        <v>25</v>
      </c>
      <c r="J1318">
        <v>2025</v>
      </c>
      <c r="K1318">
        <f t="shared" si="40"/>
        <v>33.630000000000003</v>
      </c>
      <c r="L1318" t="str">
        <f t="shared" si="41"/>
        <v>Banca Etrusca|21|Leasing</v>
      </c>
    </row>
    <row r="1319" spans="1:12" x14ac:dyDescent="0.25">
      <c r="A1319" t="s">
        <v>27</v>
      </c>
      <c r="B1319">
        <v>21</v>
      </c>
      <c r="C1319" t="s">
        <v>19</v>
      </c>
      <c r="D1319" s="1">
        <v>45930</v>
      </c>
      <c r="E1319">
        <v>1831.4</v>
      </c>
      <c r="F1319">
        <v>100.74</v>
      </c>
      <c r="G1319">
        <v>61.12</v>
      </c>
      <c r="H1319">
        <v>190</v>
      </c>
      <c r="I1319" t="s">
        <v>25</v>
      </c>
      <c r="J1319">
        <v>2025</v>
      </c>
      <c r="K1319">
        <f t="shared" si="40"/>
        <v>39.619999999999997</v>
      </c>
      <c r="L1319" t="str">
        <f t="shared" si="41"/>
        <v>Banca Etrusca|21|Factoring</v>
      </c>
    </row>
    <row r="1320" spans="1:12" x14ac:dyDescent="0.25">
      <c r="A1320" t="s">
        <v>27</v>
      </c>
      <c r="B1320">
        <v>21</v>
      </c>
      <c r="C1320" t="s">
        <v>20</v>
      </c>
      <c r="D1320" s="1">
        <v>45930</v>
      </c>
      <c r="E1320">
        <v>2046.8</v>
      </c>
      <c r="F1320">
        <v>117.45</v>
      </c>
      <c r="G1320">
        <v>70.06</v>
      </c>
      <c r="H1320">
        <v>184</v>
      </c>
      <c r="I1320" t="s">
        <v>25</v>
      </c>
      <c r="J1320">
        <v>2025</v>
      </c>
      <c r="K1320">
        <f t="shared" si="40"/>
        <v>47.39</v>
      </c>
      <c r="L1320" t="str">
        <f t="shared" si="41"/>
        <v>Banca Etrusca|21|Risparmio</v>
      </c>
    </row>
    <row r="1321" spans="1:12" x14ac:dyDescent="0.25">
      <c r="A1321" t="s">
        <v>27</v>
      </c>
      <c r="B1321">
        <v>21</v>
      </c>
      <c r="C1321" t="s">
        <v>21</v>
      </c>
      <c r="D1321" s="1">
        <v>45930</v>
      </c>
      <c r="E1321">
        <v>2267.3000000000002</v>
      </c>
      <c r="F1321">
        <v>134.75</v>
      </c>
      <c r="G1321">
        <v>80.06</v>
      </c>
      <c r="H1321">
        <v>221</v>
      </c>
      <c r="I1321" t="s">
        <v>25</v>
      </c>
      <c r="J1321">
        <v>2025</v>
      </c>
      <c r="K1321">
        <f t="shared" si="40"/>
        <v>54.69</v>
      </c>
      <c r="L1321" t="str">
        <f t="shared" si="41"/>
        <v>Banca Etrusca|21|Assicurazioni</v>
      </c>
    </row>
    <row r="1322" spans="1:12" x14ac:dyDescent="0.25">
      <c r="A1322" t="s">
        <v>27</v>
      </c>
      <c r="B1322">
        <v>22</v>
      </c>
      <c r="C1322" t="s">
        <v>13</v>
      </c>
      <c r="D1322" s="1">
        <v>45961</v>
      </c>
      <c r="E1322">
        <v>647</v>
      </c>
      <c r="F1322">
        <v>29.4</v>
      </c>
      <c r="G1322">
        <v>18.989999999999998</v>
      </c>
      <c r="H1322">
        <v>63</v>
      </c>
      <c r="I1322" t="s">
        <v>25</v>
      </c>
      <c r="J1322">
        <v>2025</v>
      </c>
      <c r="K1322">
        <f t="shared" si="40"/>
        <v>10.41</v>
      </c>
      <c r="L1322" t="str">
        <f t="shared" si="41"/>
        <v>Banca Etrusca|22|Mutui</v>
      </c>
    </row>
    <row r="1323" spans="1:12" x14ac:dyDescent="0.25">
      <c r="A1323" t="s">
        <v>27</v>
      </c>
      <c r="B1323">
        <v>22</v>
      </c>
      <c r="C1323" t="s">
        <v>15</v>
      </c>
      <c r="D1323" s="1">
        <v>45961</v>
      </c>
      <c r="E1323">
        <v>842.7</v>
      </c>
      <c r="F1323">
        <v>39.909999999999997</v>
      </c>
      <c r="G1323">
        <v>24.46</v>
      </c>
      <c r="H1323">
        <v>92</v>
      </c>
      <c r="I1323" t="s">
        <v>25</v>
      </c>
      <c r="J1323">
        <v>2025</v>
      </c>
      <c r="K1323">
        <f t="shared" si="40"/>
        <v>15.449999999999996</v>
      </c>
      <c r="L1323" t="str">
        <f t="shared" si="41"/>
        <v>Banca Etrusca|22|Prestiti</v>
      </c>
    </row>
    <row r="1324" spans="1:12" x14ac:dyDescent="0.25">
      <c r="A1324" t="s">
        <v>27</v>
      </c>
      <c r="B1324">
        <v>22</v>
      </c>
      <c r="C1324" t="s">
        <v>16</v>
      </c>
      <c r="D1324" s="1">
        <v>45961</v>
      </c>
      <c r="E1324">
        <v>1104.2</v>
      </c>
      <c r="F1324">
        <v>54.99</v>
      </c>
      <c r="G1324">
        <v>33.99</v>
      </c>
      <c r="H1324">
        <v>101</v>
      </c>
      <c r="I1324" t="s">
        <v>25</v>
      </c>
      <c r="J1324">
        <v>2025</v>
      </c>
      <c r="K1324">
        <f t="shared" si="40"/>
        <v>21</v>
      </c>
      <c r="L1324" t="str">
        <f t="shared" si="41"/>
        <v>Banca Etrusca|22|Conti</v>
      </c>
    </row>
    <row r="1325" spans="1:12" x14ac:dyDescent="0.25">
      <c r="A1325" t="s">
        <v>27</v>
      </c>
      <c r="B1325">
        <v>22</v>
      </c>
      <c r="C1325" t="s">
        <v>17</v>
      </c>
      <c r="D1325" s="1">
        <v>45961</v>
      </c>
      <c r="E1325">
        <v>1365.9</v>
      </c>
      <c r="F1325">
        <v>70.569999999999993</v>
      </c>
      <c r="G1325">
        <v>42.82</v>
      </c>
      <c r="H1325">
        <v>139</v>
      </c>
      <c r="I1325" t="s">
        <v>25</v>
      </c>
      <c r="J1325">
        <v>2025</v>
      </c>
      <c r="K1325">
        <f t="shared" si="40"/>
        <v>27.749999999999993</v>
      </c>
      <c r="L1325" t="str">
        <f t="shared" si="41"/>
        <v>Banca Etrusca|22|Carte</v>
      </c>
    </row>
    <row r="1326" spans="1:12" x14ac:dyDescent="0.25">
      <c r="A1326" t="s">
        <v>27</v>
      </c>
      <c r="B1326">
        <v>22</v>
      </c>
      <c r="C1326" t="s">
        <v>18</v>
      </c>
      <c r="D1326" s="1">
        <v>45961</v>
      </c>
      <c r="E1326">
        <v>1566.1</v>
      </c>
      <c r="F1326">
        <v>83.46</v>
      </c>
      <c r="G1326">
        <v>50.76</v>
      </c>
      <c r="H1326">
        <v>148</v>
      </c>
      <c r="I1326" t="s">
        <v>25</v>
      </c>
      <c r="J1326">
        <v>2025</v>
      </c>
      <c r="K1326">
        <f t="shared" si="40"/>
        <v>32.699999999999996</v>
      </c>
      <c r="L1326" t="str">
        <f t="shared" si="41"/>
        <v>Banca Etrusca|22|Leasing</v>
      </c>
    </row>
    <row r="1327" spans="1:12" x14ac:dyDescent="0.25">
      <c r="A1327" t="s">
        <v>27</v>
      </c>
      <c r="B1327">
        <v>22</v>
      </c>
      <c r="C1327" t="s">
        <v>19</v>
      </c>
      <c r="D1327" s="1">
        <v>45961</v>
      </c>
      <c r="E1327">
        <v>1815.8</v>
      </c>
      <c r="F1327">
        <v>100.15</v>
      </c>
      <c r="G1327">
        <v>60</v>
      </c>
      <c r="H1327">
        <v>184</v>
      </c>
      <c r="I1327" t="s">
        <v>25</v>
      </c>
      <c r="J1327">
        <v>2025</v>
      </c>
      <c r="K1327">
        <f t="shared" si="40"/>
        <v>40.150000000000006</v>
      </c>
      <c r="L1327" t="str">
        <f t="shared" si="41"/>
        <v>Banca Etrusca|22|Factoring</v>
      </c>
    </row>
    <row r="1328" spans="1:12" x14ac:dyDescent="0.25">
      <c r="A1328" t="s">
        <v>27</v>
      </c>
      <c r="B1328">
        <v>22</v>
      </c>
      <c r="C1328" t="s">
        <v>20</v>
      </c>
      <c r="D1328" s="1">
        <v>45961</v>
      </c>
      <c r="E1328">
        <v>2077.6</v>
      </c>
      <c r="F1328">
        <v>118.94</v>
      </c>
      <c r="G1328">
        <v>71.08</v>
      </c>
      <c r="H1328">
        <v>197</v>
      </c>
      <c r="I1328" t="s">
        <v>25</v>
      </c>
      <c r="J1328">
        <v>2025</v>
      </c>
      <c r="K1328">
        <f t="shared" si="40"/>
        <v>47.86</v>
      </c>
      <c r="L1328" t="str">
        <f t="shared" si="41"/>
        <v>Banca Etrusca|22|Risparmio</v>
      </c>
    </row>
    <row r="1329" spans="1:12" x14ac:dyDescent="0.25">
      <c r="A1329" t="s">
        <v>27</v>
      </c>
      <c r="B1329">
        <v>22</v>
      </c>
      <c r="C1329" t="s">
        <v>21</v>
      </c>
      <c r="D1329" s="1">
        <v>45961</v>
      </c>
      <c r="E1329">
        <v>2310.8000000000002</v>
      </c>
      <c r="F1329">
        <v>137</v>
      </c>
      <c r="G1329">
        <v>81.72</v>
      </c>
      <c r="H1329">
        <v>220</v>
      </c>
      <c r="I1329" t="s">
        <v>25</v>
      </c>
      <c r="J1329">
        <v>2025</v>
      </c>
      <c r="K1329">
        <f t="shared" si="40"/>
        <v>55.28</v>
      </c>
      <c r="L1329" t="str">
        <f t="shared" si="41"/>
        <v>Banca Etrusca|22|Assicurazioni</v>
      </c>
    </row>
    <row r="1330" spans="1:12" x14ac:dyDescent="0.25">
      <c r="A1330" t="s">
        <v>27</v>
      </c>
      <c r="B1330">
        <v>23</v>
      </c>
      <c r="C1330" t="s">
        <v>13</v>
      </c>
      <c r="D1330" s="1">
        <v>45991</v>
      </c>
      <c r="E1330">
        <v>612.9</v>
      </c>
      <c r="F1330">
        <v>28.57</v>
      </c>
      <c r="G1330">
        <v>17.37</v>
      </c>
      <c r="H1330">
        <v>72</v>
      </c>
      <c r="I1330" t="s">
        <v>25</v>
      </c>
      <c r="J1330">
        <v>2025</v>
      </c>
      <c r="K1330">
        <f t="shared" si="40"/>
        <v>11.2</v>
      </c>
      <c r="L1330" t="str">
        <f t="shared" si="41"/>
        <v>Banca Etrusca|23|Mutui</v>
      </c>
    </row>
    <row r="1331" spans="1:12" x14ac:dyDescent="0.25">
      <c r="A1331" t="s">
        <v>27</v>
      </c>
      <c r="B1331">
        <v>23</v>
      </c>
      <c r="C1331" t="s">
        <v>15</v>
      </c>
      <c r="D1331" s="1">
        <v>45991</v>
      </c>
      <c r="E1331">
        <v>905</v>
      </c>
      <c r="F1331">
        <v>43.44</v>
      </c>
      <c r="G1331">
        <v>26.51</v>
      </c>
      <c r="H1331">
        <v>91</v>
      </c>
      <c r="I1331" t="s">
        <v>25</v>
      </c>
      <c r="J1331">
        <v>2025</v>
      </c>
      <c r="K1331">
        <f t="shared" si="40"/>
        <v>16.929999999999996</v>
      </c>
      <c r="L1331" t="str">
        <f t="shared" si="41"/>
        <v>Banca Etrusca|23|Prestiti</v>
      </c>
    </row>
    <row r="1332" spans="1:12" x14ac:dyDescent="0.25">
      <c r="A1332" t="s">
        <v>27</v>
      </c>
      <c r="B1332">
        <v>23</v>
      </c>
      <c r="C1332" t="s">
        <v>16</v>
      </c>
      <c r="D1332" s="1">
        <v>45991</v>
      </c>
      <c r="E1332">
        <v>1136.5999999999999</v>
      </c>
      <c r="F1332">
        <v>56.2</v>
      </c>
      <c r="G1332">
        <v>34.18</v>
      </c>
      <c r="H1332">
        <v>113</v>
      </c>
      <c r="I1332" t="s">
        <v>25</v>
      </c>
      <c r="J1332">
        <v>2025</v>
      </c>
      <c r="K1332">
        <f t="shared" si="40"/>
        <v>22.020000000000003</v>
      </c>
      <c r="L1332" t="str">
        <f t="shared" si="41"/>
        <v>Banca Etrusca|23|Conti</v>
      </c>
    </row>
    <row r="1333" spans="1:12" x14ac:dyDescent="0.25">
      <c r="A1333" t="s">
        <v>27</v>
      </c>
      <c r="B1333">
        <v>23</v>
      </c>
      <c r="C1333" t="s">
        <v>17</v>
      </c>
      <c r="D1333" s="1">
        <v>45991</v>
      </c>
      <c r="E1333">
        <v>1376</v>
      </c>
      <c r="F1333">
        <v>70.83</v>
      </c>
      <c r="G1333">
        <v>43.2</v>
      </c>
      <c r="H1333">
        <v>149</v>
      </c>
      <c r="I1333" t="s">
        <v>25</v>
      </c>
      <c r="J1333">
        <v>2025</v>
      </c>
      <c r="K1333">
        <f t="shared" si="40"/>
        <v>27.629999999999995</v>
      </c>
      <c r="L1333" t="str">
        <f t="shared" si="41"/>
        <v>Banca Etrusca|23|Carte</v>
      </c>
    </row>
    <row r="1334" spans="1:12" x14ac:dyDescent="0.25">
      <c r="A1334" t="s">
        <v>27</v>
      </c>
      <c r="B1334">
        <v>23</v>
      </c>
      <c r="C1334" t="s">
        <v>18</v>
      </c>
      <c r="D1334" s="1">
        <v>45991</v>
      </c>
      <c r="E1334">
        <v>1580.5</v>
      </c>
      <c r="F1334">
        <v>83.99</v>
      </c>
      <c r="G1334">
        <v>50.86</v>
      </c>
      <c r="H1334">
        <v>163</v>
      </c>
      <c r="I1334" t="s">
        <v>25</v>
      </c>
      <c r="J1334">
        <v>2025</v>
      </c>
      <c r="K1334">
        <f t="shared" si="40"/>
        <v>33.129999999999995</v>
      </c>
      <c r="L1334" t="str">
        <f t="shared" si="41"/>
        <v>Banca Etrusca|23|Leasing</v>
      </c>
    </row>
    <row r="1335" spans="1:12" x14ac:dyDescent="0.25">
      <c r="A1335" t="s">
        <v>27</v>
      </c>
      <c r="B1335">
        <v>23</v>
      </c>
      <c r="C1335" t="s">
        <v>19</v>
      </c>
      <c r="D1335" s="1">
        <v>45991</v>
      </c>
      <c r="E1335">
        <v>1844.5</v>
      </c>
      <c r="F1335">
        <v>101.88</v>
      </c>
      <c r="G1335">
        <v>61.17</v>
      </c>
      <c r="H1335">
        <v>174</v>
      </c>
      <c r="I1335" t="s">
        <v>25</v>
      </c>
      <c r="J1335">
        <v>2025</v>
      </c>
      <c r="K1335">
        <f t="shared" si="40"/>
        <v>40.709999999999994</v>
      </c>
      <c r="L1335" t="str">
        <f t="shared" si="41"/>
        <v>Banca Etrusca|23|Factoring</v>
      </c>
    </row>
    <row r="1336" spans="1:12" x14ac:dyDescent="0.25">
      <c r="A1336" t="s">
        <v>27</v>
      </c>
      <c r="B1336">
        <v>23</v>
      </c>
      <c r="C1336" t="s">
        <v>20</v>
      </c>
      <c r="D1336" s="1">
        <v>45991</v>
      </c>
      <c r="E1336">
        <v>2082.6</v>
      </c>
      <c r="F1336">
        <v>118.77</v>
      </c>
      <c r="G1336">
        <v>71.66</v>
      </c>
      <c r="H1336">
        <v>197</v>
      </c>
      <c r="I1336" t="s">
        <v>25</v>
      </c>
      <c r="J1336">
        <v>2025</v>
      </c>
      <c r="K1336">
        <f t="shared" si="40"/>
        <v>47.11</v>
      </c>
      <c r="L1336" t="str">
        <f t="shared" si="41"/>
        <v>Banca Etrusca|23|Risparmio</v>
      </c>
    </row>
    <row r="1337" spans="1:12" x14ac:dyDescent="0.25">
      <c r="A1337" t="s">
        <v>27</v>
      </c>
      <c r="B1337">
        <v>23</v>
      </c>
      <c r="C1337" t="s">
        <v>21</v>
      </c>
      <c r="D1337" s="1">
        <v>45991</v>
      </c>
      <c r="E1337">
        <v>2324.1999999999998</v>
      </c>
      <c r="F1337">
        <v>137.38</v>
      </c>
      <c r="G1337">
        <v>81.52</v>
      </c>
      <c r="H1337">
        <v>209</v>
      </c>
      <c r="I1337" t="s">
        <v>25</v>
      </c>
      <c r="J1337">
        <v>2025</v>
      </c>
      <c r="K1337">
        <f t="shared" si="40"/>
        <v>55.86</v>
      </c>
      <c r="L1337" t="str">
        <f t="shared" si="41"/>
        <v>Banca Etrusca|23|Assicurazioni</v>
      </c>
    </row>
    <row r="1338" spans="1:12" x14ac:dyDescent="0.25">
      <c r="A1338" t="s">
        <v>27</v>
      </c>
      <c r="B1338">
        <v>24</v>
      </c>
      <c r="C1338" t="s">
        <v>13</v>
      </c>
      <c r="D1338" s="1">
        <v>46022</v>
      </c>
      <c r="E1338">
        <v>627.6</v>
      </c>
      <c r="F1338">
        <v>28.26</v>
      </c>
      <c r="G1338">
        <v>18.22</v>
      </c>
      <c r="H1338">
        <v>90</v>
      </c>
      <c r="I1338" t="s">
        <v>25</v>
      </c>
      <c r="J1338">
        <v>2025</v>
      </c>
      <c r="K1338">
        <f t="shared" si="40"/>
        <v>10.040000000000003</v>
      </c>
      <c r="L1338" t="str">
        <f t="shared" si="41"/>
        <v>Banca Etrusca|24|Mutui</v>
      </c>
    </row>
    <row r="1339" spans="1:12" x14ac:dyDescent="0.25">
      <c r="A1339" t="s">
        <v>27</v>
      </c>
      <c r="B1339">
        <v>24</v>
      </c>
      <c r="C1339" t="s">
        <v>15</v>
      </c>
      <c r="D1339" s="1">
        <v>46022</v>
      </c>
      <c r="E1339">
        <v>874</v>
      </c>
      <c r="F1339">
        <v>41.51</v>
      </c>
      <c r="G1339">
        <v>26.29</v>
      </c>
      <c r="H1339">
        <v>103</v>
      </c>
      <c r="I1339" t="s">
        <v>25</v>
      </c>
      <c r="J1339">
        <v>2025</v>
      </c>
      <c r="K1339">
        <f t="shared" si="40"/>
        <v>15.219999999999999</v>
      </c>
      <c r="L1339" t="str">
        <f t="shared" si="41"/>
        <v>Banca Etrusca|24|Prestiti</v>
      </c>
    </row>
    <row r="1340" spans="1:12" x14ac:dyDescent="0.25">
      <c r="A1340" t="s">
        <v>27</v>
      </c>
      <c r="B1340">
        <v>24</v>
      </c>
      <c r="C1340" t="s">
        <v>16</v>
      </c>
      <c r="D1340" s="1">
        <v>46022</v>
      </c>
      <c r="E1340">
        <v>1113.3</v>
      </c>
      <c r="F1340">
        <v>54.67</v>
      </c>
      <c r="G1340">
        <v>34.39</v>
      </c>
      <c r="H1340">
        <v>109</v>
      </c>
      <c r="I1340" t="s">
        <v>25</v>
      </c>
      <c r="J1340">
        <v>2025</v>
      </c>
      <c r="K1340">
        <f t="shared" si="40"/>
        <v>20.28</v>
      </c>
      <c r="L1340" t="str">
        <f t="shared" si="41"/>
        <v>Banca Etrusca|24|Conti</v>
      </c>
    </row>
    <row r="1341" spans="1:12" x14ac:dyDescent="0.25">
      <c r="A1341" t="s">
        <v>27</v>
      </c>
      <c r="B1341">
        <v>24</v>
      </c>
      <c r="C1341" t="s">
        <v>17</v>
      </c>
      <c r="D1341" s="1">
        <v>46022</v>
      </c>
      <c r="E1341">
        <v>1370.1</v>
      </c>
      <c r="F1341">
        <v>70.58</v>
      </c>
      <c r="G1341">
        <v>42.98</v>
      </c>
      <c r="H1341">
        <v>147</v>
      </c>
      <c r="I1341" t="s">
        <v>25</v>
      </c>
      <c r="J1341">
        <v>2025</v>
      </c>
      <c r="K1341">
        <f t="shared" si="40"/>
        <v>27.6</v>
      </c>
      <c r="L1341" t="str">
        <f t="shared" si="41"/>
        <v>Banca Etrusca|24|Carte</v>
      </c>
    </row>
    <row r="1342" spans="1:12" x14ac:dyDescent="0.25">
      <c r="A1342" t="s">
        <v>27</v>
      </c>
      <c r="B1342">
        <v>24</v>
      </c>
      <c r="C1342" t="s">
        <v>18</v>
      </c>
      <c r="D1342" s="1">
        <v>46022</v>
      </c>
      <c r="E1342">
        <v>1632.5</v>
      </c>
      <c r="F1342">
        <v>87.14</v>
      </c>
      <c r="G1342">
        <v>53.03</v>
      </c>
      <c r="H1342">
        <v>166</v>
      </c>
      <c r="I1342" t="s">
        <v>25</v>
      </c>
      <c r="J1342">
        <v>2025</v>
      </c>
      <c r="K1342">
        <f t="shared" si="40"/>
        <v>34.11</v>
      </c>
      <c r="L1342" t="str">
        <f t="shared" si="41"/>
        <v>Banca Etrusca|24|Leasing</v>
      </c>
    </row>
    <row r="1343" spans="1:12" x14ac:dyDescent="0.25">
      <c r="A1343" t="s">
        <v>27</v>
      </c>
      <c r="B1343">
        <v>24</v>
      </c>
      <c r="C1343" t="s">
        <v>19</v>
      </c>
      <c r="D1343" s="1">
        <v>46022</v>
      </c>
      <c r="E1343">
        <v>1823.2</v>
      </c>
      <c r="F1343">
        <v>100.92</v>
      </c>
      <c r="G1343">
        <v>60.69</v>
      </c>
      <c r="H1343">
        <v>188</v>
      </c>
      <c r="I1343" t="s">
        <v>25</v>
      </c>
      <c r="J1343">
        <v>2025</v>
      </c>
      <c r="K1343">
        <f t="shared" si="40"/>
        <v>40.230000000000004</v>
      </c>
      <c r="L1343" t="str">
        <f t="shared" si="41"/>
        <v>Banca Etrusca|24|Factoring</v>
      </c>
    </row>
    <row r="1344" spans="1:12" x14ac:dyDescent="0.25">
      <c r="A1344" t="s">
        <v>27</v>
      </c>
      <c r="B1344">
        <v>24</v>
      </c>
      <c r="C1344" t="s">
        <v>20</v>
      </c>
      <c r="D1344" s="1">
        <v>46022</v>
      </c>
      <c r="E1344">
        <v>2114</v>
      </c>
      <c r="F1344">
        <v>120.97</v>
      </c>
      <c r="G1344">
        <v>72.05</v>
      </c>
      <c r="H1344">
        <v>200</v>
      </c>
      <c r="I1344" t="s">
        <v>25</v>
      </c>
      <c r="J1344">
        <v>2025</v>
      </c>
      <c r="K1344">
        <f t="shared" si="40"/>
        <v>48.92</v>
      </c>
      <c r="L1344" t="str">
        <f t="shared" si="41"/>
        <v>Banca Etrusca|24|Risparmio</v>
      </c>
    </row>
    <row r="1345" spans="1:12" x14ac:dyDescent="0.25">
      <c r="A1345" t="s">
        <v>27</v>
      </c>
      <c r="B1345">
        <v>24</v>
      </c>
      <c r="C1345" t="s">
        <v>21</v>
      </c>
      <c r="D1345" s="1">
        <v>46022</v>
      </c>
      <c r="E1345">
        <v>2322.4</v>
      </c>
      <c r="F1345">
        <v>137.59</v>
      </c>
      <c r="G1345">
        <v>81.650000000000006</v>
      </c>
      <c r="H1345">
        <v>209</v>
      </c>
      <c r="I1345" t="s">
        <v>25</v>
      </c>
      <c r="J1345">
        <v>2025</v>
      </c>
      <c r="K1345">
        <f t="shared" si="40"/>
        <v>55.94</v>
      </c>
      <c r="L1345" t="str">
        <f t="shared" si="41"/>
        <v>Banca Etrusca|24|Assicurazioni</v>
      </c>
    </row>
    <row r="1346" spans="1:12" x14ac:dyDescent="0.25">
      <c r="A1346" t="s">
        <v>27</v>
      </c>
      <c r="B1346">
        <v>25</v>
      </c>
      <c r="C1346" t="s">
        <v>13</v>
      </c>
      <c r="D1346" s="1">
        <v>46053</v>
      </c>
      <c r="E1346">
        <v>641.6</v>
      </c>
      <c r="F1346">
        <v>29.36</v>
      </c>
      <c r="G1346">
        <v>18.52</v>
      </c>
      <c r="H1346">
        <v>60</v>
      </c>
      <c r="I1346" t="s">
        <v>25</v>
      </c>
      <c r="J1346">
        <v>2026</v>
      </c>
      <c r="K1346">
        <f t="shared" ref="K1346:K1409" si="42">F1346-G1346</f>
        <v>10.84</v>
      </c>
      <c r="L1346" t="str">
        <f t="shared" ref="L1346:L1409" si="43">A1346&amp;"|"&amp;B1346&amp;"|"&amp;C1346</f>
        <v>Banca Etrusca|25|Mutui</v>
      </c>
    </row>
    <row r="1347" spans="1:12" x14ac:dyDescent="0.25">
      <c r="A1347" t="s">
        <v>27</v>
      </c>
      <c r="B1347">
        <v>25</v>
      </c>
      <c r="C1347" t="s">
        <v>15</v>
      </c>
      <c r="D1347" s="1">
        <v>46053</v>
      </c>
      <c r="E1347">
        <v>866.3</v>
      </c>
      <c r="F1347">
        <v>40.79</v>
      </c>
      <c r="G1347">
        <v>25.59</v>
      </c>
      <c r="H1347">
        <v>112</v>
      </c>
      <c r="I1347" t="s">
        <v>25</v>
      </c>
      <c r="J1347">
        <v>2026</v>
      </c>
      <c r="K1347">
        <f t="shared" si="42"/>
        <v>15.2</v>
      </c>
      <c r="L1347" t="str">
        <f t="shared" si="43"/>
        <v>Banca Etrusca|25|Prestiti</v>
      </c>
    </row>
    <row r="1348" spans="1:12" x14ac:dyDescent="0.25">
      <c r="A1348" t="s">
        <v>27</v>
      </c>
      <c r="B1348">
        <v>25</v>
      </c>
      <c r="C1348" t="s">
        <v>16</v>
      </c>
      <c r="D1348" s="1">
        <v>46053</v>
      </c>
      <c r="E1348">
        <v>1124.5</v>
      </c>
      <c r="F1348">
        <v>55.85</v>
      </c>
      <c r="G1348">
        <v>34.11</v>
      </c>
      <c r="H1348">
        <v>112</v>
      </c>
      <c r="I1348" t="s">
        <v>25</v>
      </c>
      <c r="J1348">
        <v>2026</v>
      </c>
      <c r="K1348">
        <f t="shared" si="42"/>
        <v>21.740000000000002</v>
      </c>
      <c r="L1348" t="str">
        <f t="shared" si="43"/>
        <v>Banca Etrusca|25|Conti</v>
      </c>
    </row>
    <row r="1349" spans="1:12" x14ac:dyDescent="0.25">
      <c r="A1349" t="s">
        <v>27</v>
      </c>
      <c r="B1349">
        <v>25</v>
      </c>
      <c r="C1349" t="s">
        <v>17</v>
      </c>
      <c r="D1349" s="1">
        <v>46053</v>
      </c>
      <c r="E1349">
        <v>1377.2</v>
      </c>
      <c r="F1349">
        <v>70.47</v>
      </c>
      <c r="G1349">
        <v>43.54</v>
      </c>
      <c r="H1349">
        <v>148</v>
      </c>
      <c r="I1349" t="s">
        <v>25</v>
      </c>
      <c r="J1349">
        <v>2026</v>
      </c>
      <c r="K1349">
        <f t="shared" si="42"/>
        <v>26.93</v>
      </c>
      <c r="L1349" t="str">
        <f t="shared" si="43"/>
        <v>Banca Etrusca|25|Carte</v>
      </c>
    </row>
    <row r="1350" spans="1:12" x14ac:dyDescent="0.25">
      <c r="A1350" t="s">
        <v>27</v>
      </c>
      <c r="B1350">
        <v>25</v>
      </c>
      <c r="C1350" t="s">
        <v>18</v>
      </c>
      <c r="D1350" s="1">
        <v>46053</v>
      </c>
      <c r="E1350">
        <v>1646.2</v>
      </c>
      <c r="F1350">
        <v>88.16</v>
      </c>
      <c r="G1350">
        <v>52.79</v>
      </c>
      <c r="H1350">
        <v>167</v>
      </c>
      <c r="I1350" t="s">
        <v>25</v>
      </c>
      <c r="J1350">
        <v>2026</v>
      </c>
      <c r="K1350">
        <f t="shared" si="42"/>
        <v>35.369999999999997</v>
      </c>
      <c r="L1350" t="str">
        <f t="shared" si="43"/>
        <v>Banca Etrusca|25|Leasing</v>
      </c>
    </row>
    <row r="1351" spans="1:12" x14ac:dyDescent="0.25">
      <c r="A1351" t="s">
        <v>27</v>
      </c>
      <c r="B1351">
        <v>25</v>
      </c>
      <c r="C1351" t="s">
        <v>19</v>
      </c>
      <c r="D1351" s="1">
        <v>46053</v>
      </c>
      <c r="E1351">
        <v>1839.3</v>
      </c>
      <c r="F1351">
        <v>102.11</v>
      </c>
      <c r="G1351">
        <v>61.06</v>
      </c>
      <c r="H1351">
        <v>155</v>
      </c>
      <c r="I1351" t="s">
        <v>25</v>
      </c>
      <c r="J1351">
        <v>2026</v>
      </c>
      <c r="K1351">
        <f t="shared" si="42"/>
        <v>41.05</v>
      </c>
      <c r="L1351" t="str">
        <f t="shared" si="43"/>
        <v>Banca Etrusca|25|Factoring</v>
      </c>
    </row>
    <row r="1352" spans="1:12" x14ac:dyDescent="0.25">
      <c r="A1352" t="s">
        <v>27</v>
      </c>
      <c r="B1352">
        <v>25</v>
      </c>
      <c r="C1352" t="s">
        <v>20</v>
      </c>
      <c r="D1352" s="1">
        <v>46053</v>
      </c>
      <c r="E1352">
        <v>2079.6</v>
      </c>
      <c r="F1352">
        <v>118.88</v>
      </c>
      <c r="G1352">
        <v>70.849999999999994</v>
      </c>
      <c r="H1352">
        <v>190</v>
      </c>
      <c r="I1352" t="s">
        <v>25</v>
      </c>
      <c r="J1352">
        <v>2026</v>
      </c>
      <c r="K1352">
        <f t="shared" si="42"/>
        <v>48.03</v>
      </c>
      <c r="L1352" t="str">
        <f t="shared" si="43"/>
        <v>Banca Etrusca|25|Risparmio</v>
      </c>
    </row>
    <row r="1353" spans="1:12" x14ac:dyDescent="0.25">
      <c r="A1353" t="s">
        <v>27</v>
      </c>
      <c r="B1353">
        <v>25</v>
      </c>
      <c r="C1353" t="s">
        <v>21</v>
      </c>
      <c r="D1353" s="1">
        <v>46053</v>
      </c>
      <c r="E1353">
        <v>2334.6999999999998</v>
      </c>
      <c r="F1353">
        <v>137.81</v>
      </c>
      <c r="G1353">
        <v>82.33</v>
      </c>
      <c r="H1353">
        <v>222</v>
      </c>
      <c r="I1353" t="s">
        <v>25</v>
      </c>
      <c r="J1353">
        <v>2026</v>
      </c>
      <c r="K1353">
        <f t="shared" si="42"/>
        <v>55.480000000000004</v>
      </c>
      <c r="L1353" t="str">
        <f t="shared" si="43"/>
        <v>Banca Etrusca|25|Assicurazioni</v>
      </c>
    </row>
    <row r="1354" spans="1:12" x14ac:dyDescent="0.25">
      <c r="A1354" t="s">
        <v>27</v>
      </c>
      <c r="B1354">
        <v>26</v>
      </c>
      <c r="C1354" t="s">
        <v>13</v>
      </c>
      <c r="D1354" s="1">
        <v>46081</v>
      </c>
      <c r="E1354">
        <v>648.6</v>
      </c>
      <c r="F1354">
        <v>29.37</v>
      </c>
      <c r="G1354">
        <v>18.71</v>
      </c>
      <c r="H1354">
        <v>72</v>
      </c>
      <c r="I1354" t="s">
        <v>25</v>
      </c>
      <c r="J1354">
        <v>2026</v>
      </c>
      <c r="K1354">
        <f t="shared" si="42"/>
        <v>10.66</v>
      </c>
      <c r="L1354" t="str">
        <f t="shared" si="43"/>
        <v>Banca Etrusca|26|Mutui</v>
      </c>
    </row>
    <row r="1355" spans="1:12" x14ac:dyDescent="0.25">
      <c r="A1355" t="s">
        <v>27</v>
      </c>
      <c r="B1355">
        <v>26</v>
      </c>
      <c r="C1355" t="s">
        <v>15</v>
      </c>
      <c r="D1355" s="1">
        <v>46081</v>
      </c>
      <c r="E1355">
        <v>909</v>
      </c>
      <c r="F1355">
        <v>42.82</v>
      </c>
      <c r="G1355">
        <v>27.08</v>
      </c>
      <c r="H1355">
        <v>77</v>
      </c>
      <c r="I1355" t="s">
        <v>25</v>
      </c>
      <c r="J1355">
        <v>2026</v>
      </c>
      <c r="K1355">
        <f t="shared" si="42"/>
        <v>15.740000000000002</v>
      </c>
      <c r="L1355" t="str">
        <f t="shared" si="43"/>
        <v>Banca Etrusca|26|Prestiti</v>
      </c>
    </row>
    <row r="1356" spans="1:12" x14ac:dyDescent="0.25">
      <c r="A1356" t="s">
        <v>27</v>
      </c>
      <c r="B1356">
        <v>26</v>
      </c>
      <c r="C1356" t="s">
        <v>16</v>
      </c>
      <c r="D1356" s="1">
        <v>46081</v>
      </c>
      <c r="E1356">
        <v>1117.0999999999999</v>
      </c>
      <c r="F1356">
        <v>55.47</v>
      </c>
      <c r="G1356">
        <v>34.049999999999997</v>
      </c>
      <c r="H1356">
        <v>109</v>
      </c>
      <c r="I1356" t="s">
        <v>25</v>
      </c>
      <c r="J1356">
        <v>2026</v>
      </c>
      <c r="K1356">
        <f t="shared" si="42"/>
        <v>21.42</v>
      </c>
      <c r="L1356" t="str">
        <f t="shared" si="43"/>
        <v>Banca Etrusca|26|Conti</v>
      </c>
    </row>
    <row r="1357" spans="1:12" x14ac:dyDescent="0.25">
      <c r="A1357" t="s">
        <v>27</v>
      </c>
      <c r="B1357">
        <v>26</v>
      </c>
      <c r="C1357" t="s">
        <v>17</v>
      </c>
      <c r="D1357" s="1">
        <v>46081</v>
      </c>
      <c r="E1357">
        <v>1402.8</v>
      </c>
      <c r="F1357">
        <v>71.930000000000007</v>
      </c>
      <c r="G1357">
        <v>44.22</v>
      </c>
      <c r="H1357">
        <v>115</v>
      </c>
      <c r="I1357" t="s">
        <v>25</v>
      </c>
      <c r="J1357">
        <v>2026</v>
      </c>
      <c r="K1357">
        <f t="shared" si="42"/>
        <v>27.710000000000008</v>
      </c>
      <c r="L1357" t="str">
        <f t="shared" si="43"/>
        <v>Banca Etrusca|26|Carte</v>
      </c>
    </row>
    <row r="1358" spans="1:12" x14ac:dyDescent="0.25">
      <c r="A1358" t="s">
        <v>27</v>
      </c>
      <c r="B1358">
        <v>26</v>
      </c>
      <c r="C1358" t="s">
        <v>18</v>
      </c>
      <c r="D1358" s="1">
        <v>46081</v>
      </c>
      <c r="E1358">
        <v>1601.1</v>
      </c>
      <c r="F1358">
        <v>85.58</v>
      </c>
      <c r="G1358">
        <v>51.69</v>
      </c>
      <c r="H1358">
        <v>169</v>
      </c>
      <c r="I1358" t="s">
        <v>25</v>
      </c>
      <c r="J1358">
        <v>2026</v>
      </c>
      <c r="K1358">
        <f t="shared" si="42"/>
        <v>33.89</v>
      </c>
      <c r="L1358" t="str">
        <f t="shared" si="43"/>
        <v>Banca Etrusca|26|Leasing</v>
      </c>
    </row>
    <row r="1359" spans="1:12" x14ac:dyDescent="0.25">
      <c r="A1359" t="s">
        <v>27</v>
      </c>
      <c r="B1359">
        <v>26</v>
      </c>
      <c r="C1359" t="s">
        <v>19</v>
      </c>
      <c r="D1359" s="1">
        <v>46081</v>
      </c>
      <c r="E1359">
        <v>1882.5</v>
      </c>
      <c r="F1359">
        <v>104.14</v>
      </c>
      <c r="G1359">
        <v>63.11</v>
      </c>
      <c r="H1359">
        <v>160</v>
      </c>
      <c r="I1359" t="s">
        <v>25</v>
      </c>
      <c r="J1359">
        <v>2026</v>
      </c>
      <c r="K1359">
        <f t="shared" si="42"/>
        <v>41.03</v>
      </c>
      <c r="L1359" t="str">
        <f t="shared" si="43"/>
        <v>Banca Etrusca|26|Factoring</v>
      </c>
    </row>
    <row r="1360" spans="1:12" x14ac:dyDescent="0.25">
      <c r="A1360" t="s">
        <v>27</v>
      </c>
      <c r="B1360">
        <v>26</v>
      </c>
      <c r="C1360" t="s">
        <v>20</v>
      </c>
      <c r="D1360" s="1">
        <v>46081</v>
      </c>
      <c r="E1360">
        <v>2106.1</v>
      </c>
      <c r="F1360">
        <v>120.66</v>
      </c>
      <c r="G1360">
        <v>71.760000000000005</v>
      </c>
      <c r="H1360">
        <v>189</v>
      </c>
      <c r="I1360" t="s">
        <v>25</v>
      </c>
      <c r="J1360">
        <v>2026</v>
      </c>
      <c r="K1360">
        <f t="shared" si="42"/>
        <v>48.899999999999991</v>
      </c>
      <c r="L1360" t="str">
        <f t="shared" si="43"/>
        <v>Banca Etrusca|26|Risparmio</v>
      </c>
    </row>
    <row r="1361" spans="1:12" x14ac:dyDescent="0.25">
      <c r="A1361" t="s">
        <v>27</v>
      </c>
      <c r="B1361">
        <v>26</v>
      </c>
      <c r="C1361" t="s">
        <v>21</v>
      </c>
      <c r="D1361" s="1">
        <v>46081</v>
      </c>
      <c r="E1361">
        <v>2372.6</v>
      </c>
      <c r="F1361">
        <v>140.34</v>
      </c>
      <c r="G1361">
        <v>83.68</v>
      </c>
      <c r="H1361">
        <v>198</v>
      </c>
      <c r="I1361" t="s">
        <v>25</v>
      </c>
      <c r="J1361">
        <v>2026</v>
      </c>
      <c r="K1361">
        <f t="shared" si="42"/>
        <v>56.66</v>
      </c>
      <c r="L1361" t="str">
        <f t="shared" si="43"/>
        <v>Banca Etrusca|26|Assicurazioni</v>
      </c>
    </row>
    <row r="1362" spans="1:12" x14ac:dyDescent="0.25">
      <c r="A1362" t="s">
        <v>27</v>
      </c>
      <c r="B1362">
        <v>27</v>
      </c>
      <c r="C1362" t="s">
        <v>13</v>
      </c>
      <c r="D1362" s="1">
        <v>46112</v>
      </c>
      <c r="E1362">
        <v>671.6</v>
      </c>
      <c r="F1362">
        <v>30.45</v>
      </c>
      <c r="G1362">
        <v>19.07</v>
      </c>
      <c r="H1362">
        <v>89</v>
      </c>
      <c r="I1362" t="s">
        <v>25</v>
      </c>
      <c r="J1362">
        <v>2026</v>
      </c>
      <c r="K1362">
        <f t="shared" si="42"/>
        <v>11.379999999999999</v>
      </c>
      <c r="L1362" t="str">
        <f t="shared" si="43"/>
        <v>Banca Etrusca|27|Mutui</v>
      </c>
    </row>
    <row r="1363" spans="1:12" x14ac:dyDescent="0.25">
      <c r="A1363" t="s">
        <v>27</v>
      </c>
      <c r="B1363">
        <v>27</v>
      </c>
      <c r="C1363" t="s">
        <v>15</v>
      </c>
      <c r="D1363" s="1">
        <v>46112</v>
      </c>
      <c r="E1363">
        <v>923.5</v>
      </c>
      <c r="F1363">
        <v>44.22</v>
      </c>
      <c r="G1363">
        <v>27.55</v>
      </c>
      <c r="H1363">
        <v>96</v>
      </c>
      <c r="I1363" t="s">
        <v>25</v>
      </c>
      <c r="J1363">
        <v>2026</v>
      </c>
      <c r="K1363">
        <f t="shared" si="42"/>
        <v>16.669999999999998</v>
      </c>
      <c r="L1363" t="str">
        <f t="shared" si="43"/>
        <v>Banca Etrusca|27|Prestiti</v>
      </c>
    </row>
    <row r="1364" spans="1:12" x14ac:dyDescent="0.25">
      <c r="A1364" t="s">
        <v>27</v>
      </c>
      <c r="B1364">
        <v>27</v>
      </c>
      <c r="C1364" t="s">
        <v>16</v>
      </c>
      <c r="D1364" s="1">
        <v>46112</v>
      </c>
      <c r="E1364">
        <v>1155.2</v>
      </c>
      <c r="F1364">
        <v>56.93</v>
      </c>
      <c r="G1364">
        <v>35.270000000000003</v>
      </c>
      <c r="H1364">
        <v>120</v>
      </c>
      <c r="I1364" t="s">
        <v>25</v>
      </c>
      <c r="J1364">
        <v>2026</v>
      </c>
      <c r="K1364">
        <f t="shared" si="42"/>
        <v>21.659999999999997</v>
      </c>
      <c r="L1364" t="str">
        <f t="shared" si="43"/>
        <v>Banca Etrusca|27|Conti</v>
      </c>
    </row>
    <row r="1365" spans="1:12" x14ac:dyDescent="0.25">
      <c r="A1365" t="s">
        <v>27</v>
      </c>
      <c r="B1365">
        <v>27</v>
      </c>
      <c r="C1365" t="s">
        <v>17</v>
      </c>
      <c r="D1365" s="1">
        <v>46112</v>
      </c>
      <c r="E1365">
        <v>1410.9</v>
      </c>
      <c r="F1365">
        <v>72.680000000000007</v>
      </c>
      <c r="G1365">
        <v>44.42</v>
      </c>
      <c r="H1365">
        <v>147</v>
      </c>
      <c r="I1365" t="s">
        <v>25</v>
      </c>
      <c r="J1365">
        <v>2026</v>
      </c>
      <c r="K1365">
        <f t="shared" si="42"/>
        <v>28.260000000000005</v>
      </c>
      <c r="L1365" t="str">
        <f t="shared" si="43"/>
        <v>Banca Etrusca|27|Carte</v>
      </c>
    </row>
    <row r="1366" spans="1:12" x14ac:dyDescent="0.25">
      <c r="A1366" t="s">
        <v>27</v>
      </c>
      <c r="B1366">
        <v>27</v>
      </c>
      <c r="C1366" t="s">
        <v>18</v>
      </c>
      <c r="D1366" s="1">
        <v>46112</v>
      </c>
      <c r="E1366">
        <v>1661</v>
      </c>
      <c r="F1366">
        <v>88.14</v>
      </c>
      <c r="G1366">
        <v>53.75</v>
      </c>
      <c r="H1366">
        <v>165</v>
      </c>
      <c r="I1366" t="s">
        <v>25</v>
      </c>
      <c r="J1366">
        <v>2026</v>
      </c>
      <c r="K1366">
        <f t="shared" si="42"/>
        <v>34.39</v>
      </c>
      <c r="L1366" t="str">
        <f t="shared" si="43"/>
        <v>Banca Etrusca|27|Leasing</v>
      </c>
    </row>
    <row r="1367" spans="1:12" x14ac:dyDescent="0.25">
      <c r="A1367" t="s">
        <v>27</v>
      </c>
      <c r="B1367">
        <v>27</v>
      </c>
      <c r="C1367" t="s">
        <v>19</v>
      </c>
      <c r="D1367" s="1">
        <v>46112</v>
      </c>
      <c r="E1367">
        <v>1911.7</v>
      </c>
      <c r="F1367">
        <v>105.72</v>
      </c>
      <c r="G1367">
        <v>63.25</v>
      </c>
      <c r="H1367">
        <v>182</v>
      </c>
      <c r="I1367" t="s">
        <v>25</v>
      </c>
      <c r="J1367">
        <v>2026</v>
      </c>
      <c r="K1367">
        <f t="shared" si="42"/>
        <v>42.47</v>
      </c>
      <c r="L1367" t="str">
        <f t="shared" si="43"/>
        <v>Banca Etrusca|27|Factoring</v>
      </c>
    </row>
    <row r="1368" spans="1:12" x14ac:dyDescent="0.25">
      <c r="A1368" t="s">
        <v>27</v>
      </c>
      <c r="B1368">
        <v>27</v>
      </c>
      <c r="C1368" t="s">
        <v>20</v>
      </c>
      <c r="D1368" s="1">
        <v>46112</v>
      </c>
      <c r="E1368">
        <v>2124.3000000000002</v>
      </c>
      <c r="F1368">
        <v>121.83</v>
      </c>
      <c r="G1368">
        <v>72.86</v>
      </c>
      <c r="H1368">
        <v>184</v>
      </c>
      <c r="I1368" t="s">
        <v>25</v>
      </c>
      <c r="J1368">
        <v>2026</v>
      </c>
      <c r="K1368">
        <f t="shared" si="42"/>
        <v>48.97</v>
      </c>
      <c r="L1368" t="str">
        <f t="shared" si="43"/>
        <v>Banca Etrusca|27|Risparmio</v>
      </c>
    </row>
    <row r="1369" spans="1:12" x14ac:dyDescent="0.25">
      <c r="A1369" t="s">
        <v>27</v>
      </c>
      <c r="B1369">
        <v>27</v>
      </c>
      <c r="C1369" t="s">
        <v>21</v>
      </c>
      <c r="D1369" s="1">
        <v>46112</v>
      </c>
      <c r="E1369">
        <v>2352.1999999999998</v>
      </c>
      <c r="F1369">
        <v>139.24</v>
      </c>
      <c r="G1369">
        <v>82.91</v>
      </c>
      <c r="H1369">
        <v>195</v>
      </c>
      <c r="I1369" t="s">
        <v>25</v>
      </c>
      <c r="J1369">
        <v>2026</v>
      </c>
      <c r="K1369">
        <f t="shared" si="42"/>
        <v>56.330000000000013</v>
      </c>
      <c r="L1369" t="str">
        <f t="shared" si="43"/>
        <v>Banca Etrusca|27|Assicurazioni</v>
      </c>
    </row>
    <row r="1370" spans="1:12" x14ac:dyDescent="0.25">
      <c r="A1370" t="s">
        <v>27</v>
      </c>
      <c r="B1370">
        <v>28</v>
      </c>
      <c r="C1370" t="s">
        <v>13</v>
      </c>
      <c r="D1370" s="1">
        <v>46142</v>
      </c>
      <c r="E1370">
        <v>669</v>
      </c>
      <c r="F1370">
        <v>30.93</v>
      </c>
      <c r="G1370">
        <v>19.149999999999999</v>
      </c>
      <c r="H1370">
        <v>74</v>
      </c>
      <c r="I1370" t="s">
        <v>25</v>
      </c>
      <c r="J1370">
        <v>2026</v>
      </c>
      <c r="K1370">
        <f t="shared" si="42"/>
        <v>11.780000000000001</v>
      </c>
      <c r="L1370" t="str">
        <f t="shared" si="43"/>
        <v>Banca Etrusca|28|Mutui</v>
      </c>
    </row>
    <row r="1371" spans="1:12" x14ac:dyDescent="0.25">
      <c r="A1371" t="s">
        <v>27</v>
      </c>
      <c r="B1371">
        <v>28</v>
      </c>
      <c r="C1371" t="s">
        <v>15</v>
      </c>
      <c r="D1371" s="1">
        <v>46142</v>
      </c>
      <c r="E1371">
        <v>908.3</v>
      </c>
      <c r="F1371">
        <v>42.7</v>
      </c>
      <c r="G1371">
        <v>26.84</v>
      </c>
      <c r="H1371">
        <v>97</v>
      </c>
      <c r="I1371" t="s">
        <v>25</v>
      </c>
      <c r="J1371">
        <v>2026</v>
      </c>
      <c r="K1371">
        <f t="shared" si="42"/>
        <v>15.860000000000003</v>
      </c>
      <c r="L1371" t="str">
        <f t="shared" si="43"/>
        <v>Banca Etrusca|28|Prestiti</v>
      </c>
    </row>
    <row r="1372" spans="1:12" x14ac:dyDescent="0.25">
      <c r="A1372" t="s">
        <v>27</v>
      </c>
      <c r="B1372">
        <v>28</v>
      </c>
      <c r="C1372" t="s">
        <v>16</v>
      </c>
      <c r="D1372" s="1">
        <v>46142</v>
      </c>
      <c r="E1372">
        <v>1133.7</v>
      </c>
      <c r="F1372">
        <v>56.22</v>
      </c>
      <c r="G1372">
        <v>34.83</v>
      </c>
      <c r="H1372">
        <v>103</v>
      </c>
      <c r="I1372" t="s">
        <v>25</v>
      </c>
      <c r="J1372">
        <v>2026</v>
      </c>
      <c r="K1372">
        <f t="shared" si="42"/>
        <v>21.39</v>
      </c>
      <c r="L1372" t="str">
        <f t="shared" si="43"/>
        <v>Banca Etrusca|28|Conti</v>
      </c>
    </row>
    <row r="1373" spans="1:12" x14ac:dyDescent="0.25">
      <c r="A1373" t="s">
        <v>27</v>
      </c>
      <c r="B1373">
        <v>28</v>
      </c>
      <c r="C1373" t="s">
        <v>17</v>
      </c>
      <c r="D1373" s="1">
        <v>46142</v>
      </c>
      <c r="E1373">
        <v>1430.3</v>
      </c>
      <c r="F1373">
        <v>73.569999999999993</v>
      </c>
      <c r="G1373">
        <v>44.84</v>
      </c>
      <c r="H1373">
        <v>152</v>
      </c>
      <c r="I1373" t="s">
        <v>25</v>
      </c>
      <c r="J1373">
        <v>2026</v>
      </c>
      <c r="K1373">
        <f t="shared" si="42"/>
        <v>28.72999999999999</v>
      </c>
      <c r="L1373" t="str">
        <f t="shared" si="43"/>
        <v>Banca Etrusca|28|Carte</v>
      </c>
    </row>
    <row r="1374" spans="1:12" x14ac:dyDescent="0.25">
      <c r="A1374" t="s">
        <v>27</v>
      </c>
      <c r="B1374">
        <v>28</v>
      </c>
      <c r="C1374" t="s">
        <v>18</v>
      </c>
      <c r="D1374" s="1">
        <v>46142</v>
      </c>
      <c r="E1374">
        <v>1633.4</v>
      </c>
      <c r="F1374">
        <v>87.21</v>
      </c>
      <c r="G1374">
        <v>52.36</v>
      </c>
      <c r="H1374">
        <v>142</v>
      </c>
      <c r="I1374" t="s">
        <v>25</v>
      </c>
      <c r="J1374">
        <v>2026</v>
      </c>
      <c r="K1374">
        <f t="shared" si="42"/>
        <v>34.849999999999994</v>
      </c>
      <c r="L1374" t="str">
        <f t="shared" si="43"/>
        <v>Banca Etrusca|28|Leasing</v>
      </c>
    </row>
    <row r="1375" spans="1:12" x14ac:dyDescent="0.25">
      <c r="A1375" t="s">
        <v>27</v>
      </c>
      <c r="B1375">
        <v>28</v>
      </c>
      <c r="C1375" t="s">
        <v>19</v>
      </c>
      <c r="D1375" s="1">
        <v>46142</v>
      </c>
      <c r="E1375">
        <v>1884.5</v>
      </c>
      <c r="F1375">
        <v>104.33</v>
      </c>
      <c r="G1375">
        <v>62.55</v>
      </c>
      <c r="H1375">
        <v>177</v>
      </c>
      <c r="I1375" t="s">
        <v>25</v>
      </c>
      <c r="J1375">
        <v>2026</v>
      </c>
      <c r="K1375">
        <f t="shared" si="42"/>
        <v>41.78</v>
      </c>
      <c r="L1375" t="str">
        <f t="shared" si="43"/>
        <v>Banca Etrusca|28|Factoring</v>
      </c>
    </row>
    <row r="1376" spans="1:12" x14ac:dyDescent="0.25">
      <c r="A1376" t="s">
        <v>27</v>
      </c>
      <c r="B1376">
        <v>28</v>
      </c>
      <c r="C1376" t="s">
        <v>20</v>
      </c>
      <c r="D1376" s="1">
        <v>46142</v>
      </c>
      <c r="E1376">
        <v>2135</v>
      </c>
      <c r="F1376">
        <v>121.84</v>
      </c>
      <c r="G1376">
        <v>73.260000000000005</v>
      </c>
      <c r="H1376">
        <v>181</v>
      </c>
      <c r="I1376" t="s">
        <v>25</v>
      </c>
      <c r="J1376">
        <v>2026</v>
      </c>
      <c r="K1376">
        <f t="shared" si="42"/>
        <v>48.58</v>
      </c>
      <c r="L1376" t="str">
        <f t="shared" si="43"/>
        <v>Banca Etrusca|28|Risparmio</v>
      </c>
    </row>
    <row r="1377" spans="1:12" x14ac:dyDescent="0.25">
      <c r="A1377" t="s">
        <v>27</v>
      </c>
      <c r="B1377">
        <v>28</v>
      </c>
      <c r="C1377" t="s">
        <v>21</v>
      </c>
      <c r="D1377" s="1">
        <v>46142</v>
      </c>
      <c r="E1377">
        <v>2411.4</v>
      </c>
      <c r="F1377">
        <v>142.96</v>
      </c>
      <c r="G1377">
        <v>84.49</v>
      </c>
      <c r="H1377">
        <v>205</v>
      </c>
      <c r="I1377" t="s">
        <v>25</v>
      </c>
      <c r="J1377">
        <v>2026</v>
      </c>
      <c r="K1377">
        <f t="shared" si="42"/>
        <v>58.470000000000013</v>
      </c>
      <c r="L1377" t="str">
        <f t="shared" si="43"/>
        <v>Banca Etrusca|28|Assicurazioni</v>
      </c>
    </row>
    <row r="1378" spans="1:12" x14ac:dyDescent="0.25">
      <c r="A1378" t="s">
        <v>27</v>
      </c>
      <c r="B1378">
        <v>29</v>
      </c>
      <c r="C1378" t="s">
        <v>13</v>
      </c>
      <c r="D1378" s="1">
        <v>46173</v>
      </c>
      <c r="E1378">
        <v>637.9</v>
      </c>
      <c r="F1378">
        <v>28.79</v>
      </c>
      <c r="G1378">
        <v>18.45</v>
      </c>
      <c r="H1378">
        <v>75</v>
      </c>
      <c r="I1378" t="s">
        <v>25</v>
      </c>
      <c r="J1378">
        <v>2026</v>
      </c>
      <c r="K1378">
        <f t="shared" si="42"/>
        <v>10.34</v>
      </c>
      <c r="L1378" t="str">
        <f t="shared" si="43"/>
        <v>Banca Etrusca|29|Mutui</v>
      </c>
    </row>
    <row r="1379" spans="1:12" x14ac:dyDescent="0.25">
      <c r="A1379" t="s">
        <v>27</v>
      </c>
      <c r="B1379">
        <v>29</v>
      </c>
      <c r="C1379" t="s">
        <v>15</v>
      </c>
      <c r="D1379" s="1">
        <v>46173</v>
      </c>
      <c r="E1379">
        <v>925.1</v>
      </c>
      <c r="F1379">
        <v>44.41</v>
      </c>
      <c r="G1379">
        <v>27.23</v>
      </c>
      <c r="H1379">
        <v>85</v>
      </c>
      <c r="I1379" t="s">
        <v>25</v>
      </c>
      <c r="J1379">
        <v>2026</v>
      </c>
      <c r="K1379">
        <f t="shared" si="42"/>
        <v>17.179999999999996</v>
      </c>
      <c r="L1379" t="str">
        <f t="shared" si="43"/>
        <v>Banca Etrusca|29|Prestiti</v>
      </c>
    </row>
    <row r="1380" spans="1:12" x14ac:dyDescent="0.25">
      <c r="A1380" t="s">
        <v>27</v>
      </c>
      <c r="B1380">
        <v>29</v>
      </c>
      <c r="C1380" t="s">
        <v>16</v>
      </c>
      <c r="D1380" s="1">
        <v>46173</v>
      </c>
      <c r="E1380">
        <v>1147.3</v>
      </c>
      <c r="F1380">
        <v>57.17</v>
      </c>
      <c r="G1380">
        <v>35.06</v>
      </c>
      <c r="H1380">
        <v>125</v>
      </c>
      <c r="I1380" t="s">
        <v>25</v>
      </c>
      <c r="J1380">
        <v>2026</v>
      </c>
      <c r="K1380">
        <f t="shared" si="42"/>
        <v>22.11</v>
      </c>
      <c r="L1380" t="str">
        <f t="shared" si="43"/>
        <v>Banca Etrusca|29|Conti</v>
      </c>
    </row>
    <row r="1381" spans="1:12" x14ac:dyDescent="0.25">
      <c r="A1381" t="s">
        <v>27</v>
      </c>
      <c r="B1381">
        <v>29</v>
      </c>
      <c r="C1381" t="s">
        <v>17</v>
      </c>
      <c r="D1381" s="1">
        <v>46173</v>
      </c>
      <c r="E1381">
        <v>1397</v>
      </c>
      <c r="F1381">
        <v>71.98</v>
      </c>
      <c r="G1381">
        <v>43.55</v>
      </c>
      <c r="H1381">
        <v>123</v>
      </c>
      <c r="I1381" t="s">
        <v>25</v>
      </c>
      <c r="J1381">
        <v>2026</v>
      </c>
      <c r="K1381">
        <f t="shared" si="42"/>
        <v>28.430000000000007</v>
      </c>
      <c r="L1381" t="str">
        <f t="shared" si="43"/>
        <v>Banca Etrusca|29|Carte</v>
      </c>
    </row>
    <row r="1382" spans="1:12" x14ac:dyDescent="0.25">
      <c r="A1382" t="s">
        <v>27</v>
      </c>
      <c r="B1382">
        <v>29</v>
      </c>
      <c r="C1382" t="s">
        <v>18</v>
      </c>
      <c r="D1382" s="1">
        <v>46173</v>
      </c>
      <c r="E1382">
        <v>1655.9</v>
      </c>
      <c r="F1382">
        <v>88.41</v>
      </c>
      <c r="G1382">
        <v>53.91</v>
      </c>
      <c r="H1382">
        <v>144</v>
      </c>
      <c r="I1382" t="s">
        <v>25</v>
      </c>
      <c r="J1382">
        <v>2026</v>
      </c>
      <c r="K1382">
        <f t="shared" si="42"/>
        <v>34.5</v>
      </c>
      <c r="L1382" t="str">
        <f t="shared" si="43"/>
        <v>Banca Etrusca|29|Leasing</v>
      </c>
    </row>
    <row r="1383" spans="1:12" x14ac:dyDescent="0.25">
      <c r="A1383" t="s">
        <v>27</v>
      </c>
      <c r="B1383">
        <v>29</v>
      </c>
      <c r="C1383" t="s">
        <v>19</v>
      </c>
      <c r="D1383" s="1">
        <v>46173</v>
      </c>
      <c r="E1383">
        <v>1881.4</v>
      </c>
      <c r="F1383">
        <v>103.49</v>
      </c>
      <c r="G1383">
        <v>62.75</v>
      </c>
      <c r="H1383">
        <v>172</v>
      </c>
      <c r="I1383" t="s">
        <v>25</v>
      </c>
      <c r="J1383">
        <v>2026</v>
      </c>
      <c r="K1383">
        <f t="shared" si="42"/>
        <v>40.739999999999995</v>
      </c>
      <c r="L1383" t="str">
        <f t="shared" si="43"/>
        <v>Banca Etrusca|29|Factoring</v>
      </c>
    </row>
    <row r="1384" spans="1:12" x14ac:dyDescent="0.25">
      <c r="A1384" t="s">
        <v>27</v>
      </c>
      <c r="B1384">
        <v>29</v>
      </c>
      <c r="C1384" t="s">
        <v>20</v>
      </c>
      <c r="D1384" s="1">
        <v>46173</v>
      </c>
      <c r="E1384">
        <v>2187.1</v>
      </c>
      <c r="F1384">
        <v>125.2</v>
      </c>
      <c r="G1384">
        <v>74.599999999999994</v>
      </c>
      <c r="H1384">
        <v>210</v>
      </c>
      <c r="I1384" t="s">
        <v>25</v>
      </c>
      <c r="J1384">
        <v>2026</v>
      </c>
      <c r="K1384">
        <f t="shared" si="42"/>
        <v>50.600000000000009</v>
      </c>
      <c r="L1384" t="str">
        <f t="shared" si="43"/>
        <v>Banca Etrusca|29|Risparmio</v>
      </c>
    </row>
    <row r="1385" spans="1:12" x14ac:dyDescent="0.25">
      <c r="A1385" t="s">
        <v>27</v>
      </c>
      <c r="B1385">
        <v>29</v>
      </c>
      <c r="C1385" t="s">
        <v>21</v>
      </c>
      <c r="D1385" s="1">
        <v>46173</v>
      </c>
      <c r="E1385">
        <v>2413.4</v>
      </c>
      <c r="F1385">
        <v>142.44999999999999</v>
      </c>
      <c r="G1385">
        <v>85.02</v>
      </c>
      <c r="H1385">
        <v>214</v>
      </c>
      <c r="I1385" t="s">
        <v>25</v>
      </c>
      <c r="J1385">
        <v>2026</v>
      </c>
      <c r="K1385">
        <f t="shared" si="42"/>
        <v>57.429999999999993</v>
      </c>
      <c r="L1385" t="str">
        <f t="shared" si="43"/>
        <v>Banca Etrusca|29|Assicurazioni</v>
      </c>
    </row>
    <row r="1386" spans="1:12" x14ac:dyDescent="0.25">
      <c r="A1386" t="s">
        <v>27</v>
      </c>
      <c r="B1386">
        <v>30</v>
      </c>
      <c r="C1386" t="s">
        <v>13</v>
      </c>
      <c r="D1386" s="1">
        <v>46203</v>
      </c>
      <c r="E1386">
        <v>675.8</v>
      </c>
      <c r="F1386">
        <v>30.69</v>
      </c>
      <c r="G1386">
        <v>18.989999999999998</v>
      </c>
      <c r="H1386">
        <v>67</v>
      </c>
      <c r="I1386" t="s">
        <v>25</v>
      </c>
      <c r="J1386">
        <v>2026</v>
      </c>
      <c r="K1386">
        <f t="shared" si="42"/>
        <v>11.700000000000003</v>
      </c>
      <c r="L1386" t="str">
        <f t="shared" si="43"/>
        <v>Banca Etrusca|30|Mutui</v>
      </c>
    </row>
    <row r="1387" spans="1:12" x14ac:dyDescent="0.25">
      <c r="A1387" t="s">
        <v>27</v>
      </c>
      <c r="B1387">
        <v>30</v>
      </c>
      <c r="C1387" t="s">
        <v>15</v>
      </c>
      <c r="D1387" s="1">
        <v>46203</v>
      </c>
      <c r="E1387">
        <v>919.5</v>
      </c>
      <c r="F1387">
        <v>43.73</v>
      </c>
      <c r="G1387">
        <v>27.53</v>
      </c>
      <c r="H1387">
        <v>109</v>
      </c>
      <c r="I1387" t="s">
        <v>25</v>
      </c>
      <c r="J1387">
        <v>2026</v>
      </c>
      <c r="K1387">
        <f t="shared" si="42"/>
        <v>16.199999999999996</v>
      </c>
      <c r="L1387" t="str">
        <f t="shared" si="43"/>
        <v>Banca Etrusca|30|Prestiti</v>
      </c>
    </row>
    <row r="1388" spans="1:12" x14ac:dyDescent="0.25">
      <c r="A1388" t="s">
        <v>27</v>
      </c>
      <c r="B1388">
        <v>30</v>
      </c>
      <c r="C1388" t="s">
        <v>16</v>
      </c>
      <c r="D1388" s="1">
        <v>46203</v>
      </c>
      <c r="E1388">
        <v>1164.3</v>
      </c>
      <c r="F1388">
        <v>57.5</v>
      </c>
      <c r="G1388">
        <v>35.81</v>
      </c>
      <c r="H1388">
        <v>127</v>
      </c>
      <c r="I1388" t="s">
        <v>25</v>
      </c>
      <c r="J1388">
        <v>2026</v>
      </c>
      <c r="K1388">
        <f t="shared" si="42"/>
        <v>21.689999999999998</v>
      </c>
      <c r="L1388" t="str">
        <f t="shared" si="43"/>
        <v>Banca Etrusca|30|Conti</v>
      </c>
    </row>
    <row r="1389" spans="1:12" x14ac:dyDescent="0.25">
      <c r="A1389" t="s">
        <v>27</v>
      </c>
      <c r="B1389">
        <v>30</v>
      </c>
      <c r="C1389" t="s">
        <v>17</v>
      </c>
      <c r="D1389" s="1">
        <v>46203</v>
      </c>
      <c r="E1389">
        <v>1443.8</v>
      </c>
      <c r="F1389">
        <v>73.790000000000006</v>
      </c>
      <c r="G1389">
        <v>45.1</v>
      </c>
      <c r="H1389">
        <v>135</v>
      </c>
      <c r="I1389" t="s">
        <v>25</v>
      </c>
      <c r="J1389">
        <v>2026</v>
      </c>
      <c r="K1389">
        <f t="shared" si="42"/>
        <v>28.690000000000005</v>
      </c>
      <c r="L1389" t="str">
        <f t="shared" si="43"/>
        <v>Banca Etrusca|30|Carte</v>
      </c>
    </row>
    <row r="1390" spans="1:12" x14ac:dyDescent="0.25">
      <c r="A1390" t="s">
        <v>27</v>
      </c>
      <c r="B1390">
        <v>30</v>
      </c>
      <c r="C1390" t="s">
        <v>18</v>
      </c>
      <c r="D1390" s="1">
        <v>46203</v>
      </c>
      <c r="E1390">
        <v>1650.2</v>
      </c>
      <c r="F1390">
        <v>87.73</v>
      </c>
      <c r="G1390">
        <v>53.78</v>
      </c>
      <c r="H1390">
        <v>147</v>
      </c>
      <c r="I1390" t="s">
        <v>25</v>
      </c>
      <c r="J1390">
        <v>2026</v>
      </c>
      <c r="K1390">
        <f t="shared" si="42"/>
        <v>33.950000000000003</v>
      </c>
      <c r="L1390" t="str">
        <f t="shared" si="43"/>
        <v>Banca Etrusca|30|Leasing</v>
      </c>
    </row>
    <row r="1391" spans="1:12" x14ac:dyDescent="0.25">
      <c r="A1391" t="s">
        <v>27</v>
      </c>
      <c r="B1391">
        <v>30</v>
      </c>
      <c r="C1391" t="s">
        <v>19</v>
      </c>
      <c r="D1391" s="1">
        <v>46203</v>
      </c>
      <c r="E1391">
        <v>1896.5</v>
      </c>
      <c r="F1391">
        <v>105.03</v>
      </c>
      <c r="G1391">
        <v>63.34</v>
      </c>
      <c r="H1391">
        <v>163</v>
      </c>
      <c r="I1391" t="s">
        <v>25</v>
      </c>
      <c r="J1391">
        <v>2026</v>
      </c>
      <c r="K1391">
        <f t="shared" si="42"/>
        <v>41.69</v>
      </c>
      <c r="L1391" t="str">
        <f t="shared" si="43"/>
        <v>Banca Etrusca|30|Factoring</v>
      </c>
    </row>
    <row r="1392" spans="1:12" x14ac:dyDescent="0.25">
      <c r="A1392" t="s">
        <v>27</v>
      </c>
      <c r="B1392">
        <v>30</v>
      </c>
      <c r="C1392" t="s">
        <v>20</v>
      </c>
      <c r="D1392" s="1">
        <v>46203</v>
      </c>
      <c r="E1392">
        <v>2198.3000000000002</v>
      </c>
      <c r="F1392">
        <v>125.48</v>
      </c>
      <c r="G1392">
        <v>75.5</v>
      </c>
      <c r="H1392">
        <v>198</v>
      </c>
      <c r="I1392" t="s">
        <v>25</v>
      </c>
      <c r="J1392">
        <v>2026</v>
      </c>
      <c r="K1392">
        <f t="shared" si="42"/>
        <v>49.980000000000004</v>
      </c>
      <c r="L1392" t="str">
        <f t="shared" si="43"/>
        <v>Banca Etrusca|30|Risparmio</v>
      </c>
    </row>
    <row r="1393" spans="1:12" x14ac:dyDescent="0.25">
      <c r="A1393" t="s">
        <v>27</v>
      </c>
      <c r="B1393">
        <v>30</v>
      </c>
      <c r="C1393" t="s">
        <v>21</v>
      </c>
      <c r="D1393" s="1">
        <v>46203</v>
      </c>
      <c r="E1393">
        <v>2410.6</v>
      </c>
      <c r="F1393">
        <v>142.80000000000001</v>
      </c>
      <c r="G1393">
        <v>84.96</v>
      </c>
      <c r="H1393">
        <v>224</v>
      </c>
      <c r="I1393" t="s">
        <v>25</v>
      </c>
      <c r="J1393">
        <v>2026</v>
      </c>
      <c r="K1393">
        <f t="shared" si="42"/>
        <v>57.840000000000018</v>
      </c>
      <c r="L1393" t="str">
        <f t="shared" si="43"/>
        <v>Banca Etrusca|30|Assicurazioni</v>
      </c>
    </row>
    <row r="1394" spans="1:12" x14ac:dyDescent="0.25">
      <c r="A1394" t="s">
        <v>27</v>
      </c>
      <c r="B1394">
        <v>31</v>
      </c>
      <c r="C1394" t="s">
        <v>13</v>
      </c>
      <c r="D1394" s="1">
        <v>46234</v>
      </c>
      <c r="E1394">
        <v>694</v>
      </c>
      <c r="F1394">
        <v>31.37</v>
      </c>
      <c r="G1394">
        <v>20.190000000000001</v>
      </c>
      <c r="H1394">
        <v>54</v>
      </c>
      <c r="I1394" t="s">
        <v>25</v>
      </c>
      <c r="J1394">
        <v>2026</v>
      </c>
      <c r="K1394">
        <f t="shared" si="42"/>
        <v>11.18</v>
      </c>
      <c r="L1394" t="str">
        <f t="shared" si="43"/>
        <v>Banca Etrusca|31|Mutui</v>
      </c>
    </row>
    <row r="1395" spans="1:12" x14ac:dyDescent="0.25">
      <c r="A1395" t="s">
        <v>27</v>
      </c>
      <c r="B1395">
        <v>31</v>
      </c>
      <c r="C1395" t="s">
        <v>15</v>
      </c>
      <c r="D1395" s="1">
        <v>46234</v>
      </c>
      <c r="E1395">
        <v>940</v>
      </c>
      <c r="F1395">
        <v>44.83</v>
      </c>
      <c r="G1395">
        <v>27.65</v>
      </c>
      <c r="H1395">
        <v>74</v>
      </c>
      <c r="I1395" t="s">
        <v>25</v>
      </c>
      <c r="J1395">
        <v>2026</v>
      </c>
      <c r="K1395">
        <f t="shared" si="42"/>
        <v>17.18</v>
      </c>
      <c r="L1395" t="str">
        <f t="shared" si="43"/>
        <v>Banca Etrusca|31|Prestiti</v>
      </c>
    </row>
    <row r="1396" spans="1:12" x14ac:dyDescent="0.25">
      <c r="A1396" t="s">
        <v>27</v>
      </c>
      <c r="B1396">
        <v>31</v>
      </c>
      <c r="C1396" t="s">
        <v>16</v>
      </c>
      <c r="D1396" s="1">
        <v>46234</v>
      </c>
      <c r="E1396">
        <v>1182.8</v>
      </c>
      <c r="F1396">
        <v>58.67</v>
      </c>
      <c r="G1396">
        <v>35.51</v>
      </c>
      <c r="H1396">
        <v>107</v>
      </c>
      <c r="I1396" t="s">
        <v>25</v>
      </c>
      <c r="J1396">
        <v>2026</v>
      </c>
      <c r="K1396">
        <f t="shared" si="42"/>
        <v>23.160000000000004</v>
      </c>
      <c r="L1396" t="str">
        <f t="shared" si="43"/>
        <v>Banca Etrusca|31|Conti</v>
      </c>
    </row>
    <row r="1397" spans="1:12" x14ac:dyDescent="0.25">
      <c r="A1397" t="s">
        <v>27</v>
      </c>
      <c r="B1397">
        <v>31</v>
      </c>
      <c r="C1397" t="s">
        <v>17</v>
      </c>
      <c r="D1397" s="1">
        <v>46234</v>
      </c>
      <c r="E1397">
        <v>1458.8</v>
      </c>
      <c r="F1397">
        <v>74.709999999999994</v>
      </c>
      <c r="G1397">
        <v>45.98</v>
      </c>
      <c r="H1397">
        <v>125</v>
      </c>
      <c r="I1397" t="s">
        <v>25</v>
      </c>
      <c r="J1397">
        <v>2026</v>
      </c>
      <c r="K1397">
        <f t="shared" si="42"/>
        <v>28.729999999999997</v>
      </c>
      <c r="L1397" t="str">
        <f t="shared" si="43"/>
        <v>Banca Etrusca|31|Carte</v>
      </c>
    </row>
    <row r="1398" spans="1:12" x14ac:dyDescent="0.25">
      <c r="A1398" t="s">
        <v>27</v>
      </c>
      <c r="B1398">
        <v>31</v>
      </c>
      <c r="C1398" t="s">
        <v>18</v>
      </c>
      <c r="D1398" s="1">
        <v>46234</v>
      </c>
      <c r="E1398">
        <v>1664.7</v>
      </c>
      <c r="F1398">
        <v>88.99</v>
      </c>
      <c r="G1398">
        <v>53.92</v>
      </c>
      <c r="H1398">
        <v>173</v>
      </c>
      <c r="I1398" t="s">
        <v>25</v>
      </c>
      <c r="J1398">
        <v>2026</v>
      </c>
      <c r="K1398">
        <f t="shared" si="42"/>
        <v>35.069999999999993</v>
      </c>
      <c r="L1398" t="str">
        <f t="shared" si="43"/>
        <v>Banca Etrusca|31|Leasing</v>
      </c>
    </row>
    <row r="1399" spans="1:12" x14ac:dyDescent="0.25">
      <c r="A1399" t="s">
        <v>27</v>
      </c>
      <c r="B1399">
        <v>31</v>
      </c>
      <c r="C1399" t="s">
        <v>19</v>
      </c>
      <c r="D1399" s="1">
        <v>46234</v>
      </c>
      <c r="E1399">
        <v>1907.7</v>
      </c>
      <c r="F1399">
        <v>105.62</v>
      </c>
      <c r="G1399">
        <v>63.25</v>
      </c>
      <c r="H1399">
        <v>177</v>
      </c>
      <c r="I1399" t="s">
        <v>25</v>
      </c>
      <c r="J1399">
        <v>2026</v>
      </c>
      <c r="K1399">
        <f t="shared" si="42"/>
        <v>42.370000000000005</v>
      </c>
      <c r="L1399" t="str">
        <f t="shared" si="43"/>
        <v>Banca Etrusca|31|Factoring</v>
      </c>
    </row>
    <row r="1400" spans="1:12" x14ac:dyDescent="0.25">
      <c r="A1400" t="s">
        <v>27</v>
      </c>
      <c r="B1400">
        <v>31</v>
      </c>
      <c r="C1400" t="s">
        <v>20</v>
      </c>
      <c r="D1400" s="1">
        <v>46234</v>
      </c>
      <c r="E1400">
        <v>2214.4</v>
      </c>
      <c r="F1400">
        <v>126.79</v>
      </c>
      <c r="G1400">
        <v>75.89</v>
      </c>
      <c r="H1400">
        <v>201</v>
      </c>
      <c r="I1400" t="s">
        <v>25</v>
      </c>
      <c r="J1400">
        <v>2026</v>
      </c>
      <c r="K1400">
        <f t="shared" si="42"/>
        <v>50.900000000000006</v>
      </c>
      <c r="L1400" t="str">
        <f t="shared" si="43"/>
        <v>Banca Etrusca|31|Risparmio</v>
      </c>
    </row>
    <row r="1401" spans="1:12" x14ac:dyDescent="0.25">
      <c r="A1401" t="s">
        <v>27</v>
      </c>
      <c r="B1401">
        <v>31</v>
      </c>
      <c r="C1401" t="s">
        <v>21</v>
      </c>
      <c r="D1401" s="1">
        <v>46234</v>
      </c>
      <c r="E1401">
        <v>2415.9</v>
      </c>
      <c r="F1401">
        <v>143.04</v>
      </c>
      <c r="G1401">
        <v>85.51</v>
      </c>
      <c r="H1401">
        <v>218</v>
      </c>
      <c r="I1401" t="s">
        <v>25</v>
      </c>
      <c r="J1401">
        <v>2026</v>
      </c>
      <c r="K1401">
        <f t="shared" si="42"/>
        <v>57.529999999999987</v>
      </c>
      <c r="L1401" t="str">
        <f t="shared" si="43"/>
        <v>Banca Etrusca|31|Assicurazioni</v>
      </c>
    </row>
    <row r="1402" spans="1:12" x14ac:dyDescent="0.25">
      <c r="A1402" t="s">
        <v>27</v>
      </c>
      <c r="B1402">
        <v>32</v>
      </c>
      <c r="C1402" t="s">
        <v>13</v>
      </c>
      <c r="D1402" s="1">
        <v>46265</v>
      </c>
      <c r="E1402">
        <v>668.9</v>
      </c>
      <c r="F1402">
        <v>30.42</v>
      </c>
      <c r="G1402">
        <v>19.47</v>
      </c>
      <c r="H1402">
        <v>78</v>
      </c>
      <c r="I1402" t="s">
        <v>25</v>
      </c>
      <c r="J1402">
        <v>2026</v>
      </c>
      <c r="K1402">
        <f t="shared" si="42"/>
        <v>10.950000000000003</v>
      </c>
      <c r="L1402" t="str">
        <f t="shared" si="43"/>
        <v>Banca Etrusca|32|Mutui</v>
      </c>
    </row>
    <row r="1403" spans="1:12" x14ac:dyDescent="0.25">
      <c r="A1403" t="s">
        <v>27</v>
      </c>
      <c r="B1403">
        <v>32</v>
      </c>
      <c r="C1403" t="s">
        <v>15</v>
      </c>
      <c r="D1403" s="1">
        <v>46265</v>
      </c>
      <c r="E1403">
        <v>946.8</v>
      </c>
      <c r="F1403">
        <v>44.65</v>
      </c>
      <c r="G1403">
        <v>27.88</v>
      </c>
      <c r="H1403">
        <v>98</v>
      </c>
      <c r="I1403" t="s">
        <v>25</v>
      </c>
      <c r="J1403">
        <v>2026</v>
      </c>
      <c r="K1403">
        <f t="shared" si="42"/>
        <v>16.77</v>
      </c>
      <c r="L1403" t="str">
        <f t="shared" si="43"/>
        <v>Banca Etrusca|32|Prestiti</v>
      </c>
    </row>
    <row r="1404" spans="1:12" x14ac:dyDescent="0.25">
      <c r="A1404" t="s">
        <v>27</v>
      </c>
      <c r="B1404">
        <v>32</v>
      </c>
      <c r="C1404" t="s">
        <v>16</v>
      </c>
      <c r="D1404" s="1">
        <v>46265</v>
      </c>
      <c r="E1404">
        <v>1178.8</v>
      </c>
      <c r="F1404">
        <v>58.58</v>
      </c>
      <c r="G1404">
        <v>35.69</v>
      </c>
      <c r="H1404">
        <v>115</v>
      </c>
      <c r="I1404" t="s">
        <v>25</v>
      </c>
      <c r="J1404">
        <v>2026</v>
      </c>
      <c r="K1404">
        <f t="shared" si="42"/>
        <v>22.89</v>
      </c>
      <c r="L1404" t="str">
        <f t="shared" si="43"/>
        <v>Banca Etrusca|32|Conti</v>
      </c>
    </row>
    <row r="1405" spans="1:12" x14ac:dyDescent="0.25">
      <c r="A1405" t="s">
        <v>27</v>
      </c>
      <c r="B1405">
        <v>32</v>
      </c>
      <c r="C1405" t="s">
        <v>17</v>
      </c>
      <c r="D1405" s="1">
        <v>46265</v>
      </c>
      <c r="E1405">
        <v>1433.4</v>
      </c>
      <c r="F1405">
        <v>73.599999999999994</v>
      </c>
      <c r="G1405">
        <v>45.23</v>
      </c>
      <c r="H1405">
        <v>153</v>
      </c>
      <c r="I1405" t="s">
        <v>25</v>
      </c>
      <c r="J1405">
        <v>2026</v>
      </c>
      <c r="K1405">
        <f t="shared" si="42"/>
        <v>28.369999999999997</v>
      </c>
      <c r="L1405" t="str">
        <f t="shared" si="43"/>
        <v>Banca Etrusca|32|Carte</v>
      </c>
    </row>
    <row r="1406" spans="1:12" x14ac:dyDescent="0.25">
      <c r="A1406" t="s">
        <v>27</v>
      </c>
      <c r="B1406">
        <v>32</v>
      </c>
      <c r="C1406" t="s">
        <v>18</v>
      </c>
      <c r="D1406" s="1">
        <v>46265</v>
      </c>
      <c r="E1406">
        <v>1703.1</v>
      </c>
      <c r="F1406">
        <v>90.62</v>
      </c>
      <c r="G1406">
        <v>55.32</v>
      </c>
      <c r="H1406">
        <v>136</v>
      </c>
      <c r="I1406" t="s">
        <v>25</v>
      </c>
      <c r="J1406">
        <v>2026</v>
      </c>
      <c r="K1406">
        <f t="shared" si="42"/>
        <v>35.300000000000004</v>
      </c>
      <c r="L1406" t="str">
        <f t="shared" si="43"/>
        <v>Banca Etrusca|32|Leasing</v>
      </c>
    </row>
    <row r="1407" spans="1:12" x14ac:dyDescent="0.25">
      <c r="A1407" t="s">
        <v>27</v>
      </c>
      <c r="B1407">
        <v>32</v>
      </c>
      <c r="C1407" t="s">
        <v>19</v>
      </c>
      <c r="D1407" s="1">
        <v>46265</v>
      </c>
      <c r="E1407">
        <v>1928.6</v>
      </c>
      <c r="F1407">
        <v>106.19</v>
      </c>
      <c r="G1407">
        <v>64.02</v>
      </c>
      <c r="H1407">
        <v>164</v>
      </c>
      <c r="I1407" t="s">
        <v>25</v>
      </c>
      <c r="J1407">
        <v>2026</v>
      </c>
      <c r="K1407">
        <f t="shared" si="42"/>
        <v>42.17</v>
      </c>
      <c r="L1407" t="str">
        <f t="shared" si="43"/>
        <v>Banca Etrusca|32|Factoring</v>
      </c>
    </row>
    <row r="1408" spans="1:12" x14ac:dyDescent="0.25">
      <c r="A1408" t="s">
        <v>27</v>
      </c>
      <c r="B1408">
        <v>32</v>
      </c>
      <c r="C1408" t="s">
        <v>20</v>
      </c>
      <c r="D1408" s="1">
        <v>46265</v>
      </c>
      <c r="E1408">
        <v>2198.4</v>
      </c>
      <c r="F1408">
        <v>125.66</v>
      </c>
      <c r="G1408">
        <v>74.92</v>
      </c>
      <c r="H1408">
        <v>210</v>
      </c>
      <c r="I1408" t="s">
        <v>25</v>
      </c>
      <c r="J1408">
        <v>2026</v>
      </c>
      <c r="K1408">
        <f t="shared" si="42"/>
        <v>50.739999999999995</v>
      </c>
      <c r="L1408" t="str">
        <f t="shared" si="43"/>
        <v>Banca Etrusca|32|Risparmio</v>
      </c>
    </row>
    <row r="1409" spans="1:12" x14ac:dyDescent="0.25">
      <c r="A1409" t="s">
        <v>27</v>
      </c>
      <c r="B1409">
        <v>32</v>
      </c>
      <c r="C1409" t="s">
        <v>21</v>
      </c>
      <c r="D1409" s="1">
        <v>46265</v>
      </c>
      <c r="E1409">
        <v>2459.1</v>
      </c>
      <c r="F1409">
        <v>145.1</v>
      </c>
      <c r="G1409">
        <v>86.1</v>
      </c>
      <c r="H1409">
        <v>203</v>
      </c>
      <c r="I1409" t="s">
        <v>25</v>
      </c>
      <c r="J1409">
        <v>2026</v>
      </c>
      <c r="K1409">
        <f t="shared" si="42"/>
        <v>59</v>
      </c>
      <c r="L1409" t="str">
        <f t="shared" si="43"/>
        <v>Banca Etrusca|32|Assicurazioni</v>
      </c>
    </row>
    <row r="1410" spans="1:12" x14ac:dyDescent="0.25">
      <c r="A1410" t="s">
        <v>27</v>
      </c>
      <c r="B1410">
        <v>33</v>
      </c>
      <c r="C1410" t="s">
        <v>13</v>
      </c>
      <c r="D1410" s="1">
        <v>46295</v>
      </c>
      <c r="E1410">
        <v>677.5</v>
      </c>
      <c r="F1410">
        <v>30.76</v>
      </c>
      <c r="G1410">
        <v>19.649999999999999</v>
      </c>
      <c r="H1410">
        <v>60</v>
      </c>
      <c r="I1410" t="s">
        <v>25</v>
      </c>
      <c r="J1410">
        <v>2026</v>
      </c>
      <c r="K1410">
        <f t="shared" ref="K1410:K1473" si="44">F1410-G1410</f>
        <v>11.110000000000003</v>
      </c>
      <c r="L1410" t="str">
        <f t="shared" ref="L1410:L1473" si="45">A1410&amp;"|"&amp;B1410&amp;"|"&amp;C1410</f>
        <v>Banca Etrusca|33|Mutui</v>
      </c>
    </row>
    <row r="1411" spans="1:12" x14ac:dyDescent="0.25">
      <c r="A1411" t="s">
        <v>27</v>
      </c>
      <c r="B1411">
        <v>33</v>
      </c>
      <c r="C1411" t="s">
        <v>15</v>
      </c>
      <c r="D1411" s="1">
        <v>46295</v>
      </c>
      <c r="E1411">
        <v>928.7</v>
      </c>
      <c r="F1411">
        <v>43.89</v>
      </c>
      <c r="G1411">
        <v>27.01</v>
      </c>
      <c r="H1411">
        <v>83</v>
      </c>
      <c r="I1411" t="s">
        <v>25</v>
      </c>
      <c r="J1411">
        <v>2026</v>
      </c>
      <c r="K1411">
        <f t="shared" si="44"/>
        <v>16.88</v>
      </c>
      <c r="L1411" t="str">
        <f t="shared" si="45"/>
        <v>Banca Etrusca|33|Prestiti</v>
      </c>
    </row>
    <row r="1412" spans="1:12" x14ac:dyDescent="0.25">
      <c r="A1412" t="s">
        <v>27</v>
      </c>
      <c r="B1412">
        <v>33</v>
      </c>
      <c r="C1412" t="s">
        <v>16</v>
      </c>
      <c r="D1412" s="1">
        <v>46295</v>
      </c>
      <c r="E1412">
        <v>1211.7</v>
      </c>
      <c r="F1412">
        <v>60.09</v>
      </c>
      <c r="G1412">
        <v>37.35</v>
      </c>
      <c r="H1412">
        <v>130</v>
      </c>
      <c r="I1412" t="s">
        <v>25</v>
      </c>
      <c r="J1412">
        <v>2026</v>
      </c>
      <c r="K1412">
        <f t="shared" si="44"/>
        <v>22.740000000000002</v>
      </c>
      <c r="L1412" t="str">
        <f t="shared" si="45"/>
        <v>Banca Etrusca|33|Conti</v>
      </c>
    </row>
    <row r="1413" spans="1:12" x14ac:dyDescent="0.25">
      <c r="A1413" t="s">
        <v>27</v>
      </c>
      <c r="B1413">
        <v>33</v>
      </c>
      <c r="C1413" t="s">
        <v>17</v>
      </c>
      <c r="D1413" s="1">
        <v>46295</v>
      </c>
      <c r="E1413">
        <v>1438.6</v>
      </c>
      <c r="F1413">
        <v>73.86</v>
      </c>
      <c r="G1413">
        <v>45.29</v>
      </c>
      <c r="H1413">
        <v>132</v>
      </c>
      <c r="I1413" t="s">
        <v>25</v>
      </c>
      <c r="J1413">
        <v>2026</v>
      </c>
      <c r="K1413">
        <f t="shared" si="44"/>
        <v>28.57</v>
      </c>
      <c r="L1413" t="str">
        <f t="shared" si="45"/>
        <v>Banca Etrusca|33|Carte</v>
      </c>
    </row>
    <row r="1414" spans="1:12" x14ac:dyDescent="0.25">
      <c r="A1414" t="s">
        <v>27</v>
      </c>
      <c r="B1414">
        <v>33</v>
      </c>
      <c r="C1414" t="s">
        <v>18</v>
      </c>
      <c r="D1414" s="1">
        <v>46295</v>
      </c>
      <c r="E1414">
        <v>1684.4</v>
      </c>
      <c r="F1414">
        <v>90.05</v>
      </c>
      <c r="G1414">
        <v>54.09</v>
      </c>
      <c r="H1414">
        <v>141</v>
      </c>
      <c r="I1414" t="s">
        <v>25</v>
      </c>
      <c r="J1414">
        <v>2026</v>
      </c>
      <c r="K1414">
        <f t="shared" si="44"/>
        <v>35.959999999999994</v>
      </c>
      <c r="L1414" t="str">
        <f t="shared" si="45"/>
        <v>Banca Etrusca|33|Leasing</v>
      </c>
    </row>
    <row r="1415" spans="1:12" x14ac:dyDescent="0.25">
      <c r="A1415" t="s">
        <v>27</v>
      </c>
      <c r="B1415">
        <v>33</v>
      </c>
      <c r="C1415" t="s">
        <v>19</v>
      </c>
      <c r="D1415" s="1">
        <v>46295</v>
      </c>
      <c r="E1415">
        <v>1930.7</v>
      </c>
      <c r="F1415">
        <v>106.83</v>
      </c>
      <c r="G1415">
        <v>64.150000000000006</v>
      </c>
      <c r="H1415">
        <v>193</v>
      </c>
      <c r="I1415" t="s">
        <v>25</v>
      </c>
      <c r="J1415">
        <v>2026</v>
      </c>
      <c r="K1415">
        <f t="shared" si="44"/>
        <v>42.679999999999993</v>
      </c>
      <c r="L1415" t="str">
        <f t="shared" si="45"/>
        <v>Banca Etrusca|33|Factoring</v>
      </c>
    </row>
    <row r="1416" spans="1:12" x14ac:dyDescent="0.25">
      <c r="A1416" t="s">
        <v>27</v>
      </c>
      <c r="B1416">
        <v>33</v>
      </c>
      <c r="C1416" t="s">
        <v>20</v>
      </c>
      <c r="D1416" s="1">
        <v>46295</v>
      </c>
      <c r="E1416">
        <v>2202.3000000000002</v>
      </c>
      <c r="F1416">
        <v>125.99</v>
      </c>
      <c r="G1416">
        <v>75.47</v>
      </c>
      <c r="H1416">
        <v>196</v>
      </c>
      <c r="I1416" t="s">
        <v>25</v>
      </c>
      <c r="J1416">
        <v>2026</v>
      </c>
      <c r="K1416">
        <f t="shared" si="44"/>
        <v>50.519999999999996</v>
      </c>
      <c r="L1416" t="str">
        <f t="shared" si="45"/>
        <v>Banca Etrusca|33|Risparmio</v>
      </c>
    </row>
    <row r="1417" spans="1:12" x14ac:dyDescent="0.25">
      <c r="A1417" t="s">
        <v>27</v>
      </c>
      <c r="B1417">
        <v>33</v>
      </c>
      <c r="C1417" t="s">
        <v>21</v>
      </c>
      <c r="D1417" s="1">
        <v>46295</v>
      </c>
      <c r="E1417">
        <v>2485.4</v>
      </c>
      <c r="F1417">
        <v>147.31</v>
      </c>
      <c r="G1417">
        <v>87.64</v>
      </c>
      <c r="H1417">
        <v>222</v>
      </c>
      <c r="I1417" t="s">
        <v>25</v>
      </c>
      <c r="J1417">
        <v>2026</v>
      </c>
      <c r="K1417">
        <f t="shared" si="44"/>
        <v>59.67</v>
      </c>
      <c r="L1417" t="str">
        <f t="shared" si="45"/>
        <v>Banca Etrusca|33|Assicurazioni</v>
      </c>
    </row>
    <row r="1418" spans="1:12" x14ac:dyDescent="0.25">
      <c r="A1418" t="s">
        <v>27</v>
      </c>
      <c r="B1418">
        <v>34</v>
      </c>
      <c r="C1418" t="s">
        <v>13</v>
      </c>
      <c r="D1418" s="1">
        <v>46326</v>
      </c>
      <c r="E1418">
        <v>691.2</v>
      </c>
      <c r="F1418">
        <v>31.14</v>
      </c>
      <c r="G1418">
        <v>19.48</v>
      </c>
      <c r="H1418">
        <v>70</v>
      </c>
      <c r="I1418" t="s">
        <v>25</v>
      </c>
      <c r="J1418">
        <v>2026</v>
      </c>
      <c r="K1418">
        <f t="shared" si="44"/>
        <v>11.66</v>
      </c>
      <c r="L1418" t="str">
        <f t="shared" si="45"/>
        <v>Banca Etrusca|34|Mutui</v>
      </c>
    </row>
    <row r="1419" spans="1:12" x14ac:dyDescent="0.25">
      <c r="A1419" t="s">
        <v>27</v>
      </c>
      <c r="B1419">
        <v>34</v>
      </c>
      <c r="C1419" t="s">
        <v>15</v>
      </c>
      <c r="D1419" s="1">
        <v>46326</v>
      </c>
      <c r="E1419">
        <v>939.7</v>
      </c>
      <c r="F1419">
        <v>44.52</v>
      </c>
      <c r="G1419">
        <v>27.52</v>
      </c>
      <c r="H1419">
        <v>96</v>
      </c>
      <c r="I1419" t="s">
        <v>25</v>
      </c>
      <c r="J1419">
        <v>2026</v>
      </c>
      <c r="K1419">
        <f t="shared" si="44"/>
        <v>17.000000000000004</v>
      </c>
      <c r="L1419" t="str">
        <f t="shared" si="45"/>
        <v>Banca Etrusca|34|Prestiti</v>
      </c>
    </row>
    <row r="1420" spans="1:12" x14ac:dyDescent="0.25">
      <c r="A1420" t="s">
        <v>27</v>
      </c>
      <c r="B1420">
        <v>34</v>
      </c>
      <c r="C1420" t="s">
        <v>16</v>
      </c>
      <c r="D1420" s="1">
        <v>46326</v>
      </c>
      <c r="E1420">
        <v>1186.9000000000001</v>
      </c>
      <c r="F1420">
        <v>58.47</v>
      </c>
      <c r="G1420">
        <v>36.21</v>
      </c>
      <c r="H1420">
        <v>95</v>
      </c>
      <c r="I1420" t="s">
        <v>25</v>
      </c>
      <c r="J1420">
        <v>2026</v>
      </c>
      <c r="K1420">
        <f t="shared" si="44"/>
        <v>22.259999999999998</v>
      </c>
      <c r="L1420" t="str">
        <f t="shared" si="45"/>
        <v>Banca Etrusca|34|Conti</v>
      </c>
    </row>
    <row r="1421" spans="1:12" x14ac:dyDescent="0.25">
      <c r="A1421" t="s">
        <v>27</v>
      </c>
      <c r="B1421">
        <v>34</v>
      </c>
      <c r="C1421" t="s">
        <v>17</v>
      </c>
      <c r="D1421" s="1">
        <v>46326</v>
      </c>
      <c r="E1421">
        <v>1482.6</v>
      </c>
      <c r="F1421">
        <v>75.7</v>
      </c>
      <c r="G1421">
        <v>46.48</v>
      </c>
      <c r="H1421">
        <v>120</v>
      </c>
      <c r="I1421" t="s">
        <v>25</v>
      </c>
      <c r="J1421">
        <v>2026</v>
      </c>
      <c r="K1421">
        <f t="shared" si="44"/>
        <v>29.220000000000006</v>
      </c>
      <c r="L1421" t="str">
        <f t="shared" si="45"/>
        <v>Banca Etrusca|34|Carte</v>
      </c>
    </row>
    <row r="1422" spans="1:12" x14ac:dyDescent="0.25">
      <c r="A1422" t="s">
        <v>27</v>
      </c>
      <c r="B1422">
        <v>34</v>
      </c>
      <c r="C1422" t="s">
        <v>18</v>
      </c>
      <c r="D1422" s="1">
        <v>46326</v>
      </c>
      <c r="E1422">
        <v>1691.6</v>
      </c>
      <c r="F1422">
        <v>90.46</v>
      </c>
      <c r="G1422">
        <v>54.25</v>
      </c>
      <c r="H1422">
        <v>173</v>
      </c>
      <c r="I1422" t="s">
        <v>25</v>
      </c>
      <c r="J1422">
        <v>2026</v>
      </c>
      <c r="K1422">
        <f t="shared" si="44"/>
        <v>36.209999999999994</v>
      </c>
      <c r="L1422" t="str">
        <f t="shared" si="45"/>
        <v>Banca Etrusca|34|Leasing</v>
      </c>
    </row>
    <row r="1423" spans="1:12" x14ac:dyDescent="0.25">
      <c r="A1423" t="s">
        <v>27</v>
      </c>
      <c r="B1423">
        <v>34</v>
      </c>
      <c r="C1423" t="s">
        <v>19</v>
      </c>
      <c r="D1423" s="1">
        <v>46326</v>
      </c>
      <c r="E1423">
        <v>1974.4</v>
      </c>
      <c r="F1423">
        <v>108.71</v>
      </c>
      <c r="G1423">
        <v>65.63</v>
      </c>
      <c r="H1423">
        <v>161</v>
      </c>
      <c r="I1423" t="s">
        <v>25</v>
      </c>
      <c r="J1423">
        <v>2026</v>
      </c>
      <c r="K1423">
        <f t="shared" si="44"/>
        <v>43.08</v>
      </c>
      <c r="L1423" t="str">
        <f t="shared" si="45"/>
        <v>Banca Etrusca|34|Factoring</v>
      </c>
    </row>
    <row r="1424" spans="1:12" x14ac:dyDescent="0.25">
      <c r="A1424" t="s">
        <v>27</v>
      </c>
      <c r="B1424">
        <v>34</v>
      </c>
      <c r="C1424" t="s">
        <v>20</v>
      </c>
      <c r="D1424" s="1">
        <v>46326</v>
      </c>
      <c r="E1424">
        <v>2234.6999999999998</v>
      </c>
      <c r="F1424">
        <v>128.22</v>
      </c>
      <c r="G1424">
        <v>75.989999999999995</v>
      </c>
      <c r="H1424">
        <v>208</v>
      </c>
      <c r="I1424" t="s">
        <v>25</v>
      </c>
      <c r="J1424">
        <v>2026</v>
      </c>
      <c r="K1424">
        <f t="shared" si="44"/>
        <v>52.230000000000004</v>
      </c>
      <c r="L1424" t="str">
        <f t="shared" si="45"/>
        <v>Banca Etrusca|34|Risparmio</v>
      </c>
    </row>
    <row r="1425" spans="1:12" x14ac:dyDescent="0.25">
      <c r="A1425" t="s">
        <v>27</v>
      </c>
      <c r="B1425">
        <v>34</v>
      </c>
      <c r="C1425" t="s">
        <v>21</v>
      </c>
      <c r="D1425" s="1">
        <v>46326</v>
      </c>
      <c r="E1425">
        <v>2504.6999999999998</v>
      </c>
      <c r="F1425">
        <v>148.43</v>
      </c>
      <c r="G1425">
        <v>88.44</v>
      </c>
      <c r="H1425">
        <v>223</v>
      </c>
      <c r="I1425" t="s">
        <v>25</v>
      </c>
      <c r="J1425">
        <v>2026</v>
      </c>
      <c r="K1425">
        <f t="shared" si="44"/>
        <v>59.990000000000009</v>
      </c>
      <c r="L1425" t="str">
        <f t="shared" si="45"/>
        <v>Banca Etrusca|34|Assicurazioni</v>
      </c>
    </row>
    <row r="1426" spans="1:12" x14ac:dyDescent="0.25">
      <c r="A1426" t="s">
        <v>27</v>
      </c>
      <c r="B1426">
        <v>35</v>
      </c>
      <c r="C1426" t="s">
        <v>13</v>
      </c>
      <c r="D1426" s="1">
        <v>46356</v>
      </c>
      <c r="E1426">
        <v>682.1</v>
      </c>
      <c r="F1426">
        <v>31.07</v>
      </c>
      <c r="G1426">
        <v>19.98</v>
      </c>
      <c r="H1426">
        <v>81</v>
      </c>
      <c r="I1426" t="s">
        <v>25</v>
      </c>
      <c r="J1426">
        <v>2026</v>
      </c>
      <c r="K1426">
        <f t="shared" si="44"/>
        <v>11.09</v>
      </c>
      <c r="L1426" t="str">
        <f t="shared" si="45"/>
        <v>Banca Etrusca|35|Mutui</v>
      </c>
    </row>
    <row r="1427" spans="1:12" x14ac:dyDescent="0.25">
      <c r="A1427" t="s">
        <v>27</v>
      </c>
      <c r="B1427">
        <v>35</v>
      </c>
      <c r="C1427" t="s">
        <v>15</v>
      </c>
      <c r="D1427" s="1">
        <v>46356</v>
      </c>
      <c r="E1427">
        <v>960</v>
      </c>
      <c r="F1427">
        <v>45.97</v>
      </c>
      <c r="G1427">
        <v>28.39</v>
      </c>
      <c r="H1427">
        <v>98</v>
      </c>
      <c r="I1427" t="s">
        <v>25</v>
      </c>
      <c r="J1427">
        <v>2026</v>
      </c>
      <c r="K1427">
        <f t="shared" si="44"/>
        <v>17.579999999999998</v>
      </c>
      <c r="L1427" t="str">
        <f t="shared" si="45"/>
        <v>Banca Etrusca|35|Prestiti</v>
      </c>
    </row>
    <row r="1428" spans="1:12" x14ac:dyDescent="0.25">
      <c r="A1428" t="s">
        <v>27</v>
      </c>
      <c r="B1428">
        <v>35</v>
      </c>
      <c r="C1428" t="s">
        <v>16</v>
      </c>
      <c r="D1428" s="1">
        <v>46356</v>
      </c>
      <c r="E1428">
        <v>1214.5</v>
      </c>
      <c r="F1428">
        <v>59.67</v>
      </c>
      <c r="G1428">
        <v>36.94</v>
      </c>
      <c r="H1428">
        <v>116</v>
      </c>
      <c r="I1428" t="s">
        <v>25</v>
      </c>
      <c r="J1428">
        <v>2026</v>
      </c>
      <c r="K1428">
        <f t="shared" si="44"/>
        <v>22.730000000000004</v>
      </c>
      <c r="L1428" t="str">
        <f t="shared" si="45"/>
        <v>Banca Etrusca|35|Conti</v>
      </c>
    </row>
    <row r="1429" spans="1:12" x14ac:dyDescent="0.25">
      <c r="A1429" t="s">
        <v>27</v>
      </c>
      <c r="B1429">
        <v>35</v>
      </c>
      <c r="C1429" t="s">
        <v>17</v>
      </c>
      <c r="D1429" s="1">
        <v>46356</v>
      </c>
      <c r="E1429">
        <v>1475.2</v>
      </c>
      <c r="F1429">
        <v>76.150000000000006</v>
      </c>
      <c r="G1429">
        <v>45.91</v>
      </c>
      <c r="H1429">
        <v>149</v>
      </c>
      <c r="I1429" t="s">
        <v>25</v>
      </c>
      <c r="J1429">
        <v>2026</v>
      </c>
      <c r="K1429">
        <f t="shared" si="44"/>
        <v>30.240000000000009</v>
      </c>
      <c r="L1429" t="str">
        <f t="shared" si="45"/>
        <v>Banca Etrusca|35|Carte</v>
      </c>
    </row>
    <row r="1430" spans="1:12" x14ac:dyDescent="0.25">
      <c r="A1430" t="s">
        <v>27</v>
      </c>
      <c r="B1430">
        <v>35</v>
      </c>
      <c r="C1430" t="s">
        <v>18</v>
      </c>
      <c r="D1430" s="1">
        <v>46356</v>
      </c>
      <c r="E1430">
        <v>1748</v>
      </c>
      <c r="F1430">
        <v>93.53</v>
      </c>
      <c r="G1430">
        <v>56.04</v>
      </c>
      <c r="H1430">
        <v>173</v>
      </c>
      <c r="I1430" t="s">
        <v>25</v>
      </c>
      <c r="J1430">
        <v>2026</v>
      </c>
      <c r="K1430">
        <f t="shared" si="44"/>
        <v>37.49</v>
      </c>
      <c r="L1430" t="str">
        <f t="shared" si="45"/>
        <v>Banca Etrusca|35|Leasing</v>
      </c>
    </row>
    <row r="1431" spans="1:12" x14ac:dyDescent="0.25">
      <c r="A1431" t="s">
        <v>27</v>
      </c>
      <c r="B1431">
        <v>35</v>
      </c>
      <c r="C1431" t="s">
        <v>19</v>
      </c>
      <c r="D1431" s="1">
        <v>46356</v>
      </c>
      <c r="E1431">
        <v>1994</v>
      </c>
      <c r="F1431">
        <v>109.97</v>
      </c>
      <c r="G1431">
        <v>66.569999999999993</v>
      </c>
      <c r="H1431">
        <v>163</v>
      </c>
      <c r="I1431" t="s">
        <v>25</v>
      </c>
      <c r="J1431">
        <v>2026</v>
      </c>
      <c r="K1431">
        <f t="shared" si="44"/>
        <v>43.400000000000006</v>
      </c>
      <c r="L1431" t="str">
        <f t="shared" si="45"/>
        <v>Banca Etrusca|35|Factoring</v>
      </c>
    </row>
    <row r="1432" spans="1:12" x14ac:dyDescent="0.25">
      <c r="A1432" t="s">
        <v>27</v>
      </c>
      <c r="B1432">
        <v>35</v>
      </c>
      <c r="C1432" t="s">
        <v>20</v>
      </c>
      <c r="D1432" s="1">
        <v>46356</v>
      </c>
      <c r="E1432">
        <v>2239.6</v>
      </c>
      <c r="F1432">
        <v>127.97</v>
      </c>
      <c r="G1432">
        <v>76.95</v>
      </c>
      <c r="H1432">
        <v>206</v>
      </c>
      <c r="I1432" t="s">
        <v>25</v>
      </c>
      <c r="J1432">
        <v>2026</v>
      </c>
      <c r="K1432">
        <f t="shared" si="44"/>
        <v>51.019999999999996</v>
      </c>
      <c r="L1432" t="str">
        <f t="shared" si="45"/>
        <v>Banca Etrusca|35|Risparmio</v>
      </c>
    </row>
    <row r="1433" spans="1:12" x14ac:dyDescent="0.25">
      <c r="A1433" t="s">
        <v>27</v>
      </c>
      <c r="B1433">
        <v>35</v>
      </c>
      <c r="C1433" t="s">
        <v>21</v>
      </c>
      <c r="D1433" s="1">
        <v>46356</v>
      </c>
      <c r="E1433">
        <v>2485.5</v>
      </c>
      <c r="F1433">
        <v>147.57</v>
      </c>
      <c r="G1433">
        <v>87.43</v>
      </c>
      <c r="H1433">
        <v>206</v>
      </c>
      <c r="I1433" t="s">
        <v>25</v>
      </c>
      <c r="J1433">
        <v>2026</v>
      </c>
      <c r="K1433">
        <f t="shared" si="44"/>
        <v>60.139999999999986</v>
      </c>
      <c r="L1433" t="str">
        <f t="shared" si="45"/>
        <v>Banca Etrusca|35|Assicurazioni</v>
      </c>
    </row>
    <row r="1434" spans="1:12" x14ac:dyDescent="0.25">
      <c r="A1434" t="s">
        <v>27</v>
      </c>
      <c r="B1434">
        <v>36</v>
      </c>
      <c r="C1434" t="s">
        <v>13</v>
      </c>
      <c r="D1434" s="1">
        <v>46387</v>
      </c>
      <c r="E1434">
        <v>699.2</v>
      </c>
      <c r="F1434">
        <v>32.03</v>
      </c>
      <c r="G1434">
        <v>20.440000000000001</v>
      </c>
      <c r="H1434">
        <v>76</v>
      </c>
      <c r="I1434" t="s">
        <v>25</v>
      </c>
      <c r="J1434">
        <v>2026</v>
      </c>
      <c r="K1434">
        <f t="shared" si="44"/>
        <v>11.59</v>
      </c>
      <c r="L1434" t="str">
        <f t="shared" si="45"/>
        <v>Banca Etrusca|36|Mutui</v>
      </c>
    </row>
    <row r="1435" spans="1:12" x14ac:dyDescent="0.25">
      <c r="A1435" t="s">
        <v>27</v>
      </c>
      <c r="B1435">
        <v>36</v>
      </c>
      <c r="C1435" t="s">
        <v>15</v>
      </c>
      <c r="D1435" s="1">
        <v>46387</v>
      </c>
      <c r="E1435">
        <v>981.4</v>
      </c>
      <c r="F1435">
        <v>46.46</v>
      </c>
      <c r="G1435">
        <v>28.91</v>
      </c>
      <c r="H1435">
        <v>81</v>
      </c>
      <c r="I1435" t="s">
        <v>25</v>
      </c>
      <c r="J1435">
        <v>2026</v>
      </c>
      <c r="K1435">
        <f t="shared" si="44"/>
        <v>17.55</v>
      </c>
      <c r="L1435" t="str">
        <f t="shared" si="45"/>
        <v>Banca Etrusca|36|Prestiti</v>
      </c>
    </row>
    <row r="1436" spans="1:12" x14ac:dyDescent="0.25">
      <c r="A1436" t="s">
        <v>27</v>
      </c>
      <c r="B1436">
        <v>36</v>
      </c>
      <c r="C1436" t="s">
        <v>16</v>
      </c>
      <c r="D1436" s="1">
        <v>46387</v>
      </c>
      <c r="E1436">
        <v>1200.9000000000001</v>
      </c>
      <c r="F1436">
        <v>59.32</v>
      </c>
      <c r="G1436">
        <v>36.93</v>
      </c>
      <c r="H1436">
        <v>127</v>
      </c>
      <c r="I1436" t="s">
        <v>25</v>
      </c>
      <c r="J1436">
        <v>2026</v>
      </c>
      <c r="K1436">
        <f t="shared" si="44"/>
        <v>22.39</v>
      </c>
      <c r="L1436" t="str">
        <f t="shared" si="45"/>
        <v>Banca Etrusca|36|Conti</v>
      </c>
    </row>
    <row r="1437" spans="1:12" x14ac:dyDescent="0.25">
      <c r="A1437" t="s">
        <v>27</v>
      </c>
      <c r="B1437">
        <v>36</v>
      </c>
      <c r="C1437" t="s">
        <v>17</v>
      </c>
      <c r="D1437" s="1">
        <v>46387</v>
      </c>
      <c r="E1437">
        <v>1494.8</v>
      </c>
      <c r="F1437">
        <v>76.5</v>
      </c>
      <c r="G1437">
        <v>47.26</v>
      </c>
      <c r="H1437">
        <v>115</v>
      </c>
      <c r="I1437" t="s">
        <v>25</v>
      </c>
      <c r="J1437">
        <v>2026</v>
      </c>
      <c r="K1437">
        <f t="shared" si="44"/>
        <v>29.240000000000002</v>
      </c>
      <c r="L1437" t="str">
        <f t="shared" si="45"/>
        <v>Banca Etrusca|36|Carte</v>
      </c>
    </row>
    <row r="1438" spans="1:12" x14ac:dyDescent="0.25">
      <c r="A1438" t="s">
        <v>27</v>
      </c>
      <c r="B1438">
        <v>36</v>
      </c>
      <c r="C1438" t="s">
        <v>18</v>
      </c>
      <c r="D1438" s="1">
        <v>46387</v>
      </c>
      <c r="E1438">
        <v>1759.9</v>
      </c>
      <c r="F1438">
        <v>93.36</v>
      </c>
      <c r="G1438">
        <v>56.65</v>
      </c>
      <c r="H1438">
        <v>141</v>
      </c>
      <c r="I1438" t="s">
        <v>25</v>
      </c>
      <c r="J1438">
        <v>2026</v>
      </c>
      <c r="K1438">
        <f t="shared" si="44"/>
        <v>36.71</v>
      </c>
      <c r="L1438" t="str">
        <f t="shared" si="45"/>
        <v>Banca Etrusca|36|Leasing</v>
      </c>
    </row>
    <row r="1439" spans="1:12" x14ac:dyDescent="0.25">
      <c r="A1439" t="s">
        <v>27</v>
      </c>
      <c r="B1439">
        <v>36</v>
      </c>
      <c r="C1439" t="s">
        <v>19</v>
      </c>
      <c r="D1439" s="1">
        <v>46387</v>
      </c>
      <c r="E1439">
        <v>1974</v>
      </c>
      <c r="F1439">
        <v>108.93</v>
      </c>
      <c r="G1439">
        <v>65.86</v>
      </c>
      <c r="H1439">
        <v>168</v>
      </c>
      <c r="I1439" t="s">
        <v>25</v>
      </c>
      <c r="J1439">
        <v>2026</v>
      </c>
      <c r="K1439">
        <f t="shared" si="44"/>
        <v>43.070000000000007</v>
      </c>
      <c r="L1439" t="str">
        <f t="shared" si="45"/>
        <v>Banca Etrusca|36|Factoring</v>
      </c>
    </row>
    <row r="1440" spans="1:12" x14ac:dyDescent="0.25">
      <c r="A1440" t="s">
        <v>27</v>
      </c>
      <c r="B1440">
        <v>36</v>
      </c>
      <c r="C1440" t="s">
        <v>20</v>
      </c>
      <c r="D1440" s="1">
        <v>46387</v>
      </c>
      <c r="E1440">
        <v>2230.6999999999998</v>
      </c>
      <c r="F1440">
        <v>127.63</v>
      </c>
      <c r="G1440">
        <v>76.739999999999995</v>
      </c>
      <c r="H1440">
        <v>187</v>
      </c>
      <c r="I1440" t="s">
        <v>25</v>
      </c>
      <c r="J1440">
        <v>2026</v>
      </c>
      <c r="K1440">
        <f t="shared" si="44"/>
        <v>50.89</v>
      </c>
      <c r="L1440" t="str">
        <f t="shared" si="45"/>
        <v>Banca Etrusca|36|Risparmio</v>
      </c>
    </row>
    <row r="1441" spans="1:12" x14ac:dyDescent="0.25">
      <c r="A1441" t="s">
        <v>27</v>
      </c>
      <c r="B1441">
        <v>36</v>
      </c>
      <c r="C1441" t="s">
        <v>21</v>
      </c>
      <c r="D1441" s="1">
        <v>46387</v>
      </c>
      <c r="E1441">
        <v>2498.5</v>
      </c>
      <c r="F1441">
        <v>147.44</v>
      </c>
      <c r="G1441">
        <v>88</v>
      </c>
      <c r="H1441">
        <v>195</v>
      </c>
      <c r="I1441" t="s">
        <v>25</v>
      </c>
      <c r="J1441">
        <v>2026</v>
      </c>
      <c r="K1441">
        <f t="shared" si="44"/>
        <v>59.44</v>
      </c>
      <c r="L1441" t="str">
        <f t="shared" si="45"/>
        <v>Banca Etrusca|36|Assicurazioni</v>
      </c>
    </row>
    <row r="1442" spans="1:12" x14ac:dyDescent="0.25">
      <c r="A1442" t="s">
        <v>28</v>
      </c>
      <c r="B1442">
        <v>1</v>
      </c>
      <c r="C1442" t="s">
        <v>13</v>
      </c>
      <c r="D1442" s="1">
        <v>45322</v>
      </c>
      <c r="E1442">
        <v>581.20000000000005</v>
      </c>
      <c r="F1442">
        <v>27</v>
      </c>
      <c r="G1442">
        <v>16.84</v>
      </c>
      <c r="H1442">
        <v>97</v>
      </c>
      <c r="I1442" t="s">
        <v>14</v>
      </c>
      <c r="J1442">
        <v>2024</v>
      </c>
      <c r="K1442">
        <f t="shared" si="44"/>
        <v>10.16</v>
      </c>
      <c r="L1442" t="str">
        <f t="shared" si="45"/>
        <v>Banca Lariana|1|Mutui</v>
      </c>
    </row>
    <row r="1443" spans="1:12" x14ac:dyDescent="0.25">
      <c r="A1443" t="s">
        <v>28</v>
      </c>
      <c r="B1443">
        <v>1</v>
      </c>
      <c r="C1443" t="s">
        <v>15</v>
      </c>
      <c r="D1443" s="1">
        <v>45322</v>
      </c>
      <c r="E1443">
        <v>846.3</v>
      </c>
      <c r="F1443">
        <v>40.19</v>
      </c>
      <c r="G1443">
        <v>25.51</v>
      </c>
      <c r="H1443">
        <v>120</v>
      </c>
      <c r="I1443" t="s">
        <v>14</v>
      </c>
      <c r="J1443">
        <v>2024</v>
      </c>
      <c r="K1443">
        <f t="shared" si="44"/>
        <v>14.679999999999996</v>
      </c>
      <c r="L1443" t="str">
        <f t="shared" si="45"/>
        <v>Banca Lariana|1|Prestiti</v>
      </c>
    </row>
    <row r="1444" spans="1:12" x14ac:dyDescent="0.25">
      <c r="A1444" t="s">
        <v>28</v>
      </c>
      <c r="B1444">
        <v>1</v>
      </c>
      <c r="C1444" t="s">
        <v>16</v>
      </c>
      <c r="D1444" s="1">
        <v>45322</v>
      </c>
      <c r="E1444">
        <v>1031.0999999999999</v>
      </c>
      <c r="F1444">
        <v>50.53</v>
      </c>
      <c r="G1444">
        <v>31.35</v>
      </c>
      <c r="H1444">
        <v>119</v>
      </c>
      <c r="I1444" t="s">
        <v>14</v>
      </c>
      <c r="J1444">
        <v>2024</v>
      </c>
      <c r="K1444">
        <f t="shared" si="44"/>
        <v>19.18</v>
      </c>
      <c r="L1444" t="str">
        <f t="shared" si="45"/>
        <v>Banca Lariana|1|Conti</v>
      </c>
    </row>
    <row r="1445" spans="1:12" x14ac:dyDescent="0.25">
      <c r="A1445" t="s">
        <v>28</v>
      </c>
      <c r="B1445">
        <v>1</v>
      </c>
      <c r="C1445" t="s">
        <v>17</v>
      </c>
      <c r="D1445" s="1">
        <v>45322</v>
      </c>
      <c r="E1445">
        <v>1296</v>
      </c>
      <c r="F1445">
        <v>66.33</v>
      </c>
      <c r="G1445">
        <v>40.869999999999997</v>
      </c>
      <c r="H1445">
        <v>143</v>
      </c>
      <c r="I1445" t="s">
        <v>14</v>
      </c>
      <c r="J1445">
        <v>2024</v>
      </c>
      <c r="K1445">
        <f t="shared" si="44"/>
        <v>25.46</v>
      </c>
      <c r="L1445" t="str">
        <f t="shared" si="45"/>
        <v>Banca Lariana|1|Carte</v>
      </c>
    </row>
    <row r="1446" spans="1:12" x14ac:dyDescent="0.25">
      <c r="A1446" t="s">
        <v>28</v>
      </c>
      <c r="B1446">
        <v>1</v>
      </c>
      <c r="C1446" t="s">
        <v>18</v>
      </c>
      <c r="D1446" s="1">
        <v>45322</v>
      </c>
      <c r="E1446">
        <v>1501</v>
      </c>
      <c r="F1446">
        <v>80.17</v>
      </c>
      <c r="G1446">
        <v>48.14</v>
      </c>
      <c r="H1446">
        <v>154</v>
      </c>
      <c r="I1446" t="s">
        <v>14</v>
      </c>
      <c r="J1446">
        <v>2024</v>
      </c>
      <c r="K1446">
        <f t="shared" si="44"/>
        <v>32.03</v>
      </c>
      <c r="L1446" t="str">
        <f t="shared" si="45"/>
        <v>Banca Lariana|1|Leasing</v>
      </c>
    </row>
    <row r="1447" spans="1:12" x14ac:dyDescent="0.25">
      <c r="A1447" t="s">
        <v>28</v>
      </c>
      <c r="B1447">
        <v>1</v>
      </c>
      <c r="C1447" t="s">
        <v>19</v>
      </c>
      <c r="D1447" s="1">
        <v>45322</v>
      </c>
      <c r="E1447">
        <v>1729.5</v>
      </c>
      <c r="F1447">
        <v>95.71</v>
      </c>
      <c r="G1447">
        <v>57.67</v>
      </c>
      <c r="H1447">
        <v>197</v>
      </c>
      <c r="I1447" t="s">
        <v>14</v>
      </c>
      <c r="J1447">
        <v>2024</v>
      </c>
      <c r="K1447">
        <f t="shared" si="44"/>
        <v>38.039999999999992</v>
      </c>
      <c r="L1447" t="str">
        <f t="shared" si="45"/>
        <v>Banca Lariana|1|Factoring</v>
      </c>
    </row>
    <row r="1448" spans="1:12" x14ac:dyDescent="0.25">
      <c r="A1448" t="s">
        <v>28</v>
      </c>
      <c r="B1448">
        <v>1</v>
      </c>
      <c r="C1448" t="s">
        <v>20</v>
      </c>
      <c r="D1448" s="1">
        <v>45322</v>
      </c>
      <c r="E1448">
        <v>1967.9</v>
      </c>
      <c r="F1448">
        <v>112.89</v>
      </c>
      <c r="G1448">
        <v>67.819999999999993</v>
      </c>
      <c r="H1448">
        <v>225</v>
      </c>
      <c r="I1448" t="s">
        <v>14</v>
      </c>
      <c r="J1448">
        <v>2024</v>
      </c>
      <c r="K1448">
        <f t="shared" si="44"/>
        <v>45.070000000000007</v>
      </c>
      <c r="L1448" t="str">
        <f t="shared" si="45"/>
        <v>Banca Lariana|1|Risparmio</v>
      </c>
    </row>
    <row r="1449" spans="1:12" x14ac:dyDescent="0.25">
      <c r="A1449" t="s">
        <v>28</v>
      </c>
      <c r="B1449">
        <v>1</v>
      </c>
      <c r="C1449" t="s">
        <v>21</v>
      </c>
      <c r="D1449" s="1">
        <v>45322</v>
      </c>
      <c r="E1449">
        <v>2167.3000000000002</v>
      </c>
      <c r="F1449">
        <v>128.38999999999999</v>
      </c>
      <c r="G1449">
        <v>76.23</v>
      </c>
      <c r="H1449">
        <v>226</v>
      </c>
      <c r="I1449" t="s">
        <v>14</v>
      </c>
      <c r="J1449">
        <v>2024</v>
      </c>
      <c r="K1449">
        <f t="shared" si="44"/>
        <v>52.159999999999982</v>
      </c>
      <c r="L1449" t="str">
        <f t="shared" si="45"/>
        <v>Banca Lariana|1|Assicurazioni</v>
      </c>
    </row>
    <row r="1450" spans="1:12" x14ac:dyDescent="0.25">
      <c r="A1450" t="s">
        <v>28</v>
      </c>
      <c r="B1450">
        <v>2</v>
      </c>
      <c r="C1450" t="s">
        <v>13</v>
      </c>
      <c r="D1450" s="1">
        <v>45351</v>
      </c>
      <c r="E1450">
        <v>580.4</v>
      </c>
      <c r="F1450">
        <v>26.51</v>
      </c>
      <c r="G1450">
        <v>17.02</v>
      </c>
      <c r="H1450">
        <v>63</v>
      </c>
      <c r="I1450" t="s">
        <v>14</v>
      </c>
      <c r="J1450">
        <v>2024</v>
      </c>
      <c r="K1450">
        <f t="shared" si="44"/>
        <v>9.490000000000002</v>
      </c>
      <c r="L1450" t="str">
        <f t="shared" si="45"/>
        <v>Banca Lariana|2|Mutui</v>
      </c>
    </row>
    <row r="1451" spans="1:12" x14ac:dyDescent="0.25">
      <c r="A1451" t="s">
        <v>28</v>
      </c>
      <c r="B1451">
        <v>2</v>
      </c>
      <c r="C1451" t="s">
        <v>15</v>
      </c>
      <c r="D1451" s="1">
        <v>45351</v>
      </c>
      <c r="E1451">
        <v>844.4</v>
      </c>
      <c r="F1451">
        <v>39.75</v>
      </c>
      <c r="G1451">
        <v>24.98</v>
      </c>
      <c r="H1451">
        <v>98</v>
      </c>
      <c r="I1451" t="s">
        <v>14</v>
      </c>
      <c r="J1451">
        <v>2024</v>
      </c>
      <c r="K1451">
        <f t="shared" si="44"/>
        <v>14.77</v>
      </c>
      <c r="L1451" t="str">
        <f t="shared" si="45"/>
        <v>Banca Lariana|2|Prestiti</v>
      </c>
    </row>
    <row r="1452" spans="1:12" x14ac:dyDescent="0.25">
      <c r="A1452" t="s">
        <v>28</v>
      </c>
      <c r="B1452">
        <v>2</v>
      </c>
      <c r="C1452" t="s">
        <v>16</v>
      </c>
      <c r="D1452" s="1">
        <v>45351</v>
      </c>
      <c r="E1452">
        <v>1058.9000000000001</v>
      </c>
      <c r="F1452">
        <v>52.22</v>
      </c>
      <c r="G1452">
        <v>31.88</v>
      </c>
      <c r="H1452">
        <v>121</v>
      </c>
      <c r="I1452" t="s">
        <v>14</v>
      </c>
      <c r="J1452">
        <v>2024</v>
      </c>
      <c r="K1452">
        <f t="shared" si="44"/>
        <v>20.34</v>
      </c>
      <c r="L1452" t="str">
        <f t="shared" si="45"/>
        <v>Banca Lariana|2|Conti</v>
      </c>
    </row>
    <row r="1453" spans="1:12" x14ac:dyDescent="0.25">
      <c r="A1453" t="s">
        <v>28</v>
      </c>
      <c r="B1453">
        <v>2</v>
      </c>
      <c r="C1453" t="s">
        <v>17</v>
      </c>
      <c r="D1453" s="1">
        <v>45351</v>
      </c>
      <c r="E1453">
        <v>1258.3</v>
      </c>
      <c r="F1453">
        <v>64.91</v>
      </c>
      <c r="G1453">
        <v>39.43</v>
      </c>
      <c r="H1453">
        <v>138</v>
      </c>
      <c r="I1453" t="s">
        <v>14</v>
      </c>
      <c r="J1453">
        <v>2024</v>
      </c>
      <c r="K1453">
        <f t="shared" si="44"/>
        <v>25.479999999999997</v>
      </c>
      <c r="L1453" t="str">
        <f t="shared" si="45"/>
        <v>Banca Lariana|2|Carte</v>
      </c>
    </row>
    <row r="1454" spans="1:12" x14ac:dyDescent="0.25">
      <c r="A1454" t="s">
        <v>28</v>
      </c>
      <c r="B1454">
        <v>2</v>
      </c>
      <c r="C1454" t="s">
        <v>18</v>
      </c>
      <c r="D1454" s="1">
        <v>45351</v>
      </c>
      <c r="E1454">
        <v>1527.2</v>
      </c>
      <c r="F1454">
        <v>81.760000000000005</v>
      </c>
      <c r="G1454">
        <v>49.17</v>
      </c>
      <c r="H1454">
        <v>152</v>
      </c>
      <c r="I1454" t="s">
        <v>14</v>
      </c>
      <c r="J1454">
        <v>2024</v>
      </c>
      <c r="K1454">
        <f t="shared" si="44"/>
        <v>32.590000000000003</v>
      </c>
      <c r="L1454" t="str">
        <f t="shared" si="45"/>
        <v>Banca Lariana|2|Leasing</v>
      </c>
    </row>
    <row r="1455" spans="1:12" x14ac:dyDescent="0.25">
      <c r="A1455" t="s">
        <v>28</v>
      </c>
      <c r="B1455">
        <v>2</v>
      </c>
      <c r="C1455" t="s">
        <v>19</v>
      </c>
      <c r="D1455" s="1">
        <v>45351</v>
      </c>
      <c r="E1455">
        <v>1719.7</v>
      </c>
      <c r="F1455">
        <v>94.68</v>
      </c>
      <c r="G1455">
        <v>57.35</v>
      </c>
      <c r="H1455">
        <v>209</v>
      </c>
      <c r="I1455" t="s">
        <v>14</v>
      </c>
      <c r="J1455">
        <v>2024</v>
      </c>
      <c r="K1455">
        <f t="shared" si="44"/>
        <v>37.330000000000005</v>
      </c>
      <c r="L1455" t="str">
        <f t="shared" si="45"/>
        <v>Banca Lariana|2|Factoring</v>
      </c>
    </row>
    <row r="1456" spans="1:12" x14ac:dyDescent="0.25">
      <c r="A1456" t="s">
        <v>28</v>
      </c>
      <c r="B1456">
        <v>2</v>
      </c>
      <c r="C1456" t="s">
        <v>20</v>
      </c>
      <c r="D1456" s="1">
        <v>45351</v>
      </c>
      <c r="E1456">
        <v>1935.5</v>
      </c>
      <c r="F1456">
        <v>111.19</v>
      </c>
      <c r="G1456">
        <v>66.22</v>
      </c>
      <c r="H1456">
        <v>206</v>
      </c>
      <c r="I1456" t="s">
        <v>14</v>
      </c>
      <c r="J1456">
        <v>2024</v>
      </c>
      <c r="K1456">
        <f t="shared" si="44"/>
        <v>44.97</v>
      </c>
      <c r="L1456" t="str">
        <f t="shared" si="45"/>
        <v>Banca Lariana|2|Risparmio</v>
      </c>
    </row>
    <row r="1457" spans="1:12" x14ac:dyDescent="0.25">
      <c r="A1457" t="s">
        <v>28</v>
      </c>
      <c r="B1457">
        <v>2</v>
      </c>
      <c r="C1457" t="s">
        <v>21</v>
      </c>
      <c r="D1457" s="1">
        <v>45351</v>
      </c>
      <c r="E1457">
        <v>2196.4</v>
      </c>
      <c r="F1457">
        <v>130.44</v>
      </c>
      <c r="G1457">
        <v>77.86</v>
      </c>
      <c r="H1457">
        <v>230</v>
      </c>
      <c r="I1457" t="s">
        <v>14</v>
      </c>
      <c r="J1457">
        <v>2024</v>
      </c>
      <c r="K1457">
        <f t="shared" si="44"/>
        <v>52.58</v>
      </c>
      <c r="L1457" t="str">
        <f t="shared" si="45"/>
        <v>Banca Lariana|2|Assicurazioni</v>
      </c>
    </row>
    <row r="1458" spans="1:12" x14ac:dyDescent="0.25">
      <c r="A1458" t="s">
        <v>28</v>
      </c>
      <c r="B1458">
        <v>3</v>
      </c>
      <c r="C1458" t="s">
        <v>13</v>
      </c>
      <c r="D1458" s="1">
        <v>45382</v>
      </c>
      <c r="E1458">
        <v>579.29999999999995</v>
      </c>
      <c r="F1458">
        <v>26.16</v>
      </c>
      <c r="G1458">
        <v>16.41</v>
      </c>
      <c r="H1458">
        <v>63</v>
      </c>
      <c r="I1458" t="s">
        <v>14</v>
      </c>
      <c r="J1458">
        <v>2024</v>
      </c>
      <c r="K1458">
        <f t="shared" si="44"/>
        <v>9.75</v>
      </c>
      <c r="L1458" t="str">
        <f t="shared" si="45"/>
        <v>Banca Lariana|3|Mutui</v>
      </c>
    </row>
    <row r="1459" spans="1:12" x14ac:dyDescent="0.25">
      <c r="A1459" t="s">
        <v>28</v>
      </c>
      <c r="B1459">
        <v>3</v>
      </c>
      <c r="C1459" t="s">
        <v>15</v>
      </c>
      <c r="D1459" s="1">
        <v>45382</v>
      </c>
      <c r="E1459">
        <v>814</v>
      </c>
      <c r="F1459">
        <v>38.86</v>
      </c>
      <c r="G1459">
        <v>24.08</v>
      </c>
      <c r="H1459">
        <v>110</v>
      </c>
      <c r="I1459" t="s">
        <v>14</v>
      </c>
      <c r="J1459">
        <v>2024</v>
      </c>
      <c r="K1459">
        <f t="shared" si="44"/>
        <v>14.780000000000001</v>
      </c>
      <c r="L1459" t="str">
        <f t="shared" si="45"/>
        <v>Banca Lariana|3|Prestiti</v>
      </c>
    </row>
    <row r="1460" spans="1:12" x14ac:dyDescent="0.25">
      <c r="A1460" t="s">
        <v>28</v>
      </c>
      <c r="B1460">
        <v>3</v>
      </c>
      <c r="C1460" t="s">
        <v>16</v>
      </c>
      <c r="D1460" s="1">
        <v>45382</v>
      </c>
      <c r="E1460">
        <v>1070.5</v>
      </c>
      <c r="F1460">
        <v>52.54</v>
      </c>
      <c r="G1460">
        <v>32.18</v>
      </c>
      <c r="H1460">
        <v>122</v>
      </c>
      <c r="I1460" t="s">
        <v>14</v>
      </c>
      <c r="J1460">
        <v>2024</v>
      </c>
      <c r="K1460">
        <f t="shared" si="44"/>
        <v>20.36</v>
      </c>
      <c r="L1460" t="str">
        <f t="shared" si="45"/>
        <v>Banca Lariana|3|Conti</v>
      </c>
    </row>
    <row r="1461" spans="1:12" x14ac:dyDescent="0.25">
      <c r="A1461" t="s">
        <v>28</v>
      </c>
      <c r="B1461">
        <v>3</v>
      </c>
      <c r="C1461" t="s">
        <v>17</v>
      </c>
      <c r="D1461" s="1">
        <v>45382</v>
      </c>
      <c r="E1461">
        <v>1302.7</v>
      </c>
      <c r="F1461">
        <v>66.53</v>
      </c>
      <c r="G1461">
        <v>41.04</v>
      </c>
      <c r="H1461">
        <v>161</v>
      </c>
      <c r="I1461" t="s">
        <v>14</v>
      </c>
      <c r="J1461">
        <v>2024</v>
      </c>
      <c r="K1461">
        <f t="shared" si="44"/>
        <v>25.490000000000002</v>
      </c>
      <c r="L1461" t="str">
        <f t="shared" si="45"/>
        <v>Banca Lariana|3|Carte</v>
      </c>
    </row>
    <row r="1462" spans="1:12" x14ac:dyDescent="0.25">
      <c r="A1462" t="s">
        <v>28</v>
      </c>
      <c r="B1462">
        <v>3</v>
      </c>
      <c r="C1462" t="s">
        <v>18</v>
      </c>
      <c r="D1462" s="1">
        <v>45382</v>
      </c>
      <c r="E1462">
        <v>1500.2</v>
      </c>
      <c r="F1462">
        <v>79.97</v>
      </c>
      <c r="G1462">
        <v>48.54</v>
      </c>
      <c r="H1462">
        <v>162</v>
      </c>
      <c r="I1462" t="s">
        <v>14</v>
      </c>
      <c r="J1462">
        <v>2024</v>
      </c>
      <c r="K1462">
        <f t="shared" si="44"/>
        <v>31.43</v>
      </c>
      <c r="L1462" t="str">
        <f t="shared" si="45"/>
        <v>Banca Lariana|3|Leasing</v>
      </c>
    </row>
    <row r="1463" spans="1:12" x14ac:dyDescent="0.25">
      <c r="A1463" t="s">
        <v>28</v>
      </c>
      <c r="B1463">
        <v>3</v>
      </c>
      <c r="C1463" t="s">
        <v>19</v>
      </c>
      <c r="D1463" s="1">
        <v>45382</v>
      </c>
      <c r="E1463">
        <v>1745.6</v>
      </c>
      <c r="F1463">
        <v>96.93</v>
      </c>
      <c r="G1463">
        <v>58.39</v>
      </c>
      <c r="H1463">
        <v>202</v>
      </c>
      <c r="I1463" t="s">
        <v>14</v>
      </c>
      <c r="J1463">
        <v>2024</v>
      </c>
      <c r="K1463">
        <f t="shared" si="44"/>
        <v>38.540000000000006</v>
      </c>
      <c r="L1463" t="str">
        <f t="shared" si="45"/>
        <v>Banca Lariana|3|Factoring</v>
      </c>
    </row>
    <row r="1464" spans="1:12" x14ac:dyDescent="0.25">
      <c r="A1464" t="s">
        <v>28</v>
      </c>
      <c r="B1464">
        <v>3</v>
      </c>
      <c r="C1464" t="s">
        <v>20</v>
      </c>
      <c r="D1464" s="1">
        <v>45382</v>
      </c>
      <c r="E1464">
        <v>1970.8</v>
      </c>
      <c r="F1464">
        <v>113.09</v>
      </c>
      <c r="G1464">
        <v>67.040000000000006</v>
      </c>
      <c r="H1464">
        <v>204</v>
      </c>
      <c r="I1464" t="s">
        <v>14</v>
      </c>
      <c r="J1464">
        <v>2024</v>
      </c>
      <c r="K1464">
        <f t="shared" si="44"/>
        <v>46.05</v>
      </c>
      <c r="L1464" t="str">
        <f t="shared" si="45"/>
        <v>Banca Lariana|3|Risparmio</v>
      </c>
    </row>
    <row r="1465" spans="1:12" x14ac:dyDescent="0.25">
      <c r="A1465" t="s">
        <v>28</v>
      </c>
      <c r="B1465">
        <v>3</v>
      </c>
      <c r="C1465" t="s">
        <v>21</v>
      </c>
      <c r="D1465" s="1">
        <v>45382</v>
      </c>
      <c r="E1465">
        <v>2222.3000000000002</v>
      </c>
      <c r="F1465">
        <v>131.74</v>
      </c>
      <c r="G1465">
        <v>77.97</v>
      </c>
      <c r="H1465">
        <v>254</v>
      </c>
      <c r="I1465" t="s">
        <v>14</v>
      </c>
      <c r="J1465">
        <v>2024</v>
      </c>
      <c r="K1465">
        <f t="shared" si="44"/>
        <v>53.77000000000001</v>
      </c>
      <c r="L1465" t="str">
        <f t="shared" si="45"/>
        <v>Banca Lariana|3|Assicurazioni</v>
      </c>
    </row>
    <row r="1466" spans="1:12" x14ac:dyDescent="0.25">
      <c r="A1466" t="s">
        <v>28</v>
      </c>
      <c r="B1466">
        <v>4</v>
      </c>
      <c r="C1466" t="s">
        <v>13</v>
      </c>
      <c r="D1466" s="1">
        <v>45412</v>
      </c>
      <c r="E1466">
        <v>619</v>
      </c>
      <c r="F1466">
        <v>28.48</v>
      </c>
      <c r="G1466">
        <v>18.21</v>
      </c>
      <c r="H1466">
        <v>72</v>
      </c>
      <c r="I1466" t="s">
        <v>14</v>
      </c>
      <c r="J1466">
        <v>2024</v>
      </c>
      <c r="K1466">
        <f t="shared" si="44"/>
        <v>10.27</v>
      </c>
      <c r="L1466" t="str">
        <f t="shared" si="45"/>
        <v>Banca Lariana|4|Mutui</v>
      </c>
    </row>
    <row r="1467" spans="1:12" x14ac:dyDescent="0.25">
      <c r="A1467" t="s">
        <v>28</v>
      </c>
      <c r="B1467">
        <v>4</v>
      </c>
      <c r="C1467" t="s">
        <v>15</v>
      </c>
      <c r="D1467" s="1">
        <v>45412</v>
      </c>
      <c r="E1467">
        <v>870.9</v>
      </c>
      <c r="F1467">
        <v>41.74</v>
      </c>
      <c r="G1467">
        <v>26.19</v>
      </c>
      <c r="H1467">
        <v>108</v>
      </c>
      <c r="I1467" t="s">
        <v>14</v>
      </c>
      <c r="J1467">
        <v>2024</v>
      </c>
      <c r="K1467">
        <f t="shared" si="44"/>
        <v>15.55</v>
      </c>
      <c r="L1467" t="str">
        <f t="shared" si="45"/>
        <v>Banca Lariana|4|Prestiti</v>
      </c>
    </row>
    <row r="1468" spans="1:12" x14ac:dyDescent="0.25">
      <c r="A1468" t="s">
        <v>28</v>
      </c>
      <c r="B1468">
        <v>4</v>
      </c>
      <c r="C1468" t="s">
        <v>16</v>
      </c>
      <c r="D1468" s="1">
        <v>45412</v>
      </c>
      <c r="E1468">
        <v>1074.4000000000001</v>
      </c>
      <c r="F1468">
        <v>52.83</v>
      </c>
      <c r="G1468">
        <v>32.33</v>
      </c>
      <c r="H1468">
        <v>113</v>
      </c>
      <c r="I1468" t="s">
        <v>14</v>
      </c>
      <c r="J1468">
        <v>2024</v>
      </c>
      <c r="K1468">
        <f t="shared" si="44"/>
        <v>20.5</v>
      </c>
      <c r="L1468" t="str">
        <f t="shared" si="45"/>
        <v>Banca Lariana|4|Conti</v>
      </c>
    </row>
    <row r="1469" spans="1:12" x14ac:dyDescent="0.25">
      <c r="A1469" t="s">
        <v>28</v>
      </c>
      <c r="B1469">
        <v>4</v>
      </c>
      <c r="C1469" t="s">
        <v>17</v>
      </c>
      <c r="D1469" s="1">
        <v>45412</v>
      </c>
      <c r="E1469">
        <v>1303.2</v>
      </c>
      <c r="F1469">
        <v>67.010000000000005</v>
      </c>
      <c r="G1469">
        <v>41.26</v>
      </c>
      <c r="H1469">
        <v>152</v>
      </c>
      <c r="I1469" t="s">
        <v>14</v>
      </c>
      <c r="J1469">
        <v>2024</v>
      </c>
      <c r="K1469">
        <f t="shared" si="44"/>
        <v>25.750000000000007</v>
      </c>
      <c r="L1469" t="str">
        <f t="shared" si="45"/>
        <v>Banca Lariana|4|Carte</v>
      </c>
    </row>
    <row r="1470" spans="1:12" x14ac:dyDescent="0.25">
      <c r="A1470" t="s">
        <v>28</v>
      </c>
      <c r="B1470">
        <v>4</v>
      </c>
      <c r="C1470" t="s">
        <v>18</v>
      </c>
      <c r="D1470" s="1">
        <v>45412</v>
      </c>
      <c r="E1470">
        <v>1518.2</v>
      </c>
      <c r="F1470">
        <v>81.290000000000006</v>
      </c>
      <c r="G1470">
        <v>49.26</v>
      </c>
      <c r="H1470">
        <v>162</v>
      </c>
      <c r="I1470" t="s">
        <v>14</v>
      </c>
      <c r="J1470">
        <v>2024</v>
      </c>
      <c r="K1470">
        <f t="shared" si="44"/>
        <v>32.030000000000008</v>
      </c>
      <c r="L1470" t="str">
        <f t="shared" si="45"/>
        <v>Banca Lariana|4|Leasing</v>
      </c>
    </row>
    <row r="1471" spans="1:12" x14ac:dyDescent="0.25">
      <c r="A1471" t="s">
        <v>28</v>
      </c>
      <c r="B1471">
        <v>4</v>
      </c>
      <c r="C1471" t="s">
        <v>19</v>
      </c>
      <c r="D1471" s="1">
        <v>45412</v>
      </c>
      <c r="E1471">
        <v>1769.7</v>
      </c>
      <c r="F1471">
        <v>97.39</v>
      </c>
      <c r="G1471">
        <v>59.18</v>
      </c>
      <c r="H1471">
        <v>198</v>
      </c>
      <c r="I1471" t="s">
        <v>14</v>
      </c>
      <c r="J1471">
        <v>2024</v>
      </c>
      <c r="K1471">
        <f t="shared" si="44"/>
        <v>38.21</v>
      </c>
      <c r="L1471" t="str">
        <f t="shared" si="45"/>
        <v>Banca Lariana|4|Factoring</v>
      </c>
    </row>
    <row r="1472" spans="1:12" x14ac:dyDescent="0.25">
      <c r="A1472" t="s">
        <v>28</v>
      </c>
      <c r="B1472">
        <v>4</v>
      </c>
      <c r="C1472" t="s">
        <v>20</v>
      </c>
      <c r="D1472" s="1">
        <v>45412</v>
      </c>
      <c r="E1472">
        <v>1982.8</v>
      </c>
      <c r="F1472">
        <v>113.92</v>
      </c>
      <c r="G1472">
        <v>68.099999999999994</v>
      </c>
      <c r="H1472">
        <v>204</v>
      </c>
      <c r="I1472" t="s">
        <v>14</v>
      </c>
      <c r="J1472">
        <v>2024</v>
      </c>
      <c r="K1472">
        <f t="shared" si="44"/>
        <v>45.820000000000007</v>
      </c>
      <c r="L1472" t="str">
        <f t="shared" si="45"/>
        <v>Banca Lariana|4|Risparmio</v>
      </c>
    </row>
    <row r="1473" spans="1:12" x14ac:dyDescent="0.25">
      <c r="A1473" t="s">
        <v>28</v>
      </c>
      <c r="B1473">
        <v>4</v>
      </c>
      <c r="C1473" t="s">
        <v>21</v>
      </c>
      <c r="D1473" s="1">
        <v>45412</v>
      </c>
      <c r="E1473">
        <v>2203.1</v>
      </c>
      <c r="F1473">
        <v>130.56</v>
      </c>
      <c r="G1473">
        <v>77.3</v>
      </c>
      <c r="H1473">
        <v>228</v>
      </c>
      <c r="I1473" t="s">
        <v>14</v>
      </c>
      <c r="J1473">
        <v>2024</v>
      </c>
      <c r="K1473">
        <f t="shared" si="44"/>
        <v>53.260000000000005</v>
      </c>
      <c r="L1473" t="str">
        <f t="shared" si="45"/>
        <v>Banca Lariana|4|Assicurazioni</v>
      </c>
    </row>
    <row r="1474" spans="1:12" x14ac:dyDescent="0.25">
      <c r="A1474" t="s">
        <v>28</v>
      </c>
      <c r="B1474">
        <v>5</v>
      </c>
      <c r="C1474" t="s">
        <v>13</v>
      </c>
      <c r="D1474" s="1">
        <v>45443</v>
      </c>
      <c r="E1474">
        <v>612.79999999999995</v>
      </c>
      <c r="F1474">
        <v>28.57</v>
      </c>
      <c r="G1474">
        <v>17.29</v>
      </c>
      <c r="H1474">
        <v>69</v>
      </c>
      <c r="I1474" t="s">
        <v>14</v>
      </c>
      <c r="J1474">
        <v>2024</v>
      </c>
      <c r="K1474">
        <f t="shared" ref="K1474:K1537" si="46">F1474-G1474</f>
        <v>11.280000000000001</v>
      </c>
      <c r="L1474" t="str">
        <f t="shared" ref="L1474:L1537" si="47">A1474&amp;"|"&amp;B1474&amp;"|"&amp;C1474</f>
        <v>Banca Lariana|5|Mutui</v>
      </c>
    </row>
    <row r="1475" spans="1:12" x14ac:dyDescent="0.25">
      <c r="A1475" t="s">
        <v>28</v>
      </c>
      <c r="B1475">
        <v>5</v>
      </c>
      <c r="C1475" t="s">
        <v>15</v>
      </c>
      <c r="D1475" s="1">
        <v>45443</v>
      </c>
      <c r="E1475">
        <v>865.2</v>
      </c>
      <c r="F1475">
        <v>41.32</v>
      </c>
      <c r="G1475">
        <v>25.89</v>
      </c>
      <c r="H1475">
        <v>113</v>
      </c>
      <c r="I1475" t="s">
        <v>14</v>
      </c>
      <c r="J1475">
        <v>2024</v>
      </c>
      <c r="K1475">
        <f t="shared" si="46"/>
        <v>15.43</v>
      </c>
      <c r="L1475" t="str">
        <f t="shared" si="47"/>
        <v>Banca Lariana|5|Prestiti</v>
      </c>
    </row>
    <row r="1476" spans="1:12" x14ac:dyDescent="0.25">
      <c r="A1476" t="s">
        <v>28</v>
      </c>
      <c r="B1476">
        <v>5</v>
      </c>
      <c r="C1476" t="s">
        <v>16</v>
      </c>
      <c r="D1476" s="1">
        <v>45443</v>
      </c>
      <c r="E1476">
        <v>1065.9000000000001</v>
      </c>
      <c r="F1476">
        <v>52.99</v>
      </c>
      <c r="G1476">
        <v>32.49</v>
      </c>
      <c r="H1476">
        <v>132</v>
      </c>
      <c r="I1476" t="s">
        <v>14</v>
      </c>
      <c r="J1476">
        <v>2024</v>
      </c>
      <c r="K1476">
        <f t="shared" si="46"/>
        <v>20.5</v>
      </c>
      <c r="L1476" t="str">
        <f t="shared" si="47"/>
        <v>Banca Lariana|5|Conti</v>
      </c>
    </row>
    <row r="1477" spans="1:12" x14ac:dyDescent="0.25">
      <c r="A1477" t="s">
        <v>28</v>
      </c>
      <c r="B1477">
        <v>5</v>
      </c>
      <c r="C1477" t="s">
        <v>17</v>
      </c>
      <c r="D1477" s="1">
        <v>45443</v>
      </c>
      <c r="E1477">
        <v>1334.9</v>
      </c>
      <c r="F1477">
        <v>69.03</v>
      </c>
      <c r="G1477">
        <v>41.92</v>
      </c>
      <c r="H1477">
        <v>154</v>
      </c>
      <c r="I1477" t="s">
        <v>14</v>
      </c>
      <c r="J1477">
        <v>2024</v>
      </c>
      <c r="K1477">
        <f t="shared" si="46"/>
        <v>27.11</v>
      </c>
      <c r="L1477" t="str">
        <f t="shared" si="47"/>
        <v>Banca Lariana|5|Carte</v>
      </c>
    </row>
    <row r="1478" spans="1:12" x14ac:dyDescent="0.25">
      <c r="A1478" t="s">
        <v>28</v>
      </c>
      <c r="B1478">
        <v>5</v>
      </c>
      <c r="C1478" t="s">
        <v>18</v>
      </c>
      <c r="D1478" s="1">
        <v>45443</v>
      </c>
      <c r="E1478">
        <v>1553.4</v>
      </c>
      <c r="F1478">
        <v>82.36</v>
      </c>
      <c r="G1478">
        <v>49.97</v>
      </c>
      <c r="H1478">
        <v>160</v>
      </c>
      <c r="I1478" t="s">
        <v>14</v>
      </c>
      <c r="J1478">
        <v>2024</v>
      </c>
      <c r="K1478">
        <f t="shared" si="46"/>
        <v>32.39</v>
      </c>
      <c r="L1478" t="str">
        <f t="shared" si="47"/>
        <v>Banca Lariana|5|Leasing</v>
      </c>
    </row>
    <row r="1479" spans="1:12" x14ac:dyDescent="0.25">
      <c r="A1479" t="s">
        <v>28</v>
      </c>
      <c r="B1479">
        <v>5</v>
      </c>
      <c r="C1479" t="s">
        <v>19</v>
      </c>
      <c r="D1479" s="1">
        <v>45443</v>
      </c>
      <c r="E1479">
        <v>1747.8</v>
      </c>
      <c r="F1479">
        <v>96.64</v>
      </c>
      <c r="G1479">
        <v>58.48</v>
      </c>
      <c r="H1479">
        <v>173</v>
      </c>
      <c r="I1479" t="s">
        <v>14</v>
      </c>
      <c r="J1479">
        <v>2024</v>
      </c>
      <c r="K1479">
        <f t="shared" si="46"/>
        <v>38.160000000000004</v>
      </c>
      <c r="L1479" t="str">
        <f t="shared" si="47"/>
        <v>Banca Lariana|5|Factoring</v>
      </c>
    </row>
    <row r="1480" spans="1:12" x14ac:dyDescent="0.25">
      <c r="A1480" t="s">
        <v>28</v>
      </c>
      <c r="B1480">
        <v>5</v>
      </c>
      <c r="C1480" t="s">
        <v>20</v>
      </c>
      <c r="D1480" s="1">
        <v>45443</v>
      </c>
      <c r="E1480">
        <v>2014.7</v>
      </c>
      <c r="F1480">
        <v>115.19</v>
      </c>
      <c r="G1480">
        <v>69.010000000000005</v>
      </c>
      <c r="H1480">
        <v>203</v>
      </c>
      <c r="I1480" t="s">
        <v>14</v>
      </c>
      <c r="J1480">
        <v>2024</v>
      </c>
      <c r="K1480">
        <f t="shared" si="46"/>
        <v>46.179999999999993</v>
      </c>
      <c r="L1480" t="str">
        <f t="shared" si="47"/>
        <v>Banca Lariana|5|Risparmio</v>
      </c>
    </row>
    <row r="1481" spans="1:12" x14ac:dyDescent="0.25">
      <c r="A1481" t="s">
        <v>28</v>
      </c>
      <c r="B1481">
        <v>5</v>
      </c>
      <c r="C1481" t="s">
        <v>21</v>
      </c>
      <c r="D1481" s="1">
        <v>45443</v>
      </c>
      <c r="E1481">
        <v>2222.1</v>
      </c>
      <c r="F1481">
        <v>131.79</v>
      </c>
      <c r="G1481">
        <v>78.180000000000007</v>
      </c>
      <c r="H1481">
        <v>238</v>
      </c>
      <c r="I1481" t="s">
        <v>14</v>
      </c>
      <c r="J1481">
        <v>2024</v>
      </c>
      <c r="K1481">
        <f t="shared" si="46"/>
        <v>53.609999999999985</v>
      </c>
      <c r="L1481" t="str">
        <f t="shared" si="47"/>
        <v>Banca Lariana|5|Assicurazioni</v>
      </c>
    </row>
    <row r="1482" spans="1:12" x14ac:dyDescent="0.25">
      <c r="A1482" t="s">
        <v>28</v>
      </c>
      <c r="B1482">
        <v>6</v>
      </c>
      <c r="C1482" t="s">
        <v>13</v>
      </c>
      <c r="D1482" s="1">
        <v>45473</v>
      </c>
      <c r="E1482">
        <v>643.20000000000005</v>
      </c>
      <c r="F1482">
        <v>29.19</v>
      </c>
      <c r="G1482">
        <v>19.010000000000002</v>
      </c>
      <c r="H1482">
        <v>76</v>
      </c>
      <c r="I1482" t="s">
        <v>14</v>
      </c>
      <c r="J1482">
        <v>2024</v>
      </c>
      <c r="K1482">
        <f t="shared" si="46"/>
        <v>10.18</v>
      </c>
      <c r="L1482" t="str">
        <f t="shared" si="47"/>
        <v>Banca Lariana|6|Mutui</v>
      </c>
    </row>
    <row r="1483" spans="1:12" x14ac:dyDescent="0.25">
      <c r="A1483" t="s">
        <v>28</v>
      </c>
      <c r="B1483">
        <v>6</v>
      </c>
      <c r="C1483" t="s">
        <v>15</v>
      </c>
      <c r="D1483" s="1">
        <v>45473</v>
      </c>
      <c r="E1483">
        <v>859.7</v>
      </c>
      <c r="F1483">
        <v>40.799999999999997</v>
      </c>
      <c r="G1483">
        <v>25.89</v>
      </c>
      <c r="H1483">
        <v>98</v>
      </c>
      <c r="I1483" t="s">
        <v>14</v>
      </c>
      <c r="J1483">
        <v>2024</v>
      </c>
      <c r="K1483">
        <f t="shared" si="46"/>
        <v>14.909999999999997</v>
      </c>
      <c r="L1483" t="str">
        <f t="shared" si="47"/>
        <v>Banca Lariana|6|Prestiti</v>
      </c>
    </row>
    <row r="1484" spans="1:12" x14ac:dyDescent="0.25">
      <c r="A1484" t="s">
        <v>28</v>
      </c>
      <c r="B1484">
        <v>6</v>
      </c>
      <c r="C1484" t="s">
        <v>16</v>
      </c>
      <c r="D1484" s="1">
        <v>45473</v>
      </c>
      <c r="E1484">
        <v>1060.3</v>
      </c>
      <c r="F1484">
        <v>52</v>
      </c>
      <c r="G1484">
        <v>32.29</v>
      </c>
      <c r="H1484">
        <v>132</v>
      </c>
      <c r="I1484" t="s">
        <v>14</v>
      </c>
      <c r="J1484">
        <v>2024</v>
      </c>
      <c r="K1484">
        <f t="shared" si="46"/>
        <v>19.71</v>
      </c>
      <c r="L1484" t="str">
        <f t="shared" si="47"/>
        <v>Banca Lariana|6|Conti</v>
      </c>
    </row>
    <row r="1485" spans="1:12" x14ac:dyDescent="0.25">
      <c r="A1485" t="s">
        <v>28</v>
      </c>
      <c r="B1485">
        <v>6</v>
      </c>
      <c r="C1485" t="s">
        <v>17</v>
      </c>
      <c r="D1485" s="1">
        <v>45473</v>
      </c>
      <c r="E1485">
        <v>1318.9</v>
      </c>
      <c r="F1485">
        <v>67.989999999999995</v>
      </c>
      <c r="G1485">
        <v>41.71</v>
      </c>
      <c r="H1485">
        <v>135</v>
      </c>
      <c r="I1485" t="s">
        <v>14</v>
      </c>
      <c r="J1485">
        <v>2024</v>
      </c>
      <c r="K1485">
        <f t="shared" si="46"/>
        <v>26.279999999999994</v>
      </c>
      <c r="L1485" t="str">
        <f t="shared" si="47"/>
        <v>Banca Lariana|6|Carte</v>
      </c>
    </row>
    <row r="1486" spans="1:12" x14ac:dyDescent="0.25">
      <c r="A1486" t="s">
        <v>28</v>
      </c>
      <c r="B1486">
        <v>6</v>
      </c>
      <c r="C1486" t="s">
        <v>18</v>
      </c>
      <c r="D1486" s="1">
        <v>45473</v>
      </c>
      <c r="E1486">
        <v>1528.6</v>
      </c>
      <c r="F1486">
        <v>81.86</v>
      </c>
      <c r="G1486">
        <v>49.65</v>
      </c>
      <c r="H1486">
        <v>154</v>
      </c>
      <c r="I1486" t="s">
        <v>14</v>
      </c>
      <c r="J1486">
        <v>2024</v>
      </c>
      <c r="K1486">
        <f t="shared" si="46"/>
        <v>32.21</v>
      </c>
      <c r="L1486" t="str">
        <f t="shared" si="47"/>
        <v>Banca Lariana|6|Leasing</v>
      </c>
    </row>
    <row r="1487" spans="1:12" x14ac:dyDescent="0.25">
      <c r="A1487" t="s">
        <v>28</v>
      </c>
      <c r="B1487">
        <v>6</v>
      </c>
      <c r="C1487" t="s">
        <v>19</v>
      </c>
      <c r="D1487" s="1">
        <v>45473</v>
      </c>
      <c r="E1487">
        <v>1775.2</v>
      </c>
      <c r="F1487">
        <v>97.88</v>
      </c>
      <c r="G1487">
        <v>58.84</v>
      </c>
      <c r="H1487">
        <v>191</v>
      </c>
      <c r="I1487" t="s">
        <v>14</v>
      </c>
      <c r="J1487">
        <v>2024</v>
      </c>
      <c r="K1487">
        <f t="shared" si="46"/>
        <v>39.039999999999992</v>
      </c>
      <c r="L1487" t="str">
        <f t="shared" si="47"/>
        <v>Banca Lariana|6|Factoring</v>
      </c>
    </row>
    <row r="1488" spans="1:12" x14ac:dyDescent="0.25">
      <c r="A1488" t="s">
        <v>28</v>
      </c>
      <c r="B1488">
        <v>6</v>
      </c>
      <c r="C1488" t="s">
        <v>20</v>
      </c>
      <c r="D1488" s="1">
        <v>45473</v>
      </c>
      <c r="E1488">
        <v>2001.6</v>
      </c>
      <c r="F1488">
        <v>114.63</v>
      </c>
      <c r="G1488">
        <v>69.02</v>
      </c>
      <c r="H1488">
        <v>227</v>
      </c>
      <c r="I1488" t="s">
        <v>14</v>
      </c>
      <c r="J1488">
        <v>2024</v>
      </c>
      <c r="K1488">
        <f t="shared" si="46"/>
        <v>45.61</v>
      </c>
      <c r="L1488" t="str">
        <f t="shared" si="47"/>
        <v>Banca Lariana|6|Risparmio</v>
      </c>
    </row>
    <row r="1489" spans="1:12" x14ac:dyDescent="0.25">
      <c r="A1489" t="s">
        <v>28</v>
      </c>
      <c r="B1489">
        <v>6</v>
      </c>
      <c r="C1489" t="s">
        <v>21</v>
      </c>
      <c r="D1489" s="1">
        <v>45473</v>
      </c>
      <c r="E1489">
        <v>2284.3000000000002</v>
      </c>
      <c r="F1489">
        <v>134.81</v>
      </c>
      <c r="G1489">
        <v>80.77</v>
      </c>
      <c r="H1489">
        <v>245</v>
      </c>
      <c r="I1489" t="s">
        <v>14</v>
      </c>
      <c r="J1489">
        <v>2024</v>
      </c>
      <c r="K1489">
        <f t="shared" si="46"/>
        <v>54.040000000000006</v>
      </c>
      <c r="L1489" t="str">
        <f t="shared" si="47"/>
        <v>Banca Lariana|6|Assicurazioni</v>
      </c>
    </row>
    <row r="1490" spans="1:12" x14ac:dyDescent="0.25">
      <c r="A1490" t="s">
        <v>28</v>
      </c>
      <c r="B1490">
        <v>7</v>
      </c>
      <c r="C1490" t="s">
        <v>13</v>
      </c>
      <c r="D1490" s="1">
        <v>45504</v>
      </c>
      <c r="E1490">
        <v>614.6</v>
      </c>
      <c r="F1490">
        <v>28.2</v>
      </c>
      <c r="G1490">
        <v>17.600000000000001</v>
      </c>
      <c r="H1490">
        <v>61</v>
      </c>
      <c r="I1490" t="s">
        <v>14</v>
      </c>
      <c r="J1490">
        <v>2024</v>
      </c>
      <c r="K1490">
        <f t="shared" si="46"/>
        <v>10.599999999999998</v>
      </c>
      <c r="L1490" t="str">
        <f t="shared" si="47"/>
        <v>Banca Lariana|7|Mutui</v>
      </c>
    </row>
    <row r="1491" spans="1:12" x14ac:dyDescent="0.25">
      <c r="A1491" t="s">
        <v>28</v>
      </c>
      <c r="B1491">
        <v>7</v>
      </c>
      <c r="C1491" t="s">
        <v>15</v>
      </c>
      <c r="D1491" s="1">
        <v>45504</v>
      </c>
      <c r="E1491">
        <v>872.4</v>
      </c>
      <c r="F1491">
        <v>41.87</v>
      </c>
      <c r="G1491">
        <v>26.1</v>
      </c>
      <c r="H1491">
        <v>114</v>
      </c>
      <c r="I1491" t="s">
        <v>14</v>
      </c>
      <c r="J1491">
        <v>2024</v>
      </c>
      <c r="K1491">
        <f t="shared" si="46"/>
        <v>15.769999999999996</v>
      </c>
      <c r="L1491" t="str">
        <f t="shared" si="47"/>
        <v>Banca Lariana|7|Prestiti</v>
      </c>
    </row>
    <row r="1492" spans="1:12" x14ac:dyDescent="0.25">
      <c r="A1492" t="s">
        <v>28</v>
      </c>
      <c r="B1492">
        <v>7</v>
      </c>
      <c r="C1492" t="s">
        <v>16</v>
      </c>
      <c r="D1492" s="1">
        <v>45504</v>
      </c>
      <c r="E1492">
        <v>1077.7</v>
      </c>
      <c r="F1492">
        <v>53.68</v>
      </c>
      <c r="G1492">
        <v>32.5</v>
      </c>
      <c r="H1492">
        <v>125</v>
      </c>
      <c r="I1492" t="s">
        <v>14</v>
      </c>
      <c r="J1492">
        <v>2024</v>
      </c>
      <c r="K1492">
        <f t="shared" si="46"/>
        <v>21.18</v>
      </c>
      <c r="L1492" t="str">
        <f t="shared" si="47"/>
        <v>Banca Lariana|7|Conti</v>
      </c>
    </row>
    <row r="1493" spans="1:12" x14ac:dyDescent="0.25">
      <c r="A1493" t="s">
        <v>28</v>
      </c>
      <c r="B1493">
        <v>7</v>
      </c>
      <c r="C1493" t="s">
        <v>17</v>
      </c>
      <c r="D1493" s="1">
        <v>45504</v>
      </c>
      <c r="E1493">
        <v>1336.8</v>
      </c>
      <c r="F1493">
        <v>68.69</v>
      </c>
      <c r="G1493">
        <v>42.27</v>
      </c>
      <c r="H1493">
        <v>133</v>
      </c>
      <c r="I1493" t="s">
        <v>14</v>
      </c>
      <c r="J1493">
        <v>2024</v>
      </c>
      <c r="K1493">
        <f t="shared" si="46"/>
        <v>26.419999999999995</v>
      </c>
      <c r="L1493" t="str">
        <f t="shared" si="47"/>
        <v>Banca Lariana|7|Carte</v>
      </c>
    </row>
    <row r="1494" spans="1:12" x14ac:dyDescent="0.25">
      <c r="A1494" t="s">
        <v>28</v>
      </c>
      <c r="B1494">
        <v>7</v>
      </c>
      <c r="C1494" t="s">
        <v>18</v>
      </c>
      <c r="D1494" s="1">
        <v>45504</v>
      </c>
      <c r="E1494">
        <v>1545.6</v>
      </c>
      <c r="F1494">
        <v>82.06</v>
      </c>
      <c r="G1494">
        <v>49.91</v>
      </c>
      <c r="H1494">
        <v>160</v>
      </c>
      <c r="I1494" t="s">
        <v>14</v>
      </c>
      <c r="J1494">
        <v>2024</v>
      </c>
      <c r="K1494">
        <f t="shared" si="46"/>
        <v>32.150000000000006</v>
      </c>
      <c r="L1494" t="str">
        <f t="shared" si="47"/>
        <v>Banca Lariana|7|Leasing</v>
      </c>
    </row>
    <row r="1495" spans="1:12" x14ac:dyDescent="0.25">
      <c r="A1495" t="s">
        <v>28</v>
      </c>
      <c r="B1495">
        <v>7</v>
      </c>
      <c r="C1495" t="s">
        <v>19</v>
      </c>
      <c r="D1495" s="1">
        <v>45504</v>
      </c>
      <c r="E1495">
        <v>1804.8</v>
      </c>
      <c r="F1495">
        <v>99.34</v>
      </c>
      <c r="G1495">
        <v>60.17</v>
      </c>
      <c r="H1495">
        <v>201</v>
      </c>
      <c r="I1495" t="s">
        <v>14</v>
      </c>
      <c r="J1495">
        <v>2024</v>
      </c>
      <c r="K1495">
        <f t="shared" si="46"/>
        <v>39.17</v>
      </c>
      <c r="L1495" t="str">
        <f t="shared" si="47"/>
        <v>Banca Lariana|7|Factoring</v>
      </c>
    </row>
    <row r="1496" spans="1:12" x14ac:dyDescent="0.25">
      <c r="A1496" t="s">
        <v>28</v>
      </c>
      <c r="B1496">
        <v>7</v>
      </c>
      <c r="C1496" t="s">
        <v>20</v>
      </c>
      <c r="D1496" s="1">
        <v>45504</v>
      </c>
      <c r="E1496">
        <v>2052.6</v>
      </c>
      <c r="F1496">
        <v>117.91</v>
      </c>
      <c r="G1496">
        <v>69.849999999999994</v>
      </c>
      <c r="H1496">
        <v>231</v>
      </c>
      <c r="I1496" t="s">
        <v>14</v>
      </c>
      <c r="J1496">
        <v>2024</v>
      </c>
      <c r="K1496">
        <f t="shared" si="46"/>
        <v>48.06</v>
      </c>
      <c r="L1496" t="str">
        <f t="shared" si="47"/>
        <v>Banca Lariana|7|Risparmio</v>
      </c>
    </row>
    <row r="1497" spans="1:12" x14ac:dyDescent="0.25">
      <c r="A1497" t="s">
        <v>28</v>
      </c>
      <c r="B1497">
        <v>7</v>
      </c>
      <c r="C1497" t="s">
        <v>21</v>
      </c>
      <c r="D1497" s="1">
        <v>45504</v>
      </c>
      <c r="E1497">
        <v>2287.6</v>
      </c>
      <c r="F1497">
        <v>135.41999999999999</v>
      </c>
      <c r="G1497">
        <v>80.73</v>
      </c>
      <c r="H1497">
        <v>235</v>
      </c>
      <c r="I1497" t="s">
        <v>14</v>
      </c>
      <c r="J1497">
        <v>2024</v>
      </c>
      <c r="K1497">
        <f t="shared" si="46"/>
        <v>54.689999999999984</v>
      </c>
      <c r="L1497" t="str">
        <f t="shared" si="47"/>
        <v>Banca Lariana|7|Assicurazioni</v>
      </c>
    </row>
    <row r="1498" spans="1:12" x14ac:dyDescent="0.25">
      <c r="A1498" t="s">
        <v>28</v>
      </c>
      <c r="B1498">
        <v>8</v>
      </c>
      <c r="C1498" t="s">
        <v>13</v>
      </c>
      <c r="D1498" s="1">
        <v>45535</v>
      </c>
      <c r="E1498">
        <v>621.6</v>
      </c>
      <c r="F1498">
        <v>28.42</v>
      </c>
      <c r="G1498">
        <v>17.86</v>
      </c>
      <c r="H1498">
        <v>72</v>
      </c>
      <c r="I1498" t="s">
        <v>14</v>
      </c>
      <c r="J1498">
        <v>2024</v>
      </c>
      <c r="K1498">
        <f t="shared" si="46"/>
        <v>10.560000000000002</v>
      </c>
      <c r="L1498" t="str">
        <f t="shared" si="47"/>
        <v>Banca Lariana|8|Mutui</v>
      </c>
    </row>
    <row r="1499" spans="1:12" x14ac:dyDescent="0.25">
      <c r="A1499" t="s">
        <v>28</v>
      </c>
      <c r="B1499">
        <v>8</v>
      </c>
      <c r="C1499" t="s">
        <v>15</v>
      </c>
      <c r="D1499" s="1">
        <v>45535</v>
      </c>
      <c r="E1499">
        <v>847.6</v>
      </c>
      <c r="F1499">
        <v>40.21</v>
      </c>
      <c r="G1499">
        <v>25.02</v>
      </c>
      <c r="H1499">
        <v>94</v>
      </c>
      <c r="I1499" t="s">
        <v>14</v>
      </c>
      <c r="J1499">
        <v>2024</v>
      </c>
      <c r="K1499">
        <f t="shared" si="46"/>
        <v>15.190000000000001</v>
      </c>
      <c r="L1499" t="str">
        <f t="shared" si="47"/>
        <v>Banca Lariana|8|Prestiti</v>
      </c>
    </row>
    <row r="1500" spans="1:12" x14ac:dyDescent="0.25">
      <c r="A1500" t="s">
        <v>28</v>
      </c>
      <c r="B1500">
        <v>8</v>
      </c>
      <c r="C1500" t="s">
        <v>16</v>
      </c>
      <c r="D1500" s="1">
        <v>45535</v>
      </c>
      <c r="E1500">
        <v>1082.2</v>
      </c>
      <c r="F1500">
        <v>53.24</v>
      </c>
      <c r="G1500">
        <v>33.11</v>
      </c>
      <c r="H1500">
        <v>129</v>
      </c>
      <c r="I1500" t="s">
        <v>14</v>
      </c>
      <c r="J1500">
        <v>2024</v>
      </c>
      <c r="K1500">
        <f t="shared" si="46"/>
        <v>20.130000000000003</v>
      </c>
      <c r="L1500" t="str">
        <f t="shared" si="47"/>
        <v>Banca Lariana|8|Conti</v>
      </c>
    </row>
    <row r="1501" spans="1:12" x14ac:dyDescent="0.25">
      <c r="A1501" t="s">
        <v>28</v>
      </c>
      <c r="B1501">
        <v>8</v>
      </c>
      <c r="C1501" t="s">
        <v>17</v>
      </c>
      <c r="D1501" s="1">
        <v>45535</v>
      </c>
      <c r="E1501">
        <v>1361.2</v>
      </c>
      <c r="F1501">
        <v>69.53</v>
      </c>
      <c r="G1501">
        <v>42.31</v>
      </c>
      <c r="H1501">
        <v>147</v>
      </c>
      <c r="I1501" t="s">
        <v>14</v>
      </c>
      <c r="J1501">
        <v>2024</v>
      </c>
      <c r="K1501">
        <f t="shared" si="46"/>
        <v>27.22</v>
      </c>
      <c r="L1501" t="str">
        <f t="shared" si="47"/>
        <v>Banca Lariana|8|Carte</v>
      </c>
    </row>
    <row r="1502" spans="1:12" x14ac:dyDescent="0.25">
      <c r="A1502" t="s">
        <v>28</v>
      </c>
      <c r="B1502">
        <v>8</v>
      </c>
      <c r="C1502" t="s">
        <v>18</v>
      </c>
      <c r="D1502" s="1">
        <v>45535</v>
      </c>
      <c r="E1502">
        <v>1564.9</v>
      </c>
      <c r="F1502">
        <v>83.2</v>
      </c>
      <c r="G1502">
        <v>50.12</v>
      </c>
      <c r="H1502">
        <v>152</v>
      </c>
      <c r="I1502" t="s">
        <v>14</v>
      </c>
      <c r="J1502">
        <v>2024</v>
      </c>
      <c r="K1502">
        <f t="shared" si="46"/>
        <v>33.080000000000005</v>
      </c>
      <c r="L1502" t="str">
        <f t="shared" si="47"/>
        <v>Banca Lariana|8|Leasing</v>
      </c>
    </row>
    <row r="1503" spans="1:12" x14ac:dyDescent="0.25">
      <c r="A1503" t="s">
        <v>28</v>
      </c>
      <c r="B1503">
        <v>8</v>
      </c>
      <c r="C1503" t="s">
        <v>19</v>
      </c>
      <c r="D1503" s="1">
        <v>45535</v>
      </c>
      <c r="E1503">
        <v>1798.1</v>
      </c>
      <c r="F1503">
        <v>99.7</v>
      </c>
      <c r="G1503">
        <v>59.55</v>
      </c>
      <c r="H1503">
        <v>202</v>
      </c>
      <c r="I1503" t="s">
        <v>14</v>
      </c>
      <c r="J1503">
        <v>2024</v>
      </c>
      <c r="K1503">
        <f t="shared" si="46"/>
        <v>40.150000000000006</v>
      </c>
      <c r="L1503" t="str">
        <f t="shared" si="47"/>
        <v>Banca Lariana|8|Factoring</v>
      </c>
    </row>
    <row r="1504" spans="1:12" x14ac:dyDescent="0.25">
      <c r="A1504" t="s">
        <v>28</v>
      </c>
      <c r="B1504">
        <v>8</v>
      </c>
      <c r="C1504" t="s">
        <v>20</v>
      </c>
      <c r="D1504" s="1">
        <v>45535</v>
      </c>
      <c r="E1504">
        <v>2073.4</v>
      </c>
      <c r="F1504">
        <v>119.03</v>
      </c>
      <c r="G1504">
        <v>70.81</v>
      </c>
      <c r="H1504">
        <v>227</v>
      </c>
      <c r="I1504" t="s">
        <v>14</v>
      </c>
      <c r="J1504">
        <v>2024</v>
      </c>
      <c r="K1504">
        <f t="shared" si="46"/>
        <v>48.22</v>
      </c>
      <c r="L1504" t="str">
        <f t="shared" si="47"/>
        <v>Banca Lariana|8|Risparmio</v>
      </c>
    </row>
    <row r="1505" spans="1:12" x14ac:dyDescent="0.25">
      <c r="A1505" t="s">
        <v>28</v>
      </c>
      <c r="B1505">
        <v>8</v>
      </c>
      <c r="C1505" t="s">
        <v>21</v>
      </c>
      <c r="D1505" s="1">
        <v>45535</v>
      </c>
      <c r="E1505">
        <v>2294.1</v>
      </c>
      <c r="F1505">
        <v>136.04</v>
      </c>
      <c r="G1505">
        <v>80.400000000000006</v>
      </c>
      <c r="H1505">
        <v>220</v>
      </c>
      <c r="I1505" t="s">
        <v>14</v>
      </c>
      <c r="J1505">
        <v>2024</v>
      </c>
      <c r="K1505">
        <f t="shared" si="46"/>
        <v>55.639999999999986</v>
      </c>
      <c r="L1505" t="str">
        <f t="shared" si="47"/>
        <v>Banca Lariana|8|Assicurazioni</v>
      </c>
    </row>
    <row r="1506" spans="1:12" x14ac:dyDescent="0.25">
      <c r="A1506" t="s">
        <v>28</v>
      </c>
      <c r="B1506">
        <v>9</v>
      </c>
      <c r="C1506" t="s">
        <v>13</v>
      </c>
      <c r="D1506" s="1">
        <v>45565</v>
      </c>
      <c r="E1506">
        <v>660.8</v>
      </c>
      <c r="F1506">
        <v>30.38</v>
      </c>
      <c r="G1506">
        <v>18.8</v>
      </c>
      <c r="H1506">
        <v>85</v>
      </c>
      <c r="I1506" t="s">
        <v>14</v>
      </c>
      <c r="J1506">
        <v>2024</v>
      </c>
      <c r="K1506">
        <f t="shared" si="46"/>
        <v>11.579999999999998</v>
      </c>
      <c r="L1506" t="str">
        <f t="shared" si="47"/>
        <v>Banca Lariana|9|Mutui</v>
      </c>
    </row>
    <row r="1507" spans="1:12" x14ac:dyDescent="0.25">
      <c r="A1507" t="s">
        <v>28</v>
      </c>
      <c r="B1507">
        <v>9</v>
      </c>
      <c r="C1507" t="s">
        <v>15</v>
      </c>
      <c r="D1507" s="1">
        <v>45565</v>
      </c>
      <c r="E1507">
        <v>877.3</v>
      </c>
      <c r="F1507">
        <v>41.51</v>
      </c>
      <c r="G1507">
        <v>25.87</v>
      </c>
      <c r="H1507">
        <v>88</v>
      </c>
      <c r="I1507" t="s">
        <v>14</v>
      </c>
      <c r="J1507">
        <v>2024</v>
      </c>
      <c r="K1507">
        <f t="shared" si="46"/>
        <v>15.639999999999997</v>
      </c>
      <c r="L1507" t="str">
        <f t="shared" si="47"/>
        <v>Banca Lariana|9|Prestiti</v>
      </c>
    </row>
    <row r="1508" spans="1:12" x14ac:dyDescent="0.25">
      <c r="A1508" t="s">
        <v>28</v>
      </c>
      <c r="B1508">
        <v>9</v>
      </c>
      <c r="C1508" t="s">
        <v>16</v>
      </c>
      <c r="D1508" s="1">
        <v>45565</v>
      </c>
      <c r="E1508">
        <v>1117</v>
      </c>
      <c r="F1508">
        <v>55.07</v>
      </c>
      <c r="G1508">
        <v>33.630000000000003</v>
      </c>
      <c r="H1508">
        <v>114</v>
      </c>
      <c r="I1508" t="s">
        <v>14</v>
      </c>
      <c r="J1508">
        <v>2024</v>
      </c>
      <c r="K1508">
        <f t="shared" si="46"/>
        <v>21.439999999999998</v>
      </c>
      <c r="L1508" t="str">
        <f t="shared" si="47"/>
        <v>Banca Lariana|9|Conti</v>
      </c>
    </row>
    <row r="1509" spans="1:12" x14ac:dyDescent="0.25">
      <c r="A1509" t="s">
        <v>28</v>
      </c>
      <c r="B1509">
        <v>9</v>
      </c>
      <c r="C1509" t="s">
        <v>17</v>
      </c>
      <c r="D1509" s="1">
        <v>45565</v>
      </c>
      <c r="E1509">
        <v>1350.4</v>
      </c>
      <c r="F1509">
        <v>69.27</v>
      </c>
      <c r="G1509">
        <v>42.23</v>
      </c>
      <c r="H1509">
        <v>131</v>
      </c>
      <c r="I1509" t="s">
        <v>14</v>
      </c>
      <c r="J1509">
        <v>2024</v>
      </c>
      <c r="K1509">
        <f t="shared" si="46"/>
        <v>27.04</v>
      </c>
      <c r="L1509" t="str">
        <f t="shared" si="47"/>
        <v>Banca Lariana|9|Carte</v>
      </c>
    </row>
    <row r="1510" spans="1:12" x14ac:dyDescent="0.25">
      <c r="A1510" t="s">
        <v>28</v>
      </c>
      <c r="B1510">
        <v>9</v>
      </c>
      <c r="C1510" t="s">
        <v>18</v>
      </c>
      <c r="D1510" s="1">
        <v>45565</v>
      </c>
      <c r="E1510">
        <v>1565.7</v>
      </c>
      <c r="F1510">
        <v>83.14</v>
      </c>
      <c r="G1510">
        <v>50.74</v>
      </c>
      <c r="H1510">
        <v>168</v>
      </c>
      <c r="I1510" t="s">
        <v>14</v>
      </c>
      <c r="J1510">
        <v>2024</v>
      </c>
      <c r="K1510">
        <f t="shared" si="46"/>
        <v>32.4</v>
      </c>
      <c r="L1510" t="str">
        <f t="shared" si="47"/>
        <v>Banca Lariana|9|Leasing</v>
      </c>
    </row>
    <row r="1511" spans="1:12" x14ac:dyDescent="0.25">
      <c r="A1511" t="s">
        <v>28</v>
      </c>
      <c r="B1511">
        <v>9</v>
      </c>
      <c r="C1511" t="s">
        <v>19</v>
      </c>
      <c r="D1511" s="1">
        <v>45565</v>
      </c>
      <c r="E1511">
        <v>1843.1</v>
      </c>
      <c r="F1511">
        <v>102.26</v>
      </c>
      <c r="G1511">
        <v>61.6</v>
      </c>
      <c r="H1511">
        <v>174</v>
      </c>
      <c r="I1511" t="s">
        <v>14</v>
      </c>
      <c r="J1511">
        <v>2024</v>
      </c>
      <c r="K1511">
        <f t="shared" si="46"/>
        <v>40.660000000000004</v>
      </c>
      <c r="L1511" t="str">
        <f t="shared" si="47"/>
        <v>Banca Lariana|9|Factoring</v>
      </c>
    </row>
    <row r="1512" spans="1:12" x14ac:dyDescent="0.25">
      <c r="A1512" t="s">
        <v>28</v>
      </c>
      <c r="B1512">
        <v>9</v>
      </c>
      <c r="C1512" t="s">
        <v>20</v>
      </c>
      <c r="D1512" s="1">
        <v>45565</v>
      </c>
      <c r="E1512">
        <v>2085</v>
      </c>
      <c r="F1512">
        <v>119.84</v>
      </c>
      <c r="G1512">
        <v>71.87</v>
      </c>
      <c r="H1512">
        <v>218</v>
      </c>
      <c r="I1512" t="s">
        <v>14</v>
      </c>
      <c r="J1512">
        <v>2024</v>
      </c>
      <c r="K1512">
        <f t="shared" si="46"/>
        <v>47.97</v>
      </c>
      <c r="L1512" t="str">
        <f t="shared" si="47"/>
        <v>Banca Lariana|9|Risparmio</v>
      </c>
    </row>
    <row r="1513" spans="1:12" x14ac:dyDescent="0.25">
      <c r="A1513" t="s">
        <v>28</v>
      </c>
      <c r="B1513">
        <v>9</v>
      </c>
      <c r="C1513" t="s">
        <v>21</v>
      </c>
      <c r="D1513" s="1">
        <v>45565</v>
      </c>
      <c r="E1513">
        <v>2290.5</v>
      </c>
      <c r="F1513">
        <v>136.1</v>
      </c>
      <c r="G1513">
        <v>80.56</v>
      </c>
      <c r="H1513">
        <v>237</v>
      </c>
      <c r="I1513" t="s">
        <v>14</v>
      </c>
      <c r="J1513">
        <v>2024</v>
      </c>
      <c r="K1513">
        <f t="shared" si="46"/>
        <v>55.539999999999992</v>
      </c>
      <c r="L1513" t="str">
        <f t="shared" si="47"/>
        <v>Banca Lariana|9|Assicurazioni</v>
      </c>
    </row>
    <row r="1514" spans="1:12" x14ac:dyDescent="0.25">
      <c r="A1514" t="s">
        <v>28</v>
      </c>
      <c r="B1514">
        <v>10</v>
      </c>
      <c r="C1514" t="s">
        <v>13</v>
      </c>
      <c r="D1514" s="1">
        <v>45596</v>
      </c>
      <c r="E1514">
        <v>636.29999999999995</v>
      </c>
      <c r="F1514">
        <v>29.01</v>
      </c>
      <c r="G1514">
        <v>17.88</v>
      </c>
      <c r="H1514">
        <v>69</v>
      </c>
      <c r="I1514" t="s">
        <v>14</v>
      </c>
      <c r="J1514">
        <v>2024</v>
      </c>
      <c r="K1514">
        <f t="shared" si="46"/>
        <v>11.130000000000003</v>
      </c>
      <c r="L1514" t="str">
        <f t="shared" si="47"/>
        <v>Banca Lariana|10|Mutui</v>
      </c>
    </row>
    <row r="1515" spans="1:12" x14ac:dyDescent="0.25">
      <c r="A1515" t="s">
        <v>28</v>
      </c>
      <c r="B1515">
        <v>10</v>
      </c>
      <c r="C1515" t="s">
        <v>15</v>
      </c>
      <c r="D1515" s="1">
        <v>45596</v>
      </c>
      <c r="E1515">
        <v>863.1</v>
      </c>
      <c r="F1515">
        <v>41.29</v>
      </c>
      <c r="G1515">
        <v>25.08</v>
      </c>
      <c r="H1515">
        <v>97</v>
      </c>
      <c r="I1515" t="s">
        <v>14</v>
      </c>
      <c r="J1515">
        <v>2024</v>
      </c>
      <c r="K1515">
        <f t="shared" si="46"/>
        <v>16.21</v>
      </c>
      <c r="L1515" t="str">
        <f t="shared" si="47"/>
        <v>Banca Lariana|10|Prestiti</v>
      </c>
    </row>
    <row r="1516" spans="1:12" x14ac:dyDescent="0.25">
      <c r="A1516" t="s">
        <v>28</v>
      </c>
      <c r="B1516">
        <v>10</v>
      </c>
      <c r="C1516" t="s">
        <v>16</v>
      </c>
      <c r="D1516" s="1">
        <v>45596</v>
      </c>
      <c r="E1516">
        <v>1108.3</v>
      </c>
      <c r="F1516">
        <v>54.62</v>
      </c>
      <c r="G1516">
        <v>34.22</v>
      </c>
      <c r="H1516">
        <v>107</v>
      </c>
      <c r="I1516" t="s">
        <v>14</v>
      </c>
      <c r="J1516">
        <v>2024</v>
      </c>
      <c r="K1516">
        <f t="shared" si="46"/>
        <v>20.399999999999999</v>
      </c>
      <c r="L1516" t="str">
        <f t="shared" si="47"/>
        <v>Banca Lariana|10|Conti</v>
      </c>
    </row>
    <row r="1517" spans="1:12" x14ac:dyDescent="0.25">
      <c r="A1517" t="s">
        <v>28</v>
      </c>
      <c r="B1517">
        <v>10</v>
      </c>
      <c r="C1517" t="s">
        <v>17</v>
      </c>
      <c r="D1517" s="1">
        <v>45596</v>
      </c>
      <c r="E1517">
        <v>1340.1</v>
      </c>
      <c r="F1517">
        <v>68.349999999999994</v>
      </c>
      <c r="G1517">
        <v>42.36</v>
      </c>
      <c r="H1517">
        <v>163</v>
      </c>
      <c r="I1517" t="s">
        <v>14</v>
      </c>
      <c r="J1517">
        <v>2024</v>
      </c>
      <c r="K1517">
        <f t="shared" si="46"/>
        <v>25.989999999999995</v>
      </c>
      <c r="L1517" t="str">
        <f t="shared" si="47"/>
        <v>Banca Lariana|10|Carte</v>
      </c>
    </row>
    <row r="1518" spans="1:12" x14ac:dyDescent="0.25">
      <c r="A1518" t="s">
        <v>28</v>
      </c>
      <c r="B1518">
        <v>10</v>
      </c>
      <c r="C1518" t="s">
        <v>18</v>
      </c>
      <c r="D1518" s="1">
        <v>45596</v>
      </c>
      <c r="E1518">
        <v>1583.7</v>
      </c>
      <c r="F1518">
        <v>84.43</v>
      </c>
      <c r="G1518">
        <v>51.03</v>
      </c>
      <c r="H1518">
        <v>164</v>
      </c>
      <c r="I1518" t="s">
        <v>14</v>
      </c>
      <c r="J1518">
        <v>2024</v>
      </c>
      <c r="K1518">
        <f t="shared" si="46"/>
        <v>33.400000000000006</v>
      </c>
      <c r="L1518" t="str">
        <f t="shared" si="47"/>
        <v>Banca Lariana|10|Leasing</v>
      </c>
    </row>
    <row r="1519" spans="1:12" x14ac:dyDescent="0.25">
      <c r="A1519" t="s">
        <v>28</v>
      </c>
      <c r="B1519">
        <v>10</v>
      </c>
      <c r="C1519" t="s">
        <v>19</v>
      </c>
      <c r="D1519" s="1">
        <v>45596</v>
      </c>
      <c r="E1519">
        <v>1817</v>
      </c>
      <c r="F1519">
        <v>100.3</v>
      </c>
      <c r="G1519">
        <v>60.45</v>
      </c>
      <c r="H1519">
        <v>173</v>
      </c>
      <c r="I1519" t="s">
        <v>14</v>
      </c>
      <c r="J1519">
        <v>2024</v>
      </c>
      <c r="K1519">
        <f t="shared" si="46"/>
        <v>39.849999999999994</v>
      </c>
      <c r="L1519" t="str">
        <f t="shared" si="47"/>
        <v>Banca Lariana|10|Factoring</v>
      </c>
    </row>
    <row r="1520" spans="1:12" x14ac:dyDescent="0.25">
      <c r="A1520" t="s">
        <v>28</v>
      </c>
      <c r="B1520">
        <v>10</v>
      </c>
      <c r="C1520" t="s">
        <v>20</v>
      </c>
      <c r="D1520" s="1">
        <v>45596</v>
      </c>
      <c r="E1520">
        <v>2069.3000000000002</v>
      </c>
      <c r="F1520">
        <v>117.96</v>
      </c>
      <c r="G1520">
        <v>71.16</v>
      </c>
      <c r="H1520">
        <v>221</v>
      </c>
      <c r="I1520" t="s">
        <v>14</v>
      </c>
      <c r="J1520">
        <v>2024</v>
      </c>
      <c r="K1520">
        <f t="shared" si="46"/>
        <v>46.8</v>
      </c>
      <c r="L1520" t="str">
        <f t="shared" si="47"/>
        <v>Banca Lariana|10|Risparmio</v>
      </c>
    </row>
    <row r="1521" spans="1:12" x14ac:dyDescent="0.25">
      <c r="A1521" t="s">
        <v>28</v>
      </c>
      <c r="B1521">
        <v>10</v>
      </c>
      <c r="C1521" t="s">
        <v>21</v>
      </c>
      <c r="D1521" s="1">
        <v>45596</v>
      </c>
      <c r="E1521">
        <v>2309.9</v>
      </c>
      <c r="F1521">
        <v>136.38</v>
      </c>
      <c r="G1521">
        <v>81.239999999999995</v>
      </c>
      <c r="H1521">
        <v>226</v>
      </c>
      <c r="I1521" t="s">
        <v>14</v>
      </c>
      <c r="J1521">
        <v>2024</v>
      </c>
      <c r="K1521">
        <f t="shared" si="46"/>
        <v>55.14</v>
      </c>
      <c r="L1521" t="str">
        <f t="shared" si="47"/>
        <v>Banca Lariana|10|Assicurazioni</v>
      </c>
    </row>
    <row r="1522" spans="1:12" x14ac:dyDescent="0.25">
      <c r="A1522" t="s">
        <v>28</v>
      </c>
      <c r="B1522">
        <v>11</v>
      </c>
      <c r="C1522" t="s">
        <v>13</v>
      </c>
      <c r="D1522" s="1">
        <v>45626</v>
      </c>
      <c r="E1522">
        <v>655.9</v>
      </c>
      <c r="F1522">
        <v>30.35</v>
      </c>
      <c r="G1522">
        <v>18.75</v>
      </c>
      <c r="H1522">
        <v>92</v>
      </c>
      <c r="I1522" t="s">
        <v>14</v>
      </c>
      <c r="J1522">
        <v>2024</v>
      </c>
      <c r="K1522">
        <f t="shared" si="46"/>
        <v>11.600000000000001</v>
      </c>
      <c r="L1522" t="str">
        <f t="shared" si="47"/>
        <v>Banca Lariana|11|Mutui</v>
      </c>
    </row>
    <row r="1523" spans="1:12" x14ac:dyDescent="0.25">
      <c r="A1523" t="s">
        <v>28</v>
      </c>
      <c r="B1523">
        <v>11</v>
      </c>
      <c r="C1523" t="s">
        <v>15</v>
      </c>
      <c r="D1523" s="1">
        <v>45626</v>
      </c>
      <c r="E1523">
        <v>864.8</v>
      </c>
      <c r="F1523">
        <v>40.67</v>
      </c>
      <c r="G1523">
        <v>25.97</v>
      </c>
      <c r="H1523">
        <v>102</v>
      </c>
      <c r="I1523" t="s">
        <v>14</v>
      </c>
      <c r="J1523">
        <v>2024</v>
      </c>
      <c r="K1523">
        <f t="shared" si="46"/>
        <v>14.700000000000003</v>
      </c>
      <c r="L1523" t="str">
        <f t="shared" si="47"/>
        <v>Banca Lariana|11|Prestiti</v>
      </c>
    </row>
    <row r="1524" spans="1:12" x14ac:dyDescent="0.25">
      <c r="A1524" t="s">
        <v>28</v>
      </c>
      <c r="B1524">
        <v>11</v>
      </c>
      <c r="C1524" t="s">
        <v>16</v>
      </c>
      <c r="D1524" s="1">
        <v>45626</v>
      </c>
      <c r="E1524">
        <v>1120.2</v>
      </c>
      <c r="F1524">
        <v>55.03</v>
      </c>
      <c r="G1524">
        <v>34.049999999999997</v>
      </c>
      <c r="H1524">
        <v>120</v>
      </c>
      <c r="I1524" t="s">
        <v>14</v>
      </c>
      <c r="J1524">
        <v>2024</v>
      </c>
      <c r="K1524">
        <f t="shared" si="46"/>
        <v>20.980000000000004</v>
      </c>
      <c r="L1524" t="str">
        <f t="shared" si="47"/>
        <v>Banca Lariana|11|Conti</v>
      </c>
    </row>
    <row r="1525" spans="1:12" x14ac:dyDescent="0.25">
      <c r="A1525" t="s">
        <v>28</v>
      </c>
      <c r="B1525">
        <v>11</v>
      </c>
      <c r="C1525" t="s">
        <v>17</v>
      </c>
      <c r="D1525" s="1">
        <v>45626</v>
      </c>
      <c r="E1525">
        <v>1374.7</v>
      </c>
      <c r="F1525">
        <v>70.13</v>
      </c>
      <c r="G1525">
        <v>43.29</v>
      </c>
      <c r="H1525">
        <v>134</v>
      </c>
      <c r="I1525" t="s">
        <v>14</v>
      </c>
      <c r="J1525">
        <v>2024</v>
      </c>
      <c r="K1525">
        <f t="shared" si="46"/>
        <v>26.839999999999996</v>
      </c>
      <c r="L1525" t="str">
        <f t="shared" si="47"/>
        <v>Banca Lariana|11|Carte</v>
      </c>
    </row>
    <row r="1526" spans="1:12" x14ac:dyDescent="0.25">
      <c r="A1526" t="s">
        <v>28</v>
      </c>
      <c r="B1526">
        <v>11</v>
      </c>
      <c r="C1526" t="s">
        <v>18</v>
      </c>
      <c r="D1526" s="1">
        <v>45626</v>
      </c>
      <c r="E1526">
        <v>1619.4</v>
      </c>
      <c r="F1526">
        <v>86.06</v>
      </c>
      <c r="G1526">
        <v>52.81</v>
      </c>
      <c r="H1526">
        <v>154</v>
      </c>
      <c r="I1526" t="s">
        <v>14</v>
      </c>
      <c r="J1526">
        <v>2024</v>
      </c>
      <c r="K1526">
        <f t="shared" si="46"/>
        <v>33.25</v>
      </c>
      <c r="L1526" t="str">
        <f t="shared" si="47"/>
        <v>Banca Lariana|11|Leasing</v>
      </c>
    </row>
    <row r="1527" spans="1:12" x14ac:dyDescent="0.25">
      <c r="A1527" t="s">
        <v>28</v>
      </c>
      <c r="B1527">
        <v>11</v>
      </c>
      <c r="C1527" t="s">
        <v>19</v>
      </c>
      <c r="D1527" s="1">
        <v>45626</v>
      </c>
      <c r="E1527">
        <v>1882.7</v>
      </c>
      <c r="F1527">
        <v>104.05</v>
      </c>
      <c r="G1527">
        <v>62.38</v>
      </c>
      <c r="H1527">
        <v>204</v>
      </c>
      <c r="I1527" t="s">
        <v>14</v>
      </c>
      <c r="J1527">
        <v>2024</v>
      </c>
      <c r="K1527">
        <f t="shared" si="46"/>
        <v>41.669999999999995</v>
      </c>
      <c r="L1527" t="str">
        <f t="shared" si="47"/>
        <v>Banca Lariana|11|Factoring</v>
      </c>
    </row>
    <row r="1528" spans="1:12" x14ac:dyDescent="0.25">
      <c r="A1528" t="s">
        <v>28</v>
      </c>
      <c r="B1528">
        <v>11</v>
      </c>
      <c r="C1528" t="s">
        <v>20</v>
      </c>
      <c r="D1528" s="1">
        <v>45626</v>
      </c>
      <c r="E1528">
        <v>2111.1999999999998</v>
      </c>
      <c r="F1528">
        <v>120.95</v>
      </c>
      <c r="G1528">
        <v>72.3</v>
      </c>
      <c r="H1528">
        <v>204</v>
      </c>
      <c r="I1528" t="s">
        <v>14</v>
      </c>
      <c r="J1528">
        <v>2024</v>
      </c>
      <c r="K1528">
        <f t="shared" si="46"/>
        <v>48.650000000000006</v>
      </c>
      <c r="L1528" t="str">
        <f t="shared" si="47"/>
        <v>Banca Lariana|11|Risparmio</v>
      </c>
    </row>
    <row r="1529" spans="1:12" x14ac:dyDescent="0.25">
      <c r="A1529" t="s">
        <v>28</v>
      </c>
      <c r="B1529">
        <v>11</v>
      </c>
      <c r="C1529" t="s">
        <v>21</v>
      </c>
      <c r="D1529" s="1">
        <v>45626</v>
      </c>
      <c r="E1529">
        <v>2343.8000000000002</v>
      </c>
      <c r="F1529">
        <v>138.38999999999999</v>
      </c>
      <c r="G1529">
        <v>82.56</v>
      </c>
      <c r="H1529">
        <v>226</v>
      </c>
      <c r="I1529" t="s">
        <v>14</v>
      </c>
      <c r="J1529">
        <v>2024</v>
      </c>
      <c r="K1529">
        <f t="shared" si="46"/>
        <v>55.829999999999984</v>
      </c>
      <c r="L1529" t="str">
        <f t="shared" si="47"/>
        <v>Banca Lariana|11|Assicurazioni</v>
      </c>
    </row>
    <row r="1530" spans="1:12" x14ac:dyDescent="0.25">
      <c r="A1530" t="s">
        <v>28</v>
      </c>
      <c r="B1530">
        <v>12</v>
      </c>
      <c r="C1530" t="s">
        <v>13</v>
      </c>
      <c r="D1530" s="1">
        <v>45657</v>
      </c>
      <c r="E1530">
        <v>672.6</v>
      </c>
      <c r="F1530">
        <v>30.74</v>
      </c>
      <c r="G1530">
        <v>19.8</v>
      </c>
      <c r="H1530">
        <v>88</v>
      </c>
      <c r="I1530" t="s">
        <v>14</v>
      </c>
      <c r="J1530">
        <v>2024</v>
      </c>
      <c r="K1530">
        <f t="shared" si="46"/>
        <v>10.939999999999998</v>
      </c>
      <c r="L1530" t="str">
        <f t="shared" si="47"/>
        <v>Banca Lariana|12|Mutui</v>
      </c>
    </row>
    <row r="1531" spans="1:12" x14ac:dyDescent="0.25">
      <c r="A1531" t="s">
        <v>28</v>
      </c>
      <c r="B1531">
        <v>12</v>
      </c>
      <c r="C1531" t="s">
        <v>15</v>
      </c>
      <c r="D1531" s="1">
        <v>45657</v>
      </c>
      <c r="E1531">
        <v>866.4</v>
      </c>
      <c r="F1531">
        <v>41.29</v>
      </c>
      <c r="G1531">
        <v>25.52</v>
      </c>
      <c r="H1531">
        <v>89</v>
      </c>
      <c r="I1531" t="s">
        <v>14</v>
      </c>
      <c r="J1531">
        <v>2024</v>
      </c>
      <c r="K1531">
        <f t="shared" si="46"/>
        <v>15.77</v>
      </c>
      <c r="L1531" t="str">
        <f t="shared" si="47"/>
        <v>Banca Lariana|12|Prestiti</v>
      </c>
    </row>
    <row r="1532" spans="1:12" x14ac:dyDescent="0.25">
      <c r="A1532" t="s">
        <v>28</v>
      </c>
      <c r="B1532">
        <v>12</v>
      </c>
      <c r="C1532" t="s">
        <v>16</v>
      </c>
      <c r="D1532" s="1">
        <v>45657</v>
      </c>
      <c r="E1532">
        <v>1163.7</v>
      </c>
      <c r="F1532">
        <v>57.44</v>
      </c>
      <c r="G1532">
        <v>35.090000000000003</v>
      </c>
      <c r="H1532">
        <v>133</v>
      </c>
      <c r="I1532" t="s">
        <v>14</v>
      </c>
      <c r="J1532">
        <v>2024</v>
      </c>
      <c r="K1532">
        <f t="shared" si="46"/>
        <v>22.349999999999994</v>
      </c>
      <c r="L1532" t="str">
        <f t="shared" si="47"/>
        <v>Banca Lariana|12|Conti</v>
      </c>
    </row>
    <row r="1533" spans="1:12" x14ac:dyDescent="0.25">
      <c r="A1533" t="s">
        <v>28</v>
      </c>
      <c r="B1533">
        <v>12</v>
      </c>
      <c r="C1533" t="s">
        <v>17</v>
      </c>
      <c r="D1533" s="1">
        <v>45657</v>
      </c>
      <c r="E1533">
        <v>1411.8</v>
      </c>
      <c r="F1533">
        <v>72.849999999999994</v>
      </c>
      <c r="G1533">
        <v>44.01</v>
      </c>
      <c r="H1533">
        <v>162</v>
      </c>
      <c r="I1533" t="s">
        <v>14</v>
      </c>
      <c r="J1533">
        <v>2024</v>
      </c>
      <c r="K1533">
        <f t="shared" si="46"/>
        <v>28.839999999999996</v>
      </c>
      <c r="L1533" t="str">
        <f t="shared" si="47"/>
        <v>Banca Lariana|12|Carte</v>
      </c>
    </row>
    <row r="1534" spans="1:12" x14ac:dyDescent="0.25">
      <c r="A1534" t="s">
        <v>28</v>
      </c>
      <c r="B1534">
        <v>12</v>
      </c>
      <c r="C1534" t="s">
        <v>18</v>
      </c>
      <c r="D1534" s="1">
        <v>45657</v>
      </c>
      <c r="E1534">
        <v>1626.2</v>
      </c>
      <c r="F1534">
        <v>86.96</v>
      </c>
      <c r="G1534">
        <v>52.08</v>
      </c>
      <c r="H1534">
        <v>182</v>
      </c>
      <c r="I1534" t="s">
        <v>14</v>
      </c>
      <c r="J1534">
        <v>2024</v>
      </c>
      <c r="K1534">
        <f t="shared" si="46"/>
        <v>34.879999999999995</v>
      </c>
      <c r="L1534" t="str">
        <f t="shared" si="47"/>
        <v>Banca Lariana|12|Leasing</v>
      </c>
    </row>
    <row r="1535" spans="1:12" x14ac:dyDescent="0.25">
      <c r="A1535" t="s">
        <v>28</v>
      </c>
      <c r="B1535">
        <v>12</v>
      </c>
      <c r="C1535" t="s">
        <v>19</v>
      </c>
      <c r="D1535" s="1">
        <v>45657</v>
      </c>
      <c r="E1535">
        <v>1873.3</v>
      </c>
      <c r="F1535">
        <v>103.66</v>
      </c>
      <c r="G1535">
        <v>61.97</v>
      </c>
      <c r="H1535">
        <v>206</v>
      </c>
      <c r="I1535" t="s">
        <v>14</v>
      </c>
      <c r="J1535">
        <v>2024</v>
      </c>
      <c r="K1535">
        <f t="shared" si="46"/>
        <v>41.69</v>
      </c>
      <c r="L1535" t="str">
        <f t="shared" si="47"/>
        <v>Banca Lariana|12|Factoring</v>
      </c>
    </row>
    <row r="1536" spans="1:12" x14ac:dyDescent="0.25">
      <c r="A1536" t="s">
        <v>28</v>
      </c>
      <c r="B1536">
        <v>12</v>
      </c>
      <c r="C1536" t="s">
        <v>20</v>
      </c>
      <c r="D1536" s="1">
        <v>45657</v>
      </c>
      <c r="E1536">
        <v>2114.1</v>
      </c>
      <c r="F1536">
        <v>121</v>
      </c>
      <c r="G1536">
        <v>72.27</v>
      </c>
      <c r="H1536">
        <v>206</v>
      </c>
      <c r="I1536" t="s">
        <v>14</v>
      </c>
      <c r="J1536">
        <v>2024</v>
      </c>
      <c r="K1536">
        <f t="shared" si="46"/>
        <v>48.730000000000004</v>
      </c>
      <c r="L1536" t="str">
        <f t="shared" si="47"/>
        <v>Banca Lariana|12|Risparmio</v>
      </c>
    </row>
    <row r="1537" spans="1:12" x14ac:dyDescent="0.25">
      <c r="A1537" t="s">
        <v>28</v>
      </c>
      <c r="B1537">
        <v>12</v>
      </c>
      <c r="C1537" t="s">
        <v>21</v>
      </c>
      <c r="D1537" s="1">
        <v>45657</v>
      </c>
      <c r="E1537">
        <v>2386.1999999999998</v>
      </c>
      <c r="F1537">
        <v>141.05000000000001</v>
      </c>
      <c r="G1537">
        <v>83.77</v>
      </c>
      <c r="H1537">
        <v>219</v>
      </c>
      <c r="I1537" t="s">
        <v>14</v>
      </c>
      <c r="J1537">
        <v>2024</v>
      </c>
      <c r="K1537">
        <f t="shared" si="46"/>
        <v>57.280000000000015</v>
      </c>
      <c r="L1537" t="str">
        <f t="shared" si="47"/>
        <v>Banca Lariana|12|Assicurazioni</v>
      </c>
    </row>
    <row r="1538" spans="1:12" x14ac:dyDescent="0.25">
      <c r="A1538" t="s">
        <v>28</v>
      </c>
      <c r="B1538">
        <v>13</v>
      </c>
      <c r="C1538" t="s">
        <v>13</v>
      </c>
      <c r="D1538" s="1">
        <v>45688</v>
      </c>
      <c r="E1538">
        <v>667.8</v>
      </c>
      <c r="F1538">
        <v>30.16</v>
      </c>
      <c r="G1538">
        <v>18.75</v>
      </c>
      <c r="H1538">
        <v>96</v>
      </c>
      <c r="I1538" t="s">
        <v>14</v>
      </c>
      <c r="J1538">
        <v>2025</v>
      </c>
      <c r="K1538">
        <f t="shared" ref="K1538:K1601" si="48">F1538-G1538</f>
        <v>11.41</v>
      </c>
      <c r="L1538" t="str">
        <f t="shared" ref="L1538:L1601" si="49">A1538&amp;"|"&amp;B1538&amp;"|"&amp;C1538</f>
        <v>Banca Lariana|13|Mutui</v>
      </c>
    </row>
    <row r="1539" spans="1:12" x14ac:dyDescent="0.25">
      <c r="A1539" t="s">
        <v>28</v>
      </c>
      <c r="B1539">
        <v>13</v>
      </c>
      <c r="C1539" t="s">
        <v>15</v>
      </c>
      <c r="D1539" s="1">
        <v>45688</v>
      </c>
      <c r="E1539">
        <v>888.1</v>
      </c>
      <c r="F1539">
        <v>42.17</v>
      </c>
      <c r="G1539">
        <v>26.53</v>
      </c>
      <c r="H1539">
        <v>94</v>
      </c>
      <c r="I1539" t="s">
        <v>14</v>
      </c>
      <c r="J1539">
        <v>2025</v>
      </c>
      <c r="K1539">
        <f t="shared" si="48"/>
        <v>15.64</v>
      </c>
      <c r="L1539" t="str">
        <f t="shared" si="49"/>
        <v>Banca Lariana|13|Prestiti</v>
      </c>
    </row>
    <row r="1540" spans="1:12" x14ac:dyDescent="0.25">
      <c r="A1540" t="s">
        <v>28</v>
      </c>
      <c r="B1540">
        <v>13</v>
      </c>
      <c r="C1540" t="s">
        <v>16</v>
      </c>
      <c r="D1540" s="1">
        <v>45688</v>
      </c>
      <c r="E1540">
        <v>1124.8</v>
      </c>
      <c r="F1540">
        <v>55.98</v>
      </c>
      <c r="G1540">
        <v>34.35</v>
      </c>
      <c r="H1540">
        <v>136</v>
      </c>
      <c r="I1540" t="s">
        <v>14</v>
      </c>
      <c r="J1540">
        <v>2025</v>
      </c>
      <c r="K1540">
        <f t="shared" si="48"/>
        <v>21.629999999999995</v>
      </c>
      <c r="L1540" t="str">
        <f t="shared" si="49"/>
        <v>Banca Lariana|13|Conti</v>
      </c>
    </row>
    <row r="1541" spans="1:12" x14ac:dyDescent="0.25">
      <c r="A1541" t="s">
        <v>28</v>
      </c>
      <c r="B1541">
        <v>13</v>
      </c>
      <c r="C1541" t="s">
        <v>17</v>
      </c>
      <c r="D1541" s="1">
        <v>45688</v>
      </c>
      <c r="E1541">
        <v>1374.4</v>
      </c>
      <c r="F1541">
        <v>70.52</v>
      </c>
      <c r="G1541">
        <v>42.73</v>
      </c>
      <c r="H1541">
        <v>134</v>
      </c>
      <c r="I1541" t="s">
        <v>14</v>
      </c>
      <c r="J1541">
        <v>2025</v>
      </c>
      <c r="K1541">
        <f t="shared" si="48"/>
        <v>27.79</v>
      </c>
      <c r="L1541" t="str">
        <f t="shared" si="49"/>
        <v>Banca Lariana|13|Carte</v>
      </c>
    </row>
    <row r="1542" spans="1:12" x14ac:dyDescent="0.25">
      <c r="A1542" t="s">
        <v>28</v>
      </c>
      <c r="B1542">
        <v>13</v>
      </c>
      <c r="C1542" t="s">
        <v>18</v>
      </c>
      <c r="D1542" s="1">
        <v>45688</v>
      </c>
      <c r="E1542">
        <v>1635</v>
      </c>
      <c r="F1542">
        <v>87.07</v>
      </c>
      <c r="G1542">
        <v>52.83</v>
      </c>
      <c r="H1542">
        <v>176</v>
      </c>
      <c r="I1542" t="s">
        <v>14</v>
      </c>
      <c r="J1542">
        <v>2025</v>
      </c>
      <c r="K1542">
        <f t="shared" si="48"/>
        <v>34.239999999999995</v>
      </c>
      <c r="L1542" t="str">
        <f t="shared" si="49"/>
        <v>Banca Lariana|13|Leasing</v>
      </c>
    </row>
    <row r="1543" spans="1:12" x14ac:dyDescent="0.25">
      <c r="A1543" t="s">
        <v>28</v>
      </c>
      <c r="B1543">
        <v>13</v>
      </c>
      <c r="C1543" t="s">
        <v>19</v>
      </c>
      <c r="D1543" s="1">
        <v>45688</v>
      </c>
      <c r="E1543">
        <v>1897.3</v>
      </c>
      <c r="F1543">
        <v>104.38</v>
      </c>
      <c r="G1543">
        <v>63.44</v>
      </c>
      <c r="H1543">
        <v>203</v>
      </c>
      <c r="I1543" t="s">
        <v>14</v>
      </c>
      <c r="J1543">
        <v>2025</v>
      </c>
      <c r="K1543">
        <f t="shared" si="48"/>
        <v>40.94</v>
      </c>
      <c r="L1543" t="str">
        <f t="shared" si="49"/>
        <v>Banca Lariana|13|Factoring</v>
      </c>
    </row>
    <row r="1544" spans="1:12" x14ac:dyDescent="0.25">
      <c r="A1544" t="s">
        <v>28</v>
      </c>
      <c r="B1544">
        <v>13</v>
      </c>
      <c r="C1544" t="s">
        <v>20</v>
      </c>
      <c r="D1544" s="1">
        <v>45688</v>
      </c>
      <c r="E1544">
        <v>2146.4</v>
      </c>
      <c r="F1544">
        <v>122.93</v>
      </c>
      <c r="G1544">
        <v>73.11</v>
      </c>
      <c r="H1544">
        <v>201</v>
      </c>
      <c r="I1544" t="s">
        <v>14</v>
      </c>
      <c r="J1544">
        <v>2025</v>
      </c>
      <c r="K1544">
        <f t="shared" si="48"/>
        <v>49.820000000000007</v>
      </c>
      <c r="L1544" t="str">
        <f t="shared" si="49"/>
        <v>Banca Lariana|13|Risparmio</v>
      </c>
    </row>
    <row r="1545" spans="1:12" x14ac:dyDescent="0.25">
      <c r="A1545" t="s">
        <v>28</v>
      </c>
      <c r="B1545">
        <v>13</v>
      </c>
      <c r="C1545" t="s">
        <v>21</v>
      </c>
      <c r="D1545" s="1">
        <v>45688</v>
      </c>
      <c r="E1545">
        <v>2371.8000000000002</v>
      </c>
      <c r="F1545">
        <v>140.65</v>
      </c>
      <c r="G1545">
        <v>83.11</v>
      </c>
      <c r="H1545">
        <v>237</v>
      </c>
      <c r="I1545" t="s">
        <v>14</v>
      </c>
      <c r="J1545">
        <v>2025</v>
      </c>
      <c r="K1545">
        <f t="shared" si="48"/>
        <v>57.540000000000006</v>
      </c>
      <c r="L1545" t="str">
        <f t="shared" si="49"/>
        <v>Banca Lariana|13|Assicurazioni</v>
      </c>
    </row>
    <row r="1546" spans="1:12" x14ac:dyDescent="0.25">
      <c r="A1546" t="s">
        <v>28</v>
      </c>
      <c r="B1546">
        <v>14</v>
      </c>
      <c r="C1546" t="s">
        <v>13</v>
      </c>
      <c r="D1546" s="1">
        <v>45716</v>
      </c>
      <c r="E1546">
        <v>639.70000000000005</v>
      </c>
      <c r="F1546">
        <v>29.64</v>
      </c>
      <c r="G1546">
        <v>18.75</v>
      </c>
      <c r="H1546">
        <v>89</v>
      </c>
      <c r="I1546" t="s">
        <v>14</v>
      </c>
      <c r="J1546">
        <v>2025</v>
      </c>
      <c r="K1546">
        <f t="shared" si="48"/>
        <v>10.89</v>
      </c>
      <c r="L1546" t="str">
        <f t="shared" si="49"/>
        <v>Banca Lariana|14|Mutui</v>
      </c>
    </row>
    <row r="1547" spans="1:12" x14ac:dyDescent="0.25">
      <c r="A1547" t="s">
        <v>28</v>
      </c>
      <c r="B1547">
        <v>14</v>
      </c>
      <c r="C1547" t="s">
        <v>15</v>
      </c>
      <c r="D1547" s="1">
        <v>45716</v>
      </c>
      <c r="E1547">
        <v>894.6</v>
      </c>
      <c r="F1547">
        <v>42.94</v>
      </c>
      <c r="G1547">
        <v>26.53</v>
      </c>
      <c r="H1547">
        <v>88</v>
      </c>
      <c r="I1547" t="s">
        <v>14</v>
      </c>
      <c r="J1547">
        <v>2025</v>
      </c>
      <c r="K1547">
        <f t="shared" si="48"/>
        <v>16.409999999999997</v>
      </c>
      <c r="L1547" t="str">
        <f t="shared" si="49"/>
        <v>Banca Lariana|14|Prestiti</v>
      </c>
    </row>
    <row r="1548" spans="1:12" x14ac:dyDescent="0.25">
      <c r="A1548" t="s">
        <v>28</v>
      </c>
      <c r="B1548">
        <v>14</v>
      </c>
      <c r="C1548" t="s">
        <v>16</v>
      </c>
      <c r="D1548" s="1">
        <v>45716</v>
      </c>
      <c r="E1548">
        <v>1131.7</v>
      </c>
      <c r="F1548">
        <v>55.6</v>
      </c>
      <c r="G1548">
        <v>34</v>
      </c>
      <c r="H1548">
        <v>131</v>
      </c>
      <c r="I1548" t="s">
        <v>14</v>
      </c>
      <c r="J1548">
        <v>2025</v>
      </c>
      <c r="K1548">
        <f t="shared" si="48"/>
        <v>21.6</v>
      </c>
      <c r="L1548" t="str">
        <f t="shared" si="49"/>
        <v>Banca Lariana|14|Conti</v>
      </c>
    </row>
    <row r="1549" spans="1:12" x14ac:dyDescent="0.25">
      <c r="A1549" t="s">
        <v>28</v>
      </c>
      <c r="B1549">
        <v>14</v>
      </c>
      <c r="C1549" t="s">
        <v>17</v>
      </c>
      <c r="D1549" s="1">
        <v>45716</v>
      </c>
      <c r="E1549">
        <v>1381.3</v>
      </c>
      <c r="F1549">
        <v>71.040000000000006</v>
      </c>
      <c r="G1549">
        <v>43.15</v>
      </c>
      <c r="H1549">
        <v>136</v>
      </c>
      <c r="I1549" t="s">
        <v>14</v>
      </c>
      <c r="J1549">
        <v>2025</v>
      </c>
      <c r="K1549">
        <f t="shared" si="48"/>
        <v>27.890000000000008</v>
      </c>
      <c r="L1549" t="str">
        <f t="shared" si="49"/>
        <v>Banca Lariana|14|Carte</v>
      </c>
    </row>
    <row r="1550" spans="1:12" x14ac:dyDescent="0.25">
      <c r="A1550" t="s">
        <v>28</v>
      </c>
      <c r="B1550">
        <v>14</v>
      </c>
      <c r="C1550" t="s">
        <v>18</v>
      </c>
      <c r="D1550" s="1">
        <v>45716</v>
      </c>
      <c r="E1550">
        <v>1643.7</v>
      </c>
      <c r="F1550">
        <v>87.72</v>
      </c>
      <c r="G1550">
        <v>53.57</v>
      </c>
      <c r="H1550">
        <v>170</v>
      </c>
      <c r="I1550" t="s">
        <v>14</v>
      </c>
      <c r="J1550">
        <v>2025</v>
      </c>
      <c r="K1550">
        <f t="shared" si="48"/>
        <v>34.15</v>
      </c>
      <c r="L1550" t="str">
        <f t="shared" si="49"/>
        <v>Banca Lariana|14|Leasing</v>
      </c>
    </row>
    <row r="1551" spans="1:12" x14ac:dyDescent="0.25">
      <c r="A1551" t="s">
        <v>28</v>
      </c>
      <c r="B1551">
        <v>14</v>
      </c>
      <c r="C1551" t="s">
        <v>19</v>
      </c>
      <c r="D1551" s="1">
        <v>45716</v>
      </c>
      <c r="E1551">
        <v>1927.6</v>
      </c>
      <c r="F1551">
        <v>106.75</v>
      </c>
      <c r="G1551">
        <v>64</v>
      </c>
      <c r="H1551">
        <v>186</v>
      </c>
      <c r="I1551" t="s">
        <v>14</v>
      </c>
      <c r="J1551">
        <v>2025</v>
      </c>
      <c r="K1551">
        <f t="shared" si="48"/>
        <v>42.75</v>
      </c>
      <c r="L1551" t="str">
        <f t="shared" si="49"/>
        <v>Banca Lariana|14|Factoring</v>
      </c>
    </row>
    <row r="1552" spans="1:12" x14ac:dyDescent="0.25">
      <c r="A1552" t="s">
        <v>28</v>
      </c>
      <c r="B1552">
        <v>14</v>
      </c>
      <c r="C1552" t="s">
        <v>20</v>
      </c>
      <c r="D1552" s="1">
        <v>45716</v>
      </c>
      <c r="E1552">
        <v>2152.8000000000002</v>
      </c>
      <c r="F1552">
        <v>123.04</v>
      </c>
      <c r="G1552">
        <v>73.75</v>
      </c>
      <c r="H1552">
        <v>194</v>
      </c>
      <c r="I1552" t="s">
        <v>14</v>
      </c>
      <c r="J1552">
        <v>2025</v>
      </c>
      <c r="K1552">
        <f t="shared" si="48"/>
        <v>49.290000000000006</v>
      </c>
      <c r="L1552" t="str">
        <f t="shared" si="49"/>
        <v>Banca Lariana|14|Risparmio</v>
      </c>
    </row>
    <row r="1553" spans="1:12" x14ac:dyDescent="0.25">
      <c r="A1553" t="s">
        <v>28</v>
      </c>
      <c r="B1553">
        <v>14</v>
      </c>
      <c r="C1553" t="s">
        <v>21</v>
      </c>
      <c r="D1553" s="1">
        <v>45716</v>
      </c>
      <c r="E1553">
        <v>2380.1</v>
      </c>
      <c r="F1553">
        <v>141.01</v>
      </c>
      <c r="G1553">
        <v>84.05</v>
      </c>
      <c r="H1553">
        <v>233</v>
      </c>
      <c r="I1553" t="s">
        <v>14</v>
      </c>
      <c r="J1553">
        <v>2025</v>
      </c>
      <c r="K1553">
        <f t="shared" si="48"/>
        <v>56.959999999999994</v>
      </c>
      <c r="L1553" t="str">
        <f t="shared" si="49"/>
        <v>Banca Lariana|14|Assicurazioni</v>
      </c>
    </row>
    <row r="1554" spans="1:12" x14ac:dyDescent="0.25">
      <c r="A1554" t="s">
        <v>28</v>
      </c>
      <c r="B1554">
        <v>15</v>
      </c>
      <c r="C1554" t="s">
        <v>13</v>
      </c>
      <c r="D1554" s="1">
        <v>45747</v>
      </c>
      <c r="E1554">
        <v>654.29999999999995</v>
      </c>
      <c r="F1554">
        <v>29.88</v>
      </c>
      <c r="G1554">
        <v>18.98</v>
      </c>
      <c r="H1554">
        <v>87</v>
      </c>
      <c r="I1554" t="s">
        <v>14</v>
      </c>
      <c r="J1554">
        <v>2025</v>
      </c>
      <c r="K1554">
        <f t="shared" si="48"/>
        <v>10.899999999999999</v>
      </c>
      <c r="L1554" t="str">
        <f t="shared" si="49"/>
        <v>Banca Lariana|15|Mutui</v>
      </c>
    </row>
    <row r="1555" spans="1:12" x14ac:dyDescent="0.25">
      <c r="A1555" t="s">
        <v>28</v>
      </c>
      <c r="B1555">
        <v>15</v>
      </c>
      <c r="C1555" t="s">
        <v>15</v>
      </c>
      <c r="D1555" s="1">
        <v>45747</v>
      </c>
      <c r="E1555">
        <v>944.8</v>
      </c>
      <c r="F1555">
        <v>44.94</v>
      </c>
      <c r="G1555">
        <v>27.84</v>
      </c>
      <c r="H1555">
        <v>85</v>
      </c>
      <c r="I1555" t="s">
        <v>14</v>
      </c>
      <c r="J1555">
        <v>2025</v>
      </c>
      <c r="K1555">
        <f t="shared" si="48"/>
        <v>17.099999999999998</v>
      </c>
      <c r="L1555" t="str">
        <f t="shared" si="49"/>
        <v>Banca Lariana|15|Prestiti</v>
      </c>
    </row>
    <row r="1556" spans="1:12" x14ac:dyDescent="0.25">
      <c r="A1556" t="s">
        <v>28</v>
      </c>
      <c r="B1556">
        <v>15</v>
      </c>
      <c r="C1556" t="s">
        <v>16</v>
      </c>
      <c r="D1556" s="1">
        <v>45747</v>
      </c>
      <c r="E1556">
        <v>1180.2</v>
      </c>
      <c r="F1556">
        <v>58.22</v>
      </c>
      <c r="G1556">
        <v>36.25</v>
      </c>
      <c r="H1556">
        <v>111</v>
      </c>
      <c r="I1556" t="s">
        <v>14</v>
      </c>
      <c r="J1556">
        <v>2025</v>
      </c>
      <c r="K1556">
        <f t="shared" si="48"/>
        <v>21.97</v>
      </c>
      <c r="L1556" t="str">
        <f t="shared" si="49"/>
        <v>Banca Lariana|15|Conti</v>
      </c>
    </row>
    <row r="1557" spans="1:12" x14ac:dyDescent="0.25">
      <c r="A1557" t="s">
        <v>28</v>
      </c>
      <c r="B1557">
        <v>15</v>
      </c>
      <c r="C1557" t="s">
        <v>17</v>
      </c>
      <c r="D1557" s="1">
        <v>45747</v>
      </c>
      <c r="E1557">
        <v>1433.3</v>
      </c>
      <c r="F1557">
        <v>73.98</v>
      </c>
      <c r="G1557">
        <v>44.71</v>
      </c>
      <c r="H1557">
        <v>157</v>
      </c>
      <c r="I1557" t="s">
        <v>14</v>
      </c>
      <c r="J1557">
        <v>2025</v>
      </c>
      <c r="K1557">
        <f t="shared" si="48"/>
        <v>29.270000000000003</v>
      </c>
      <c r="L1557" t="str">
        <f t="shared" si="49"/>
        <v>Banca Lariana|15|Carte</v>
      </c>
    </row>
    <row r="1558" spans="1:12" x14ac:dyDescent="0.25">
      <c r="A1558" t="s">
        <v>28</v>
      </c>
      <c r="B1558">
        <v>15</v>
      </c>
      <c r="C1558" t="s">
        <v>18</v>
      </c>
      <c r="D1558" s="1">
        <v>45747</v>
      </c>
      <c r="E1558">
        <v>1671.8</v>
      </c>
      <c r="F1558">
        <v>89.12</v>
      </c>
      <c r="G1558">
        <v>53.7</v>
      </c>
      <c r="H1558">
        <v>170</v>
      </c>
      <c r="I1558" t="s">
        <v>14</v>
      </c>
      <c r="J1558">
        <v>2025</v>
      </c>
      <c r="K1558">
        <f t="shared" si="48"/>
        <v>35.42</v>
      </c>
      <c r="L1558" t="str">
        <f t="shared" si="49"/>
        <v>Banca Lariana|15|Leasing</v>
      </c>
    </row>
    <row r="1559" spans="1:12" x14ac:dyDescent="0.25">
      <c r="A1559" t="s">
        <v>28</v>
      </c>
      <c r="B1559">
        <v>15</v>
      </c>
      <c r="C1559" t="s">
        <v>19</v>
      </c>
      <c r="D1559" s="1">
        <v>45747</v>
      </c>
      <c r="E1559">
        <v>1941.1</v>
      </c>
      <c r="F1559">
        <v>107.35</v>
      </c>
      <c r="G1559">
        <v>64.069999999999993</v>
      </c>
      <c r="H1559">
        <v>188</v>
      </c>
      <c r="I1559" t="s">
        <v>14</v>
      </c>
      <c r="J1559">
        <v>2025</v>
      </c>
      <c r="K1559">
        <f t="shared" si="48"/>
        <v>43.28</v>
      </c>
      <c r="L1559" t="str">
        <f t="shared" si="49"/>
        <v>Banca Lariana|15|Factoring</v>
      </c>
    </row>
    <row r="1560" spans="1:12" x14ac:dyDescent="0.25">
      <c r="A1560" t="s">
        <v>28</v>
      </c>
      <c r="B1560">
        <v>15</v>
      </c>
      <c r="C1560" t="s">
        <v>20</v>
      </c>
      <c r="D1560" s="1">
        <v>45747</v>
      </c>
      <c r="E1560">
        <v>2155.1999999999998</v>
      </c>
      <c r="F1560">
        <v>123.7</v>
      </c>
      <c r="G1560">
        <v>74.16</v>
      </c>
      <c r="H1560">
        <v>230</v>
      </c>
      <c r="I1560" t="s">
        <v>14</v>
      </c>
      <c r="J1560">
        <v>2025</v>
      </c>
      <c r="K1560">
        <f t="shared" si="48"/>
        <v>49.540000000000006</v>
      </c>
      <c r="L1560" t="str">
        <f t="shared" si="49"/>
        <v>Banca Lariana|15|Risparmio</v>
      </c>
    </row>
    <row r="1561" spans="1:12" x14ac:dyDescent="0.25">
      <c r="A1561" t="s">
        <v>28</v>
      </c>
      <c r="B1561">
        <v>15</v>
      </c>
      <c r="C1561" t="s">
        <v>21</v>
      </c>
      <c r="D1561" s="1">
        <v>45747</v>
      </c>
      <c r="E1561">
        <v>2404.5</v>
      </c>
      <c r="F1561">
        <v>142.81</v>
      </c>
      <c r="G1561">
        <v>84.42</v>
      </c>
      <c r="H1561">
        <v>237</v>
      </c>
      <c r="I1561" t="s">
        <v>14</v>
      </c>
      <c r="J1561">
        <v>2025</v>
      </c>
      <c r="K1561">
        <f t="shared" si="48"/>
        <v>58.39</v>
      </c>
      <c r="L1561" t="str">
        <f t="shared" si="49"/>
        <v>Banca Lariana|15|Assicurazioni</v>
      </c>
    </row>
    <row r="1562" spans="1:12" x14ac:dyDescent="0.25">
      <c r="A1562" t="s">
        <v>28</v>
      </c>
      <c r="B1562">
        <v>16</v>
      </c>
      <c r="C1562" t="s">
        <v>13</v>
      </c>
      <c r="D1562" s="1">
        <v>45777</v>
      </c>
      <c r="E1562">
        <v>699.1</v>
      </c>
      <c r="F1562">
        <v>31.75</v>
      </c>
      <c r="G1562">
        <v>19.86</v>
      </c>
      <c r="H1562">
        <v>84</v>
      </c>
      <c r="I1562" t="s">
        <v>14</v>
      </c>
      <c r="J1562">
        <v>2025</v>
      </c>
      <c r="K1562">
        <f t="shared" si="48"/>
        <v>11.89</v>
      </c>
      <c r="L1562" t="str">
        <f t="shared" si="49"/>
        <v>Banca Lariana|16|Mutui</v>
      </c>
    </row>
    <row r="1563" spans="1:12" x14ac:dyDescent="0.25">
      <c r="A1563" t="s">
        <v>28</v>
      </c>
      <c r="B1563">
        <v>16</v>
      </c>
      <c r="C1563" t="s">
        <v>15</v>
      </c>
      <c r="D1563" s="1">
        <v>45777</v>
      </c>
      <c r="E1563">
        <v>930</v>
      </c>
      <c r="F1563">
        <v>44.19</v>
      </c>
      <c r="G1563">
        <v>27.32</v>
      </c>
      <c r="H1563">
        <v>90</v>
      </c>
      <c r="I1563" t="s">
        <v>14</v>
      </c>
      <c r="J1563">
        <v>2025</v>
      </c>
      <c r="K1563">
        <f t="shared" si="48"/>
        <v>16.869999999999997</v>
      </c>
      <c r="L1563" t="str">
        <f t="shared" si="49"/>
        <v>Banca Lariana|16|Prestiti</v>
      </c>
    </row>
    <row r="1564" spans="1:12" x14ac:dyDescent="0.25">
      <c r="A1564" t="s">
        <v>28</v>
      </c>
      <c r="B1564">
        <v>16</v>
      </c>
      <c r="C1564" t="s">
        <v>16</v>
      </c>
      <c r="D1564" s="1">
        <v>45777</v>
      </c>
      <c r="E1564">
        <v>1184.4000000000001</v>
      </c>
      <c r="F1564">
        <v>58.34</v>
      </c>
      <c r="G1564">
        <v>36.479999999999997</v>
      </c>
      <c r="H1564">
        <v>136</v>
      </c>
      <c r="I1564" t="s">
        <v>14</v>
      </c>
      <c r="J1564">
        <v>2025</v>
      </c>
      <c r="K1564">
        <f t="shared" si="48"/>
        <v>21.860000000000007</v>
      </c>
      <c r="L1564" t="str">
        <f t="shared" si="49"/>
        <v>Banca Lariana|16|Conti</v>
      </c>
    </row>
    <row r="1565" spans="1:12" x14ac:dyDescent="0.25">
      <c r="A1565" t="s">
        <v>28</v>
      </c>
      <c r="B1565">
        <v>16</v>
      </c>
      <c r="C1565" t="s">
        <v>17</v>
      </c>
      <c r="D1565" s="1">
        <v>45777</v>
      </c>
      <c r="E1565">
        <v>1435.3</v>
      </c>
      <c r="F1565">
        <v>73.44</v>
      </c>
      <c r="G1565">
        <v>44.6</v>
      </c>
      <c r="H1565">
        <v>155</v>
      </c>
      <c r="I1565" t="s">
        <v>14</v>
      </c>
      <c r="J1565">
        <v>2025</v>
      </c>
      <c r="K1565">
        <f t="shared" si="48"/>
        <v>28.839999999999996</v>
      </c>
      <c r="L1565" t="str">
        <f t="shared" si="49"/>
        <v>Banca Lariana|16|Carte</v>
      </c>
    </row>
    <row r="1566" spans="1:12" x14ac:dyDescent="0.25">
      <c r="A1566" t="s">
        <v>28</v>
      </c>
      <c r="B1566">
        <v>16</v>
      </c>
      <c r="C1566" t="s">
        <v>18</v>
      </c>
      <c r="D1566" s="1">
        <v>45777</v>
      </c>
      <c r="E1566">
        <v>1677.5</v>
      </c>
      <c r="F1566">
        <v>89.43</v>
      </c>
      <c r="G1566">
        <v>53.69</v>
      </c>
      <c r="H1566">
        <v>176</v>
      </c>
      <c r="I1566" t="s">
        <v>14</v>
      </c>
      <c r="J1566">
        <v>2025</v>
      </c>
      <c r="K1566">
        <f t="shared" si="48"/>
        <v>35.740000000000009</v>
      </c>
      <c r="L1566" t="str">
        <f t="shared" si="49"/>
        <v>Banca Lariana|16|Leasing</v>
      </c>
    </row>
    <row r="1567" spans="1:12" x14ac:dyDescent="0.25">
      <c r="A1567" t="s">
        <v>28</v>
      </c>
      <c r="B1567">
        <v>16</v>
      </c>
      <c r="C1567" t="s">
        <v>19</v>
      </c>
      <c r="D1567" s="1">
        <v>45777</v>
      </c>
      <c r="E1567">
        <v>1937.5</v>
      </c>
      <c r="F1567">
        <v>107.07</v>
      </c>
      <c r="G1567">
        <v>64.849999999999994</v>
      </c>
      <c r="H1567">
        <v>204</v>
      </c>
      <c r="I1567" t="s">
        <v>14</v>
      </c>
      <c r="J1567">
        <v>2025</v>
      </c>
      <c r="K1567">
        <f t="shared" si="48"/>
        <v>42.22</v>
      </c>
      <c r="L1567" t="str">
        <f t="shared" si="49"/>
        <v>Banca Lariana|16|Factoring</v>
      </c>
    </row>
    <row r="1568" spans="1:12" x14ac:dyDescent="0.25">
      <c r="A1568" t="s">
        <v>28</v>
      </c>
      <c r="B1568">
        <v>16</v>
      </c>
      <c r="C1568" t="s">
        <v>20</v>
      </c>
      <c r="D1568" s="1">
        <v>45777</v>
      </c>
      <c r="E1568">
        <v>2203.1999999999998</v>
      </c>
      <c r="F1568">
        <v>126.2</v>
      </c>
      <c r="G1568">
        <v>75.62</v>
      </c>
      <c r="H1568">
        <v>225</v>
      </c>
      <c r="I1568" t="s">
        <v>14</v>
      </c>
      <c r="J1568">
        <v>2025</v>
      </c>
      <c r="K1568">
        <f t="shared" si="48"/>
        <v>50.58</v>
      </c>
      <c r="L1568" t="str">
        <f t="shared" si="49"/>
        <v>Banca Lariana|16|Risparmio</v>
      </c>
    </row>
    <row r="1569" spans="1:12" x14ac:dyDescent="0.25">
      <c r="A1569" t="s">
        <v>28</v>
      </c>
      <c r="B1569">
        <v>16</v>
      </c>
      <c r="C1569" t="s">
        <v>21</v>
      </c>
      <c r="D1569" s="1">
        <v>45777</v>
      </c>
      <c r="E1569">
        <v>2432.1999999999998</v>
      </c>
      <c r="F1569">
        <v>143.72999999999999</v>
      </c>
      <c r="G1569">
        <v>85.7</v>
      </c>
      <c r="H1569">
        <v>251</v>
      </c>
      <c r="I1569" t="s">
        <v>14</v>
      </c>
      <c r="J1569">
        <v>2025</v>
      </c>
      <c r="K1569">
        <f t="shared" si="48"/>
        <v>58.029999999999987</v>
      </c>
      <c r="L1569" t="str">
        <f t="shared" si="49"/>
        <v>Banca Lariana|16|Assicurazioni</v>
      </c>
    </row>
    <row r="1570" spans="1:12" x14ac:dyDescent="0.25">
      <c r="A1570" t="s">
        <v>28</v>
      </c>
      <c r="B1570">
        <v>17</v>
      </c>
      <c r="C1570" t="s">
        <v>13</v>
      </c>
      <c r="D1570" s="1">
        <v>45808</v>
      </c>
      <c r="E1570">
        <v>659.8</v>
      </c>
      <c r="F1570">
        <v>29.93</v>
      </c>
      <c r="G1570">
        <v>19.27</v>
      </c>
      <c r="H1570">
        <v>88</v>
      </c>
      <c r="I1570" t="s">
        <v>14</v>
      </c>
      <c r="J1570">
        <v>2025</v>
      </c>
      <c r="K1570">
        <f t="shared" si="48"/>
        <v>10.66</v>
      </c>
      <c r="L1570" t="str">
        <f t="shared" si="49"/>
        <v>Banca Lariana|17|Mutui</v>
      </c>
    </row>
    <row r="1571" spans="1:12" x14ac:dyDescent="0.25">
      <c r="A1571" t="s">
        <v>28</v>
      </c>
      <c r="B1571">
        <v>17</v>
      </c>
      <c r="C1571" t="s">
        <v>15</v>
      </c>
      <c r="D1571" s="1">
        <v>45808</v>
      </c>
      <c r="E1571">
        <v>930.6</v>
      </c>
      <c r="F1571">
        <v>44.64</v>
      </c>
      <c r="G1571">
        <v>27.06</v>
      </c>
      <c r="H1571">
        <v>91</v>
      </c>
      <c r="I1571" t="s">
        <v>14</v>
      </c>
      <c r="J1571">
        <v>2025</v>
      </c>
      <c r="K1571">
        <f t="shared" si="48"/>
        <v>17.580000000000002</v>
      </c>
      <c r="L1571" t="str">
        <f t="shared" si="49"/>
        <v>Banca Lariana|17|Prestiti</v>
      </c>
    </row>
    <row r="1572" spans="1:12" x14ac:dyDescent="0.25">
      <c r="A1572" t="s">
        <v>28</v>
      </c>
      <c r="B1572">
        <v>17</v>
      </c>
      <c r="C1572" t="s">
        <v>16</v>
      </c>
      <c r="D1572" s="1">
        <v>45808</v>
      </c>
      <c r="E1572">
        <v>1203.5</v>
      </c>
      <c r="F1572">
        <v>59.81</v>
      </c>
      <c r="G1572">
        <v>36.630000000000003</v>
      </c>
      <c r="H1572">
        <v>105</v>
      </c>
      <c r="I1572" t="s">
        <v>14</v>
      </c>
      <c r="J1572">
        <v>2025</v>
      </c>
      <c r="K1572">
        <f t="shared" si="48"/>
        <v>23.18</v>
      </c>
      <c r="L1572" t="str">
        <f t="shared" si="49"/>
        <v>Banca Lariana|17|Conti</v>
      </c>
    </row>
    <row r="1573" spans="1:12" x14ac:dyDescent="0.25">
      <c r="A1573" t="s">
        <v>28</v>
      </c>
      <c r="B1573">
        <v>17</v>
      </c>
      <c r="C1573" t="s">
        <v>17</v>
      </c>
      <c r="D1573" s="1">
        <v>45808</v>
      </c>
      <c r="E1573">
        <v>1438.5</v>
      </c>
      <c r="F1573">
        <v>73.64</v>
      </c>
      <c r="G1573">
        <v>45.17</v>
      </c>
      <c r="H1573">
        <v>163</v>
      </c>
      <c r="I1573" t="s">
        <v>14</v>
      </c>
      <c r="J1573">
        <v>2025</v>
      </c>
      <c r="K1573">
        <f t="shared" si="48"/>
        <v>28.47</v>
      </c>
      <c r="L1573" t="str">
        <f t="shared" si="49"/>
        <v>Banca Lariana|17|Carte</v>
      </c>
    </row>
    <row r="1574" spans="1:12" x14ac:dyDescent="0.25">
      <c r="A1574" t="s">
        <v>28</v>
      </c>
      <c r="B1574">
        <v>17</v>
      </c>
      <c r="C1574" t="s">
        <v>18</v>
      </c>
      <c r="D1574" s="1">
        <v>45808</v>
      </c>
      <c r="E1574">
        <v>1687.2</v>
      </c>
      <c r="F1574">
        <v>89.99</v>
      </c>
      <c r="G1574">
        <v>54.51</v>
      </c>
      <c r="H1574">
        <v>160</v>
      </c>
      <c r="I1574" t="s">
        <v>14</v>
      </c>
      <c r="J1574">
        <v>2025</v>
      </c>
      <c r="K1574">
        <f t="shared" si="48"/>
        <v>35.479999999999997</v>
      </c>
      <c r="L1574" t="str">
        <f t="shared" si="49"/>
        <v>Banca Lariana|17|Leasing</v>
      </c>
    </row>
    <row r="1575" spans="1:12" x14ac:dyDescent="0.25">
      <c r="A1575" t="s">
        <v>28</v>
      </c>
      <c r="B1575">
        <v>17</v>
      </c>
      <c r="C1575" t="s">
        <v>19</v>
      </c>
      <c r="D1575" s="1">
        <v>45808</v>
      </c>
      <c r="E1575">
        <v>1913.2</v>
      </c>
      <c r="F1575">
        <v>105.82</v>
      </c>
      <c r="G1575">
        <v>63.28</v>
      </c>
      <c r="H1575">
        <v>180</v>
      </c>
      <c r="I1575" t="s">
        <v>14</v>
      </c>
      <c r="J1575">
        <v>2025</v>
      </c>
      <c r="K1575">
        <f t="shared" si="48"/>
        <v>42.539999999999992</v>
      </c>
      <c r="L1575" t="str">
        <f t="shared" si="49"/>
        <v>Banca Lariana|17|Factoring</v>
      </c>
    </row>
    <row r="1576" spans="1:12" x14ac:dyDescent="0.25">
      <c r="A1576" t="s">
        <v>28</v>
      </c>
      <c r="B1576">
        <v>17</v>
      </c>
      <c r="C1576" t="s">
        <v>20</v>
      </c>
      <c r="D1576" s="1">
        <v>45808</v>
      </c>
      <c r="E1576">
        <v>2183.3000000000002</v>
      </c>
      <c r="F1576">
        <v>125.11</v>
      </c>
      <c r="G1576">
        <v>74.41</v>
      </c>
      <c r="H1576">
        <v>212</v>
      </c>
      <c r="I1576" t="s">
        <v>14</v>
      </c>
      <c r="J1576">
        <v>2025</v>
      </c>
      <c r="K1576">
        <f t="shared" si="48"/>
        <v>50.7</v>
      </c>
      <c r="L1576" t="str">
        <f t="shared" si="49"/>
        <v>Banca Lariana|17|Risparmio</v>
      </c>
    </row>
    <row r="1577" spans="1:12" x14ac:dyDescent="0.25">
      <c r="A1577" t="s">
        <v>28</v>
      </c>
      <c r="B1577">
        <v>17</v>
      </c>
      <c r="C1577" t="s">
        <v>21</v>
      </c>
      <c r="D1577" s="1">
        <v>45808</v>
      </c>
      <c r="E1577">
        <v>2450.3000000000002</v>
      </c>
      <c r="F1577">
        <v>145.29</v>
      </c>
      <c r="G1577">
        <v>86.02</v>
      </c>
      <c r="H1577">
        <v>221</v>
      </c>
      <c r="I1577" t="s">
        <v>14</v>
      </c>
      <c r="J1577">
        <v>2025</v>
      </c>
      <c r="K1577">
        <f t="shared" si="48"/>
        <v>59.269999999999996</v>
      </c>
      <c r="L1577" t="str">
        <f t="shared" si="49"/>
        <v>Banca Lariana|17|Assicurazioni</v>
      </c>
    </row>
    <row r="1578" spans="1:12" x14ac:dyDescent="0.25">
      <c r="A1578" t="s">
        <v>28</v>
      </c>
      <c r="B1578">
        <v>18</v>
      </c>
      <c r="C1578" t="s">
        <v>13</v>
      </c>
      <c r="D1578" s="1">
        <v>45838</v>
      </c>
      <c r="E1578">
        <v>704.8</v>
      </c>
      <c r="F1578">
        <v>32.15</v>
      </c>
      <c r="G1578">
        <v>20.399999999999999</v>
      </c>
      <c r="H1578">
        <v>97</v>
      </c>
      <c r="I1578" t="s">
        <v>14</v>
      </c>
      <c r="J1578">
        <v>2025</v>
      </c>
      <c r="K1578">
        <f t="shared" si="48"/>
        <v>11.75</v>
      </c>
      <c r="L1578" t="str">
        <f t="shared" si="49"/>
        <v>Banca Lariana|18|Mutui</v>
      </c>
    </row>
    <row r="1579" spans="1:12" x14ac:dyDescent="0.25">
      <c r="A1579" t="s">
        <v>28</v>
      </c>
      <c r="B1579">
        <v>18</v>
      </c>
      <c r="C1579" t="s">
        <v>15</v>
      </c>
      <c r="D1579" s="1">
        <v>45838</v>
      </c>
      <c r="E1579">
        <v>921.1</v>
      </c>
      <c r="F1579">
        <v>43.38</v>
      </c>
      <c r="G1579">
        <v>27.39</v>
      </c>
      <c r="H1579">
        <v>90</v>
      </c>
      <c r="I1579" t="s">
        <v>14</v>
      </c>
      <c r="J1579">
        <v>2025</v>
      </c>
      <c r="K1579">
        <f t="shared" si="48"/>
        <v>15.990000000000002</v>
      </c>
      <c r="L1579" t="str">
        <f t="shared" si="49"/>
        <v>Banca Lariana|18|Prestiti</v>
      </c>
    </row>
    <row r="1580" spans="1:12" x14ac:dyDescent="0.25">
      <c r="A1580" t="s">
        <v>28</v>
      </c>
      <c r="B1580">
        <v>18</v>
      </c>
      <c r="C1580" t="s">
        <v>16</v>
      </c>
      <c r="D1580" s="1">
        <v>45838</v>
      </c>
      <c r="E1580">
        <v>1218.3</v>
      </c>
      <c r="F1580">
        <v>60.35</v>
      </c>
      <c r="G1580">
        <v>37.200000000000003</v>
      </c>
      <c r="H1580">
        <v>120</v>
      </c>
      <c r="I1580" t="s">
        <v>14</v>
      </c>
      <c r="J1580">
        <v>2025</v>
      </c>
      <c r="K1580">
        <f t="shared" si="48"/>
        <v>23.15</v>
      </c>
      <c r="L1580" t="str">
        <f t="shared" si="49"/>
        <v>Banca Lariana|18|Conti</v>
      </c>
    </row>
    <row r="1581" spans="1:12" x14ac:dyDescent="0.25">
      <c r="A1581" t="s">
        <v>28</v>
      </c>
      <c r="B1581">
        <v>18</v>
      </c>
      <c r="C1581" t="s">
        <v>17</v>
      </c>
      <c r="D1581" s="1">
        <v>45838</v>
      </c>
      <c r="E1581">
        <v>1415.4</v>
      </c>
      <c r="F1581">
        <v>72.91</v>
      </c>
      <c r="G1581">
        <v>44.38</v>
      </c>
      <c r="H1581">
        <v>153</v>
      </c>
      <c r="I1581" t="s">
        <v>14</v>
      </c>
      <c r="J1581">
        <v>2025</v>
      </c>
      <c r="K1581">
        <f t="shared" si="48"/>
        <v>28.529999999999994</v>
      </c>
      <c r="L1581" t="str">
        <f t="shared" si="49"/>
        <v>Banca Lariana|18|Carte</v>
      </c>
    </row>
    <row r="1582" spans="1:12" x14ac:dyDescent="0.25">
      <c r="A1582" t="s">
        <v>28</v>
      </c>
      <c r="B1582">
        <v>18</v>
      </c>
      <c r="C1582" t="s">
        <v>18</v>
      </c>
      <c r="D1582" s="1">
        <v>45838</v>
      </c>
      <c r="E1582">
        <v>1687</v>
      </c>
      <c r="F1582">
        <v>90.17</v>
      </c>
      <c r="G1582">
        <v>54.81</v>
      </c>
      <c r="H1582">
        <v>184</v>
      </c>
      <c r="I1582" t="s">
        <v>14</v>
      </c>
      <c r="J1582">
        <v>2025</v>
      </c>
      <c r="K1582">
        <f t="shared" si="48"/>
        <v>35.36</v>
      </c>
      <c r="L1582" t="str">
        <f t="shared" si="49"/>
        <v>Banca Lariana|18|Leasing</v>
      </c>
    </row>
    <row r="1583" spans="1:12" x14ac:dyDescent="0.25">
      <c r="A1583" t="s">
        <v>28</v>
      </c>
      <c r="B1583">
        <v>18</v>
      </c>
      <c r="C1583" t="s">
        <v>19</v>
      </c>
      <c r="D1583" s="1">
        <v>45838</v>
      </c>
      <c r="E1583">
        <v>1960.7</v>
      </c>
      <c r="F1583">
        <v>108.5</v>
      </c>
      <c r="G1583">
        <v>64.73</v>
      </c>
      <c r="H1583">
        <v>189</v>
      </c>
      <c r="I1583" t="s">
        <v>14</v>
      </c>
      <c r="J1583">
        <v>2025</v>
      </c>
      <c r="K1583">
        <f t="shared" si="48"/>
        <v>43.769999999999996</v>
      </c>
      <c r="L1583" t="str">
        <f t="shared" si="49"/>
        <v>Banca Lariana|18|Factoring</v>
      </c>
    </row>
    <row r="1584" spans="1:12" x14ac:dyDescent="0.25">
      <c r="A1584" t="s">
        <v>28</v>
      </c>
      <c r="B1584">
        <v>18</v>
      </c>
      <c r="C1584" t="s">
        <v>20</v>
      </c>
      <c r="D1584" s="1">
        <v>45838</v>
      </c>
      <c r="E1584">
        <v>2204.3000000000002</v>
      </c>
      <c r="F1584">
        <v>125.66</v>
      </c>
      <c r="G1584">
        <v>75.36</v>
      </c>
      <c r="H1584">
        <v>232</v>
      </c>
      <c r="I1584" t="s">
        <v>14</v>
      </c>
      <c r="J1584">
        <v>2025</v>
      </c>
      <c r="K1584">
        <f t="shared" si="48"/>
        <v>50.3</v>
      </c>
      <c r="L1584" t="str">
        <f t="shared" si="49"/>
        <v>Banca Lariana|18|Risparmio</v>
      </c>
    </row>
    <row r="1585" spans="1:12" x14ac:dyDescent="0.25">
      <c r="A1585" t="s">
        <v>28</v>
      </c>
      <c r="B1585">
        <v>18</v>
      </c>
      <c r="C1585" t="s">
        <v>21</v>
      </c>
      <c r="D1585" s="1">
        <v>45838</v>
      </c>
      <c r="E1585">
        <v>2451.1</v>
      </c>
      <c r="F1585">
        <v>145.52000000000001</v>
      </c>
      <c r="G1585">
        <v>86.35</v>
      </c>
      <c r="H1585">
        <v>215</v>
      </c>
      <c r="I1585" t="s">
        <v>14</v>
      </c>
      <c r="J1585">
        <v>2025</v>
      </c>
      <c r="K1585">
        <f t="shared" si="48"/>
        <v>59.170000000000016</v>
      </c>
      <c r="L1585" t="str">
        <f t="shared" si="49"/>
        <v>Banca Lariana|18|Assicurazioni</v>
      </c>
    </row>
    <row r="1586" spans="1:12" x14ac:dyDescent="0.25">
      <c r="A1586" t="s">
        <v>28</v>
      </c>
      <c r="B1586">
        <v>19</v>
      </c>
      <c r="C1586" t="s">
        <v>13</v>
      </c>
      <c r="D1586" s="1">
        <v>45869</v>
      </c>
      <c r="E1586">
        <v>670.4</v>
      </c>
      <c r="F1586">
        <v>31.08</v>
      </c>
      <c r="G1586">
        <v>19.690000000000001</v>
      </c>
      <c r="H1586">
        <v>69</v>
      </c>
      <c r="I1586" t="s">
        <v>14</v>
      </c>
      <c r="J1586">
        <v>2025</v>
      </c>
      <c r="K1586">
        <f t="shared" si="48"/>
        <v>11.389999999999997</v>
      </c>
      <c r="L1586" t="str">
        <f t="shared" si="49"/>
        <v>Banca Lariana|19|Mutui</v>
      </c>
    </row>
    <row r="1587" spans="1:12" x14ac:dyDescent="0.25">
      <c r="A1587" t="s">
        <v>28</v>
      </c>
      <c r="B1587">
        <v>19</v>
      </c>
      <c r="C1587" t="s">
        <v>15</v>
      </c>
      <c r="D1587" s="1">
        <v>45869</v>
      </c>
      <c r="E1587">
        <v>927.5</v>
      </c>
      <c r="F1587">
        <v>43.61</v>
      </c>
      <c r="G1587">
        <v>27.67</v>
      </c>
      <c r="H1587">
        <v>101</v>
      </c>
      <c r="I1587" t="s">
        <v>14</v>
      </c>
      <c r="J1587">
        <v>2025</v>
      </c>
      <c r="K1587">
        <f t="shared" si="48"/>
        <v>15.939999999999998</v>
      </c>
      <c r="L1587" t="str">
        <f t="shared" si="49"/>
        <v>Banca Lariana|19|Prestiti</v>
      </c>
    </row>
    <row r="1588" spans="1:12" x14ac:dyDescent="0.25">
      <c r="A1588" t="s">
        <v>28</v>
      </c>
      <c r="B1588">
        <v>19</v>
      </c>
      <c r="C1588" t="s">
        <v>16</v>
      </c>
      <c r="D1588" s="1">
        <v>45869</v>
      </c>
      <c r="E1588">
        <v>1177.9000000000001</v>
      </c>
      <c r="F1588">
        <v>57.94</v>
      </c>
      <c r="G1588">
        <v>35.93</v>
      </c>
      <c r="H1588">
        <v>138</v>
      </c>
      <c r="I1588" t="s">
        <v>14</v>
      </c>
      <c r="J1588">
        <v>2025</v>
      </c>
      <c r="K1588">
        <f t="shared" si="48"/>
        <v>22.009999999999998</v>
      </c>
      <c r="L1588" t="str">
        <f t="shared" si="49"/>
        <v>Banca Lariana|19|Conti</v>
      </c>
    </row>
    <row r="1589" spans="1:12" x14ac:dyDescent="0.25">
      <c r="A1589" t="s">
        <v>28</v>
      </c>
      <c r="B1589">
        <v>19</v>
      </c>
      <c r="C1589" t="s">
        <v>17</v>
      </c>
      <c r="D1589" s="1">
        <v>45869</v>
      </c>
      <c r="E1589">
        <v>1469.6</v>
      </c>
      <c r="F1589">
        <v>75.56</v>
      </c>
      <c r="G1589">
        <v>46.32</v>
      </c>
      <c r="H1589">
        <v>139</v>
      </c>
      <c r="I1589" t="s">
        <v>14</v>
      </c>
      <c r="J1589">
        <v>2025</v>
      </c>
      <c r="K1589">
        <f t="shared" si="48"/>
        <v>29.240000000000002</v>
      </c>
      <c r="L1589" t="str">
        <f t="shared" si="49"/>
        <v>Banca Lariana|19|Carte</v>
      </c>
    </row>
    <row r="1590" spans="1:12" x14ac:dyDescent="0.25">
      <c r="A1590" t="s">
        <v>28</v>
      </c>
      <c r="B1590">
        <v>19</v>
      </c>
      <c r="C1590" t="s">
        <v>18</v>
      </c>
      <c r="D1590" s="1">
        <v>45869</v>
      </c>
      <c r="E1590">
        <v>1696.8</v>
      </c>
      <c r="F1590">
        <v>89.99</v>
      </c>
      <c r="G1590">
        <v>54.51</v>
      </c>
      <c r="H1590">
        <v>180</v>
      </c>
      <c r="I1590" t="s">
        <v>14</v>
      </c>
      <c r="J1590">
        <v>2025</v>
      </c>
      <c r="K1590">
        <f t="shared" si="48"/>
        <v>35.479999999999997</v>
      </c>
      <c r="L1590" t="str">
        <f t="shared" si="49"/>
        <v>Banca Lariana|19|Leasing</v>
      </c>
    </row>
    <row r="1591" spans="1:12" x14ac:dyDescent="0.25">
      <c r="A1591" t="s">
        <v>28</v>
      </c>
      <c r="B1591">
        <v>19</v>
      </c>
      <c r="C1591" t="s">
        <v>19</v>
      </c>
      <c r="D1591" s="1">
        <v>45869</v>
      </c>
      <c r="E1591">
        <v>1946.4</v>
      </c>
      <c r="F1591">
        <v>107.3</v>
      </c>
      <c r="G1591">
        <v>64.88</v>
      </c>
      <c r="H1591">
        <v>175</v>
      </c>
      <c r="I1591" t="s">
        <v>14</v>
      </c>
      <c r="J1591">
        <v>2025</v>
      </c>
      <c r="K1591">
        <f t="shared" si="48"/>
        <v>42.42</v>
      </c>
      <c r="L1591" t="str">
        <f t="shared" si="49"/>
        <v>Banca Lariana|19|Factoring</v>
      </c>
    </row>
    <row r="1592" spans="1:12" x14ac:dyDescent="0.25">
      <c r="A1592" t="s">
        <v>28</v>
      </c>
      <c r="B1592">
        <v>19</v>
      </c>
      <c r="C1592" t="s">
        <v>20</v>
      </c>
      <c r="D1592" s="1">
        <v>45869</v>
      </c>
      <c r="E1592">
        <v>2207.4</v>
      </c>
      <c r="F1592">
        <v>125.99</v>
      </c>
      <c r="G1592">
        <v>75.540000000000006</v>
      </c>
      <c r="H1592">
        <v>208</v>
      </c>
      <c r="I1592" t="s">
        <v>14</v>
      </c>
      <c r="J1592">
        <v>2025</v>
      </c>
      <c r="K1592">
        <f t="shared" si="48"/>
        <v>50.449999999999989</v>
      </c>
      <c r="L1592" t="str">
        <f t="shared" si="49"/>
        <v>Banca Lariana|19|Risparmio</v>
      </c>
    </row>
    <row r="1593" spans="1:12" x14ac:dyDescent="0.25">
      <c r="A1593" t="s">
        <v>28</v>
      </c>
      <c r="B1593">
        <v>19</v>
      </c>
      <c r="C1593" t="s">
        <v>21</v>
      </c>
      <c r="D1593" s="1">
        <v>45869</v>
      </c>
      <c r="E1593">
        <v>2459.8000000000002</v>
      </c>
      <c r="F1593">
        <v>145.96</v>
      </c>
      <c r="G1593">
        <v>86.66</v>
      </c>
      <c r="H1593">
        <v>239</v>
      </c>
      <c r="I1593" t="s">
        <v>14</v>
      </c>
      <c r="J1593">
        <v>2025</v>
      </c>
      <c r="K1593">
        <f t="shared" si="48"/>
        <v>59.300000000000011</v>
      </c>
      <c r="L1593" t="str">
        <f t="shared" si="49"/>
        <v>Banca Lariana|19|Assicurazioni</v>
      </c>
    </row>
    <row r="1594" spans="1:12" x14ac:dyDescent="0.25">
      <c r="A1594" t="s">
        <v>28</v>
      </c>
      <c r="B1594">
        <v>20</v>
      </c>
      <c r="C1594" t="s">
        <v>13</v>
      </c>
      <c r="D1594" s="1">
        <v>45900</v>
      </c>
      <c r="E1594">
        <v>660</v>
      </c>
      <c r="F1594">
        <v>30.59</v>
      </c>
      <c r="G1594">
        <v>19.03</v>
      </c>
      <c r="H1594">
        <v>70</v>
      </c>
      <c r="I1594" t="s">
        <v>14</v>
      </c>
      <c r="J1594">
        <v>2025</v>
      </c>
      <c r="K1594">
        <f t="shared" si="48"/>
        <v>11.559999999999999</v>
      </c>
      <c r="L1594" t="str">
        <f t="shared" si="49"/>
        <v>Banca Lariana|20|Mutui</v>
      </c>
    </row>
    <row r="1595" spans="1:12" x14ac:dyDescent="0.25">
      <c r="A1595" t="s">
        <v>28</v>
      </c>
      <c r="B1595">
        <v>20</v>
      </c>
      <c r="C1595" t="s">
        <v>15</v>
      </c>
      <c r="D1595" s="1">
        <v>45900</v>
      </c>
      <c r="E1595">
        <v>976</v>
      </c>
      <c r="F1595">
        <v>46.3</v>
      </c>
      <c r="G1595">
        <v>28.85</v>
      </c>
      <c r="H1595">
        <v>91</v>
      </c>
      <c r="I1595" t="s">
        <v>14</v>
      </c>
      <c r="J1595">
        <v>2025</v>
      </c>
      <c r="K1595">
        <f t="shared" si="48"/>
        <v>17.449999999999996</v>
      </c>
      <c r="L1595" t="str">
        <f t="shared" si="49"/>
        <v>Banca Lariana|20|Prestiti</v>
      </c>
    </row>
    <row r="1596" spans="1:12" x14ac:dyDescent="0.25">
      <c r="A1596" t="s">
        <v>28</v>
      </c>
      <c r="B1596">
        <v>20</v>
      </c>
      <c r="C1596" t="s">
        <v>16</v>
      </c>
      <c r="D1596" s="1">
        <v>45900</v>
      </c>
      <c r="E1596">
        <v>1225</v>
      </c>
      <c r="F1596">
        <v>60.17</v>
      </c>
      <c r="G1596">
        <v>36.97</v>
      </c>
      <c r="H1596">
        <v>134</v>
      </c>
      <c r="I1596" t="s">
        <v>14</v>
      </c>
      <c r="J1596">
        <v>2025</v>
      </c>
      <c r="K1596">
        <f t="shared" si="48"/>
        <v>23.200000000000003</v>
      </c>
      <c r="L1596" t="str">
        <f t="shared" si="49"/>
        <v>Banca Lariana|20|Conti</v>
      </c>
    </row>
    <row r="1597" spans="1:12" x14ac:dyDescent="0.25">
      <c r="A1597" t="s">
        <v>28</v>
      </c>
      <c r="B1597">
        <v>20</v>
      </c>
      <c r="C1597" t="s">
        <v>17</v>
      </c>
      <c r="D1597" s="1">
        <v>45900</v>
      </c>
      <c r="E1597">
        <v>1443.3</v>
      </c>
      <c r="F1597">
        <v>74.31</v>
      </c>
      <c r="G1597">
        <v>44.86</v>
      </c>
      <c r="H1597">
        <v>129</v>
      </c>
      <c r="I1597" t="s">
        <v>14</v>
      </c>
      <c r="J1597">
        <v>2025</v>
      </c>
      <c r="K1597">
        <f t="shared" si="48"/>
        <v>29.450000000000003</v>
      </c>
      <c r="L1597" t="str">
        <f t="shared" si="49"/>
        <v>Banca Lariana|20|Carte</v>
      </c>
    </row>
    <row r="1598" spans="1:12" x14ac:dyDescent="0.25">
      <c r="A1598" t="s">
        <v>28</v>
      </c>
      <c r="B1598">
        <v>20</v>
      </c>
      <c r="C1598" t="s">
        <v>18</v>
      </c>
      <c r="D1598" s="1">
        <v>45900</v>
      </c>
      <c r="E1598">
        <v>1706</v>
      </c>
      <c r="F1598">
        <v>90.78</v>
      </c>
      <c r="G1598">
        <v>55.24</v>
      </c>
      <c r="H1598">
        <v>158</v>
      </c>
      <c r="I1598" t="s">
        <v>14</v>
      </c>
      <c r="J1598">
        <v>2025</v>
      </c>
      <c r="K1598">
        <f t="shared" si="48"/>
        <v>35.54</v>
      </c>
      <c r="L1598" t="str">
        <f t="shared" si="49"/>
        <v>Banca Lariana|20|Leasing</v>
      </c>
    </row>
    <row r="1599" spans="1:12" x14ac:dyDescent="0.25">
      <c r="A1599" t="s">
        <v>28</v>
      </c>
      <c r="B1599">
        <v>20</v>
      </c>
      <c r="C1599" t="s">
        <v>19</v>
      </c>
      <c r="D1599" s="1">
        <v>45900</v>
      </c>
      <c r="E1599">
        <v>1991.3</v>
      </c>
      <c r="F1599">
        <v>110.26</v>
      </c>
      <c r="G1599">
        <v>65.900000000000006</v>
      </c>
      <c r="H1599">
        <v>199</v>
      </c>
      <c r="I1599" t="s">
        <v>14</v>
      </c>
      <c r="J1599">
        <v>2025</v>
      </c>
      <c r="K1599">
        <f t="shared" si="48"/>
        <v>44.36</v>
      </c>
      <c r="L1599" t="str">
        <f t="shared" si="49"/>
        <v>Banca Lariana|20|Factoring</v>
      </c>
    </row>
    <row r="1600" spans="1:12" x14ac:dyDescent="0.25">
      <c r="A1600" t="s">
        <v>28</v>
      </c>
      <c r="B1600">
        <v>20</v>
      </c>
      <c r="C1600" t="s">
        <v>20</v>
      </c>
      <c r="D1600" s="1">
        <v>45900</v>
      </c>
      <c r="E1600">
        <v>2239</v>
      </c>
      <c r="F1600">
        <v>127.67</v>
      </c>
      <c r="G1600">
        <v>76.260000000000005</v>
      </c>
      <c r="H1600">
        <v>206</v>
      </c>
      <c r="I1600" t="s">
        <v>14</v>
      </c>
      <c r="J1600">
        <v>2025</v>
      </c>
      <c r="K1600">
        <f t="shared" si="48"/>
        <v>51.41</v>
      </c>
      <c r="L1600" t="str">
        <f t="shared" si="49"/>
        <v>Banca Lariana|20|Risparmio</v>
      </c>
    </row>
    <row r="1601" spans="1:12" x14ac:dyDescent="0.25">
      <c r="A1601" t="s">
        <v>28</v>
      </c>
      <c r="B1601">
        <v>20</v>
      </c>
      <c r="C1601" t="s">
        <v>21</v>
      </c>
      <c r="D1601" s="1">
        <v>45900</v>
      </c>
      <c r="E1601">
        <v>2484</v>
      </c>
      <c r="F1601">
        <v>147.06</v>
      </c>
      <c r="G1601">
        <v>87.86</v>
      </c>
      <c r="H1601">
        <v>247</v>
      </c>
      <c r="I1601" t="s">
        <v>14</v>
      </c>
      <c r="J1601">
        <v>2025</v>
      </c>
      <c r="K1601">
        <f t="shared" si="48"/>
        <v>59.2</v>
      </c>
      <c r="L1601" t="str">
        <f t="shared" si="49"/>
        <v>Banca Lariana|20|Assicurazioni</v>
      </c>
    </row>
    <row r="1602" spans="1:12" x14ac:dyDescent="0.25">
      <c r="A1602" t="s">
        <v>28</v>
      </c>
      <c r="B1602">
        <v>21</v>
      </c>
      <c r="C1602" t="s">
        <v>13</v>
      </c>
      <c r="D1602" s="1">
        <v>45930</v>
      </c>
      <c r="E1602">
        <v>696.4</v>
      </c>
      <c r="F1602">
        <v>32.04</v>
      </c>
      <c r="G1602">
        <v>19.91</v>
      </c>
      <c r="H1602">
        <v>70</v>
      </c>
      <c r="I1602" t="s">
        <v>14</v>
      </c>
      <c r="J1602">
        <v>2025</v>
      </c>
      <c r="K1602">
        <f t="shared" ref="K1602:K1665" si="50">F1602-G1602</f>
        <v>12.129999999999999</v>
      </c>
      <c r="L1602" t="str">
        <f t="shared" ref="L1602:L1665" si="51">A1602&amp;"|"&amp;B1602&amp;"|"&amp;C1602</f>
        <v>Banca Lariana|21|Mutui</v>
      </c>
    </row>
    <row r="1603" spans="1:12" x14ac:dyDescent="0.25">
      <c r="A1603" t="s">
        <v>28</v>
      </c>
      <c r="B1603">
        <v>21</v>
      </c>
      <c r="C1603" t="s">
        <v>15</v>
      </c>
      <c r="D1603" s="1">
        <v>45930</v>
      </c>
      <c r="E1603">
        <v>927.3</v>
      </c>
      <c r="F1603">
        <v>44.53</v>
      </c>
      <c r="G1603">
        <v>27.62</v>
      </c>
      <c r="H1603">
        <v>91</v>
      </c>
      <c r="I1603" t="s">
        <v>14</v>
      </c>
      <c r="J1603">
        <v>2025</v>
      </c>
      <c r="K1603">
        <f t="shared" si="50"/>
        <v>16.91</v>
      </c>
      <c r="L1603" t="str">
        <f t="shared" si="51"/>
        <v>Banca Lariana|21|Prestiti</v>
      </c>
    </row>
    <row r="1604" spans="1:12" x14ac:dyDescent="0.25">
      <c r="A1604" t="s">
        <v>28</v>
      </c>
      <c r="B1604">
        <v>21</v>
      </c>
      <c r="C1604" t="s">
        <v>16</v>
      </c>
      <c r="D1604" s="1">
        <v>45930</v>
      </c>
      <c r="E1604">
        <v>1187.7</v>
      </c>
      <c r="F1604">
        <v>58.91</v>
      </c>
      <c r="G1604">
        <v>36.11</v>
      </c>
      <c r="H1604">
        <v>119</v>
      </c>
      <c r="I1604" t="s">
        <v>14</v>
      </c>
      <c r="J1604">
        <v>2025</v>
      </c>
      <c r="K1604">
        <f t="shared" si="50"/>
        <v>22.799999999999997</v>
      </c>
      <c r="L1604" t="str">
        <f t="shared" si="51"/>
        <v>Banca Lariana|21|Conti</v>
      </c>
    </row>
    <row r="1605" spans="1:12" x14ac:dyDescent="0.25">
      <c r="A1605" t="s">
        <v>28</v>
      </c>
      <c r="B1605">
        <v>21</v>
      </c>
      <c r="C1605" t="s">
        <v>17</v>
      </c>
      <c r="D1605" s="1">
        <v>45930</v>
      </c>
      <c r="E1605">
        <v>1482.9</v>
      </c>
      <c r="F1605">
        <v>75.86</v>
      </c>
      <c r="G1605">
        <v>46.28</v>
      </c>
      <c r="H1605">
        <v>150</v>
      </c>
      <c r="I1605" t="s">
        <v>14</v>
      </c>
      <c r="J1605">
        <v>2025</v>
      </c>
      <c r="K1605">
        <f t="shared" si="50"/>
        <v>29.58</v>
      </c>
      <c r="L1605" t="str">
        <f t="shared" si="51"/>
        <v>Banca Lariana|21|Carte</v>
      </c>
    </row>
    <row r="1606" spans="1:12" x14ac:dyDescent="0.25">
      <c r="A1606" t="s">
        <v>28</v>
      </c>
      <c r="B1606">
        <v>21</v>
      </c>
      <c r="C1606" t="s">
        <v>18</v>
      </c>
      <c r="D1606" s="1">
        <v>45930</v>
      </c>
      <c r="E1606">
        <v>1747.4</v>
      </c>
      <c r="F1606">
        <v>92.84</v>
      </c>
      <c r="G1606">
        <v>56.75</v>
      </c>
      <c r="H1606">
        <v>178</v>
      </c>
      <c r="I1606" t="s">
        <v>14</v>
      </c>
      <c r="J1606">
        <v>2025</v>
      </c>
      <c r="K1606">
        <f t="shared" si="50"/>
        <v>36.090000000000003</v>
      </c>
      <c r="L1606" t="str">
        <f t="shared" si="51"/>
        <v>Banca Lariana|21|Leasing</v>
      </c>
    </row>
    <row r="1607" spans="1:12" x14ac:dyDescent="0.25">
      <c r="A1607" t="s">
        <v>28</v>
      </c>
      <c r="B1607">
        <v>21</v>
      </c>
      <c r="C1607" t="s">
        <v>19</v>
      </c>
      <c r="D1607" s="1">
        <v>45930</v>
      </c>
      <c r="E1607">
        <v>1975.8</v>
      </c>
      <c r="F1607">
        <v>108.68</v>
      </c>
      <c r="G1607">
        <v>66.08</v>
      </c>
      <c r="H1607">
        <v>189</v>
      </c>
      <c r="I1607" t="s">
        <v>14</v>
      </c>
      <c r="J1607">
        <v>2025</v>
      </c>
      <c r="K1607">
        <f t="shared" si="50"/>
        <v>42.600000000000009</v>
      </c>
      <c r="L1607" t="str">
        <f t="shared" si="51"/>
        <v>Banca Lariana|21|Factoring</v>
      </c>
    </row>
    <row r="1608" spans="1:12" x14ac:dyDescent="0.25">
      <c r="A1608" t="s">
        <v>28</v>
      </c>
      <c r="B1608">
        <v>21</v>
      </c>
      <c r="C1608" t="s">
        <v>20</v>
      </c>
      <c r="D1608" s="1">
        <v>45930</v>
      </c>
      <c r="E1608">
        <v>2280.4</v>
      </c>
      <c r="F1608">
        <v>130.77000000000001</v>
      </c>
      <c r="G1608">
        <v>77.83</v>
      </c>
      <c r="H1608">
        <v>214</v>
      </c>
      <c r="I1608" t="s">
        <v>14</v>
      </c>
      <c r="J1608">
        <v>2025</v>
      </c>
      <c r="K1608">
        <f t="shared" si="50"/>
        <v>52.940000000000012</v>
      </c>
      <c r="L1608" t="str">
        <f t="shared" si="51"/>
        <v>Banca Lariana|21|Risparmio</v>
      </c>
    </row>
    <row r="1609" spans="1:12" x14ac:dyDescent="0.25">
      <c r="A1609" t="s">
        <v>28</v>
      </c>
      <c r="B1609">
        <v>21</v>
      </c>
      <c r="C1609" t="s">
        <v>21</v>
      </c>
      <c r="D1609" s="1">
        <v>45930</v>
      </c>
      <c r="E1609">
        <v>2521.6999999999998</v>
      </c>
      <c r="F1609">
        <v>149.72</v>
      </c>
      <c r="G1609">
        <v>88.62</v>
      </c>
      <c r="H1609">
        <v>222</v>
      </c>
      <c r="I1609" t="s">
        <v>14</v>
      </c>
      <c r="J1609">
        <v>2025</v>
      </c>
      <c r="K1609">
        <f t="shared" si="50"/>
        <v>61.099999999999994</v>
      </c>
      <c r="L1609" t="str">
        <f t="shared" si="51"/>
        <v>Banca Lariana|21|Assicurazioni</v>
      </c>
    </row>
    <row r="1610" spans="1:12" x14ac:dyDescent="0.25">
      <c r="A1610" t="s">
        <v>28</v>
      </c>
      <c r="B1610">
        <v>22</v>
      </c>
      <c r="C1610" t="s">
        <v>13</v>
      </c>
      <c r="D1610" s="1">
        <v>45961</v>
      </c>
      <c r="E1610">
        <v>687.9</v>
      </c>
      <c r="F1610">
        <v>30.96</v>
      </c>
      <c r="G1610">
        <v>20.22</v>
      </c>
      <c r="H1610">
        <v>85</v>
      </c>
      <c r="I1610" t="s">
        <v>14</v>
      </c>
      <c r="J1610">
        <v>2025</v>
      </c>
      <c r="K1610">
        <f t="shared" si="50"/>
        <v>10.740000000000002</v>
      </c>
      <c r="L1610" t="str">
        <f t="shared" si="51"/>
        <v>Banca Lariana|22|Mutui</v>
      </c>
    </row>
    <row r="1611" spans="1:12" x14ac:dyDescent="0.25">
      <c r="A1611" t="s">
        <v>28</v>
      </c>
      <c r="B1611">
        <v>22</v>
      </c>
      <c r="C1611" t="s">
        <v>15</v>
      </c>
      <c r="D1611" s="1">
        <v>45961</v>
      </c>
      <c r="E1611">
        <v>986.4</v>
      </c>
      <c r="F1611">
        <v>46.93</v>
      </c>
      <c r="G1611">
        <v>29.35</v>
      </c>
      <c r="H1611">
        <v>109</v>
      </c>
      <c r="I1611" t="s">
        <v>14</v>
      </c>
      <c r="J1611">
        <v>2025</v>
      </c>
      <c r="K1611">
        <f t="shared" si="50"/>
        <v>17.579999999999998</v>
      </c>
      <c r="L1611" t="str">
        <f t="shared" si="51"/>
        <v>Banca Lariana|22|Prestiti</v>
      </c>
    </row>
    <row r="1612" spans="1:12" x14ac:dyDescent="0.25">
      <c r="A1612" t="s">
        <v>28</v>
      </c>
      <c r="B1612">
        <v>22</v>
      </c>
      <c r="C1612" t="s">
        <v>16</v>
      </c>
      <c r="D1612" s="1">
        <v>45961</v>
      </c>
      <c r="E1612">
        <v>1232.4000000000001</v>
      </c>
      <c r="F1612">
        <v>60.59</v>
      </c>
      <c r="G1612">
        <v>37.270000000000003</v>
      </c>
      <c r="H1612">
        <v>108</v>
      </c>
      <c r="I1612" t="s">
        <v>14</v>
      </c>
      <c r="J1612">
        <v>2025</v>
      </c>
      <c r="K1612">
        <f t="shared" si="50"/>
        <v>23.32</v>
      </c>
      <c r="L1612" t="str">
        <f t="shared" si="51"/>
        <v>Banca Lariana|22|Conti</v>
      </c>
    </row>
    <row r="1613" spans="1:12" x14ac:dyDescent="0.25">
      <c r="A1613" t="s">
        <v>28</v>
      </c>
      <c r="B1613">
        <v>22</v>
      </c>
      <c r="C1613" t="s">
        <v>17</v>
      </c>
      <c r="D1613" s="1">
        <v>45961</v>
      </c>
      <c r="E1613">
        <v>1494.8</v>
      </c>
      <c r="F1613">
        <v>77.099999999999994</v>
      </c>
      <c r="G1613">
        <v>47.01</v>
      </c>
      <c r="H1613">
        <v>130</v>
      </c>
      <c r="I1613" t="s">
        <v>14</v>
      </c>
      <c r="J1613">
        <v>2025</v>
      </c>
      <c r="K1613">
        <f t="shared" si="50"/>
        <v>30.089999999999996</v>
      </c>
      <c r="L1613" t="str">
        <f t="shared" si="51"/>
        <v>Banca Lariana|22|Carte</v>
      </c>
    </row>
    <row r="1614" spans="1:12" x14ac:dyDescent="0.25">
      <c r="A1614" t="s">
        <v>28</v>
      </c>
      <c r="B1614">
        <v>22</v>
      </c>
      <c r="C1614" t="s">
        <v>18</v>
      </c>
      <c r="D1614" s="1">
        <v>45961</v>
      </c>
      <c r="E1614">
        <v>1771.7</v>
      </c>
      <c r="F1614">
        <v>93.97</v>
      </c>
      <c r="G1614">
        <v>56.96</v>
      </c>
      <c r="H1614">
        <v>160</v>
      </c>
      <c r="I1614" t="s">
        <v>14</v>
      </c>
      <c r="J1614">
        <v>2025</v>
      </c>
      <c r="K1614">
        <f t="shared" si="50"/>
        <v>37.01</v>
      </c>
      <c r="L1614" t="str">
        <f t="shared" si="51"/>
        <v>Banca Lariana|22|Leasing</v>
      </c>
    </row>
    <row r="1615" spans="1:12" x14ac:dyDescent="0.25">
      <c r="A1615" t="s">
        <v>28</v>
      </c>
      <c r="B1615">
        <v>22</v>
      </c>
      <c r="C1615" t="s">
        <v>19</v>
      </c>
      <c r="D1615" s="1">
        <v>45961</v>
      </c>
      <c r="E1615">
        <v>2007.1</v>
      </c>
      <c r="F1615">
        <v>110.81</v>
      </c>
      <c r="G1615">
        <v>67.16</v>
      </c>
      <c r="H1615">
        <v>202</v>
      </c>
      <c r="I1615" t="s">
        <v>14</v>
      </c>
      <c r="J1615">
        <v>2025</v>
      </c>
      <c r="K1615">
        <f t="shared" si="50"/>
        <v>43.650000000000006</v>
      </c>
      <c r="L1615" t="str">
        <f t="shared" si="51"/>
        <v>Banca Lariana|22|Factoring</v>
      </c>
    </row>
    <row r="1616" spans="1:12" x14ac:dyDescent="0.25">
      <c r="A1616" t="s">
        <v>28</v>
      </c>
      <c r="B1616">
        <v>22</v>
      </c>
      <c r="C1616" t="s">
        <v>20</v>
      </c>
      <c r="D1616" s="1">
        <v>45961</v>
      </c>
      <c r="E1616">
        <v>2298.9</v>
      </c>
      <c r="F1616">
        <v>131.91</v>
      </c>
      <c r="G1616">
        <v>78.28</v>
      </c>
      <c r="H1616">
        <v>204</v>
      </c>
      <c r="I1616" t="s">
        <v>14</v>
      </c>
      <c r="J1616">
        <v>2025</v>
      </c>
      <c r="K1616">
        <f t="shared" si="50"/>
        <v>53.629999999999995</v>
      </c>
      <c r="L1616" t="str">
        <f t="shared" si="51"/>
        <v>Banca Lariana|22|Risparmio</v>
      </c>
    </row>
    <row r="1617" spans="1:12" x14ac:dyDescent="0.25">
      <c r="A1617" t="s">
        <v>28</v>
      </c>
      <c r="B1617">
        <v>22</v>
      </c>
      <c r="C1617" t="s">
        <v>21</v>
      </c>
      <c r="D1617" s="1">
        <v>45961</v>
      </c>
      <c r="E1617">
        <v>2525.1</v>
      </c>
      <c r="F1617">
        <v>149.26</v>
      </c>
      <c r="G1617">
        <v>88.56</v>
      </c>
      <c r="H1617">
        <v>247</v>
      </c>
      <c r="I1617" t="s">
        <v>14</v>
      </c>
      <c r="J1617">
        <v>2025</v>
      </c>
      <c r="K1617">
        <f t="shared" si="50"/>
        <v>60.699999999999989</v>
      </c>
      <c r="L1617" t="str">
        <f t="shared" si="51"/>
        <v>Banca Lariana|22|Assicurazioni</v>
      </c>
    </row>
    <row r="1618" spans="1:12" x14ac:dyDescent="0.25">
      <c r="A1618" t="s">
        <v>28</v>
      </c>
      <c r="B1618">
        <v>23</v>
      </c>
      <c r="C1618" t="s">
        <v>13</v>
      </c>
      <c r="D1618" s="1">
        <v>45991</v>
      </c>
      <c r="E1618">
        <v>688.9</v>
      </c>
      <c r="F1618">
        <v>31.26</v>
      </c>
      <c r="G1618">
        <v>19.47</v>
      </c>
      <c r="H1618">
        <v>91</v>
      </c>
      <c r="I1618" t="s">
        <v>14</v>
      </c>
      <c r="J1618">
        <v>2025</v>
      </c>
      <c r="K1618">
        <f t="shared" si="50"/>
        <v>11.790000000000003</v>
      </c>
      <c r="L1618" t="str">
        <f t="shared" si="51"/>
        <v>Banca Lariana|23|Mutui</v>
      </c>
    </row>
    <row r="1619" spans="1:12" x14ac:dyDescent="0.25">
      <c r="A1619" t="s">
        <v>28</v>
      </c>
      <c r="B1619">
        <v>23</v>
      </c>
      <c r="C1619" t="s">
        <v>15</v>
      </c>
      <c r="D1619" s="1">
        <v>45991</v>
      </c>
      <c r="E1619">
        <v>992.4</v>
      </c>
      <c r="F1619">
        <v>47.13</v>
      </c>
      <c r="G1619">
        <v>28.96</v>
      </c>
      <c r="H1619">
        <v>117</v>
      </c>
      <c r="I1619" t="s">
        <v>14</v>
      </c>
      <c r="J1619">
        <v>2025</v>
      </c>
      <c r="K1619">
        <f t="shared" si="50"/>
        <v>18.170000000000002</v>
      </c>
      <c r="L1619" t="str">
        <f t="shared" si="51"/>
        <v>Banca Lariana|23|Prestiti</v>
      </c>
    </row>
    <row r="1620" spans="1:12" x14ac:dyDescent="0.25">
      <c r="A1620" t="s">
        <v>28</v>
      </c>
      <c r="B1620">
        <v>23</v>
      </c>
      <c r="C1620" t="s">
        <v>16</v>
      </c>
      <c r="D1620" s="1">
        <v>45991</v>
      </c>
      <c r="E1620">
        <v>1214.5999999999999</v>
      </c>
      <c r="F1620">
        <v>59.79</v>
      </c>
      <c r="G1620">
        <v>36.69</v>
      </c>
      <c r="H1620">
        <v>114</v>
      </c>
      <c r="I1620" t="s">
        <v>14</v>
      </c>
      <c r="J1620">
        <v>2025</v>
      </c>
      <c r="K1620">
        <f t="shared" si="50"/>
        <v>23.1</v>
      </c>
      <c r="L1620" t="str">
        <f t="shared" si="51"/>
        <v>Banca Lariana|23|Conti</v>
      </c>
    </row>
    <row r="1621" spans="1:12" x14ac:dyDescent="0.25">
      <c r="A1621" t="s">
        <v>28</v>
      </c>
      <c r="B1621">
        <v>23</v>
      </c>
      <c r="C1621" t="s">
        <v>17</v>
      </c>
      <c r="D1621" s="1">
        <v>45991</v>
      </c>
      <c r="E1621">
        <v>1522.8</v>
      </c>
      <c r="F1621">
        <v>78.41</v>
      </c>
      <c r="G1621">
        <v>47.86</v>
      </c>
      <c r="H1621">
        <v>133</v>
      </c>
      <c r="I1621" t="s">
        <v>14</v>
      </c>
      <c r="J1621">
        <v>2025</v>
      </c>
      <c r="K1621">
        <f t="shared" si="50"/>
        <v>30.549999999999997</v>
      </c>
      <c r="L1621" t="str">
        <f t="shared" si="51"/>
        <v>Banca Lariana|23|Carte</v>
      </c>
    </row>
    <row r="1622" spans="1:12" x14ac:dyDescent="0.25">
      <c r="A1622" t="s">
        <v>28</v>
      </c>
      <c r="B1622">
        <v>23</v>
      </c>
      <c r="C1622" t="s">
        <v>18</v>
      </c>
      <c r="D1622" s="1">
        <v>45991</v>
      </c>
      <c r="E1622">
        <v>1737.7</v>
      </c>
      <c r="F1622">
        <v>92.73</v>
      </c>
      <c r="G1622">
        <v>56.57</v>
      </c>
      <c r="H1622">
        <v>176</v>
      </c>
      <c r="I1622" t="s">
        <v>14</v>
      </c>
      <c r="J1622">
        <v>2025</v>
      </c>
      <c r="K1622">
        <f t="shared" si="50"/>
        <v>36.160000000000004</v>
      </c>
      <c r="L1622" t="str">
        <f t="shared" si="51"/>
        <v>Banca Lariana|23|Leasing</v>
      </c>
    </row>
    <row r="1623" spans="1:12" x14ac:dyDescent="0.25">
      <c r="A1623" t="s">
        <v>28</v>
      </c>
      <c r="B1623">
        <v>23</v>
      </c>
      <c r="C1623" t="s">
        <v>19</v>
      </c>
      <c r="D1623" s="1">
        <v>45991</v>
      </c>
      <c r="E1623">
        <v>2050.1</v>
      </c>
      <c r="F1623">
        <v>112.84</v>
      </c>
      <c r="G1623">
        <v>68.650000000000006</v>
      </c>
      <c r="H1623">
        <v>200</v>
      </c>
      <c r="I1623" t="s">
        <v>14</v>
      </c>
      <c r="J1623">
        <v>2025</v>
      </c>
      <c r="K1623">
        <f t="shared" si="50"/>
        <v>44.19</v>
      </c>
      <c r="L1623" t="str">
        <f t="shared" si="51"/>
        <v>Banca Lariana|23|Factoring</v>
      </c>
    </row>
    <row r="1624" spans="1:12" x14ac:dyDescent="0.25">
      <c r="A1624" t="s">
        <v>28</v>
      </c>
      <c r="B1624">
        <v>23</v>
      </c>
      <c r="C1624" t="s">
        <v>20</v>
      </c>
      <c r="D1624" s="1">
        <v>45991</v>
      </c>
      <c r="E1624">
        <v>2302.8000000000002</v>
      </c>
      <c r="F1624">
        <v>131.94999999999999</v>
      </c>
      <c r="G1624">
        <v>79.150000000000006</v>
      </c>
      <c r="H1624">
        <v>226</v>
      </c>
      <c r="I1624" t="s">
        <v>14</v>
      </c>
      <c r="J1624">
        <v>2025</v>
      </c>
      <c r="K1624">
        <f t="shared" si="50"/>
        <v>52.799999999999983</v>
      </c>
      <c r="L1624" t="str">
        <f t="shared" si="51"/>
        <v>Banca Lariana|23|Risparmio</v>
      </c>
    </row>
    <row r="1625" spans="1:12" x14ac:dyDescent="0.25">
      <c r="A1625" t="s">
        <v>28</v>
      </c>
      <c r="B1625">
        <v>23</v>
      </c>
      <c r="C1625" t="s">
        <v>21</v>
      </c>
      <c r="D1625" s="1">
        <v>45991</v>
      </c>
      <c r="E1625">
        <v>2540.5</v>
      </c>
      <c r="F1625">
        <v>150.77000000000001</v>
      </c>
      <c r="G1625">
        <v>89.37</v>
      </c>
      <c r="H1625">
        <v>230</v>
      </c>
      <c r="I1625" t="s">
        <v>14</v>
      </c>
      <c r="J1625">
        <v>2025</v>
      </c>
      <c r="K1625">
        <f t="shared" si="50"/>
        <v>61.400000000000006</v>
      </c>
      <c r="L1625" t="str">
        <f t="shared" si="51"/>
        <v>Banca Lariana|23|Assicurazioni</v>
      </c>
    </row>
    <row r="1626" spans="1:12" x14ac:dyDescent="0.25">
      <c r="A1626" t="s">
        <v>28</v>
      </c>
      <c r="B1626">
        <v>24</v>
      </c>
      <c r="C1626" t="s">
        <v>13</v>
      </c>
      <c r="D1626" s="1">
        <v>46022</v>
      </c>
      <c r="E1626">
        <v>683.3</v>
      </c>
      <c r="F1626">
        <v>30.99</v>
      </c>
      <c r="G1626">
        <v>19.18</v>
      </c>
      <c r="H1626">
        <v>81</v>
      </c>
      <c r="I1626" t="s">
        <v>14</v>
      </c>
      <c r="J1626">
        <v>2025</v>
      </c>
      <c r="K1626">
        <f t="shared" si="50"/>
        <v>11.809999999999999</v>
      </c>
      <c r="L1626" t="str">
        <f t="shared" si="51"/>
        <v>Banca Lariana|24|Mutui</v>
      </c>
    </row>
    <row r="1627" spans="1:12" x14ac:dyDescent="0.25">
      <c r="A1627" t="s">
        <v>28</v>
      </c>
      <c r="B1627">
        <v>24</v>
      </c>
      <c r="C1627" t="s">
        <v>15</v>
      </c>
      <c r="D1627" s="1">
        <v>46022</v>
      </c>
      <c r="E1627">
        <v>955</v>
      </c>
      <c r="F1627">
        <v>45.5</v>
      </c>
      <c r="G1627">
        <v>28.55</v>
      </c>
      <c r="H1627">
        <v>94</v>
      </c>
      <c r="I1627" t="s">
        <v>14</v>
      </c>
      <c r="J1627">
        <v>2025</v>
      </c>
      <c r="K1627">
        <f t="shared" si="50"/>
        <v>16.95</v>
      </c>
      <c r="L1627" t="str">
        <f t="shared" si="51"/>
        <v>Banca Lariana|24|Prestiti</v>
      </c>
    </row>
    <row r="1628" spans="1:12" x14ac:dyDescent="0.25">
      <c r="A1628" t="s">
        <v>28</v>
      </c>
      <c r="B1628">
        <v>24</v>
      </c>
      <c r="C1628" t="s">
        <v>16</v>
      </c>
      <c r="D1628" s="1">
        <v>46022</v>
      </c>
      <c r="E1628">
        <v>1215.2</v>
      </c>
      <c r="F1628">
        <v>60.17</v>
      </c>
      <c r="G1628">
        <v>36.46</v>
      </c>
      <c r="H1628">
        <v>130</v>
      </c>
      <c r="I1628" t="s">
        <v>14</v>
      </c>
      <c r="J1628">
        <v>2025</v>
      </c>
      <c r="K1628">
        <f t="shared" si="50"/>
        <v>23.71</v>
      </c>
      <c r="L1628" t="str">
        <f t="shared" si="51"/>
        <v>Banca Lariana|24|Conti</v>
      </c>
    </row>
    <row r="1629" spans="1:12" x14ac:dyDescent="0.25">
      <c r="A1629" t="s">
        <v>28</v>
      </c>
      <c r="B1629">
        <v>24</v>
      </c>
      <c r="C1629" t="s">
        <v>17</v>
      </c>
      <c r="D1629" s="1">
        <v>46022</v>
      </c>
      <c r="E1629">
        <v>1520.5</v>
      </c>
      <c r="F1629">
        <v>77.849999999999994</v>
      </c>
      <c r="G1629">
        <v>47.6</v>
      </c>
      <c r="H1629">
        <v>159</v>
      </c>
      <c r="I1629" t="s">
        <v>14</v>
      </c>
      <c r="J1629">
        <v>2025</v>
      </c>
      <c r="K1629">
        <f t="shared" si="50"/>
        <v>30.249999999999993</v>
      </c>
      <c r="L1629" t="str">
        <f t="shared" si="51"/>
        <v>Banca Lariana|24|Carte</v>
      </c>
    </row>
    <row r="1630" spans="1:12" x14ac:dyDescent="0.25">
      <c r="A1630" t="s">
        <v>28</v>
      </c>
      <c r="B1630">
        <v>24</v>
      </c>
      <c r="C1630" t="s">
        <v>18</v>
      </c>
      <c r="D1630" s="1">
        <v>46022</v>
      </c>
      <c r="E1630">
        <v>1788.4</v>
      </c>
      <c r="F1630">
        <v>95.28</v>
      </c>
      <c r="G1630">
        <v>57.66</v>
      </c>
      <c r="H1630">
        <v>152</v>
      </c>
      <c r="I1630" t="s">
        <v>14</v>
      </c>
      <c r="J1630">
        <v>2025</v>
      </c>
      <c r="K1630">
        <f t="shared" si="50"/>
        <v>37.620000000000005</v>
      </c>
      <c r="L1630" t="str">
        <f t="shared" si="51"/>
        <v>Banca Lariana|24|Leasing</v>
      </c>
    </row>
    <row r="1631" spans="1:12" x14ac:dyDescent="0.25">
      <c r="A1631" t="s">
        <v>28</v>
      </c>
      <c r="B1631">
        <v>24</v>
      </c>
      <c r="C1631" t="s">
        <v>19</v>
      </c>
      <c r="D1631" s="1">
        <v>46022</v>
      </c>
      <c r="E1631">
        <v>2011.7</v>
      </c>
      <c r="F1631">
        <v>111.06</v>
      </c>
      <c r="G1631">
        <v>66.8</v>
      </c>
      <c r="H1631">
        <v>206</v>
      </c>
      <c r="I1631" t="s">
        <v>14</v>
      </c>
      <c r="J1631">
        <v>2025</v>
      </c>
      <c r="K1631">
        <f t="shared" si="50"/>
        <v>44.260000000000005</v>
      </c>
      <c r="L1631" t="str">
        <f t="shared" si="51"/>
        <v>Banca Lariana|24|Factoring</v>
      </c>
    </row>
    <row r="1632" spans="1:12" x14ac:dyDescent="0.25">
      <c r="A1632" t="s">
        <v>28</v>
      </c>
      <c r="B1632">
        <v>24</v>
      </c>
      <c r="C1632" t="s">
        <v>20</v>
      </c>
      <c r="D1632" s="1">
        <v>46022</v>
      </c>
      <c r="E1632">
        <v>2325.5</v>
      </c>
      <c r="F1632">
        <v>132.85</v>
      </c>
      <c r="G1632">
        <v>79.34</v>
      </c>
      <c r="H1632">
        <v>196</v>
      </c>
      <c r="I1632" t="s">
        <v>14</v>
      </c>
      <c r="J1632">
        <v>2025</v>
      </c>
      <c r="K1632">
        <f t="shared" si="50"/>
        <v>53.509999999999991</v>
      </c>
      <c r="L1632" t="str">
        <f t="shared" si="51"/>
        <v>Banca Lariana|24|Risparmio</v>
      </c>
    </row>
    <row r="1633" spans="1:12" x14ac:dyDescent="0.25">
      <c r="A1633" t="s">
        <v>28</v>
      </c>
      <c r="B1633">
        <v>24</v>
      </c>
      <c r="C1633" t="s">
        <v>21</v>
      </c>
      <c r="D1633" s="1">
        <v>46022</v>
      </c>
      <c r="E1633">
        <v>2587.9</v>
      </c>
      <c r="F1633">
        <v>153.27000000000001</v>
      </c>
      <c r="G1633">
        <v>90.98</v>
      </c>
      <c r="H1633">
        <v>236</v>
      </c>
      <c r="I1633" t="s">
        <v>14</v>
      </c>
      <c r="J1633">
        <v>2025</v>
      </c>
      <c r="K1633">
        <f t="shared" si="50"/>
        <v>62.290000000000006</v>
      </c>
      <c r="L1633" t="str">
        <f t="shared" si="51"/>
        <v>Banca Lariana|24|Assicurazioni</v>
      </c>
    </row>
    <row r="1634" spans="1:12" x14ac:dyDescent="0.25">
      <c r="A1634" t="s">
        <v>28</v>
      </c>
      <c r="B1634">
        <v>25</v>
      </c>
      <c r="C1634" t="s">
        <v>13</v>
      </c>
      <c r="D1634" s="1">
        <v>46053</v>
      </c>
      <c r="E1634">
        <v>717.3</v>
      </c>
      <c r="F1634">
        <v>32.51</v>
      </c>
      <c r="G1634">
        <v>20.77</v>
      </c>
      <c r="H1634">
        <v>84</v>
      </c>
      <c r="I1634" t="s">
        <v>14</v>
      </c>
      <c r="J1634">
        <v>2026</v>
      </c>
      <c r="K1634">
        <f t="shared" si="50"/>
        <v>11.739999999999998</v>
      </c>
      <c r="L1634" t="str">
        <f t="shared" si="51"/>
        <v>Banca Lariana|25|Mutui</v>
      </c>
    </row>
    <row r="1635" spans="1:12" x14ac:dyDescent="0.25">
      <c r="A1635" t="s">
        <v>28</v>
      </c>
      <c r="B1635">
        <v>25</v>
      </c>
      <c r="C1635" t="s">
        <v>15</v>
      </c>
      <c r="D1635" s="1">
        <v>46053</v>
      </c>
      <c r="E1635">
        <v>989.6</v>
      </c>
      <c r="F1635">
        <v>47.2</v>
      </c>
      <c r="G1635">
        <v>28.9</v>
      </c>
      <c r="H1635">
        <v>85</v>
      </c>
      <c r="I1635" t="s">
        <v>14</v>
      </c>
      <c r="J1635">
        <v>2026</v>
      </c>
      <c r="K1635">
        <f t="shared" si="50"/>
        <v>18.300000000000004</v>
      </c>
      <c r="L1635" t="str">
        <f t="shared" si="51"/>
        <v>Banca Lariana|25|Prestiti</v>
      </c>
    </row>
    <row r="1636" spans="1:12" x14ac:dyDescent="0.25">
      <c r="A1636" t="s">
        <v>28</v>
      </c>
      <c r="B1636">
        <v>25</v>
      </c>
      <c r="C1636" t="s">
        <v>16</v>
      </c>
      <c r="D1636" s="1">
        <v>46053</v>
      </c>
      <c r="E1636">
        <v>1244.2</v>
      </c>
      <c r="F1636">
        <v>61.38</v>
      </c>
      <c r="G1636">
        <v>37.94</v>
      </c>
      <c r="H1636">
        <v>126</v>
      </c>
      <c r="I1636" t="s">
        <v>14</v>
      </c>
      <c r="J1636">
        <v>2026</v>
      </c>
      <c r="K1636">
        <f t="shared" si="50"/>
        <v>23.440000000000005</v>
      </c>
      <c r="L1636" t="str">
        <f t="shared" si="51"/>
        <v>Banca Lariana|25|Conti</v>
      </c>
    </row>
    <row r="1637" spans="1:12" x14ac:dyDescent="0.25">
      <c r="A1637" t="s">
        <v>28</v>
      </c>
      <c r="B1637">
        <v>25</v>
      </c>
      <c r="C1637" t="s">
        <v>17</v>
      </c>
      <c r="D1637" s="1">
        <v>46053</v>
      </c>
      <c r="E1637">
        <v>1532.5</v>
      </c>
      <c r="F1637">
        <v>78.97</v>
      </c>
      <c r="G1637">
        <v>48.47</v>
      </c>
      <c r="H1637">
        <v>143</v>
      </c>
      <c r="I1637" t="s">
        <v>14</v>
      </c>
      <c r="J1637">
        <v>2026</v>
      </c>
      <c r="K1637">
        <f t="shared" si="50"/>
        <v>30.5</v>
      </c>
      <c r="L1637" t="str">
        <f t="shared" si="51"/>
        <v>Banca Lariana|25|Carte</v>
      </c>
    </row>
    <row r="1638" spans="1:12" x14ac:dyDescent="0.25">
      <c r="A1638" t="s">
        <v>28</v>
      </c>
      <c r="B1638">
        <v>25</v>
      </c>
      <c r="C1638" t="s">
        <v>18</v>
      </c>
      <c r="D1638" s="1">
        <v>46053</v>
      </c>
      <c r="E1638">
        <v>1758</v>
      </c>
      <c r="F1638">
        <v>93.38</v>
      </c>
      <c r="G1638">
        <v>57.22</v>
      </c>
      <c r="H1638">
        <v>164</v>
      </c>
      <c r="I1638" t="s">
        <v>14</v>
      </c>
      <c r="J1638">
        <v>2026</v>
      </c>
      <c r="K1638">
        <f t="shared" si="50"/>
        <v>36.159999999999997</v>
      </c>
      <c r="L1638" t="str">
        <f t="shared" si="51"/>
        <v>Banca Lariana|25|Leasing</v>
      </c>
    </row>
    <row r="1639" spans="1:12" x14ac:dyDescent="0.25">
      <c r="A1639" t="s">
        <v>28</v>
      </c>
      <c r="B1639">
        <v>25</v>
      </c>
      <c r="C1639" t="s">
        <v>19</v>
      </c>
      <c r="D1639" s="1">
        <v>46053</v>
      </c>
      <c r="E1639">
        <v>2063.1</v>
      </c>
      <c r="F1639">
        <v>113.83</v>
      </c>
      <c r="G1639">
        <v>68.989999999999995</v>
      </c>
      <c r="H1639">
        <v>202</v>
      </c>
      <c r="I1639" t="s">
        <v>14</v>
      </c>
      <c r="J1639">
        <v>2026</v>
      </c>
      <c r="K1639">
        <f t="shared" si="50"/>
        <v>44.84</v>
      </c>
      <c r="L1639" t="str">
        <f t="shared" si="51"/>
        <v>Banca Lariana|25|Factoring</v>
      </c>
    </row>
    <row r="1640" spans="1:12" x14ac:dyDescent="0.25">
      <c r="A1640" t="s">
        <v>28</v>
      </c>
      <c r="B1640">
        <v>25</v>
      </c>
      <c r="C1640" t="s">
        <v>20</v>
      </c>
      <c r="D1640" s="1">
        <v>46053</v>
      </c>
      <c r="E1640">
        <v>2315.9</v>
      </c>
      <c r="F1640">
        <v>132.91</v>
      </c>
      <c r="G1640">
        <v>79.680000000000007</v>
      </c>
      <c r="H1640">
        <v>203</v>
      </c>
      <c r="I1640" t="s">
        <v>14</v>
      </c>
      <c r="J1640">
        <v>2026</v>
      </c>
      <c r="K1640">
        <f t="shared" si="50"/>
        <v>53.22999999999999</v>
      </c>
      <c r="L1640" t="str">
        <f t="shared" si="51"/>
        <v>Banca Lariana|25|Risparmio</v>
      </c>
    </row>
    <row r="1641" spans="1:12" x14ac:dyDescent="0.25">
      <c r="A1641" t="s">
        <v>28</v>
      </c>
      <c r="B1641">
        <v>25</v>
      </c>
      <c r="C1641" t="s">
        <v>21</v>
      </c>
      <c r="D1641" s="1">
        <v>46053</v>
      </c>
      <c r="E1641">
        <v>2572</v>
      </c>
      <c r="F1641">
        <v>152.56</v>
      </c>
      <c r="G1641">
        <v>90.81</v>
      </c>
      <c r="H1641">
        <v>231</v>
      </c>
      <c r="I1641" t="s">
        <v>14</v>
      </c>
      <c r="J1641">
        <v>2026</v>
      </c>
      <c r="K1641">
        <f t="shared" si="50"/>
        <v>61.75</v>
      </c>
      <c r="L1641" t="str">
        <f t="shared" si="51"/>
        <v>Banca Lariana|25|Assicurazioni</v>
      </c>
    </row>
    <row r="1642" spans="1:12" x14ac:dyDescent="0.25">
      <c r="A1642" t="s">
        <v>28</v>
      </c>
      <c r="B1642">
        <v>26</v>
      </c>
      <c r="C1642" t="s">
        <v>13</v>
      </c>
      <c r="D1642" s="1">
        <v>46081</v>
      </c>
      <c r="E1642">
        <v>725</v>
      </c>
      <c r="F1642">
        <v>32.840000000000003</v>
      </c>
      <c r="G1642">
        <v>20.63</v>
      </c>
      <c r="H1642">
        <v>77</v>
      </c>
      <c r="I1642" t="s">
        <v>14</v>
      </c>
      <c r="J1642">
        <v>2026</v>
      </c>
      <c r="K1642">
        <f t="shared" si="50"/>
        <v>12.210000000000004</v>
      </c>
      <c r="L1642" t="str">
        <f t="shared" si="51"/>
        <v>Banca Lariana|26|Mutui</v>
      </c>
    </row>
    <row r="1643" spans="1:12" x14ac:dyDescent="0.25">
      <c r="A1643" t="s">
        <v>28</v>
      </c>
      <c r="B1643">
        <v>26</v>
      </c>
      <c r="C1643" t="s">
        <v>15</v>
      </c>
      <c r="D1643" s="1">
        <v>46081</v>
      </c>
      <c r="E1643">
        <v>964.6</v>
      </c>
      <c r="F1643">
        <v>46.02</v>
      </c>
      <c r="G1643">
        <v>28.68</v>
      </c>
      <c r="H1643">
        <v>94</v>
      </c>
      <c r="I1643" t="s">
        <v>14</v>
      </c>
      <c r="J1643">
        <v>2026</v>
      </c>
      <c r="K1643">
        <f t="shared" si="50"/>
        <v>17.340000000000003</v>
      </c>
      <c r="L1643" t="str">
        <f t="shared" si="51"/>
        <v>Banca Lariana|26|Prestiti</v>
      </c>
    </row>
    <row r="1644" spans="1:12" x14ac:dyDescent="0.25">
      <c r="A1644" t="s">
        <v>28</v>
      </c>
      <c r="B1644">
        <v>26</v>
      </c>
      <c r="C1644" t="s">
        <v>16</v>
      </c>
      <c r="D1644" s="1">
        <v>46081</v>
      </c>
      <c r="E1644">
        <v>1230.2</v>
      </c>
      <c r="F1644">
        <v>60.9</v>
      </c>
      <c r="G1644">
        <v>37.86</v>
      </c>
      <c r="H1644">
        <v>121</v>
      </c>
      <c r="I1644" t="s">
        <v>14</v>
      </c>
      <c r="J1644">
        <v>2026</v>
      </c>
      <c r="K1644">
        <f t="shared" si="50"/>
        <v>23.04</v>
      </c>
      <c r="L1644" t="str">
        <f t="shared" si="51"/>
        <v>Banca Lariana|26|Conti</v>
      </c>
    </row>
    <row r="1645" spans="1:12" x14ac:dyDescent="0.25">
      <c r="A1645" t="s">
        <v>28</v>
      </c>
      <c r="B1645">
        <v>26</v>
      </c>
      <c r="C1645" t="s">
        <v>17</v>
      </c>
      <c r="D1645" s="1">
        <v>46081</v>
      </c>
      <c r="E1645">
        <v>1529.1</v>
      </c>
      <c r="F1645">
        <v>78.25</v>
      </c>
      <c r="G1645">
        <v>47.68</v>
      </c>
      <c r="H1645">
        <v>163</v>
      </c>
      <c r="I1645" t="s">
        <v>14</v>
      </c>
      <c r="J1645">
        <v>2026</v>
      </c>
      <c r="K1645">
        <f t="shared" si="50"/>
        <v>30.57</v>
      </c>
      <c r="L1645" t="str">
        <f t="shared" si="51"/>
        <v>Banca Lariana|26|Carte</v>
      </c>
    </row>
    <row r="1646" spans="1:12" x14ac:dyDescent="0.25">
      <c r="A1646" t="s">
        <v>28</v>
      </c>
      <c r="B1646">
        <v>26</v>
      </c>
      <c r="C1646" t="s">
        <v>18</v>
      </c>
      <c r="D1646" s="1">
        <v>46081</v>
      </c>
      <c r="E1646">
        <v>1813</v>
      </c>
      <c r="F1646">
        <v>96.87</v>
      </c>
      <c r="G1646">
        <v>58.42</v>
      </c>
      <c r="H1646">
        <v>172</v>
      </c>
      <c r="I1646" t="s">
        <v>14</v>
      </c>
      <c r="J1646">
        <v>2026</v>
      </c>
      <c r="K1646">
        <f t="shared" si="50"/>
        <v>38.450000000000003</v>
      </c>
      <c r="L1646" t="str">
        <f t="shared" si="51"/>
        <v>Banca Lariana|26|Leasing</v>
      </c>
    </row>
    <row r="1647" spans="1:12" x14ac:dyDescent="0.25">
      <c r="A1647" t="s">
        <v>28</v>
      </c>
      <c r="B1647">
        <v>26</v>
      </c>
      <c r="C1647" t="s">
        <v>19</v>
      </c>
      <c r="D1647" s="1">
        <v>46081</v>
      </c>
      <c r="E1647">
        <v>2038.8</v>
      </c>
      <c r="F1647">
        <v>112.61</v>
      </c>
      <c r="G1647">
        <v>67.63</v>
      </c>
      <c r="H1647">
        <v>181</v>
      </c>
      <c r="I1647" t="s">
        <v>14</v>
      </c>
      <c r="J1647">
        <v>2026</v>
      </c>
      <c r="K1647">
        <f t="shared" si="50"/>
        <v>44.980000000000004</v>
      </c>
      <c r="L1647" t="str">
        <f t="shared" si="51"/>
        <v>Banca Lariana|26|Factoring</v>
      </c>
    </row>
    <row r="1648" spans="1:12" x14ac:dyDescent="0.25">
      <c r="A1648" t="s">
        <v>28</v>
      </c>
      <c r="B1648">
        <v>26</v>
      </c>
      <c r="C1648" t="s">
        <v>20</v>
      </c>
      <c r="D1648" s="1">
        <v>46081</v>
      </c>
      <c r="E1648">
        <v>2345</v>
      </c>
      <c r="F1648">
        <v>133.69</v>
      </c>
      <c r="G1648">
        <v>80.27</v>
      </c>
      <c r="H1648">
        <v>225</v>
      </c>
      <c r="I1648" t="s">
        <v>14</v>
      </c>
      <c r="J1648">
        <v>2026</v>
      </c>
      <c r="K1648">
        <f t="shared" si="50"/>
        <v>53.42</v>
      </c>
      <c r="L1648" t="str">
        <f t="shared" si="51"/>
        <v>Banca Lariana|26|Risparmio</v>
      </c>
    </row>
    <row r="1649" spans="1:12" x14ac:dyDescent="0.25">
      <c r="A1649" t="s">
        <v>28</v>
      </c>
      <c r="B1649">
        <v>26</v>
      </c>
      <c r="C1649" t="s">
        <v>21</v>
      </c>
      <c r="D1649" s="1">
        <v>46081</v>
      </c>
      <c r="E1649">
        <v>2611.9</v>
      </c>
      <c r="F1649">
        <v>154.97999999999999</v>
      </c>
      <c r="G1649">
        <v>91.92</v>
      </c>
      <c r="H1649">
        <v>226</v>
      </c>
      <c r="I1649" t="s">
        <v>14</v>
      </c>
      <c r="J1649">
        <v>2026</v>
      </c>
      <c r="K1649">
        <f t="shared" si="50"/>
        <v>63.059999999999988</v>
      </c>
      <c r="L1649" t="str">
        <f t="shared" si="51"/>
        <v>Banca Lariana|26|Assicurazioni</v>
      </c>
    </row>
    <row r="1650" spans="1:12" x14ac:dyDescent="0.25">
      <c r="A1650" t="s">
        <v>28</v>
      </c>
      <c r="B1650">
        <v>27</v>
      </c>
      <c r="C1650" t="s">
        <v>13</v>
      </c>
      <c r="D1650" s="1">
        <v>46112</v>
      </c>
      <c r="E1650">
        <v>736.5</v>
      </c>
      <c r="F1650">
        <v>33.79</v>
      </c>
      <c r="G1650">
        <v>21.22</v>
      </c>
      <c r="H1650">
        <v>88</v>
      </c>
      <c r="I1650" t="s">
        <v>14</v>
      </c>
      <c r="J1650">
        <v>2026</v>
      </c>
      <c r="K1650">
        <f t="shared" si="50"/>
        <v>12.57</v>
      </c>
      <c r="L1650" t="str">
        <f t="shared" si="51"/>
        <v>Banca Lariana|27|Mutui</v>
      </c>
    </row>
    <row r="1651" spans="1:12" x14ac:dyDescent="0.25">
      <c r="A1651" t="s">
        <v>28</v>
      </c>
      <c r="B1651">
        <v>27</v>
      </c>
      <c r="C1651" t="s">
        <v>15</v>
      </c>
      <c r="D1651" s="1">
        <v>46112</v>
      </c>
      <c r="E1651">
        <v>964.9</v>
      </c>
      <c r="F1651">
        <v>46.3</v>
      </c>
      <c r="G1651">
        <v>28.48</v>
      </c>
      <c r="H1651">
        <v>109</v>
      </c>
      <c r="I1651" t="s">
        <v>14</v>
      </c>
      <c r="J1651">
        <v>2026</v>
      </c>
      <c r="K1651">
        <f t="shared" si="50"/>
        <v>17.819999999999997</v>
      </c>
      <c r="L1651" t="str">
        <f t="shared" si="51"/>
        <v>Banca Lariana|27|Prestiti</v>
      </c>
    </row>
    <row r="1652" spans="1:12" x14ac:dyDescent="0.25">
      <c r="A1652" t="s">
        <v>28</v>
      </c>
      <c r="B1652">
        <v>27</v>
      </c>
      <c r="C1652" t="s">
        <v>16</v>
      </c>
      <c r="D1652" s="1">
        <v>46112</v>
      </c>
      <c r="E1652">
        <v>1234.8</v>
      </c>
      <c r="F1652">
        <v>61.04</v>
      </c>
      <c r="G1652">
        <v>37.9</v>
      </c>
      <c r="H1652">
        <v>127</v>
      </c>
      <c r="I1652" t="s">
        <v>14</v>
      </c>
      <c r="J1652">
        <v>2026</v>
      </c>
      <c r="K1652">
        <f t="shared" si="50"/>
        <v>23.14</v>
      </c>
      <c r="L1652" t="str">
        <f t="shared" si="51"/>
        <v>Banca Lariana|27|Conti</v>
      </c>
    </row>
    <row r="1653" spans="1:12" x14ac:dyDescent="0.25">
      <c r="A1653" t="s">
        <v>28</v>
      </c>
      <c r="B1653">
        <v>27</v>
      </c>
      <c r="C1653" t="s">
        <v>17</v>
      </c>
      <c r="D1653" s="1">
        <v>46112</v>
      </c>
      <c r="E1653">
        <v>1535.5</v>
      </c>
      <c r="F1653">
        <v>79.13</v>
      </c>
      <c r="G1653">
        <v>48.34</v>
      </c>
      <c r="H1653">
        <v>140</v>
      </c>
      <c r="I1653" t="s">
        <v>14</v>
      </c>
      <c r="J1653">
        <v>2026</v>
      </c>
      <c r="K1653">
        <f t="shared" si="50"/>
        <v>30.789999999999992</v>
      </c>
      <c r="L1653" t="str">
        <f t="shared" si="51"/>
        <v>Banca Lariana|27|Carte</v>
      </c>
    </row>
    <row r="1654" spans="1:12" x14ac:dyDescent="0.25">
      <c r="A1654" t="s">
        <v>28</v>
      </c>
      <c r="B1654">
        <v>27</v>
      </c>
      <c r="C1654" t="s">
        <v>18</v>
      </c>
      <c r="D1654" s="1">
        <v>46112</v>
      </c>
      <c r="E1654">
        <v>1791.3</v>
      </c>
      <c r="F1654">
        <v>95.27</v>
      </c>
      <c r="G1654">
        <v>57.75</v>
      </c>
      <c r="H1654">
        <v>172</v>
      </c>
      <c r="I1654" t="s">
        <v>14</v>
      </c>
      <c r="J1654">
        <v>2026</v>
      </c>
      <c r="K1654">
        <f t="shared" si="50"/>
        <v>37.519999999999996</v>
      </c>
      <c r="L1654" t="str">
        <f t="shared" si="51"/>
        <v>Banca Lariana|27|Leasing</v>
      </c>
    </row>
    <row r="1655" spans="1:12" x14ac:dyDescent="0.25">
      <c r="A1655" t="s">
        <v>28</v>
      </c>
      <c r="B1655">
        <v>27</v>
      </c>
      <c r="C1655" t="s">
        <v>19</v>
      </c>
      <c r="D1655" s="1">
        <v>46112</v>
      </c>
      <c r="E1655">
        <v>2052.1</v>
      </c>
      <c r="F1655">
        <v>112.94</v>
      </c>
      <c r="G1655">
        <v>67.86</v>
      </c>
      <c r="H1655">
        <v>201</v>
      </c>
      <c r="I1655" t="s">
        <v>14</v>
      </c>
      <c r="J1655">
        <v>2026</v>
      </c>
      <c r="K1655">
        <f t="shared" si="50"/>
        <v>45.08</v>
      </c>
      <c r="L1655" t="str">
        <f t="shared" si="51"/>
        <v>Banca Lariana|27|Factoring</v>
      </c>
    </row>
    <row r="1656" spans="1:12" x14ac:dyDescent="0.25">
      <c r="A1656" t="s">
        <v>28</v>
      </c>
      <c r="B1656">
        <v>27</v>
      </c>
      <c r="C1656" t="s">
        <v>20</v>
      </c>
      <c r="D1656" s="1">
        <v>46112</v>
      </c>
      <c r="E1656">
        <v>2365.9</v>
      </c>
      <c r="F1656">
        <v>135.62</v>
      </c>
      <c r="G1656">
        <v>81.430000000000007</v>
      </c>
      <c r="H1656">
        <v>200</v>
      </c>
      <c r="I1656" t="s">
        <v>14</v>
      </c>
      <c r="J1656">
        <v>2026</v>
      </c>
      <c r="K1656">
        <f t="shared" si="50"/>
        <v>54.19</v>
      </c>
      <c r="L1656" t="str">
        <f t="shared" si="51"/>
        <v>Banca Lariana|27|Risparmio</v>
      </c>
    </row>
    <row r="1657" spans="1:12" x14ac:dyDescent="0.25">
      <c r="A1657" t="s">
        <v>28</v>
      </c>
      <c r="B1657">
        <v>27</v>
      </c>
      <c r="C1657" t="s">
        <v>21</v>
      </c>
      <c r="D1657" s="1">
        <v>46112</v>
      </c>
      <c r="E1657">
        <v>2628.8</v>
      </c>
      <c r="F1657">
        <v>155.28</v>
      </c>
      <c r="G1657">
        <v>92.68</v>
      </c>
      <c r="H1657">
        <v>237</v>
      </c>
      <c r="I1657" t="s">
        <v>14</v>
      </c>
      <c r="J1657">
        <v>2026</v>
      </c>
      <c r="K1657">
        <f t="shared" si="50"/>
        <v>62.599999999999994</v>
      </c>
      <c r="L1657" t="str">
        <f t="shared" si="51"/>
        <v>Banca Lariana|27|Assicurazioni</v>
      </c>
    </row>
    <row r="1658" spans="1:12" x14ac:dyDescent="0.25">
      <c r="A1658" t="s">
        <v>28</v>
      </c>
      <c r="B1658">
        <v>28</v>
      </c>
      <c r="C1658" t="s">
        <v>13</v>
      </c>
      <c r="D1658" s="1">
        <v>46142</v>
      </c>
      <c r="E1658">
        <v>719</v>
      </c>
      <c r="F1658">
        <v>33.340000000000003</v>
      </c>
      <c r="G1658">
        <v>20.8</v>
      </c>
      <c r="H1658">
        <v>69</v>
      </c>
      <c r="I1658" t="s">
        <v>14</v>
      </c>
      <c r="J1658">
        <v>2026</v>
      </c>
      <c r="K1658">
        <f t="shared" si="50"/>
        <v>12.540000000000003</v>
      </c>
      <c r="L1658" t="str">
        <f t="shared" si="51"/>
        <v>Banca Lariana|28|Mutui</v>
      </c>
    </row>
    <row r="1659" spans="1:12" x14ac:dyDescent="0.25">
      <c r="A1659" t="s">
        <v>28</v>
      </c>
      <c r="B1659">
        <v>28</v>
      </c>
      <c r="C1659" t="s">
        <v>15</v>
      </c>
      <c r="D1659" s="1">
        <v>46142</v>
      </c>
      <c r="E1659">
        <v>1024.0999999999999</v>
      </c>
      <c r="F1659">
        <v>48.3</v>
      </c>
      <c r="G1659">
        <v>30.65</v>
      </c>
      <c r="H1659">
        <v>94</v>
      </c>
      <c r="I1659" t="s">
        <v>14</v>
      </c>
      <c r="J1659">
        <v>2026</v>
      </c>
      <c r="K1659">
        <f t="shared" si="50"/>
        <v>17.649999999999999</v>
      </c>
      <c r="L1659" t="str">
        <f t="shared" si="51"/>
        <v>Banca Lariana|28|Prestiti</v>
      </c>
    </row>
    <row r="1660" spans="1:12" x14ac:dyDescent="0.25">
      <c r="A1660" t="s">
        <v>28</v>
      </c>
      <c r="B1660">
        <v>28</v>
      </c>
      <c r="C1660" t="s">
        <v>16</v>
      </c>
      <c r="D1660" s="1">
        <v>46142</v>
      </c>
      <c r="E1660">
        <v>1245.3</v>
      </c>
      <c r="F1660">
        <v>61.16</v>
      </c>
      <c r="G1660">
        <v>37.5</v>
      </c>
      <c r="H1660">
        <v>104</v>
      </c>
      <c r="I1660" t="s">
        <v>14</v>
      </c>
      <c r="J1660">
        <v>2026</v>
      </c>
      <c r="K1660">
        <f t="shared" si="50"/>
        <v>23.659999999999997</v>
      </c>
      <c r="L1660" t="str">
        <f t="shared" si="51"/>
        <v>Banca Lariana|28|Conti</v>
      </c>
    </row>
    <row r="1661" spans="1:12" x14ac:dyDescent="0.25">
      <c r="A1661" t="s">
        <v>28</v>
      </c>
      <c r="B1661">
        <v>28</v>
      </c>
      <c r="C1661" t="s">
        <v>17</v>
      </c>
      <c r="D1661" s="1">
        <v>46142</v>
      </c>
      <c r="E1661">
        <v>1530.8</v>
      </c>
      <c r="F1661">
        <v>78.290000000000006</v>
      </c>
      <c r="G1661">
        <v>47.47</v>
      </c>
      <c r="H1661">
        <v>151</v>
      </c>
      <c r="I1661" t="s">
        <v>14</v>
      </c>
      <c r="J1661">
        <v>2026</v>
      </c>
      <c r="K1661">
        <f t="shared" si="50"/>
        <v>30.820000000000007</v>
      </c>
      <c r="L1661" t="str">
        <f t="shared" si="51"/>
        <v>Banca Lariana|28|Carte</v>
      </c>
    </row>
    <row r="1662" spans="1:12" x14ac:dyDescent="0.25">
      <c r="A1662" t="s">
        <v>28</v>
      </c>
      <c r="B1662">
        <v>28</v>
      </c>
      <c r="C1662" t="s">
        <v>18</v>
      </c>
      <c r="D1662" s="1">
        <v>46142</v>
      </c>
      <c r="E1662">
        <v>1823.3</v>
      </c>
      <c r="F1662">
        <v>97.44</v>
      </c>
      <c r="G1662">
        <v>59.07</v>
      </c>
      <c r="H1662">
        <v>184</v>
      </c>
      <c r="I1662" t="s">
        <v>14</v>
      </c>
      <c r="J1662">
        <v>2026</v>
      </c>
      <c r="K1662">
        <f t="shared" si="50"/>
        <v>38.369999999999997</v>
      </c>
      <c r="L1662" t="str">
        <f t="shared" si="51"/>
        <v>Banca Lariana|28|Leasing</v>
      </c>
    </row>
    <row r="1663" spans="1:12" x14ac:dyDescent="0.25">
      <c r="A1663" t="s">
        <v>28</v>
      </c>
      <c r="B1663">
        <v>28</v>
      </c>
      <c r="C1663" t="s">
        <v>19</v>
      </c>
      <c r="D1663" s="1">
        <v>46142</v>
      </c>
      <c r="E1663">
        <v>2094.3000000000002</v>
      </c>
      <c r="F1663">
        <v>115.73</v>
      </c>
      <c r="G1663">
        <v>69.790000000000006</v>
      </c>
      <c r="H1663">
        <v>207</v>
      </c>
      <c r="I1663" t="s">
        <v>14</v>
      </c>
      <c r="J1663">
        <v>2026</v>
      </c>
      <c r="K1663">
        <f t="shared" si="50"/>
        <v>45.94</v>
      </c>
      <c r="L1663" t="str">
        <f t="shared" si="51"/>
        <v>Banca Lariana|28|Factoring</v>
      </c>
    </row>
    <row r="1664" spans="1:12" x14ac:dyDescent="0.25">
      <c r="A1664" t="s">
        <v>28</v>
      </c>
      <c r="B1664">
        <v>28</v>
      </c>
      <c r="C1664" t="s">
        <v>20</v>
      </c>
      <c r="D1664" s="1">
        <v>46142</v>
      </c>
      <c r="E1664">
        <v>2334.4</v>
      </c>
      <c r="F1664">
        <v>133.19999999999999</v>
      </c>
      <c r="G1664">
        <v>79.540000000000006</v>
      </c>
      <c r="H1664">
        <v>193</v>
      </c>
      <c r="I1664" t="s">
        <v>14</v>
      </c>
      <c r="J1664">
        <v>2026</v>
      </c>
      <c r="K1664">
        <f t="shared" si="50"/>
        <v>53.659999999999982</v>
      </c>
      <c r="L1664" t="str">
        <f t="shared" si="51"/>
        <v>Banca Lariana|28|Risparmio</v>
      </c>
    </row>
    <row r="1665" spans="1:12" x14ac:dyDescent="0.25">
      <c r="A1665" t="s">
        <v>28</v>
      </c>
      <c r="B1665">
        <v>28</v>
      </c>
      <c r="C1665" t="s">
        <v>21</v>
      </c>
      <c r="D1665" s="1">
        <v>46142</v>
      </c>
      <c r="E1665">
        <v>2625.1</v>
      </c>
      <c r="F1665">
        <v>155.55000000000001</v>
      </c>
      <c r="G1665">
        <v>92.05</v>
      </c>
      <c r="H1665">
        <v>242</v>
      </c>
      <c r="I1665" t="s">
        <v>14</v>
      </c>
      <c r="J1665">
        <v>2026</v>
      </c>
      <c r="K1665">
        <f t="shared" si="50"/>
        <v>63.500000000000014</v>
      </c>
      <c r="L1665" t="str">
        <f t="shared" si="51"/>
        <v>Banca Lariana|28|Assicurazioni</v>
      </c>
    </row>
    <row r="1666" spans="1:12" x14ac:dyDescent="0.25">
      <c r="A1666" t="s">
        <v>28</v>
      </c>
      <c r="B1666">
        <v>29</v>
      </c>
      <c r="C1666" t="s">
        <v>13</v>
      </c>
      <c r="D1666" s="1">
        <v>46173</v>
      </c>
      <c r="E1666">
        <v>740.1</v>
      </c>
      <c r="F1666">
        <v>33.43</v>
      </c>
      <c r="G1666">
        <v>21.56</v>
      </c>
      <c r="H1666">
        <v>87</v>
      </c>
      <c r="I1666" t="s">
        <v>14</v>
      </c>
      <c r="J1666">
        <v>2026</v>
      </c>
      <c r="K1666">
        <f t="shared" ref="K1666:K1729" si="52">F1666-G1666</f>
        <v>11.870000000000001</v>
      </c>
      <c r="L1666" t="str">
        <f t="shared" ref="L1666:L1729" si="53">A1666&amp;"|"&amp;B1666&amp;"|"&amp;C1666</f>
        <v>Banca Lariana|29|Mutui</v>
      </c>
    </row>
    <row r="1667" spans="1:12" x14ac:dyDescent="0.25">
      <c r="A1667" t="s">
        <v>28</v>
      </c>
      <c r="B1667">
        <v>29</v>
      </c>
      <c r="C1667" t="s">
        <v>15</v>
      </c>
      <c r="D1667" s="1">
        <v>46173</v>
      </c>
      <c r="E1667">
        <v>1027.5</v>
      </c>
      <c r="F1667">
        <v>48.92</v>
      </c>
      <c r="G1667">
        <v>30.77</v>
      </c>
      <c r="H1667">
        <v>119</v>
      </c>
      <c r="I1667" t="s">
        <v>14</v>
      </c>
      <c r="J1667">
        <v>2026</v>
      </c>
      <c r="K1667">
        <f t="shared" si="52"/>
        <v>18.150000000000002</v>
      </c>
      <c r="L1667" t="str">
        <f t="shared" si="53"/>
        <v>Banca Lariana|29|Prestiti</v>
      </c>
    </row>
    <row r="1668" spans="1:12" x14ac:dyDescent="0.25">
      <c r="A1668" t="s">
        <v>28</v>
      </c>
      <c r="B1668">
        <v>29</v>
      </c>
      <c r="C1668" t="s">
        <v>16</v>
      </c>
      <c r="D1668" s="1">
        <v>46173</v>
      </c>
      <c r="E1668">
        <v>1302.9000000000001</v>
      </c>
      <c r="F1668">
        <v>64.010000000000005</v>
      </c>
      <c r="G1668">
        <v>39.119999999999997</v>
      </c>
      <c r="H1668">
        <v>142</v>
      </c>
      <c r="I1668" t="s">
        <v>14</v>
      </c>
      <c r="J1668">
        <v>2026</v>
      </c>
      <c r="K1668">
        <f t="shared" si="52"/>
        <v>24.890000000000008</v>
      </c>
      <c r="L1668" t="str">
        <f t="shared" si="53"/>
        <v>Banca Lariana|29|Conti</v>
      </c>
    </row>
    <row r="1669" spans="1:12" x14ac:dyDescent="0.25">
      <c r="A1669" t="s">
        <v>28</v>
      </c>
      <c r="B1669">
        <v>29</v>
      </c>
      <c r="C1669" t="s">
        <v>17</v>
      </c>
      <c r="D1669" s="1">
        <v>46173</v>
      </c>
      <c r="E1669">
        <v>1567.2</v>
      </c>
      <c r="F1669">
        <v>80.19</v>
      </c>
      <c r="G1669">
        <v>49.37</v>
      </c>
      <c r="H1669">
        <v>153</v>
      </c>
      <c r="I1669" t="s">
        <v>14</v>
      </c>
      <c r="J1669">
        <v>2026</v>
      </c>
      <c r="K1669">
        <f t="shared" si="52"/>
        <v>30.82</v>
      </c>
      <c r="L1669" t="str">
        <f t="shared" si="53"/>
        <v>Banca Lariana|29|Carte</v>
      </c>
    </row>
    <row r="1670" spans="1:12" x14ac:dyDescent="0.25">
      <c r="A1670" t="s">
        <v>28</v>
      </c>
      <c r="B1670">
        <v>29</v>
      </c>
      <c r="C1670" t="s">
        <v>18</v>
      </c>
      <c r="D1670" s="1">
        <v>46173</v>
      </c>
      <c r="E1670">
        <v>1852.4</v>
      </c>
      <c r="F1670">
        <v>98.66</v>
      </c>
      <c r="G1670">
        <v>59.32</v>
      </c>
      <c r="H1670">
        <v>160</v>
      </c>
      <c r="I1670" t="s">
        <v>14</v>
      </c>
      <c r="J1670">
        <v>2026</v>
      </c>
      <c r="K1670">
        <f t="shared" si="52"/>
        <v>39.339999999999996</v>
      </c>
      <c r="L1670" t="str">
        <f t="shared" si="53"/>
        <v>Banca Lariana|29|Leasing</v>
      </c>
    </row>
    <row r="1671" spans="1:12" x14ac:dyDescent="0.25">
      <c r="A1671" t="s">
        <v>28</v>
      </c>
      <c r="B1671">
        <v>29</v>
      </c>
      <c r="C1671" t="s">
        <v>19</v>
      </c>
      <c r="D1671" s="1">
        <v>46173</v>
      </c>
      <c r="E1671">
        <v>2109.8000000000002</v>
      </c>
      <c r="F1671">
        <v>117.01</v>
      </c>
      <c r="G1671">
        <v>69.75</v>
      </c>
      <c r="H1671">
        <v>198</v>
      </c>
      <c r="I1671" t="s">
        <v>14</v>
      </c>
      <c r="J1671">
        <v>2026</v>
      </c>
      <c r="K1671">
        <f t="shared" si="52"/>
        <v>47.260000000000005</v>
      </c>
      <c r="L1671" t="str">
        <f t="shared" si="53"/>
        <v>Banca Lariana|29|Factoring</v>
      </c>
    </row>
    <row r="1672" spans="1:12" x14ac:dyDescent="0.25">
      <c r="A1672" t="s">
        <v>28</v>
      </c>
      <c r="B1672">
        <v>29</v>
      </c>
      <c r="C1672" t="s">
        <v>20</v>
      </c>
      <c r="D1672" s="1">
        <v>46173</v>
      </c>
      <c r="E1672">
        <v>2392.5</v>
      </c>
      <c r="F1672">
        <v>136.41999999999999</v>
      </c>
      <c r="G1672">
        <v>81.680000000000007</v>
      </c>
      <c r="H1672">
        <v>232</v>
      </c>
      <c r="I1672" t="s">
        <v>14</v>
      </c>
      <c r="J1672">
        <v>2026</v>
      </c>
      <c r="K1672">
        <f t="shared" si="52"/>
        <v>54.739999999999981</v>
      </c>
      <c r="L1672" t="str">
        <f t="shared" si="53"/>
        <v>Banca Lariana|29|Risparmio</v>
      </c>
    </row>
    <row r="1673" spans="1:12" x14ac:dyDescent="0.25">
      <c r="A1673" t="s">
        <v>28</v>
      </c>
      <c r="B1673">
        <v>29</v>
      </c>
      <c r="C1673" t="s">
        <v>21</v>
      </c>
      <c r="D1673" s="1">
        <v>46173</v>
      </c>
      <c r="E1673">
        <v>2641.3</v>
      </c>
      <c r="F1673">
        <v>156.80000000000001</v>
      </c>
      <c r="G1673">
        <v>92.45</v>
      </c>
      <c r="H1673">
        <v>215</v>
      </c>
      <c r="I1673" t="s">
        <v>14</v>
      </c>
      <c r="J1673">
        <v>2026</v>
      </c>
      <c r="K1673">
        <f t="shared" si="52"/>
        <v>64.350000000000009</v>
      </c>
      <c r="L1673" t="str">
        <f t="shared" si="53"/>
        <v>Banca Lariana|29|Assicurazioni</v>
      </c>
    </row>
    <row r="1674" spans="1:12" x14ac:dyDescent="0.25">
      <c r="A1674" t="s">
        <v>28</v>
      </c>
      <c r="B1674">
        <v>30</v>
      </c>
      <c r="C1674" t="s">
        <v>13</v>
      </c>
      <c r="D1674" s="1">
        <v>46203</v>
      </c>
      <c r="E1674">
        <v>725</v>
      </c>
      <c r="F1674">
        <v>33.200000000000003</v>
      </c>
      <c r="G1674">
        <v>21.05</v>
      </c>
      <c r="H1674">
        <v>60</v>
      </c>
      <c r="I1674" t="s">
        <v>14</v>
      </c>
      <c r="J1674">
        <v>2026</v>
      </c>
      <c r="K1674">
        <f t="shared" si="52"/>
        <v>12.150000000000002</v>
      </c>
      <c r="L1674" t="str">
        <f t="shared" si="53"/>
        <v>Banca Lariana|30|Mutui</v>
      </c>
    </row>
    <row r="1675" spans="1:12" x14ac:dyDescent="0.25">
      <c r="A1675" t="s">
        <v>28</v>
      </c>
      <c r="B1675">
        <v>30</v>
      </c>
      <c r="C1675" t="s">
        <v>15</v>
      </c>
      <c r="D1675" s="1">
        <v>46203</v>
      </c>
      <c r="E1675">
        <v>1029.0999999999999</v>
      </c>
      <c r="F1675">
        <v>48.47</v>
      </c>
      <c r="G1675">
        <v>30.04</v>
      </c>
      <c r="H1675">
        <v>93</v>
      </c>
      <c r="I1675" t="s">
        <v>14</v>
      </c>
      <c r="J1675">
        <v>2026</v>
      </c>
      <c r="K1675">
        <f t="shared" si="52"/>
        <v>18.43</v>
      </c>
      <c r="L1675" t="str">
        <f t="shared" si="53"/>
        <v>Banca Lariana|30|Prestiti</v>
      </c>
    </row>
    <row r="1676" spans="1:12" x14ac:dyDescent="0.25">
      <c r="A1676" t="s">
        <v>28</v>
      </c>
      <c r="B1676">
        <v>30</v>
      </c>
      <c r="C1676" t="s">
        <v>16</v>
      </c>
      <c r="D1676" s="1">
        <v>46203</v>
      </c>
      <c r="E1676">
        <v>1271.2</v>
      </c>
      <c r="F1676">
        <v>63.18</v>
      </c>
      <c r="G1676">
        <v>38.630000000000003</v>
      </c>
      <c r="H1676">
        <v>136</v>
      </c>
      <c r="I1676" t="s">
        <v>14</v>
      </c>
      <c r="J1676">
        <v>2026</v>
      </c>
      <c r="K1676">
        <f t="shared" si="52"/>
        <v>24.549999999999997</v>
      </c>
      <c r="L1676" t="str">
        <f t="shared" si="53"/>
        <v>Banca Lariana|30|Conti</v>
      </c>
    </row>
    <row r="1677" spans="1:12" x14ac:dyDescent="0.25">
      <c r="A1677" t="s">
        <v>28</v>
      </c>
      <c r="B1677">
        <v>30</v>
      </c>
      <c r="C1677" t="s">
        <v>17</v>
      </c>
      <c r="D1677" s="1">
        <v>46203</v>
      </c>
      <c r="E1677">
        <v>1580</v>
      </c>
      <c r="F1677">
        <v>80.66</v>
      </c>
      <c r="G1677">
        <v>49.54</v>
      </c>
      <c r="H1677">
        <v>131</v>
      </c>
      <c r="I1677" t="s">
        <v>14</v>
      </c>
      <c r="J1677">
        <v>2026</v>
      </c>
      <c r="K1677">
        <f t="shared" si="52"/>
        <v>31.119999999999997</v>
      </c>
      <c r="L1677" t="str">
        <f t="shared" si="53"/>
        <v>Banca Lariana|30|Carte</v>
      </c>
    </row>
    <row r="1678" spans="1:12" x14ac:dyDescent="0.25">
      <c r="A1678" t="s">
        <v>28</v>
      </c>
      <c r="B1678">
        <v>30</v>
      </c>
      <c r="C1678" t="s">
        <v>18</v>
      </c>
      <c r="D1678" s="1">
        <v>46203</v>
      </c>
      <c r="E1678">
        <v>1813.7</v>
      </c>
      <c r="F1678">
        <v>96.62</v>
      </c>
      <c r="G1678">
        <v>58.32</v>
      </c>
      <c r="H1678">
        <v>156</v>
      </c>
      <c r="I1678" t="s">
        <v>14</v>
      </c>
      <c r="J1678">
        <v>2026</v>
      </c>
      <c r="K1678">
        <f t="shared" si="52"/>
        <v>38.300000000000004</v>
      </c>
      <c r="L1678" t="str">
        <f t="shared" si="53"/>
        <v>Banca Lariana|30|Leasing</v>
      </c>
    </row>
    <row r="1679" spans="1:12" x14ac:dyDescent="0.25">
      <c r="A1679" t="s">
        <v>28</v>
      </c>
      <c r="B1679">
        <v>30</v>
      </c>
      <c r="C1679" t="s">
        <v>19</v>
      </c>
      <c r="D1679" s="1">
        <v>46203</v>
      </c>
      <c r="E1679">
        <v>2130.8000000000002</v>
      </c>
      <c r="F1679">
        <v>118.03</v>
      </c>
      <c r="G1679">
        <v>70.36</v>
      </c>
      <c r="H1679">
        <v>197</v>
      </c>
      <c r="I1679" t="s">
        <v>14</v>
      </c>
      <c r="J1679">
        <v>2026</v>
      </c>
      <c r="K1679">
        <f t="shared" si="52"/>
        <v>47.67</v>
      </c>
      <c r="L1679" t="str">
        <f t="shared" si="53"/>
        <v>Banca Lariana|30|Factoring</v>
      </c>
    </row>
    <row r="1680" spans="1:12" x14ac:dyDescent="0.25">
      <c r="A1680" t="s">
        <v>28</v>
      </c>
      <c r="B1680">
        <v>30</v>
      </c>
      <c r="C1680" t="s">
        <v>20</v>
      </c>
      <c r="D1680" s="1">
        <v>46203</v>
      </c>
      <c r="E1680">
        <v>2375</v>
      </c>
      <c r="F1680">
        <v>135.63</v>
      </c>
      <c r="G1680">
        <v>81.52</v>
      </c>
      <c r="H1680">
        <v>208</v>
      </c>
      <c r="I1680" t="s">
        <v>14</v>
      </c>
      <c r="J1680">
        <v>2026</v>
      </c>
      <c r="K1680">
        <f t="shared" si="52"/>
        <v>54.11</v>
      </c>
      <c r="L1680" t="str">
        <f t="shared" si="53"/>
        <v>Banca Lariana|30|Risparmio</v>
      </c>
    </row>
    <row r="1681" spans="1:12" x14ac:dyDescent="0.25">
      <c r="A1681" t="s">
        <v>28</v>
      </c>
      <c r="B1681">
        <v>30</v>
      </c>
      <c r="C1681" t="s">
        <v>21</v>
      </c>
      <c r="D1681" s="1">
        <v>46203</v>
      </c>
      <c r="E1681">
        <v>2667.4</v>
      </c>
      <c r="F1681">
        <v>158.11000000000001</v>
      </c>
      <c r="G1681">
        <v>93.36</v>
      </c>
      <c r="H1681">
        <v>235</v>
      </c>
      <c r="I1681" t="s">
        <v>14</v>
      </c>
      <c r="J1681">
        <v>2026</v>
      </c>
      <c r="K1681">
        <f t="shared" si="52"/>
        <v>64.750000000000014</v>
      </c>
      <c r="L1681" t="str">
        <f t="shared" si="53"/>
        <v>Banca Lariana|30|Assicurazioni</v>
      </c>
    </row>
    <row r="1682" spans="1:12" x14ac:dyDescent="0.25">
      <c r="A1682" t="s">
        <v>28</v>
      </c>
      <c r="B1682">
        <v>31</v>
      </c>
      <c r="C1682" t="s">
        <v>13</v>
      </c>
      <c r="D1682" s="1">
        <v>46234</v>
      </c>
      <c r="E1682">
        <v>730</v>
      </c>
      <c r="F1682">
        <v>33.630000000000003</v>
      </c>
      <c r="G1682">
        <v>21.28</v>
      </c>
      <c r="H1682">
        <v>78</v>
      </c>
      <c r="I1682" t="s">
        <v>14</v>
      </c>
      <c r="J1682">
        <v>2026</v>
      </c>
      <c r="K1682">
        <f t="shared" si="52"/>
        <v>12.350000000000001</v>
      </c>
      <c r="L1682" t="str">
        <f t="shared" si="53"/>
        <v>Banca Lariana|31|Mutui</v>
      </c>
    </row>
    <row r="1683" spans="1:12" x14ac:dyDescent="0.25">
      <c r="A1683" t="s">
        <v>28</v>
      </c>
      <c r="B1683">
        <v>31</v>
      </c>
      <c r="C1683" t="s">
        <v>15</v>
      </c>
      <c r="D1683" s="1">
        <v>46234</v>
      </c>
      <c r="E1683">
        <v>1018.6</v>
      </c>
      <c r="F1683">
        <v>48.43</v>
      </c>
      <c r="G1683">
        <v>30.06</v>
      </c>
      <c r="H1683">
        <v>92</v>
      </c>
      <c r="I1683" t="s">
        <v>14</v>
      </c>
      <c r="J1683">
        <v>2026</v>
      </c>
      <c r="K1683">
        <f t="shared" si="52"/>
        <v>18.37</v>
      </c>
      <c r="L1683" t="str">
        <f t="shared" si="53"/>
        <v>Banca Lariana|31|Prestiti</v>
      </c>
    </row>
    <row r="1684" spans="1:12" x14ac:dyDescent="0.25">
      <c r="A1684" t="s">
        <v>28</v>
      </c>
      <c r="B1684">
        <v>31</v>
      </c>
      <c r="C1684" t="s">
        <v>16</v>
      </c>
      <c r="D1684" s="1">
        <v>46234</v>
      </c>
      <c r="E1684">
        <v>1298.7</v>
      </c>
      <c r="F1684">
        <v>64.040000000000006</v>
      </c>
      <c r="G1684">
        <v>39.83</v>
      </c>
      <c r="H1684">
        <v>143</v>
      </c>
      <c r="I1684" t="s">
        <v>14</v>
      </c>
      <c r="J1684">
        <v>2026</v>
      </c>
      <c r="K1684">
        <f t="shared" si="52"/>
        <v>24.210000000000008</v>
      </c>
      <c r="L1684" t="str">
        <f t="shared" si="53"/>
        <v>Banca Lariana|31|Conti</v>
      </c>
    </row>
    <row r="1685" spans="1:12" x14ac:dyDescent="0.25">
      <c r="A1685" t="s">
        <v>28</v>
      </c>
      <c r="B1685">
        <v>31</v>
      </c>
      <c r="C1685" t="s">
        <v>17</v>
      </c>
      <c r="D1685" s="1">
        <v>46234</v>
      </c>
      <c r="E1685">
        <v>1605.2</v>
      </c>
      <c r="F1685">
        <v>82.16</v>
      </c>
      <c r="G1685">
        <v>50.32</v>
      </c>
      <c r="H1685">
        <v>138</v>
      </c>
      <c r="I1685" t="s">
        <v>14</v>
      </c>
      <c r="J1685">
        <v>2026</v>
      </c>
      <c r="K1685">
        <f t="shared" si="52"/>
        <v>31.839999999999996</v>
      </c>
      <c r="L1685" t="str">
        <f t="shared" si="53"/>
        <v>Banca Lariana|31|Carte</v>
      </c>
    </row>
    <row r="1686" spans="1:12" x14ac:dyDescent="0.25">
      <c r="A1686" t="s">
        <v>28</v>
      </c>
      <c r="B1686">
        <v>31</v>
      </c>
      <c r="C1686" t="s">
        <v>18</v>
      </c>
      <c r="D1686" s="1">
        <v>46234</v>
      </c>
      <c r="E1686">
        <v>1856.7</v>
      </c>
      <c r="F1686">
        <v>98.47</v>
      </c>
      <c r="G1686">
        <v>59.95</v>
      </c>
      <c r="H1686">
        <v>152</v>
      </c>
      <c r="I1686" t="s">
        <v>14</v>
      </c>
      <c r="J1686">
        <v>2026</v>
      </c>
      <c r="K1686">
        <f t="shared" si="52"/>
        <v>38.519999999999996</v>
      </c>
      <c r="L1686" t="str">
        <f t="shared" si="53"/>
        <v>Banca Lariana|31|Leasing</v>
      </c>
    </row>
    <row r="1687" spans="1:12" x14ac:dyDescent="0.25">
      <c r="A1687" t="s">
        <v>28</v>
      </c>
      <c r="B1687">
        <v>31</v>
      </c>
      <c r="C1687" t="s">
        <v>19</v>
      </c>
      <c r="D1687" s="1">
        <v>46234</v>
      </c>
      <c r="E1687">
        <v>2104.3000000000002</v>
      </c>
      <c r="F1687">
        <v>115.85</v>
      </c>
      <c r="G1687">
        <v>69.55</v>
      </c>
      <c r="H1687">
        <v>184</v>
      </c>
      <c r="I1687" t="s">
        <v>14</v>
      </c>
      <c r="J1687">
        <v>2026</v>
      </c>
      <c r="K1687">
        <f t="shared" si="52"/>
        <v>46.3</v>
      </c>
      <c r="L1687" t="str">
        <f t="shared" si="53"/>
        <v>Banca Lariana|31|Factoring</v>
      </c>
    </row>
    <row r="1688" spans="1:12" x14ac:dyDescent="0.25">
      <c r="A1688" t="s">
        <v>28</v>
      </c>
      <c r="B1688">
        <v>31</v>
      </c>
      <c r="C1688" t="s">
        <v>20</v>
      </c>
      <c r="D1688" s="1">
        <v>46234</v>
      </c>
      <c r="E1688">
        <v>2403.3000000000002</v>
      </c>
      <c r="F1688">
        <v>137.07</v>
      </c>
      <c r="G1688">
        <v>81.77</v>
      </c>
      <c r="H1688">
        <v>226</v>
      </c>
      <c r="I1688" t="s">
        <v>14</v>
      </c>
      <c r="J1688">
        <v>2026</v>
      </c>
      <c r="K1688">
        <f t="shared" si="52"/>
        <v>55.3</v>
      </c>
      <c r="L1688" t="str">
        <f t="shared" si="53"/>
        <v>Banca Lariana|31|Risparmio</v>
      </c>
    </row>
    <row r="1689" spans="1:12" x14ac:dyDescent="0.25">
      <c r="A1689" t="s">
        <v>28</v>
      </c>
      <c r="B1689">
        <v>31</v>
      </c>
      <c r="C1689" t="s">
        <v>21</v>
      </c>
      <c r="D1689" s="1">
        <v>46234</v>
      </c>
      <c r="E1689">
        <v>2677.8</v>
      </c>
      <c r="F1689">
        <v>158.65</v>
      </c>
      <c r="G1689">
        <v>94.51</v>
      </c>
      <c r="H1689">
        <v>243</v>
      </c>
      <c r="I1689" t="s">
        <v>14</v>
      </c>
      <c r="J1689">
        <v>2026</v>
      </c>
      <c r="K1689">
        <f t="shared" si="52"/>
        <v>64.14</v>
      </c>
      <c r="L1689" t="str">
        <f t="shared" si="53"/>
        <v>Banca Lariana|31|Assicurazioni</v>
      </c>
    </row>
    <row r="1690" spans="1:12" x14ac:dyDescent="0.25">
      <c r="A1690" t="s">
        <v>28</v>
      </c>
      <c r="B1690">
        <v>32</v>
      </c>
      <c r="C1690" t="s">
        <v>13</v>
      </c>
      <c r="D1690" s="1">
        <v>46265</v>
      </c>
      <c r="E1690">
        <v>744.7</v>
      </c>
      <c r="F1690">
        <v>33.83</v>
      </c>
      <c r="G1690">
        <v>21.65</v>
      </c>
      <c r="H1690">
        <v>64</v>
      </c>
      <c r="I1690" t="s">
        <v>14</v>
      </c>
      <c r="J1690">
        <v>2026</v>
      </c>
      <c r="K1690">
        <f t="shared" si="52"/>
        <v>12.18</v>
      </c>
      <c r="L1690" t="str">
        <f t="shared" si="53"/>
        <v>Banca Lariana|32|Mutui</v>
      </c>
    </row>
    <row r="1691" spans="1:12" x14ac:dyDescent="0.25">
      <c r="A1691" t="s">
        <v>28</v>
      </c>
      <c r="B1691">
        <v>32</v>
      </c>
      <c r="C1691" t="s">
        <v>15</v>
      </c>
      <c r="D1691" s="1">
        <v>46265</v>
      </c>
      <c r="E1691">
        <v>1040.5999999999999</v>
      </c>
      <c r="F1691">
        <v>49.3</v>
      </c>
      <c r="G1691">
        <v>30.96</v>
      </c>
      <c r="H1691">
        <v>97</v>
      </c>
      <c r="I1691" t="s">
        <v>14</v>
      </c>
      <c r="J1691">
        <v>2026</v>
      </c>
      <c r="K1691">
        <f t="shared" si="52"/>
        <v>18.339999999999996</v>
      </c>
      <c r="L1691" t="str">
        <f t="shared" si="53"/>
        <v>Banca Lariana|32|Prestiti</v>
      </c>
    </row>
    <row r="1692" spans="1:12" x14ac:dyDescent="0.25">
      <c r="A1692" t="s">
        <v>28</v>
      </c>
      <c r="B1692">
        <v>32</v>
      </c>
      <c r="C1692" t="s">
        <v>16</v>
      </c>
      <c r="D1692" s="1">
        <v>46265</v>
      </c>
      <c r="E1692">
        <v>1307.5999999999999</v>
      </c>
      <c r="F1692">
        <v>64.260000000000005</v>
      </c>
      <c r="G1692">
        <v>39.93</v>
      </c>
      <c r="H1692">
        <v>141</v>
      </c>
      <c r="I1692" t="s">
        <v>14</v>
      </c>
      <c r="J1692">
        <v>2026</v>
      </c>
      <c r="K1692">
        <f t="shared" si="52"/>
        <v>24.330000000000005</v>
      </c>
      <c r="L1692" t="str">
        <f t="shared" si="53"/>
        <v>Banca Lariana|32|Conti</v>
      </c>
    </row>
    <row r="1693" spans="1:12" x14ac:dyDescent="0.25">
      <c r="A1693" t="s">
        <v>28</v>
      </c>
      <c r="B1693">
        <v>32</v>
      </c>
      <c r="C1693" t="s">
        <v>17</v>
      </c>
      <c r="D1693" s="1">
        <v>46265</v>
      </c>
      <c r="E1693">
        <v>1607</v>
      </c>
      <c r="F1693">
        <v>82.19</v>
      </c>
      <c r="G1693">
        <v>50.55</v>
      </c>
      <c r="H1693">
        <v>143</v>
      </c>
      <c r="I1693" t="s">
        <v>14</v>
      </c>
      <c r="J1693">
        <v>2026</v>
      </c>
      <c r="K1693">
        <f t="shared" si="52"/>
        <v>31.64</v>
      </c>
      <c r="L1693" t="str">
        <f t="shared" si="53"/>
        <v>Banca Lariana|32|Carte</v>
      </c>
    </row>
    <row r="1694" spans="1:12" x14ac:dyDescent="0.25">
      <c r="A1694" t="s">
        <v>28</v>
      </c>
      <c r="B1694">
        <v>32</v>
      </c>
      <c r="C1694" t="s">
        <v>18</v>
      </c>
      <c r="D1694" s="1">
        <v>46265</v>
      </c>
      <c r="E1694">
        <v>1864.3</v>
      </c>
      <c r="F1694">
        <v>99.25</v>
      </c>
      <c r="G1694">
        <v>59.83</v>
      </c>
      <c r="H1694">
        <v>182</v>
      </c>
      <c r="I1694" t="s">
        <v>14</v>
      </c>
      <c r="J1694">
        <v>2026</v>
      </c>
      <c r="K1694">
        <f t="shared" si="52"/>
        <v>39.42</v>
      </c>
      <c r="L1694" t="str">
        <f t="shared" si="53"/>
        <v>Banca Lariana|32|Leasing</v>
      </c>
    </row>
    <row r="1695" spans="1:12" x14ac:dyDescent="0.25">
      <c r="A1695" t="s">
        <v>28</v>
      </c>
      <c r="B1695">
        <v>32</v>
      </c>
      <c r="C1695" t="s">
        <v>19</v>
      </c>
      <c r="D1695" s="1">
        <v>46265</v>
      </c>
      <c r="E1695">
        <v>2143.3000000000002</v>
      </c>
      <c r="F1695">
        <v>118.22</v>
      </c>
      <c r="G1695">
        <v>70.77</v>
      </c>
      <c r="H1695">
        <v>196</v>
      </c>
      <c r="I1695" t="s">
        <v>14</v>
      </c>
      <c r="J1695">
        <v>2026</v>
      </c>
      <c r="K1695">
        <f t="shared" si="52"/>
        <v>47.45</v>
      </c>
      <c r="L1695" t="str">
        <f t="shared" si="53"/>
        <v>Banca Lariana|32|Factoring</v>
      </c>
    </row>
    <row r="1696" spans="1:12" x14ac:dyDescent="0.25">
      <c r="A1696" t="s">
        <v>28</v>
      </c>
      <c r="B1696">
        <v>32</v>
      </c>
      <c r="C1696" t="s">
        <v>20</v>
      </c>
      <c r="D1696" s="1">
        <v>46265</v>
      </c>
      <c r="E1696">
        <v>2421</v>
      </c>
      <c r="F1696">
        <v>138.5</v>
      </c>
      <c r="G1696">
        <v>83.16</v>
      </c>
      <c r="H1696">
        <v>226</v>
      </c>
      <c r="I1696" t="s">
        <v>14</v>
      </c>
      <c r="J1696">
        <v>2026</v>
      </c>
      <c r="K1696">
        <f t="shared" si="52"/>
        <v>55.34</v>
      </c>
      <c r="L1696" t="str">
        <f t="shared" si="53"/>
        <v>Banca Lariana|32|Risparmio</v>
      </c>
    </row>
    <row r="1697" spans="1:12" x14ac:dyDescent="0.25">
      <c r="A1697" t="s">
        <v>28</v>
      </c>
      <c r="B1697">
        <v>32</v>
      </c>
      <c r="C1697" t="s">
        <v>21</v>
      </c>
      <c r="D1697" s="1">
        <v>46265</v>
      </c>
      <c r="E1697">
        <v>2728.6</v>
      </c>
      <c r="F1697">
        <v>161.26</v>
      </c>
      <c r="G1697">
        <v>95.91</v>
      </c>
      <c r="H1697">
        <v>229</v>
      </c>
      <c r="I1697" t="s">
        <v>14</v>
      </c>
      <c r="J1697">
        <v>2026</v>
      </c>
      <c r="K1697">
        <f t="shared" si="52"/>
        <v>65.349999999999994</v>
      </c>
      <c r="L1697" t="str">
        <f t="shared" si="53"/>
        <v>Banca Lariana|32|Assicurazioni</v>
      </c>
    </row>
    <row r="1698" spans="1:12" x14ac:dyDescent="0.25">
      <c r="A1698" t="s">
        <v>28</v>
      </c>
      <c r="B1698">
        <v>33</v>
      </c>
      <c r="C1698" t="s">
        <v>13</v>
      </c>
      <c r="D1698" s="1">
        <v>46295</v>
      </c>
      <c r="E1698">
        <v>737.4</v>
      </c>
      <c r="F1698">
        <v>33.520000000000003</v>
      </c>
      <c r="G1698">
        <v>21.37</v>
      </c>
      <c r="H1698">
        <v>91</v>
      </c>
      <c r="I1698" t="s">
        <v>14</v>
      </c>
      <c r="J1698">
        <v>2026</v>
      </c>
      <c r="K1698">
        <f t="shared" si="52"/>
        <v>12.150000000000002</v>
      </c>
      <c r="L1698" t="str">
        <f t="shared" si="53"/>
        <v>Banca Lariana|33|Mutui</v>
      </c>
    </row>
    <row r="1699" spans="1:12" x14ac:dyDescent="0.25">
      <c r="A1699" t="s">
        <v>28</v>
      </c>
      <c r="B1699">
        <v>33</v>
      </c>
      <c r="C1699" t="s">
        <v>15</v>
      </c>
      <c r="D1699" s="1">
        <v>46295</v>
      </c>
      <c r="E1699">
        <v>1026.2</v>
      </c>
      <c r="F1699">
        <v>48.61</v>
      </c>
      <c r="G1699">
        <v>29.89</v>
      </c>
      <c r="H1699">
        <v>121</v>
      </c>
      <c r="I1699" t="s">
        <v>14</v>
      </c>
      <c r="J1699">
        <v>2026</v>
      </c>
      <c r="K1699">
        <f t="shared" si="52"/>
        <v>18.72</v>
      </c>
      <c r="L1699" t="str">
        <f t="shared" si="53"/>
        <v>Banca Lariana|33|Prestiti</v>
      </c>
    </row>
    <row r="1700" spans="1:12" x14ac:dyDescent="0.25">
      <c r="A1700" t="s">
        <v>28</v>
      </c>
      <c r="B1700">
        <v>33</v>
      </c>
      <c r="C1700" t="s">
        <v>16</v>
      </c>
      <c r="D1700" s="1">
        <v>46295</v>
      </c>
      <c r="E1700">
        <v>1326.2</v>
      </c>
      <c r="F1700">
        <v>65.91</v>
      </c>
      <c r="G1700">
        <v>40.130000000000003</v>
      </c>
      <c r="H1700">
        <v>112</v>
      </c>
      <c r="I1700" t="s">
        <v>14</v>
      </c>
      <c r="J1700">
        <v>2026</v>
      </c>
      <c r="K1700">
        <f t="shared" si="52"/>
        <v>25.779999999999994</v>
      </c>
      <c r="L1700" t="str">
        <f t="shared" si="53"/>
        <v>Banca Lariana|33|Conti</v>
      </c>
    </row>
    <row r="1701" spans="1:12" x14ac:dyDescent="0.25">
      <c r="A1701" t="s">
        <v>28</v>
      </c>
      <c r="B1701">
        <v>33</v>
      </c>
      <c r="C1701" t="s">
        <v>17</v>
      </c>
      <c r="D1701" s="1">
        <v>46295</v>
      </c>
      <c r="E1701">
        <v>1585.7</v>
      </c>
      <c r="F1701">
        <v>81.010000000000005</v>
      </c>
      <c r="G1701">
        <v>50.12</v>
      </c>
      <c r="H1701">
        <v>152</v>
      </c>
      <c r="I1701" t="s">
        <v>14</v>
      </c>
      <c r="J1701">
        <v>2026</v>
      </c>
      <c r="K1701">
        <f t="shared" si="52"/>
        <v>30.890000000000008</v>
      </c>
      <c r="L1701" t="str">
        <f t="shared" si="53"/>
        <v>Banca Lariana|33|Carte</v>
      </c>
    </row>
    <row r="1702" spans="1:12" x14ac:dyDescent="0.25">
      <c r="A1702" t="s">
        <v>28</v>
      </c>
      <c r="B1702">
        <v>33</v>
      </c>
      <c r="C1702" t="s">
        <v>18</v>
      </c>
      <c r="D1702" s="1">
        <v>46295</v>
      </c>
      <c r="E1702">
        <v>1869.5</v>
      </c>
      <c r="F1702">
        <v>99.43</v>
      </c>
      <c r="G1702">
        <v>59.97</v>
      </c>
      <c r="H1702">
        <v>186</v>
      </c>
      <c r="I1702" t="s">
        <v>14</v>
      </c>
      <c r="J1702">
        <v>2026</v>
      </c>
      <c r="K1702">
        <f t="shared" si="52"/>
        <v>39.460000000000008</v>
      </c>
      <c r="L1702" t="str">
        <f t="shared" si="53"/>
        <v>Banca Lariana|33|Leasing</v>
      </c>
    </row>
    <row r="1703" spans="1:12" x14ac:dyDescent="0.25">
      <c r="A1703" t="s">
        <v>28</v>
      </c>
      <c r="B1703">
        <v>33</v>
      </c>
      <c r="C1703" t="s">
        <v>19</v>
      </c>
      <c r="D1703" s="1">
        <v>46295</v>
      </c>
      <c r="E1703">
        <v>2146.1</v>
      </c>
      <c r="F1703">
        <v>118.37</v>
      </c>
      <c r="G1703">
        <v>71.69</v>
      </c>
      <c r="H1703">
        <v>171</v>
      </c>
      <c r="I1703" t="s">
        <v>14</v>
      </c>
      <c r="J1703">
        <v>2026</v>
      </c>
      <c r="K1703">
        <f t="shared" si="52"/>
        <v>46.680000000000007</v>
      </c>
      <c r="L1703" t="str">
        <f t="shared" si="53"/>
        <v>Banca Lariana|33|Factoring</v>
      </c>
    </row>
    <row r="1704" spans="1:12" x14ac:dyDescent="0.25">
      <c r="A1704" t="s">
        <v>28</v>
      </c>
      <c r="B1704">
        <v>33</v>
      </c>
      <c r="C1704" t="s">
        <v>20</v>
      </c>
      <c r="D1704" s="1">
        <v>46295</v>
      </c>
      <c r="E1704">
        <v>2452.5</v>
      </c>
      <c r="F1704">
        <v>140.62</v>
      </c>
      <c r="G1704">
        <v>83.75</v>
      </c>
      <c r="H1704">
        <v>199</v>
      </c>
      <c r="I1704" t="s">
        <v>14</v>
      </c>
      <c r="J1704">
        <v>2026</v>
      </c>
      <c r="K1704">
        <f t="shared" si="52"/>
        <v>56.870000000000005</v>
      </c>
      <c r="L1704" t="str">
        <f t="shared" si="53"/>
        <v>Banca Lariana|33|Risparmio</v>
      </c>
    </row>
    <row r="1705" spans="1:12" x14ac:dyDescent="0.25">
      <c r="A1705" t="s">
        <v>28</v>
      </c>
      <c r="B1705">
        <v>33</v>
      </c>
      <c r="C1705" t="s">
        <v>21</v>
      </c>
      <c r="D1705" s="1">
        <v>46295</v>
      </c>
      <c r="E1705">
        <v>2745.5</v>
      </c>
      <c r="F1705">
        <v>162.71</v>
      </c>
      <c r="G1705">
        <v>96.46</v>
      </c>
      <c r="H1705">
        <v>232</v>
      </c>
      <c r="I1705" t="s">
        <v>14</v>
      </c>
      <c r="J1705">
        <v>2026</v>
      </c>
      <c r="K1705">
        <f t="shared" si="52"/>
        <v>66.250000000000014</v>
      </c>
      <c r="L1705" t="str">
        <f t="shared" si="53"/>
        <v>Banca Lariana|33|Assicurazioni</v>
      </c>
    </row>
    <row r="1706" spans="1:12" x14ac:dyDescent="0.25">
      <c r="A1706" t="s">
        <v>28</v>
      </c>
      <c r="B1706">
        <v>34</v>
      </c>
      <c r="C1706" t="s">
        <v>13</v>
      </c>
      <c r="D1706" s="1">
        <v>46326</v>
      </c>
      <c r="E1706">
        <v>762.6</v>
      </c>
      <c r="F1706">
        <v>34.53</v>
      </c>
      <c r="G1706">
        <v>21.41</v>
      </c>
      <c r="H1706">
        <v>96</v>
      </c>
      <c r="I1706" t="s">
        <v>14</v>
      </c>
      <c r="J1706">
        <v>2026</v>
      </c>
      <c r="K1706">
        <f t="shared" si="52"/>
        <v>13.120000000000001</v>
      </c>
      <c r="L1706" t="str">
        <f t="shared" si="53"/>
        <v>Banca Lariana|34|Mutui</v>
      </c>
    </row>
    <row r="1707" spans="1:12" x14ac:dyDescent="0.25">
      <c r="A1707" t="s">
        <v>28</v>
      </c>
      <c r="B1707">
        <v>34</v>
      </c>
      <c r="C1707" t="s">
        <v>15</v>
      </c>
      <c r="D1707" s="1">
        <v>46326</v>
      </c>
      <c r="E1707">
        <v>1017.2</v>
      </c>
      <c r="F1707">
        <v>47.97</v>
      </c>
      <c r="G1707">
        <v>30.14</v>
      </c>
      <c r="H1707">
        <v>101</v>
      </c>
      <c r="I1707" t="s">
        <v>14</v>
      </c>
      <c r="J1707">
        <v>2026</v>
      </c>
      <c r="K1707">
        <f t="shared" si="52"/>
        <v>17.829999999999998</v>
      </c>
      <c r="L1707" t="str">
        <f t="shared" si="53"/>
        <v>Banca Lariana|34|Prestiti</v>
      </c>
    </row>
    <row r="1708" spans="1:12" x14ac:dyDescent="0.25">
      <c r="A1708" t="s">
        <v>28</v>
      </c>
      <c r="B1708">
        <v>34</v>
      </c>
      <c r="C1708" t="s">
        <v>16</v>
      </c>
      <c r="D1708" s="1">
        <v>46326</v>
      </c>
      <c r="E1708">
        <v>1335.2</v>
      </c>
      <c r="F1708">
        <v>65.739999999999995</v>
      </c>
      <c r="G1708">
        <v>40.799999999999997</v>
      </c>
      <c r="H1708">
        <v>143</v>
      </c>
      <c r="I1708" t="s">
        <v>14</v>
      </c>
      <c r="J1708">
        <v>2026</v>
      </c>
      <c r="K1708">
        <f t="shared" si="52"/>
        <v>24.939999999999998</v>
      </c>
      <c r="L1708" t="str">
        <f t="shared" si="53"/>
        <v>Banca Lariana|34|Conti</v>
      </c>
    </row>
    <row r="1709" spans="1:12" x14ac:dyDescent="0.25">
      <c r="A1709" t="s">
        <v>28</v>
      </c>
      <c r="B1709">
        <v>34</v>
      </c>
      <c r="C1709" t="s">
        <v>17</v>
      </c>
      <c r="D1709" s="1">
        <v>46326</v>
      </c>
      <c r="E1709">
        <v>1625.8</v>
      </c>
      <c r="F1709">
        <v>83.1</v>
      </c>
      <c r="G1709">
        <v>51.18</v>
      </c>
      <c r="H1709">
        <v>146</v>
      </c>
      <c r="I1709" t="s">
        <v>14</v>
      </c>
      <c r="J1709">
        <v>2026</v>
      </c>
      <c r="K1709">
        <f t="shared" si="52"/>
        <v>31.919999999999995</v>
      </c>
      <c r="L1709" t="str">
        <f t="shared" si="53"/>
        <v>Banca Lariana|34|Carte</v>
      </c>
    </row>
    <row r="1710" spans="1:12" x14ac:dyDescent="0.25">
      <c r="A1710" t="s">
        <v>28</v>
      </c>
      <c r="B1710">
        <v>34</v>
      </c>
      <c r="C1710" t="s">
        <v>18</v>
      </c>
      <c r="D1710" s="1">
        <v>46326</v>
      </c>
      <c r="E1710">
        <v>1910.5</v>
      </c>
      <c r="F1710">
        <v>101.77</v>
      </c>
      <c r="G1710">
        <v>61.24</v>
      </c>
      <c r="H1710">
        <v>158</v>
      </c>
      <c r="I1710" t="s">
        <v>14</v>
      </c>
      <c r="J1710">
        <v>2026</v>
      </c>
      <c r="K1710">
        <f t="shared" si="52"/>
        <v>40.529999999999994</v>
      </c>
      <c r="L1710" t="str">
        <f t="shared" si="53"/>
        <v>Banca Lariana|34|Leasing</v>
      </c>
    </row>
    <row r="1711" spans="1:12" x14ac:dyDescent="0.25">
      <c r="A1711" t="s">
        <v>28</v>
      </c>
      <c r="B1711">
        <v>34</v>
      </c>
      <c r="C1711" t="s">
        <v>19</v>
      </c>
      <c r="D1711" s="1">
        <v>46326</v>
      </c>
      <c r="E1711">
        <v>2161.6999999999998</v>
      </c>
      <c r="F1711">
        <v>119.45</v>
      </c>
      <c r="G1711">
        <v>71.510000000000005</v>
      </c>
      <c r="H1711">
        <v>184</v>
      </c>
      <c r="I1711" t="s">
        <v>14</v>
      </c>
      <c r="J1711">
        <v>2026</v>
      </c>
      <c r="K1711">
        <f t="shared" si="52"/>
        <v>47.94</v>
      </c>
      <c r="L1711" t="str">
        <f t="shared" si="53"/>
        <v>Banca Lariana|34|Factoring</v>
      </c>
    </row>
    <row r="1712" spans="1:12" x14ac:dyDescent="0.25">
      <c r="A1712" t="s">
        <v>28</v>
      </c>
      <c r="B1712">
        <v>34</v>
      </c>
      <c r="C1712" t="s">
        <v>20</v>
      </c>
      <c r="D1712" s="1">
        <v>46326</v>
      </c>
      <c r="E1712">
        <v>2458.1</v>
      </c>
      <c r="F1712">
        <v>140.88</v>
      </c>
      <c r="G1712">
        <v>84.09</v>
      </c>
      <c r="H1712">
        <v>195</v>
      </c>
      <c r="I1712" t="s">
        <v>14</v>
      </c>
      <c r="J1712">
        <v>2026</v>
      </c>
      <c r="K1712">
        <f t="shared" si="52"/>
        <v>56.789999999999992</v>
      </c>
      <c r="L1712" t="str">
        <f t="shared" si="53"/>
        <v>Banca Lariana|34|Risparmio</v>
      </c>
    </row>
    <row r="1713" spans="1:12" x14ac:dyDescent="0.25">
      <c r="A1713" t="s">
        <v>28</v>
      </c>
      <c r="B1713">
        <v>34</v>
      </c>
      <c r="C1713" t="s">
        <v>21</v>
      </c>
      <c r="D1713" s="1">
        <v>46326</v>
      </c>
      <c r="E1713">
        <v>2732.2</v>
      </c>
      <c r="F1713">
        <v>161.47999999999999</v>
      </c>
      <c r="G1713">
        <v>95.84</v>
      </c>
      <c r="H1713">
        <v>246</v>
      </c>
      <c r="I1713" t="s">
        <v>14</v>
      </c>
      <c r="J1713">
        <v>2026</v>
      </c>
      <c r="K1713">
        <f t="shared" si="52"/>
        <v>65.639999999999986</v>
      </c>
      <c r="L1713" t="str">
        <f t="shared" si="53"/>
        <v>Banca Lariana|34|Assicurazioni</v>
      </c>
    </row>
    <row r="1714" spans="1:12" x14ac:dyDescent="0.25">
      <c r="A1714" t="s">
        <v>28</v>
      </c>
      <c r="B1714">
        <v>35</v>
      </c>
      <c r="C1714" t="s">
        <v>13</v>
      </c>
      <c r="D1714" s="1">
        <v>46356</v>
      </c>
      <c r="E1714">
        <v>786.7</v>
      </c>
      <c r="F1714">
        <v>36.1</v>
      </c>
      <c r="G1714">
        <v>22.4</v>
      </c>
      <c r="H1714">
        <v>71</v>
      </c>
      <c r="I1714" t="s">
        <v>14</v>
      </c>
      <c r="J1714">
        <v>2026</v>
      </c>
      <c r="K1714">
        <f t="shared" si="52"/>
        <v>13.700000000000003</v>
      </c>
      <c r="L1714" t="str">
        <f t="shared" si="53"/>
        <v>Banca Lariana|35|Mutui</v>
      </c>
    </row>
    <row r="1715" spans="1:12" x14ac:dyDescent="0.25">
      <c r="A1715" t="s">
        <v>28</v>
      </c>
      <c r="B1715">
        <v>35</v>
      </c>
      <c r="C1715" t="s">
        <v>15</v>
      </c>
      <c r="D1715" s="1">
        <v>46356</v>
      </c>
      <c r="E1715">
        <v>1057.5</v>
      </c>
      <c r="F1715">
        <v>49.79</v>
      </c>
      <c r="G1715">
        <v>31.04</v>
      </c>
      <c r="H1715">
        <v>94</v>
      </c>
      <c r="I1715" t="s">
        <v>14</v>
      </c>
      <c r="J1715">
        <v>2026</v>
      </c>
      <c r="K1715">
        <f t="shared" si="52"/>
        <v>18.75</v>
      </c>
      <c r="L1715" t="str">
        <f t="shared" si="53"/>
        <v>Banca Lariana|35|Prestiti</v>
      </c>
    </row>
    <row r="1716" spans="1:12" x14ac:dyDescent="0.25">
      <c r="A1716" t="s">
        <v>28</v>
      </c>
      <c r="B1716">
        <v>35</v>
      </c>
      <c r="C1716" t="s">
        <v>16</v>
      </c>
      <c r="D1716" s="1">
        <v>46356</v>
      </c>
      <c r="E1716">
        <v>1338.2</v>
      </c>
      <c r="F1716">
        <v>66.510000000000005</v>
      </c>
      <c r="G1716">
        <v>40.99</v>
      </c>
      <c r="H1716">
        <v>127</v>
      </c>
      <c r="I1716" t="s">
        <v>14</v>
      </c>
      <c r="J1716">
        <v>2026</v>
      </c>
      <c r="K1716">
        <f t="shared" si="52"/>
        <v>25.520000000000003</v>
      </c>
      <c r="L1716" t="str">
        <f t="shared" si="53"/>
        <v>Banca Lariana|35|Conti</v>
      </c>
    </row>
    <row r="1717" spans="1:12" x14ac:dyDescent="0.25">
      <c r="A1717" t="s">
        <v>28</v>
      </c>
      <c r="B1717">
        <v>35</v>
      </c>
      <c r="C1717" t="s">
        <v>17</v>
      </c>
      <c r="D1717" s="1">
        <v>46356</v>
      </c>
      <c r="E1717">
        <v>1590.2</v>
      </c>
      <c r="F1717">
        <v>81.209999999999994</v>
      </c>
      <c r="G1717">
        <v>50.09</v>
      </c>
      <c r="H1717">
        <v>150</v>
      </c>
      <c r="I1717" t="s">
        <v>14</v>
      </c>
      <c r="J1717">
        <v>2026</v>
      </c>
      <c r="K1717">
        <f t="shared" si="52"/>
        <v>31.11999999999999</v>
      </c>
      <c r="L1717" t="str">
        <f t="shared" si="53"/>
        <v>Banca Lariana|35|Carte</v>
      </c>
    </row>
    <row r="1718" spans="1:12" x14ac:dyDescent="0.25">
      <c r="A1718" t="s">
        <v>28</v>
      </c>
      <c r="B1718">
        <v>35</v>
      </c>
      <c r="C1718" t="s">
        <v>18</v>
      </c>
      <c r="D1718" s="1">
        <v>46356</v>
      </c>
      <c r="E1718">
        <v>1911.6</v>
      </c>
      <c r="F1718">
        <v>102.3</v>
      </c>
      <c r="G1718">
        <v>61.48</v>
      </c>
      <c r="H1718">
        <v>186</v>
      </c>
      <c r="I1718" t="s">
        <v>14</v>
      </c>
      <c r="J1718">
        <v>2026</v>
      </c>
      <c r="K1718">
        <f t="shared" si="52"/>
        <v>40.82</v>
      </c>
      <c r="L1718" t="str">
        <f t="shared" si="53"/>
        <v>Banca Lariana|35|Leasing</v>
      </c>
    </row>
    <row r="1719" spans="1:12" x14ac:dyDescent="0.25">
      <c r="A1719" t="s">
        <v>28</v>
      </c>
      <c r="B1719">
        <v>35</v>
      </c>
      <c r="C1719" t="s">
        <v>19</v>
      </c>
      <c r="D1719" s="1">
        <v>46356</v>
      </c>
      <c r="E1719">
        <v>2168.1</v>
      </c>
      <c r="F1719">
        <v>120.05</v>
      </c>
      <c r="G1719">
        <v>72.239999999999995</v>
      </c>
      <c r="H1719">
        <v>195</v>
      </c>
      <c r="I1719" t="s">
        <v>14</v>
      </c>
      <c r="J1719">
        <v>2026</v>
      </c>
      <c r="K1719">
        <f t="shared" si="52"/>
        <v>47.81</v>
      </c>
      <c r="L1719" t="str">
        <f t="shared" si="53"/>
        <v>Banca Lariana|35|Factoring</v>
      </c>
    </row>
    <row r="1720" spans="1:12" x14ac:dyDescent="0.25">
      <c r="A1720" t="s">
        <v>28</v>
      </c>
      <c r="B1720">
        <v>35</v>
      </c>
      <c r="C1720" t="s">
        <v>20</v>
      </c>
      <c r="D1720" s="1">
        <v>46356</v>
      </c>
      <c r="E1720">
        <v>2479</v>
      </c>
      <c r="F1720">
        <v>142.28</v>
      </c>
      <c r="G1720">
        <v>85.27</v>
      </c>
      <c r="H1720">
        <v>216</v>
      </c>
      <c r="I1720" t="s">
        <v>14</v>
      </c>
      <c r="J1720">
        <v>2026</v>
      </c>
      <c r="K1720">
        <f t="shared" si="52"/>
        <v>57.010000000000005</v>
      </c>
      <c r="L1720" t="str">
        <f t="shared" si="53"/>
        <v>Banca Lariana|35|Risparmio</v>
      </c>
    </row>
    <row r="1721" spans="1:12" x14ac:dyDescent="0.25">
      <c r="A1721" t="s">
        <v>28</v>
      </c>
      <c r="B1721">
        <v>35</v>
      </c>
      <c r="C1721" t="s">
        <v>21</v>
      </c>
      <c r="D1721" s="1">
        <v>46356</v>
      </c>
      <c r="E1721">
        <v>2756</v>
      </c>
      <c r="F1721">
        <v>162.75</v>
      </c>
      <c r="G1721">
        <v>97.24</v>
      </c>
      <c r="H1721">
        <v>237</v>
      </c>
      <c r="I1721" t="s">
        <v>14</v>
      </c>
      <c r="J1721">
        <v>2026</v>
      </c>
      <c r="K1721">
        <f t="shared" si="52"/>
        <v>65.510000000000005</v>
      </c>
      <c r="L1721" t="str">
        <f t="shared" si="53"/>
        <v>Banca Lariana|35|Assicurazioni</v>
      </c>
    </row>
    <row r="1722" spans="1:12" x14ac:dyDescent="0.25">
      <c r="A1722" t="s">
        <v>28</v>
      </c>
      <c r="B1722">
        <v>36</v>
      </c>
      <c r="C1722" t="s">
        <v>13</v>
      </c>
      <c r="D1722" s="1">
        <v>46387</v>
      </c>
      <c r="E1722">
        <v>751.5</v>
      </c>
      <c r="F1722">
        <v>33.99</v>
      </c>
      <c r="G1722">
        <v>21.89</v>
      </c>
      <c r="H1722">
        <v>87</v>
      </c>
      <c r="I1722" t="s">
        <v>14</v>
      </c>
      <c r="J1722">
        <v>2026</v>
      </c>
      <c r="K1722">
        <f t="shared" si="52"/>
        <v>12.100000000000001</v>
      </c>
      <c r="L1722" t="str">
        <f t="shared" si="53"/>
        <v>Banca Lariana|36|Mutui</v>
      </c>
    </row>
    <row r="1723" spans="1:12" x14ac:dyDescent="0.25">
      <c r="A1723" t="s">
        <v>28</v>
      </c>
      <c r="B1723">
        <v>36</v>
      </c>
      <c r="C1723" t="s">
        <v>15</v>
      </c>
      <c r="D1723" s="1">
        <v>46387</v>
      </c>
      <c r="E1723">
        <v>1077.5</v>
      </c>
      <c r="F1723">
        <v>51.57</v>
      </c>
      <c r="G1723">
        <v>32.17</v>
      </c>
      <c r="H1723">
        <v>121</v>
      </c>
      <c r="I1723" t="s">
        <v>14</v>
      </c>
      <c r="J1723">
        <v>2026</v>
      </c>
      <c r="K1723">
        <f t="shared" si="52"/>
        <v>19.399999999999999</v>
      </c>
      <c r="L1723" t="str">
        <f t="shared" si="53"/>
        <v>Banca Lariana|36|Prestiti</v>
      </c>
    </row>
    <row r="1724" spans="1:12" x14ac:dyDescent="0.25">
      <c r="A1724" t="s">
        <v>28</v>
      </c>
      <c r="B1724">
        <v>36</v>
      </c>
      <c r="C1724" t="s">
        <v>16</v>
      </c>
      <c r="D1724" s="1">
        <v>46387</v>
      </c>
      <c r="E1724">
        <v>1363</v>
      </c>
      <c r="F1724">
        <v>67.27</v>
      </c>
      <c r="G1724">
        <v>41.49</v>
      </c>
      <c r="H1724">
        <v>108</v>
      </c>
      <c r="I1724" t="s">
        <v>14</v>
      </c>
      <c r="J1724">
        <v>2026</v>
      </c>
      <c r="K1724">
        <f t="shared" si="52"/>
        <v>25.779999999999994</v>
      </c>
      <c r="L1724" t="str">
        <f t="shared" si="53"/>
        <v>Banca Lariana|36|Conti</v>
      </c>
    </row>
    <row r="1725" spans="1:12" x14ac:dyDescent="0.25">
      <c r="A1725" t="s">
        <v>28</v>
      </c>
      <c r="B1725">
        <v>36</v>
      </c>
      <c r="C1725" t="s">
        <v>17</v>
      </c>
      <c r="D1725" s="1">
        <v>46387</v>
      </c>
      <c r="E1725">
        <v>1605.2</v>
      </c>
      <c r="F1725">
        <v>82.25</v>
      </c>
      <c r="G1725">
        <v>50.18</v>
      </c>
      <c r="H1725">
        <v>130</v>
      </c>
      <c r="I1725" t="s">
        <v>14</v>
      </c>
      <c r="J1725">
        <v>2026</v>
      </c>
      <c r="K1725">
        <f t="shared" si="52"/>
        <v>32.07</v>
      </c>
      <c r="L1725" t="str">
        <f t="shared" si="53"/>
        <v>Banca Lariana|36|Carte</v>
      </c>
    </row>
    <row r="1726" spans="1:12" x14ac:dyDescent="0.25">
      <c r="A1726" t="s">
        <v>28</v>
      </c>
      <c r="B1726">
        <v>36</v>
      </c>
      <c r="C1726" t="s">
        <v>18</v>
      </c>
      <c r="D1726" s="1">
        <v>46387</v>
      </c>
      <c r="E1726">
        <v>1910.9</v>
      </c>
      <c r="F1726">
        <v>101.67</v>
      </c>
      <c r="G1726">
        <v>61.92</v>
      </c>
      <c r="H1726">
        <v>176</v>
      </c>
      <c r="I1726" t="s">
        <v>14</v>
      </c>
      <c r="J1726">
        <v>2026</v>
      </c>
      <c r="K1726">
        <f t="shared" si="52"/>
        <v>39.75</v>
      </c>
      <c r="L1726" t="str">
        <f t="shared" si="53"/>
        <v>Banca Lariana|36|Leasing</v>
      </c>
    </row>
    <row r="1727" spans="1:12" x14ac:dyDescent="0.25">
      <c r="A1727" t="s">
        <v>28</v>
      </c>
      <c r="B1727">
        <v>36</v>
      </c>
      <c r="C1727" t="s">
        <v>19</v>
      </c>
      <c r="D1727" s="1">
        <v>46387</v>
      </c>
      <c r="E1727">
        <v>2208.1999999999998</v>
      </c>
      <c r="F1727">
        <v>122.41</v>
      </c>
      <c r="G1727">
        <v>73.14</v>
      </c>
      <c r="H1727">
        <v>175</v>
      </c>
      <c r="I1727" t="s">
        <v>14</v>
      </c>
      <c r="J1727">
        <v>2026</v>
      </c>
      <c r="K1727">
        <f t="shared" si="52"/>
        <v>49.269999999999996</v>
      </c>
      <c r="L1727" t="str">
        <f t="shared" si="53"/>
        <v>Banca Lariana|36|Factoring</v>
      </c>
    </row>
    <row r="1728" spans="1:12" x14ac:dyDescent="0.25">
      <c r="A1728" t="s">
        <v>28</v>
      </c>
      <c r="B1728">
        <v>36</v>
      </c>
      <c r="C1728" t="s">
        <v>20</v>
      </c>
      <c r="D1728" s="1">
        <v>46387</v>
      </c>
      <c r="E1728">
        <v>2470.8000000000002</v>
      </c>
      <c r="F1728">
        <v>141.16999999999999</v>
      </c>
      <c r="G1728">
        <v>84.25</v>
      </c>
      <c r="H1728">
        <v>206</v>
      </c>
      <c r="I1728" t="s">
        <v>14</v>
      </c>
      <c r="J1728">
        <v>2026</v>
      </c>
      <c r="K1728">
        <f t="shared" si="52"/>
        <v>56.919999999999987</v>
      </c>
      <c r="L1728" t="str">
        <f t="shared" si="53"/>
        <v>Banca Lariana|36|Risparmio</v>
      </c>
    </row>
    <row r="1729" spans="1:12" x14ac:dyDescent="0.25">
      <c r="A1729" t="s">
        <v>28</v>
      </c>
      <c r="B1729">
        <v>36</v>
      </c>
      <c r="C1729" t="s">
        <v>21</v>
      </c>
      <c r="D1729" s="1">
        <v>46387</v>
      </c>
      <c r="E1729">
        <v>2761</v>
      </c>
      <c r="F1729">
        <v>163.03</v>
      </c>
      <c r="G1729">
        <v>97.24</v>
      </c>
      <c r="H1729">
        <v>216</v>
      </c>
      <c r="I1729" t="s">
        <v>14</v>
      </c>
      <c r="J1729">
        <v>2026</v>
      </c>
      <c r="K1729">
        <f t="shared" si="52"/>
        <v>65.790000000000006</v>
      </c>
      <c r="L1729" t="str">
        <f t="shared" si="53"/>
        <v>Banca Lariana|36|Assicurazioni</v>
      </c>
    </row>
    <row r="1730" spans="1:12" x14ac:dyDescent="0.25">
      <c r="A1730" t="s">
        <v>29</v>
      </c>
      <c r="B1730">
        <v>1</v>
      </c>
      <c r="C1730" t="s">
        <v>13</v>
      </c>
      <c r="D1730" s="1">
        <v>45322</v>
      </c>
      <c r="E1730">
        <v>663.3</v>
      </c>
      <c r="F1730">
        <v>30.73</v>
      </c>
      <c r="G1730">
        <v>19.28</v>
      </c>
      <c r="H1730">
        <v>92</v>
      </c>
      <c r="I1730" t="s">
        <v>25</v>
      </c>
      <c r="J1730">
        <v>2024</v>
      </c>
      <c r="K1730">
        <f t="shared" ref="K1730:K1793" si="54">F1730-G1730</f>
        <v>11.45</v>
      </c>
      <c r="L1730" t="str">
        <f t="shared" ref="L1730:L1793" si="55">A1730&amp;"|"&amp;B1730&amp;"|"&amp;C1730</f>
        <v>Banca Sabina|1|Mutui</v>
      </c>
    </row>
    <row r="1731" spans="1:12" x14ac:dyDescent="0.25">
      <c r="A1731" t="s">
        <v>29</v>
      </c>
      <c r="B1731">
        <v>1</v>
      </c>
      <c r="C1731" t="s">
        <v>15</v>
      </c>
      <c r="D1731" s="1">
        <v>45322</v>
      </c>
      <c r="E1731">
        <v>900.7</v>
      </c>
      <c r="F1731">
        <v>42.7</v>
      </c>
      <c r="G1731">
        <v>26.99</v>
      </c>
      <c r="H1731">
        <v>105</v>
      </c>
      <c r="I1731" t="s">
        <v>25</v>
      </c>
      <c r="J1731">
        <v>2024</v>
      </c>
      <c r="K1731">
        <f t="shared" si="54"/>
        <v>15.710000000000004</v>
      </c>
      <c r="L1731" t="str">
        <f t="shared" si="55"/>
        <v>Banca Sabina|1|Prestiti</v>
      </c>
    </row>
    <row r="1732" spans="1:12" x14ac:dyDescent="0.25">
      <c r="A1732" t="s">
        <v>29</v>
      </c>
      <c r="B1732">
        <v>1</v>
      </c>
      <c r="C1732" t="s">
        <v>16</v>
      </c>
      <c r="D1732" s="1">
        <v>45322</v>
      </c>
      <c r="E1732">
        <v>1120.9000000000001</v>
      </c>
      <c r="F1732">
        <v>55.65</v>
      </c>
      <c r="G1732">
        <v>34.29</v>
      </c>
      <c r="H1732">
        <v>116</v>
      </c>
      <c r="I1732" t="s">
        <v>25</v>
      </c>
      <c r="J1732">
        <v>2024</v>
      </c>
      <c r="K1732">
        <f t="shared" si="54"/>
        <v>21.36</v>
      </c>
      <c r="L1732" t="str">
        <f t="shared" si="55"/>
        <v>Banca Sabina|1|Conti</v>
      </c>
    </row>
    <row r="1733" spans="1:12" x14ac:dyDescent="0.25">
      <c r="A1733" t="s">
        <v>29</v>
      </c>
      <c r="B1733">
        <v>1</v>
      </c>
      <c r="C1733" t="s">
        <v>17</v>
      </c>
      <c r="D1733" s="1">
        <v>45322</v>
      </c>
      <c r="E1733">
        <v>1361.7</v>
      </c>
      <c r="F1733">
        <v>69.86</v>
      </c>
      <c r="G1733">
        <v>42.37</v>
      </c>
      <c r="H1733">
        <v>140</v>
      </c>
      <c r="I1733" t="s">
        <v>25</v>
      </c>
      <c r="J1733">
        <v>2024</v>
      </c>
      <c r="K1733">
        <f t="shared" si="54"/>
        <v>27.490000000000002</v>
      </c>
      <c r="L1733" t="str">
        <f t="shared" si="55"/>
        <v>Banca Sabina|1|Carte</v>
      </c>
    </row>
    <row r="1734" spans="1:12" x14ac:dyDescent="0.25">
      <c r="A1734" t="s">
        <v>29</v>
      </c>
      <c r="B1734">
        <v>1</v>
      </c>
      <c r="C1734" t="s">
        <v>18</v>
      </c>
      <c r="D1734" s="1">
        <v>45322</v>
      </c>
      <c r="E1734">
        <v>1621.6</v>
      </c>
      <c r="F1734">
        <v>86.59</v>
      </c>
      <c r="G1734">
        <v>52.71</v>
      </c>
      <c r="H1734">
        <v>191</v>
      </c>
      <c r="I1734" t="s">
        <v>25</v>
      </c>
      <c r="J1734">
        <v>2024</v>
      </c>
      <c r="K1734">
        <f t="shared" si="54"/>
        <v>33.880000000000003</v>
      </c>
      <c r="L1734" t="str">
        <f t="shared" si="55"/>
        <v>Banca Sabina|1|Leasing</v>
      </c>
    </row>
    <row r="1735" spans="1:12" x14ac:dyDescent="0.25">
      <c r="A1735" t="s">
        <v>29</v>
      </c>
      <c r="B1735">
        <v>1</v>
      </c>
      <c r="C1735" t="s">
        <v>19</v>
      </c>
      <c r="D1735" s="1">
        <v>45322</v>
      </c>
      <c r="E1735">
        <v>1885</v>
      </c>
      <c r="F1735">
        <v>103.92</v>
      </c>
      <c r="G1735">
        <v>62.48</v>
      </c>
      <c r="H1735">
        <v>220</v>
      </c>
      <c r="I1735" t="s">
        <v>25</v>
      </c>
      <c r="J1735">
        <v>2024</v>
      </c>
      <c r="K1735">
        <f t="shared" si="54"/>
        <v>41.440000000000005</v>
      </c>
      <c r="L1735" t="str">
        <f t="shared" si="55"/>
        <v>Banca Sabina|1|Factoring</v>
      </c>
    </row>
    <row r="1736" spans="1:12" x14ac:dyDescent="0.25">
      <c r="A1736" t="s">
        <v>29</v>
      </c>
      <c r="B1736">
        <v>1</v>
      </c>
      <c r="C1736" t="s">
        <v>20</v>
      </c>
      <c r="D1736" s="1">
        <v>45322</v>
      </c>
      <c r="E1736">
        <v>2128.6999999999998</v>
      </c>
      <c r="F1736">
        <v>122.12</v>
      </c>
      <c r="G1736">
        <v>72.760000000000005</v>
      </c>
      <c r="H1736">
        <v>229</v>
      </c>
      <c r="I1736" t="s">
        <v>25</v>
      </c>
      <c r="J1736">
        <v>2024</v>
      </c>
      <c r="K1736">
        <f t="shared" si="54"/>
        <v>49.36</v>
      </c>
      <c r="L1736" t="str">
        <f t="shared" si="55"/>
        <v>Banca Sabina|1|Risparmio</v>
      </c>
    </row>
    <row r="1737" spans="1:12" x14ac:dyDescent="0.25">
      <c r="A1737" t="s">
        <v>29</v>
      </c>
      <c r="B1737">
        <v>1</v>
      </c>
      <c r="C1737" t="s">
        <v>21</v>
      </c>
      <c r="D1737" s="1">
        <v>45322</v>
      </c>
      <c r="E1737">
        <v>2351.1</v>
      </c>
      <c r="F1737">
        <v>139.38999999999999</v>
      </c>
      <c r="G1737">
        <v>82.36</v>
      </c>
      <c r="H1737">
        <v>241</v>
      </c>
      <c r="I1737" t="s">
        <v>25</v>
      </c>
      <c r="J1737">
        <v>2024</v>
      </c>
      <c r="K1737">
        <f t="shared" si="54"/>
        <v>57.029999999999987</v>
      </c>
      <c r="L1737" t="str">
        <f t="shared" si="55"/>
        <v>Banca Sabina|1|Assicurazioni</v>
      </c>
    </row>
    <row r="1738" spans="1:12" x14ac:dyDescent="0.25">
      <c r="A1738" t="s">
        <v>29</v>
      </c>
      <c r="B1738">
        <v>2</v>
      </c>
      <c r="C1738" t="s">
        <v>13</v>
      </c>
      <c r="D1738" s="1">
        <v>45351</v>
      </c>
      <c r="E1738">
        <v>638.5</v>
      </c>
      <c r="F1738">
        <v>28.82</v>
      </c>
      <c r="G1738">
        <v>18.739999999999998</v>
      </c>
      <c r="H1738">
        <v>104</v>
      </c>
      <c r="I1738" t="s">
        <v>25</v>
      </c>
      <c r="J1738">
        <v>2024</v>
      </c>
      <c r="K1738">
        <f t="shared" si="54"/>
        <v>10.080000000000002</v>
      </c>
      <c r="L1738" t="str">
        <f t="shared" si="55"/>
        <v>Banca Sabina|2|Mutui</v>
      </c>
    </row>
    <row r="1739" spans="1:12" x14ac:dyDescent="0.25">
      <c r="A1739" t="s">
        <v>29</v>
      </c>
      <c r="B1739">
        <v>2</v>
      </c>
      <c r="C1739" t="s">
        <v>15</v>
      </c>
      <c r="D1739" s="1">
        <v>45351</v>
      </c>
      <c r="E1739">
        <v>924</v>
      </c>
      <c r="F1739">
        <v>44.1</v>
      </c>
      <c r="G1739">
        <v>26.96</v>
      </c>
      <c r="H1739">
        <v>101</v>
      </c>
      <c r="I1739" t="s">
        <v>25</v>
      </c>
      <c r="J1739">
        <v>2024</v>
      </c>
      <c r="K1739">
        <f t="shared" si="54"/>
        <v>17.14</v>
      </c>
      <c r="L1739" t="str">
        <f t="shared" si="55"/>
        <v>Banca Sabina|2|Prestiti</v>
      </c>
    </row>
    <row r="1740" spans="1:12" x14ac:dyDescent="0.25">
      <c r="A1740" t="s">
        <v>29</v>
      </c>
      <c r="B1740">
        <v>2</v>
      </c>
      <c r="C1740" t="s">
        <v>16</v>
      </c>
      <c r="D1740" s="1">
        <v>45351</v>
      </c>
      <c r="E1740">
        <v>1140.8</v>
      </c>
      <c r="F1740">
        <v>56.88</v>
      </c>
      <c r="G1740">
        <v>34.770000000000003</v>
      </c>
      <c r="H1740">
        <v>144</v>
      </c>
      <c r="I1740" t="s">
        <v>25</v>
      </c>
      <c r="J1740">
        <v>2024</v>
      </c>
      <c r="K1740">
        <f t="shared" si="54"/>
        <v>22.11</v>
      </c>
      <c r="L1740" t="str">
        <f t="shared" si="55"/>
        <v>Banca Sabina|2|Conti</v>
      </c>
    </row>
    <row r="1741" spans="1:12" x14ac:dyDescent="0.25">
      <c r="A1741" t="s">
        <v>29</v>
      </c>
      <c r="B1741">
        <v>2</v>
      </c>
      <c r="C1741" t="s">
        <v>17</v>
      </c>
      <c r="D1741" s="1">
        <v>45351</v>
      </c>
      <c r="E1741">
        <v>1375.4</v>
      </c>
      <c r="F1741">
        <v>70.209999999999994</v>
      </c>
      <c r="G1741">
        <v>43.6</v>
      </c>
      <c r="H1741">
        <v>142</v>
      </c>
      <c r="I1741" t="s">
        <v>25</v>
      </c>
      <c r="J1741">
        <v>2024</v>
      </c>
      <c r="K1741">
        <f t="shared" si="54"/>
        <v>26.609999999999992</v>
      </c>
      <c r="L1741" t="str">
        <f t="shared" si="55"/>
        <v>Banca Sabina|2|Carte</v>
      </c>
    </row>
    <row r="1742" spans="1:12" x14ac:dyDescent="0.25">
      <c r="A1742" t="s">
        <v>29</v>
      </c>
      <c r="B1742">
        <v>2</v>
      </c>
      <c r="C1742" t="s">
        <v>18</v>
      </c>
      <c r="D1742" s="1">
        <v>45351</v>
      </c>
      <c r="E1742">
        <v>1663.2</v>
      </c>
      <c r="F1742">
        <v>88.24</v>
      </c>
      <c r="G1742">
        <v>53.26</v>
      </c>
      <c r="H1742">
        <v>196</v>
      </c>
      <c r="I1742" t="s">
        <v>25</v>
      </c>
      <c r="J1742">
        <v>2024</v>
      </c>
      <c r="K1742">
        <f t="shared" si="54"/>
        <v>34.979999999999997</v>
      </c>
      <c r="L1742" t="str">
        <f t="shared" si="55"/>
        <v>Banca Sabina|2|Leasing</v>
      </c>
    </row>
    <row r="1743" spans="1:12" x14ac:dyDescent="0.25">
      <c r="A1743" t="s">
        <v>29</v>
      </c>
      <c r="B1743">
        <v>2</v>
      </c>
      <c r="C1743" t="s">
        <v>19</v>
      </c>
      <c r="D1743" s="1">
        <v>45351</v>
      </c>
      <c r="E1743">
        <v>1916.8</v>
      </c>
      <c r="F1743">
        <v>105.76</v>
      </c>
      <c r="G1743">
        <v>63.47</v>
      </c>
      <c r="H1743">
        <v>222</v>
      </c>
      <c r="I1743" t="s">
        <v>25</v>
      </c>
      <c r="J1743">
        <v>2024</v>
      </c>
      <c r="K1743">
        <f t="shared" si="54"/>
        <v>42.290000000000006</v>
      </c>
      <c r="L1743" t="str">
        <f t="shared" si="55"/>
        <v>Banca Sabina|2|Factoring</v>
      </c>
    </row>
    <row r="1744" spans="1:12" x14ac:dyDescent="0.25">
      <c r="A1744" t="s">
        <v>29</v>
      </c>
      <c r="B1744">
        <v>2</v>
      </c>
      <c r="C1744" t="s">
        <v>20</v>
      </c>
      <c r="D1744" s="1">
        <v>45351</v>
      </c>
      <c r="E1744">
        <v>2150.6999999999998</v>
      </c>
      <c r="F1744">
        <v>122.93</v>
      </c>
      <c r="G1744">
        <v>74.099999999999994</v>
      </c>
      <c r="H1744">
        <v>246</v>
      </c>
      <c r="I1744" t="s">
        <v>25</v>
      </c>
      <c r="J1744">
        <v>2024</v>
      </c>
      <c r="K1744">
        <f t="shared" si="54"/>
        <v>48.830000000000013</v>
      </c>
      <c r="L1744" t="str">
        <f t="shared" si="55"/>
        <v>Banca Sabina|2|Risparmio</v>
      </c>
    </row>
    <row r="1745" spans="1:12" x14ac:dyDescent="0.25">
      <c r="A1745" t="s">
        <v>29</v>
      </c>
      <c r="B1745">
        <v>2</v>
      </c>
      <c r="C1745" t="s">
        <v>21</v>
      </c>
      <c r="D1745" s="1">
        <v>45351</v>
      </c>
      <c r="E1745">
        <v>2419</v>
      </c>
      <c r="F1745">
        <v>143.51</v>
      </c>
      <c r="G1745">
        <v>85.49</v>
      </c>
      <c r="H1745">
        <v>273</v>
      </c>
      <c r="I1745" t="s">
        <v>25</v>
      </c>
      <c r="J1745">
        <v>2024</v>
      </c>
      <c r="K1745">
        <f t="shared" si="54"/>
        <v>58.019999999999996</v>
      </c>
      <c r="L1745" t="str">
        <f t="shared" si="55"/>
        <v>Banca Sabina|2|Assicurazioni</v>
      </c>
    </row>
    <row r="1746" spans="1:12" x14ac:dyDescent="0.25">
      <c r="A1746" t="s">
        <v>29</v>
      </c>
      <c r="B1746">
        <v>3</v>
      </c>
      <c r="C1746" t="s">
        <v>13</v>
      </c>
      <c r="D1746" s="1">
        <v>45382</v>
      </c>
      <c r="E1746">
        <v>691.5</v>
      </c>
      <c r="F1746">
        <v>31.2</v>
      </c>
      <c r="G1746">
        <v>20.32</v>
      </c>
      <c r="H1746">
        <v>86</v>
      </c>
      <c r="I1746" t="s">
        <v>25</v>
      </c>
      <c r="J1746">
        <v>2024</v>
      </c>
      <c r="K1746">
        <f t="shared" si="54"/>
        <v>10.879999999999999</v>
      </c>
      <c r="L1746" t="str">
        <f t="shared" si="55"/>
        <v>Banca Sabina|3|Mutui</v>
      </c>
    </row>
    <row r="1747" spans="1:12" x14ac:dyDescent="0.25">
      <c r="A1747" t="s">
        <v>29</v>
      </c>
      <c r="B1747">
        <v>3</v>
      </c>
      <c r="C1747" t="s">
        <v>15</v>
      </c>
      <c r="D1747" s="1">
        <v>45382</v>
      </c>
      <c r="E1747">
        <v>904.8</v>
      </c>
      <c r="F1747">
        <v>42.75</v>
      </c>
      <c r="G1747">
        <v>26.86</v>
      </c>
      <c r="H1747">
        <v>104</v>
      </c>
      <c r="I1747" t="s">
        <v>25</v>
      </c>
      <c r="J1747">
        <v>2024</v>
      </c>
      <c r="K1747">
        <f t="shared" si="54"/>
        <v>15.89</v>
      </c>
      <c r="L1747" t="str">
        <f t="shared" si="55"/>
        <v>Banca Sabina|3|Prestiti</v>
      </c>
    </row>
    <row r="1748" spans="1:12" x14ac:dyDescent="0.25">
      <c r="A1748" t="s">
        <v>29</v>
      </c>
      <c r="B1748">
        <v>3</v>
      </c>
      <c r="C1748" t="s">
        <v>16</v>
      </c>
      <c r="D1748" s="1">
        <v>45382</v>
      </c>
      <c r="E1748">
        <v>1164</v>
      </c>
      <c r="F1748">
        <v>57.75</v>
      </c>
      <c r="G1748">
        <v>35.869999999999997</v>
      </c>
      <c r="H1748">
        <v>130</v>
      </c>
      <c r="I1748" t="s">
        <v>25</v>
      </c>
      <c r="J1748">
        <v>2024</v>
      </c>
      <c r="K1748">
        <f t="shared" si="54"/>
        <v>21.880000000000003</v>
      </c>
      <c r="L1748" t="str">
        <f t="shared" si="55"/>
        <v>Banca Sabina|3|Conti</v>
      </c>
    </row>
    <row r="1749" spans="1:12" x14ac:dyDescent="0.25">
      <c r="A1749" t="s">
        <v>29</v>
      </c>
      <c r="B1749">
        <v>3</v>
      </c>
      <c r="C1749" t="s">
        <v>17</v>
      </c>
      <c r="D1749" s="1">
        <v>45382</v>
      </c>
      <c r="E1749">
        <v>1437</v>
      </c>
      <c r="F1749">
        <v>73.34</v>
      </c>
      <c r="G1749">
        <v>44.56</v>
      </c>
      <c r="H1749">
        <v>143</v>
      </c>
      <c r="I1749" t="s">
        <v>25</v>
      </c>
      <c r="J1749">
        <v>2024</v>
      </c>
      <c r="K1749">
        <f t="shared" si="54"/>
        <v>28.78</v>
      </c>
      <c r="L1749" t="str">
        <f t="shared" si="55"/>
        <v>Banca Sabina|3|Carte</v>
      </c>
    </row>
    <row r="1750" spans="1:12" x14ac:dyDescent="0.25">
      <c r="A1750" t="s">
        <v>29</v>
      </c>
      <c r="B1750">
        <v>3</v>
      </c>
      <c r="C1750" t="s">
        <v>18</v>
      </c>
      <c r="D1750" s="1">
        <v>45382</v>
      </c>
      <c r="E1750">
        <v>1638.2</v>
      </c>
      <c r="F1750">
        <v>87.28</v>
      </c>
      <c r="G1750">
        <v>52.69</v>
      </c>
      <c r="H1750">
        <v>188</v>
      </c>
      <c r="I1750" t="s">
        <v>25</v>
      </c>
      <c r="J1750">
        <v>2024</v>
      </c>
      <c r="K1750">
        <f t="shared" si="54"/>
        <v>34.590000000000003</v>
      </c>
      <c r="L1750" t="str">
        <f t="shared" si="55"/>
        <v>Banca Sabina|3|Leasing</v>
      </c>
    </row>
    <row r="1751" spans="1:12" x14ac:dyDescent="0.25">
      <c r="A1751" t="s">
        <v>29</v>
      </c>
      <c r="B1751">
        <v>3</v>
      </c>
      <c r="C1751" t="s">
        <v>19</v>
      </c>
      <c r="D1751" s="1">
        <v>45382</v>
      </c>
      <c r="E1751">
        <v>1938.9</v>
      </c>
      <c r="F1751">
        <v>106.64</v>
      </c>
      <c r="G1751">
        <v>64.64</v>
      </c>
      <c r="H1751">
        <v>217</v>
      </c>
      <c r="I1751" t="s">
        <v>25</v>
      </c>
      <c r="J1751">
        <v>2024</v>
      </c>
      <c r="K1751">
        <f t="shared" si="54"/>
        <v>42</v>
      </c>
      <c r="L1751" t="str">
        <f t="shared" si="55"/>
        <v>Banca Sabina|3|Factoring</v>
      </c>
    </row>
    <row r="1752" spans="1:12" x14ac:dyDescent="0.25">
      <c r="A1752" t="s">
        <v>29</v>
      </c>
      <c r="B1752">
        <v>3</v>
      </c>
      <c r="C1752" t="s">
        <v>20</v>
      </c>
      <c r="D1752" s="1">
        <v>45382</v>
      </c>
      <c r="E1752">
        <v>2164.1</v>
      </c>
      <c r="F1752">
        <v>123.59</v>
      </c>
      <c r="G1752">
        <v>73.59</v>
      </c>
      <c r="H1752">
        <v>217</v>
      </c>
      <c r="I1752" t="s">
        <v>25</v>
      </c>
      <c r="J1752">
        <v>2024</v>
      </c>
      <c r="K1752">
        <f t="shared" si="54"/>
        <v>50</v>
      </c>
      <c r="L1752" t="str">
        <f t="shared" si="55"/>
        <v>Banca Sabina|3|Risparmio</v>
      </c>
    </row>
    <row r="1753" spans="1:12" x14ac:dyDescent="0.25">
      <c r="A1753" t="s">
        <v>29</v>
      </c>
      <c r="B1753">
        <v>3</v>
      </c>
      <c r="C1753" t="s">
        <v>21</v>
      </c>
      <c r="D1753" s="1">
        <v>45382</v>
      </c>
      <c r="E1753">
        <v>2416.5</v>
      </c>
      <c r="F1753">
        <v>142.71</v>
      </c>
      <c r="G1753">
        <v>85.08</v>
      </c>
      <c r="H1753">
        <v>254</v>
      </c>
      <c r="I1753" t="s">
        <v>25</v>
      </c>
      <c r="J1753">
        <v>2024</v>
      </c>
      <c r="K1753">
        <f t="shared" si="54"/>
        <v>57.63000000000001</v>
      </c>
      <c r="L1753" t="str">
        <f t="shared" si="55"/>
        <v>Banca Sabina|3|Assicurazioni</v>
      </c>
    </row>
    <row r="1754" spans="1:12" x14ac:dyDescent="0.25">
      <c r="A1754" t="s">
        <v>29</v>
      </c>
      <c r="B1754">
        <v>4</v>
      </c>
      <c r="C1754" t="s">
        <v>13</v>
      </c>
      <c r="D1754" s="1">
        <v>45412</v>
      </c>
      <c r="E1754">
        <v>676</v>
      </c>
      <c r="F1754">
        <v>31.14</v>
      </c>
      <c r="G1754">
        <v>19.760000000000002</v>
      </c>
      <c r="H1754">
        <v>80</v>
      </c>
      <c r="I1754" t="s">
        <v>25</v>
      </c>
      <c r="J1754">
        <v>2024</v>
      </c>
      <c r="K1754">
        <f t="shared" si="54"/>
        <v>11.379999999999999</v>
      </c>
      <c r="L1754" t="str">
        <f t="shared" si="55"/>
        <v>Banca Sabina|4|Mutui</v>
      </c>
    </row>
    <row r="1755" spans="1:12" x14ac:dyDescent="0.25">
      <c r="A1755" t="s">
        <v>29</v>
      </c>
      <c r="B1755">
        <v>4</v>
      </c>
      <c r="C1755" t="s">
        <v>15</v>
      </c>
      <c r="D1755" s="1">
        <v>45412</v>
      </c>
      <c r="E1755">
        <v>911.3</v>
      </c>
      <c r="F1755">
        <v>43.22</v>
      </c>
      <c r="G1755">
        <v>26.99</v>
      </c>
      <c r="H1755">
        <v>128</v>
      </c>
      <c r="I1755" t="s">
        <v>25</v>
      </c>
      <c r="J1755">
        <v>2024</v>
      </c>
      <c r="K1755">
        <f t="shared" si="54"/>
        <v>16.23</v>
      </c>
      <c r="L1755" t="str">
        <f t="shared" si="55"/>
        <v>Banca Sabina|4|Prestiti</v>
      </c>
    </row>
    <row r="1756" spans="1:12" x14ac:dyDescent="0.25">
      <c r="A1756" t="s">
        <v>29</v>
      </c>
      <c r="B1756">
        <v>4</v>
      </c>
      <c r="C1756" t="s">
        <v>16</v>
      </c>
      <c r="D1756" s="1">
        <v>45412</v>
      </c>
      <c r="E1756">
        <v>1190.2</v>
      </c>
      <c r="F1756">
        <v>59.1</v>
      </c>
      <c r="G1756">
        <v>36.4</v>
      </c>
      <c r="H1756">
        <v>147</v>
      </c>
      <c r="I1756" t="s">
        <v>25</v>
      </c>
      <c r="J1756">
        <v>2024</v>
      </c>
      <c r="K1756">
        <f t="shared" si="54"/>
        <v>22.700000000000003</v>
      </c>
      <c r="L1756" t="str">
        <f t="shared" si="55"/>
        <v>Banca Sabina|4|Conti</v>
      </c>
    </row>
    <row r="1757" spans="1:12" x14ac:dyDescent="0.25">
      <c r="A1757" t="s">
        <v>29</v>
      </c>
      <c r="B1757">
        <v>4</v>
      </c>
      <c r="C1757" t="s">
        <v>17</v>
      </c>
      <c r="D1757" s="1">
        <v>45412</v>
      </c>
      <c r="E1757">
        <v>1434.5</v>
      </c>
      <c r="F1757">
        <v>73.97</v>
      </c>
      <c r="G1757">
        <v>44.76</v>
      </c>
      <c r="H1757">
        <v>160</v>
      </c>
      <c r="I1757" t="s">
        <v>25</v>
      </c>
      <c r="J1757">
        <v>2024</v>
      </c>
      <c r="K1757">
        <f t="shared" si="54"/>
        <v>29.21</v>
      </c>
      <c r="L1757" t="str">
        <f t="shared" si="55"/>
        <v>Banca Sabina|4|Carte</v>
      </c>
    </row>
    <row r="1758" spans="1:12" x14ac:dyDescent="0.25">
      <c r="A1758" t="s">
        <v>29</v>
      </c>
      <c r="B1758">
        <v>4</v>
      </c>
      <c r="C1758" t="s">
        <v>18</v>
      </c>
      <c r="D1758" s="1">
        <v>45412</v>
      </c>
      <c r="E1758">
        <v>1674.2</v>
      </c>
      <c r="F1758">
        <v>89.3</v>
      </c>
      <c r="G1758">
        <v>54.42</v>
      </c>
      <c r="H1758">
        <v>194</v>
      </c>
      <c r="I1758" t="s">
        <v>25</v>
      </c>
      <c r="J1758">
        <v>2024</v>
      </c>
      <c r="K1758">
        <f t="shared" si="54"/>
        <v>34.879999999999995</v>
      </c>
      <c r="L1758" t="str">
        <f t="shared" si="55"/>
        <v>Banca Sabina|4|Leasing</v>
      </c>
    </row>
    <row r="1759" spans="1:12" x14ac:dyDescent="0.25">
      <c r="A1759" t="s">
        <v>29</v>
      </c>
      <c r="B1759">
        <v>4</v>
      </c>
      <c r="C1759" t="s">
        <v>19</v>
      </c>
      <c r="D1759" s="1">
        <v>45412</v>
      </c>
      <c r="E1759">
        <v>1934.1</v>
      </c>
      <c r="F1759">
        <v>107.07</v>
      </c>
      <c r="G1759">
        <v>64.61</v>
      </c>
      <c r="H1759">
        <v>217</v>
      </c>
      <c r="I1759" t="s">
        <v>25</v>
      </c>
      <c r="J1759">
        <v>2024</v>
      </c>
      <c r="K1759">
        <f t="shared" si="54"/>
        <v>42.459999999999994</v>
      </c>
      <c r="L1759" t="str">
        <f t="shared" si="55"/>
        <v>Banca Sabina|4|Factoring</v>
      </c>
    </row>
    <row r="1760" spans="1:12" x14ac:dyDescent="0.25">
      <c r="A1760" t="s">
        <v>29</v>
      </c>
      <c r="B1760">
        <v>4</v>
      </c>
      <c r="C1760" t="s">
        <v>20</v>
      </c>
      <c r="D1760" s="1">
        <v>45412</v>
      </c>
      <c r="E1760">
        <v>2191.1</v>
      </c>
      <c r="F1760">
        <v>125.44</v>
      </c>
      <c r="G1760">
        <v>75.02</v>
      </c>
      <c r="H1760">
        <v>232</v>
      </c>
      <c r="I1760" t="s">
        <v>25</v>
      </c>
      <c r="J1760">
        <v>2024</v>
      </c>
      <c r="K1760">
        <f t="shared" si="54"/>
        <v>50.42</v>
      </c>
      <c r="L1760" t="str">
        <f t="shared" si="55"/>
        <v>Banca Sabina|4|Risparmio</v>
      </c>
    </row>
    <row r="1761" spans="1:12" x14ac:dyDescent="0.25">
      <c r="A1761" t="s">
        <v>29</v>
      </c>
      <c r="B1761">
        <v>4</v>
      </c>
      <c r="C1761" t="s">
        <v>21</v>
      </c>
      <c r="D1761" s="1">
        <v>45412</v>
      </c>
      <c r="E1761">
        <v>2438.6999999999998</v>
      </c>
      <c r="F1761">
        <v>144.51</v>
      </c>
      <c r="G1761">
        <v>86.25</v>
      </c>
      <c r="H1761">
        <v>248</v>
      </c>
      <c r="I1761" t="s">
        <v>25</v>
      </c>
      <c r="J1761">
        <v>2024</v>
      </c>
      <c r="K1761">
        <f t="shared" si="54"/>
        <v>58.259999999999991</v>
      </c>
      <c r="L1761" t="str">
        <f t="shared" si="55"/>
        <v>Banca Sabina|4|Assicurazioni</v>
      </c>
    </row>
    <row r="1762" spans="1:12" x14ac:dyDescent="0.25">
      <c r="A1762" t="s">
        <v>29</v>
      </c>
      <c r="B1762">
        <v>5</v>
      </c>
      <c r="C1762" t="s">
        <v>13</v>
      </c>
      <c r="D1762" s="1">
        <v>45443</v>
      </c>
      <c r="E1762">
        <v>667.2</v>
      </c>
      <c r="F1762">
        <v>30.46</v>
      </c>
      <c r="G1762">
        <v>19.36</v>
      </c>
      <c r="H1762">
        <v>103</v>
      </c>
      <c r="I1762" t="s">
        <v>25</v>
      </c>
      <c r="J1762">
        <v>2024</v>
      </c>
      <c r="K1762">
        <f t="shared" si="54"/>
        <v>11.100000000000001</v>
      </c>
      <c r="L1762" t="str">
        <f t="shared" si="55"/>
        <v>Banca Sabina|5|Mutui</v>
      </c>
    </row>
    <row r="1763" spans="1:12" x14ac:dyDescent="0.25">
      <c r="A1763" t="s">
        <v>29</v>
      </c>
      <c r="B1763">
        <v>5</v>
      </c>
      <c r="C1763" t="s">
        <v>15</v>
      </c>
      <c r="D1763" s="1">
        <v>45443</v>
      </c>
      <c r="E1763">
        <v>903.9</v>
      </c>
      <c r="F1763">
        <v>43.02</v>
      </c>
      <c r="G1763">
        <v>26.39</v>
      </c>
      <c r="H1763">
        <v>107</v>
      </c>
      <c r="I1763" t="s">
        <v>25</v>
      </c>
      <c r="J1763">
        <v>2024</v>
      </c>
      <c r="K1763">
        <f t="shared" si="54"/>
        <v>16.630000000000003</v>
      </c>
      <c r="L1763" t="str">
        <f t="shared" si="55"/>
        <v>Banca Sabina|5|Prestiti</v>
      </c>
    </row>
    <row r="1764" spans="1:12" x14ac:dyDescent="0.25">
      <c r="A1764" t="s">
        <v>29</v>
      </c>
      <c r="B1764">
        <v>5</v>
      </c>
      <c r="C1764" t="s">
        <v>16</v>
      </c>
      <c r="D1764" s="1">
        <v>45443</v>
      </c>
      <c r="E1764">
        <v>1210.2</v>
      </c>
      <c r="F1764">
        <v>60.14</v>
      </c>
      <c r="G1764">
        <v>37.25</v>
      </c>
      <c r="H1764">
        <v>153</v>
      </c>
      <c r="I1764" t="s">
        <v>25</v>
      </c>
      <c r="J1764">
        <v>2024</v>
      </c>
      <c r="K1764">
        <f t="shared" si="54"/>
        <v>22.89</v>
      </c>
      <c r="L1764" t="str">
        <f t="shared" si="55"/>
        <v>Banca Sabina|5|Conti</v>
      </c>
    </row>
    <row r="1765" spans="1:12" x14ac:dyDescent="0.25">
      <c r="A1765" t="s">
        <v>29</v>
      </c>
      <c r="B1765">
        <v>5</v>
      </c>
      <c r="C1765" t="s">
        <v>17</v>
      </c>
      <c r="D1765" s="1">
        <v>45443</v>
      </c>
      <c r="E1765">
        <v>1424.7</v>
      </c>
      <c r="F1765">
        <v>73.52</v>
      </c>
      <c r="G1765">
        <v>44.18</v>
      </c>
      <c r="H1765">
        <v>166</v>
      </c>
      <c r="I1765" t="s">
        <v>25</v>
      </c>
      <c r="J1765">
        <v>2024</v>
      </c>
      <c r="K1765">
        <f t="shared" si="54"/>
        <v>29.339999999999996</v>
      </c>
      <c r="L1765" t="str">
        <f t="shared" si="55"/>
        <v>Banca Sabina|5|Carte</v>
      </c>
    </row>
    <row r="1766" spans="1:12" x14ac:dyDescent="0.25">
      <c r="A1766" t="s">
        <v>29</v>
      </c>
      <c r="B1766">
        <v>5</v>
      </c>
      <c r="C1766" t="s">
        <v>18</v>
      </c>
      <c r="D1766" s="1">
        <v>45443</v>
      </c>
      <c r="E1766">
        <v>1673.8</v>
      </c>
      <c r="F1766">
        <v>89.31</v>
      </c>
      <c r="G1766">
        <v>54.35</v>
      </c>
      <c r="H1766">
        <v>170</v>
      </c>
      <c r="I1766" t="s">
        <v>25</v>
      </c>
      <c r="J1766">
        <v>2024</v>
      </c>
      <c r="K1766">
        <f t="shared" si="54"/>
        <v>34.96</v>
      </c>
      <c r="L1766" t="str">
        <f t="shared" si="55"/>
        <v>Banca Sabina|5|Leasing</v>
      </c>
    </row>
    <row r="1767" spans="1:12" x14ac:dyDescent="0.25">
      <c r="A1767" t="s">
        <v>29</v>
      </c>
      <c r="B1767">
        <v>5</v>
      </c>
      <c r="C1767" t="s">
        <v>19</v>
      </c>
      <c r="D1767" s="1">
        <v>45443</v>
      </c>
      <c r="E1767">
        <v>1955.8</v>
      </c>
      <c r="F1767">
        <v>107.83</v>
      </c>
      <c r="G1767">
        <v>64.709999999999994</v>
      </c>
      <c r="H1767">
        <v>192</v>
      </c>
      <c r="I1767" t="s">
        <v>25</v>
      </c>
      <c r="J1767">
        <v>2024</v>
      </c>
      <c r="K1767">
        <f t="shared" si="54"/>
        <v>43.120000000000005</v>
      </c>
      <c r="L1767" t="str">
        <f t="shared" si="55"/>
        <v>Banca Sabina|5|Factoring</v>
      </c>
    </row>
    <row r="1768" spans="1:12" x14ac:dyDescent="0.25">
      <c r="A1768" t="s">
        <v>29</v>
      </c>
      <c r="B1768">
        <v>5</v>
      </c>
      <c r="C1768" t="s">
        <v>20</v>
      </c>
      <c r="D1768" s="1">
        <v>45443</v>
      </c>
      <c r="E1768">
        <v>2171</v>
      </c>
      <c r="F1768">
        <v>124.66</v>
      </c>
      <c r="G1768">
        <v>74.77</v>
      </c>
      <c r="H1768">
        <v>218</v>
      </c>
      <c r="I1768" t="s">
        <v>25</v>
      </c>
      <c r="J1768">
        <v>2024</v>
      </c>
      <c r="K1768">
        <f t="shared" si="54"/>
        <v>49.89</v>
      </c>
      <c r="L1768" t="str">
        <f t="shared" si="55"/>
        <v>Banca Sabina|5|Risparmio</v>
      </c>
    </row>
    <row r="1769" spans="1:12" x14ac:dyDescent="0.25">
      <c r="A1769" t="s">
        <v>29</v>
      </c>
      <c r="B1769">
        <v>5</v>
      </c>
      <c r="C1769" t="s">
        <v>21</v>
      </c>
      <c r="D1769" s="1">
        <v>45443</v>
      </c>
      <c r="E1769">
        <v>2418.8000000000002</v>
      </c>
      <c r="F1769">
        <v>143.6</v>
      </c>
      <c r="G1769">
        <v>85.55</v>
      </c>
      <c r="H1769">
        <v>262</v>
      </c>
      <c r="I1769" t="s">
        <v>25</v>
      </c>
      <c r="J1769">
        <v>2024</v>
      </c>
      <c r="K1769">
        <f t="shared" si="54"/>
        <v>58.05</v>
      </c>
      <c r="L1769" t="str">
        <f t="shared" si="55"/>
        <v>Banca Sabina|5|Assicurazioni</v>
      </c>
    </row>
    <row r="1770" spans="1:12" x14ac:dyDescent="0.25">
      <c r="A1770" t="s">
        <v>29</v>
      </c>
      <c r="B1770">
        <v>6</v>
      </c>
      <c r="C1770" t="s">
        <v>13</v>
      </c>
      <c r="D1770" s="1">
        <v>45473</v>
      </c>
      <c r="E1770">
        <v>684.5</v>
      </c>
      <c r="F1770">
        <v>31.32</v>
      </c>
      <c r="G1770">
        <v>19.489999999999998</v>
      </c>
      <c r="H1770">
        <v>96</v>
      </c>
      <c r="I1770" t="s">
        <v>25</v>
      </c>
      <c r="J1770">
        <v>2024</v>
      </c>
      <c r="K1770">
        <f t="shared" si="54"/>
        <v>11.830000000000002</v>
      </c>
      <c r="L1770" t="str">
        <f t="shared" si="55"/>
        <v>Banca Sabina|6|Mutui</v>
      </c>
    </row>
    <row r="1771" spans="1:12" x14ac:dyDescent="0.25">
      <c r="A1771" t="s">
        <v>29</v>
      </c>
      <c r="B1771">
        <v>6</v>
      </c>
      <c r="C1771" t="s">
        <v>15</v>
      </c>
      <c r="D1771" s="1">
        <v>45473</v>
      </c>
      <c r="E1771">
        <v>929.1</v>
      </c>
      <c r="F1771">
        <v>44.27</v>
      </c>
      <c r="G1771">
        <v>27.49</v>
      </c>
      <c r="H1771">
        <v>96</v>
      </c>
      <c r="I1771" t="s">
        <v>25</v>
      </c>
      <c r="J1771">
        <v>2024</v>
      </c>
      <c r="K1771">
        <f t="shared" si="54"/>
        <v>16.780000000000005</v>
      </c>
      <c r="L1771" t="str">
        <f t="shared" si="55"/>
        <v>Banca Sabina|6|Prestiti</v>
      </c>
    </row>
    <row r="1772" spans="1:12" x14ac:dyDescent="0.25">
      <c r="A1772" t="s">
        <v>29</v>
      </c>
      <c r="B1772">
        <v>6</v>
      </c>
      <c r="C1772" t="s">
        <v>16</v>
      </c>
      <c r="D1772" s="1">
        <v>45473</v>
      </c>
      <c r="E1772">
        <v>1209.5999999999999</v>
      </c>
      <c r="F1772">
        <v>59.88</v>
      </c>
      <c r="G1772">
        <v>36.46</v>
      </c>
      <c r="H1772">
        <v>116</v>
      </c>
      <c r="I1772" t="s">
        <v>25</v>
      </c>
      <c r="J1772">
        <v>2024</v>
      </c>
      <c r="K1772">
        <f t="shared" si="54"/>
        <v>23.42</v>
      </c>
      <c r="L1772" t="str">
        <f t="shared" si="55"/>
        <v>Banca Sabina|6|Conti</v>
      </c>
    </row>
    <row r="1773" spans="1:12" x14ac:dyDescent="0.25">
      <c r="A1773" t="s">
        <v>29</v>
      </c>
      <c r="B1773">
        <v>6</v>
      </c>
      <c r="C1773" t="s">
        <v>17</v>
      </c>
      <c r="D1773" s="1">
        <v>45473</v>
      </c>
      <c r="E1773">
        <v>1443.7</v>
      </c>
      <c r="F1773">
        <v>74.28</v>
      </c>
      <c r="G1773">
        <v>45.22</v>
      </c>
      <c r="H1773">
        <v>145</v>
      </c>
      <c r="I1773" t="s">
        <v>25</v>
      </c>
      <c r="J1773">
        <v>2024</v>
      </c>
      <c r="K1773">
        <f t="shared" si="54"/>
        <v>29.060000000000002</v>
      </c>
      <c r="L1773" t="str">
        <f t="shared" si="55"/>
        <v>Banca Sabina|6|Carte</v>
      </c>
    </row>
    <row r="1774" spans="1:12" x14ac:dyDescent="0.25">
      <c r="A1774" t="s">
        <v>29</v>
      </c>
      <c r="B1774">
        <v>6</v>
      </c>
      <c r="C1774" t="s">
        <v>18</v>
      </c>
      <c r="D1774" s="1">
        <v>45473</v>
      </c>
      <c r="E1774">
        <v>1682.7</v>
      </c>
      <c r="F1774">
        <v>89.56</v>
      </c>
      <c r="G1774">
        <v>53.88</v>
      </c>
      <c r="H1774">
        <v>175</v>
      </c>
      <c r="I1774" t="s">
        <v>25</v>
      </c>
      <c r="J1774">
        <v>2024</v>
      </c>
      <c r="K1774">
        <f t="shared" si="54"/>
        <v>35.68</v>
      </c>
      <c r="L1774" t="str">
        <f t="shared" si="55"/>
        <v>Banca Sabina|6|Leasing</v>
      </c>
    </row>
    <row r="1775" spans="1:12" x14ac:dyDescent="0.25">
      <c r="A1775" t="s">
        <v>29</v>
      </c>
      <c r="B1775">
        <v>6</v>
      </c>
      <c r="C1775" t="s">
        <v>19</v>
      </c>
      <c r="D1775" s="1">
        <v>45473</v>
      </c>
      <c r="E1775">
        <v>1983.3</v>
      </c>
      <c r="F1775">
        <v>109.97</v>
      </c>
      <c r="G1775">
        <v>66.209999999999994</v>
      </c>
      <c r="H1775">
        <v>224</v>
      </c>
      <c r="I1775" t="s">
        <v>25</v>
      </c>
      <c r="J1775">
        <v>2024</v>
      </c>
      <c r="K1775">
        <f t="shared" si="54"/>
        <v>43.760000000000005</v>
      </c>
      <c r="L1775" t="str">
        <f t="shared" si="55"/>
        <v>Banca Sabina|6|Factoring</v>
      </c>
    </row>
    <row r="1776" spans="1:12" x14ac:dyDescent="0.25">
      <c r="A1776" t="s">
        <v>29</v>
      </c>
      <c r="B1776">
        <v>6</v>
      </c>
      <c r="C1776" t="s">
        <v>20</v>
      </c>
      <c r="D1776" s="1">
        <v>45473</v>
      </c>
      <c r="E1776">
        <v>2210.8000000000002</v>
      </c>
      <c r="F1776">
        <v>126.99</v>
      </c>
      <c r="G1776">
        <v>75.48</v>
      </c>
      <c r="H1776">
        <v>217</v>
      </c>
      <c r="I1776" t="s">
        <v>25</v>
      </c>
      <c r="J1776">
        <v>2024</v>
      </c>
      <c r="K1776">
        <f t="shared" si="54"/>
        <v>51.509999999999991</v>
      </c>
      <c r="L1776" t="str">
        <f t="shared" si="55"/>
        <v>Banca Sabina|6|Risparmio</v>
      </c>
    </row>
    <row r="1777" spans="1:12" x14ac:dyDescent="0.25">
      <c r="A1777" t="s">
        <v>29</v>
      </c>
      <c r="B1777">
        <v>6</v>
      </c>
      <c r="C1777" t="s">
        <v>21</v>
      </c>
      <c r="D1777" s="1">
        <v>45473</v>
      </c>
      <c r="E1777">
        <v>2479.1999999999998</v>
      </c>
      <c r="F1777">
        <v>146.54</v>
      </c>
      <c r="G1777">
        <v>86.78</v>
      </c>
      <c r="H1777">
        <v>267</v>
      </c>
      <c r="I1777" t="s">
        <v>25</v>
      </c>
      <c r="J1777">
        <v>2024</v>
      </c>
      <c r="K1777">
        <f t="shared" si="54"/>
        <v>59.759999999999991</v>
      </c>
      <c r="L1777" t="str">
        <f t="shared" si="55"/>
        <v>Banca Sabina|6|Assicurazioni</v>
      </c>
    </row>
    <row r="1778" spans="1:12" x14ac:dyDescent="0.25">
      <c r="A1778" t="s">
        <v>29</v>
      </c>
      <c r="B1778">
        <v>7</v>
      </c>
      <c r="C1778" t="s">
        <v>13</v>
      </c>
      <c r="D1778" s="1">
        <v>45504</v>
      </c>
      <c r="E1778">
        <v>688.4</v>
      </c>
      <c r="F1778">
        <v>31.69</v>
      </c>
      <c r="G1778">
        <v>20.260000000000002</v>
      </c>
      <c r="H1778">
        <v>77</v>
      </c>
      <c r="I1778" t="s">
        <v>25</v>
      </c>
      <c r="J1778">
        <v>2024</v>
      </c>
      <c r="K1778">
        <f t="shared" si="54"/>
        <v>11.43</v>
      </c>
      <c r="L1778" t="str">
        <f t="shared" si="55"/>
        <v>Banca Sabina|7|Mutui</v>
      </c>
    </row>
    <row r="1779" spans="1:12" x14ac:dyDescent="0.25">
      <c r="A1779" t="s">
        <v>29</v>
      </c>
      <c r="B1779">
        <v>7</v>
      </c>
      <c r="C1779" t="s">
        <v>15</v>
      </c>
      <c r="D1779" s="1">
        <v>45504</v>
      </c>
      <c r="E1779">
        <v>938.5</v>
      </c>
      <c r="F1779">
        <v>44.86</v>
      </c>
      <c r="G1779">
        <v>28.11</v>
      </c>
      <c r="H1779">
        <v>117</v>
      </c>
      <c r="I1779" t="s">
        <v>25</v>
      </c>
      <c r="J1779">
        <v>2024</v>
      </c>
      <c r="K1779">
        <f t="shared" si="54"/>
        <v>16.75</v>
      </c>
      <c r="L1779" t="str">
        <f t="shared" si="55"/>
        <v>Banca Sabina|7|Prestiti</v>
      </c>
    </row>
    <row r="1780" spans="1:12" x14ac:dyDescent="0.25">
      <c r="A1780" t="s">
        <v>29</v>
      </c>
      <c r="B1780">
        <v>7</v>
      </c>
      <c r="C1780" t="s">
        <v>16</v>
      </c>
      <c r="D1780" s="1">
        <v>45504</v>
      </c>
      <c r="E1780">
        <v>1179.2</v>
      </c>
      <c r="F1780">
        <v>58.2</v>
      </c>
      <c r="G1780">
        <v>36.07</v>
      </c>
      <c r="H1780">
        <v>133</v>
      </c>
      <c r="I1780" t="s">
        <v>25</v>
      </c>
      <c r="J1780">
        <v>2024</v>
      </c>
      <c r="K1780">
        <f t="shared" si="54"/>
        <v>22.130000000000003</v>
      </c>
      <c r="L1780" t="str">
        <f t="shared" si="55"/>
        <v>Banca Sabina|7|Conti</v>
      </c>
    </row>
    <row r="1781" spans="1:12" x14ac:dyDescent="0.25">
      <c r="A1781" t="s">
        <v>29</v>
      </c>
      <c r="B1781">
        <v>7</v>
      </c>
      <c r="C1781" t="s">
        <v>17</v>
      </c>
      <c r="D1781" s="1">
        <v>45504</v>
      </c>
      <c r="E1781">
        <v>1470.1</v>
      </c>
      <c r="F1781">
        <v>75.459999999999994</v>
      </c>
      <c r="G1781">
        <v>45.57</v>
      </c>
      <c r="H1781">
        <v>170</v>
      </c>
      <c r="I1781" t="s">
        <v>25</v>
      </c>
      <c r="J1781">
        <v>2024</v>
      </c>
      <c r="K1781">
        <f t="shared" si="54"/>
        <v>29.889999999999993</v>
      </c>
      <c r="L1781" t="str">
        <f t="shared" si="55"/>
        <v>Banca Sabina|7|Carte</v>
      </c>
    </row>
    <row r="1782" spans="1:12" x14ac:dyDescent="0.25">
      <c r="A1782" t="s">
        <v>29</v>
      </c>
      <c r="B1782">
        <v>7</v>
      </c>
      <c r="C1782" t="s">
        <v>18</v>
      </c>
      <c r="D1782" s="1">
        <v>45504</v>
      </c>
      <c r="E1782">
        <v>1742.1</v>
      </c>
      <c r="F1782">
        <v>93.17</v>
      </c>
      <c r="G1782">
        <v>56.36</v>
      </c>
      <c r="H1782">
        <v>188</v>
      </c>
      <c r="I1782" t="s">
        <v>25</v>
      </c>
      <c r="J1782">
        <v>2024</v>
      </c>
      <c r="K1782">
        <f t="shared" si="54"/>
        <v>36.81</v>
      </c>
      <c r="L1782" t="str">
        <f t="shared" si="55"/>
        <v>Banca Sabina|7|Leasing</v>
      </c>
    </row>
    <row r="1783" spans="1:12" x14ac:dyDescent="0.25">
      <c r="A1783" t="s">
        <v>29</v>
      </c>
      <c r="B1783">
        <v>7</v>
      </c>
      <c r="C1783" t="s">
        <v>19</v>
      </c>
      <c r="D1783" s="1">
        <v>45504</v>
      </c>
      <c r="E1783">
        <v>1990.5</v>
      </c>
      <c r="F1783">
        <v>109.76</v>
      </c>
      <c r="G1783">
        <v>65.709999999999994</v>
      </c>
      <c r="H1783">
        <v>200</v>
      </c>
      <c r="I1783" t="s">
        <v>25</v>
      </c>
      <c r="J1783">
        <v>2024</v>
      </c>
      <c r="K1783">
        <f t="shared" si="54"/>
        <v>44.050000000000011</v>
      </c>
      <c r="L1783" t="str">
        <f t="shared" si="55"/>
        <v>Banca Sabina|7|Factoring</v>
      </c>
    </row>
    <row r="1784" spans="1:12" x14ac:dyDescent="0.25">
      <c r="A1784" t="s">
        <v>29</v>
      </c>
      <c r="B1784">
        <v>7</v>
      </c>
      <c r="C1784" t="s">
        <v>20</v>
      </c>
      <c r="D1784" s="1">
        <v>45504</v>
      </c>
      <c r="E1784">
        <v>2202.3000000000002</v>
      </c>
      <c r="F1784">
        <v>126.17</v>
      </c>
      <c r="G1784">
        <v>75.540000000000006</v>
      </c>
      <c r="H1784">
        <v>236</v>
      </c>
      <c r="I1784" t="s">
        <v>25</v>
      </c>
      <c r="J1784">
        <v>2024</v>
      </c>
      <c r="K1784">
        <f t="shared" si="54"/>
        <v>50.629999999999995</v>
      </c>
      <c r="L1784" t="str">
        <f t="shared" si="55"/>
        <v>Banca Sabina|7|Risparmio</v>
      </c>
    </row>
    <row r="1785" spans="1:12" x14ac:dyDescent="0.25">
      <c r="A1785" t="s">
        <v>29</v>
      </c>
      <c r="B1785">
        <v>7</v>
      </c>
      <c r="C1785" t="s">
        <v>21</v>
      </c>
      <c r="D1785" s="1">
        <v>45504</v>
      </c>
      <c r="E1785">
        <v>2507.6999999999998</v>
      </c>
      <c r="F1785">
        <v>148.35</v>
      </c>
      <c r="G1785">
        <v>88.49</v>
      </c>
      <c r="H1785">
        <v>270</v>
      </c>
      <c r="I1785" t="s">
        <v>25</v>
      </c>
      <c r="J1785">
        <v>2024</v>
      </c>
      <c r="K1785">
        <f t="shared" si="54"/>
        <v>59.86</v>
      </c>
      <c r="L1785" t="str">
        <f t="shared" si="55"/>
        <v>Banca Sabina|7|Assicurazioni</v>
      </c>
    </row>
    <row r="1786" spans="1:12" x14ac:dyDescent="0.25">
      <c r="A1786" t="s">
        <v>29</v>
      </c>
      <c r="B1786">
        <v>8</v>
      </c>
      <c r="C1786" t="s">
        <v>13</v>
      </c>
      <c r="D1786" s="1">
        <v>45535</v>
      </c>
      <c r="E1786">
        <v>694</v>
      </c>
      <c r="F1786">
        <v>32.229999999999997</v>
      </c>
      <c r="G1786">
        <v>19.48</v>
      </c>
      <c r="H1786">
        <v>95</v>
      </c>
      <c r="I1786" t="s">
        <v>25</v>
      </c>
      <c r="J1786">
        <v>2024</v>
      </c>
      <c r="K1786">
        <f t="shared" si="54"/>
        <v>12.749999999999996</v>
      </c>
      <c r="L1786" t="str">
        <f t="shared" si="55"/>
        <v>Banca Sabina|8|Mutui</v>
      </c>
    </row>
    <row r="1787" spans="1:12" x14ac:dyDescent="0.25">
      <c r="A1787" t="s">
        <v>29</v>
      </c>
      <c r="B1787">
        <v>8</v>
      </c>
      <c r="C1787" t="s">
        <v>15</v>
      </c>
      <c r="D1787" s="1">
        <v>45535</v>
      </c>
      <c r="E1787">
        <v>939.7</v>
      </c>
      <c r="F1787">
        <v>44.45</v>
      </c>
      <c r="G1787">
        <v>28.08</v>
      </c>
      <c r="H1787">
        <v>105</v>
      </c>
      <c r="I1787" t="s">
        <v>25</v>
      </c>
      <c r="J1787">
        <v>2024</v>
      </c>
      <c r="K1787">
        <f t="shared" si="54"/>
        <v>16.370000000000005</v>
      </c>
      <c r="L1787" t="str">
        <f t="shared" si="55"/>
        <v>Banca Sabina|8|Prestiti</v>
      </c>
    </row>
    <row r="1788" spans="1:12" x14ac:dyDescent="0.25">
      <c r="A1788" t="s">
        <v>29</v>
      </c>
      <c r="B1788">
        <v>8</v>
      </c>
      <c r="C1788" t="s">
        <v>16</v>
      </c>
      <c r="D1788" s="1">
        <v>45535</v>
      </c>
      <c r="E1788">
        <v>1214</v>
      </c>
      <c r="F1788">
        <v>59.75</v>
      </c>
      <c r="G1788">
        <v>36.630000000000003</v>
      </c>
      <c r="H1788">
        <v>146</v>
      </c>
      <c r="I1788" t="s">
        <v>25</v>
      </c>
      <c r="J1788">
        <v>2024</v>
      </c>
      <c r="K1788">
        <f t="shared" si="54"/>
        <v>23.119999999999997</v>
      </c>
      <c r="L1788" t="str">
        <f t="shared" si="55"/>
        <v>Banca Sabina|8|Conti</v>
      </c>
    </row>
    <row r="1789" spans="1:12" x14ac:dyDescent="0.25">
      <c r="A1789" t="s">
        <v>29</v>
      </c>
      <c r="B1789">
        <v>8</v>
      </c>
      <c r="C1789" t="s">
        <v>17</v>
      </c>
      <c r="D1789" s="1">
        <v>45535</v>
      </c>
      <c r="E1789">
        <v>1452.4</v>
      </c>
      <c r="F1789">
        <v>74.17</v>
      </c>
      <c r="G1789">
        <v>45.33</v>
      </c>
      <c r="H1789">
        <v>156</v>
      </c>
      <c r="I1789" t="s">
        <v>25</v>
      </c>
      <c r="J1789">
        <v>2024</v>
      </c>
      <c r="K1789">
        <f t="shared" si="54"/>
        <v>28.840000000000003</v>
      </c>
      <c r="L1789" t="str">
        <f t="shared" si="55"/>
        <v>Banca Sabina|8|Carte</v>
      </c>
    </row>
    <row r="1790" spans="1:12" x14ac:dyDescent="0.25">
      <c r="A1790" t="s">
        <v>29</v>
      </c>
      <c r="B1790">
        <v>8</v>
      </c>
      <c r="C1790" t="s">
        <v>18</v>
      </c>
      <c r="D1790" s="1">
        <v>45535</v>
      </c>
      <c r="E1790">
        <v>1738.9</v>
      </c>
      <c r="F1790">
        <v>92.89</v>
      </c>
      <c r="G1790">
        <v>56.21</v>
      </c>
      <c r="H1790">
        <v>187</v>
      </c>
      <c r="I1790" t="s">
        <v>25</v>
      </c>
      <c r="J1790">
        <v>2024</v>
      </c>
      <c r="K1790">
        <f t="shared" si="54"/>
        <v>36.68</v>
      </c>
      <c r="L1790" t="str">
        <f t="shared" si="55"/>
        <v>Banca Sabina|8|Leasing</v>
      </c>
    </row>
    <row r="1791" spans="1:12" x14ac:dyDescent="0.25">
      <c r="A1791" t="s">
        <v>29</v>
      </c>
      <c r="B1791">
        <v>8</v>
      </c>
      <c r="C1791" t="s">
        <v>19</v>
      </c>
      <c r="D1791" s="1">
        <v>45535</v>
      </c>
      <c r="E1791">
        <v>1990.2</v>
      </c>
      <c r="F1791">
        <v>110.22</v>
      </c>
      <c r="G1791">
        <v>65.739999999999995</v>
      </c>
      <c r="H1791">
        <v>210</v>
      </c>
      <c r="I1791" t="s">
        <v>25</v>
      </c>
      <c r="J1791">
        <v>2024</v>
      </c>
      <c r="K1791">
        <f t="shared" si="54"/>
        <v>44.480000000000004</v>
      </c>
      <c r="L1791" t="str">
        <f t="shared" si="55"/>
        <v>Banca Sabina|8|Factoring</v>
      </c>
    </row>
    <row r="1792" spans="1:12" x14ac:dyDescent="0.25">
      <c r="A1792" t="s">
        <v>29</v>
      </c>
      <c r="B1792">
        <v>8</v>
      </c>
      <c r="C1792" t="s">
        <v>20</v>
      </c>
      <c r="D1792" s="1">
        <v>45535</v>
      </c>
      <c r="E1792">
        <v>2251.3000000000002</v>
      </c>
      <c r="F1792">
        <v>129.09</v>
      </c>
      <c r="G1792">
        <v>76.66</v>
      </c>
      <c r="H1792">
        <v>220</v>
      </c>
      <c r="I1792" t="s">
        <v>25</v>
      </c>
      <c r="J1792">
        <v>2024</v>
      </c>
      <c r="K1792">
        <f t="shared" si="54"/>
        <v>52.430000000000007</v>
      </c>
      <c r="L1792" t="str">
        <f t="shared" si="55"/>
        <v>Banca Sabina|8|Risparmio</v>
      </c>
    </row>
    <row r="1793" spans="1:12" x14ac:dyDescent="0.25">
      <c r="A1793" t="s">
        <v>29</v>
      </c>
      <c r="B1793">
        <v>8</v>
      </c>
      <c r="C1793" t="s">
        <v>21</v>
      </c>
      <c r="D1793" s="1">
        <v>45535</v>
      </c>
      <c r="E1793">
        <v>2490.6999999999998</v>
      </c>
      <c r="F1793">
        <v>147.75</v>
      </c>
      <c r="G1793">
        <v>88.03</v>
      </c>
      <c r="H1793">
        <v>248</v>
      </c>
      <c r="I1793" t="s">
        <v>25</v>
      </c>
      <c r="J1793">
        <v>2024</v>
      </c>
      <c r="K1793">
        <f t="shared" si="54"/>
        <v>59.72</v>
      </c>
      <c r="L1793" t="str">
        <f t="shared" si="55"/>
        <v>Banca Sabina|8|Assicurazioni</v>
      </c>
    </row>
    <row r="1794" spans="1:12" x14ac:dyDescent="0.25">
      <c r="A1794" t="s">
        <v>29</v>
      </c>
      <c r="B1794">
        <v>9</v>
      </c>
      <c r="C1794" t="s">
        <v>13</v>
      </c>
      <c r="D1794" s="1">
        <v>45565</v>
      </c>
      <c r="E1794">
        <v>683</v>
      </c>
      <c r="F1794">
        <v>31.19</v>
      </c>
      <c r="G1794">
        <v>19.73</v>
      </c>
      <c r="H1794">
        <v>94</v>
      </c>
      <c r="I1794" t="s">
        <v>25</v>
      </c>
      <c r="J1794">
        <v>2024</v>
      </c>
      <c r="K1794">
        <f t="shared" ref="K1794:K1857" si="56">F1794-G1794</f>
        <v>11.46</v>
      </c>
      <c r="L1794" t="str">
        <f t="shared" ref="L1794:L1857" si="57">A1794&amp;"|"&amp;B1794&amp;"|"&amp;C1794</f>
        <v>Banca Sabina|9|Mutui</v>
      </c>
    </row>
    <row r="1795" spans="1:12" x14ac:dyDescent="0.25">
      <c r="A1795" t="s">
        <v>29</v>
      </c>
      <c r="B1795">
        <v>9</v>
      </c>
      <c r="C1795" t="s">
        <v>15</v>
      </c>
      <c r="D1795" s="1">
        <v>45565</v>
      </c>
      <c r="E1795">
        <v>937.6</v>
      </c>
      <c r="F1795">
        <v>44.5</v>
      </c>
      <c r="G1795">
        <v>28.04</v>
      </c>
      <c r="H1795">
        <v>104</v>
      </c>
      <c r="I1795" t="s">
        <v>25</v>
      </c>
      <c r="J1795">
        <v>2024</v>
      </c>
      <c r="K1795">
        <f t="shared" si="56"/>
        <v>16.46</v>
      </c>
      <c r="L1795" t="str">
        <f t="shared" si="57"/>
        <v>Banca Sabina|9|Prestiti</v>
      </c>
    </row>
    <row r="1796" spans="1:12" x14ac:dyDescent="0.25">
      <c r="A1796" t="s">
        <v>29</v>
      </c>
      <c r="B1796">
        <v>9</v>
      </c>
      <c r="C1796" t="s">
        <v>16</v>
      </c>
      <c r="D1796" s="1">
        <v>45565</v>
      </c>
      <c r="E1796">
        <v>1213.2</v>
      </c>
      <c r="F1796">
        <v>59.53</v>
      </c>
      <c r="G1796">
        <v>36.64</v>
      </c>
      <c r="H1796">
        <v>120</v>
      </c>
      <c r="I1796" t="s">
        <v>25</v>
      </c>
      <c r="J1796">
        <v>2024</v>
      </c>
      <c r="K1796">
        <f t="shared" si="56"/>
        <v>22.89</v>
      </c>
      <c r="L1796" t="str">
        <f t="shared" si="57"/>
        <v>Banca Sabina|9|Conti</v>
      </c>
    </row>
    <row r="1797" spans="1:12" x14ac:dyDescent="0.25">
      <c r="A1797" t="s">
        <v>29</v>
      </c>
      <c r="B1797">
        <v>9</v>
      </c>
      <c r="C1797" t="s">
        <v>17</v>
      </c>
      <c r="D1797" s="1">
        <v>45565</v>
      </c>
      <c r="E1797">
        <v>1473.9</v>
      </c>
      <c r="F1797">
        <v>75.599999999999994</v>
      </c>
      <c r="G1797">
        <v>46.11</v>
      </c>
      <c r="H1797">
        <v>144</v>
      </c>
      <c r="I1797" t="s">
        <v>25</v>
      </c>
      <c r="J1797">
        <v>2024</v>
      </c>
      <c r="K1797">
        <f t="shared" si="56"/>
        <v>29.489999999999995</v>
      </c>
      <c r="L1797" t="str">
        <f t="shared" si="57"/>
        <v>Banca Sabina|9|Carte</v>
      </c>
    </row>
    <row r="1798" spans="1:12" x14ac:dyDescent="0.25">
      <c r="A1798" t="s">
        <v>29</v>
      </c>
      <c r="B1798">
        <v>9</v>
      </c>
      <c r="C1798" t="s">
        <v>18</v>
      </c>
      <c r="D1798" s="1">
        <v>45565</v>
      </c>
      <c r="E1798">
        <v>1758.6</v>
      </c>
      <c r="F1798">
        <v>93.43</v>
      </c>
      <c r="G1798">
        <v>56.52</v>
      </c>
      <c r="H1798">
        <v>193</v>
      </c>
      <c r="I1798" t="s">
        <v>25</v>
      </c>
      <c r="J1798">
        <v>2024</v>
      </c>
      <c r="K1798">
        <f t="shared" si="56"/>
        <v>36.910000000000004</v>
      </c>
      <c r="L1798" t="str">
        <f t="shared" si="57"/>
        <v>Banca Sabina|9|Leasing</v>
      </c>
    </row>
    <row r="1799" spans="1:12" x14ac:dyDescent="0.25">
      <c r="A1799" t="s">
        <v>29</v>
      </c>
      <c r="B1799">
        <v>9</v>
      </c>
      <c r="C1799" t="s">
        <v>19</v>
      </c>
      <c r="D1799" s="1">
        <v>45565</v>
      </c>
      <c r="E1799">
        <v>2018.7</v>
      </c>
      <c r="F1799">
        <v>111.18</v>
      </c>
      <c r="G1799">
        <v>67.58</v>
      </c>
      <c r="H1799">
        <v>207</v>
      </c>
      <c r="I1799" t="s">
        <v>25</v>
      </c>
      <c r="J1799">
        <v>2024</v>
      </c>
      <c r="K1799">
        <f t="shared" si="56"/>
        <v>43.600000000000009</v>
      </c>
      <c r="L1799" t="str">
        <f t="shared" si="57"/>
        <v>Banca Sabina|9|Factoring</v>
      </c>
    </row>
    <row r="1800" spans="1:12" x14ac:dyDescent="0.25">
      <c r="A1800" t="s">
        <v>29</v>
      </c>
      <c r="B1800">
        <v>9</v>
      </c>
      <c r="C1800" t="s">
        <v>20</v>
      </c>
      <c r="D1800" s="1">
        <v>45565</v>
      </c>
      <c r="E1800">
        <v>2287.1</v>
      </c>
      <c r="F1800">
        <v>130.61000000000001</v>
      </c>
      <c r="G1800">
        <v>78.739999999999995</v>
      </c>
      <c r="H1800">
        <v>217</v>
      </c>
      <c r="I1800" t="s">
        <v>25</v>
      </c>
      <c r="J1800">
        <v>2024</v>
      </c>
      <c r="K1800">
        <f t="shared" si="56"/>
        <v>51.870000000000019</v>
      </c>
      <c r="L1800" t="str">
        <f t="shared" si="57"/>
        <v>Banca Sabina|9|Risparmio</v>
      </c>
    </row>
    <row r="1801" spans="1:12" x14ac:dyDescent="0.25">
      <c r="A1801" t="s">
        <v>29</v>
      </c>
      <c r="B1801">
        <v>9</v>
      </c>
      <c r="C1801" t="s">
        <v>21</v>
      </c>
      <c r="D1801" s="1">
        <v>45565</v>
      </c>
      <c r="E1801">
        <v>2508.9</v>
      </c>
      <c r="F1801">
        <v>148.15</v>
      </c>
      <c r="G1801">
        <v>88.64</v>
      </c>
      <c r="H1801">
        <v>252</v>
      </c>
      <c r="I1801" t="s">
        <v>25</v>
      </c>
      <c r="J1801">
        <v>2024</v>
      </c>
      <c r="K1801">
        <f t="shared" si="56"/>
        <v>59.510000000000005</v>
      </c>
      <c r="L1801" t="str">
        <f t="shared" si="57"/>
        <v>Banca Sabina|9|Assicurazioni</v>
      </c>
    </row>
    <row r="1802" spans="1:12" x14ac:dyDescent="0.25">
      <c r="A1802" t="s">
        <v>29</v>
      </c>
      <c r="B1802">
        <v>10</v>
      </c>
      <c r="C1802" t="s">
        <v>13</v>
      </c>
      <c r="D1802" s="1">
        <v>45596</v>
      </c>
      <c r="E1802">
        <v>686.8</v>
      </c>
      <c r="F1802">
        <v>31.82</v>
      </c>
      <c r="G1802">
        <v>19.91</v>
      </c>
      <c r="H1802">
        <v>70</v>
      </c>
      <c r="I1802" t="s">
        <v>25</v>
      </c>
      <c r="J1802">
        <v>2024</v>
      </c>
      <c r="K1802">
        <f t="shared" si="56"/>
        <v>11.91</v>
      </c>
      <c r="L1802" t="str">
        <f t="shared" si="57"/>
        <v>Banca Sabina|10|Mutui</v>
      </c>
    </row>
    <row r="1803" spans="1:12" x14ac:dyDescent="0.25">
      <c r="A1803" t="s">
        <v>29</v>
      </c>
      <c r="B1803">
        <v>10</v>
      </c>
      <c r="C1803" t="s">
        <v>15</v>
      </c>
      <c r="D1803" s="1">
        <v>45596</v>
      </c>
      <c r="E1803">
        <v>970.1</v>
      </c>
      <c r="F1803">
        <v>46.12</v>
      </c>
      <c r="G1803">
        <v>29.09</v>
      </c>
      <c r="H1803">
        <v>121</v>
      </c>
      <c r="I1803" t="s">
        <v>25</v>
      </c>
      <c r="J1803">
        <v>2024</v>
      </c>
      <c r="K1803">
        <f t="shared" si="56"/>
        <v>17.029999999999998</v>
      </c>
      <c r="L1803" t="str">
        <f t="shared" si="57"/>
        <v>Banca Sabina|10|Prestiti</v>
      </c>
    </row>
    <row r="1804" spans="1:12" x14ac:dyDescent="0.25">
      <c r="A1804" t="s">
        <v>29</v>
      </c>
      <c r="B1804">
        <v>10</v>
      </c>
      <c r="C1804" t="s">
        <v>16</v>
      </c>
      <c r="D1804" s="1">
        <v>45596</v>
      </c>
      <c r="E1804">
        <v>1217.0999999999999</v>
      </c>
      <c r="F1804">
        <v>60.02</v>
      </c>
      <c r="G1804">
        <v>37.22</v>
      </c>
      <c r="H1804">
        <v>134</v>
      </c>
      <c r="I1804" t="s">
        <v>25</v>
      </c>
      <c r="J1804">
        <v>2024</v>
      </c>
      <c r="K1804">
        <f t="shared" si="56"/>
        <v>22.800000000000004</v>
      </c>
      <c r="L1804" t="str">
        <f t="shared" si="57"/>
        <v>Banca Sabina|10|Conti</v>
      </c>
    </row>
    <row r="1805" spans="1:12" x14ac:dyDescent="0.25">
      <c r="A1805" t="s">
        <v>29</v>
      </c>
      <c r="B1805">
        <v>10</v>
      </c>
      <c r="C1805" t="s">
        <v>17</v>
      </c>
      <c r="D1805" s="1">
        <v>45596</v>
      </c>
      <c r="E1805">
        <v>1489.2</v>
      </c>
      <c r="F1805">
        <v>76.17</v>
      </c>
      <c r="G1805">
        <v>46.98</v>
      </c>
      <c r="H1805">
        <v>174</v>
      </c>
      <c r="I1805" t="s">
        <v>25</v>
      </c>
      <c r="J1805">
        <v>2024</v>
      </c>
      <c r="K1805">
        <f t="shared" si="56"/>
        <v>29.190000000000005</v>
      </c>
      <c r="L1805" t="str">
        <f t="shared" si="57"/>
        <v>Banca Sabina|10|Carte</v>
      </c>
    </row>
    <row r="1806" spans="1:12" x14ac:dyDescent="0.25">
      <c r="A1806" t="s">
        <v>29</v>
      </c>
      <c r="B1806">
        <v>10</v>
      </c>
      <c r="C1806" t="s">
        <v>18</v>
      </c>
      <c r="D1806" s="1">
        <v>45596</v>
      </c>
      <c r="E1806">
        <v>1724.9</v>
      </c>
      <c r="F1806">
        <v>91.89</v>
      </c>
      <c r="G1806">
        <v>55.53</v>
      </c>
      <c r="H1806">
        <v>179</v>
      </c>
      <c r="I1806" t="s">
        <v>25</v>
      </c>
      <c r="J1806">
        <v>2024</v>
      </c>
      <c r="K1806">
        <f t="shared" si="56"/>
        <v>36.36</v>
      </c>
      <c r="L1806" t="str">
        <f t="shared" si="57"/>
        <v>Banca Sabina|10|Leasing</v>
      </c>
    </row>
    <row r="1807" spans="1:12" x14ac:dyDescent="0.25">
      <c r="A1807" t="s">
        <v>29</v>
      </c>
      <c r="B1807">
        <v>10</v>
      </c>
      <c r="C1807" t="s">
        <v>19</v>
      </c>
      <c r="D1807" s="1">
        <v>45596</v>
      </c>
      <c r="E1807">
        <v>2031.3</v>
      </c>
      <c r="F1807">
        <v>111.83</v>
      </c>
      <c r="G1807">
        <v>67.099999999999994</v>
      </c>
      <c r="H1807">
        <v>222</v>
      </c>
      <c r="I1807" t="s">
        <v>25</v>
      </c>
      <c r="J1807">
        <v>2024</v>
      </c>
      <c r="K1807">
        <f t="shared" si="56"/>
        <v>44.730000000000004</v>
      </c>
      <c r="L1807" t="str">
        <f t="shared" si="57"/>
        <v>Banca Sabina|10|Factoring</v>
      </c>
    </row>
    <row r="1808" spans="1:12" x14ac:dyDescent="0.25">
      <c r="A1808" t="s">
        <v>29</v>
      </c>
      <c r="B1808">
        <v>10</v>
      </c>
      <c r="C1808" t="s">
        <v>20</v>
      </c>
      <c r="D1808" s="1">
        <v>45596</v>
      </c>
      <c r="E1808">
        <v>2293.1</v>
      </c>
      <c r="F1808">
        <v>131.32</v>
      </c>
      <c r="G1808">
        <v>78.95</v>
      </c>
      <c r="H1808">
        <v>246</v>
      </c>
      <c r="I1808" t="s">
        <v>25</v>
      </c>
      <c r="J1808">
        <v>2024</v>
      </c>
      <c r="K1808">
        <f t="shared" si="56"/>
        <v>52.36999999999999</v>
      </c>
      <c r="L1808" t="str">
        <f t="shared" si="57"/>
        <v>Banca Sabina|10|Risparmio</v>
      </c>
    </row>
    <row r="1809" spans="1:12" x14ac:dyDescent="0.25">
      <c r="A1809" t="s">
        <v>29</v>
      </c>
      <c r="B1809">
        <v>10</v>
      </c>
      <c r="C1809" t="s">
        <v>21</v>
      </c>
      <c r="D1809" s="1">
        <v>45596</v>
      </c>
      <c r="E1809">
        <v>2553.9</v>
      </c>
      <c r="F1809">
        <v>151.22</v>
      </c>
      <c r="G1809">
        <v>89.49</v>
      </c>
      <c r="H1809">
        <v>242</v>
      </c>
      <c r="I1809" t="s">
        <v>25</v>
      </c>
      <c r="J1809">
        <v>2024</v>
      </c>
      <c r="K1809">
        <f t="shared" si="56"/>
        <v>61.730000000000004</v>
      </c>
      <c r="L1809" t="str">
        <f t="shared" si="57"/>
        <v>Banca Sabina|10|Assicurazioni</v>
      </c>
    </row>
    <row r="1810" spans="1:12" x14ac:dyDescent="0.25">
      <c r="A1810" t="s">
        <v>29</v>
      </c>
      <c r="B1810">
        <v>11</v>
      </c>
      <c r="C1810" t="s">
        <v>13</v>
      </c>
      <c r="D1810" s="1">
        <v>45626</v>
      </c>
      <c r="E1810">
        <v>685.5</v>
      </c>
      <c r="F1810">
        <v>31.04</v>
      </c>
      <c r="G1810">
        <v>19.34</v>
      </c>
      <c r="H1810">
        <v>71</v>
      </c>
      <c r="I1810" t="s">
        <v>25</v>
      </c>
      <c r="J1810">
        <v>2024</v>
      </c>
      <c r="K1810">
        <f t="shared" si="56"/>
        <v>11.7</v>
      </c>
      <c r="L1810" t="str">
        <f t="shared" si="57"/>
        <v>Banca Sabina|11|Mutui</v>
      </c>
    </row>
    <row r="1811" spans="1:12" x14ac:dyDescent="0.25">
      <c r="A1811" t="s">
        <v>29</v>
      </c>
      <c r="B1811">
        <v>11</v>
      </c>
      <c r="C1811" t="s">
        <v>15</v>
      </c>
      <c r="D1811" s="1">
        <v>45626</v>
      </c>
      <c r="E1811">
        <v>944.9</v>
      </c>
      <c r="F1811">
        <v>44.95</v>
      </c>
      <c r="G1811">
        <v>27.87</v>
      </c>
      <c r="H1811">
        <v>115</v>
      </c>
      <c r="I1811" t="s">
        <v>25</v>
      </c>
      <c r="J1811">
        <v>2024</v>
      </c>
      <c r="K1811">
        <f t="shared" si="56"/>
        <v>17.080000000000002</v>
      </c>
      <c r="L1811" t="str">
        <f t="shared" si="57"/>
        <v>Banca Sabina|11|Prestiti</v>
      </c>
    </row>
    <row r="1812" spans="1:12" x14ac:dyDescent="0.25">
      <c r="A1812" t="s">
        <v>29</v>
      </c>
      <c r="B1812">
        <v>11</v>
      </c>
      <c r="C1812" t="s">
        <v>16</v>
      </c>
      <c r="D1812" s="1">
        <v>45626</v>
      </c>
      <c r="E1812">
        <v>1208.8</v>
      </c>
      <c r="F1812">
        <v>59.54</v>
      </c>
      <c r="G1812">
        <v>37.18</v>
      </c>
      <c r="H1812">
        <v>129</v>
      </c>
      <c r="I1812" t="s">
        <v>25</v>
      </c>
      <c r="J1812">
        <v>2024</v>
      </c>
      <c r="K1812">
        <f t="shared" si="56"/>
        <v>22.36</v>
      </c>
      <c r="L1812" t="str">
        <f t="shared" si="57"/>
        <v>Banca Sabina|11|Conti</v>
      </c>
    </row>
    <row r="1813" spans="1:12" x14ac:dyDescent="0.25">
      <c r="A1813" t="s">
        <v>29</v>
      </c>
      <c r="B1813">
        <v>11</v>
      </c>
      <c r="C1813" t="s">
        <v>17</v>
      </c>
      <c r="D1813" s="1">
        <v>45626</v>
      </c>
      <c r="E1813">
        <v>1476.7</v>
      </c>
      <c r="F1813">
        <v>75.89</v>
      </c>
      <c r="G1813">
        <v>46.02</v>
      </c>
      <c r="H1813">
        <v>152</v>
      </c>
      <c r="I1813" t="s">
        <v>25</v>
      </c>
      <c r="J1813">
        <v>2024</v>
      </c>
      <c r="K1813">
        <f t="shared" si="56"/>
        <v>29.869999999999997</v>
      </c>
      <c r="L1813" t="str">
        <f t="shared" si="57"/>
        <v>Banca Sabina|11|Carte</v>
      </c>
    </row>
    <row r="1814" spans="1:12" x14ac:dyDescent="0.25">
      <c r="A1814" t="s">
        <v>29</v>
      </c>
      <c r="B1814">
        <v>11</v>
      </c>
      <c r="C1814" t="s">
        <v>18</v>
      </c>
      <c r="D1814" s="1">
        <v>45626</v>
      </c>
      <c r="E1814">
        <v>1784.3</v>
      </c>
      <c r="F1814">
        <v>95.02</v>
      </c>
      <c r="G1814">
        <v>57.18</v>
      </c>
      <c r="H1814">
        <v>164</v>
      </c>
      <c r="I1814" t="s">
        <v>25</v>
      </c>
      <c r="J1814">
        <v>2024</v>
      </c>
      <c r="K1814">
        <f t="shared" si="56"/>
        <v>37.839999999999996</v>
      </c>
      <c r="L1814" t="str">
        <f t="shared" si="57"/>
        <v>Banca Sabina|11|Leasing</v>
      </c>
    </row>
    <row r="1815" spans="1:12" x14ac:dyDescent="0.25">
      <c r="A1815" t="s">
        <v>29</v>
      </c>
      <c r="B1815">
        <v>11</v>
      </c>
      <c r="C1815" t="s">
        <v>19</v>
      </c>
      <c r="D1815" s="1">
        <v>45626</v>
      </c>
      <c r="E1815">
        <v>2029.7</v>
      </c>
      <c r="F1815">
        <v>112.03</v>
      </c>
      <c r="G1815">
        <v>67.8</v>
      </c>
      <c r="H1815">
        <v>218</v>
      </c>
      <c r="I1815" t="s">
        <v>25</v>
      </c>
      <c r="J1815">
        <v>2024</v>
      </c>
      <c r="K1815">
        <f t="shared" si="56"/>
        <v>44.230000000000004</v>
      </c>
      <c r="L1815" t="str">
        <f t="shared" si="57"/>
        <v>Banca Sabina|11|Factoring</v>
      </c>
    </row>
    <row r="1816" spans="1:12" x14ac:dyDescent="0.25">
      <c r="A1816" t="s">
        <v>29</v>
      </c>
      <c r="B1816">
        <v>11</v>
      </c>
      <c r="C1816" t="s">
        <v>20</v>
      </c>
      <c r="D1816" s="1">
        <v>45626</v>
      </c>
      <c r="E1816">
        <v>2301.8000000000002</v>
      </c>
      <c r="F1816">
        <v>131.32</v>
      </c>
      <c r="G1816">
        <v>78.89</v>
      </c>
      <c r="H1816">
        <v>241</v>
      </c>
      <c r="I1816" t="s">
        <v>25</v>
      </c>
      <c r="J1816">
        <v>2024</v>
      </c>
      <c r="K1816">
        <f t="shared" si="56"/>
        <v>52.429999999999993</v>
      </c>
      <c r="L1816" t="str">
        <f t="shared" si="57"/>
        <v>Banca Sabina|11|Risparmio</v>
      </c>
    </row>
    <row r="1817" spans="1:12" x14ac:dyDescent="0.25">
      <c r="A1817" t="s">
        <v>29</v>
      </c>
      <c r="B1817">
        <v>11</v>
      </c>
      <c r="C1817" t="s">
        <v>21</v>
      </c>
      <c r="D1817" s="1">
        <v>45626</v>
      </c>
      <c r="E1817">
        <v>2555.8000000000002</v>
      </c>
      <c r="F1817">
        <v>151.11000000000001</v>
      </c>
      <c r="G1817">
        <v>89.61</v>
      </c>
      <c r="H1817">
        <v>249</v>
      </c>
      <c r="I1817" t="s">
        <v>25</v>
      </c>
      <c r="J1817">
        <v>2024</v>
      </c>
      <c r="K1817">
        <f t="shared" si="56"/>
        <v>61.500000000000014</v>
      </c>
      <c r="L1817" t="str">
        <f t="shared" si="57"/>
        <v>Banca Sabina|11|Assicurazioni</v>
      </c>
    </row>
    <row r="1818" spans="1:12" x14ac:dyDescent="0.25">
      <c r="A1818" t="s">
        <v>29</v>
      </c>
      <c r="B1818">
        <v>12</v>
      </c>
      <c r="C1818" t="s">
        <v>13</v>
      </c>
      <c r="D1818" s="1">
        <v>45657</v>
      </c>
      <c r="E1818">
        <v>710.3</v>
      </c>
      <c r="F1818">
        <v>32.6</v>
      </c>
      <c r="G1818">
        <v>20.29</v>
      </c>
      <c r="H1818">
        <v>97</v>
      </c>
      <c r="I1818" t="s">
        <v>25</v>
      </c>
      <c r="J1818">
        <v>2024</v>
      </c>
      <c r="K1818">
        <f t="shared" si="56"/>
        <v>12.310000000000002</v>
      </c>
      <c r="L1818" t="str">
        <f t="shared" si="57"/>
        <v>Banca Sabina|12|Mutui</v>
      </c>
    </row>
    <row r="1819" spans="1:12" x14ac:dyDescent="0.25">
      <c r="A1819" t="s">
        <v>29</v>
      </c>
      <c r="B1819">
        <v>12</v>
      </c>
      <c r="C1819" t="s">
        <v>15</v>
      </c>
      <c r="D1819" s="1">
        <v>45657</v>
      </c>
      <c r="E1819">
        <v>965.3</v>
      </c>
      <c r="F1819">
        <v>46.06</v>
      </c>
      <c r="G1819">
        <v>28.59</v>
      </c>
      <c r="H1819">
        <v>119</v>
      </c>
      <c r="I1819" t="s">
        <v>25</v>
      </c>
      <c r="J1819">
        <v>2024</v>
      </c>
      <c r="K1819">
        <f t="shared" si="56"/>
        <v>17.470000000000002</v>
      </c>
      <c r="L1819" t="str">
        <f t="shared" si="57"/>
        <v>Banca Sabina|12|Prestiti</v>
      </c>
    </row>
    <row r="1820" spans="1:12" x14ac:dyDescent="0.25">
      <c r="A1820" t="s">
        <v>29</v>
      </c>
      <c r="B1820">
        <v>12</v>
      </c>
      <c r="C1820" t="s">
        <v>16</v>
      </c>
      <c r="D1820" s="1">
        <v>45657</v>
      </c>
      <c r="E1820">
        <v>1219.7</v>
      </c>
      <c r="F1820">
        <v>60.06</v>
      </c>
      <c r="G1820">
        <v>37.32</v>
      </c>
      <c r="H1820">
        <v>128</v>
      </c>
      <c r="I1820" t="s">
        <v>25</v>
      </c>
      <c r="J1820">
        <v>2024</v>
      </c>
      <c r="K1820">
        <f t="shared" si="56"/>
        <v>22.740000000000002</v>
      </c>
      <c r="L1820" t="str">
        <f t="shared" si="57"/>
        <v>Banca Sabina|12|Conti</v>
      </c>
    </row>
    <row r="1821" spans="1:12" x14ac:dyDescent="0.25">
      <c r="A1821" t="s">
        <v>29</v>
      </c>
      <c r="B1821">
        <v>12</v>
      </c>
      <c r="C1821" t="s">
        <v>17</v>
      </c>
      <c r="D1821" s="1">
        <v>45657</v>
      </c>
      <c r="E1821">
        <v>1516.2</v>
      </c>
      <c r="F1821">
        <v>77.430000000000007</v>
      </c>
      <c r="G1821">
        <v>47.08</v>
      </c>
      <c r="H1821">
        <v>164</v>
      </c>
      <c r="I1821" t="s">
        <v>25</v>
      </c>
      <c r="J1821">
        <v>2024</v>
      </c>
      <c r="K1821">
        <f t="shared" si="56"/>
        <v>30.350000000000009</v>
      </c>
      <c r="L1821" t="str">
        <f t="shared" si="57"/>
        <v>Banca Sabina|12|Carte</v>
      </c>
    </row>
    <row r="1822" spans="1:12" x14ac:dyDescent="0.25">
      <c r="A1822" t="s">
        <v>29</v>
      </c>
      <c r="B1822">
        <v>12</v>
      </c>
      <c r="C1822" t="s">
        <v>18</v>
      </c>
      <c r="D1822" s="1">
        <v>45657</v>
      </c>
      <c r="E1822">
        <v>1796.6</v>
      </c>
      <c r="F1822">
        <v>95.94</v>
      </c>
      <c r="G1822">
        <v>58.17</v>
      </c>
      <c r="H1822">
        <v>163</v>
      </c>
      <c r="I1822" t="s">
        <v>25</v>
      </c>
      <c r="J1822">
        <v>2024</v>
      </c>
      <c r="K1822">
        <f t="shared" si="56"/>
        <v>37.769999999999996</v>
      </c>
      <c r="L1822" t="str">
        <f t="shared" si="57"/>
        <v>Banca Sabina|12|Leasing</v>
      </c>
    </row>
    <row r="1823" spans="1:12" x14ac:dyDescent="0.25">
      <c r="A1823" t="s">
        <v>29</v>
      </c>
      <c r="B1823">
        <v>12</v>
      </c>
      <c r="C1823" t="s">
        <v>19</v>
      </c>
      <c r="D1823" s="1">
        <v>45657</v>
      </c>
      <c r="E1823">
        <v>2037.7</v>
      </c>
      <c r="F1823">
        <v>112.75</v>
      </c>
      <c r="G1823">
        <v>67.41</v>
      </c>
      <c r="H1823">
        <v>224</v>
      </c>
      <c r="I1823" t="s">
        <v>25</v>
      </c>
      <c r="J1823">
        <v>2024</v>
      </c>
      <c r="K1823">
        <f t="shared" si="56"/>
        <v>45.34</v>
      </c>
      <c r="L1823" t="str">
        <f t="shared" si="57"/>
        <v>Banca Sabina|12|Factoring</v>
      </c>
    </row>
    <row r="1824" spans="1:12" x14ac:dyDescent="0.25">
      <c r="A1824" t="s">
        <v>29</v>
      </c>
      <c r="B1824">
        <v>12</v>
      </c>
      <c r="C1824" t="s">
        <v>20</v>
      </c>
      <c r="D1824" s="1">
        <v>45657</v>
      </c>
      <c r="E1824">
        <v>2288.3000000000002</v>
      </c>
      <c r="F1824">
        <v>130.86000000000001</v>
      </c>
      <c r="G1824">
        <v>78.680000000000007</v>
      </c>
      <c r="H1824">
        <v>246</v>
      </c>
      <c r="I1824" t="s">
        <v>25</v>
      </c>
      <c r="J1824">
        <v>2024</v>
      </c>
      <c r="K1824">
        <f t="shared" si="56"/>
        <v>52.180000000000007</v>
      </c>
      <c r="L1824" t="str">
        <f t="shared" si="57"/>
        <v>Banca Sabina|12|Risparmio</v>
      </c>
    </row>
    <row r="1825" spans="1:12" x14ac:dyDescent="0.25">
      <c r="A1825" t="s">
        <v>29</v>
      </c>
      <c r="B1825">
        <v>12</v>
      </c>
      <c r="C1825" t="s">
        <v>21</v>
      </c>
      <c r="D1825" s="1">
        <v>45657</v>
      </c>
      <c r="E1825">
        <v>2583.6</v>
      </c>
      <c r="F1825">
        <v>152.47999999999999</v>
      </c>
      <c r="G1825">
        <v>90.7</v>
      </c>
      <c r="H1825">
        <v>265</v>
      </c>
      <c r="I1825" t="s">
        <v>25</v>
      </c>
      <c r="J1825">
        <v>2024</v>
      </c>
      <c r="K1825">
        <f t="shared" si="56"/>
        <v>61.779999999999987</v>
      </c>
      <c r="L1825" t="str">
        <f t="shared" si="57"/>
        <v>Banca Sabina|12|Assicurazioni</v>
      </c>
    </row>
    <row r="1826" spans="1:12" x14ac:dyDescent="0.25">
      <c r="A1826" t="s">
        <v>29</v>
      </c>
      <c r="B1826">
        <v>13</v>
      </c>
      <c r="C1826" t="s">
        <v>13</v>
      </c>
      <c r="D1826" s="1">
        <v>45688</v>
      </c>
      <c r="E1826">
        <v>745.9</v>
      </c>
      <c r="F1826">
        <v>34.36</v>
      </c>
      <c r="G1826">
        <v>20.93</v>
      </c>
      <c r="H1826">
        <v>92</v>
      </c>
      <c r="I1826" t="s">
        <v>25</v>
      </c>
      <c r="J1826">
        <v>2025</v>
      </c>
      <c r="K1826">
        <f t="shared" si="56"/>
        <v>13.43</v>
      </c>
      <c r="L1826" t="str">
        <f t="shared" si="57"/>
        <v>Banca Sabina|13|Mutui</v>
      </c>
    </row>
    <row r="1827" spans="1:12" x14ac:dyDescent="0.25">
      <c r="A1827" t="s">
        <v>29</v>
      </c>
      <c r="B1827">
        <v>13</v>
      </c>
      <c r="C1827" t="s">
        <v>15</v>
      </c>
      <c r="D1827" s="1">
        <v>45688</v>
      </c>
      <c r="E1827">
        <v>974.3</v>
      </c>
      <c r="F1827">
        <v>46.18</v>
      </c>
      <c r="G1827">
        <v>28.53</v>
      </c>
      <c r="H1827">
        <v>95</v>
      </c>
      <c r="I1827" t="s">
        <v>25</v>
      </c>
      <c r="J1827">
        <v>2025</v>
      </c>
      <c r="K1827">
        <f t="shared" si="56"/>
        <v>17.649999999999999</v>
      </c>
      <c r="L1827" t="str">
        <f t="shared" si="57"/>
        <v>Banca Sabina|13|Prestiti</v>
      </c>
    </row>
    <row r="1828" spans="1:12" x14ac:dyDescent="0.25">
      <c r="A1828" t="s">
        <v>29</v>
      </c>
      <c r="B1828">
        <v>13</v>
      </c>
      <c r="C1828" t="s">
        <v>16</v>
      </c>
      <c r="D1828" s="1">
        <v>45688</v>
      </c>
      <c r="E1828">
        <v>1241.4000000000001</v>
      </c>
      <c r="F1828">
        <v>61.07</v>
      </c>
      <c r="G1828">
        <v>37.74</v>
      </c>
      <c r="H1828">
        <v>136</v>
      </c>
      <c r="I1828" t="s">
        <v>25</v>
      </c>
      <c r="J1828">
        <v>2025</v>
      </c>
      <c r="K1828">
        <f t="shared" si="56"/>
        <v>23.33</v>
      </c>
      <c r="L1828" t="str">
        <f t="shared" si="57"/>
        <v>Banca Sabina|13|Conti</v>
      </c>
    </row>
    <row r="1829" spans="1:12" x14ac:dyDescent="0.25">
      <c r="A1829" t="s">
        <v>29</v>
      </c>
      <c r="B1829">
        <v>13</v>
      </c>
      <c r="C1829" t="s">
        <v>17</v>
      </c>
      <c r="D1829" s="1">
        <v>45688</v>
      </c>
      <c r="E1829">
        <v>1528.6</v>
      </c>
      <c r="F1829">
        <v>78.91</v>
      </c>
      <c r="G1829">
        <v>47.74</v>
      </c>
      <c r="H1829">
        <v>154</v>
      </c>
      <c r="I1829" t="s">
        <v>25</v>
      </c>
      <c r="J1829">
        <v>2025</v>
      </c>
      <c r="K1829">
        <f t="shared" si="56"/>
        <v>31.169999999999995</v>
      </c>
      <c r="L1829" t="str">
        <f t="shared" si="57"/>
        <v>Banca Sabina|13|Carte</v>
      </c>
    </row>
    <row r="1830" spans="1:12" x14ac:dyDescent="0.25">
      <c r="A1830" t="s">
        <v>29</v>
      </c>
      <c r="B1830">
        <v>13</v>
      </c>
      <c r="C1830" t="s">
        <v>18</v>
      </c>
      <c r="D1830" s="1">
        <v>45688</v>
      </c>
      <c r="E1830">
        <v>1818.5</v>
      </c>
      <c r="F1830">
        <v>96.9</v>
      </c>
      <c r="G1830">
        <v>58.86</v>
      </c>
      <c r="H1830">
        <v>187</v>
      </c>
      <c r="I1830" t="s">
        <v>25</v>
      </c>
      <c r="J1830">
        <v>2025</v>
      </c>
      <c r="K1830">
        <f t="shared" si="56"/>
        <v>38.040000000000006</v>
      </c>
      <c r="L1830" t="str">
        <f t="shared" si="57"/>
        <v>Banca Sabina|13|Leasing</v>
      </c>
    </row>
    <row r="1831" spans="1:12" x14ac:dyDescent="0.25">
      <c r="A1831" t="s">
        <v>29</v>
      </c>
      <c r="B1831">
        <v>13</v>
      </c>
      <c r="C1831" t="s">
        <v>19</v>
      </c>
      <c r="D1831" s="1">
        <v>45688</v>
      </c>
      <c r="E1831">
        <v>2076.1999999999998</v>
      </c>
      <c r="F1831">
        <v>114.61</v>
      </c>
      <c r="G1831">
        <v>69.36</v>
      </c>
      <c r="H1831">
        <v>217</v>
      </c>
      <c r="I1831" t="s">
        <v>25</v>
      </c>
      <c r="J1831">
        <v>2025</v>
      </c>
      <c r="K1831">
        <f t="shared" si="56"/>
        <v>45.25</v>
      </c>
      <c r="L1831" t="str">
        <f t="shared" si="57"/>
        <v>Banca Sabina|13|Factoring</v>
      </c>
    </row>
    <row r="1832" spans="1:12" x14ac:dyDescent="0.25">
      <c r="A1832" t="s">
        <v>29</v>
      </c>
      <c r="B1832">
        <v>13</v>
      </c>
      <c r="C1832" t="s">
        <v>20</v>
      </c>
      <c r="D1832" s="1">
        <v>45688</v>
      </c>
      <c r="E1832">
        <v>2336</v>
      </c>
      <c r="F1832">
        <v>133.97999999999999</v>
      </c>
      <c r="G1832">
        <v>79.739999999999995</v>
      </c>
      <c r="H1832">
        <v>237</v>
      </c>
      <c r="I1832" t="s">
        <v>25</v>
      </c>
      <c r="J1832">
        <v>2025</v>
      </c>
      <c r="K1832">
        <f t="shared" si="56"/>
        <v>54.239999999999995</v>
      </c>
      <c r="L1832" t="str">
        <f t="shared" si="57"/>
        <v>Banca Sabina|13|Risparmio</v>
      </c>
    </row>
    <row r="1833" spans="1:12" x14ac:dyDescent="0.25">
      <c r="A1833" t="s">
        <v>29</v>
      </c>
      <c r="B1833">
        <v>13</v>
      </c>
      <c r="C1833" t="s">
        <v>21</v>
      </c>
      <c r="D1833" s="1">
        <v>45688</v>
      </c>
      <c r="E1833">
        <v>2579.6</v>
      </c>
      <c r="F1833">
        <v>152.86000000000001</v>
      </c>
      <c r="G1833">
        <v>91.27</v>
      </c>
      <c r="H1833">
        <v>263</v>
      </c>
      <c r="I1833" t="s">
        <v>25</v>
      </c>
      <c r="J1833">
        <v>2025</v>
      </c>
      <c r="K1833">
        <f t="shared" si="56"/>
        <v>61.590000000000018</v>
      </c>
      <c r="L1833" t="str">
        <f t="shared" si="57"/>
        <v>Banca Sabina|13|Assicurazioni</v>
      </c>
    </row>
    <row r="1834" spans="1:12" x14ac:dyDescent="0.25">
      <c r="A1834" t="s">
        <v>29</v>
      </c>
      <c r="B1834">
        <v>14</v>
      </c>
      <c r="C1834" t="s">
        <v>13</v>
      </c>
      <c r="D1834" s="1">
        <v>45716</v>
      </c>
      <c r="E1834">
        <v>692.4</v>
      </c>
      <c r="F1834">
        <v>31.56</v>
      </c>
      <c r="G1834">
        <v>20.38</v>
      </c>
      <c r="H1834">
        <v>90</v>
      </c>
      <c r="I1834" t="s">
        <v>25</v>
      </c>
      <c r="J1834">
        <v>2025</v>
      </c>
      <c r="K1834">
        <f t="shared" si="56"/>
        <v>11.18</v>
      </c>
      <c r="L1834" t="str">
        <f t="shared" si="57"/>
        <v>Banca Sabina|14|Mutui</v>
      </c>
    </row>
    <row r="1835" spans="1:12" x14ac:dyDescent="0.25">
      <c r="A1835" t="s">
        <v>29</v>
      </c>
      <c r="B1835">
        <v>14</v>
      </c>
      <c r="C1835" t="s">
        <v>15</v>
      </c>
      <c r="D1835" s="1">
        <v>45716</v>
      </c>
      <c r="E1835">
        <v>977.1</v>
      </c>
      <c r="F1835">
        <v>46.84</v>
      </c>
      <c r="G1835">
        <v>28.64</v>
      </c>
      <c r="H1835">
        <v>100</v>
      </c>
      <c r="I1835" t="s">
        <v>25</v>
      </c>
      <c r="J1835">
        <v>2025</v>
      </c>
      <c r="K1835">
        <f t="shared" si="56"/>
        <v>18.200000000000003</v>
      </c>
      <c r="L1835" t="str">
        <f t="shared" si="57"/>
        <v>Banca Sabina|14|Prestiti</v>
      </c>
    </row>
    <row r="1836" spans="1:12" x14ac:dyDescent="0.25">
      <c r="A1836" t="s">
        <v>29</v>
      </c>
      <c r="B1836">
        <v>14</v>
      </c>
      <c r="C1836" t="s">
        <v>16</v>
      </c>
      <c r="D1836" s="1">
        <v>45716</v>
      </c>
      <c r="E1836">
        <v>1237.5999999999999</v>
      </c>
      <c r="F1836">
        <v>61.34</v>
      </c>
      <c r="G1836">
        <v>37.979999999999997</v>
      </c>
      <c r="H1836">
        <v>146</v>
      </c>
      <c r="I1836" t="s">
        <v>25</v>
      </c>
      <c r="J1836">
        <v>2025</v>
      </c>
      <c r="K1836">
        <f t="shared" si="56"/>
        <v>23.360000000000007</v>
      </c>
      <c r="L1836" t="str">
        <f t="shared" si="57"/>
        <v>Banca Sabina|14|Conti</v>
      </c>
    </row>
    <row r="1837" spans="1:12" x14ac:dyDescent="0.25">
      <c r="A1837" t="s">
        <v>29</v>
      </c>
      <c r="B1837">
        <v>14</v>
      </c>
      <c r="C1837" t="s">
        <v>17</v>
      </c>
      <c r="D1837" s="1">
        <v>45716</v>
      </c>
      <c r="E1837">
        <v>1510.2</v>
      </c>
      <c r="F1837">
        <v>77.150000000000006</v>
      </c>
      <c r="G1837">
        <v>47.22</v>
      </c>
      <c r="H1837">
        <v>174</v>
      </c>
      <c r="I1837" t="s">
        <v>25</v>
      </c>
      <c r="J1837">
        <v>2025</v>
      </c>
      <c r="K1837">
        <f t="shared" si="56"/>
        <v>29.930000000000007</v>
      </c>
      <c r="L1837" t="str">
        <f t="shared" si="57"/>
        <v>Banca Sabina|14|Carte</v>
      </c>
    </row>
    <row r="1838" spans="1:12" x14ac:dyDescent="0.25">
      <c r="A1838" t="s">
        <v>29</v>
      </c>
      <c r="B1838">
        <v>14</v>
      </c>
      <c r="C1838" t="s">
        <v>18</v>
      </c>
      <c r="D1838" s="1">
        <v>45716</v>
      </c>
      <c r="E1838">
        <v>1800.6</v>
      </c>
      <c r="F1838">
        <v>95.97</v>
      </c>
      <c r="G1838">
        <v>58.13</v>
      </c>
      <c r="H1838">
        <v>183</v>
      </c>
      <c r="I1838" t="s">
        <v>25</v>
      </c>
      <c r="J1838">
        <v>2025</v>
      </c>
      <c r="K1838">
        <f t="shared" si="56"/>
        <v>37.839999999999996</v>
      </c>
      <c r="L1838" t="str">
        <f t="shared" si="57"/>
        <v>Banca Sabina|14|Leasing</v>
      </c>
    </row>
    <row r="1839" spans="1:12" x14ac:dyDescent="0.25">
      <c r="A1839" t="s">
        <v>29</v>
      </c>
      <c r="B1839">
        <v>14</v>
      </c>
      <c r="C1839" t="s">
        <v>19</v>
      </c>
      <c r="D1839" s="1">
        <v>45716</v>
      </c>
      <c r="E1839">
        <v>2054.3000000000002</v>
      </c>
      <c r="F1839">
        <v>113.91</v>
      </c>
      <c r="G1839">
        <v>68.62</v>
      </c>
      <c r="H1839">
        <v>200</v>
      </c>
      <c r="I1839" t="s">
        <v>25</v>
      </c>
      <c r="J1839">
        <v>2025</v>
      </c>
      <c r="K1839">
        <f t="shared" si="56"/>
        <v>45.289999999999992</v>
      </c>
      <c r="L1839" t="str">
        <f t="shared" si="57"/>
        <v>Banca Sabina|14|Factoring</v>
      </c>
    </row>
    <row r="1840" spans="1:12" x14ac:dyDescent="0.25">
      <c r="A1840" t="s">
        <v>29</v>
      </c>
      <c r="B1840">
        <v>14</v>
      </c>
      <c r="C1840" t="s">
        <v>20</v>
      </c>
      <c r="D1840" s="1">
        <v>45716</v>
      </c>
      <c r="E1840">
        <v>2345.6</v>
      </c>
      <c r="F1840">
        <v>134.66</v>
      </c>
      <c r="G1840">
        <v>80.38</v>
      </c>
      <c r="H1840">
        <v>227</v>
      </c>
      <c r="I1840" t="s">
        <v>25</v>
      </c>
      <c r="J1840">
        <v>2025</v>
      </c>
      <c r="K1840">
        <f t="shared" si="56"/>
        <v>54.28</v>
      </c>
      <c r="L1840" t="str">
        <f t="shared" si="57"/>
        <v>Banca Sabina|14|Risparmio</v>
      </c>
    </row>
    <row r="1841" spans="1:12" x14ac:dyDescent="0.25">
      <c r="A1841" t="s">
        <v>29</v>
      </c>
      <c r="B1841">
        <v>14</v>
      </c>
      <c r="C1841" t="s">
        <v>21</v>
      </c>
      <c r="D1841" s="1">
        <v>45716</v>
      </c>
      <c r="E1841">
        <v>2585.8000000000002</v>
      </c>
      <c r="F1841">
        <v>153.08000000000001</v>
      </c>
      <c r="G1841">
        <v>90.53</v>
      </c>
      <c r="H1841">
        <v>250</v>
      </c>
      <c r="I1841" t="s">
        <v>25</v>
      </c>
      <c r="J1841">
        <v>2025</v>
      </c>
      <c r="K1841">
        <f t="shared" si="56"/>
        <v>62.550000000000011</v>
      </c>
      <c r="L1841" t="str">
        <f t="shared" si="57"/>
        <v>Banca Sabina|14|Assicurazioni</v>
      </c>
    </row>
    <row r="1842" spans="1:12" x14ac:dyDescent="0.25">
      <c r="A1842" t="s">
        <v>29</v>
      </c>
      <c r="B1842">
        <v>15</v>
      </c>
      <c r="C1842" t="s">
        <v>13</v>
      </c>
      <c r="D1842" s="1">
        <v>45747</v>
      </c>
      <c r="E1842">
        <v>739.6</v>
      </c>
      <c r="F1842">
        <v>33.4</v>
      </c>
      <c r="G1842">
        <v>21.28</v>
      </c>
      <c r="H1842">
        <v>92</v>
      </c>
      <c r="I1842" t="s">
        <v>25</v>
      </c>
      <c r="J1842">
        <v>2025</v>
      </c>
      <c r="K1842">
        <f t="shared" si="56"/>
        <v>12.119999999999997</v>
      </c>
      <c r="L1842" t="str">
        <f t="shared" si="57"/>
        <v>Banca Sabina|15|Mutui</v>
      </c>
    </row>
    <row r="1843" spans="1:12" x14ac:dyDescent="0.25">
      <c r="A1843" t="s">
        <v>29</v>
      </c>
      <c r="B1843">
        <v>15</v>
      </c>
      <c r="C1843" t="s">
        <v>15</v>
      </c>
      <c r="D1843" s="1">
        <v>45747</v>
      </c>
      <c r="E1843">
        <v>1008.6</v>
      </c>
      <c r="F1843">
        <v>48.39</v>
      </c>
      <c r="G1843">
        <v>29.76</v>
      </c>
      <c r="H1843">
        <v>110</v>
      </c>
      <c r="I1843" t="s">
        <v>25</v>
      </c>
      <c r="J1843">
        <v>2025</v>
      </c>
      <c r="K1843">
        <f t="shared" si="56"/>
        <v>18.63</v>
      </c>
      <c r="L1843" t="str">
        <f t="shared" si="57"/>
        <v>Banca Sabina|15|Prestiti</v>
      </c>
    </row>
    <row r="1844" spans="1:12" x14ac:dyDescent="0.25">
      <c r="A1844" t="s">
        <v>29</v>
      </c>
      <c r="B1844">
        <v>15</v>
      </c>
      <c r="C1844" t="s">
        <v>16</v>
      </c>
      <c r="D1844" s="1">
        <v>45747</v>
      </c>
      <c r="E1844">
        <v>1251.5999999999999</v>
      </c>
      <c r="F1844">
        <v>61.59</v>
      </c>
      <c r="G1844">
        <v>37.619999999999997</v>
      </c>
      <c r="H1844">
        <v>125</v>
      </c>
      <c r="I1844" t="s">
        <v>25</v>
      </c>
      <c r="J1844">
        <v>2025</v>
      </c>
      <c r="K1844">
        <f t="shared" si="56"/>
        <v>23.970000000000006</v>
      </c>
      <c r="L1844" t="str">
        <f t="shared" si="57"/>
        <v>Banca Sabina|15|Conti</v>
      </c>
    </row>
    <row r="1845" spans="1:12" x14ac:dyDescent="0.25">
      <c r="A1845" t="s">
        <v>29</v>
      </c>
      <c r="B1845">
        <v>15</v>
      </c>
      <c r="C1845" t="s">
        <v>17</v>
      </c>
      <c r="D1845" s="1">
        <v>45747</v>
      </c>
      <c r="E1845">
        <v>1517.6</v>
      </c>
      <c r="F1845">
        <v>78.28</v>
      </c>
      <c r="G1845">
        <v>47.52</v>
      </c>
      <c r="H1845">
        <v>156</v>
      </c>
      <c r="I1845" t="s">
        <v>25</v>
      </c>
      <c r="J1845">
        <v>2025</v>
      </c>
      <c r="K1845">
        <f t="shared" si="56"/>
        <v>30.759999999999998</v>
      </c>
      <c r="L1845" t="str">
        <f t="shared" si="57"/>
        <v>Banca Sabina|15|Carte</v>
      </c>
    </row>
    <row r="1846" spans="1:12" x14ac:dyDescent="0.25">
      <c r="A1846" t="s">
        <v>29</v>
      </c>
      <c r="B1846">
        <v>15</v>
      </c>
      <c r="C1846" t="s">
        <v>18</v>
      </c>
      <c r="D1846" s="1">
        <v>45747</v>
      </c>
      <c r="E1846">
        <v>1799.8</v>
      </c>
      <c r="F1846">
        <v>95.48</v>
      </c>
      <c r="G1846">
        <v>58.56</v>
      </c>
      <c r="H1846">
        <v>192</v>
      </c>
      <c r="I1846" t="s">
        <v>25</v>
      </c>
      <c r="J1846">
        <v>2025</v>
      </c>
      <c r="K1846">
        <f t="shared" si="56"/>
        <v>36.92</v>
      </c>
      <c r="L1846" t="str">
        <f t="shared" si="57"/>
        <v>Banca Sabina|15|Leasing</v>
      </c>
    </row>
    <row r="1847" spans="1:12" x14ac:dyDescent="0.25">
      <c r="A1847" t="s">
        <v>29</v>
      </c>
      <c r="B1847">
        <v>15</v>
      </c>
      <c r="C1847" t="s">
        <v>19</v>
      </c>
      <c r="D1847" s="1">
        <v>45747</v>
      </c>
      <c r="E1847">
        <v>2073.1999999999998</v>
      </c>
      <c r="F1847">
        <v>114.09</v>
      </c>
      <c r="G1847">
        <v>68.849999999999994</v>
      </c>
      <c r="H1847">
        <v>218</v>
      </c>
      <c r="I1847" t="s">
        <v>25</v>
      </c>
      <c r="J1847">
        <v>2025</v>
      </c>
      <c r="K1847">
        <f t="shared" si="56"/>
        <v>45.240000000000009</v>
      </c>
      <c r="L1847" t="str">
        <f t="shared" si="57"/>
        <v>Banca Sabina|15|Factoring</v>
      </c>
    </row>
    <row r="1848" spans="1:12" x14ac:dyDescent="0.25">
      <c r="A1848" t="s">
        <v>29</v>
      </c>
      <c r="B1848">
        <v>15</v>
      </c>
      <c r="C1848" t="s">
        <v>20</v>
      </c>
      <c r="D1848" s="1">
        <v>45747</v>
      </c>
      <c r="E1848">
        <v>2372.1999999999998</v>
      </c>
      <c r="F1848">
        <v>135.32</v>
      </c>
      <c r="G1848">
        <v>80.680000000000007</v>
      </c>
      <c r="H1848">
        <v>219</v>
      </c>
      <c r="I1848" t="s">
        <v>25</v>
      </c>
      <c r="J1848">
        <v>2025</v>
      </c>
      <c r="K1848">
        <f t="shared" si="56"/>
        <v>54.639999999999986</v>
      </c>
      <c r="L1848" t="str">
        <f t="shared" si="57"/>
        <v>Banca Sabina|15|Risparmio</v>
      </c>
    </row>
    <row r="1849" spans="1:12" x14ac:dyDescent="0.25">
      <c r="A1849" t="s">
        <v>29</v>
      </c>
      <c r="B1849">
        <v>15</v>
      </c>
      <c r="C1849" t="s">
        <v>21</v>
      </c>
      <c r="D1849" s="1">
        <v>45747</v>
      </c>
      <c r="E1849">
        <v>2633</v>
      </c>
      <c r="F1849">
        <v>156.31</v>
      </c>
      <c r="G1849">
        <v>92.99</v>
      </c>
      <c r="H1849">
        <v>269</v>
      </c>
      <c r="I1849" t="s">
        <v>25</v>
      </c>
      <c r="J1849">
        <v>2025</v>
      </c>
      <c r="K1849">
        <f t="shared" si="56"/>
        <v>63.320000000000007</v>
      </c>
      <c r="L1849" t="str">
        <f t="shared" si="57"/>
        <v>Banca Sabina|15|Assicurazioni</v>
      </c>
    </row>
    <row r="1850" spans="1:12" x14ac:dyDescent="0.25">
      <c r="A1850" t="s">
        <v>29</v>
      </c>
      <c r="B1850">
        <v>16</v>
      </c>
      <c r="C1850" t="s">
        <v>13</v>
      </c>
      <c r="D1850" s="1">
        <v>45777</v>
      </c>
      <c r="E1850">
        <v>747.9</v>
      </c>
      <c r="F1850">
        <v>34.08</v>
      </c>
      <c r="G1850">
        <v>21.23</v>
      </c>
      <c r="H1850">
        <v>72</v>
      </c>
      <c r="I1850" t="s">
        <v>25</v>
      </c>
      <c r="J1850">
        <v>2025</v>
      </c>
      <c r="K1850">
        <f t="shared" si="56"/>
        <v>12.849999999999998</v>
      </c>
      <c r="L1850" t="str">
        <f t="shared" si="57"/>
        <v>Banca Sabina|16|Mutui</v>
      </c>
    </row>
    <row r="1851" spans="1:12" x14ac:dyDescent="0.25">
      <c r="A1851" t="s">
        <v>29</v>
      </c>
      <c r="B1851">
        <v>16</v>
      </c>
      <c r="C1851" t="s">
        <v>15</v>
      </c>
      <c r="D1851" s="1">
        <v>45777</v>
      </c>
      <c r="E1851">
        <v>1009.9</v>
      </c>
      <c r="F1851">
        <v>48.36</v>
      </c>
      <c r="G1851">
        <v>29.63</v>
      </c>
      <c r="H1851">
        <v>103</v>
      </c>
      <c r="I1851" t="s">
        <v>25</v>
      </c>
      <c r="J1851">
        <v>2025</v>
      </c>
      <c r="K1851">
        <f t="shared" si="56"/>
        <v>18.73</v>
      </c>
      <c r="L1851" t="str">
        <f t="shared" si="57"/>
        <v>Banca Sabina|16|Prestiti</v>
      </c>
    </row>
    <row r="1852" spans="1:12" x14ac:dyDescent="0.25">
      <c r="A1852" t="s">
        <v>29</v>
      </c>
      <c r="B1852">
        <v>16</v>
      </c>
      <c r="C1852" t="s">
        <v>16</v>
      </c>
      <c r="D1852" s="1">
        <v>45777</v>
      </c>
      <c r="E1852">
        <v>1286.3</v>
      </c>
      <c r="F1852">
        <v>63.08</v>
      </c>
      <c r="G1852">
        <v>39.15</v>
      </c>
      <c r="H1852">
        <v>120</v>
      </c>
      <c r="I1852" t="s">
        <v>25</v>
      </c>
      <c r="J1852">
        <v>2025</v>
      </c>
      <c r="K1852">
        <f t="shared" si="56"/>
        <v>23.93</v>
      </c>
      <c r="L1852" t="str">
        <f t="shared" si="57"/>
        <v>Banca Sabina|16|Conti</v>
      </c>
    </row>
    <row r="1853" spans="1:12" x14ac:dyDescent="0.25">
      <c r="A1853" t="s">
        <v>29</v>
      </c>
      <c r="B1853">
        <v>16</v>
      </c>
      <c r="C1853" t="s">
        <v>17</v>
      </c>
      <c r="D1853" s="1">
        <v>45777</v>
      </c>
      <c r="E1853">
        <v>1559</v>
      </c>
      <c r="F1853">
        <v>79.66</v>
      </c>
      <c r="G1853">
        <v>49.14</v>
      </c>
      <c r="H1853">
        <v>155</v>
      </c>
      <c r="I1853" t="s">
        <v>25</v>
      </c>
      <c r="J1853">
        <v>2025</v>
      </c>
      <c r="K1853">
        <f t="shared" si="56"/>
        <v>30.519999999999996</v>
      </c>
      <c r="L1853" t="str">
        <f t="shared" si="57"/>
        <v>Banca Sabina|16|Carte</v>
      </c>
    </row>
    <row r="1854" spans="1:12" x14ac:dyDescent="0.25">
      <c r="A1854" t="s">
        <v>29</v>
      </c>
      <c r="B1854">
        <v>16</v>
      </c>
      <c r="C1854" t="s">
        <v>18</v>
      </c>
      <c r="D1854" s="1">
        <v>45777</v>
      </c>
      <c r="E1854">
        <v>1837</v>
      </c>
      <c r="F1854">
        <v>97.91</v>
      </c>
      <c r="G1854">
        <v>59.5</v>
      </c>
      <c r="H1854">
        <v>196</v>
      </c>
      <c r="I1854" t="s">
        <v>25</v>
      </c>
      <c r="J1854">
        <v>2025</v>
      </c>
      <c r="K1854">
        <f t="shared" si="56"/>
        <v>38.409999999999997</v>
      </c>
      <c r="L1854" t="str">
        <f t="shared" si="57"/>
        <v>Banca Sabina|16|Leasing</v>
      </c>
    </row>
    <row r="1855" spans="1:12" x14ac:dyDescent="0.25">
      <c r="A1855" t="s">
        <v>29</v>
      </c>
      <c r="B1855">
        <v>16</v>
      </c>
      <c r="C1855" t="s">
        <v>19</v>
      </c>
      <c r="D1855" s="1">
        <v>45777</v>
      </c>
      <c r="E1855">
        <v>2111.9</v>
      </c>
      <c r="F1855">
        <v>116.39</v>
      </c>
      <c r="G1855">
        <v>70.55</v>
      </c>
      <c r="H1855">
        <v>219</v>
      </c>
      <c r="I1855" t="s">
        <v>25</v>
      </c>
      <c r="J1855">
        <v>2025</v>
      </c>
      <c r="K1855">
        <f t="shared" si="56"/>
        <v>45.84</v>
      </c>
      <c r="L1855" t="str">
        <f t="shared" si="57"/>
        <v>Banca Sabina|16|Factoring</v>
      </c>
    </row>
    <row r="1856" spans="1:12" x14ac:dyDescent="0.25">
      <c r="A1856" t="s">
        <v>29</v>
      </c>
      <c r="B1856">
        <v>16</v>
      </c>
      <c r="C1856" t="s">
        <v>20</v>
      </c>
      <c r="D1856" s="1">
        <v>45777</v>
      </c>
      <c r="E1856">
        <v>2361</v>
      </c>
      <c r="F1856">
        <v>134.62</v>
      </c>
      <c r="G1856">
        <v>80.87</v>
      </c>
      <c r="H1856">
        <v>238</v>
      </c>
      <c r="I1856" t="s">
        <v>25</v>
      </c>
      <c r="J1856">
        <v>2025</v>
      </c>
      <c r="K1856">
        <f t="shared" si="56"/>
        <v>53.75</v>
      </c>
      <c r="L1856" t="str">
        <f t="shared" si="57"/>
        <v>Banca Sabina|16|Risparmio</v>
      </c>
    </row>
    <row r="1857" spans="1:12" x14ac:dyDescent="0.25">
      <c r="A1857" t="s">
        <v>29</v>
      </c>
      <c r="B1857">
        <v>16</v>
      </c>
      <c r="C1857" t="s">
        <v>21</v>
      </c>
      <c r="D1857" s="1">
        <v>45777</v>
      </c>
      <c r="E1857">
        <v>2632.7</v>
      </c>
      <c r="F1857">
        <v>156.13</v>
      </c>
      <c r="G1857">
        <v>92.92</v>
      </c>
      <c r="H1857">
        <v>242</v>
      </c>
      <c r="I1857" t="s">
        <v>25</v>
      </c>
      <c r="J1857">
        <v>2025</v>
      </c>
      <c r="K1857">
        <f t="shared" si="56"/>
        <v>63.209999999999994</v>
      </c>
      <c r="L1857" t="str">
        <f t="shared" si="57"/>
        <v>Banca Sabina|16|Assicurazioni</v>
      </c>
    </row>
    <row r="1858" spans="1:12" x14ac:dyDescent="0.25">
      <c r="A1858" t="s">
        <v>29</v>
      </c>
      <c r="B1858">
        <v>17</v>
      </c>
      <c r="C1858" t="s">
        <v>13</v>
      </c>
      <c r="D1858" s="1">
        <v>45808</v>
      </c>
      <c r="E1858">
        <v>745.2</v>
      </c>
      <c r="F1858">
        <v>34.25</v>
      </c>
      <c r="G1858">
        <v>20.93</v>
      </c>
      <c r="H1858">
        <v>72</v>
      </c>
      <c r="I1858" t="s">
        <v>25</v>
      </c>
      <c r="J1858">
        <v>2025</v>
      </c>
      <c r="K1858">
        <f t="shared" ref="K1858:K1921" si="58">F1858-G1858</f>
        <v>13.32</v>
      </c>
      <c r="L1858" t="str">
        <f t="shared" ref="L1858:L1921" si="59">A1858&amp;"|"&amp;B1858&amp;"|"&amp;C1858</f>
        <v>Banca Sabina|17|Mutui</v>
      </c>
    </row>
    <row r="1859" spans="1:12" x14ac:dyDescent="0.25">
      <c r="A1859" t="s">
        <v>29</v>
      </c>
      <c r="B1859">
        <v>17</v>
      </c>
      <c r="C1859" t="s">
        <v>15</v>
      </c>
      <c r="D1859" s="1">
        <v>45808</v>
      </c>
      <c r="E1859">
        <v>990.9</v>
      </c>
      <c r="F1859">
        <v>47.12</v>
      </c>
      <c r="G1859">
        <v>29.6</v>
      </c>
      <c r="H1859">
        <v>114</v>
      </c>
      <c r="I1859" t="s">
        <v>25</v>
      </c>
      <c r="J1859">
        <v>2025</v>
      </c>
      <c r="K1859">
        <f t="shared" si="58"/>
        <v>17.519999999999996</v>
      </c>
      <c r="L1859" t="str">
        <f t="shared" si="59"/>
        <v>Banca Sabina|17|Prestiti</v>
      </c>
    </row>
    <row r="1860" spans="1:12" x14ac:dyDescent="0.25">
      <c r="A1860" t="s">
        <v>29</v>
      </c>
      <c r="B1860">
        <v>17</v>
      </c>
      <c r="C1860" t="s">
        <v>16</v>
      </c>
      <c r="D1860" s="1">
        <v>45808</v>
      </c>
      <c r="E1860">
        <v>1296.5</v>
      </c>
      <c r="F1860">
        <v>63.68</v>
      </c>
      <c r="G1860">
        <v>39.29</v>
      </c>
      <c r="H1860">
        <v>123</v>
      </c>
      <c r="I1860" t="s">
        <v>25</v>
      </c>
      <c r="J1860">
        <v>2025</v>
      </c>
      <c r="K1860">
        <f t="shared" si="58"/>
        <v>24.39</v>
      </c>
      <c r="L1860" t="str">
        <f t="shared" si="59"/>
        <v>Banca Sabina|17|Conti</v>
      </c>
    </row>
    <row r="1861" spans="1:12" x14ac:dyDescent="0.25">
      <c r="A1861" t="s">
        <v>29</v>
      </c>
      <c r="B1861">
        <v>17</v>
      </c>
      <c r="C1861" t="s">
        <v>17</v>
      </c>
      <c r="D1861" s="1">
        <v>45808</v>
      </c>
      <c r="E1861">
        <v>1561.7</v>
      </c>
      <c r="F1861">
        <v>80.349999999999994</v>
      </c>
      <c r="G1861">
        <v>48.83</v>
      </c>
      <c r="H1861">
        <v>160</v>
      </c>
      <c r="I1861" t="s">
        <v>25</v>
      </c>
      <c r="J1861">
        <v>2025</v>
      </c>
      <c r="K1861">
        <f t="shared" si="58"/>
        <v>31.519999999999996</v>
      </c>
      <c r="L1861" t="str">
        <f t="shared" si="59"/>
        <v>Banca Sabina|17|Carte</v>
      </c>
    </row>
    <row r="1862" spans="1:12" x14ac:dyDescent="0.25">
      <c r="A1862" t="s">
        <v>29</v>
      </c>
      <c r="B1862">
        <v>17</v>
      </c>
      <c r="C1862" t="s">
        <v>18</v>
      </c>
      <c r="D1862" s="1">
        <v>45808</v>
      </c>
      <c r="E1862">
        <v>1854.9</v>
      </c>
      <c r="F1862">
        <v>98.35</v>
      </c>
      <c r="G1862">
        <v>59.9</v>
      </c>
      <c r="H1862">
        <v>168</v>
      </c>
      <c r="I1862" t="s">
        <v>25</v>
      </c>
      <c r="J1862">
        <v>2025</v>
      </c>
      <c r="K1862">
        <f t="shared" si="58"/>
        <v>38.449999999999996</v>
      </c>
      <c r="L1862" t="str">
        <f t="shared" si="59"/>
        <v>Banca Sabina|17|Leasing</v>
      </c>
    </row>
    <row r="1863" spans="1:12" x14ac:dyDescent="0.25">
      <c r="A1863" t="s">
        <v>29</v>
      </c>
      <c r="B1863">
        <v>17</v>
      </c>
      <c r="C1863" t="s">
        <v>19</v>
      </c>
      <c r="D1863" s="1">
        <v>45808</v>
      </c>
      <c r="E1863">
        <v>2097.5</v>
      </c>
      <c r="F1863">
        <v>115.81</v>
      </c>
      <c r="G1863">
        <v>70.08</v>
      </c>
      <c r="H1863">
        <v>187</v>
      </c>
      <c r="I1863" t="s">
        <v>25</v>
      </c>
      <c r="J1863">
        <v>2025</v>
      </c>
      <c r="K1863">
        <f t="shared" si="58"/>
        <v>45.730000000000004</v>
      </c>
      <c r="L1863" t="str">
        <f t="shared" si="59"/>
        <v>Banca Sabina|17|Factoring</v>
      </c>
    </row>
    <row r="1864" spans="1:12" x14ac:dyDescent="0.25">
      <c r="A1864" t="s">
        <v>29</v>
      </c>
      <c r="B1864">
        <v>17</v>
      </c>
      <c r="C1864" t="s">
        <v>20</v>
      </c>
      <c r="D1864" s="1">
        <v>45808</v>
      </c>
      <c r="E1864">
        <v>2415.4</v>
      </c>
      <c r="F1864">
        <v>138.05000000000001</v>
      </c>
      <c r="G1864">
        <v>82.74</v>
      </c>
      <c r="H1864">
        <v>242</v>
      </c>
      <c r="I1864" t="s">
        <v>25</v>
      </c>
      <c r="J1864">
        <v>2025</v>
      </c>
      <c r="K1864">
        <f t="shared" si="58"/>
        <v>55.310000000000016</v>
      </c>
      <c r="L1864" t="str">
        <f t="shared" si="59"/>
        <v>Banca Sabina|17|Risparmio</v>
      </c>
    </row>
    <row r="1865" spans="1:12" x14ac:dyDescent="0.25">
      <c r="A1865" t="s">
        <v>29</v>
      </c>
      <c r="B1865">
        <v>17</v>
      </c>
      <c r="C1865" t="s">
        <v>21</v>
      </c>
      <c r="D1865" s="1">
        <v>45808</v>
      </c>
      <c r="E1865">
        <v>2671.4</v>
      </c>
      <c r="F1865">
        <v>158.1</v>
      </c>
      <c r="G1865">
        <v>94.02</v>
      </c>
      <c r="H1865">
        <v>264</v>
      </c>
      <c r="I1865" t="s">
        <v>25</v>
      </c>
      <c r="J1865">
        <v>2025</v>
      </c>
      <c r="K1865">
        <f t="shared" si="58"/>
        <v>64.08</v>
      </c>
      <c r="L1865" t="str">
        <f t="shared" si="59"/>
        <v>Banca Sabina|17|Assicurazioni</v>
      </c>
    </row>
    <row r="1866" spans="1:12" x14ac:dyDescent="0.25">
      <c r="A1866" t="s">
        <v>29</v>
      </c>
      <c r="B1866">
        <v>18</v>
      </c>
      <c r="C1866" t="s">
        <v>13</v>
      </c>
      <c r="D1866" s="1">
        <v>45838</v>
      </c>
      <c r="E1866">
        <v>720.5</v>
      </c>
      <c r="F1866">
        <v>32.799999999999997</v>
      </c>
      <c r="G1866">
        <v>20.39</v>
      </c>
      <c r="H1866">
        <v>72</v>
      </c>
      <c r="I1866" t="s">
        <v>25</v>
      </c>
      <c r="J1866">
        <v>2025</v>
      </c>
      <c r="K1866">
        <f t="shared" si="58"/>
        <v>12.409999999999997</v>
      </c>
      <c r="L1866" t="str">
        <f t="shared" si="59"/>
        <v>Banca Sabina|18|Mutui</v>
      </c>
    </row>
    <row r="1867" spans="1:12" x14ac:dyDescent="0.25">
      <c r="A1867" t="s">
        <v>29</v>
      </c>
      <c r="B1867">
        <v>18</v>
      </c>
      <c r="C1867" t="s">
        <v>15</v>
      </c>
      <c r="D1867" s="1">
        <v>45838</v>
      </c>
      <c r="E1867">
        <v>1020.9</v>
      </c>
      <c r="F1867">
        <v>48.64</v>
      </c>
      <c r="G1867">
        <v>29.96</v>
      </c>
      <c r="H1867">
        <v>99</v>
      </c>
      <c r="I1867" t="s">
        <v>25</v>
      </c>
      <c r="J1867">
        <v>2025</v>
      </c>
      <c r="K1867">
        <f t="shared" si="58"/>
        <v>18.68</v>
      </c>
      <c r="L1867" t="str">
        <f t="shared" si="59"/>
        <v>Banca Sabina|18|Prestiti</v>
      </c>
    </row>
    <row r="1868" spans="1:12" x14ac:dyDescent="0.25">
      <c r="A1868" t="s">
        <v>29</v>
      </c>
      <c r="B1868">
        <v>18</v>
      </c>
      <c r="C1868" t="s">
        <v>16</v>
      </c>
      <c r="D1868" s="1">
        <v>45838</v>
      </c>
      <c r="E1868">
        <v>1307.9000000000001</v>
      </c>
      <c r="F1868">
        <v>64.47</v>
      </c>
      <c r="G1868">
        <v>39.450000000000003</v>
      </c>
      <c r="H1868">
        <v>133</v>
      </c>
      <c r="I1868" t="s">
        <v>25</v>
      </c>
      <c r="J1868">
        <v>2025</v>
      </c>
      <c r="K1868">
        <f t="shared" si="58"/>
        <v>25.019999999999996</v>
      </c>
      <c r="L1868" t="str">
        <f t="shared" si="59"/>
        <v>Banca Sabina|18|Conti</v>
      </c>
    </row>
    <row r="1869" spans="1:12" x14ac:dyDescent="0.25">
      <c r="A1869" t="s">
        <v>29</v>
      </c>
      <c r="B1869">
        <v>18</v>
      </c>
      <c r="C1869" t="s">
        <v>17</v>
      </c>
      <c r="D1869" s="1">
        <v>45838</v>
      </c>
      <c r="E1869">
        <v>1564.3</v>
      </c>
      <c r="F1869">
        <v>79.95</v>
      </c>
      <c r="G1869">
        <v>49.4</v>
      </c>
      <c r="H1869">
        <v>139</v>
      </c>
      <c r="I1869" t="s">
        <v>25</v>
      </c>
      <c r="J1869">
        <v>2025</v>
      </c>
      <c r="K1869">
        <f t="shared" si="58"/>
        <v>30.550000000000004</v>
      </c>
      <c r="L1869" t="str">
        <f t="shared" si="59"/>
        <v>Banca Sabina|18|Carte</v>
      </c>
    </row>
    <row r="1870" spans="1:12" x14ac:dyDescent="0.25">
      <c r="A1870" t="s">
        <v>29</v>
      </c>
      <c r="B1870">
        <v>18</v>
      </c>
      <c r="C1870" t="s">
        <v>18</v>
      </c>
      <c r="D1870" s="1">
        <v>45838</v>
      </c>
      <c r="E1870">
        <v>1861.6</v>
      </c>
      <c r="F1870">
        <v>99.35</v>
      </c>
      <c r="G1870">
        <v>60.43</v>
      </c>
      <c r="H1870">
        <v>194</v>
      </c>
      <c r="I1870" t="s">
        <v>25</v>
      </c>
      <c r="J1870">
        <v>2025</v>
      </c>
      <c r="K1870">
        <f t="shared" si="58"/>
        <v>38.919999999999995</v>
      </c>
      <c r="L1870" t="str">
        <f t="shared" si="59"/>
        <v>Banca Sabina|18|Leasing</v>
      </c>
    </row>
    <row r="1871" spans="1:12" x14ac:dyDescent="0.25">
      <c r="A1871" t="s">
        <v>29</v>
      </c>
      <c r="B1871">
        <v>18</v>
      </c>
      <c r="C1871" t="s">
        <v>19</v>
      </c>
      <c r="D1871" s="1">
        <v>45838</v>
      </c>
      <c r="E1871">
        <v>2136.1999999999998</v>
      </c>
      <c r="F1871">
        <v>118.02</v>
      </c>
      <c r="G1871">
        <v>71.09</v>
      </c>
      <c r="H1871">
        <v>217</v>
      </c>
      <c r="I1871" t="s">
        <v>25</v>
      </c>
      <c r="J1871">
        <v>2025</v>
      </c>
      <c r="K1871">
        <f t="shared" si="58"/>
        <v>46.929999999999993</v>
      </c>
      <c r="L1871" t="str">
        <f t="shared" si="59"/>
        <v>Banca Sabina|18|Factoring</v>
      </c>
    </row>
    <row r="1872" spans="1:12" x14ac:dyDescent="0.25">
      <c r="A1872" t="s">
        <v>29</v>
      </c>
      <c r="B1872">
        <v>18</v>
      </c>
      <c r="C1872" t="s">
        <v>20</v>
      </c>
      <c r="D1872" s="1">
        <v>45838</v>
      </c>
      <c r="E1872">
        <v>2430.3000000000002</v>
      </c>
      <c r="F1872">
        <v>138.71</v>
      </c>
      <c r="G1872">
        <v>83.31</v>
      </c>
      <c r="H1872">
        <v>227</v>
      </c>
      <c r="I1872" t="s">
        <v>25</v>
      </c>
      <c r="J1872">
        <v>2025</v>
      </c>
      <c r="K1872">
        <f t="shared" si="58"/>
        <v>55.400000000000006</v>
      </c>
      <c r="L1872" t="str">
        <f t="shared" si="59"/>
        <v>Banca Sabina|18|Risparmio</v>
      </c>
    </row>
    <row r="1873" spans="1:12" x14ac:dyDescent="0.25">
      <c r="A1873" t="s">
        <v>29</v>
      </c>
      <c r="B1873">
        <v>18</v>
      </c>
      <c r="C1873" t="s">
        <v>21</v>
      </c>
      <c r="D1873" s="1">
        <v>45838</v>
      </c>
      <c r="E1873">
        <v>2685.5</v>
      </c>
      <c r="F1873">
        <v>159.27000000000001</v>
      </c>
      <c r="G1873">
        <v>94.35</v>
      </c>
      <c r="H1873">
        <v>260</v>
      </c>
      <c r="I1873" t="s">
        <v>25</v>
      </c>
      <c r="J1873">
        <v>2025</v>
      </c>
      <c r="K1873">
        <f t="shared" si="58"/>
        <v>64.920000000000016</v>
      </c>
      <c r="L1873" t="str">
        <f t="shared" si="59"/>
        <v>Banca Sabina|18|Assicurazioni</v>
      </c>
    </row>
    <row r="1874" spans="1:12" x14ac:dyDescent="0.25">
      <c r="A1874" t="s">
        <v>29</v>
      </c>
      <c r="B1874">
        <v>19</v>
      </c>
      <c r="C1874" t="s">
        <v>13</v>
      </c>
      <c r="D1874" s="1">
        <v>45869</v>
      </c>
      <c r="E1874">
        <v>768.3</v>
      </c>
      <c r="F1874">
        <v>34.67</v>
      </c>
      <c r="G1874">
        <v>22.11</v>
      </c>
      <c r="H1874">
        <v>79</v>
      </c>
      <c r="I1874" t="s">
        <v>25</v>
      </c>
      <c r="J1874">
        <v>2025</v>
      </c>
      <c r="K1874">
        <f t="shared" si="58"/>
        <v>12.560000000000002</v>
      </c>
      <c r="L1874" t="str">
        <f t="shared" si="59"/>
        <v>Banca Sabina|19|Mutui</v>
      </c>
    </row>
    <row r="1875" spans="1:12" x14ac:dyDescent="0.25">
      <c r="A1875" t="s">
        <v>29</v>
      </c>
      <c r="B1875">
        <v>19</v>
      </c>
      <c r="C1875" t="s">
        <v>15</v>
      </c>
      <c r="D1875" s="1">
        <v>45869</v>
      </c>
      <c r="E1875">
        <v>1047.4000000000001</v>
      </c>
      <c r="F1875">
        <v>49.39</v>
      </c>
      <c r="G1875">
        <v>30.5</v>
      </c>
      <c r="H1875">
        <v>108</v>
      </c>
      <c r="I1875" t="s">
        <v>25</v>
      </c>
      <c r="J1875">
        <v>2025</v>
      </c>
      <c r="K1875">
        <f t="shared" si="58"/>
        <v>18.89</v>
      </c>
      <c r="L1875" t="str">
        <f t="shared" si="59"/>
        <v>Banca Sabina|19|Prestiti</v>
      </c>
    </row>
    <row r="1876" spans="1:12" x14ac:dyDescent="0.25">
      <c r="A1876" t="s">
        <v>29</v>
      </c>
      <c r="B1876">
        <v>19</v>
      </c>
      <c r="C1876" t="s">
        <v>16</v>
      </c>
      <c r="D1876" s="1">
        <v>45869</v>
      </c>
      <c r="E1876">
        <v>1301.4000000000001</v>
      </c>
      <c r="F1876">
        <v>64.349999999999994</v>
      </c>
      <c r="G1876">
        <v>39.520000000000003</v>
      </c>
      <c r="H1876">
        <v>119</v>
      </c>
      <c r="I1876" t="s">
        <v>25</v>
      </c>
      <c r="J1876">
        <v>2025</v>
      </c>
      <c r="K1876">
        <f t="shared" si="58"/>
        <v>24.829999999999991</v>
      </c>
      <c r="L1876" t="str">
        <f t="shared" si="59"/>
        <v>Banca Sabina|19|Conti</v>
      </c>
    </row>
    <row r="1877" spans="1:12" x14ac:dyDescent="0.25">
      <c r="A1877" t="s">
        <v>29</v>
      </c>
      <c r="B1877">
        <v>19</v>
      </c>
      <c r="C1877" t="s">
        <v>17</v>
      </c>
      <c r="D1877" s="1">
        <v>45869</v>
      </c>
      <c r="E1877">
        <v>1564.9</v>
      </c>
      <c r="F1877">
        <v>80.33</v>
      </c>
      <c r="G1877">
        <v>48.92</v>
      </c>
      <c r="H1877">
        <v>163</v>
      </c>
      <c r="I1877" t="s">
        <v>25</v>
      </c>
      <c r="J1877">
        <v>2025</v>
      </c>
      <c r="K1877">
        <f t="shared" si="58"/>
        <v>31.409999999999997</v>
      </c>
      <c r="L1877" t="str">
        <f t="shared" si="59"/>
        <v>Banca Sabina|19|Carte</v>
      </c>
    </row>
    <row r="1878" spans="1:12" x14ac:dyDescent="0.25">
      <c r="A1878" t="s">
        <v>29</v>
      </c>
      <c r="B1878">
        <v>19</v>
      </c>
      <c r="C1878" t="s">
        <v>18</v>
      </c>
      <c r="D1878" s="1">
        <v>45869</v>
      </c>
      <c r="E1878">
        <v>1850.3</v>
      </c>
      <c r="F1878">
        <v>98.13</v>
      </c>
      <c r="G1878">
        <v>59.81</v>
      </c>
      <c r="H1878">
        <v>180</v>
      </c>
      <c r="I1878" t="s">
        <v>25</v>
      </c>
      <c r="J1878">
        <v>2025</v>
      </c>
      <c r="K1878">
        <f t="shared" si="58"/>
        <v>38.319999999999993</v>
      </c>
      <c r="L1878" t="str">
        <f t="shared" si="59"/>
        <v>Banca Sabina|19|Leasing</v>
      </c>
    </row>
    <row r="1879" spans="1:12" x14ac:dyDescent="0.25">
      <c r="A1879" t="s">
        <v>29</v>
      </c>
      <c r="B1879">
        <v>19</v>
      </c>
      <c r="C1879" t="s">
        <v>19</v>
      </c>
      <c r="D1879" s="1">
        <v>45869</v>
      </c>
      <c r="E1879">
        <v>2157.6999999999998</v>
      </c>
      <c r="F1879">
        <v>119.38</v>
      </c>
      <c r="G1879">
        <v>71.989999999999995</v>
      </c>
      <c r="H1879">
        <v>189</v>
      </c>
      <c r="I1879" t="s">
        <v>25</v>
      </c>
      <c r="J1879">
        <v>2025</v>
      </c>
      <c r="K1879">
        <f t="shared" si="58"/>
        <v>47.39</v>
      </c>
      <c r="L1879" t="str">
        <f t="shared" si="59"/>
        <v>Banca Sabina|19|Factoring</v>
      </c>
    </row>
    <row r="1880" spans="1:12" x14ac:dyDescent="0.25">
      <c r="A1880" t="s">
        <v>29</v>
      </c>
      <c r="B1880">
        <v>19</v>
      </c>
      <c r="C1880" t="s">
        <v>20</v>
      </c>
      <c r="D1880" s="1">
        <v>45869</v>
      </c>
      <c r="E1880">
        <v>2418.4</v>
      </c>
      <c r="F1880">
        <v>138.66</v>
      </c>
      <c r="G1880">
        <v>82.49</v>
      </c>
      <c r="H1880">
        <v>218</v>
      </c>
      <c r="I1880" t="s">
        <v>25</v>
      </c>
      <c r="J1880">
        <v>2025</v>
      </c>
      <c r="K1880">
        <f t="shared" si="58"/>
        <v>56.17</v>
      </c>
      <c r="L1880" t="str">
        <f t="shared" si="59"/>
        <v>Banca Sabina|19|Risparmio</v>
      </c>
    </row>
    <row r="1881" spans="1:12" x14ac:dyDescent="0.25">
      <c r="A1881" t="s">
        <v>29</v>
      </c>
      <c r="B1881">
        <v>19</v>
      </c>
      <c r="C1881" t="s">
        <v>21</v>
      </c>
      <c r="D1881" s="1">
        <v>45869</v>
      </c>
      <c r="E1881">
        <v>2725.3</v>
      </c>
      <c r="F1881">
        <v>160.88</v>
      </c>
      <c r="G1881">
        <v>95.89</v>
      </c>
      <c r="H1881">
        <v>274</v>
      </c>
      <c r="I1881" t="s">
        <v>25</v>
      </c>
      <c r="J1881">
        <v>2025</v>
      </c>
      <c r="K1881">
        <f t="shared" si="58"/>
        <v>64.989999999999995</v>
      </c>
      <c r="L1881" t="str">
        <f t="shared" si="59"/>
        <v>Banca Sabina|19|Assicurazioni</v>
      </c>
    </row>
    <row r="1882" spans="1:12" x14ac:dyDescent="0.25">
      <c r="A1882" t="s">
        <v>29</v>
      </c>
      <c r="B1882">
        <v>20</v>
      </c>
      <c r="C1882" t="s">
        <v>13</v>
      </c>
      <c r="D1882" s="1">
        <v>45900</v>
      </c>
      <c r="E1882">
        <v>774.8</v>
      </c>
      <c r="F1882">
        <v>35.270000000000003</v>
      </c>
      <c r="G1882">
        <v>21.79</v>
      </c>
      <c r="H1882">
        <v>79</v>
      </c>
      <c r="I1882" t="s">
        <v>25</v>
      </c>
      <c r="J1882">
        <v>2025</v>
      </c>
      <c r="K1882">
        <f t="shared" si="58"/>
        <v>13.480000000000004</v>
      </c>
      <c r="L1882" t="str">
        <f t="shared" si="59"/>
        <v>Banca Sabina|20|Mutui</v>
      </c>
    </row>
    <row r="1883" spans="1:12" x14ac:dyDescent="0.25">
      <c r="A1883" t="s">
        <v>29</v>
      </c>
      <c r="B1883">
        <v>20</v>
      </c>
      <c r="C1883" t="s">
        <v>15</v>
      </c>
      <c r="D1883" s="1">
        <v>45900</v>
      </c>
      <c r="E1883">
        <v>1025.3</v>
      </c>
      <c r="F1883">
        <v>48.89</v>
      </c>
      <c r="G1883">
        <v>30.27</v>
      </c>
      <c r="H1883">
        <v>101</v>
      </c>
      <c r="I1883" t="s">
        <v>25</v>
      </c>
      <c r="J1883">
        <v>2025</v>
      </c>
      <c r="K1883">
        <f t="shared" si="58"/>
        <v>18.62</v>
      </c>
      <c r="L1883" t="str">
        <f t="shared" si="59"/>
        <v>Banca Sabina|20|Prestiti</v>
      </c>
    </row>
    <row r="1884" spans="1:12" x14ac:dyDescent="0.25">
      <c r="A1884" t="s">
        <v>29</v>
      </c>
      <c r="B1884">
        <v>20</v>
      </c>
      <c r="C1884" t="s">
        <v>16</v>
      </c>
      <c r="D1884" s="1">
        <v>45900</v>
      </c>
      <c r="E1884">
        <v>1335.5</v>
      </c>
      <c r="F1884">
        <v>65.849999999999994</v>
      </c>
      <c r="G1884">
        <v>40.78</v>
      </c>
      <c r="H1884">
        <v>131</v>
      </c>
      <c r="I1884" t="s">
        <v>25</v>
      </c>
      <c r="J1884">
        <v>2025</v>
      </c>
      <c r="K1884">
        <f t="shared" si="58"/>
        <v>25.069999999999993</v>
      </c>
      <c r="L1884" t="str">
        <f t="shared" si="59"/>
        <v>Banca Sabina|20|Conti</v>
      </c>
    </row>
    <row r="1885" spans="1:12" x14ac:dyDescent="0.25">
      <c r="A1885" t="s">
        <v>29</v>
      </c>
      <c r="B1885">
        <v>20</v>
      </c>
      <c r="C1885" t="s">
        <v>17</v>
      </c>
      <c r="D1885" s="1">
        <v>45900</v>
      </c>
      <c r="E1885">
        <v>1574.1</v>
      </c>
      <c r="F1885">
        <v>80.78</v>
      </c>
      <c r="G1885">
        <v>48.92</v>
      </c>
      <c r="H1885">
        <v>166</v>
      </c>
      <c r="I1885" t="s">
        <v>25</v>
      </c>
      <c r="J1885">
        <v>2025</v>
      </c>
      <c r="K1885">
        <f t="shared" si="58"/>
        <v>31.86</v>
      </c>
      <c r="L1885" t="str">
        <f t="shared" si="59"/>
        <v>Banca Sabina|20|Carte</v>
      </c>
    </row>
    <row r="1886" spans="1:12" x14ac:dyDescent="0.25">
      <c r="A1886" t="s">
        <v>29</v>
      </c>
      <c r="B1886">
        <v>20</v>
      </c>
      <c r="C1886" t="s">
        <v>18</v>
      </c>
      <c r="D1886" s="1">
        <v>45900</v>
      </c>
      <c r="E1886">
        <v>1911.5</v>
      </c>
      <c r="F1886">
        <v>101.68</v>
      </c>
      <c r="G1886">
        <v>61.23</v>
      </c>
      <c r="H1886">
        <v>168</v>
      </c>
      <c r="I1886" t="s">
        <v>25</v>
      </c>
      <c r="J1886">
        <v>2025</v>
      </c>
      <c r="K1886">
        <f t="shared" si="58"/>
        <v>40.45000000000001</v>
      </c>
      <c r="L1886" t="str">
        <f t="shared" si="59"/>
        <v>Banca Sabina|20|Leasing</v>
      </c>
    </row>
    <row r="1887" spans="1:12" x14ac:dyDescent="0.25">
      <c r="A1887" t="s">
        <v>29</v>
      </c>
      <c r="B1887">
        <v>20</v>
      </c>
      <c r="C1887" t="s">
        <v>19</v>
      </c>
      <c r="D1887" s="1">
        <v>45900</v>
      </c>
      <c r="E1887">
        <v>2140.4</v>
      </c>
      <c r="F1887">
        <v>118.04</v>
      </c>
      <c r="G1887">
        <v>70.91</v>
      </c>
      <c r="H1887">
        <v>202</v>
      </c>
      <c r="I1887" t="s">
        <v>25</v>
      </c>
      <c r="J1887">
        <v>2025</v>
      </c>
      <c r="K1887">
        <f t="shared" si="58"/>
        <v>47.13000000000001</v>
      </c>
      <c r="L1887" t="str">
        <f t="shared" si="59"/>
        <v>Banca Sabina|20|Factoring</v>
      </c>
    </row>
    <row r="1888" spans="1:12" x14ac:dyDescent="0.25">
      <c r="A1888" t="s">
        <v>29</v>
      </c>
      <c r="B1888">
        <v>20</v>
      </c>
      <c r="C1888" t="s">
        <v>20</v>
      </c>
      <c r="D1888" s="1">
        <v>45900</v>
      </c>
      <c r="E1888">
        <v>2426.5</v>
      </c>
      <c r="F1888">
        <v>138.33000000000001</v>
      </c>
      <c r="G1888">
        <v>82.93</v>
      </c>
      <c r="H1888">
        <v>241</v>
      </c>
      <c r="I1888" t="s">
        <v>25</v>
      </c>
      <c r="J1888">
        <v>2025</v>
      </c>
      <c r="K1888">
        <f t="shared" si="58"/>
        <v>55.400000000000006</v>
      </c>
      <c r="L1888" t="str">
        <f t="shared" si="59"/>
        <v>Banca Sabina|20|Risparmio</v>
      </c>
    </row>
    <row r="1889" spans="1:12" x14ac:dyDescent="0.25">
      <c r="A1889" t="s">
        <v>29</v>
      </c>
      <c r="B1889">
        <v>20</v>
      </c>
      <c r="C1889" t="s">
        <v>21</v>
      </c>
      <c r="D1889" s="1">
        <v>45900</v>
      </c>
      <c r="E1889">
        <v>2700.6</v>
      </c>
      <c r="F1889">
        <v>160.30000000000001</v>
      </c>
      <c r="G1889">
        <v>94.75</v>
      </c>
      <c r="H1889">
        <v>239</v>
      </c>
      <c r="I1889" t="s">
        <v>25</v>
      </c>
      <c r="J1889">
        <v>2025</v>
      </c>
      <c r="K1889">
        <f t="shared" si="58"/>
        <v>65.550000000000011</v>
      </c>
      <c r="L1889" t="str">
        <f t="shared" si="59"/>
        <v>Banca Sabina|20|Assicurazioni</v>
      </c>
    </row>
    <row r="1890" spans="1:12" x14ac:dyDescent="0.25">
      <c r="A1890" t="s">
        <v>29</v>
      </c>
      <c r="B1890">
        <v>21</v>
      </c>
      <c r="C1890" t="s">
        <v>13</v>
      </c>
      <c r="D1890" s="1">
        <v>45930</v>
      </c>
      <c r="E1890">
        <v>738.9</v>
      </c>
      <c r="F1890">
        <v>33.42</v>
      </c>
      <c r="G1890">
        <v>21.17</v>
      </c>
      <c r="H1890">
        <v>75</v>
      </c>
      <c r="I1890" t="s">
        <v>25</v>
      </c>
      <c r="J1890">
        <v>2025</v>
      </c>
      <c r="K1890">
        <f t="shared" si="58"/>
        <v>12.25</v>
      </c>
      <c r="L1890" t="str">
        <f t="shared" si="59"/>
        <v>Banca Sabina|21|Mutui</v>
      </c>
    </row>
    <row r="1891" spans="1:12" x14ac:dyDescent="0.25">
      <c r="A1891" t="s">
        <v>29</v>
      </c>
      <c r="B1891">
        <v>21</v>
      </c>
      <c r="C1891" t="s">
        <v>15</v>
      </c>
      <c r="D1891" s="1">
        <v>45930</v>
      </c>
      <c r="E1891">
        <v>1064.8</v>
      </c>
      <c r="F1891">
        <v>50.15</v>
      </c>
      <c r="G1891">
        <v>31.69</v>
      </c>
      <c r="H1891">
        <v>93</v>
      </c>
      <c r="I1891" t="s">
        <v>25</v>
      </c>
      <c r="J1891">
        <v>2025</v>
      </c>
      <c r="K1891">
        <f t="shared" si="58"/>
        <v>18.459999999999997</v>
      </c>
      <c r="L1891" t="str">
        <f t="shared" si="59"/>
        <v>Banca Sabina|21|Prestiti</v>
      </c>
    </row>
    <row r="1892" spans="1:12" x14ac:dyDescent="0.25">
      <c r="A1892" t="s">
        <v>29</v>
      </c>
      <c r="B1892">
        <v>21</v>
      </c>
      <c r="C1892" t="s">
        <v>16</v>
      </c>
      <c r="D1892" s="1">
        <v>45930</v>
      </c>
      <c r="E1892">
        <v>1353.6</v>
      </c>
      <c r="F1892">
        <v>67.290000000000006</v>
      </c>
      <c r="G1892">
        <v>41.39</v>
      </c>
      <c r="H1892">
        <v>153</v>
      </c>
      <c r="I1892" t="s">
        <v>25</v>
      </c>
      <c r="J1892">
        <v>2025</v>
      </c>
      <c r="K1892">
        <f t="shared" si="58"/>
        <v>25.900000000000006</v>
      </c>
      <c r="L1892" t="str">
        <f t="shared" si="59"/>
        <v>Banca Sabina|21|Conti</v>
      </c>
    </row>
    <row r="1893" spans="1:12" x14ac:dyDescent="0.25">
      <c r="A1893" t="s">
        <v>29</v>
      </c>
      <c r="B1893">
        <v>21</v>
      </c>
      <c r="C1893" t="s">
        <v>17</v>
      </c>
      <c r="D1893" s="1">
        <v>45930</v>
      </c>
      <c r="E1893">
        <v>1635.1</v>
      </c>
      <c r="F1893">
        <v>83.73</v>
      </c>
      <c r="G1893">
        <v>51.61</v>
      </c>
      <c r="H1893">
        <v>148</v>
      </c>
      <c r="I1893" t="s">
        <v>25</v>
      </c>
      <c r="J1893">
        <v>2025</v>
      </c>
      <c r="K1893">
        <f t="shared" si="58"/>
        <v>32.120000000000005</v>
      </c>
      <c r="L1893" t="str">
        <f t="shared" si="59"/>
        <v>Banca Sabina|21|Carte</v>
      </c>
    </row>
    <row r="1894" spans="1:12" x14ac:dyDescent="0.25">
      <c r="A1894" t="s">
        <v>29</v>
      </c>
      <c r="B1894">
        <v>21</v>
      </c>
      <c r="C1894" t="s">
        <v>18</v>
      </c>
      <c r="D1894" s="1">
        <v>45930</v>
      </c>
      <c r="E1894">
        <v>1906.6</v>
      </c>
      <c r="F1894">
        <v>101.48</v>
      </c>
      <c r="G1894">
        <v>61.16</v>
      </c>
      <c r="H1894">
        <v>167</v>
      </c>
      <c r="I1894" t="s">
        <v>25</v>
      </c>
      <c r="J1894">
        <v>2025</v>
      </c>
      <c r="K1894">
        <f t="shared" si="58"/>
        <v>40.320000000000007</v>
      </c>
      <c r="L1894" t="str">
        <f t="shared" si="59"/>
        <v>Banca Sabina|21|Leasing</v>
      </c>
    </row>
    <row r="1895" spans="1:12" x14ac:dyDescent="0.25">
      <c r="A1895" t="s">
        <v>29</v>
      </c>
      <c r="B1895">
        <v>21</v>
      </c>
      <c r="C1895" t="s">
        <v>19</v>
      </c>
      <c r="D1895" s="1">
        <v>45930</v>
      </c>
      <c r="E1895">
        <v>2165.1</v>
      </c>
      <c r="F1895">
        <v>120.06</v>
      </c>
      <c r="G1895">
        <v>72.39</v>
      </c>
      <c r="H1895">
        <v>203</v>
      </c>
      <c r="I1895" t="s">
        <v>25</v>
      </c>
      <c r="J1895">
        <v>2025</v>
      </c>
      <c r="K1895">
        <f t="shared" si="58"/>
        <v>47.67</v>
      </c>
      <c r="L1895" t="str">
        <f t="shared" si="59"/>
        <v>Banca Sabina|21|Factoring</v>
      </c>
    </row>
    <row r="1896" spans="1:12" x14ac:dyDescent="0.25">
      <c r="A1896" t="s">
        <v>29</v>
      </c>
      <c r="B1896">
        <v>21</v>
      </c>
      <c r="C1896" t="s">
        <v>20</v>
      </c>
      <c r="D1896" s="1">
        <v>45930</v>
      </c>
      <c r="E1896">
        <v>2475.6999999999998</v>
      </c>
      <c r="F1896">
        <v>141.38999999999999</v>
      </c>
      <c r="G1896">
        <v>84.18</v>
      </c>
      <c r="H1896">
        <v>231</v>
      </c>
      <c r="I1896" t="s">
        <v>25</v>
      </c>
      <c r="J1896">
        <v>2025</v>
      </c>
      <c r="K1896">
        <f t="shared" si="58"/>
        <v>57.20999999999998</v>
      </c>
      <c r="L1896" t="str">
        <f t="shared" si="59"/>
        <v>Banca Sabina|21|Risparmio</v>
      </c>
    </row>
    <row r="1897" spans="1:12" x14ac:dyDescent="0.25">
      <c r="A1897" t="s">
        <v>29</v>
      </c>
      <c r="B1897">
        <v>21</v>
      </c>
      <c r="C1897" t="s">
        <v>21</v>
      </c>
      <c r="D1897" s="1">
        <v>45930</v>
      </c>
      <c r="E1897">
        <v>2768.8</v>
      </c>
      <c r="F1897">
        <v>164.25</v>
      </c>
      <c r="G1897">
        <v>97.7</v>
      </c>
      <c r="H1897">
        <v>247</v>
      </c>
      <c r="I1897" t="s">
        <v>25</v>
      </c>
      <c r="J1897">
        <v>2025</v>
      </c>
      <c r="K1897">
        <f t="shared" si="58"/>
        <v>66.55</v>
      </c>
      <c r="L1897" t="str">
        <f t="shared" si="59"/>
        <v>Banca Sabina|21|Assicurazioni</v>
      </c>
    </row>
    <row r="1898" spans="1:12" x14ac:dyDescent="0.25">
      <c r="A1898" t="s">
        <v>29</v>
      </c>
      <c r="B1898">
        <v>22</v>
      </c>
      <c r="C1898" t="s">
        <v>13</v>
      </c>
      <c r="D1898" s="1">
        <v>45961</v>
      </c>
      <c r="E1898">
        <v>747.5</v>
      </c>
      <c r="F1898">
        <v>34.15</v>
      </c>
      <c r="G1898">
        <v>21.08</v>
      </c>
      <c r="H1898">
        <v>82</v>
      </c>
      <c r="I1898" t="s">
        <v>25</v>
      </c>
      <c r="J1898">
        <v>2025</v>
      </c>
      <c r="K1898">
        <f t="shared" si="58"/>
        <v>13.07</v>
      </c>
      <c r="L1898" t="str">
        <f t="shared" si="59"/>
        <v>Banca Sabina|22|Mutui</v>
      </c>
    </row>
    <row r="1899" spans="1:12" x14ac:dyDescent="0.25">
      <c r="A1899" t="s">
        <v>29</v>
      </c>
      <c r="B1899">
        <v>22</v>
      </c>
      <c r="C1899" t="s">
        <v>15</v>
      </c>
      <c r="D1899" s="1">
        <v>45961</v>
      </c>
      <c r="E1899">
        <v>1064.7</v>
      </c>
      <c r="F1899">
        <v>50.28</v>
      </c>
      <c r="G1899">
        <v>31.31</v>
      </c>
      <c r="H1899">
        <v>123</v>
      </c>
      <c r="I1899" t="s">
        <v>25</v>
      </c>
      <c r="J1899">
        <v>2025</v>
      </c>
      <c r="K1899">
        <f t="shared" si="58"/>
        <v>18.970000000000002</v>
      </c>
      <c r="L1899" t="str">
        <f t="shared" si="59"/>
        <v>Banca Sabina|22|Prestiti</v>
      </c>
    </row>
    <row r="1900" spans="1:12" x14ac:dyDescent="0.25">
      <c r="A1900" t="s">
        <v>29</v>
      </c>
      <c r="B1900">
        <v>22</v>
      </c>
      <c r="C1900" t="s">
        <v>16</v>
      </c>
      <c r="D1900" s="1">
        <v>45961</v>
      </c>
      <c r="E1900">
        <v>1320.3</v>
      </c>
      <c r="F1900">
        <v>64.739999999999995</v>
      </c>
      <c r="G1900">
        <v>40.57</v>
      </c>
      <c r="H1900">
        <v>130</v>
      </c>
      <c r="I1900" t="s">
        <v>25</v>
      </c>
      <c r="J1900">
        <v>2025</v>
      </c>
      <c r="K1900">
        <f t="shared" si="58"/>
        <v>24.169999999999995</v>
      </c>
      <c r="L1900" t="str">
        <f t="shared" si="59"/>
        <v>Banca Sabina|22|Conti</v>
      </c>
    </row>
    <row r="1901" spans="1:12" x14ac:dyDescent="0.25">
      <c r="A1901" t="s">
        <v>29</v>
      </c>
      <c r="B1901">
        <v>22</v>
      </c>
      <c r="C1901" t="s">
        <v>17</v>
      </c>
      <c r="D1901" s="1">
        <v>45961</v>
      </c>
      <c r="E1901">
        <v>1597.1</v>
      </c>
      <c r="F1901">
        <v>81.47</v>
      </c>
      <c r="G1901">
        <v>49.86</v>
      </c>
      <c r="H1901">
        <v>177</v>
      </c>
      <c r="I1901" t="s">
        <v>25</v>
      </c>
      <c r="J1901">
        <v>2025</v>
      </c>
      <c r="K1901">
        <f t="shared" si="58"/>
        <v>31.61</v>
      </c>
      <c r="L1901" t="str">
        <f t="shared" si="59"/>
        <v>Banca Sabina|22|Carte</v>
      </c>
    </row>
    <row r="1902" spans="1:12" x14ac:dyDescent="0.25">
      <c r="A1902" t="s">
        <v>29</v>
      </c>
      <c r="B1902">
        <v>22</v>
      </c>
      <c r="C1902" t="s">
        <v>18</v>
      </c>
      <c r="D1902" s="1">
        <v>45961</v>
      </c>
      <c r="E1902">
        <v>1904.4</v>
      </c>
      <c r="F1902">
        <v>101.1</v>
      </c>
      <c r="G1902">
        <v>61.35</v>
      </c>
      <c r="H1902">
        <v>178</v>
      </c>
      <c r="I1902" t="s">
        <v>25</v>
      </c>
      <c r="J1902">
        <v>2025</v>
      </c>
      <c r="K1902">
        <f t="shared" si="58"/>
        <v>39.749999999999993</v>
      </c>
      <c r="L1902" t="str">
        <f t="shared" si="59"/>
        <v>Banca Sabina|22|Leasing</v>
      </c>
    </row>
    <row r="1903" spans="1:12" x14ac:dyDescent="0.25">
      <c r="A1903" t="s">
        <v>29</v>
      </c>
      <c r="B1903">
        <v>22</v>
      </c>
      <c r="C1903" t="s">
        <v>19</v>
      </c>
      <c r="D1903" s="1">
        <v>45961</v>
      </c>
      <c r="E1903">
        <v>2171.6999999999998</v>
      </c>
      <c r="F1903">
        <v>120.4</v>
      </c>
      <c r="G1903">
        <v>71.930000000000007</v>
      </c>
      <c r="H1903">
        <v>192</v>
      </c>
      <c r="I1903" t="s">
        <v>25</v>
      </c>
      <c r="J1903">
        <v>2025</v>
      </c>
      <c r="K1903">
        <f t="shared" si="58"/>
        <v>48.47</v>
      </c>
      <c r="L1903" t="str">
        <f t="shared" si="59"/>
        <v>Banca Sabina|22|Factoring</v>
      </c>
    </row>
    <row r="1904" spans="1:12" x14ac:dyDescent="0.25">
      <c r="A1904" t="s">
        <v>29</v>
      </c>
      <c r="B1904">
        <v>22</v>
      </c>
      <c r="C1904" t="s">
        <v>20</v>
      </c>
      <c r="D1904" s="1">
        <v>45961</v>
      </c>
      <c r="E1904">
        <v>2456.6</v>
      </c>
      <c r="F1904">
        <v>140.58000000000001</v>
      </c>
      <c r="G1904">
        <v>84.14</v>
      </c>
      <c r="H1904">
        <v>211</v>
      </c>
      <c r="I1904" t="s">
        <v>25</v>
      </c>
      <c r="J1904">
        <v>2025</v>
      </c>
      <c r="K1904">
        <f t="shared" si="58"/>
        <v>56.440000000000012</v>
      </c>
      <c r="L1904" t="str">
        <f t="shared" si="59"/>
        <v>Banca Sabina|22|Risparmio</v>
      </c>
    </row>
    <row r="1905" spans="1:12" x14ac:dyDescent="0.25">
      <c r="A1905" t="s">
        <v>29</v>
      </c>
      <c r="B1905">
        <v>22</v>
      </c>
      <c r="C1905" t="s">
        <v>21</v>
      </c>
      <c r="D1905" s="1">
        <v>45961</v>
      </c>
      <c r="E1905">
        <v>2746.4</v>
      </c>
      <c r="F1905">
        <v>162.31</v>
      </c>
      <c r="G1905">
        <v>96.85</v>
      </c>
      <c r="H1905">
        <v>249</v>
      </c>
      <c r="I1905" t="s">
        <v>25</v>
      </c>
      <c r="J1905">
        <v>2025</v>
      </c>
      <c r="K1905">
        <f t="shared" si="58"/>
        <v>65.460000000000008</v>
      </c>
      <c r="L1905" t="str">
        <f t="shared" si="59"/>
        <v>Banca Sabina|22|Assicurazioni</v>
      </c>
    </row>
    <row r="1906" spans="1:12" x14ac:dyDescent="0.25">
      <c r="A1906" t="s">
        <v>29</v>
      </c>
      <c r="B1906">
        <v>23</v>
      </c>
      <c r="C1906" t="s">
        <v>13</v>
      </c>
      <c r="D1906" s="1">
        <v>45991</v>
      </c>
      <c r="E1906">
        <v>780.4</v>
      </c>
      <c r="F1906">
        <v>35.67</v>
      </c>
      <c r="G1906">
        <v>21.91</v>
      </c>
      <c r="H1906">
        <v>70</v>
      </c>
      <c r="I1906" t="s">
        <v>25</v>
      </c>
      <c r="J1906">
        <v>2025</v>
      </c>
      <c r="K1906">
        <f t="shared" si="58"/>
        <v>13.760000000000002</v>
      </c>
      <c r="L1906" t="str">
        <f t="shared" si="59"/>
        <v>Banca Sabina|23|Mutui</v>
      </c>
    </row>
    <row r="1907" spans="1:12" x14ac:dyDescent="0.25">
      <c r="A1907" t="s">
        <v>29</v>
      </c>
      <c r="B1907">
        <v>23</v>
      </c>
      <c r="C1907" t="s">
        <v>15</v>
      </c>
      <c r="D1907" s="1">
        <v>45991</v>
      </c>
      <c r="E1907">
        <v>1067</v>
      </c>
      <c r="F1907">
        <v>50.46</v>
      </c>
      <c r="G1907">
        <v>31.54</v>
      </c>
      <c r="H1907">
        <v>106</v>
      </c>
      <c r="I1907" t="s">
        <v>25</v>
      </c>
      <c r="J1907">
        <v>2025</v>
      </c>
      <c r="K1907">
        <f t="shared" si="58"/>
        <v>18.920000000000002</v>
      </c>
      <c r="L1907" t="str">
        <f t="shared" si="59"/>
        <v>Banca Sabina|23|Prestiti</v>
      </c>
    </row>
    <row r="1908" spans="1:12" x14ac:dyDescent="0.25">
      <c r="A1908" t="s">
        <v>29</v>
      </c>
      <c r="B1908">
        <v>23</v>
      </c>
      <c r="C1908" t="s">
        <v>16</v>
      </c>
      <c r="D1908" s="1">
        <v>45991</v>
      </c>
      <c r="E1908">
        <v>1324.1</v>
      </c>
      <c r="F1908">
        <v>65.41</v>
      </c>
      <c r="G1908">
        <v>40.520000000000003</v>
      </c>
      <c r="H1908">
        <v>148</v>
      </c>
      <c r="I1908" t="s">
        <v>25</v>
      </c>
      <c r="J1908">
        <v>2025</v>
      </c>
      <c r="K1908">
        <f t="shared" si="58"/>
        <v>24.889999999999993</v>
      </c>
      <c r="L1908" t="str">
        <f t="shared" si="59"/>
        <v>Banca Sabina|23|Conti</v>
      </c>
    </row>
    <row r="1909" spans="1:12" x14ac:dyDescent="0.25">
      <c r="A1909" t="s">
        <v>29</v>
      </c>
      <c r="B1909">
        <v>23</v>
      </c>
      <c r="C1909" t="s">
        <v>17</v>
      </c>
      <c r="D1909" s="1">
        <v>45991</v>
      </c>
      <c r="E1909">
        <v>1623.7</v>
      </c>
      <c r="F1909">
        <v>82.91</v>
      </c>
      <c r="G1909">
        <v>51.07</v>
      </c>
      <c r="H1909">
        <v>149</v>
      </c>
      <c r="I1909" t="s">
        <v>25</v>
      </c>
      <c r="J1909">
        <v>2025</v>
      </c>
      <c r="K1909">
        <f t="shared" si="58"/>
        <v>31.839999999999996</v>
      </c>
      <c r="L1909" t="str">
        <f t="shared" si="59"/>
        <v>Banca Sabina|23|Carte</v>
      </c>
    </row>
    <row r="1910" spans="1:12" x14ac:dyDescent="0.25">
      <c r="A1910" t="s">
        <v>29</v>
      </c>
      <c r="B1910">
        <v>23</v>
      </c>
      <c r="C1910" t="s">
        <v>18</v>
      </c>
      <c r="D1910" s="1">
        <v>45991</v>
      </c>
      <c r="E1910">
        <v>1927.1</v>
      </c>
      <c r="F1910">
        <v>103.11</v>
      </c>
      <c r="G1910">
        <v>61.97</v>
      </c>
      <c r="H1910">
        <v>192</v>
      </c>
      <c r="I1910" t="s">
        <v>25</v>
      </c>
      <c r="J1910">
        <v>2025</v>
      </c>
      <c r="K1910">
        <f t="shared" si="58"/>
        <v>41.14</v>
      </c>
      <c r="L1910" t="str">
        <f t="shared" si="59"/>
        <v>Banca Sabina|23|Leasing</v>
      </c>
    </row>
    <row r="1911" spans="1:12" x14ac:dyDescent="0.25">
      <c r="A1911" t="s">
        <v>29</v>
      </c>
      <c r="B1911">
        <v>23</v>
      </c>
      <c r="C1911" t="s">
        <v>19</v>
      </c>
      <c r="D1911" s="1">
        <v>45991</v>
      </c>
      <c r="E1911">
        <v>2200</v>
      </c>
      <c r="F1911">
        <v>121.43</v>
      </c>
      <c r="G1911">
        <v>73.55</v>
      </c>
      <c r="H1911">
        <v>196</v>
      </c>
      <c r="I1911" t="s">
        <v>25</v>
      </c>
      <c r="J1911">
        <v>2025</v>
      </c>
      <c r="K1911">
        <f t="shared" si="58"/>
        <v>47.88000000000001</v>
      </c>
      <c r="L1911" t="str">
        <f t="shared" si="59"/>
        <v>Banca Sabina|23|Factoring</v>
      </c>
    </row>
    <row r="1912" spans="1:12" x14ac:dyDescent="0.25">
      <c r="A1912" t="s">
        <v>29</v>
      </c>
      <c r="B1912">
        <v>23</v>
      </c>
      <c r="C1912" t="s">
        <v>20</v>
      </c>
      <c r="D1912" s="1">
        <v>45991</v>
      </c>
      <c r="E1912">
        <v>2495</v>
      </c>
      <c r="F1912">
        <v>142.51</v>
      </c>
      <c r="G1912">
        <v>85.81</v>
      </c>
      <c r="H1912">
        <v>222</v>
      </c>
      <c r="I1912" t="s">
        <v>25</v>
      </c>
      <c r="J1912">
        <v>2025</v>
      </c>
      <c r="K1912">
        <f t="shared" si="58"/>
        <v>56.699999999999989</v>
      </c>
      <c r="L1912" t="str">
        <f t="shared" si="59"/>
        <v>Banca Sabina|23|Risparmio</v>
      </c>
    </row>
    <row r="1913" spans="1:12" x14ac:dyDescent="0.25">
      <c r="A1913" t="s">
        <v>29</v>
      </c>
      <c r="B1913">
        <v>23</v>
      </c>
      <c r="C1913" t="s">
        <v>21</v>
      </c>
      <c r="D1913" s="1">
        <v>45991</v>
      </c>
      <c r="E1913">
        <v>2769</v>
      </c>
      <c r="F1913">
        <v>163.47999999999999</v>
      </c>
      <c r="G1913">
        <v>97.18</v>
      </c>
      <c r="H1913">
        <v>264</v>
      </c>
      <c r="I1913" t="s">
        <v>25</v>
      </c>
      <c r="J1913">
        <v>2025</v>
      </c>
      <c r="K1913">
        <f t="shared" si="58"/>
        <v>66.299999999999983</v>
      </c>
      <c r="L1913" t="str">
        <f t="shared" si="59"/>
        <v>Banca Sabina|23|Assicurazioni</v>
      </c>
    </row>
    <row r="1914" spans="1:12" x14ac:dyDescent="0.25">
      <c r="A1914" t="s">
        <v>29</v>
      </c>
      <c r="B1914">
        <v>24</v>
      </c>
      <c r="C1914" t="s">
        <v>13</v>
      </c>
      <c r="D1914" s="1">
        <v>46022</v>
      </c>
      <c r="E1914">
        <v>766.2</v>
      </c>
      <c r="F1914">
        <v>34.840000000000003</v>
      </c>
      <c r="G1914">
        <v>22.28</v>
      </c>
      <c r="H1914">
        <v>104</v>
      </c>
      <c r="I1914" t="s">
        <v>25</v>
      </c>
      <c r="J1914">
        <v>2025</v>
      </c>
      <c r="K1914">
        <f t="shared" si="58"/>
        <v>12.560000000000002</v>
      </c>
      <c r="L1914" t="str">
        <f t="shared" si="59"/>
        <v>Banca Sabina|24|Mutui</v>
      </c>
    </row>
    <row r="1915" spans="1:12" x14ac:dyDescent="0.25">
      <c r="A1915" t="s">
        <v>29</v>
      </c>
      <c r="B1915">
        <v>24</v>
      </c>
      <c r="C1915" t="s">
        <v>15</v>
      </c>
      <c r="D1915" s="1">
        <v>46022</v>
      </c>
      <c r="E1915">
        <v>1052.7</v>
      </c>
      <c r="F1915">
        <v>50.24</v>
      </c>
      <c r="G1915">
        <v>31.28</v>
      </c>
      <c r="H1915">
        <v>115</v>
      </c>
      <c r="I1915" t="s">
        <v>25</v>
      </c>
      <c r="J1915">
        <v>2025</v>
      </c>
      <c r="K1915">
        <f t="shared" si="58"/>
        <v>18.96</v>
      </c>
      <c r="L1915" t="str">
        <f t="shared" si="59"/>
        <v>Banca Sabina|24|Prestiti</v>
      </c>
    </row>
    <row r="1916" spans="1:12" x14ac:dyDescent="0.25">
      <c r="A1916" t="s">
        <v>29</v>
      </c>
      <c r="B1916">
        <v>24</v>
      </c>
      <c r="C1916" t="s">
        <v>16</v>
      </c>
      <c r="D1916" s="1">
        <v>46022</v>
      </c>
      <c r="E1916">
        <v>1371.9</v>
      </c>
      <c r="F1916">
        <v>67.760000000000005</v>
      </c>
      <c r="G1916">
        <v>41.6</v>
      </c>
      <c r="H1916">
        <v>144</v>
      </c>
      <c r="I1916" t="s">
        <v>25</v>
      </c>
      <c r="J1916">
        <v>2025</v>
      </c>
      <c r="K1916">
        <f t="shared" si="58"/>
        <v>26.160000000000004</v>
      </c>
      <c r="L1916" t="str">
        <f t="shared" si="59"/>
        <v>Banca Sabina|24|Conti</v>
      </c>
    </row>
    <row r="1917" spans="1:12" x14ac:dyDescent="0.25">
      <c r="A1917" t="s">
        <v>29</v>
      </c>
      <c r="B1917">
        <v>24</v>
      </c>
      <c r="C1917" t="s">
        <v>17</v>
      </c>
      <c r="D1917" s="1">
        <v>46022</v>
      </c>
      <c r="E1917">
        <v>1619.6</v>
      </c>
      <c r="F1917">
        <v>82.85</v>
      </c>
      <c r="G1917">
        <v>50.5</v>
      </c>
      <c r="H1917">
        <v>169</v>
      </c>
      <c r="I1917" t="s">
        <v>25</v>
      </c>
      <c r="J1917">
        <v>2025</v>
      </c>
      <c r="K1917">
        <f t="shared" si="58"/>
        <v>32.349999999999994</v>
      </c>
      <c r="L1917" t="str">
        <f t="shared" si="59"/>
        <v>Banca Sabina|24|Carte</v>
      </c>
    </row>
    <row r="1918" spans="1:12" x14ac:dyDescent="0.25">
      <c r="A1918" t="s">
        <v>29</v>
      </c>
      <c r="B1918">
        <v>24</v>
      </c>
      <c r="C1918" t="s">
        <v>18</v>
      </c>
      <c r="D1918" s="1">
        <v>46022</v>
      </c>
      <c r="E1918">
        <v>1915.8</v>
      </c>
      <c r="F1918">
        <v>101.9</v>
      </c>
      <c r="G1918">
        <v>61.67</v>
      </c>
      <c r="H1918">
        <v>200</v>
      </c>
      <c r="I1918" t="s">
        <v>25</v>
      </c>
      <c r="J1918">
        <v>2025</v>
      </c>
      <c r="K1918">
        <f t="shared" si="58"/>
        <v>40.230000000000004</v>
      </c>
      <c r="L1918" t="str">
        <f t="shared" si="59"/>
        <v>Banca Sabina|24|Leasing</v>
      </c>
    </row>
    <row r="1919" spans="1:12" x14ac:dyDescent="0.25">
      <c r="A1919" t="s">
        <v>29</v>
      </c>
      <c r="B1919">
        <v>24</v>
      </c>
      <c r="C1919" t="s">
        <v>19</v>
      </c>
      <c r="D1919" s="1">
        <v>46022</v>
      </c>
      <c r="E1919">
        <v>2236.9</v>
      </c>
      <c r="F1919">
        <v>123.58</v>
      </c>
      <c r="G1919">
        <v>74.33</v>
      </c>
      <c r="H1919">
        <v>212</v>
      </c>
      <c r="I1919" t="s">
        <v>25</v>
      </c>
      <c r="J1919">
        <v>2025</v>
      </c>
      <c r="K1919">
        <f t="shared" si="58"/>
        <v>49.25</v>
      </c>
      <c r="L1919" t="str">
        <f t="shared" si="59"/>
        <v>Banca Sabina|24|Factoring</v>
      </c>
    </row>
    <row r="1920" spans="1:12" x14ac:dyDescent="0.25">
      <c r="A1920" t="s">
        <v>29</v>
      </c>
      <c r="B1920">
        <v>24</v>
      </c>
      <c r="C1920" t="s">
        <v>20</v>
      </c>
      <c r="D1920" s="1">
        <v>46022</v>
      </c>
      <c r="E1920">
        <v>2484.6999999999998</v>
      </c>
      <c r="F1920">
        <v>142.47</v>
      </c>
      <c r="G1920">
        <v>85.48</v>
      </c>
      <c r="H1920">
        <v>247</v>
      </c>
      <c r="I1920" t="s">
        <v>25</v>
      </c>
      <c r="J1920">
        <v>2025</v>
      </c>
      <c r="K1920">
        <f t="shared" si="58"/>
        <v>56.989999999999995</v>
      </c>
      <c r="L1920" t="str">
        <f t="shared" si="59"/>
        <v>Banca Sabina|24|Risparmio</v>
      </c>
    </row>
    <row r="1921" spans="1:12" x14ac:dyDescent="0.25">
      <c r="A1921" t="s">
        <v>29</v>
      </c>
      <c r="B1921">
        <v>24</v>
      </c>
      <c r="C1921" t="s">
        <v>21</v>
      </c>
      <c r="D1921" s="1">
        <v>46022</v>
      </c>
      <c r="E1921">
        <v>2819.7</v>
      </c>
      <c r="F1921">
        <v>166.51</v>
      </c>
      <c r="G1921">
        <v>99.01</v>
      </c>
      <c r="H1921">
        <v>252</v>
      </c>
      <c r="I1921" t="s">
        <v>25</v>
      </c>
      <c r="J1921">
        <v>2025</v>
      </c>
      <c r="K1921">
        <f t="shared" si="58"/>
        <v>67.499999999999986</v>
      </c>
      <c r="L1921" t="str">
        <f t="shared" si="59"/>
        <v>Banca Sabina|24|Assicurazioni</v>
      </c>
    </row>
    <row r="1922" spans="1:12" x14ac:dyDescent="0.25">
      <c r="A1922" t="s">
        <v>29</v>
      </c>
      <c r="B1922">
        <v>25</v>
      </c>
      <c r="C1922" t="s">
        <v>13</v>
      </c>
      <c r="D1922" s="1">
        <v>46053</v>
      </c>
      <c r="E1922">
        <v>808.3</v>
      </c>
      <c r="F1922">
        <v>37.049999999999997</v>
      </c>
      <c r="G1922">
        <v>22.93</v>
      </c>
      <c r="H1922">
        <v>81</v>
      </c>
      <c r="I1922" t="s">
        <v>25</v>
      </c>
      <c r="J1922">
        <v>2026</v>
      </c>
      <c r="K1922">
        <f t="shared" ref="K1922:K1985" si="60">F1922-G1922</f>
        <v>14.119999999999997</v>
      </c>
      <c r="L1922" t="str">
        <f t="shared" ref="L1922:L1985" si="61">A1922&amp;"|"&amp;B1922&amp;"|"&amp;C1922</f>
        <v>Banca Sabina|25|Mutui</v>
      </c>
    </row>
    <row r="1923" spans="1:12" x14ac:dyDescent="0.25">
      <c r="A1923" t="s">
        <v>29</v>
      </c>
      <c r="B1923">
        <v>25</v>
      </c>
      <c r="C1923" t="s">
        <v>15</v>
      </c>
      <c r="D1923" s="1">
        <v>46053</v>
      </c>
      <c r="E1923">
        <v>1099.4000000000001</v>
      </c>
      <c r="F1923">
        <v>52.53</v>
      </c>
      <c r="G1923">
        <v>32.1</v>
      </c>
      <c r="H1923">
        <v>95</v>
      </c>
      <c r="I1923" t="s">
        <v>25</v>
      </c>
      <c r="J1923">
        <v>2026</v>
      </c>
      <c r="K1923">
        <f t="shared" si="60"/>
        <v>20.43</v>
      </c>
      <c r="L1923" t="str">
        <f t="shared" si="61"/>
        <v>Banca Sabina|25|Prestiti</v>
      </c>
    </row>
    <row r="1924" spans="1:12" x14ac:dyDescent="0.25">
      <c r="A1924" t="s">
        <v>29</v>
      </c>
      <c r="B1924">
        <v>25</v>
      </c>
      <c r="C1924" t="s">
        <v>16</v>
      </c>
      <c r="D1924" s="1">
        <v>46053</v>
      </c>
      <c r="E1924">
        <v>1333.6</v>
      </c>
      <c r="F1924">
        <v>66.16</v>
      </c>
      <c r="G1924">
        <v>40.479999999999997</v>
      </c>
      <c r="H1924">
        <v>134</v>
      </c>
      <c r="I1924" t="s">
        <v>25</v>
      </c>
      <c r="J1924">
        <v>2026</v>
      </c>
      <c r="K1924">
        <f t="shared" si="60"/>
        <v>25.68</v>
      </c>
      <c r="L1924" t="str">
        <f t="shared" si="61"/>
        <v>Banca Sabina|25|Conti</v>
      </c>
    </row>
    <row r="1925" spans="1:12" x14ac:dyDescent="0.25">
      <c r="A1925" t="s">
        <v>29</v>
      </c>
      <c r="B1925">
        <v>25</v>
      </c>
      <c r="C1925" t="s">
        <v>17</v>
      </c>
      <c r="D1925" s="1">
        <v>46053</v>
      </c>
      <c r="E1925">
        <v>1625.9</v>
      </c>
      <c r="F1925">
        <v>83.91</v>
      </c>
      <c r="G1925">
        <v>51.27</v>
      </c>
      <c r="H1925">
        <v>147</v>
      </c>
      <c r="I1925" t="s">
        <v>25</v>
      </c>
      <c r="J1925">
        <v>2026</v>
      </c>
      <c r="K1925">
        <f t="shared" si="60"/>
        <v>32.639999999999993</v>
      </c>
      <c r="L1925" t="str">
        <f t="shared" si="61"/>
        <v>Banca Sabina|25|Carte</v>
      </c>
    </row>
    <row r="1926" spans="1:12" x14ac:dyDescent="0.25">
      <c r="A1926" t="s">
        <v>29</v>
      </c>
      <c r="B1926">
        <v>25</v>
      </c>
      <c r="C1926" t="s">
        <v>18</v>
      </c>
      <c r="D1926" s="1">
        <v>46053</v>
      </c>
      <c r="E1926">
        <v>1967.2</v>
      </c>
      <c r="F1926">
        <v>104.51</v>
      </c>
      <c r="G1926">
        <v>63.08</v>
      </c>
      <c r="H1926">
        <v>187</v>
      </c>
      <c r="I1926" t="s">
        <v>25</v>
      </c>
      <c r="J1926">
        <v>2026</v>
      </c>
      <c r="K1926">
        <f t="shared" si="60"/>
        <v>41.430000000000007</v>
      </c>
      <c r="L1926" t="str">
        <f t="shared" si="61"/>
        <v>Banca Sabina|25|Leasing</v>
      </c>
    </row>
    <row r="1927" spans="1:12" x14ac:dyDescent="0.25">
      <c r="A1927" t="s">
        <v>29</v>
      </c>
      <c r="B1927">
        <v>25</v>
      </c>
      <c r="C1927" t="s">
        <v>19</v>
      </c>
      <c r="D1927" s="1">
        <v>46053</v>
      </c>
      <c r="E1927">
        <v>2242</v>
      </c>
      <c r="F1927">
        <v>123.85</v>
      </c>
      <c r="G1927">
        <v>74.510000000000005</v>
      </c>
      <c r="H1927">
        <v>226</v>
      </c>
      <c r="I1927" t="s">
        <v>25</v>
      </c>
      <c r="J1927">
        <v>2026</v>
      </c>
      <c r="K1927">
        <f t="shared" si="60"/>
        <v>49.339999999999989</v>
      </c>
      <c r="L1927" t="str">
        <f t="shared" si="61"/>
        <v>Banca Sabina|25|Factoring</v>
      </c>
    </row>
    <row r="1928" spans="1:12" x14ac:dyDescent="0.25">
      <c r="A1928" t="s">
        <v>29</v>
      </c>
      <c r="B1928">
        <v>25</v>
      </c>
      <c r="C1928" t="s">
        <v>20</v>
      </c>
      <c r="D1928" s="1">
        <v>46053</v>
      </c>
      <c r="E1928">
        <v>2551.4</v>
      </c>
      <c r="F1928">
        <v>146.36000000000001</v>
      </c>
      <c r="G1928">
        <v>87.59</v>
      </c>
      <c r="H1928">
        <v>242</v>
      </c>
      <c r="I1928" t="s">
        <v>25</v>
      </c>
      <c r="J1928">
        <v>2026</v>
      </c>
      <c r="K1928">
        <f t="shared" si="60"/>
        <v>58.77000000000001</v>
      </c>
      <c r="L1928" t="str">
        <f t="shared" si="61"/>
        <v>Banca Sabina|25|Risparmio</v>
      </c>
    </row>
    <row r="1929" spans="1:12" x14ac:dyDescent="0.25">
      <c r="A1929" t="s">
        <v>29</v>
      </c>
      <c r="B1929">
        <v>25</v>
      </c>
      <c r="C1929" t="s">
        <v>21</v>
      </c>
      <c r="D1929" s="1">
        <v>46053</v>
      </c>
      <c r="E1929">
        <v>2823</v>
      </c>
      <c r="F1929">
        <v>166.62</v>
      </c>
      <c r="G1929">
        <v>99.76</v>
      </c>
      <c r="H1929">
        <v>274</v>
      </c>
      <c r="I1929" t="s">
        <v>25</v>
      </c>
      <c r="J1929">
        <v>2026</v>
      </c>
      <c r="K1929">
        <f t="shared" si="60"/>
        <v>66.86</v>
      </c>
      <c r="L1929" t="str">
        <f t="shared" si="61"/>
        <v>Banca Sabina|25|Assicurazioni</v>
      </c>
    </row>
    <row r="1930" spans="1:12" x14ac:dyDescent="0.25">
      <c r="A1930" t="s">
        <v>29</v>
      </c>
      <c r="B1930">
        <v>26</v>
      </c>
      <c r="C1930" t="s">
        <v>13</v>
      </c>
      <c r="D1930" s="1">
        <v>46081</v>
      </c>
      <c r="E1930">
        <v>804.4</v>
      </c>
      <c r="F1930">
        <v>36.54</v>
      </c>
      <c r="G1930">
        <v>22.87</v>
      </c>
      <c r="H1930">
        <v>89</v>
      </c>
      <c r="I1930" t="s">
        <v>25</v>
      </c>
      <c r="J1930">
        <v>2026</v>
      </c>
      <c r="K1930">
        <f t="shared" si="60"/>
        <v>13.669999999999998</v>
      </c>
      <c r="L1930" t="str">
        <f t="shared" si="61"/>
        <v>Banca Sabina|26|Mutui</v>
      </c>
    </row>
    <row r="1931" spans="1:12" x14ac:dyDescent="0.25">
      <c r="A1931" t="s">
        <v>29</v>
      </c>
      <c r="B1931">
        <v>26</v>
      </c>
      <c r="C1931" t="s">
        <v>15</v>
      </c>
      <c r="D1931" s="1">
        <v>46081</v>
      </c>
      <c r="E1931">
        <v>1104.0999999999999</v>
      </c>
      <c r="F1931">
        <v>52.25</v>
      </c>
      <c r="G1931">
        <v>32.5</v>
      </c>
      <c r="H1931">
        <v>124</v>
      </c>
      <c r="I1931" t="s">
        <v>25</v>
      </c>
      <c r="J1931">
        <v>2026</v>
      </c>
      <c r="K1931">
        <f t="shared" si="60"/>
        <v>19.75</v>
      </c>
      <c r="L1931" t="str">
        <f t="shared" si="61"/>
        <v>Banca Sabina|26|Prestiti</v>
      </c>
    </row>
    <row r="1932" spans="1:12" x14ac:dyDescent="0.25">
      <c r="A1932" t="s">
        <v>29</v>
      </c>
      <c r="B1932">
        <v>26</v>
      </c>
      <c r="C1932" t="s">
        <v>16</v>
      </c>
      <c r="D1932" s="1">
        <v>46081</v>
      </c>
      <c r="E1932">
        <v>1358.8</v>
      </c>
      <c r="F1932">
        <v>66.86</v>
      </c>
      <c r="G1932">
        <v>40.840000000000003</v>
      </c>
      <c r="H1932">
        <v>138</v>
      </c>
      <c r="I1932" t="s">
        <v>25</v>
      </c>
      <c r="J1932">
        <v>2026</v>
      </c>
      <c r="K1932">
        <f t="shared" si="60"/>
        <v>26.019999999999996</v>
      </c>
      <c r="L1932" t="str">
        <f t="shared" si="61"/>
        <v>Banca Sabina|26|Conti</v>
      </c>
    </row>
    <row r="1933" spans="1:12" x14ac:dyDescent="0.25">
      <c r="A1933" t="s">
        <v>29</v>
      </c>
      <c r="B1933">
        <v>26</v>
      </c>
      <c r="C1933" t="s">
        <v>17</v>
      </c>
      <c r="D1933" s="1">
        <v>46081</v>
      </c>
      <c r="E1933">
        <v>1646.9</v>
      </c>
      <c r="F1933">
        <v>84.54</v>
      </c>
      <c r="G1933">
        <v>51.71</v>
      </c>
      <c r="H1933">
        <v>172</v>
      </c>
      <c r="I1933" t="s">
        <v>25</v>
      </c>
      <c r="J1933">
        <v>2026</v>
      </c>
      <c r="K1933">
        <f t="shared" si="60"/>
        <v>32.830000000000005</v>
      </c>
      <c r="L1933" t="str">
        <f t="shared" si="61"/>
        <v>Banca Sabina|26|Carte</v>
      </c>
    </row>
    <row r="1934" spans="1:12" x14ac:dyDescent="0.25">
      <c r="A1934" t="s">
        <v>29</v>
      </c>
      <c r="B1934">
        <v>26</v>
      </c>
      <c r="C1934" t="s">
        <v>18</v>
      </c>
      <c r="D1934" s="1">
        <v>46081</v>
      </c>
      <c r="E1934">
        <v>1947.7</v>
      </c>
      <c r="F1934">
        <v>103.56</v>
      </c>
      <c r="G1934">
        <v>62.55</v>
      </c>
      <c r="H1934">
        <v>174</v>
      </c>
      <c r="I1934" t="s">
        <v>25</v>
      </c>
      <c r="J1934">
        <v>2026</v>
      </c>
      <c r="K1934">
        <f t="shared" si="60"/>
        <v>41.010000000000005</v>
      </c>
      <c r="L1934" t="str">
        <f t="shared" si="61"/>
        <v>Banca Sabina|26|Leasing</v>
      </c>
    </row>
    <row r="1935" spans="1:12" x14ac:dyDescent="0.25">
      <c r="A1935" t="s">
        <v>29</v>
      </c>
      <c r="B1935">
        <v>26</v>
      </c>
      <c r="C1935" t="s">
        <v>19</v>
      </c>
      <c r="D1935" s="1">
        <v>46081</v>
      </c>
      <c r="E1935">
        <v>2279.4</v>
      </c>
      <c r="F1935">
        <v>126.34</v>
      </c>
      <c r="G1935">
        <v>75.91</v>
      </c>
      <c r="H1935">
        <v>187</v>
      </c>
      <c r="I1935" t="s">
        <v>25</v>
      </c>
      <c r="J1935">
        <v>2026</v>
      </c>
      <c r="K1935">
        <f t="shared" si="60"/>
        <v>50.430000000000007</v>
      </c>
      <c r="L1935" t="str">
        <f t="shared" si="61"/>
        <v>Banca Sabina|26|Factoring</v>
      </c>
    </row>
    <row r="1936" spans="1:12" x14ac:dyDescent="0.25">
      <c r="A1936" t="s">
        <v>29</v>
      </c>
      <c r="B1936">
        <v>26</v>
      </c>
      <c r="C1936" t="s">
        <v>20</v>
      </c>
      <c r="D1936" s="1">
        <v>46081</v>
      </c>
      <c r="E1936">
        <v>2537.6</v>
      </c>
      <c r="F1936">
        <v>144.68</v>
      </c>
      <c r="G1936">
        <v>87.17</v>
      </c>
      <c r="H1936">
        <v>227</v>
      </c>
      <c r="I1936" t="s">
        <v>25</v>
      </c>
      <c r="J1936">
        <v>2026</v>
      </c>
      <c r="K1936">
        <f t="shared" si="60"/>
        <v>57.510000000000005</v>
      </c>
      <c r="L1936" t="str">
        <f t="shared" si="61"/>
        <v>Banca Sabina|26|Risparmio</v>
      </c>
    </row>
    <row r="1937" spans="1:12" x14ac:dyDescent="0.25">
      <c r="A1937" t="s">
        <v>29</v>
      </c>
      <c r="B1937">
        <v>26</v>
      </c>
      <c r="C1937" t="s">
        <v>21</v>
      </c>
      <c r="D1937" s="1">
        <v>46081</v>
      </c>
      <c r="E1937">
        <v>2824.6</v>
      </c>
      <c r="F1937">
        <v>167.55</v>
      </c>
      <c r="G1937">
        <v>99.38</v>
      </c>
      <c r="H1937">
        <v>262</v>
      </c>
      <c r="I1937" t="s">
        <v>25</v>
      </c>
      <c r="J1937">
        <v>2026</v>
      </c>
      <c r="K1937">
        <f t="shared" si="60"/>
        <v>68.170000000000016</v>
      </c>
      <c r="L1937" t="str">
        <f t="shared" si="61"/>
        <v>Banca Sabina|26|Assicurazioni</v>
      </c>
    </row>
    <row r="1938" spans="1:12" x14ac:dyDescent="0.25">
      <c r="A1938" t="s">
        <v>29</v>
      </c>
      <c r="B1938">
        <v>27</v>
      </c>
      <c r="C1938" t="s">
        <v>13</v>
      </c>
      <c r="D1938" s="1">
        <v>46112</v>
      </c>
      <c r="E1938">
        <v>766.2</v>
      </c>
      <c r="F1938">
        <v>34.54</v>
      </c>
      <c r="G1938">
        <v>22.09</v>
      </c>
      <c r="H1938">
        <v>93</v>
      </c>
      <c r="I1938" t="s">
        <v>25</v>
      </c>
      <c r="J1938">
        <v>2026</v>
      </c>
      <c r="K1938">
        <f t="shared" si="60"/>
        <v>12.45</v>
      </c>
      <c r="L1938" t="str">
        <f t="shared" si="61"/>
        <v>Banca Sabina|27|Mutui</v>
      </c>
    </row>
    <row r="1939" spans="1:12" x14ac:dyDescent="0.25">
      <c r="A1939" t="s">
        <v>29</v>
      </c>
      <c r="B1939">
        <v>27</v>
      </c>
      <c r="C1939" t="s">
        <v>15</v>
      </c>
      <c r="D1939" s="1">
        <v>46112</v>
      </c>
      <c r="E1939">
        <v>1090.5999999999999</v>
      </c>
      <c r="F1939">
        <v>52.11</v>
      </c>
      <c r="G1939">
        <v>31.86</v>
      </c>
      <c r="H1939">
        <v>113</v>
      </c>
      <c r="I1939" t="s">
        <v>25</v>
      </c>
      <c r="J1939">
        <v>2026</v>
      </c>
      <c r="K1939">
        <f t="shared" si="60"/>
        <v>20.25</v>
      </c>
      <c r="L1939" t="str">
        <f t="shared" si="61"/>
        <v>Banca Sabina|27|Prestiti</v>
      </c>
    </row>
    <row r="1940" spans="1:12" x14ac:dyDescent="0.25">
      <c r="A1940" t="s">
        <v>29</v>
      </c>
      <c r="B1940">
        <v>27</v>
      </c>
      <c r="C1940" t="s">
        <v>16</v>
      </c>
      <c r="D1940" s="1">
        <v>46112</v>
      </c>
      <c r="E1940">
        <v>1352.8</v>
      </c>
      <c r="F1940">
        <v>66.69</v>
      </c>
      <c r="G1940">
        <v>40.68</v>
      </c>
      <c r="H1940">
        <v>140</v>
      </c>
      <c r="I1940" t="s">
        <v>25</v>
      </c>
      <c r="J1940">
        <v>2026</v>
      </c>
      <c r="K1940">
        <f t="shared" si="60"/>
        <v>26.009999999999998</v>
      </c>
      <c r="L1940" t="str">
        <f t="shared" si="61"/>
        <v>Banca Sabina|27|Conti</v>
      </c>
    </row>
    <row r="1941" spans="1:12" x14ac:dyDescent="0.25">
      <c r="A1941" t="s">
        <v>29</v>
      </c>
      <c r="B1941">
        <v>27</v>
      </c>
      <c r="C1941" t="s">
        <v>17</v>
      </c>
      <c r="D1941" s="1">
        <v>46112</v>
      </c>
      <c r="E1941">
        <v>1675.8</v>
      </c>
      <c r="F1941">
        <v>85.59</v>
      </c>
      <c r="G1941">
        <v>51.98</v>
      </c>
      <c r="H1941">
        <v>164</v>
      </c>
      <c r="I1941" t="s">
        <v>25</v>
      </c>
      <c r="J1941">
        <v>2026</v>
      </c>
      <c r="K1941">
        <f t="shared" si="60"/>
        <v>33.610000000000007</v>
      </c>
      <c r="L1941" t="str">
        <f t="shared" si="61"/>
        <v>Banca Sabina|27|Carte</v>
      </c>
    </row>
    <row r="1942" spans="1:12" x14ac:dyDescent="0.25">
      <c r="A1942" t="s">
        <v>29</v>
      </c>
      <c r="B1942">
        <v>27</v>
      </c>
      <c r="C1942" t="s">
        <v>18</v>
      </c>
      <c r="D1942" s="1">
        <v>46112</v>
      </c>
      <c r="E1942">
        <v>1988.8</v>
      </c>
      <c r="F1942">
        <v>106.08</v>
      </c>
      <c r="G1942">
        <v>64.11</v>
      </c>
      <c r="H1942">
        <v>183</v>
      </c>
      <c r="I1942" t="s">
        <v>25</v>
      </c>
      <c r="J1942">
        <v>2026</v>
      </c>
      <c r="K1942">
        <f t="shared" si="60"/>
        <v>41.97</v>
      </c>
      <c r="L1942" t="str">
        <f t="shared" si="61"/>
        <v>Banca Sabina|27|Leasing</v>
      </c>
    </row>
    <row r="1943" spans="1:12" x14ac:dyDescent="0.25">
      <c r="A1943" t="s">
        <v>29</v>
      </c>
      <c r="B1943">
        <v>27</v>
      </c>
      <c r="C1943" t="s">
        <v>19</v>
      </c>
      <c r="D1943" s="1">
        <v>46112</v>
      </c>
      <c r="E1943">
        <v>2290.4</v>
      </c>
      <c r="F1943">
        <v>126.36</v>
      </c>
      <c r="G1943">
        <v>76.260000000000005</v>
      </c>
      <c r="H1943">
        <v>202</v>
      </c>
      <c r="I1943" t="s">
        <v>25</v>
      </c>
      <c r="J1943">
        <v>2026</v>
      </c>
      <c r="K1943">
        <f t="shared" si="60"/>
        <v>50.099999999999994</v>
      </c>
      <c r="L1943" t="str">
        <f t="shared" si="61"/>
        <v>Banca Sabina|27|Factoring</v>
      </c>
    </row>
    <row r="1944" spans="1:12" x14ac:dyDescent="0.25">
      <c r="A1944" t="s">
        <v>29</v>
      </c>
      <c r="B1944">
        <v>27</v>
      </c>
      <c r="C1944" t="s">
        <v>20</v>
      </c>
      <c r="D1944" s="1">
        <v>46112</v>
      </c>
      <c r="E1944">
        <v>2576.6</v>
      </c>
      <c r="F1944">
        <v>146.88999999999999</v>
      </c>
      <c r="G1944">
        <v>88.56</v>
      </c>
      <c r="H1944">
        <v>240</v>
      </c>
      <c r="I1944" t="s">
        <v>25</v>
      </c>
      <c r="J1944">
        <v>2026</v>
      </c>
      <c r="K1944">
        <f t="shared" si="60"/>
        <v>58.329999999999984</v>
      </c>
      <c r="L1944" t="str">
        <f t="shared" si="61"/>
        <v>Banca Sabina|27|Risparmio</v>
      </c>
    </row>
    <row r="1945" spans="1:12" x14ac:dyDescent="0.25">
      <c r="A1945" t="s">
        <v>29</v>
      </c>
      <c r="B1945">
        <v>27</v>
      </c>
      <c r="C1945" t="s">
        <v>21</v>
      </c>
      <c r="D1945" s="1">
        <v>46112</v>
      </c>
      <c r="E1945">
        <v>2830.2</v>
      </c>
      <c r="F1945">
        <v>167.68</v>
      </c>
      <c r="G1945">
        <v>99.57</v>
      </c>
      <c r="H1945">
        <v>263</v>
      </c>
      <c r="I1945" t="s">
        <v>25</v>
      </c>
      <c r="J1945">
        <v>2026</v>
      </c>
      <c r="K1945">
        <f t="shared" si="60"/>
        <v>68.110000000000014</v>
      </c>
      <c r="L1945" t="str">
        <f t="shared" si="61"/>
        <v>Banca Sabina|27|Assicurazioni</v>
      </c>
    </row>
    <row r="1946" spans="1:12" x14ac:dyDescent="0.25">
      <c r="A1946" t="s">
        <v>29</v>
      </c>
      <c r="B1946">
        <v>28</v>
      </c>
      <c r="C1946" t="s">
        <v>13</v>
      </c>
      <c r="D1946" s="1">
        <v>46142</v>
      </c>
      <c r="E1946">
        <v>773.4</v>
      </c>
      <c r="F1946">
        <v>35.54</v>
      </c>
      <c r="G1946">
        <v>21.74</v>
      </c>
      <c r="H1946">
        <v>103</v>
      </c>
      <c r="I1946" t="s">
        <v>25</v>
      </c>
      <c r="J1946">
        <v>2026</v>
      </c>
      <c r="K1946">
        <f t="shared" si="60"/>
        <v>13.8</v>
      </c>
      <c r="L1946" t="str">
        <f t="shared" si="61"/>
        <v>Banca Sabina|28|Mutui</v>
      </c>
    </row>
    <row r="1947" spans="1:12" x14ac:dyDescent="0.25">
      <c r="A1947" t="s">
        <v>29</v>
      </c>
      <c r="B1947">
        <v>28</v>
      </c>
      <c r="C1947" t="s">
        <v>15</v>
      </c>
      <c r="D1947" s="1">
        <v>46142</v>
      </c>
      <c r="E1947">
        <v>1074.9000000000001</v>
      </c>
      <c r="F1947">
        <v>51.46</v>
      </c>
      <c r="G1947">
        <v>31.39</v>
      </c>
      <c r="H1947">
        <v>125</v>
      </c>
      <c r="I1947" t="s">
        <v>25</v>
      </c>
      <c r="J1947">
        <v>2026</v>
      </c>
      <c r="K1947">
        <f t="shared" si="60"/>
        <v>20.07</v>
      </c>
      <c r="L1947" t="str">
        <f t="shared" si="61"/>
        <v>Banca Sabina|28|Prestiti</v>
      </c>
    </row>
    <row r="1948" spans="1:12" x14ac:dyDescent="0.25">
      <c r="A1948" t="s">
        <v>29</v>
      </c>
      <c r="B1948">
        <v>28</v>
      </c>
      <c r="C1948" t="s">
        <v>16</v>
      </c>
      <c r="D1948" s="1">
        <v>46142</v>
      </c>
      <c r="E1948">
        <v>1415.1</v>
      </c>
      <c r="F1948">
        <v>70.209999999999994</v>
      </c>
      <c r="G1948">
        <v>43.32</v>
      </c>
      <c r="H1948">
        <v>151</v>
      </c>
      <c r="I1948" t="s">
        <v>25</v>
      </c>
      <c r="J1948">
        <v>2026</v>
      </c>
      <c r="K1948">
        <f t="shared" si="60"/>
        <v>26.889999999999993</v>
      </c>
      <c r="L1948" t="str">
        <f t="shared" si="61"/>
        <v>Banca Sabina|28|Conti</v>
      </c>
    </row>
    <row r="1949" spans="1:12" x14ac:dyDescent="0.25">
      <c r="A1949" t="s">
        <v>29</v>
      </c>
      <c r="B1949">
        <v>28</v>
      </c>
      <c r="C1949" t="s">
        <v>17</v>
      </c>
      <c r="D1949" s="1">
        <v>46142</v>
      </c>
      <c r="E1949">
        <v>1697.2</v>
      </c>
      <c r="F1949">
        <v>87.15</v>
      </c>
      <c r="G1949">
        <v>52.7</v>
      </c>
      <c r="H1949">
        <v>170</v>
      </c>
      <c r="I1949" t="s">
        <v>25</v>
      </c>
      <c r="J1949">
        <v>2026</v>
      </c>
      <c r="K1949">
        <f t="shared" si="60"/>
        <v>34.450000000000003</v>
      </c>
      <c r="L1949" t="str">
        <f t="shared" si="61"/>
        <v>Banca Sabina|28|Carte</v>
      </c>
    </row>
    <row r="1950" spans="1:12" x14ac:dyDescent="0.25">
      <c r="A1950" t="s">
        <v>29</v>
      </c>
      <c r="B1950">
        <v>28</v>
      </c>
      <c r="C1950" t="s">
        <v>18</v>
      </c>
      <c r="D1950" s="1">
        <v>46142</v>
      </c>
      <c r="E1950">
        <v>1977.7</v>
      </c>
      <c r="F1950">
        <v>105</v>
      </c>
      <c r="G1950">
        <v>64.14</v>
      </c>
      <c r="H1950">
        <v>197</v>
      </c>
      <c r="I1950" t="s">
        <v>25</v>
      </c>
      <c r="J1950">
        <v>2026</v>
      </c>
      <c r="K1950">
        <f t="shared" si="60"/>
        <v>40.86</v>
      </c>
      <c r="L1950" t="str">
        <f t="shared" si="61"/>
        <v>Banca Sabina|28|Leasing</v>
      </c>
    </row>
    <row r="1951" spans="1:12" x14ac:dyDescent="0.25">
      <c r="A1951" t="s">
        <v>29</v>
      </c>
      <c r="B1951">
        <v>28</v>
      </c>
      <c r="C1951" t="s">
        <v>19</v>
      </c>
      <c r="D1951" s="1">
        <v>46142</v>
      </c>
      <c r="E1951">
        <v>2282.1999999999998</v>
      </c>
      <c r="F1951">
        <v>125.97</v>
      </c>
      <c r="G1951">
        <v>75.67</v>
      </c>
      <c r="H1951">
        <v>213</v>
      </c>
      <c r="I1951" t="s">
        <v>25</v>
      </c>
      <c r="J1951">
        <v>2026</v>
      </c>
      <c r="K1951">
        <f t="shared" si="60"/>
        <v>50.3</v>
      </c>
      <c r="L1951" t="str">
        <f t="shared" si="61"/>
        <v>Banca Sabina|28|Factoring</v>
      </c>
    </row>
    <row r="1952" spans="1:12" x14ac:dyDescent="0.25">
      <c r="A1952" t="s">
        <v>29</v>
      </c>
      <c r="B1952">
        <v>28</v>
      </c>
      <c r="C1952" t="s">
        <v>20</v>
      </c>
      <c r="D1952" s="1">
        <v>46142</v>
      </c>
      <c r="E1952">
        <v>2563.5</v>
      </c>
      <c r="F1952">
        <v>146.72</v>
      </c>
      <c r="G1952">
        <v>87.47</v>
      </c>
      <c r="H1952">
        <v>230</v>
      </c>
      <c r="I1952" t="s">
        <v>25</v>
      </c>
      <c r="J1952">
        <v>2026</v>
      </c>
      <c r="K1952">
        <f t="shared" si="60"/>
        <v>59.25</v>
      </c>
      <c r="L1952" t="str">
        <f t="shared" si="61"/>
        <v>Banca Sabina|28|Risparmio</v>
      </c>
    </row>
    <row r="1953" spans="1:12" x14ac:dyDescent="0.25">
      <c r="A1953" t="s">
        <v>29</v>
      </c>
      <c r="B1953">
        <v>28</v>
      </c>
      <c r="C1953" t="s">
        <v>21</v>
      </c>
      <c r="D1953" s="1">
        <v>46142</v>
      </c>
      <c r="E1953">
        <v>2876.5</v>
      </c>
      <c r="F1953">
        <v>170.3</v>
      </c>
      <c r="G1953">
        <v>101.17</v>
      </c>
      <c r="H1953">
        <v>247</v>
      </c>
      <c r="I1953" t="s">
        <v>25</v>
      </c>
      <c r="J1953">
        <v>2026</v>
      </c>
      <c r="K1953">
        <f t="shared" si="60"/>
        <v>69.13000000000001</v>
      </c>
      <c r="L1953" t="str">
        <f t="shared" si="61"/>
        <v>Banca Sabina|28|Assicurazioni</v>
      </c>
    </row>
    <row r="1954" spans="1:12" x14ac:dyDescent="0.25">
      <c r="A1954" t="s">
        <v>29</v>
      </c>
      <c r="B1954">
        <v>29</v>
      </c>
      <c r="C1954" t="s">
        <v>13</v>
      </c>
      <c r="D1954" s="1">
        <v>46173</v>
      </c>
      <c r="E1954">
        <v>821.6</v>
      </c>
      <c r="F1954">
        <v>37.15</v>
      </c>
      <c r="G1954">
        <v>23.77</v>
      </c>
      <c r="H1954">
        <v>83</v>
      </c>
      <c r="I1954" t="s">
        <v>25</v>
      </c>
      <c r="J1954">
        <v>2026</v>
      </c>
      <c r="K1954">
        <f t="shared" si="60"/>
        <v>13.379999999999999</v>
      </c>
      <c r="L1954" t="str">
        <f t="shared" si="61"/>
        <v>Banca Sabina|29|Mutui</v>
      </c>
    </row>
    <row r="1955" spans="1:12" x14ac:dyDescent="0.25">
      <c r="A1955" t="s">
        <v>29</v>
      </c>
      <c r="B1955">
        <v>29</v>
      </c>
      <c r="C1955" t="s">
        <v>15</v>
      </c>
      <c r="D1955" s="1">
        <v>46173</v>
      </c>
      <c r="E1955">
        <v>1090.8</v>
      </c>
      <c r="F1955">
        <v>51.42</v>
      </c>
      <c r="G1955">
        <v>31.67</v>
      </c>
      <c r="H1955">
        <v>92</v>
      </c>
      <c r="I1955" t="s">
        <v>25</v>
      </c>
      <c r="J1955">
        <v>2026</v>
      </c>
      <c r="K1955">
        <f t="shared" si="60"/>
        <v>19.75</v>
      </c>
      <c r="L1955" t="str">
        <f t="shared" si="61"/>
        <v>Banca Sabina|29|Prestiti</v>
      </c>
    </row>
    <row r="1956" spans="1:12" x14ac:dyDescent="0.25">
      <c r="A1956" t="s">
        <v>29</v>
      </c>
      <c r="B1956">
        <v>29</v>
      </c>
      <c r="C1956" t="s">
        <v>16</v>
      </c>
      <c r="D1956" s="1">
        <v>46173</v>
      </c>
      <c r="E1956">
        <v>1391.5</v>
      </c>
      <c r="F1956">
        <v>68.790000000000006</v>
      </c>
      <c r="G1956">
        <v>42.44</v>
      </c>
      <c r="H1956">
        <v>127</v>
      </c>
      <c r="I1956" t="s">
        <v>25</v>
      </c>
      <c r="J1956">
        <v>2026</v>
      </c>
      <c r="K1956">
        <f t="shared" si="60"/>
        <v>26.350000000000009</v>
      </c>
      <c r="L1956" t="str">
        <f t="shared" si="61"/>
        <v>Banca Sabina|29|Conti</v>
      </c>
    </row>
    <row r="1957" spans="1:12" x14ac:dyDescent="0.25">
      <c r="A1957" t="s">
        <v>29</v>
      </c>
      <c r="B1957">
        <v>29</v>
      </c>
      <c r="C1957" t="s">
        <v>17</v>
      </c>
      <c r="D1957" s="1">
        <v>46173</v>
      </c>
      <c r="E1957">
        <v>1713.7</v>
      </c>
      <c r="F1957">
        <v>88.28</v>
      </c>
      <c r="G1957">
        <v>53.32</v>
      </c>
      <c r="H1957">
        <v>157</v>
      </c>
      <c r="I1957" t="s">
        <v>25</v>
      </c>
      <c r="J1957">
        <v>2026</v>
      </c>
      <c r="K1957">
        <f t="shared" si="60"/>
        <v>34.96</v>
      </c>
      <c r="L1957" t="str">
        <f t="shared" si="61"/>
        <v>Banca Sabina|29|Carte</v>
      </c>
    </row>
    <row r="1958" spans="1:12" x14ac:dyDescent="0.25">
      <c r="A1958" t="s">
        <v>29</v>
      </c>
      <c r="B1958">
        <v>29</v>
      </c>
      <c r="C1958" t="s">
        <v>18</v>
      </c>
      <c r="D1958" s="1">
        <v>46173</v>
      </c>
      <c r="E1958">
        <v>1975.9</v>
      </c>
      <c r="F1958">
        <v>105.3</v>
      </c>
      <c r="G1958">
        <v>63.77</v>
      </c>
      <c r="H1958">
        <v>190</v>
      </c>
      <c r="I1958" t="s">
        <v>25</v>
      </c>
      <c r="J1958">
        <v>2026</v>
      </c>
      <c r="K1958">
        <f t="shared" si="60"/>
        <v>41.529999999999994</v>
      </c>
      <c r="L1958" t="str">
        <f t="shared" si="61"/>
        <v>Banca Sabina|29|Leasing</v>
      </c>
    </row>
    <row r="1959" spans="1:12" x14ac:dyDescent="0.25">
      <c r="A1959" t="s">
        <v>29</v>
      </c>
      <c r="B1959">
        <v>29</v>
      </c>
      <c r="C1959" t="s">
        <v>19</v>
      </c>
      <c r="D1959" s="1">
        <v>46173</v>
      </c>
      <c r="E1959">
        <v>2287.8000000000002</v>
      </c>
      <c r="F1959">
        <v>126.4</v>
      </c>
      <c r="G1959">
        <v>75.87</v>
      </c>
      <c r="H1959">
        <v>205</v>
      </c>
      <c r="I1959" t="s">
        <v>25</v>
      </c>
      <c r="J1959">
        <v>2026</v>
      </c>
      <c r="K1959">
        <f t="shared" si="60"/>
        <v>50.53</v>
      </c>
      <c r="L1959" t="str">
        <f t="shared" si="61"/>
        <v>Banca Sabina|29|Factoring</v>
      </c>
    </row>
    <row r="1960" spans="1:12" x14ac:dyDescent="0.25">
      <c r="A1960" t="s">
        <v>29</v>
      </c>
      <c r="B1960">
        <v>29</v>
      </c>
      <c r="C1960" t="s">
        <v>20</v>
      </c>
      <c r="D1960" s="1">
        <v>46173</v>
      </c>
      <c r="E1960">
        <v>2622.8</v>
      </c>
      <c r="F1960">
        <v>149.6</v>
      </c>
      <c r="G1960">
        <v>89.95</v>
      </c>
      <c r="H1960">
        <v>248</v>
      </c>
      <c r="I1960" t="s">
        <v>25</v>
      </c>
      <c r="J1960">
        <v>2026</v>
      </c>
      <c r="K1960">
        <f t="shared" si="60"/>
        <v>59.649999999999991</v>
      </c>
      <c r="L1960" t="str">
        <f t="shared" si="61"/>
        <v>Banca Sabina|29|Risparmio</v>
      </c>
    </row>
    <row r="1961" spans="1:12" x14ac:dyDescent="0.25">
      <c r="A1961" t="s">
        <v>29</v>
      </c>
      <c r="B1961">
        <v>29</v>
      </c>
      <c r="C1961" t="s">
        <v>21</v>
      </c>
      <c r="D1961" s="1">
        <v>46173</v>
      </c>
      <c r="E1961">
        <v>2872.8</v>
      </c>
      <c r="F1961">
        <v>169.91</v>
      </c>
      <c r="G1961">
        <v>100.93</v>
      </c>
      <c r="H1961">
        <v>255</v>
      </c>
      <c r="I1961" t="s">
        <v>25</v>
      </c>
      <c r="J1961">
        <v>2026</v>
      </c>
      <c r="K1961">
        <f t="shared" si="60"/>
        <v>68.97999999999999</v>
      </c>
      <c r="L1961" t="str">
        <f t="shared" si="61"/>
        <v>Banca Sabina|29|Assicurazioni</v>
      </c>
    </row>
    <row r="1962" spans="1:12" x14ac:dyDescent="0.25">
      <c r="A1962" t="s">
        <v>29</v>
      </c>
      <c r="B1962">
        <v>30</v>
      </c>
      <c r="C1962" t="s">
        <v>13</v>
      </c>
      <c r="D1962" s="1">
        <v>46203</v>
      </c>
      <c r="E1962">
        <v>822.5</v>
      </c>
      <c r="F1962">
        <v>37.42</v>
      </c>
      <c r="G1962">
        <v>23.3</v>
      </c>
      <c r="H1962">
        <v>77</v>
      </c>
      <c r="I1962" t="s">
        <v>25</v>
      </c>
      <c r="J1962">
        <v>2026</v>
      </c>
      <c r="K1962">
        <f t="shared" si="60"/>
        <v>14.120000000000001</v>
      </c>
      <c r="L1962" t="str">
        <f t="shared" si="61"/>
        <v>Banca Sabina|30|Mutui</v>
      </c>
    </row>
    <row r="1963" spans="1:12" x14ac:dyDescent="0.25">
      <c r="A1963" t="s">
        <v>29</v>
      </c>
      <c r="B1963">
        <v>30</v>
      </c>
      <c r="C1963" t="s">
        <v>15</v>
      </c>
      <c r="D1963" s="1">
        <v>46203</v>
      </c>
      <c r="E1963">
        <v>1107.2</v>
      </c>
      <c r="F1963">
        <v>52.94</v>
      </c>
      <c r="G1963">
        <v>33.07</v>
      </c>
      <c r="H1963">
        <v>118</v>
      </c>
      <c r="I1963" t="s">
        <v>25</v>
      </c>
      <c r="J1963">
        <v>2026</v>
      </c>
      <c r="K1963">
        <f t="shared" si="60"/>
        <v>19.869999999999997</v>
      </c>
      <c r="L1963" t="str">
        <f t="shared" si="61"/>
        <v>Banca Sabina|30|Prestiti</v>
      </c>
    </row>
    <row r="1964" spans="1:12" x14ac:dyDescent="0.25">
      <c r="A1964" t="s">
        <v>29</v>
      </c>
      <c r="B1964">
        <v>30</v>
      </c>
      <c r="C1964" t="s">
        <v>16</v>
      </c>
      <c r="D1964" s="1">
        <v>46203</v>
      </c>
      <c r="E1964">
        <v>1397.7</v>
      </c>
      <c r="F1964">
        <v>68.89</v>
      </c>
      <c r="G1964">
        <v>41.95</v>
      </c>
      <c r="H1964">
        <v>121</v>
      </c>
      <c r="I1964" t="s">
        <v>25</v>
      </c>
      <c r="J1964">
        <v>2026</v>
      </c>
      <c r="K1964">
        <f t="shared" si="60"/>
        <v>26.939999999999998</v>
      </c>
      <c r="L1964" t="str">
        <f t="shared" si="61"/>
        <v>Banca Sabina|30|Conti</v>
      </c>
    </row>
    <row r="1965" spans="1:12" x14ac:dyDescent="0.25">
      <c r="A1965" t="s">
        <v>29</v>
      </c>
      <c r="B1965">
        <v>30</v>
      </c>
      <c r="C1965" t="s">
        <v>17</v>
      </c>
      <c r="D1965" s="1">
        <v>46203</v>
      </c>
      <c r="E1965">
        <v>1698.3</v>
      </c>
      <c r="F1965">
        <v>87.24</v>
      </c>
      <c r="G1965">
        <v>52.7</v>
      </c>
      <c r="H1965">
        <v>143</v>
      </c>
      <c r="I1965" t="s">
        <v>25</v>
      </c>
      <c r="J1965">
        <v>2026</v>
      </c>
      <c r="K1965">
        <f t="shared" si="60"/>
        <v>34.539999999999992</v>
      </c>
      <c r="L1965" t="str">
        <f t="shared" si="61"/>
        <v>Banca Sabina|30|Carte</v>
      </c>
    </row>
    <row r="1966" spans="1:12" x14ac:dyDescent="0.25">
      <c r="A1966" t="s">
        <v>29</v>
      </c>
      <c r="B1966">
        <v>30</v>
      </c>
      <c r="C1966" t="s">
        <v>18</v>
      </c>
      <c r="D1966" s="1">
        <v>46203</v>
      </c>
      <c r="E1966">
        <v>2018.4</v>
      </c>
      <c r="F1966">
        <v>107.76</v>
      </c>
      <c r="G1966">
        <v>65.16</v>
      </c>
      <c r="H1966">
        <v>168</v>
      </c>
      <c r="I1966" t="s">
        <v>25</v>
      </c>
      <c r="J1966">
        <v>2026</v>
      </c>
      <c r="K1966">
        <f t="shared" si="60"/>
        <v>42.600000000000009</v>
      </c>
      <c r="L1966" t="str">
        <f t="shared" si="61"/>
        <v>Banca Sabina|30|Leasing</v>
      </c>
    </row>
    <row r="1967" spans="1:12" x14ac:dyDescent="0.25">
      <c r="A1967" t="s">
        <v>29</v>
      </c>
      <c r="B1967">
        <v>30</v>
      </c>
      <c r="C1967" t="s">
        <v>19</v>
      </c>
      <c r="D1967" s="1">
        <v>46203</v>
      </c>
      <c r="E1967">
        <v>2302.6</v>
      </c>
      <c r="F1967">
        <v>127.48</v>
      </c>
      <c r="G1967">
        <v>76.739999999999995</v>
      </c>
      <c r="H1967">
        <v>197</v>
      </c>
      <c r="I1967" t="s">
        <v>25</v>
      </c>
      <c r="J1967">
        <v>2026</v>
      </c>
      <c r="K1967">
        <f t="shared" si="60"/>
        <v>50.740000000000009</v>
      </c>
      <c r="L1967" t="str">
        <f t="shared" si="61"/>
        <v>Banca Sabina|30|Factoring</v>
      </c>
    </row>
    <row r="1968" spans="1:12" x14ac:dyDescent="0.25">
      <c r="A1968" t="s">
        <v>29</v>
      </c>
      <c r="B1968">
        <v>30</v>
      </c>
      <c r="C1968" t="s">
        <v>20</v>
      </c>
      <c r="D1968" s="1">
        <v>46203</v>
      </c>
      <c r="E1968">
        <v>2616.4</v>
      </c>
      <c r="F1968">
        <v>149.63999999999999</v>
      </c>
      <c r="G1968">
        <v>89.63</v>
      </c>
      <c r="H1968">
        <v>238</v>
      </c>
      <c r="I1968" t="s">
        <v>25</v>
      </c>
      <c r="J1968">
        <v>2026</v>
      </c>
      <c r="K1968">
        <f t="shared" si="60"/>
        <v>60.009999999999991</v>
      </c>
      <c r="L1968" t="str">
        <f t="shared" si="61"/>
        <v>Banca Sabina|30|Risparmio</v>
      </c>
    </row>
    <row r="1969" spans="1:12" x14ac:dyDescent="0.25">
      <c r="A1969" t="s">
        <v>29</v>
      </c>
      <c r="B1969">
        <v>30</v>
      </c>
      <c r="C1969" t="s">
        <v>21</v>
      </c>
      <c r="D1969" s="1">
        <v>46203</v>
      </c>
      <c r="E1969">
        <v>2897.5</v>
      </c>
      <c r="F1969">
        <v>171.26</v>
      </c>
      <c r="G1969">
        <v>101.65</v>
      </c>
      <c r="H1969">
        <v>242</v>
      </c>
      <c r="I1969" t="s">
        <v>25</v>
      </c>
      <c r="J1969">
        <v>2026</v>
      </c>
      <c r="K1969">
        <f t="shared" si="60"/>
        <v>69.609999999999985</v>
      </c>
      <c r="L1969" t="str">
        <f t="shared" si="61"/>
        <v>Banca Sabina|30|Assicurazioni</v>
      </c>
    </row>
    <row r="1970" spans="1:12" x14ac:dyDescent="0.25">
      <c r="A1970" t="s">
        <v>29</v>
      </c>
      <c r="B1970">
        <v>31</v>
      </c>
      <c r="C1970" t="s">
        <v>13</v>
      </c>
      <c r="D1970" s="1">
        <v>46234</v>
      </c>
      <c r="E1970">
        <v>799.5</v>
      </c>
      <c r="F1970">
        <v>36.58</v>
      </c>
      <c r="G1970">
        <v>23.02</v>
      </c>
      <c r="H1970">
        <v>70</v>
      </c>
      <c r="I1970" t="s">
        <v>25</v>
      </c>
      <c r="J1970">
        <v>2026</v>
      </c>
      <c r="K1970">
        <f t="shared" si="60"/>
        <v>13.559999999999999</v>
      </c>
      <c r="L1970" t="str">
        <f t="shared" si="61"/>
        <v>Banca Sabina|31|Mutui</v>
      </c>
    </row>
    <row r="1971" spans="1:12" x14ac:dyDescent="0.25">
      <c r="A1971" t="s">
        <v>29</v>
      </c>
      <c r="B1971">
        <v>31</v>
      </c>
      <c r="C1971" t="s">
        <v>15</v>
      </c>
      <c r="D1971" s="1">
        <v>46234</v>
      </c>
      <c r="E1971">
        <v>1088</v>
      </c>
      <c r="F1971">
        <v>51.22</v>
      </c>
      <c r="G1971">
        <v>32.130000000000003</v>
      </c>
      <c r="H1971">
        <v>114</v>
      </c>
      <c r="I1971" t="s">
        <v>25</v>
      </c>
      <c r="J1971">
        <v>2026</v>
      </c>
      <c r="K1971">
        <f t="shared" si="60"/>
        <v>19.089999999999996</v>
      </c>
      <c r="L1971" t="str">
        <f t="shared" si="61"/>
        <v>Banca Sabina|31|Prestiti</v>
      </c>
    </row>
    <row r="1972" spans="1:12" x14ac:dyDescent="0.25">
      <c r="A1972" t="s">
        <v>29</v>
      </c>
      <c r="B1972">
        <v>31</v>
      </c>
      <c r="C1972" t="s">
        <v>16</v>
      </c>
      <c r="D1972" s="1">
        <v>46234</v>
      </c>
      <c r="E1972">
        <v>1410.6</v>
      </c>
      <c r="F1972">
        <v>69.48</v>
      </c>
      <c r="G1972">
        <v>42.55</v>
      </c>
      <c r="H1972">
        <v>150</v>
      </c>
      <c r="I1972" t="s">
        <v>25</v>
      </c>
      <c r="J1972">
        <v>2026</v>
      </c>
      <c r="K1972">
        <f t="shared" si="60"/>
        <v>26.930000000000007</v>
      </c>
      <c r="L1972" t="str">
        <f t="shared" si="61"/>
        <v>Banca Sabina|31|Conti</v>
      </c>
    </row>
    <row r="1973" spans="1:12" x14ac:dyDescent="0.25">
      <c r="A1973" t="s">
        <v>29</v>
      </c>
      <c r="B1973">
        <v>31</v>
      </c>
      <c r="C1973" t="s">
        <v>17</v>
      </c>
      <c r="D1973" s="1">
        <v>46234</v>
      </c>
      <c r="E1973">
        <v>1730.8</v>
      </c>
      <c r="F1973">
        <v>89.11</v>
      </c>
      <c r="G1973">
        <v>53.76</v>
      </c>
      <c r="H1973">
        <v>176</v>
      </c>
      <c r="I1973" t="s">
        <v>25</v>
      </c>
      <c r="J1973">
        <v>2026</v>
      </c>
      <c r="K1973">
        <f t="shared" si="60"/>
        <v>35.35</v>
      </c>
      <c r="L1973" t="str">
        <f t="shared" si="61"/>
        <v>Banca Sabina|31|Carte</v>
      </c>
    </row>
    <row r="1974" spans="1:12" x14ac:dyDescent="0.25">
      <c r="A1974" t="s">
        <v>29</v>
      </c>
      <c r="B1974">
        <v>31</v>
      </c>
      <c r="C1974" t="s">
        <v>18</v>
      </c>
      <c r="D1974" s="1">
        <v>46234</v>
      </c>
      <c r="E1974">
        <v>2049.4</v>
      </c>
      <c r="F1974">
        <v>108.77</v>
      </c>
      <c r="G1974">
        <v>66.290000000000006</v>
      </c>
      <c r="H1974">
        <v>170</v>
      </c>
      <c r="I1974" t="s">
        <v>25</v>
      </c>
      <c r="J1974">
        <v>2026</v>
      </c>
      <c r="K1974">
        <f t="shared" si="60"/>
        <v>42.47999999999999</v>
      </c>
      <c r="L1974" t="str">
        <f t="shared" si="61"/>
        <v>Banca Sabina|31|Leasing</v>
      </c>
    </row>
    <row r="1975" spans="1:12" x14ac:dyDescent="0.25">
      <c r="A1975" t="s">
        <v>29</v>
      </c>
      <c r="B1975">
        <v>31</v>
      </c>
      <c r="C1975" t="s">
        <v>19</v>
      </c>
      <c r="D1975" s="1">
        <v>46234</v>
      </c>
      <c r="E1975">
        <v>2335.1999999999998</v>
      </c>
      <c r="F1975">
        <v>129.16</v>
      </c>
      <c r="G1975">
        <v>77.39</v>
      </c>
      <c r="H1975">
        <v>187</v>
      </c>
      <c r="I1975" t="s">
        <v>25</v>
      </c>
      <c r="J1975">
        <v>2026</v>
      </c>
      <c r="K1975">
        <f t="shared" si="60"/>
        <v>51.769999999999996</v>
      </c>
      <c r="L1975" t="str">
        <f t="shared" si="61"/>
        <v>Banca Sabina|31|Factoring</v>
      </c>
    </row>
    <row r="1976" spans="1:12" x14ac:dyDescent="0.25">
      <c r="A1976" t="s">
        <v>29</v>
      </c>
      <c r="B1976">
        <v>31</v>
      </c>
      <c r="C1976" t="s">
        <v>20</v>
      </c>
      <c r="D1976" s="1">
        <v>46234</v>
      </c>
      <c r="E1976">
        <v>2611.9</v>
      </c>
      <c r="F1976">
        <v>149.27000000000001</v>
      </c>
      <c r="G1976">
        <v>89.66</v>
      </c>
      <c r="H1976">
        <v>244</v>
      </c>
      <c r="I1976" t="s">
        <v>25</v>
      </c>
      <c r="J1976">
        <v>2026</v>
      </c>
      <c r="K1976">
        <f t="shared" si="60"/>
        <v>59.610000000000014</v>
      </c>
      <c r="L1976" t="str">
        <f t="shared" si="61"/>
        <v>Banca Sabina|31|Risparmio</v>
      </c>
    </row>
    <row r="1977" spans="1:12" x14ac:dyDescent="0.25">
      <c r="A1977" t="s">
        <v>29</v>
      </c>
      <c r="B1977">
        <v>31</v>
      </c>
      <c r="C1977" t="s">
        <v>21</v>
      </c>
      <c r="D1977" s="1">
        <v>46234</v>
      </c>
      <c r="E1977">
        <v>2951.7</v>
      </c>
      <c r="F1977">
        <v>174.31</v>
      </c>
      <c r="G1977">
        <v>103.75</v>
      </c>
      <c r="H1977">
        <v>238</v>
      </c>
      <c r="I1977" t="s">
        <v>25</v>
      </c>
      <c r="J1977">
        <v>2026</v>
      </c>
      <c r="K1977">
        <f t="shared" si="60"/>
        <v>70.56</v>
      </c>
      <c r="L1977" t="str">
        <f t="shared" si="61"/>
        <v>Banca Sabina|31|Assicurazioni</v>
      </c>
    </row>
    <row r="1978" spans="1:12" x14ac:dyDescent="0.25">
      <c r="A1978" t="s">
        <v>29</v>
      </c>
      <c r="B1978">
        <v>32</v>
      </c>
      <c r="C1978" t="s">
        <v>13</v>
      </c>
      <c r="D1978" s="1">
        <v>46265</v>
      </c>
      <c r="E1978">
        <v>826.4</v>
      </c>
      <c r="F1978">
        <v>37.44</v>
      </c>
      <c r="G1978">
        <v>23.27</v>
      </c>
      <c r="H1978">
        <v>99</v>
      </c>
      <c r="I1978" t="s">
        <v>25</v>
      </c>
      <c r="J1978">
        <v>2026</v>
      </c>
      <c r="K1978">
        <f t="shared" si="60"/>
        <v>14.169999999999998</v>
      </c>
      <c r="L1978" t="str">
        <f t="shared" si="61"/>
        <v>Banca Sabina|32|Mutui</v>
      </c>
    </row>
    <row r="1979" spans="1:12" x14ac:dyDescent="0.25">
      <c r="A1979" t="s">
        <v>29</v>
      </c>
      <c r="B1979">
        <v>32</v>
      </c>
      <c r="C1979" t="s">
        <v>15</v>
      </c>
      <c r="D1979" s="1">
        <v>46265</v>
      </c>
      <c r="E1979">
        <v>1146.8</v>
      </c>
      <c r="F1979">
        <v>54.17</v>
      </c>
      <c r="G1979">
        <v>34.03</v>
      </c>
      <c r="H1979">
        <v>89</v>
      </c>
      <c r="I1979" t="s">
        <v>25</v>
      </c>
      <c r="J1979">
        <v>2026</v>
      </c>
      <c r="K1979">
        <f t="shared" si="60"/>
        <v>20.14</v>
      </c>
      <c r="L1979" t="str">
        <f t="shared" si="61"/>
        <v>Banca Sabina|32|Prestiti</v>
      </c>
    </row>
    <row r="1980" spans="1:12" x14ac:dyDescent="0.25">
      <c r="A1980" t="s">
        <v>29</v>
      </c>
      <c r="B1980">
        <v>32</v>
      </c>
      <c r="C1980" t="s">
        <v>16</v>
      </c>
      <c r="D1980" s="1">
        <v>46265</v>
      </c>
      <c r="E1980">
        <v>1397.4</v>
      </c>
      <c r="F1980">
        <v>68.67</v>
      </c>
      <c r="G1980">
        <v>42.19</v>
      </c>
      <c r="H1980">
        <v>125</v>
      </c>
      <c r="I1980" t="s">
        <v>25</v>
      </c>
      <c r="J1980">
        <v>2026</v>
      </c>
      <c r="K1980">
        <f t="shared" si="60"/>
        <v>26.480000000000004</v>
      </c>
      <c r="L1980" t="str">
        <f t="shared" si="61"/>
        <v>Banca Sabina|32|Conti</v>
      </c>
    </row>
    <row r="1981" spans="1:12" x14ac:dyDescent="0.25">
      <c r="A1981" t="s">
        <v>29</v>
      </c>
      <c r="B1981">
        <v>32</v>
      </c>
      <c r="C1981" t="s">
        <v>17</v>
      </c>
      <c r="D1981" s="1">
        <v>46265</v>
      </c>
      <c r="E1981">
        <v>1711.3</v>
      </c>
      <c r="F1981">
        <v>88.17</v>
      </c>
      <c r="G1981">
        <v>53.47</v>
      </c>
      <c r="H1981">
        <v>158</v>
      </c>
      <c r="I1981" t="s">
        <v>25</v>
      </c>
      <c r="J1981">
        <v>2026</v>
      </c>
      <c r="K1981">
        <f t="shared" si="60"/>
        <v>34.700000000000003</v>
      </c>
      <c r="L1981" t="str">
        <f t="shared" si="61"/>
        <v>Banca Sabina|32|Carte</v>
      </c>
    </row>
    <row r="1982" spans="1:12" x14ac:dyDescent="0.25">
      <c r="A1982" t="s">
        <v>29</v>
      </c>
      <c r="B1982">
        <v>32</v>
      </c>
      <c r="C1982" t="s">
        <v>18</v>
      </c>
      <c r="D1982" s="1">
        <v>46265</v>
      </c>
      <c r="E1982">
        <v>2051.1</v>
      </c>
      <c r="F1982">
        <v>109.47</v>
      </c>
      <c r="G1982">
        <v>66.209999999999994</v>
      </c>
      <c r="H1982">
        <v>180</v>
      </c>
      <c r="I1982" t="s">
        <v>25</v>
      </c>
      <c r="J1982">
        <v>2026</v>
      </c>
      <c r="K1982">
        <f t="shared" si="60"/>
        <v>43.260000000000005</v>
      </c>
      <c r="L1982" t="str">
        <f t="shared" si="61"/>
        <v>Banca Sabina|32|Leasing</v>
      </c>
    </row>
    <row r="1983" spans="1:12" x14ac:dyDescent="0.25">
      <c r="A1983" t="s">
        <v>29</v>
      </c>
      <c r="B1983">
        <v>32</v>
      </c>
      <c r="C1983" t="s">
        <v>19</v>
      </c>
      <c r="D1983" s="1">
        <v>46265</v>
      </c>
      <c r="E1983">
        <v>2372</v>
      </c>
      <c r="F1983">
        <v>130.97</v>
      </c>
      <c r="G1983">
        <v>78.680000000000007</v>
      </c>
      <c r="H1983">
        <v>192</v>
      </c>
      <c r="I1983" t="s">
        <v>25</v>
      </c>
      <c r="J1983">
        <v>2026</v>
      </c>
      <c r="K1983">
        <f t="shared" si="60"/>
        <v>52.289999999999992</v>
      </c>
      <c r="L1983" t="str">
        <f t="shared" si="61"/>
        <v>Banca Sabina|32|Factoring</v>
      </c>
    </row>
    <row r="1984" spans="1:12" x14ac:dyDescent="0.25">
      <c r="A1984" t="s">
        <v>29</v>
      </c>
      <c r="B1984">
        <v>32</v>
      </c>
      <c r="C1984" t="s">
        <v>20</v>
      </c>
      <c r="D1984" s="1">
        <v>46265</v>
      </c>
      <c r="E1984">
        <v>2628.4</v>
      </c>
      <c r="F1984">
        <v>150.22</v>
      </c>
      <c r="G1984">
        <v>89.38</v>
      </c>
      <c r="H1984">
        <v>222</v>
      </c>
      <c r="I1984" t="s">
        <v>25</v>
      </c>
      <c r="J1984">
        <v>2026</v>
      </c>
      <c r="K1984">
        <f t="shared" si="60"/>
        <v>60.84</v>
      </c>
      <c r="L1984" t="str">
        <f t="shared" si="61"/>
        <v>Banca Sabina|32|Risparmio</v>
      </c>
    </row>
    <row r="1985" spans="1:12" x14ac:dyDescent="0.25">
      <c r="A1985" t="s">
        <v>29</v>
      </c>
      <c r="B1985">
        <v>32</v>
      </c>
      <c r="C1985" t="s">
        <v>21</v>
      </c>
      <c r="D1985" s="1">
        <v>46265</v>
      </c>
      <c r="E1985">
        <v>2948.9</v>
      </c>
      <c r="F1985">
        <v>174</v>
      </c>
      <c r="G1985">
        <v>104.06</v>
      </c>
      <c r="H1985">
        <v>246</v>
      </c>
      <c r="I1985" t="s">
        <v>25</v>
      </c>
      <c r="J1985">
        <v>2026</v>
      </c>
      <c r="K1985">
        <f t="shared" si="60"/>
        <v>69.94</v>
      </c>
      <c r="L1985" t="str">
        <f t="shared" si="61"/>
        <v>Banca Sabina|32|Assicurazioni</v>
      </c>
    </row>
    <row r="1986" spans="1:12" x14ac:dyDescent="0.25">
      <c r="A1986" t="s">
        <v>29</v>
      </c>
      <c r="B1986">
        <v>33</v>
      </c>
      <c r="C1986" t="s">
        <v>13</v>
      </c>
      <c r="D1986" s="1">
        <v>46295</v>
      </c>
      <c r="E1986">
        <v>806.2</v>
      </c>
      <c r="F1986">
        <v>37.229999999999997</v>
      </c>
      <c r="G1986">
        <v>22.9</v>
      </c>
      <c r="H1986">
        <v>104</v>
      </c>
      <c r="I1986" t="s">
        <v>25</v>
      </c>
      <c r="J1986">
        <v>2026</v>
      </c>
      <c r="K1986">
        <f t="shared" ref="K1986:K2049" si="62">F1986-G1986</f>
        <v>14.329999999999998</v>
      </c>
      <c r="L1986" t="str">
        <f t="shared" ref="L1986:L2049" si="63">A1986&amp;"|"&amp;B1986&amp;"|"&amp;C1986</f>
        <v>Banca Sabina|33|Mutui</v>
      </c>
    </row>
    <row r="1987" spans="1:12" x14ac:dyDescent="0.25">
      <c r="A1987" t="s">
        <v>29</v>
      </c>
      <c r="B1987">
        <v>33</v>
      </c>
      <c r="C1987" t="s">
        <v>15</v>
      </c>
      <c r="D1987" s="1">
        <v>46295</v>
      </c>
      <c r="E1987">
        <v>1148.8</v>
      </c>
      <c r="F1987">
        <v>54.12</v>
      </c>
      <c r="G1987">
        <v>33.89</v>
      </c>
      <c r="H1987">
        <v>115</v>
      </c>
      <c r="I1987" t="s">
        <v>25</v>
      </c>
      <c r="J1987">
        <v>2026</v>
      </c>
      <c r="K1987">
        <f t="shared" si="62"/>
        <v>20.229999999999997</v>
      </c>
      <c r="L1987" t="str">
        <f t="shared" si="63"/>
        <v>Banca Sabina|33|Prestiti</v>
      </c>
    </row>
    <row r="1988" spans="1:12" x14ac:dyDescent="0.25">
      <c r="A1988" t="s">
        <v>29</v>
      </c>
      <c r="B1988">
        <v>33</v>
      </c>
      <c r="C1988" t="s">
        <v>16</v>
      </c>
      <c r="D1988" s="1">
        <v>46295</v>
      </c>
      <c r="E1988">
        <v>1409.8</v>
      </c>
      <c r="F1988">
        <v>69.819999999999993</v>
      </c>
      <c r="G1988">
        <v>43.22</v>
      </c>
      <c r="H1988">
        <v>128</v>
      </c>
      <c r="I1988" t="s">
        <v>25</v>
      </c>
      <c r="J1988">
        <v>2026</v>
      </c>
      <c r="K1988">
        <f t="shared" si="62"/>
        <v>26.599999999999994</v>
      </c>
      <c r="L1988" t="str">
        <f t="shared" si="63"/>
        <v>Banca Sabina|33|Conti</v>
      </c>
    </row>
    <row r="1989" spans="1:12" x14ac:dyDescent="0.25">
      <c r="A1989" t="s">
        <v>29</v>
      </c>
      <c r="B1989">
        <v>33</v>
      </c>
      <c r="C1989" t="s">
        <v>17</v>
      </c>
      <c r="D1989" s="1">
        <v>46295</v>
      </c>
      <c r="E1989">
        <v>1759.4</v>
      </c>
      <c r="F1989">
        <v>90.42</v>
      </c>
      <c r="G1989">
        <v>55.21</v>
      </c>
      <c r="H1989">
        <v>172</v>
      </c>
      <c r="I1989" t="s">
        <v>25</v>
      </c>
      <c r="J1989">
        <v>2026</v>
      </c>
      <c r="K1989">
        <f t="shared" si="62"/>
        <v>35.21</v>
      </c>
      <c r="L1989" t="str">
        <f t="shared" si="63"/>
        <v>Banca Sabina|33|Carte</v>
      </c>
    </row>
    <row r="1990" spans="1:12" x14ac:dyDescent="0.25">
      <c r="A1990" t="s">
        <v>29</v>
      </c>
      <c r="B1990">
        <v>33</v>
      </c>
      <c r="C1990" t="s">
        <v>18</v>
      </c>
      <c r="D1990" s="1">
        <v>46295</v>
      </c>
      <c r="E1990">
        <v>2064.1</v>
      </c>
      <c r="F1990">
        <v>110.25</v>
      </c>
      <c r="G1990">
        <v>66.69</v>
      </c>
      <c r="H1990">
        <v>195</v>
      </c>
      <c r="I1990" t="s">
        <v>25</v>
      </c>
      <c r="J1990">
        <v>2026</v>
      </c>
      <c r="K1990">
        <f t="shared" si="62"/>
        <v>43.56</v>
      </c>
      <c r="L1990" t="str">
        <f t="shared" si="63"/>
        <v>Banca Sabina|33|Leasing</v>
      </c>
    </row>
    <row r="1991" spans="1:12" x14ac:dyDescent="0.25">
      <c r="A1991" t="s">
        <v>29</v>
      </c>
      <c r="B1991">
        <v>33</v>
      </c>
      <c r="C1991" t="s">
        <v>19</v>
      </c>
      <c r="D1991" s="1">
        <v>46295</v>
      </c>
      <c r="E1991">
        <v>2330.6</v>
      </c>
      <c r="F1991">
        <v>128.37</v>
      </c>
      <c r="G1991">
        <v>77.89</v>
      </c>
      <c r="H1991">
        <v>221</v>
      </c>
      <c r="I1991" t="s">
        <v>25</v>
      </c>
      <c r="J1991">
        <v>2026</v>
      </c>
      <c r="K1991">
        <f t="shared" si="62"/>
        <v>50.480000000000004</v>
      </c>
      <c r="L1991" t="str">
        <f t="shared" si="63"/>
        <v>Banca Sabina|33|Factoring</v>
      </c>
    </row>
    <row r="1992" spans="1:12" x14ac:dyDescent="0.25">
      <c r="A1992" t="s">
        <v>29</v>
      </c>
      <c r="B1992">
        <v>33</v>
      </c>
      <c r="C1992" t="s">
        <v>20</v>
      </c>
      <c r="D1992" s="1">
        <v>46295</v>
      </c>
      <c r="E1992">
        <v>2651</v>
      </c>
      <c r="F1992">
        <v>151.13999999999999</v>
      </c>
      <c r="G1992">
        <v>90.27</v>
      </c>
      <c r="H1992">
        <v>220</v>
      </c>
      <c r="I1992" t="s">
        <v>25</v>
      </c>
      <c r="J1992">
        <v>2026</v>
      </c>
      <c r="K1992">
        <f t="shared" si="62"/>
        <v>60.86999999999999</v>
      </c>
      <c r="L1992" t="str">
        <f t="shared" si="63"/>
        <v>Banca Sabina|33|Risparmio</v>
      </c>
    </row>
    <row r="1993" spans="1:12" x14ac:dyDescent="0.25">
      <c r="A1993" t="s">
        <v>29</v>
      </c>
      <c r="B1993">
        <v>33</v>
      </c>
      <c r="C1993" t="s">
        <v>21</v>
      </c>
      <c r="D1993" s="1">
        <v>46295</v>
      </c>
      <c r="E1993">
        <v>2982.8</v>
      </c>
      <c r="F1993">
        <v>176.41</v>
      </c>
      <c r="G1993">
        <v>104.99</v>
      </c>
      <c r="H1993">
        <v>258</v>
      </c>
      <c r="I1993" t="s">
        <v>25</v>
      </c>
      <c r="J1993">
        <v>2026</v>
      </c>
      <c r="K1993">
        <f t="shared" si="62"/>
        <v>71.42</v>
      </c>
      <c r="L1993" t="str">
        <f t="shared" si="63"/>
        <v>Banca Sabina|33|Assicurazioni</v>
      </c>
    </row>
    <row r="1994" spans="1:12" x14ac:dyDescent="0.25">
      <c r="A1994" t="s">
        <v>29</v>
      </c>
      <c r="B1994">
        <v>34</v>
      </c>
      <c r="C1994" t="s">
        <v>13</v>
      </c>
      <c r="D1994" s="1">
        <v>46326</v>
      </c>
      <c r="E1994">
        <v>843.3</v>
      </c>
      <c r="F1994">
        <v>38.880000000000003</v>
      </c>
      <c r="G1994">
        <v>24.35</v>
      </c>
      <c r="H1994">
        <v>67</v>
      </c>
      <c r="I1994" t="s">
        <v>25</v>
      </c>
      <c r="J1994">
        <v>2026</v>
      </c>
      <c r="K1994">
        <f t="shared" si="62"/>
        <v>14.530000000000001</v>
      </c>
      <c r="L1994" t="str">
        <f t="shared" si="63"/>
        <v>Banca Sabina|34|Mutui</v>
      </c>
    </row>
    <row r="1995" spans="1:12" x14ac:dyDescent="0.25">
      <c r="A1995" t="s">
        <v>29</v>
      </c>
      <c r="B1995">
        <v>34</v>
      </c>
      <c r="C1995" t="s">
        <v>15</v>
      </c>
      <c r="D1995" s="1">
        <v>46326</v>
      </c>
      <c r="E1995">
        <v>1137</v>
      </c>
      <c r="F1995">
        <v>53.91</v>
      </c>
      <c r="G1995">
        <v>33.630000000000003</v>
      </c>
      <c r="H1995">
        <v>109</v>
      </c>
      <c r="I1995" t="s">
        <v>25</v>
      </c>
      <c r="J1995">
        <v>2026</v>
      </c>
      <c r="K1995">
        <f t="shared" si="62"/>
        <v>20.279999999999994</v>
      </c>
      <c r="L1995" t="str">
        <f t="shared" si="63"/>
        <v>Banca Sabina|34|Prestiti</v>
      </c>
    </row>
    <row r="1996" spans="1:12" x14ac:dyDescent="0.25">
      <c r="A1996" t="s">
        <v>29</v>
      </c>
      <c r="B1996">
        <v>34</v>
      </c>
      <c r="C1996" t="s">
        <v>16</v>
      </c>
      <c r="D1996" s="1">
        <v>46326</v>
      </c>
      <c r="E1996">
        <v>1453.4</v>
      </c>
      <c r="F1996">
        <v>71.56</v>
      </c>
      <c r="G1996">
        <v>44.6</v>
      </c>
      <c r="H1996">
        <v>135</v>
      </c>
      <c r="I1996" t="s">
        <v>25</v>
      </c>
      <c r="J1996">
        <v>2026</v>
      </c>
      <c r="K1996">
        <f t="shared" si="62"/>
        <v>26.96</v>
      </c>
      <c r="L1996" t="str">
        <f t="shared" si="63"/>
        <v>Banca Sabina|34|Conti</v>
      </c>
    </row>
    <row r="1997" spans="1:12" x14ac:dyDescent="0.25">
      <c r="A1997" t="s">
        <v>29</v>
      </c>
      <c r="B1997">
        <v>34</v>
      </c>
      <c r="C1997" t="s">
        <v>17</v>
      </c>
      <c r="D1997" s="1">
        <v>46326</v>
      </c>
      <c r="E1997">
        <v>1748.9</v>
      </c>
      <c r="F1997">
        <v>89.51</v>
      </c>
      <c r="G1997">
        <v>54.71</v>
      </c>
      <c r="H1997">
        <v>175</v>
      </c>
      <c r="I1997" t="s">
        <v>25</v>
      </c>
      <c r="J1997">
        <v>2026</v>
      </c>
      <c r="K1997">
        <f t="shared" si="62"/>
        <v>34.800000000000004</v>
      </c>
      <c r="L1997" t="str">
        <f t="shared" si="63"/>
        <v>Banca Sabina|34|Carte</v>
      </c>
    </row>
    <row r="1998" spans="1:12" x14ac:dyDescent="0.25">
      <c r="A1998" t="s">
        <v>29</v>
      </c>
      <c r="B1998">
        <v>34</v>
      </c>
      <c r="C1998" t="s">
        <v>18</v>
      </c>
      <c r="D1998" s="1">
        <v>46326</v>
      </c>
      <c r="E1998">
        <v>2090.1999999999998</v>
      </c>
      <c r="F1998">
        <v>110.93</v>
      </c>
      <c r="G1998">
        <v>67.59</v>
      </c>
      <c r="H1998">
        <v>178</v>
      </c>
      <c r="I1998" t="s">
        <v>25</v>
      </c>
      <c r="J1998">
        <v>2026</v>
      </c>
      <c r="K1998">
        <f t="shared" si="62"/>
        <v>43.34</v>
      </c>
      <c r="L1998" t="str">
        <f t="shared" si="63"/>
        <v>Banca Sabina|34|Leasing</v>
      </c>
    </row>
    <row r="1999" spans="1:12" x14ac:dyDescent="0.25">
      <c r="A1999" t="s">
        <v>29</v>
      </c>
      <c r="B1999">
        <v>34</v>
      </c>
      <c r="C1999" t="s">
        <v>19</v>
      </c>
      <c r="D1999" s="1">
        <v>46326</v>
      </c>
      <c r="E1999">
        <v>2366.1999999999998</v>
      </c>
      <c r="F1999">
        <v>130.75</v>
      </c>
      <c r="G1999">
        <v>78.77</v>
      </c>
      <c r="H1999">
        <v>215</v>
      </c>
      <c r="I1999" t="s">
        <v>25</v>
      </c>
      <c r="J1999">
        <v>2026</v>
      </c>
      <c r="K1999">
        <f t="shared" si="62"/>
        <v>51.980000000000004</v>
      </c>
      <c r="L1999" t="str">
        <f t="shared" si="63"/>
        <v>Banca Sabina|34|Factoring</v>
      </c>
    </row>
    <row r="2000" spans="1:12" x14ac:dyDescent="0.25">
      <c r="A2000" t="s">
        <v>29</v>
      </c>
      <c r="B2000">
        <v>34</v>
      </c>
      <c r="C2000" t="s">
        <v>20</v>
      </c>
      <c r="D2000" s="1">
        <v>46326</v>
      </c>
      <c r="E2000">
        <v>2700.5</v>
      </c>
      <c r="F2000">
        <v>154.02000000000001</v>
      </c>
      <c r="G2000">
        <v>91.89</v>
      </c>
      <c r="H2000">
        <v>213</v>
      </c>
      <c r="I2000" t="s">
        <v>25</v>
      </c>
      <c r="J2000">
        <v>2026</v>
      </c>
      <c r="K2000">
        <f t="shared" si="62"/>
        <v>62.13000000000001</v>
      </c>
      <c r="L2000" t="str">
        <f t="shared" si="63"/>
        <v>Banca Sabina|34|Risparmio</v>
      </c>
    </row>
    <row r="2001" spans="1:12" x14ac:dyDescent="0.25">
      <c r="A2001" t="s">
        <v>29</v>
      </c>
      <c r="B2001">
        <v>34</v>
      </c>
      <c r="C2001" t="s">
        <v>21</v>
      </c>
      <c r="D2001" s="1">
        <v>46326</v>
      </c>
      <c r="E2001">
        <v>3001.5</v>
      </c>
      <c r="F2001">
        <v>177.21</v>
      </c>
      <c r="G2001">
        <v>105.64</v>
      </c>
      <c r="H2001">
        <v>246</v>
      </c>
      <c r="I2001" t="s">
        <v>25</v>
      </c>
      <c r="J2001">
        <v>2026</v>
      </c>
      <c r="K2001">
        <f t="shared" si="62"/>
        <v>71.570000000000007</v>
      </c>
      <c r="L2001" t="str">
        <f t="shared" si="63"/>
        <v>Banca Sabina|34|Assicurazioni</v>
      </c>
    </row>
    <row r="2002" spans="1:12" x14ac:dyDescent="0.25">
      <c r="A2002" t="s">
        <v>29</v>
      </c>
      <c r="B2002">
        <v>35</v>
      </c>
      <c r="C2002" t="s">
        <v>13</v>
      </c>
      <c r="D2002" s="1">
        <v>46356</v>
      </c>
      <c r="E2002">
        <v>847.9</v>
      </c>
      <c r="F2002">
        <v>38.68</v>
      </c>
      <c r="G2002">
        <v>24.2</v>
      </c>
      <c r="H2002">
        <v>73</v>
      </c>
      <c r="I2002" t="s">
        <v>25</v>
      </c>
      <c r="J2002">
        <v>2026</v>
      </c>
      <c r="K2002">
        <f t="shared" si="62"/>
        <v>14.48</v>
      </c>
      <c r="L2002" t="str">
        <f t="shared" si="63"/>
        <v>Banca Sabina|35|Mutui</v>
      </c>
    </row>
    <row r="2003" spans="1:12" x14ac:dyDescent="0.25">
      <c r="A2003" t="s">
        <v>29</v>
      </c>
      <c r="B2003">
        <v>35</v>
      </c>
      <c r="C2003" t="s">
        <v>15</v>
      </c>
      <c r="D2003" s="1">
        <v>46356</v>
      </c>
      <c r="E2003">
        <v>1113.2</v>
      </c>
      <c r="F2003">
        <v>52.37</v>
      </c>
      <c r="G2003">
        <v>32.880000000000003</v>
      </c>
      <c r="H2003">
        <v>121</v>
      </c>
      <c r="I2003" t="s">
        <v>25</v>
      </c>
      <c r="J2003">
        <v>2026</v>
      </c>
      <c r="K2003">
        <f t="shared" si="62"/>
        <v>19.489999999999995</v>
      </c>
      <c r="L2003" t="str">
        <f t="shared" si="63"/>
        <v>Banca Sabina|35|Prestiti</v>
      </c>
    </row>
    <row r="2004" spans="1:12" x14ac:dyDescent="0.25">
      <c r="A2004" t="s">
        <v>29</v>
      </c>
      <c r="B2004">
        <v>35</v>
      </c>
      <c r="C2004" t="s">
        <v>16</v>
      </c>
      <c r="D2004" s="1">
        <v>46356</v>
      </c>
      <c r="E2004">
        <v>1450</v>
      </c>
      <c r="F2004">
        <v>71.989999999999995</v>
      </c>
      <c r="G2004">
        <v>44.16</v>
      </c>
      <c r="H2004">
        <v>139</v>
      </c>
      <c r="I2004" t="s">
        <v>25</v>
      </c>
      <c r="J2004">
        <v>2026</v>
      </c>
      <c r="K2004">
        <f t="shared" si="62"/>
        <v>27.83</v>
      </c>
      <c r="L2004" t="str">
        <f t="shared" si="63"/>
        <v>Banca Sabina|35|Conti</v>
      </c>
    </row>
    <row r="2005" spans="1:12" x14ac:dyDescent="0.25">
      <c r="A2005" t="s">
        <v>29</v>
      </c>
      <c r="B2005">
        <v>35</v>
      </c>
      <c r="C2005" t="s">
        <v>17</v>
      </c>
      <c r="D2005" s="1">
        <v>46356</v>
      </c>
      <c r="E2005">
        <v>1782.7</v>
      </c>
      <c r="F2005">
        <v>91.14</v>
      </c>
      <c r="G2005">
        <v>55.59</v>
      </c>
      <c r="H2005">
        <v>164</v>
      </c>
      <c r="I2005" t="s">
        <v>25</v>
      </c>
      <c r="J2005">
        <v>2026</v>
      </c>
      <c r="K2005">
        <f t="shared" si="62"/>
        <v>35.549999999999997</v>
      </c>
      <c r="L2005" t="str">
        <f t="shared" si="63"/>
        <v>Banca Sabina|35|Carte</v>
      </c>
    </row>
    <row r="2006" spans="1:12" x14ac:dyDescent="0.25">
      <c r="A2006" t="s">
        <v>29</v>
      </c>
      <c r="B2006">
        <v>35</v>
      </c>
      <c r="C2006" t="s">
        <v>18</v>
      </c>
      <c r="D2006" s="1">
        <v>46356</v>
      </c>
      <c r="E2006">
        <v>2103.8000000000002</v>
      </c>
      <c r="F2006">
        <v>112.28</v>
      </c>
      <c r="G2006">
        <v>68.27</v>
      </c>
      <c r="H2006">
        <v>190</v>
      </c>
      <c r="I2006" t="s">
        <v>25</v>
      </c>
      <c r="J2006">
        <v>2026</v>
      </c>
      <c r="K2006">
        <f t="shared" si="62"/>
        <v>44.010000000000005</v>
      </c>
      <c r="L2006" t="str">
        <f t="shared" si="63"/>
        <v>Banca Sabina|35|Leasing</v>
      </c>
    </row>
    <row r="2007" spans="1:12" x14ac:dyDescent="0.25">
      <c r="A2007" t="s">
        <v>29</v>
      </c>
      <c r="B2007">
        <v>35</v>
      </c>
      <c r="C2007" t="s">
        <v>19</v>
      </c>
      <c r="D2007" s="1">
        <v>46356</v>
      </c>
      <c r="E2007">
        <v>2377.6999999999998</v>
      </c>
      <c r="F2007">
        <v>131.04</v>
      </c>
      <c r="G2007">
        <v>79.400000000000006</v>
      </c>
      <c r="H2007">
        <v>222</v>
      </c>
      <c r="I2007" t="s">
        <v>25</v>
      </c>
      <c r="J2007">
        <v>2026</v>
      </c>
      <c r="K2007">
        <f t="shared" si="62"/>
        <v>51.639999999999986</v>
      </c>
      <c r="L2007" t="str">
        <f t="shared" si="63"/>
        <v>Banca Sabina|35|Factoring</v>
      </c>
    </row>
    <row r="2008" spans="1:12" x14ac:dyDescent="0.25">
      <c r="A2008" t="s">
        <v>29</v>
      </c>
      <c r="B2008">
        <v>35</v>
      </c>
      <c r="C2008" t="s">
        <v>20</v>
      </c>
      <c r="D2008" s="1">
        <v>46356</v>
      </c>
      <c r="E2008">
        <v>2699.1</v>
      </c>
      <c r="F2008">
        <v>154.59</v>
      </c>
      <c r="G2008">
        <v>91.96</v>
      </c>
      <c r="H2008">
        <v>216</v>
      </c>
      <c r="I2008" t="s">
        <v>25</v>
      </c>
      <c r="J2008">
        <v>2026</v>
      </c>
      <c r="K2008">
        <f t="shared" si="62"/>
        <v>62.63000000000001</v>
      </c>
      <c r="L2008" t="str">
        <f t="shared" si="63"/>
        <v>Banca Sabina|35|Risparmio</v>
      </c>
    </row>
    <row r="2009" spans="1:12" x14ac:dyDescent="0.25">
      <c r="A2009" t="s">
        <v>29</v>
      </c>
      <c r="B2009">
        <v>35</v>
      </c>
      <c r="C2009" t="s">
        <v>21</v>
      </c>
      <c r="D2009" s="1">
        <v>46356</v>
      </c>
      <c r="E2009">
        <v>3010.9</v>
      </c>
      <c r="F2009">
        <v>178.33</v>
      </c>
      <c r="G2009">
        <v>105.88</v>
      </c>
      <c r="H2009">
        <v>250</v>
      </c>
      <c r="I2009" t="s">
        <v>25</v>
      </c>
      <c r="J2009">
        <v>2026</v>
      </c>
      <c r="K2009">
        <f t="shared" si="62"/>
        <v>72.450000000000017</v>
      </c>
      <c r="L2009" t="str">
        <f t="shared" si="63"/>
        <v>Banca Sabina|35|Assicurazioni</v>
      </c>
    </row>
    <row r="2010" spans="1:12" x14ac:dyDescent="0.25">
      <c r="A2010" t="s">
        <v>29</v>
      </c>
      <c r="B2010">
        <v>36</v>
      </c>
      <c r="C2010" t="s">
        <v>13</v>
      </c>
      <c r="D2010" s="1">
        <v>46387</v>
      </c>
      <c r="E2010">
        <v>809.2</v>
      </c>
      <c r="F2010">
        <v>36.42</v>
      </c>
      <c r="G2010">
        <v>23.52</v>
      </c>
      <c r="H2010">
        <v>75</v>
      </c>
      <c r="I2010" t="s">
        <v>25</v>
      </c>
      <c r="J2010">
        <v>2026</v>
      </c>
      <c r="K2010">
        <f t="shared" si="62"/>
        <v>12.900000000000002</v>
      </c>
      <c r="L2010" t="str">
        <f t="shared" si="63"/>
        <v>Banca Sabina|36|Mutui</v>
      </c>
    </row>
    <row r="2011" spans="1:12" x14ac:dyDescent="0.25">
      <c r="A2011" t="s">
        <v>29</v>
      </c>
      <c r="B2011">
        <v>36</v>
      </c>
      <c r="C2011" t="s">
        <v>15</v>
      </c>
      <c r="D2011" s="1">
        <v>46387</v>
      </c>
      <c r="E2011">
        <v>1129.4000000000001</v>
      </c>
      <c r="F2011">
        <v>53.51</v>
      </c>
      <c r="G2011">
        <v>33.18</v>
      </c>
      <c r="H2011">
        <v>99</v>
      </c>
      <c r="I2011" t="s">
        <v>25</v>
      </c>
      <c r="J2011">
        <v>2026</v>
      </c>
      <c r="K2011">
        <f t="shared" si="62"/>
        <v>20.329999999999998</v>
      </c>
      <c r="L2011" t="str">
        <f t="shared" si="63"/>
        <v>Banca Sabina|36|Prestiti</v>
      </c>
    </row>
    <row r="2012" spans="1:12" x14ac:dyDescent="0.25">
      <c r="A2012" t="s">
        <v>29</v>
      </c>
      <c r="B2012">
        <v>36</v>
      </c>
      <c r="C2012" t="s">
        <v>16</v>
      </c>
      <c r="D2012" s="1">
        <v>46387</v>
      </c>
      <c r="E2012">
        <v>1476.1</v>
      </c>
      <c r="F2012">
        <v>73.12</v>
      </c>
      <c r="G2012">
        <v>45.2</v>
      </c>
      <c r="H2012">
        <v>127</v>
      </c>
      <c r="I2012" t="s">
        <v>25</v>
      </c>
      <c r="J2012">
        <v>2026</v>
      </c>
      <c r="K2012">
        <f t="shared" si="62"/>
        <v>27.92</v>
      </c>
      <c r="L2012" t="str">
        <f t="shared" si="63"/>
        <v>Banca Sabina|36|Conti</v>
      </c>
    </row>
    <row r="2013" spans="1:12" x14ac:dyDescent="0.25">
      <c r="A2013" t="s">
        <v>29</v>
      </c>
      <c r="B2013">
        <v>36</v>
      </c>
      <c r="C2013" t="s">
        <v>17</v>
      </c>
      <c r="D2013" s="1">
        <v>46387</v>
      </c>
      <c r="E2013">
        <v>1754.4</v>
      </c>
      <c r="F2013">
        <v>90.05</v>
      </c>
      <c r="G2013">
        <v>55.14</v>
      </c>
      <c r="H2013">
        <v>172</v>
      </c>
      <c r="I2013" t="s">
        <v>25</v>
      </c>
      <c r="J2013">
        <v>2026</v>
      </c>
      <c r="K2013">
        <f t="shared" si="62"/>
        <v>34.909999999999997</v>
      </c>
      <c r="L2013" t="str">
        <f t="shared" si="63"/>
        <v>Banca Sabina|36|Carte</v>
      </c>
    </row>
    <row r="2014" spans="1:12" x14ac:dyDescent="0.25">
      <c r="A2014" t="s">
        <v>29</v>
      </c>
      <c r="B2014">
        <v>36</v>
      </c>
      <c r="C2014" t="s">
        <v>18</v>
      </c>
      <c r="D2014" s="1">
        <v>46387</v>
      </c>
      <c r="E2014">
        <v>2113.1999999999998</v>
      </c>
      <c r="F2014">
        <v>112.11</v>
      </c>
      <c r="G2014">
        <v>68.319999999999993</v>
      </c>
      <c r="H2014">
        <v>174</v>
      </c>
      <c r="I2014" t="s">
        <v>25</v>
      </c>
      <c r="J2014">
        <v>2026</v>
      </c>
      <c r="K2014">
        <f t="shared" si="62"/>
        <v>43.790000000000006</v>
      </c>
      <c r="L2014" t="str">
        <f t="shared" si="63"/>
        <v>Banca Sabina|36|Leasing</v>
      </c>
    </row>
    <row r="2015" spans="1:12" x14ac:dyDescent="0.25">
      <c r="A2015" t="s">
        <v>29</v>
      </c>
      <c r="B2015">
        <v>36</v>
      </c>
      <c r="C2015" t="s">
        <v>19</v>
      </c>
      <c r="D2015" s="1">
        <v>46387</v>
      </c>
      <c r="E2015">
        <v>2393.4</v>
      </c>
      <c r="F2015">
        <v>132.38999999999999</v>
      </c>
      <c r="G2015">
        <v>79.5</v>
      </c>
      <c r="H2015">
        <v>192</v>
      </c>
      <c r="I2015" t="s">
        <v>25</v>
      </c>
      <c r="J2015">
        <v>2026</v>
      </c>
      <c r="K2015">
        <f t="shared" si="62"/>
        <v>52.889999999999986</v>
      </c>
      <c r="L2015" t="str">
        <f t="shared" si="63"/>
        <v>Banca Sabina|36|Factoring</v>
      </c>
    </row>
    <row r="2016" spans="1:12" x14ac:dyDescent="0.25">
      <c r="A2016" t="s">
        <v>29</v>
      </c>
      <c r="B2016">
        <v>36</v>
      </c>
      <c r="C2016" t="s">
        <v>20</v>
      </c>
      <c r="D2016" s="1">
        <v>46387</v>
      </c>
      <c r="E2016">
        <v>2704.1</v>
      </c>
      <c r="F2016">
        <v>154.86000000000001</v>
      </c>
      <c r="G2016">
        <v>92.88</v>
      </c>
      <c r="H2016">
        <v>235</v>
      </c>
      <c r="I2016" t="s">
        <v>25</v>
      </c>
      <c r="J2016">
        <v>2026</v>
      </c>
      <c r="K2016">
        <f t="shared" si="62"/>
        <v>61.980000000000018</v>
      </c>
      <c r="L2016" t="str">
        <f t="shared" si="63"/>
        <v>Banca Sabina|36|Risparmio</v>
      </c>
    </row>
    <row r="2017" spans="1:12" x14ac:dyDescent="0.25">
      <c r="A2017" t="s">
        <v>29</v>
      </c>
      <c r="B2017">
        <v>36</v>
      </c>
      <c r="C2017" t="s">
        <v>21</v>
      </c>
      <c r="D2017" s="1">
        <v>46387</v>
      </c>
      <c r="E2017">
        <v>3023.9</v>
      </c>
      <c r="F2017">
        <v>179.33</v>
      </c>
      <c r="G2017">
        <v>106.52</v>
      </c>
      <c r="H2017">
        <v>256</v>
      </c>
      <c r="I2017" t="s">
        <v>25</v>
      </c>
      <c r="J2017">
        <v>2026</v>
      </c>
      <c r="K2017">
        <f t="shared" si="62"/>
        <v>72.810000000000016</v>
      </c>
      <c r="L2017" t="str">
        <f t="shared" si="63"/>
        <v>Banca Sabina|36|Assicurazioni</v>
      </c>
    </row>
    <row r="2018" spans="1:12" x14ac:dyDescent="0.25">
      <c r="A2018" t="s">
        <v>30</v>
      </c>
      <c r="B2018">
        <v>1</v>
      </c>
      <c r="C2018" t="s">
        <v>13</v>
      </c>
      <c r="D2018" s="1">
        <v>45322</v>
      </c>
      <c r="E2018">
        <v>736.9</v>
      </c>
      <c r="F2018">
        <v>34.01</v>
      </c>
      <c r="G2018">
        <v>21.32</v>
      </c>
      <c r="H2018">
        <v>76</v>
      </c>
      <c r="I2018" t="s">
        <v>31</v>
      </c>
      <c r="J2018">
        <v>2024</v>
      </c>
      <c r="K2018">
        <f t="shared" si="62"/>
        <v>12.689999999999998</v>
      </c>
      <c r="L2018" t="str">
        <f t="shared" si="63"/>
        <v>Banca Irpina|1|Mutui</v>
      </c>
    </row>
    <row r="2019" spans="1:12" x14ac:dyDescent="0.25">
      <c r="A2019" t="s">
        <v>30</v>
      </c>
      <c r="B2019">
        <v>1</v>
      </c>
      <c r="C2019" t="s">
        <v>15</v>
      </c>
      <c r="D2019" s="1">
        <v>45322</v>
      </c>
      <c r="E2019">
        <v>994.5</v>
      </c>
      <c r="F2019">
        <v>47.56</v>
      </c>
      <c r="G2019">
        <v>29.68</v>
      </c>
      <c r="H2019">
        <v>136</v>
      </c>
      <c r="I2019" t="s">
        <v>31</v>
      </c>
      <c r="J2019">
        <v>2024</v>
      </c>
      <c r="K2019">
        <f t="shared" si="62"/>
        <v>17.880000000000003</v>
      </c>
      <c r="L2019" t="str">
        <f t="shared" si="63"/>
        <v>Banca Irpina|1|Prestiti</v>
      </c>
    </row>
    <row r="2020" spans="1:12" x14ac:dyDescent="0.25">
      <c r="A2020" t="s">
        <v>30</v>
      </c>
      <c r="B2020">
        <v>1</v>
      </c>
      <c r="C2020" t="s">
        <v>16</v>
      </c>
      <c r="D2020" s="1">
        <v>45322</v>
      </c>
      <c r="E2020">
        <v>1263.0999999999999</v>
      </c>
      <c r="F2020">
        <v>62.83</v>
      </c>
      <c r="G2020">
        <v>38.53</v>
      </c>
      <c r="H2020">
        <v>142</v>
      </c>
      <c r="I2020" t="s">
        <v>31</v>
      </c>
      <c r="J2020">
        <v>2024</v>
      </c>
      <c r="K2020">
        <f t="shared" si="62"/>
        <v>24.299999999999997</v>
      </c>
      <c r="L2020" t="str">
        <f t="shared" si="63"/>
        <v>Banca Irpina|1|Conti</v>
      </c>
    </row>
    <row r="2021" spans="1:12" x14ac:dyDescent="0.25">
      <c r="A2021" t="s">
        <v>30</v>
      </c>
      <c r="B2021">
        <v>1</v>
      </c>
      <c r="C2021" t="s">
        <v>17</v>
      </c>
      <c r="D2021" s="1">
        <v>45322</v>
      </c>
      <c r="E2021">
        <v>1536.5</v>
      </c>
      <c r="F2021">
        <v>78.67</v>
      </c>
      <c r="G2021">
        <v>48.19</v>
      </c>
      <c r="H2021">
        <v>187</v>
      </c>
      <c r="I2021" t="s">
        <v>31</v>
      </c>
      <c r="J2021">
        <v>2024</v>
      </c>
      <c r="K2021">
        <f t="shared" si="62"/>
        <v>30.480000000000004</v>
      </c>
      <c r="L2021" t="str">
        <f t="shared" si="63"/>
        <v>Banca Irpina|1|Carte</v>
      </c>
    </row>
    <row r="2022" spans="1:12" x14ac:dyDescent="0.25">
      <c r="A2022" t="s">
        <v>30</v>
      </c>
      <c r="B2022">
        <v>1</v>
      </c>
      <c r="C2022" t="s">
        <v>18</v>
      </c>
      <c r="D2022" s="1">
        <v>45322</v>
      </c>
      <c r="E2022">
        <v>1758.7</v>
      </c>
      <c r="F2022">
        <v>94.12</v>
      </c>
      <c r="G2022">
        <v>56.56</v>
      </c>
      <c r="H2022">
        <v>213</v>
      </c>
      <c r="I2022" t="s">
        <v>31</v>
      </c>
      <c r="J2022">
        <v>2024</v>
      </c>
      <c r="K2022">
        <f t="shared" si="62"/>
        <v>37.56</v>
      </c>
      <c r="L2022" t="str">
        <f t="shared" si="63"/>
        <v>Banca Irpina|1|Leasing</v>
      </c>
    </row>
    <row r="2023" spans="1:12" x14ac:dyDescent="0.25">
      <c r="A2023" t="s">
        <v>30</v>
      </c>
      <c r="B2023">
        <v>1</v>
      </c>
      <c r="C2023" t="s">
        <v>19</v>
      </c>
      <c r="D2023" s="1">
        <v>45322</v>
      </c>
      <c r="E2023">
        <v>2039</v>
      </c>
      <c r="F2023">
        <v>113</v>
      </c>
      <c r="G2023">
        <v>67.599999999999994</v>
      </c>
      <c r="H2023">
        <v>239</v>
      </c>
      <c r="I2023" t="s">
        <v>31</v>
      </c>
      <c r="J2023">
        <v>2024</v>
      </c>
      <c r="K2023">
        <f t="shared" si="62"/>
        <v>45.400000000000006</v>
      </c>
      <c r="L2023" t="str">
        <f t="shared" si="63"/>
        <v>Banca Irpina|1|Factoring</v>
      </c>
    </row>
    <row r="2024" spans="1:12" x14ac:dyDescent="0.25">
      <c r="A2024" t="s">
        <v>30</v>
      </c>
      <c r="B2024">
        <v>1</v>
      </c>
      <c r="C2024" t="s">
        <v>20</v>
      </c>
      <c r="D2024" s="1">
        <v>45322</v>
      </c>
      <c r="E2024">
        <v>2305.6999999999998</v>
      </c>
      <c r="F2024">
        <v>132.32</v>
      </c>
      <c r="G2024">
        <v>78.61</v>
      </c>
      <c r="H2024">
        <v>265</v>
      </c>
      <c r="I2024" t="s">
        <v>31</v>
      </c>
      <c r="J2024">
        <v>2024</v>
      </c>
      <c r="K2024">
        <f t="shared" si="62"/>
        <v>53.709999999999994</v>
      </c>
      <c r="L2024" t="str">
        <f t="shared" si="63"/>
        <v>Banca Irpina|1|Risparmio</v>
      </c>
    </row>
    <row r="2025" spans="1:12" x14ac:dyDescent="0.25">
      <c r="A2025" t="s">
        <v>30</v>
      </c>
      <c r="B2025">
        <v>1</v>
      </c>
      <c r="C2025" t="s">
        <v>21</v>
      </c>
      <c r="D2025" s="1">
        <v>45322</v>
      </c>
      <c r="E2025">
        <v>2553.1999999999998</v>
      </c>
      <c r="F2025">
        <v>151.06</v>
      </c>
      <c r="G2025">
        <v>89.9</v>
      </c>
      <c r="H2025">
        <v>274</v>
      </c>
      <c r="I2025" t="s">
        <v>31</v>
      </c>
      <c r="J2025">
        <v>2024</v>
      </c>
      <c r="K2025">
        <f t="shared" si="62"/>
        <v>61.16</v>
      </c>
      <c r="L2025" t="str">
        <f t="shared" si="63"/>
        <v>Banca Irpina|1|Assicurazioni</v>
      </c>
    </row>
    <row r="2026" spans="1:12" x14ac:dyDescent="0.25">
      <c r="A2026" t="s">
        <v>30</v>
      </c>
      <c r="B2026">
        <v>2</v>
      </c>
      <c r="C2026" t="s">
        <v>13</v>
      </c>
      <c r="D2026" s="1">
        <v>45351</v>
      </c>
      <c r="E2026">
        <v>686.9</v>
      </c>
      <c r="F2026">
        <v>31.82</v>
      </c>
      <c r="G2026">
        <v>19.760000000000002</v>
      </c>
      <c r="H2026">
        <v>81</v>
      </c>
      <c r="I2026" t="s">
        <v>31</v>
      </c>
      <c r="J2026">
        <v>2024</v>
      </c>
      <c r="K2026">
        <f t="shared" si="62"/>
        <v>12.059999999999999</v>
      </c>
      <c r="L2026" t="str">
        <f t="shared" si="63"/>
        <v>Banca Irpina|2|Mutui</v>
      </c>
    </row>
    <row r="2027" spans="1:12" x14ac:dyDescent="0.25">
      <c r="A2027" t="s">
        <v>30</v>
      </c>
      <c r="B2027">
        <v>2</v>
      </c>
      <c r="C2027" t="s">
        <v>15</v>
      </c>
      <c r="D2027" s="1">
        <v>45351</v>
      </c>
      <c r="E2027">
        <v>977.2</v>
      </c>
      <c r="F2027">
        <v>46.02</v>
      </c>
      <c r="G2027">
        <v>28.8</v>
      </c>
      <c r="H2027">
        <v>121</v>
      </c>
      <c r="I2027" t="s">
        <v>31</v>
      </c>
      <c r="J2027">
        <v>2024</v>
      </c>
      <c r="K2027">
        <f t="shared" si="62"/>
        <v>17.220000000000002</v>
      </c>
      <c r="L2027" t="str">
        <f t="shared" si="63"/>
        <v>Banca Irpina|2|Prestiti</v>
      </c>
    </row>
    <row r="2028" spans="1:12" x14ac:dyDescent="0.25">
      <c r="A2028" t="s">
        <v>30</v>
      </c>
      <c r="B2028">
        <v>2</v>
      </c>
      <c r="C2028" t="s">
        <v>16</v>
      </c>
      <c r="D2028" s="1">
        <v>45351</v>
      </c>
      <c r="E2028">
        <v>1279.3</v>
      </c>
      <c r="F2028">
        <v>63.05</v>
      </c>
      <c r="G2028">
        <v>39.14</v>
      </c>
      <c r="H2028">
        <v>133</v>
      </c>
      <c r="I2028" t="s">
        <v>31</v>
      </c>
      <c r="J2028">
        <v>2024</v>
      </c>
      <c r="K2028">
        <f t="shared" si="62"/>
        <v>23.909999999999997</v>
      </c>
      <c r="L2028" t="str">
        <f t="shared" si="63"/>
        <v>Banca Irpina|2|Conti</v>
      </c>
    </row>
    <row r="2029" spans="1:12" x14ac:dyDescent="0.25">
      <c r="A2029" t="s">
        <v>30</v>
      </c>
      <c r="B2029">
        <v>2</v>
      </c>
      <c r="C2029" t="s">
        <v>17</v>
      </c>
      <c r="D2029" s="1">
        <v>45351</v>
      </c>
      <c r="E2029">
        <v>1508.9</v>
      </c>
      <c r="F2029">
        <v>77.510000000000005</v>
      </c>
      <c r="G2029">
        <v>47.51</v>
      </c>
      <c r="H2029">
        <v>176</v>
      </c>
      <c r="I2029" t="s">
        <v>31</v>
      </c>
      <c r="J2029">
        <v>2024</v>
      </c>
      <c r="K2029">
        <f t="shared" si="62"/>
        <v>30.000000000000007</v>
      </c>
      <c r="L2029" t="str">
        <f t="shared" si="63"/>
        <v>Banca Irpina|2|Carte</v>
      </c>
    </row>
    <row r="2030" spans="1:12" x14ac:dyDescent="0.25">
      <c r="A2030" t="s">
        <v>30</v>
      </c>
      <c r="B2030">
        <v>2</v>
      </c>
      <c r="C2030" t="s">
        <v>18</v>
      </c>
      <c r="D2030" s="1">
        <v>45351</v>
      </c>
      <c r="E2030">
        <v>1808.6</v>
      </c>
      <c r="F2030">
        <v>96.36</v>
      </c>
      <c r="G2030">
        <v>58.79</v>
      </c>
      <c r="H2030">
        <v>195</v>
      </c>
      <c r="I2030" t="s">
        <v>31</v>
      </c>
      <c r="J2030">
        <v>2024</v>
      </c>
      <c r="K2030">
        <f t="shared" si="62"/>
        <v>37.57</v>
      </c>
      <c r="L2030" t="str">
        <f t="shared" si="63"/>
        <v>Banca Irpina|2|Leasing</v>
      </c>
    </row>
    <row r="2031" spans="1:12" x14ac:dyDescent="0.25">
      <c r="A2031" t="s">
        <v>30</v>
      </c>
      <c r="B2031">
        <v>2</v>
      </c>
      <c r="C2031" t="s">
        <v>19</v>
      </c>
      <c r="D2031" s="1">
        <v>45351</v>
      </c>
      <c r="E2031">
        <v>2031.2</v>
      </c>
      <c r="F2031">
        <v>112.44</v>
      </c>
      <c r="G2031">
        <v>67.760000000000005</v>
      </c>
      <c r="H2031">
        <v>212</v>
      </c>
      <c r="I2031" t="s">
        <v>31</v>
      </c>
      <c r="J2031">
        <v>2024</v>
      </c>
      <c r="K2031">
        <f t="shared" si="62"/>
        <v>44.679999999999993</v>
      </c>
      <c r="L2031" t="str">
        <f t="shared" si="63"/>
        <v>Banca Irpina|2|Factoring</v>
      </c>
    </row>
    <row r="2032" spans="1:12" x14ac:dyDescent="0.25">
      <c r="A2032" t="s">
        <v>30</v>
      </c>
      <c r="B2032">
        <v>2</v>
      </c>
      <c r="C2032" t="s">
        <v>20</v>
      </c>
      <c r="D2032" s="1">
        <v>45351</v>
      </c>
      <c r="E2032">
        <v>2338.3000000000002</v>
      </c>
      <c r="F2032">
        <v>134.05000000000001</v>
      </c>
      <c r="G2032">
        <v>79.58</v>
      </c>
      <c r="H2032">
        <v>264</v>
      </c>
      <c r="I2032" t="s">
        <v>31</v>
      </c>
      <c r="J2032">
        <v>2024</v>
      </c>
      <c r="K2032">
        <f t="shared" si="62"/>
        <v>54.470000000000013</v>
      </c>
      <c r="L2032" t="str">
        <f t="shared" si="63"/>
        <v>Banca Irpina|2|Risparmio</v>
      </c>
    </row>
    <row r="2033" spans="1:12" x14ac:dyDescent="0.25">
      <c r="A2033" t="s">
        <v>30</v>
      </c>
      <c r="B2033">
        <v>2</v>
      </c>
      <c r="C2033" t="s">
        <v>21</v>
      </c>
      <c r="D2033" s="1">
        <v>45351</v>
      </c>
      <c r="E2033">
        <v>2572.1</v>
      </c>
      <c r="F2033">
        <v>152.13</v>
      </c>
      <c r="G2033">
        <v>91.02</v>
      </c>
      <c r="H2033">
        <v>276</v>
      </c>
      <c r="I2033" t="s">
        <v>31</v>
      </c>
      <c r="J2033">
        <v>2024</v>
      </c>
      <c r="K2033">
        <f t="shared" si="62"/>
        <v>61.11</v>
      </c>
      <c r="L2033" t="str">
        <f t="shared" si="63"/>
        <v>Banca Irpina|2|Assicurazioni</v>
      </c>
    </row>
    <row r="2034" spans="1:12" x14ac:dyDescent="0.25">
      <c r="A2034" t="s">
        <v>30</v>
      </c>
      <c r="B2034">
        <v>3</v>
      </c>
      <c r="C2034" t="s">
        <v>13</v>
      </c>
      <c r="D2034" s="1">
        <v>45382</v>
      </c>
      <c r="E2034">
        <v>702.4</v>
      </c>
      <c r="F2034">
        <v>31.99</v>
      </c>
      <c r="G2034">
        <v>20.36</v>
      </c>
      <c r="H2034">
        <v>108</v>
      </c>
      <c r="I2034" t="s">
        <v>31</v>
      </c>
      <c r="J2034">
        <v>2024</v>
      </c>
      <c r="K2034">
        <f t="shared" si="62"/>
        <v>11.629999999999999</v>
      </c>
      <c r="L2034" t="str">
        <f t="shared" si="63"/>
        <v>Banca Irpina|3|Mutui</v>
      </c>
    </row>
    <row r="2035" spans="1:12" x14ac:dyDescent="0.25">
      <c r="A2035" t="s">
        <v>30</v>
      </c>
      <c r="B2035">
        <v>3</v>
      </c>
      <c r="C2035" t="s">
        <v>15</v>
      </c>
      <c r="D2035" s="1">
        <v>45382</v>
      </c>
      <c r="E2035">
        <v>972</v>
      </c>
      <c r="F2035">
        <v>45.82</v>
      </c>
      <c r="G2035">
        <v>29.13</v>
      </c>
      <c r="H2035">
        <v>120</v>
      </c>
      <c r="I2035" t="s">
        <v>31</v>
      </c>
      <c r="J2035">
        <v>2024</v>
      </c>
      <c r="K2035">
        <f t="shared" si="62"/>
        <v>16.690000000000001</v>
      </c>
      <c r="L2035" t="str">
        <f t="shared" si="63"/>
        <v>Banca Irpina|3|Prestiti</v>
      </c>
    </row>
    <row r="2036" spans="1:12" x14ac:dyDescent="0.25">
      <c r="A2036" t="s">
        <v>30</v>
      </c>
      <c r="B2036">
        <v>3</v>
      </c>
      <c r="C2036" t="s">
        <v>16</v>
      </c>
      <c r="D2036" s="1">
        <v>45382</v>
      </c>
      <c r="E2036">
        <v>1256.5</v>
      </c>
      <c r="F2036">
        <v>62.25</v>
      </c>
      <c r="G2036">
        <v>38.57</v>
      </c>
      <c r="H2036">
        <v>147</v>
      </c>
      <c r="I2036" t="s">
        <v>31</v>
      </c>
      <c r="J2036">
        <v>2024</v>
      </c>
      <c r="K2036">
        <f t="shared" si="62"/>
        <v>23.68</v>
      </c>
      <c r="L2036" t="str">
        <f t="shared" si="63"/>
        <v>Banca Irpina|3|Conti</v>
      </c>
    </row>
    <row r="2037" spans="1:12" x14ac:dyDescent="0.25">
      <c r="A2037" t="s">
        <v>30</v>
      </c>
      <c r="B2037">
        <v>3</v>
      </c>
      <c r="C2037" t="s">
        <v>17</v>
      </c>
      <c r="D2037" s="1">
        <v>45382</v>
      </c>
      <c r="E2037">
        <v>1535.6</v>
      </c>
      <c r="F2037">
        <v>79.31</v>
      </c>
      <c r="G2037">
        <v>47.66</v>
      </c>
      <c r="H2037">
        <v>157</v>
      </c>
      <c r="I2037" t="s">
        <v>31</v>
      </c>
      <c r="J2037">
        <v>2024</v>
      </c>
      <c r="K2037">
        <f t="shared" si="62"/>
        <v>31.650000000000006</v>
      </c>
      <c r="L2037" t="str">
        <f t="shared" si="63"/>
        <v>Banca Irpina|3|Carte</v>
      </c>
    </row>
    <row r="2038" spans="1:12" x14ac:dyDescent="0.25">
      <c r="A2038" t="s">
        <v>30</v>
      </c>
      <c r="B2038">
        <v>3</v>
      </c>
      <c r="C2038" t="s">
        <v>18</v>
      </c>
      <c r="D2038" s="1">
        <v>45382</v>
      </c>
      <c r="E2038">
        <v>1795.8</v>
      </c>
      <c r="F2038">
        <v>95.54</v>
      </c>
      <c r="G2038">
        <v>57.66</v>
      </c>
      <c r="H2038">
        <v>210</v>
      </c>
      <c r="I2038" t="s">
        <v>31</v>
      </c>
      <c r="J2038">
        <v>2024</v>
      </c>
      <c r="K2038">
        <f t="shared" si="62"/>
        <v>37.88000000000001</v>
      </c>
      <c r="L2038" t="str">
        <f t="shared" si="63"/>
        <v>Banca Irpina|3|Leasing</v>
      </c>
    </row>
    <row r="2039" spans="1:12" x14ac:dyDescent="0.25">
      <c r="A2039" t="s">
        <v>30</v>
      </c>
      <c r="B2039">
        <v>3</v>
      </c>
      <c r="C2039" t="s">
        <v>19</v>
      </c>
      <c r="D2039" s="1">
        <v>45382</v>
      </c>
      <c r="E2039">
        <v>2100</v>
      </c>
      <c r="F2039">
        <v>115.79</v>
      </c>
      <c r="G2039">
        <v>70.16</v>
      </c>
      <c r="H2039">
        <v>205</v>
      </c>
      <c r="I2039" t="s">
        <v>31</v>
      </c>
      <c r="J2039">
        <v>2024</v>
      </c>
      <c r="K2039">
        <f t="shared" si="62"/>
        <v>45.63000000000001</v>
      </c>
      <c r="L2039" t="str">
        <f t="shared" si="63"/>
        <v>Banca Irpina|3|Factoring</v>
      </c>
    </row>
    <row r="2040" spans="1:12" x14ac:dyDescent="0.25">
      <c r="A2040" t="s">
        <v>30</v>
      </c>
      <c r="B2040">
        <v>3</v>
      </c>
      <c r="C2040" t="s">
        <v>20</v>
      </c>
      <c r="D2040" s="1">
        <v>45382</v>
      </c>
      <c r="E2040">
        <v>2347</v>
      </c>
      <c r="F2040">
        <v>134.34</v>
      </c>
      <c r="G2040">
        <v>80.010000000000005</v>
      </c>
      <c r="H2040">
        <v>247</v>
      </c>
      <c r="I2040" t="s">
        <v>31</v>
      </c>
      <c r="J2040">
        <v>2024</v>
      </c>
      <c r="K2040">
        <f t="shared" si="62"/>
        <v>54.33</v>
      </c>
      <c r="L2040" t="str">
        <f t="shared" si="63"/>
        <v>Banca Irpina|3|Risparmio</v>
      </c>
    </row>
    <row r="2041" spans="1:12" x14ac:dyDescent="0.25">
      <c r="A2041" t="s">
        <v>30</v>
      </c>
      <c r="B2041">
        <v>3</v>
      </c>
      <c r="C2041" t="s">
        <v>21</v>
      </c>
      <c r="D2041" s="1">
        <v>45382</v>
      </c>
      <c r="E2041">
        <v>2640.8</v>
      </c>
      <c r="F2041">
        <v>156.62</v>
      </c>
      <c r="G2041">
        <v>93.39</v>
      </c>
      <c r="H2041">
        <v>266</v>
      </c>
      <c r="I2041" t="s">
        <v>31</v>
      </c>
      <c r="J2041">
        <v>2024</v>
      </c>
      <c r="K2041">
        <f t="shared" si="62"/>
        <v>63.230000000000004</v>
      </c>
      <c r="L2041" t="str">
        <f t="shared" si="63"/>
        <v>Banca Irpina|3|Assicurazioni</v>
      </c>
    </row>
    <row r="2042" spans="1:12" x14ac:dyDescent="0.25">
      <c r="A2042" t="s">
        <v>30</v>
      </c>
      <c r="B2042">
        <v>4</v>
      </c>
      <c r="C2042" t="s">
        <v>13</v>
      </c>
      <c r="D2042" s="1">
        <v>45412</v>
      </c>
      <c r="E2042">
        <v>740</v>
      </c>
      <c r="F2042">
        <v>34.08</v>
      </c>
      <c r="G2042">
        <v>20.86</v>
      </c>
      <c r="H2042">
        <v>104</v>
      </c>
      <c r="I2042" t="s">
        <v>31</v>
      </c>
      <c r="J2042">
        <v>2024</v>
      </c>
      <c r="K2042">
        <f t="shared" si="62"/>
        <v>13.219999999999999</v>
      </c>
      <c r="L2042" t="str">
        <f t="shared" si="63"/>
        <v>Banca Irpina|4|Mutui</v>
      </c>
    </row>
    <row r="2043" spans="1:12" x14ac:dyDescent="0.25">
      <c r="A2043" t="s">
        <v>30</v>
      </c>
      <c r="B2043">
        <v>4</v>
      </c>
      <c r="C2043" t="s">
        <v>15</v>
      </c>
      <c r="D2043" s="1">
        <v>45412</v>
      </c>
      <c r="E2043">
        <v>973.7</v>
      </c>
      <c r="F2043">
        <v>46.66</v>
      </c>
      <c r="G2043">
        <v>28.69</v>
      </c>
      <c r="H2043">
        <v>109</v>
      </c>
      <c r="I2043" t="s">
        <v>31</v>
      </c>
      <c r="J2043">
        <v>2024</v>
      </c>
      <c r="K2043">
        <f t="shared" si="62"/>
        <v>17.969999999999995</v>
      </c>
      <c r="L2043" t="str">
        <f t="shared" si="63"/>
        <v>Banca Irpina|4|Prestiti</v>
      </c>
    </row>
    <row r="2044" spans="1:12" x14ac:dyDescent="0.25">
      <c r="A2044" t="s">
        <v>30</v>
      </c>
      <c r="B2044">
        <v>4</v>
      </c>
      <c r="C2044" t="s">
        <v>16</v>
      </c>
      <c r="D2044" s="1">
        <v>45412</v>
      </c>
      <c r="E2044">
        <v>1276.4000000000001</v>
      </c>
      <c r="F2044">
        <v>62.87</v>
      </c>
      <c r="G2044">
        <v>39.11</v>
      </c>
      <c r="H2044">
        <v>127</v>
      </c>
      <c r="I2044" t="s">
        <v>31</v>
      </c>
      <c r="J2044">
        <v>2024</v>
      </c>
      <c r="K2044">
        <f t="shared" si="62"/>
        <v>23.759999999999998</v>
      </c>
      <c r="L2044" t="str">
        <f t="shared" si="63"/>
        <v>Banca Irpina|4|Conti</v>
      </c>
    </row>
    <row r="2045" spans="1:12" x14ac:dyDescent="0.25">
      <c r="A2045" t="s">
        <v>30</v>
      </c>
      <c r="B2045">
        <v>4</v>
      </c>
      <c r="C2045" t="s">
        <v>17</v>
      </c>
      <c r="D2045" s="1">
        <v>45412</v>
      </c>
      <c r="E2045">
        <v>1550.5</v>
      </c>
      <c r="F2045">
        <v>79.27</v>
      </c>
      <c r="G2045">
        <v>48.89</v>
      </c>
      <c r="H2045">
        <v>189</v>
      </c>
      <c r="I2045" t="s">
        <v>31</v>
      </c>
      <c r="J2045">
        <v>2024</v>
      </c>
      <c r="K2045">
        <f t="shared" si="62"/>
        <v>30.379999999999995</v>
      </c>
      <c r="L2045" t="str">
        <f t="shared" si="63"/>
        <v>Banca Irpina|4|Carte</v>
      </c>
    </row>
    <row r="2046" spans="1:12" x14ac:dyDescent="0.25">
      <c r="A2046" t="s">
        <v>30</v>
      </c>
      <c r="B2046">
        <v>4</v>
      </c>
      <c r="C2046" t="s">
        <v>18</v>
      </c>
      <c r="D2046" s="1">
        <v>45412</v>
      </c>
      <c r="E2046">
        <v>1822.4</v>
      </c>
      <c r="F2046">
        <v>96.86</v>
      </c>
      <c r="G2046">
        <v>59.17</v>
      </c>
      <c r="H2046">
        <v>215</v>
      </c>
      <c r="I2046" t="s">
        <v>31</v>
      </c>
      <c r="J2046">
        <v>2024</v>
      </c>
      <c r="K2046">
        <f t="shared" si="62"/>
        <v>37.69</v>
      </c>
      <c r="L2046" t="str">
        <f t="shared" si="63"/>
        <v>Banca Irpina|4|Leasing</v>
      </c>
    </row>
    <row r="2047" spans="1:12" x14ac:dyDescent="0.25">
      <c r="A2047" t="s">
        <v>30</v>
      </c>
      <c r="B2047">
        <v>4</v>
      </c>
      <c r="C2047" t="s">
        <v>19</v>
      </c>
      <c r="D2047" s="1">
        <v>45412</v>
      </c>
      <c r="E2047">
        <v>2057.6999999999998</v>
      </c>
      <c r="F2047">
        <v>113.65</v>
      </c>
      <c r="G2047">
        <v>68.31</v>
      </c>
      <c r="H2047">
        <v>227</v>
      </c>
      <c r="I2047" t="s">
        <v>31</v>
      </c>
      <c r="J2047">
        <v>2024</v>
      </c>
      <c r="K2047">
        <f t="shared" si="62"/>
        <v>45.34</v>
      </c>
      <c r="L2047" t="str">
        <f t="shared" si="63"/>
        <v>Banca Irpina|4|Factoring</v>
      </c>
    </row>
    <row r="2048" spans="1:12" x14ac:dyDescent="0.25">
      <c r="A2048" t="s">
        <v>30</v>
      </c>
      <c r="B2048">
        <v>4</v>
      </c>
      <c r="C2048" t="s">
        <v>20</v>
      </c>
      <c r="D2048" s="1">
        <v>45412</v>
      </c>
      <c r="E2048">
        <v>2360.6</v>
      </c>
      <c r="F2048">
        <v>134.59</v>
      </c>
      <c r="G2048">
        <v>81.03</v>
      </c>
      <c r="H2048">
        <v>246</v>
      </c>
      <c r="I2048" t="s">
        <v>31</v>
      </c>
      <c r="J2048">
        <v>2024</v>
      </c>
      <c r="K2048">
        <f t="shared" si="62"/>
        <v>53.56</v>
      </c>
      <c r="L2048" t="str">
        <f t="shared" si="63"/>
        <v>Banca Irpina|4|Risparmio</v>
      </c>
    </row>
    <row r="2049" spans="1:12" x14ac:dyDescent="0.25">
      <c r="A2049" t="s">
        <v>30</v>
      </c>
      <c r="B2049">
        <v>4</v>
      </c>
      <c r="C2049" t="s">
        <v>21</v>
      </c>
      <c r="D2049" s="1">
        <v>45412</v>
      </c>
      <c r="E2049">
        <v>2635</v>
      </c>
      <c r="F2049">
        <v>155.68</v>
      </c>
      <c r="G2049">
        <v>92.56</v>
      </c>
      <c r="H2049">
        <v>285</v>
      </c>
      <c r="I2049" t="s">
        <v>31</v>
      </c>
      <c r="J2049">
        <v>2024</v>
      </c>
      <c r="K2049">
        <f t="shared" si="62"/>
        <v>63.120000000000005</v>
      </c>
      <c r="L2049" t="str">
        <f t="shared" si="63"/>
        <v>Banca Irpina|4|Assicurazioni</v>
      </c>
    </row>
    <row r="2050" spans="1:12" x14ac:dyDescent="0.25">
      <c r="A2050" t="s">
        <v>30</v>
      </c>
      <c r="B2050">
        <v>5</v>
      </c>
      <c r="C2050" t="s">
        <v>13</v>
      </c>
      <c r="D2050" s="1">
        <v>45443</v>
      </c>
      <c r="E2050">
        <v>740.4</v>
      </c>
      <c r="F2050">
        <v>34.15</v>
      </c>
      <c r="G2050">
        <v>21.29</v>
      </c>
      <c r="H2050">
        <v>89</v>
      </c>
      <c r="I2050" t="s">
        <v>31</v>
      </c>
      <c r="J2050">
        <v>2024</v>
      </c>
      <c r="K2050">
        <f t="shared" ref="K2050:K2113" si="64">F2050-G2050</f>
        <v>12.86</v>
      </c>
      <c r="L2050" t="str">
        <f t="shared" ref="L2050:L2113" si="65">A2050&amp;"|"&amp;B2050&amp;"|"&amp;C2050</f>
        <v>Banca Irpina|5|Mutui</v>
      </c>
    </row>
    <row r="2051" spans="1:12" x14ac:dyDescent="0.25">
      <c r="A2051" t="s">
        <v>30</v>
      </c>
      <c r="B2051">
        <v>5</v>
      </c>
      <c r="C2051" t="s">
        <v>15</v>
      </c>
      <c r="D2051" s="1">
        <v>45443</v>
      </c>
      <c r="E2051">
        <v>1027.2</v>
      </c>
      <c r="F2051">
        <v>49.02</v>
      </c>
      <c r="G2051">
        <v>29.88</v>
      </c>
      <c r="H2051">
        <v>130</v>
      </c>
      <c r="I2051" t="s">
        <v>31</v>
      </c>
      <c r="J2051">
        <v>2024</v>
      </c>
      <c r="K2051">
        <f t="shared" si="64"/>
        <v>19.140000000000004</v>
      </c>
      <c r="L2051" t="str">
        <f t="shared" si="65"/>
        <v>Banca Irpina|5|Prestiti</v>
      </c>
    </row>
    <row r="2052" spans="1:12" x14ac:dyDescent="0.25">
      <c r="A2052" t="s">
        <v>30</v>
      </c>
      <c r="B2052">
        <v>5</v>
      </c>
      <c r="C2052" t="s">
        <v>16</v>
      </c>
      <c r="D2052" s="1">
        <v>45443</v>
      </c>
      <c r="E2052">
        <v>1279.4000000000001</v>
      </c>
      <c r="F2052">
        <v>63.68</v>
      </c>
      <c r="G2052">
        <v>39.36</v>
      </c>
      <c r="H2052">
        <v>149</v>
      </c>
      <c r="I2052" t="s">
        <v>31</v>
      </c>
      <c r="J2052">
        <v>2024</v>
      </c>
      <c r="K2052">
        <f t="shared" si="64"/>
        <v>24.32</v>
      </c>
      <c r="L2052" t="str">
        <f t="shared" si="65"/>
        <v>Banca Irpina|5|Conti</v>
      </c>
    </row>
    <row r="2053" spans="1:12" x14ac:dyDescent="0.25">
      <c r="A2053" t="s">
        <v>30</v>
      </c>
      <c r="B2053">
        <v>5</v>
      </c>
      <c r="C2053" t="s">
        <v>17</v>
      </c>
      <c r="D2053" s="1">
        <v>45443</v>
      </c>
      <c r="E2053">
        <v>1563.6</v>
      </c>
      <c r="F2053">
        <v>80.67</v>
      </c>
      <c r="G2053">
        <v>48.63</v>
      </c>
      <c r="H2053">
        <v>183</v>
      </c>
      <c r="I2053" t="s">
        <v>31</v>
      </c>
      <c r="J2053">
        <v>2024</v>
      </c>
      <c r="K2053">
        <f t="shared" si="64"/>
        <v>32.04</v>
      </c>
      <c r="L2053" t="str">
        <f t="shared" si="65"/>
        <v>Banca Irpina|5|Carte</v>
      </c>
    </row>
    <row r="2054" spans="1:12" x14ac:dyDescent="0.25">
      <c r="A2054" t="s">
        <v>30</v>
      </c>
      <c r="B2054">
        <v>5</v>
      </c>
      <c r="C2054" t="s">
        <v>18</v>
      </c>
      <c r="D2054" s="1">
        <v>45443</v>
      </c>
      <c r="E2054">
        <v>1859.2</v>
      </c>
      <c r="F2054">
        <v>99.03</v>
      </c>
      <c r="G2054">
        <v>60.32</v>
      </c>
      <c r="H2054">
        <v>207</v>
      </c>
      <c r="I2054" t="s">
        <v>31</v>
      </c>
      <c r="J2054">
        <v>2024</v>
      </c>
      <c r="K2054">
        <f t="shared" si="64"/>
        <v>38.71</v>
      </c>
      <c r="L2054" t="str">
        <f t="shared" si="65"/>
        <v>Banca Irpina|5|Leasing</v>
      </c>
    </row>
    <row r="2055" spans="1:12" x14ac:dyDescent="0.25">
      <c r="A2055" t="s">
        <v>30</v>
      </c>
      <c r="B2055">
        <v>5</v>
      </c>
      <c r="C2055" t="s">
        <v>19</v>
      </c>
      <c r="D2055" s="1">
        <v>45443</v>
      </c>
      <c r="E2055">
        <v>2123.5</v>
      </c>
      <c r="F2055">
        <v>117.35</v>
      </c>
      <c r="G2055">
        <v>70.44</v>
      </c>
      <c r="H2055">
        <v>225</v>
      </c>
      <c r="I2055" t="s">
        <v>31</v>
      </c>
      <c r="J2055">
        <v>2024</v>
      </c>
      <c r="K2055">
        <f t="shared" si="64"/>
        <v>46.91</v>
      </c>
      <c r="L2055" t="str">
        <f t="shared" si="65"/>
        <v>Banca Irpina|5|Factoring</v>
      </c>
    </row>
    <row r="2056" spans="1:12" x14ac:dyDescent="0.25">
      <c r="A2056" t="s">
        <v>30</v>
      </c>
      <c r="B2056">
        <v>5</v>
      </c>
      <c r="C2056" t="s">
        <v>20</v>
      </c>
      <c r="D2056" s="1">
        <v>45443</v>
      </c>
      <c r="E2056">
        <v>2397.5</v>
      </c>
      <c r="F2056">
        <v>137.51</v>
      </c>
      <c r="G2056">
        <v>81.58</v>
      </c>
      <c r="H2056">
        <v>242</v>
      </c>
      <c r="I2056" t="s">
        <v>31</v>
      </c>
      <c r="J2056">
        <v>2024</v>
      </c>
      <c r="K2056">
        <f t="shared" si="64"/>
        <v>55.929999999999993</v>
      </c>
      <c r="L2056" t="str">
        <f t="shared" si="65"/>
        <v>Banca Irpina|5|Risparmio</v>
      </c>
    </row>
    <row r="2057" spans="1:12" x14ac:dyDescent="0.25">
      <c r="A2057" t="s">
        <v>30</v>
      </c>
      <c r="B2057">
        <v>5</v>
      </c>
      <c r="C2057" t="s">
        <v>21</v>
      </c>
      <c r="D2057" s="1">
        <v>45443</v>
      </c>
      <c r="E2057">
        <v>2680.8</v>
      </c>
      <c r="F2057">
        <v>158.88</v>
      </c>
      <c r="G2057">
        <v>94.19</v>
      </c>
      <c r="H2057">
        <v>260</v>
      </c>
      <c r="I2057" t="s">
        <v>31</v>
      </c>
      <c r="J2057">
        <v>2024</v>
      </c>
      <c r="K2057">
        <f t="shared" si="64"/>
        <v>64.69</v>
      </c>
      <c r="L2057" t="str">
        <f t="shared" si="65"/>
        <v>Banca Irpina|5|Assicurazioni</v>
      </c>
    </row>
    <row r="2058" spans="1:12" x14ac:dyDescent="0.25">
      <c r="A2058" t="s">
        <v>30</v>
      </c>
      <c r="B2058">
        <v>6</v>
      </c>
      <c r="C2058" t="s">
        <v>13</v>
      </c>
      <c r="D2058" s="1">
        <v>45473</v>
      </c>
      <c r="E2058">
        <v>763.7</v>
      </c>
      <c r="F2058">
        <v>34.75</v>
      </c>
      <c r="G2058">
        <v>21.94</v>
      </c>
      <c r="H2058">
        <v>75</v>
      </c>
      <c r="I2058" t="s">
        <v>31</v>
      </c>
      <c r="J2058">
        <v>2024</v>
      </c>
      <c r="K2058">
        <f t="shared" si="64"/>
        <v>12.809999999999999</v>
      </c>
      <c r="L2058" t="str">
        <f t="shared" si="65"/>
        <v>Banca Irpina|6|Mutui</v>
      </c>
    </row>
    <row r="2059" spans="1:12" x14ac:dyDescent="0.25">
      <c r="A2059" t="s">
        <v>30</v>
      </c>
      <c r="B2059">
        <v>6</v>
      </c>
      <c r="C2059" t="s">
        <v>15</v>
      </c>
      <c r="D2059" s="1">
        <v>45473</v>
      </c>
      <c r="E2059">
        <v>1022.7</v>
      </c>
      <c r="F2059">
        <v>48.12</v>
      </c>
      <c r="G2059">
        <v>29.77</v>
      </c>
      <c r="H2059">
        <v>129</v>
      </c>
      <c r="I2059" t="s">
        <v>31</v>
      </c>
      <c r="J2059">
        <v>2024</v>
      </c>
      <c r="K2059">
        <f t="shared" si="64"/>
        <v>18.349999999999998</v>
      </c>
      <c r="L2059" t="str">
        <f t="shared" si="65"/>
        <v>Banca Irpina|6|Prestiti</v>
      </c>
    </row>
    <row r="2060" spans="1:12" x14ac:dyDescent="0.25">
      <c r="A2060" t="s">
        <v>30</v>
      </c>
      <c r="B2060">
        <v>6</v>
      </c>
      <c r="C2060" t="s">
        <v>16</v>
      </c>
      <c r="D2060" s="1">
        <v>45473</v>
      </c>
      <c r="E2060">
        <v>1317.3</v>
      </c>
      <c r="F2060">
        <v>64.61</v>
      </c>
      <c r="G2060">
        <v>40.01</v>
      </c>
      <c r="H2060">
        <v>153</v>
      </c>
      <c r="I2060" t="s">
        <v>31</v>
      </c>
      <c r="J2060">
        <v>2024</v>
      </c>
      <c r="K2060">
        <f t="shared" si="64"/>
        <v>24.6</v>
      </c>
      <c r="L2060" t="str">
        <f t="shared" si="65"/>
        <v>Banca Irpina|6|Conti</v>
      </c>
    </row>
    <row r="2061" spans="1:12" x14ac:dyDescent="0.25">
      <c r="A2061" t="s">
        <v>30</v>
      </c>
      <c r="B2061">
        <v>6</v>
      </c>
      <c r="C2061" t="s">
        <v>17</v>
      </c>
      <c r="D2061" s="1">
        <v>45473</v>
      </c>
      <c r="E2061">
        <v>1584.1</v>
      </c>
      <c r="F2061">
        <v>80.8</v>
      </c>
      <c r="G2061">
        <v>49.87</v>
      </c>
      <c r="H2061">
        <v>176</v>
      </c>
      <c r="I2061" t="s">
        <v>31</v>
      </c>
      <c r="J2061">
        <v>2024</v>
      </c>
      <c r="K2061">
        <f t="shared" si="64"/>
        <v>30.93</v>
      </c>
      <c r="L2061" t="str">
        <f t="shared" si="65"/>
        <v>Banca Irpina|6|Carte</v>
      </c>
    </row>
    <row r="2062" spans="1:12" x14ac:dyDescent="0.25">
      <c r="A2062" t="s">
        <v>30</v>
      </c>
      <c r="B2062">
        <v>6</v>
      </c>
      <c r="C2062" t="s">
        <v>18</v>
      </c>
      <c r="D2062" s="1">
        <v>45473</v>
      </c>
      <c r="E2062">
        <v>1823</v>
      </c>
      <c r="F2062">
        <v>96.99</v>
      </c>
      <c r="G2062">
        <v>58.84</v>
      </c>
      <c r="H2062">
        <v>177</v>
      </c>
      <c r="I2062" t="s">
        <v>31</v>
      </c>
      <c r="J2062">
        <v>2024</v>
      </c>
      <c r="K2062">
        <f t="shared" si="64"/>
        <v>38.149999999999991</v>
      </c>
      <c r="L2062" t="str">
        <f t="shared" si="65"/>
        <v>Banca Irpina|6|Leasing</v>
      </c>
    </row>
    <row r="2063" spans="1:12" x14ac:dyDescent="0.25">
      <c r="A2063" t="s">
        <v>30</v>
      </c>
      <c r="B2063">
        <v>6</v>
      </c>
      <c r="C2063" t="s">
        <v>19</v>
      </c>
      <c r="D2063" s="1">
        <v>45473</v>
      </c>
      <c r="E2063">
        <v>2101</v>
      </c>
      <c r="F2063">
        <v>116.47</v>
      </c>
      <c r="G2063">
        <v>69.97</v>
      </c>
      <c r="H2063">
        <v>229</v>
      </c>
      <c r="I2063" t="s">
        <v>31</v>
      </c>
      <c r="J2063">
        <v>2024</v>
      </c>
      <c r="K2063">
        <f t="shared" si="64"/>
        <v>46.5</v>
      </c>
      <c r="L2063" t="str">
        <f t="shared" si="65"/>
        <v>Banca Irpina|6|Factoring</v>
      </c>
    </row>
    <row r="2064" spans="1:12" x14ac:dyDescent="0.25">
      <c r="A2064" t="s">
        <v>30</v>
      </c>
      <c r="B2064">
        <v>6</v>
      </c>
      <c r="C2064" t="s">
        <v>20</v>
      </c>
      <c r="D2064" s="1">
        <v>45473</v>
      </c>
      <c r="E2064">
        <v>2389.3000000000002</v>
      </c>
      <c r="F2064">
        <v>136.76</v>
      </c>
      <c r="G2064">
        <v>81.260000000000005</v>
      </c>
      <c r="H2064">
        <v>265</v>
      </c>
      <c r="I2064" t="s">
        <v>31</v>
      </c>
      <c r="J2064">
        <v>2024</v>
      </c>
      <c r="K2064">
        <f t="shared" si="64"/>
        <v>55.499999999999986</v>
      </c>
      <c r="L2064" t="str">
        <f t="shared" si="65"/>
        <v>Banca Irpina|6|Risparmio</v>
      </c>
    </row>
    <row r="2065" spans="1:12" x14ac:dyDescent="0.25">
      <c r="A2065" t="s">
        <v>30</v>
      </c>
      <c r="B2065">
        <v>6</v>
      </c>
      <c r="C2065" t="s">
        <v>21</v>
      </c>
      <c r="D2065" s="1">
        <v>45473</v>
      </c>
      <c r="E2065">
        <v>2681.4</v>
      </c>
      <c r="F2065">
        <v>159.13999999999999</v>
      </c>
      <c r="G2065">
        <v>94.53</v>
      </c>
      <c r="H2065">
        <v>260</v>
      </c>
      <c r="I2065" t="s">
        <v>31</v>
      </c>
      <c r="J2065">
        <v>2024</v>
      </c>
      <c r="K2065">
        <f t="shared" si="64"/>
        <v>64.609999999999985</v>
      </c>
      <c r="L2065" t="str">
        <f t="shared" si="65"/>
        <v>Banca Irpina|6|Assicurazioni</v>
      </c>
    </row>
    <row r="2066" spans="1:12" x14ac:dyDescent="0.25">
      <c r="A2066" t="s">
        <v>30</v>
      </c>
      <c r="B2066">
        <v>7</v>
      </c>
      <c r="C2066" t="s">
        <v>13</v>
      </c>
      <c r="D2066" s="1">
        <v>45504</v>
      </c>
      <c r="E2066">
        <v>715.6</v>
      </c>
      <c r="F2066">
        <v>32.65</v>
      </c>
      <c r="G2066">
        <v>20.6</v>
      </c>
      <c r="H2066">
        <v>95</v>
      </c>
      <c r="I2066" t="s">
        <v>31</v>
      </c>
      <c r="J2066">
        <v>2024</v>
      </c>
      <c r="K2066">
        <f t="shared" si="64"/>
        <v>12.049999999999997</v>
      </c>
      <c r="L2066" t="str">
        <f t="shared" si="65"/>
        <v>Banca Irpina|7|Mutui</v>
      </c>
    </row>
    <row r="2067" spans="1:12" x14ac:dyDescent="0.25">
      <c r="A2067" t="s">
        <v>30</v>
      </c>
      <c r="B2067">
        <v>7</v>
      </c>
      <c r="C2067" t="s">
        <v>15</v>
      </c>
      <c r="D2067" s="1">
        <v>45504</v>
      </c>
      <c r="E2067">
        <v>1047.9000000000001</v>
      </c>
      <c r="F2067">
        <v>49.61</v>
      </c>
      <c r="G2067">
        <v>30.69</v>
      </c>
      <c r="H2067">
        <v>118</v>
      </c>
      <c r="I2067" t="s">
        <v>31</v>
      </c>
      <c r="J2067">
        <v>2024</v>
      </c>
      <c r="K2067">
        <f t="shared" si="64"/>
        <v>18.919999999999998</v>
      </c>
      <c r="L2067" t="str">
        <f t="shared" si="65"/>
        <v>Banca Irpina|7|Prestiti</v>
      </c>
    </row>
    <row r="2068" spans="1:12" x14ac:dyDescent="0.25">
      <c r="A2068" t="s">
        <v>30</v>
      </c>
      <c r="B2068">
        <v>7</v>
      </c>
      <c r="C2068" t="s">
        <v>16</v>
      </c>
      <c r="D2068" s="1">
        <v>45504</v>
      </c>
      <c r="E2068">
        <v>1317.5</v>
      </c>
      <c r="F2068">
        <v>65.510000000000005</v>
      </c>
      <c r="G2068">
        <v>40.22</v>
      </c>
      <c r="H2068">
        <v>161</v>
      </c>
      <c r="I2068" t="s">
        <v>31</v>
      </c>
      <c r="J2068">
        <v>2024</v>
      </c>
      <c r="K2068">
        <f t="shared" si="64"/>
        <v>25.290000000000006</v>
      </c>
      <c r="L2068" t="str">
        <f t="shared" si="65"/>
        <v>Banca Irpina|7|Conti</v>
      </c>
    </row>
    <row r="2069" spans="1:12" x14ac:dyDescent="0.25">
      <c r="A2069" t="s">
        <v>30</v>
      </c>
      <c r="B2069">
        <v>7</v>
      </c>
      <c r="C2069" t="s">
        <v>17</v>
      </c>
      <c r="D2069" s="1">
        <v>45504</v>
      </c>
      <c r="E2069">
        <v>1573.9</v>
      </c>
      <c r="F2069">
        <v>81.150000000000006</v>
      </c>
      <c r="G2069">
        <v>49.31</v>
      </c>
      <c r="H2069">
        <v>188</v>
      </c>
      <c r="I2069" t="s">
        <v>31</v>
      </c>
      <c r="J2069">
        <v>2024</v>
      </c>
      <c r="K2069">
        <f t="shared" si="64"/>
        <v>31.840000000000003</v>
      </c>
      <c r="L2069" t="str">
        <f t="shared" si="65"/>
        <v>Banca Irpina|7|Carte</v>
      </c>
    </row>
    <row r="2070" spans="1:12" x14ac:dyDescent="0.25">
      <c r="A2070" t="s">
        <v>30</v>
      </c>
      <c r="B2070">
        <v>7</v>
      </c>
      <c r="C2070" t="s">
        <v>18</v>
      </c>
      <c r="D2070" s="1">
        <v>45504</v>
      </c>
      <c r="E2070">
        <v>1866.4</v>
      </c>
      <c r="F2070">
        <v>99.34</v>
      </c>
      <c r="G2070">
        <v>60.16</v>
      </c>
      <c r="H2070">
        <v>193</v>
      </c>
      <c r="I2070" t="s">
        <v>31</v>
      </c>
      <c r="J2070">
        <v>2024</v>
      </c>
      <c r="K2070">
        <f t="shared" si="64"/>
        <v>39.180000000000007</v>
      </c>
      <c r="L2070" t="str">
        <f t="shared" si="65"/>
        <v>Banca Irpina|7|Leasing</v>
      </c>
    </row>
    <row r="2071" spans="1:12" x14ac:dyDescent="0.25">
      <c r="A2071" t="s">
        <v>30</v>
      </c>
      <c r="B2071">
        <v>7</v>
      </c>
      <c r="C2071" t="s">
        <v>19</v>
      </c>
      <c r="D2071" s="1">
        <v>45504</v>
      </c>
      <c r="E2071">
        <v>2109.4</v>
      </c>
      <c r="F2071">
        <v>116.06</v>
      </c>
      <c r="G2071">
        <v>70.2</v>
      </c>
      <c r="H2071">
        <v>207</v>
      </c>
      <c r="I2071" t="s">
        <v>31</v>
      </c>
      <c r="J2071">
        <v>2024</v>
      </c>
      <c r="K2071">
        <f t="shared" si="64"/>
        <v>45.86</v>
      </c>
      <c r="L2071" t="str">
        <f t="shared" si="65"/>
        <v>Banca Irpina|7|Factoring</v>
      </c>
    </row>
    <row r="2072" spans="1:12" x14ac:dyDescent="0.25">
      <c r="A2072" t="s">
        <v>30</v>
      </c>
      <c r="B2072">
        <v>7</v>
      </c>
      <c r="C2072" t="s">
        <v>20</v>
      </c>
      <c r="D2072" s="1">
        <v>45504</v>
      </c>
      <c r="E2072">
        <v>2404</v>
      </c>
      <c r="F2072">
        <v>137.36000000000001</v>
      </c>
      <c r="G2072">
        <v>82.35</v>
      </c>
      <c r="H2072">
        <v>253</v>
      </c>
      <c r="I2072" t="s">
        <v>31</v>
      </c>
      <c r="J2072">
        <v>2024</v>
      </c>
      <c r="K2072">
        <f t="shared" si="64"/>
        <v>55.010000000000019</v>
      </c>
      <c r="L2072" t="str">
        <f t="shared" si="65"/>
        <v>Banca Irpina|7|Risparmio</v>
      </c>
    </row>
    <row r="2073" spans="1:12" x14ac:dyDescent="0.25">
      <c r="A2073" t="s">
        <v>30</v>
      </c>
      <c r="B2073">
        <v>7</v>
      </c>
      <c r="C2073" t="s">
        <v>21</v>
      </c>
      <c r="D2073" s="1">
        <v>45504</v>
      </c>
      <c r="E2073">
        <v>2693.5</v>
      </c>
      <c r="F2073">
        <v>159.72999999999999</v>
      </c>
      <c r="G2073">
        <v>95.13</v>
      </c>
      <c r="H2073">
        <v>258</v>
      </c>
      <c r="I2073" t="s">
        <v>31</v>
      </c>
      <c r="J2073">
        <v>2024</v>
      </c>
      <c r="K2073">
        <f t="shared" si="64"/>
        <v>64.599999999999994</v>
      </c>
      <c r="L2073" t="str">
        <f t="shared" si="65"/>
        <v>Banca Irpina|7|Assicurazioni</v>
      </c>
    </row>
    <row r="2074" spans="1:12" x14ac:dyDescent="0.25">
      <c r="A2074" t="s">
        <v>30</v>
      </c>
      <c r="B2074">
        <v>8</v>
      </c>
      <c r="C2074" t="s">
        <v>13</v>
      </c>
      <c r="D2074" s="1">
        <v>45535</v>
      </c>
      <c r="E2074">
        <v>776.3</v>
      </c>
      <c r="F2074">
        <v>35.549999999999997</v>
      </c>
      <c r="G2074">
        <v>21.83</v>
      </c>
      <c r="H2074">
        <v>105</v>
      </c>
      <c r="I2074" t="s">
        <v>31</v>
      </c>
      <c r="J2074">
        <v>2024</v>
      </c>
      <c r="K2074">
        <f t="shared" si="64"/>
        <v>13.719999999999999</v>
      </c>
      <c r="L2074" t="str">
        <f t="shared" si="65"/>
        <v>Banca Irpina|8|Mutui</v>
      </c>
    </row>
    <row r="2075" spans="1:12" x14ac:dyDescent="0.25">
      <c r="A2075" t="s">
        <v>30</v>
      </c>
      <c r="B2075">
        <v>8</v>
      </c>
      <c r="C2075" t="s">
        <v>15</v>
      </c>
      <c r="D2075" s="1">
        <v>45535</v>
      </c>
      <c r="E2075">
        <v>1007.3</v>
      </c>
      <c r="F2075">
        <v>48.21</v>
      </c>
      <c r="G2075">
        <v>29.27</v>
      </c>
      <c r="H2075">
        <v>116</v>
      </c>
      <c r="I2075" t="s">
        <v>31</v>
      </c>
      <c r="J2075">
        <v>2024</v>
      </c>
      <c r="K2075">
        <f t="shared" si="64"/>
        <v>18.940000000000001</v>
      </c>
      <c r="L2075" t="str">
        <f t="shared" si="65"/>
        <v>Banca Irpina|8|Prestiti</v>
      </c>
    </row>
    <row r="2076" spans="1:12" x14ac:dyDescent="0.25">
      <c r="A2076" t="s">
        <v>30</v>
      </c>
      <c r="B2076">
        <v>8</v>
      </c>
      <c r="C2076" t="s">
        <v>16</v>
      </c>
      <c r="D2076" s="1">
        <v>45535</v>
      </c>
      <c r="E2076">
        <v>1319.7</v>
      </c>
      <c r="F2076">
        <v>65.069999999999993</v>
      </c>
      <c r="G2076">
        <v>40.31</v>
      </c>
      <c r="H2076">
        <v>143</v>
      </c>
      <c r="I2076" t="s">
        <v>31</v>
      </c>
      <c r="J2076">
        <v>2024</v>
      </c>
      <c r="K2076">
        <f t="shared" si="64"/>
        <v>24.759999999999991</v>
      </c>
      <c r="L2076" t="str">
        <f t="shared" si="65"/>
        <v>Banca Irpina|8|Conti</v>
      </c>
    </row>
    <row r="2077" spans="1:12" x14ac:dyDescent="0.25">
      <c r="A2077" t="s">
        <v>30</v>
      </c>
      <c r="B2077">
        <v>8</v>
      </c>
      <c r="C2077" t="s">
        <v>17</v>
      </c>
      <c r="D2077" s="1">
        <v>45535</v>
      </c>
      <c r="E2077">
        <v>1571.1</v>
      </c>
      <c r="F2077">
        <v>80.13</v>
      </c>
      <c r="G2077">
        <v>48.83</v>
      </c>
      <c r="H2077">
        <v>173</v>
      </c>
      <c r="I2077" t="s">
        <v>31</v>
      </c>
      <c r="J2077">
        <v>2024</v>
      </c>
      <c r="K2077">
        <f t="shared" si="64"/>
        <v>31.299999999999997</v>
      </c>
      <c r="L2077" t="str">
        <f t="shared" si="65"/>
        <v>Banca Irpina|8|Carte</v>
      </c>
    </row>
    <row r="2078" spans="1:12" x14ac:dyDescent="0.25">
      <c r="A2078" t="s">
        <v>30</v>
      </c>
      <c r="B2078">
        <v>8</v>
      </c>
      <c r="C2078" t="s">
        <v>18</v>
      </c>
      <c r="D2078" s="1">
        <v>45535</v>
      </c>
      <c r="E2078">
        <v>1878.8</v>
      </c>
      <c r="F2078">
        <v>100.35</v>
      </c>
      <c r="G2078">
        <v>60.29</v>
      </c>
      <c r="H2078">
        <v>184</v>
      </c>
      <c r="I2078" t="s">
        <v>31</v>
      </c>
      <c r="J2078">
        <v>2024</v>
      </c>
      <c r="K2078">
        <f t="shared" si="64"/>
        <v>40.059999999999995</v>
      </c>
      <c r="L2078" t="str">
        <f t="shared" si="65"/>
        <v>Banca Irpina|8|Leasing</v>
      </c>
    </row>
    <row r="2079" spans="1:12" x14ac:dyDescent="0.25">
      <c r="A2079" t="s">
        <v>30</v>
      </c>
      <c r="B2079">
        <v>8</v>
      </c>
      <c r="C2079" t="s">
        <v>19</v>
      </c>
      <c r="D2079" s="1">
        <v>45535</v>
      </c>
      <c r="E2079">
        <v>2155.1999999999998</v>
      </c>
      <c r="F2079">
        <v>118.87</v>
      </c>
      <c r="G2079">
        <v>71.2</v>
      </c>
      <c r="H2079">
        <v>220</v>
      </c>
      <c r="I2079" t="s">
        <v>31</v>
      </c>
      <c r="J2079">
        <v>2024</v>
      </c>
      <c r="K2079">
        <f t="shared" si="64"/>
        <v>47.67</v>
      </c>
      <c r="L2079" t="str">
        <f t="shared" si="65"/>
        <v>Banca Irpina|8|Factoring</v>
      </c>
    </row>
    <row r="2080" spans="1:12" x14ac:dyDescent="0.25">
      <c r="A2080" t="s">
        <v>30</v>
      </c>
      <c r="B2080">
        <v>8</v>
      </c>
      <c r="C2080" t="s">
        <v>20</v>
      </c>
      <c r="D2080" s="1">
        <v>45535</v>
      </c>
      <c r="E2080">
        <v>2423.1999999999998</v>
      </c>
      <c r="F2080">
        <v>138.15</v>
      </c>
      <c r="G2080">
        <v>82.82</v>
      </c>
      <c r="H2080">
        <v>268</v>
      </c>
      <c r="I2080" t="s">
        <v>31</v>
      </c>
      <c r="J2080">
        <v>2024</v>
      </c>
      <c r="K2080">
        <f t="shared" si="64"/>
        <v>55.330000000000013</v>
      </c>
      <c r="L2080" t="str">
        <f t="shared" si="65"/>
        <v>Banca Irpina|8|Risparmio</v>
      </c>
    </row>
    <row r="2081" spans="1:12" x14ac:dyDescent="0.25">
      <c r="A2081" t="s">
        <v>30</v>
      </c>
      <c r="B2081">
        <v>8</v>
      </c>
      <c r="C2081" t="s">
        <v>21</v>
      </c>
      <c r="D2081" s="1">
        <v>45535</v>
      </c>
      <c r="E2081">
        <v>2743</v>
      </c>
      <c r="F2081">
        <v>162.16</v>
      </c>
      <c r="G2081">
        <v>96.55</v>
      </c>
      <c r="H2081">
        <v>266</v>
      </c>
      <c r="I2081" t="s">
        <v>31</v>
      </c>
      <c r="J2081">
        <v>2024</v>
      </c>
      <c r="K2081">
        <f t="shared" si="64"/>
        <v>65.61</v>
      </c>
      <c r="L2081" t="str">
        <f t="shared" si="65"/>
        <v>Banca Irpina|8|Assicurazioni</v>
      </c>
    </row>
    <row r="2082" spans="1:12" x14ac:dyDescent="0.25">
      <c r="A2082" t="s">
        <v>30</v>
      </c>
      <c r="B2082">
        <v>9</v>
      </c>
      <c r="C2082" t="s">
        <v>13</v>
      </c>
      <c r="D2082" s="1">
        <v>45565</v>
      </c>
      <c r="E2082">
        <v>731.7</v>
      </c>
      <c r="F2082">
        <v>33.909999999999997</v>
      </c>
      <c r="G2082">
        <v>20.58</v>
      </c>
      <c r="H2082">
        <v>88</v>
      </c>
      <c r="I2082" t="s">
        <v>31</v>
      </c>
      <c r="J2082">
        <v>2024</v>
      </c>
      <c r="K2082">
        <f t="shared" si="64"/>
        <v>13.329999999999998</v>
      </c>
      <c r="L2082" t="str">
        <f t="shared" si="65"/>
        <v>Banca Irpina|9|Mutui</v>
      </c>
    </row>
    <row r="2083" spans="1:12" x14ac:dyDescent="0.25">
      <c r="A2083" t="s">
        <v>30</v>
      </c>
      <c r="B2083">
        <v>9</v>
      </c>
      <c r="C2083" t="s">
        <v>15</v>
      </c>
      <c r="D2083" s="1">
        <v>45565</v>
      </c>
      <c r="E2083">
        <v>1051.9000000000001</v>
      </c>
      <c r="F2083">
        <v>50.05</v>
      </c>
      <c r="G2083">
        <v>30.61</v>
      </c>
      <c r="H2083">
        <v>114</v>
      </c>
      <c r="I2083" t="s">
        <v>31</v>
      </c>
      <c r="J2083">
        <v>2024</v>
      </c>
      <c r="K2083">
        <f t="shared" si="64"/>
        <v>19.439999999999998</v>
      </c>
      <c r="L2083" t="str">
        <f t="shared" si="65"/>
        <v>Banca Irpina|9|Prestiti</v>
      </c>
    </row>
    <row r="2084" spans="1:12" x14ac:dyDescent="0.25">
      <c r="A2084" t="s">
        <v>30</v>
      </c>
      <c r="B2084">
        <v>9</v>
      </c>
      <c r="C2084" t="s">
        <v>16</v>
      </c>
      <c r="D2084" s="1">
        <v>45565</v>
      </c>
      <c r="E2084">
        <v>1307</v>
      </c>
      <c r="F2084">
        <v>64.73</v>
      </c>
      <c r="G2084">
        <v>39.47</v>
      </c>
      <c r="H2084">
        <v>141</v>
      </c>
      <c r="I2084" t="s">
        <v>31</v>
      </c>
      <c r="J2084">
        <v>2024</v>
      </c>
      <c r="K2084">
        <f t="shared" si="64"/>
        <v>25.260000000000005</v>
      </c>
      <c r="L2084" t="str">
        <f t="shared" si="65"/>
        <v>Banca Irpina|9|Conti</v>
      </c>
    </row>
    <row r="2085" spans="1:12" x14ac:dyDescent="0.25">
      <c r="A2085" t="s">
        <v>30</v>
      </c>
      <c r="B2085">
        <v>9</v>
      </c>
      <c r="C2085" t="s">
        <v>17</v>
      </c>
      <c r="D2085" s="1">
        <v>45565</v>
      </c>
      <c r="E2085">
        <v>1619.7</v>
      </c>
      <c r="F2085">
        <v>83.05</v>
      </c>
      <c r="G2085">
        <v>51.09</v>
      </c>
      <c r="H2085">
        <v>163</v>
      </c>
      <c r="I2085" t="s">
        <v>31</v>
      </c>
      <c r="J2085">
        <v>2024</v>
      </c>
      <c r="K2085">
        <f t="shared" si="64"/>
        <v>31.959999999999994</v>
      </c>
      <c r="L2085" t="str">
        <f t="shared" si="65"/>
        <v>Banca Irpina|9|Carte</v>
      </c>
    </row>
    <row r="2086" spans="1:12" x14ac:dyDescent="0.25">
      <c r="A2086" t="s">
        <v>30</v>
      </c>
      <c r="B2086">
        <v>9</v>
      </c>
      <c r="C2086" t="s">
        <v>18</v>
      </c>
      <c r="D2086" s="1">
        <v>45565</v>
      </c>
      <c r="E2086">
        <v>1868.3</v>
      </c>
      <c r="F2086">
        <v>99.81</v>
      </c>
      <c r="G2086">
        <v>60.38</v>
      </c>
      <c r="H2086">
        <v>182</v>
      </c>
      <c r="I2086" t="s">
        <v>31</v>
      </c>
      <c r="J2086">
        <v>2024</v>
      </c>
      <c r="K2086">
        <f t="shared" si="64"/>
        <v>39.43</v>
      </c>
      <c r="L2086" t="str">
        <f t="shared" si="65"/>
        <v>Banca Irpina|9|Leasing</v>
      </c>
    </row>
    <row r="2087" spans="1:12" x14ac:dyDescent="0.25">
      <c r="A2087" t="s">
        <v>30</v>
      </c>
      <c r="B2087">
        <v>9</v>
      </c>
      <c r="C2087" t="s">
        <v>19</v>
      </c>
      <c r="D2087" s="1">
        <v>45565</v>
      </c>
      <c r="E2087">
        <v>2167.1</v>
      </c>
      <c r="F2087">
        <v>120.16</v>
      </c>
      <c r="G2087">
        <v>72.239999999999995</v>
      </c>
      <c r="H2087">
        <v>222</v>
      </c>
      <c r="I2087" t="s">
        <v>31</v>
      </c>
      <c r="J2087">
        <v>2024</v>
      </c>
      <c r="K2087">
        <f t="shared" si="64"/>
        <v>47.92</v>
      </c>
      <c r="L2087" t="str">
        <f t="shared" si="65"/>
        <v>Banca Irpina|9|Factoring</v>
      </c>
    </row>
    <row r="2088" spans="1:12" x14ac:dyDescent="0.25">
      <c r="A2088" t="s">
        <v>30</v>
      </c>
      <c r="B2088">
        <v>9</v>
      </c>
      <c r="C2088" t="s">
        <v>20</v>
      </c>
      <c r="D2088" s="1">
        <v>45565</v>
      </c>
      <c r="E2088">
        <v>2478.1999999999998</v>
      </c>
      <c r="F2088">
        <v>141.72999999999999</v>
      </c>
      <c r="G2088">
        <v>85.09</v>
      </c>
      <c r="H2088">
        <v>247</v>
      </c>
      <c r="I2088" t="s">
        <v>31</v>
      </c>
      <c r="J2088">
        <v>2024</v>
      </c>
      <c r="K2088">
        <f t="shared" si="64"/>
        <v>56.639999999999986</v>
      </c>
      <c r="L2088" t="str">
        <f t="shared" si="65"/>
        <v>Banca Irpina|9|Risparmio</v>
      </c>
    </row>
    <row r="2089" spans="1:12" x14ac:dyDescent="0.25">
      <c r="A2089" t="s">
        <v>30</v>
      </c>
      <c r="B2089">
        <v>9</v>
      </c>
      <c r="C2089" t="s">
        <v>21</v>
      </c>
      <c r="D2089" s="1">
        <v>45565</v>
      </c>
      <c r="E2089">
        <v>2715.4</v>
      </c>
      <c r="F2089">
        <v>160.88999999999999</v>
      </c>
      <c r="G2089">
        <v>95.74</v>
      </c>
      <c r="H2089">
        <v>273</v>
      </c>
      <c r="I2089" t="s">
        <v>31</v>
      </c>
      <c r="J2089">
        <v>2024</v>
      </c>
      <c r="K2089">
        <f t="shared" si="64"/>
        <v>65.149999999999991</v>
      </c>
      <c r="L2089" t="str">
        <f t="shared" si="65"/>
        <v>Banca Irpina|9|Assicurazioni</v>
      </c>
    </row>
    <row r="2090" spans="1:12" x14ac:dyDescent="0.25">
      <c r="A2090" t="s">
        <v>30</v>
      </c>
      <c r="B2090">
        <v>10</v>
      </c>
      <c r="C2090" t="s">
        <v>13</v>
      </c>
      <c r="D2090" s="1">
        <v>45596</v>
      </c>
      <c r="E2090">
        <v>772.2</v>
      </c>
      <c r="F2090">
        <v>34.979999999999997</v>
      </c>
      <c r="G2090">
        <v>22.27</v>
      </c>
      <c r="H2090">
        <v>76</v>
      </c>
      <c r="I2090" t="s">
        <v>31</v>
      </c>
      <c r="J2090">
        <v>2024</v>
      </c>
      <c r="K2090">
        <f t="shared" si="64"/>
        <v>12.709999999999997</v>
      </c>
      <c r="L2090" t="str">
        <f t="shared" si="65"/>
        <v>Banca Irpina|10|Mutui</v>
      </c>
    </row>
    <row r="2091" spans="1:12" x14ac:dyDescent="0.25">
      <c r="A2091" t="s">
        <v>30</v>
      </c>
      <c r="B2091">
        <v>10</v>
      </c>
      <c r="C2091" t="s">
        <v>15</v>
      </c>
      <c r="D2091" s="1">
        <v>45596</v>
      </c>
      <c r="E2091">
        <v>1031.3</v>
      </c>
      <c r="F2091">
        <v>49.24</v>
      </c>
      <c r="G2091">
        <v>30.87</v>
      </c>
      <c r="H2091">
        <v>105</v>
      </c>
      <c r="I2091" t="s">
        <v>31</v>
      </c>
      <c r="J2091">
        <v>2024</v>
      </c>
      <c r="K2091">
        <f t="shared" si="64"/>
        <v>18.37</v>
      </c>
      <c r="L2091" t="str">
        <f t="shared" si="65"/>
        <v>Banca Irpina|10|Prestiti</v>
      </c>
    </row>
    <row r="2092" spans="1:12" x14ac:dyDescent="0.25">
      <c r="A2092" t="s">
        <v>30</v>
      </c>
      <c r="B2092">
        <v>10</v>
      </c>
      <c r="C2092" t="s">
        <v>16</v>
      </c>
      <c r="D2092" s="1">
        <v>45596</v>
      </c>
      <c r="E2092">
        <v>1307.5999999999999</v>
      </c>
      <c r="F2092">
        <v>64.510000000000005</v>
      </c>
      <c r="G2092">
        <v>39.42</v>
      </c>
      <c r="H2092">
        <v>126</v>
      </c>
      <c r="I2092" t="s">
        <v>31</v>
      </c>
      <c r="J2092">
        <v>2024</v>
      </c>
      <c r="K2092">
        <f t="shared" si="64"/>
        <v>25.090000000000003</v>
      </c>
      <c r="L2092" t="str">
        <f t="shared" si="65"/>
        <v>Banca Irpina|10|Conti</v>
      </c>
    </row>
    <row r="2093" spans="1:12" x14ac:dyDescent="0.25">
      <c r="A2093" t="s">
        <v>30</v>
      </c>
      <c r="B2093">
        <v>10</v>
      </c>
      <c r="C2093" t="s">
        <v>17</v>
      </c>
      <c r="D2093" s="1">
        <v>45596</v>
      </c>
      <c r="E2093">
        <v>1616.4</v>
      </c>
      <c r="F2093">
        <v>82.82</v>
      </c>
      <c r="G2093">
        <v>51.05</v>
      </c>
      <c r="H2093">
        <v>189</v>
      </c>
      <c r="I2093" t="s">
        <v>31</v>
      </c>
      <c r="J2093">
        <v>2024</v>
      </c>
      <c r="K2093">
        <f t="shared" si="64"/>
        <v>31.769999999999996</v>
      </c>
      <c r="L2093" t="str">
        <f t="shared" si="65"/>
        <v>Banca Irpina|10|Carte</v>
      </c>
    </row>
    <row r="2094" spans="1:12" x14ac:dyDescent="0.25">
      <c r="A2094" t="s">
        <v>30</v>
      </c>
      <c r="B2094">
        <v>10</v>
      </c>
      <c r="C2094" t="s">
        <v>18</v>
      </c>
      <c r="D2094" s="1">
        <v>45596</v>
      </c>
      <c r="E2094">
        <v>1881.6</v>
      </c>
      <c r="F2094">
        <v>100.6</v>
      </c>
      <c r="G2094">
        <v>60.79</v>
      </c>
      <c r="H2094">
        <v>195</v>
      </c>
      <c r="I2094" t="s">
        <v>31</v>
      </c>
      <c r="J2094">
        <v>2024</v>
      </c>
      <c r="K2094">
        <f t="shared" si="64"/>
        <v>39.809999999999995</v>
      </c>
      <c r="L2094" t="str">
        <f t="shared" si="65"/>
        <v>Banca Irpina|10|Leasing</v>
      </c>
    </row>
    <row r="2095" spans="1:12" x14ac:dyDescent="0.25">
      <c r="A2095" t="s">
        <v>30</v>
      </c>
      <c r="B2095">
        <v>10</v>
      </c>
      <c r="C2095" t="s">
        <v>19</v>
      </c>
      <c r="D2095" s="1">
        <v>45596</v>
      </c>
      <c r="E2095">
        <v>2178.3000000000002</v>
      </c>
      <c r="F2095">
        <v>120.66</v>
      </c>
      <c r="G2095">
        <v>72.67</v>
      </c>
      <c r="H2095">
        <v>213</v>
      </c>
      <c r="I2095" t="s">
        <v>31</v>
      </c>
      <c r="J2095">
        <v>2024</v>
      </c>
      <c r="K2095">
        <f t="shared" si="64"/>
        <v>47.989999999999995</v>
      </c>
      <c r="L2095" t="str">
        <f t="shared" si="65"/>
        <v>Banca Irpina|10|Factoring</v>
      </c>
    </row>
    <row r="2096" spans="1:12" x14ac:dyDescent="0.25">
      <c r="A2096" t="s">
        <v>30</v>
      </c>
      <c r="B2096">
        <v>10</v>
      </c>
      <c r="C2096" t="s">
        <v>20</v>
      </c>
      <c r="D2096" s="1">
        <v>45596</v>
      </c>
      <c r="E2096">
        <v>2473.8000000000002</v>
      </c>
      <c r="F2096">
        <v>141.75</v>
      </c>
      <c r="G2096">
        <v>84.53</v>
      </c>
      <c r="H2096">
        <v>254</v>
      </c>
      <c r="I2096" t="s">
        <v>31</v>
      </c>
      <c r="J2096">
        <v>2024</v>
      </c>
      <c r="K2096">
        <f t="shared" si="64"/>
        <v>57.22</v>
      </c>
      <c r="L2096" t="str">
        <f t="shared" si="65"/>
        <v>Banca Irpina|10|Risparmio</v>
      </c>
    </row>
    <row r="2097" spans="1:12" x14ac:dyDescent="0.25">
      <c r="A2097" t="s">
        <v>30</v>
      </c>
      <c r="B2097">
        <v>10</v>
      </c>
      <c r="C2097" t="s">
        <v>21</v>
      </c>
      <c r="D2097" s="1">
        <v>45596</v>
      </c>
      <c r="E2097">
        <v>2779</v>
      </c>
      <c r="F2097">
        <v>164.1</v>
      </c>
      <c r="G2097">
        <v>97.7</v>
      </c>
      <c r="H2097">
        <v>290</v>
      </c>
      <c r="I2097" t="s">
        <v>31</v>
      </c>
      <c r="J2097">
        <v>2024</v>
      </c>
      <c r="K2097">
        <f t="shared" si="64"/>
        <v>66.399999999999991</v>
      </c>
      <c r="L2097" t="str">
        <f t="shared" si="65"/>
        <v>Banca Irpina|10|Assicurazioni</v>
      </c>
    </row>
    <row r="2098" spans="1:12" x14ac:dyDescent="0.25">
      <c r="A2098" t="s">
        <v>30</v>
      </c>
      <c r="B2098">
        <v>11</v>
      </c>
      <c r="C2098" t="s">
        <v>13</v>
      </c>
      <c r="D2098" s="1">
        <v>45626</v>
      </c>
      <c r="E2098">
        <v>795.3</v>
      </c>
      <c r="F2098">
        <v>35.799999999999997</v>
      </c>
      <c r="G2098">
        <v>22.78</v>
      </c>
      <c r="H2098">
        <v>86</v>
      </c>
      <c r="I2098" t="s">
        <v>31</v>
      </c>
      <c r="J2098">
        <v>2024</v>
      </c>
      <c r="K2098">
        <f t="shared" si="64"/>
        <v>13.019999999999996</v>
      </c>
      <c r="L2098" t="str">
        <f t="shared" si="65"/>
        <v>Banca Irpina|11|Mutui</v>
      </c>
    </row>
    <row r="2099" spans="1:12" x14ac:dyDescent="0.25">
      <c r="A2099" t="s">
        <v>30</v>
      </c>
      <c r="B2099">
        <v>11</v>
      </c>
      <c r="C2099" t="s">
        <v>15</v>
      </c>
      <c r="D2099" s="1">
        <v>45626</v>
      </c>
      <c r="E2099">
        <v>1031</v>
      </c>
      <c r="F2099">
        <v>48.74</v>
      </c>
      <c r="G2099">
        <v>30.65</v>
      </c>
      <c r="H2099">
        <v>135</v>
      </c>
      <c r="I2099" t="s">
        <v>31</v>
      </c>
      <c r="J2099">
        <v>2024</v>
      </c>
      <c r="K2099">
        <f t="shared" si="64"/>
        <v>18.090000000000003</v>
      </c>
      <c r="L2099" t="str">
        <f t="shared" si="65"/>
        <v>Banca Irpina|11|Prestiti</v>
      </c>
    </row>
    <row r="2100" spans="1:12" x14ac:dyDescent="0.25">
      <c r="A2100" t="s">
        <v>30</v>
      </c>
      <c r="B2100">
        <v>11</v>
      </c>
      <c r="C2100" t="s">
        <v>16</v>
      </c>
      <c r="D2100" s="1">
        <v>45626</v>
      </c>
      <c r="E2100">
        <v>1341.5</v>
      </c>
      <c r="F2100">
        <v>66.48</v>
      </c>
      <c r="G2100">
        <v>40.950000000000003</v>
      </c>
      <c r="H2100">
        <v>133</v>
      </c>
      <c r="I2100" t="s">
        <v>31</v>
      </c>
      <c r="J2100">
        <v>2024</v>
      </c>
      <c r="K2100">
        <f t="shared" si="64"/>
        <v>25.53</v>
      </c>
      <c r="L2100" t="str">
        <f t="shared" si="65"/>
        <v>Banca Irpina|11|Conti</v>
      </c>
    </row>
    <row r="2101" spans="1:12" x14ac:dyDescent="0.25">
      <c r="A2101" t="s">
        <v>30</v>
      </c>
      <c r="B2101">
        <v>11</v>
      </c>
      <c r="C2101" t="s">
        <v>17</v>
      </c>
      <c r="D2101" s="1">
        <v>45626</v>
      </c>
      <c r="E2101">
        <v>1647.2</v>
      </c>
      <c r="F2101">
        <v>84.65</v>
      </c>
      <c r="G2101">
        <v>51.21</v>
      </c>
      <c r="H2101">
        <v>180</v>
      </c>
      <c r="I2101" t="s">
        <v>31</v>
      </c>
      <c r="J2101">
        <v>2024</v>
      </c>
      <c r="K2101">
        <f t="shared" si="64"/>
        <v>33.440000000000005</v>
      </c>
      <c r="L2101" t="str">
        <f t="shared" si="65"/>
        <v>Banca Irpina|11|Carte</v>
      </c>
    </row>
    <row r="2102" spans="1:12" x14ac:dyDescent="0.25">
      <c r="A2102" t="s">
        <v>30</v>
      </c>
      <c r="B2102">
        <v>11</v>
      </c>
      <c r="C2102" t="s">
        <v>18</v>
      </c>
      <c r="D2102" s="1">
        <v>45626</v>
      </c>
      <c r="E2102">
        <v>1924.4</v>
      </c>
      <c r="F2102">
        <v>102.97</v>
      </c>
      <c r="G2102">
        <v>62.26</v>
      </c>
      <c r="H2102">
        <v>201</v>
      </c>
      <c r="I2102" t="s">
        <v>31</v>
      </c>
      <c r="J2102">
        <v>2024</v>
      </c>
      <c r="K2102">
        <f t="shared" si="64"/>
        <v>40.71</v>
      </c>
      <c r="L2102" t="str">
        <f t="shared" si="65"/>
        <v>Banca Irpina|11|Leasing</v>
      </c>
    </row>
    <row r="2103" spans="1:12" x14ac:dyDescent="0.25">
      <c r="A2103" t="s">
        <v>30</v>
      </c>
      <c r="B2103">
        <v>11</v>
      </c>
      <c r="C2103" t="s">
        <v>19</v>
      </c>
      <c r="D2103" s="1">
        <v>45626</v>
      </c>
      <c r="E2103">
        <v>2226.9</v>
      </c>
      <c r="F2103">
        <v>122.5</v>
      </c>
      <c r="G2103">
        <v>74.040000000000006</v>
      </c>
      <c r="H2103">
        <v>209</v>
      </c>
      <c r="I2103" t="s">
        <v>31</v>
      </c>
      <c r="J2103">
        <v>2024</v>
      </c>
      <c r="K2103">
        <f t="shared" si="64"/>
        <v>48.459999999999994</v>
      </c>
      <c r="L2103" t="str">
        <f t="shared" si="65"/>
        <v>Banca Irpina|11|Factoring</v>
      </c>
    </row>
    <row r="2104" spans="1:12" x14ac:dyDescent="0.25">
      <c r="A2104" t="s">
        <v>30</v>
      </c>
      <c r="B2104">
        <v>11</v>
      </c>
      <c r="C2104" t="s">
        <v>20</v>
      </c>
      <c r="D2104" s="1">
        <v>45626</v>
      </c>
      <c r="E2104">
        <v>2466.4</v>
      </c>
      <c r="F2104">
        <v>141.54</v>
      </c>
      <c r="G2104">
        <v>83.91</v>
      </c>
      <c r="H2104">
        <v>229</v>
      </c>
      <c r="I2104" t="s">
        <v>31</v>
      </c>
      <c r="J2104">
        <v>2024</v>
      </c>
      <c r="K2104">
        <f t="shared" si="64"/>
        <v>57.629999999999995</v>
      </c>
      <c r="L2104" t="str">
        <f t="shared" si="65"/>
        <v>Banca Irpina|11|Risparmio</v>
      </c>
    </row>
    <row r="2105" spans="1:12" x14ac:dyDescent="0.25">
      <c r="A2105" t="s">
        <v>30</v>
      </c>
      <c r="B2105">
        <v>11</v>
      </c>
      <c r="C2105" t="s">
        <v>21</v>
      </c>
      <c r="D2105" s="1">
        <v>45626</v>
      </c>
      <c r="E2105">
        <v>2769.8</v>
      </c>
      <c r="F2105">
        <v>163.78</v>
      </c>
      <c r="G2105">
        <v>97.12</v>
      </c>
      <c r="H2105">
        <v>269</v>
      </c>
      <c r="I2105" t="s">
        <v>31</v>
      </c>
      <c r="J2105">
        <v>2024</v>
      </c>
      <c r="K2105">
        <f t="shared" si="64"/>
        <v>66.66</v>
      </c>
      <c r="L2105" t="str">
        <f t="shared" si="65"/>
        <v>Banca Irpina|11|Assicurazioni</v>
      </c>
    </row>
    <row r="2106" spans="1:12" x14ac:dyDescent="0.25">
      <c r="A2106" t="s">
        <v>30</v>
      </c>
      <c r="B2106">
        <v>12</v>
      </c>
      <c r="C2106" t="s">
        <v>13</v>
      </c>
      <c r="D2106" s="1">
        <v>45657</v>
      </c>
      <c r="E2106">
        <v>797.5</v>
      </c>
      <c r="F2106">
        <v>35.99</v>
      </c>
      <c r="G2106">
        <v>23.17</v>
      </c>
      <c r="H2106">
        <v>100</v>
      </c>
      <c r="I2106" t="s">
        <v>31</v>
      </c>
      <c r="J2106">
        <v>2024</v>
      </c>
      <c r="K2106">
        <f t="shared" si="64"/>
        <v>12.82</v>
      </c>
      <c r="L2106" t="str">
        <f t="shared" si="65"/>
        <v>Banca Irpina|12|Mutui</v>
      </c>
    </row>
    <row r="2107" spans="1:12" x14ac:dyDescent="0.25">
      <c r="A2107" t="s">
        <v>30</v>
      </c>
      <c r="B2107">
        <v>12</v>
      </c>
      <c r="C2107" t="s">
        <v>15</v>
      </c>
      <c r="D2107" s="1">
        <v>45657</v>
      </c>
      <c r="E2107">
        <v>1074.8</v>
      </c>
      <c r="F2107">
        <v>50.55</v>
      </c>
      <c r="G2107">
        <v>31.32</v>
      </c>
      <c r="H2107">
        <v>128</v>
      </c>
      <c r="I2107" t="s">
        <v>31</v>
      </c>
      <c r="J2107">
        <v>2024</v>
      </c>
      <c r="K2107">
        <f t="shared" si="64"/>
        <v>19.229999999999997</v>
      </c>
      <c r="L2107" t="str">
        <f t="shared" si="65"/>
        <v>Banca Irpina|12|Prestiti</v>
      </c>
    </row>
    <row r="2108" spans="1:12" x14ac:dyDescent="0.25">
      <c r="A2108" t="s">
        <v>30</v>
      </c>
      <c r="B2108">
        <v>12</v>
      </c>
      <c r="C2108" t="s">
        <v>16</v>
      </c>
      <c r="D2108" s="1">
        <v>45657</v>
      </c>
      <c r="E2108">
        <v>1347.2</v>
      </c>
      <c r="F2108">
        <v>67.010000000000005</v>
      </c>
      <c r="G2108">
        <v>41.08</v>
      </c>
      <c r="H2108">
        <v>131</v>
      </c>
      <c r="I2108" t="s">
        <v>31</v>
      </c>
      <c r="J2108">
        <v>2024</v>
      </c>
      <c r="K2108">
        <f t="shared" si="64"/>
        <v>25.930000000000007</v>
      </c>
      <c r="L2108" t="str">
        <f t="shared" si="65"/>
        <v>Banca Irpina|12|Conti</v>
      </c>
    </row>
    <row r="2109" spans="1:12" x14ac:dyDescent="0.25">
      <c r="A2109" t="s">
        <v>30</v>
      </c>
      <c r="B2109">
        <v>12</v>
      </c>
      <c r="C2109" t="s">
        <v>17</v>
      </c>
      <c r="D2109" s="1">
        <v>45657</v>
      </c>
      <c r="E2109">
        <v>1630.5</v>
      </c>
      <c r="F2109">
        <v>83.49</v>
      </c>
      <c r="G2109">
        <v>51.41</v>
      </c>
      <c r="H2109">
        <v>168</v>
      </c>
      <c r="I2109" t="s">
        <v>31</v>
      </c>
      <c r="J2109">
        <v>2024</v>
      </c>
      <c r="K2109">
        <f t="shared" si="64"/>
        <v>32.08</v>
      </c>
      <c r="L2109" t="str">
        <f t="shared" si="65"/>
        <v>Banca Irpina|12|Carte</v>
      </c>
    </row>
    <row r="2110" spans="1:12" x14ac:dyDescent="0.25">
      <c r="A2110" t="s">
        <v>30</v>
      </c>
      <c r="B2110">
        <v>12</v>
      </c>
      <c r="C2110" t="s">
        <v>18</v>
      </c>
      <c r="D2110" s="1">
        <v>45657</v>
      </c>
      <c r="E2110">
        <v>1902.3</v>
      </c>
      <c r="F2110">
        <v>101.55</v>
      </c>
      <c r="G2110">
        <v>61.43</v>
      </c>
      <c r="H2110">
        <v>208</v>
      </c>
      <c r="I2110" t="s">
        <v>31</v>
      </c>
      <c r="J2110">
        <v>2024</v>
      </c>
      <c r="K2110">
        <f t="shared" si="64"/>
        <v>40.119999999999997</v>
      </c>
      <c r="L2110" t="str">
        <f t="shared" si="65"/>
        <v>Banca Irpina|12|Leasing</v>
      </c>
    </row>
    <row r="2111" spans="1:12" x14ac:dyDescent="0.25">
      <c r="A2111" t="s">
        <v>30</v>
      </c>
      <c r="B2111">
        <v>12</v>
      </c>
      <c r="C2111" t="s">
        <v>19</v>
      </c>
      <c r="D2111" s="1">
        <v>45657</v>
      </c>
      <c r="E2111">
        <v>2188.9</v>
      </c>
      <c r="F2111">
        <v>121.08</v>
      </c>
      <c r="G2111">
        <v>72.930000000000007</v>
      </c>
      <c r="H2111">
        <v>236</v>
      </c>
      <c r="I2111" t="s">
        <v>31</v>
      </c>
      <c r="J2111">
        <v>2024</v>
      </c>
      <c r="K2111">
        <f t="shared" si="64"/>
        <v>48.149999999999991</v>
      </c>
      <c r="L2111" t="str">
        <f t="shared" si="65"/>
        <v>Banca Irpina|12|Factoring</v>
      </c>
    </row>
    <row r="2112" spans="1:12" x14ac:dyDescent="0.25">
      <c r="A2112" t="s">
        <v>30</v>
      </c>
      <c r="B2112">
        <v>12</v>
      </c>
      <c r="C2112" t="s">
        <v>20</v>
      </c>
      <c r="D2112" s="1">
        <v>45657</v>
      </c>
      <c r="E2112">
        <v>2535.3000000000002</v>
      </c>
      <c r="F2112">
        <v>144.97999999999999</v>
      </c>
      <c r="G2112">
        <v>86.99</v>
      </c>
      <c r="H2112">
        <v>262</v>
      </c>
      <c r="I2112" t="s">
        <v>31</v>
      </c>
      <c r="J2112">
        <v>2024</v>
      </c>
      <c r="K2112">
        <f t="shared" si="64"/>
        <v>57.989999999999995</v>
      </c>
      <c r="L2112" t="str">
        <f t="shared" si="65"/>
        <v>Banca Irpina|12|Risparmio</v>
      </c>
    </row>
    <row r="2113" spans="1:12" x14ac:dyDescent="0.25">
      <c r="A2113" t="s">
        <v>30</v>
      </c>
      <c r="B2113">
        <v>12</v>
      </c>
      <c r="C2113" t="s">
        <v>21</v>
      </c>
      <c r="D2113" s="1">
        <v>45657</v>
      </c>
      <c r="E2113">
        <v>2786.9</v>
      </c>
      <c r="F2113">
        <v>164.56</v>
      </c>
      <c r="G2113">
        <v>98.47</v>
      </c>
      <c r="H2113">
        <v>290</v>
      </c>
      <c r="I2113" t="s">
        <v>31</v>
      </c>
      <c r="J2113">
        <v>2024</v>
      </c>
      <c r="K2113">
        <f t="shared" si="64"/>
        <v>66.09</v>
      </c>
      <c r="L2113" t="str">
        <f t="shared" si="65"/>
        <v>Banca Irpina|12|Assicurazioni</v>
      </c>
    </row>
    <row r="2114" spans="1:12" x14ac:dyDescent="0.25">
      <c r="A2114" t="s">
        <v>30</v>
      </c>
      <c r="B2114">
        <v>13</v>
      </c>
      <c r="C2114" t="s">
        <v>13</v>
      </c>
      <c r="D2114" s="1">
        <v>45688</v>
      </c>
      <c r="E2114">
        <v>776.8</v>
      </c>
      <c r="F2114">
        <v>35.83</v>
      </c>
      <c r="G2114">
        <v>22.5</v>
      </c>
      <c r="H2114">
        <v>98</v>
      </c>
      <c r="I2114" t="s">
        <v>31</v>
      </c>
      <c r="J2114">
        <v>2025</v>
      </c>
      <c r="K2114">
        <f t="shared" ref="K2114:K2177" si="66">F2114-G2114</f>
        <v>13.329999999999998</v>
      </c>
      <c r="L2114" t="str">
        <f t="shared" ref="L2114:L2177" si="67">A2114&amp;"|"&amp;B2114&amp;"|"&amp;C2114</f>
        <v>Banca Irpina|13|Mutui</v>
      </c>
    </row>
    <row r="2115" spans="1:12" x14ac:dyDescent="0.25">
      <c r="A2115" t="s">
        <v>30</v>
      </c>
      <c r="B2115">
        <v>13</v>
      </c>
      <c r="C2115" t="s">
        <v>15</v>
      </c>
      <c r="D2115" s="1">
        <v>45688</v>
      </c>
      <c r="E2115">
        <v>1062.5999999999999</v>
      </c>
      <c r="F2115">
        <v>50.22</v>
      </c>
      <c r="G2115">
        <v>31.66</v>
      </c>
      <c r="H2115">
        <v>123</v>
      </c>
      <c r="I2115" t="s">
        <v>31</v>
      </c>
      <c r="J2115">
        <v>2025</v>
      </c>
      <c r="K2115">
        <f t="shared" si="66"/>
        <v>18.559999999999999</v>
      </c>
      <c r="L2115" t="str">
        <f t="shared" si="67"/>
        <v>Banca Irpina|13|Prestiti</v>
      </c>
    </row>
    <row r="2116" spans="1:12" x14ac:dyDescent="0.25">
      <c r="A2116" t="s">
        <v>30</v>
      </c>
      <c r="B2116">
        <v>13</v>
      </c>
      <c r="C2116" t="s">
        <v>16</v>
      </c>
      <c r="D2116" s="1">
        <v>45688</v>
      </c>
      <c r="E2116">
        <v>1364.9</v>
      </c>
      <c r="F2116">
        <v>67.38</v>
      </c>
      <c r="G2116">
        <v>41.66</v>
      </c>
      <c r="H2116">
        <v>134</v>
      </c>
      <c r="I2116" t="s">
        <v>31</v>
      </c>
      <c r="J2116">
        <v>2025</v>
      </c>
      <c r="K2116">
        <f t="shared" si="66"/>
        <v>25.72</v>
      </c>
      <c r="L2116" t="str">
        <f t="shared" si="67"/>
        <v>Banca Irpina|13|Conti</v>
      </c>
    </row>
    <row r="2117" spans="1:12" x14ac:dyDescent="0.25">
      <c r="A2117" t="s">
        <v>30</v>
      </c>
      <c r="B2117">
        <v>13</v>
      </c>
      <c r="C2117" t="s">
        <v>17</v>
      </c>
      <c r="D2117" s="1">
        <v>45688</v>
      </c>
      <c r="E2117">
        <v>1650.2</v>
      </c>
      <c r="F2117">
        <v>84.71</v>
      </c>
      <c r="G2117">
        <v>51.19</v>
      </c>
      <c r="H2117">
        <v>179</v>
      </c>
      <c r="I2117" t="s">
        <v>31</v>
      </c>
      <c r="J2117">
        <v>2025</v>
      </c>
      <c r="K2117">
        <f t="shared" si="66"/>
        <v>33.519999999999996</v>
      </c>
      <c r="L2117" t="str">
        <f t="shared" si="67"/>
        <v>Banca Irpina|13|Carte</v>
      </c>
    </row>
    <row r="2118" spans="1:12" x14ac:dyDescent="0.25">
      <c r="A2118" t="s">
        <v>30</v>
      </c>
      <c r="B2118">
        <v>13</v>
      </c>
      <c r="C2118" t="s">
        <v>18</v>
      </c>
      <c r="D2118" s="1">
        <v>45688</v>
      </c>
      <c r="E2118">
        <v>1964.7</v>
      </c>
      <c r="F2118">
        <v>104.47</v>
      </c>
      <c r="G2118">
        <v>63.15</v>
      </c>
      <c r="H2118">
        <v>208</v>
      </c>
      <c r="I2118" t="s">
        <v>31</v>
      </c>
      <c r="J2118">
        <v>2025</v>
      </c>
      <c r="K2118">
        <f t="shared" si="66"/>
        <v>41.32</v>
      </c>
      <c r="L2118" t="str">
        <f t="shared" si="67"/>
        <v>Banca Irpina|13|Leasing</v>
      </c>
    </row>
    <row r="2119" spans="1:12" x14ac:dyDescent="0.25">
      <c r="A2119" t="s">
        <v>30</v>
      </c>
      <c r="B2119">
        <v>13</v>
      </c>
      <c r="C2119" t="s">
        <v>19</v>
      </c>
      <c r="D2119" s="1">
        <v>45688</v>
      </c>
      <c r="E2119">
        <v>2226.5</v>
      </c>
      <c r="F2119">
        <v>122.67</v>
      </c>
      <c r="G2119">
        <v>74.31</v>
      </c>
      <c r="H2119">
        <v>235</v>
      </c>
      <c r="I2119" t="s">
        <v>31</v>
      </c>
      <c r="J2119">
        <v>2025</v>
      </c>
      <c r="K2119">
        <f t="shared" si="66"/>
        <v>48.36</v>
      </c>
      <c r="L2119" t="str">
        <f t="shared" si="67"/>
        <v>Banca Irpina|13|Factoring</v>
      </c>
    </row>
    <row r="2120" spans="1:12" x14ac:dyDescent="0.25">
      <c r="A2120" t="s">
        <v>30</v>
      </c>
      <c r="B2120">
        <v>13</v>
      </c>
      <c r="C2120" t="s">
        <v>20</v>
      </c>
      <c r="D2120" s="1">
        <v>45688</v>
      </c>
      <c r="E2120">
        <v>2544.1999999999998</v>
      </c>
      <c r="F2120">
        <v>145.41999999999999</v>
      </c>
      <c r="G2120">
        <v>87.47</v>
      </c>
      <c r="H2120">
        <v>267</v>
      </c>
      <c r="I2120" t="s">
        <v>31</v>
      </c>
      <c r="J2120">
        <v>2025</v>
      </c>
      <c r="K2120">
        <f t="shared" si="66"/>
        <v>57.949999999999989</v>
      </c>
      <c r="L2120" t="str">
        <f t="shared" si="67"/>
        <v>Banca Irpina|13|Risparmio</v>
      </c>
    </row>
    <row r="2121" spans="1:12" x14ac:dyDescent="0.25">
      <c r="A2121" t="s">
        <v>30</v>
      </c>
      <c r="B2121">
        <v>13</v>
      </c>
      <c r="C2121" t="s">
        <v>21</v>
      </c>
      <c r="D2121" s="1">
        <v>45688</v>
      </c>
      <c r="E2121">
        <v>2789.4</v>
      </c>
      <c r="F2121">
        <v>165.55</v>
      </c>
      <c r="G2121">
        <v>98.47</v>
      </c>
      <c r="H2121">
        <v>270</v>
      </c>
      <c r="I2121" t="s">
        <v>31</v>
      </c>
      <c r="J2121">
        <v>2025</v>
      </c>
      <c r="K2121">
        <f t="shared" si="66"/>
        <v>67.080000000000013</v>
      </c>
      <c r="L2121" t="str">
        <f t="shared" si="67"/>
        <v>Banca Irpina|13|Assicurazioni</v>
      </c>
    </row>
    <row r="2122" spans="1:12" x14ac:dyDescent="0.25">
      <c r="A2122" t="s">
        <v>30</v>
      </c>
      <c r="B2122">
        <v>14</v>
      </c>
      <c r="C2122" t="s">
        <v>13</v>
      </c>
      <c r="D2122" s="1">
        <v>45716</v>
      </c>
      <c r="E2122">
        <v>783</v>
      </c>
      <c r="F2122">
        <v>36.08</v>
      </c>
      <c r="G2122">
        <v>21.97</v>
      </c>
      <c r="H2122">
        <v>81</v>
      </c>
      <c r="I2122" t="s">
        <v>31</v>
      </c>
      <c r="J2122">
        <v>2025</v>
      </c>
      <c r="K2122">
        <f t="shared" si="66"/>
        <v>14.11</v>
      </c>
      <c r="L2122" t="str">
        <f t="shared" si="67"/>
        <v>Banca Irpina|14|Mutui</v>
      </c>
    </row>
    <row r="2123" spans="1:12" x14ac:dyDescent="0.25">
      <c r="A2123" t="s">
        <v>30</v>
      </c>
      <c r="B2123">
        <v>14</v>
      </c>
      <c r="C2123" t="s">
        <v>15</v>
      </c>
      <c r="D2123" s="1">
        <v>45716</v>
      </c>
      <c r="E2123">
        <v>1074.4000000000001</v>
      </c>
      <c r="F2123">
        <v>51.25</v>
      </c>
      <c r="G2123">
        <v>31.66</v>
      </c>
      <c r="H2123">
        <v>110</v>
      </c>
      <c r="I2123" t="s">
        <v>31</v>
      </c>
      <c r="J2123">
        <v>2025</v>
      </c>
      <c r="K2123">
        <f t="shared" si="66"/>
        <v>19.59</v>
      </c>
      <c r="L2123" t="str">
        <f t="shared" si="67"/>
        <v>Banca Irpina|14|Prestiti</v>
      </c>
    </row>
    <row r="2124" spans="1:12" x14ac:dyDescent="0.25">
      <c r="A2124" t="s">
        <v>30</v>
      </c>
      <c r="B2124">
        <v>14</v>
      </c>
      <c r="C2124" t="s">
        <v>16</v>
      </c>
      <c r="D2124" s="1">
        <v>45716</v>
      </c>
      <c r="E2124">
        <v>1385.2</v>
      </c>
      <c r="F2124">
        <v>67.98</v>
      </c>
      <c r="G2124">
        <v>41.76</v>
      </c>
      <c r="H2124">
        <v>123</v>
      </c>
      <c r="I2124" t="s">
        <v>31</v>
      </c>
      <c r="J2124">
        <v>2025</v>
      </c>
      <c r="K2124">
        <f t="shared" si="66"/>
        <v>26.220000000000006</v>
      </c>
      <c r="L2124" t="str">
        <f t="shared" si="67"/>
        <v>Banca Irpina|14|Conti</v>
      </c>
    </row>
    <row r="2125" spans="1:12" x14ac:dyDescent="0.25">
      <c r="A2125" t="s">
        <v>30</v>
      </c>
      <c r="B2125">
        <v>14</v>
      </c>
      <c r="C2125" t="s">
        <v>17</v>
      </c>
      <c r="D2125" s="1">
        <v>45716</v>
      </c>
      <c r="E2125">
        <v>1679.3</v>
      </c>
      <c r="F2125">
        <v>86.24</v>
      </c>
      <c r="G2125">
        <v>53.01</v>
      </c>
      <c r="H2125">
        <v>163</v>
      </c>
      <c r="I2125" t="s">
        <v>31</v>
      </c>
      <c r="J2125">
        <v>2025</v>
      </c>
      <c r="K2125">
        <f t="shared" si="66"/>
        <v>33.229999999999997</v>
      </c>
      <c r="L2125" t="str">
        <f t="shared" si="67"/>
        <v>Banca Irpina|14|Carte</v>
      </c>
    </row>
    <row r="2126" spans="1:12" x14ac:dyDescent="0.25">
      <c r="A2126" t="s">
        <v>30</v>
      </c>
      <c r="B2126">
        <v>14</v>
      </c>
      <c r="C2126" t="s">
        <v>18</v>
      </c>
      <c r="D2126" s="1">
        <v>45716</v>
      </c>
      <c r="E2126">
        <v>1934.3</v>
      </c>
      <c r="F2126">
        <v>102.97</v>
      </c>
      <c r="G2126">
        <v>62.9</v>
      </c>
      <c r="H2126">
        <v>209</v>
      </c>
      <c r="I2126" t="s">
        <v>31</v>
      </c>
      <c r="J2126">
        <v>2025</v>
      </c>
      <c r="K2126">
        <f t="shared" si="66"/>
        <v>40.07</v>
      </c>
      <c r="L2126" t="str">
        <f t="shared" si="67"/>
        <v>Banca Irpina|14|Leasing</v>
      </c>
    </row>
    <row r="2127" spans="1:12" x14ac:dyDescent="0.25">
      <c r="A2127" t="s">
        <v>30</v>
      </c>
      <c r="B2127">
        <v>14</v>
      </c>
      <c r="C2127" t="s">
        <v>19</v>
      </c>
      <c r="D2127" s="1">
        <v>45716</v>
      </c>
      <c r="E2127">
        <v>2273.5</v>
      </c>
      <c r="F2127">
        <v>125.58</v>
      </c>
      <c r="G2127">
        <v>75.790000000000006</v>
      </c>
      <c r="H2127">
        <v>211</v>
      </c>
      <c r="I2127" t="s">
        <v>31</v>
      </c>
      <c r="J2127">
        <v>2025</v>
      </c>
      <c r="K2127">
        <f t="shared" si="66"/>
        <v>49.789999999999992</v>
      </c>
      <c r="L2127" t="str">
        <f t="shared" si="67"/>
        <v>Banca Irpina|14|Factoring</v>
      </c>
    </row>
    <row r="2128" spans="1:12" x14ac:dyDescent="0.25">
      <c r="A2128" t="s">
        <v>30</v>
      </c>
      <c r="B2128">
        <v>14</v>
      </c>
      <c r="C2128" t="s">
        <v>20</v>
      </c>
      <c r="D2128" s="1">
        <v>45716</v>
      </c>
      <c r="E2128">
        <v>2569.4</v>
      </c>
      <c r="F2128">
        <v>147.16999999999999</v>
      </c>
      <c r="G2128">
        <v>87.99</v>
      </c>
      <c r="H2128">
        <v>237</v>
      </c>
      <c r="I2128" t="s">
        <v>31</v>
      </c>
      <c r="J2128">
        <v>2025</v>
      </c>
      <c r="K2128">
        <f t="shared" si="66"/>
        <v>59.179999999999993</v>
      </c>
      <c r="L2128" t="str">
        <f t="shared" si="67"/>
        <v>Banca Irpina|14|Risparmio</v>
      </c>
    </row>
    <row r="2129" spans="1:12" x14ac:dyDescent="0.25">
      <c r="A2129" t="s">
        <v>30</v>
      </c>
      <c r="B2129">
        <v>14</v>
      </c>
      <c r="C2129" t="s">
        <v>21</v>
      </c>
      <c r="D2129" s="1">
        <v>45716</v>
      </c>
      <c r="E2129">
        <v>2824.1</v>
      </c>
      <c r="F2129">
        <v>166.92</v>
      </c>
      <c r="G2129">
        <v>99.84</v>
      </c>
      <c r="H2129">
        <v>268</v>
      </c>
      <c r="I2129" t="s">
        <v>31</v>
      </c>
      <c r="J2129">
        <v>2025</v>
      </c>
      <c r="K2129">
        <f t="shared" si="66"/>
        <v>67.079999999999984</v>
      </c>
      <c r="L2129" t="str">
        <f t="shared" si="67"/>
        <v>Banca Irpina|14|Assicurazioni</v>
      </c>
    </row>
    <row r="2130" spans="1:12" x14ac:dyDescent="0.25">
      <c r="A2130" t="s">
        <v>30</v>
      </c>
      <c r="B2130">
        <v>15</v>
      </c>
      <c r="C2130" t="s">
        <v>13</v>
      </c>
      <c r="D2130" s="1">
        <v>45747</v>
      </c>
      <c r="E2130">
        <v>807.5</v>
      </c>
      <c r="F2130">
        <v>37.049999999999997</v>
      </c>
      <c r="G2130">
        <v>23.11</v>
      </c>
      <c r="H2130">
        <v>73</v>
      </c>
      <c r="I2130" t="s">
        <v>31</v>
      </c>
      <c r="J2130">
        <v>2025</v>
      </c>
      <c r="K2130">
        <f t="shared" si="66"/>
        <v>13.939999999999998</v>
      </c>
      <c r="L2130" t="str">
        <f t="shared" si="67"/>
        <v>Banca Irpina|15|Mutui</v>
      </c>
    </row>
    <row r="2131" spans="1:12" x14ac:dyDescent="0.25">
      <c r="A2131" t="s">
        <v>30</v>
      </c>
      <c r="B2131">
        <v>15</v>
      </c>
      <c r="C2131" t="s">
        <v>15</v>
      </c>
      <c r="D2131" s="1">
        <v>45747</v>
      </c>
      <c r="E2131">
        <v>1104.0999999999999</v>
      </c>
      <c r="F2131">
        <v>52.1</v>
      </c>
      <c r="G2131">
        <v>32.97</v>
      </c>
      <c r="H2131">
        <v>104</v>
      </c>
      <c r="I2131" t="s">
        <v>31</v>
      </c>
      <c r="J2131">
        <v>2025</v>
      </c>
      <c r="K2131">
        <f t="shared" si="66"/>
        <v>19.130000000000003</v>
      </c>
      <c r="L2131" t="str">
        <f t="shared" si="67"/>
        <v>Banca Irpina|15|Prestiti</v>
      </c>
    </row>
    <row r="2132" spans="1:12" x14ac:dyDescent="0.25">
      <c r="A2132" t="s">
        <v>30</v>
      </c>
      <c r="B2132">
        <v>15</v>
      </c>
      <c r="C2132" t="s">
        <v>16</v>
      </c>
      <c r="D2132" s="1">
        <v>45747</v>
      </c>
      <c r="E2132">
        <v>1373</v>
      </c>
      <c r="F2132">
        <v>67.3</v>
      </c>
      <c r="G2132">
        <v>41.7</v>
      </c>
      <c r="H2132">
        <v>132</v>
      </c>
      <c r="I2132" t="s">
        <v>31</v>
      </c>
      <c r="J2132">
        <v>2025</v>
      </c>
      <c r="K2132">
        <f t="shared" si="66"/>
        <v>25.599999999999994</v>
      </c>
      <c r="L2132" t="str">
        <f t="shared" si="67"/>
        <v>Banca Irpina|15|Conti</v>
      </c>
    </row>
    <row r="2133" spans="1:12" x14ac:dyDescent="0.25">
      <c r="A2133" t="s">
        <v>30</v>
      </c>
      <c r="B2133">
        <v>15</v>
      </c>
      <c r="C2133" t="s">
        <v>17</v>
      </c>
      <c r="D2133" s="1">
        <v>45747</v>
      </c>
      <c r="E2133">
        <v>1656.7</v>
      </c>
      <c r="F2133">
        <v>85.34</v>
      </c>
      <c r="G2133">
        <v>51.57</v>
      </c>
      <c r="H2133">
        <v>165</v>
      </c>
      <c r="I2133" t="s">
        <v>31</v>
      </c>
      <c r="J2133">
        <v>2025</v>
      </c>
      <c r="K2133">
        <f t="shared" si="66"/>
        <v>33.770000000000003</v>
      </c>
      <c r="L2133" t="str">
        <f t="shared" si="67"/>
        <v>Banca Irpina|15|Carte</v>
      </c>
    </row>
    <row r="2134" spans="1:12" x14ac:dyDescent="0.25">
      <c r="A2134" t="s">
        <v>30</v>
      </c>
      <c r="B2134">
        <v>15</v>
      </c>
      <c r="C2134" t="s">
        <v>18</v>
      </c>
      <c r="D2134" s="1">
        <v>45747</v>
      </c>
      <c r="E2134">
        <v>1962.1</v>
      </c>
      <c r="F2134">
        <v>104.98</v>
      </c>
      <c r="G2134">
        <v>63.06</v>
      </c>
      <c r="H2134">
        <v>192</v>
      </c>
      <c r="I2134" t="s">
        <v>31</v>
      </c>
      <c r="J2134">
        <v>2025</v>
      </c>
      <c r="K2134">
        <f t="shared" si="66"/>
        <v>41.92</v>
      </c>
      <c r="L2134" t="str">
        <f t="shared" si="67"/>
        <v>Banca Irpina|15|Leasing</v>
      </c>
    </row>
    <row r="2135" spans="1:12" x14ac:dyDescent="0.25">
      <c r="A2135" t="s">
        <v>30</v>
      </c>
      <c r="B2135">
        <v>15</v>
      </c>
      <c r="C2135" t="s">
        <v>19</v>
      </c>
      <c r="D2135" s="1">
        <v>45747</v>
      </c>
      <c r="E2135">
        <v>2243.9</v>
      </c>
      <c r="F2135">
        <v>123.89</v>
      </c>
      <c r="G2135">
        <v>75.040000000000006</v>
      </c>
      <c r="H2135">
        <v>231</v>
      </c>
      <c r="I2135" t="s">
        <v>31</v>
      </c>
      <c r="J2135">
        <v>2025</v>
      </c>
      <c r="K2135">
        <f t="shared" si="66"/>
        <v>48.849999999999994</v>
      </c>
      <c r="L2135" t="str">
        <f t="shared" si="67"/>
        <v>Banca Irpina|15|Factoring</v>
      </c>
    </row>
    <row r="2136" spans="1:12" x14ac:dyDescent="0.25">
      <c r="A2136" t="s">
        <v>30</v>
      </c>
      <c r="B2136">
        <v>15</v>
      </c>
      <c r="C2136" t="s">
        <v>20</v>
      </c>
      <c r="D2136" s="1">
        <v>45747</v>
      </c>
      <c r="E2136">
        <v>2583.5</v>
      </c>
      <c r="F2136">
        <v>147.86000000000001</v>
      </c>
      <c r="G2136">
        <v>88.46</v>
      </c>
      <c r="H2136">
        <v>249</v>
      </c>
      <c r="I2136" t="s">
        <v>31</v>
      </c>
      <c r="J2136">
        <v>2025</v>
      </c>
      <c r="K2136">
        <f t="shared" si="66"/>
        <v>59.40000000000002</v>
      </c>
      <c r="L2136" t="str">
        <f t="shared" si="67"/>
        <v>Banca Irpina|15|Risparmio</v>
      </c>
    </row>
    <row r="2137" spans="1:12" x14ac:dyDescent="0.25">
      <c r="A2137" t="s">
        <v>30</v>
      </c>
      <c r="B2137">
        <v>15</v>
      </c>
      <c r="C2137" t="s">
        <v>21</v>
      </c>
      <c r="D2137" s="1">
        <v>45747</v>
      </c>
      <c r="E2137">
        <v>2865.2</v>
      </c>
      <c r="F2137">
        <v>170</v>
      </c>
      <c r="G2137">
        <v>101.19</v>
      </c>
      <c r="H2137">
        <v>294</v>
      </c>
      <c r="I2137" t="s">
        <v>31</v>
      </c>
      <c r="J2137">
        <v>2025</v>
      </c>
      <c r="K2137">
        <f t="shared" si="66"/>
        <v>68.81</v>
      </c>
      <c r="L2137" t="str">
        <f t="shared" si="67"/>
        <v>Banca Irpina|15|Assicurazioni</v>
      </c>
    </row>
    <row r="2138" spans="1:12" x14ac:dyDescent="0.25">
      <c r="A2138" t="s">
        <v>30</v>
      </c>
      <c r="B2138">
        <v>16</v>
      </c>
      <c r="C2138" t="s">
        <v>13</v>
      </c>
      <c r="D2138" s="1">
        <v>45777</v>
      </c>
      <c r="E2138">
        <v>783.6</v>
      </c>
      <c r="F2138">
        <v>35.85</v>
      </c>
      <c r="G2138">
        <v>22.53</v>
      </c>
      <c r="H2138">
        <v>103</v>
      </c>
      <c r="I2138" t="s">
        <v>31</v>
      </c>
      <c r="J2138">
        <v>2025</v>
      </c>
      <c r="K2138">
        <f t="shared" si="66"/>
        <v>13.32</v>
      </c>
      <c r="L2138" t="str">
        <f t="shared" si="67"/>
        <v>Banca Irpina|16|Mutui</v>
      </c>
    </row>
    <row r="2139" spans="1:12" x14ac:dyDescent="0.25">
      <c r="A2139" t="s">
        <v>30</v>
      </c>
      <c r="B2139">
        <v>16</v>
      </c>
      <c r="C2139" t="s">
        <v>15</v>
      </c>
      <c r="D2139" s="1">
        <v>45777</v>
      </c>
      <c r="E2139">
        <v>1118.9000000000001</v>
      </c>
      <c r="F2139">
        <v>52.79</v>
      </c>
      <c r="G2139">
        <v>32.83</v>
      </c>
      <c r="H2139">
        <v>97</v>
      </c>
      <c r="I2139" t="s">
        <v>31</v>
      </c>
      <c r="J2139">
        <v>2025</v>
      </c>
      <c r="K2139">
        <f t="shared" si="66"/>
        <v>19.96</v>
      </c>
      <c r="L2139" t="str">
        <f t="shared" si="67"/>
        <v>Banca Irpina|16|Prestiti</v>
      </c>
    </row>
    <row r="2140" spans="1:12" x14ac:dyDescent="0.25">
      <c r="A2140" t="s">
        <v>30</v>
      </c>
      <c r="B2140">
        <v>16</v>
      </c>
      <c r="C2140" t="s">
        <v>16</v>
      </c>
      <c r="D2140" s="1">
        <v>45777</v>
      </c>
      <c r="E2140">
        <v>1367.9</v>
      </c>
      <c r="F2140">
        <v>67.11</v>
      </c>
      <c r="G2140">
        <v>41.65</v>
      </c>
      <c r="H2140">
        <v>161</v>
      </c>
      <c r="I2140" t="s">
        <v>31</v>
      </c>
      <c r="J2140">
        <v>2025</v>
      </c>
      <c r="K2140">
        <f t="shared" si="66"/>
        <v>25.46</v>
      </c>
      <c r="L2140" t="str">
        <f t="shared" si="67"/>
        <v>Banca Irpina|16|Conti</v>
      </c>
    </row>
    <row r="2141" spans="1:12" x14ac:dyDescent="0.25">
      <c r="A2141" t="s">
        <v>30</v>
      </c>
      <c r="B2141">
        <v>16</v>
      </c>
      <c r="C2141" t="s">
        <v>17</v>
      </c>
      <c r="D2141" s="1">
        <v>45777</v>
      </c>
      <c r="E2141">
        <v>1703.1</v>
      </c>
      <c r="F2141">
        <v>87.29</v>
      </c>
      <c r="G2141">
        <v>52.89</v>
      </c>
      <c r="H2141">
        <v>187</v>
      </c>
      <c r="I2141" t="s">
        <v>31</v>
      </c>
      <c r="J2141">
        <v>2025</v>
      </c>
      <c r="K2141">
        <f t="shared" si="66"/>
        <v>34.400000000000006</v>
      </c>
      <c r="L2141" t="str">
        <f t="shared" si="67"/>
        <v>Banca Irpina|16|Carte</v>
      </c>
    </row>
    <row r="2142" spans="1:12" x14ac:dyDescent="0.25">
      <c r="A2142" t="s">
        <v>30</v>
      </c>
      <c r="B2142">
        <v>16</v>
      </c>
      <c r="C2142" t="s">
        <v>18</v>
      </c>
      <c r="D2142" s="1">
        <v>45777</v>
      </c>
      <c r="E2142">
        <v>1987.3</v>
      </c>
      <c r="F2142">
        <v>105.54</v>
      </c>
      <c r="G2142">
        <v>63.81</v>
      </c>
      <c r="H2142">
        <v>187</v>
      </c>
      <c r="I2142" t="s">
        <v>31</v>
      </c>
      <c r="J2142">
        <v>2025</v>
      </c>
      <c r="K2142">
        <f t="shared" si="66"/>
        <v>41.730000000000004</v>
      </c>
      <c r="L2142" t="str">
        <f t="shared" si="67"/>
        <v>Banca Irpina|16|Leasing</v>
      </c>
    </row>
    <row r="2143" spans="1:12" x14ac:dyDescent="0.25">
      <c r="A2143" t="s">
        <v>30</v>
      </c>
      <c r="B2143">
        <v>16</v>
      </c>
      <c r="C2143" t="s">
        <v>19</v>
      </c>
      <c r="D2143" s="1">
        <v>45777</v>
      </c>
      <c r="E2143">
        <v>2252.1</v>
      </c>
      <c r="F2143">
        <v>124.27</v>
      </c>
      <c r="G2143">
        <v>75.31</v>
      </c>
      <c r="H2143">
        <v>226</v>
      </c>
      <c r="I2143" t="s">
        <v>31</v>
      </c>
      <c r="J2143">
        <v>2025</v>
      </c>
      <c r="K2143">
        <f t="shared" si="66"/>
        <v>48.959999999999994</v>
      </c>
      <c r="L2143" t="str">
        <f t="shared" si="67"/>
        <v>Banca Irpina|16|Factoring</v>
      </c>
    </row>
    <row r="2144" spans="1:12" x14ac:dyDescent="0.25">
      <c r="A2144" t="s">
        <v>30</v>
      </c>
      <c r="B2144">
        <v>16</v>
      </c>
      <c r="C2144" t="s">
        <v>20</v>
      </c>
      <c r="D2144" s="1">
        <v>45777</v>
      </c>
      <c r="E2144">
        <v>2585.6</v>
      </c>
      <c r="F2144">
        <v>148.32</v>
      </c>
      <c r="G2144">
        <v>88.14</v>
      </c>
      <c r="H2144">
        <v>231</v>
      </c>
      <c r="I2144" t="s">
        <v>31</v>
      </c>
      <c r="J2144">
        <v>2025</v>
      </c>
      <c r="K2144">
        <f t="shared" si="66"/>
        <v>60.179999999999993</v>
      </c>
      <c r="L2144" t="str">
        <f t="shared" si="67"/>
        <v>Banca Irpina|16|Risparmio</v>
      </c>
    </row>
    <row r="2145" spans="1:12" x14ac:dyDescent="0.25">
      <c r="A2145" t="s">
        <v>30</v>
      </c>
      <c r="B2145">
        <v>16</v>
      </c>
      <c r="C2145" t="s">
        <v>21</v>
      </c>
      <c r="D2145" s="1">
        <v>45777</v>
      </c>
      <c r="E2145">
        <v>2874.5</v>
      </c>
      <c r="F2145">
        <v>169.99</v>
      </c>
      <c r="G2145">
        <v>101.04</v>
      </c>
      <c r="H2145">
        <v>272</v>
      </c>
      <c r="I2145" t="s">
        <v>31</v>
      </c>
      <c r="J2145">
        <v>2025</v>
      </c>
      <c r="K2145">
        <f t="shared" si="66"/>
        <v>68.95</v>
      </c>
      <c r="L2145" t="str">
        <f t="shared" si="67"/>
        <v>Banca Irpina|16|Assicurazioni</v>
      </c>
    </row>
    <row r="2146" spans="1:12" x14ac:dyDescent="0.25">
      <c r="A2146" t="s">
        <v>30</v>
      </c>
      <c r="B2146">
        <v>17</v>
      </c>
      <c r="C2146" t="s">
        <v>13</v>
      </c>
      <c r="D2146" s="1">
        <v>45808</v>
      </c>
      <c r="E2146">
        <v>802.4</v>
      </c>
      <c r="F2146">
        <v>36.19</v>
      </c>
      <c r="G2146">
        <v>23.46</v>
      </c>
      <c r="H2146">
        <v>92</v>
      </c>
      <c r="I2146" t="s">
        <v>31</v>
      </c>
      <c r="J2146">
        <v>2025</v>
      </c>
      <c r="K2146">
        <f t="shared" si="66"/>
        <v>12.729999999999997</v>
      </c>
      <c r="L2146" t="str">
        <f t="shared" si="67"/>
        <v>Banca Irpina|17|Mutui</v>
      </c>
    </row>
    <row r="2147" spans="1:12" x14ac:dyDescent="0.25">
      <c r="A2147" t="s">
        <v>30</v>
      </c>
      <c r="B2147">
        <v>17</v>
      </c>
      <c r="C2147" t="s">
        <v>15</v>
      </c>
      <c r="D2147" s="1">
        <v>45808</v>
      </c>
      <c r="E2147">
        <v>1119.3</v>
      </c>
      <c r="F2147">
        <v>53.6</v>
      </c>
      <c r="G2147">
        <v>33.130000000000003</v>
      </c>
      <c r="H2147">
        <v>126</v>
      </c>
      <c r="I2147" t="s">
        <v>31</v>
      </c>
      <c r="J2147">
        <v>2025</v>
      </c>
      <c r="K2147">
        <f t="shared" si="66"/>
        <v>20.47</v>
      </c>
      <c r="L2147" t="str">
        <f t="shared" si="67"/>
        <v>Banca Irpina|17|Prestiti</v>
      </c>
    </row>
    <row r="2148" spans="1:12" x14ac:dyDescent="0.25">
      <c r="A2148" t="s">
        <v>30</v>
      </c>
      <c r="B2148">
        <v>17</v>
      </c>
      <c r="C2148" t="s">
        <v>16</v>
      </c>
      <c r="D2148" s="1">
        <v>45808</v>
      </c>
      <c r="E2148">
        <v>1374.9</v>
      </c>
      <c r="F2148">
        <v>68.22</v>
      </c>
      <c r="G2148">
        <v>42.22</v>
      </c>
      <c r="H2148">
        <v>140</v>
      </c>
      <c r="I2148" t="s">
        <v>31</v>
      </c>
      <c r="J2148">
        <v>2025</v>
      </c>
      <c r="K2148">
        <f t="shared" si="66"/>
        <v>26</v>
      </c>
      <c r="L2148" t="str">
        <f t="shared" si="67"/>
        <v>Banca Irpina|17|Conti</v>
      </c>
    </row>
    <row r="2149" spans="1:12" x14ac:dyDescent="0.25">
      <c r="A2149" t="s">
        <v>30</v>
      </c>
      <c r="B2149">
        <v>17</v>
      </c>
      <c r="C2149" t="s">
        <v>17</v>
      </c>
      <c r="D2149" s="1">
        <v>45808</v>
      </c>
      <c r="E2149">
        <v>1682.2</v>
      </c>
      <c r="F2149">
        <v>86.16</v>
      </c>
      <c r="G2149">
        <v>52.44</v>
      </c>
      <c r="H2149">
        <v>183</v>
      </c>
      <c r="I2149" t="s">
        <v>31</v>
      </c>
      <c r="J2149">
        <v>2025</v>
      </c>
      <c r="K2149">
        <f t="shared" si="66"/>
        <v>33.72</v>
      </c>
      <c r="L2149" t="str">
        <f t="shared" si="67"/>
        <v>Banca Irpina|17|Carte</v>
      </c>
    </row>
    <row r="2150" spans="1:12" x14ac:dyDescent="0.25">
      <c r="A2150" t="s">
        <v>30</v>
      </c>
      <c r="B2150">
        <v>17</v>
      </c>
      <c r="C2150" t="s">
        <v>18</v>
      </c>
      <c r="D2150" s="1">
        <v>45808</v>
      </c>
      <c r="E2150">
        <v>2003.4</v>
      </c>
      <c r="F2150">
        <v>106.39</v>
      </c>
      <c r="G2150">
        <v>64.89</v>
      </c>
      <c r="H2150">
        <v>191</v>
      </c>
      <c r="I2150" t="s">
        <v>31</v>
      </c>
      <c r="J2150">
        <v>2025</v>
      </c>
      <c r="K2150">
        <f t="shared" si="66"/>
        <v>41.5</v>
      </c>
      <c r="L2150" t="str">
        <f t="shared" si="67"/>
        <v>Banca Irpina|17|Leasing</v>
      </c>
    </row>
    <row r="2151" spans="1:12" x14ac:dyDescent="0.25">
      <c r="A2151" t="s">
        <v>30</v>
      </c>
      <c r="B2151">
        <v>17</v>
      </c>
      <c r="C2151" t="s">
        <v>19</v>
      </c>
      <c r="D2151" s="1">
        <v>45808</v>
      </c>
      <c r="E2151">
        <v>2326.1</v>
      </c>
      <c r="F2151">
        <v>128.79</v>
      </c>
      <c r="G2151">
        <v>77.31</v>
      </c>
      <c r="H2151">
        <v>221</v>
      </c>
      <c r="I2151" t="s">
        <v>31</v>
      </c>
      <c r="J2151">
        <v>2025</v>
      </c>
      <c r="K2151">
        <f t="shared" si="66"/>
        <v>51.47999999999999</v>
      </c>
      <c r="L2151" t="str">
        <f t="shared" si="67"/>
        <v>Banca Irpina|17|Factoring</v>
      </c>
    </row>
    <row r="2152" spans="1:12" x14ac:dyDescent="0.25">
      <c r="A2152" t="s">
        <v>30</v>
      </c>
      <c r="B2152">
        <v>17</v>
      </c>
      <c r="C2152" t="s">
        <v>20</v>
      </c>
      <c r="D2152" s="1">
        <v>45808</v>
      </c>
      <c r="E2152">
        <v>2586.8000000000002</v>
      </c>
      <c r="F2152">
        <v>148.44999999999999</v>
      </c>
      <c r="G2152">
        <v>88.62</v>
      </c>
      <c r="H2152">
        <v>244</v>
      </c>
      <c r="I2152" t="s">
        <v>31</v>
      </c>
      <c r="J2152">
        <v>2025</v>
      </c>
      <c r="K2152">
        <f t="shared" si="66"/>
        <v>59.829999999999984</v>
      </c>
      <c r="L2152" t="str">
        <f t="shared" si="67"/>
        <v>Banca Irpina|17|Risparmio</v>
      </c>
    </row>
    <row r="2153" spans="1:12" x14ac:dyDescent="0.25">
      <c r="A2153" t="s">
        <v>30</v>
      </c>
      <c r="B2153">
        <v>17</v>
      </c>
      <c r="C2153" t="s">
        <v>21</v>
      </c>
      <c r="D2153" s="1">
        <v>45808</v>
      </c>
      <c r="E2153">
        <v>2896.4</v>
      </c>
      <c r="F2153">
        <v>171.11</v>
      </c>
      <c r="G2153">
        <v>102.02</v>
      </c>
      <c r="H2153">
        <v>273</v>
      </c>
      <c r="I2153" t="s">
        <v>31</v>
      </c>
      <c r="J2153">
        <v>2025</v>
      </c>
      <c r="K2153">
        <f t="shared" si="66"/>
        <v>69.090000000000018</v>
      </c>
      <c r="L2153" t="str">
        <f t="shared" si="67"/>
        <v>Banca Irpina|17|Assicurazioni</v>
      </c>
    </row>
    <row r="2154" spans="1:12" x14ac:dyDescent="0.25">
      <c r="A2154" t="s">
        <v>30</v>
      </c>
      <c r="B2154">
        <v>18</v>
      </c>
      <c r="C2154" t="s">
        <v>13</v>
      </c>
      <c r="D2154" s="1">
        <v>45838</v>
      </c>
      <c r="E2154">
        <v>817.3</v>
      </c>
      <c r="F2154">
        <v>37.520000000000003</v>
      </c>
      <c r="G2154">
        <v>23.15</v>
      </c>
      <c r="H2154">
        <v>89</v>
      </c>
      <c r="I2154" t="s">
        <v>31</v>
      </c>
      <c r="J2154">
        <v>2025</v>
      </c>
      <c r="K2154">
        <f t="shared" si="66"/>
        <v>14.370000000000005</v>
      </c>
      <c r="L2154" t="str">
        <f t="shared" si="67"/>
        <v>Banca Irpina|18|Mutui</v>
      </c>
    </row>
    <row r="2155" spans="1:12" x14ac:dyDescent="0.25">
      <c r="A2155" t="s">
        <v>30</v>
      </c>
      <c r="B2155">
        <v>18</v>
      </c>
      <c r="C2155" t="s">
        <v>15</v>
      </c>
      <c r="D2155" s="1">
        <v>45838</v>
      </c>
      <c r="E2155">
        <v>1104.0999999999999</v>
      </c>
      <c r="F2155">
        <v>52.86</v>
      </c>
      <c r="G2155">
        <v>32.82</v>
      </c>
      <c r="H2155">
        <v>130</v>
      </c>
      <c r="I2155" t="s">
        <v>31</v>
      </c>
      <c r="J2155">
        <v>2025</v>
      </c>
      <c r="K2155">
        <f t="shared" si="66"/>
        <v>20.04</v>
      </c>
      <c r="L2155" t="str">
        <f t="shared" si="67"/>
        <v>Banca Irpina|18|Prestiti</v>
      </c>
    </row>
    <row r="2156" spans="1:12" x14ac:dyDescent="0.25">
      <c r="A2156" t="s">
        <v>30</v>
      </c>
      <c r="B2156">
        <v>18</v>
      </c>
      <c r="C2156" t="s">
        <v>16</v>
      </c>
      <c r="D2156" s="1">
        <v>45838</v>
      </c>
      <c r="E2156">
        <v>1424.7</v>
      </c>
      <c r="F2156">
        <v>69.92</v>
      </c>
      <c r="G2156">
        <v>43.34</v>
      </c>
      <c r="H2156">
        <v>156</v>
      </c>
      <c r="I2156" t="s">
        <v>31</v>
      </c>
      <c r="J2156">
        <v>2025</v>
      </c>
      <c r="K2156">
        <f t="shared" si="66"/>
        <v>26.58</v>
      </c>
      <c r="L2156" t="str">
        <f t="shared" si="67"/>
        <v>Banca Irpina|18|Conti</v>
      </c>
    </row>
    <row r="2157" spans="1:12" x14ac:dyDescent="0.25">
      <c r="A2157" t="s">
        <v>30</v>
      </c>
      <c r="B2157">
        <v>18</v>
      </c>
      <c r="C2157" t="s">
        <v>17</v>
      </c>
      <c r="D2157" s="1">
        <v>45838</v>
      </c>
      <c r="E2157">
        <v>1702.3</v>
      </c>
      <c r="F2157">
        <v>87.13</v>
      </c>
      <c r="G2157">
        <v>53.38</v>
      </c>
      <c r="H2157">
        <v>174</v>
      </c>
      <c r="I2157" t="s">
        <v>31</v>
      </c>
      <c r="J2157">
        <v>2025</v>
      </c>
      <c r="K2157">
        <f t="shared" si="66"/>
        <v>33.749999999999993</v>
      </c>
      <c r="L2157" t="str">
        <f t="shared" si="67"/>
        <v>Banca Irpina|18|Carte</v>
      </c>
    </row>
    <row r="2158" spans="1:12" x14ac:dyDescent="0.25">
      <c r="A2158" t="s">
        <v>30</v>
      </c>
      <c r="B2158">
        <v>18</v>
      </c>
      <c r="C2158" t="s">
        <v>18</v>
      </c>
      <c r="D2158" s="1">
        <v>45838</v>
      </c>
      <c r="E2158">
        <v>2026.7</v>
      </c>
      <c r="F2158">
        <v>107.85</v>
      </c>
      <c r="G2158">
        <v>65.03</v>
      </c>
      <c r="H2158">
        <v>191</v>
      </c>
      <c r="I2158" t="s">
        <v>31</v>
      </c>
      <c r="J2158">
        <v>2025</v>
      </c>
      <c r="K2158">
        <f t="shared" si="66"/>
        <v>42.819999999999993</v>
      </c>
      <c r="L2158" t="str">
        <f t="shared" si="67"/>
        <v>Banca Irpina|18|Leasing</v>
      </c>
    </row>
    <row r="2159" spans="1:12" x14ac:dyDescent="0.25">
      <c r="A2159" t="s">
        <v>30</v>
      </c>
      <c r="B2159">
        <v>18</v>
      </c>
      <c r="C2159" t="s">
        <v>19</v>
      </c>
      <c r="D2159" s="1">
        <v>45838</v>
      </c>
      <c r="E2159">
        <v>2343.3000000000002</v>
      </c>
      <c r="F2159">
        <v>129.07</v>
      </c>
      <c r="G2159">
        <v>77.92</v>
      </c>
      <c r="H2159">
        <v>239</v>
      </c>
      <c r="I2159" t="s">
        <v>31</v>
      </c>
      <c r="J2159">
        <v>2025</v>
      </c>
      <c r="K2159">
        <f t="shared" si="66"/>
        <v>51.149999999999991</v>
      </c>
      <c r="L2159" t="str">
        <f t="shared" si="67"/>
        <v>Banca Irpina|18|Factoring</v>
      </c>
    </row>
    <row r="2160" spans="1:12" x14ac:dyDescent="0.25">
      <c r="A2160" t="s">
        <v>30</v>
      </c>
      <c r="B2160">
        <v>18</v>
      </c>
      <c r="C2160" t="s">
        <v>20</v>
      </c>
      <c r="D2160" s="1">
        <v>45838</v>
      </c>
      <c r="E2160">
        <v>2598.5</v>
      </c>
      <c r="F2160">
        <v>148.84</v>
      </c>
      <c r="G2160">
        <v>89.19</v>
      </c>
      <c r="H2160">
        <v>233</v>
      </c>
      <c r="I2160" t="s">
        <v>31</v>
      </c>
      <c r="J2160">
        <v>2025</v>
      </c>
      <c r="K2160">
        <f t="shared" si="66"/>
        <v>59.650000000000006</v>
      </c>
      <c r="L2160" t="str">
        <f t="shared" si="67"/>
        <v>Banca Irpina|18|Risparmio</v>
      </c>
    </row>
    <row r="2161" spans="1:12" x14ac:dyDescent="0.25">
      <c r="A2161" t="s">
        <v>30</v>
      </c>
      <c r="B2161">
        <v>18</v>
      </c>
      <c r="C2161" t="s">
        <v>21</v>
      </c>
      <c r="D2161" s="1">
        <v>45838</v>
      </c>
      <c r="E2161">
        <v>2901.3</v>
      </c>
      <c r="F2161">
        <v>172.12</v>
      </c>
      <c r="G2161">
        <v>101.83</v>
      </c>
      <c r="H2161">
        <v>292</v>
      </c>
      <c r="I2161" t="s">
        <v>31</v>
      </c>
      <c r="J2161">
        <v>2025</v>
      </c>
      <c r="K2161">
        <f t="shared" si="66"/>
        <v>70.290000000000006</v>
      </c>
      <c r="L2161" t="str">
        <f t="shared" si="67"/>
        <v>Banca Irpina|18|Assicurazioni</v>
      </c>
    </row>
    <row r="2162" spans="1:12" x14ac:dyDescent="0.25">
      <c r="A2162" t="s">
        <v>30</v>
      </c>
      <c r="B2162">
        <v>19</v>
      </c>
      <c r="C2162" t="s">
        <v>13</v>
      </c>
      <c r="D2162" s="1">
        <v>45869</v>
      </c>
      <c r="E2162">
        <v>817.7</v>
      </c>
      <c r="F2162">
        <v>36.85</v>
      </c>
      <c r="G2162">
        <v>23.61</v>
      </c>
      <c r="H2162">
        <v>98</v>
      </c>
      <c r="I2162" t="s">
        <v>31</v>
      </c>
      <c r="J2162">
        <v>2025</v>
      </c>
      <c r="K2162">
        <f t="shared" si="66"/>
        <v>13.240000000000002</v>
      </c>
      <c r="L2162" t="str">
        <f t="shared" si="67"/>
        <v>Banca Irpina|19|Mutui</v>
      </c>
    </row>
    <row r="2163" spans="1:12" x14ac:dyDescent="0.25">
      <c r="A2163" t="s">
        <v>30</v>
      </c>
      <c r="B2163">
        <v>19</v>
      </c>
      <c r="C2163" t="s">
        <v>15</v>
      </c>
      <c r="D2163" s="1">
        <v>45869</v>
      </c>
      <c r="E2163">
        <v>1099.5</v>
      </c>
      <c r="F2163">
        <v>52.07</v>
      </c>
      <c r="G2163">
        <v>32.71</v>
      </c>
      <c r="H2163">
        <v>97</v>
      </c>
      <c r="I2163" t="s">
        <v>31</v>
      </c>
      <c r="J2163">
        <v>2025</v>
      </c>
      <c r="K2163">
        <f t="shared" si="66"/>
        <v>19.36</v>
      </c>
      <c r="L2163" t="str">
        <f t="shared" si="67"/>
        <v>Banca Irpina|19|Prestiti</v>
      </c>
    </row>
    <row r="2164" spans="1:12" x14ac:dyDescent="0.25">
      <c r="A2164" t="s">
        <v>30</v>
      </c>
      <c r="B2164">
        <v>19</v>
      </c>
      <c r="C2164" t="s">
        <v>16</v>
      </c>
      <c r="D2164" s="1">
        <v>45869</v>
      </c>
      <c r="E2164">
        <v>1426.2</v>
      </c>
      <c r="F2164">
        <v>70.5</v>
      </c>
      <c r="G2164">
        <v>42.83</v>
      </c>
      <c r="H2164">
        <v>151</v>
      </c>
      <c r="I2164" t="s">
        <v>31</v>
      </c>
      <c r="J2164">
        <v>2025</v>
      </c>
      <c r="K2164">
        <f t="shared" si="66"/>
        <v>27.67</v>
      </c>
      <c r="L2164" t="str">
        <f t="shared" si="67"/>
        <v>Banca Irpina|19|Conti</v>
      </c>
    </row>
    <row r="2165" spans="1:12" x14ac:dyDescent="0.25">
      <c r="A2165" t="s">
        <v>30</v>
      </c>
      <c r="B2165">
        <v>19</v>
      </c>
      <c r="C2165" t="s">
        <v>17</v>
      </c>
      <c r="D2165" s="1">
        <v>45869</v>
      </c>
      <c r="E2165">
        <v>1709.4</v>
      </c>
      <c r="F2165">
        <v>87.74</v>
      </c>
      <c r="G2165">
        <v>53.85</v>
      </c>
      <c r="H2165">
        <v>170</v>
      </c>
      <c r="I2165" t="s">
        <v>31</v>
      </c>
      <c r="J2165">
        <v>2025</v>
      </c>
      <c r="K2165">
        <f t="shared" si="66"/>
        <v>33.889999999999993</v>
      </c>
      <c r="L2165" t="str">
        <f t="shared" si="67"/>
        <v>Banca Irpina|19|Carte</v>
      </c>
    </row>
    <row r="2166" spans="1:12" x14ac:dyDescent="0.25">
      <c r="A2166" t="s">
        <v>30</v>
      </c>
      <c r="B2166">
        <v>19</v>
      </c>
      <c r="C2166" t="s">
        <v>18</v>
      </c>
      <c r="D2166" s="1">
        <v>45869</v>
      </c>
      <c r="E2166">
        <v>2013.5</v>
      </c>
      <c r="F2166">
        <v>107.09</v>
      </c>
      <c r="G2166">
        <v>65.290000000000006</v>
      </c>
      <c r="H2166">
        <v>201</v>
      </c>
      <c r="I2166" t="s">
        <v>31</v>
      </c>
      <c r="J2166">
        <v>2025</v>
      </c>
      <c r="K2166">
        <f t="shared" si="66"/>
        <v>41.8</v>
      </c>
      <c r="L2166" t="str">
        <f t="shared" si="67"/>
        <v>Banca Irpina|19|Leasing</v>
      </c>
    </row>
    <row r="2167" spans="1:12" x14ac:dyDescent="0.25">
      <c r="A2167" t="s">
        <v>30</v>
      </c>
      <c r="B2167">
        <v>19</v>
      </c>
      <c r="C2167" t="s">
        <v>19</v>
      </c>
      <c r="D2167" s="1">
        <v>45869</v>
      </c>
      <c r="E2167">
        <v>2317.6999999999998</v>
      </c>
      <c r="F2167">
        <v>127.74</v>
      </c>
      <c r="G2167">
        <v>76.97</v>
      </c>
      <c r="H2167">
        <v>226</v>
      </c>
      <c r="I2167" t="s">
        <v>31</v>
      </c>
      <c r="J2167">
        <v>2025</v>
      </c>
      <c r="K2167">
        <f t="shared" si="66"/>
        <v>50.769999999999996</v>
      </c>
      <c r="L2167" t="str">
        <f t="shared" si="67"/>
        <v>Banca Irpina|19|Factoring</v>
      </c>
    </row>
    <row r="2168" spans="1:12" x14ac:dyDescent="0.25">
      <c r="A2168" t="s">
        <v>30</v>
      </c>
      <c r="B2168">
        <v>19</v>
      </c>
      <c r="C2168" t="s">
        <v>20</v>
      </c>
      <c r="D2168" s="1">
        <v>45869</v>
      </c>
      <c r="E2168">
        <v>2659.2</v>
      </c>
      <c r="F2168">
        <v>151.6</v>
      </c>
      <c r="G2168">
        <v>91.09</v>
      </c>
      <c r="H2168">
        <v>267</v>
      </c>
      <c r="I2168" t="s">
        <v>31</v>
      </c>
      <c r="J2168">
        <v>2025</v>
      </c>
      <c r="K2168">
        <f t="shared" si="66"/>
        <v>60.509999999999991</v>
      </c>
      <c r="L2168" t="str">
        <f t="shared" si="67"/>
        <v>Banca Irpina|19|Risparmio</v>
      </c>
    </row>
    <row r="2169" spans="1:12" x14ac:dyDescent="0.25">
      <c r="A2169" t="s">
        <v>30</v>
      </c>
      <c r="B2169">
        <v>19</v>
      </c>
      <c r="C2169" t="s">
        <v>21</v>
      </c>
      <c r="D2169" s="1">
        <v>45869</v>
      </c>
      <c r="E2169">
        <v>2943.6</v>
      </c>
      <c r="F2169">
        <v>174.4</v>
      </c>
      <c r="G2169">
        <v>103.48</v>
      </c>
      <c r="H2169">
        <v>260</v>
      </c>
      <c r="I2169" t="s">
        <v>31</v>
      </c>
      <c r="J2169">
        <v>2025</v>
      </c>
      <c r="K2169">
        <f t="shared" si="66"/>
        <v>70.92</v>
      </c>
      <c r="L2169" t="str">
        <f t="shared" si="67"/>
        <v>Banca Irpina|19|Assicurazioni</v>
      </c>
    </row>
    <row r="2170" spans="1:12" x14ac:dyDescent="0.25">
      <c r="A2170" t="s">
        <v>30</v>
      </c>
      <c r="B2170">
        <v>20</v>
      </c>
      <c r="C2170" t="s">
        <v>13</v>
      </c>
      <c r="D2170" s="1">
        <v>45900</v>
      </c>
      <c r="E2170">
        <v>845</v>
      </c>
      <c r="F2170">
        <v>38.380000000000003</v>
      </c>
      <c r="G2170">
        <v>24.23</v>
      </c>
      <c r="H2170">
        <v>82</v>
      </c>
      <c r="I2170" t="s">
        <v>31</v>
      </c>
      <c r="J2170">
        <v>2025</v>
      </c>
      <c r="K2170">
        <f t="shared" si="66"/>
        <v>14.150000000000002</v>
      </c>
      <c r="L2170" t="str">
        <f t="shared" si="67"/>
        <v>Banca Irpina|20|Mutui</v>
      </c>
    </row>
    <row r="2171" spans="1:12" x14ac:dyDescent="0.25">
      <c r="A2171" t="s">
        <v>30</v>
      </c>
      <c r="B2171">
        <v>20</v>
      </c>
      <c r="C2171" t="s">
        <v>15</v>
      </c>
      <c r="D2171" s="1">
        <v>45900</v>
      </c>
      <c r="E2171">
        <v>1122.0999999999999</v>
      </c>
      <c r="F2171">
        <v>53.42</v>
      </c>
      <c r="G2171">
        <v>32.67</v>
      </c>
      <c r="H2171">
        <v>130</v>
      </c>
      <c r="I2171" t="s">
        <v>31</v>
      </c>
      <c r="J2171">
        <v>2025</v>
      </c>
      <c r="K2171">
        <f t="shared" si="66"/>
        <v>20.75</v>
      </c>
      <c r="L2171" t="str">
        <f t="shared" si="67"/>
        <v>Banca Irpina|20|Prestiti</v>
      </c>
    </row>
    <row r="2172" spans="1:12" x14ac:dyDescent="0.25">
      <c r="A2172" t="s">
        <v>30</v>
      </c>
      <c r="B2172">
        <v>20</v>
      </c>
      <c r="C2172" t="s">
        <v>16</v>
      </c>
      <c r="D2172" s="1">
        <v>45900</v>
      </c>
      <c r="E2172">
        <v>1415.2</v>
      </c>
      <c r="F2172">
        <v>69.430000000000007</v>
      </c>
      <c r="G2172">
        <v>43.24</v>
      </c>
      <c r="H2172">
        <v>148</v>
      </c>
      <c r="I2172" t="s">
        <v>31</v>
      </c>
      <c r="J2172">
        <v>2025</v>
      </c>
      <c r="K2172">
        <f t="shared" si="66"/>
        <v>26.190000000000005</v>
      </c>
      <c r="L2172" t="str">
        <f t="shared" si="67"/>
        <v>Banca Irpina|20|Conti</v>
      </c>
    </row>
    <row r="2173" spans="1:12" x14ac:dyDescent="0.25">
      <c r="A2173" t="s">
        <v>30</v>
      </c>
      <c r="B2173">
        <v>20</v>
      </c>
      <c r="C2173" t="s">
        <v>17</v>
      </c>
      <c r="D2173" s="1">
        <v>45900</v>
      </c>
      <c r="E2173">
        <v>1733.1</v>
      </c>
      <c r="F2173">
        <v>88.58</v>
      </c>
      <c r="G2173">
        <v>53.81</v>
      </c>
      <c r="H2173">
        <v>167</v>
      </c>
      <c r="I2173" t="s">
        <v>31</v>
      </c>
      <c r="J2173">
        <v>2025</v>
      </c>
      <c r="K2173">
        <f t="shared" si="66"/>
        <v>34.769999999999996</v>
      </c>
      <c r="L2173" t="str">
        <f t="shared" si="67"/>
        <v>Banca Irpina|20|Carte</v>
      </c>
    </row>
    <row r="2174" spans="1:12" x14ac:dyDescent="0.25">
      <c r="A2174" t="s">
        <v>30</v>
      </c>
      <c r="B2174">
        <v>20</v>
      </c>
      <c r="C2174" t="s">
        <v>18</v>
      </c>
      <c r="D2174" s="1">
        <v>45900</v>
      </c>
      <c r="E2174">
        <v>2065.1999999999998</v>
      </c>
      <c r="F2174">
        <v>110.36</v>
      </c>
      <c r="G2174">
        <v>66.290000000000006</v>
      </c>
      <c r="H2174">
        <v>180</v>
      </c>
      <c r="I2174" t="s">
        <v>31</v>
      </c>
      <c r="J2174">
        <v>2025</v>
      </c>
      <c r="K2174">
        <f t="shared" si="66"/>
        <v>44.069999999999993</v>
      </c>
      <c r="L2174" t="str">
        <f t="shared" si="67"/>
        <v>Banca Irpina|20|Leasing</v>
      </c>
    </row>
    <row r="2175" spans="1:12" x14ac:dyDescent="0.25">
      <c r="A2175" t="s">
        <v>30</v>
      </c>
      <c r="B2175">
        <v>20</v>
      </c>
      <c r="C2175" t="s">
        <v>19</v>
      </c>
      <c r="D2175" s="1">
        <v>45900</v>
      </c>
      <c r="E2175">
        <v>2358.1999999999998</v>
      </c>
      <c r="F2175">
        <v>130.63999999999999</v>
      </c>
      <c r="G2175">
        <v>77.89</v>
      </c>
      <c r="H2175">
        <v>206</v>
      </c>
      <c r="I2175" t="s">
        <v>31</v>
      </c>
      <c r="J2175">
        <v>2025</v>
      </c>
      <c r="K2175">
        <f t="shared" si="66"/>
        <v>52.749999999999986</v>
      </c>
      <c r="L2175" t="str">
        <f t="shared" si="67"/>
        <v>Banca Irpina|20|Factoring</v>
      </c>
    </row>
    <row r="2176" spans="1:12" x14ac:dyDescent="0.25">
      <c r="A2176" t="s">
        <v>30</v>
      </c>
      <c r="B2176">
        <v>20</v>
      </c>
      <c r="C2176" t="s">
        <v>20</v>
      </c>
      <c r="D2176" s="1">
        <v>45900</v>
      </c>
      <c r="E2176">
        <v>2675.8</v>
      </c>
      <c r="F2176">
        <v>152.63</v>
      </c>
      <c r="G2176">
        <v>91.69</v>
      </c>
      <c r="H2176">
        <v>250</v>
      </c>
      <c r="I2176" t="s">
        <v>31</v>
      </c>
      <c r="J2176">
        <v>2025</v>
      </c>
      <c r="K2176">
        <f t="shared" si="66"/>
        <v>60.94</v>
      </c>
      <c r="L2176" t="str">
        <f t="shared" si="67"/>
        <v>Banca Irpina|20|Risparmio</v>
      </c>
    </row>
    <row r="2177" spans="1:12" x14ac:dyDescent="0.25">
      <c r="A2177" t="s">
        <v>30</v>
      </c>
      <c r="B2177">
        <v>20</v>
      </c>
      <c r="C2177" t="s">
        <v>21</v>
      </c>
      <c r="D2177" s="1">
        <v>45900</v>
      </c>
      <c r="E2177">
        <v>2959.4</v>
      </c>
      <c r="F2177">
        <v>175.41</v>
      </c>
      <c r="G2177">
        <v>104.12</v>
      </c>
      <c r="H2177">
        <v>260</v>
      </c>
      <c r="I2177" t="s">
        <v>31</v>
      </c>
      <c r="J2177">
        <v>2025</v>
      </c>
      <c r="K2177">
        <f t="shared" si="66"/>
        <v>71.289999999999992</v>
      </c>
      <c r="L2177" t="str">
        <f t="shared" si="67"/>
        <v>Banca Irpina|20|Assicurazioni</v>
      </c>
    </row>
    <row r="2178" spans="1:12" x14ac:dyDescent="0.25">
      <c r="A2178" t="s">
        <v>30</v>
      </c>
      <c r="B2178">
        <v>21</v>
      </c>
      <c r="C2178" t="s">
        <v>13</v>
      </c>
      <c r="D2178" s="1">
        <v>45930</v>
      </c>
      <c r="E2178">
        <v>817.5</v>
      </c>
      <c r="F2178">
        <v>36.93</v>
      </c>
      <c r="G2178">
        <v>23.53</v>
      </c>
      <c r="H2178">
        <v>83</v>
      </c>
      <c r="I2178" t="s">
        <v>31</v>
      </c>
      <c r="J2178">
        <v>2025</v>
      </c>
      <c r="K2178">
        <f t="shared" ref="K2178:K2241" si="68">F2178-G2178</f>
        <v>13.399999999999999</v>
      </c>
      <c r="L2178" t="str">
        <f t="shared" ref="L2178:L2241" si="69">A2178&amp;"|"&amp;B2178&amp;"|"&amp;C2178</f>
        <v>Banca Irpina|21|Mutui</v>
      </c>
    </row>
    <row r="2179" spans="1:12" x14ac:dyDescent="0.25">
      <c r="A2179" t="s">
        <v>30</v>
      </c>
      <c r="B2179">
        <v>21</v>
      </c>
      <c r="C2179" t="s">
        <v>15</v>
      </c>
      <c r="D2179" s="1">
        <v>45930</v>
      </c>
      <c r="E2179">
        <v>1101.8</v>
      </c>
      <c r="F2179">
        <v>52.03</v>
      </c>
      <c r="G2179">
        <v>31.98</v>
      </c>
      <c r="H2179">
        <v>116</v>
      </c>
      <c r="I2179" t="s">
        <v>31</v>
      </c>
      <c r="J2179">
        <v>2025</v>
      </c>
      <c r="K2179">
        <f t="shared" si="68"/>
        <v>20.05</v>
      </c>
      <c r="L2179" t="str">
        <f t="shared" si="69"/>
        <v>Banca Irpina|21|Prestiti</v>
      </c>
    </row>
    <row r="2180" spans="1:12" x14ac:dyDescent="0.25">
      <c r="A2180" t="s">
        <v>30</v>
      </c>
      <c r="B2180">
        <v>21</v>
      </c>
      <c r="C2180" t="s">
        <v>16</v>
      </c>
      <c r="D2180" s="1">
        <v>45930</v>
      </c>
      <c r="E2180">
        <v>1457.3</v>
      </c>
      <c r="F2180">
        <v>72.05</v>
      </c>
      <c r="G2180">
        <v>43.74</v>
      </c>
      <c r="H2180">
        <v>132</v>
      </c>
      <c r="I2180" t="s">
        <v>31</v>
      </c>
      <c r="J2180">
        <v>2025</v>
      </c>
      <c r="K2180">
        <f t="shared" si="68"/>
        <v>28.309999999999995</v>
      </c>
      <c r="L2180" t="str">
        <f t="shared" si="69"/>
        <v>Banca Irpina|21|Conti</v>
      </c>
    </row>
    <row r="2181" spans="1:12" x14ac:dyDescent="0.25">
      <c r="A2181" t="s">
        <v>30</v>
      </c>
      <c r="B2181">
        <v>21</v>
      </c>
      <c r="C2181" t="s">
        <v>17</v>
      </c>
      <c r="D2181" s="1">
        <v>45930</v>
      </c>
      <c r="E2181">
        <v>1730.2</v>
      </c>
      <c r="F2181">
        <v>88.39</v>
      </c>
      <c r="G2181">
        <v>54.11</v>
      </c>
      <c r="H2181">
        <v>175</v>
      </c>
      <c r="I2181" t="s">
        <v>31</v>
      </c>
      <c r="J2181">
        <v>2025</v>
      </c>
      <c r="K2181">
        <f t="shared" si="68"/>
        <v>34.28</v>
      </c>
      <c r="L2181" t="str">
        <f t="shared" si="69"/>
        <v>Banca Irpina|21|Carte</v>
      </c>
    </row>
    <row r="2182" spans="1:12" x14ac:dyDescent="0.25">
      <c r="A2182" t="s">
        <v>30</v>
      </c>
      <c r="B2182">
        <v>21</v>
      </c>
      <c r="C2182" t="s">
        <v>18</v>
      </c>
      <c r="D2182" s="1">
        <v>45930</v>
      </c>
      <c r="E2182">
        <v>2074.4</v>
      </c>
      <c r="F2182">
        <v>110.56</v>
      </c>
      <c r="G2182">
        <v>66.39</v>
      </c>
      <c r="H2182">
        <v>214</v>
      </c>
      <c r="I2182" t="s">
        <v>31</v>
      </c>
      <c r="J2182">
        <v>2025</v>
      </c>
      <c r="K2182">
        <f t="shared" si="68"/>
        <v>44.17</v>
      </c>
      <c r="L2182" t="str">
        <f t="shared" si="69"/>
        <v>Banca Irpina|21|Leasing</v>
      </c>
    </row>
    <row r="2183" spans="1:12" x14ac:dyDescent="0.25">
      <c r="A2183" t="s">
        <v>30</v>
      </c>
      <c r="B2183">
        <v>21</v>
      </c>
      <c r="C2183" t="s">
        <v>19</v>
      </c>
      <c r="D2183" s="1">
        <v>45930</v>
      </c>
      <c r="E2183">
        <v>2336.5</v>
      </c>
      <c r="F2183">
        <v>128.87</v>
      </c>
      <c r="G2183">
        <v>77.36</v>
      </c>
      <c r="H2183">
        <v>207</v>
      </c>
      <c r="I2183" t="s">
        <v>31</v>
      </c>
      <c r="J2183">
        <v>2025</v>
      </c>
      <c r="K2183">
        <f t="shared" si="68"/>
        <v>51.510000000000005</v>
      </c>
      <c r="L2183" t="str">
        <f t="shared" si="69"/>
        <v>Banca Irpina|21|Factoring</v>
      </c>
    </row>
    <row r="2184" spans="1:12" x14ac:dyDescent="0.25">
      <c r="A2184" t="s">
        <v>30</v>
      </c>
      <c r="B2184">
        <v>21</v>
      </c>
      <c r="C2184" t="s">
        <v>20</v>
      </c>
      <c r="D2184" s="1">
        <v>45930</v>
      </c>
      <c r="E2184">
        <v>2682.8</v>
      </c>
      <c r="F2184">
        <v>153.57</v>
      </c>
      <c r="G2184">
        <v>92.16</v>
      </c>
      <c r="H2184">
        <v>229</v>
      </c>
      <c r="I2184" t="s">
        <v>31</v>
      </c>
      <c r="J2184">
        <v>2025</v>
      </c>
      <c r="K2184">
        <f t="shared" si="68"/>
        <v>61.41</v>
      </c>
      <c r="L2184" t="str">
        <f t="shared" si="69"/>
        <v>Banca Irpina|21|Risparmio</v>
      </c>
    </row>
    <row r="2185" spans="1:12" x14ac:dyDescent="0.25">
      <c r="A2185" t="s">
        <v>30</v>
      </c>
      <c r="B2185">
        <v>21</v>
      </c>
      <c r="C2185" t="s">
        <v>21</v>
      </c>
      <c r="D2185" s="1">
        <v>45930</v>
      </c>
      <c r="E2185">
        <v>2962.7</v>
      </c>
      <c r="F2185">
        <v>175.06</v>
      </c>
      <c r="G2185">
        <v>104.56</v>
      </c>
      <c r="H2185">
        <v>257</v>
      </c>
      <c r="I2185" t="s">
        <v>31</v>
      </c>
      <c r="J2185">
        <v>2025</v>
      </c>
      <c r="K2185">
        <f t="shared" si="68"/>
        <v>70.5</v>
      </c>
      <c r="L2185" t="str">
        <f t="shared" si="69"/>
        <v>Banca Irpina|21|Assicurazioni</v>
      </c>
    </row>
    <row r="2186" spans="1:12" x14ac:dyDescent="0.25">
      <c r="A2186" t="s">
        <v>30</v>
      </c>
      <c r="B2186">
        <v>22</v>
      </c>
      <c r="C2186" t="s">
        <v>13</v>
      </c>
      <c r="D2186" s="1">
        <v>45961</v>
      </c>
      <c r="E2186">
        <v>848.9</v>
      </c>
      <c r="F2186">
        <v>39.119999999999997</v>
      </c>
      <c r="G2186">
        <v>24.34</v>
      </c>
      <c r="H2186">
        <v>81</v>
      </c>
      <c r="I2186" t="s">
        <v>31</v>
      </c>
      <c r="J2186">
        <v>2025</v>
      </c>
      <c r="K2186">
        <f t="shared" si="68"/>
        <v>14.779999999999998</v>
      </c>
      <c r="L2186" t="str">
        <f t="shared" si="69"/>
        <v>Banca Irpina|22|Mutui</v>
      </c>
    </row>
    <row r="2187" spans="1:12" x14ac:dyDescent="0.25">
      <c r="A2187" t="s">
        <v>30</v>
      </c>
      <c r="B2187">
        <v>22</v>
      </c>
      <c r="C2187" t="s">
        <v>15</v>
      </c>
      <c r="D2187" s="1">
        <v>45961</v>
      </c>
      <c r="E2187">
        <v>1149.3</v>
      </c>
      <c r="F2187">
        <v>54.11</v>
      </c>
      <c r="G2187">
        <v>33.81</v>
      </c>
      <c r="H2187">
        <v>109</v>
      </c>
      <c r="I2187" t="s">
        <v>31</v>
      </c>
      <c r="J2187">
        <v>2025</v>
      </c>
      <c r="K2187">
        <f t="shared" si="68"/>
        <v>20.299999999999997</v>
      </c>
      <c r="L2187" t="str">
        <f t="shared" si="69"/>
        <v>Banca Irpina|22|Prestiti</v>
      </c>
    </row>
    <row r="2188" spans="1:12" x14ac:dyDescent="0.25">
      <c r="A2188" t="s">
        <v>30</v>
      </c>
      <c r="B2188">
        <v>22</v>
      </c>
      <c r="C2188" t="s">
        <v>16</v>
      </c>
      <c r="D2188" s="1">
        <v>45961</v>
      </c>
      <c r="E2188">
        <v>1456.6</v>
      </c>
      <c r="F2188">
        <v>71.709999999999994</v>
      </c>
      <c r="G2188">
        <v>44.62</v>
      </c>
      <c r="H2188">
        <v>135</v>
      </c>
      <c r="I2188" t="s">
        <v>31</v>
      </c>
      <c r="J2188">
        <v>2025</v>
      </c>
      <c r="K2188">
        <f t="shared" si="68"/>
        <v>27.089999999999996</v>
      </c>
      <c r="L2188" t="str">
        <f t="shared" si="69"/>
        <v>Banca Irpina|22|Conti</v>
      </c>
    </row>
    <row r="2189" spans="1:12" x14ac:dyDescent="0.25">
      <c r="A2189" t="s">
        <v>30</v>
      </c>
      <c r="B2189">
        <v>22</v>
      </c>
      <c r="C2189" t="s">
        <v>17</v>
      </c>
      <c r="D2189" s="1">
        <v>45961</v>
      </c>
      <c r="E2189">
        <v>1758.4</v>
      </c>
      <c r="F2189">
        <v>89.81</v>
      </c>
      <c r="G2189">
        <v>55.19</v>
      </c>
      <c r="H2189">
        <v>160</v>
      </c>
      <c r="I2189" t="s">
        <v>31</v>
      </c>
      <c r="J2189">
        <v>2025</v>
      </c>
      <c r="K2189">
        <f t="shared" si="68"/>
        <v>34.620000000000005</v>
      </c>
      <c r="L2189" t="str">
        <f t="shared" si="69"/>
        <v>Banca Irpina|22|Carte</v>
      </c>
    </row>
    <row r="2190" spans="1:12" x14ac:dyDescent="0.25">
      <c r="A2190" t="s">
        <v>30</v>
      </c>
      <c r="B2190">
        <v>22</v>
      </c>
      <c r="C2190" t="s">
        <v>18</v>
      </c>
      <c r="D2190" s="1">
        <v>45961</v>
      </c>
      <c r="E2190">
        <v>2054.1</v>
      </c>
      <c r="F2190">
        <v>109.86</v>
      </c>
      <c r="G2190">
        <v>66.62</v>
      </c>
      <c r="H2190">
        <v>208</v>
      </c>
      <c r="I2190" t="s">
        <v>31</v>
      </c>
      <c r="J2190">
        <v>2025</v>
      </c>
      <c r="K2190">
        <f t="shared" si="68"/>
        <v>43.239999999999995</v>
      </c>
      <c r="L2190" t="str">
        <f t="shared" si="69"/>
        <v>Banca Irpina|22|Leasing</v>
      </c>
    </row>
    <row r="2191" spans="1:12" x14ac:dyDescent="0.25">
      <c r="A2191" t="s">
        <v>30</v>
      </c>
      <c r="B2191">
        <v>22</v>
      </c>
      <c r="C2191" t="s">
        <v>19</v>
      </c>
      <c r="D2191" s="1">
        <v>45961</v>
      </c>
      <c r="E2191">
        <v>2400.4</v>
      </c>
      <c r="F2191">
        <v>132.72</v>
      </c>
      <c r="G2191">
        <v>79.23</v>
      </c>
      <c r="H2191">
        <v>202</v>
      </c>
      <c r="I2191" t="s">
        <v>31</v>
      </c>
      <c r="J2191">
        <v>2025</v>
      </c>
      <c r="K2191">
        <f t="shared" si="68"/>
        <v>53.489999999999995</v>
      </c>
      <c r="L2191" t="str">
        <f t="shared" si="69"/>
        <v>Banca Irpina|22|Factoring</v>
      </c>
    </row>
    <row r="2192" spans="1:12" x14ac:dyDescent="0.25">
      <c r="A2192" t="s">
        <v>30</v>
      </c>
      <c r="B2192">
        <v>22</v>
      </c>
      <c r="C2192" t="s">
        <v>20</v>
      </c>
      <c r="D2192" s="1">
        <v>45961</v>
      </c>
      <c r="E2192">
        <v>2695.8</v>
      </c>
      <c r="F2192">
        <v>153.94</v>
      </c>
      <c r="G2192">
        <v>92.05</v>
      </c>
      <c r="H2192">
        <v>259</v>
      </c>
      <c r="I2192" t="s">
        <v>31</v>
      </c>
      <c r="J2192">
        <v>2025</v>
      </c>
      <c r="K2192">
        <f t="shared" si="68"/>
        <v>61.89</v>
      </c>
      <c r="L2192" t="str">
        <f t="shared" si="69"/>
        <v>Banca Irpina|22|Risparmio</v>
      </c>
    </row>
    <row r="2193" spans="1:12" x14ac:dyDescent="0.25">
      <c r="A2193" t="s">
        <v>30</v>
      </c>
      <c r="B2193">
        <v>22</v>
      </c>
      <c r="C2193" t="s">
        <v>21</v>
      </c>
      <c r="D2193" s="1">
        <v>45961</v>
      </c>
      <c r="E2193">
        <v>2992.4</v>
      </c>
      <c r="F2193">
        <v>176.59</v>
      </c>
      <c r="G2193">
        <v>105.45</v>
      </c>
      <c r="H2193">
        <v>265</v>
      </c>
      <c r="I2193" t="s">
        <v>31</v>
      </c>
      <c r="J2193">
        <v>2025</v>
      </c>
      <c r="K2193">
        <f t="shared" si="68"/>
        <v>71.14</v>
      </c>
      <c r="L2193" t="str">
        <f t="shared" si="69"/>
        <v>Banca Irpina|22|Assicurazioni</v>
      </c>
    </row>
    <row r="2194" spans="1:12" x14ac:dyDescent="0.25">
      <c r="A2194" t="s">
        <v>30</v>
      </c>
      <c r="B2194">
        <v>23</v>
      </c>
      <c r="C2194" t="s">
        <v>13</v>
      </c>
      <c r="D2194" s="1">
        <v>45991</v>
      </c>
      <c r="E2194">
        <v>832.7</v>
      </c>
      <c r="F2194">
        <v>38.36</v>
      </c>
      <c r="G2194">
        <v>24.27</v>
      </c>
      <c r="H2194">
        <v>89</v>
      </c>
      <c r="I2194" t="s">
        <v>31</v>
      </c>
      <c r="J2194">
        <v>2025</v>
      </c>
      <c r="K2194">
        <f t="shared" si="68"/>
        <v>14.09</v>
      </c>
      <c r="L2194" t="str">
        <f t="shared" si="69"/>
        <v>Banca Irpina|23|Mutui</v>
      </c>
    </row>
    <row r="2195" spans="1:12" x14ac:dyDescent="0.25">
      <c r="A2195" t="s">
        <v>30</v>
      </c>
      <c r="B2195">
        <v>23</v>
      </c>
      <c r="C2195" t="s">
        <v>15</v>
      </c>
      <c r="D2195" s="1">
        <v>45991</v>
      </c>
      <c r="E2195">
        <v>1118.0999999999999</v>
      </c>
      <c r="F2195">
        <v>53.29</v>
      </c>
      <c r="G2195">
        <v>33.049999999999997</v>
      </c>
      <c r="H2195">
        <v>116</v>
      </c>
      <c r="I2195" t="s">
        <v>31</v>
      </c>
      <c r="J2195">
        <v>2025</v>
      </c>
      <c r="K2195">
        <f t="shared" si="68"/>
        <v>20.240000000000002</v>
      </c>
      <c r="L2195" t="str">
        <f t="shared" si="69"/>
        <v>Banca Irpina|23|Prestiti</v>
      </c>
    </row>
    <row r="2196" spans="1:12" x14ac:dyDescent="0.25">
      <c r="A2196" t="s">
        <v>30</v>
      </c>
      <c r="B2196">
        <v>23</v>
      </c>
      <c r="C2196" t="s">
        <v>16</v>
      </c>
      <c r="D2196" s="1">
        <v>45991</v>
      </c>
      <c r="E2196">
        <v>1438.3</v>
      </c>
      <c r="F2196">
        <v>71.06</v>
      </c>
      <c r="G2196">
        <v>43.75</v>
      </c>
      <c r="H2196">
        <v>155</v>
      </c>
      <c r="I2196" t="s">
        <v>31</v>
      </c>
      <c r="J2196">
        <v>2025</v>
      </c>
      <c r="K2196">
        <f t="shared" si="68"/>
        <v>27.310000000000002</v>
      </c>
      <c r="L2196" t="str">
        <f t="shared" si="69"/>
        <v>Banca Irpina|23|Conti</v>
      </c>
    </row>
    <row r="2197" spans="1:12" x14ac:dyDescent="0.25">
      <c r="A2197" t="s">
        <v>30</v>
      </c>
      <c r="B2197">
        <v>23</v>
      </c>
      <c r="C2197" t="s">
        <v>17</v>
      </c>
      <c r="D2197" s="1">
        <v>45991</v>
      </c>
      <c r="E2197">
        <v>1762.7</v>
      </c>
      <c r="F2197">
        <v>89.93</v>
      </c>
      <c r="G2197">
        <v>55.41</v>
      </c>
      <c r="H2197">
        <v>167</v>
      </c>
      <c r="I2197" t="s">
        <v>31</v>
      </c>
      <c r="J2197">
        <v>2025</v>
      </c>
      <c r="K2197">
        <f t="shared" si="68"/>
        <v>34.52000000000001</v>
      </c>
      <c r="L2197" t="str">
        <f t="shared" si="69"/>
        <v>Banca Irpina|23|Carte</v>
      </c>
    </row>
    <row r="2198" spans="1:12" x14ac:dyDescent="0.25">
      <c r="A2198" t="s">
        <v>30</v>
      </c>
      <c r="B2198">
        <v>23</v>
      </c>
      <c r="C2198" t="s">
        <v>18</v>
      </c>
      <c r="D2198" s="1">
        <v>45991</v>
      </c>
      <c r="E2198">
        <v>2062.5</v>
      </c>
      <c r="F2198">
        <v>109.4</v>
      </c>
      <c r="G2198">
        <v>66.47</v>
      </c>
      <c r="H2198">
        <v>203</v>
      </c>
      <c r="I2198" t="s">
        <v>31</v>
      </c>
      <c r="J2198">
        <v>2025</v>
      </c>
      <c r="K2198">
        <f t="shared" si="68"/>
        <v>42.930000000000007</v>
      </c>
      <c r="L2198" t="str">
        <f t="shared" si="69"/>
        <v>Banca Irpina|23|Leasing</v>
      </c>
    </row>
    <row r="2199" spans="1:12" x14ac:dyDescent="0.25">
      <c r="A2199" t="s">
        <v>30</v>
      </c>
      <c r="B2199">
        <v>23</v>
      </c>
      <c r="C2199" t="s">
        <v>19</v>
      </c>
      <c r="D2199" s="1">
        <v>45991</v>
      </c>
      <c r="E2199">
        <v>2367.4</v>
      </c>
      <c r="F2199">
        <v>131.13999999999999</v>
      </c>
      <c r="G2199">
        <v>78.27</v>
      </c>
      <c r="H2199">
        <v>238</v>
      </c>
      <c r="I2199" t="s">
        <v>31</v>
      </c>
      <c r="J2199">
        <v>2025</v>
      </c>
      <c r="K2199">
        <f t="shared" si="68"/>
        <v>52.86999999999999</v>
      </c>
      <c r="L2199" t="str">
        <f t="shared" si="69"/>
        <v>Banca Irpina|23|Factoring</v>
      </c>
    </row>
    <row r="2200" spans="1:12" x14ac:dyDescent="0.25">
      <c r="A2200" t="s">
        <v>30</v>
      </c>
      <c r="B2200">
        <v>23</v>
      </c>
      <c r="C2200" t="s">
        <v>20</v>
      </c>
      <c r="D2200" s="1">
        <v>45991</v>
      </c>
      <c r="E2200">
        <v>2707.5</v>
      </c>
      <c r="F2200">
        <v>154.74</v>
      </c>
      <c r="G2200">
        <v>92.48</v>
      </c>
      <c r="H2200">
        <v>260</v>
      </c>
      <c r="I2200" t="s">
        <v>31</v>
      </c>
      <c r="J2200">
        <v>2025</v>
      </c>
      <c r="K2200">
        <f t="shared" si="68"/>
        <v>62.260000000000005</v>
      </c>
      <c r="L2200" t="str">
        <f t="shared" si="69"/>
        <v>Banca Irpina|23|Risparmio</v>
      </c>
    </row>
    <row r="2201" spans="1:12" x14ac:dyDescent="0.25">
      <c r="A2201" t="s">
        <v>30</v>
      </c>
      <c r="B2201">
        <v>23</v>
      </c>
      <c r="C2201" t="s">
        <v>21</v>
      </c>
      <c r="D2201" s="1">
        <v>45991</v>
      </c>
      <c r="E2201">
        <v>3024.4</v>
      </c>
      <c r="F2201">
        <v>178.49</v>
      </c>
      <c r="G2201">
        <v>106.25</v>
      </c>
      <c r="H2201">
        <v>285</v>
      </c>
      <c r="I2201" t="s">
        <v>31</v>
      </c>
      <c r="J2201">
        <v>2025</v>
      </c>
      <c r="K2201">
        <f t="shared" si="68"/>
        <v>72.240000000000009</v>
      </c>
      <c r="L2201" t="str">
        <f t="shared" si="69"/>
        <v>Banca Irpina|23|Assicurazioni</v>
      </c>
    </row>
    <row r="2202" spans="1:12" x14ac:dyDescent="0.25">
      <c r="A2202" t="s">
        <v>30</v>
      </c>
      <c r="B2202">
        <v>24</v>
      </c>
      <c r="C2202" t="s">
        <v>13</v>
      </c>
      <c r="D2202" s="1">
        <v>46022</v>
      </c>
      <c r="E2202">
        <v>822.5</v>
      </c>
      <c r="F2202">
        <v>37.08</v>
      </c>
      <c r="G2202">
        <v>23.55</v>
      </c>
      <c r="H2202">
        <v>103</v>
      </c>
      <c r="I2202" t="s">
        <v>31</v>
      </c>
      <c r="J2202">
        <v>2025</v>
      </c>
      <c r="K2202">
        <f t="shared" si="68"/>
        <v>13.529999999999998</v>
      </c>
      <c r="L2202" t="str">
        <f t="shared" si="69"/>
        <v>Banca Irpina|24|Mutui</v>
      </c>
    </row>
    <row r="2203" spans="1:12" x14ac:dyDescent="0.25">
      <c r="A2203" t="s">
        <v>30</v>
      </c>
      <c r="B2203">
        <v>24</v>
      </c>
      <c r="C2203" t="s">
        <v>15</v>
      </c>
      <c r="D2203" s="1">
        <v>46022</v>
      </c>
      <c r="E2203">
        <v>1131.2</v>
      </c>
      <c r="F2203">
        <v>53.86</v>
      </c>
      <c r="G2203">
        <v>33.380000000000003</v>
      </c>
      <c r="H2203">
        <v>112</v>
      </c>
      <c r="I2203" t="s">
        <v>31</v>
      </c>
      <c r="J2203">
        <v>2025</v>
      </c>
      <c r="K2203">
        <f t="shared" si="68"/>
        <v>20.479999999999997</v>
      </c>
      <c r="L2203" t="str">
        <f t="shared" si="69"/>
        <v>Banca Irpina|24|Prestiti</v>
      </c>
    </row>
    <row r="2204" spans="1:12" x14ac:dyDescent="0.25">
      <c r="A2204" t="s">
        <v>30</v>
      </c>
      <c r="B2204">
        <v>24</v>
      </c>
      <c r="C2204" t="s">
        <v>16</v>
      </c>
      <c r="D2204" s="1">
        <v>46022</v>
      </c>
      <c r="E2204">
        <v>1495.7</v>
      </c>
      <c r="F2204">
        <v>73.56</v>
      </c>
      <c r="G2204">
        <v>45.16</v>
      </c>
      <c r="H2204">
        <v>127</v>
      </c>
      <c r="I2204" t="s">
        <v>31</v>
      </c>
      <c r="J2204">
        <v>2025</v>
      </c>
      <c r="K2204">
        <f t="shared" si="68"/>
        <v>28.400000000000006</v>
      </c>
      <c r="L2204" t="str">
        <f t="shared" si="69"/>
        <v>Banca Irpina|24|Conti</v>
      </c>
    </row>
    <row r="2205" spans="1:12" x14ac:dyDescent="0.25">
      <c r="A2205" t="s">
        <v>30</v>
      </c>
      <c r="B2205">
        <v>24</v>
      </c>
      <c r="C2205" t="s">
        <v>17</v>
      </c>
      <c r="D2205" s="1">
        <v>46022</v>
      </c>
      <c r="E2205">
        <v>1789.8</v>
      </c>
      <c r="F2205">
        <v>91.71</v>
      </c>
      <c r="G2205">
        <v>55.74</v>
      </c>
      <c r="H2205">
        <v>168</v>
      </c>
      <c r="I2205" t="s">
        <v>31</v>
      </c>
      <c r="J2205">
        <v>2025</v>
      </c>
      <c r="K2205">
        <f t="shared" si="68"/>
        <v>35.969999999999992</v>
      </c>
      <c r="L2205" t="str">
        <f t="shared" si="69"/>
        <v>Banca Irpina|24|Carte</v>
      </c>
    </row>
    <row r="2206" spans="1:12" x14ac:dyDescent="0.25">
      <c r="A2206" t="s">
        <v>30</v>
      </c>
      <c r="B2206">
        <v>24</v>
      </c>
      <c r="C2206" t="s">
        <v>18</v>
      </c>
      <c r="D2206" s="1">
        <v>46022</v>
      </c>
      <c r="E2206">
        <v>2108.4</v>
      </c>
      <c r="F2206">
        <v>112.34</v>
      </c>
      <c r="G2206">
        <v>68.180000000000007</v>
      </c>
      <c r="H2206">
        <v>215</v>
      </c>
      <c r="I2206" t="s">
        <v>31</v>
      </c>
      <c r="J2206">
        <v>2025</v>
      </c>
      <c r="K2206">
        <f t="shared" si="68"/>
        <v>44.16</v>
      </c>
      <c r="L2206" t="str">
        <f t="shared" si="69"/>
        <v>Banca Irpina|24|Leasing</v>
      </c>
    </row>
    <row r="2207" spans="1:12" x14ac:dyDescent="0.25">
      <c r="A2207" t="s">
        <v>30</v>
      </c>
      <c r="B2207">
        <v>24</v>
      </c>
      <c r="C2207" t="s">
        <v>19</v>
      </c>
      <c r="D2207" s="1">
        <v>46022</v>
      </c>
      <c r="E2207">
        <v>2389.3000000000002</v>
      </c>
      <c r="F2207">
        <v>131.56</v>
      </c>
      <c r="G2207">
        <v>79.66</v>
      </c>
      <c r="H2207">
        <v>212</v>
      </c>
      <c r="I2207" t="s">
        <v>31</v>
      </c>
      <c r="J2207">
        <v>2025</v>
      </c>
      <c r="K2207">
        <f t="shared" si="68"/>
        <v>51.900000000000006</v>
      </c>
      <c r="L2207" t="str">
        <f t="shared" si="69"/>
        <v>Banca Irpina|24|Factoring</v>
      </c>
    </row>
    <row r="2208" spans="1:12" x14ac:dyDescent="0.25">
      <c r="A2208" t="s">
        <v>30</v>
      </c>
      <c r="B2208">
        <v>24</v>
      </c>
      <c r="C2208" t="s">
        <v>20</v>
      </c>
      <c r="D2208" s="1">
        <v>46022</v>
      </c>
      <c r="E2208">
        <v>2743.1</v>
      </c>
      <c r="F2208">
        <v>157</v>
      </c>
      <c r="G2208">
        <v>93.27</v>
      </c>
      <c r="H2208">
        <v>237</v>
      </c>
      <c r="I2208" t="s">
        <v>31</v>
      </c>
      <c r="J2208">
        <v>2025</v>
      </c>
      <c r="K2208">
        <f t="shared" si="68"/>
        <v>63.730000000000004</v>
      </c>
      <c r="L2208" t="str">
        <f t="shared" si="69"/>
        <v>Banca Irpina|24|Risparmio</v>
      </c>
    </row>
    <row r="2209" spans="1:12" x14ac:dyDescent="0.25">
      <c r="A2209" t="s">
        <v>30</v>
      </c>
      <c r="B2209">
        <v>24</v>
      </c>
      <c r="C2209" t="s">
        <v>21</v>
      </c>
      <c r="D2209" s="1">
        <v>46022</v>
      </c>
      <c r="E2209">
        <v>3032.1</v>
      </c>
      <c r="F2209">
        <v>179.45</v>
      </c>
      <c r="G2209">
        <v>106.74</v>
      </c>
      <c r="H2209">
        <v>277</v>
      </c>
      <c r="I2209" t="s">
        <v>31</v>
      </c>
      <c r="J2209">
        <v>2025</v>
      </c>
      <c r="K2209">
        <f t="shared" si="68"/>
        <v>72.709999999999994</v>
      </c>
      <c r="L2209" t="str">
        <f t="shared" si="69"/>
        <v>Banca Irpina|24|Assicurazioni</v>
      </c>
    </row>
    <row r="2210" spans="1:12" x14ac:dyDescent="0.25">
      <c r="A2210" t="s">
        <v>30</v>
      </c>
      <c r="B2210">
        <v>25</v>
      </c>
      <c r="C2210" t="s">
        <v>13</v>
      </c>
      <c r="D2210" s="1">
        <v>46053</v>
      </c>
      <c r="E2210">
        <v>815</v>
      </c>
      <c r="F2210">
        <v>37.03</v>
      </c>
      <c r="G2210">
        <v>23.57</v>
      </c>
      <c r="H2210">
        <v>108</v>
      </c>
      <c r="I2210" t="s">
        <v>31</v>
      </c>
      <c r="J2210">
        <v>2026</v>
      </c>
      <c r="K2210">
        <f t="shared" si="68"/>
        <v>13.46</v>
      </c>
      <c r="L2210" t="str">
        <f t="shared" si="69"/>
        <v>Banca Irpina|25|Mutui</v>
      </c>
    </row>
    <row r="2211" spans="1:12" x14ac:dyDescent="0.25">
      <c r="A2211" t="s">
        <v>30</v>
      </c>
      <c r="B2211">
        <v>25</v>
      </c>
      <c r="C2211" t="s">
        <v>15</v>
      </c>
      <c r="D2211" s="1">
        <v>46053</v>
      </c>
      <c r="E2211">
        <v>1163.7</v>
      </c>
      <c r="F2211">
        <v>54.82</v>
      </c>
      <c r="G2211">
        <v>34.07</v>
      </c>
      <c r="H2211">
        <v>103</v>
      </c>
      <c r="I2211" t="s">
        <v>31</v>
      </c>
      <c r="J2211">
        <v>2026</v>
      </c>
      <c r="K2211">
        <f t="shared" si="68"/>
        <v>20.75</v>
      </c>
      <c r="L2211" t="str">
        <f t="shared" si="69"/>
        <v>Banca Irpina|25|Prestiti</v>
      </c>
    </row>
    <row r="2212" spans="1:12" x14ac:dyDescent="0.25">
      <c r="A2212" t="s">
        <v>30</v>
      </c>
      <c r="B2212">
        <v>25</v>
      </c>
      <c r="C2212" t="s">
        <v>16</v>
      </c>
      <c r="D2212" s="1">
        <v>46053</v>
      </c>
      <c r="E2212">
        <v>1505.7</v>
      </c>
      <c r="F2212">
        <v>74.56</v>
      </c>
      <c r="G2212">
        <v>46.11</v>
      </c>
      <c r="H2212">
        <v>125</v>
      </c>
      <c r="I2212" t="s">
        <v>31</v>
      </c>
      <c r="J2212">
        <v>2026</v>
      </c>
      <c r="K2212">
        <f t="shared" si="68"/>
        <v>28.450000000000003</v>
      </c>
      <c r="L2212" t="str">
        <f t="shared" si="69"/>
        <v>Banca Irpina|25|Conti</v>
      </c>
    </row>
    <row r="2213" spans="1:12" x14ac:dyDescent="0.25">
      <c r="A2213" t="s">
        <v>30</v>
      </c>
      <c r="B2213">
        <v>25</v>
      </c>
      <c r="C2213" t="s">
        <v>17</v>
      </c>
      <c r="D2213" s="1">
        <v>46053</v>
      </c>
      <c r="E2213">
        <v>1795.4</v>
      </c>
      <c r="F2213">
        <v>91.93</v>
      </c>
      <c r="G2213">
        <v>56.19</v>
      </c>
      <c r="H2213">
        <v>178</v>
      </c>
      <c r="I2213" t="s">
        <v>31</v>
      </c>
      <c r="J2213">
        <v>2026</v>
      </c>
      <c r="K2213">
        <f t="shared" si="68"/>
        <v>35.740000000000009</v>
      </c>
      <c r="L2213" t="str">
        <f t="shared" si="69"/>
        <v>Banca Irpina|25|Carte</v>
      </c>
    </row>
    <row r="2214" spans="1:12" x14ac:dyDescent="0.25">
      <c r="A2214" t="s">
        <v>30</v>
      </c>
      <c r="B2214">
        <v>25</v>
      </c>
      <c r="C2214" t="s">
        <v>18</v>
      </c>
      <c r="D2214" s="1">
        <v>46053</v>
      </c>
      <c r="E2214">
        <v>2085.6999999999998</v>
      </c>
      <c r="F2214">
        <v>111.41</v>
      </c>
      <c r="G2214">
        <v>67.06</v>
      </c>
      <c r="H2214">
        <v>200</v>
      </c>
      <c r="I2214" t="s">
        <v>31</v>
      </c>
      <c r="J2214">
        <v>2026</v>
      </c>
      <c r="K2214">
        <f t="shared" si="68"/>
        <v>44.349999999999994</v>
      </c>
      <c r="L2214" t="str">
        <f t="shared" si="69"/>
        <v>Banca Irpina|25|Leasing</v>
      </c>
    </row>
    <row r="2215" spans="1:12" x14ac:dyDescent="0.25">
      <c r="A2215" t="s">
        <v>30</v>
      </c>
      <c r="B2215">
        <v>25</v>
      </c>
      <c r="C2215" t="s">
        <v>19</v>
      </c>
      <c r="D2215" s="1">
        <v>46053</v>
      </c>
      <c r="E2215">
        <v>2430.6999999999998</v>
      </c>
      <c r="F2215">
        <v>133.96</v>
      </c>
      <c r="G2215">
        <v>80.3</v>
      </c>
      <c r="H2215">
        <v>231</v>
      </c>
      <c r="I2215" t="s">
        <v>31</v>
      </c>
      <c r="J2215">
        <v>2026</v>
      </c>
      <c r="K2215">
        <f t="shared" si="68"/>
        <v>53.660000000000011</v>
      </c>
      <c r="L2215" t="str">
        <f t="shared" si="69"/>
        <v>Banca Irpina|25|Factoring</v>
      </c>
    </row>
    <row r="2216" spans="1:12" x14ac:dyDescent="0.25">
      <c r="A2216" t="s">
        <v>30</v>
      </c>
      <c r="B2216">
        <v>25</v>
      </c>
      <c r="C2216" t="s">
        <v>20</v>
      </c>
      <c r="D2216" s="1">
        <v>46053</v>
      </c>
      <c r="E2216">
        <v>2763.1</v>
      </c>
      <c r="F2216">
        <v>158.30000000000001</v>
      </c>
      <c r="G2216">
        <v>94.65</v>
      </c>
      <c r="H2216">
        <v>246</v>
      </c>
      <c r="I2216" t="s">
        <v>31</v>
      </c>
      <c r="J2216">
        <v>2026</v>
      </c>
      <c r="K2216">
        <f t="shared" si="68"/>
        <v>63.650000000000006</v>
      </c>
      <c r="L2216" t="str">
        <f t="shared" si="69"/>
        <v>Banca Irpina|25|Risparmio</v>
      </c>
    </row>
    <row r="2217" spans="1:12" x14ac:dyDescent="0.25">
      <c r="A2217" t="s">
        <v>30</v>
      </c>
      <c r="B2217">
        <v>25</v>
      </c>
      <c r="C2217" t="s">
        <v>21</v>
      </c>
      <c r="D2217" s="1">
        <v>46053</v>
      </c>
      <c r="E2217">
        <v>3032</v>
      </c>
      <c r="F2217">
        <v>179.73</v>
      </c>
      <c r="G2217">
        <v>106.86</v>
      </c>
      <c r="H2217">
        <v>272</v>
      </c>
      <c r="I2217" t="s">
        <v>31</v>
      </c>
      <c r="J2217">
        <v>2026</v>
      </c>
      <c r="K2217">
        <f t="shared" si="68"/>
        <v>72.86999999999999</v>
      </c>
      <c r="L2217" t="str">
        <f t="shared" si="69"/>
        <v>Banca Irpina|25|Assicurazioni</v>
      </c>
    </row>
    <row r="2218" spans="1:12" x14ac:dyDescent="0.25">
      <c r="A2218" t="s">
        <v>30</v>
      </c>
      <c r="B2218">
        <v>26</v>
      </c>
      <c r="C2218" t="s">
        <v>13</v>
      </c>
      <c r="D2218" s="1">
        <v>46081</v>
      </c>
      <c r="E2218">
        <v>843.9</v>
      </c>
      <c r="F2218">
        <v>38.81</v>
      </c>
      <c r="G2218">
        <v>24.28</v>
      </c>
      <c r="H2218">
        <v>81</v>
      </c>
      <c r="I2218" t="s">
        <v>31</v>
      </c>
      <c r="J2218">
        <v>2026</v>
      </c>
      <c r="K2218">
        <f t="shared" si="68"/>
        <v>14.530000000000001</v>
      </c>
      <c r="L2218" t="str">
        <f t="shared" si="69"/>
        <v>Banca Irpina|26|Mutui</v>
      </c>
    </row>
    <row r="2219" spans="1:12" x14ac:dyDescent="0.25">
      <c r="A2219" t="s">
        <v>30</v>
      </c>
      <c r="B2219">
        <v>26</v>
      </c>
      <c r="C2219" t="s">
        <v>15</v>
      </c>
      <c r="D2219" s="1">
        <v>46081</v>
      </c>
      <c r="E2219">
        <v>1176.3</v>
      </c>
      <c r="F2219">
        <v>55.99</v>
      </c>
      <c r="G2219">
        <v>35.04</v>
      </c>
      <c r="H2219">
        <v>124</v>
      </c>
      <c r="I2219" t="s">
        <v>31</v>
      </c>
      <c r="J2219">
        <v>2026</v>
      </c>
      <c r="K2219">
        <f t="shared" si="68"/>
        <v>20.950000000000003</v>
      </c>
      <c r="L2219" t="str">
        <f t="shared" si="69"/>
        <v>Banca Irpina|26|Prestiti</v>
      </c>
    </row>
    <row r="2220" spans="1:12" x14ac:dyDescent="0.25">
      <c r="A2220" t="s">
        <v>30</v>
      </c>
      <c r="B2220">
        <v>26</v>
      </c>
      <c r="C2220" t="s">
        <v>16</v>
      </c>
      <c r="D2220" s="1">
        <v>46081</v>
      </c>
      <c r="E2220">
        <v>1465.8</v>
      </c>
      <c r="F2220">
        <v>71.849999999999994</v>
      </c>
      <c r="G2220">
        <v>44.89</v>
      </c>
      <c r="H2220">
        <v>142</v>
      </c>
      <c r="I2220" t="s">
        <v>31</v>
      </c>
      <c r="J2220">
        <v>2026</v>
      </c>
      <c r="K2220">
        <f t="shared" si="68"/>
        <v>26.959999999999994</v>
      </c>
      <c r="L2220" t="str">
        <f t="shared" si="69"/>
        <v>Banca Irpina|26|Conti</v>
      </c>
    </row>
    <row r="2221" spans="1:12" x14ac:dyDescent="0.25">
      <c r="A2221" t="s">
        <v>30</v>
      </c>
      <c r="B2221">
        <v>26</v>
      </c>
      <c r="C2221" t="s">
        <v>17</v>
      </c>
      <c r="D2221" s="1">
        <v>46081</v>
      </c>
      <c r="E2221">
        <v>1784.9</v>
      </c>
      <c r="F2221">
        <v>91.07</v>
      </c>
      <c r="G2221">
        <v>55.48</v>
      </c>
      <c r="H2221">
        <v>166</v>
      </c>
      <c r="I2221" t="s">
        <v>31</v>
      </c>
      <c r="J2221">
        <v>2026</v>
      </c>
      <c r="K2221">
        <f t="shared" si="68"/>
        <v>35.589999999999996</v>
      </c>
      <c r="L2221" t="str">
        <f t="shared" si="69"/>
        <v>Banca Irpina|26|Carte</v>
      </c>
    </row>
    <row r="2222" spans="1:12" x14ac:dyDescent="0.25">
      <c r="A2222" t="s">
        <v>30</v>
      </c>
      <c r="B2222">
        <v>26</v>
      </c>
      <c r="C2222" t="s">
        <v>18</v>
      </c>
      <c r="D2222" s="1">
        <v>46081</v>
      </c>
      <c r="E2222">
        <v>2107.3000000000002</v>
      </c>
      <c r="F2222">
        <v>111.73</v>
      </c>
      <c r="G2222">
        <v>68.010000000000005</v>
      </c>
      <c r="H2222">
        <v>189</v>
      </c>
      <c r="I2222" t="s">
        <v>31</v>
      </c>
      <c r="J2222">
        <v>2026</v>
      </c>
      <c r="K2222">
        <f t="shared" si="68"/>
        <v>43.72</v>
      </c>
      <c r="L2222" t="str">
        <f t="shared" si="69"/>
        <v>Banca Irpina|26|Leasing</v>
      </c>
    </row>
    <row r="2223" spans="1:12" x14ac:dyDescent="0.25">
      <c r="A2223" t="s">
        <v>30</v>
      </c>
      <c r="B2223">
        <v>26</v>
      </c>
      <c r="C2223" t="s">
        <v>19</v>
      </c>
      <c r="D2223" s="1">
        <v>46081</v>
      </c>
      <c r="E2223">
        <v>2470</v>
      </c>
      <c r="F2223">
        <v>135.91999999999999</v>
      </c>
      <c r="G2223">
        <v>82</v>
      </c>
      <c r="H2223">
        <v>203</v>
      </c>
      <c r="I2223" t="s">
        <v>31</v>
      </c>
      <c r="J2223">
        <v>2026</v>
      </c>
      <c r="K2223">
        <f t="shared" si="68"/>
        <v>53.919999999999987</v>
      </c>
      <c r="L2223" t="str">
        <f t="shared" si="69"/>
        <v>Banca Irpina|26|Factoring</v>
      </c>
    </row>
    <row r="2224" spans="1:12" x14ac:dyDescent="0.25">
      <c r="A2224" t="s">
        <v>30</v>
      </c>
      <c r="B2224">
        <v>26</v>
      </c>
      <c r="C2224" t="s">
        <v>20</v>
      </c>
      <c r="D2224" s="1">
        <v>46081</v>
      </c>
      <c r="E2224">
        <v>2742.7</v>
      </c>
      <c r="F2224">
        <v>156.96</v>
      </c>
      <c r="G2224">
        <v>93.34</v>
      </c>
      <c r="H2224">
        <v>241</v>
      </c>
      <c r="I2224" t="s">
        <v>31</v>
      </c>
      <c r="J2224">
        <v>2026</v>
      </c>
      <c r="K2224">
        <f t="shared" si="68"/>
        <v>63.620000000000005</v>
      </c>
      <c r="L2224" t="str">
        <f t="shared" si="69"/>
        <v>Banca Irpina|26|Risparmio</v>
      </c>
    </row>
    <row r="2225" spans="1:12" x14ac:dyDescent="0.25">
      <c r="A2225" t="s">
        <v>30</v>
      </c>
      <c r="B2225">
        <v>26</v>
      </c>
      <c r="C2225" t="s">
        <v>21</v>
      </c>
      <c r="D2225" s="1">
        <v>46081</v>
      </c>
      <c r="E2225">
        <v>3059.1</v>
      </c>
      <c r="F2225">
        <v>180.71</v>
      </c>
      <c r="G2225">
        <v>107.11</v>
      </c>
      <c r="H2225">
        <v>293</v>
      </c>
      <c r="I2225" t="s">
        <v>31</v>
      </c>
      <c r="J2225">
        <v>2026</v>
      </c>
      <c r="K2225">
        <f t="shared" si="68"/>
        <v>73.600000000000009</v>
      </c>
      <c r="L2225" t="str">
        <f t="shared" si="69"/>
        <v>Banca Irpina|26|Assicurazioni</v>
      </c>
    </row>
    <row r="2226" spans="1:12" x14ac:dyDescent="0.25">
      <c r="A2226" t="s">
        <v>30</v>
      </c>
      <c r="B2226">
        <v>27</v>
      </c>
      <c r="C2226" t="s">
        <v>13</v>
      </c>
      <c r="D2226" s="1">
        <v>46112</v>
      </c>
      <c r="E2226">
        <v>882.2</v>
      </c>
      <c r="F2226">
        <v>40.04</v>
      </c>
      <c r="G2226">
        <v>25.09</v>
      </c>
      <c r="H2226">
        <v>93</v>
      </c>
      <c r="I2226" t="s">
        <v>31</v>
      </c>
      <c r="J2226">
        <v>2026</v>
      </c>
      <c r="K2226">
        <f t="shared" si="68"/>
        <v>14.95</v>
      </c>
      <c r="L2226" t="str">
        <f t="shared" si="69"/>
        <v>Banca Irpina|27|Mutui</v>
      </c>
    </row>
    <row r="2227" spans="1:12" x14ac:dyDescent="0.25">
      <c r="A2227" t="s">
        <v>30</v>
      </c>
      <c r="B2227">
        <v>27</v>
      </c>
      <c r="C2227" t="s">
        <v>15</v>
      </c>
      <c r="D2227" s="1">
        <v>46112</v>
      </c>
      <c r="E2227">
        <v>1169.4000000000001</v>
      </c>
      <c r="F2227">
        <v>55.85</v>
      </c>
      <c r="G2227">
        <v>34.15</v>
      </c>
      <c r="H2227">
        <v>109</v>
      </c>
      <c r="I2227" t="s">
        <v>31</v>
      </c>
      <c r="J2227">
        <v>2026</v>
      </c>
      <c r="K2227">
        <f t="shared" si="68"/>
        <v>21.700000000000003</v>
      </c>
      <c r="L2227" t="str">
        <f t="shared" si="69"/>
        <v>Banca Irpina|27|Prestiti</v>
      </c>
    </row>
    <row r="2228" spans="1:12" x14ac:dyDescent="0.25">
      <c r="A2228" t="s">
        <v>30</v>
      </c>
      <c r="B2228">
        <v>27</v>
      </c>
      <c r="C2228" t="s">
        <v>16</v>
      </c>
      <c r="D2228" s="1">
        <v>46112</v>
      </c>
      <c r="E2228">
        <v>1480.6</v>
      </c>
      <c r="F2228">
        <v>73.239999999999995</v>
      </c>
      <c r="G2228">
        <v>44.74</v>
      </c>
      <c r="H2228">
        <v>132</v>
      </c>
      <c r="I2228" t="s">
        <v>31</v>
      </c>
      <c r="J2228">
        <v>2026</v>
      </c>
      <c r="K2228">
        <f t="shared" si="68"/>
        <v>28.499999999999993</v>
      </c>
      <c r="L2228" t="str">
        <f t="shared" si="69"/>
        <v>Banca Irpina|27|Conti</v>
      </c>
    </row>
    <row r="2229" spans="1:12" x14ac:dyDescent="0.25">
      <c r="A2229" t="s">
        <v>30</v>
      </c>
      <c r="B2229">
        <v>27</v>
      </c>
      <c r="C2229" t="s">
        <v>17</v>
      </c>
      <c r="D2229" s="1">
        <v>46112</v>
      </c>
      <c r="E2229">
        <v>1844</v>
      </c>
      <c r="F2229">
        <v>94.3</v>
      </c>
      <c r="G2229">
        <v>57.48</v>
      </c>
      <c r="H2229">
        <v>163</v>
      </c>
      <c r="I2229" t="s">
        <v>31</v>
      </c>
      <c r="J2229">
        <v>2026</v>
      </c>
      <c r="K2229">
        <f t="shared" si="68"/>
        <v>36.82</v>
      </c>
      <c r="L2229" t="str">
        <f t="shared" si="69"/>
        <v>Banca Irpina|27|Carte</v>
      </c>
    </row>
    <row r="2230" spans="1:12" x14ac:dyDescent="0.25">
      <c r="A2230" t="s">
        <v>30</v>
      </c>
      <c r="B2230">
        <v>27</v>
      </c>
      <c r="C2230" t="s">
        <v>18</v>
      </c>
      <c r="D2230" s="1">
        <v>46112</v>
      </c>
      <c r="E2230">
        <v>2125.5</v>
      </c>
      <c r="F2230">
        <v>112.87</v>
      </c>
      <c r="G2230">
        <v>68.900000000000006</v>
      </c>
      <c r="H2230">
        <v>196</v>
      </c>
      <c r="I2230" t="s">
        <v>31</v>
      </c>
      <c r="J2230">
        <v>2026</v>
      </c>
      <c r="K2230">
        <f t="shared" si="68"/>
        <v>43.97</v>
      </c>
      <c r="L2230" t="str">
        <f t="shared" si="69"/>
        <v>Banca Irpina|27|Leasing</v>
      </c>
    </row>
    <row r="2231" spans="1:12" x14ac:dyDescent="0.25">
      <c r="A2231" t="s">
        <v>30</v>
      </c>
      <c r="B2231">
        <v>27</v>
      </c>
      <c r="C2231" t="s">
        <v>19</v>
      </c>
      <c r="D2231" s="1">
        <v>46112</v>
      </c>
      <c r="E2231">
        <v>2477.6</v>
      </c>
      <c r="F2231">
        <v>137.19999999999999</v>
      </c>
      <c r="G2231">
        <v>82.37</v>
      </c>
      <c r="H2231">
        <v>215</v>
      </c>
      <c r="I2231" t="s">
        <v>31</v>
      </c>
      <c r="J2231">
        <v>2026</v>
      </c>
      <c r="K2231">
        <f t="shared" si="68"/>
        <v>54.829999999999984</v>
      </c>
      <c r="L2231" t="str">
        <f t="shared" si="69"/>
        <v>Banca Irpina|27|Factoring</v>
      </c>
    </row>
    <row r="2232" spans="1:12" x14ac:dyDescent="0.25">
      <c r="A2232" t="s">
        <v>30</v>
      </c>
      <c r="B2232">
        <v>27</v>
      </c>
      <c r="C2232" t="s">
        <v>20</v>
      </c>
      <c r="D2232" s="1">
        <v>46112</v>
      </c>
      <c r="E2232">
        <v>2756.2</v>
      </c>
      <c r="F2232">
        <v>158.1</v>
      </c>
      <c r="G2232">
        <v>93.89</v>
      </c>
      <c r="H2232">
        <v>247</v>
      </c>
      <c r="I2232" t="s">
        <v>31</v>
      </c>
      <c r="J2232">
        <v>2026</v>
      </c>
      <c r="K2232">
        <f t="shared" si="68"/>
        <v>64.209999999999994</v>
      </c>
      <c r="L2232" t="str">
        <f t="shared" si="69"/>
        <v>Banca Irpina|27|Risparmio</v>
      </c>
    </row>
    <row r="2233" spans="1:12" x14ac:dyDescent="0.25">
      <c r="A2233" t="s">
        <v>30</v>
      </c>
      <c r="B2233">
        <v>27</v>
      </c>
      <c r="C2233" t="s">
        <v>21</v>
      </c>
      <c r="D2233" s="1">
        <v>46112</v>
      </c>
      <c r="E2233">
        <v>3106.6</v>
      </c>
      <c r="F2233">
        <v>183.94</v>
      </c>
      <c r="G2233">
        <v>109.71</v>
      </c>
      <c r="H2233">
        <v>293</v>
      </c>
      <c r="I2233" t="s">
        <v>31</v>
      </c>
      <c r="J2233">
        <v>2026</v>
      </c>
      <c r="K2233">
        <f t="shared" si="68"/>
        <v>74.23</v>
      </c>
      <c r="L2233" t="str">
        <f t="shared" si="69"/>
        <v>Banca Irpina|27|Assicurazioni</v>
      </c>
    </row>
    <row r="2234" spans="1:12" x14ac:dyDescent="0.25">
      <c r="A2234" t="s">
        <v>30</v>
      </c>
      <c r="B2234">
        <v>28</v>
      </c>
      <c r="C2234" t="s">
        <v>13</v>
      </c>
      <c r="D2234" s="1">
        <v>46142</v>
      </c>
      <c r="E2234">
        <v>886.7</v>
      </c>
      <c r="F2234">
        <v>40.74</v>
      </c>
      <c r="G2234">
        <v>25.01</v>
      </c>
      <c r="H2234">
        <v>102</v>
      </c>
      <c r="I2234" t="s">
        <v>31</v>
      </c>
      <c r="J2234">
        <v>2026</v>
      </c>
      <c r="K2234">
        <f t="shared" si="68"/>
        <v>15.73</v>
      </c>
      <c r="L2234" t="str">
        <f t="shared" si="69"/>
        <v>Banca Irpina|28|Mutui</v>
      </c>
    </row>
    <row r="2235" spans="1:12" x14ac:dyDescent="0.25">
      <c r="A2235" t="s">
        <v>30</v>
      </c>
      <c r="B2235">
        <v>28</v>
      </c>
      <c r="C2235" t="s">
        <v>15</v>
      </c>
      <c r="D2235" s="1">
        <v>46142</v>
      </c>
      <c r="E2235">
        <v>1205.8</v>
      </c>
      <c r="F2235">
        <v>56.98</v>
      </c>
      <c r="G2235">
        <v>35.83</v>
      </c>
      <c r="H2235">
        <v>112</v>
      </c>
      <c r="I2235" t="s">
        <v>31</v>
      </c>
      <c r="J2235">
        <v>2026</v>
      </c>
      <c r="K2235">
        <f t="shared" si="68"/>
        <v>21.15</v>
      </c>
      <c r="L2235" t="str">
        <f t="shared" si="69"/>
        <v>Banca Irpina|28|Prestiti</v>
      </c>
    </row>
    <row r="2236" spans="1:12" x14ac:dyDescent="0.25">
      <c r="A2236" t="s">
        <v>30</v>
      </c>
      <c r="B2236">
        <v>28</v>
      </c>
      <c r="C2236" t="s">
        <v>16</v>
      </c>
      <c r="D2236" s="1">
        <v>46142</v>
      </c>
      <c r="E2236">
        <v>1491.9</v>
      </c>
      <c r="F2236">
        <v>74.010000000000005</v>
      </c>
      <c r="G2236">
        <v>45.45</v>
      </c>
      <c r="H2236">
        <v>151</v>
      </c>
      <c r="I2236" t="s">
        <v>31</v>
      </c>
      <c r="J2236">
        <v>2026</v>
      </c>
      <c r="K2236">
        <f t="shared" si="68"/>
        <v>28.560000000000002</v>
      </c>
      <c r="L2236" t="str">
        <f t="shared" si="69"/>
        <v>Banca Irpina|28|Conti</v>
      </c>
    </row>
    <row r="2237" spans="1:12" x14ac:dyDescent="0.25">
      <c r="A2237" t="s">
        <v>30</v>
      </c>
      <c r="B2237">
        <v>28</v>
      </c>
      <c r="C2237" t="s">
        <v>17</v>
      </c>
      <c r="D2237" s="1">
        <v>46142</v>
      </c>
      <c r="E2237">
        <v>1824.5</v>
      </c>
      <c r="F2237">
        <v>93.5</v>
      </c>
      <c r="G2237">
        <v>57.43</v>
      </c>
      <c r="H2237">
        <v>182</v>
      </c>
      <c r="I2237" t="s">
        <v>31</v>
      </c>
      <c r="J2237">
        <v>2026</v>
      </c>
      <c r="K2237">
        <f t="shared" si="68"/>
        <v>36.07</v>
      </c>
      <c r="L2237" t="str">
        <f t="shared" si="69"/>
        <v>Banca Irpina|28|Carte</v>
      </c>
    </row>
    <row r="2238" spans="1:12" x14ac:dyDescent="0.25">
      <c r="A2238" t="s">
        <v>30</v>
      </c>
      <c r="B2238">
        <v>28</v>
      </c>
      <c r="C2238" t="s">
        <v>18</v>
      </c>
      <c r="D2238" s="1">
        <v>46142</v>
      </c>
      <c r="E2238">
        <v>2157.1</v>
      </c>
      <c r="F2238">
        <v>114.61</v>
      </c>
      <c r="G2238">
        <v>69.92</v>
      </c>
      <c r="H2238">
        <v>184</v>
      </c>
      <c r="I2238" t="s">
        <v>31</v>
      </c>
      <c r="J2238">
        <v>2026</v>
      </c>
      <c r="K2238">
        <f t="shared" si="68"/>
        <v>44.69</v>
      </c>
      <c r="L2238" t="str">
        <f t="shared" si="69"/>
        <v>Banca Irpina|28|Leasing</v>
      </c>
    </row>
    <row r="2239" spans="1:12" x14ac:dyDescent="0.25">
      <c r="A2239" t="s">
        <v>30</v>
      </c>
      <c r="B2239">
        <v>28</v>
      </c>
      <c r="C2239" t="s">
        <v>19</v>
      </c>
      <c r="D2239" s="1">
        <v>46142</v>
      </c>
      <c r="E2239">
        <v>2485.3000000000002</v>
      </c>
      <c r="F2239">
        <v>137.21</v>
      </c>
      <c r="G2239">
        <v>82.87</v>
      </c>
      <c r="H2239">
        <v>227</v>
      </c>
      <c r="I2239" t="s">
        <v>31</v>
      </c>
      <c r="J2239">
        <v>2026</v>
      </c>
      <c r="K2239">
        <f t="shared" si="68"/>
        <v>54.34</v>
      </c>
      <c r="L2239" t="str">
        <f t="shared" si="69"/>
        <v>Banca Irpina|28|Factoring</v>
      </c>
    </row>
    <row r="2240" spans="1:12" x14ac:dyDescent="0.25">
      <c r="A2240" t="s">
        <v>30</v>
      </c>
      <c r="B2240">
        <v>28</v>
      </c>
      <c r="C2240" t="s">
        <v>20</v>
      </c>
      <c r="D2240" s="1">
        <v>46142</v>
      </c>
      <c r="E2240">
        <v>2815.2</v>
      </c>
      <c r="F2240">
        <v>160.74</v>
      </c>
      <c r="G2240">
        <v>96.08</v>
      </c>
      <c r="H2240">
        <v>245</v>
      </c>
      <c r="I2240" t="s">
        <v>31</v>
      </c>
      <c r="J2240">
        <v>2026</v>
      </c>
      <c r="K2240">
        <f t="shared" si="68"/>
        <v>64.660000000000011</v>
      </c>
      <c r="L2240" t="str">
        <f t="shared" si="69"/>
        <v>Banca Irpina|28|Risparmio</v>
      </c>
    </row>
    <row r="2241" spans="1:12" x14ac:dyDescent="0.25">
      <c r="A2241" t="s">
        <v>30</v>
      </c>
      <c r="B2241">
        <v>28</v>
      </c>
      <c r="C2241" t="s">
        <v>21</v>
      </c>
      <c r="D2241" s="1">
        <v>46142</v>
      </c>
      <c r="E2241">
        <v>3140.6</v>
      </c>
      <c r="F2241">
        <v>185.33</v>
      </c>
      <c r="G2241">
        <v>109.99</v>
      </c>
      <c r="H2241">
        <v>281</v>
      </c>
      <c r="I2241" t="s">
        <v>31</v>
      </c>
      <c r="J2241">
        <v>2026</v>
      </c>
      <c r="K2241">
        <f t="shared" si="68"/>
        <v>75.340000000000018</v>
      </c>
      <c r="L2241" t="str">
        <f t="shared" si="69"/>
        <v>Banca Irpina|28|Assicurazioni</v>
      </c>
    </row>
    <row r="2242" spans="1:12" x14ac:dyDescent="0.25">
      <c r="A2242" t="s">
        <v>30</v>
      </c>
      <c r="B2242">
        <v>29</v>
      </c>
      <c r="C2242" t="s">
        <v>13</v>
      </c>
      <c r="D2242" s="1">
        <v>46173</v>
      </c>
      <c r="E2242">
        <v>843.3</v>
      </c>
      <c r="F2242">
        <v>38.03</v>
      </c>
      <c r="G2242">
        <v>23.83</v>
      </c>
      <c r="H2242">
        <v>73</v>
      </c>
      <c r="I2242" t="s">
        <v>31</v>
      </c>
      <c r="J2242">
        <v>2026</v>
      </c>
      <c r="K2242">
        <f t="shared" ref="K2242:K2305" si="70">F2242-G2242</f>
        <v>14.200000000000003</v>
      </c>
      <c r="L2242" t="str">
        <f t="shared" ref="L2242:L2305" si="71">A2242&amp;"|"&amp;B2242&amp;"|"&amp;C2242</f>
        <v>Banca Irpina|29|Mutui</v>
      </c>
    </row>
    <row r="2243" spans="1:12" x14ac:dyDescent="0.25">
      <c r="A2243" t="s">
        <v>30</v>
      </c>
      <c r="B2243">
        <v>29</v>
      </c>
      <c r="C2243" t="s">
        <v>15</v>
      </c>
      <c r="D2243" s="1">
        <v>46173</v>
      </c>
      <c r="E2243">
        <v>1180.5999999999999</v>
      </c>
      <c r="F2243">
        <v>55.79</v>
      </c>
      <c r="G2243">
        <v>34.71</v>
      </c>
      <c r="H2243">
        <v>98</v>
      </c>
      <c r="I2243" t="s">
        <v>31</v>
      </c>
      <c r="J2243">
        <v>2026</v>
      </c>
      <c r="K2243">
        <f t="shared" si="70"/>
        <v>21.08</v>
      </c>
      <c r="L2243" t="str">
        <f t="shared" si="71"/>
        <v>Banca Irpina|29|Prestiti</v>
      </c>
    </row>
    <row r="2244" spans="1:12" x14ac:dyDescent="0.25">
      <c r="A2244" t="s">
        <v>30</v>
      </c>
      <c r="B2244">
        <v>29</v>
      </c>
      <c r="C2244" t="s">
        <v>16</v>
      </c>
      <c r="D2244" s="1">
        <v>46173</v>
      </c>
      <c r="E2244">
        <v>1498.6</v>
      </c>
      <c r="F2244">
        <v>74.209999999999994</v>
      </c>
      <c r="G2244">
        <v>45.12</v>
      </c>
      <c r="H2244">
        <v>137</v>
      </c>
      <c r="I2244" t="s">
        <v>31</v>
      </c>
      <c r="J2244">
        <v>2026</v>
      </c>
      <c r="K2244">
        <f t="shared" si="70"/>
        <v>29.089999999999996</v>
      </c>
      <c r="L2244" t="str">
        <f t="shared" si="71"/>
        <v>Banca Irpina|29|Conti</v>
      </c>
    </row>
    <row r="2245" spans="1:12" x14ac:dyDescent="0.25">
      <c r="A2245" t="s">
        <v>30</v>
      </c>
      <c r="B2245">
        <v>29</v>
      </c>
      <c r="C2245" t="s">
        <v>17</v>
      </c>
      <c r="D2245" s="1">
        <v>46173</v>
      </c>
      <c r="E2245">
        <v>1863.2</v>
      </c>
      <c r="F2245">
        <v>95.97</v>
      </c>
      <c r="G2245">
        <v>58.73</v>
      </c>
      <c r="H2245">
        <v>156</v>
      </c>
      <c r="I2245" t="s">
        <v>31</v>
      </c>
      <c r="J2245">
        <v>2026</v>
      </c>
      <c r="K2245">
        <f t="shared" si="70"/>
        <v>37.24</v>
      </c>
      <c r="L2245" t="str">
        <f t="shared" si="71"/>
        <v>Banca Irpina|29|Carte</v>
      </c>
    </row>
    <row r="2246" spans="1:12" x14ac:dyDescent="0.25">
      <c r="A2246" t="s">
        <v>30</v>
      </c>
      <c r="B2246">
        <v>29</v>
      </c>
      <c r="C2246" t="s">
        <v>18</v>
      </c>
      <c r="D2246" s="1">
        <v>46173</v>
      </c>
      <c r="E2246">
        <v>2170.1999999999998</v>
      </c>
      <c r="F2246">
        <v>115.47</v>
      </c>
      <c r="G2246">
        <v>69.67</v>
      </c>
      <c r="H2246">
        <v>200</v>
      </c>
      <c r="I2246" t="s">
        <v>31</v>
      </c>
      <c r="J2246">
        <v>2026</v>
      </c>
      <c r="K2246">
        <f t="shared" si="70"/>
        <v>45.8</v>
      </c>
      <c r="L2246" t="str">
        <f t="shared" si="71"/>
        <v>Banca Irpina|29|Leasing</v>
      </c>
    </row>
    <row r="2247" spans="1:12" x14ac:dyDescent="0.25">
      <c r="A2247" t="s">
        <v>30</v>
      </c>
      <c r="B2247">
        <v>29</v>
      </c>
      <c r="C2247" t="s">
        <v>19</v>
      </c>
      <c r="D2247" s="1">
        <v>46173</v>
      </c>
      <c r="E2247">
        <v>2521.6999999999998</v>
      </c>
      <c r="F2247">
        <v>139.22999999999999</v>
      </c>
      <c r="G2247">
        <v>83.5</v>
      </c>
      <c r="H2247">
        <v>237</v>
      </c>
      <c r="I2247" t="s">
        <v>31</v>
      </c>
      <c r="J2247">
        <v>2026</v>
      </c>
      <c r="K2247">
        <f t="shared" si="70"/>
        <v>55.72999999999999</v>
      </c>
      <c r="L2247" t="str">
        <f t="shared" si="71"/>
        <v>Banca Irpina|29|Factoring</v>
      </c>
    </row>
    <row r="2248" spans="1:12" x14ac:dyDescent="0.25">
      <c r="A2248" t="s">
        <v>30</v>
      </c>
      <c r="B2248">
        <v>29</v>
      </c>
      <c r="C2248" t="s">
        <v>20</v>
      </c>
      <c r="D2248" s="1">
        <v>46173</v>
      </c>
      <c r="E2248">
        <v>2830.6</v>
      </c>
      <c r="F2248">
        <v>161.72999999999999</v>
      </c>
      <c r="G2248">
        <v>96.46</v>
      </c>
      <c r="H2248">
        <v>257</v>
      </c>
      <c r="I2248" t="s">
        <v>31</v>
      </c>
      <c r="J2248">
        <v>2026</v>
      </c>
      <c r="K2248">
        <f t="shared" si="70"/>
        <v>65.27</v>
      </c>
      <c r="L2248" t="str">
        <f t="shared" si="71"/>
        <v>Banca Irpina|29|Risparmio</v>
      </c>
    </row>
    <row r="2249" spans="1:12" x14ac:dyDescent="0.25">
      <c r="A2249" t="s">
        <v>30</v>
      </c>
      <c r="B2249">
        <v>29</v>
      </c>
      <c r="C2249" t="s">
        <v>21</v>
      </c>
      <c r="D2249" s="1">
        <v>46173</v>
      </c>
      <c r="E2249">
        <v>3117.3</v>
      </c>
      <c r="F2249">
        <v>183.98</v>
      </c>
      <c r="G2249">
        <v>109.91</v>
      </c>
      <c r="H2249">
        <v>291</v>
      </c>
      <c r="I2249" t="s">
        <v>31</v>
      </c>
      <c r="J2249">
        <v>2026</v>
      </c>
      <c r="K2249">
        <f t="shared" si="70"/>
        <v>74.069999999999993</v>
      </c>
      <c r="L2249" t="str">
        <f t="shared" si="71"/>
        <v>Banca Irpina|29|Assicurazioni</v>
      </c>
    </row>
    <row r="2250" spans="1:12" x14ac:dyDescent="0.25">
      <c r="A2250" t="s">
        <v>30</v>
      </c>
      <c r="B2250">
        <v>30</v>
      </c>
      <c r="C2250" t="s">
        <v>13</v>
      </c>
      <c r="D2250" s="1">
        <v>46203</v>
      </c>
      <c r="E2250">
        <v>901.5</v>
      </c>
      <c r="F2250">
        <v>40.61</v>
      </c>
      <c r="G2250">
        <v>26.05</v>
      </c>
      <c r="H2250">
        <v>87</v>
      </c>
      <c r="I2250" t="s">
        <v>31</v>
      </c>
      <c r="J2250">
        <v>2026</v>
      </c>
      <c r="K2250">
        <f t="shared" si="70"/>
        <v>14.559999999999999</v>
      </c>
      <c r="L2250" t="str">
        <f t="shared" si="71"/>
        <v>Banca Irpina|30|Mutui</v>
      </c>
    </row>
    <row r="2251" spans="1:12" x14ac:dyDescent="0.25">
      <c r="A2251" t="s">
        <v>30</v>
      </c>
      <c r="B2251">
        <v>30</v>
      </c>
      <c r="C2251" t="s">
        <v>15</v>
      </c>
      <c r="D2251" s="1">
        <v>46203</v>
      </c>
      <c r="E2251">
        <v>1176.0999999999999</v>
      </c>
      <c r="F2251">
        <v>55.39</v>
      </c>
      <c r="G2251">
        <v>35.090000000000003</v>
      </c>
      <c r="H2251">
        <v>119</v>
      </c>
      <c r="I2251" t="s">
        <v>31</v>
      </c>
      <c r="J2251">
        <v>2026</v>
      </c>
      <c r="K2251">
        <f t="shared" si="70"/>
        <v>20.299999999999997</v>
      </c>
      <c r="L2251" t="str">
        <f t="shared" si="71"/>
        <v>Banca Irpina|30|Prestiti</v>
      </c>
    </row>
    <row r="2252" spans="1:12" x14ac:dyDescent="0.25">
      <c r="A2252" t="s">
        <v>30</v>
      </c>
      <c r="B2252">
        <v>30</v>
      </c>
      <c r="C2252" t="s">
        <v>16</v>
      </c>
      <c r="D2252" s="1">
        <v>46203</v>
      </c>
      <c r="E2252">
        <v>1534.6</v>
      </c>
      <c r="F2252">
        <v>75.260000000000005</v>
      </c>
      <c r="G2252">
        <v>46.94</v>
      </c>
      <c r="H2252">
        <v>126</v>
      </c>
      <c r="I2252" t="s">
        <v>31</v>
      </c>
      <c r="J2252">
        <v>2026</v>
      </c>
      <c r="K2252">
        <f t="shared" si="70"/>
        <v>28.320000000000007</v>
      </c>
      <c r="L2252" t="str">
        <f t="shared" si="71"/>
        <v>Banca Irpina|30|Conti</v>
      </c>
    </row>
    <row r="2253" spans="1:12" x14ac:dyDescent="0.25">
      <c r="A2253" t="s">
        <v>30</v>
      </c>
      <c r="B2253">
        <v>30</v>
      </c>
      <c r="C2253" t="s">
        <v>17</v>
      </c>
      <c r="D2253" s="1">
        <v>46203</v>
      </c>
      <c r="E2253">
        <v>1881</v>
      </c>
      <c r="F2253">
        <v>96.79</v>
      </c>
      <c r="G2253">
        <v>58.92</v>
      </c>
      <c r="H2253">
        <v>153</v>
      </c>
      <c r="I2253" t="s">
        <v>31</v>
      </c>
      <c r="J2253">
        <v>2026</v>
      </c>
      <c r="K2253">
        <f t="shared" si="70"/>
        <v>37.870000000000005</v>
      </c>
      <c r="L2253" t="str">
        <f t="shared" si="71"/>
        <v>Banca Irpina|30|Carte</v>
      </c>
    </row>
    <row r="2254" spans="1:12" x14ac:dyDescent="0.25">
      <c r="A2254" t="s">
        <v>30</v>
      </c>
      <c r="B2254">
        <v>30</v>
      </c>
      <c r="C2254" t="s">
        <v>18</v>
      </c>
      <c r="D2254" s="1">
        <v>46203</v>
      </c>
      <c r="E2254">
        <v>2198.3000000000002</v>
      </c>
      <c r="F2254">
        <v>116.52</v>
      </c>
      <c r="G2254">
        <v>70.92</v>
      </c>
      <c r="H2254">
        <v>189</v>
      </c>
      <c r="I2254" t="s">
        <v>31</v>
      </c>
      <c r="J2254">
        <v>2026</v>
      </c>
      <c r="K2254">
        <f t="shared" si="70"/>
        <v>45.599999999999994</v>
      </c>
      <c r="L2254" t="str">
        <f t="shared" si="71"/>
        <v>Banca Irpina|30|Leasing</v>
      </c>
    </row>
    <row r="2255" spans="1:12" x14ac:dyDescent="0.25">
      <c r="A2255" t="s">
        <v>30</v>
      </c>
      <c r="B2255">
        <v>30</v>
      </c>
      <c r="C2255" t="s">
        <v>19</v>
      </c>
      <c r="D2255" s="1">
        <v>46203</v>
      </c>
      <c r="E2255">
        <v>2527.6</v>
      </c>
      <c r="F2255">
        <v>139.57</v>
      </c>
      <c r="G2255">
        <v>83.87</v>
      </c>
      <c r="H2255">
        <v>213</v>
      </c>
      <c r="I2255" t="s">
        <v>31</v>
      </c>
      <c r="J2255">
        <v>2026</v>
      </c>
      <c r="K2255">
        <f t="shared" si="70"/>
        <v>55.699999999999989</v>
      </c>
      <c r="L2255" t="str">
        <f t="shared" si="71"/>
        <v>Banca Irpina|30|Factoring</v>
      </c>
    </row>
    <row r="2256" spans="1:12" x14ac:dyDescent="0.25">
      <c r="A2256" t="s">
        <v>30</v>
      </c>
      <c r="B2256">
        <v>30</v>
      </c>
      <c r="C2256" t="s">
        <v>20</v>
      </c>
      <c r="D2256" s="1">
        <v>46203</v>
      </c>
      <c r="E2256">
        <v>2857.6</v>
      </c>
      <c r="F2256">
        <v>163.03</v>
      </c>
      <c r="G2256">
        <v>97.22</v>
      </c>
      <c r="H2256">
        <v>236</v>
      </c>
      <c r="I2256" t="s">
        <v>31</v>
      </c>
      <c r="J2256">
        <v>2026</v>
      </c>
      <c r="K2256">
        <f t="shared" si="70"/>
        <v>65.81</v>
      </c>
      <c r="L2256" t="str">
        <f t="shared" si="71"/>
        <v>Banca Irpina|30|Risparmio</v>
      </c>
    </row>
    <row r="2257" spans="1:12" x14ac:dyDescent="0.25">
      <c r="A2257" t="s">
        <v>30</v>
      </c>
      <c r="B2257">
        <v>30</v>
      </c>
      <c r="C2257" t="s">
        <v>21</v>
      </c>
      <c r="D2257" s="1">
        <v>46203</v>
      </c>
      <c r="E2257">
        <v>3164.8</v>
      </c>
      <c r="F2257">
        <v>187.36</v>
      </c>
      <c r="G2257">
        <v>111.55</v>
      </c>
      <c r="H2257">
        <v>275</v>
      </c>
      <c r="I2257" t="s">
        <v>31</v>
      </c>
      <c r="J2257">
        <v>2026</v>
      </c>
      <c r="K2257">
        <f t="shared" si="70"/>
        <v>75.810000000000016</v>
      </c>
      <c r="L2257" t="str">
        <f t="shared" si="71"/>
        <v>Banca Irpina|30|Assicurazioni</v>
      </c>
    </row>
    <row r="2258" spans="1:12" x14ac:dyDescent="0.25">
      <c r="A2258" t="s">
        <v>30</v>
      </c>
      <c r="B2258">
        <v>31</v>
      </c>
      <c r="C2258" t="s">
        <v>13</v>
      </c>
      <c r="D2258" s="1">
        <v>46234</v>
      </c>
      <c r="E2258">
        <v>879.5</v>
      </c>
      <c r="F2258">
        <v>40.130000000000003</v>
      </c>
      <c r="G2258">
        <v>25.36</v>
      </c>
      <c r="H2258">
        <v>81</v>
      </c>
      <c r="I2258" t="s">
        <v>31</v>
      </c>
      <c r="J2258">
        <v>2026</v>
      </c>
      <c r="K2258">
        <f t="shared" si="70"/>
        <v>14.770000000000003</v>
      </c>
      <c r="L2258" t="str">
        <f t="shared" si="71"/>
        <v>Banca Irpina|31|Mutui</v>
      </c>
    </row>
    <row r="2259" spans="1:12" x14ac:dyDescent="0.25">
      <c r="A2259" t="s">
        <v>30</v>
      </c>
      <c r="B2259">
        <v>31</v>
      </c>
      <c r="C2259" t="s">
        <v>15</v>
      </c>
      <c r="D2259" s="1">
        <v>46234</v>
      </c>
      <c r="E2259">
        <v>1235.7</v>
      </c>
      <c r="F2259">
        <v>58.56</v>
      </c>
      <c r="G2259">
        <v>35.96</v>
      </c>
      <c r="H2259">
        <v>126</v>
      </c>
      <c r="I2259" t="s">
        <v>31</v>
      </c>
      <c r="J2259">
        <v>2026</v>
      </c>
      <c r="K2259">
        <f t="shared" si="70"/>
        <v>22.6</v>
      </c>
      <c r="L2259" t="str">
        <f t="shared" si="71"/>
        <v>Banca Irpina|31|Prestiti</v>
      </c>
    </row>
    <row r="2260" spans="1:12" x14ac:dyDescent="0.25">
      <c r="A2260" t="s">
        <v>30</v>
      </c>
      <c r="B2260">
        <v>31</v>
      </c>
      <c r="C2260" t="s">
        <v>16</v>
      </c>
      <c r="D2260" s="1">
        <v>46234</v>
      </c>
      <c r="E2260">
        <v>1507.8</v>
      </c>
      <c r="F2260">
        <v>74.34</v>
      </c>
      <c r="G2260">
        <v>45.94</v>
      </c>
      <c r="H2260">
        <v>127</v>
      </c>
      <c r="I2260" t="s">
        <v>31</v>
      </c>
      <c r="J2260">
        <v>2026</v>
      </c>
      <c r="K2260">
        <f t="shared" si="70"/>
        <v>28.400000000000006</v>
      </c>
      <c r="L2260" t="str">
        <f t="shared" si="71"/>
        <v>Banca Irpina|31|Conti</v>
      </c>
    </row>
    <row r="2261" spans="1:12" x14ac:dyDescent="0.25">
      <c r="A2261" t="s">
        <v>30</v>
      </c>
      <c r="B2261">
        <v>31</v>
      </c>
      <c r="C2261" t="s">
        <v>17</v>
      </c>
      <c r="D2261" s="1">
        <v>46234</v>
      </c>
      <c r="E2261">
        <v>1887.9</v>
      </c>
      <c r="F2261">
        <v>96.75</v>
      </c>
      <c r="G2261">
        <v>59.01</v>
      </c>
      <c r="H2261">
        <v>174</v>
      </c>
      <c r="I2261" t="s">
        <v>31</v>
      </c>
      <c r="J2261">
        <v>2026</v>
      </c>
      <c r="K2261">
        <f t="shared" si="70"/>
        <v>37.74</v>
      </c>
      <c r="L2261" t="str">
        <f t="shared" si="71"/>
        <v>Banca Irpina|31|Carte</v>
      </c>
    </row>
    <row r="2262" spans="1:12" x14ac:dyDescent="0.25">
      <c r="A2262" t="s">
        <v>30</v>
      </c>
      <c r="B2262">
        <v>31</v>
      </c>
      <c r="C2262" t="s">
        <v>18</v>
      </c>
      <c r="D2262" s="1">
        <v>46234</v>
      </c>
      <c r="E2262">
        <v>2214.1999999999998</v>
      </c>
      <c r="F2262">
        <v>118</v>
      </c>
      <c r="G2262">
        <v>71.540000000000006</v>
      </c>
      <c r="H2262">
        <v>203</v>
      </c>
      <c r="I2262" t="s">
        <v>31</v>
      </c>
      <c r="J2262">
        <v>2026</v>
      </c>
      <c r="K2262">
        <f t="shared" si="70"/>
        <v>46.459999999999994</v>
      </c>
      <c r="L2262" t="str">
        <f t="shared" si="71"/>
        <v>Banca Irpina|31|Leasing</v>
      </c>
    </row>
    <row r="2263" spans="1:12" x14ac:dyDescent="0.25">
      <c r="A2263" t="s">
        <v>30</v>
      </c>
      <c r="B2263">
        <v>31</v>
      </c>
      <c r="C2263" t="s">
        <v>19</v>
      </c>
      <c r="D2263" s="1">
        <v>46234</v>
      </c>
      <c r="E2263">
        <v>2524.1</v>
      </c>
      <c r="F2263">
        <v>138.83000000000001</v>
      </c>
      <c r="G2263">
        <v>84.03</v>
      </c>
      <c r="H2263">
        <v>224</v>
      </c>
      <c r="I2263" t="s">
        <v>31</v>
      </c>
      <c r="J2263">
        <v>2026</v>
      </c>
      <c r="K2263">
        <f t="shared" si="70"/>
        <v>54.800000000000011</v>
      </c>
      <c r="L2263" t="str">
        <f t="shared" si="71"/>
        <v>Banca Irpina|31|Factoring</v>
      </c>
    </row>
    <row r="2264" spans="1:12" x14ac:dyDescent="0.25">
      <c r="A2264" t="s">
        <v>30</v>
      </c>
      <c r="B2264">
        <v>31</v>
      </c>
      <c r="C2264" t="s">
        <v>20</v>
      </c>
      <c r="D2264" s="1">
        <v>46234</v>
      </c>
      <c r="E2264">
        <v>2875.2</v>
      </c>
      <c r="F2264">
        <v>163.96</v>
      </c>
      <c r="G2264">
        <v>97.86</v>
      </c>
      <c r="H2264">
        <v>251</v>
      </c>
      <c r="I2264" t="s">
        <v>31</v>
      </c>
      <c r="J2264">
        <v>2026</v>
      </c>
      <c r="K2264">
        <f t="shared" si="70"/>
        <v>66.100000000000009</v>
      </c>
      <c r="L2264" t="str">
        <f t="shared" si="71"/>
        <v>Banca Irpina|31|Risparmio</v>
      </c>
    </row>
    <row r="2265" spans="1:12" x14ac:dyDescent="0.25">
      <c r="A2265" t="s">
        <v>30</v>
      </c>
      <c r="B2265">
        <v>31</v>
      </c>
      <c r="C2265" t="s">
        <v>21</v>
      </c>
      <c r="D2265" s="1">
        <v>46234</v>
      </c>
      <c r="E2265">
        <v>3177.7</v>
      </c>
      <c r="F2265">
        <v>187.76</v>
      </c>
      <c r="G2265">
        <v>111.52</v>
      </c>
      <c r="H2265">
        <v>268</v>
      </c>
      <c r="I2265" t="s">
        <v>31</v>
      </c>
      <c r="J2265">
        <v>2026</v>
      </c>
      <c r="K2265">
        <f t="shared" si="70"/>
        <v>76.239999999999995</v>
      </c>
      <c r="L2265" t="str">
        <f t="shared" si="71"/>
        <v>Banca Irpina|31|Assicurazioni</v>
      </c>
    </row>
    <row r="2266" spans="1:12" x14ac:dyDescent="0.25">
      <c r="A2266" t="s">
        <v>30</v>
      </c>
      <c r="B2266">
        <v>32</v>
      </c>
      <c r="C2266" t="s">
        <v>13</v>
      </c>
      <c r="D2266" s="1">
        <v>46265</v>
      </c>
      <c r="E2266">
        <v>886.5</v>
      </c>
      <c r="F2266">
        <v>40.32</v>
      </c>
      <c r="G2266">
        <v>25.54</v>
      </c>
      <c r="H2266">
        <v>80</v>
      </c>
      <c r="I2266" t="s">
        <v>31</v>
      </c>
      <c r="J2266">
        <v>2026</v>
      </c>
      <c r="K2266">
        <f t="shared" si="70"/>
        <v>14.780000000000001</v>
      </c>
      <c r="L2266" t="str">
        <f t="shared" si="71"/>
        <v>Banca Irpina|32|Mutui</v>
      </c>
    </row>
    <row r="2267" spans="1:12" x14ac:dyDescent="0.25">
      <c r="A2267" t="s">
        <v>30</v>
      </c>
      <c r="B2267">
        <v>32</v>
      </c>
      <c r="C2267" t="s">
        <v>15</v>
      </c>
      <c r="D2267" s="1">
        <v>46265</v>
      </c>
      <c r="E2267">
        <v>1228.8</v>
      </c>
      <c r="F2267">
        <v>58.2</v>
      </c>
      <c r="G2267">
        <v>36.590000000000003</v>
      </c>
      <c r="H2267">
        <v>109</v>
      </c>
      <c r="I2267" t="s">
        <v>31</v>
      </c>
      <c r="J2267">
        <v>2026</v>
      </c>
      <c r="K2267">
        <f t="shared" si="70"/>
        <v>21.61</v>
      </c>
      <c r="L2267" t="str">
        <f t="shared" si="71"/>
        <v>Banca Irpina|32|Prestiti</v>
      </c>
    </row>
    <row r="2268" spans="1:12" x14ac:dyDescent="0.25">
      <c r="A2268" t="s">
        <v>30</v>
      </c>
      <c r="B2268">
        <v>32</v>
      </c>
      <c r="C2268" t="s">
        <v>16</v>
      </c>
      <c r="D2268" s="1">
        <v>46265</v>
      </c>
      <c r="E2268">
        <v>1549.2</v>
      </c>
      <c r="F2268">
        <v>76.06</v>
      </c>
      <c r="G2268">
        <v>46.64</v>
      </c>
      <c r="H2268">
        <v>150</v>
      </c>
      <c r="I2268" t="s">
        <v>31</v>
      </c>
      <c r="J2268">
        <v>2026</v>
      </c>
      <c r="K2268">
        <f t="shared" si="70"/>
        <v>29.42</v>
      </c>
      <c r="L2268" t="str">
        <f t="shared" si="71"/>
        <v>Banca Irpina|32|Conti</v>
      </c>
    </row>
    <row r="2269" spans="1:12" x14ac:dyDescent="0.25">
      <c r="A2269" t="s">
        <v>30</v>
      </c>
      <c r="B2269">
        <v>32</v>
      </c>
      <c r="C2269" t="s">
        <v>17</v>
      </c>
      <c r="D2269" s="1">
        <v>46265</v>
      </c>
      <c r="E2269">
        <v>1884.7</v>
      </c>
      <c r="F2269">
        <v>96.98</v>
      </c>
      <c r="G2269">
        <v>58.47</v>
      </c>
      <c r="H2269">
        <v>181</v>
      </c>
      <c r="I2269" t="s">
        <v>31</v>
      </c>
      <c r="J2269">
        <v>2026</v>
      </c>
      <c r="K2269">
        <f t="shared" si="70"/>
        <v>38.510000000000005</v>
      </c>
      <c r="L2269" t="str">
        <f t="shared" si="71"/>
        <v>Banca Irpina|32|Carte</v>
      </c>
    </row>
    <row r="2270" spans="1:12" x14ac:dyDescent="0.25">
      <c r="A2270" t="s">
        <v>30</v>
      </c>
      <c r="B2270">
        <v>32</v>
      </c>
      <c r="C2270" t="s">
        <v>18</v>
      </c>
      <c r="D2270" s="1">
        <v>46265</v>
      </c>
      <c r="E2270">
        <v>2201.6</v>
      </c>
      <c r="F2270">
        <v>117.44</v>
      </c>
      <c r="G2270">
        <v>71.03</v>
      </c>
      <c r="H2270">
        <v>211</v>
      </c>
      <c r="I2270" t="s">
        <v>31</v>
      </c>
      <c r="J2270">
        <v>2026</v>
      </c>
      <c r="K2270">
        <f t="shared" si="70"/>
        <v>46.41</v>
      </c>
      <c r="L2270" t="str">
        <f t="shared" si="71"/>
        <v>Banca Irpina|32|Leasing</v>
      </c>
    </row>
    <row r="2271" spans="1:12" x14ac:dyDescent="0.25">
      <c r="A2271" t="s">
        <v>30</v>
      </c>
      <c r="B2271">
        <v>32</v>
      </c>
      <c r="C2271" t="s">
        <v>19</v>
      </c>
      <c r="D2271" s="1">
        <v>46265</v>
      </c>
      <c r="E2271">
        <v>2546.8000000000002</v>
      </c>
      <c r="F2271">
        <v>140.41999999999999</v>
      </c>
      <c r="G2271">
        <v>84.17</v>
      </c>
      <c r="H2271">
        <v>229</v>
      </c>
      <c r="I2271" t="s">
        <v>31</v>
      </c>
      <c r="J2271">
        <v>2026</v>
      </c>
      <c r="K2271">
        <f t="shared" si="70"/>
        <v>56.249999999999986</v>
      </c>
      <c r="L2271" t="str">
        <f t="shared" si="71"/>
        <v>Banca Irpina|32|Factoring</v>
      </c>
    </row>
    <row r="2272" spans="1:12" x14ac:dyDescent="0.25">
      <c r="A2272" t="s">
        <v>30</v>
      </c>
      <c r="B2272">
        <v>32</v>
      </c>
      <c r="C2272" t="s">
        <v>20</v>
      </c>
      <c r="D2272" s="1">
        <v>46265</v>
      </c>
      <c r="E2272">
        <v>2859.8</v>
      </c>
      <c r="F2272">
        <v>163.18</v>
      </c>
      <c r="G2272">
        <v>97.37</v>
      </c>
      <c r="H2272">
        <v>232</v>
      </c>
      <c r="I2272" t="s">
        <v>31</v>
      </c>
      <c r="J2272">
        <v>2026</v>
      </c>
      <c r="K2272">
        <f t="shared" si="70"/>
        <v>65.81</v>
      </c>
      <c r="L2272" t="str">
        <f t="shared" si="71"/>
        <v>Banca Irpina|32|Risparmio</v>
      </c>
    </row>
    <row r="2273" spans="1:12" x14ac:dyDescent="0.25">
      <c r="A2273" t="s">
        <v>30</v>
      </c>
      <c r="B2273">
        <v>32</v>
      </c>
      <c r="C2273" t="s">
        <v>21</v>
      </c>
      <c r="D2273" s="1">
        <v>46265</v>
      </c>
      <c r="E2273">
        <v>3174</v>
      </c>
      <c r="F2273">
        <v>188.2</v>
      </c>
      <c r="G2273">
        <v>111.51</v>
      </c>
      <c r="H2273">
        <v>293</v>
      </c>
      <c r="I2273" t="s">
        <v>31</v>
      </c>
      <c r="J2273">
        <v>2026</v>
      </c>
      <c r="K2273">
        <f t="shared" si="70"/>
        <v>76.689999999999984</v>
      </c>
      <c r="L2273" t="str">
        <f t="shared" si="71"/>
        <v>Banca Irpina|32|Assicurazioni</v>
      </c>
    </row>
    <row r="2274" spans="1:12" x14ac:dyDescent="0.25">
      <c r="A2274" t="s">
        <v>30</v>
      </c>
      <c r="B2274">
        <v>33</v>
      </c>
      <c r="C2274" t="s">
        <v>13</v>
      </c>
      <c r="D2274" s="1">
        <v>46295</v>
      </c>
      <c r="E2274">
        <v>908.5</v>
      </c>
      <c r="F2274">
        <v>40.93</v>
      </c>
      <c r="G2274">
        <v>25.85</v>
      </c>
      <c r="H2274">
        <v>70</v>
      </c>
      <c r="I2274" t="s">
        <v>31</v>
      </c>
      <c r="J2274">
        <v>2026</v>
      </c>
      <c r="K2274">
        <f t="shared" si="70"/>
        <v>15.079999999999998</v>
      </c>
      <c r="L2274" t="str">
        <f t="shared" si="71"/>
        <v>Banca Irpina|33|Mutui</v>
      </c>
    </row>
    <row r="2275" spans="1:12" x14ac:dyDescent="0.25">
      <c r="A2275" t="s">
        <v>30</v>
      </c>
      <c r="B2275">
        <v>33</v>
      </c>
      <c r="C2275" t="s">
        <v>15</v>
      </c>
      <c r="D2275" s="1">
        <v>46295</v>
      </c>
      <c r="E2275">
        <v>1205.0999999999999</v>
      </c>
      <c r="F2275">
        <v>57.55</v>
      </c>
      <c r="G2275">
        <v>35.36</v>
      </c>
      <c r="H2275">
        <v>135</v>
      </c>
      <c r="I2275" t="s">
        <v>31</v>
      </c>
      <c r="J2275">
        <v>2026</v>
      </c>
      <c r="K2275">
        <f t="shared" si="70"/>
        <v>22.189999999999998</v>
      </c>
      <c r="L2275" t="str">
        <f t="shared" si="71"/>
        <v>Banca Irpina|33|Prestiti</v>
      </c>
    </row>
    <row r="2276" spans="1:12" x14ac:dyDescent="0.25">
      <c r="A2276" t="s">
        <v>30</v>
      </c>
      <c r="B2276">
        <v>33</v>
      </c>
      <c r="C2276" t="s">
        <v>16</v>
      </c>
      <c r="D2276" s="1">
        <v>46295</v>
      </c>
      <c r="E2276">
        <v>1566.1</v>
      </c>
      <c r="F2276">
        <v>76.97</v>
      </c>
      <c r="G2276">
        <v>47.5</v>
      </c>
      <c r="H2276">
        <v>161</v>
      </c>
      <c r="I2276" t="s">
        <v>31</v>
      </c>
      <c r="J2276">
        <v>2026</v>
      </c>
      <c r="K2276">
        <f t="shared" si="70"/>
        <v>29.47</v>
      </c>
      <c r="L2276" t="str">
        <f t="shared" si="71"/>
        <v>Banca Irpina|33|Conti</v>
      </c>
    </row>
    <row r="2277" spans="1:12" x14ac:dyDescent="0.25">
      <c r="A2277" t="s">
        <v>30</v>
      </c>
      <c r="B2277">
        <v>33</v>
      </c>
      <c r="C2277" t="s">
        <v>17</v>
      </c>
      <c r="D2277" s="1">
        <v>46295</v>
      </c>
      <c r="E2277">
        <v>1873.9</v>
      </c>
      <c r="F2277">
        <v>96.42</v>
      </c>
      <c r="G2277">
        <v>58.92</v>
      </c>
      <c r="H2277">
        <v>176</v>
      </c>
      <c r="I2277" t="s">
        <v>31</v>
      </c>
      <c r="J2277">
        <v>2026</v>
      </c>
      <c r="K2277">
        <f t="shared" si="70"/>
        <v>37.5</v>
      </c>
      <c r="L2277" t="str">
        <f t="shared" si="71"/>
        <v>Banca Irpina|33|Carte</v>
      </c>
    </row>
    <row r="2278" spans="1:12" x14ac:dyDescent="0.25">
      <c r="A2278" t="s">
        <v>30</v>
      </c>
      <c r="B2278">
        <v>33</v>
      </c>
      <c r="C2278" t="s">
        <v>18</v>
      </c>
      <c r="D2278" s="1">
        <v>46295</v>
      </c>
      <c r="E2278">
        <v>2232.6999999999998</v>
      </c>
      <c r="F2278">
        <v>118.65</v>
      </c>
      <c r="G2278">
        <v>71.709999999999994</v>
      </c>
      <c r="H2278">
        <v>177</v>
      </c>
      <c r="I2278" t="s">
        <v>31</v>
      </c>
      <c r="J2278">
        <v>2026</v>
      </c>
      <c r="K2278">
        <f t="shared" si="70"/>
        <v>46.940000000000012</v>
      </c>
      <c r="L2278" t="str">
        <f t="shared" si="71"/>
        <v>Banca Irpina|33|Leasing</v>
      </c>
    </row>
    <row r="2279" spans="1:12" x14ac:dyDescent="0.25">
      <c r="A2279" t="s">
        <v>30</v>
      </c>
      <c r="B2279">
        <v>33</v>
      </c>
      <c r="C2279" t="s">
        <v>19</v>
      </c>
      <c r="D2279" s="1">
        <v>46295</v>
      </c>
      <c r="E2279">
        <v>2576.4</v>
      </c>
      <c r="F2279">
        <v>141.72</v>
      </c>
      <c r="G2279">
        <v>85.11</v>
      </c>
      <c r="H2279">
        <v>229</v>
      </c>
      <c r="I2279" t="s">
        <v>31</v>
      </c>
      <c r="J2279">
        <v>2026</v>
      </c>
      <c r="K2279">
        <f t="shared" si="70"/>
        <v>56.61</v>
      </c>
      <c r="L2279" t="str">
        <f t="shared" si="71"/>
        <v>Banca Irpina|33|Factoring</v>
      </c>
    </row>
    <row r="2280" spans="1:12" x14ac:dyDescent="0.25">
      <c r="A2280" t="s">
        <v>30</v>
      </c>
      <c r="B2280">
        <v>33</v>
      </c>
      <c r="C2280" t="s">
        <v>20</v>
      </c>
      <c r="D2280" s="1">
        <v>46295</v>
      </c>
      <c r="E2280">
        <v>2867.2</v>
      </c>
      <c r="F2280">
        <v>163.88</v>
      </c>
      <c r="G2280">
        <v>97.58</v>
      </c>
      <c r="H2280">
        <v>266</v>
      </c>
      <c r="I2280" t="s">
        <v>31</v>
      </c>
      <c r="J2280">
        <v>2026</v>
      </c>
      <c r="K2280">
        <f t="shared" si="70"/>
        <v>66.3</v>
      </c>
      <c r="L2280" t="str">
        <f t="shared" si="71"/>
        <v>Banca Irpina|33|Risparmio</v>
      </c>
    </row>
    <row r="2281" spans="1:12" x14ac:dyDescent="0.25">
      <c r="A2281" t="s">
        <v>30</v>
      </c>
      <c r="B2281">
        <v>33</v>
      </c>
      <c r="C2281" t="s">
        <v>21</v>
      </c>
      <c r="D2281" s="1">
        <v>46295</v>
      </c>
      <c r="E2281">
        <v>3207.1</v>
      </c>
      <c r="F2281">
        <v>189.56</v>
      </c>
      <c r="G2281">
        <v>112.82</v>
      </c>
      <c r="H2281">
        <v>282</v>
      </c>
      <c r="I2281" t="s">
        <v>31</v>
      </c>
      <c r="J2281">
        <v>2026</v>
      </c>
      <c r="K2281">
        <f t="shared" si="70"/>
        <v>76.740000000000009</v>
      </c>
      <c r="L2281" t="str">
        <f t="shared" si="71"/>
        <v>Banca Irpina|33|Assicurazioni</v>
      </c>
    </row>
    <row r="2282" spans="1:12" x14ac:dyDescent="0.25">
      <c r="A2282" t="s">
        <v>30</v>
      </c>
      <c r="B2282">
        <v>34</v>
      </c>
      <c r="C2282" t="s">
        <v>13</v>
      </c>
      <c r="D2282" s="1">
        <v>46326</v>
      </c>
      <c r="E2282">
        <v>885.1</v>
      </c>
      <c r="F2282">
        <v>40.770000000000003</v>
      </c>
      <c r="G2282">
        <v>24.95</v>
      </c>
      <c r="H2282">
        <v>71</v>
      </c>
      <c r="I2282" t="s">
        <v>31</v>
      </c>
      <c r="J2282">
        <v>2026</v>
      </c>
      <c r="K2282">
        <f t="shared" si="70"/>
        <v>15.820000000000004</v>
      </c>
      <c r="L2282" t="str">
        <f t="shared" si="71"/>
        <v>Banca Irpina|34|Mutui</v>
      </c>
    </row>
    <row r="2283" spans="1:12" x14ac:dyDescent="0.25">
      <c r="A2283" t="s">
        <v>30</v>
      </c>
      <c r="B2283">
        <v>34</v>
      </c>
      <c r="C2283" t="s">
        <v>15</v>
      </c>
      <c r="D2283" s="1">
        <v>46326</v>
      </c>
      <c r="E2283">
        <v>1235.0999999999999</v>
      </c>
      <c r="F2283">
        <v>58.7</v>
      </c>
      <c r="G2283">
        <v>35.99</v>
      </c>
      <c r="H2283">
        <v>130</v>
      </c>
      <c r="I2283" t="s">
        <v>31</v>
      </c>
      <c r="J2283">
        <v>2026</v>
      </c>
      <c r="K2283">
        <f t="shared" si="70"/>
        <v>22.71</v>
      </c>
      <c r="L2283" t="str">
        <f t="shared" si="71"/>
        <v>Banca Irpina|34|Prestiti</v>
      </c>
    </row>
    <row r="2284" spans="1:12" x14ac:dyDescent="0.25">
      <c r="A2284" t="s">
        <v>30</v>
      </c>
      <c r="B2284">
        <v>34</v>
      </c>
      <c r="C2284" t="s">
        <v>16</v>
      </c>
      <c r="D2284" s="1">
        <v>46326</v>
      </c>
      <c r="E2284">
        <v>1593.9</v>
      </c>
      <c r="F2284">
        <v>78.2</v>
      </c>
      <c r="G2284">
        <v>48.56</v>
      </c>
      <c r="H2284">
        <v>134</v>
      </c>
      <c r="I2284" t="s">
        <v>31</v>
      </c>
      <c r="J2284">
        <v>2026</v>
      </c>
      <c r="K2284">
        <f t="shared" si="70"/>
        <v>29.64</v>
      </c>
      <c r="L2284" t="str">
        <f t="shared" si="71"/>
        <v>Banca Irpina|34|Conti</v>
      </c>
    </row>
    <row r="2285" spans="1:12" x14ac:dyDescent="0.25">
      <c r="A2285" t="s">
        <v>30</v>
      </c>
      <c r="B2285">
        <v>34</v>
      </c>
      <c r="C2285" t="s">
        <v>17</v>
      </c>
      <c r="D2285" s="1">
        <v>46326</v>
      </c>
      <c r="E2285">
        <v>1903.7</v>
      </c>
      <c r="F2285">
        <v>97.88</v>
      </c>
      <c r="G2285">
        <v>59.4</v>
      </c>
      <c r="H2285">
        <v>156</v>
      </c>
      <c r="I2285" t="s">
        <v>31</v>
      </c>
      <c r="J2285">
        <v>2026</v>
      </c>
      <c r="K2285">
        <f t="shared" si="70"/>
        <v>38.479999999999997</v>
      </c>
      <c r="L2285" t="str">
        <f t="shared" si="71"/>
        <v>Banca Irpina|34|Carte</v>
      </c>
    </row>
    <row r="2286" spans="1:12" x14ac:dyDescent="0.25">
      <c r="A2286" t="s">
        <v>30</v>
      </c>
      <c r="B2286">
        <v>34</v>
      </c>
      <c r="C2286" t="s">
        <v>18</v>
      </c>
      <c r="D2286" s="1">
        <v>46326</v>
      </c>
      <c r="E2286">
        <v>2251.6999999999998</v>
      </c>
      <c r="F2286">
        <v>120.16</v>
      </c>
      <c r="G2286">
        <v>72.790000000000006</v>
      </c>
      <c r="H2286">
        <v>210</v>
      </c>
      <c r="I2286" t="s">
        <v>31</v>
      </c>
      <c r="J2286">
        <v>2026</v>
      </c>
      <c r="K2286">
        <f t="shared" si="70"/>
        <v>47.36999999999999</v>
      </c>
      <c r="L2286" t="str">
        <f t="shared" si="71"/>
        <v>Banca Irpina|34|Leasing</v>
      </c>
    </row>
    <row r="2287" spans="1:12" x14ac:dyDescent="0.25">
      <c r="A2287" t="s">
        <v>30</v>
      </c>
      <c r="B2287">
        <v>34</v>
      </c>
      <c r="C2287" t="s">
        <v>19</v>
      </c>
      <c r="D2287" s="1">
        <v>46326</v>
      </c>
      <c r="E2287">
        <v>2594.3000000000002</v>
      </c>
      <c r="F2287">
        <v>142.83000000000001</v>
      </c>
      <c r="G2287">
        <v>86.18</v>
      </c>
      <c r="H2287">
        <v>231</v>
      </c>
      <c r="I2287" t="s">
        <v>31</v>
      </c>
      <c r="J2287">
        <v>2026</v>
      </c>
      <c r="K2287">
        <f t="shared" si="70"/>
        <v>56.650000000000006</v>
      </c>
      <c r="L2287" t="str">
        <f t="shared" si="71"/>
        <v>Banca Irpina|34|Factoring</v>
      </c>
    </row>
    <row r="2288" spans="1:12" x14ac:dyDescent="0.25">
      <c r="A2288" t="s">
        <v>30</v>
      </c>
      <c r="B2288">
        <v>34</v>
      </c>
      <c r="C2288" t="s">
        <v>20</v>
      </c>
      <c r="D2288" s="1">
        <v>46326</v>
      </c>
      <c r="E2288">
        <v>2879.4</v>
      </c>
      <c r="F2288">
        <v>164.4</v>
      </c>
      <c r="G2288">
        <v>98.05</v>
      </c>
      <c r="H2288">
        <v>242</v>
      </c>
      <c r="I2288" t="s">
        <v>31</v>
      </c>
      <c r="J2288">
        <v>2026</v>
      </c>
      <c r="K2288">
        <f t="shared" si="70"/>
        <v>66.350000000000009</v>
      </c>
      <c r="L2288" t="str">
        <f t="shared" si="71"/>
        <v>Banca Irpina|34|Risparmio</v>
      </c>
    </row>
    <row r="2289" spans="1:12" x14ac:dyDescent="0.25">
      <c r="A2289" t="s">
        <v>30</v>
      </c>
      <c r="B2289">
        <v>34</v>
      </c>
      <c r="C2289" t="s">
        <v>21</v>
      </c>
      <c r="D2289" s="1">
        <v>46326</v>
      </c>
      <c r="E2289">
        <v>3244.7</v>
      </c>
      <c r="F2289">
        <v>191.58</v>
      </c>
      <c r="G2289">
        <v>113.79</v>
      </c>
      <c r="H2289">
        <v>272</v>
      </c>
      <c r="I2289" t="s">
        <v>31</v>
      </c>
      <c r="J2289">
        <v>2026</v>
      </c>
      <c r="K2289">
        <f t="shared" si="70"/>
        <v>77.790000000000006</v>
      </c>
      <c r="L2289" t="str">
        <f t="shared" si="71"/>
        <v>Banca Irpina|34|Assicurazioni</v>
      </c>
    </row>
    <row r="2290" spans="1:12" x14ac:dyDescent="0.25">
      <c r="A2290" t="s">
        <v>30</v>
      </c>
      <c r="B2290">
        <v>35</v>
      </c>
      <c r="C2290" t="s">
        <v>13</v>
      </c>
      <c r="D2290" s="1">
        <v>46356</v>
      </c>
      <c r="E2290">
        <v>891.4</v>
      </c>
      <c r="F2290">
        <v>40.96</v>
      </c>
      <c r="G2290">
        <v>25.22</v>
      </c>
      <c r="H2290">
        <v>98</v>
      </c>
      <c r="I2290" t="s">
        <v>31</v>
      </c>
      <c r="J2290">
        <v>2026</v>
      </c>
      <c r="K2290">
        <f t="shared" si="70"/>
        <v>15.740000000000002</v>
      </c>
      <c r="L2290" t="str">
        <f t="shared" si="71"/>
        <v>Banca Irpina|35|Mutui</v>
      </c>
    </row>
    <row r="2291" spans="1:12" x14ac:dyDescent="0.25">
      <c r="A2291" t="s">
        <v>30</v>
      </c>
      <c r="B2291">
        <v>35</v>
      </c>
      <c r="C2291" t="s">
        <v>15</v>
      </c>
      <c r="D2291" s="1">
        <v>46356</v>
      </c>
      <c r="E2291">
        <v>1236</v>
      </c>
      <c r="F2291">
        <v>58.79</v>
      </c>
      <c r="G2291">
        <v>36.64</v>
      </c>
      <c r="H2291">
        <v>114</v>
      </c>
      <c r="I2291" t="s">
        <v>31</v>
      </c>
      <c r="J2291">
        <v>2026</v>
      </c>
      <c r="K2291">
        <f t="shared" si="70"/>
        <v>22.15</v>
      </c>
      <c r="L2291" t="str">
        <f t="shared" si="71"/>
        <v>Banca Irpina|35|Prestiti</v>
      </c>
    </row>
    <row r="2292" spans="1:12" x14ac:dyDescent="0.25">
      <c r="A2292" t="s">
        <v>30</v>
      </c>
      <c r="B2292">
        <v>35</v>
      </c>
      <c r="C2292" t="s">
        <v>16</v>
      </c>
      <c r="D2292" s="1">
        <v>46356</v>
      </c>
      <c r="E2292">
        <v>1569.5</v>
      </c>
      <c r="F2292">
        <v>77.86</v>
      </c>
      <c r="G2292">
        <v>47.49</v>
      </c>
      <c r="H2292">
        <v>160</v>
      </c>
      <c r="I2292" t="s">
        <v>31</v>
      </c>
      <c r="J2292">
        <v>2026</v>
      </c>
      <c r="K2292">
        <f t="shared" si="70"/>
        <v>30.369999999999997</v>
      </c>
      <c r="L2292" t="str">
        <f t="shared" si="71"/>
        <v>Banca Irpina|35|Conti</v>
      </c>
    </row>
    <row r="2293" spans="1:12" x14ac:dyDescent="0.25">
      <c r="A2293" t="s">
        <v>30</v>
      </c>
      <c r="B2293">
        <v>35</v>
      </c>
      <c r="C2293" t="s">
        <v>17</v>
      </c>
      <c r="D2293" s="1">
        <v>46356</v>
      </c>
      <c r="E2293">
        <v>1890.1</v>
      </c>
      <c r="F2293">
        <v>96.6</v>
      </c>
      <c r="G2293">
        <v>58.91</v>
      </c>
      <c r="H2293">
        <v>157</v>
      </c>
      <c r="I2293" t="s">
        <v>31</v>
      </c>
      <c r="J2293">
        <v>2026</v>
      </c>
      <c r="K2293">
        <f t="shared" si="70"/>
        <v>37.69</v>
      </c>
      <c r="L2293" t="str">
        <f t="shared" si="71"/>
        <v>Banca Irpina|35|Carte</v>
      </c>
    </row>
    <row r="2294" spans="1:12" x14ac:dyDescent="0.25">
      <c r="A2294" t="s">
        <v>30</v>
      </c>
      <c r="B2294">
        <v>35</v>
      </c>
      <c r="C2294" t="s">
        <v>18</v>
      </c>
      <c r="D2294" s="1">
        <v>46356</v>
      </c>
      <c r="E2294">
        <v>2240.9</v>
      </c>
      <c r="F2294">
        <v>118.84</v>
      </c>
      <c r="G2294">
        <v>72.14</v>
      </c>
      <c r="H2294">
        <v>208</v>
      </c>
      <c r="I2294" t="s">
        <v>31</v>
      </c>
      <c r="J2294">
        <v>2026</v>
      </c>
      <c r="K2294">
        <f t="shared" si="70"/>
        <v>46.7</v>
      </c>
      <c r="L2294" t="str">
        <f t="shared" si="71"/>
        <v>Banca Irpina|35|Leasing</v>
      </c>
    </row>
    <row r="2295" spans="1:12" x14ac:dyDescent="0.25">
      <c r="A2295" t="s">
        <v>30</v>
      </c>
      <c r="B2295">
        <v>35</v>
      </c>
      <c r="C2295" t="s">
        <v>19</v>
      </c>
      <c r="D2295" s="1">
        <v>46356</v>
      </c>
      <c r="E2295">
        <v>2573.6</v>
      </c>
      <c r="F2295">
        <v>142.51</v>
      </c>
      <c r="G2295">
        <v>85.35</v>
      </c>
      <c r="H2295">
        <v>233</v>
      </c>
      <c r="I2295" t="s">
        <v>31</v>
      </c>
      <c r="J2295">
        <v>2026</v>
      </c>
      <c r="K2295">
        <f t="shared" si="70"/>
        <v>57.16</v>
      </c>
      <c r="L2295" t="str">
        <f t="shared" si="71"/>
        <v>Banca Irpina|35|Factoring</v>
      </c>
    </row>
    <row r="2296" spans="1:12" x14ac:dyDescent="0.25">
      <c r="A2296" t="s">
        <v>30</v>
      </c>
      <c r="B2296">
        <v>35</v>
      </c>
      <c r="C2296" t="s">
        <v>20</v>
      </c>
      <c r="D2296" s="1">
        <v>46356</v>
      </c>
      <c r="E2296">
        <v>2905.7</v>
      </c>
      <c r="F2296">
        <v>166.19</v>
      </c>
      <c r="G2296">
        <v>99.73</v>
      </c>
      <c r="H2296">
        <v>261</v>
      </c>
      <c r="I2296" t="s">
        <v>31</v>
      </c>
      <c r="J2296">
        <v>2026</v>
      </c>
      <c r="K2296">
        <f t="shared" si="70"/>
        <v>66.459999999999994</v>
      </c>
      <c r="L2296" t="str">
        <f t="shared" si="71"/>
        <v>Banca Irpina|35|Risparmio</v>
      </c>
    </row>
    <row r="2297" spans="1:12" x14ac:dyDescent="0.25">
      <c r="A2297" t="s">
        <v>30</v>
      </c>
      <c r="B2297">
        <v>35</v>
      </c>
      <c r="C2297" t="s">
        <v>21</v>
      </c>
      <c r="D2297" s="1">
        <v>46356</v>
      </c>
      <c r="E2297">
        <v>3290.1</v>
      </c>
      <c r="F2297">
        <v>194.68</v>
      </c>
      <c r="G2297">
        <v>115.16</v>
      </c>
      <c r="H2297">
        <v>270</v>
      </c>
      <c r="I2297" t="s">
        <v>31</v>
      </c>
      <c r="J2297">
        <v>2026</v>
      </c>
      <c r="K2297">
        <f t="shared" si="70"/>
        <v>79.52000000000001</v>
      </c>
      <c r="L2297" t="str">
        <f t="shared" si="71"/>
        <v>Banca Irpina|35|Assicurazioni</v>
      </c>
    </row>
    <row r="2298" spans="1:12" x14ac:dyDescent="0.25">
      <c r="A2298" t="s">
        <v>30</v>
      </c>
      <c r="B2298">
        <v>36</v>
      </c>
      <c r="C2298" t="s">
        <v>13</v>
      </c>
      <c r="D2298" s="1">
        <v>46387</v>
      </c>
      <c r="E2298">
        <v>884.8</v>
      </c>
      <c r="F2298">
        <v>40.159999999999997</v>
      </c>
      <c r="G2298">
        <v>24.92</v>
      </c>
      <c r="H2298">
        <v>83</v>
      </c>
      <c r="I2298" t="s">
        <v>31</v>
      </c>
      <c r="J2298">
        <v>2026</v>
      </c>
      <c r="K2298">
        <f t="shared" si="70"/>
        <v>15.239999999999995</v>
      </c>
      <c r="L2298" t="str">
        <f t="shared" si="71"/>
        <v>Banca Irpina|36|Mutui</v>
      </c>
    </row>
    <row r="2299" spans="1:12" x14ac:dyDescent="0.25">
      <c r="A2299" t="s">
        <v>30</v>
      </c>
      <c r="B2299">
        <v>36</v>
      </c>
      <c r="C2299" t="s">
        <v>15</v>
      </c>
      <c r="D2299" s="1">
        <v>46387</v>
      </c>
      <c r="E2299">
        <v>1249.8</v>
      </c>
      <c r="F2299">
        <v>59.61</v>
      </c>
      <c r="G2299">
        <v>36.450000000000003</v>
      </c>
      <c r="H2299">
        <v>105</v>
      </c>
      <c r="I2299" t="s">
        <v>31</v>
      </c>
      <c r="J2299">
        <v>2026</v>
      </c>
      <c r="K2299">
        <f t="shared" si="70"/>
        <v>23.159999999999997</v>
      </c>
      <c r="L2299" t="str">
        <f t="shared" si="71"/>
        <v>Banca Irpina|36|Prestiti</v>
      </c>
    </row>
    <row r="2300" spans="1:12" x14ac:dyDescent="0.25">
      <c r="A2300" t="s">
        <v>30</v>
      </c>
      <c r="B2300">
        <v>36</v>
      </c>
      <c r="C2300" t="s">
        <v>16</v>
      </c>
      <c r="D2300" s="1">
        <v>46387</v>
      </c>
      <c r="E2300">
        <v>1566.1</v>
      </c>
      <c r="F2300">
        <v>77.569999999999993</v>
      </c>
      <c r="G2300">
        <v>47.02</v>
      </c>
      <c r="H2300">
        <v>128</v>
      </c>
      <c r="I2300" t="s">
        <v>31</v>
      </c>
      <c r="J2300">
        <v>2026</v>
      </c>
      <c r="K2300">
        <f t="shared" si="70"/>
        <v>30.54999999999999</v>
      </c>
      <c r="L2300" t="str">
        <f t="shared" si="71"/>
        <v>Banca Irpina|36|Conti</v>
      </c>
    </row>
    <row r="2301" spans="1:12" x14ac:dyDescent="0.25">
      <c r="A2301" t="s">
        <v>30</v>
      </c>
      <c r="B2301">
        <v>36</v>
      </c>
      <c r="C2301" t="s">
        <v>17</v>
      </c>
      <c r="D2301" s="1">
        <v>46387</v>
      </c>
      <c r="E2301">
        <v>1896.5</v>
      </c>
      <c r="F2301">
        <v>97.14</v>
      </c>
      <c r="G2301">
        <v>59.23</v>
      </c>
      <c r="H2301">
        <v>169</v>
      </c>
      <c r="I2301" t="s">
        <v>31</v>
      </c>
      <c r="J2301">
        <v>2026</v>
      </c>
      <c r="K2301">
        <f t="shared" si="70"/>
        <v>37.910000000000004</v>
      </c>
      <c r="L2301" t="str">
        <f t="shared" si="71"/>
        <v>Banca Irpina|36|Carte</v>
      </c>
    </row>
    <row r="2302" spans="1:12" x14ac:dyDescent="0.25">
      <c r="A2302" t="s">
        <v>30</v>
      </c>
      <c r="B2302">
        <v>36</v>
      </c>
      <c r="C2302" t="s">
        <v>18</v>
      </c>
      <c r="D2302" s="1">
        <v>46387</v>
      </c>
      <c r="E2302">
        <v>2240.3000000000002</v>
      </c>
      <c r="F2302">
        <v>119.02</v>
      </c>
      <c r="G2302">
        <v>71.7</v>
      </c>
      <c r="H2302">
        <v>187</v>
      </c>
      <c r="I2302" t="s">
        <v>31</v>
      </c>
      <c r="J2302">
        <v>2026</v>
      </c>
      <c r="K2302">
        <f t="shared" si="70"/>
        <v>47.319999999999993</v>
      </c>
      <c r="L2302" t="str">
        <f t="shared" si="71"/>
        <v>Banca Irpina|36|Leasing</v>
      </c>
    </row>
    <row r="2303" spans="1:12" x14ac:dyDescent="0.25">
      <c r="A2303" t="s">
        <v>30</v>
      </c>
      <c r="B2303">
        <v>36</v>
      </c>
      <c r="C2303" t="s">
        <v>19</v>
      </c>
      <c r="D2303" s="1">
        <v>46387</v>
      </c>
      <c r="E2303">
        <v>2617.3000000000002</v>
      </c>
      <c r="F2303">
        <v>143.97</v>
      </c>
      <c r="G2303">
        <v>86.95</v>
      </c>
      <c r="H2303">
        <v>202</v>
      </c>
      <c r="I2303" t="s">
        <v>31</v>
      </c>
      <c r="J2303">
        <v>2026</v>
      </c>
      <c r="K2303">
        <f t="shared" si="70"/>
        <v>57.019999999999996</v>
      </c>
      <c r="L2303" t="str">
        <f t="shared" si="71"/>
        <v>Banca Irpina|36|Factoring</v>
      </c>
    </row>
    <row r="2304" spans="1:12" x14ac:dyDescent="0.25">
      <c r="A2304" t="s">
        <v>30</v>
      </c>
      <c r="B2304">
        <v>36</v>
      </c>
      <c r="C2304" t="s">
        <v>20</v>
      </c>
      <c r="D2304" s="1">
        <v>46387</v>
      </c>
      <c r="E2304">
        <v>2958</v>
      </c>
      <c r="F2304">
        <v>168.8</v>
      </c>
      <c r="G2304">
        <v>101.49</v>
      </c>
      <c r="H2304">
        <v>230</v>
      </c>
      <c r="I2304" t="s">
        <v>31</v>
      </c>
      <c r="J2304">
        <v>2026</v>
      </c>
      <c r="K2304">
        <f t="shared" si="70"/>
        <v>67.310000000000016</v>
      </c>
      <c r="L2304" t="str">
        <f t="shared" si="71"/>
        <v>Banca Irpina|36|Risparmio</v>
      </c>
    </row>
    <row r="2305" spans="1:12" x14ac:dyDescent="0.25">
      <c r="A2305" t="s">
        <v>30</v>
      </c>
      <c r="B2305">
        <v>36</v>
      </c>
      <c r="C2305" t="s">
        <v>21</v>
      </c>
      <c r="D2305" s="1">
        <v>46387</v>
      </c>
      <c r="E2305">
        <v>3301.1</v>
      </c>
      <c r="F2305">
        <v>195.7</v>
      </c>
      <c r="G2305">
        <v>115.62</v>
      </c>
      <c r="H2305">
        <v>265</v>
      </c>
      <c r="I2305" t="s">
        <v>31</v>
      </c>
      <c r="J2305">
        <v>2026</v>
      </c>
      <c r="K2305">
        <f t="shared" si="70"/>
        <v>80.079999999999984</v>
      </c>
      <c r="L2305" t="str">
        <f t="shared" si="71"/>
        <v>Banca Irpina|36|Assicurazioni</v>
      </c>
    </row>
    <row r="2306" spans="1:12" x14ac:dyDescent="0.25">
      <c r="A2306" t="s">
        <v>32</v>
      </c>
      <c r="B2306">
        <v>1</v>
      </c>
      <c r="C2306" t="s">
        <v>13</v>
      </c>
      <c r="D2306" s="1">
        <v>45322</v>
      </c>
      <c r="E2306">
        <v>764</v>
      </c>
      <c r="F2306">
        <v>35.130000000000003</v>
      </c>
      <c r="G2306">
        <v>21.59</v>
      </c>
      <c r="H2306">
        <v>100</v>
      </c>
      <c r="I2306" t="s">
        <v>31</v>
      </c>
      <c r="J2306">
        <v>2024</v>
      </c>
      <c r="K2306">
        <f t="shared" ref="K2306:K2369" si="72">F2306-G2306</f>
        <v>13.540000000000003</v>
      </c>
      <c r="L2306" t="str">
        <f t="shared" ref="L2306:L2369" si="73">A2306&amp;"|"&amp;B2306&amp;"|"&amp;C2306</f>
        <v>Banca Sannita|1|Mutui</v>
      </c>
    </row>
    <row r="2307" spans="1:12" x14ac:dyDescent="0.25">
      <c r="A2307" t="s">
        <v>32</v>
      </c>
      <c r="B2307">
        <v>1</v>
      </c>
      <c r="C2307" t="s">
        <v>15</v>
      </c>
      <c r="D2307" s="1">
        <v>45322</v>
      </c>
      <c r="E2307">
        <v>1079</v>
      </c>
      <c r="F2307">
        <v>51.24</v>
      </c>
      <c r="G2307">
        <v>32.1</v>
      </c>
      <c r="H2307">
        <v>136</v>
      </c>
      <c r="I2307" t="s">
        <v>31</v>
      </c>
      <c r="J2307">
        <v>2024</v>
      </c>
      <c r="K2307">
        <f t="shared" si="72"/>
        <v>19.14</v>
      </c>
      <c r="L2307" t="str">
        <f t="shared" si="73"/>
        <v>Banca Sannita|1|Prestiti</v>
      </c>
    </row>
    <row r="2308" spans="1:12" x14ac:dyDescent="0.25">
      <c r="A2308" t="s">
        <v>32</v>
      </c>
      <c r="B2308">
        <v>1</v>
      </c>
      <c r="C2308" t="s">
        <v>16</v>
      </c>
      <c r="D2308" s="1">
        <v>45322</v>
      </c>
      <c r="E2308">
        <v>1318.8</v>
      </c>
      <c r="F2308">
        <v>64.75</v>
      </c>
      <c r="G2308">
        <v>40.1</v>
      </c>
      <c r="H2308">
        <v>145</v>
      </c>
      <c r="I2308" t="s">
        <v>31</v>
      </c>
      <c r="J2308">
        <v>2024</v>
      </c>
      <c r="K2308">
        <f t="shared" si="72"/>
        <v>24.65</v>
      </c>
      <c r="L2308" t="str">
        <f t="shared" si="73"/>
        <v>Banca Sannita|1|Conti</v>
      </c>
    </row>
    <row r="2309" spans="1:12" x14ac:dyDescent="0.25">
      <c r="A2309" t="s">
        <v>32</v>
      </c>
      <c r="B2309">
        <v>1</v>
      </c>
      <c r="C2309" t="s">
        <v>17</v>
      </c>
      <c r="D2309" s="1">
        <v>45322</v>
      </c>
      <c r="E2309">
        <v>1617.8</v>
      </c>
      <c r="F2309">
        <v>82.85</v>
      </c>
      <c r="G2309">
        <v>51</v>
      </c>
      <c r="H2309">
        <v>187</v>
      </c>
      <c r="I2309" t="s">
        <v>31</v>
      </c>
      <c r="J2309">
        <v>2024</v>
      </c>
      <c r="K2309">
        <f t="shared" si="72"/>
        <v>31.849999999999994</v>
      </c>
      <c r="L2309" t="str">
        <f t="shared" si="73"/>
        <v>Banca Sannita|1|Carte</v>
      </c>
    </row>
    <row r="2310" spans="1:12" x14ac:dyDescent="0.25">
      <c r="A2310" t="s">
        <v>32</v>
      </c>
      <c r="B2310">
        <v>1</v>
      </c>
      <c r="C2310" t="s">
        <v>18</v>
      </c>
      <c r="D2310" s="1">
        <v>45322</v>
      </c>
      <c r="E2310">
        <v>1921.9</v>
      </c>
      <c r="F2310">
        <v>102.15</v>
      </c>
      <c r="G2310">
        <v>61.69</v>
      </c>
      <c r="H2310">
        <v>210</v>
      </c>
      <c r="I2310" t="s">
        <v>31</v>
      </c>
      <c r="J2310">
        <v>2024</v>
      </c>
      <c r="K2310">
        <f t="shared" si="72"/>
        <v>40.460000000000008</v>
      </c>
      <c r="L2310" t="str">
        <f t="shared" si="73"/>
        <v>Banca Sannita|1|Leasing</v>
      </c>
    </row>
    <row r="2311" spans="1:12" x14ac:dyDescent="0.25">
      <c r="A2311" t="s">
        <v>32</v>
      </c>
      <c r="B2311">
        <v>1</v>
      </c>
      <c r="C2311" t="s">
        <v>19</v>
      </c>
      <c r="D2311" s="1">
        <v>45322</v>
      </c>
      <c r="E2311">
        <v>2192.8000000000002</v>
      </c>
      <c r="F2311">
        <v>121.53</v>
      </c>
      <c r="G2311">
        <v>73.36</v>
      </c>
      <c r="H2311">
        <v>232</v>
      </c>
      <c r="I2311" t="s">
        <v>31</v>
      </c>
      <c r="J2311">
        <v>2024</v>
      </c>
      <c r="K2311">
        <f t="shared" si="72"/>
        <v>48.17</v>
      </c>
      <c r="L2311" t="str">
        <f t="shared" si="73"/>
        <v>Banca Sannita|1|Factoring</v>
      </c>
    </row>
    <row r="2312" spans="1:12" x14ac:dyDescent="0.25">
      <c r="A2312" t="s">
        <v>32</v>
      </c>
      <c r="B2312">
        <v>1</v>
      </c>
      <c r="C2312" t="s">
        <v>20</v>
      </c>
      <c r="D2312" s="1">
        <v>45322</v>
      </c>
      <c r="E2312">
        <v>2455.3000000000002</v>
      </c>
      <c r="F2312">
        <v>140.28</v>
      </c>
      <c r="G2312">
        <v>83.66</v>
      </c>
      <c r="H2312">
        <v>285</v>
      </c>
      <c r="I2312" t="s">
        <v>31</v>
      </c>
      <c r="J2312">
        <v>2024</v>
      </c>
      <c r="K2312">
        <f t="shared" si="72"/>
        <v>56.620000000000005</v>
      </c>
      <c r="L2312" t="str">
        <f t="shared" si="73"/>
        <v>Banca Sannita|1|Risparmio</v>
      </c>
    </row>
    <row r="2313" spans="1:12" x14ac:dyDescent="0.25">
      <c r="A2313" t="s">
        <v>32</v>
      </c>
      <c r="B2313">
        <v>1</v>
      </c>
      <c r="C2313" t="s">
        <v>21</v>
      </c>
      <c r="D2313" s="1">
        <v>45322</v>
      </c>
      <c r="E2313">
        <v>2776.2</v>
      </c>
      <c r="F2313">
        <v>163.87</v>
      </c>
      <c r="G2313">
        <v>97.56</v>
      </c>
      <c r="H2313">
        <v>288</v>
      </c>
      <c r="I2313" t="s">
        <v>31</v>
      </c>
      <c r="J2313">
        <v>2024</v>
      </c>
      <c r="K2313">
        <f t="shared" si="72"/>
        <v>66.31</v>
      </c>
      <c r="L2313" t="str">
        <f t="shared" si="73"/>
        <v>Banca Sannita|1|Assicurazioni</v>
      </c>
    </row>
    <row r="2314" spans="1:12" x14ac:dyDescent="0.25">
      <c r="A2314" t="s">
        <v>32</v>
      </c>
      <c r="B2314">
        <v>2</v>
      </c>
      <c r="C2314" t="s">
        <v>13</v>
      </c>
      <c r="D2314" s="1">
        <v>45351</v>
      </c>
      <c r="E2314">
        <v>790.9</v>
      </c>
      <c r="F2314">
        <v>35.79</v>
      </c>
      <c r="G2314">
        <v>22.91</v>
      </c>
      <c r="H2314">
        <v>109</v>
      </c>
      <c r="I2314" t="s">
        <v>31</v>
      </c>
      <c r="J2314">
        <v>2024</v>
      </c>
      <c r="K2314">
        <f t="shared" si="72"/>
        <v>12.879999999999999</v>
      </c>
      <c r="L2314" t="str">
        <f t="shared" si="73"/>
        <v>Banca Sannita|2|Mutui</v>
      </c>
    </row>
    <row r="2315" spans="1:12" x14ac:dyDescent="0.25">
      <c r="A2315" t="s">
        <v>32</v>
      </c>
      <c r="B2315">
        <v>2</v>
      </c>
      <c r="C2315" t="s">
        <v>15</v>
      </c>
      <c r="D2315" s="1">
        <v>45351</v>
      </c>
      <c r="E2315">
        <v>1073.0999999999999</v>
      </c>
      <c r="F2315">
        <v>51.09</v>
      </c>
      <c r="G2315">
        <v>31.72</v>
      </c>
      <c r="H2315">
        <v>129</v>
      </c>
      <c r="I2315" t="s">
        <v>31</v>
      </c>
      <c r="J2315">
        <v>2024</v>
      </c>
      <c r="K2315">
        <f t="shared" si="72"/>
        <v>19.370000000000005</v>
      </c>
      <c r="L2315" t="str">
        <f t="shared" si="73"/>
        <v>Banca Sannita|2|Prestiti</v>
      </c>
    </row>
    <row r="2316" spans="1:12" x14ac:dyDescent="0.25">
      <c r="A2316" t="s">
        <v>32</v>
      </c>
      <c r="B2316">
        <v>2</v>
      </c>
      <c r="C2316" t="s">
        <v>16</v>
      </c>
      <c r="D2316" s="1">
        <v>45351</v>
      </c>
      <c r="E2316">
        <v>1347.1</v>
      </c>
      <c r="F2316">
        <v>66.09</v>
      </c>
      <c r="G2316">
        <v>40.85</v>
      </c>
      <c r="H2316">
        <v>156</v>
      </c>
      <c r="I2316" t="s">
        <v>31</v>
      </c>
      <c r="J2316">
        <v>2024</v>
      </c>
      <c r="K2316">
        <f t="shared" si="72"/>
        <v>25.240000000000002</v>
      </c>
      <c r="L2316" t="str">
        <f t="shared" si="73"/>
        <v>Banca Sannita|2|Conti</v>
      </c>
    </row>
    <row r="2317" spans="1:12" x14ac:dyDescent="0.25">
      <c r="A2317" t="s">
        <v>32</v>
      </c>
      <c r="B2317">
        <v>2</v>
      </c>
      <c r="C2317" t="s">
        <v>17</v>
      </c>
      <c r="D2317" s="1">
        <v>45351</v>
      </c>
      <c r="E2317">
        <v>1651.6</v>
      </c>
      <c r="F2317">
        <v>84.8</v>
      </c>
      <c r="G2317">
        <v>51.88</v>
      </c>
      <c r="H2317">
        <v>168</v>
      </c>
      <c r="I2317" t="s">
        <v>31</v>
      </c>
      <c r="J2317">
        <v>2024</v>
      </c>
      <c r="K2317">
        <f t="shared" si="72"/>
        <v>32.919999999999995</v>
      </c>
      <c r="L2317" t="str">
        <f t="shared" si="73"/>
        <v>Banca Sannita|2|Carte</v>
      </c>
    </row>
    <row r="2318" spans="1:12" x14ac:dyDescent="0.25">
      <c r="A2318" t="s">
        <v>32</v>
      </c>
      <c r="B2318">
        <v>2</v>
      </c>
      <c r="C2318" t="s">
        <v>18</v>
      </c>
      <c r="D2318" s="1">
        <v>45351</v>
      </c>
      <c r="E2318">
        <v>1955.3</v>
      </c>
      <c r="F2318">
        <v>104.17</v>
      </c>
      <c r="G2318">
        <v>63.02</v>
      </c>
      <c r="H2318">
        <v>222</v>
      </c>
      <c r="I2318" t="s">
        <v>31</v>
      </c>
      <c r="J2318">
        <v>2024</v>
      </c>
      <c r="K2318">
        <f t="shared" si="72"/>
        <v>41.15</v>
      </c>
      <c r="L2318" t="str">
        <f t="shared" si="73"/>
        <v>Banca Sannita|2|Leasing</v>
      </c>
    </row>
    <row r="2319" spans="1:12" x14ac:dyDescent="0.25">
      <c r="A2319" t="s">
        <v>32</v>
      </c>
      <c r="B2319">
        <v>2</v>
      </c>
      <c r="C2319" t="s">
        <v>19</v>
      </c>
      <c r="D2319" s="1">
        <v>45351</v>
      </c>
      <c r="E2319">
        <v>2207.9</v>
      </c>
      <c r="F2319">
        <v>122.39</v>
      </c>
      <c r="G2319">
        <v>73.41</v>
      </c>
      <c r="H2319">
        <v>248</v>
      </c>
      <c r="I2319" t="s">
        <v>31</v>
      </c>
      <c r="J2319">
        <v>2024</v>
      </c>
      <c r="K2319">
        <f t="shared" si="72"/>
        <v>48.980000000000004</v>
      </c>
      <c r="L2319" t="str">
        <f t="shared" si="73"/>
        <v>Banca Sannita|2|Factoring</v>
      </c>
    </row>
    <row r="2320" spans="1:12" x14ac:dyDescent="0.25">
      <c r="A2320" t="s">
        <v>32</v>
      </c>
      <c r="B2320">
        <v>2</v>
      </c>
      <c r="C2320" t="s">
        <v>20</v>
      </c>
      <c r="D2320" s="1">
        <v>45351</v>
      </c>
      <c r="E2320">
        <v>2497.4</v>
      </c>
      <c r="F2320">
        <v>143.30000000000001</v>
      </c>
      <c r="G2320">
        <v>85.43</v>
      </c>
      <c r="H2320">
        <v>278</v>
      </c>
      <c r="I2320" t="s">
        <v>31</v>
      </c>
      <c r="J2320">
        <v>2024</v>
      </c>
      <c r="K2320">
        <f t="shared" si="72"/>
        <v>57.870000000000005</v>
      </c>
      <c r="L2320" t="str">
        <f t="shared" si="73"/>
        <v>Banca Sannita|2|Risparmio</v>
      </c>
    </row>
    <row r="2321" spans="1:12" x14ac:dyDescent="0.25">
      <c r="A2321" t="s">
        <v>32</v>
      </c>
      <c r="B2321">
        <v>2</v>
      </c>
      <c r="C2321" t="s">
        <v>21</v>
      </c>
      <c r="D2321" s="1">
        <v>45351</v>
      </c>
      <c r="E2321">
        <v>2781.7</v>
      </c>
      <c r="F2321">
        <v>164.65</v>
      </c>
      <c r="G2321">
        <v>97.71</v>
      </c>
      <c r="H2321">
        <v>306</v>
      </c>
      <c r="I2321" t="s">
        <v>31</v>
      </c>
      <c r="J2321">
        <v>2024</v>
      </c>
      <c r="K2321">
        <f t="shared" si="72"/>
        <v>66.940000000000012</v>
      </c>
      <c r="L2321" t="str">
        <f t="shared" si="73"/>
        <v>Banca Sannita|2|Assicurazioni</v>
      </c>
    </row>
    <row r="2322" spans="1:12" x14ac:dyDescent="0.25">
      <c r="A2322" t="s">
        <v>32</v>
      </c>
      <c r="B2322">
        <v>3</v>
      </c>
      <c r="C2322" t="s">
        <v>13</v>
      </c>
      <c r="D2322" s="1">
        <v>45382</v>
      </c>
      <c r="E2322">
        <v>792.9</v>
      </c>
      <c r="F2322">
        <v>36.01</v>
      </c>
      <c r="G2322">
        <v>22.55</v>
      </c>
      <c r="H2322">
        <v>111</v>
      </c>
      <c r="I2322" t="s">
        <v>31</v>
      </c>
      <c r="J2322">
        <v>2024</v>
      </c>
      <c r="K2322">
        <f t="shared" si="72"/>
        <v>13.459999999999997</v>
      </c>
      <c r="L2322" t="str">
        <f t="shared" si="73"/>
        <v>Banca Sannita|3|Mutui</v>
      </c>
    </row>
    <row r="2323" spans="1:12" x14ac:dyDescent="0.25">
      <c r="A2323" t="s">
        <v>32</v>
      </c>
      <c r="B2323">
        <v>3</v>
      </c>
      <c r="C2323" t="s">
        <v>15</v>
      </c>
      <c r="D2323" s="1">
        <v>45382</v>
      </c>
      <c r="E2323">
        <v>1059.5</v>
      </c>
      <c r="F2323">
        <v>50.69</v>
      </c>
      <c r="G2323">
        <v>31.31</v>
      </c>
      <c r="H2323">
        <v>113</v>
      </c>
      <c r="I2323" t="s">
        <v>31</v>
      </c>
      <c r="J2323">
        <v>2024</v>
      </c>
      <c r="K2323">
        <f t="shared" si="72"/>
        <v>19.38</v>
      </c>
      <c r="L2323" t="str">
        <f t="shared" si="73"/>
        <v>Banca Sannita|3|Prestiti</v>
      </c>
    </row>
    <row r="2324" spans="1:12" x14ac:dyDescent="0.25">
      <c r="A2324" t="s">
        <v>32</v>
      </c>
      <c r="B2324">
        <v>3</v>
      </c>
      <c r="C2324" t="s">
        <v>16</v>
      </c>
      <c r="D2324" s="1">
        <v>45382</v>
      </c>
      <c r="E2324">
        <v>1349.5</v>
      </c>
      <c r="F2324">
        <v>66.52</v>
      </c>
      <c r="G2324">
        <v>40.68</v>
      </c>
      <c r="H2324">
        <v>147</v>
      </c>
      <c r="I2324" t="s">
        <v>31</v>
      </c>
      <c r="J2324">
        <v>2024</v>
      </c>
      <c r="K2324">
        <f t="shared" si="72"/>
        <v>25.839999999999996</v>
      </c>
      <c r="L2324" t="str">
        <f t="shared" si="73"/>
        <v>Banca Sannita|3|Conti</v>
      </c>
    </row>
    <row r="2325" spans="1:12" x14ac:dyDescent="0.25">
      <c r="A2325" t="s">
        <v>32</v>
      </c>
      <c r="B2325">
        <v>3</v>
      </c>
      <c r="C2325" t="s">
        <v>17</v>
      </c>
      <c r="D2325" s="1">
        <v>45382</v>
      </c>
      <c r="E2325">
        <v>1675.1</v>
      </c>
      <c r="F2325">
        <v>86.18</v>
      </c>
      <c r="G2325">
        <v>52.88</v>
      </c>
      <c r="H2325">
        <v>179</v>
      </c>
      <c r="I2325" t="s">
        <v>31</v>
      </c>
      <c r="J2325">
        <v>2024</v>
      </c>
      <c r="K2325">
        <f t="shared" si="72"/>
        <v>33.300000000000004</v>
      </c>
      <c r="L2325" t="str">
        <f t="shared" si="73"/>
        <v>Banca Sannita|3|Carte</v>
      </c>
    </row>
    <row r="2326" spans="1:12" x14ac:dyDescent="0.25">
      <c r="A2326" t="s">
        <v>32</v>
      </c>
      <c r="B2326">
        <v>3</v>
      </c>
      <c r="C2326" t="s">
        <v>18</v>
      </c>
      <c r="D2326" s="1">
        <v>45382</v>
      </c>
      <c r="E2326">
        <v>1916.2</v>
      </c>
      <c r="F2326">
        <v>101.67</v>
      </c>
      <c r="G2326">
        <v>62.16</v>
      </c>
      <c r="H2326">
        <v>200</v>
      </c>
      <c r="I2326" t="s">
        <v>31</v>
      </c>
      <c r="J2326">
        <v>2024</v>
      </c>
      <c r="K2326">
        <f t="shared" si="72"/>
        <v>39.510000000000005</v>
      </c>
      <c r="L2326" t="str">
        <f t="shared" si="73"/>
        <v>Banca Sannita|3|Leasing</v>
      </c>
    </row>
    <row r="2327" spans="1:12" x14ac:dyDescent="0.25">
      <c r="A2327" t="s">
        <v>32</v>
      </c>
      <c r="B2327">
        <v>3</v>
      </c>
      <c r="C2327" t="s">
        <v>19</v>
      </c>
      <c r="D2327" s="1">
        <v>45382</v>
      </c>
      <c r="E2327">
        <v>2219.4</v>
      </c>
      <c r="F2327">
        <v>122.64</v>
      </c>
      <c r="G2327">
        <v>73.86</v>
      </c>
      <c r="H2327">
        <v>228</v>
      </c>
      <c r="I2327" t="s">
        <v>31</v>
      </c>
      <c r="J2327">
        <v>2024</v>
      </c>
      <c r="K2327">
        <f t="shared" si="72"/>
        <v>48.78</v>
      </c>
      <c r="L2327" t="str">
        <f t="shared" si="73"/>
        <v>Banca Sannita|3|Factoring</v>
      </c>
    </row>
    <row r="2328" spans="1:12" x14ac:dyDescent="0.25">
      <c r="A2328" t="s">
        <v>32</v>
      </c>
      <c r="B2328">
        <v>3</v>
      </c>
      <c r="C2328" t="s">
        <v>20</v>
      </c>
      <c r="D2328" s="1">
        <v>45382</v>
      </c>
      <c r="E2328">
        <v>2505.6</v>
      </c>
      <c r="F2328">
        <v>143.04</v>
      </c>
      <c r="G2328">
        <v>86.09</v>
      </c>
      <c r="H2328">
        <v>262</v>
      </c>
      <c r="I2328" t="s">
        <v>31</v>
      </c>
      <c r="J2328">
        <v>2024</v>
      </c>
      <c r="K2328">
        <f t="shared" si="72"/>
        <v>56.949999999999989</v>
      </c>
      <c r="L2328" t="str">
        <f t="shared" si="73"/>
        <v>Banca Sannita|3|Risparmio</v>
      </c>
    </row>
    <row r="2329" spans="1:12" x14ac:dyDescent="0.25">
      <c r="A2329" t="s">
        <v>32</v>
      </c>
      <c r="B2329">
        <v>3</v>
      </c>
      <c r="C2329" t="s">
        <v>21</v>
      </c>
      <c r="D2329" s="1">
        <v>45382</v>
      </c>
      <c r="E2329">
        <v>2823.8</v>
      </c>
      <c r="F2329">
        <v>166.8</v>
      </c>
      <c r="G2329">
        <v>99.39</v>
      </c>
      <c r="H2329">
        <v>292</v>
      </c>
      <c r="I2329" t="s">
        <v>31</v>
      </c>
      <c r="J2329">
        <v>2024</v>
      </c>
      <c r="K2329">
        <f t="shared" si="72"/>
        <v>67.410000000000011</v>
      </c>
      <c r="L2329" t="str">
        <f t="shared" si="73"/>
        <v>Banca Sannita|3|Assicurazioni</v>
      </c>
    </row>
    <row r="2330" spans="1:12" x14ac:dyDescent="0.25">
      <c r="A2330" t="s">
        <v>32</v>
      </c>
      <c r="B2330">
        <v>4</v>
      </c>
      <c r="C2330" t="s">
        <v>13</v>
      </c>
      <c r="D2330" s="1">
        <v>45412</v>
      </c>
      <c r="E2330">
        <v>792.4</v>
      </c>
      <c r="F2330">
        <v>36.020000000000003</v>
      </c>
      <c r="G2330">
        <v>22.49</v>
      </c>
      <c r="H2330">
        <v>92</v>
      </c>
      <c r="I2330" t="s">
        <v>31</v>
      </c>
      <c r="J2330">
        <v>2024</v>
      </c>
      <c r="K2330">
        <f t="shared" si="72"/>
        <v>13.530000000000005</v>
      </c>
      <c r="L2330" t="str">
        <f t="shared" si="73"/>
        <v>Banca Sannita|4|Mutui</v>
      </c>
    </row>
    <row r="2331" spans="1:12" x14ac:dyDescent="0.25">
      <c r="A2331" t="s">
        <v>32</v>
      </c>
      <c r="B2331">
        <v>4</v>
      </c>
      <c r="C2331" t="s">
        <v>15</v>
      </c>
      <c r="D2331" s="1">
        <v>45412</v>
      </c>
      <c r="E2331">
        <v>1104</v>
      </c>
      <c r="F2331">
        <v>52.63</v>
      </c>
      <c r="G2331">
        <v>32.17</v>
      </c>
      <c r="H2331">
        <v>140</v>
      </c>
      <c r="I2331" t="s">
        <v>31</v>
      </c>
      <c r="J2331">
        <v>2024</v>
      </c>
      <c r="K2331">
        <f t="shared" si="72"/>
        <v>20.46</v>
      </c>
      <c r="L2331" t="str">
        <f t="shared" si="73"/>
        <v>Banca Sannita|4|Prestiti</v>
      </c>
    </row>
    <row r="2332" spans="1:12" x14ac:dyDescent="0.25">
      <c r="A2332" t="s">
        <v>32</v>
      </c>
      <c r="B2332">
        <v>4</v>
      </c>
      <c r="C2332" t="s">
        <v>16</v>
      </c>
      <c r="D2332" s="1">
        <v>45412</v>
      </c>
      <c r="E2332">
        <v>1369.5</v>
      </c>
      <c r="F2332">
        <v>67.680000000000007</v>
      </c>
      <c r="G2332">
        <v>41.97</v>
      </c>
      <c r="H2332">
        <v>161</v>
      </c>
      <c r="I2332" t="s">
        <v>31</v>
      </c>
      <c r="J2332">
        <v>2024</v>
      </c>
      <c r="K2332">
        <f t="shared" si="72"/>
        <v>25.710000000000008</v>
      </c>
      <c r="L2332" t="str">
        <f t="shared" si="73"/>
        <v>Banca Sannita|4|Conti</v>
      </c>
    </row>
    <row r="2333" spans="1:12" x14ac:dyDescent="0.25">
      <c r="A2333" t="s">
        <v>32</v>
      </c>
      <c r="B2333">
        <v>4</v>
      </c>
      <c r="C2333" t="s">
        <v>17</v>
      </c>
      <c r="D2333" s="1">
        <v>45412</v>
      </c>
      <c r="E2333">
        <v>1638.4</v>
      </c>
      <c r="F2333">
        <v>84.03</v>
      </c>
      <c r="G2333">
        <v>50.88</v>
      </c>
      <c r="H2333">
        <v>185</v>
      </c>
      <c r="I2333" t="s">
        <v>31</v>
      </c>
      <c r="J2333">
        <v>2024</v>
      </c>
      <c r="K2333">
        <f t="shared" si="72"/>
        <v>33.15</v>
      </c>
      <c r="L2333" t="str">
        <f t="shared" si="73"/>
        <v>Banca Sannita|4|Carte</v>
      </c>
    </row>
    <row r="2334" spans="1:12" x14ac:dyDescent="0.25">
      <c r="A2334" t="s">
        <v>32</v>
      </c>
      <c r="B2334">
        <v>4</v>
      </c>
      <c r="C2334" t="s">
        <v>18</v>
      </c>
      <c r="D2334" s="1">
        <v>45412</v>
      </c>
      <c r="E2334">
        <v>1964.8</v>
      </c>
      <c r="F2334">
        <v>104.41</v>
      </c>
      <c r="G2334">
        <v>63.19</v>
      </c>
      <c r="H2334">
        <v>192</v>
      </c>
      <c r="I2334" t="s">
        <v>31</v>
      </c>
      <c r="J2334">
        <v>2024</v>
      </c>
      <c r="K2334">
        <f t="shared" si="72"/>
        <v>41.22</v>
      </c>
      <c r="L2334" t="str">
        <f t="shared" si="73"/>
        <v>Banca Sannita|4|Leasing</v>
      </c>
    </row>
    <row r="2335" spans="1:12" x14ac:dyDescent="0.25">
      <c r="A2335" t="s">
        <v>32</v>
      </c>
      <c r="B2335">
        <v>4</v>
      </c>
      <c r="C2335" t="s">
        <v>19</v>
      </c>
      <c r="D2335" s="1">
        <v>45412</v>
      </c>
      <c r="E2335">
        <v>2259.4</v>
      </c>
      <c r="F2335">
        <v>124.77</v>
      </c>
      <c r="G2335">
        <v>75.34</v>
      </c>
      <c r="H2335">
        <v>246</v>
      </c>
      <c r="I2335" t="s">
        <v>31</v>
      </c>
      <c r="J2335">
        <v>2024</v>
      </c>
      <c r="K2335">
        <f t="shared" si="72"/>
        <v>49.429999999999993</v>
      </c>
      <c r="L2335" t="str">
        <f t="shared" si="73"/>
        <v>Banca Sannita|4|Factoring</v>
      </c>
    </row>
    <row r="2336" spans="1:12" x14ac:dyDescent="0.25">
      <c r="A2336" t="s">
        <v>32</v>
      </c>
      <c r="B2336">
        <v>4</v>
      </c>
      <c r="C2336" t="s">
        <v>20</v>
      </c>
      <c r="D2336" s="1">
        <v>45412</v>
      </c>
      <c r="E2336">
        <v>2531.3000000000002</v>
      </c>
      <c r="F2336">
        <v>144.47</v>
      </c>
      <c r="G2336">
        <v>86.57</v>
      </c>
      <c r="H2336">
        <v>277</v>
      </c>
      <c r="I2336" t="s">
        <v>31</v>
      </c>
      <c r="J2336">
        <v>2024</v>
      </c>
      <c r="K2336">
        <f t="shared" si="72"/>
        <v>57.900000000000006</v>
      </c>
      <c r="L2336" t="str">
        <f t="shared" si="73"/>
        <v>Banca Sannita|4|Risparmio</v>
      </c>
    </row>
    <row r="2337" spans="1:12" x14ac:dyDescent="0.25">
      <c r="A2337" t="s">
        <v>32</v>
      </c>
      <c r="B2337">
        <v>4</v>
      </c>
      <c r="C2337" t="s">
        <v>21</v>
      </c>
      <c r="D2337" s="1">
        <v>45412</v>
      </c>
      <c r="E2337">
        <v>2826.5</v>
      </c>
      <c r="F2337">
        <v>167.57</v>
      </c>
      <c r="G2337">
        <v>99.37</v>
      </c>
      <c r="H2337">
        <v>286</v>
      </c>
      <c r="I2337" t="s">
        <v>31</v>
      </c>
      <c r="J2337">
        <v>2024</v>
      </c>
      <c r="K2337">
        <f t="shared" si="72"/>
        <v>68.199999999999989</v>
      </c>
      <c r="L2337" t="str">
        <f t="shared" si="73"/>
        <v>Banca Sannita|4|Assicurazioni</v>
      </c>
    </row>
    <row r="2338" spans="1:12" x14ac:dyDescent="0.25">
      <c r="A2338" t="s">
        <v>32</v>
      </c>
      <c r="B2338">
        <v>5</v>
      </c>
      <c r="C2338" t="s">
        <v>13</v>
      </c>
      <c r="D2338" s="1">
        <v>45443</v>
      </c>
      <c r="E2338">
        <v>787.7</v>
      </c>
      <c r="F2338">
        <v>35.86</v>
      </c>
      <c r="G2338">
        <v>22.77</v>
      </c>
      <c r="H2338">
        <v>107</v>
      </c>
      <c r="I2338" t="s">
        <v>31</v>
      </c>
      <c r="J2338">
        <v>2024</v>
      </c>
      <c r="K2338">
        <f t="shared" si="72"/>
        <v>13.09</v>
      </c>
      <c r="L2338" t="str">
        <f t="shared" si="73"/>
        <v>Banca Sannita|5|Mutui</v>
      </c>
    </row>
    <row r="2339" spans="1:12" x14ac:dyDescent="0.25">
      <c r="A2339" t="s">
        <v>32</v>
      </c>
      <c r="B2339">
        <v>5</v>
      </c>
      <c r="C2339" t="s">
        <v>15</v>
      </c>
      <c r="D2339" s="1">
        <v>45443</v>
      </c>
      <c r="E2339">
        <v>1078.5999999999999</v>
      </c>
      <c r="F2339">
        <v>51.02</v>
      </c>
      <c r="G2339">
        <v>31.46</v>
      </c>
      <c r="H2339">
        <v>116</v>
      </c>
      <c r="I2339" t="s">
        <v>31</v>
      </c>
      <c r="J2339">
        <v>2024</v>
      </c>
      <c r="K2339">
        <f t="shared" si="72"/>
        <v>19.560000000000002</v>
      </c>
      <c r="L2339" t="str">
        <f t="shared" si="73"/>
        <v>Banca Sannita|5|Prestiti</v>
      </c>
    </row>
    <row r="2340" spans="1:12" x14ac:dyDescent="0.25">
      <c r="A2340" t="s">
        <v>32</v>
      </c>
      <c r="B2340">
        <v>5</v>
      </c>
      <c r="C2340" t="s">
        <v>16</v>
      </c>
      <c r="D2340" s="1">
        <v>45443</v>
      </c>
      <c r="E2340">
        <v>1375.4</v>
      </c>
      <c r="F2340">
        <v>67.5</v>
      </c>
      <c r="G2340">
        <v>42.21</v>
      </c>
      <c r="H2340">
        <v>165</v>
      </c>
      <c r="I2340" t="s">
        <v>31</v>
      </c>
      <c r="J2340">
        <v>2024</v>
      </c>
      <c r="K2340">
        <f t="shared" si="72"/>
        <v>25.29</v>
      </c>
      <c r="L2340" t="str">
        <f t="shared" si="73"/>
        <v>Banca Sannita|5|Conti</v>
      </c>
    </row>
    <row r="2341" spans="1:12" x14ac:dyDescent="0.25">
      <c r="A2341" t="s">
        <v>32</v>
      </c>
      <c r="B2341">
        <v>5</v>
      </c>
      <c r="C2341" t="s">
        <v>17</v>
      </c>
      <c r="D2341" s="1">
        <v>45443</v>
      </c>
      <c r="E2341">
        <v>1676.5</v>
      </c>
      <c r="F2341">
        <v>85.56</v>
      </c>
      <c r="G2341">
        <v>52.22</v>
      </c>
      <c r="H2341">
        <v>190</v>
      </c>
      <c r="I2341" t="s">
        <v>31</v>
      </c>
      <c r="J2341">
        <v>2024</v>
      </c>
      <c r="K2341">
        <f t="shared" si="72"/>
        <v>33.340000000000003</v>
      </c>
      <c r="L2341" t="str">
        <f t="shared" si="73"/>
        <v>Banca Sannita|5|Carte</v>
      </c>
    </row>
    <row r="2342" spans="1:12" x14ac:dyDescent="0.25">
      <c r="A2342" t="s">
        <v>32</v>
      </c>
      <c r="B2342">
        <v>5</v>
      </c>
      <c r="C2342" t="s">
        <v>18</v>
      </c>
      <c r="D2342" s="1">
        <v>45443</v>
      </c>
      <c r="E2342">
        <v>1986.1</v>
      </c>
      <c r="F2342">
        <v>106.23</v>
      </c>
      <c r="G2342">
        <v>64</v>
      </c>
      <c r="H2342">
        <v>214</v>
      </c>
      <c r="I2342" t="s">
        <v>31</v>
      </c>
      <c r="J2342">
        <v>2024</v>
      </c>
      <c r="K2342">
        <f t="shared" si="72"/>
        <v>42.230000000000004</v>
      </c>
      <c r="L2342" t="str">
        <f t="shared" si="73"/>
        <v>Banca Sannita|5|Leasing</v>
      </c>
    </row>
    <row r="2343" spans="1:12" x14ac:dyDescent="0.25">
      <c r="A2343" t="s">
        <v>32</v>
      </c>
      <c r="B2343">
        <v>5</v>
      </c>
      <c r="C2343" t="s">
        <v>19</v>
      </c>
      <c r="D2343" s="1">
        <v>45443</v>
      </c>
      <c r="E2343">
        <v>2290.1999999999998</v>
      </c>
      <c r="F2343">
        <v>126.03</v>
      </c>
      <c r="G2343">
        <v>75.67</v>
      </c>
      <c r="H2343">
        <v>233</v>
      </c>
      <c r="I2343" t="s">
        <v>31</v>
      </c>
      <c r="J2343">
        <v>2024</v>
      </c>
      <c r="K2343">
        <f t="shared" si="72"/>
        <v>50.36</v>
      </c>
      <c r="L2343" t="str">
        <f t="shared" si="73"/>
        <v>Banca Sannita|5|Factoring</v>
      </c>
    </row>
    <row r="2344" spans="1:12" x14ac:dyDescent="0.25">
      <c r="A2344" t="s">
        <v>32</v>
      </c>
      <c r="B2344">
        <v>5</v>
      </c>
      <c r="C2344" t="s">
        <v>20</v>
      </c>
      <c r="D2344" s="1">
        <v>45443</v>
      </c>
      <c r="E2344">
        <v>2579.8000000000002</v>
      </c>
      <c r="F2344">
        <v>147.08000000000001</v>
      </c>
      <c r="G2344">
        <v>88.51</v>
      </c>
      <c r="H2344">
        <v>251</v>
      </c>
      <c r="I2344" t="s">
        <v>31</v>
      </c>
      <c r="J2344">
        <v>2024</v>
      </c>
      <c r="K2344">
        <f t="shared" si="72"/>
        <v>58.570000000000007</v>
      </c>
      <c r="L2344" t="str">
        <f t="shared" si="73"/>
        <v>Banca Sannita|5|Risparmio</v>
      </c>
    </row>
    <row r="2345" spans="1:12" x14ac:dyDescent="0.25">
      <c r="A2345" t="s">
        <v>32</v>
      </c>
      <c r="B2345">
        <v>5</v>
      </c>
      <c r="C2345" t="s">
        <v>21</v>
      </c>
      <c r="D2345" s="1">
        <v>45443</v>
      </c>
      <c r="E2345">
        <v>2870.9</v>
      </c>
      <c r="F2345">
        <v>169.94</v>
      </c>
      <c r="G2345">
        <v>101.01</v>
      </c>
      <c r="H2345">
        <v>300</v>
      </c>
      <c r="I2345" t="s">
        <v>31</v>
      </c>
      <c r="J2345">
        <v>2024</v>
      </c>
      <c r="K2345">
        <f t="shared" si="72"/>
        <v>68.929999999999993</v>
      </c>
      <c r="L2345" t="str">
        <f t="shared" si="73"/>
        <v>Banca Sannita|5|Assicurazioni</v>
      </c>
    </row>
    <row r="2346" spans="1:12" x14ac:dyDescent="0.25">
      <c r="A2346" t="s">
        <v>32</v>
      </c>
      <c r="B2346">
        <v>6</v>
      </c>
      <c r="C2346" t="s">
        <v>13</v>
      </c>
      <c r="D2346" s="1">
        <v>45473</v>
      </c>
      <c r="E2346">
        <v>797.7</v>
      </c>
      <c r="F2346">
        <v>36.22</v>
      </c>
      <c r="G2346">
        <v>22.8</v>
      </c>
      <c r="H2346">
        <v>87</v>
      </c>
      <c r="I2346" t="s">
        <v>31</v>
      </c>
      <c r="J2346">
        <v>2024</v>
      </c>
      <c r="K2346">
        <f t="shared" si="72"/>
        <v>13.419999999999998</v>
      </c>
      <c r="L2346" t="str">
        <f t="shared" si="73"/>
        <v>Banca Sannita|6|Mutui</v>
      </c>
    </row>
    <row r="2347" spans="1:12" x14ac:dyDescent="0.25">
      <c r="A2347" t="s">
        <v>32</v>
      </c>
      <c r="B2347">
        <v>6</v>
      </c>
      <c r="C2347" t="s">
        <v>15</v>
      </c>
      <c r="D2347" s="1">
        <v>45473</v>
      </c>
      <c r="E2347">
        <v>1072.4000000000001</v>
      </c>
      <c r="F2347">
        <v>50.64</v>
      </c>
      <c r="G2347">
        <v>31.8</v>
      </c>
      <c r="H2347">
        <v>115</v>
      </c>
      <c r="I2347" t="s">
        <v>31</v>
      </c>
      <c r="J2347">
        <v>2024</v>
      </c>
      <c r="K2347">
        <f t="shared" si="72"/>
        <v>18.84</v>
      </c>
      <c r="L2347" t="str">
        <f t="shared" si="73"/>
        <v>Banca Sannita|6|Prestiti</v>
      </c>
    </row>
    <row r="2348" spans="1:12" x14ac:dyDescent="0.25">
      <c r="A2348" t="s">
        <v>32</v>
      </c>
      <c r="B2348">
        <v>6</v>
      </c>
      <c r="C2348" t="s">
        <v>16</v>
      </c>
      <c r="D2348" s="1">
        <v>45473</v>
      </c>
      <c r="E2348">
        <v>1411.2</v>
      </c>
      <c r="F2348">
        <v>69.709999999999994</v>
      </c>
      <c r="G2348">
        <v>43.04</v>
      </c>
      <c r="H2348">
        <v>155</v>
      </c>
      <c r="I2348" t="s">
        <v>31</v>
      </c>
      <c r="J2348">
        <v>2024</v>
      </c>
      <c r="K2348">
        <f t="shared" si="72"/>
        <v>26.669999999999995</v>
      </c>
      <c r="L2348" t="str">
        <f t="shared" si="73"/>
        <v>Banca Sannita|6|Conti</v>
      </c>
    </row>
    <row r="2349" spans="1:12" x14ac:dyDescent="0.25">
      <c r="A2349" t="s">
        <v>32</v>
      </c>
      <c r="B2349">
        <v>6</v>
      </c>
      <c r="C2349" t="s">
        <v>17</v>
      </c>
      <c r="D2349" s="1">
        <v>45473</v>
      </c>
      <c r="E2349">
        <v>1670</v>
      </c>
      <c r="F2349">
        <v>86.14</v>
      </c>
      <c r="G2349">
        <v>51.87</v>
      </c>
      <c r="H2349">
        <v>197</v>
      </c>
      <c r="I2349" t="s">
        <v>31</v>
      </c>
      <c r="J2349">
        <v>2024</v>
      </c>
      <c r="K2349">
        <f t="shared" si="72"/>
        <v>34.270000000000003</v>
      </c>
      <c r="L2349" t="str">
        <f t="shared" si="73"/>
        <v>Banca Sannita|6|Carte</v>
      </c>
    </row>
    <row r="2350" spans="1:12" x14ac:dyDescent="0.25">
      <c r="A2350" t="s">
        <v>32</v>
      </c>
      <c r="B2350">
        <v>6</v>
      </c>
      <c r="C2350" t="s">
        <v>18</v>
      </c>
      <c r="D2350" s="1">
        <v>45473</v>
      </c>
      <c r="E2350">
        <v>2004</v>
      </c>
      <c r="F2350">
        <v>106.45</v>
      </c>
      <c r="G2350">
        <v>64.930000000000007</v>
      </c>
      <c r="H2350">
        <v>211</v>
      </c>
      <c r="I2350" t="s">
        <v>31</v>
      </c>
      <c r="J2350">
        <v>2024</v>
      </c>
      <c r="K2350">
        <f t="shared" si="72"/>
        <v>41.519999999999996</v>
      </c>
      <c r="L2350" t="str">
        <f t="shared" si="73"/>
        <v>Banca Sannita|6|Leasing</v>
      </c>
    </row>
    <row r="2351" spans="1:12" x14ac:dyDescent="0.25">
      <c r="A2351" t="s">
        <v>32</v>
      </c>
      <c r="B2351">
        <v>6</v>
      </c>
      <c r="C2351" t="s">
        <v>19</v>
      </c>
      <c r="D2351" s="1">
        <v>45473</v>
      </c>
      <c r="E2351">
        <v>2255.1999999999998</v>
      </c>
      <c r="F2351">
        <v>124.34</v>
      </c>
      <c r="G2351">
        <v>75.23</v>
      </c>
      <c r="H2351">
        <v>222</v>
      </c>
      <c r="I2351" t="s">
        <v>31</v>
      </c>
      <c r="J2351">
        <v>2024</v>
      </c>
      <c r="K2351">
        <f t="shared" si="72"/>
        <v>49.11</v>
      </c>
      <c r="L2351" t="str">
        <f t="shared" si="73"/>
        <v>Banca Sannita|6|Factoring</v>
      </c>
    </row>
    <row r="2352" spans="1:12" x14ac:dyDescent="0.25">
      <c r="A2352" t="s">
        <v>32</v>
      </c>
      <c r="B2352">
        <v>6</v>
      </c>
      <c r="C2352" t="s">
        <v>20</v>
      </c>
      <c r="D2352" s="1">
        <v>45473</v>
      </c>
      <c r="E2352">
        <v>2600</v>
      </c>
      <c r="F2352">
        <v>148.72</v>
      </c>
      <c r="G2352">
        <v>89</v>
      </c>
      <c r="H2352">
        <v>253</v>
      </c>
      <c r="I2352" t="s">
        <v>31</v>
      </c>
      <c r="J2352">
        <v>2024</v>
      </c>
      <c r="K2352">
        <f t="shared" si="72"/>
        <v>59.72</v>
      </c>
      <c r="L2352" t="str">
        <f t="shared" si="73"/>
        <v>Banca Sannita|6|Risparmio</v>
      </c>
    </row>
    <row r="2353" spans="1:12" x14ac:dyDescent="0.25">
      <c r="A2353" t="s">
        <v>32</v>
      </c>
      <c r="B2353">
        <v>6</v>
      </c>
      <c r="C2353" t="s">
        <v>21</v>
      </c>
      <c r="D2353" s="1">
        <v>45473</v>
      </c>
      <c r="E2353">
        <v>2902.1</v>
      </c>
      <c r="F2353">
        <v>171.73</v>
      </c>
      <c r="G2353">
        <v>101.72</v>
      </c>
      <c r="H2353">
        <v>293</v>
      </c>
      <c r="I2353" t="s">
        <v>31</v>
      </c>
      <c r="J2353">
        <v>2024</v>
      </c>
      <c r="K2353">
        <f t="shared" si="72"/>
        <v>70.009999999999991</v>
      </c>
      <c r="L2353" t="str">
        <f t="shared" si="73"/>
        <v>Banca Sannita|6|Assicurazioni</v>
      </c>
    </row>
    <row r="2354" spans="1:12" x14ac:dyDescent="0.25">
      <c r="A2354" t="s">
        <v>32</v>
      </c>
      <c r="B2354">
        <v>7</v>
      </c>
      <c r="C2354" t="s">
        <v>13</v>
      </c>
      <c r="D2354" s="1">
        <v>45504</v>
      </c>
      <c r="E2354">
        <v>791.2</v>
      </c>
      <c r="F2354">
        <v>35.97</v>
      </c>
      <c r="G2354">
        <v>22.97</v>
      </c>
      <c r="H2354">
        <v>97</v>
      </c>
      <c r="I2354" t="s">
        <v>31</v>
      </c>
      <c r="J2354">
        <v>2024</v>
      </c>
      <c r="K2354">
        <f t="shared" si="72"/>
        <v>13</v>
      </c>
      <c r="L2354" t="str">
        <f t="shared" si="73"/>
        <v>Banca Sannita|7|Mutui</v>
      </c>
    </row>
    <row r="2355" spans="1:12" x14ac:dyDescent="0.25">
      <c r="A2355" t="s">
        <v>32</v>
      </c>
      <c r="B2355">
        <v>7</v>
      </c>
      <c r="C2355" t="s">
        <v>15</v>
      </c>
      <c r="D2355" s="1">
        <v>45504</v>
      </c>
      <c r="E2355">
        <v>1102</v>
      </c>
      <c r="F2355">
        <v>52.13</v>
      </c>
      <c r="G2355">
        <v>32.200000000000003</v>
      </c>
      <c r="H2355">
        <v>142</v>
      </c>
      <c r="I2355" t="s">
        <v>31</v>
      </c>
      <c r="J2355">
        <v>2024</v>
      </c>
      <c r="K2355">
        <f t="shared" si="72"/>
        <v>19.93</v>
      </c>
      <c r="L2355" t="str">
        <f t="shared" si="73"/>
        <v>Banca Sannita|7|Prestiti</v>
      </c>
    </row>
    <row r="2356" spans="1:12" x14ac:dyDescent="0.25">
      <c r="A2356" t="s">
        <v>32</v>
      </c>
      <c r="B2356">
        <v>7</v>
      </c>
      <c r="C2356" t="s">
        <v>16</v>
      </c>
      <c r="D2356" s="1">
        <v>45504</v>
      </c>
      <c r="E2356">
        <v>1413.3</v>
      </c>
      <c r="F2356">
        <v>69.709999999999994</v>
      </c>
      <c r="G2356">
        <v>43.02</v>
      </c>
      <c r="H2356">
        <v>167</v>
      </c>
      <c r="I2356" t="s">
        <v>31</v>
      </c>
      <c r="J2356">
        <v>2024</v>
      </c>
      <c r="K2356">
        <f t="shared" si="72"/>
        <v>26.689999999999991</v>
      </c>
      <c r="L2356" t="str">
        <f t="shared" si="73"/>
        <v>Banca Sannita|7|Conti</v>
      </c>
    </row>
    <row r="2357" spans="1:12" x14ac:dyDescent="0.25">
      <c r="A2357" t="s">
        <v>32</v>
      </c>
      <c r="B2357">
        <v>7</v>
      </c>
      <c r="C2357" t="s">
        <v>17</v>
      </c>
      <c r="D2357" s="1">
        <v>45504</v>
      </c>
      <c r="E2357">
        <v>1702.5</v>
      </c>
      <c r="F2357">
        <v>87.35</v>
      </c>
      <c r="G2357">
        <v>53.7</v>
      </c>
      <c r="H2357">
        <v>172</v>
      </c>
      <c r="I2357" t="s">
        <v>31</v>
      </c>
      <c r="J2357">
        <v>2024</v>
      </c>
      <c r="K2357">
        <f t="shared" si="72"/>
        <v>33.649999999999991</v>
      </c>
      <c r="L2357" t="str">
        <f t="shared" si="73"/>
        <v>Banca Sannita|7|Carte</v>
      </c>
    </row>
    <row r="2358" spans="1:12" x14ac:dyDescent="0.25">
      <c r="A2358" t="s">
        <v>32</v>
      </c>
      <c r="B2358">
        <v>7</v>
      </c>
      <c r="C2358" t="s">
        <v>18</v>
      </c>
      <c r="D2358" s="1">
        <v>45504</v>
      </c>
      <c r="E2358">
        <v>1975.4</v>
      </c>
      <c r="F2358">
        <v>105.13</v>
      </c>
      <c r="G2358">
        <v>63.8</v>
      </c>
      <c r="H2358">
        <v>210</v>
      </c>
      <c r="I2358" t="s">
        <v>31</v>
      </c>
      <c r="J2358">
        <v>2024</v>
      </c>
      <c r="K2358">
        <f t="shared" si="72"/>
        <v>41.33</v>
      </c>
      <c r="L2358" t="str">
        <f t="shared" si="73"/>
        <v>Banca Sannita|7|Leasing</v>
      </c>
    </row>
    <row r="2359" spans="1:12" x14ac:dyDescent="0.25">
      <c r="A2359" t="s">
        <v>32</v>
      </c>
      <c r="B2359">
        <v>7</v>
      </c>
      <c r="C2359" t="s">
        <v>19</v>
      </c>
      <c r="D2359" s="1">
        <v>45504</v>
      </c>
      <c r="E2359">
        <v>2328.1999999999998</v>
      </c>
      <c r="F2359">
        <v>129.01</v>
      </c>
      <c r="G2359">
        <v>77.34</v>
      </c>
      <c r="H2359">
        <v>246</v>
      </c>
      <c r="I2359" t="s">
        <v>31</v>
      </c>
      <c r="J2359">
        <v>2024</v>
      </c>
      <c r="K2359">
        <f t="shared" si="72"/>
        <v>51.669999999999987</v>
      </c>
      <c r="L2359" t="str">
        <f t="shared" si="73"/>
        <v>Banca Sannita|7|Factoring</v>
      </c>
    </row>
    <row r="2360" spans="1:12" x14ac:dyDescent="0.25">
      <c r="A2360" t="s">
        <v>32</v>
      </c>
      <c r="B2360">
        <v>7</v>
      </c>
      <c r="C2360" t="s">
        <v>20</v>
      </c>
      <c r="D2360" s="1">
        <v>45504</v>
      </c>
      <c r="E2360">
        <v>2584.3000000000002</v>
      </c>
      <c r="F2360">
        <v>148.13</v>
      </c>
      <c r="G2360">
        <v>88.51</v>
      </c>
      <c r="H2360">
        <v>268</v>
      </c>
      <c r="I2360" t="s">
        <v>31</v>
      </c>
      <c r="J2360">
        <v>2024</v>
      </c>
      <c r="K2360">
        <f t="shared" si="72"/>
        <v>59.61999999999999</v>
      </c>
      <c r="L2360" t="str">
        <f t="shared" si="73"/>
        <v>Banca Sannita|7|Risparmio</v>
      </c>
    </row>
    <row r="2361" spans="1:12" x14ac:dyDescent="0.25">
      <c r="A2361" t="s">
        <v>32</v>
      </c>
      <c r="B2361">
        <v>7</v>
      </c>
      <c r="C2361" t="s">
        <v>21</v>
      </c>
      <c r="D2361" s="1">
        <v>45504</v>
      </c>
      <c r="E2361">
        <v>2898.8</v>
      </c>
      <c r="F2361">
        <v>171.45</v>
      </c>
      <c r="G2361">
        <v>101.72</v>
      </c>
      <c r="H2361">
        <v>275</v>
      </c>
      <c r="I2361" t="s">
        <v>31</v>
      </c>
      <c r="J2361">
        <v>2024</v>
      </c>
      <c r="K2361">
        <f t="shared" si="72"/>
        <v>69.72999999999999</v>
      </c>
      <c r="L2361" t="str">
        <f t="shared" si="73"/>
        <v>Banca Sannita|7|Assicurazioni</v>
      </c>
    </row>
    <row r="2362" spans="1:12" x14ac:dyDescent="0.25">
      <c r="A2362" t="s">
        <v>32</v>
      </c>
      <c r="B2362">
        <v>8</v>
      </c>
      <c r="C2362" t="s">
        <v>13</v>
      </c>
      <c r="D2362" s="1">
        <v>45535</v>
      </c>
      <c r="E2362">
        <v>786.7</v>
      </c>
      <c r="F2362">
        <v>35.46</v>
      </c>
      <c r="G2362">
        <v>22.86</v>
      </c>
      <c r="H2362">
        <v>92</v>
      </c>
      <c r="I2362" t="s">
        <v>31</v>
      </c>
      <c r="J2362">
        <v>2024</v>
      </c>
      <c r="K2362">
        <f t="shared" si="72"/>
        <v>12.600000000000001</v>
      </c>
      <c r="L2362" t="str">
        <f t="shared" si="73"/>
        <v>Banca Sannita|8|Mutui</v>
      </c>
    </row>
    <row r="2363" spans="1:12" x14ac:dyDescent="0.25">
      <c r="A2363" t="s">
        <v>32</v>
      </c>
      <c r="B2363">
        <v>8</v>
      </c>
      <c r="C2363" t="s">
        <v>15</v>
      </c>
      <c r="D2363" s="1">
        <v>45535</v>
      </c>
      <c r="E2363">
        <v>1080</v>
      </c>
      <c r="F2363">
        <v>51.66</v>
      </c>
      <c r="G2363">
        <v>32.07</v>
      </c>
      <c r="H2363">
        <v>131</v>
      </c>
      <c r="I2363" t="s">
        <v>31</v>
      </c>
      <c r="J2363">
        <v>2024</v>
      </c>
      <c r="K2363">
        <f t="shared" si="72"/>
        <v>19.589999999999996</v>
      </c>
      <c r="L2363" t="str">
        <f t="shared" si="73"/>
        <v>Banca Sannita|8|Prestiti</v>
      </c>
    </row>
    <row r="2364" spans="1:12" x14ac:dyDescent="0.25">
      <c r="A2364" t="s">
        <v>32</v>
      </c>
      <c r="B2364">
        <v>8</v>
      </c>
      <c r="C2364" t="s">
        <v>16</v>
      </c>
      <c r="D2364" s="1">
        <v>45535</v>
      </c>
      <c r="E2364">
        <v>1393.6</v>
      </c>
      <c r="F2364">
        <v>68.87</v>
      </c>
      <c r="G2364">
        <v>42.67</v>
      </c>
      <c r="H2364">
        <v>149</v>
      </c>
      <c r="I2364" t="s">
        <v>31</v>
      </c>
      <c r="J2364">
        <v>2024</v>
      </c>
      <c r="K2364">
        <f t="shared" si="72"/>
        <v>26.200000000000003</v>
      </c>
      <c r="L2364" t="str">
        <f t="shared" si="73"/>
        <v>Banca Sannita|8|Conti</v>
      </c>
    </row>
    <row r="2365" spans="1:12" x14ac:dyDescent="0.25">
      <c r="A2365" t="s">
        <v>32</v>
      </c>
      <c r="B2365">
        <v>8</v>
      </c>
      <c r="C2365" t="s">
        <v>17</v>
      </c>
      <c r="D2365" s="1">
        <v>45535</v>
      </c>
      <c r="E2365">
        <v>1692.7</v>
      </c>
      <c r="F2365">
        <v>87.1</v>
      </c>
      <c r="G2365">
        <v>52.78</v>
      </c>
      <c r="H2365">
        <v>185</v>
      </c>
      <c r="I2365" t="s">
        <v>31</v>
      </c>
      <c r="J2365">
        <v>2024</v>
      </c>
      <c r="K2365">
        <f t="shared" si="72"/>
        <v>34.319999999999993</v>
      </c>
      <c r="L2365" t="str">
        <f t="shared" si="73"/>
        <v>Banca Sannita|8|Carte</v>
      </c>
    </row>
    <row r="2366" spans="1:12" x14ac:dyDescent="0.25">
      <c r="A2366" t="s">
        <v>32</v>
      </c>
      <c r="B2366">
        <v>8</v>
      </c>
      <c r="C2366" t="s">
        <v>18</v>
      </c>
      <c r="D2366" s="1">
        <v>45535</v>
      </c>
      <c r="E2366">
        <v>2034.2</v>
      </c>
      <c r="F2366">
        <v>108.64</v>
      </c>
      <c r="G2366">
        <v>65.64</v>
      </c>
      <c r="H2366">
        <v>221</v>
      </c>
      <c r="I2366" t="s">
        <v>31</v>
      </c>
      <c r="J2366">
        <v>2024</v>
      </c>
      <c r="K2366">
        <f t="shared" si="72"/>
        <v>43</v>
      </c>
      <c r="L2366" t="str">
        <f t="shared" si="73"/>
        <v>Banca Sannita|8|Leasing</v>
      </c>
    </row>
    <row r="2367" spans="1:12" x14ac:dyDescent="0.25">
      <c r="A2367" t="s">
        <v>32</v>
      </c>
      <c r="B2367">
        <v>8</v>
      </c>
      <c r="C2367" t="s">
        <v>19</v>
      </c>
      <c r="D2367" s="1">
        <v>45535</v>
      </c>
      <c r="E2367">
        <v>2302.9</v>
      </c>
      <c r="F2367">
        <v>127.48</v>
      </c>
      <c r="G2367">
        <v>76.06</v>
      </c>
      <c r="H2367">
        <v>234</v>
      </c>
      <c r="I2367" t="s">
        <v>31</v>
      </c>
      <c r="J2367">
        <v>2024</v>
      </c>
      <c r="K2367">
        <f t="shared" si="72"/>
        <v>51.42</v>
      </c>
      <c r="L2367" t="str">
        <f t="shared" si="73"/>
        <v>Banca Sannita|8|Factoring</v>
      </c>
    </row>
    <row r="2368" spans="1:12" x14ac:dyDescent="0.25">
      <c r="A2368" t="s">
        <v>32</v>
      </c>
      <c r="B2368">
        <v>8</v>
      </c>
      <c r="C2368" t="s">
        <v>20</v>
      </c>
      <c r="D2368" s="1">
        <v>45535</v>
      </c>
      <c r="E2368">
        <v>2641.8</v>
      </c>
      <c r="F2368">
        <v>150.85</v>
      </c>
      <c r="G2368">
        <v>90.72</v>
      </c>
      <c r="H2368">
        <v>251</v>
      </c>
      <c r="I2368" t="s">
        <v>31</v>
      </c>
      <c r="J2368">
        <v>2024</v>
      </c>
      <c r="K2368">
        <f t="shared" si="72"/>
        <v>60.129999999999995</v>
      </c>
      <c r="L2368" t="str">
        <f t="shared" si="73"/>
        <v>Banca Sannita|8|Risparmio</v>
      </c>
    </row>
    <row r="2369" spans="1:12" x14ac:dyDescent="0.25">
      <c r="A2369" t="s">
        <v>32</v>
      </c>
      <c r="B2369">
        <v>8</v>
      </c>
      <c r="C2369" t="s">
        <v>21</v>
      </c>
      <c r="D2369" s="1">
        <v>45535</v>
      </c>
      <c r="E2369">
        <v>2911.3</v>
      </c>
      <c r="F2369">
        <v>172.36</v>
      </c>
      <c r="G2369">
        <v>102.06</v>
      </c>
      <c r="H2369">
        <v>294</v>
      </c>
      <c r="I2369" t="s">
        <v>31</v>
      </c>
      <c r="J2369">
        <v>2024</v>
      </c>
      <c r="K2369">
        <f t="shared" si="72"/>
        <v>70.300000000000011</v>
      </c>
      <c r="L2369" t="str">
        <f t="shared" si="73"/>
        <v>Banca Sannita|8|Assicurazioni</v>
      </c>
    </row>
    <row r="2370" spans="1:12" x14ac:dyDescent="0.25">
      <c r="A2370" t="s">
        <v>32</v>
      </c>
      <c r="B2370">
        <v>9</v>
      </c>
      <c r="C2370" t="s">
        <v>13</v>
      </c>
      <c r="D2370" s="1">
        <v>45565</v>
      </c>
      <c r="E2370">
        <v>810.9</v>
      </c>
      <c r="F2370">
        <v>36.700000000000003</v>
      </c>
      <c r="G2370">
        <v>23.52</v>
      </c>
      <c r="H2370">
        <v>96</v>
      </c>
      <c r="I2370" t="s">
        <v>31</v>
      </c>
      <c r="J2370">
        <v>2024</v>
      </c>
      <c r="K2370">
        <f t="shared" ref="K2370:K2433" si="74">F2370-G2370</f>
        <v>13.180000000000003</v>
      </c>
      <c r="L2370" t="str">
        <f t="shared" ref="L2370:L2433" si="75">A2370&amp;"|"&amp;B2370&amp;"|"&amp;C2370</f>
        <v>Banca Sannita|9|Mutui</v>
      </c>
    </row>
    <row r="2371" spans="1:12" x14ac:dyDescent="0.25">
      <c r="A2371" t="s">
        <v>32</v>
      </c>
      <c r="B2371">
        <v>9</v>
      </c>
      <c r="C2371" t="s">
        <v>15</v>
      </c>
      <c r="D2371" s="1">
        <v>45565</v>
      </c>
      <c r="E2371">
        <v>1131.8</v>
      </c>
      <c r="F2371">
        <v>54.16</v>
      </c>
      <c r="G2371">
        <v>33.049999999999997</v>
      </c>
      <c r="H2371">
        <v>121</v>
      </c>
      <c r="I2371" t="s">
        <v>31</v>
      </c>
      <c r="J2371">
        <v>2024</v>
      </c>
      <c r="K2371">
        <f t="shared" si="74"/>
        <v>21.11</v>
      </c>
      <c r="L2371" t="str">
        <f t="shared" si="75"/>
        <v>Banca Sannita|9|Prestiti</v>
      </c>
    </row>
    <row r="2372" spans="1:12" x14ac:dyDescent="0.25">
      <c r="A2372" t="s">
        <v>32</v>
      </c>
      <c r="B2372">
        <v>9</v>
      </c>
      <c r="C2372" t="s">
        <v>16</v>
      </c>
      <c r="D2372" s="1">
        <v>45565</v>
      </c>
      <c r="E2372">
        <v>1422.7</v>
      </c>
      <c r="F2372">
        <v>69.819999999999993</v>
      </c>
      <c r="G2372">
        <v>43.32</v>
      </c>
      <c r="H2372">
        <v>142</v>
      </c>
      <c r="I2372" t="s">
        <v>31</v>
      </c>
      <c r="J2372">
        <v>2024</v>
      </c>
      <c r="K2372">
        <f t="shared" si="74"/>
        <v>26.499999999999993</v>
      </c>
      <c r="L2372" t="str">
        <f t="shared" si="75"/>
        <v>Banca Sannita|9|Conti</v>
      </c>
    </row>
    <row r="2373" spans="1:12" x14ac:dyDescent="0.25">
      <c r="A2373" t="s">
        <v>32</v>
      </c>
      <c r="B2373">
        <v>9</v>
      </c>
      <c r="C2373" t="s">
        <v>17</v>
      </c>
      <c r="D2373" s="1">
        <v>45565</v>
      </c>
      <c r="E2373">
        <v>1714.6</v>
      </c>
      <c r="F2373">
        <v>87.97</v>
      </c>
      <c r="G2373">
        <v>53.2</v>
      </c>
      <c r="H2373">
        <v>169</v>
      </c>
      <c r="I2373" t="s">
        <v>31</v>
      </c>
      <c r="J2373">
        <v>2024</v>
      </c>
      <c r="K2373">
        <f t="shared" si="74"/>
        <v>34.769999999999996</v>
      </c>
      <c r="L2373" t="str">
        <f t="shared" si="75"/>
        <v>Banca Sannita|9|Carte</v>
      </c>
    </row>
    <row r="2374" spans="1:12" x14ac:dyDescent="0.25">
      <c r="A2374" t="s">
        <v>32</v>
      </c>
      <c r="B2374">
        <v>9</v>
      </c>
      <c r="C2374" t="s">
        <v>18</v>
      </c>
      <c r="D2374" s="1">
        <v>45565</v>
      </c>
      <c r="E2374">
        <v>2006.1</v>
      </c>
      <c r="F2374">
        <v>107.16</v>
      </c>
      <c r="G2374">
        <v>64.52</v>
      </c>
      <c r="H2374">
        <v>224</v>
      </c>
      <c r="I2374" t="s">
        <v>31</v>
      </c>
      <c r="J2374">
        <v>2024</v>
      </c>
      <c r="K2374">
        <f t="shared" si="74"/>
        <v>42.64</v>
      </c>
      <c r="L2374" t="str">
        <f t="shared" si="75"/>
        <v>Banca Sannita|9|Leasing</v>
      </c>
    </row>
    <row r="2375" spans="1:12" x14ac:dyDescent="0.25">
      <c r="A2375" t="s">
        <v>32</v>
      </c>
      <c r="B2375">
        <v>9</v>
      </c>
      <c r="C2375" t="s">
        <v>19</v>
      </c>
      <c r="D2375" s="1">
        <v>45565</v>
      </c>
      <c r="E2375">
        <v>2363.6</v>
      </c>
      <c r="F2375">
        <v>130.69</v>
      </c>
      <c r="G2375">
        <v>78.73</v>
      </c>
      <c r="H2375">
        <v>223</v>
      </c>
      <c r="I2375" t="s">
        <v>31</v>
      </c>
      <c r="J2375">
        <v>2024</v>
      </c>
      <c r="K2375">
        <f t="shared" si="74"/>
        <v>51.959999999999994</v>
      </c>
      <c r="L2375" t="str">
        <f t="shared" si="75"/>
        <v>Banca Sannita|9|Factoring</v>
      </c>
    </row>
    <row r="2376" spans="1:12" x14ac:dyDescent="0.25">
      <c r="A2376" t="s">
        <v>32</v>
      </c>
      <c r="B2376">
        <v>9</v>
      </c>
      <c r="C2376" t="s">
        <v>20</v>
      </c>
      <c r="D2376" s="1">
        <v>45565</v>
      </c>
      <c r="E2376">
        <v>2670.6</v>
      </c>
      <c r="F2376">
        <v>152.83000000000001</v>
      </c>
      <c r="G2376">
        <v>91.62</v>
      </c>
      <c r="H2376">
        <v>252</v>
      </c>
      <c r="I2376" t="s">
        <v>31</v>
      </c>
      <c r="J2376">
        <v>2024</v>
      </c>
      <c r="K2376">
        <f t="shared" si="74"/>
        <v>61.210000000000008</v>
      </c>
      <c r="L2376" t="str">
        <f t="shared" si="75"/>
        <v>Banca Sannita|9|Risparmio</v>
      </c>
    </row>
    <row r="2377" spans="1:12" x14ac:dyDescent="0.25">
      <c r="A2377" t="s">
        <v>32</v>
      </c>
      <c r="B2377">
        <v>9</v>
      </c>
      <c r="C2377" t="s">
        <v>21</v>
      </c>
      <c r="D2377" s="1">
        <v>45565</v>
      </c>
      <c r="E2377">
        <v>2972.8</v>
      </c>
      <c r="F2377">
        <v>175.4</v>
      </c>
      <c r="G2377">
        <v>104.07</v>
      </c>
      <c r="H2377">
        <v>277</v>
      </c>
      <c r="I2377" t="s">
        <v>31</v>
      </c>
      <c r="J2377">
        <v>2024</v>
      </c>
      <c r="K2377">
        <f t="shared" si="74"/>
        <v>71.330000000000013</v>
      </c>
      <c r="L2377" t="str">
        <f t="shared" si="75"/>
        <v>Banca Sannita|9|Assicurazioni</v>
      </c>
    </row>
    <row r="2378" spans="1:12" x14ac:dyDescent="0.25">
      <c r="A2378" t="s">
        <v>32</v>
      </c>
      <c r="B2378">
        <v>10</v>
      </c>
      <c r="C2378" t="s">
        <v>13</v>
      </c>
      <c r="D2378" s="1">
        <v>45596</v>
      </c>
      <c r="E2378">
        <v>807.1</v>
      </c>
      <c r="F2378">
        <v>36.909999999999997</v>
      </c>
      <c r="G2378">
        <v>23.23</v>
      </c>
      <c r="H2378">
        <v>113</v>
      </c>
      <c r="I2378" t="s">
        <v>31</v>
      </c>
      <c r="J2378">
        <v>2024</v>
      </c>
      <c r="K2378">
        <f t="shared" si="74"/>
        <v>13.679999999999996</v>
      </c>
      <c r="L2378" t="str">
        <f t="shared" si="75"/>
        <v>Banca Sannita|10|Mutui</v>
      </c>
    </row>
    <row r="2379" spans="1:12" x14ac:dyDescent="0.25">
      <c r="A2379" t="s">
        <v>32</v>
      </c>
      <c r="B2379">
        <v>10</v>
      </c>
      <c r="C2379" t="s">
        <v>15</v>
      </c>
      <c r="D2379" s="1">
        <v>45596</v>
      </c>
      <c r="E2379">
        <v>1151.4000000000001</v>
      </c>
      <c r="F2379">
        <v>54.74</v>
      </c>
      <c r="G2379">
        <v>34.04</v>
      </c>
      <c r="H2379">
        <v>138</v>
      </c>
      <c r="I2379" t="s">
        <v>31</v>
      </c>
      <c r="J2379">
        <v>2024</v>
      </c>
      <c r="K2379">
        <f t="shared" si="74"/>
        <v>20.700000000000003</v>
      </c>
      <c r="L2379" t="str">
        <f t="shared" si="75"/>
        <v>Banca Sannita|10|Prestiti</v>
      </c>
    </row>
    <row r="2380" spans="1:12" x14ac:dyDescent="0.25">
      <c r="A2380" t="s">
        <v>32</v>
      </c>
      <c r="B2380">
        <v>10</v>
      </c>
      <c r="C2380" t="s">
        <v>16</v>
      </c>
      <c r="D2380" s="1">
        <v>45596</v>
      </c>
      <c r="E2380">
        <v>1423</v>
      </c>
      <c r="F2380">
        <v>70.28</v>
      </c>
      <c r="G2380">
        <v>43.64</v>
      </c>
      <c r="H2380">
        <v>149</v>
      </c>
      <c r="I2380" t="s">
        <v>31</v>
      </c>
      <c r="J2380">
        <v>2024</v>
      </c>
      <c r="K2380">
        <f t="shared" si="74"/>
        <v>26.64</v>
      </c>
      <c r="L2380" t="str">
        <f t="shared" si="75"/>
        <v>Banca Sannita|10|Conti</v>
      </c>
    </row>
    <row r="2381" spans="1:12" x14ac:dyDescent="0.25">
      <c r="A2381" t="s">
        <v>32</v>
      </c>
      <c r="B2381">
        <v>10</v>
      </c>
      <c r="C2381" t="s">
        <v>17</v>
      </c>
      <c r="D2381" s="1">
        <v>45596</v>
      </c>
      <c r="E2381">
        <v>1759.5</v>
      </c>
      <c r="F2381">
        <v>90.63</v>
      </c>
      <c r="G2381">
        <v>55.5</v>
      </c>
      <c r="H2381">
        <v>184</v>
      </c>
      <c r="I2381" t="s">
        <v>31</v>
      </c>
      <c r="J2381">
        <v>2024</v>
      </c>
      <c r="K2381">
        <f t="shared" si="74"/>
        <v>35.129999999999995</v>
      </c>
      <c r="L2381" t="str">
        <f t="shared" si="75"/>
        <v>Banca Sannita|10|Carte</v>
      </c>
    </row>
    <row r="2382" spans="1:12" x14ac:dyDescent="0.25">
      <c r="A2382" t="s">
        <v>32</v>
      </c>
      <c r="B2382">
        <v>10</v>
      </c>
      <c r="C2382" t="s">
        <v>18</v>
      </c>
      <c r="D2382" s="1">
        <v>45596</v>
      </c>
      <c r="E2382">
        <v>2048.9</v>
      </c>
      <c r="F2382">
        <v>108.83</v>
      </c>
      <c r="G2382">
        <v>65.66</v>
      </c>
      <c r="H2382">
        <v>208</v>
      </c>
      <c r="I2382" t="s">
        <v>31</v>
      </c>
      <c r="J2382">
        <v>2024</v>
      </c>
      <c r="K2382">
        <f t="shared" si="74"/>
        <v>43.17</v>
      </c>
      <c r="L2382" t="str">
        <f t="shared" si="75"/>
        <v>Banca Sannita|10|Leasing</v>
      </c>
    </row>
    <row r="2383" spans="1:12" x14ac:dyDescent="0.25">
      <c r="A2383" t="s">
        <v>32</v>
      </c>
      <c r="B2383">
        <v>10</v>
      </c>
      <c r="C2383" t="s">
        <v>19</v>
      </c>
      <c r="D2383" s="1">
        <v>45596</v>
      </c>
      <c r="E2383">
        <v>2334.1</v>
      </c>
      <c r="F2383">
        <v>128.66999999999999</v>
      </c>
      <c r="G2383">
        <v>77.510000000000005</v>
      </c>
      <c r="H2383">
        <v>230</v>
      </c>
      <c r="I2383" t="s">
        <v>31</v>
      </c>
      <c r="J2383">
        <v>2024</v>
      </c>
      <c r="K2383">
        <f t="shared" si="74"/>
        <v>51.159999999999982</v>
      </c>
      <c r="L2383" t="str">
        <f t="shared" si="75"/>
        <v>Banca Sannita|10|Factoring</v>
      </c>
    </row>
    <row r="2384" spans="1:12" x14ac:dyDescent="0.25">
      <c r="A2384" t="s">
        <v>32</v>
      </c>
      <c r="B2384">
        <v>10</v>
      </c>
      <c r="C2384" t="s">
        <v>20</v>
      </c>
      <c r="D2384" s="1">
        <v>45596</v>
      </c>
      <c r="E2384">
        <v>2667.9</v>
      </c>
      <c r="F2384">
        <v>152.57</v>
      </c>
      <c r="G2384">
        <v>91.69</v>
      </c>
      <c r="H2384">
        <v>282</v>
      </c>
      <c r="I2384" t="s">
        <v>31</v>
      </c>
      <c r="J2384">
        <v>2024</v>
      </c>
      <c r="K2384">
        <f t="shared" si="74"/>
        <v>60.879999999999995</v>
      </c>
      <c r="L2384" t="str">
        <f t="shared" si="75"/>
        <v>Banca Sannita|10|Risparmio</v>
      </c>
    </row>
    <row r="2385" spans="1:12" x14ac:dyDescent="0.25">
      <c r="A2385" t="s">
        <v>32</v>
      </c>
      <c r="B2385">
        <v>10</v>
      </c>
      <c r="C2385" t="s">
        <v>21</v>
      </c>
      <c r="D2385" s="1">
        <v>45596</v>
      </c>
      <c r="E2385">
        <v>2944.2</v>
      </c>
      <c r="F2385">
        <v>173.9</v>
      </c>
      <c r="G2385">
        <v>103.44</v>
      </c>
      <c r="H2385">
        <v>312</v>
      </c>
      <c r="I2385" t="s">
        <v>31</v>
      </c>
      <c r="J2385">
        <v>2024</v>
      </c>
      <c r="K2385">
        <f t="shared" si="74"/>
        <v>70.460000000000008</v>
      </c>
      <c r="L2385" t="str">
        <f t="shared" si="75"/>
        <v>Banca Sannita|10|Assicurazioni</v>
      </c>
    </row>
    <row r="2386" spans="1:12" x14ac:dyDescent="0.25">
      <c r="A2386" t="s">
        <v>32</v>
      </c>
      <c r="B2386">
        <v>11</v>
      </c>
      <c r="C2386" t="s">
        <v>13</v>
      </c>
      <c r="D2386" s="1">
        <v>45626</v>
      </c>
      <c r="E2386">
        <v>843.7</v>
      </c>
      <c r="F2386">
        <v>38.01</v>
      </c>
      <c r="G2386">
        <v>24.49</v>
      </c>
      <c r="H2386">
        <v>108</v>
      </c>
      <c r="I2386" t="s">
        <v>31</v>
      </c>
      <c r="J2386">
        <v>2024</v>
      </c>
      <c r="K2386">
        <f t="shared" si="74"/>
        <v>13.52</v>
      </c>
      <c r="L2386" t="str">
        <f t="shared" si="75"/>
        <v>Banca Sannita|11|Mutui</v>
      </c>
    </row>
    <row r="2387" spans="1:12" x14ac:dyDescent="0.25">
      <c r="A2387" t="s">
        <v>32</v>
      </c>
      <c r="B2387">
        <v>11</v>
      </c>
      <c r="C2387" t="s">
        <v>15</v>
      </c>
      <c r="D2387" s="1">
        <v>45626</v>
      </c>
      <c r="E2387">
        <v>1125.4000000000001</v>
      </c>
      <c r="F2387">
        <v>53.55</v>
      </c>
      <c r="G2387">
        <v>33.03</v>
      </c>
      <c r="H2387">
        <v>117</v>
      </c>
      <c r="I2387" t="s">
        <v>31</v>
      </c>
      <c r="J2387">
        <v>2024</v>
      </c>
      <c r="K2387">
        <f t="shared" si="74"/>
        <v>20.519999999999996</v>
      </c>
      <c r="L2387" t="str">
        <f t="shared" si="75"/>
        <v>Banca Sannita|11|Prestiti</v>
      </c>
    </row>
    <row r="2388" spans="1:12" x14ac:dyDescent="0.25">
      <c r="A2388" t="s">
        <v>32</v>
      </c>
      <c r="B2388">
        <v>11</v>
      </c>
      <c r="C2388" t="s">
        <v>16</v>
      </c>
      <c r="D2388" s="1">
        <v>45626</v>
      </c>
      <c r="E2388">
        <v>1468.8</v>
      </c>
      <c r="F2388">
        <v>72.02</v>
      </c>
      <c r="G2388">
        <v>44.5</v>
      </c>
      <c r="H2388">
        <v>154</v>
      </c>
      <c r="I2388" t="s">
        <v>31</v>
      </c>
      <c r="J2388">
        <v>2024</v>
      </c>
      <c r="K2388">
        <f t="shared" si="74"/>
        <v>27.519999999999996</v>
      </c>
      <c r="L2388" t="str">
        <f t="shared" si="75"/>
        <v>Banca Sannita|11|Conti</v>
      </c>
    </row>
    <row r="2389" spans="1:12" x14ac:dyDescent="0.25">
      <c r="A2389" t="s">
        <v>32</v>
      </c>
      <c r="B2389">
        <v>11</v>
      </c>
      <c r="C2389" t="s">
        <v>17</v>
      </c>
      <c r="D2389" s="1">
        <v>45626</v>
      </c>
      <c r="E2389">
        <v>1729.2</v>
      </c>
      <c r="F2389">
        <v>88.68</v>
      </c>
      <c r="G2389">
        <v>53.78</v>
      </c>
      <c r="H2389">
        <v>192</v>
      </c>
      <c r="I2389" t="s">
        <v>31</v>
      </c>
      <c r="J2389">
        <v>2024</v>
      </c>
      <c r="K2389">
        <f t="shared" si="74"/>
        <v>34.900000000000006</v>
      </c>
      <c r="L2389" t="str">
        <f t="shared" si="75"/>
        <v>Banca Sannita|11|Carte</v>
      </c>
    </row>
    <row r="2390" spans="1:12" x14ac:dyDescent="0.25">
      <c r="A2390" t="s">
        <v>32</v>
      </c>
      <c r="B2390">
        <v>11</v>
      </c>
      <c r="C2390" t="s">
        <v>18</v>
      </c>
      <c r="D2390" s="1">
        <v>45626</v>
      </c>
      <c r="E2390">
        <v>2071.6999999999998</v>
      </c>
      <c r="F2390">
        <v>109.95</v>
      </c>
      <c r="G2390">
        <v>66.62</v>
      </c>
      <c r="H2390">
        <v>200</v>
      </c>
      <c r="I2390" t="s">
        <v>31</v>
      </c>
      <c r="J2390">
        <v>2024</v>
      </c>
      <c r="K2390">
        <f t="shared" si="74"/>
        <v>43.33</v>
      </c>
      <c r="L2390" t="str">
        <f t="shared" si="75"/>
        <v>Banca Sannita|11|Leasing</v>
      </c>
    </row>
    <row r="2391" spans="1:12" x14ac:dyDescent="0.25">
      <c r="A2391" t="s">
        <v>32</v>
      </c>
      <c r="B2391">
        <v>11</v>
      </c>
      <c r="C2391" t="s">
        <v>19</v>
      </c>
      <c r="D2391" s="1">
        <v>45626</v>
      </c>
      <c r="E2391">
        <v>2364.4</v>
      </c>
      <c r="F2391">
        <v>130.61000000000001</v>
      </c>
      <c r="G2391">
        <v>78.05</v>
      </c>
      <c r="H2391">
        <v>231</v>
      </c>
      <c r="I2391" t="s">
        <v>31</v>
      </c>
      <c r="J2391">
        <v>2024</v>
      </c>
      <c r="K2391">
        <f t="shared" si="74"/>
        <v>52.560000000000016</v>
      </c>
      <c r="L2391" t="str">
        <f t="shared" si="75"/>
        <v>Banca Sannita|11|Factoring</v>
      </c>
    </row>
    <row r="2392" spans="1:12" x14ac:dyDescent="0.25">
      <c r="A2392" t="s">
        <v>32</v>
      </c>
      <c r="B2392">
        <v>11</v>
      </c>
      <c r="C2392" t="s">
        <v>20</v>
      </c>
      <c r="D2392" s="1">
        <v>45626</v>
      </c>
      <c r="E2392">
        <v>2698.5</v>
      </c>
      <c r="F2392">
        <v>154.32</v>
      </c>
      <c r="G2392">
        <v>91.78</v>
      </c>
      <c r="H2392">
        <v>277</v>
      </c>
      <c r="I2392" t="s">
        <v>31</v>
      </c>
      <c r="J2392">
        <v>2024</v>
      </c>
      <c r="K2392">
        <f t="shared" si="74"/>
        <v>62.539999999999992</v>
      </c>
      <c r="L2392" t="str">
        <f t="shared" si="75"/>
        <v>Banca Sannita|11|Risparmio</v>
      </c>
    </row>
    <row r="2393" spans="1:12" x14ac:dyDescent="0.25">
      <c r="A2393" t="s">
        <v>32</v>
      </c>
      <c r="B2393">
        <v>11</v>
      </c>
      <c r="C2393" t="s">
        <v>21</v>
      </c>
      <c r="D2393" s="1">
        <v>45626</v>
      </c>
      <c r="E2393">
        <v>3018.3</v>
      </c>
      <c r="F2393">
        <v>178.45</v>
      </c>
      <c r="G2393">
        <v>105.93</v>
      </c>
      <c r="H2393">
        <v>279</v>
      </c>
      <c r="I2393" t="s">
        <v>31</v>
      </c>
      <c r="J2393">
        <v>2024</v>
      </c>
      <c r="K2393">
        <f t="shared" si="74"/>
        <v>72.519999999999982</v>
      </c>
      <c r="L2393" t="str">
        <f t="shared" si="75"/>
        <v>Banca Sannita|11|Assicurazioni</v>
      </c>
    </row>
    <row r="2394" spans="1:12" x14ac:dyDescent="0.25">
      <c r="A2394" t="s">
        <v>32</v>
      </c>
      <c r="B2394">
        <v>12</v>
      </c>
      <c r="C2394" t="s">
        <v>13</v>
      </c>
      <c r="D2394" s="1">
        <v>45657</v>
      </c>
      <c r="E2394">
        <v>822.8</v>
      </c>
      <c r="F2394">
        <v>37.92</v>
      </c>
      <c r="G2394">
        <v>23.19</v>
      </c>
      <c r="H2394">
        <v>92</v>
      </c>
      <c r="I2394" t="s">
        <v>31</v>
      </c>
      <c r="J2394">
        <v>2024</v>
      </c>
      <c r="K2394">
        <f t="shared" si="74"/>
        <v>14.73</v>
      </c>
      <c r="L2394" t="str">
        <f t="shared" si="75"/>
        <v>Banca Sannita|12|Mutui</v>
      </c>
    </row>
    <row r="2395" spans="1:12" x14ac:dyDescent="0.25">
      <c r="A2395" t="s">
        <v>32</v>
      </c>
      <c r="B2395">
        <v>12</v>
      </c>
      <c r="C2395" t="s">
        <v>15</v>
      </c>
      <c r="D2395" s="1">
        <v>45657</v>
      </c>
      <c r="E2395">
        <v>1161.8</v>
      </c>
      <c r="F2395">
        <v>54.67</v>
      </c>
      <c r="G2395">
        <v>34.130000000000003</v>
      </c>
      <c r="H2395">
        <v>137</v>
      </c>
      <c r="I2395" t="s">
        <v>31</v>
      </c>
      <c r="J2395">
        <v>2024</v>
      </c>
      <c r="K2395">
        <f t="shared" si="74"/>
        <v>20.54</v>
      </c>
      <c r="L2395" t="str">
        <f t="shared" si="75"/>
        <v>Banca Sannita|12|Prestiti</v>
      </c>
    </row>
    <row r="2396" spans="1:12" x14ac:dyDescent="0.25">
      <c r="A2396" t="s">
        <v>32</v>
      </c>
      <c r="B2396">
        <v>12</v>
      </c>
      <c r="C2396" t="s">
        <v>16</v>
      </c>
      <c r="D2396" s="1">
        <v>45657</v>
      </c>
      <c r="E2396">
        <v>1445.2</v>
      </c>
      <c r="F2396">
        <v>70.84</v>
      </c>
      <c r="G2396">
        <v>43.97</v>
      </c>
      <c r="H2396">
        <v>144</v>
      </c>
      <c r="I2396" t="s">
        <v>31</v>
      </c>
      <c r="J2396">
        <v>2024</v>
      </c>
      <c r="K2396">
        <f t="shared" si="74"/>
        <v>26.870000000000005</v>
      </c>
      <c r="L2396" t="str">
        <f t="shared" si="75"/>
        <v>Banca Sannita|12|Conti</v>
      </c>
    </row>
    <row r="2397" spans="1:12" x14ac:dyDescent="0.25">
      <c r="A2397" t="s">
        <v>32</v>
      </c>
      <c r="B2397">
        <v>12</v>
      </c>
      <c r="C2397" t="s">
        <v>17</v>
      </c>
      <c r="D2397" s="1">
        <v>45657</v>
      </c>
      <c r="E2397">
        <v>1793.7</v>
      </c>
      <c r="F2397">
        <v>92.2</v>
      </c>
      <c r="G2397">
        <v>56.21</v>
      </c>
      <c r="H2397">
        <v>177</v>
      </c>
      <c r="I2397" t="s">
        <v>31</v>
      </c>
      <c r="J2397">
        <v>2024</v>
      </c>
      <c r="K2397">
        <f t="shared" si="74"/>
        <v>35.99</v>
      </c>
      <c r="L2397" t="str">
        <f t="shared" si="75"/>
        <v>Banca Sannita|12|Carte</v>
      </c>
    </row>
    <row r="2398" spans="1:12" x14ac:dyDescent="0.25">
      <c r="A2398" t="s">
        <v>32</v>
      </c>
      <c r="B2398">
        <v>12</v>
      </c>
      <c r="C2398" t="s">
        <v>18</v>
      </c>
      <c r="D2398" s="1">
        <v>45657</v>
      </c>
      <c r="E2398">
        <v>2060.1999999999998</v>
      </c>
      <c r="F2398">
        <v>109.82</v>
      </c>
      <c r="G2398">
        <v>65.989999999999995</v>
      </c>
      <c r="H2398">
        <v>212</v>
      </c>
      <c r="I2398" t="s">
        <v>31</v>
      </c>
      <c r="J2398">
        <v>2024</v>
      </c>
      <c r="K2398">
        <f t="shared" si="74"/>
        <v>43.83</v>
      </c>
      <c r="L2398" t="str">
        <f t="shared" si="75"/>
        <v>Banca Sannita|12|Leasing</v>
      </c>
    </row>
    <row r="2399" spans="1:12" x14ac:dyDescent="0.25">
      <c r="A2399" t="s">
        <v>32</v>
      </c>
      <c r="B2399">
        <v>12</v>
      </c>
      <c r="C2399" t="s">
        <v>19</v>
      </c>
      <c r="D2399" s="1">
        <v>45657</v>
      </c>
      <c r="E2399">
        <v>2365</v>
      </c>
      <c r="F2399">
        <v>130.09</v>
      </c>
      <c r="G2399">
        <v>78.7</v>
      </c>
      <c r="H2399">
        <v>241</v>
      </c>
      <c r="I2399" t="s">
        <v>31</v>
      </c>
      <c r="J2399">
        <v>2024</v>
      </c>
      <c r="K2399">
        <f t="shared" si="74"/>
        <v>51.39</v>
      </c>
      <c r="L2399" t="str">
        <f t="shared" si="75"/>
        <v>Banca Sannita|12|Factoring</v>
      </c>
    </row>
    <row r="2400" spans="1:12" x14ac:dyDescent="0.25">
      <c r="A2400" t="s">
        <v>32</v>
      </c>
      <c r="B2400">
        <v>12</v>
      </c>
      <c r="C2400" t="s">
        <v>20</v>
      </c>
      <c r="D2400" s="1">
        <v>45657</v>
      </c>
      <c r="E2400">
        <v>2726.8</v>
      </c>
      <c r="F2400">
        <v>155.63</v>
      </c>
      <c r="G2400">
        <v>92.76</v>
      </c>
      <c r="H2400">
        <v>262</v>
      </c>
      <c r="I2400" t="s">
        <v>31</v>
      </c>
      <c r="J2400">
        <v>2024</v>
      </c>
      <c r="K2400">
        <f t="shared" si="74"/>
        <v>62.86999999999999</v>
      </c>
      <c r="L2400" t="str">
        <f t="shared" si="75"/>
        <v>Banca Sannita|12|Risparmio</v>
      </c>
    </row>
    <row r="2401" spans="1:12" x14ac:dyDescent="0.25">
      <c r="A2401" t="s">
        <v>32</v>
      </c>
      <c r="B2401">
        <v>12</v>
      </c>
      <c r="C2401" t="s">
        <v>21</v>
      </c>
      <c r="D2401" s="1">
        <v>45657</v>
      </c>
      <c r="E2401">
        <v>2984.1</v>
      </c>
      <c r="F2401">
        <v>177.06</v>
      </c>
      <c r="G2401">
        <v>105.37</v>
      </c>
      <c r="H2401">
        <v>293</v>
      </c>
      <c r="I2401" t="s">
        <v>31</v>
      </c>
      <c r="J2401">
        <v>2024</v>
      </c>
      <c r="K2401">
        <f t="shared" si="74"/>
        <v>71.69</v>
      </c>
      <c r="L2401" t="str">
        <f t="shared" si="75"/>
        <v>Banca Sannita|12|Assicurazioni</v>
      </c>
    </row>
    <row r="2402" spans="1:12" x14ac:dyDescent="0.25">
      <c r="A2402" t="s">
        <v>32</v>
      </c>
      <c r="B2402">
        <v>13</v>
      </c>
      <c r="C2402" t="s">
        <v>13</v>
      </c>
      <c r="D2402" s="1">
        <v>45688</v>
      </c>
      <c r="E2402">
        <v>836.3</v>
      </c>
      <c r="F2402">
        <v>37.76</v>
      </c>
      <c r="G2402">
        <v>23.61</v>
      </c>
      <c r="H2402">
        <v>115</v>
      </c>
      <c r="I2402" t="s">
        <v>31</v>
      </c>
      <c r="J2402">
        <v>2025</v>
      </c>
      <c r="K2402">
        <f t="shared" si="74"/>
        <v>14.149999999999999</v>
      </c>
      <c r="L2402" t="str">
        <f t="shared" si="75"/>
        <v>Banca Sannita|13|Mutui</v>
      </c>
    </row>
    <row r="2403" spans="1:12" x14ac:dyDescent="0.25">
      <c r="A2403" t="s">
        <v>32</v>
      </c>
      <c r="B2403">
        <v>13</v>
      </c>
      <c r="C2403" t="s">
        <v>15</v>
      </c>
      <c r="D2403" s="1">
        <v>45688</v>
      </c>
      <c r="E2403">
        <v>1135</v>
      </c>
      <c r="F2403">
        <v>54.23</v>
      </c>
      <c r="G2403">
        <v>33.659999999999997</v>
      </c>
      <c r="H2403">
        <v>137</v>
      </c>
      <c r="I2403" t="s">
        <v>31</v>
      </c>
      <c r="J2403">
        <v>2025</v>
      </c>
      <c r="K2403">
        <f t="shared" si="74"/>
        <v>20.57</v>
      </c>
      <c r="L2403" t="str">
        <f t="shared" si="75"/>
        <v>Banca Sannita|13|Prestiti</v>
      </c>
    </row>
    <row r="2404" spans="1:12" x14ac:dyDescent="0.25">
      <c r="A2404" t="s">
        <v>32</v>
      </c>
      <c r="B2404">
        <v>13</v>
      </c>
      <c r="C2404" t="s">
        <v>16</v>
      </c>
      <c r="D2404" s="1">
        <v>45688</v>
      </c>
      <c r="E2404">
        <v>1466.7</v>
      </c>
      <c r="F2404">
        <v>72.63</v>
      </c>
      <c r="G2404">
        <v>44.87</v>
      </c>
      <c r="H2404">
        <v>169</v>
      </c>
      <c r="I2404" t="s">
        <v>31</v>
      </c>
      <c r="J2404">
        <v>2025</v>
      </c>
      <c r="K2404">
        <f t="shared" si="74"/>
        <v>27.759999999999998</v>
      </c>
      <c r="L2404" t="str">
        <f t="shared" si="75"/>
        <v>Banca Sannita|13|Conti</v>
      </c>
    </row>
    <row r="2405" spans="1:12" x14ac:dyDescent="0.25">
      <c r="A2405" t="s">
        <v>32</v>
      </c>
      <c r="B2405">
        <v>13</v>
      </c>
      <c r="C2405" t="s">
        <v>17</v>
      </c>
      <c r="D2405" s="1">
        <v>45688</v>
      </c>
      <c r="E2405">
        <v>1758.2</v>
      </c>
      <c r="F2405">
        <v>90.5</v>
      </c>
      <c r="G2405">
        <v>55.1</v>
      </c>
      <c r="H2405">
        <v>173</v>
      </c>
      <c r="I2405" t="s">
        <v>31</v>
      </c>
      <c r="J2405">
        <v>2025</v>
      </c>
      <c r="K2405">
        <f t="shared" si="74"/>
        <v>35.4</v>
      </c>
      <c r="L2405" t="str">
        <f t="shared" si="75"/>
        <v>Banca Sannita|13|Carte</v>
      </c>
    </row>
    <row r="2406" spans="1:12" x14ac:dyDescent="0.25">
      <c r="A2406" t="s">
        <v>32</v>
      </c>
      <c r="B2406">
        <v>13</v>
      </c>
      <c r="C2406" t="s">
        <v>18</v>
      </c>
      <c r="D2406" s="1">
        <v>45688</v>
      </c>
      <c r="E2406">
        <v>2095.1</v>
      </c>
      <c r="F2406">
        <v>111.45</v>
      </c>
      <c r="G2406">
        <v>67.89</v>
      </c>
      <c r="H2406">
        <v>226</v>
      </c>
      <c r="I2406" t="s">
        <v>31</v>
      </c>
      <c r="J2406">
        <v>2025</v>
      </c>
      <c r="K2406">
        <f t="shared" si="74"/>
        <v>43.56</v>
      </c>
      <c r="L2406" t="str">
        <f t="shared" si="75"/>
        <v>Banca Sannita|13|Leasing</v>
      </c>
    </row>
    <row r="2407" spans="1:12" x14ac:dyDescent="0.25">
      <c r="A2407" t="s">
        <v>32</v>
      </c>
      <c r="B2407">
        <v>13</v>
      </c>
      <c r="C2407" t="s">
        <v>19</v>
      </c>
      <c r="D2407" s="1">
        <v>45688</v>
      </c>
      <c r="E2407">
        <v>2434.5</v>
      </c>
      <c r="F2407">
        <v>134.88</v>
      </c>
      <c r="G2407">
        <v>80.540000000000006</v>
      </c>
      <c r="H2407">
        <v>228</v>
      </c>
      <c r="I2407" t="s">
        <v>31</v>
      </c>
      <c r="J2407">
        <v>2025</v>
      </c>
      <c r="K2407">
        <f t="shared" si="74"/>
        <v>54.339999999999989</v>
      </c>
      <c r="L2407" t="str">
        <f t="shared" si="75"/>
        <v>Banca Sannita|13|Factoring</v>
      </c>
    </row>
    <row r="2408" spans="1:12" x14ac:dyDescent="0.25">
      <c r="A2408" t="s">
        <v>32</v>
      </c>
      <c r="B2408">
        <v>13</v>
      </c>
      <c r="C2408" t="s">
        <v>20</v>
      </c>
      <c r="D2408" s="1">
        <v>45688</v>
      </c>
      <c r="E2408">
        <v>2750.6</v>
      </c>
      <c r="F2408">
        <v>157.58000000000001</v>
      </c>
      <c r="G2408">
        <v>93.66</v>
      </c>
      <c r="H2408">
        <v>283</v>
      </c>
      <c r="I2408" t="s">
        <v>31</v>
      </c>
      <c r="J2408">
        <v>2025</v>
      </c>
      <c r="K2408">
        <f t="shared" si="74"/>
        <v>63.920000000000016</v>
      </c>
      <c r="L2408" t="str">
        <f t="shared" si="75"/>
        <v>Banca Sannita|13|Risparmio</v>
      </c>
    </row>
    <row r="2409" spans="1:12" x14ac:dyDescent="0.25">
      <c r="A2409" t="s">
        <v>32</v>
      </c>
      <c r="B2409">
        <v>13</v>
      </c>
      <c r="C2409" t="s">
        <v>21</v>
      </c>
      <c r="D2409" s="1">
        <v>45688</v>
      </c>
      <c r="E2409">
        <v>3013.2</v>
      </c>
      <c r="F2409">
        <v>178.22</v>
      </c>
      <c r="G2409">
        <v>105.52</v>
      </c>
      <c r="H2409">
        <v>288</v>
      </c>
      <c r="I2409" t="s">
        <v>31</v>
      </c>
      <c r="J2409">
        <v>2025</v>
      </c>
      <c r="K2409">
        <f t="shared" si="74"/>
        <v>72.7</v>
      </c>
      <c r="L2409" t="str">
        <f t="shared" si="75"/>
        <v>Banca Sannita|13|Assicurazioni</v>
      </c>
    </row>
    <row r="2410" spans="1:12" x14ac:dyDescent="0.25">
      <c r="A2410" t="s">
        <v>32</v>
      </c>
      <c r="B2410">
        <v>14</v>
      </c>
      <c r="C2410" t="s">
        <v>13</v>
      </c>
      <c r="D2410" s="1">
        <v>45716</v>
      </c>
      <c r="E2410">
        <v>831.7</v>
      </c>
      <c r="F2410">
        <v>37.700000000000003</v>
      </c>
      <c r="G2410">
        <v>24.12</v>
      </c>
      <c r="H2410">
        <v>78</v>
      </c>
      <c r="I2410" t="s">
        <v>31</v>
      </c>
      <c r="J2410">
        <v>2025</v>
      </c>
      <c r="K2410">
        <f t="shared" si="74"/>
        <v>13.580000000000002</v>
      </c>
      <c r="L2410" t="str">
        <f t="shared" si="75"/>
        <v>Banca Sannita|14|Mutui</v>
      </c>
    </row>
    <row r="2411" spans="1:12" x14ac:dyDescent="0.25">
      <c r="A2411" t="s">
        <v>32</v>
      </c>
      <c r="B2411">
        <v>14</v>
      </c>
      <c r="C2411" t="s">
        <v>15</v>
      </c>
      <c r="D2411" s="1">
        <v>45716</v>
      </c>
      <c r="E2411">
        <v>1158.2</v>
      </c>
      <c r="F2411">
        <v>54.76</v>
      </c>
      <c r="G2411">
        <v>33.72</v>
      </c>
      <c r="H2411">
        <v>114</v>
      </c>
      <c r="I2411" t="s">
        <v>31</v>
      </c>
      <c r="J2411">
        <v>2025</v>
      </c>
      <c r="K2411">
        <f t="shared" si="74"/>
        <v>21.04</v>
      </c>
      <c r="L2411" t="str">
        <f t="shared" si="75"/>
        <v>Banca Sannita|14|Prestiti</v>
      </c>
    </row>
    <row r="2412" spans="1:12" x14ac:dyDescent="0.25">
      <c r="A2412" t="s">
        <v>32</v>
      </c>
      <c r="B2412">
        <v>14</v>
      </c>
      <c r="C2412" t="s">
        <v>16</v>
      </c>
      <c r="D2412" s="1">
        <v>45716</v>
      </c>
      <c r="E2412">
        <v>1446</v>
      </c>
      <c r="F2412">
        <v>71.260000000000005</v>
      </c>
      <c r="G2412">
        <v>44</v>
      </c>
      <c r="H2412">
        <v>170</v>
      </c>
      <c r="I2412" t="s">
        <v>31</v>
      </c>
      <c r="J2412">
        <v>2025</v>
      </c>
      <c r="K2412">
        <f t="shared" si="74"/>
        <v>27.260000000000005</v>
      </c>
      <c r="L2412" t="str">
        <f t="shared" si="75"/>
        <v>Banca Sannita|14|Conti</v>
      </c>
    </row>
    <row r="2413" spans="1:12" x14ac:dyDescent="0.25">
      <c r="A2413" t="s">
        <v>32</v>
      </c>
      <c r="B2413">
        <v>14</v>
      </c>
      <c r="C2413" t="s">
        <v>17</v>
      </c>
      <c r="D2413" s="1">
        <v>45716</v>
      </c>
      <c r="E2413">
        <v>1799.8</v>
      </c>
      <c r="F2413">
        <v>92.06</v>
      </c>
      <c r="G2413">
        <v>56.07</v>
      </c>
      <c r="H2413">
        <v>162</v>
      </c>
      <c r="I2413" t="s">
        <v>31</v>
      </c>
      <c r="J2413">
        <v>2025</v>
      </c>
      <c r="K2413">
        <f t="shared" si="74"/>
        <v>35.99</v>
      </c>
      <c r="L2413" t="str">
        <f t="shared" si="75"/>
        <v>Banca Sannita|14|Carte</v>
      </c>
    </row>
    <row r="2414" spans="1:12" x14ac:dyDescent="0.25">
      <c r="A2414" t="s">
        <v>32</v>
      </c>
      <c r="B2414">
        <v>14</v>
      </c>
      <c r="C2414" t="s">
        <v>18</v>
      </c>
      <c r="D2414" s="1">
        <v>45716</v>
      </c>
      <c r="E2414">
        <v>2131.1999999999998</v>
      </c>
      <c r="F2414">
        <v>113.63</v>
      </c>
      <c r="G2414">
        <v>68.67</v>
      </c>
      <c r="H2414">
        <v>223</v>
      </c>
      <c r="I2414" t="s">
        <v>31</v>
      </c>
      <c r="J2414">
        <v>2025</v>
      </c>
      <c r="K2414">
        <f t="shared" si="74"/>
        <v>44.959999999999994</v>
      </c>
      <c r="L2414" t="str">
        <f t="shared" si="75"/>
        <v>Banca Sannita|14|Leasing</v>
      </c>
    </row>
    <row r="2415" spans="1:12" x14ac:dyDescent="0.25">
      <c r="A2415" t="s">
        <v>32</v>
      </c>
      <c r="B2415">
        <v>14</v>
      </c>
      <c r="C2415" t="s">
        <v>19</v>
      </c>
      <c r="D2415" s="1">
        <v>45716</v>
      </c>
      <c r="E2415">
        <v>2400.3000000000002</v>
      </c>
      <c r="F2415">
        <v>132.63999999999999</v>
      </c>
      <c r="G2415">
        <v>80.150000000000006</v>
      </c>
      <c r="H2415">
        <v>249</v>
      </c>
      <c r="I2415" t="s">
        <v>31</v>
      </c>
      <c r="J2415">
        <v>2025</v>
      </c>
      <c r="K2415">
        <f t="shared" si="74"/>
        <v>52.489999999999981</v>
      </c>
      <c r="L2415" t="str">
        <f t="shared" si="75"/>
        <v>Banca Sannita|14|Factoring</v>
      </c>
    </row>
    <row r="2416" spans="1:12" x14ac:dyDescent="0.25">
      <c r="A2416" t="s">
        <v>32</v>
      </c>
      <c r="B2416">
        <v>14</v>
      </c>
      <c r="C2416" t="s">
        <v>20</v>
      </c>
      <c r="D2416" s="1">
        <v>45716</v>
      </c>
      <c r="E2416">
        <v>2713.4</v>
      </c>
      <c r="F2416">
        <v>155.44</v>
      </c>
      <c r="G2416">
        <v>92.52</v>
      </c>
      <c r="H2416">
        <v>246</v>
      </c>
      <c r="I2416" t="s">
        <v>31</v>
      </c>
      <c r="J2416">
        <v>2025</v>
      </c>
      <c r="K2416">
        <f t="shared" si="74"/>
        <v>62.92</v>
      </c>
      <c r="L2416" t="str">
        <f t="shared" si="75"/>
        <v>Banca Sannita|14|Risparmio</v>
      </c>
    </row>
    <row r="2417" spans="1:12" x14ac:dyDescent="0.25">
      <c r="A2417" t="s">
        <v>32</v>
      </c>
      <c r="B2417">
        <v>14</v>
      </c>
      <c r="C2417" t="s">
        <v>21</v>
      </c>
      <c r="D2417" s="1">
        <v>45716</v>
      </c>
      <c r="E2417">
        <v>3035.7</v>
      </c>
      <c r="F2417">
        <v>179.69</v>
      </c>
      <c r="G2417">
        <v>107.03</v>
      </c>
      <c r="H2417">
        <v>292</v>
      </c>
      <c r="I2417" t="s">
        <v>31</v>
      </c>
      <c r="J2417">
        <v>2025</v>
      </c>
      <c r="K2417">
        <f t="shared" si="74"/>
        <v>72.66</v>
      </c>
      <c r="L2417" t="str">
        <f t="shared" si="75"/>
        <v>Banca Sannita|14|Assicurazioni</v>
      </c>
    </row>
    <row r="2418" spans="1:12" x14ac:dyDescent="0.25">
      <c r="A2418" t="s">
        <v>32</v>
      </c>
      <c r="B2418">
        <v>15</v>
      </c>
      <c r="C2418" t="s">
        <v>13</v>
      </c>
      <c r="D2418" s="1">
        <v>45747</v>
      </c>
      <c r="E2418">
        <v>839.4</v>
      </c>
      <c r="F2418">
        <v>38.619999999999997</v>
      </c>
      <c r="G2418">
        <v>24.44</v>
      </c>
      <c r="H2418">
        <v>86</v>
      </c>
      <c r="I2418" t="s">
        <v>31</v>
      </c>
      <c r="J2418">
        <v>2025</v>
      </c>
      <c r="K2418">
        <f t="shared" si="74"/>
        <v>14.179999999999996</v>
      </c>
      <c r="L2418" t="str">
        <f t="shared" si="75"/>
        <v>Banca Sannita|15|Mutui</v>
      </c>
    </row>
    <row r="2419" spans="1:12" x14ac:dyDescent="0.25">
      <c r="A2419" t="s">
        <v>32</v>
      </c>
      <c r="B2419">
        <v>15</v>
      </c>
      <c r="C2419" t="s">
        <v>15</v>
      </c>
      <c r="D2419" s="1">
        <v>45747</v>
      </c>
      <c r="E2419">
        <v>1190</v>
      </c>
      <c r="F2419">
        <v>56.11</v>
      </c>
      <c r="G2419">
        <v>34.72</v>
      </c>
      <c r="H2419">
        <v>116</v>
      </c>
      <c r="I2419" t="s">
        <v>31</v>
      </c>
      <c r="J2419">
        <v>2025</v>
      </c>
      <c r="K2419">
        <f t="shared" si="74"/>
        <v>21.39</v>
      </c>
      <c r="L2419" t="str">
        <f t="shared" si="75"/>
        <v>Banca Sannita|15|Prestiti</v>
      </c>
    </row>
    <row r="2420" spans="1:12" x14ac:dyDescent="0.25">
      <c r="A2420" t="s">
        <v>32</v>
      </c>
      <c r="B2420">
        <v>15</v>
      </c>
      <c r="C2420" t="s">
        <v>16</v>
      </c>
      <c r="D2420" s="1">
        <v>45747</v>
      </c>
      <c r="E2420">
        <v>1485.3</v>
      </c>
      <c r="F2420">
        <v>72.94</v>
      </c>
      <c r="G2420">
        <v>44.58</v>
      </c>
      <c r="H2420">
        <v>151</v>
      </c>
      <c r="I2420" t="s">
        <v>31</v>
      </c>
      <c r="J2420">
        <v>2025</v>
      </c>
      <c r="K2420">
        <f t="shared" si="74"/>
        <v>28.36</v>
      </c>
      <c r="L2420" t="str">
        <f t="shared" si="75"/>
        <v>Banca Sannita|15|Conti</v>
      </c>
    </row>
    <row r="2421" spans="1:12" x14ac:dyDescent="0.25">
      <c r="A2421" t="s">
        <v>32</v>
      </c>
      <c r="B2421">
        <v>15</v>
      </c>
      <c r="C2421" t="s">
        <v>17</v>
      </c>
      <c r="D2421" s="1">
        <v>45747</v>
      </c>
      <c r="E2421">
        <v>1804.7</v>
      </c>
      <c r="F2421">
        <v>92.83</v>
      </c>
      <c r="G2421">
        <v>55.95</v>
      </c>
      <c r="H2421">
        <v>199</v>
      </c>
      <c r="I2421" t="s">
        <v>31</v>
      </c>
      <c r="J2421">
        <v>2025</v>
      </c>
      <c r="K2421">
        <f t="shared" si="74"/>
        <v>36.879999999999995</v>
      </c>
      <c r="L2421" t="str">
        <f t="shared" si="75"/>
        <v>Banca Sannita|15|Carte</v>
      </c>
    </row>
    <row r="2422" spans="1:12" x14ac:dyDescent="0.25">
      <c r="A2422" t="s">
        <v>32</v>
      </c>
      <c r="B2422">
        <v>15</v>
      </c>
      <c r="C2422" t="s">
        <v>18</v>
      </c>
      <c r="D2422" s="1">
        <v>45747</v>
      </c>
      <c r="E2422">
        <v>2142.5</v>
      </c>
      <c r="F2422">
        <v>113.94</v>
      </c>
      <c r="G2422">
        <v>68.91</v>
      </c>
      <c r="H2422">
        <v>199</v>
      </c>
      <c r="I2422" t="s">
        <v>31</v>
      </c>
      <c r="J2422">
        <v>2025</v>
      </c>
      <c r="K2422">
        <f t="shared" si="74"/>
        <v>45.03</v>
      </c>
      <c r="L2422" t="str">
        <f t="shared" si="75"/>
        <v>Banca Sannita|15|Leasing</v>
      </c>
    </row>
    <row r="2423" spans="1:12" x14ac:dyDescent="0.25">
      <c r="A2423" t="s">
        <v>32</v>
      </c>
      <c r="B2423">
        <v>15</v>
      </c>
      <c r="C2423" t="s">
        <v>19</v>
      </c>
      <c r="D2423" s="1">
        <v>45747</v>
      </c>
      <c r="E2423">
        <v>2438.4</v>
      </c>
      <c r="F2423">
        <v>134.25</v>
      </c>
      <c r="G2423">
        <v>81.08</v>
      </c>
      <c r="H2423">
        <v>249</v>
      </c>
      <c r="I2423" t="s">
        <v>31</v>
      </c>
      <c r="J2423">
        <v>2025</v>
      </c>
      <c r="K2423">
        <f t="shared" si="74"/>
        <v>53.17</v>
      </c>
      <c r="L2423" t="str">
        <f t="shared" si="75"/>
        <v>Banca Sannita|15|Factoring</v>
      </c>
    </row>
    <row r="2424" spans="1:12" x14ac:dyDescent="0.25">
      <c r="A2424" t="s">
        <v>32</v>
      </c>
      <c r="B2424">
        <v>15</v>
      </c>
      <c r="C2424" t="s">
        <v>20</v>
      </c>
      <c r="D2424" s="1">
        <v>45747</v>
      </c>
      <c r="E2424">
        <v>2730.7</v>
      </c>
      <c r="F2424">
        <v>156.13999999999999</v>
      </c>
      <c r="G2424">
        <v>93.67</v>
      </c>
      <c r="H2424">
        <v>273</v>
      </c>
      <c r="I2424" t="s">
        <v>31</v>
      </c>
      <c r="J2424">
        <v>2025</v>
      </c>
      <c r="K2424">
        <f t="shared" si="74"/>
        <v>62.469999999999985</v>
      </c>
      <c r="L2424" t="str">
        <f t="shared" si="75"/>
        <v>Banca Sannita|15|Risparmio</v>
      </c>
    </row>
    <row r="2425" spans="1:12" x14ac:dyDescent="0.25">
      <c r="A2425" t="s">
        <v>32</v>
      </c>
      <c r="B2425">
        <v>15</v>
      </c>
      <c r="C2425" t="s">
        <v>21</v>
      </c>
      <c r="D2425" s="1">
        <v>45747</v>
      </c>
      <c r="E2425">
        <v>3100.1</v>
      </c>
      <c r="F2425">
        <v>183.65</v>
      </c>
      <c r="G2425">
        <v>108.72</v>
      </c>
      <c r="H2425">
        <v>313</v>
      </c>
      <c r="I2425" t="s">
        <v>31</v>
      </c>
      <c r="J2425">
        <v>2025</v>
      </c>
      <c r="K2425">
        <f t="shared" si="74"/>
        <v>74.930000000000007</v>
      </c>
      <c r="L2425" t="str">
        <f t="shared" si="75"/>
        <v>Banca Sannita|15|Assicurazioni</v>
      </c>
    </row>
    <row r="2426" spans="1:12" x14ac:dyDescent="0.25">
      <c r="A2426" t="s">
        <v>32</v>
      </c>
      <c r="B2426">
        <v>16</v>
      </c>
      <c r="C2426" t="s">
        <v>13</v>
      </c>
      <c r="D2426" s="1">
        <v>45777</v>
      </c>
      <c r="E2426">
        <v>830</v>
      </c>
      <c r="F2426">
        <v>37.76</v>
      </c>
      <c r="G2426">
        <v>23.87</v>
      </c>
      <c r="H2426">
        <v>88</v>
      </c>
      <c r="I2426" t="s">
        <v>31</v>
      </c>
      <c r="J2426">
        <v>2025</v>
      </c>
      <c r="K2426">
        <f t="shared" si="74"/>
        <v>13.889999999999997</v>
      </c>
      <c r="L2426" t="str">
        <f t="shared" si="75"/>
        <v>Banca Sannita|16|Mutui</v>
      </c>
    </row>
    <row r="2427" spans="1:12" x14ac:dyDescent="0.25">
      <c r="A2427" t="s">
        <v>32</v>
      </c>
      <c r="B2427">
        <v>16</v>
      </c>
      <c r="C2427" t="s">
        <v>15</v>
      </c>
      <c r="D2427" s="1">
        <v>45777</v>
      </c>
      <c r="E2427">
        <v>1158.7</v>
      </c>
      <c r="F2427">
        <v>55.21</v>
      </c>
      <c r="G2427">
        <v>34.42</v>
      </c>
      <c r="H2427">
        <v>124</v>
      </c>
      <c r="I2427" t="s">
        <v>31</v>
      </c>
      <c r="J2427">
        <v>2025</v>
      </c>
      <c r="K2427">
        <f t="shared" si="74"/>
        <v>20.79</v>
      </c>
      <c r="L2427" t="str">
        <f t="shared" si="75"/>
        <v>Banca Sannita|16|Prestiti</v>
      </c>
    </row>
    <row r="2428" spans="1:12" x14ac:dyDescent="0.25">
      <c r="A2428" t="s">
        <v>32</v>
      </c>
      <c r="B2428">
        <v>16</v>
      </c>
      <c r="C2428" t="s">
        <v>16</v>
      </c>
      <c r="D2428" s="1">
        <v>45777</v>
      </c>
      <c r="E2428">
        <v>1492.9</v>
      </c>
      <c r="F2428">
        <v>73.73</v>
      </c>
      <c r="G2428">
        <v>45.6</v>
      </c>
      <c r="H2428">
        <v>158</v>
      </c>
      <c r="I2428" t="s">
        <v>31</v>
      </c>
      <c r="J2428">
        <v>2025</v>
      </c>
      <c r="K2428">
        <f t="shared" si="74"/>
        <v>28.130000000000003</v>
      </c>
      <c r="L2428" t="str">
        <f t="shared" si="75"/>
        <v>Banca Sannita|16|Conti</v>
      </c>
    </row>
    <row r="2429" spans="1:12" x14ac:dyDescent="0.25">
      <c r="A2429" t="s">
        <v>32</v>
      </c>
      <c r="B2429">
        <v>16</v>
      </c>
      <c r="C2429" t="s">
        <v>17</v>
      </c>
      <c r="D2429" s="1">
        <v>45777</v>
      </c>
      <c r="E2429">
        <v>1809.5</v>
      </c>
      <c r="F2429">
        <v>92.79</v>
      </c>
      <c r="G2429">
        <v>56.8</v>
      </c>
      <c r="H2429">
        <v>193</v>
      </c>
      <c r="I2429" t="s">
        <v>31</v>
      </c>
      <c r="J2429">
        <v>2025</v>
      </c>
      <c r="K2429">
        <f t="shared" si="74"/>
        <v>35.990000000000009</v>
      </c>
      <c r="L2429" t="str">
        <f t="shared" si="75"/>
        <v>Banca Sannita|16|Carte</v>
      </c>
    </row>
    <row r="2430" spans="1:12" x14ac:dyDescent="0.25">
      <c r="A2430" t="s">
        <v>32</v>
      </c>
      <c r="B2430">
        <v>16</v>
      </c>
      <c r="C2430" t="s">
        <v>18</v>
      </c>
      <c r="D2430" s="1">
        <v>45777</v>
      </c>
      <c r="E2430">
        <v>2140.6</v>
      </c>
      <c r="F2430">
        <v>114.02</v>
      </c>
      <c r="G2430">
        <v>68.92</v>
      </c>
      <c r="H2430">
        <v>201</v>
      </c>
      <c r="I2430" t="s">
        <v>31</v>
      </c>
      <c r="J2430">
        <v>2025</v>
      </c>
      <c r="K2430">
        <f t="shared" si="74"/>
        <v>45.099999999999994</v>
      </c>
      <c r="L2430" t="str">
        <f t="shared" si="75"/>
        <v>Banca Sannita|16|Leasing</v>
      </c>
    </row>
    <row r="2431" spans="1:12" x14ac:dyDescent="0.25">
      <c r="A2431" t="s">
        <v>32</v>
      </c>
      <c r="B2431">
        <v>16</v>
      </c>
      <c r="C2431" t="s">
        <v>19</v>
      </c>
      <c r="D2431" s="1">
        <v>45777</v>
      </c>
      <c r="E2431">
        <v>2452.8000000000002</v>
      </c>
      <c r="F2431">
        <v>135.24</v>
      </c>
      <c r="G2431">
        <v>81.28</v>
      </c>
      <c r="H2431">
        <v>242</v>
      </c>
      <c r="I2431" t="s">
        <v>31</v>
      </c>
      <c r="J2431">
        <v>2025</v>
      </c>
      <c r="K2431">
        <f t="shared" si="74"/>
        <v>53.960000000000008</v>
      </c>
      <c r="L2431" t="str">
        <f t="shared" si="75"/>
        <v>Banca Sannita|16|Factoring</v>
      </c>
    </row>
    <row r="2432" spans="1:12" x14ac:dyDescent="0.25">
      <c r="A2432" t="s">
        <v>32</v>
      </c>
      <c r="B2432">
        <v>16</v>
      </c>
      <c r="C2432" t="s">
        <v>20</v>
      </c>
      <c r="D2432" s="1">
        <v>45777</v>
      </c>
      <c r="E2432">
        <v>2782.3</v>
      </c>
      <c r="F2432">
        <v>159.16</v>
      </c>
      <c r="G2432">
        <v>94.65</v>
      </c>
      <c r="H2432">
        <v>282</v>
      </c>
      <c r="I2432" t="s">
        <v>31</v>
      </c>
      <c r="J2432">
        <v>2025</v>
      </c>
      <c r="K2432">
        <f t="shared" si="74"/>
        <v>64.509999999999991</v>
      </c>
      <c r="L2432" t="str">
        <f t="shared" si="75"/>
        <v>Banca Sannita|16|Risparmio</v>
      </c>
    </row>
    <row r="2433" spans="1:12" x14ac:dyDescent="0.25">
      <c r="A2433" t="s">
        <v>32</v>
      </c>
      <c r="B2433">
        <v>16</v>
      </c>
      <c r="C2433" t="s">
        <v>21</v>
      </c>
      <c r="D2433" s="1">
        <v>45777</v>
      </c>
      <c r="E2433">
        <v>3091.7</v>
      </c>
      <c r="F2433">
        <v>183.16</v>
      </c>
      <c r="G2433">
        <v>108.25</v>
      </c>
      <c r="H2433">
        <v>275</v>
      </c>
      <c r="I2433" t="s">
        <v>31</v>
      </c>
      <c r="J2433">
        <v>2025</v>
      </c>
      <c r="K2433">
        <f t="shared" si="74"/>
        <v>74.91</v>
      </c>
      <c r="L2433" t="str">
        <f t="shared" si="75"/>
        <v>Banca Sannita|16|Assicurazioni</v>
      </c>
    </row>
    <row r="2434" spans="1:12" x14ac:dyDescent="0.25">
      <c r="A2434" t="s">
        <v>32</v>
      </c>
      <c r="B2434">
        <v>17</v>
      </c>
      <c r="C2434" t="s">
        <v>13</v>
      </c>
      <c r="D2434" s="1">
        <v>45808</v>
      </c>
      <c r="E2434">
        <v>834.1</v>
      </c>
      <c r="F2434">
        <v>37.86</v>
      </c>
      <c r="G2434">
        <v>23.45</v>
      </c>
      <c r="H2434">
        <v>90</v>
      </c>
      <c r="I2434" t="s">
        <v>31</v>
      </c>
      <c r="J2434">
        <v>2025</v>
      </c>
      <c r="K2434">
        <f t="shared" ref="K2434:K2497" si="76">F2434-G2434</f>
        <v>14.41</v>
      </c>
      <c r="L2434" t="str">
        <f t="shared" ref="L2434:L2497" si="77">A2434&amp;"|"&amp;B2434&amp;"|"&amp;C2434</f>
        <v>Banca Sannita|17|Mutui</v>
      </c>
    </row>
    <row r="2435" spans="1:12" x14ac:dyDescent="0.25">
      <c r="A2435" t="s">
        <v>32</v>
      </c>
      <c r="B2435">
        <v>17</v>
      </c>
      <c r="C2435" t="s">
        <v>15</v>
      </c>
      <c r="D2435" s="1">
        <v>45808</v>
      </c>
      <c r="E2435">
        <v>1167.0999999999999</v>
      </c>
      <c r="F2435">
        <v>55.53</v>
      </c>
      <c r="G2435">
        <v>34.04</v>
      </c>
      <c r="H2435">
        <v>116</v>
      </c>
      <c r="I2435" t="s">
        <v>31</v>
      </c>
      <c r="J2435">
        <v>2025</v>
      </c>
      <c r="K2435">
        <f t="shared" si="76"/>
        <v>21.490000000000002</v>
      </c>
      <c r="L2435" t="str">
        <f t="shared" si="77"/>
        <v>Banca Sannita|17|Prestiti</v>
      </c>
    </row>
    <row r="2436" spans="1:12" x14ac:dyDescent="0.25">
      <c r="A2436" t="s">
        <v>32</v>
      </c>
      <c r="B2436">
        <v>17</v>
      </c>
      <c r="C2436" t="s">
        <v>16</v>
      </c>
      <c r="D2436" s="1">
        <v>45808</v>
      </c>
      <c r="E2436">
        <v>1489.2</v>
      </c>
      <c r="F2436">
        <v>73.010000000000005</v>
      </c>
      <c r="G2436">
        <v>45.09</v>
      </c>
      <c r="H2436">
        <v>149</v>
      </c>
      <c r="I2436" t="s">
        <v>31</v>
      </c>
      <c r="J2436">
        <v>2025</v>
      </c>
      <c r="K2436">
        <f t="shared" si="76"/>
        <v>27.92</v>
      </c>
      <c r="L2436" t="str">
        <f t="shared" si="77"/>
        <v>Banca Sannita|17|Conti</v>
      </c>
    </row>
    <row r="2437" spans="1:12" x14ac:dyDescent="0.25">
      <c r="A2437" t="s">
        <v>32</v>
      </c>
      <c r="B2437">
        <v>17</v>
      </c>
      <c r="C2437" t="s">
        <v>17</v>
      </c>
      <c r="D2437" s="1">
        <v>45808</v>
      </c>
      <c r="E2437">
        <v>1811.7</v>
      </c>
      <c r="F2437">
        <v>93.39</v>
      </c>
      <c r="G2437">
        <v>56.49</v>
      </c>
      <c r="H2437">
        <v>197</v>
      </c>
      <c r="I2437" t="s">
        <v>31</v>
      </c>
      <c r="J2437">
        <v>2025</v>
      </c>
      <c r="K2437">
        <f t="shared" si="76"/>
        <v>36.9</v>
      </c>
      <c r="L2437" t="str">
        <f t="shared" si="77"/>
        <v>Banca Sannita|17|Carte</v>
      </c>
    </row>
    <row r="2438" spans="1:12" x14ac:dyDescent="0.25">
      <c r="A2438" t="s">
        <v>32</v>
      </c>
      <c r="B2438">
        <v>17</v>
      </c>
      <c r="C2438" t="s">
        <v>18</v>
      </c>
      <c r="D2438" s="1">
        <v>45808</v>
      </c>
      <c r="E2438">
        <v>2175.9</v>
      </c>
      <c r="F2438">
        <v>115.75</v>
      </c>
      <c r="G2438">
        <v>69.83</v>
      </c>
      <c r="H2438">
        <v>229</v>
      </c>
      <c r="I2438" t="s">
        <v>31</v>
      </c>
      <c r="J2438">
        <v>2025</v>
      </c>
      <c r="K2438">
        <f t="shared" si="76"/>
        <v>45.92</v>
      </c>
      <c r="L2438" t="str">
        <f t="shared" si="77"/>
        <v>Banca Sannita|17|Leasing</v>
      </c>
    </row>
    <row r="2439" spans="1:12" x14ac:dyDescent="0.25">
      <c r="A2439" t="s">
        <v>32</v>
      </c>
      <c r="B2439">
        <v>17</v>
      </c>
      <c r="C2439" t="s">
        <v>19</v>
      </c>
      <c r="D2439" s="1">
        <v>45808</v>
      </c>
      <c r="E2439">
        <v>2474.1999999999998</v>
      </c>
      <c r="F2439">
        <v>136.61000000000001</v>
      </c>
      <c r="G2439">
        <v>82.55</v>
      </c>
      <c r="H2439">
        <v>230</v>
      </c>
      <c r="I2439" t="s">
        <v>31</v>
      </c>
      <c r="J2439">
        <v>2025</v>
      </c>
      <c r="K2439">
        <f t="shared" si="76"/>
        <v>54.060000000000016</v>
      </c>
      <c r="L2439" t="str">
        <f t="shared" si="77"/>
        <v>Banca Sannita|17|Factoring</v>
      </c>
    </row>
    <row r="2440" spans="1:12" x14ac:dyDescent="0.25">
      <c r="A2440" t="s">
        <v>32</v>
      </c>
      <c r="B2440">
        <v>17</v>
      </c>
      <c r="C2440" t="s">
        <v>20</v>
      </c>
      <c r="D2440" s="1">
        <v>45808</v>
      </c>
      <c r="E2440">
        <v>2817.9</v>
      </c>
      <c r="F2440">
        <v>161.08000000000001</v>
      </c>
      <c r="G2440">
        <v>96.5</v>
      </c>
      <c r="H2440">
        <v>276</v>
      </c>
      <c r="I2440" t="s">
        <v>31</v>
      </c>
      <c r="J2440">
        <v>2025</v>
      </c>
      <c r="K2440">
        <f t="shared" si="76"/>
        <v>64.580000000000013</v>
      </c>
      <c r="L2440" t="str">
        <f t="shared" si="77"/>
        <v>Banca Sannita|17|Risparmio</v>
      </c>
    </row>
    <row r="2441" spans="1:12" x14ac:dyDescent="0.25">
      <c r="A2441" t="s">
        <v>32</v>
      </c>
      <c r="B2441">
        <v>17</v>
      </c>
      <c r="C2441" t="s">
        <v>21</v>
      </c>
      <c r="D2441" s="1">
        <v>45808</v>
      </c>
      <c r="E2441">
        <v>3149.7</v>
      </c>
      <c r="F2441">
        <v>186.3</v>
      </c>
      <c r="G2441">
        <v>110.28</v>
      </c>
      <c r="H2441">
        <v>278</v>
      </c>
      <c r="I2441" t="s">
        <v>31</v>
      </c>
      <c r="J2441">
        <v>2025</v>
      </c>
      <c r="K2441">
        <f t="shared" si="76"/>
        <v>76.02000000000001</v>
      </c>
      <c r="L2441" t="str">
        <f t="shared" si="77"/>
        <v>Banca Sannita|17|Assicurazioni</v>
      </c>
    </row>
    <row r="2442" spans="1:12" x14ac:dyDescent="0.25">
      <c r="A2442" t="s">
        <v>32</v>
      </c>
      <c r="B2442">
        <v>18</v>
      </c>
      <c r="C2442" t="s">
        <v>13</v>
      </c>
      <c r="D2442" s="1">
        <v>45838</v>
      </c>
      <c r="E2442">
        <v>891.3</v>
      </c>
      <c r="F2442">
        <v>40.25</v>
      </c>
      <c r="G2442">
        <v>24.97</v>
      </c>
      <c r="H2442">
        <v>92</v>
      </c>
      <c r="I2442" t="s">
        <v>31</v>
      </c>
      <c r="J2442">
        <v>2025</v>
      </c>
      <c r="K2442">
        <f t="shared" si="76"/>
        <v>15.280000000000001</v>
      </c>
      <c r="L2442" t="str">
        <f t="shared" si="77"/>
        <v>Banca Sannita|18|Mutui</v>
      </c>
    </row>
    <row r="2443" spans="1:12" x14ac:dyDescent="0.25">
      <c r="A2443" t="s">
        <v>32</v>
      </c>
      <c r="B2443">
        <v>18</v>
      </c>
      <c r="C2443" t="s">
        <v>15</v>
      </c>
      <c r="D2443" s="1">
        <v>45838</v>
      </c>
      <c r="E2443">
        <v>1166.9000000000001</v>
      </c>
      <c r="F2443">
        <v>55.01</v>
      </c>
      <c r="G2443">
        <v>34.47</v>
      </c>
      <c r="H2443">
        <v>133</v>
      </c>
      <c r="I2443" t="s">
        <v>31</v>
      </c>
      <c r="J2443">
        <v>2025</v>
      </c>
      <c r="K2443">
        <f t="shared" si="76"/>
        <v>20.54</v>
      </c>
      <c r="L2443" t="str">
        <f t="shared" si="77"/>
        <v>Banca Sannita|18|Prestiti</v>
      </c>
    </row>
    <row r="2444" spans="1:12" x14ac:dyDescent="0.25">
      <c r="A2444" t="s">
        <v>32</v>
      </c>
      <c r="B2444">
        <v>18</v>
      </c>
      <c r="C2444" t="s">
        <v>16</v>
      </c>
      <c r="D2444" s="1">
        <v>45838</v>
      </c>
      <c r="E2444">
        <v>1513.9</v>
      </c>
      <c r="F2444">
        <v>74.61</v>
      </c>
      <c r="G2444">
        <v>45.55</v>
      </c>
      <c r="H2444">
        <v>138</v>
      </c>
      <c r="I2444" t="s">
        <v>31</v>
      </c>
      <c r="J2444">
        <v>2025</v>
      </c>
      <c r="K2444">
        <f t="shared" si="76"/>
        <v>29.060000000000002</v>
      </c>
      <c r="L2444" t="str">
        <f t="shared" si="77"/>
        <v>Banca Sannita|18|Conti</v>
      </c>
    </row>
    <row r="2445" spans="1:12" x14ac:dyDescent="0.25">
      <c r="A2445" t="s">
        <v>32</v>
      </c>
      <c r="B2445">
        <v>18</v>
      </c>
      <c r="C2445" t="s">
        <v>17</v>
      </c>
      <c r="D2445" s="1">
        <v>45838</v>
      </c>
      <c r="E2445">
        <v>1871.8</v>
      </c>
      <c r="F2445">
        <v>95.58</v>
      </c>
      <c r="G2445">
        <v>58.13</v>
      </c>
      <c r="H2445">
        <v>197</v>
      </c>
      <c r="I2445" t="s">
        <v>31</v>
      </c>
      <c r="J2445">
        <v>2025</v>
      </c>
      <c r="K2445">
        <f t="shared" si="76"/>
        <v>37.449999999999996</v>
      </c>
      <c r="L2445" t="str">
        <f t="shared" si="77"/>
        <v>Banca Sannita|18|Carte</v>
      </c>
    </row>
    <row r="2446" spans="1:12" x14ac:dyDescent="0.25">
      <c r="A2446" t="s">
        <v>32</v>
      </c>
      <c r="B2446">
        <v>18</v>
      </c>
      <c r="C2446" t="s">
        <v>18</v>
      </c>
      <c r="D2446" s="1">
        <v>45838</v>
      </c>
      <c r="E2446">
        <v>2198</v>
      </c>
      <c r="F2446">
        <v>117.27</v>
      </c>
      <c r="G2446">
        <v>71.22</v>
      </c>
      <c r="H2446">
        <v>211</v>
      </c>
      <c r="I2446" t="s">
        <v>31</v>
      </c>
      <c r="J2446">
        <v>2025</v>
      </c>
      <c r="K2446">
        <f t="shared" si="76"/>
        <v>46.05</v>
      </c>
      <c r="L2446" t="str">
        <f t="shared" si="77"/>
        <v>Banca Sannita|18|Leasing</v>
      </c>
    </row>
    <row r="2447" spans="1:12" x14ac:dyDescent="0.25">
      <c r="A2447" t="s">
        <v>32</v>
      </c>
      <c r="B2447">
        <v>18</v>
      </c>
      <c r="C2447" t="s">
        <v>19</v>
      </c>
      <c r="D2447" s="1">
        <v>45838</v>
      </c>
      <c r="E2447">
        <v>2483.4</v>
      </c>
      <c r="F2447">
        <v>136.94</v>
      </c>
      <c r="G2447">
        <v>82.6</v>
      </c>
      <c r="H2447">
        <v>237</v>
      </c>
      <c r="I2447" t="s">
        <v>31</v>
      </c>
      <c r="J2447">
        <v>2025</v>
      </c>
      <c r="K2447">
        <f t="shared" si="76"/>
        <v>54.34</v>
      </c>
      <c r="L2447" t="str">
        <f t="shared" si="77"/>
        <v>Banca Sannita|18|Factoring</v>
      </c>
    </row>
    <row r="2448" spans="1:12" x14ac:dyDescent="0.25">
      <c r="A2448" t="s">
        <v>32</v>
      </c>
      <c r="B2448">
        <v>18</v>
      </c>
      <c r="C2448" t="s">
        <v>20</v>
      </c>
      <c r="D2448" s="1">
        <v>45838</v>
      </c>
      <c r="E2448">
        <v>2826.2</v>
      </c>
      <c r="F2448">
        <v>162.04</v>
      </c>
      <c r="G2448">
        <v>96.32</v>
      </c>
      <c r="H2448">
        <v>246</v>
      </c>
      <c r="I2448" t="s">
        <v>31</v>
      </c>
      <c r="J2448">
        <v>2025</v>
      </c>
      <c r="K2448">
        <f t="shared" si="76"/>
        <v>65.72</v>
      </c>
      <c r="L2448" t="str">
        <f t="shared" si="77"/>
        <v>Banca Sannita|18|Risparmio</v>
      </c>
    </row>
    <row r="2449" spans="1:12" x14ac:dyDescent="0.25">
      <c r="A2449" t="s">
        <v>32</v>
      </c>
      <c r="B2449">
        <v>18</v>
      </c>
      <c r="C2449" t="s">
        <v>21</v>
      </c>
      <c r="D2449" s="1">
        <v>45838</v>
      </c>
      <c r="E2449">
        <v>3128</v>
      </c>
      <c r="F2449">
        <v>184.97</v>
      </c>
      <c r="G2449">
        <v>110.27</v>
      </c>
      <c r="H2449">
        <v>312</v>
      </c>
      <c r="I2449" t="s">
        <v>31</v>
      </c>
      <c r="J2449">
        <v>2025</v>
      </c>
      <c r="K2449">
        <f t="shared" si="76"/>
        <v>74.7</v>
      </c>
      <c r="L2449" t="str">
        <f t="shared" si="77"/>
        <v>Banca Sannita|18|Assicurazioni</v>
      </c>
    </row>
    <row r="2450" spans="1:12" x14ac:dyDescent="0.25">
      <c r="A2450" t="s">
        <v>32</v>
      </c>
      <c r="B2450">
        <v>19</v>
      </c>
      <c r="C2450" t="s">
        <v>13</v>
      </c>
      <c r="D2450" s="1">
        <v>45869</v>
      </c>
      <c r="E2450">
        <v>875.7</v>
      </c>
      <c r="F2450">
        <v>40.31</v>
      </c>
      <c r="G2450">
        <v>24.7</v>
      </c>
      <c r="H2450">
        <v>111</v>
      </c>
      <c r="I2450" t="s">
        <v>31</v>
      </c>
      <c r="J2450">
        <v>2025</v>
      </c>
      <c r="K2450">
        <f t="shared" si="76"/>
        <v>15.610000000000003</v>
      </c>
      <c r="L2450" t="str">
        <f t="shared" si="77"/>
        <v>Banca Sannita|19|Mutui</v>
      </c>
    </row>
    <row r="2451" spans="1:12" x14ac:dyDescent="0.25">
      <c r="A2451" t="s">
        <v>32</v>
      </c>
      <c r="B2451">
        <v>19</v>
      </c>
      <c r="C2451" t="s">
        <v>15</v>
      </c>
      <c r="D2451" s="1">
        <v>45869</v>
      </c>
      <c r="E2451">
        <v>1183.8</v>
      </c>
      <c r="F2451">
        <v>55.97</v>
      </c>
      <c r="G2451">
        <v>34.880000000000003</v>
      </c>
      <c r="H2451">
        <v>135</v>
      </c>
      <c r="I2451" t="s">
        <v>31</v>
      </c>
      <c r="J2451">
        <v>2025</v>
      </c>
      <c r="K2451">
        <f t="shared" si="76"/>
        <v>21.089999999999996</v>
      </c>
      <c r="L2451" t="str">
        <f t="shared" si="77"/>
        <v>Banca Sannita|19|Prestiti</v>
      </c>
    </row>
    <row r="2452" spans="1:12" x14ac:dyDescent="0.25">
      <c r="A2452" t="s">
        <v>32</v>
      </c>
      <c r="B2452">
        <v>19</v>
      </c>
      <c r="C2452" t="s">
        <v>16</v>
      </c>
      <c r="D2452" s="1">
        <v>45869</v>
      </c>
      <c r="E2452">
        <v>1545.4</v>
      </c>
      <c r="F2452">
        <v>76.09</v>
      </c>
      <c r="G2452">
        <v>46.49</v>
      </c>
      <c r="H2452">
        <v>137</v>
      </c>
      <c r="I2452" t="s">
        <v>31</v>
      </c>
      <c r="J2452">
        <v>2025</v>
      </c>
      <c r="K2452">
        <f t="shared" si="76"/>
        <v>29.6</v>
      </c>
      <c r="L2452" t="str">
        <f t="shared" si="77"/>
        <v>Banca Sannita|19|Conti</v>
      </c>
    </row>
    <row r="2453" spans="1:12" x14ac:dyDescent="0.25">
      <c r="A2453" t="s">
        <v>32</v>
      </c>
      <c r="B2453">
        <v>19</v>
      </c>
      <c r="C2453" t="s">
        <v>17</v>
      </c>
      <c r="D2453" s="1">
        <v>45869</v>
      </c>
      <c r="E2453">
        <v>1881.5</v>
      </c>
      <c r="F2453">
        <v>96.21</v>
      </c>
      <c r="G2453">
        <v>58.8</v>
      </c>
      <c r="H2453">
        <v>165</v>
      </c>
      <c r="I2453" t="s">
        <v>31</v>
      </c>
      <c r="J2453">
        <v>2025</v>
      </c>
      <c r="K2453">
        <f t="shared" si="76"/>
        <v>37.409999999999997</v>
      </c>
      <c r="L2453" t="str">
        <f t="shared" si="77"/>
        <v>Banca Sannita|19|Carte</v>
      </c>
    </row>
    <row r="2454" spans="1:12" x14ac:dyDescent="0.25">
      <c r="A2454" t="s">
        <v>32</v>
      </c>
      <c r="B2454">
        <v>19</v>
      </c>
      <c r="C2454" t="s">
        <v>18</v>
      </c>
      <c r="D2454" s="1">
        <v>45869</v>
      </c>
      <c r="E2454">
        <v>2158.8000000000002</v>
      </c>
      <c r="F2454">
        <v>114.93</v>
      </c>
      <c r="G2454">
        <v>69.23</v>
      </c>
      <c r="H2454">
        <v>194</v>
      </c>
      <c r="I2454" t="s">
        <v>31</v>
      </c>
      <c r="J2454">
        <v>2025</v>
      </c>
      <c r="K2454">
        <f t="shared" si="76"/>
        <v>45.7</v>
      </c>
      <c r="L2454" t="str">
        <f t="shared" si="77"/>
        <v>Banca Sannita|19|Leasing</v>
      </c>
    </row>
    <row r="2455" spans="1:12" x14ac:dyDescent="0.25">
      <c r="A2455" t="s">
        <v>32</v>
      </c>
      <c r="B2455">
        <v>19</v>
      </c>
      <c r="C2455" t="s">
        <v>19</v>
      </c>
      <c r="D2455" s="1">
        <v>45869</v>
      </c>
      <c r="E2455">
        <v>2540.4</v>
      </c>
      <c r="F2455">
        <v>139.91999999999999</v>
      </c>
      <c r="G2455">
        <v>83.96</v>
      </c>
      <c r="H2455">
        <v>254</v>
      </c>
      <c r="I2455" t="s">
        <v>31</v>
      </c>
      <c r="J2455">
        <v>2025</v>
      </c>
      <c r="K2455">
        <f t="shared" si="76"/>
        <v>55.959999999999994</v>
      </c>
      <c r="L2455" t="str">
        <f t="shared" si="77"/>
        <v>Banca Sannita|19|Factoring</v>
      </c>
    </row>
    <row r="2456" spans="1:12" x14ac:dyDescent="0.25">
      <c r="A2456" t="s">
        <v>32</v>
      </c>
      <c r="B2456">
        <v>19</v>
      </c>
      <c r="C2456" t="s">
        <v>20</v>
      </c>
      <c r="D2456" s="1">
        <v>45869</v>
      </c>
      <c r="E2456">
        <v>2812.2</v>
      </c>
      <c r="F2456">
        <v>160.62</v>
      </c>
      <c r="G2456">
        <v>95.79</v>
      </c>
      <c r="H2456">
        <v>260</v>
      </c>
      <c r="I2456" t="s">
        <v>31</v>
      </c>
      <c r="J2456">
        <v>2025</v>
      </c>
      <c r="K2456">
        <f t="shared" si="76"/>
        <v>64.83</v>
      </c>
      <c r="L2456" t="str">
        <f t="shared" si="77"/>
        <v>Banca Sannita|19|Risparmio</v>
      </c>
    </row>
    <row r="2457" spans="1:12" x14ac:dyDescent="0.25">
      <c r="A2457" t="s">
        <v>32</v>
      </c>
      <c r="B2457">
        <v>19</v>
      </c>
      <c r="C2457" t="s">
        <v>21</v>
      </c>
      <c r="D2457" s="1">
        <v>45869</v>
      </c>
      <c r="E2457">
        <v>3191.2</v>
      </c>
      <c r="F2457">
        <v>188.87</v>
      </c>
      <c r="G2457">
        <v>111.7</v>
      </c>
      <c r="H2457">
        <v>287</v>
      </c>
      <c r="I2457" t="s">
        <v>31</v>
      </c>
      <c r="J2457">
        <v>2025</v>
      </c>
      <c r="K2457">
        <f t="shared" si="76"/>
        <v>77.17</v>
      </c>
      <c r="L2457" t="str">
        <f t="shared" si="77"/>
        <v>Banca Sannita|19|Assicurazioni</v>
      </c>
    </row>
    <row r="2458" spans="1:12" x14ac:dyDescent="0.25">
      <c r="A2458" t="s">
        <v>32</v>
      </c>
      <c r="B2458">
        <v>20</v>
      </c>
      <c r="C2458" t="s">
        <v>13</v>
      </c>
      <c r="D2458" s="1">
        <v>45900</v>
      </c>
      <c r="E2458">
        <v>900.4</v>
      </c>
      <c r="F2458">
        <v>41.32</v>
      </c>
      <c r="G2458">
        <v>26.07</v>
      </c>
      <c r="H2458">
        <v>104</v>
      </c>
      <c r="I2458" t="s">
        <v>31</v>
      </c>
      <c r="J2458">
        <v>2025</v>
      </c>
      <c r="K2458">
        <f t="shared" si="76"/>
        <v>15.25</v>
      </c>
      <c r="L2458" t="str">
        <f t="shared" si="77"/>
        <v>Banca Sannita|20|Mutui</v>
      </c>
    </row>
    <row r="2459" spans="1:12" x14ac:dyDescent="0.25">
      <c r="A2459" t="s">
        <v>32</v>
      </c>
      <c r="B2459">
        <v>20</v>
      </c>
      <c r="C2459" t="s">
        <v>15</v>
      </c>
      <c r="D2459" s="1">
        <v>45900</v>
      </c>
      <c r="E2459">
        <v>1188.7</v>
      </c>
      <c r="F2459">
        <v>56.69</v>
      </c>
      <c r="G2459">
        <v>34.590000000000003</v>
      </c>
      <c r="H2459">
        <v>107</v>
      </c>
      <c r="I2459" t="s">
        <v>31</v>
      </c>
      <c r="J2459">
        <v>2025</v>
      </c>
      <c r="K2459">
        <f t="shared" si="76"/>
        <v>22.099999999999994</v>
      </c>
      <c r="L2459" t="str">
        <f t="shared" si="77"/>
        <v>Banca Sannita|20|Prestiti</v>
      </c>
    </row>
    <row r="2460" spans="1:12" x14ac:dyDescent="0.25">
      <c r="A2460" t="s">
        <v>32</v>
      </c>
      <c r="B2460">
        <v>20</v>
      </c>
      <c r="C2460" t="s">
        <v>16</v>
      </c>
      <c r="D2460" s="1">
        <v>45900</v>
      </c>
      <c r="E2460">
        <v>1529.2</v>
      </c>
      <c r="F2460">
        <v>75.87</v>
      </c>
      <c r="G2460">
        <v>46.56</v>
      </c>
      <c r="H2460">
        <v>167</v>
      </c>
      <c r="I2460" t="s">
        <v>31</v>
      </c>
      <c r="J2460">
        <v>2025</v>
      </c>
      <c r="K2460">
        <f t="shared" si="76"/>
        <v>29.310000000000002</v>
      </c>
      <c r="L2460" t="str">
        <f t="shared" si="77"/>
        <v>Banca Sannita|20|Conti</v>
      </c>
    </row>
    <row r="2461" spans="1:12" x14ac:dyDescent="0.25">
      <c r="A2461" t="s">
        <v>32</v>
      </c>
      <c r="B2461">
        <v>20</v>
      </c>
      <c r="C2461" t="s">
        <v>17</v>
      </c>
      <c r="D2461" s="1">
        <v>45900</v>
      </c>
      <c r="E2461">
        <v>1898</v>
      </c>
      <c r="F2461">
        <v>97.55</v>
      </c>
      <c r="G2461">
        <v>58.91</v>
      </c>
      <c r="H2461">
        <v>197</v>
      </c>
      <c r="I2461" t="s">
        <v>31</v>
      </c>
      <c r="J2461">
        <v>2025</v>
      </c>
      <c r="K2461">
        <f t="shared" si="76"/>
        <v>38.64</v>
      </c>
      <c r="L2461" t="str">
        <f t="shared" si="77"/>
        <v>Banca Sannita|20|Carte</v>
      </c>
    </row>
    <row r="2462" spans="1:12" x14ac:dyDescent="0.25">
      <c r="A2462" t="s">
        <v>32</v>
      </c>
      <c r="B2462">
        <v>20</v>
      </c>
      <c r="C2462" t="s">
        <v>18</v>
      </c>
      <c r="D2462" s="1">
        <v>45900</v>
      </c>
      <c r="E2462">
        <v>2204.6</v>
      </c>
      <c r="F2462">
        <v>117.05</v>
      </c>
      <c r="G2462">
        <v>71.180000000000007</v>
      </c>
      <c r="H2462">
        <v>220</v>
      </c>
      <c r="I2462" t="s">
        <v>31</v>
      </c>
      <c r="J2462">
        <v>2025</v>
      </c>
      <c r="K2462">
        <f t="shared" si="76"/>
        <v>45.86999999999999</v>
      </c>
      <c r="L2462" t="str">
        <f t="shared" si="77"/>
        <v>Banca Sannita|20|Leasing</v>
      </c>
    </row>
    <row r="2463" spans="1:12" x14ac:dyDescent="0.25">
      <c r="A2463" t="s">
        <v>32</v>
      </c>
      <c r="B2463">
        <v>20</v>
      </c>
      <c r="C2463" t="s">
        <v>19</v>
      </c>
      <c r="D2463" s="1">
        <v>45900</v>
      </c>
      <c r="E2463">
        <v>2499.4</v>
      </c>
      <c r="F2463">
        <v>137.65</v>
      </c>
      <c r="G2463">
        <v>83.24</v>
      </c>
      <c r="H2463">
        <v>226</v>
      </c>
      <c r="I2463" t="s">
        <v>31</v>
      </c>
      <c r="J2463">
        <v>2025</v>
      </c>
      <c r="K2463">
        <f t="shared" si="76"/>
        <v>54.410000000000011</v>
      </c>
      <c r="L2463" t="str">
        <f t="shared" si="77"/>
        <v>Banca Sannita|20|Factoring</v>
      </c>
    </row>
    <row r="2464" spans="1:12" x14ac:dyDescent="0.25">
      <c r="A2464" t="s">
        <v>32</v>
      </c>
      <c r="B2464">
        <v>20</v>
      </c>
      <c r="C2464" t="s">
        <v>20</v>
      </c>
      <c r="D2464" s="1">
        <v>45900</v>
      </c>
      <c r="E2464">
        <v>2879.5</v>
      </c>
      <c r="F2464">
        <v>164.38</v>
      </c>
      <c r="G2464">
        <v>98.06</v>
      </c>
      <c r="H2464">
        <v>256</v>
      </c>
      <c r="I2464" t="s">
        <v>31</v>
      </c>
      <c r="J2464">
        <v>2025</v>
      </c>
      <c r="K2464">
        <f t="shared" si="76"/>
        <v>66.319999999999993</v>
      </c>
      <c r="L2464" t="str">
        <f t="shared" si="77"/>
        <v>Banca Sannita|20|Risparmio</v>
      </c>
    </row>
    <row r="2465" spans="1:12" x14ac:dyDescent="0.25">
      <c r="A2465" t="s">
        <v>32</v>
      </c>
      <c r="B2465">
        <v>20</v>
      </c>
      <c r="C2465" t="s">
        <v>21</v>
      </c>
      <c r="D2465" s="1">
        <v>45900</v>
      </c>
      <c r="E2465">
        <v>3182.8</v>
      </c>
      <c r="F2465">
        <v>188.45</v>
      </c>
      <c r="G2465">
        <v>111.84</v>
      </c>
      <c r="H2465">
        <v>313</v>
      </c>
      <c r="I2465" t="s">
        <v>31</v>
      </c>
      <c r="J2465">
        <v>2025</v>
      </c>
      <c r="K2465">
        <f t="shared" si="76"/>
        <v>76.609999999999985</v>
      </c>
      <c r="L2465" t="str">
        <f t="shared" si="77"/>
        <v>Banca Sannita|20|Assicurazioni</v>
      </c>
    </row>
    <row r="2466" spans="1:12" x14ac:dyDescent="0.25">
      <c r="A2466" t="s">
        <v>32</v>
      </c>
      <c r="B2466">
        <v>21</v>
      </c>
      <c r="C2466" t="s">
        <v>13</v>
      </c>
      <c r="D2466" s="1">
        <v>45930</v>
      </c>
      <c r="E2466">
        <v>909.6</v>
      </c>
      <c r="F2466">
        <v>41.01</v>
      </c>
      <c r="G2466">
        <v>25.49</v>
      </c>
      <c r="H2466">
        <v>99</v>
      </c>
      <c r="I2466" t="s">
        <v>31</v>
      </c>
      <c r="J2466">
        <v>2025</v>
      </c>
      <c r="K2466">
        <f t="shared" si="76"/>
        <v>15.52</v>
      </c>
      <c r="L2466" t="str">
        <f t="shared" si="77"/>
        <v>Banca Sannita|21|Mutui</v>
      </c>
    </row>
    <row r="2467" spans="1:12" x14ac:dyDescent="0.25">
      <c r="A2467" t="s">
        <v>32</v>
      </c>
      <c r="B2467">
        <v>21</v>
      </c>
      <c r="C2467" t="s">
        <v>15</v>
      </c>
      <c r="D2467" s="1">
        <v>45930</v>
      </c>
      <c r="E2467">
        <v>1209.8</v>
      </c>
      <c r="F2467">
        <v>57.5</v>
      </c>
      <c r="G2467">
        <v>35.4</v>
      </c>
      <c r="H2467">
        <v>119</v>
      </c>
      <c r="I2467" t="s">
        <v>31</v>
      </c>
      <c r="J2467">
        <v>2025</v>
      </c>
      <c r="K2467">
        <f t="shared" si="76"/>
        <v>22.1</v>
      </c>
      <c r="L2467" t="str">
        <f t="shared" si="77"/>
        <v>Banca Sannita|21|Prestiti</v>
      </c>
    </row>
    <row r="2468" spans="1:12" x14ac:dyDescent="0.25">
      <c r="A2468" t="s">
        <v>32</v>
      </c>
      <c r="B2468">
        <v>21</v>
      </c>
      <c r="C2468" t="s">
        <v>16</v>
      </c>
      <c r="D2468" s="1">
        <v>45930</v>
      </c>
      <c r="E2468">
        <v>1540.5</v>
      </c>
      <c r="F2468">
        <v>76.010000000000005</v>
      </c>
      <c r="G2468">
        <v>46.31</v>
      </c>
      <c r="H2468">
        <v>162</v>
      </c>
      <c r="I2468" t="s">
        <v>31</v>
      </c>
      <c r="J2468">
        <v>2025</v>
      </c>
      <c r="K2468">
        <f t="shared" si="76"/>
        <v>29.700000000000003</v>
      </c>
      <c r="L2468" t="str">
        <f t="shared" si="77"/>
        <v>Banca Sannita|21|Conti</v>
      </c>
    </row>
    <row r="2469" spans="1:12" x14ac:dyDescent="0.25">
      <c r="A2469" t="s">
        <v>32</v>
      </c>
      <c r="B2469">
        <v>21</v>
      </c>
      <c r="C2469" t="s">
        <v>17</v>
      </c>
      <c r="D2469" s="1">
        <v>45930</v>
      </c>
      <c r="E2469">
        <v>1886.8</v>
      </c>
      <c r="F2469">
        <v>96.39</v>
      </c>
      <c r="G2469">
        <v>58.59</v>
      </c>
      <c r="H2469">
        <v>188</v>
      </c>
      <c r="I2469" t="s">
        <v>31</v>
      </c>
      <c r="J2469">
        <v>2025</v>
      </c>
      <c r="K2469">
        <f t="shared" si="76"/>
        <v>37.799999999999997</v>
      </c>
      <c r="L2469" t="str">
        <f t="shared" si="77"/>
        <v>Banca Sannita|21|Carte</v>
      </c>
    </row>
    <row r="2470" spans="1:12" x14ac:dyDescent="0.25">
      <c r="A2470" t="s">
        <v>32</v>
      </c>
      <c r="B2470">
        <v>21</v>
      </c>
      <c r="C2470" t="s">
        <v>18</v>
      </c>
      <c r="D2470" s="1">
        <v>45930</v>
      </c>
      <c r="E2470">
        <v>2187.4</v>
      </c>
      <c r="F2470">
        <v>116</v>
      </c>
      <c r="G2470">
        <v>70.89</v>
      </c>
      <c r="H2470">
        <v>200</v>
      </c>
      <c r="I2470" t="s">
        <v>31</v>
      </c>
      <c r="J2470">
        <v>2025</v>
      </c>
      <c r="K2470">
        <f t="shared" si="76"/>
        <v>45.11</v>
      </c>
      <c r="L2470" t="str">
        <f t="shared" si="77"/>
        <v>Banca Sannita|21|Leasing</v>
      </c>
    </row>
    <row r="2471" spans="1:12" x14ac:dyDescent="0.25">
      <c r="A2471" t="s">
        <v>32</v>
      </c>
      <c r="B2471">
        <v>21</v>
      </c>
      <c r="C2471" t="s">
        <v>19</v>
      </c>
      <c r="D2471" s="1">
        <v>45930</v>
      </c>
      <c r="E2471">
        <v>2518.1</v>
      </c>
      <c r="F2471">
        <v>139.27000000000001</v>
      </c>
      <c r="G2471">
        <v>83.52</v>
      </c>
      <c r="H2471">
        <v>236</v>
      </c>
      <c r="I2471" t="s">
        <v>31</v>
      </c>
      <c r="J2471">
        <v>2025</v>
      </c>
      <c r="K2471">
        <f t="shared" si="76"/>
        <v>55.750000000000014</v>
      </c>
      <c r="L2471" t="str">
        <f t="shared" si="77"/>
        <v>Banca Sannita|21|Factoring</v>
      </c>
    </row>
    <row r="2472" spans="1:12" x14ac:dyDescent="0.25">
      <c r="A2472" t="s">
        <v>32</v>
      </c>
      <c r="B2472">
        <v>21</v>
      </c>
      <c r="C2472" t="s">
        <v>20</v>
      </c>
      <c r="D2472" s="1">
        <v>45930</v>
      </c>
      <c r="E2472">
        <v>2861.8</v>
      </c>
      <c r="F2472">
        <v>163.43</v>
      </c>
      <c r="G2472">
        <v>97.42</v>
      </c>
      <c r="H2472">
        <v>246</v>
      </c>
      <c r="I2472" t="s">
        <v>31</v>
      </c>
      <c r="J2472">
        <v>2025</v>
      </c>
      <c r="K2472">
        <f t="shared" si="76"/>
        <v>66.010000000000005</v>
      </c>
      <c r="L2472" t="str">
        <f t="shared" si="77"/>
        <v>Banca Sannita|21|Risparmio</v>
      </c>
    </row>
    <row r="2473" spans="1:12" x14ac:dyDescent="0.25">
      <c r="A2473" t="s">
        <v>32</v>
      </c>
      <c r="B2473">
        <v>21</v>
      </c>
      <c r="C2473" t="s">
        <v>21</v>
      </c>
      <c r="D2473" s="1">
        <v>45930</v>
      </c>
      <c r="E2473">
        <v>3228.3</v>
      </c>
      <c r="F2473">
        <v>190.65</v>
      </c>
      <c r="G2473">
        <v>113.02</v>
      </c>
      <c r="H2473">
        <v>290</v>
      </c>
      <c r="I2473" t="s">
        <v>31</v>
      </c>
      <c r="J2473">
        <v>2025</v>
      </c>
      <c r="K2473">
        <f t="shared" si="76"/>
        <v>77.63000000000001</v>
      </c>
      <c r="L2473" t="str">
        <f t="shared" si="77"/>
        <v>Banca Sannita|21|Assicurazioni</v>
      </c>
    </row>
    <row r="2474" spans="1:12" x14ac:dyDescent="0.25">
      <c r="A2474" t="s">
        <v>32</v>
      </c>
      <c r="B2474">
        <v>22</v>
      </c>
      <c r="C2474" t="s">
        <v>13</v>
      </c>
      <c r="D2474" s="1">
        <v>45961</v>
      </c>
      <c r="E2474">
        <v>873.4</v>
      </c>
      <c r="F2474">
        <v>40.17</v>
      </c>
      <c r="G2474">
        <v>24.81</v>
      </c>
      <c r="H2474">
        <v>110</v>
      </c>
      <c r="I2474" t="s">
        <v>31</v>
      </c>
      <c r="J2474">
        <v>2025</v>
      </c>
      <c r="K2474">
        <f t="shared" si="76"/>
        <v>15.360000000000003</v>
      </c>
      <c r="L2474" t="str">
        <f t="shared" si="77"/>
        <v>Banca Sannita|22|Mutui</v>
      </c>
    </row>
    <row r="2475" spans="1:12" x14ac:dyDescent="0.25">
      <c r="A2475" t="s">
        <v>32</v>
      </c>
      <c r="B2475">
        <v>22</v>
      </c>
      <c r="C2475" t="s">
        <v>15</v>
      </c>
      <c r="D2475" s="1">
        <v>45961</v>
      </c>
      <c r="E2475">
        <v>1227.0999999999999</v>
      </c>
      <c r="F2475">
        <v>57.83</v>
      </c>
      <c r="G2475">
        <v>36.020000000000003</v>
      </c>
      <c r="H2475">
        <v>131</v>
      </c>
      <c r="I2475" t="s">
        <v>31</v>
      </c>
      <c r="J2475">
        <v>2025</v>
      </c>
      <c r="K2475">
        <f t="shared" si="76"/>
        <v>21.809999999999995</v>
      </c>
      <c r="L2475" t="str">
        <f t="shared" si="77"/>
        <v>Banca Sannita|22|Prestiti</v>
      </c>
    </row>
    <row r="2476" spans="1:12" x14ac:dyDescent="0.25">
      <c r="A2476" t="s">
        <v>32</v>
      </c>
      <c r="B2476">
        <v>22</v>
      </c>
      <c r="C2476" t="s">
        <v>16</v>
      </c>
      <c r="D2476" s="1">
        <v>45961</v>
      </c>
      <c r="E2476">
        <v>1587.4</v>
      </c>
      <c r="F2476">
        <v>78.34</v>
      </c>
      <c r="G2476">
        <v>48.37</v>
      </c>
      <c r="H2476">
        <v>169</v>
      </c>
      <c r="I2476" t="s">
        <v>31</v>
      </c>
      <c r="J2476">
        <v>2025</v>
      </c>
      <c r="K2476">
        <f t="shared" si="76"/>
        <v>29.970000000000006</v>
      </c>
      <c r="L2476" t="str">
        <f t="shared" si="77"/>
        <v>Banca Sannita|22|Conti</v>
      </c>
    </row>
    <row r="2477" spans="1:12" x14ac:dyDescent="0.25">
      <c r="A2477" t="s">
        <v>32</v>
      </c>
      <c r="B2477">
        <v>22</v>
      </c>
      <c r="C2477" t="s">
        <v>17</v>
      </c>
      <c r="D2477" s="1">
        <v>45961</v>
      </c>
      <c r="E2477">
        <v>1925</v>
      </c>
      <c r="F2477">
        <v>98.36</v>
      </c>
      <c r="G2477">
        <v>60.44</v>
      </c>
      <c r="H2477">
        <v>183</v>
      </c>
      <c r="I2477" t="s">
        <v>31</v>
      </c>
      <c r="J2477">
        <v>2025</v>
      </c>
      <c r="K2477">
        <f t="shared" si="76"/>
        <v>37.92</v>
      </c>
      <c r="L2477" t="str">
        <f t="shared" si="77"/>
        <v>Banca Sannita|22|Carte</v>
      </c>
    </row>
    <row r="2478" spans="1:12" x14ac:dyDescent="0.25">
      <c r="A2478" t="s">
        <v>32</v>
      </c>
      <c r="B2478">
        <v>22</v>
      </c>
      <c r="C2478" t="s">
        <v>18</v>
      </c>
      <c r="D2478" s="1">
        <v>45961</v>
      </c>
      <c r="E2478">
        <v>2254.6999999999998</v>
      </c>
      <c r="F2478">
        <v>119.72</v>
      </c>
      <c r="G2478">
        <v>73</v>
      </c>
      <c r="H2478">
        <v>197</v>
      </c>
      <c r="I2478" t="s">
        <v>31</v>
      </c>
      <c r="J2478">
        <v>2025</v>
      </c>
      <c r="K2478">
        <f t="shared" si="76"/>
        <v>46.72</v>
      </c>
      <c r="L2478" t="str">
        <f t="shared" si="77"/>
        <v>Banca Sannita|22|Leasing</v>
      </c>
    </row>
    <row r="2479" spans="1:12" x14ac:dyDescent="0.25">
      <c r="A2479" t="s">
        <v>32</v>
      </c>
      <c r="B2479">
        <v>22</v>
      </c>
      <c r="C2479" t="s">
        <v>19</v>
      </c>
      <c r="D2479" s="1">
        <v>45961</v>
      </c>
      <c r="E2479">
        <v>2561.1999999999998</v>
      </c>
      <c r="F2479">
        <v>141.27000000000001</v>
      </c>
      <c r="G2479">
        <v>84.6</v>
      </c>
      <c r="H2479">
        <v>255</v>
      </c>
      <c r="I2479" t="s">
        <v>31</v>
      </c>
      <c r="J2479">
        <v>2025</v>
      </c>
      <c r="K2479">
        <f t="shared" si="76"/>
        <v>56.670000000000016</v>
      </c>
      <c r="L2479" t="str">
        <f t="shared" si="77"/>
        <v>Banca Sannita|22|Factoring</v>
      </c>
    </row>
    <row r="2480" spans="1:12" x14ac:dyDescent="0.25">
      <c r="A2480" t="s">
        <v>32</v>
      </c>
      <c r="B2480">
        <v>22</v>
      </c>
      <c r="C2480" t="s">
        <v>20</v>
      </c>
      <c r="D2480" s="1">
        <v>45961</v>
      </c>
      <c r="E2480">
        <v>2891.9</v>
      </c>
      <c r="F2480">
        <v>164.97</v>
      </c>
      <c r="G2480">
        <v>99.03</v>
      </c>
      <c r="H2480">
        <v>265</v>
      </c>
      <c r="I2480" t="s">
        <v>31</v>
      </c>
      <c r="J2480">
        <v>2025</v>
      </c>
      <c r="K2480">
        <f t="shared" si="76"/>
        <v>65.94</v>
      </c>
      <c r="L2480" t="str">
        <f t="shared" si="77"/>
        <v>Banca Sannita|22|Risparmio</v>
      </c>
    </row>
    <row r="2481" spans="1:12" x14ac:dyDescent="0.25">
      <c r="A2481" t="s">
        <v>32</v>
      </c>
      <c r="B2481">
        <v>22</v>
      </c>
      <c r="C2481" t="s">
        <v>21</v>
      </c>
      <c r="D2481" s="1">
        <v>45961</v>
      </c>
      <c r="E2481">
        <v>3235.1</v>
      </c>
      <c r="F2481">
        <v>191.57</v>
      </c>
      <c r="G2481">
        <v>113.25</v>
      </c>
      <c r="H2481">
        <v>304</v>
      </c>
      <c r="I2481" t="s">
        <v>31</v>
      </c>
      <c r="J2481">
        <v>2025</v>
      </c>
      <c r="K2481">
        <f t="shared" si="76"/>
        <v>78.319999999999993</v>
      </c>
      <c r="L2481" t="str">
        <f t="shared" si="77"/>
        <v>Banca Sannita|22|Assicurazioni</v>
      </c>
    </row>
    <row r="2482" spans="1:12" x14ac:dyDescent="0.25">
      <c r="A2482" t="s">
        <v>32</v>
      </c>
      <c r="B2482">
        <v>23</v>
      </c>
      <c r="C2482" t="s">
        <v>13</v>
      </c>
      <c r="D2482" s="1">
        <v>45991</v>
      </c>
      <c r="E2482">
        <v>882.2</v>
      </c>
      <c r="F2482">
        <v>40.049999999999997</v>
      </c>
      <c r="G2482">
        <v>25.43</v>
      </c>
      <c r="H2482">
        <v>97</v>
      </c>
      <c r="I2482" t="s">
        <v>31</v>
      </c>
      <c r="J2482">
        <v>2025</v>
      </c>
      <c r="K2482">
        <f t="shared" si="76"/>
        <v>14.619999999999997</v>
      </c>
      <c r="L2482" t="str">
        <f t="shared" si="77"/>
        <v>Banca Sannita|23|Mutui</v>
      </c>
    </row>
    <row r="2483" spans="1:12" x14ac:dyDescent="0.25">
      <c r="A2483" t="s">
        <v>32</v>
      </c>
      <c r="B2483">
        <v>23</v>
      </c>
      <c r="C2483" t="s">
        <v>15</v>
      </c>
      <c r="D2483" s="1">
        <v>45991</v>
      </c>
      <c r="E2483">
        <v>1241</v>
      </c>
      <c r="F2483">
        <v>58.88</v>
      </c>
      <c r="G2483">
        <v>36.19</v>
      </c>
      <c r="H2483">
        <v>105</v>
      </c>
      <c r="I2483" t="s">
        <v>31</v>
      </c>
      <c r="J2483">
        <v>2025</v>
      </c>
      <c r="K2483">
        <f t="shared" si="76"/>
        <v>22.690000000000005</v>
      </c>
      <c r="L2483" t="str">
        <f t="shared" si="77"/>
        <v>Banca Sannita|23|Prestiti</v>
      </c>
    </row>
    <row r="2484" spans="1:12" x14ac:dyDescent="0.25">
      <c r="A2484" t="s">
        <v>32</v>
      </c>
      <c r="B2484">
        <v>23</v>
      </c>
      <c r="C2484" t="s">
        <v>16</v>
      </c>
      <c r="D2484" s="1">
        <v>45991</v>
      </c>
      <c r="E2484">
        <v>1544.4</v>
      </c>
      <c r="F2484">
        <v>76.09</v>
      </c>
      <c r="G2484">
        <v>46.79</v>
      </c>
      <c r="H2484">
        <v>151</v>
      </c>
      <c r="I2484" t="s">
        <v>31</v>
      </c>
      <c r="J2484">
        <v>2025</v>
      </c>
      <c r="K2484">
        <f t="shared" si="76"/>
        <v>29.300000000000004</v>
      </c>
      <c r="L2484" t="str">
        <f t="shared" si="77"/>
        <v>Banca Sannita|23|Conti</v>
      </c>
    </row>
    <row r="2485" spans="1:12" x14ac:dyDescent="0.25">
      <c r="A2485" t="s">
        <v>32</v>
      </c>
      <c r="B2485">
        <v>23</v>
      </c>
      <c r="C2485" t="s">
        <v>17</v>
      </c>
      <c r="D2485" s="1">
        <v>45991</v>
      </c>
      <c r="E2485">
        <v>1887.4</v>
      </c>
      <c r="F2485">
        <v>96.27</v>
      </c>
      <c r="G2485">
        <v>58.67</v>
      </c>
      <c r="H2485">
        <v>177</v>
      </c>
      <c r="I2485" t="s">
        <v>31</v>
      </c>
      <c r="J2485">
        <v>2025</v>
      </c>
      <c r="K2485">
        <f t="shared" si="76"/>
        <v>37.599999999999994</v>
      </c>
      <c r="L2485" t="str">
        <f t="shared" si="77"/>
        <v>Banca Sannita|23|Carte</v>
      </c>
    </row>
    <row r="2486" spans="1:12" x14ac:dyDescent="0.25">
      <c r="A2486" t="s">
        <v>32</v>
      </c>
      <c r="B2486">
        <v>23</v>
      </c>
      <c r="C2486" t="s">
        <v>18</v>
      </c>
      <c r="D2486" s="1">
        <v>45991</v>
      </c>
      <c r="E2486">
        <v>2244.1999999999998</v>
      </c>
      <c r="F2486">
        <v>119.02</v>
      </c>
      <c r="G2486">
        <v>72.3</v>
      </c>
      <c r="H2486">
        <v>202</v>
      </c>
      <c r="I2486" t="s">
        <v>31</v>
      </c>
      <c r="J2486">
        <v>2025</v>
      </c>
      <c r="K2486">
        <f t="shared" si="76"/>
        <v>46.72</v>
      </c>
      <c r="L2486" t="str">
        <f t="shared" si="77"/>
        <v>Banca Sannita|23|Leasing</v>
      </c>
    </row>
    <row r="2487" spans="1:12" x14ac:dyDescent="0.25">
      <c r="A2487" t="s">
        <v>32</v>
      </c>
      <c r="B2487">
        <v>23</v>
      </c>
      <c r="C2487" t="s">
        <v>19</v>
      </c>
      <c r="D2487" s="1">
        <v>45991</v>
      </c>
      <c r="E2487">
        <v>2591.1</v>
      </c>
      <c r="F2487">
        <v>143.37</v>
      </c>
      <c r="G2487">
        <v>85.76</v>
      </c>
      <c r="H2487">
        <v>232</v>
      </c>
      <c r="I2487" t="s">
        <v>31</v>
      </c>
      <c r="J2487">
        <v>2025</v>
      </c>
      <c r="K2487">
        <f t="shared" si="76"/>
        <v>57.61</v>
      </c>
      <c r="L2487" t="str">
        <f t="shared" si="77"/>
        <v>Banca Sannita|23|Factoring</v>
      </c>
    </row>
    <row r="2488" spans="1:12" x14ac:dyDescent="0.25">
      <c r="A2488" t="s">
        <v>32</v>
      </c>
      <c r="B2488">
        <v>23</v>
      </c>
      <c r="C2488" t="s">
        <v>20</v>
      </c>
      <c r="D2488" s="1">
        <v>45991</v>
      </c>
      <c r="E2488">
        <v>2945.4</v>
      </c>
      <c r="F2488">
        <v>168.05</v>
      </c>
      <c r="G2488">
        <v>100.16</v>
      </c>
      <c r="H2488">
        <v>259</v>
      </c>
      <c r="I2488" t="s">
        <v>31</v>
      </c>
      <c r="J2488">
        <v>2025</v>
      </c>
      <c r="K2488">
        <f t="shared" si="76"/>
        <v>67.890000000000015</v>
      </c>
      <c r="L2488" t="str">
        <f t="shared" si="77"/>
        <v>Banca Sannita|23|Risparmio</v>
      </c>
    </row>
    <row r="2489" spans="1:12" x14ac:dyDescent="0.25">
      <c r="A2489" t="s">
        <v>32</v>
      </c>
      <c r="B2489">
        <v>23</v>
      </c>
      <c r="C2489" t="s">
        <v>21</v>
      </c>
      <c r="D2489" s="1">
        <v>45991</v>
      </c>
      <c r="E2489">
        <v>3263.8</v>
      </c>
      <c r="F2489">
        <v>193.05</v>
      </c>
      <c r="G2489">
        <v>114.56</v>
      </c>
      <c r="H2489">
        <v>298</v>
      </c>
      <c r="I2489" t="s">
        <v>31</v>
      </c>
      <c r="J2489">
        <v>2025</v>
      </c>
      <c r="K2489">
        <f t="shared" si="76"/>
        <v>78.490000000000009</v>
      </c>
      <c r="L2489" t="str">
        <f t="shared" si="77"/>
        <v>Banca Sannita|23|Assicurazioni</v>
      </c>
    </row>
    <row r="2490" spans="1:12" x14ac:dyDescent="0.25">
      <c r="A2490" t="s">
        <v>32</v>
      </c>
      <c r="B2490">
        <v>24</v>
      </c>
      <c r="C2490" t="s">
        <v>13</v>
      </c>
      <c r="D2490" s="1">
        <v>46022</v>
      </c>
      <c r="E2490">
        <v>881.5</v>
      </c>
      <c r="F2490">
        <v>39.869999999999997</v>
      </c>
      <c r="G2490">
        <v>24.73</v>
      </c>
      <c r="H2490">
        <v>112</v>
      </c>
      <c r="I2490" t="s">
        <v>31</v>
      </c>
      <c r="J2490">
        <v>2025</v>
      </c>
      <c r="K2490">
        <f t="shared" si="76"/>
        <v>15.139999999999997</v>
      </c>
      <c r="L2490" t="str">
        <f t="shared" si="77"/>
        <v>Banca Sannita|24|Mutui</v>
      </c>
    </row>
    <row r="2491" spans="1:12" x14ac:dyDescent="0.25">
      <c r="A2491" t="s">
        <v>32</v>
      </c>
      <c r="B2491">
        <v>24</v>
      </c>
      <c r="C2491" t="s">
        <v>15</v>
      </c>
      <c r="D2491" s="1">
        <v>46022</v>
      </c>
      <c r="E2491">
        <v>1236.9000000000001</v>
      </c>
      <c r="F2491">
        <v>58.81</v>
      </c>
      <c r="G2491">
        <v>36.11</v>
      </c>
      <c r="H2491">
        <v>117</v>
      </c>
      <c r="I2491" t="s">
        <v>31</v>
      </c>
      <c r="J2491">
        <v>2025</v>
      </c>
      <c r="K2491">
        <f t="shared" si="76"/>
        <v>22.700000000000003</v>
      </c>
      <c r="L2491" t="str">
        <f t="shared" si="77"/>
        <v>Banca Sannita|24|Prestiti</v>
      </c>
    </row>
    <row r="2492" spans="1:12" x14ac:dyDescent="0.25">
      <c r="A2492" t="s">
        <v>32</v>
      </c>
      <c r="B2492">
        <v>24</v>
      </c>
      <c r="C2492" t="s">
        <v>16</v>
      </c>
      <c r="D2492" s="1">
        <v>46022</v>
      </c>
      <c r="E2492">
        <v>1568</v>
      </c>
      <c r="F2492">
        <v>77.37</v>
      </c>
      <c r="G2492">
        <v>47.64</v>
      </c>
      <c r="H2492">
        <v>143</v>
      </c>
      <c r="I2492" t="s">
        <v>31</v>
      </c>
      <c r="J2492">
        <v>2025</v>
      </c>
      <c r="K2492">
        <f t="shared" si="76"/>
        <v>29.730000000000004</v>
      </c>
      <c r="L2492" t="str">
        <f t="shared" si="77"/>
        <v>Banca Sannita|24|Conti</v>
      </c>
    </row>
    <row r="2493" spans="1:12" x14ac:dyDescent="0.25">
      <c r="A2493" t="s">
        <v>32</v>
      </c>
      <c r="B2493">
        <v>24</v>
      </c>
      <c r="C2493" t="s">
        <v>17</v>
      </c>
      <c r="D2493" s="1">
        <v>46022</v>
      </c>
      <c r="E2493">
        <v>1943.2</v>
      </c>
      <c r="F2493">
        <v>99.97</v>
      </c>
      <c r="G2493">
        <v>60.66</v>
      </c>
      <c r="H2493">
        <v>195</v>
      </c>
      <c r="I2493" t="s">
        <v>31</v>
      </c>
      <c r="J2493">
        <v>2025</v>
      </c>
      <c r="K2493">
        <f t="shared" si="76"/>
        <v>39.31</v>
      </c>
      <c r="L2493" t="str">
        <f t="shared" si="77"/>
        <v>Banca Sannita|24|Carte</v>
      </c>
    </row>
    <row r="2494" spans="1:12" x14ac:dyDescent="0.25">
      <c r="A2494" t="s">
        <v>32</v>
      </c>
      <c r="B2494">
        <v>24</v>
      </c>
      <c r="C2494" t="s">
        <v>18</v>
      </c>
      <c r="D2494" s="1">
        <v>46022</v>
      </c>
      <c r="E2494">
        <v>2237.5</v>
      </c>
      <c r="F2494">
        <v>118.89</v>
      </c>
      <c r="G2494">
        <v>72.430000000000007</v>
      </c>
      <c r="H2494">
        <v>192</v>
      </c>
      <c r="I2494" t="s">
        <v>31</v>
      </c>
      <c r="J2494">
        <v>2025</v>
      </c>
      <c r="K2494">
        <f t="shared" si="76"/>
        <v>46.459999999999994</v>
      </c>
      <c r="L2494" t="str">
        <f t="shared" si="77"/>
        <v>Banca Sannita|24|Leasing</v>
      </c>
    </row>
    <row r="2495" spans="1:12" x14ac:dyDescent="0.25">
      <c r="A2495" t="s">
        <v>32</v>
      </c>
      <c r="B2495">
        <v>24</v>
      </c>
      <c r="C2495" t="s">
        <v>19</v>
      </c>
      <c r="D2495" s="1">
        <v>46022</v>
      </c>
      <c r="E2495">
        <v>2569.9</v>
      </c>
      <c r="F2495">
        <v>141.74</v>
      </c>
      <c r="G2495">
        <v>84.94</v>
      </c>
      <c r="H2495">
        <v>250</v>
      </c>
      <c r="I2495" t="s">
        <v>31</v>
      </c>
      <c r="J2495">
        <v>2025</v>
      </c>
      <c r="K2495">
        <f t="shared" si="76"/>
        <v>56.800000000000011</v>
      </c>
      <c r="L2495" t="str">
        <f t="shared" si="77"/>
        <v>Banca Sannita|24|Factoring</v>
      </c>
    </row>
    <row r="2496" spans="1:12" x14ac:dyDescent="0.25">
      <c r="A2496" t="s">
        <v>32</v>
      </c>
      <c r="B2496">
        <v>24</v>
      </c>
      <c r="C2496" t="s">
        <v>20</v>
      </c>
      <c r="D2496" s="1">
        <v>46022</v>
      </c>
      <c r="E2496">
        <v>2935.8</v>
      </c>
      <c r="F2496">
        <v>168.03</v>
      </c>
      <c r="G2496">
        <v>100.39</v>
      </c>
      <c r="H2496">
        <v>257</v>
      </c>
      <c r="I2496" t="s">
        <v>31</v>
      </c>
      <c r="J2496">
        <v>2025</v>
      </c>
      <c r="K2496">
        <f t="shared" si="76"/>
        <v>67.64</v>
      </c>
      <c r="L2496" t="str">
        <f t="shared" si="77"/>
        <v>Banca Sannita|24|Risparmio</v>
      </c>
    </row>
    <row r="2497" spans="1:12" x14ac:dyDescent="0.25">
      <c r="A2497" t="s">
        <v>32</v>
      </c>
      <c r="B2497">
        <v>24</v>
      </c>
      <c r="C2497" t="s">
        <v>21</v>
      </c>
      <c r="D2497" s="1">
        <v>46022</v>
      </c>
      <c r="E2497">
        <v>3248.2</v>
      </c>
      <c r="F2497">
        <v>191.66</v>
      </c>
      <c r="G2497">
        <v>114.27</v>
      </c>
      <c r="H2497">
        <v>312</v>
      </c>
      <c r="I2497" t="s">
        <v>31</v>
      </c>
      <c r="J2497">
        <v>2025</v>
      </c>
      <c r="K2497">
        <f t="shared" si="76"/>
        <v>77.39</v>
      </c>
      <c r="L2497" t="str">
        <f t="shared" si="77"/>
        <v>Banca Sannita|24|Assicurazioni</v>
      </c>
    </row>
    <row r="2498" spans="1:12" x14ac:dyDescent="0.25">
      <c r="A2498" t="s">
        <v>32</v>
      </c>
      <c r="B2498">
        <v>25</v>
      </c>
      <c r="C2498" t="s">
        <v>13</v>
      </c>
      <c r="D2498" s="1">
        <v>46053</v>
      </c>
      <c r="E2498">
        <v>927.9</v>
      </c>
      <c r="F2498">
        <v>42.38</v>
      </c>
      <c r="G2498">
        <v>26.89</v>
      </c>
      <c r="H2498">
        <v>79</v>
      </c>
      <c r="I2498" t="s">
        <v>31</v>
      </c>
      <c r="J2498">
        <v>2026</v>
      </c>
      <c r="K2498">
        <f t="shared" ref="K2498:K2561" si="78">F2498-G2498</f>
        <v>15.490000000000002</v>
      </c>
      <c r="L2498" t="str">
        <f t="shared" ref="L2498:L2561" si="79">A2498&amp;"|"&amp;B2498&amp;"|"&amp;C2498</f>
        <v>Banca Sannita|25|Mutui</v>
      </c>
    </row>
    <row r="2499" spans="1:12" x14ac:dyDescent="0.25">
      <c r="A2499" t="s">
        <v>32</v>
      </c>
      <c r="B2499">
        <v>25</v>
      </c>
      <c r="C2499" t="s">
        <v>15</v>
      </c>
      <c r="D2499" s="1">
        <v>46053</v>
      </c>
      <c r="E2499">
        <v>1277.9000000000001</v>
      </c>
      <c r="F2499">
        <v>60.63</v>
      </c>
      <c r="G2499">
        <v>37.82</v>
      </c>
      <c r="H2499">
        <v>122</v>
      </c>
      <c r="I2499" t="s">
        <v>31</v>
      </c>
      <c r="J2499">
        <v>2026</v>
      </c>
      <c r="K2499">
        <f t="shared" si="78"/>
        <v>22.810000000000002</v>
      </c>
      <c r="L2499" t="str">
        <f t="shared" si="79"/>
        <v>Banca Sannita|25|Prestiti</v>
      </c>
    </row>
    <row r="2500" spans="1:12" x14ac:dyDescent="0.25">
      <c r="A2500" t="s">
        <v>32</v>
      </c>
      <c r="B2500">
        <v>25</v>
      </c>
      <c r="C2500" t="s">
        <v>16</v>
      </c>
      <c r="D2500" s="1">
        <v>46053</v>
      </c>
      <c r="E2500">
        <v>1589.5</v>
      </c>
      <c r="F2500">
        <v>77.959999999999994</v>
      </c>
      <c r="G2500">
        <v>48.14</v>
      </c>
      <c r="H2500">
        <v>151</v>
      </c>
      <c r="I2500" t="s">
        <v>31</v>
      </c>
      <c r="J2500">
        <v>2026</v>
      </c>
      <c r="K2500">
        <f t="shared" si="78"/>
        <v>29.819999999999993</v>
      </c>
      <c r="L2500" t="str">
        <f t="shared" si="79"/>
        <v>Banca Sannita|25|Conti</v>
      </c>
    </row>
    <row r="2501" spans="1:12" x14ac:dyDescent="0.25">
      <c r="A2501" t="s">
        <v>32</v>
      </c>
      <c r="B2501">
        <v>25</v>
      </c>
      <c r="C2501" t="s">
        <v>17</v>
      </c>
      <c r="D2501" s="1">
        <v>46053</v>
      </c>
      <c r="E2501">
        <v>1942.1</v>
      </c>
      <c r="F2501">
        <v>99.43</v>
      </c>
      <c r="G2501">
        <v>61.19</v>
      </c>
      <c r="H2501">
        <v>197</v>
      </c>
      <c r="I2501" t="s">
        <v>31</v>
      </c>
      <c r="J2501">
        <v>2026</v>
      </c>
      <c r="K2501">
        <f t="shared" si="78"/>
        <v>38.240000000000009</v>
      </c>
      <c r="L2501" t="str">
        <f t="shared" si="79"/>
        <v>Banca Sannita|25|Carte</v>
      </c>
    </row>
    <row r="2502" spans="1:12" x14ac:dyDescent="0.25">
      <c r="A2502" t="s">
        <v>32</v>
      </c>
      <c r="B2502">
        <v>25</v>
      </c>
      <c r="C2502" t="s">
        <v>18</v>
      </c>
      <c r="D2502" s="1">
        <v>46053</v>
      </c>
      <c r="E2502">
        <v>2278.6999999999998</v>
      </c>
      <c r="F2502">
        <v>121.31</v>
      </c>
      <c r="G2502">
        <v>73.33</v>
      </c>
      <c r="H2502">
        <v>225</v>
      </c>
      <c r="I2502" t="s">
        <v>31</v>
      </c>
      <c r="J2502">
        <v>2026</v>
      </c>
      <c r="K2502">
        <f t="shared" si="78"/>
        <v>47.980000000000004</v>
      </c>
      <c r="L2502" t="str">
        <f t="shared" si="79"/>
        <v>Banca Sannita|25|Leasing</v>
      </c>
    </row>
    <row r="2503" spans="1:12" x14ac:dyDescent="0.25">
      <c r="A2503" t="s">
        <v>32</v>
      </c>
      <c r="B2503">
        <v>25</v>
      </c>
      <c r="C2503" t="s">
        <v>19</v>
      </c>
      <c r="D2503" s="1">
        <v>46053</v>
      </c>
      <c r="E2503">
        <v>2616.8000000000002</v>
      </c>
      <c r="F2503">
        <v>144.88999999999999</v>
      </c>
      <c r="G2503">
        <v>86.66</v>
      </c>
      <c r="H2503">
        <v>226</v>
      </c>
      <c r="I2503" t="s">
        <v>31</v>
      </c>
      <c r="J2503">
        <v>2026</v>
      </c>
      <c r="K2503">
        <f t="shared" si="78"/>
        <v>58.22999999999999</v>
      </c>
      <c r="L2503" t="str">
        <f t="shared" si="79"/>
        <v>Banca Sannita|25|Factoring</v>
      </c>
    </row>
    <row r="2504" spans="1:12" x14ac:dyDescent="0.25">
      <c r="A2504" t="s">
        <v>32</v>
      </c>
      <c r="B2504">
        <v>25</v>
      </c>
      <c r="C2504" t="s">
        <v>20</v>
      </c>
      <c r="D2504" s="1">
        <v>46053</v>
      </c>
      <c r="E2504">
        <v>2969.9</v>
      </c>
      <c r="F2504">
        <v>169.57</v>
      </c>
      <c r="G2504">
        <v>101.47</v>
      </c>
      <c r="H2504">
        <v>249</v>
      </c>
      <c r="I2504" t="s">
        <v>31</v>
      </c>
      <c r="J2504">
        <v>2026</v>
      </c>
      <c r="K2504">
        <f t="shared" si="78"/>
        <v>68.099999999999994</v>
      </c>
      <c r="L2504" t="str">
        <f t="shared" si="79"/>
        <v>Banca Sannita|25|Risparmio</v>
      </c>
    </row>
    <row r="2505" spans="1:12" x14ac:dyDescent="0.25">
      <c r="A2505" t="s">
        <v>32</v>
      </c>
      <c r="B2505">
        <v>25</v>
      </c>
      <c r="C2505" t="s">
        <v>21</v>
      </c>
      <c r="D2505" s="1">
        <v>46053</v>
      </c>
      <c r="E2505">
        <v>3288.9</v>
      </c>
      <c r="F2505">
        <v>194.43</v>
      </c>
      <c r="G2505">
        <v>115.84</v>
      </c>
      <c r="H2505">
        <v>280</v>
      </c>
      <c r="I2505" t="s">
        <v>31</v>
      </c>
      <c r="J2505">
        <v>2026</v>
      </c>
      <c r="K2505">
        <f t="shared" si="78"/>
        <v>78.59</v>
      </c>
      <c r="L2505" t="str">
        <f t="shared" si="79"/>
        <v>Banca Sannita|25|Assicurazioni</v>
      </c>
    </row>
    <row r="2506" spans="1:12" x14ac:dyDescent="0.25">
      <c r="A2506" t="s">
        <v>32</v>
      </c>
      <c r="B2506">
        <v>26</v>
      </c>
      <c r="C2506" t="s">
        <v>13</v>
      </c>
      <c r="D2506" s="1">
        <v>46081</v>
      </c>
      <c r="E2506">
        <v>915.4</v>
      </c>
      <c r="F2506">
        <v>41.82</v>
      </c>
      <c r="G2506">
        <v>26.3</v>
      </c>
      <c r="H2506">
        <v>91</v>
      </c>
      <c r="I2506" t="s">
        <v>31</v>
      </c>
      <c r="J2506">
        <v>2026</v>
      </c>
      <c r="K2506">
        <f t="shared" si="78"/>
        <v>15.52</v>
      </c>
      <c r="L2506" t="str">
        <f t="shared" si="79"/>
        <v>Banca Sannita|26|Mutui</v>
      </c>
    </row>
    <row r="2507" spans="1:12" x14ac:dyDescent="0.25">
      <c r="A2507" t="s">
        <v>32</v>
      </c>
      <c r="B2507">
        <v>26</v>
      </c>
      <c r="C2507" t="s">
        <v>15</v>
      </c>
      <c r="D2507" s="1">
        <v>46081</v>
      </c>
      <c r="E2507">
        <v>1267.4000000000001</v>
      </c>
      <c r="F2507">
        <v>59.8</v>
      </c>
      <c r="G2507">
        <v>36.86</v>
      </c>
      <c r="H2507">
        <v>130</v>
      </c>
      <c r="I2507" t="s">
        <v>31</v>
      </c>
      <c r="J2507">
        <v>2026</v>
      </c>
      <c r="K2507">
        <f t="shared" si="78"/>
        <v>22.939999999999998</v>
      </c>
      <c r="L2507" t="str">
        <f t="shared" si="79"/>
        <v>Banca Sannita|26|Prestiti</v>
      </c>
    </row>
    <row r="2508" spans="1:12" x14ac:dyDescent="0.25">
      <c r="A2508" t="s">
        <v>32</v>
      </c>
      <c r="B2508">
        <v>26</v>
      </c>
      <c r="C2508" t="s">
        <v>16</v>
      </c>
      <c r="D2508" s="1">
        <v>46081</v>
      </c>
      <c r="E2508">
        <v>1626</v>
      </c>
      <c r="F2508">
        <v>79.709999999999994</v>
      </c>
      <c r="G2508">
        <v>49.46</v>
      </c>
      <c r="H2508">
        <v>147</v>
      </c>
      <c r="I2508" t="s">
        <v>31</v>
      </c>
      <c r="J2508">
        <v>2026</v>
      </c>
      <c r="K2508">
        <f t="shared" si="78"/>
        <v>30.249999999999993</v>
      </c>
      <c r="L2508" t="str">
        <f t="shared" si="79"/>
        <v>Banca Sannita|26|Conti</v>
      </c>
    </row>
    <row r="2509" spans="1:12" x14ac:dyDescent="0.25">
      <c r="A2509" t="s">
        <v>32</v>
      </c>
      <c r="B2509">
        <v>26</v>
      </c>
      <c r="C2509" t="s">
        <v>17</v>
      </c>
      <c r="D2509" s="1">
        <v>46081</v>
      </c>
      <c r="E2509">
        <v>1935.1</v>
      </c>
      <c r="F2509">
        <v>98.89</v>
      </c>
      <c r="G2509">
        <v>60.01</v>
      </c>
      <c r="H2509">
        <v>184</v>
      </c>
      <c r="I2509" t="s">
        <v>31</v>
      </c>
      <c r="J2509">
        <v>2026</v>
      </c>
      <c r="K2509">
        <f t="shared" si="78"/>
        <v>38.880000000000003</v>
      </c>
      <c r="L2509" t="str">
        <f t="shared" si="79"/>
        <v>Banca Sannita|26|Carte</v>
      </c>
    </row>
    <row r="2510" spans="1:12" x14ac:dyDescent="0.25">
      <c r="A2510" t="s">
        <v>32</v>
      </c>
      <c r="B2510">
        <v>26</v>
      </c>
      <c r="C2510" t="s">
        <v>18</v>
      </c>
      <c r="D2510" s="1">
        <v>46081</v>
      </c>
      <c r="E2510">
        <v>2296.9</v>
      </c>
      <c r="F2510">
        <v>122</v>
      </c>
      <c r="G2510">
        <v>74.040000000000006</v>
      </c>
      <c r="H2510">
        <v>220</v>
      </c>
      <c r="I2510" t="s">
        <v>31</v>
      </c>
      <c r="J2510">
        <v>2026</v>
      </c>
      <c r="K2510">
        <f t="shared" si="78"/>
        <v>47.959999999999994</v>
      </c>
      <c r="L2510" t="str">
        <f t="shared" si="79"/>
        <v>Banca Sannita|26|Leasing</v>
      </c>
    </row>
    <row r="2511" spans="1:12" x14ac:dyDescent="0.25">
      <c r="A2511" t="s">
        <v>32</v>
      </c>
      <c r="B2511">
        <v>26</v>
      </c>
      <c r="C2511" t="s">
        <v>19</v>
      </c>
      <c r="D2511" s="1">
        <v>46081</v>
      </c>
      <c r="E2511">
        <v>2619.5</v>
      </c>
      <c r="F2511">
        <v>144.66</v>
      </c>
      <c r="G2511">
        <v>86.82</v>
      </c>
      <c r="H2511">
        <v>223</v>
      </c>
      <c r="I2511" t="s">
        <v>31</v>
      </c>
      <c r="J2511">
        <v>2026</v>
      </c>
      <c r="K2511">
        <f t="shared" si="78"/>
        <v>57.84</v>
      </c>
      <c r="L2511" t="str">
        <f t="shared" si="79"/>
        <v>Banca Sannita|26|Factoring</v>
      </c>
    </row>
    <row r="2512" spans="1:12" x14ac:dyDescent="0.25">
      <c r="A2512" t="s">
        <v>32</v>
      </c>
      <c r="B2512">
        <v>26</v>
      </c>
      <c r="C2512" t="s">
        <v>20</v>
      </c>
      <c r="D2512" s="1">
        <v>46081</v>
      </c>
      <c r="E2512">
        <v>2995.3</v>
      </c>
      <c r="F2512">
        <v>171.38</v>
      </c>
      <c r="G2512">
        <v>102.7</v>
      </c>
      <c r="H2512">
        <v>262</v>
      </c>
      <c r="I2512" t="s">
        <v>31</v>
      </c>
      <c r="J2512">
        <v>2026</v>
      </c>
      <c r="K2512">
        <f t="shared" si="78"/>
        <v>68.679999999999993</v>
      </c>
      <c r="L2512" t="str">
        <f t="shared" si="79"/>
        <v>Banca Sannita|26|Risparmio</v>
      </c>
    </row>
    <row r="2513" spans="1:12" x14ac:dyDescent="0.25">
      <c r="A2513" t="s">
        <v>32</v>
      </c>
      <c r="B2513">
        <v>26</v>
      </c>
      <c r="C2513" t="s">
        <v>21</v>
      </c>
      <c r="D2513" s="1">
        <v>46081</v>
      </c>
      <c r="E2513">
        <v>3308.9</v>
      </c>
      <c r="F2513">
        <v>196.09</v>
      </c>
      <c r="G2513">
        <v>115.85</v>
      </c>
      <c r="H2513">
        <v>285</v>
      </c>
      <c r="I2513" t="s">
        <v>31</v>
      </c>
      <c r="J2513">
        <v>2026</v>
      </c>
      <c r="K2513">
        <f t="shared" si="78"/>
        <v>80.240000000000009</v>
      </c>
      <c r="L2513" t="str">
        <f t="shared" si="79"/>
        <v>Banca Sannita|26|Assicurazioni</v>
      </c>
    </row>
    <row r="2514" spans="1:12" x14ac:dyDescent="0.25">
      <c r="A2514" t="s">
        <v>32</v>
      </c>
      <c r="B2514">
        <v>27</v>
      </c>
      <c r="C2514" t="s">
        <v>13</v>
      </c>
      <c r="D2514" s="1">
        <v>46112</v>
      </c>
      <c r="E2514">
        <v>940.3</v>
      </c>
      <c r="F2514">
        <v>43.17</v>
      </c>
      <c r="G2514">
        <v>26.98</v>
      </c>
      <c r="H2514">
        <v>90</v>
      </c>
      <c r="I2514" t="s">
        <v>31</v>
      </c>
      <c r="J2514">
        <v>2026</v>
      </c>
      <c r="K2514">
        <f t="shared" si="78"/>
        <v>16.190000000000001</v>
      </c>
      <c r="L2514" t="str">
        <f t="shared" si="79"/>
        <v>Banca Sannita|27|Mutui</v>
      </c>
    </row>
    <row r="2515" spans="1:12" x14ac:dyDescent="0.25">
      <c r="A2515" t="s">
        <v>32</v>
      </c>
      <c r="B2515">
        <v>27</v>
      </c>
      <c r="C2515" t="s">
        <v>15</v>
      </c>
      <c r="D2515" s="1">
        <v>46112</v>
      </c>
      <c r="E2515">
        <v>1292.2</v>
      </c>
      <c r="F2515">
        <v>61.33</v>
      </c>
      <c r="G2515">
        <v>37.590000000000003</v>
      </c>
      <c r="H2515">
        <v>134</v>
      </c>
      <c r="I2515" t="s">
        <v>31</v>
      </c>
      <c r="J2515">
        <v>2026</v>
      </c>
      <c r="K2515">
        <f t="shared" si="78"/>
        <v>23.739999999999995</v>
      </c>
      <c r="L2515" t="str">
        <f t="shared" si="79"/>
        <v>Banca Sannita|27|Prestiti</v>
      </c>
    </row>
    <row r="2516" spans="1:12" x14ac:dyDescent="0.25">
      <c r="A2516" t="s">
        <v>32</v>
      </c>
      <c r="B2516">
        <v>27</v>
      </c>
      <c r="C2516" t="s">
        <v>16</v>
      </c>
      <c r="D2516" s="1">
        <v>46112</v>
      </c>
      <c r="E2516">
        <v>1588.5</v>
      </c>
      <c r="F2516">
        <v>78.2</v>
      </c>
      <c r="G2516">
        <v>47.79</v>
      </c>
      <c r="H2516">
        <v>153</v>
      </c>
      <c r="I2516" t="s">
        <v>31</v>
      </c>
      <c r="J2516">
        <v>2026</v>
      </c>
      <c r="K2516">
        <f t="shared" si="78"/>
        <v>30.410000000000004</v>
      </c>
      <c r="L2516" t="str">
        <f t="shared" si="79"/>
        <v>Banca Sannita|27|Conti</v>
      </c>
    </row>
    <row r="2517" spans="1:12" x14ac:dyDescent="0.25">
      <c r="A2517" t="s">
        <v>32</v>
      </c>
      <c r="B2517">
        <v>27</v>
      </c>
      <c r="C2517" t="s">
        <v>17</v>
      </c>
      <c r="D2517" s="1">
        <v>46112</v>
      </c>
      <c r="E2517">
        <v>1987.7</v>
      </c>
      <c r="F2517">
        <v>101.46</v>
      </c>
      <c r="G2517">
        <v>62.54</v>
      </c>
      <c r="H2517">
        <v>166</v>
      </c>
      <c r="I2517" t="s">
        <v>31</v>
      </c>
      <c r="J2517">
        <v>2026</v>
      </c>
      <c r="K2517">
        <f t="shared" si="78"/>
        <v>38.919999999999995</v>
      </c>
      <c r="L2517" t="str">
        <f t="shared" si="79"/>
        <v>Banca Sannita|27|Carte</v>
      </c>
    </row>
    <row r="2518" spans="1:12" x14ac:dyDescent="0.25">
      <c r="A2518" t="s">
        <v>32</v>
      </c>
      <c r="B2518">
        <v>27</v>
      </c>
      <c r="C2518" t="s">
        <v>18</v>
      </c>
      <c r="D2518" s="1">
        <v>46112</v>
      </c>
      <c r="E2518">
        <v>2278.6999999999998</v>
      </c>
      <c r="F2518">
        <v>121.62</v>
      </c>
      <c r="G2518">
        <v>73.89</v>
      </c>
      <c r="H2518">
        <v>224</v>
      </c>
      <c r="I2518" t="s">
        <v>31</v>
      </c>
      <c r="J2518">
        <v>2026</v>
      </c>
      <c r="K2518">
        <f t="shared" si="78"/>
        <v>47.730000000000004</v>
      </c>
      <c r="L2518" t="str">
        <f t="shared" si="79"/>
        <v>Banca Sannita|27|Leasing</v>
      </c>
    </row>
    <row r="2519" spans="1:12" x14ac:dyDescent="0.25">
      <c r="A2519" t="s">
        <v>32</v>
      </c>
      <c r="B2519">
        <v>27</v>
      </c>
      <c r="C2519" t="s">
        <v>19</v>
      </c>
      <c r="D2519" s="1">
        <v>46112</v>
      </c>
      <c r="E2519">
        <v>2626.5</v>
      </c>
      <c r="F2519">
        <v>144.63999999999999</v>
      </c>
      <c r="G2519">
        <v>86.95</v>
      </c>
      <c r="H2519">
        <v>221</v>
      </c>
      <c r="I2519" t="s">
        <v>31</v>
      </c>
      <c r="J2519">
        <v>2026</v>
      </c>
      <c r="K2519">
        <f t="shared" si="78"/>
        <v>57.689999999999984</v>
      </c>
      <c r="L2519" t="str">
        <f t="shared" si="79"/>
        <v>Banca Sannita|27|Factoring</v>
      </c>
    </row>
    <row r="2520" spans="1:12" x14ac:dyDescent="0.25">
      <c r="A2520" t="s">
        <v>32</v>
      </c>
      <c r="B2520">
        <v>27</v>
      </c>
      <c r="C2520" t="s">
        <v>20</v>
      </c>
      <c r="D2520" s="1">
        <v>46112</v>
      </c>
      <c r="E2520">
        <v>2994.6</v>
      </c>
      <c r="F2520">
        <v>170.86</v>
      </c>
      <c r="G2520">
        <v>102.57</v>
      </c>
      <c r="H2520">
        <v>277</v>
      </c>
      <c r="I2520" t="s">
        <v>31</v>
      </c>
      <c r="J2520">
        <v>2026</v>
      </c>
      <c r="K2520">
        <f t="shared" si="78"/>
        <v>68.29000000000002</v>
      </c>
      <c r="L2520" t="str">
        <f t="shared" si="79"/>
        <v>Banca Sannita|27|Risparmio</v>
      </c>
    </row>
    <row r="2521" spans="1:12" x14ac:dyDescent="0.25">
      <c r="A2521" t="s">
        <v>32</v>
      </c>
      <c r="B2521">
        <v>27</v>
      </c>
      <c r="C2521" t="s">
        <v>21</v>
      </c>
      <c r="D2521" s="1">
        <v>46112</v>
      </c>
      <c r="E2521">
        <v>3344.7</v>
      </c>
      <c r="F2521">
        <v>197.95</v>
      </c>
      <c r="G2521">
        <v>117.25</v>
      </c>
      <c r="H2521">
        <v>308</v>
      </c>
      <c r="I2521" t="s">
        <v>31</v>
      </c>
      <c r="J2521">
        <v>2026</v>
      </c>
      <c r="K2521">
        <f t="shared" si="78"/>
        <v>80.699999999999989</v>
      </c>
      <c r="L2521" t="str">
        <f t="shared" si="79"/>
        <v>Banca Sannita|27|Assicurazioni</v>
      </c>
    </row>
    <row r="2522" spans="1:12" x14ac:dyDescent="0.25">
      <c r="A2522" t="s">
        <v>32</v>
      </c>
      <c r="B2522">
        <v>28</v>
      </c>
      <c r="C2522" t="s">
        <v>13</v>
      </c>
      <c r="D2522" s="1">
        <v>46142</v>
      </c>
      <c r="E2522">
        <v>905.2</v>
      </c>
      <c r="F2522">
        <v>41.2</v>
      </c>
      <c r="G2522">
        <v>25.96</v>
      </c>
      <c r="H2522">
        <v>78</v>
      </c>
      <c r="I2522" t="s">
        <v>31</v>
      </c>
      <c r="J2522">
        <v>2026</v>
      </c>
      <c r="K2522">
        <f t="shared" si="78"/>
        <v>15.240000000000002</v>
      </c>
      <c r="L2522" t="str">
        <f t="shared" si="79"/>
        <v>Banca Sannita|28|Mutui</v>
      </c>
    </row>
    <row r="2523" spans="1:12" x14ac:dyDescent="0.25">
      <c r="A2523" t="s">
        <v>32</v>
      </c>
      <c r="B2523">
        <v>28</v>
      </c>
      <c r="C2523" t="s">
        <v>15</v>
      </c>
      <c r="D2523" s="1">
        <v>46142</v>
      </c>
      <c r="E2523">
        <v>1254.8</v>
      </c>
      <c r="F2523">
        <v>59.49</v>
      </c>
      <c r="G2523">
        <v>36.729999999999997</v>
      </c>
      <c r="H2523">
        <v>121</v>
      </c>
      <c r="I2523" t="s">
        <v>31</v>
      </c>
      <c r="J2523">
        <v>2026</v>
      </c>
      <c r="K2523">
        <f t="shared" si="78"/>
        <v>22.760000000000005</v>
      </c>
      <c r="L2523" t="str">
        <f t="shared" si="79"/>
        <v>Banca Sannita|28|Prestiti</v>
      </c>
    </row>
    <row r="2524" spans="1:12" x14ac:dyDescent="0.25">
      <c r="A2524" t="s">
        <v>32</v>
      </c>
      <c r="B2524">
        <v>28</v>
      </c>
      <c r="C2524" t="s">
        <v>16</v>
      </c>
      <c r="D2524" s="1">
        <v>46142</v>
      </c>
      <c r="E2524">
        <v>1612.3</v>
      </c>
      <c r="F2524">
        <v>79.95</v>
      </c>
      <c r="G2524">
        <v>49.27</v>
      </c>
      <c r="H2524">
        <v>141</v>
      </c>
      <c r="I2524" t="s">
        <v>31</v>
      </c>
      <c r="J2524">
        <v>2026</v>
      </c>
      <c r="K2524">
        <f t="shared" si="78"/>
        <v>30.68</v>
      </c>
      <c r="L2524" t="str">
        <f t="shared" si="79"/>
        <v>Banca Sannita|28|Conti</v>
      </c>
    </row>
    <row r="2525" spans="1:12" x14ac:dyDescent="0.25">
      <c r="A2525" t="s">
        <v>32</v>
      </c>
      <c r="B2525">
        <v>28</v>
      </c>
      <c r="C2525" t="s">
        <v>17</v>
      </c>
      <c r="D2525" s="1">
        <v>46142</v>
      </c>
      <c r="E2525">
        <v>1983.8</v>
      </c>
      <c r="F2525">
        <v>102.06</v>
      </c>
      <c r="G2525">
        <v>62.29</v>
      </c>
      <c r="H2525">
        <v>171</v>
      </c>
      <c r="I2525" t="s">
        <v>31</v>
      </c>
      <c r="J2525">
        <v>2026</v>
      </c>
      <c r="K2525">
        <f t="shared" si="78"/>
        <v>39.770000000000003</v>
      </c>
      <c r="L2525" t="str">
        <f t="shared" si="79"/>
        <v>Banca Sannita|28|Carte</v>
      </c>
    </row>
    <row r="2526" spans="1:12" x14ac:dyDescent="0.25">
      <c r="A2526" t="s">
        <v>32</v>
      </c>
      <c r="B2526">
        <v>28</v>
      </c>
      <c r="C2526" t="s">
        <v>18</v>
      </c>
      <c r="D2526" s="1">
        <v>46142</v>
      </c>
      <c r="E2526">
        <v>2337.6999999999998</v>
      </c>
      <c r="F2526">
        <v>124.22</v>
      </c>
      <c r="G2526">
        <v>74.84</v>
      </c>
      <c r="H2526">
        <v>201</v>
      </c>
      <c r="I2526" t="s">
        <v>31</v>
      </c>
      <c r="J2526">
        <v>2026</v>
      </c>
      <c r="K2526">
        <f t="shared" si="78"/>
        <v>49.379999999999995</v>
      </c>
      <c r="L2526" t="str">
        <f t="shared" si="79"/>
        <v>Banca Sannita|28|Leasing</v>
      </c>
    </row>
    <row r="2527" spans="1:12" x14ac:dyDescent="0.25">
      <c r="A2527" t="s">
        <v>32</v>
      </c>
      <c r="B2527">
        <v>28</v>
      </c>
      <c r="C2527" t="s">
        <v>19</v>
      </c>
      <c r="D2527" s="1">
        <v>46142</v>
      </c>
      <c r="E2527">
        <v>2680.3</v>
      </c>
      <c r="F2527">
        <v>148.03</v>
      </c>
      <c r="G2527">
        <v>88.79</v>
      </c>
      <c r="H2527">
        <v>257</v>
      </c>
      <c r="I2527" t="s">
        <v>31</v>
      </c>
      <c r="J2527">
        <v>2026</v>
      </c>
      <c r="K2527">
        <f t="shared" si="78"/>
        <v>59.239999999999995</v>
      </c>
      <c r="L2527" t="str">
        <f t="shared" si="79"/>
        <v>Banca Sannita|28|Factoring</v>
      </c>
    </row>
    <row r="2528" spans="1:12" x14ac:dyDescent="0.25">
      <c r="A2528" t="s">
        <v>32</v>
      </c>
      <c r="B2528">
        <v>28</v>
      </c>
      <c r="C2528" t="s">
        <v>20</v>
      </c>
      <c r="D2528" s="1">
        <v>46142</v>
      </c>
      <c r="E2528">
        <v>3003.3</v>
      </c>
      <c r="F2528">
        <v>172.08</v>
      </c>
      <c r="G2528">
        <v>102.19</v>
      </c>
      <c r="H2528">
        <v>247</v>
      </c>
      <c r="I2528" t="s">
        <v>31</v>
      </c>
      <c r="J2528">
        <v>2026</v>
      </c>
      <c r="K2528">
        <f t="shared" si="78"/>
        <v>69.890000000000015</v>
      </c>
      <c r="L2528" t="str">
        <f t="shared" si="79"/>
        <v>Banca Sannita|28|Risparmio</v>
      </c>
    </row>
    <row r="2529" spans="1:12" x14ac:dyDescent="0.25">
      <c r="A2529" t="s">
        <v>32</v>
      </c>
      <c r="B2529">
        <v>28</v>
      </c>
      <c r="C2529" t="s">
        <v>21</v>
      </c>
      <c r="D2529" s="1">
        <v>46142</v>
      </c>
      <c r="E2529">
        <v>3341.7</v>
      </c>
      <c r="F2529">
        <v>197.4</v>
      </c>
      <c r="G2529">
        <v>117.87</v>
      </c>
      <c r="H2529">
        <v>303</v>
      </c>
      <c r="I2529" t="s">
        <v>31</v>
      </c>
      <c r="J2529">
        <v>2026</v>
      </c>
      <c r="K2529">
        <f t="shared" si="78"/>
        <v>79.53</v>
      </c>
      <c r="L2529" t="str">
        <f t="shared" si="79"/>
        <v>Banca Sannita|28|Assicurazioni</v>
      </c>
    </row>
    <row r="2530" spans="1:12" x14ac:dyDescent="0.25">
      <c r="A2530" t="s">
        <v>32</v>
      </c>
      <c r="B2530">
        <v>29</v>
      </c>
      <c r="C2530" t="s">
        <v>13</v>
      </c>
      <c r="D2530" s="1">
        <v>46173</v>
      </c>
      <c r="E2530">
        <v>945</v>
      </c>
      <c r="F2530">
        <v>43.36</v>
      </c>
      <c r="G2530">
        <v>27.28</v>
      </c>
      <c r="H2530">
        <v>107</v>
      </c>
      <c r="I2530" t="s">
        <v>31</v>
      </c>
      <c r="J2530">
        <v>2026</v>
      </c>
      <c r="K2530">
        <f t="shared" si="78"/>
        <v>16.079999999999998</v>
      </c>
      <c r="L2530" t="str">
        <f t="shared" si="79"/>
        <v>Banca Sannita|29|Mutui</v>
      </c>
    </row>
    <row r="2531" spans="1:12" x14ac:dyDescent="0.25">
      <c r="A2531" t="s">
        <v>32</v>
      </c>
      <c r="B2531">
        <v>29</v>
      </c>
      <c r="C2531" t="s">
        <v>15</v>
      </c>
      <c r="D2531" s="1">
        <v>46173</v>
      </c>
      <c r="E2531">
        <v>1296.2</v>
      </c>
      <c r="F2531">
        <v>61.18</v>
      </c>
      <c r="G2531">
        <v>38.130000000000003</v>
      </c>
      <c r="H2531">
        <v>108</v>
      </c>
      <c r="I2531" t="s">
        <v>31</v>
      </c>
      <c r="J2531">
        <v>2026</v>
      </c>
      <c r="K2531">
        <f t="shared" si="78"/>
        <v>23.049999999999997</v>
      </c>
      <c r="L2531" t="str">
        <f t="shared" si="79"/>
        <v>Banca Sannita|29|Prestiti</v>
      </c>
    </row>
    <row r="2532" spans="1:12" x14ac:dyDescent="0.25">
      <c r="A2532" t="s">
        <v>32</v>
      </c>
      <c r="B2532">
        <v>29</v>
      </c>
      <c r="C2532" t="s">
        <v>16</v>
      </c>
      <c r="D2532" s="1">
        <v>46173</v>
      </c>
      <c r="E2532">
        <v>1621.9</v>
      </c>
      <c r="F2532">
        <v>80.290000000000006</v>
      </c>
      <c r="G2532">
        <v>49.58</v>
      </c>
      <c r="H2532">
        <v>135</v>
      </c>
      <c r="I2532" t="s">
        <v>31</v>
      </c>
      <c r="J2532">
        <v>2026</v>
      </c>
      <c r="K2532">
        <f t="shared" si="78"/>
        <v>30.710000000000008</v>
      </c>
      <c r="L2532" t="str">
        <f t="shared" si="79"/>
        <v>Banca Sannita|29|Conti</v>
      </c>
    </row>
    <row r="2533" spans="1:12" x14ac:dyDescent="0.25">
      <c r="A2533" t="s">
        <v>32</v>
      </c>
      <c r="B2533">
        <v>29</v>
      </c>
      <c r="C2533" t="s">
        <v>17</v>
      </c>
      <c r="D2533" s="1">
        <v>46173</v>
      </c>
      <c r="E2533">
        <v>1963.1</v>
      </c>
      <c r="F2533">
        <v>100.55</v>
      </c>
      <c r="G2533">
        <v>61.17</v>
      </c>
      <c r="H2533">
        <v>176</v>
      </c>
      <c r="I2533" t="s">
        <v>31</v>
      </c>
      <c r="J2533">
        <v>2026</v>
      </c>
      <c r="K2533">
        <f t="shared" si="78"/>
        <v>39.379999999999995</v>
      </c>
      <c r="L2533" t="str">
        <f t="shared" si="79"/>
        <v>Banca Sannita|29|Carte</v>
      </c>
    </row>
    <row r="2534" spans="1:12" x14ac:dyDescent="0.25">
      <c r="A2534" t="s">
        <v>32</v>
      </c>
      <c r="B2534">
        <v>29</v>
      </c>
      <c r="C2534" t="s">
        <v>18</v>
      </c>
      <c r="D2534" s="1">
        <v>46173</v>
      </c>
      <c r="E2534">
        <v>2345.6999999999998</v>
      </c>
      <c r="F2534">
        <v>124.49</v>
      </c>
      <c r="G2534">
        <v>75.41</v>
      </c>
      <c r="H2534">
        <v>196</v>
      </c>
      <c r="I2534" t="s">
        <v>31</v>
      </c>
      <c r="J2534">
        <v>2026</v>
      </c>
      <c r="K2534">
        <f t="shared" si="78"/>
        <v>49.08</v>
      </c>
      <c r="L2534" t="str">
        <f t="shared" si="79"/>
        <v>Banca Sannita|29|Leasing</v>
      </c>
    </row>
    <row r="2535" spans="1:12" x14ac:dyDescent="0.25">
      <c r="A2535" t="s">
        <v>32</v>
      </c>
      <c r="B2535">
        <v>29</v>
      </c>
      <c r="C2535" t="s">
        <v>19</v>
      </c>
      <c r="D2535" s="1">
        <v>46173</v>
      </c>
      <c r="E2535">
        <v>2711.1</v>
      </c>
      <c r="F2535">
        <v>149.99</v>
      </c>
      <c r="G2535">
        <v>90.35</v>
      </c>
      <c r="H2535">
        <v>221</v>
      </c>
      <c r="I2535" t="s">
        <v>31</v>
      </c>
      <c r="J2535">
        <v>2026</v>
      </c>
      <c r="K2535">
        <f t="shared" si="78"/>
        <v>59.640000000000015</v>
      </c>
      <c r="L2535" t="str">
        <f t="shared" si="79"/>
        <v>Banca Sannita|29|Factoring</v>
      </c>
    </row>
    <row r="2536" spans="1:12" x14ac:dyDescent="0.25">
      <c r="A2536" t="s">
        <v>32</v>
      </c>
      <c r="B2536">
        <v>29</v>
      </c>
      <c r="C2536" t="s">
        <v>20</v>
      </c>
      <c r="D2536" s="1">
        <v>46173</v>
      </c>
      <c r="E2536">
        <v>3007.6</v>
      </c>
      <c r="F2536">
        <v>172.42</v>
      </c>
      <c r="G2536">
        <v>102.34</v>
      </c>
      <c r="H2536">
        <v>269</v>
      </c>
      <c r="I2536" t="s">
        <v>31</v>
      </c>
      <c r="J2536">
        <v>2026</v>
      </c>
      <c r="K2536">
        <f t="shared" si="78"/>
        <v>70.079999999999984</v>
      </c>
      <c r="L2536" t="str">
        <f t="shared" si="79"/>
        <v>Banca Sannita|29|Risparmio</v>
      </c>
    </row>
    <row r="2537" spans="1:12" x14ac:dyDescent="0.25">
      <c r="A2537" t="s">
        <v>32</v>
      </c>
      <c r="B2537">
        <v>29</v>
      </c>
      <c r="C2537" t="s">
        <v>21</v>
      </c>
      <c r="D2537" s="1">
        <v>46173</v>
      </c>
      <c r="E2537">
        <v>3365.2</v>
      </c>
      <c r="F2537">
        <v>199.05</v>
      </c>
      <c r="G2537">
        <v>118.03</v>
      </c>
      <c r="H2537">
        <v>299</v>
      </c>
      <c r="I2537" t="s">
        <v>31</v>
      </c>
      <c r="J2537">
        <v>2026</v>
      </c>
      <c r="K2537">
        <f t="shared" si="78"/>
        <v>81.02000000000001</v>
      </c>
      <c r="L2537" t="str">
        <f t="shared" si="79"/>
        <v>Banca Sannita|29|Assicurazioni</v>
      </c>
    </row>
    <row r="2538" spans="1:12" x14ac:dyDescent="0.25">
      <c r="A2538" t="s">
        <v>32</v>
      </c>
      <c r="B2538">
        <v>30</v>
      </c>
      <c r="C2538" t="s">
        <v>13</v>
      </c>
      <c r="D2538" s="1">
        <v>46203</v>
      </c>
      <c r="E2538">
        <v>925.6</v>
      </c>
      <c r="F2538">
        <v>41.72</v>
      </c>
      <c r="G2538">
        <v>26.15</v>
      </c>
      <c r="H2538">
        <v>104</v>
      </c>
      <c r="I2538" t="s">
        <v>31</v>
      </c>
      <c r="J2538">
        <v>2026</v>
      </c>
      <c r="K2538">
        <f t="shared" si="78"/>
        <v>15.57</v>
      </c>
      <c r="L2538" t="str">
        <f t="shared" si="79"/>
        <v>Banca Sannita|30|Mutui</v>
      </c>
    </row>
    <row r="2539" spans="1:12" x14ac:dyDescent="0.25">
      <c r="A2539" t="s">
        <v>32</v>
      </c>
      <c r="B2539">
        <v>30</v>
      </c>
      <c r="C2539" t="s">
        <v>15</v>
      </c>
      <c r="D2539" s="1">
        <v>46203</v>
      </c>
      <c r="E2539">
        <v>1292.5999999999999</v>
      </c>
      <c r="F2539">
        <v>61.72</v>
      </c>
      <c r="G2539">
        <v>37.5</v>
      </c>
      <c r="H2539">
        <v>139</v>
      </c>
      <c r="I2539" t="s">
        <v>31</v>
      </c>
      <c r="J2539">
        <v>2026</v>
      </c>
      <c r="K2539">
        <f t="shared" si="78"/>
        <v>24.22</v>
      </c>
      <c r="L2539" t="str">
        <f t="shared" si="79"/>
        <v>Banca Sannita|30|Prestiti</v>
      </c>
    </row>
    <row r="2540" spans="1:12" x14ac:dyDescent="0.25">
      <c r="A2540" t="s">
        <v>32</v>
      </c>
      <c r="B2540">
        <v>30</v>
      </c>
      <c r="C2540" t="s">
        <v>16</v>
      </c>
      <c r="D2540" s="1">
        <v>46203</v>
      </c>
      <c r="E2540">
        <v>1644.9</v>
      </c>
      <c r="F2540">
        <v>81.53</v>
      </c>
      <c r="G2540">
        <v>49.88</v>
      </c>
      <c r="H2540">
        <v>135</v>
      </c>
      <c r="I2540" t="s">
        <v>31</v>
      </c>
      <c r="J2540">
        <v>2026</v>
      </c>
      <c r="K2540">
        <f t="shared" si="78"/>
        <v>31.65</v>
      </c>
      <c r="L2540" t="str">
        <f t="shared" si="79"/>
        <v>Banca Sannita|30|Conti</v>
      </c>
    </row>
    <row r="2541" spans="1:12" x14ac:dyDescent="0.25">
      <c r="A2541" t="s">
        <v>32</v>
      </c>
      <c r="B2541">
        <v>30</v>
      </c>
      <c r="C2541" t="s">
        <v>17</v>
      </c>
      <c r="D2541" s="1">
        <v>46203</v>
      </c>
      <c r="E2541">
        <v>2020.8</v>
      </c>
      <c r="F2541">
        <v>103.54</v>
      </c>
      <c r="G2541">
        <v>63.3</v>
      </c>
      <c r="H2541">
        <v>196</v>
      </c>
      <c r="I2541" t="s">
        <v>31</v>
      </c>
      <c r="J2541">
        <v>2026</v>
      </c>
      <c r="K2541">
        <f t="shared" si="78"/>
        <v>40.240000000000009</v>
      </c>
      <c r="L2541" t="str">
        <f t="shared" si="79"/>
        <v>Banca Sannita|30|Carte</v>
      </c>
    </row>
    <row r="2542" spans="1:12" x14ac:dyDescent="0.25">
      <c r="A2542" t="s">
        <v>32</v>
      </c>
      <c r="B2542">
        <v>30</v>
      </c>
      <c r="C2542" t="s">
        <v>18</v>
      </c>
      <c r="D2542" s="1">
        <v>46203</v>
      </c>
      <c r="E2542">
        <v>2370.6</v>
      </c>
      <c r="F2542">
        <v>126.02</v>
      </c>
      <c r="G2542">
        <v>76.3</v>
      </c>
      <c r="H2542">
        <v>193</v>
      </c>
      <c r="I2542" t="s">
        <v>31</v>
      </c>
      <c r="J2542">
        <v>2026</v>
      </c>
      <c r="K2542">
        <f t="shared" si="78"/>
        <v>49.72</v>
      </c>
      <c r="L2542" t="str">
        <f t="shared" si="79"/>
        <v>Banca Sannita|30|Leasing</v>
      </c>
    </row>
    <row r="2543" spans="1:12" x14ac:dyDescent="0.25">
      <c r="A2543" t="s">
        <v>32</v>
      </c>
      <c r="B2543">
        <v>30</v>
      </c>
      <c r="C2543" t="s">
        <v>19</v>
      </c>
      <c r="D2543" s="1">
        <v>46203</v>
      </c>
      <c r="E2543">
        <v>2689.5</v>
      </c>
      <c r="F2543">
        <v>148.66</v>
      </c>
      <c r="G2543">
        <v>89.09</v>
      </c>
      <c r="H2543">
        <v>254</v>
      </c>
      <c r="I2543" t="s">
        <v>31</v>
      </c>
      <c r="J2543">
        <v>2026</v>
      </c>
      <c r="K2543">
        <f t="shared" si="78"/>
        <v>59.569999999999993</v>
      </c>
      <c r="L2543" t="str">
        <f t="shared" si="79"/>
        <v>Banca Sannita|30|Factoring</v>
      </c>
    </row>
    <row r="2544" spans="1:12" x14ac:dyDescent="0.25">
      <c r="A2544" t="s">
        <v>32</v>
      </c>
      <c r="B2544">
        <v>30</v>
      </c>
      <c r="C2544" t="s">
        <v>20</v>
      </c>
      <c r="D2544" s="1">
        <v>46203</v>
      </c>
      <c r="E2544">
        <v>3085.5</v>
      </c>
      <c r="F2544">
        <v>176.05</v>
      </c>
      <c r="G2544">
        <v>105.62</v>
      </c>
      <c r="H2544">
        <v>250</v>
      </c>
      <c r="I2544" t="s">
        <v>31</v>
      </c>
      <c r="J2544">
        <v>2026</v>
      </c>
      <c r="K2544">
        <f t="shared" si="78"/>
        <v>70.430000000000007</v>
      </c>
      <c r="L2544" t="str">
        <f t="shared" si="79"/>
        <v>Banca Sannita|30|Risparmio</v>
      </c>
    </row>
    <row r="2545" spans="1:12" x14ac:dyDescent="0.25">
      <c r="A2545" t="s">
        <v>32</v>
      </c>
      <c r="B2545">
        <v>30</v>
      </c>
      <c r="C2545" t="s">
        <v>21</v>
      </c>
      <c r="D2545" s="1">
        <v>46203</v>
      </c>
      <c r="E2545">
        <v>3405.7</v>
      </c>
      <c r="F2545">
        <v>201.87</v>
      </c>
      <c r="G2545">
        <v>119.83</v>
      </c>
      <c r="H2545">
        <v>302</v>
      </c>
      <c r="I2545" t="s">
        <v>31</v>
      </c>
      <c r="J2545">
        <v>2026</v>
      </c>
      <c r="K2545">
        <f t="shared" si="78"/>
        <v>82.04</v>
      </c>
      <c r="L2545" t="str">
        <f t="shared" si="79"/>
        <v>Banca Sannita|30|Assicurazioni</v>
      </c>
    </row>
    <row r="2546" spans="1:12" x14ac:dyDescent="0.25">
      <c r="A2546" t="s">
        <v>32</v>
      </c>
      <c r="B2546">
        <v>31</v>
      </c>
      <c r="C2546" t="s">
        <v>13</v>
      </c>
      <c r="D2546" s="1">
        <v>46234</v>
      </c>
      <c r="E2546">
        <v>937.4</v>
      </c>
      <c r="F2546">
        <v>43.04</v>
      </c>
      <c r="G2546">
        <v>27.23</v>
      </c>
      <c r="H2546">
        <v>100</v>
      </c>
      <c r="I2546" t="s">
        <v>31</v>
      </c>
      <c r="J2546">
        <v>2026</v>
      </c>
      <c r="K2546">
        <f t="shared" si="78"/>
        <v>15.809999999999999</v>
      </c>
      <c r="L2546" t="str">
        <f t="shared" si="79"/>
        <v>Banca Sannita|31|Mutui</v>
      </c>
    </row>
    <row r="2547" spans="1:12" x14ac:dyDescent="0.25">
      <c r="A2547" t="s">
        <v>32</v>
      </c>
      <c r="B2547">
        <v>31</v>
      </c>
      <c r="C2547" t="s">
        <v>15</v>
      </c>
      <c r="D2547" s="1">
        <v>46234</v>
      </c>
      <c r="E2547">
        <v>1319.5</v>
      </c>
      <c r="F2547">
        <v>62.47</v>
      </c>
      <c r="G2547">
        <v>38.29</v>
      </c>
      <c r="H2547">
        <v>132</v>
      </c>
      <c r="I2547" t="s">
        <v>31</v>
      </c>
      <c r="J2547">
        <v>2026</v>
      </c>
      <c r="K2547">
        <f t="shared" si="78"/>
        <v>24.18</v>
      </c>
      <c r="L2547" t="str">
        <f t="shared" si="79"/>
        <v>Banca Sannita|31|Prestiti</v>
      </c>
    </row>
    <row r="2548" spans="1:12" x14ac:dyDescent="0.25">
      <c r="A2548" t="s">
        <v>32</v>
      </c>
      <c r="B2548">
        <v>31</v>
      </c>
      <c r="C2548" t="s">
        <v>16</v>
      </c>
      <c r="D2548" s="1">
        <v>46234</v>
      </c>
      <c r="E2548">
        <v>1667</v>
      </c>
      <c r="F2548">
        <v>82.54</v>
      </c>
      <c r="G2548">
        <v>50.37</v>
      </c>
      <c r="H2548">
        <v>163</v>
      </c>
      <c r="I2548" t="s">
        <v>31</v>
      </c>
      <c r="J2548">
        <v>2026</v>
      </c>
      <c r="K2548">
        <f t="shared" si="78"/>
        <v>32.170000000000009</v>
      </c>
      <c r="L2548" t="str">
        <f t="shared" si="79"/>
        <v>Banca Sannita|31|Conti</v>
      </c>
    </row>
    <row r="2549" spans="1:12" x14ac:dyDescent="0.25">
      <c r="A2549" t="s">
        <v>32</v>
      </c>
      <c r="B2549">
        <v>31</v>
      </c>
      <c r="C2549" t="s">
        <v>17</v>
      </c>
      <c r="D2549" s="1">
        <v>46234</v>
      </c>
      <c r="E2549">
        <v>2023.1</v>
      </c>
      <c r="F2549">
        <v>103.8</v>
      </c>
      <c r="G2549">
        <v>62.87</v>
      </c>
      <c r="H2549">
        <v>179</v>
      </c>
      <c r="I2549" t="s">
        <v>31</v>
      </c>
      <c r="J2549">
        <v>2026</v>
      </c>
      <c r="K2549">
        <f t="shared" si="78"/>
        <v>40.93</v>
      </c>
      <c r="L2549" t="str">
        <f t="shared" si="79"/>
        <v>Banca Sannita|31|Carte</v>
      </c>
    </row>
    <row r="2550" spans="1:12" x14ac:dyDescent="0.25">
      <c r="A2550" t="s">
        <v>32</v>
      </c>
      <c r="B2550">
        <v>31</v>
      </c>
      <c r="C2550" t="s">
        <v>18</v>
      </c>
      <c r="D2550" s="1">
        <v>46234</v>
      </c>
      <c r="E2550">
        <v>2377</v>
      </c>
      <c r="F2550">
        <v>126.61</v>
      </c>
      <c r="G2550">
        <v>76.16</v>
      </c>
      <c r="H2550">
        <v>226</v>
      </c>
      <c r="I2550" t="s">
        <v>31</v>
      </c>
      <c r="J2550">
        <v>2026</v>
      </c>
      <c r="K2550">
        <f t="shared" si="78"/>
        <v>50.45</v>
      </c>
      <c r="L2550" t="str">
        <f t="shared" si="79"/>
        <v>Banca Sannita|31|Leasing</v>
      </c>
    </row>
    <row r="2551" spans="1:12" x14ac:dyDescent="0.25">
      <c r="A2551" t="s">
        <v>32</v>
      </c>
      <c r="B2551">
        <v>31</v>
      </c>
      <c r="C2551" t="s">
        <v>19</v>
      </c>
      <c r="D2551" s="1">
        <v>46234</v>
      </c>
      <c r="E2551">
        <v>2712.2</v>
      </c>
      <c r="F2551">
        <v>149.38</v>
      </c>
      <c r="G2551">
        <v>89.91</v>
      </c>
      <c r="H2551">
        <v>242</v>
      </c>
      <c r="I2551" t="s">
        <v>31</v>
      </c>
      <c r="J2551">
        <v>2026</v>
      </c>
      <c r="K2551">
        <f t="shared" si="78"/>
        <v>59.47</v>
      </c>
      <c r="L2551" t="str">
        <f t="shared" si="79"/>
        <v>Banca Sannita|31|Factoring</v>
      </c>
    </row>
    <row r="2552" spans="1:12" x14ac:dyDescent="0.25">
      <c r="A2552" t="s">
        <v>32</v>
      </c>
      <c r="B2552">
        <v>31</v>
      </c>
      <c r="C2552" t="s">
        <v>20</v>
      </c>
      <c r="D2552" s="1">
        <v>46234</v>
      </c>
      <c r="E2552">
        <v>3054.6</v>
      </c>
      <c r="F2552">
        <v>174.96</v>
      </c>
      <c r="G2552">
        <v>104.82</v>
      </c>
      <c r="H2552">
        <v>267</v>
      </c>
      <c r="I2552" t="s">
        <v>31</v>
      </c>
      <c r="J2552">
        <v>2026</v>
      </c>
      <c r="K2552">
        <f t="shared" si="78"/>
        <v>70.140000000000015</v>
      </c>
      <c r="L2552" t="str">
        <f t="shared" si="79"/>
        <v>Banca Sannita|31|Risparmio</v>
      </c>
    </row>
    <row r="2553" spans="1:12" x14ac:dyDescent="0.25">
      <c r="A2553" t="s">
        <v>32</v>
      </c>
      <c r="B2553">
        <v>31</v>
      </c>
      <c r="C2553" t="s">
        <v>21</v>
      </c>
      <c r="D2553" s="1">
        <v>46234</v>
      </c>
      <c r="E2553">
        <v>3456.7</v>
      </c>
      <c r="F2553">
        <v>204.35</v>
      </c>
      <c r="G2553">
        <v>121.82</v>
      </c>
      <c r="H2553">
        <v>285</v>
      </c>
      <c r="I2553" t="s">
        <v>31</v>
      </c>
      <c r="J2553">
        <v>2026</v>
      </c>
      <c r="K2553">
        <f t="shared" si="78"/>
        <v>82.53</v>
      </c>
      <c r="L2553" t="str">
        <f t="shared" si="79"/>
        <v>Banca Sannita|31|Assicurazioni</v>
      </c>
    </row>
    <row r="2554" spans="1:12" x14ac:dyDescent="0.25">
      <c r="A2554" t="s">
        <v>32</v>
      </c>
      <c r="B2554">
        <v>32</v>
      </c>
      <c r="C2554" t="s">
        <v>13</v>
      </c>
      <c r="D2554" s="1">
        <v>46265</v>
      </c>
      <c r="E2554">
        <v>933.9</v>
      </c>
      <c r="F2554">
        <v>42.73</v>
      </c>
      <c r="G2554">
        <v>26.78</v>
      </c>
      <c r="H2554">
        <v>85</v>
      </c>
      <c r="I2554" t="s">
        <v>31</v>
      </c>
      <c r="J2554">
        <v>2026</v>
      </c>
      <c r="K2554">
        <f t="shared" si="78"/>
        <v>15.949999999999996</v>
      </c>
      <c r="L2554" t="str">
        <f t="shared" si="79"/>
        <v>Banca Sannita|32|Mutui</v>
      </c>
    </row>
    <row r="2555" spans="1:12" x14ac:dyDescent="0.25">
      <c r="A2555" t="s">
        <v>32</v>
      </c>
      <c r="B2555">
        <v>32</v>
      </c>
      <c r="C2555" t="s">
        <v>15</v>
      </c>
      <c r="D2555" s="1">
        <v>46265</v>
      </c>
      <c r="E2555">
        <v>1300</v>
      </c>
      <c r="F2555">
        <v>61.92</v>
      </c>
      <c r="G2555">
        <v>38.64</v>
      </c>
      <c r="H2555">
        <v>121</v>
      </c>
      <c r="I2555" t="s">
        <v>31</v>
      </c>
      <c r="J2555">
        <v>2026</v>
      </c>
      <c r="K2555">
        <f t="shared" si="78"/>
        <v>23.28</v>
      </c>
      <c r="L2555" t="str">
        <f t="shared" si="79"/>
        <v>Banca Sannita|32|Prestiti</v>
      </c>
    </row>
    <row r="2556" spans="1:12" x14ac:dyDescent="0.25">
      <c r="A2556" t="s">
        <v>32</v>
      </c>
      <c r="B2556">
        <v>32</v>
      </c>
      <c r="C2556" t="s">
        <v>16</v>
      </c>
      <c r="D2556" s="1">
        <v>46265</v>
      </c>
      <c r="E2556">
        <v>1674.1</v>
      </c>
      <c r="F2556">
        <v>82.81</v>
      </c>
      <c r="G2556">
        <v>50.4</v>
      </c>
      <c r="H2556">
        <v>133</v>
      </c>
      <c r="I2556" t="s">
        <v>31</v>
      </c>
      <c r="J2556">
        <v>2026</v>
      </c>
      <c r="K2556">
        <f t="shared" si="78"/>
        <v>32.410000000000004</v>
      </c>
      <c r="L2556" t="str">
        <f t="shared" si="79"/>
        <v>Banca Sannita|32|Conti</v>
      </c>
    </row>
    <row r="2557" spans="1:12" x14ac:dyDescent="0.25">
      <c r="A2557" t="s">
        <v>32</v>
      </c>
      <c r="B2557">
        <v>32</v>
      </c>
      <c r="C2557" t="s">
        <v>17</v>
      </c>
      <c r="D2557" s="1">
        <v>46265</v>
      </c>
      <c r="E2557">
        <v>2024.4</v>
      </c>
      <c r="F2557">
        <v>104.02</v>
      </c>
      <c r="G2557">
        <v>62.83</v>
      </c>
      <c r="H2557">
        <v>171</v>
      </c>
      <c r="I2557" t="s">
        <v>31</v>
      </c>
      <c r="J2557">
        <v>2026</v>
      </c>
      <c r="K2557">
        <f t="shared" si="78"/>
        <v>41.19</v>
      </c>
      <c r="L2557" t="str">
        <f t="shared" si="79"/>
        <v>Banca Sannita|32|Carte</v>
      </c>
    </row>
    <row r="2558" spans="1:12" x14ac:dyDescent="0.25">
      <c r="A2558" t="s">
        <v>32</v>
      </c>
      <c r="B2558">
        <v>32</v>
      </c>
      <c r="C2558" t="s">
        <v>18</v>
      </c>
      <c r="D2558" s="1">
        <v>46265</v>
      </c>
      <c r="E2558">
        <v>2398.1999999999998</v>
      </c>
      <c r="F2558">
        <v>127.15</v>
      </c>
      <c r="G2558">
        <v>77.17</v>
      </c>
      <c r="H2558">
        <v>212</v>
      </c>
      <c r="I2558" t="s">
        <v>31</v>
      </c>
      <c r="J2558">
        <v>2026</v>
      </c>
      <c r="K2558">
        <f t="shared" si="78"/>
        <v>49.980000000000004</v>
      </c>
      <c r="L2558" t="str">
        <f t="shared" si="79"/>
        <v>Banca Sannita|32|Leasing</v>
      </c>
    </row>
    <row r="2559" spans="1:12" x14ac:dyDescent="0.25">
      <c r="A2559" t="s">
        <v>32</v>
      </c>
      <c r="B2559">
        <v>32</v>
      </c>
      <c r="C2559" t="s">
        <v>19</v>
      </c>
      <c r="D2559" s="1">
        <v>46265</v>
      </c>
      <c r="E2559">
        <v>2718.4</v>
      </c>
      <c r="F2559">
        <v>150.4</v>
      </c>
      <c r="G2559">
        <v>90.52</v>
      </c>
      <c r="H2559">
        <v>252</v>
      </c>
      <c r="I2559" t="s">
        <v>31</v>
      </c>
      <c r="J2559">
        <v>2026</v>
      </c>
      <c r="K2559">
        <f t="shared" si="78"/>
        <v>59.88000000000001</v>
      </c>
      <c r="L2559" t="str">
        <f t="shared" si="79"/>
        <v>Banca Sannita|32|Factoring</v>
      </c>
    </row>
    <row r="2560" spans="1:12" x14ac:dyDescent="0.25">
      <c r="A2560" t="s">
        <v>32</v>
      </c>
      <c r="B2560">
        <v>32</v>
      </c>
      <c r="C2560" t="s">
        <v>20</v>
      </c>
      <c r="D2560" s="1">
        <v>46265</v>
      </c>
      <c r="E2560">
        <v>3066.2</v>
      </c>
      <c r="F2560">
        <v>175.57</v>
      </c>
      <c r="G2560">
        <v>105.14</v>
      </c>
      <c r="H2560">
        <v>256</v>
      </c>
      <c r="I2560" t="s">
        <v>31</v>
      </c>
      <c r="J2560">
        <v>2026</v>
      </c>
      <c r="K2560">
        <f t="shared" si="78"/>
        <v>70.429999999999993</v>
      </c>
      <c r="L2560" t="str">
        <f t="shared" si="79"/>
        <v>Banca Sannita|32|Risparmio</v>
      </c>
    </row>
    <row r="2561" spans="1:12" x14ac:dyDescent="0.25">
      <c r="A2561" t="s">
        <v>32</v>
      </c>
      <c r="B2561">
        <v>32</v>
      </c>
      <c r="C2561" t="s">
        <v>21</v>
      </c>
      <c r="D2561" s="1">
        <v>46265</v>
      </c>
      <c r="E2561">
        <v>3441.1</v>
      </c>
      <c r="F2561">
        <v>203.03</v>
      </c>
      <c r="G2561">
        <v>121.29</v>
      </c>
      <c r="H2561">
        <v>297</v>
      </c>
      <c r="I2561" t="s">
        <v>31</v>
      </c>
      <c r="J2561">
        <v>2026</v>
      </c>
      <c r="K2561">
        <f t="shared" si="78"/>
        <v>81.739999999999995</v>
      </c>
      <c r="L2561" t="str">
        <f t="shared" si="79"/>
        <v>Banca Sannita|32|Assicurazioni</v>
      </c>
    </row>
    <row r="2562" spans="1:12" x14ac:dyDescent="0.25">
      <c r="A2562" t="s">
        <v>32</v>
      </c>
      <c r="B2562">
        <v>33</v>
      </c>
      <c r="C2562" t="s">
        <v>13</v>
      </c>
      <c r="D2562" s="1">
        <v>46295</v>
      </c>
      <c r="E2562">
        <v>933.8</v>
      </c>
      <c r="F2562">
        <v>42.3</v>
      </c>
      <c r="G2562">
        <v>27.13</v>
      </c>
      <c r="H2562">
        <v>115</v>
      </c>
      <c r="I2562" t="s">
        <v>31</v>
      </c>
      <c r="J2562">
        <v>2026</v>
      </c>
      <c r="K2562">
        <f t="shared" ref="K2562:K2625" si="80">F2562-G2562</f>
        <v>15.169999999999998</v>
      </c>
      <c r="L2562" t="str">
        <f t="shared" ref="L2562:L2625" si="81">A2562&amp;"|"&amp;B2562&amp;"|"&amp;C2562</f>
        <v>Banca Sannita|33|Mutui</v>
      </c>
    </row>
    <row r="2563" spans="1:12" x14ac:dyDescent="0.25">
      <c r="A2563" t="s">
        <v>32</v>
      </c>
      <c r="B2563">
        <v>33</v>
      </c>
      <c r="C2563" t="s">
        <v>15</v>
      </c>
      <c r="D2563" s="1">
        <v>46295</v>
      </c>
      <c r="E2563">
        <v>1290.8</v>
      </c>
      <c r="F2563">
        <v>61.34</v>
      </c>
      <c r="G2563">
        <v>38.39</v>
      </c>
      <c r="H2563">
        <v>105</v>
      </c>
      <c r="I2563" t="s">
        <v>31</v>
      </c>
      <c r="J2563">
        <v>2026</v>
      </c>
      <c r="K2563">
        <f t="shared" si="80"/>
        <v>22.950000000000003</v>
      </c>
      <c r="L2563" t="str">
        <f t="shared" si="81"/>
        <v>Banca Sannita|33|Prestiti</v>
      </c>
    </row>
    <row r="2564" spans="1:12" x14ac:dyDescent="0.25">
      <c r="A2564" t="s">
        <v>32</v>
      </c>
      <c r="B2564">
        <v>33</v>
      </c>
      <c r="C2564" t="s">
        <v>16</v>
      </c>
      <c r="D2564" s="1">
        <v>46295</v>
      </c>
      <c r="E2564">
        <v>1686.5</v>
      </c>
      <c r="F2564">
        <v>82.96</v>
      </c>
      <c r="G2564">
        <v>51.18</v>
      </c>
      <c r="H2564">
        <v>152</v>
      </c>
      <c r="I2564" t="s">
        <v>31</v>
      </c>
      <c r="J2564">
        <v>2026</v>
      </c>
      <c r="K2564">
        <f t="shared" si="80"/>
        <v>31.779999999999994</v>
      </c>
      <c r="L2564" t="str">
        <f t="shared" si="81"/>
        <v>Banca Sannita|33|Conti</v>
      </c>
    </row>
    <row r="2565" spans="1:12" x14ac:dyDescent="0.25">
      <c r="A2565" t="s">
        <v>32</v>
      </c>
      <c r="B2565">
        <v>33</v>
      </c>
      <c r="C2565" t="s">
        <v>17</v>
      </c>
      <c r="D2565" s="1">
        <v>46295</v>
      </c>
      <c r="E2565">
        <v>2026.4</v>
      </c>
      <c r="F2565">
        <v>103.63</v>
      </c>
      <c r="G2565">
        <v>62.88</v>
      </c>
      <c r="H2565">
        <v>164</v>
      </c>
      <c r="I2565" t="s">
        <v>31</v>
      </c>
      <c r="J2565">
        <v>2026</v>
      </c>
      <c r="K2565">
        <f t="shared" si="80"/>
        <v>40.749999999999993</v>
      </c>
      <c r="L2565" t="str">
        <f t="shared" si="81"/>
        <v>Banca Sannita|33|Carte</v>
      </c>
    </row>
    <row r="2566" spans="1:12" x14ac:dyDescent="0.25">
      <c r="A2566" t="s">
        <v>32</v>
      </c>
      <c r="B2566">
        <v>33</v>
      </c>
      <c r="C2566" t="s">
        <v>18</v>
      </c>
      <c r="D2566" s="1">
        <v>46295</v>
      </c>
      <c r="E2566">
        <v>2397.9</v>
      </c>
      <c r="F2566">
        <v>127.1</v>
      </c>
      <c r="G2566">
        <v>76.819999999999993</v>
      </c>
      <c r="H2566">
        <v>207</v>
      </c>
      <c r="I2566" t="s">
        <v>31</v>
      </c>
      <c r="J2566">
        <v>2026</v>
      </c>
      <c r="K2566">
        <f t="shared" si="80"/>
        <v>50.28</v>
      </c>
      <c r="L2566" t="str">
        <f t="shared" si="81"/>
        <v>Banca Sannita|33|Leasing</v>
      </c>
    </row>
    <row r="2567" spans="1:12" x14ac:dyDescent="0.25">
      <c r="A2567" t="s">
        <v>32</v>
      </c>
      <c r="B2567">
        <v>33</v>
      </c>
      <c r="C2567" t="s">
        <v>19</v>
      </c>
      <c r="D2567" s="1">
        <v>46295</v>
      </c>
      <c r="E2567">
        <v>2737.3</v>
      </c>
      <c r="F2567">
        <v>151.44999999999999</v>
      </c>
      <c r="G2567">
        <v>91.24</v>
      </c>
      <c r="H2567">
        <v>245</v>
      </c>
      <c r="I2567" t="s">
        <v>31</v>
      </c>
      <c r="J2567">
        <v>2026</v>
      </c>
      <c r="K2567">
        <f t="shared" si="80"/>
        <v>60.209999999999994</v>
      </c>
      <c r="L2567" t="str">
        <f t="shared" si="81"/>
        <v>Banca Sannita|33|Factoring</v>
      </c>
    </row>
    <row r="2568" spans="1:12" x14ac:dyDescent="0.25">
      <c r="A2568" t="s">
        <v>32</v>
      </c>
      <c r="B2568">
        <v>33</v>
      </c>
      <c r="C2568" t="s">
        <v>20</v>
      </c>
      <c r="D2568" s="1">
        <v>46295</v>
      </c>
      <c r="E2568">
        <v>3107.8</v>
      </c>
      <c r="F2568">
        <v>178.06</v>
      </c>
      <c r="G2568">
        <v>106.17</v>
      </c>
      <c r="H2568">
        <v>252</v>
      </c>
      <c r="I2568" t="s">
        <v>31</v>
      </c>
      <c r="J2568">
        <v>2026</v>
      </c>
      <c r="K2568">
        <f t="shared" si="80"/>
        <v>71.89</v>
      </c>
      <c r="L2568" t="str">
        <f t="shared" si="81"/>
        <v>Banca Sannita|33|Risparmio</v>
      </c>
    </row>
    <row r="2569" spans="1:12" x14ac:dyDescent="0.25">
      <c r="A2569" t="s">
        <v>32</v>
      </c>
      <c r="B2569">
        <v>33</v>
      </c>
      <c r="C2569" t="s">
        <v>21</v>
      </c>
      <c r="D2569" s="1">
        <v>46295</v>
      </c>
      <c r="E2569">
        <v>3478.6</v>
      </c>
      <c r="F2569">
        <v>205.29</v>
      </c>
      <c r="G2569">
        <v>122.19</v>
      </c>
      <c r="H2569">
        <v>295</v>
      </c>
      <c r="I2569" t="s">
        <v>31</v>
      </c>
      <c r="J2569">
        <v>2026</v>
      </c>
      <c r="K2569">
        <f t="shared" si="80"/>
        <v>83.1</v>
      </c>
      <c r="L2569" t="str">
        <f t="shared" si="81"/>
        <v>Banca Sannita|33|Assicurazioni</v>
      </c>
    </row>
    <row r="2570" spans="1:12" x14ac:dyDescent="0.25">
      <c r="A2570" t="s">
        <v>32</v>
      </c>
      <c r="B2570">
        <v>34</v>
      </c>
      <c r="C2570" t="s">
        <v>13</v>
      </c>
      <c r="D2570" s="1">
        <v>46326</v>
      </c>
      <c r="E2570">
        <v>958.8</v>
      </c>
      <c r="F2570">
        <v>44.08</v>
      </c>
      <c r="G2570">
        <v>27.61</v>
      </c>
      <c r="H2570">
        <v>84</v>
      </c>
      <c r="I2570" t="s">
        <v>31</v>
      </c>
      <c r="J2570">
        <v>2026</v>
      </c>
      <c r="K2570">
        <f t="shared" si="80"/>
        <v>16.47</v>
      </c>
      <c r="L2570" t="str">
        <f t="shared" si="81"/>
        <v>Banca Sannita|34|Mutui</v>
      </c>
    </row>
    <row r="2571" spans="1:12" x14ac:dyDescent="0.25">
      <c r="A2571" t="s">
        <v>32</v>
      </c>
      <c r="B2571">
        <v>34</v>
      </c>
      <c r="C2571" t="s">
        <v>15</v>
      </c>
      <c r="D2571" s="1">
        <v>46326</v>
      </c>
      <c r="E2571">
        <v>1300.5</v>
      </c>
      <c r="F2571">
        <v>61.34</v>
      </c>
      <c r="G2571">
        <v>38.11</v>
      </c>
      <c r="H2571">
        <v>142</v>
      </c>
      <c r="I2571" t="s">
        <v>31</v>
      </c>
      <c r="J2571">
        <v>2026</v>
      </c>
      <c r="K2571">
        <f t="shared" si="80"/>
        <v>23.230000000000004</v>
      </c>
      <c r="L2571" t="str">
        <f t="shared" si="81"/>
        <v>Banca Sannita|34|Prestiti</v>
      </c>
    </row>
    <row r="2572" spans="1:12" x14ac:dyDescent="0.25">
      <c r="A2572" t="s">
        <v>32</v>
      </c>
      <c r="B2572">
        <v>34</v>
      </c>
      <c r="C2572" t="s">
        <v>16</v>
      </c>
      <c r="D2572" s="1">
        <v>46326</v>
      </c>
      <c r="E2572">
        <v>1718</v>
      </c>
      <c r="F2572">
        <v>85.12</v>
      </c>
      <c r="G2572">
        <v>52.31</v>
      </c>
      <c r="H2572">
        <v>134</v>
      </c>
      <c r="I2572" t="s">
        <v>31</v>
      </c>
      <c r="J2572">
        <v>2026</v>
      </c>
      <c r="K2572">
        <f t="shared" si="80"/>
        <v>32.81</v>
      </c>
      <c r="L2572" t="str">
        <f t="shared" si="81"/>
        <v>Banca Sannita|34|Conti</v>
      </c>
    </row>
    <row r="2573" spans="1:12" x14ac:dyDescent="0.25">
      <c r="A2573" t="s">
        <v>32</v>
      </c>
      <c r="B2573">
        <v>34</v>
      </c>
      <c r="C2573" t="s">
        <v>17</v>
      </c>
      <c r="D2573" s="1">
        <v>46326</v>
      </c>
      <c r="E2573">
        <v>2062.1999999999998</v>
      </c>
      <c r="F2573">
        <v>105.36</v>
      </c>
      <c r="G2573">
        <v>64.48</v>
      </c>
      <c r="H2573">
        <v>192</v>
      </c>
      <c r="I2573" t="s">
        <v>31</v>
      </c>
      <c r="J2573">
        <v>2026</v>
      </c>
      <c r="K2573">
        <f t="shared" si="80"/>
        <v>40.879999999999995</v>
      </c>
      <c r="L2573" t="str">
        <f t="shared" si="81"/>
        <v>Banca Sannita|34|Carte</v>
      </c>
    </row>
    <row r="2574" spans="1:12" x14ac:dyDescent="0.25">
      <c r="A2574" t="s">
        <v>32</v>
      </c>
      <c r="B2574">
        <v>34</v>
      </c>
      <c r="C2574" t="s">
        <v>18</v>
      </c>
      <c r="D2574" s="1">
        <v>46326</v>
      </c>
      <c r="E2574">
        <v>2426.6</v>
      </c>
      <c r="F2574">
        <v>129.38</v>
      </c>
      <c r="G2574">
        <v>77.91</v>
      </c>
      <c r="H2574">
        <v>216</v>
      </c>
      <c r="I2574" t="s">
        <v>31</v>
      </c>
      <c r="J2574">
        <v>2026</v>
      </c>
      <c r="K2574">
        <f t="shared" si="80"/>
        <v>51.47</v>
      </c>
      <c r="L2574" t="str">
        <f t="shared" si="81"/>
        <v>Banca Sannita|34|Leasing</v>
      </c>
    </row>
    <row r="2575" spans="1:12" x14ac:dyDescent="0.25">
      <c r="A2575" t="s">
        <v>32</v>
      </c>
      <c r="B2575">
        <v>34</v>
      </c>
      <c r="C2575" t="s">
        <v>19</v>
      </c>
      <c r="D2575" s="1">
        <v>46326</v>
      </c>
      <c r="E2575">
        <v>2765.5</v>
      </c>
      <c r="F2575">
        <v>152.91999999999999</v>
      </c>
      <c r="G2575">
        <v>91.68</v>
      </c>
      <c r="H2575">
        <v>255</v>
      </c>
      <c r="I2575" t="s">
        <v>31</v>
      </c>
      <c r="J2575">
        <v>2026</v>
      </c>
      <c r="K2575">
        <f t="shared" si="80"/>
        <v>61.239999999999981</v>
      </c>
      <c r="L2575" t="str">
        <f t="shared" si="81"/>
        <v>Banca Sannita|34|Factoring</v>
      </c>
    </row>
    <row r="2576" spans="1:12" x14ac:dyDescent="0.25">
      <c r="A2576" t="s">
        <v>32</v>
      </c>
      <c r="B2576">
        <v>34</v>
      </c>
      <c r="C2576" t="s">
        <v>20</v>
      </c>
      <c r="D2576" s="1">
        <v>46326</v>
      </c>
      <c r="E2576">
        <v>3148.5</v>
      </c>
      <c r="F2576">
        <v>180.3</v>
      </c>
      <c r="G2576">
        <v>107.6</v>
      </c>
      <c r="H2576">
        <v>273</v>
      </c>
      <c r="I2576" t="s">
        <v>31</v>
      </c>
      <c r="J2576">
        <v>2026</v>
      </c>
      <c r="K2576">
        <f t="shared" si="80"/>
        <v>72.700000000000017</v>
      </c>
      <c r="L2576" t="str">
        <f t="shared" si="81"/>
        <v>Banca Sannita|34|Risparmio</v>
      </c>
    </row>
    <row r="2577" spans="1:12" x14ac:dyDescent="0.25">
      <c r="A2577" t="s">
        <v>32</v>
      </c>
      <c r="B2577">
        <v>34</v>
      </c>
      <c r="C2577" t="s">
        <v>21</v>
      </c>
      <c r="D2577" s="1">
        <v>46326</v>
      </c>
      <c r="E2577">
        <v>3490.4</v>
      </c>
      <c r="F2577">
        <v>206.18</v>
      </c>
      <c r="G2577">
        <v>123.04</v>
      </c>
      <c r="H2577">
        <v>288</v>
      </c>
      <c r="I2577" t="s">
        <v>31</v>
      </c>
      <c r="J2577">
        <v>2026</v>
      </c>
      <c r="K2577">
        <f t="shared" si="80"/>
        <v>83.14</v>
      </c>
      <c r="L2577" t="str">
        <f t="shared" si="81"/>
        <v>Banca Sannita|34|Assicurazioni</v>
      </c>
    </row>
    <row r="2578" spans="1:12" x14ac:dyDescent="0.25">
      <c r="A2578" t="s">
        <v>32</v>
      </c>
      <c r="B2578">
        <v>35</v>
      </c>
      <c r="C2578" t="s">
        <v>13</v>
      </c>
      <c r="D2578" s="1">
        <v>46356</v>
      </c>
      <c r="E2578">
        <v>944.9</v>
      </c>
      <c r="F2578">
        <v>43.02</v>
      </c>
      <c r="G2578">
        <v>27.41</v>
      </c>
      <c r="H2578">
        <v>104</v>
      </c>
      <c r="I2578" t="s">
        <v>31</v>
      </c>
      <c r="J2578">
        <v>2026</v>
      </c>
      <c r="K2578">
        <f t="shared" si="80"/>
        <v>15.610000000000003</v>
      </c>
      <c r="L2578" t="str">
        <f t="shared" si="81"/>
        <v>Banca Sannita|35|Mutui</v>
      </c>
    </row>
    <row r="2579" spans="1:12" x14ac:dyDescent="0.25">
      <c r="A2579" t="s">
        <v>32</v>
      </c>
      <c r="B2579">
        <v>35</v>
      </c>
      <c r="C2579" t="s">
        <v>15</v>
      </c>
      <c r="D2579" s="1">
        <v>46356</v>
      </c>
      <c r="E2579">
        <v>1336.1</v>
      </c>
      <c r="F2579">
        <v>62.95</v>
      </c>
      <c r="G2579">
        <v>39.21</v>
      </c>
      <c r="H2579">
        <v>122</v>
      </c>
      <c r="I2579" t="s">
        <v>31</v>
      </c>
      <c r="J2579">
        <v>2026</v>
      </c>
      <c r="K2579">
        <f t="shared" si="80"/>
        <v>23.740000000000002</v>
      </c>
      <c r="L2579" t="str">
        <f t="shared" si="81"/>
        <v>Banca Sannita|35|Prestiti</v>
      </c>
    </row>
    <row r="2580" spans="1:12" x14ac:dyDescent="0.25">
      <c r="A2580" t="s">
        <v>32</v>
      </c>
      <c r="B2580">
        <v>35</v>
      </c>
      <c r="C2580" t="s">
        <v>16</v>
      </c>
      <c r="D2580" s="1">
        <v>46356</v>
      </c>
      <c r="E2580">
        <v>1689.2</v>
      </c>
      <c r="F2580">
        <v>83.27</v>
      </c>
      <c r="G2580">
        <v>51.32</v>
      </c>
      <c r="H2580">
        <v>164</v>
      </c>
      <c r="I2580" t="s">
        <v>31</v>
      </c>
      <c r="J2580">
        <v>2026</v>
      </c>
      <c r="K2580">
        <f t="shared" si="80"/>
        <v>31.949999999999996</v>
      </c>
      <c r="L2580" t="str">
        <f t="shared" si="81"/>
        <v>Banca Sannita|35|Conti</v>
      </c>
    </row>
    <row r="2581" spans="1:12" x14ac:dyDescent="0.25">
      <c r="A2581" t="s">
        <v>32</v>
      </c>
      <c r="B2581">
        <v>35</v>
      </c>
      <c r="C2581" t="s">
        <v>17</v>
      </c>
      <c r="D2581" s="1">
        <v>46356</v>
      </c>
      <c r="E2581">
        <v>2066.1999999999998</v>
      </c>
      <c r="F2581">
        <v>106.05</v>
      </c>
      <c r="G2581">
        <v>64.150000000000006</v>
      </c>
      <c r="H2581">
        <v>194</v>
      </c>
      <c r="I2581" t="s">
        <v>31</v>
      </c>
      <c r="J2581">
        <v>2026</v>
      </c>
      <c r="K2581">
        <f t="shared" si="80"/>
        <v>41.899999999999991</v>
      </c>
      <c r="L2581" t="str">
        <f t="shared" si="81"/>
        <v>Banca Sannita|35|Carte</v>
      </c>
    </row>
    <row r="2582" spans="1:12" x14ac:dyDescent="0.25">
      <c r="A2582" t="s">
        <v>32</v>
      </c>
      <c r="B2582">
        <v>35</v>
      </c>
      <c r="C2582" t="s">
        <v>18</v>
      </c>
      <c r="D2582" s="1">
        <v>46356</v>
      </c>
      <c r="E2582">
        <v>2401.1999999999998</v>
      </c>
      <c r="F2582">
        <v>128.05000000000001</v>
      </c>
      <c r="G2582">
        <v>77.290000000000006</v>
      </c>
      <c r="H2582">
        <v>199</v>
      </c>
      <c r="I2582" t="s">
        <v>31</v>
      </c>
      <c r="J2582">
        <v>2026</v>
      </c>
      <c r="K2582">
        <f t="shared" si="80"/>
        <v>50.760000000000005</v>
      </c>
      <c r="L2582" t="str">
        <f t="shared" si="81"/>
        <v>Banca Sannita|35|Leasing</v>
      </c>
    </row>
    <row r="2583" spans="1:12" x14ac:dyDescent="0.25">
      <c r="A2583" t="s">
        <v>32</v>
      </c>
      <c r="B2583">
        <v>35</v>
      </c>
      <c r="C2583" t="s">
        <v>19</v>
      </c>
      <c r="D2583" s="1">
        <v>46356</v>
      </c>
      <c r="E2583">
        <v>2803.9</v>
      </c>
      <c r="F2583">
        <v>154.6</v>
      </c>
      <c r="G2583">
        <v>92.62</v>
      </c>
      <c r="H2583">
        <v>243</v>
      </c>
      <c r="I2583" t="s">
        <v>31</v>
      </c>
      <c r="J2583">
        <v>2026</v>
      </c>
      <c r="K2583">
        <f t="shared" si="80"/>
        <v>61.97999999999999</v>
      </c>
      <c r="L2583" t="str">
        <f t="shared" si="81"/>
        <v>Banca Sannita|35|Factoring</v>
      </c>
    </row>
    <row r="2584" spans="1:12" x14ac:dyDescent="0.25">
      <c r="A2584" t="s">
        <v>32</v>
      </c>
      <c r="B2584">
        <v>35</v>
      </c>
      <c r="C2584" t="s">
        <v>20</v>
      </c>
      <c r="D2584" s="1">
        <v>46356</v>
      </c>
      <c r="E2584">
        <v>3140.9</v>
      </c>
      <c r="F2584">
        <v>179.35</v>
      </c>
      <c r="G2584">
        <v>107</v>
      </c>
      <c r="H2584">
        <v>274</v>
      </c>
      <c r="I2584" t="s">
        <v>31</v>
      </c>
      <c r="J2584">
        <v>2026</v>
      </c>
      <c r="K2584">
        <f t="shared" si="80"/>
        <v>72.349999999999994</v>
      </c>
      <c r="L2584" t="str">
        <f t="shared" si="81"/>
        <v>Banca Sannita|35|Risparmio</v>
      </c>
    </row>
    <row r="2585" spans="1:12" x14ac:dyDescent="0.25">
      <c r="A2585" t="s">
        <v>32</v>
      </c>
      <c r="B2585">
        <v>35</v>
      </c>
      <c r="C2585" t="s">
        <v>21</v>
      </c>
      <c r="D2585" s="1">
        <v>46356</v>
      </c>
      <c r="E2585">
        <v>3527.3</v>
      </c>
      <c r="F2585">
        <v>208.93</v>
      </c>
      <c r="G2585">
        <v>124.01</v>
      </c>
      <c r="H2585">
        <v>280</v>
      </c>
      <c r="I2585" t="s">
        <v>31</v>
      </c>
      <c r="J2585">
        <v>2026</v>
      </c>
      <c r="K2585">
        <f t="shared" si="80"/>
        <v>84.92</v>
      </c>
      <c r="L2585" t="str">
        <f t="shared" si="81"/>
        <v>Banca Sannita|35|Assicurazioni</v>
      </c>
    </row>
    <row r="2586" spans="1:12" x14ac:dyDescent="0.25">
      <c r="A2586" t="s">
        <v>32</v>
      </c>
      <c r="B2586">
        <v>36</v>
      </c>
      <c r="C2586" t="s">
        <v>13</v>
      </c>
      <c r="D2586" s="1">
        <v>46387</v>
      </c>
      <c r="E2586">
        <v>948.7</v>
      </c>
      <c r="F2586">
        <v>43.04</v>
      </c>
      <c r="G2586">
        <v>27.53</v>
      </c>
      <c r="H2586">
        <v>100</v>
      </c>
      <c r="I2586" t="s">
        <v>31</v>
      </c>
      <c r="J2586">
        <v>2026</v>
      </c>
      <c r="K2586">
        <f t="shared" si="80"/>
        <v>15.509999999999998</v>
      </c>
      <c r="L2586" t="str">
        <f t="shared" si="81"/>
        <v>Banca Sannita|36|Mutui</v>
      </c>
    </row>
    <row r="2587" spans="1:12" x14ac:dyDescent="0.25">
      <c r="A2587" t="s">
        <v>32</v>
      </c>
      <c r="B2587">
        <v>36</v>
      </c>
      <c r="C2587" t="s">
        <v>15</v>
      </c>
      <c r="D2587" s="1">
        <v>46387</v>
      </c>
      <c r="E2587">
        <v>1332.9</v>
      </c>
      <c r="F2587">
        <v>62.83</v>
      </c>
      <c r="G2587">
        <v>39.42</v>
      </c>
      <c r="H2587">
        <v>108</v>
      </c>
      <c r="I2587" t="s">
        <v>31</v>
      </c>
      <c r="J2587">
        <v>2026</v>
      </c>
      <c r="K2587">
        <f t="shared" si="80"/>
        <v>23.409999999999997</v>
      </c>
      <c r="L2587" t="str">
        <f t="shared" si="81"/>
        <v>Banca Sannita|36|Prestiti</v>
      </c>
    </row>
    <row r="2588" spans="1:12" x14ac:dyDescent="0.25">
      <c r="A2588" t="s">
        <v>32</v>
      </c>
      <c r="B2588">
        <v>36</v>
      </c>
      <c r="C2588" t="s">
        <v>16</v>
      </c>
      <c r="D2588" s="1">
        <v>46387</v>
      </c>
      <c r="E2588">
        <v>1681.2</v>
      </c>
      <c r="F2588">
        <v>82.52</v>
      </c>
      <c r="G2588">
        <v>50.46</v>
      </c>
      <c r="H2588">
        <v>144</v>
      </c>
      <c r="I2588" t="s">
        <v>31</v>
      </c>
      <c r="J2588">
        <v>2026</v>
      </c>
      <c r="K2588">
        <f t="shared" si="80"/>
        <v>32.059999999999995</v>
      </c>
      <c r="L2588" t="str">
        <f t="shared" si="81"/>
        <v>Banca Sannita|36|Conti</v>
      </c>
    </row>
    <row r="2589" spans="1:12" x14ac:dyDescent="0.25">
      <c r="A2589" t="s">
        <v>32</v>
      </c>
      <c r="B2589">
        <v>36</v>
      </c>
      <c r="C2589" t="s">
        <v>17</v>
      </c>
      <c r="D2589" s="1">
        <v>46387</v>
      </c>
      <c r="E2589">
        <v>2093.1</v>
      </c>
      <c r="F2589">
        <v>106.8</v>
      </c>
      <c r="G2589">
        <v>65.61</v>
      </c>
      <c r="H2589">
        <v>199</v>
      </c>
      <c r="I2589" t="s">
        <v>31</v>
      </c>
      <c r="J2589">
        <v>2026</v>
      </c>
      <c r="K2589">
        <f t="shared" si="80"/>
        <v>41.19</v>
      </c>
      <c r="L2589" t="str">
        <f t="shared" si="81"/>
        <v>Banca Sannita|36|Carte</v>
      </c>
    </row>
    <row r="2590" spans="1:12" x14ac:dyDescent="0.25">
      <c r="A2590" t="s">
        <v>32</v>
      </c>
      <c r="B2590">
        <v>36</v>
      </c>
      <c r="C2590" t="s">
        <v>18</v>
      </c>
      <c r="D2590" s="1">
        <v>46387</v>
      </c>
      <c r="E2590">
        <v>2444</v>
      </c>
      <c r="F2590">
        <v>129.6</v>
      </c>
      <c r="G2590">
        <v>79.03</v>
      </c>
      <c r="H2590">
        <v>197</v>
      </c>
      <c r="I2590" t="s">
        <v>31</v>
      </c>
      <c r="J2590">
        <v>2026</v>
      </c>
      <c r="K2590">
        <f t="shared" si="80"/>
        <v>50.569999999999993</v>
      </c>
      <c r="L2590" t="str">
        <f t="shared" si="81"/>
        <v>Banca Sannita|36|Leasing</v>
      </c>
    </row>
    <row r="2591" spans="1:12" x14ac:dyDescent="0.25">
      <c r="A2591" t="s">
        <v>32</v>
      </c>
      <c r="B2591">
        <v>36</v>
      </c>
      <c r="C2591" t="s">
        <v>19</v>
      </c>
      <c r="D2591" s="1">
        <v>46387</v>
      </c>
      <c r="E2591">
        <v>2800.4</v>
      </c>
      <c r="F2591">
        <v>154.31</v>
      </c>
      <c r="G2591">
        <v>93.34</v>
      </c>
      <c r="H2591">
        <v>223</v>
      </c>
      <c r="I2591" t="s">
        <v>31</v>
      </c>
      <c r="J2591">
        <v>2026</v>
      </c>
      <c r="K2591">
        <f t="shared" si="80"/>
        <v>60.97</v>
      </c>
      <c r="L2591" t="str">
        <f t="shared" si="81"/>
        <v>Banca Sannita|36|Factoring</v>
      </c>
    </row>
    <row r="2592" spans="1:12" x14ac:dyDescent="0.25">
      <c r="A2592" t="s">
        <v>32</v>
      </c>
      <c r="B2592">
        <v>36</v>
      </c>
      <c r="C2592" t="s">
        <v>20</v>
      </c>
      <c r="D2592" s="1">
        <v>46387</v>
      </c>
      <c r="E2592">
        <v>3157.2</v>
      </c>
      <c r="F2592">
        <v>180.08</v>
      </c>
      <c r="G2592">
        <v>108.3</v>
      </c>
      <c r="H2592">
        <v>278</v>
      </c>
      <c r="I2592" t="s">
        <v>31</v>
      </c>
      <c r="J2592">
        <v>2026</v>
      </c>
      <c r="K2592">
        <f t="shared" si="80"/>
        <v>71.780000000000015</v>
      </c>
      <c r="L2592" t="str">
        <f t="shared" si="81"/>
        <v>Banca Sannita|36|Risparmio</v>
      </c>
    </row>
    <row r="2593" spans="1:12" x14ac:dyDescent="0.25">
      <c r="A2593" t="s">
        <v>32</v>
      </c>
      <c r="B2593">
        <v>36</v>
      </c>
      <c r="C2593" t="s">
        <v>21</v>
      </c>
      <c r="D2593" s="1">
        <v>46387</v>
      </c>
      <c r="E2593">
        <v>3523.9</v>
      </c>
      <c r="F2593">
        <v>208.74</v>
      </c>
      <c r="G2593">
        <v>124.18</v>
      </c>
      <c r="H2593">
        <v>311</v>
      </c>
      <c r="I2593" t="s">
        <v>31</v>
      </c>
      <c r="J2593">
        <v>2026</v>
      </c>
      <c r="K2593">
        <f t="shared" si="80"/>
        <v>84.56</v>
      </c>
      <c r="L2593" t="str">
        <f t="shared" si="81"/>
        <v>Banca Sannita|36|Assicurazioni</v>
      </c>
    </row>
    <row r="2594" spans="1:12" x14ac:dyDescent="0.25">
      <c r="A2594" t="s">
        <v>33</v>
      </c>
      <c r="B2594">
        <v>1</v>
      </c>
      <c r="C2594" t="s">
        <v>13</v>
      </c>
      <c r="D2594" s="1">
        <v>45322</v>
      </c>
      <c r="E2594">
        <v>847.5</v>
      </c>
      <c r="F2594">
        <v>38.76</v>
      </c>
      <c r="G2594">
        <v>24.7</v>
      </c>
      <c r="H2594">
        <v>105</v>
      </c>
      <c r="I2594" t="s">
        <v>14</v>
      </c>
      <c r="J2594">
        <v>2024</v>
      </c>
      <c r="K2594">
        <f t="shared" si="80"/>
        <v>14.059999999999999</v>
      </c>
      <c r="L2594" t="str">
        <f t="shared" si="81"/>
        <v>Banca Ligure|1|Mutui</v>
      </c>
    </row>
    <row r="2595" spans="1:12" x14ac:dyDescent="0.25">
      <c r="A2595" t="s">
        <v>33</v>
      </c>
      <c r="B2595">
        <v>1</v>
      </c>
      <c r="C2595" t="s">
        <v>15</v>
      </c>
      <c r="D2595" s="1">
        <v>45322</v>
      </c>
      <c r="E2595">
        <v>1126.9000000000001</v>
      </c>
      <c r="F2595">
        <v>53.26</v>
      </c>
      <c r="G2595">
        <v>33.61</v>
      </c>
      <c r="H2595">
        <v>149</v>
      </c>
      <c r="I2595" t="s">
        <v>14</v>
      </c>
      <c r="J2595">
        <v>2024</v>
      </c>
      <c r="K2595">
        <f t="shared" si="80"/>
        <v>19.649999999999999</v>
      </c>
      <c r="L2595" t="str">
        <f t="shared" si="81"/>
        <v>Banca Ligure|1|Prestiti</v>
      </c>
    </row>
    <row r="2596" spans="1:12" x14ac:dyDescent="0.25">
      <c r="A2596" t="s">
        <v>33</v>
      </c>
      <c r="B2596">
        <v>1</v>
      </c>
      <c r="C2596" t="s">
        <v>16</v>
      </c>
      <c r="D2596" s="1">
        <v>45322</v>
      </c>
      <c r="E2596">
        <v>1423.8</v>
      </c>
      <c r="F2596">
        <v>69.86</v>
      </c>
      <c r="G2596">
        <v>43.3</v>
      </c>
      <c r="H2596">
        <v>166</v>
      </c>
      <c r="I2596" t="s">
        <v>14</v>
      </c>
      <c r="J2596">
        <v>2024</v>
      </c>
      <c r="K2596">
        <f t="shared" si="80"/>
        <v>26.560000000000002</v>
      </c>
      <c r="L2596" t="str">
        <f t="shared" si="81"/>
        <v>Banca Ligure|1|Conti</v>
      </c>
    </row>
    <row r="2597" spans="1:12" x14ac:dyDescent="0.25">
      <c r="A2597" t="s">
        <v>33</v>
      </c>
      <c r="B2597">
        <v>1</v>
      </c>
      <c r="C2597" t="s">
        <v>17</v>
      </c>
      <c r="D2597" s="1">
        <v>45322</v>
      </c>
      <c r="E2597">
        <v>1716.7</v>
      </c>
      <c r="F2597">
        <v>88.08</v>
      </c>
      <c r="G2597">
        <v>53.98</v>
      </c>
      <c r="H2597">
        <v>182</v>
      </c>
      <c r="I2597" t="s">
        <v>14</v>
      </c>
      <c r="J2597">
        <v>2024</v>
      </c>
      <c r="K2597">
        <f t="shared" si="80"/>
        <v>34.1</v>
      </c>
      <c r="L2597" t="str">
        <f t="shared" si="81"/>
        <v>Banca Ligure|1|Carte</v>
      </c>
    </row>
    <row r="2598" spans="1:12" x14ac:dyDescent="0.25">
      <c r="A2598" t="s">
        <v>33</v>
      </c>
      <c r="B2598">
        <v>1</v>
      </c>
      <c r="C2598" t="s">
        <v>18</v>
      </c>
      <c r="D2598" s="1">
        <v>45322</v>
      </c>
      <c r="E2598">
        <v>2033.7</v>
      </c>
      <c r="F2598">
        <v>108.05</v>
      </c>
      <c r="G2598">
        <v>65.69</v>
      </c>
      <c r="H2598">
        <v>239</v>
      </c>
      <c r="I2598" t="s">
        <v>14</v>
      </c>
      <c r="J2598">
        <v>2024</v>
      </c>
      <c r="K2598">
        <f t="shared" si="80"/>
        <v>42.36</v>
      </c>
      <c r="L2598" t="str">
        <f t="shared" si="81"/>
        <v>Banca Ligure|1|Leasing</v>
      </c>
    </row>
    <row r="2599" spans="1:12" x14ac:dyDescent="0.25">
      <c r="A2599" t="s">
        <v>33</v>
      </c>
      <c r="B2599">
        <v>1</v>
      </c>
      <c r="C2599" t="s">
        <v>19</v>
      </c>
      <c r="D2599" s="1">
        <v>45322</v>
      </c>
      <c r="E2599">
        <v>2356.3000000000002</v>
      </c>
      <c r="F2599">
        <v>129.78</v>
      </c>
      <c r="G2599">
        <v>77.97</v>
      </c>
      <c r="H2599">
        <v>236</v>
      </c>
      <c r="I2599" t="s">
        <v>14</v>
      </c>
      <c r="J2599">
        <v>2024</v>
      </c>
      <c r="K2599">
        <f t="shared" si="80"/>
        <v>51.81</v>
      </c>
      <c r="L2599" t="str">
        <f t="shared" si="81"/>
        <v>Banca Ligure|1|Factoring</v>
      </c>
    </row>
    <row r="2600" spans="1:12" x14ac:dyDescent="0.25">
      <c r="A2600" t="s">
        <v>33</v>
      </c>
      <c r="B2600">
        <v>1</v>
      </c>
      <c r="C2600" t="s">
        <v>20</v>
      </c>
      <c r="D2600" s="1">
        <v>45322</v>
      </c>
      <c r="E2600">
        <v>2685.5</v>
      </c>
      <c r="F2600">
        <v>153.28</v>
      </c>
      <c r="G2600">
        <v>92.13</v>
      </c>
      <c r="H2600">
        <v>264</v>
      </c>
      <c r="I2600" t="s">
        <v>14</v>
      </c>
      <c r="J2600">
        <v>2024</v>
      </c>
      <c r="K2600">
        <f t="shared" si="80"/>
        <v>61.150000000000006</v>
      </c>
      <c r="L2600" t="str">
        <f t="shared" si="81"/>
        <v>Banca Ligure|1|Risparmio</v>
      </c>
    </row>
    <row r="2601" spans="1:12" x14ac:dyDescent="0.25">
      <c r="A2601" t="s">
        <v>33</v>
      </c>
      <c r="B2601">
        <v>1</v>
      </c>
      <c r="C2601" t="s">
        <v>21</v>
      </c>
      <c r="D2601" s="1">
        <v>45322</v>
      </c>
      <c r="E2601">
        <v>2982.8</v>
      </c>
      <c r="F2601">
        <v>176.08</v>
      </c>
      <c r="G2601">
        <v>104.6</v>
      </c>
      <c r="H2601">
        <v>323</v>
      </c>
      <c r="I2601" t="s">
        <v>14</v>
      </c>
      <c r="J2601">
        <v>2024</v>
      </c>
      <c r="K2601">
        <f t="shared" si="80"/>
        <v>71.480000000000018</v>
      </c>
      <c r="L2601" t="str">
        <f t="shared" si="81"/>
        <v>Banca Ligure|1|Assicurazioni</v>
      </c>
    </row>
    <row r="2602" spans="1:12" x14ac:dyDescent="0.25">
      <c r="A2602" t="s">
        <v>33</v>
      </c>
      <c r="B2602">
        <v>2</v>
      </c>
      <c r="C2602" t="s">
        <v>13</v>
      </c>
      <c r="D2602" s="1">
        <v>45351</v>
      </c>
      <c r="E2602">
        <v>829</v>
      </c>
      <c r="F2602">
        <v>37.659999999999997</v>
      </c>
      <c r="G2602">
        <v>23.21</v>
      </c>
      <c r="H2602">
        <v>114</v>
      </c>
      <c r="I2602" t="s">
        <v>14</v>
      </c>
      <c r="J2602">
        <v>2024</v>
      </c>
      <c r="K2602">
        <f t="shared" si="80"/>
        <v>14.449999999999996</v>
      </c>
      <c r="L2602" t="str">
        <f t="shared" si="81"/>
        <v>Banca Ligure|2|Mutui</v>
      </c>
    </row>
    <row r="2603" spans="1:12" x14ac:dyDescent="0.25">
      <c r="A2603" t="s">
        <v>33</v>
      </c>
      <c r="B2603">
        <v>2</v>
      </c>
      <c r="C2603" t="s">
        <v>15</v>
      </c>
      <c r="D2603" s="1">
        <v>45351</v>
      </c>
      <c r="E2603">
        <v>1160.5</v>
      </c>
      <c r="F2603">
        <v>55.08</v>
      </c>
      <c r="G2603">
        <v>33.99</v>
      </c>
      <c r="H2603">
        <v>141</v>
      </c>
      <c r="I2603" t="s">
        <v>14</v>
      </c>
      <c r="J2603">
        <v>2024</v>
      </c>
      <c r="K2603">
        <f t="shared" si="80"/>
        <v>21.089999999999996</v>
      </c>
      <c r="L2603" t="str">
        <f t="shared" si="81"/>
        <v>Banca Ligure|2|Prestiti</v>
      </c>
    </row>
    <row r="2604" spans="1:12" x14ac:dyDescent="0.25">
      <c r="A2604" t="s">
        <v>33</v>
      </c>
      <c r="B2604">
        <v>2</v>
      </c>
      <c r="C2604" t="s">
        <v>16</v>
      </c>
      <c r="D2604" s="1">
        <v>45351</v>
      </c>
      <c r="E2604">
        <v>1441.3</v>
      </c>
      <c r="F2604">
        <v>70.680000000000007</v>
      </c>
      <c r="G2604">
        <v>43.85</v>
      </c>
      <c r="H2604">
        <v>168</v>
      </c>
      <c r="I2604" t="s">
        <v>14</v>
      </c>
      <c r="J2604">
        <v>2024</v>
      </c>
      <c r="K2604">
        <f t="shared" si="80"/>
        <v>26.830000000000005</v>
      </c>
      <c r="L2604" t="str">
        <f t="shared" si="81"/>
        <v>Banca Ligure|2|Conti</v>
      </c>
    </row>
    <row r="2605" spans="1:12" x14ac:dyDescent="0.25">
      <c r="A2605" t="s">
        <v>33</v>
      </c>
      <c r="B2605">
        <v>2</v>
      </c>
      <c r="C2605" t="s">
        <v>17</v>
      </c>
      <c r="D2605" s="1">
        <v>45351</v>
      </c>
      <c r="E2605">
        <v>1755.3</v>
      </c>
      <c r="F2605">
        <v>89.53</v>
      </c>
      <c r="G2605">
        <v>54.47</v>
      </c>
      <c r="H2605">
        <v>178</v>
      </c>
      <c r="I2605" t="s">
        <v>14</v>
      </c>
      <c r="J2605">
        <v>2024</v>
      </c>
      <c r="K2605">
        <f t="shared" si="80"/>
        <v>35.06</v>
      </c>
      <c r="L2605" t="str">
        <f t="shared" si="81"/>
        <v>Banca Ligure|2|Carte</v>
      </c>
    </row>
    <row r="2606" spans="1:12" x14ac:dyDescent="0.25">
      <c r="A2606" t="s">
        <v>33</v>
      </c>
      <c r="B2606">
        <v>2</v>
      </c>
      <c r="C2606" t="s">
        <v>18</v>
      </c>
      <c r="D2606" s="1">
        <v>45351</v>
      </c>
      <c r="E2606">
        <v>2085.1999999999998</v>
      </c>
      <c r="F2606">
        <v>110.59</v>
      </c>
      <c r="G2606">
        <v>67.59</v>
      </c>
      <c r="H2606">
        <v>205</v>
      </c>
      <c r="I2606" t="s">
        <v>14</v>
      </c>
      <c r="J2606">
        <v>2024</v>
      </c>
      <c r="K2606">
        <f t="shared" si="80"/>
        <v>43</v>
      </c>
      <c r="L2606" t="str">
        <f t="shared" si="81"/>
        <v>Banca Ligure|2|Leasing</v>
      </c>
    </row>
    <row r="2607" spans="1:12" x14ac:dyDescent="0.25">
      <c r="A2607" t="s">
        <v>33</v>
      </c>
      <c r="B2607">
        <v>2</v>
      </c>
      <c r="C2607" t="s">
        <v>19</v>
      </c>
      <c r="D2607" s="1">
        <v>45351</v>
      </c>
      <c r="E2607">
        <v>2395.4</v>
      </c>
      <c r="F2607">
        <v>132.03</v>
      </c>
      <c r="G2607">
        <v>79.62</v>
      </c>
      <c r="H2607">
        <v>270</v>
      </c>
      <c r="I2607" t="s">
        <v>14</v>
      </c>
      <c r="J2607">
        <v>2024</v>
      </c>
      <c r="K2607">
        <f t="shared" si="80"/>
        <v>52.41</v>
      </c>
      <c r="L2607" t="str">
        <f t="shared" si="81"/>
        <v>Banca Ligure|2|Factoring</v>
      </c>
    </row>
    <row r="2608" spans="1:12" x14ac:dyDescent="0.25">
      <c r="A2608" t="s">
        <v>33</v>
      </c>
      <c r="B2608">
        <v>2</v>
      </c>
      <c r="C2608" t="s">
        <v>20</v>
      </c>
      <c r="D2608" s="1">
        <v>45351</v>
      </c>
      <c r="E2608">
        <v>2699.9</v>
      </c>
      <c r="F2608">
        <v>154.22</v>
      </c>
      <c r="G2608">
        <v>91.85</v>
      </c>
      <c r="H2608">
        <v>291</v>
      </c>
      <c r="I2608" t="s">
        <v>14</v>
      </c>
      <c r="J2608">
        <v>2024</v>
      </c>
      <c r="K2608">
        <f t="shared" si="80"/>
        <v>62.370000000000005</v>
      </c>
      <c r="L2608" t="str">
        <f t="shared" si="81"/>
        <v>Banca Ligure|2|Risparmio</v>
      </c>
    </row>
    <row r="2609" spans="1:12" x14ac:dyDescent="0.25">
      <c r="A2609" t="s">
        <v>33</v>
      </c>
      <c r="B2609">
        <v>2</v>
      </c>
      <c r="C2609" t="s">
        <v>21</v>
      </c>
      <c r="D2609" s="1">
        <v>45351</v>
      </c>
      <c r="E2609">
        <v>2992.1</v>
      </c>
      <c r="F2609">
        <v>176.79</v>
      </c>
      <c r="G2609">
        <v>105.51</v>
      </c>
      <c r="H2609">
        <v>295</v>
      </c>
      <c r="I2609" t="s">
        <v>14</v>
      </c>
      <c r="J2609">
        <v>2024</v>
      </c>
      <c r="K2609">
        <f t="shared" si="80"/>
        <v>71.279999999999987</v>
      </c>
      <c r="L2609" t="str">
        <f t="shared" si="81"/>
        <v>Banca Ligure|2|Assicurazioni</v>
      </c>
    </row>
    <row r="2610" spans="1:12" x14ac:dyDescent="0.25">
      <c r="A2610" t="s">
        <v>33</v>
      </c>
      <c r="B2610">
        <v>3</v>
      </c>
      <c r="C2610" t="s">
        <v>13</v>
      </c>
      <c r="D2610" s="1">
        <v>45382</v>
      </c>
      <c r="E2610">
        <v>804.8</v>
      </c>
      <c r="F2610">
        <v>37.07</v>
      </c>
      <c r="G2610">
        <v>23.01</v>
      </c>
      <c r="H2610">
        <v>106</v>
      </c>
      <c r="I2610" t="s">
        <v>14</v>
      </c>
      <c r="J2610">
        <v>2024</v>
      </c>
      <c r="K2610">
        <f t="shared" si="80"/>
        <v>14.059999999999999</v>
      </c>
      <c r="L2610" t="str">
        <f t="shared" si="81"/>
        <v>Banca Ligure|3|Mutui</v>
      </c>
    </row>
    <row r="2611" spans="1:12" x14ac:dyDescent="0.25">
      <c r="A2611" t="s">
        <v>33</v>
      </c>
      <c r="B2611">
        <v>3</v>
      </c>
      <c r="C2611" t="s">
        <v>15</v>
      </c>
      <c r="D2611" s="1">
        <v>45382</v>
      </c>
      <c r="E2611">
        <v>1142.4000000000001</v>
      </c>
      <c r="F2611">
        <v>54.28</v>
      </c>
      <c r="G2611">
        <v>33.29</v>
      </c>
      <c r="H2611">
        <v>132</v>
      </c>
      <c r="I2611" t="s">
        <v>14</v>
      </c>
      <c r="J2611">
        <v>2024</v>
      </c>
      <c r="K2611">
        <f t="shared" si="80"/>
        <v>20.990000000000002</v>
      </c>
      <c r="L2611" t="str">
        <f t="shared" si="81"/>
        <v>Banca Ligure|3|Prestiti</v>
      </c>
    </row>
    <row r="2612" spans="1:12" x14ac:dyDescent="0.25">
      <c r="A2612" t="s">
        <v>33</v>
      </c>
      <c r="B2612">
        <v>3</v>
      </c>
      <c r="C2612" t="s">
        <v>16</v>
      </c>
      <c r="D2612" s="1">
        <v>45382</v>
      </c>
      <c r="E2612">
        <v>1435.6</v>
      </c>
      <c r="F2612">
        <v>70.39</v>
      </c>
      <c r="G2612">
        <v>43.15</v>
      </c>
      <c r="H2612">
        <v>177</v>
      </c>
      <c r="I2612" t="s">
        <v>14</v>
      </c>
      <c r="J2612">
        <v>2024</v>
      </c>
      <c r="K2612">
        <f t="shared" si="80"/>
        <v>27.240000000000002</v>
      </c>
      <c r="L2612" t="str">
        <f t="shared" si="81"/>
        <v>Banca Ligure|3|Conti</v>
      </c>
    </row>
    <row r="2613" spans="1:12" x14ac:dyDescent="0.25">
      <c r="A2613" t="s">
        <v>33</v>
      </c>
      <c r="B2613">
        <v>3</v>
      </c>
      <c r="C2613" t="s">
        <v>17</v>
      </c>
      <c r="D2613" s="1">
        <v>45382</v>
      </c>
      <c r="E2613">
        <v>1793.2</v>
      </c>
      <c r="F2613">
        <v>91.94</v>
      </c>
      <c r="G2613">
        <v>56.53</v>
      </c>
      <c r="H2613">
        <v>212</v>
      </c>
      <c r="I2613" t="s">
        <v>14</v>
      </c>
      <c r="J2613">
        <v>2024</v>
      </c>
      <c r="K2613">
        <f t="shared" si="80"/>
        <v>35.409999999999997</v>
      </c>
      <c r="L2613" t="str">
        <f t="shared" si="81"/>
        <v>Banca Ligure|3|Carte</v>
      </c>
    </row>
    <row r="2614" spans="1:12" x14ac:dyDescent="0.25">
      <c r="A2614" t="s">
        <v>33</v>
      </c>
      <c r="B2614">
        <v>3</v>
      </c>
      <c r="C2614" t="s">
        <v>18</v>
      </c>
      <c r="D2614" s="1">
        <v>45382</v>
      </c>
      <c r="E2614">
        <v>2101</v>
      </c>
      <c r="F2614">
        <v>112.32</v>
      </c>
      <c r="G2614">
        <v>67.650000000000006</v>
      </c>
      <c r="H2614">
        <v>242</v>
      </c>
      <c r="I2614" t="s">
        <v>14</v>
      </c>
      <c r="J2614">
        <v>2024</v>
      </c>
      <c r="K2614">
        <f t="shared" si="80"/>
        <v>44.669999999999987</v>
      </c>
      <c r="L2614" t="str">
        <f t="shared" si="81"/>
        <v>Banca Ligure|3|Leasing</v>
      </c>
    </row>
    <row r="2615" spans="1:12" x14ac:dyDescent="0.25">
      <c r="A2615" t="s">
        <v>33</v>
      </c>
      <c r="B2615">
        <v>3</v>
      </c>
      <c r="C2615" t="s">
        <v>19</v>
      </c>
      <c r="D2615" s="1">
        <v>45382</v>
      </c>
      <c r="E2615">
        <v>2408.1</v>
      </c>
      <c r="F2615">
        <v>132.46</v>
      </c>
      <c r="G2615">
        <v>80.39</v>
      </c>
      <c r="H2615">
        <v>241</v>
      </c>
      <c r="I2615" t="s">
        <v>14</v>
      </c>
      <c r="J2615">
        <v>2024</v>
      </c>
      <c r="K2615">
        <f t="shared" si="80"/>
        <v>52.070000000000007</v>
      </c>
      <c r="L2615" t="str">
        <f t="shared" si="81"/>
        <v>Banca Ligure|3|Factoring</v>
      </c>
    </row>
    <row r="2616" spans="1:12" x14ac:dyDescent="0.25">
      <c r="A2616" t="s">
        <v>33</v>
      </c>
      <c r="B2616">
        <v>3</v>
      </c>
      <c r="C2616" t="s">
        <v>20</v>
      </c>
      <c r="D2616" s="1">
        <v>45382</v>
      </c>
      <c r="E2616">
        <v>2698.6</v>
      </c>
      <c r="F2616">
        <v>154.04</v>
      </c>
      <c r="G2616">
        <v>91.8</v>
      </c>
      <c r="H2616">
        <v>267</v>
      </c>
      <c r="I2616" t="s">
        <v>14</v>
      </c>
      <c r="J2616">
        <v>2024</v>
      </c>
      <c r="K2616">
        <f t="shared" si="80"/>
        <v>62.239999999999995</v>
      </c>
      <c r="L2616" t="str">
        <f t="shared" si="81"/>
        <v>Banca Ligure|3|Risparmio</v>
      </c>
    </row>
    <row r="2617" spans="1:12" x14ac:dyDescent="0.25">
      <c r="A2617" t="s">
        <v>33</v>
      </c>
      <c r="B2617">
        <v>3</v>
      </c>
      <c r="C2617" t="s">
        <v>21</v>
      </c>
      <c r="D2617" s="1">
        <v>45382</v>
      </c>
      <c r="E2617">
        <v>3032.4</v>
      </c>
      <c r="F2617">
        <v>179.52</v>
      </c>
      <c r="G2617">
        <v>106.37</v>
      </c>
      <c r="H2617">
        <v>319</v>
      </c>
      <c r="I2617" t="s">
        <v>14</v>
      </c>
      <c r="J2617">
        <v>2024</v>
      </c>
      <c r="K2617">
        <f t="shared" si="80"/>
        <v>73.150000000000006</v>
      </c>
      <c r="L2617" t="str">
        <f t="shared" si="81"/>
        <v>Banca Ligure|3|Assicurazioni</v>
      </c>
    </row>
    <row r="2618" spans="1:12" x14ac:dyDescent="0.25">
      <c r="A2618" t="s">
        <v>33</v>
      </c>
      <c r="B2618">
        <v>4</v>
      </c>
      <c r="C2618" t="s">
        <v>13</v>
      </c>
      <c r="D2618" s="1">
        <v>45412</v>
      </c>
      <c r="E2618">
        <v>833.7</v>
      </c>
      <c r="F2618">
        <v>37.630000000000003</v>
      </c>
      <c r="G2618">
        <v>23.39</v>
      </c>
      <c r="H2618">
        <v>112</v>
      </c>
      <c r="I2618" t="s">
        <v>14</v>
      </c>
      <c r="J2618">
        <v>2024</v>
      </c>
      <c r="K2618">
        <f t="shared" si="80"/>
        <v>14.240000000000002</v>
      </c>
      <c r="L2618" t="str">
        <f t="shared" si="81"/>
        <v>Banca Ligure|4|Mutui</v>
      </c>
    </row>
    <row r="2619" spans="1:12" x14ac:dyDescent="0.25">
      <c r="A2619" t="s">
        <v>33</v>
      </c>
      <c r="B2619">
        <v>4</v>
      </c>
      <c r="C2619" t="s">
        <v>15</v>
      </c>
      <c r="D2619" s="1">
        <v>45412</v>
      </c>
      <c r="E2619">
        <v>1149.5999999999999</v>
      </c>
      <c r="F2619">
        <v>54.28</v>
      </c>
      <c r="G2619">
        <v>33.5</v>
      </c>
      <c r="H2619">
        <v>143</v>
      </c>
      <c r="I2619" t="s">
        <v>14</v>
      </c>
      <c r="J2619">
        <v>2024</v>
      </c>
      <c r="K2619">
        <f t="shared" si="80"/>
        <v>20.78</v>
      </c>
      <c r="L2619" t="str">
        <f t="shared" si="81"/>
        <v>Banca Ligure|4|Prestiti</v>
      </c>
    </row>
    <row r="2620" spans="1:12" x14ac:dyDescent="0.25">
      <c r="A2620" t="s">
        <v>33</v>
      </c>
      <c r="B2620">
        <v>4</v>
      </c>
      <c r="C2620" t="s">
        <v>16</v>
      </c>
      <c r="D2620" s="1">
        <v>45412</v>
      </c>
      <c r="E2620">
        <v>1484.3</v>
      </c>
      <c r="F2620">
        <v>73.05</v>
      </c>
      <c r="G2620">
        <v>45.33</v>
      </c>
      <c r="H2620">
        <v>149</v>
      </c>
      <c r="I2620" t="s">
        <v>14</v>
      </c>
      <c r="J2620">
        <v>2024</v>
      </c>
      <c r="K2620">
        <f t="shared" si="80"/>
        <v>27.72</v>
      </c>
      <c r="L2620" t="str">
        <f t="shared" si="81"/>
        <v>Banca Ligure|4|Conti</v>
      </c>
    </row>
    <row r="2621" spans="1:12" x14ac:dyDescent="0.25">
      <c r="A2621" t="s">
        <v>33</v>
      </c>
      <c r="B2621">
        <v>4</v>
      </c>
      <c r="C2621" t="s">
        <v>17</v>
      </c>
      <c r="D2621" s="1">
        <v>45412</v>
      </c>
      <c r="E2621">
        <v>1804.5</v>
      </c>
      <c r="F2621">
        <v>92.46</v>
      </c>
      <c r="G2621">
        <v>56.42</v>
      </c>
      <c r="H2621">
        <v>209</v>
      </c>
      <c r="I2621" t="s">
        <v>14</v>
      </c>
      <c r="J2621">
        <v>2024</v>
      </c>
      <c r="K2621">
        <f t="shared" si="80"/>
        <v>36.039999999999992</v>
      </c>
      <c r="L2621" t="str">
        <f t="shared" si="81"/>
        <v>Banca Ligure|4|Carte</v>
      </c>
    </row>
    <row r="2622" spans="1:12" x14ac:dyDescent="0.25">
      <c r="A2622" t="s">
        <v>33</v>
      </c>
      <c r="B2622">
        <v>4</v>
      </c>
      <c r="C2622" t="s">
        <v>18</v>
      </c>
      <c r="D2622" s="1">
        <v>45412</v>
      </c>
      <c r="E2622">
        <v>2091.5</v>
      </c>
      <c r="F2622">
        <v>111.52</v>
      </c>
      <c r="G2622">
        <v>67.900000000000006</v>
      </c>
      <c r="H2622">
        <v>209</v>
      </c>
      <c r="I2622" t="s">
        <v>14</v>
      </c>
      <c r="J2622">
        <v>2024</v>
      </c>
      <c r="K2622">
        <f t="shared" si="80"/>
        <v>43.61999999999999</v>
      </c>
      <c r="L2622" t="str">
        <f t="shared" si="81"/>
        <v>Banca Ligure|4|Leasing</v>
      </c>
    </row>
    <row r="2623" spans="1:12" x14ac:dyDescent="0.25">
      <c r="A2623" t="s">
        <v>33</v>
      </c>
      <c r="B2623">
        <v>4</v>
      </c>
      <c r="C2623" t="s">
        <v>19</v>
      </c>
      <c r="D2623" s="1">
        <v>45412</v>
      </c>
      <c r="E2623">
        <v>2431.9</v>
      </c>
      <c r="F2623">
        <v>134.75</v>
      </c>
      <c r="G2623">
        <v>81.239999999999995</v>
      </c>
      <c r="H2623">
        <v>240</v>
      </c>
      <c r="I2623" t="s">
        <v>14</v>
      </c>
      <c r="J2623">
        <v>2024</v>
      </c>
      <c r="K2623">
        <f t="shared" si="80"/>
        <v>53.510000000000005</v>
      </c>
      <c r="L2623" t="str">
        <f t="shared" si="81"/>
        <v>Banca Ligure|4|Factoring</v>
      </c>
    </row>
    <row r="2624" spans="1:12" x14ac:dyDescent="0.25">
      <c r="A2624" t="s">
        <v>33</v>
      </c>
      <c r="B2624">
        <v>4</v>
      </c>
      <c r="C2624" t="s">
        <v>20</v>
      </c>
      <c r="D2624" s="1">
        <v>45412</v>
      </c>
      <c r="E2624">
        <v>2703.6</v>
      </c>
      <c r="F2624">
        <v>154.36000000000001</v>
      </c>
      <c r="G2624">
        <v>92.25</v>
      </c>
      <c r="H2624">
        <v>286</v>
      </c>
      <c r="I2624" t="s">
        <v>14</v>
      </c>
      <c r="J2624">
        <v>2024</v>
      </c>
      <c r="K2624">
        <f t="shared" si="80"/>
        <v>62.110000000000014</v>
      </c>
      <c r="L2624" t="str">
        <f t="shared" si="81"/>
        <v>Banca Ligure|4|Risparmio</v>
      </c>
    </row>
    <row r="2625" spans="1:12" x14ac:dyDescent="0.25">
      <c r="A2625" t="s">
        <v>33</v>
      </c>
      <c r="B2625">
        <v>4</v>
      </c>
      <c r="C2625" t="s">
        <v>21</v>
      </c>
      <c r="D2625" s="1">
        <v>45412</v>
      </c>
      <c r="E2625">
        <v>3030.2</v>
      </c>
      <c r="F2625">
        <v>179.71</v>
      </c>
      <c r="G2625">
        <v>106.7</v>
      </c>
      <c r="H2625">
        <v>317</v>
      </c>
      <c r="I2625" t="s">
        <v>14</v>
      </c>
      <c r="J2625">
        <v>2024</v>
      </c>
      <c r="K2625">
        <f t="shared" si="80"/>
        <v>73.010000000000005</v>
      </c>
      <c r="L2625" t="str">
        <f t="shared" si="81"/>
        <v>Banca Ligure|4|Assicurazioni</v>
      </c>
    </row>
    <row r="2626" spans="1:12" x14ac:dyDescent="0.25">
      <c r="A2626" t="s">
        <v>33</v>
      </c>
      <c r="B2626">
        <v>5</v>
      </c>
      <c r="C2626" t="s">
        <v>13</v>
      </c>
      <c r="D2626" s="1">
        <v>45443</v>
      </c>
      <c r="E2626">
        <v>821.6</v>
      </c>
      <c r="F2626">
        <v>37.81</v>
      </c>
      <c r="G2626">
        <v>23.12</v>
      </c>
      <c r="H2626">
        <v>98</v>
      </c>
      <c r="I2626" t="s">
        <v>14</v>
      </c>
      <c r="J2626">
        <v>2024</v>
      </c>
      <c r="K2626">
        <f t="shared" ref="K2626:K2689" si="82">F2626-G2626</f>
        <v>14.690000000000001</v>
      </c>
      <c r="L2626" t="str">
        <f t="shared" ref="L2626:L2689" si="83">A2626&amp;"|"&amp;B2626&amp;"|"&amp;C2626</f>
        <v>Banca Ligure|5|Mutui</v>
      </c>
    </row>
    <row r="2627" spans="1:12" x14ac:dyDescent="0.25">
      <c r="A2627" t="s">
        <v>33</v>
      </c>
      <c r="B2627">
        <v>5</v>
      </c>
      <c r="C2627" t="s">
        <v>15</v>
      </c>
      <c r="D2627" s="1">
        <v>45443</v>
      </c>
      <c r="E2627">
        <v>1177.9000000000001</v>
      </c>
      <c r="F2627">
        <v>55.77</v>
      </c>
      <c r="G2627">
        <v>35.020000000000003</v>
      </c>
      <c r="H2627">
        <v>121</v>
      </c>
      <c r="I2627" t="s">
        <v>14</v>
      </c>
      <c r="J2627">
        <v>2024</v>
      </c>
      <c r="K2627">
        <f t="shared" si="82"/>
        <v>20.75</v>
      </c>
      <c r="L2627" t="str">
        <f t="shared" si="83"/>
        <v>Banca Ligure|5|Prestiti</v>
      </c>
    </row>
    <row r="2628" spans="1:12" x14ac:dyDescent="0.25">
      <c r="A2628" t="s">
        <v>33</v>
      </c>
      <c r="B2628">
        <v>5</v>
      </c>
      <c r="C2628" t="s">
        <v>16</v>
      </c>
      <c r="D2628" s="1">
        <v>45443</v>
      </c>
      <c r="E2628">
        <v>1484.4</v>
      </c>
      <c r="F2628">
        <v>72.87</v>
      </c>
      <c r="G2628">
        <v>44.86</v>
      </c>
      <c r="H2628">
        <v>150</v>
      </c>
      <c r="I2628" t="s">
        <v>14</v>
      </c>
      <c r="J2628">
        <v>2024</v>
      </c>
      <c r="K2628">
        <f t="shared" si="82"/>
        <v>28.010000000000005</v>
      </c>
      <c r="L2628" t="str">
        <f t="shared" si="83"/>
        <v>Banca Ligure|5|Conti</v>
      </c>
    </row>
    <row r="2629" spans="1:12" x14ac:dyDescent="0.25">
      <c r="A2629" t="s">
        <v>33</v>
      </c>
      <c r="B2629">
        <v>5</v>
      </c>
      <c r="C2629" t="s">
        <v>17</v>
      </c>
      <c r="D2629" s="1">
        <v>45443</v>
      </c>
      <c r="E2629">
        <v>1827</v>
      </c>
      <c r="F2629">
        <v>93.32</v>
      </c>
      <c r="G2629">
        <v>57.53</v>
      </c>
      <c r="H2629">
        <v>210</v>
      </c>
      <c r="I2629" t="s">
        <v>14</v>
      </c>
      <c r="J2629">
        <v>2024</v>
      </c>
      <c r="K2629">
        <f t="shared" si="82"/>
        <v>35.789999999999992</v>
      </c>
      <c r="L2629" t="str">
        <f t="shared" si="83"/>
        <v>Banca Ligure|5|Carte</v>
      </c>
    </row>
    <row r="2630" spans="1:12" x14ac:dyDescent="0.25">
      <c r="A2630" t="s">
        <v>33</v>
      </c>
      <c r="B2630">
        <v>5</v>
      </c>
      <c r="C2630" t="s">
        <v>18</v>
      </c>
      <c r="D2630" s="1">
        <v>45443</v>
      </c>
      <c r="E2630">
        <v>2104</v>
      </c>
      <c r="F2630">
        <v>111.77</v>
      </c>
      <c r="G2630">
        <v>68.33</v>
      </c>
      <c r="H2630">
        <v>230</v>
      </c>
      <c r="I2630" t="s">
        <v>14</v>
      </c>
      <c r="J2630">
        <v>2024</v>
      </c>
      <c r="K2630">
        <f t="shared" si="82"/>
        <v>43.44</v>
      </c>
      <c r="L2630" t="str">
        <f t="shared" si="83"/>
        <v>Banca Ligure|5|Leasing</v>
      </c>
    </row>
    <row r="2631" spans="1:12" x14ac:dyDescent="0.25">
      <c r="A2631" t="s">
        <v>33</v>
      </c>
      <c r="B2631">
        <v>5</v>
      </c>
      <c r="C2631" t="s">
        <v>19</v>
      </c>
      <c r="D2631" s="1">
        <v>45443</v>
      </c>
      <c r="E2631">
        <v>2440.8000000000002</v>
      </c>
      <c r="F2631">
        <v>135.24</v>
      </c>
      <c r="G2631">
        <v>80.78</v>
      </c>
      <c r="H2631">
        <v>268</v>
      </c>
      <c r="I2631" t="s">
        <v>14</v>
      </c>
      <c r="J2631">
        <v>2024</v>
      </c>
      <c r="K2631">
        <f t="shared" si="82"/>
        <v>54.460000000000008</v>
      </c>
      <c r="L2631" t="str">
        <f t="shared" si="83"/>
        <v>Banca Ligure|5|Factoring</v>
      </c>
    </row>
    <row r="2632" spans="1:12" x14ac:dyDescent="0.25">
      <c r="A2632" t="s">
        <v>33</v>
      </c>
      <c r="B2632">
        <v>5</v>
      </c>
      <c r="C2632" t="s">
        <v>20</v>
      </c>
      <c r="D2632" s="1">
        <v>45443</v>
      </c>
      <c r="E2632">
        <v>2765.8</v>
      </c>
      <c r="F2632">
        <v>158.44999999999999</v>
      </c>
      <c r="G2632">
        <v>94.95</v>
      </c>
      <c r="H2632">
        <v>296</v>
      </c>
      <c r="I2632" t="s">
        <v>14</v>
      </c>
      <c r="J2632">
        <v>2024</v>
      </c>
      <c r="K2632">
        <f t="shared" si="82"/>
        <v>63.499999999999986</v>
      </c>
      <c r="L2632" t="str">
        <f t="shared" si="83"/>
        <v>Banca Ligure|5|Risparmio</v>
      </c>
    </row>
    <row r="2633" spans="1:12" x14ac:dyDescent="0.25">
      <c r="A2633" t="s">
        <v>33</v>
      </c>
      <c r="B2633">
        <v>5</v>
      </c>
      <c r="C2633" t="s">
        <v>21</v>
      </c>
      <c r="D2633" s="1">
        <v>45443</v>
      </c>
      <c r="E2633">
        <v>3069.3</v>
      </c>
      <c r="F2633">
        <v>181.64</v>
      </c>
      <c r="G2633">
        <v>107.97</v>
      </c>
      <c r="H2633">
        <v>311</v>
      </c>
      <c r="I2633" t="s">
        <v>14</v>
      </c>
      <c r="J2633">
        <v>2024</v>
      </c>
      <c r="K2633">
        <f t="shared" si="82"/>
        <v>73.669999999999987</v>
      </c>
      <c r="L2633" t="str">
        <f t="shared" si="83"/>
        <v>Banca Ligure|5|Assicurazioni</v>
      </c>
    </row>
    <row r="2634" spans="1:12" x14ac:dyDescent="0.25">
      <c r="A2634" t="s">
        <v>33</v>
      </c>
      <c r="B2634">
        <v>6</v>
      </c>
      <c r="C2634" t="s">
        <v>13</v>
      </c>
      <c r="D2634" s="1">
        <v>45473</v>
      </c>
      <c r="E2634">
        <v>872.9</v>
      </c>
      <c r="F2634">
        <v>39.409999999999997</v>
      </c>
      <c r="G2634">
        <v>25.19</v>
      </c>
      <c r="H2634">
        <v>104</v>
      </c>
      <c r="I2634" t="s">
        <v>14</v>
      </c>
      <c r="J2634">
        <v>2024</v>
      </c>
      <c r="K2634">
        <f t="shared" si="82"/>
        <v>14.219999999999995</v>
      </c>
      <c r="L2634" t="str">
        <f t="shared" si="83"/>
        <v>Banca Ligure|6|Mutui</v>
      </c>
    </row>
    <row r="2635" spans="1:12" x14ac:dyDescent="0.25">
      <c r="A2635" t="s">
        <v>33</v>
      </c>
      <c r="B2635">
        <v>6</v>
      </c>
      <c r="C2635" t="s">
        <v>15</v>
      </c>
      <c r="D2635" s="1">
        <v>45473</v>
      </c>
      <c r="E2635">
        <v>1186.8</v>
      </c>
      <c r="F2635">
        <v>56.71</v>
      </c>
      <c r="G2635">
        <v>34.53</v>
      </c>
      <c r="H2635">
        <v>134</v>
      </c>
      <c r="I2635" t="s">
        <v>14</v>
      </c>
      <c r="J2635">
        <v>2024</v>
      </c>
      <c r="K2635">
        <f t="shared" si="82"/>
        <v>22.18</v>
      </c>
      <c r="L2635" t="str">
        <f t="shared" si="83"/>
        <v>Banca Ligure|6|Prestiti</v>
      </c>
    </row>
    <row r="2636" spans="1:12" x14ac:dyDescent="0.25">
      <c r="A2636" t="s">
        <v>33</v>
      </c>
      <c r="B2636">
        <v>6</v>
      </c>
      <c r="C2636" t="s">
        <v>16</v>
      </c>
      <c r="D2636" s="1">
        <v>45473</v>
      </c>
      <c r="E2636">
        <v>1491.3</v>
      </c>
      <c r="F2636">
        <v>73.11</v>
      </c>
      <c r="G2636">
        <v>45.43</v>
      </c>
      <c r="H2636">
        <v>152</v>
      </c>
      <c r="I2636" t="s">
        <v>14</v>
      </c>
      <c r="J2636">
        <v>2024</v>
      </c>
      <c r="K2636">
        <f t="shared" si="82"/>
        <v>27.68</v>
      </c>
      <c r="L2636" t="str">
        <f t="shared" si="83"/>
        <v>Banca Ligure|6|Conti</v>
      </c>
    </row>
    <row r="2637" spans="1:12" x14ac:dyDescent="0.25">
      <c r="A2637" t="s">
        <v>33</v>
      </c>
      <c r="B2637">
        <v>6</v>
      </c>
      <c r="C2637" t="s">
        <v>17</v>
      </c>
      <c r="D2637" s="1">
        <v>45473</v>
      </c>
      <c r="E2637">
        <v>1807.6</v>
      </c>
      <c r="F2637">
        <v>93.03</v>
      </c>
      <c r="G2637">
        <v>56.46</v>
      </c>
      <c r="H2637">
        <v>203</v>
      </c>
      <c r="I2637" t="s">
        <v>14</v>
      </c>
      <c r="J2637">
        <v>2024</v>
      </c>
      <c r="K2637">
        <f t="shared" si="82"/>
        <v>36.57</v>
      </c>
      <c r="L2637" t="str">
        <f t="shared" si="83"/>
        <v>Banca Ligure|6|Carte</v>
      </c>
    </row>
    <row r="2638" spans="1:12" x14ac:dyDescent="0.25">
      <c r="A2638" t="s">
        <v>33</v>
      </c>
      <c r="B2638">
        <v>6</v>
      </c>
      <c r="C2638" t="s">
        <v>18</v>
      </c>
      <c r="D2638" s="1">
        <v>45473</v>
      </c>
      <c r="E2638">
        <v>2123.6</v>
      </c>
      <c r="F2638">
        <v>112.73</v>
      </c>
      <c r="G2638">
        <v>68.95</v>
      </c>
      <c r="H2638">
        <v>220</v>
      </c>
      <c r="I2638" t="s">
        <v>14</v>
      </c>
      <c r="J2638">
        <v>2024</v>
      </c>
      <c r="K2638">
        <f t="shared" si="82"/>
        <v>43.78</v>
      </c>
      <c r="L2638" t="str">
        <f t="shared" si="83"/>
        <v>Banca Ligure|6|Leasing</v>
      </c>
    </row>
    <row r="2639" spans="1:12" x14ac:dyDescent="0.25">
      <c r="A2639" t="s">
        <v>33</v>
      </c>
      <c r="B2639">
        <v>6</v>
      </c>
      <c r="C2639" t="s">
        <v>19</v>
      </c>
      <c r="D2639" s="1">
        <v>45473</v>
      </c>
      <c r="E2639">
        <v>2440.6999999999998</v>
      </c>
      <c r="F2639">
        <v>134.46</v>
      </c>
      <c r="G2639">
        <v>81.06</v>
      </c>
      <c r="H2639">
        <v>260</v>
      </c>
      <c r="I2639" t="s">
        <v>14</v>
      </c>
      <c r="J2639">
        <v>2024</v>
      </c>
      <c r="K2639">
        <f t="shared" si="82"/>
        <v>53.400000000000006</v>
      </c>
      <c r="L2639" t="str">
        <f t="shared" si="83"/>
        <v>Banca Ligure|6|Factoring</v>
      </c>
    </row>
    <row r="2640" spans="1:12" x14ac:dyDescent="0.25">
      <c r="A2640" t="s">
        <v>33</v>
      </c>
      <c r="B2640">
        <v>6</v>
      </c>
      <c r="C2640" t="s">
        <v>20</v>
      </c>
      <c r="D2640" s="1">
        <v>45473</v>
      </c>
      <c r="E2640">
        <v>2765</v>
      </c>
      <c r="F2640">
        <v>158.21</v>
      </c>
      <c r="G2640">
        <v>94.49</v>
      </c>
      <c r="H2640">
        <v>268</v>
      </c>
      <c r="I2640" t="s">
        <v>14</v>
      </c>
      <c r="J2640">
        <v>2024</v>
      </c>
      <c r="K2640">
        <f t="shared" si="82"/>
        <v>63.720000000000013</v>
      </c>
      <c r="L2640" t="str">
        <f t="shared" si="83"/>
        <v>Banca Ligure|6|Risparmio</v>
      </c>
    </row>
    <row r="2641" spans="1:12" x14ac:dyDescent="0.25">
      <c r="A2641" t="s">
        <v>33</v>
      </c>
      <c r="B2641">
        <v>6</v>
      </c>
      <c r="C2641" t="s">
        <v>21</v>
      </c>
      <c r="D2641" s="1">
        <v>45473</v>
      </c>
      <c r="E2641">
        <v>3096.9</v>
      </c>
      <c r="F2641">
        <v>183.22</v>
      </c>
      <c r="G2641">
        <v>108.8</v>
      </c>
      <c r="H2641">
        <v>333</v>
      </c>
      <c r="I2641" t="s">
        <v>14</v>
      </c>
      <c r="J2641">
        <v>2024</v>
      </c>
      <c r="K2641">
        <f t="shared" si="82"/>
        <v>74.42</v>
      </c>
      <c r="L2641" t="str">
        <f t="shared" si="83"/>
        <v>Banca Ligure|6|Assicurazioni</v>
      </c>
    </row>
    <row r="2642" spans="1:12" x14ac:dyDescent="0.25">
      <c r="A2642" t="s">
        <v>33</v>
      </c>
      <c r="B2642">
        <v>7</v>
      </c>
      <c r="C2642" t="s">
        <v>13</v>
      </c>
      <c r="D2642" s="1">
        <v>45504</v>
      </c>
      <c r="E2642">
        <v>870.2</v>
      </c>
      <c r="F2642">
        <v>40.04</v>
      </c>
      <c r="G2642">
        <v>25.02</v>
      </c>
      <c r="H2642">
        <v>96</v>
      </c>
      <c r="I2642" t="s">
        <v>14</v>
      </c>
      <c r="J2642">
        <v>2024</v>
      </c>
      <c r="K2642">
        <f t="shared" si="82"/>
        <v>15.02</v>
      </c>
      <c r="L2642" t="str">
        <f t="shared" si="83"/>
        <v>Banca Ligure|7|Mutui</v>
      </c>
    </row>
    <row r="2643" spans="1:12" x14ac:dyDescent="0.25">
      <c r="A2643" t="s">
        <v>33</v>
      </c>
      <c r="B2643">
        <v>7</v>
      </c>
      <c r="C2643" t="s">
        <v>15</v>
      </c>
      <c r="D2643" s="1">
        <v>45504</v>
      </c>
      <c r="E2643">
        <v>1203</v>
      </c>
      <c r="F2643">
        <v>56.65</v>
      </c>
      <c r="G2643">
        <v>35.54</v>
      </c>
      <c r="H2643">
        <v>127</v>
      </c>
      <c r="I2643" t="s">
        <v>14</v>
      </c>
      <c r="J2643">
        <v>2024</v>
      </c>
      <c r="K2643">
        <f t="shared" si="82"/>
        <v>21.11</v>
      </c>
      <c r="L2643" t="str">
        <f t="shared" si="83"/>
        <v>Banca Ligure|7|Prestiti</v>
      </c>
    </row>
    <row r="2644" spans="1:12" x14ac:dyDescent="0.25">
      <c r="A2644" t="s">
        <v>33</v>
      </c>
      <c r="B2644">
        <v>7</v>
      </c>
      <c r="C2644" t="s">
        <v>16</v>
      </c>
      <c r="D2644" s="1">
        <v>45504</v>
      </c>
      <c r="E2644">
        <v>1473.5</v>
      </c>
      <c r="F2644">
        <v>72.33</v>
      </c>
      <c r="G2644">
        <v>44.98</v>
      </c>
      <c r="H2644">
        <v>143</v>
      </c>
      <c r="I2644" t="s">
        <v>14</v>
      </c>
      <c r="J2644">
        <v>2024</v>
      </c>
      <c r="K2644">
        <f t="shared" si="82"/>
        <v>27.35</v>
      </c>
      <c r="L2644" t="str">
        <f t="shared" si="83"/>
        <v>Banca Ligure|7|Conti</v>
      </c>
    </row>
    <row r="2645" spans="1:12" x14ac:dyDescent="0.25">
      <c r="A2645" t="s">
        <v>33</v>
      </c>
      <c r="B2645">
        <v>7</v>
      </c>
      <c r="C2645" t="s">
        <v>17</v>
      </c>
      <c r="D2645" s="1">
        <v>45504</v>
      </c>
      <c r="E2645">
        <v>1846.3</v>
      </c>
      <c r="F2645">
        <v>94.3</v>
      </c>
      <c r="G2645">
        <v>57.55</v>
      </c>
      <c r="H2645">
        <v>182</v>
      </c>
      <c r="I2645" t="s">
        <v>14</v>
      </c>
      <c r="J2645">
        <v>2024</v>
      </c>
      <c r="K2645">
        <f t="shared" si="82"/>
        <v>36.75</v>
      </c>
      <c r="L2645" t="str">
        <f t="shared" si="83"/>
        <v>Banca Ligure|7|Carte</v>
      </c>
    </row>
    <row r="2646" spans="1:12" x14ac:dyDescent="0.25">
      <c r="A2646" t="s">
        <v>33</v>
      </c>
      <c r="B2646">
        <v>7</v>
      </c>
      <c r="C2646" t="s">
        <v>18</v>
      </c>
      <c r="D2646" s="1">
        <v>45504</v>
      </c>
      <c r="E2646">
        <v>2127.6</v>
      </c>
      <c r="F2646">
        <v>113.18</v>
      </c>
      <c r="G2646">
        <v>68.540000000000006</v>
      </c>
      <c r="H2646">
        <v>208</v>
      </c>
      <c r="I2646" t="s">
        <v>14</v>
      </c>
      <c r="J2646">
        <v>2024</v>
      </c>
      <c r="K2646">
        <f t="shared" si="82"/>
        <v>44.64</v>
      </c>
      <c r="L2646" t="str">
        <f t="shared" si="83"/>
        <v>Banca Ligure|7|Leasing</v>
      </c>
    </row>
    <row r="2647" spans="1:12" x14ac:dyDescent="0.25">
      <c r="A2647" t="s">
        <v>33</v>
      </c>
      <c r="B2647">
        <v>7</v>
      </c>
      <c r="C2647" t="s">
        <v>19</v>
      </c>
      <c r="D2647" s="1">
        <v>45504</v>
      </c>
      <c r="E2647">
        <v>2451.1999999999998</v>
      </c>
      <c r="F2647">
        <v>135.37</v>
      </c>
      <c r="G2647">
        <v>81.48</v>
      </c>
      <c r="H2647">
        <v>258</v>
      </c>
      <c r="I2647" t="s">
        <v>14</v>
      </c>
      <c r="J2647">
        <v>2024</v>
      </c>
      <c r="K2647">
        <f t="shared" si="82"/>
        <v>53.89</v>
      </c>
      <c r="L2647" t="str">
        <f t="shared" si="83"/>
        <v>Banca Ligure|7|Factoring</v>
      </c>
    </row>
    <row r="2648" spans="1:12" x14ac:dyDescent="0.25">
      <c r="A2648" t="s">
        <v>33</v>
      </c>
      <c r="B2648">
        <v>7</v>
      </c>
      <c r="C2648" t="s">
        <v>20</v>
      </c>
      <c r="D2648" s="1">
        <v>45504</v>
      </c>
      <c r="E2648">
        <v>2815</v>
      </c>
      <c r="F2648">
        <v>160.88999999999999</v>
      </c>
      <c r="G2648">
        <v>96.18</v>
      </c>
      <c r="H2648">
        <v>266</v>
      </c>
      <c r="I2648" t="s">
        <v>14</v>
      </c>
      <c r="J2648">
        <v>2024</v>
      </c>
      <c r="K2648">
        <f t="shared" si="82"/>
        <v>64.70999999999998</v>
      </c>
      <c r="L2648" t="str">
        <f t="shared" si="83"/>
        <v>Banca Ligure|7|Risparmio</v>
      </c>
    </row>
    <row r="2649" spans="1:12" x14ac:dyDescent="0.25">
      <c r="A2649" t="s">
        <v>33</v>
      </c>
      <c r="B2649">
        <v>7</v>
      </c>
      <c r="C2649" t="s">
        <v>21</v>
      </c>
      <c r="D2649" s="1">
        <v>45504</v>
      </c>
      <c r="E2649">
        <v>3138</v>
      </c>
      <c r="F2649">
        <v>185.67</v>
      </c>
      <c r="G2649">
        <v>110.44</v>
      </c>
      <c r="H2649">
        <v>317</v>
      </c>
      <c r="I2649" t="s">
        <v>14</v>
      </c>
      <c r="J2649">
        <v>2024</v>
      </c>
      <c r="K2649">
        <f t="shared" si="82"/>
        <v>75.22999999999999</v>
      </c>
      <c r="L2649" t="str">
        <f t="shared" si="83"/>
        <v>Banca Ligure|7|Assicurazioni</v>
      </c>
    </row>
    <row r="2650" spans="1:12" x14ac:dyDescent="0.25">
      <c r="A2650" t="s">
        <v>33</v>
      </c>
      <c r="B2650">
        <v>8</v>
      </c>
      <c r="C2650" t="s">
        <v>13</v>
      </c>
      <c r="D2650" s="1">
        <v>45535</v>
      </c>
      <c r="E2650">
        <v>844.7</v>
      </c>
      <c r="F2650">
        <v>38.58</v>
      </c>
      <c r="G2650">
        <v>23.78</v>
      </c>
      <c r="H2650">
        <v>107</v>
      </c>
      <c r="I2650" t="s">
        <v>14</v>
      </c>
      <c r="J2650">
        <v>2024</v>
      </c>
      <c r="K2650">
        <f t="shared" si="82"/>
        <v>14.799999999999997</v>
      </c>
      <c r="L2650" t="str">
        <f t="shared" si="83"/>
        <v>Banca Ligure|8|Mutui</v>
      </c>
    </row>
    <row r="2651" spans="1:12" x14ac:dyDescent="0.25">
      <c r="A2651" t="s">
        <v>33</v>
      </c>
      <c r="B2651">
        <v>8</v>
      </c>
      <c r="C2651" t="s">
        <v>15</v>
      </c>
      <c r="D2651" s="1">
        <v>45535</v>
      </c>
      <c r="E2651">
        <v>1201.9000000000001</v>
      </c>
      <c r="F2651">
        <v>57.32</v>
      </c>
      <c r="G2651">
        <v>35.29</v>
      </c>
      <c r="H2651">
        <v>121</v>
      </c>
      <c r="I2651" t="s">
        <v>14</v>
      </c>
      <c r="J2651">
        <v>2024</v>
      </c>
      <c r="K2651">
        <f t="shared" si="82"/>
        <v>22.03</v>
      </c>
      <c r="L2651" t="str">
        <f t="shared" si="83"/>
        <v>Banca Ligure|8|Prestiti</v>
      </c>
    </row>
    <row r="2652" spans="1:12" x14ac:dyDescent="0.25">
      <c r="A2652" t="s">
        <v>33</v>
      </c>
      <c r="B2652">
        <v>8</v>
      </c>
      <c r="C2652" t="s">
        <v>16</v>
      </c>
      <c r="D2652" s="1">
        <v>45535</v>
      </c>
      <c r="E2652">
        <v>1491.6</v>
      </c>
      <c r="F2652">
        <v>73.28</v>
      </c>
      <c r="G2652">
        <v>44.91</v>
      </c>
      <c r="H2652">
        <v>172</v>
      </c>
      <c r="I2652" t="s">
        <v>14</v>
      </c>
      <c r="J2652">
        <v>2024</v>
      </c>
      <c r="K2652">
        <f t="shared" si="82"/>
        <v>28.370000000000005</v>
      </c>
      <c r="L2652" t="str">
        <f t="shared" si="83"/>
        <v>Banca Ligure|8|Conti</v>
      </c>
    </row>
    <row r="2653" spans="1:12" x14ac:dyDescent="0.25">
      <c r="A2653" t="s">
        <v>33</v>
      </c>
      <c r="B2653">
        <v>8</v>
      </c>
      <c r="C2653" t="s">
        <v>17</v>
      </c>
      <c r="D2653" s="1">
        <v>45535</v>
      </c>
      <c r="E2653">
        <v>1865.7</v>
      </c>
      <c r="F2653">
        <v>95.58</v>
      </c>
      <c r="G2653">
        <v>58.35</v>
      </c>
      <c r="H2653">
        <v>180</v>
      </c>
      <c r="I2653" t="s">
        <v>14</v>
      </c>
      <c r="J2653">
        <v>2024</v>
      </c>
      <c r="K2653">
        <f t="shared" si="82"/>
        <v>37.229999999999997</v>
      </c>
      <c r="L2653" t="str">
        <f t="shared" si="83"/>
        <v>Banca Ligure|8|Carte</v>
      </c>
    </row>
    <row r="2654" spans="1:12" x14ac:dyDescent="0.25">
      <c r="A2654" t="s">
        <v>33</v>
      </c>
      <c r="B2654">
        <v>8</v>
      </c>
      <c r="C2654" t="s">
        <v>18</v>
      </c>
      <c r="D2654" s="1">
        <v>45535</v>
      </c>
      <c r="E2654">
        <v>2166.8000000000002</v>
      </c>
      <c r="F2654">
        <v>115.36</v>
      </c>
      <c r="G2654">
        <v>69.37</v>
      </c>
      <c r="H2654">
        <v>221</v>
      </c>
      <c r="I2654" t="s">
        <v>14</v>
      </c>
      <c r="J2654">
        <v>2024</v>
      </c>
      <c r="K2654">
        <f t="shared" si="82"/>
        <v>45.989999999999995</v>
      </c>
      <c r="L2654" t="str">
        <f t="shared" si="83"/>
        <v>Banca Ligure|8|Leasing</v>
      </c>
    </row>
    <row r="2655" spans="1:12" x14ac:dyDescent="0.25">
      <c r="A2655" t="s">
        <v>33</v>
      </c>
      <c r="B2655">
        <v>8</v>
      </c>
      <c r="C2655" t="s">
        <v>19</v>
      </c>
      <c r="D2655" s="1">
        <v>45535</v>
      </c>
      <c r="E2655">
        <v>2513.9</v>
      </c>
      <c r="F2655">
        <v>138.91999999999999</v>
      </c>
      <c r="G2655">
        <v>83.65</v>
      </c>
      <c r="H2655">
        <v>238</v>
      </c>
      <c r="I2655" t="s">
        <v>14</v>
      </c>
      <c r="J2655">
        <v>2024</v>
      </c>
      <c r="K2655">
        <f t="shared" si="82"/>
        <v>55.269999999999982</v>
      </c>
      <c r="L2655" t="str">
        <f t="shared" si="83"/>
        <v>Banca Ligure|8|Factoring</v>
      </c>
    </row>
    <row r="2656" spans="1:12" x14ac:dyDescent="0.25">
      <c r="A2656" t="s">
        <v>33</v>
      </c>
      <c r="B2656">
        <v>8</v>
      </c>
      <c r="C2656" t="s">
        <v>20</v>
      </c>
      <c r="D2656" s="1">
        <v>45535</v>
      </c>
      <c r="E2656">
        <v>2828</v>
      </c>
      <c r="F2656">
        <v>161.72999999999999</v>
      </c>
      <c r="G2656">
        <v>96.91</v>
      </c>
      <c r="H2656">
        <v>267</v>
      </c>
      <c r="I2656" t="s">
        <v>14</v>
      </c>
      <c r="J2656">
        <v>2024</v>
      </c>
      <c r="K2656">
        <f t="shared" si="82"/>
        <v>64.819999999999993</v>
      </c>
      <c r="L2656" t="str">
        <f t="shared" si="83"/>
        <v>Banca Ligure|8|Risparmio</v>
      </c>
    </row>
    <row r="2657" spans="1:12" x14ac:dyDescent="0.25">
      <c r="A2657" t="s">
        <v>33</v>
      </c>
      <c r="B2657">
        <v>8</v>
      </c>
      <c r="C2657" t="s">
        <v>21</v>
      </c>
      <c r="D2657" s="1">
        <v>45535</v>
      </c>
      <c r="E2657">
        <v>3149.7</v>
      </c>
      <c r="F2657">
        <v>186.12</v>
      </c>
      <c r="G2657">
        <v>111.04</v>
      </c>
      <c r="H2657">
        <v>312</v>
      </c>
      <c r="I2657" t="s">
        <v>14</v>
      </c>
      <c r="J2657">
        <v>2024</v>
      </c>
      <c r="K2657">
        <f t="shared" si="82"/>
        <v>75.08</v>
      </c>
      <c r="L2657" t="str">
        <f t="shared" si="83"/>
        <v>Banca Ligure|8|Assicurazioni</v>
      </c>
    </row>
    <row r="2658" spans="1:12" x14ac:dyDescent="0.25">
      <c r="A2658" t="s">
        <v>33</v>
      </c>
      <c r="B2658">
        <v>9</v>
      </c>
      <c r="C2658" t="s">
        <v>13</v>
      </c>
      <c r="D2658" s="1">
        <v>45565</v>
      </c>
      <c r="E2658">
        <v>845.2</v>
      </c>
      <c r="F2658">
        <v>38.159999999999997</v>
      </c>
      <c r="G2658">
        <v>24.01</v>
      </c>
      <c r="H2658">
        <v>100</v>
      </c>
      <c r="I2658" t="s">
        <v>14</v>
      </c>
      <c r="J2658">
        <v>2024</v>
      </c>
      <c r="K2658">
        <f t="shared" si="82"/>
        <v>14.149999999999995</v>
      </c>
      <c r="L2658" t="str">
        <f t="shared" si="83"/>
        <v>Banca Ligure|9|Mutui</v>
      </c>
    </row>
    <row r="2659" spans="1:12" x14ac:dyDescent="0.25">
      <c r="A2659" t="s">
        <v>33</v>
      </c>
      <c r="B2659">
        <v>9</v>
      </c>
      <c r="C2659" t="s">
        <v>15</v>
      </c>
      <c r="D2659" s="1">
        <v>45565</v>
      </c>
      <c r="E2659">
        <v>1200.5</v>
      </c>
      <c r="F2659">
        <v>56.7</v>
      </c>
      <c r="G2659">
        <v>35.51</v>
      </c>
      <c r="H2659">
        <v>116</v>
      </c>
      <c r="I2659" t="s">
        <v>14</v>
      </c>
      <c r="J2659">
        <v>2024</v>
      </c>
      <c r="K2659">
        <f t="shared" si="82"/>
        <v>21.190000000000005</v>
      </c>
      <c r="L2659" t="str">
        <f t="shared" si="83"/>
        <v>Banca Ligure|9|Prestiti</v>
      </c>
    </row>
    <row r="2660" spans="1:12" x14ac:dyDescent="0.25">
      <c r="A2660" t="s">
        <v>33</v>
      </c>
      <c r="B2660">
        <v>9</v>
      </c>
      <c r="C2660" t="s">
        <v>16</v>
      </c>
      <c r="D2660" s="1">
        <v>45565</v>
      </c>
      <c r="E2660">
        <v>1549.2</v>
      </c>
      <c r="F2660">
        <v>75.930000000000007</v>
      </c>
      <c r="G2660">
        <v>46.9</v>
      </c>
      <c r="H2660">
        <v>181</v>
      </c>
      <c r="I2660" t="s">
        <v>14</v>
      </c>
      <c r="J2660">
        <v>2024</v>
      </c>
      <c r="K2660">
        <f t="shared" si="82"/>
        <v>29.030000000000008</v>
      </c>
      <c r="L2660" t="str">
        <f t="shared" si="83"/>
        <v>Banca Ligure|9|Conti</v>
      </c>
    </row>
    <row r="2661" spans="1:12" x14ac:dyDescent="0.25">
      <c r="A2661" t="s">
        <v>33</v>
      </c>
      <c r="B2661">
        <v>9</v>
      </c>
      <c r="C2661" t="s">
        <v>17</v>
      </c>
      <c r="D2661" s="1">
        <v>45565</v>
      </c>
      <c r="E2661">
        <v>1853.4</v>
      </c>
      <c r="F2661">
        <v>95.05</v>
      </c>
      <c r="G2661">
        <v>58.11</v>
      </c>
      <c r="H2661">
        <v>201</v>
      </c>
      <c r="I2661" t="s">
        <v>14</v>
      </c>
      <c r="J2661">
        <v>2024</v>
      </c>
      <c r="K2661">
        <f t="shared" si="82"/>
        <v>36.94</v>
      </c>
      <c r="L2661" t="str">
        <f t="shared" si="83"/>
        <v>Banca Ligure|9|Carte</v>
      </c>
    </row>
    <row r="2662" spans="1:12" x14ac:dyDescent="0.25">
      <c r="A2662" t="s">
        <v>33</v>
      </c>
      <c r="B2662">
        <v>9</v>
      </c>
      <c r="C2662" t="s">
        <v>18</v>
      </c>
      <c r="D2662" s="1">
        <v>45565</v>
      </c>
      <c r="E2662">
        <v>2173.9</v>
      </c>
      <c r="F2662">
        <v>115.35</v>
      </c>
      <c r="G2662">
        <v>69.88</v>
      </c>
      <c r="H2662">
        <v>222</v>
      </c>
      <c r="I2662" t="s">
        <v>14</v>
      </c>
      <c r="J2662">
        <v>2024</v>
      </c>
      <c r="K2662">
        <f t="shared" si="82"/>
        <v>45.47</v>
      </c>
      <c r="L2662" t="str">
        <f t="shared" si="83"/>
        <v>Banca Ligure|9|Leasing</v>
      </c>
    </row>
    <row r="2663" spans="1:12" x14ac:dyDescent="0.25">
      <c r="A2663" t="s">
        <v>33</v>
      </c>
      <c r="B2663">
        <v>9</v>
      </c>
      <c r="C2663" t="s">
        <v>19</v>
      </c>
      <c r="D2663" s="1">
        <v>45565</v>
      </c>
      <c r="E2663">
        <v>2485.1</v>
      </c>
      <c r="F2663">
        <v>137.11000000000001</v>
      </c>
      <c r="G2663">
        <v>82.08</v>
      </c>
      <c r="H2663">
        <v>236</v>
      </c>
      <c r="I2663" t="s">
        <v>14</v>
      </c>
      <c r="J2663">
        <v>2024</v>
      </c>
      <c r="K2663">
        <f t="shared" si="82"/>
        <v>55.030000000000015</v>
      </c>
      <c r="L2663" t="str">
        <f t="shared" si="83"/>
        <v>Banca Ligure|9|Factoring</v>
      </c>
    </row>
    <row r="2664" spans="1:12" x14ac:dyDescent="0.25">
      <c r="A2664" t="s">
        <v>33</v>
      </c>
      <c r="B2664">
        <v>9</v>
      </c>
      <c r="C2664" t="s">
        <v>20</v>
      </c>
      <c r="D2664" s="1">
        <v>45565</v>
      </c>
      <c r="E2664">
        <v>2849.9</v>
      </c>
      <c r="F2664">
        <v>163.07</v>
      </c>
      <c r="G2664">
        <v>96.97</v>
      </c>
      <c r="H2664">
        <v>269</v>
      </c>
      <c r="I2664" t="s">
        <v>14</v>
      </c>
      <c r="J2664">
        <v>2024</v>
      </c>
      <c r="K2664">
        <f t="shared" si="82"/>
        <v>66.099999999999994</v>
      </c>
      <c r="L2664" t="str">
        <f t="shared" si="83"/>
        <v>Banca Ligure|9|Risparmio</v>
      </c>
    </row>
    <row r="2665" spans="1:12" x14ac:dyDescent="0.25">
      <c r="A2665" t="s">
        <v>33</v>
      </c>
      <c r="B2665">
        <v>9</v>
      </c>
      <c r="C2665" t="s">
        <v>21</v>
      </c>
      <c r="D2665" s="1">
        <v>45565</v>
      </c>
      <c r="E2665">
        <v>3134.6</v>
      </c>
      <c r="F2665">
        <v>185.12</v>
      </c>
      <c r="G2665">
        <v>110.25</v>
      </c>
      <c r="H2665">
        <v>332</v>
      </c>
      <c r="I2665" t="s">
        <v>14</v>
      </c>
      <c r="J2665">
        <v>2024</v>
      </c>
      <c r="K2665">
        <f t="shared" si="82"/>
        <v>74.87</v>
      </c>
      <c r="L2665" t="str">
        <f t="shared" si="83"/>
        <v>Banca Ligure|9|Assicurazioni</v>
      </c>
    </row>
    <row r="2666" spans="1:12" x14ac:dyDescent="0.25">
      <c r="A2666" t="s">
        <v>33</v>
      </c>
      <c r="B2666">
        <v>10</v>
      </c>
      <c r="C2666" t="s">
        <v>13</v>
      </c>
      <c r="D2666" s="1">
        <v>45596</v>
      </c>
      <c r="E2666">
        <v>853.3</v>
      </c>
      <c r="F2666">
        <v>39.36</v>
      </c>
      <c r="G2666">
        <v>24.47</v>
      </c>
      <c r="H2666">
        <v>89</v>
      </c>
      <c r="I2666" t="s">
        <v>14</v>
      </c>
      <c r="J2666">
        <v>2024</v>
      </c>
      <c r="K2666">
        <f t="shared" si="82"/>
        <v>14.89</v>
      </c>
      <c r="L2666" t="str">
        <f t="shared" si="83"/>
        <v>Banca Ligure|10|Mutui</v>
      </c>
    </row>
    <row r="2667" spans="1:12" x14ac:dyDescent="0.25">
      <c r="A2667" t="s">
        <v>33</v>
      </c>
      <c r="B2667">
        <v>10</v>
      </c>
      <c r="C2667" t="s">
        <v>15</v>
      </c>
      <c r="D2667" s="1">
        <v>45596</v>
      </c>
      <c r="E2667">
        <v>1182.5999999999999</v>
      </c>
      <c r="F2667">
        <v>55.68</v>
      </c>
      <c r="G2667">
        <v>35.06</v>
      </c>
      <c r="H2667">
        <v>134</v>
      </c>
      <c r="I2667" t="s">
        <v>14</v>
      </c>
      <c r="J2667">
        <v>2024</v>
      </c>
      <c r="K2667">
        <f t="shared" si="82"/>
        <v>20.619999999999997</v>
      </c>
      <c r="L2667" t="str">
        <f t="shared" si="83"/>
        <v>Banca Ligure|10|Prestiti</v>
      </c>
    </row>
    <row r="2668" spans="1:12" x14ac:dyDescent="0.25">
      <c r="A2668" t="s">
        <v>33</v>
      </c>
      <c r="B2668">
        <v>10</v>
      </c>
      <c r="C2668" t="s">
        <v>16</v>
      </c>
      <c r="D2668" s="1">
        <v>45596</v>
      </c>
      <c r="E2668">
        <v>1554.6</v>
      </c>
      <c r="F2668">
        <v>76.8</v>
      </c>
      <c r="G2668">
        <v>46.74</v>
      </c>
      <c r="H2668">
        <v>143</v>
      </c>
      <c r="I2668" t="s">
        <v>14</v>
      </c>
      <c r="J2668">
        <v>2024</v>
      </c>
      <c r="K2668">
        <f t="shared" si="82"/>
        <v>30.059999999999995</v>
      </c>
      <c r="L2668" t="str">
        <f t="shared" si="83"/>
        <v>Banca Ligure|10|Conti</v>
      </c>
    </row>
    <row r="2669" spans="1:12" x14ac:dyDescent="0.25">
      <c r="A2669" t="s">
        <v>33</v>
      </c>
      <c r="B2669">
        <v>10</v>
      </c>
      <c r="C2669" t="s">
        <v>17</v>
      </c>
      <c r="D2669" s="1">
        <v>45596</v>
      </c>
      <c r="E2669">
        <v>1869.6</v>
      </c>
      <c r="F2669">
        <v>96.16</v>
      </c>
      <c r="G2669">
        <v>58.81</v>
      </c>
      <c r="H2669">
        <v>186</v>
      </c>
      <c r="I2669" t="s">
        <v>14</v>
      </c>
      <c r="J2669">
        <v>2024</v>
      </c>
      <c r="K2669">
        <f t="shared" si="82"/>
        <v>37.349999999999994</v>
      </c>
      <c r="L2669" t="str">
        <f t="shared" si="83"/>
        <v>Banca Ligure|10|Carte</v>
      </c>
    </row>
    <row r="2670" spans="1:12" x14ac:dyDescent="0.25">
      <c r="A2670" t="s">
        <v>33</v>
      </c>
      <c r="B2670">
        <v>10</v>
      </c>
      <c r="C2670" t="s">
        <v>18</v>
      </c>
      <c r="D2670" s="1">
        <v>45596</v>
      </c>
      <c r="E2670">
        <v>2206.1</v>
      </c>
      <c r="F2670">
        <v>117.12</v>
      </c>
      <c r="G2670">
        <v>71.239999999999995</v>
      </c>
      <c r="H2670">
        <v>216</v>
      </c>
      <c r="I2670" t="s">
        <v>14</v>
      </c>
      <c r="J2670">
        <v>2024</v>
      </c>
      <c r="K2670">
        <f t="shared" si="82"/>
        <v>45.88000000000001</v>
      </c>
      <c r="L2670" t="str">
        <f t="shared" si="83"/>
        <v>Banca Ligure|10|Leasing</v>
      </c>
    </row>
    <row r="2671" spans="1:12" x14ac:dyDescent="0.25">
      <c r="A2671" t="s">
        <v>33</v>
      </c>
      <c r="B2671">
        <v>10</v>
      </c>
      <c r="C2671" t="s">
        <v>19</v>
      </c>
      <c r="D2671" s="1">
        <v>45596</v>
      </c>
      <c r="E2671">
        <v>2504</v>
      </c>
      <c r="F2671">
        <v>138.66999999999999</v>
      </c>
      <c r="G2671">
        <v>82.93</v>
      </c>
      <c r="H2671">
        <v>271</v>
      </c>
      <c r="I2671" t="s">
        <v>14</v>
      </c>
      <c r="J2671">
        <v>2024</v>
      </c>
      <c r="K2671">
        <f t="shared" si="82"/>
        <v>55.739999999999981</v>
      </c>
      <c r="L2671" t="str">
        <f t="shared" si="83"/>
        <v>Banca Ligure|10|Factoring</v>
      </c>
    </row>
    <row r="2672" spans="1:12" x14ac:dyDescent="0.25">
      <c r="A2672" t="s">
        <v>33</v>
      </c>
      <c r="B2672">
        <v>10</v>
      </c>
      <c r="C2672" t="s">
        <v>20</v>
      </c>
      <c r="D2672" s="1">
        <v>45596</v>
      </c>
      <c r="E2672">
        <v>2884.1</v>
      </c>
      <c r="F2672">
        <v>165.38</v>
      </c>
      <c r="G2672">
        <v>98.78</v>
      </c>
      <c r="H2672">
        <v>288</v>
      </c>
      <c r="I2672" t="s">
        <v>14</v>
      </c>
      <c r="J2672">
        <v>2024</v>
      </c>
      <c r="K2672">
        <f t="shared" si="82"/>
        <v>66.599999999999994</v>
      </c>
      <c r="L2672" t="str">
        <f t="shared" si="83"/>
        <v>Banca Ligure|10|Risparmio</v>
      </c>
    </row>
    <row r="2673" spans="1:12" x14ac:dyDescent="0.25">
      <c r="A2673" t="s">
        <v>33</v>
      </c>
      <c r="B2673">
        <v>10</v>
      </c>
      <c r="C2673" t="s">
        <v>21</v>
      </c>
      <c r="D2673" s="1">
        <v>45596</v>
      </c>
      <c r="E2673">
        <v>3178.2</v>
      </c>
      <c r="F2673">
        <v>188.07</v>
      </c>
      <c r="G2673">
        <v>111.34</v>
      </c>
      <c r="H2673">
        <v>311</v>
      </c>
      <c r="I2673" t="s">
        <v>14</v>
      </c>
      <c r="J2673">
        <v>2024</v>
      </c>
      <c r="K2673">
        <f t="shared" si="82"/>
        <v>76.72999999999999</v>
      </c>
      <c r="L2673" t="str">
        <f t="shared" si="83"/>
        <v>Banca Ligure|10|Assicurazioni</v>
      </c>
    </row>
    <row r="2674" spans="1:12" x14ac:dyDescent="0.25">
      <c r="A2674" t="s">
        <v>33</v>
      </c>
      <c r="B2674">
        <v>11</v>
      </c>
      <c r="C2674" t="s">
        <v>13</v>
      </c>
      <c r="D2674" s="1">
        <v>45626</v>
      </c>
      <c r="E2674">
        <v>866.5</v>
      </c>
      <c r="F2674">
        <v>39.659999999999997</v>
      </c>
      <c r="G2674">
        <v>24.76</v>
      </c>
      <c r="H2674">
        <v>91</v>
      </c>
      <c r="I2674" t="s">
        <v>14</v>
      </c>
      <c r="J2674">
        <v>2024</v>
      </c>
      <c r="K2674">
        <f t="shared" si="82"/>
        <v>14.899999999999995</v>
      </c>
      <c r="L2674" t="str">
        <f t="shared" si="83"/>
        <v>Banca Ligure|11|Mutui</v>
      </c>
    </row>
    <row r="2675" spans="1:12" x14ac:dyDescent="0.25">
      <c r="A2675" t="s">
        <v>33</v>
      </c>
      <c r="B2675">
        <v>11</v>
      </c>
      <c r="C2675" t="s">
        <v>15</v>
      </c>
      <c r="D2675" s="1">
        <v>45626</v>
      </c>
      <c r="E2675">
        <v>1194.7</v>
      </c>
      <c r="F2675">
        <v>56.67</v>
      </c>
      <c r="G2675">
        <v>34.69</v>
      </c>
      <c r="H2675">
        <v>134</v>
      </c>
      <c r="I2675" t="s">
        <v>14</v>
      </c>
      <c r="J2675">
        <v>2024</v>
      </c>
      <c r="K2675">
        <f t="shared" si="82"/>
        <v>21.980000000000004</v>
      </c>
      <c r="L2675" t="str">
        <f t="shared" si="83"/>
        <v>Banca Ligure|11|Prestiti</v>
      </c>
    </row>
    <row r="2676" spans="1:12" x14ac:dyDescent="0.25">
      <c r="A2676" t="s">
        <v>33</v>
      </c>
      <c r="B2676">
        <v>11</v>
      </c>
      <c r="C2676" t="s">
        <v>16</v>
      </c>
      <c r="D2676" s="1">
        <v>45626</v>
      </c>
      <c r="E2676">
        <v>1561</v>
      </c>
      <c r="F2676">
        <v>76.819999999999993</v>
      </c>
      <c r="G2676">
        <v>47.03</v>
      </c>
      <c r="H2676">
        <v>152</v>
      </c>
      <c r="I2676" t="s">
        <v>14</v>
      </c>
      <c r="J2676">
        <v>2024</v>
      </c>
      <c r="K2676">
        <f t="shared" si="82"/>
        <v>29.789999999999992</v>
      </c>
      <c r="L2676" t="str">
        <f t="shared" si="83"/>
        <v>Banca Ligure|11|Conti</v>
      </c>
    </row>
    <row r="2677" spans="1:12" x14ac:dyDescent="0.25">
      <c r="A2677" t="s">
        <v>33</v>
      </c>
      <c r="B2677">
        <v>11</v>
      </c>
      <c r="C2677" t="s">
        <v>17</v>
      </c>
      <c r="D2677" s="1">
        <v>45626</v>
      </c>
      <c r="E2677">
        <v>1889.9</v>
      </c>
      <c r="F2677">
        <v>96.7</v>
      </c>
      <c r="G2677">
        <v>58.82</v>
      </c>
      <c r="H2677">
        <v>175</v>
      </c>
      <c r="I2677" t="s">
        <v>14</v>
      </c>
      <c r="J2677">
        <v>2024</v>
      </c>
      <c r="K2677">
        <f t="shared" si="82"/>
        <v>37.880000000000003</v>
      </c>
      <c r="L2677" t="str">
        <f t="shared" si="83"/>
        <v>Banca Ligure|11|Carte</v>
      </c>
    </row>
    <row r="2678" spans="1:12" x14ac:dyDescent="0.25">
      <c r="A2678" t="s">
        <v>33</v>
      </c>
      <c r="B2678">
        <v>11</v>
      </c>
      <c r="C2678" t="s">
        <v>18</v>
      </c>
      <c r="D2678" s="1">
        <v>45626</v>
      </c>
      <c r="E2678">
        <v>2181.9</v>
      </c>
      <c r="F2678">
        <v>116.44</v>
      </c>
      <c r="G2678">
        <v>70.66</v>
      </c>
      <c r="H2678">
        <v>225</v>
      </c>
      <c r="I2678" t="s">
        <v>14</v>
      </c>
      <c r="J2678">
        <v>2024</v>
      </c>
      <c r="K2678">
        <f t="shared" si="82"/>
        <v>45.78</v>
      </c>
      <c r="L2678" t="str">
        <f t="shared" si="83"/>
        <v>Banca Ligure|11|Leasing</v>
      </c>
    </row>
    <row r="2679" spans="1:12" x14ac:dyDescent="0.25">
      <c r="A2679" t="s">
        <v>33</v>
      </c>
      <c r="B2679">
        <v>11</v>
      </c>
      <c r="C2679" t="s">
        <v>19</v>
      </c>
      <c r="D2679" s="1">
        <v>45626</v>
      </c>
      <c r="E2679">
        <v>2515.3000000000002</v>
      </c>
      <c r="F2679">
        <v>139.25</v>
      </c>
      <c r="G2679">
        <v>83.49</v>
      </c>
      <c r="H2679">
        <v>258</v>
      </c>
      <c r="I2679" t="s">
        <v>14</v>
      </c>
      <c r="J2679">
        <v>2024</v>
      </c>
      <c r="K2679">
        <f t="shared" si="82"/>
        <v>55.760000000000005</v>
      </c>
      <c r="L2679" t="str">
        <f t="shared" si="83"/>
        <v>Banca Ligure|11|Factoring</v>
      </c>
    </row>
    <row r="2680" spans="1:12" x14ac:dyDescent="0.25">
      <c r="A2680" t="s">
        <v>33</v>
      </c>
      <c r="B2680">
        <v>11</v>
      </c>
      <c r="C2680" t="s">
        <v>20</v>
      </c>
      <c r="D2680" s="1">
        <v>45626</v>
      </c>
      <c r="E2680">
        <v>2847.3</v>
      </c>
      <c r="F2680">
        <v>163</v>
      </c>
      <c r="G2680">
        <v>97.24</v>
      </c>
      <c r="H2680">
        <v>270</v>
      </c>
      <c r="I2680" t="s">
        <v>14</v>
      </c>
      <c r="J2680">
        <v>2024</v>
      </c>
      <c r="K2680">
        <f t="shared" si="82"/>
        <v>65.760000000000005</v>
      </c>
      <c r="L2680" t="str">
        <f t="shared" si="83"/>
        <v>Banca Ligure|11|Risparmio</v>
      </c>
    </row>
    <row r="2681" spans="1:12" x14ac:dyDescent="0.25">
      <c r="A2681" t="s">
        <v>33</v>
      </c>
      <c r="B2681">
        <v>11</v>
      </c>
      <c r="C2681" t="s">
        <v>21</v>
      </c>
      <c r="D2681" s="1">
        <v>45626</v>
      </c>
      <c r="E2681">
        <v>3233</v>
      </c>
      <c r="F2681">
        <v>191.45</v>
      </c>
      <c r="G2681">
        <v>113.53</v>
      </c>
      <c r="H2681">
        <v>303</v>
      </c>
      <c r="I2681" t="s">
        <v>14</v>
      </c>
      <c r="J2681">
        <v>2024</v>
      </c>
      <c r="K2681">
        <f t="shared" si="82"/>
        <v>77.919999999999987</v>
      </c>
      <c r="L2681" t="str">
        <f t="shared" si="83"/>
        <v>Banca Ligure|11|Assicurazioni</v>
      </c>
    </row>
    <row r="2682" spans="1:12" x14ac:dyDescent="0.25">
      <c r="A2682" t="s">
        <v>33</v>
      </c>
      <c r="B2682">
        <v>12</v>
      </c>
      <c r="C2682" t="s">
        <v>13</v>
      </c>
      <c r="D2682" s="1">
        <v>45657</v>
      </c>
      <c r="E2682">
        <v>863.8</v>
      </c>
      <c r="F2682">
        <v>39.770000000000003</v>
      </c>
      <c r="G2682">
        <v>24.92</v>
      </c>
      <c r="H2682">
        <v>89</v>
      </c>
      <c r="I2682" t="s">
        <v>14</v>
      </c>
      <c r="J2682">
        <v>2024</v>
      </c>
      <c r="K2682">
        <f t="shared" si="82"/>
        <v>14.850000000000001</v>
      </c>
      <c r="L2682" t="str">
        <f t="shared" si="83"/>
        <v>Banca Ligure|12|Mutui</v>
      </c>
    </row>
    <row r="2683" spans="1:12" x14ac:dyDescent="0.25">
      <c r="A2683" t="s">
        <v>33</v>
      </c>
      <c r="B2683">
        <v>12</v>
      </c>
      <c r="C2683" t="s">
        <v>15</v>
      </c>
      <c r="D2683" s="1">
        <v>45657</v>
      </c>
      <c r="E2683">
        <v>1212.9000000000001</v>
      </c>
      <c r="F2683">
        <v>57.8</v>
      </c>
      <c r="G2683">
        <v>35.630000000000003</v>
      </c>
      <c r="H2683">
        <v>150</v>
      </c>
      <c r="I2683" t="s">
        <v>14</v>
      </c>
      <c r="J2683">
        <v>2024</v>
      </c>
      <c r="K2683">
        <f t="shared" si="82"/>
        <v>22.169999999999995</v>
      </c>
      <c r="L2683" t="str">
        <f t="shared" si="83"/>
        <v>Banca Ligure|12|Prestiti</v>
      </c>
    </row>
    <row r="2684" spans="1:12" x14ac:dyDescent="0.25">
      <c r="A2684" t="s">
        <v>33</v>
      </c>
      <c r="B2684">
        <v>12</v>
      </c>
      <c r="C2684" t="s">
        <v>16</v>
      </c>
      <c r="D2684" s="1">
        <v>45657</v>
      </c>
      <c r="E2684">
        <v>1564.9</v>
      </c>
      <c r="F2684">
        <v>77.010000000000005</v>
      </c>
      <c r="G2684">
        <v>46.99</v>
      </c>
      <c r="H2684">
        <v>158</v>
      </c>
      <c r="I2684" t="s">
        <v>14</v>
      </c>
      <c r="J2684">
        <v>2024</v>
      </c>
      <c r="K2684">
        <f t="shared" si="82"/>
        <v>30.020000000000003</v>
      </c>
      <c r="L2684" t="str">
        <f t="shared" si="83"/>
        <v>Banca Ligure|12|Conti</v>
      </c>
    </row>
    <row r="2685" spans="1:12" x14ac:dyDescent="0.25">
      <c r="A2685" t="s">
        <v>33</v>
      </c>
      <c r="B2685">
        <v>12</v>
      </c>
      <c r="C2685" t="s">
        <v>17</v>
      </c>
      <c r="D2685" s="1">
        <v>45657</v>
      </c>
      <c r="E2685">
        <v>1873.9</v>
      </c>
      <c r="F2685">
        <v>96.39</v>
      </c>
      <c r="G2685">
        <v>59.02</v>
      </c>
      <c r="H2685">
        <v>182</v>
      </c>
      <c r="I2685" t="s">
        <v>14</v>
      </c>
      <c r="J2685">
        <v>2024</v>
      </c>
      <c r="K2685">
        <f t="shared" si="82"/>
        <v>37.369999999999997</v>
      </c>
      <c r="L2685" t="str">
        <f t="shared" si="83"/>
        <v>Banca Ligure|12|Carte</v>
      </c>
    </row>
    <row r="2686" spans="1:12" x14ac:dyDescent="0.25">
      <c r="A2686" t="s">
        <v>33</v>
      </c>
      <c r="B2686">
        <v>12</v>
      </c>
      <c r="C2686" t="s">
        <v>18</v>
      </c>
      <c r="D2686" s="1">
        <v>45657</v>
      </c>
      <c r="E2686">
        <v>2226.4</v>
      </c>
      <c r="F2686">
        <v>118.04</v>
      </c>
      <c r="G2686">
        <v>71.66</v>
      </c>
      <c r="H2686">
        <v>224</v>
      </c>
      <c r="I2686" t="s">
        <v>14</v>
      </c>
      <c r="J2686">
        <v>2024</v>
      </c>
      <c r="K2686">
        <f t="shared" si="82"/>
        <v>46.38000000000001</v>
      </c>
      <c r="L2686" t="str">
        <f t="shared" si="83"/>
        <v>Banca Ligure|12|Leasing</v>
      </c>
    </row>
    <row r="2687" spans="1:12" x14ac:dyDescent="0.25">
      <c r="A2687" t="s">
        <v>33</v>
      </c>
      <c r="B2687">
        <v>12</v>
      </c>
      <c r="C2687" t="s">
        <v>19</v>
      </c>
      <c r="D2687" s="1">
        <v>45657</v>
      </c>
      <c r="E2687">
        <v>2587.4</v>
      </c>
      <c r="F2687">
        <v>143.19999999999999</v>
      </c>
      <c r="G2687">
        <v>85.42</v>
      </c>
      <c r="H2687">
        <v>247</v>
      </c>
      <c r="I2687" t="s">
        <v>14</v>
      </c>
      <c r="J2687">
        <v>2024</v>
      </c>
      <c r="K2687">
        <f t="shared" si="82"/>
        <v>57.779999999999987</v>
      </c>
      <c r="L2687" t="str">
        <f t="shared" si="83"/>
        <v>Banca Ligure|12|Factoring</v>
      </c>
    </row>
    <row r="2688" spans="1:12" x14ac:dyDescent="0.25">
      <c r="A2688" t="s">
        <v>33</v>
      </c>
      <c r="B2688">
        <v>12</v>
      </c>
      <c r="C2688" t="s">
        <v>20</v>
      </c>
      <c r="D2688" s="1">
        <v>45657</v>
      </c>
      <c r="E2688">
        <v>2918.7</v>
      </c>
      <c r="F2688">
        <v>167.31</v>
      </c>
      <c r="G2688">
        <v>99.26</v>
      </c>
      <c r="H2688">
        <v>264</v>
      </c>
      <c r="I2688" t="s">
        <v>14</v>
      </c>
      <c r="J2688">
        <v>2024</v>
      </c>
      <c r="K2688">
        <f t="shared" si="82"/>
        <v>68.05</v>
      </c>
      <c r="L2688" t="str">
        <f t="shared" si="83"/>
        <v>Banca Ligure|12|Risparmio</v>
      </c>
    </row>
    <row r="2689" spans="1:12" x14ac:dyDescent="0.25">
      <c r="A2689" t="s">
        <v>33</v>
      </c>
      <c r="B2689">
        <v>12</v>
      </c>
      <c r="C2689" t="s">
        <v>21</v>
      </c>
      <c r="D2689" s="1">
        <v>45657</v>
      </c>
      <c r="E2689">
        <v>3229</v>
      </c>
      <c r="F2689">
        <v>190.58</v>
      </c>
      <c r="G2689">
        <v>113.64</v>
      </c>
      <c r="H2689">
        <v>306</v>
      </c>
      <c r="I2689" t="s">
        <v>14</v>
      </c>
      <c r="J2689">
        <v>2024</v>
      </c>
      <c r="K2689">
        <f t="shared" si="82"/>
        <v>76.940000000000012</v>
      </c>
      <c r="L2689" t="str">
        <f t="shared" si="83"/>
        <v>Banca Ligure|12|Assicurazioni</v>
      </c>
    </row>
    <row r="2690" spans="1:12" x14ac:dyDescent="0.25">
      <c r="A2690" t="s">
        <v>33</v>
      </c>
      <c r="B2690">
        <v>13</v>
      </c>
      <c r="C2690" t="s">
        <v>13</v>
      </c>
      <c r="D2690" s="1">
        <v>45688</v>
      </c>
      <c r="E2690">
        <v>903.6</v>
      </c>
      <c r="F2690">
        <v>41.12</v>
      </c>
      <c r="G2690">
        <v>25.81</v>
      </c>
      <c r="H2690">
        <v>82</v>
      </c>
      <c r="I2690" t="s">
        <v>14</v>
      </c>
      <c r="J2690">
        <v>2025</v>
      </c>
      <c r="K2690">
        <f t="shared" ref="K2690:K2753" si="84">F2690-G2690</f>
        <v>15.309999999999999</v>
      </c>
      <c r="L2690" t="str">
        <f t="shared" ref="L2690:L2753" si="85">A2690&amp;"|"&amp;B2690&amp;"|"&amp;C2690</f>
        <v>Banca Ligure|13|Mutui</v>
      </c>
    </row>
    <row r="2691" spans="1:12" x14ac:dyDescent="0.25">
      <c r="A2691" t="s">
        <v>33</v>
      </c>
      <c r="B2691">
        <v>13</v>
      </c>
      <c r="C2691" t="s">
        <v>15</v>
      </c>
      <c r="D2691" s="1">
        <v>45688</v>
      </c>
      <c r="E2691">
        <v>1252.9000000000001</v>
      </c>
      <c r="F2691">
        <v>59.55</v>
      </c>
      <c r="G2691">
        <v>36.36</v>
      </c>
      <c r="H2691">
        <v>151</v>
      </c>
      <c r="I2691" t="s">
        <v>14</v>
      </c>
      <c r="J2691">
        <v>2025</v>
      </c>
      <c r="K2691">
        <f t="shared" si="84"/>
        <v>23.189999999999998</v>
      </c>
      <c r="L2691" t="str">
        <f t="shared" si="85"/>
        <v>Banca Ligure|13|Prestiti</v>
      </c>
    </row>
    <row r="2692" spans="1:12" x14ac:dyDescent="0.25">
      <c r="A2692" t="s">
        <v>33</v>
      </c>
      <c r="B2692">
        <v>13</v>
      </c>
      <c r="C2692" t="s">
        <v>16</v>
      </c>
      <c r="D2692" s="1">
        <v>45688</v>
      </c>
      <c r="E2692">
        <v>1600</v>
      </c>
      <c r="F2692">
        <v>79.180000000000007</v>
      </c>
      <c r="G2692">
        <v>48.13</v>
      </c>
      <c r="H2692">
        <v>171</v>
      </c>
      <c r="I2692" t="s">
        <v>14</v>
      </c>
      <c r="J2692">
        <v>2025</v>
      </c>
      <c r="K2692">
        <f t="shared" si="84"/>
        <v>31.050000000000004</v>
      </c>
      <c r="L2692" t="str">
        <f t="shared" si="85"/>
        <v>Banca Ligure|13|Conti</v>
      </c>
    </row>
    <row r="2693" spans="1:12" x14ac:dyDescent="0.25">
      <c r="A2693" t="s">
        <v>33</v>
      </c>
      <c r="B2693">
        <v>13</v>
      </c>
      <c r="C2693" t="s">
        <v>17</v>
      </c>
      <c r="D2693" s="1">
        <v>45688</v>
      </c>
      <c r="E2693">
        <v>1928.3</v>
      </c>
      <c r="F2693">
        <v>98.82</v>
      </c>
      <c r="G2693">
        <v>59.96</v>
      </c>
      <c r="H2693">
        <v>184</v>
      </c>
      <c r="I2693" t="s">
        <v>14</v>
      </c>
      <c r="J2693">
        <v>2025</v>
      </c>
      <c r="K2693">
        <f t="shared" si="84"/>
        <v>38.859999999999992</v>
      </c>
      <c r="L2693" t="str">
        <f t="shared" si="85"/>
        <v>Banca Ligure|13|Carte</v>
      </c>
    </row>
    <row r="2694" spans="1:12" x14ac:dyDescent="0.25">
      <c r="A2694" t="s">
        <v>33</v>
      </c>
      <c r="B2694">
        <v>13</v>
      </c>
      <c r="C2694" t="s">
        <v>18</v>
      </c>
      <c r="D2694" s="1">
        <v>45688</v>
      </c>
      <c r="E2694">
        <v>2231</v>
      </c>
      <c r="F2694">
        <v>119</v>
      </c>
      <c r="G2694">
        <v>71.510000000000005</v>
      </c>
      <c r="H2694">
        <v>206</v>
      </c>
      <c r="I2694" t="s">
        <v>14</v>
      </c>
      <c r="J2694">
        <v>2025</v>
      </c>
      <c r="K2694">
        <f t="shared" si="84"/>
        <v>47.489999999999995</v>
      </c>
      <c r="L2694" t="str">
        <f t="shared" si="85"/>
        <v>Banca Ligure|13|Leasing</v>
      </c>
    </row>
    <row r="2695" spans="1:12" x14ac:dyDescent="0.25">
      <c r="A2695" t="s">
        <v>33</v>
      </c>
      <c r="B2695">
        <v>13</v>
      </c>
      <c r="C2695" t="s">
        <v>19</v>
      </c>
      <c r="D2695" s="1">
        <v>45688</v>
      </c>
      <c r="E2695">
        <v>2580.4</v>
      </c>
      <c r="F2695">
        <v>142.22</v>
      </c>
      <c r="G2695">
        <v>85.17</v>
      </c>
      <c r="H2695">
        <v>271</v>
      </c>
      <c r="I2695" t="s">
        <v>14</v>
      </c>
      <c r="J2695">
        <v>2025</v>
      </c>
      <c r="K2695">
        <f t="shared" si="84"/>
        <v>57.05</v>
      </c>
      <c r="L2695" t="str">
        <f t="shared" si="85"/>
        <v>Banca Ligure|13|Factoring</v>
      </c>
    </row>
    <row r="2696" spans="1:12" x14ac:dyDescent="0.25">
      <c r="A2696" t="s">
        <v>33</v>
      </c>
      <c r="B2696">
        <v>13</v>
      </c>
      <c r="C2696" t="s">
        <v>20</v>
      </c>
      <c r="D2696" s="1">
        <v>45688</v>
      </c>
      <c r="E2696">
        <v>2890.6</v>
      </c>
      <c r="F2696">
        <v>164.96</v>
      </c>
      <c r="G2696">
        <v>98.92</v>
      </c>
      <c r="H2696">
        <v>290</v>
      </c>
      <c r="I2696" t="s">
        <v>14</v>
      </c>
      <c r="J2696">
        <v>2025</v>
      </c>
      <c r="K2696">
        <f t="shared" si="84"/>
        <v>66.040000000000006</v>
      </c>
      <c r="L2696" t="str">
        <f t="shared" si="85"/>
        <v>Banca Ligure|13|Risparmio</v>
      </c>
    </row>
    <row r="2697" spans="1:12" x14ac:dyDescent="0.25">
      <c r="A2697" t="s">
        <v>33</v>
      </c>
      <c r="B2697">
        <v>13</v>
      </c>
      <c r="C2697" t="s">
        <v>21</v>
      </c>
      <c r="D2697" s="1">
        <v>45688</v>
      </c>
      <c r="E2697">
        <v>3261.2</v>
      </c>
      <c r="F2697">
        <v>192.94</v>
      </c>
      <c r="G2697">
        <v>114.53</v>
      </c>
      <c r="H2697">
        <v>324</v>
      </c>
      <c r="I2697" t="s">
        <v>14</v>
      </c>
      <c r="J2697">
        <v>2025</v>
      </c>
      <c r="K2697">
        <f t="shared" si="84"/>
        <v>78.41</v>
      </c>
      <c r="L2697" t="str">
        <f t="shared" si="85"/>
        <v>Banca Ligure|13|Assicurazioni</v>
      </c>
    </row>
    <row r="2698" spans="1:12" x14ac:dyDescent="0.25">
      <c r="A2698" t="s">
        <v>33</v>
      </c>
      <c r="B2698">
        <v>14</v>
      </c>
      <c r="C2698" t="s">
        <v>13</v>
      </c>
      <c r="D2698" s="1">
        <v>45716</v>
      </c>
      <c r="E2698">
        <v>900.6</v>
      </c>
      <c r="F2698">
        <v>41.4</v>
      </c>
      <c r="G2698">
        <v>25.25</v>
      </c>
      <c r="H2698">
        <v>95</v>
      </c>
      <c r="I2698" t="s">
        <v>14</v>
      </c>
      <c r="J2698">
        <v>2025</v>
      </c>
      <c r="K2698">
        <f t="shared" si="84"/>
        <v>16.149999999999999</v>
      </c>
      <c r="L2698" t="str">
        <f t="shared" si="85"/>
        <v>Banca Ligure|14|Mutui</v>
      </c>
    </row>
    <row r="2699" spans="1:12" x14ac:dyDescent="0.25">
      <c r="A2699" t="s">
        <v>33</v>
      </c>
      <c r="B2699">
        <v>14</v>
      </c>
      <c r="C2699" t="s">
        <v>15</v>
      </c>
      <c r="D2699" s="1">
        <v>45716</v>
      </c>
      <c r="E2699">
        <v>1269.7</v>
      </c>
      <c r="F2699">
        <v>60.5</v>
      </c>
      <c r="G2699">
        <v>37.119999999999997</v>
      </c>
      <c r="H2699">
        <v>119</v>
      </c>
      <c r="I2699" t="s">
        <v>14</v>
      </c>
      <c r="J2699">
        <v>2025</v>
      </c>
      <c r="K2699">
        <f t="shared" si="84"/>
        <v>23.380000000000003</v>
      </c>
      <c r="L2699" t="str">
        <f t="shared" si="85"/>
        <v>Banca Ligure|14|Prestiti</v>
      </c>
    </row>
    <row r="2700" spans="1:12" x14ac:dyDescent="0.25">
      <c r="A2700" t="s">
        <v>33</v>
      </c>
      <c r="B2700">
        <v>14</v>
      </c>
      <c r="C2700" t="s">
        <v>16</v>
      </c>
      <c r="D2700" s="1">
        <v>45716</v>
      </c>
      <c r="E2700">
        <v>1611.1</v>
      </c>
      <c r="F2700">
        <v>79.83</v>
      </c>
      <c r="G2700">
        <v>48.67</v>
      </c>
      <c r="H2700">
        <v>142</v>
      </c>
      <c r="I2700" t="s">
        <v>14</v>
      </c>
      <c r="J2700">
        <v>2025</v>
      </c>
      <c r="K2700">
        <f t="shared" si="84"/>
        <v>31.159999999999997</v>
      </c>
      <c r="L2700" t="str">
        <f t="shared" si="85"/>
        <v>Banca Ligure|14|Conti</v>
      </c>
    </row>
    <row r="2701" spans="1:12" x14ac:dyDescent="0.25">
      <c r="A2701" t="s">
        <v>33</v>
      </c>
      <c r="B2701">
        <v>14</v>
      </c>
      <c r="C2701" t="s">
        <v>17</v>
      </c>
      <c r="D2701" s="1">
        <v>45716</v>
      </c>
      <c r="E2701">
        <v>1894.7</v>
      </c>
      <c r="F2701">
        <v>96.96</v>
      </c>
      <c r="G2701">
        <v>59.16</v>
      </c>
      <c r="H2701">
        <v>194</v>
      </c>
      <c r="I2701" t="s">
        <v>14</v>
      </c>
      <c r="J2701">
        <v>2025</v>
      </c>
      <c r="K2701">
        <f t="shared" si="84"/>
        <v>37.799999999999997</v>
      </c>
      <c r="L2701" t="str">
        <f t="shared" si="85"/>
        <v>Banca Ligure|14|Carte</v>
      </c>
    </row>
    <row r="2702" spans="1:12" x14ac:dyDescent="0.25">
      <c r="A2702" t="s">
        <v>33</v>
      </c>
      <c r="B2702">
        <v>14</v>
      </c>
      <c r="C2702" t="s">
        <v>18</v>
      </c>
      <c r="D2702" s="1">
        <v>45716</v>
      </c>
      <c r="E2702">
        <v>2262.9</v>
      </c>
      <c r="F2702">
        <v>120.58</v>
      </c>
      <c r="G2702">
        <v>72.5</v>
      </c>
      <c r="H2702">
        <v>241</v>
      </c>
      <c r="I2702" t="s">
        <v>14</v>
      </c>
      <c r="J2702">
        <v>2025</v>
      </c>
      <c r="K2702">
        <f t="shared" si="84"/>
        <v>48.08</v>
      </c>
      <c r="L2702" t="str">
        <f t="shared" si="85"/>
        <v>Banca Ligure|14|Leasing</v>
      </c>
    </row>
    <row r="2703" spans="1:12" x14ac:dyDescent="0.25">
      <c r="A2703" t="s">
        <v>33</v>
      </c>
      <c r="B2703">
        <v>14</v>
      </c>
      <c r="C2703" t="s">
        <v>19</v>
      </c>
      <c r="D2703" s="1">
        <v>45716</v>
      </c>
      <c r="E2703">
        <v>2575.6</v>
      </c>
      <c r="F2703">
        <v>141.80000000000001</v>
      </c>
      <c r="G2703">
        <v>85.47</v>
      </c>
      <c r="H2703">
        <v>239</v>
      </c>
      <c r="I2703" t="s">
        <v>14</v>
      </c>
      <c r="J2703">
        <v>2025</v>
      </c>
      <c r="K2703">
        <f t="shared" si="84"/>
        <v>56.330000000000013</v>
      </c>
      <c r="L2703" t="str">
        <f t="shared" si="85"/>
        <v>Banca Ligure|14|Factoring</v>
      </c>
    </row>
    <row r="2704" spans="1:12" x14ac:dyDescent="0.25">
      <c r="A2704" t="s">
        <v>33</v>
      </c>
      <c r="B2704">
        <v>14</v>
      </c>
      <c r="C2704" t="s">
        <v>20</v>
      </c>
      <c r="D2704" s="1">
        <v>45716</v>
      </c>
      <c r="E2704">
        <v>2913.9</v>
      </c>
      <c r="F2704">
        <v>166.18</v>
      </c>
      <c r="G2704">
        <v>99.52</v>
      </c>
      <c r="H2704">
        <v>297</v>
      </c>
      <c r="I2704" t="s">
        <v>14</v>
      </c>
      <c r="J2704">
        <v>2025</v>
      </c>
      <c r="K2704">
        <f t="shared" si="84"/>
        <v>66.660000000000011</v>
      </c>
      <c r="L2704" t="str">
        <f t="shared" si="85"/>
        <v>Banca Ligure|14|Risparmio</v>
      </c>
    </row>
    <row r="2705" spans="1:12" x14ac:dyDescent="0.25">
      <c r="A2705" t="s">
        <v>33</v>
      </c>
      <c r="B2705">
        <v>14</v>
      </c>
      <c r="C2705" t="s">
        <v>21</v>
      </c>
      <c r="D2705" s="1">
        <v>45716</v>
      </c>
      <c r="E2705">
        <v>3304.7</v>
      </c>
      <c r="F2705">
        <v>195.7</v>
      </c>
      <c r="G2705">
        <v>116.42</v>
      </c>
      <c r="H2705">
        <v>301</v>
      </c>
      <c r="I2705" t="s">
        <v>14</v>
      </c>
      <c r="J2705">
        <v>2025</v>
      </c>
      <c r="K2705">
        <f t="shared" si="84"/>
        <v>79.279999999999987</v>
      </c>
      <c r="L2705" t="str">
        <f t="shared" si="85"/>
        <v>Banca Ligure|14|Assicurazioni</v>
      </c>
    </row>
    <row r="2706" spans="1:12" x14ac:dyDescent="0.25">
      <c r="A2706" t="s">
        <v>33</v>
      </c>
      <c r="B2706">
        <v>15</v>
      </c>
      <c r="C2706" t="s">
        <v>13</v>
      </c>
      <c r="D2706" s="1">
        <v>45747</v>
      </c>
      <c r="E2706">
        <v>890.2</v>
      </c>
      <c r="F2706">
        <v>40.07</v>
      </c>
      <c r="G2706">
        <v>25.76</v>
      </c>
      <c r="H2706">
        <v>119</v>
      </c>
      <c r="I2706" t="s">
        <v>14</v>
      </c>
      <c r="J2706">
        <v>2025</v>
      </c>
      <c r="K2706">
        <f t="shared" si="84"/>
        <v>14.309999999999999</v>
      </c>
      <c r="L2706" t="str">
        <f t="shared" si="85"/>
        <v>Banca Ligure|15|Mutui</v>
      </c>
    </row>
    <row r="2707" spans="1:12" x14ac:dyDescent="0.25">
      <c r="A2707" t="s">
        <v>33</v>
      </c>
      <c r="B2707">
        <v>15</v>
      </c>
      <c r="C2707" t="s">
        <v>15</v>
      </c>
      <c r="D2707" s="1">
        <v>45747</v>
      </c>
      <c r="E2707">
        <v>1247.3</v>
      </c>
      <c r="F2707">
        <v>59.48</v>
      </c>
      <c r="G2707">
        <v>36.799999999999997</v>
      </c>
      <c r="H2707">
        <v>135</v>
      </c>
      <c r="I2707" t="s">
        <v>14</v>
      </c>
      <c r="J2707">
        <v>2025</v>
      </c>
      <c r="K2707">
        <f t="shared" si="84"/>
        <v>22.68</v>
      </c>
      <c r="L2707" t="str">
        <f t="shared" si="85"/>
        <v>Banca Ligure|15|Prestiti</v>
      </c>
    </row>
    <row r="2708" spans="1:12" x14ac:dyDescent="0.25">
      <c r="A2708" t="s">
        <v>33</v>
      </c>
      <c r="B2708">
        <v>15</v>
      </c>
      <c r="C2708" t="s">
        <v>16</v>
      </c>
      <c r="D2708" s="1">
        <v>45747</v>
      </c>
      <c r="E2708">
        <v>1593.3</v>
      </c>
      <c r="F2708">
        <v>78.180000000000007</v>
      </c>
      <c r="G2708">
        <v>48.64</v>
      </c>
      <c r="H2708">
        <v>149</v>
      </c>
      <c r="I2708" t="s">
        <v>14</v>
      </c>
      <c r="J2708">
        <v>2025</v>
      </c>
      <c r="K2708">
        <f t="shared" si="84"/>
        <v>29.540000000000006</v>
      </c>
      <c r="L2708" t="str">
        <f t="shared" si="85"/>
        <v>Banca Ligure|15|Conti</v>
      </c>
    </row>
    <row r="2709" spans="1:12" x14ac:dyDescent="0.25">
      <c r="A2709" t="s">
        <v>33</v>
      </c>
      <c r="B2709">
        <v>15</v>
      </c>
      <c r="C2709" t="s">
        <v>17</v>
      </c>
      <c r="D2709" s="1">
        <v>45747</v>
      </c>
      <c r="E2709">
        <v>1922.1</v>
      </c>
      <c r="F2709">
        <v>98.81</v>
      </c>
      <c r="G2709">
        <v>59.67</v>
      </c>
      <c r="H2709">
        <v>183</v>
      </c>
      <c r="I2709" t="s">
        <v>14</v>
      </c>
      <c r="J2709">
        <v>2025</v>
      </c>
      <c r="K2709">
        <f t="shared" si="84"/>
        <v>39.14</v>
      </c>
      <c r="L2709" t="str">
        <f t="shared" si="85"/>
        <v>Banca Ligure|15|Carte</v>
      </c>
    </row>
    <row r="2710" spans="1:12" x14ac:dyDescent="0.25">
      <c r="A2710" t="s">
        <v>33</v>
      </c>
      <c r="B2710">
        <v>15</v>
      </c>
      <c r="C2710" t="s">
        <v>18</v>
      </c>
      <c r="D2710" s="1">
        <v>45747</v>
      </c>
      <c r="E2710">
        <v>2257.1</v>
      </c>
      <c r="F2710">
        <v>119.97</v>
      </c>
      <c r="G2710">
        <v>72.400000000000006</v>
      </c>
      <c r="H2710">
        <v>207</v>
      </c>
      <c r="I2710" t="s">
        <v>14</v>
      </c>
      <c r="J2710">
        <v>2025</v>
      </c>
      <c r="K2710">
        <f t="shared" si="84"/>
        <v>47.569999999999993</v>
      </c>
      <c r="L2710" t="str">
        <f t="shared" si="85"/>
        <v>Banca Ligure|15|Leasing</v>
      </c>
    </row>
    <row r="2711" spans="1:12" x14ac:dyDescent="0.25">
      <c r="A2711" t="s">
        <v>33</v>
      </c>
      <c r="B2711">
        <v>15</v>
      </c>
      <c r="C2711" t="s">
        <v>19</v>
      </c>
      <c r="D2711" s="1">
        <v>45747</v>
      </c>
      <c r="E2711">
        <v>2590.1</v>
      </c>
      <c r="F2711">
        <v>142.88</v>
      </c>
      <c r="G2711">
        <v>85.97</v>
      </c>
      <c r="H2711">
        <v>236</v>
      </c>
      <c r="I2711" t="s">
        <v>14</v>
      </c>
      <c r="J2711">
        <v>2025</v>
      </c>
      <c r="K2711">
        <f t="shared" si="84"/>
        <v>56.91</v>
      </c>
      <c r="L2711" t="str">
        <f t="shared" si="85"/>
        <v>Banca Ligure|15|Factoring</v>
      </c>
    </row>
    <row r="2712" spans="1:12" x14ac:dyDescent="0.25">
      <c r="A2712" t="s">
        <v>33</v>
      </c>
      <c r="B2712">
        <v>15</v>
      </c>
      <c r="C2712" t="s">
        <v>20</v>
      </c>
      <c r="D2712" s="1">
        <v>45747</v>
      </c>
      <c r="E2712">
        <v>2954.4</v>
      </c>
      <c r="F2712">
        <v>168.98</v>
      </c>
      <c r="G2712">
        <v>100.72</v>
      </c>
      <c r="H2712">
        <v>279</v>
      </c>
      <c r="I2712" t="s">
        <v>14</v>
      </c>
      <c r="J2712">
        <v>2025</v>
      </c>
      <c r="K2712">
        <f t="shared" si="84"/>
        <v>68.259999999999991</v>
      </c>
      <c r="L2712" t="str">
        <f t="shared" si="85"/>
        <v>Banca Ligure|15|Risparmio</v>
      </c>
    </row>
    <row r="2713" spans="1:12" x14ac:dyDescent="0.25">
      <c r="A2713" t="s">
        <v>33</v>
      </c>
      <c r="B2713">
        <v>15</v>
      </c>
      <c r="C2713" t="s">
        <v>21</v>
      </c>
      <c r="D2713" s="1">
        <v>45747</v>
      </c>
      <c r="E2713">
        <v>3276.8</v>
      </c>
      <c r="F2713">
        <v>194.14</v>
      </c>
      <c r="G2713">
        <v>114.83</v>
      </c>
      <c r="H2713">
        <v>316</v>
      </c>
      <c r="I2713" t="s">
        <v>14</v>
      </c>
      <c r="J2713">
        <v>2025</v>
      </c>
      <c r="K2713">
        <f t="shared" si="84"/>
        <v>79.309999999999988</v>
      </c>
      <c r="L2713" t="str">
        <f t="shared" si="85"/>
        <v>Banca Ligure|15|Assicurazioni</v>
      </c>
    </row>
    <row r="2714" spans="1:12" x14ac:dyDescent="0.25">
      <c r="A2714" t="s">
        <v>33</v>
      </c>
      <c r="B2714">
        <v>16</v>
      </c>
      <c r="C2714" t="s">
        <v>13</v>
      </c>
      <c r="D2714" s="1">
        <v>45777</v>
      </c>
      <c r="E2714">
        <v>893.2</v>
      </c>
      <c r="F2714">
        <v>40.71</v>
      </c>
      <c r="G2714">
        <v>25.89</v>
      </c>
      <c r="H2714">
        <v>106</v>
      </c>
      <c r="I2714" t="s">
        <v>14</v>
      </c>
      <c r="J2714">
        <v>2025</v>
      </c>
      <c r="K2714">
        <f t="shared" si="84"/>
        <v>14.82</v>
      </c>
      <c r="L2714" t="str">
        <f t="shared" si="85"/>
        <v>Banca Ligure|16|Mutui</v>
      </c>
    </row>
    <row r="2715" spans="1:12" x14ac:dyDescent="0.25">
      <c r="A2715" t="s">
        <v>33</v>
      </c>
      <c r="B2715">
        <v>16</v>
      </c>
      <c r="C2715" t="s">
        <v>15</v>
      </c>
      <c r="D2715" s="1">
        <v>45777</v>
      </c>
      <c r="E2715">
        <v>1271.0999999999999</v>
      </c>
      <c r="F2715">
        <v>59.99</v>
      </c>
      <c r="G2715">
        <v>37.119999999999997</v>
      </c>
      <c r="H2715">
        <v>134</v>
      </c>
      <c r="I2715" t="s">
        <v>14</v>
      </c>
      <c r="J2715">
        <v>2025</v>
      </c>
      <c r="K2715">
        <f t="shared" si="84"/>
        <v>22.870000000000005</v>
      </c>
      <c r="L2715" t="str">
        <f t="shared" si="85"/>
        <v>Banca Ligure|16|Prestiti</v>
      </c>
    </row>
    <row r="2716" spans="1:12" x14ac:dyDescent="0.25">
      <c r="A2716" t="s">
        <v>33</v>
      </c>
      <c r="B2716">
        <v>16</v>
      </c>
      <c r="C2716" t="s">
        <v>16</v>
      </c>
      <c r="D2716" s="1">
        <v>45777</v>
      </c>
      <c r="E2716">
        <v>1591.1</v>
      </c>
      <c r="F2716">
        <v>78.599999999999994</v>
      </c>
      <c r="G2716">
        <v>48.23</v>
      </c>
      <c r="H2716">
        <v>180</v>
      </c>
      <c r="I2716" t="s">
        <v>14</v>
      </c>
      <c r="J2716">
        <v>2025</v>
      </c>
      <c r="K2716">
        <f t="shared" si="84"/>
        <v>30.369999999999997</v>
      </c>
      <c r="L2716" t="str">
        <f t="shared" si="85"/>
        <v>Banca Ligure|16|Conti</v>
      </c>
    </row>
    <row r="2717" spans="1:12" x14ac:dyDescent="0.25">
      <c r="A2717" t="s">
        <v>33</v>
      </c>
      <c r="B2717">
        <v>16</v>
      </c>
      <c r="C2717" t="s">
        <v>17</v>
      </c>
      <c r="D2717" s="1">
        <v>45777</v>
      </c>
      <c r="E2717">
        <v>1976.3</v>
      </c>
      <c r="F2717">
        <v>101.63</v>
      </c>
      <c r="G2717">
        <v>62</v>
      </c>
      <c r="H2717">
        <v>210</v>
      </c>
      <c r="I2717" t="s">
        <v>14</v>
      </c>
      <c r="J2717">
        <v>2025</v>
      </c>
      <c r="K2717">
        <f t="shared" si="84"/>
        <v>39.629999999999995</v>
      </c>
      <c r="L2717" t="str">
        <f t="shared" si="85"/>
        <v>Banca Ligure|16|Carte</v>
      </c>
    </row>
    <row r="2718" spans="1:12" x14ac:dyDescent="0.25">
      <c r="A2718" t="s">
        <v>33</v>
      </c>
      <c r="B2718">
        <v>16</v>
      </c>
      <c r="C2718" t="s">
        <v>18</v>
      </c>
      <c r="D2718" s="1">
        <v>45777</v>
      </c>
      <c r="E2718">
        <v>2314.8000000000002</v>
      </c>
      <c r="F2718">
        <v>123.04</v>
      </c>
      <c r="G2718">
        <v>74.63</v>
      </c>
      <c r="H2718">
        <v>210</v>
      </c>
      <c r="I2718" t="s">
        <v>14</v>
      </c>
      <c r="J2718">
        <v>2025</v>
      </c>
      <c r="K2718">
        <f t="shared" si="84"/>
        <v>48.410000000000011</v>
      </c>
      <c r="L2718" t="str">
        <f t="shared" si="85"/>
        <v>Banca Ligure|16|Leasing</v>
      </c>
    </row>
    <row r="2719" spans="1:12" x14ac:dyDescent="0.25">
      <c r="A2719" t="s">
        <v>33</v>
      </c>
      <c r="B2719">
        <v>16</v>
      </c>
      <c r="C2719" t="s">
        <v>19</v>
      </c>
      <c r="D2719" s="1">
        <v>45777</v>
      </c>
      <c r="E2719">
        <v>2614.1</v>
      </c>
      <c r="F2719">
        <v>144.61000000000001</v>
      </c>
      <c r="G2719">
        <v>86.71</v>
      </c>
      <c r="H2719">
        <v>238</v>
      </c>
      <c r="I2719" t="s">
        <v>14</v>
      </c>
      <c r="J2719">
        <v>2025</v>
      </c>
      <c r="K2719">
        <f t="shared" si="84"/>
        <v>57.90000000000002</v>
      </c>
      <c r="L2719" t="str">
        <f t="shared" si="85"/>
        <v>Banca Ligure|16|Factoring</v>
      </c>
    </row>
    <row r="2720" spans="1:12" x14ac:dyDescent="0.25">
      <c r="A2720" t="s">
        <v>33</v>
      </c>
      <c r="B2720">
        <v>16</v>
      </c>
      <c r="C2720" t="s">
        <v>20</v>
      </c>
      <c r="D2720" s="1">
        <v>45777</v>
      </c>
      <c r="E2720">
        <v>2958.1</v>
      </c>
      <c r="F2720">
        <v>169.26</v>
      </c>
      <c r="G2720">
        <v>101.12</v>
      </c>
      <c r="H2720">
        <v>270</v>
      </c>
      <c r="I2720" t="s">
        <v>14</v>
      </c>
      <c r="J2720">
        <v>2025</v>
      </c>
      <c r="K2720">
        <f t="shared" si="84"/>
        <v>68.139999999999986</v>
      </c>
      <c r="L2720" t="str">
        <f t="shared" si="85"/>
        <v>Banca Ligure|16|Risparmio</v>
      </c>
    </row>
    <row r="2721" spans="1:12" x14ac:dyDescent="0.25">
      <c r="A2721" t="s">
        <v>33</v>
      </c>
      <c r="B2721">
        <v>16</v>
      </c>
      <c r="C2721" t="s">
        <v>21</v>
      </c>
      <c r="D2721" s="1">
        <v>45777</v>
      </c>
      <c r="E2721">
        <v>3311.8</v>
      </c>
      <c r="F2721">
        <v>195.86</v>
      </c>
      <c r="G2721">
        <v>116.45</v>
      </c>
      <c r="H2721">
        <v>312</v>
      </c>
      <c r="I2721" t="s">
        <v>14</v>
      </c>
      <c r="J2721">
        <v>2025</v>
      </c>
      <c r="K2721">
        <f t="shared" si="84"/>
        <v>79.410000000000011</v>
      </c>
      <c r="L2721" t="str">
        <f t="shared" si="85"/>
        <v>Banca Ligure|16|Assicurazioni</v>
      </c>
    </row>
    <row r="2722" spans="1:12" x14ac:dyDescent="0.25">
      <c r="A2722" t="s">
        <v>33</v>
      </c>
      <c r="B2722">
        <v>17</v>
      </c>
      <c r="C2722" t="s">
        <v>13</v>
      </c>
      <c r="D2722" s="1">
        <v>45808</v>
      </c>
      <c r="E2722">
        <v>903.1</v>
      </c>
      <c r="F2722">
        <v>40.81</v>
      </c>
      <c r="G2722">
        <v>26.22</v>
      </c>
      <c r="H2722">
        <v>113</v>
      </c>
      <c r="I2722" t="s">
        <v>14</v>
      </c>
      <c r="J2722">
        <v>2025</v>
      </c>
      <c r="K2722">
        <f t="shared" si="84"/>
        <v>14.590000000000003</v>
      </c>
      <c r="L2722" t="str">
        <f t="shared" si="85"/>
        <v>Banca Ligure|17|Mutui</v>
      </c>
    </row>
    <row r="2723" spans="1:12" x14ac:dyDescent="0.25">
      <c r="A2723" t="s">
        <v>33</v>
      </c>
      <c r="B2723">
        <v>17</v>
      </c>
      <c r="C2723" t="s">
        <v>15</v>
      </c>
      <c r="D2723" s="1">
        <v>45808</v>
      </c>
      <c r="E2723">
        <v>1272</v>
      </c>
      <c r="F2723">
        <v>59.86</v>
      </c>
      <c r="G2723">
        <v>37.18</v>
      </c>
      <c r="H2723">
        <v>129</v>
      </c>
      <c r="I2723" t="s">
        <v>14</v>
      </c>
      <c r="J2723">
        <v>2025</v>
      </c>
      <c r="K2723">
        <f t="shared" si="84"/>
        <v>22.68</v>
      </c>
      <c r="L2723" t="str">
        <f t="shared" si="85"/>
        <v>Banca Ligure|17|Prestiti</v>
      </c>
    </row>
    <row r="2724" spans="1:12" x14ac:dyDescent="0.25">
      <c r="A2724" t="s">
        <v>33</v>
      </c>
      <c r="B2724">
        <v>17</v>
      </c>
      <c r="C2724" t="s">
        <v>16</v>
      </c>
      <c r="D2724" s="1">
        <v>45808</v>
      </c>
      <c r="E2724">
        <v>1645</v>
      </c>
      <c r="F2724">
        <v>80.680000000000007</v>
      </c>
      <c r="G2724">
        <v>49.56</v>
      </c>
      <c r="H2724">
        <v>169</v>
      </c>
      <c r="I2724" t="s">
        <v>14</v>
      </c>
      <c r="J2724">
        <v>2025</v>
      </c>
      <c r="K2724">
        <f t="shared" si="84"/>
        <v>31.120000000000005</v>
      </c>
      <c r="L2724" t="str">
        <f t="shared" si="85"/>
        <v>Banca Ligure|17|Conti</v>
      </c>
    </row>
    <row r="2725" spans="1:12" x14ac:dyDescent="0.25">
      <c r="A2725" t="s">
        <v>33</v>
      </c>
      <c r="B2725">
        <v>17</v>
      </c>
      <c r="C2725" t="s">
        <v>17</v>
      </c>
      <c r="D2725" s="1">
        <v>45808</v>
      </c>
      <c r="E2725">
        <v>1965.6</v>
      </c>
      <c r="F2725">
        <v>101.2</v>
      </c>
      <c r="G2725">
        <v>61.62</v>
      </c>
      <c r="H2725">
        <v>193</v>
      </c>
      <c r="I2725" t="s">
        <v>14</v>
      </c>
      <c r="J2725">
        <v>2025</v>
      </c>
      <c r="K2725">
        <f t="shared" si="84"/>
        <v>39.580000000000005</v>
      </c>
      <c r="L2725" t="str">
        <f t="shared" si="85"/>
        <v>Banca Ligure|17|Carte</v>
      </c>
    </row>
    <row r="2726" spans="1:12" x14ac:dyDescent="0.25">
      <c r="A2726" t="s">
        <v>33</v>
      </c>
      <c r="B2726">
        <v>17</v>
      </c>
      <c r="C2726" t="s">
        <v>18</v>
      </c>
      <c r="D2726" s="1">
        <v>45808</v>
      </c>
      <c r="E2726">
        <v>2327.5</v>
      </c>
      <c r="F2726">
        <v>124.16</v>
      </c>
      <c r="G2726">
        <v>74.62</v>
      </c>
      <c r="H2726">
        <v>221</v>
      </c>
      <c r="I2726" t="s">
        <v>14</v>
      </c>
      <c r="J2726">
        <v>2025</v>
      </c>
      <c r="K2726">
        <f t="shared" si="84"/>
        <v>49.539999999999992</v>
      </c>
      <c r="L2726" t="str">
        <f t="shared" si="85"/>
        <v>Banca Ligure|17|Leasing</v>
      </c>
    </row>
    <row r="2727" spans="1:12" x14ac:dyDescent="0.25">
      <c r="A2727" t="s">
        <v>33</v>
      </c>
      <c r="B2727">
        <v>17</v>
      </c>
      <c r="C2727" t="s">
        <v>19</v>
      </c>
      <c r="D2727" s="1">
        <v>45808</v>
      </c>
      <c r="E2727">
        <v>2648.1</v>
      </c>
      <c r="F2727">
        <v>145.74</v>
      </c>
      <c r="G2727">
        <v>87.71</v>
      </c>
      <c r="H2727">
        <v>261</v>
      </c>
      <c r="I2727" t="s">
        <v>14</v>
      </c>
      <c r="J2727">
        <v>2025</v>
      </c>
      <c r="K2727">
        <f t="shared" si="84"/>
        <v>58.030000000000015</v>
      </c>
      <c r="L2727" t="str">
        <f t="shared" si="85"/>
        <v>Banca Ligure|17|Factoring</v>
      </c>
    </row>
    <row r="2728" spans="1:12" x14ac:dyDescent="0.25">
      <c r="A2728" t="s">
        <v>33</v>
      </c>
      <c r="B2728">
        <v>17</v>
      </c>
      <c r="C2728" t="s">
        <v>20</v>
      </c>
      <c r="D2728" s="1">
        <v>45808</v>
      </c>
      <c r="E2728">
        <v>2990</v>
      </c>
      <c r="F2728">
        <v>170.73</v>
      </c>
      <c r="G2728">
        <v>101.95</v>
      </c>
      <c r="H2728">
        <v>294</v>
      </c>
      <c r="I2728" t="s">
        <v>14</v>
      </c>
      <c r="J2728">
        <v>2025</v>
      </c>
      <c r="K2728">
        <f t="shared" si="84"/>
        <v>68.779999999999987</v>
      </c>
      <c r="L2728" t="str">
        <f t="shared" si="85"/>
        <v>Banca Ligure|17|Risparmio</v>
      </c>
    </row>
    <row r="2729" spans="1:12" x14ac:dyDescent="0.25">
      <c r="A2729" t="s">
        <v>33</v>
      </c>
      <c r="B2729">
        <v>17</v>
      </c>
      <c r="C2729" t="s">
        <v>21</v>
      </c>
      <c r="D2729" s="1">
        <v>45808</v>
      </c>
      <c r="E2729">
        <v>3352.1</v>
      </c>
      <c r="F2729">
        <v>198.2</v>
      </c>
      <c r="G2729">
        <v>118.07</v>
      </c>
      <c r="H2729">
        <v>321</v>
      </c>
      <c r="I2729" t="s">
        <v>14</v>
      </c>
      <c r="J2729">
        <v>2025</v>
      </c>
      <c r="K2729">
        <f t="shared" si="84"/>
        <v>80.13</v>
      </c>
      <c r="L2729" t="str">
        <f t="shared" si="85"/>
        <v>Banca Ligure|17|Assicurazioni</v>
      </c>
    </row>
    <row r="2730" spans="1:12" x14ac:dyDescent="0.25">
      <c r="A2730" t="s">
        <v>33</v>
      </c>
      <c r="B2730">
        <v>18</v>
      </c>
      <c r="C2730" t="s">
        <v>13</v>
      </c>
      <c r="D2730" s="1">
        <v>45838</v>
      </c>
      <c r="E2730">
        <v>922.1</v>
      </c>
      <c r="F2730">
        <v>42.04</v>
      </c>
      <c r="G2730">
        <v>25.84</v>
      </c>
      <c r="H2730">
        <v>86</v>
      </c>
      <c r="I2730" t="s">
        <v>14</v>
      </c>
      <c r="J2730">
        <v>2025</v>
      </c>
      <c r="K2730">
        <f t="shared" si="84"/>
        <v>16.2</v>
      </c>
      <c r="L2730" t="str">
        <f t="shared" si="85"/>
        <v>Banca Ligure|18|Mutui</v>
      </c>
    </row>
    <row r="2731" spans="1:12" x14ac:dyDescent="0.25">
      <c r="A2731" t="s">
        <v>33</v>
      </c>
      <c r="B2731">
        <v>18</v>
      </c>
      <c r="C2731" t="s">
        <v>15</v>
      </c>
      <c r="D2731" s="1">
        <v>45838</v>
      </c>
      <c r="E2731">
        <v>1296</v>
      </c>
      <c r="F2731">
        <v>61.35</v>
      </c>
      <c r="G2731">
        <v>38.450000000000003</v>
      </c>
      <c r="H2731">
        <v>137</v>
      </c>
      <c r="I2731" t="s">
        <v>14</v>
      </c>
      <c r="J2731">
        <v>2025</v>
      </c>
      <c r="K2731">
        <f t="shared" si="84"/>
        <v>22.9</v>
      </c>
      <c r="L2731" t="str">
        <f t="shared" si="85"/>
        <v>Banca Ligure|18|Prestiti</v>
      </c>
    </row>
    <row r="2732" spans="1:12" x14ac:dyDescent="0.25">
      <c r="A2732" t="s">
        <v>33</v>
      </c>
      <c r="B2732">
        <v>18</v>
      </c>
      <c r="C2732" t="s">
        <v>16</v>
      </c>
      <c r="D2732" s="1">
        <v>45838</v>
      </c>
      <c r="E2732">
        <v>1642.7</v>
      </c>
      <c r="F2732">
        <v>81.27</v>
      </c>
      <c r="G2732">
        <v>49.3</v>
      </c>
      <c r="H2732">
        <v>166</v>
      </c>
      <c r="I2732" t="s">
        <v>14</v>
      </c>
      <c r="J2732">
        <v>2025</v>
      </c>
      <c r="K2732">
        <f t="shared" si="84"/>
        <v>31.97</v>
      </c>
      <c r="L2732" t="str">
        <f t="shared" si="85"/>
        <v>Banca Ligure|18|Conti</v>
      </c>
    </row>
    <row r="2733" spans="1:12" x14ac:dyDescent="0.25">
      <c r="A2733" t="s">
        <v>33</v>
      </c>
      <c r="B2733">
        <v>18</v>
      </c>
      <c r="C2733" t="s">
        <v>17</v>
      </c>
      <c r="D2733" s="1">
        <v>45838</v>
      </c>
      <c r="E2733">
        <v>1955.4</v>
      </c>
      <c r="F2733">
        <v>99.75</v>
      </c>
      <c r="G2733">
        <v>61.09</v>
      </c>
      <c r="H2733">
        <v>190</v>
      </c>
      <c r="I2733" t="s">
        <v>14</v>
      </c>
      <c r="J2733">
        <v>2025</v>
      </c>
      <c r="K2733">
        <f t="shared" si="84"/>
        <v>38.659999999999997</v>
      </c>
      <c r="L2733" t="str">
        <f t="shared" si="85"/>
        <v>Banca Ligure|18|Carte</v>
      </c>
    </row>
    <row r="2734" spans="1:12" x14ac:dyDescent="0.25">
      <c r="A2734" t="s">
        <v>33</v>
      </c>
      <c r="B2734">
        <v>18</v>
      </c>
      <c r="C2734" t="s">
        <v>18</v>
      </c>
      <c r="D2734" s="1">
        <v>45838</v>
      </c>
      <c r="E2734">
        <v>2314.4</v>
      </c>
      <c r="F2734">
        <v>123.42</v>
      </c>
      <c r="G2734">
        <v>74.66</v>
      </c>
      <c r="H2734">
        <v>208</v>
      </c>
      <c r="I2734" t="s">
        <v>14</v>
      </c>
      <c r="J2734">
        <v>2025</v>
      </c>
      <c r="K2734">
        <f t="shared" si="84"/>
        <v>48.760000000000005</v>
      </c>
      <c r="L2734" t="str">
        <f t="shared" si="85"/>
        <v>Banca Ligure|18|Leasing</v>
      </c>
    </row>
    <row r="2735" spans="1:12" x14ac:dyDescent="0.25">
      <c r="A2735" t="s">
        <v>33</v>
      </c>
      <c r="B2735">
        <v>18</v>
      </c>
      <c r="C2735" t="s">
        <v>19</v>
      </c>
      <c r="D2735" s="1">
        <v>45838</v>
      </c>
      <c r="E2735">
        <v>2664.6</v>
      </c>
      <c r="F2735">
        <v>147.34</v>
      </c>
      <c r="G2735">
        <v>88.37</v>
      </c>
      <c r="H2735">
        <v>238</v>
      </c>
      <c r="I2735" t="s">
        <v>14</v>
      </c>
      <c r="J2735">
        <v>2025</v>
      </c>
      <c r="K2735">
        <f t="shared" si="84"/>
        <v>58.97</v>
      </c>
      <c r="L2735" t="str">
        <f t="shared" si="85"/>
        <v>Banca Ligure|18|Factoring</v>
      </c>
    </row>
    <row r="2736" spans="1:12" x14ac:dyDescent="0.25">
      <c r="A2736" t="s">
        <v>33</v>
      </c>
      <c r="B2736">
        <v>18</v>
      </c>
      <c r="C2736" t="s">
        <v>20</v>
      </c>
      <c r="D2736" s="1">
        <v>45838</v>
      </c>
      <c r="E2736">
        <v>3001.6</v>
      </c>
      <c r="F2736">
        <v>171.3</v>
      </c>
      <c r="G2736">
        <v>102.08</v>
      </c>
      <c r="H2736">
        <v>270</v>
      </c>
      <c r="I2736" t="s">
        <v>14</v>
      </c>
      <c r="J2736">
        <v>2025</v>
      </c>
      <c r="K2736">
        <f t="shared" si="84"/>
        <v>69.220000000000013</v>
      </c>
      <c r="L2736" t="str">
        <f t="shared" si="85"/>
        <v>Banca Ligure|18|Risparmio</v>
      </c>
    </row>
    <row r="2737" spans="1:12" x14ac:dyDescent="0.25">
      <c r="A2737" t="s">
        <v>33</v>
      </c>
      <c r="B2737">
        <v>18</v>
      </c>
      <c r="C2737" t="s">
        <v>21</v>
      </c>
      <c r="D2737" s="1">
        <v>45838</v>
      </c>
      <c r="E2737">
        <v>3345.8</v>
      </c>
      <c r="F2737">
        <v>198.19</v>
      </c>
      <c r="G2737">
        <v>117.12</v>
      </c>
      <c r="H2737">
        <v>322</v>
      </c>
      <c r="I2737" t="s">
        <v>14</v>
      </c>
      <c r="J2737">
        <v>2025</v>
      </c>
      <c r="K2737">
        <f t="shared" si="84"/>
        <v>81.069999999999993</v>
      </c>
      <c r="L2737" t="str">
        <f t="shared" si="85"/>
        <v>Banca Ligure|18|Assicurazioni</v>
      </c>
    </row>
    <row r="2738" spans="1:12" x14ac:dyDescent="0.25">
      <c r="A2738" t="s">
        <v>33</v>
      </c>
      <c r="B2738">
        <v>19</v>
      </c>
      <c r="C2738" t="s">
        <v>13</v>
      </c>
      <c r="D2738" s="1">
        <v>45869</v>
      </c>
      <c r="E2738">
        <v>941.6</v>
      </c>
      <c r="F2738">
        <v>42.6</v>
      </c>
      <c r="G2738">
        <v>27.06</v>
      </c>
      <c r="H2738">
        <v>119</v>
      </c>
      <c r="I2738" t="s">
        <v>14</v>
      </c>
      <c r="J2738">
        <v>2025</v>
      </c>
      <c r="K2738">
        <f t="shared" si="84"/>
        <v>15.540000000000003</v>
      </c>
      <c r="L2738" t="str">
        <f t="shared" si="85"/>
        <v>Banca Ligure|19|Mutui</v>
      </c>
    </row>
    <row r="2739" spans="1:12" x14ac:dyDescent="0.25">
      <c r="A2739" t="s">
        <v>33</v>
      </c>
      <c r="B2739">
        <v>19</v>
      </c>
      <c r="C2739" t="s">
        <v>15</v>
      </c>
      <c r="D2739" s="1">
        <v>45869</v>
      </c>
      <c r="E2739">
        <v>1293</v>
      </c>
      <c r="F2739">
        <v>61.05</v>
      </c>
      <c r="G2739">
        <v>38.159999999999997</v>
      </c>
      <c r="H2739">
        <v>136</v>
      </c>
      <c r="I2739" t="s">
        <v>14</v>
      </c>
      <c r="J2739">
        <v>2025</v>
      </c>
      <c r="K2739">
        <f t="shared" si="84"/>
        <v>22.89</v>
      </c>
      <c r="L2739" t="str">
        <f t="shared" si="85"/>
        <v>Banca Ligure|19|Prestiti</v>
      </c>
    </row>
    <row r="2740" spans="1:12" x14ac:dyDescent="0.25">
      <c r="A2740" t="s">
        <v>33</v>
      </c>
      <c r="B2740">
        <v>19</v>
      </c>
      <c r="C2740" t="s">
        <v>16</v>
      </c>
      <c r="D2740" s="1">
        <v>45869</v>
      </c>
      <c r="E2740">
        <v>1613.8</v>
      </c>
      <c r="F2740">
        <v>80.02</v>
      </c>
      <c r="G2740">
        <v>48.71</v>
      </c>
      <c r="H2740">
        <v>156</v>
      </c>
      <c r="I2740" t="s">
        <v>14</v>
      </c>
      <c r="J2740">
        <v>2025</v>
      </c>
      <c r="K2740">
        <f t="shared" si="84"/>
        <v>31.309999999999995</v>
      </c>
      <c r="L2740" t="str">
        <f t="shared" si="85"/>
        <v>Banca Ligure|19|Conti</v>
      </c>
    </row>
    <row r="2741" spans="1:12" x14ac:dyDescent="0.25">
      <c r="A2741" t="s">
        <v>33</v>
      </c>
      <c r="B2741">
        <v>19</v>
      </c>
      <c r="C2741" t="s">
        <v>17</v>
      </c>
      <c r="D2741" s="1">
        <v>45869</v>
      </c>
      <c r="E2741">
        <v>2002.7</v>
      </c>
      <c r="F2741">
        <v>103.08</v>
      </c>
      <c r="G2741">
        <v>62.96</v>
      </c>
      <c r="H2741">
        <v>204</v>
      </c>
      <c r="I2741" t="s">
        <v>14</v>
      </c>
      <c r="J2741">
        <v>2025</v>
      </c>
      <c r="K2741">
        <f t="shared" si="84"/>
        <v>40.119999999999997</v>
      </c>
      <c r="L2741" t="str">
        <f t="shared" si="85"/>
        <v>Banca Ligure|19|Carte</v>
      </c>
    </row>
    <row r="2742" spans="1:12" x14ac:dyDescent="0.25">
      <c r="A2742" t="s">
        <v>33</v>
      </c>
      <c r="B2742">
        <v>19</v>
      </c>
      <c r="C2742" t="s">
        <v>18</v>
      </c>
      <c r="D2742" s="1">
        <v>45869</v>
      </c>
      <c r="E2742">
        <v>2356</v>
      </c>
      <c r="F2742">
        <v>124.88</v>
      </c>
      <c r="G2742">
        <v>76.150000000000006</v>
      </c>
      <c r="H2742">
        <v>222</v>
      </c>
      <c r="I2742" t="s">
        <v>14</v>
      </c>
      <c r="J2742">
        <v>2025</v>
      </c>
      <c r="K2742">
        <f t="shared" si="84"/>
        <v>48.72999999999999</v>
      </c>
      <c r="L2742" t="str">
        <f t="shared" si="85"/>
        <v>Banca Ligure|19|Leasing</v>
      </c>
    </row>
    <row r="2743" spans="1:12" x14ac:dyDescent="0.25">
      <c r="A2743" t="s">
        <v>33</v>
      </c>
      <c r="B2743">
        <v>19</v>
      </c>
      <c r="C2743" t="s">
        <v>19</v>
      </c>
      <c r="D2743" s="1">
        <v>45869</v>
      </c>
      <c r="E2743">
        <v>2699.8</v>
      </c>
      <c r="F2743">
        <v>149.22999999999999</v>
      </c>
      <c r="G2743">
        <v>89.96</v>
      </c>
      <c r="H2743">
        <v>256</v>
      </c>
      <c r="I2743" t="s">
        <v>14</v>
      </c>
      <c r="J2743">
        <v>2025</v>
      </c>
      <c r="K2743">
        <f t="shared" si="84"/>
        <v>59.269999999999996</v>
      </c>
      <c r="L2743" t="str">
        <f t="shared" si="85"/>
        <v>Banca Ligure|19|Factoring</v>
      </c>
    </row>
    <row r="2744" spans="1:12" x14ac:dyDescent="0.25">
      <c r="A2744" t="s">
        <v>33</v>
      </c>
      <c r="B2744">
        <v>19</v>
      </c>
      <c r="C2744" t="s">
        <v>20</v>
      </c>
      <c r="D2744" s="1">
        <v>45869</v>
      </c>
      <c r="E2744">
        <v>3055.3</v>
      </c>
      <c r="F2744">
        <v>174.17</v>
      </c>
      <c r="G2744">
        <v>104.67</v>
      </c>
      <c r="H2744">
        <v>298</v>
      </c>
      <c r="I2744" t="s">
        <v>14</v>
      </c>
      <c r="J2744">
        <v>2025</v>
      </c>
      <c r="K2744">
        <f t="shared" si="84"/>
        <v>69.499999999999986</v>
      </c>
      <c r="L2744" t="str">
        <f t="shared" si="85"/>
        <v>Banca Ligure|19|Risparmio</v>
      </c>
    </row>
    <row r="2745" spans="1:12" x14ac:dyDescent="0.25">
      <c r="A2745" t="s">
        <v>33</v>
      </c>
      <c r="B2745">
        <v>19</v>
      </c>
      <c r="C2745" t="s">
        <v>21</v>
      </c>
      <c r="D2745" s="1">
        <v>45869</v>
      </c>
      <c r="E2745">
        <v>3397.3</v>
      </c>
      <c r="F2745">
        <v>200.51</v>
      </c>
      <c r="G2745">
        <v>119.55</v>
      </c>
      <c r="H2745">
        <v>317</v>
      </c>
      <c r="I2745" t="s">
        <v>14</v>
      </c>
      <c r="J2745">
        <v>2025</v>
      </c>
      <c r="K2745">
        <f t="shared" si="84"/>
        <v>80.959999999999994</v>
      </c>
      <c r="L2745" t="str">
        <f t="shared" si="85"/>
        <v>Banca Ligure|19|Assicurazioni</v>
      </c>
    </row>
    <row r="2746" spans="1:12" x14ac:dyDescent="0.25">
      <c r="A2746" t="s">
        <v>33</v>
      </c>
      <c r="B2746">
        <v>20</v>
      </c>
      <c r="C2746" t="s">
        <v>13</v>
      </c>
      <c r="D2746" s="1">
        <v>45900</v>
      </c>
      <c r="E2746">
        <v>941.1</v>
      </c>
      <c r="F2746">
        <v>42.47</v>
      </c>
      <c r="G2746">
        <v>27.16</v>
      </c>
      <c r="H2746">
        <v>82</v>
      </c>
      <c r="I2746" t="s">
        <v>14</v>
      </c>
      <c r="J2746">
        <v>2025</v>
      </c>
      <c r="K2746">
        <f t="shared" si="84"/>
        <v>15.309999999999999</v>
      </c>
      <c r="L2746" t="str">
        <f t="shared" si="85"/>
        <v>Banca Ligure|20|Mutui</v>
      </c>
    </row>
    <row r="2747" spans="1:12" x14ac:dyDescent="0.25">
      <c r="A2747" t="s">
        <v>33</v>
      </c>
      <c r="B2747">
        <v>20</v>
      </c>
      <c r="C2747" t="s">
        <v>15</v>
      </c>
      <c r="D2747" s="1">
        <v>45900</v>
      </c>
      <c r="E2747">
        <v>1313.2</v>
      </c>
      <c r="F2747">
        <v>62.63</v>
      </c>
      <c r="G2747">
        <v>38.76</v>
      </c>
      <c r="H2747">
        <v>129</v>
      </c>
      <c r="I2747" t="s">
        <v>14</v>
      </c>
      <c r="J2747">
        <v>2025</v>
      </c>
      <c r="K2747">
        <f t="shared" si="84"/>
        <v>23.870000000000005</v>
      </c>
      <c r="L2747" t="str">
        <f t="shared" si="85"/>
        <v>Banca Ligure|20|Prestiti</v>
      </c>
    </row>
    <row r="2748" spans="1:12" x14ac:dyDescent="0.25">
      <c r="A2748" t="s">
        <v>33</v>
      </c>
      <c r="B2748">
        <v>20</v>
      </c>
      <c r="C2748" t="s">
        <v>16</v>
      </c>
      <c r="D2748" s="1">
        <v>45900</v>
      </c>
      <c r="E2748">
        <v>1623.3</v>
      </c>
      <c r="F2748">
        <v>80.45</v>
      </c>
      <c r="G2748">
        <v>48.92</v>
      </c>
      <c r="H2748">
        <v>179</v>
      </c>
      <c r="I2748" t="s">
        <v>14</v>
      </c>
      <c r="J2748">
        <v>2025</v>
      </c>
      <c r="K2748">
        <f t="shared" si="84"/>
        <v>31.53</v>
      </c>
      <c r="L2748" t="str">
        <f t="shared" si="85"/>
        <v>Banca Ligure|20|Conti</v>
      </c>
    </row>
    <row r="2749" spans="1:12" x14ac:dyDescent="0.25">
      <c r="A2749" t="s">
        <v>33</v>
      </c>
      <c r="B2749">
        <v>20</v>
      </c>
      <c r="C2749" t="s">
        <v>17</v>
      </c>
      <c r="D2749" s="1">
        <v>45900</v>
      </c>
      <c r="E2749">
        <v>2008.3</v>
      </c>
      <c r="F2749">
        <v>102.9</v>
      </c>
      <c r="G2749">
        <v>62.46</v>
      </c>
      <c r="H2749">
        <v>186</v>
      </c>
      <c r="I2749" t="s">
        <v>14</v>
      </c>
      <c r="J2749">
        <v>2025</v>
      </c>
      <c r="K2749">
        <f t="shared" si="84"/>
        <v>40.440000000000005</v>
      </c>
      <c r="L2749" t="str">
        <f t="shared" si="85"/>
        <v>Banca Ligure|20|Carte</v>
      </c>
    </row>
    <row r="2750" spans="1:12" x14ac:dyDescent="0.25">
      <c r="A2750" t="s">
        <v>33</v>
      </c>
      <c r="B2750">
        <v>20</v>
      </c>
      <c r="C2750" t="s">
        <v>18</v>
      </c>
      <c r="D2750" s="1">
        <v>45900</v>
      </c>
      <c r="E2750">
        <v>2331.4</v>
      </c>
      <c r="F2750">
        <v>123.99</v>
      </c>
      <c r="G2750">
        <v>74.7</v>
      </c>
      <c r="H2750">
        <v>240</v>
      </c>
      <c r="I2750" t="s">
        <v>14</v>
      </c>
      <c r="J2750">
        <v>2025</v>
      </c>
      <c r="K2750">
        <f t="shared" si="84"/>
        <v>49.289999999999992</v>
      </c>
      <c r="L2750" t="str">
        <f t="shared" si="85"/>
        <v>Banca Ligure|20|Leasing</v>
      </c>
    </row>
    <row r="2751" spans="1:12" x14ac:dyDescent="0.25">
      <c r="A2751" t="s">
        <v>33</v>
      </c>
      <c r="B2751">
        <v>20</v>
      </c>
      <c r="C2751" t="s">
        <v>19</v>
      </c>
      <c r="D2751" s="1">
        <v>45900</v>
      </c>
      <c r="E2751">
        <v>2703.4</v>
      </c>
      <c r="F2751">
        <v>148.85</v>
      </c>
      <c r="G2751">
        <v>89.64</v>
      </c>
      <c r="H2751">
        <v>267</v>
      </c>
      <c r="I2751" t="s">
        <v>14</v>
      </c>
      <c r="J2751">
        <v>2025</v>
      </c>
      <c r="K2751">
        <f t="shared" si="84"/>
        <v>59.209999999999994</v>
      </c>
      <c r="L2751" t="str">
        <f t="shared" si="85"/>
        <v>Banca Ligure|20|Factoring</v>
      </c>
    </row>
    <row r="2752" spans="1:12" x14ac:dyDescent="0.25">
      <c r="A2752" t="s">
        <v>33</v>
      </c>
      <c r="B2752">
        <v>20</v>
      </c>
      <c r="C2752" t="s">
        <v>20</v>
      </c>
      <c r="D2752" s="1">
        <v>45900</v>
      </c>
      <c r="E2752">
        <v>3053.7</v>
      </c>
      <c r="F2752">
        <v>174.36</v>
      </c>
      <c r="G2752">
        <v>104.14</v>
      </c>
      <c r="H2752">
        <v>277</v>
      </c>
      <c r="I2752" t="s">
        <v>14</v>
      </c>
      <c r="J2752">
        <v>2025</v>
      </c>
      <c r="K2752">
        <f t="shared" si="84"/>
        <v>70.220000000000013</v>
      </c>
      <c r="L2752" t="str">
        <f t="shared" si="85"/>
        <v>Banca Ligure|20|Risparmio</v>
      </c>
    </row>
    <row r="2753" spans="1:12" x14ac:dyDescent="0.25">
      <c r="A2753" t="s">
        <v>33</v>
      </c>
      <c r="B2753">
        <v>20</v>
      </c>
      <c r="C2753" t="s">
        <v>21</v>
      </c>
      <c r="D2753" s="1">
        <v>45900</v>
      </c>
      <c r="E2753">
        <v>3449.4</v>
      </c>
      <c r="F2753">
        <v>203.71</v>
      </c>
      <c r="G2753">
        <v>121.44</v>
      </c>
      <c r="H2753">
        <v>323</v>
      </c>
      <c r="I2753" t="s">
        <v>14</v>
      </c>
      <c r="J2753">
        <v>2025</v>
      </c>
      <c r="K2753">
        <f t="shared" si="84"/>
        <v>82.27000000000001</v>
      </c>
      <c r="L2753" t="str">
        <f t="shared" si="85"/>
        <v>Banca Ligure|20|Assicurazioni</v>
      </c>
    </row>
    <row r="2754" spans="1:12" x14ac:dyDescent="0.25">
      <c r="A2754" t="s">
        <v>33</v>
      </c>
      <c r="B2754">
        <v>21</v>
      </c>
      <c r="C2754" t="s">
        <v>13</v>
      </c>
      <c r="D2754" s="1">
        <v>45930</v>
      </c>
      <c r="E2754">
        <v>946.4</v>
      </c>
      <c r="F2754">
        <v>42.66</v>
      </c>
      <c r="G2754">
        <v>26.91</v>
      </c>
      <c r="H2754">
        <v>102</v>
      </c>
      <c r="I2754" t="s">
        <v>14</v>
      </c>
      <c r="J2754">
        <v>2025</v>
      </c>
      <c r="K2754">
        <f t="shared" ref="K2754:K2817" si="86">F2754-G2754</f>
        <v>15.749999999999996</v>
      </c>
      <c r="L2754" t="str">
        <f t="shared" ref="L2754:L2817" si="87">A2754&amp;"|"&amp;B2754&amp;"|"&amp;C2754</f>
        <v>Banca Ligure|21|Mutui</v>
      </c>
    </row>
    <row r="2755" spans="1:12" x14ac:dyDescent="0.25">
      <c r="A2755" t="s">
        <v>33</v>
      </c>
      <c r="B2755">
        <v>21</v>
      </c>
      <c r="C2755" t="s">
        <v>15</v>
      </c>
      <c r="D2755" s="1">
        <v>45930</v>
      </c>
      <c r="E2755">
        <v>1285.8</v>
      </c>
      <c r="F2755">
        <v>61.23</v>
      </c>
      <c r="G2755">
        <v>38.14</v>
      </c>
      <c r="H2755">
        <v>124</v>
      </c>
      <c r="I2755" t="s">
        <v>14</v>
      </c>
      <c r="J2755">
        <v>2025</v>
      </c>
      <c r="K2755">
        <f t="shared" si="86"/>
        <v>23.089999999999996</v>
      </c>
      <c r="L2755" t="str">
        <f t="shared" si="87"/>
        <v>Banca Ligure|21|Prestiti</v>
      </c>
    </row>
    <row r="2756" spans="1:12" x14ac:dyDescent="0.25">
      <c r="A2756" t="s">
        <v>33</v>
      </c>
      <c r="B2756">
        <v>21</v>
      </c>
      <c r="C2756" t="s">
        <v>16</v>
      </c>
      <c r="D2756" s="1">
        <v>45930</v>
      </c>
      <c r="E2756">
        <v>1677.1</v>
      </c>
      <c r="F2756">
        <v>83.04</v>
      </c>
      <c r="G2756">
        <v>50.61</v>
      </c>
      <c r="H2756">
        <v>162</v>
      </c>
      <c r="I2756" t="s">
        <v>14</v>
      </c>
      <c r="J2756">
        <v>2025</v>
      </c>
      <c r="K2756">
        <f t="shared" si="86"/>
        <v>32.430000000000007</v>
      </c>
      <c r="L2756" t="str">
        <f t="shared" si="87"/>
        <v>Banca Ligure|21|Conti</v>
      </c>
    </row>
    <row r="2757" spans="1:12" x14ac:dyDescent="0.25">
      <c r="A2757" t="s">
        <v>33</v>
      </c>
      <c r="B2757">
        <v>21</v>
      </c>
      <c r="C2757" t="s">
        <v>17</v>
      </c>
      <c r="D2757" s="1">
        <v>45930</v>
      </c>
      <c r="E2757">
        <v>2008.7</v>
      </c>
      <c r="F2757">
        <v>102.47</v>
      </c>
      <c r="G2757">
        <v>63.14</v>
      </c>
      <c r="H2757">
        <v>199</v>
      </c>
      <c r="I2757" t="s">
        <v>14</v>
      </c>
      <c r="J2757">
        <v>2025</v>
      </c>
      <c r="K2757">
        <f t="shared" si="86"/>
        <v>39.33</v>
      </c>
      <c r="L2757" t="str">
        <f t="shared" si="87"/>
        <v>Banca Ligure|21|Carte</v>
      </c>
    </row>
    <row r="2758" spans="1:12" x14ac:dyDescent="0.25">
      <c r="A2758" t="s">
        <v>33</v>
      </c>
      <c r="B2758">
        <v>21</v>
      </c>
      <c r="C2758" t="s">
        <v>18</v>
      </c>
      <c r="D2758" s="1">
        <v>45930</v>
      </c>
      <c r="E2758">
        <v>2370.6</v>
      </c>
      <c r="F2758">
        <v>126.11</v>
      </c>
      <c r="G2758">
        <v>76.7</v>
      </c>
      <c r="H2758">
        <v>209</v>
      </c>
      <c r="I2758" t="s">
        <v>14</v>
      </c>
      <c r="J2758">
        <v>2025</v>
      </c>
      <c r="K2758">
        <f t="shared" si="86"/>
        <v>49.41</v>
      </c>
      <c r="L2758" t="str">
        <f t="shared" si="87"/>
        <v>Banca Ligure|21|Leasing</v>
      </c>
    </row>
    <row r="2759" spans="1:12" x14ac:dyDescent="0.25">
      <c r="A2759" t="s">
        <v>33</v>
      </c>
      <c r="B2759">
        <v>21</v>
      </c>
      <c r="C2759" t="s">
        <v>19</v>
      </c>
      <c r="D2759" s="1">
        <v>45930</v>
      </c>
      <c r="E2759">
        <v>2706</v>
      </c>
      <c r="F2759">
        <v>149.41999999999999</v>
      </c>
      <c r="G2759">
        <v>90.18</v>
      </c>
      <c r="H2759">
        <v>271</v>
      </c>
      <c r="I2759" t="s">
        <v>14</v>
      </c>
      <c r="J2759">
        <v>2025</v>
      </c>
      <c r="K2759">
        <f t="shared" si="86"/>
        <v>59.239999999999981</v>
      </c>
      <c r="L2759" t="str">
        <f t="shared" si="87"/>
        <v>Banca Ligure|21|Factoring</v>
      </c>
    </row>
    <row r="2760" spans="1:12" x14ac:dyDescent="0.25">
      <c r="A2760" t="s">
        <v>33</v>
      </c>
      <c r="B2760">
        <v>21</v>
      </c>
      <c r="C2760" t="s">
        <v>20</v>
      </c>
      <c r="D2760" s="1">
        <v>45930</v>
      </c>
      <c r="E2760">
        <v>3097.5</v>
      </c>
      <c r="F2760">
        <v>177.32</v>
      </c>
      <c r="G2760">
        <v>105.81</v>
      </c>
      <c r="H2760">
        <v>300</v>
      </c>
      <c r="I2760" t="s">
        <v>14</v>
      </c>
      <c r="J2760">
        <v>2025</v>
      </c>
      <c r="K2760">
        <f t="shared" si="86"/>
        <v>71.509999999999991</v>
      </c>
      <c r="L2760" t="str">
        <f t="shared" si="87"/>
        <v>Banca Ligure|21|Risparmio</v>
      </c>
    </row>
    <row r="2761" spans="1:12" x14ac:dyDescent="0.25">
      <c r="A2761" t="s">
        <v>33</v>
      </c>
      <c r="B2761">
        <v>21</v>
      </c>
      <c r="C2761" t="s">
        <v>21</v>
      </c>
      <c r="D2761" s="1">
        <v>45930</v>
      </c>
      <c r="E2761">
        <v>3440.1</v>
      </c>
      <c r="F2761">
        <v>202.98</v>
      </c>
      <c r="G2761">
        <v>120.97</v>
      </c>
      <c r="H2761">
        <v>326</v>
      </c>
      <c r="I2761" t="s">
        <v>14</v>
      </c>
      <c r="J2761">
        <v>2025</v>
      </c>
      <c r="K2761">
        <f t="shared" si="86"/>
        <v>82.009999999999991</v>
      </c>
      <c r="L2761" t="str">
        <f t="shared" si="87"/>
        <v>Banca Ligure|21|Assicurazioni</v>
      </c>
    </row>
    <row r="2762" spans="1:12" x14ac:dyDescent="0.25">
      <c r="A2762" t="s">
        <v>33</v>
      </c>
      <c r="B2762">
        <v>22</v>
      </c>
      <c r="C2762" t="s">
        <v>13</v>
      </c>
      <c r="D2762" s="1">
        <v>45961</v>
      </c>
      <c r="E2762">
        <v>960.9</v>
      </c>
      <c r="F2762">
        <v>43.55</v>
      </c>
      <c r="G2762">
        <v>27.04</v>
      </c>
      <c r="H2762">
        <v>84</v>
      </c>
      <c r="I2762" t="s">
        <v>14</v>
      </c>
      <c r="J2762">
        <v>2025</v>
      </c>
      <c r="K2762">
        <f t="shared" si="86"/>
        <v>16.509999999999998</v>
      </c>
      <c r="L2762" t="str">
        <f t="shared" si="87"/>
        <v>Banca Ligure|22|Mutui</v>
      </c>
    </row>
    <row r="2763" spans="1:12" x14ac:dyDescent="0.25">
      <c r="A2763" t="s">
        <v>33</v>
      </c>
      <c r="B2763">
        <v>22</v>
      </c>
      <c r="C2763" t="s">
        <v>15</v>
      </c>
      <c r="D2763" s="1">
        <v>45961</v>
      </c>
      <c r="E2763">
        <v>1305</v>
      </c>
      <c r="F2763">
        <v>62.33</v>
      </c>
      <c r="G2763">
        <v>38.65</v>
      </c>
      <c r="H2763">
        <v>151</v>
      </c>
      <c r="I2763" t="s">
        <v>14</v>
      </c>
      <c r="J2763">
        <v>2025</v>
      </c>
      <c r="K2763">
        <f t="shared" si="86"/>
        <v>23.68</v>
      </c>
      <c r="L2763" t="str">
        <f t="shared" si="87"/>
        <v>Banca Ligure|22|Prestiti</v>
      </c>
    </row>
    <row r="2764" spans="1:12" x14ac:dyDescent="0.25">
      <c r="A2764" t="s">
        <v>33</v>
      </c>
      <c r="B2764">
        <v>22</v>
      </c>
      <c r="C2764" t="s">
        <v>16</v>
      </c>
      <c r="D2764" s="1">
        <v>45961</v>
      </c>
      <c r="E2764">
        <v>1684.4</v>
      </c>
      <c r="F2764">
        <v>82.86</v>
      </c>
      <c r="G2764">
        <v>50.58</v>
      </c>
      <c r="H2764">
        <v>152</v>
      </c>
      <c r="I2764" t="s">
        <v>14</v>
      </c>
      <c r="J2764">
        <v>2025</v>
      </c>
      <c r="K2764">
        <f t="shared" si="86"/>
        <v>32.28</v>
      </c>
      <c r="L2764" t="str">
        <f t="shared" si="87"/>
        <v>Banca Ligure|22|Conti</v>
      </c>
    </row>
    <row r="2765" spans="1:12" x14ac:dyDescent="0.25">
      <c r="A2765" t="s">
        <v>33</v>
      </c>
      <c r="B2765">
        <v>22</v>
      </c>
      <c r="C2765" t="s">
        <v>17</v>
      </c>
      <c r="D2765" s="1">
        <v>45961</v>
      </c>
      <c r="E2765">
        <v>2027.3</v>
      </c>
      <c r="F2765">
        <v>103.61</v>
      </c>
      <c r="G2765">
        <v>63.1</v>
      </c>
      <c r="H2765">
        <v>190</v>
      </c>
      <c r="I2765" t="s">
        <v>14</v>
      </c>
      <c r="J2765">
        <v>2025</v>
      </c>
      <c r="K2765">
        <f t="shared" si="86"/>
        <v>40.51</v>
      </c>
      <c r="L2765" t="str">
        <f t="shared" si="87"/>
        <v>Banca Ligure|22|Carte</v>
      </c>
    </row>
    <row r="2766" spans="1:12" x14ac:dyDescent="0.25">
      <c r="A2766" t="s">
        <v>33</v>
      </c>
      <c r="B2766">
        <v>22</v>
      </c>
      <c r="C2766" t="s">
        <v>18</v>
      </c>
      <c r="D2766" s="1">
        <v>45961</v>
      </c>
      <c r="E2766">
        <v>2416</v>
      </c>
      <c r="F2766">
        <v>128.96</v>
      </c>
      <c r="G2766">
        <v>78.22</v>
      </c>
      <c r="H2766">
        <v>227</v>
      </c>
      <c r="I2766" t="s">
        <v>14</v>
      </c>
      <c r="J2766">
        <v>2025</v>
      </c>
      <c r="K2766">
        <f t="shared" si="86"/>
        <v>50.740000000000009</v>
      </c>
      <c r="L2766" t="str">
        <f t="shared" si="87"/>
        <v>Banca Ligure|22|Leasing</v>
      </c>
    </row>
    <row r="2767" spans="1:12" x14ac:dyDescent="0.25">
      <c r="A2767" t="s">
        <v>33</v>
      </c>
      <c r="B2767">
        <v>22</v>
      </c>
      <c r="C2767" t="s">
        <v>19</v>
      </c>
      <c r="D2767" s="1">
        <v>45961</v>
      </c>
      <c r="E2767">
        <v>2728.6</v>
      </c>
      <c r="F2767">
        <v>150.44</v>
      </c>
      <c r="G2767">
        <v>90.43</v>
      </c>
      <c r="H2767">
        <v>235</v>
      </c>
      <c r="I2767" t="s">
        <v>14</v>
      </c>
      <c r="J2767">
        <v>2025</v>
      </c>
      <c r="K2767">
        <f t="shared" si="86"/>
        <v>60.009999999999991</v>
      </c>
      <c r="L2767" t="str">
        <f t="shared" si="87"/>
        <v>Banca Ligure|22|Factoring</v>
      </c>
    </row>
    <row r="2768" spans="1:12" x14ac:dyDescent="0.25">
      <c r="A2768" t="s">
        <v>33</v>
      </c>
      <c r="B2768">
        <v>22</v>
      </c>
      <c r="C2768" t="s">
        <v>20</v>
      </c>
      <c r="D2768" s="1">
        <v>45961</v>
      </c>
      <c r="E2768">
        <v>3094.4</v>
      </c>
      <c r="F2768">
        <v>176.84</v>
      </c>
      <c r="G2768">
        <v>105.3</v>
      </c>
      <c r="H2768">
        <v>268</v>
      </c>
      <c r="I2768" t="s">
        <v>14</v>
      </c>
      <c r="J2768">
        <v>2025</v>
      </c>
      <c r="K2768">
        <f t="shared" si="86"/>
        <v>71.540000000000006</v>
      </c>
      <c r="L2768" t="str">
        <f t="shared" si="87"/>
        <v>Banca Ligure|22|Risparmio</v>
      </c>
    </row>
    <row r="2769" spans="1:12" x14ac:dyDescent="0.25">
      <c r="A2769" t="s">
        <v>33</v>
      </c>
      <c r="B2769">
        <v>22</v>
      </c>
      <c r="C2769" t="s">
        <v>21</v>
      </c>
      <c r="D2769" s="1">
        <v>45961</v>
      </c>
      <c r="E2769">
        <v>3490.4</v>
      </c>
      <c r="F2769">
        <v>206.27</v>
      </c>
      <c r="G2769">
        <v>122.93</v>
      </c>
      <c r="H2769">
        <v>328</v>
      </c>
      <c r="I2769" t="s">
        <v>14</v>
      </c>
      <c r="J2769">
        <v>2025</v>
      </c>
      <c r="K2769">
        <f t="shared" si="86"/>
        <v>83.34</v>
      </c>
      <c r="L2769" t="str">
        <f t="shared" si="87"/>
        <v>Banca Ligure|22|Assicurazioni</v>
      </c>
    </row>
    <row r="2770" spans="1:12" x14ac:dyDescent="0.25">
      <c r="A2770" t="s">
        <v>33</v>
      </c>
      <c r="B2770">
        <v>23</v>
      </c>
      <c r="C2770" t="s">
        <v>13</v>
      </c>
      <c r="D2770" s="1">
        <v>45991</v>
      </c>
      <c r="E2770">
        <v>933.1</v>
      </c>
      <c r="F2770">
        <v>42.77</v>
      </c>
      <c r="G2770">
        <v>27.02</v>
      </c>
      <c r="H2770">
        <v>92</v>
      </c>
      <c r="I2770" t="s">
        <v>14</v>
      </c>
      <c r="J2770">
        <v>2025</v>
      </c>
      <c r="K2770">
        <f t="shared" si="86"/>
        <v>15.750000000000004</v>
      </c>
      <c r="L2770" t="str">
        <f t="shared" si="87"/>
        <v>Banca Ligure|23|Mutui</v>
      </c>
    </row>
    <row r="2771" spans="1:12" x14ac:dyDescent="0.25">
      <c r="A2771" t="s">
        <v>33</v>
      </c>
      <c r="B2771">
        <v>23</v>
      </c>
      <c r="C2771" t="s">
        <v>15</v>
      </c>
      <c r="D2771" s="1">
        <v>45991</v>
      </c>
      <c r="E2771">
        <v>1342.1</v>
      </c>
      <c r="F2771">
        <v>63.8</v>
      </c>
      <c r="G2771">
        <v>39.15</v>
      </c>
      <c r="H2771">
        <v>131</v>
      </c>
      <c r="I2771" t="s">
        <v>14</v>
      </c>
      <c r="J2771">
        <v>2025</v>
      </c>
      <c r="K2771">
        <f t="shared" si="86"/>
        <v>24.65</v>
      </c>
      <c r="L2771" t="str">
        <f t="shared" si="87"/>
        <v>Banca Ligure|23|Prestiti</v>
      </c>
    </row>
    <row r="2772" spans="1:12" x14ac:dyDescent="0.25">
      <c r="A2772" t="s">
        <v>33</v>
      </c>
      <c r="B2772">
        <v>23</v>
      </c>
      <c r="C2772" t="s">
        <v>16</v>
      </c>
      <c r="D2772" s="1">
        <v>45991</v>
      </c>
      <c r="E2772">
        <v>1674.8</v>
      </c>
      <c r="F2772">
        <v>82.82</v>
      </c>
      <c r="G2772">
        <v>50.37</v>
      </c>
      <c r="H2772">
        <v>176</v>
      </c>
      <c r="I2772" t="s">
        <v>14</v>
      </c>
      <c r="J2772">
        <v>2025</v>
      </c>
      <c r="K2772">
        <f t="shared" si="86"/>
        <v>32.449999999999996</v>
      </c>
      <c r="L2772" t="str">
        <f t="shared" si="87"/>
        <v>Banca Ligure|23|Conti</v>
      </c>
    </row>
    <row r="2773" spans="1:12" x14ac:dyDescent="0.25">
      <c r="A2773" t="s">
        <v>33</v>
      </c>
      <c r="B2773">
        <v>23</v>
      </c>
      <c r="C2773" t="s">
        <v>17</v>
      </c>
      <c r="D2773" s="1">
        <v>45991</v>
      </c>
      <c r="E2773">
        <v>2037.6</v>
      </c>
      <c r="F2773">
        <v>104.32</v>
      </c>
      <c r="G2773">
        <v>63.67</v>
      </c>
      <c r="H2773">
        <v>209</v>
      </c>
      <c r="I2773" t="s">
        <v>14</v>
      </c>
      <c r="J2773">
        <v>2025</v>
      </c>
      <c r="K2773">
        <f t="shared" si="86"/>
        <v>40.649999999999991</v>
      </c>
      <c r="L2773" t="str">
        <f t="shared" si="87"/>
        <v>Banca Ligure|23|Carte</v>
      </c>
    </row>
    <row r="2774" spans="1:12" x14ac:dyDescent="0.25">
      <c r="A2774" t="s">
        <v>33</v>
      </c>
      <c r="B2774">
        <v>23</v>
      </c>
      <c r="C2774" t="s">
        <v>18</v>
      </c>
      <c r="D2774" s="1">
        <v>45991</v>
      </c>
      <c r="E2774">
        <v>2385.8000000000002</v>
      </c>
      <c r="F2774">
        <v>127.06</v>
      </c>
      <c r="G2774">
        <v>77.099999999999994</v>
      </c>
      <c r="H2774">
        <v>231</v>
      </c>
      <c r="I2774" t="s">
        <v>14</v>
      </c>
      <c r="J2774">
        <v>2025</v>
      </c>
      <c r="K2774">
        <f t="shared" si="86"/>
        <v>49.960000000000008</v>
      </c>
      <c r="L2774" t="str">
        <f t="shared" si="87"/>
        <v>Banca Ligure|23|Leasing</v>
      </c>
    </row>
    <row r="2775" spans="1:12" x14ac:dyDescent="0.25">
      <c r="A2775" t="s">
        <v>33</v>
      </c>
      <c r="B2775">
        <v>23</v>
      </c>
      <c r="C2775" t="s">
        <v>19</v>
      </c>
      <c r="D2775" s="1">
        <v>45991</v>
      </c>
      <c r="E2775">
        <v>2758.5</v>
      </c>
      <c r="F2775">
        <v>151.94999999999999</v>
      </c>
      <c r="G2775">
        <v>91.97</v>
      </c>
      <c r="H2775">
        <v>248</v>
      </c>
      <c r="I2775" t="s">
        <v>14</v>
      </c>
      <c r="J2775">
        <v>2025</v>
      </c>
      <c r="K2775">
        <f t="shared" si="86"/>
        <v>59.97999999999999</v>
      </c>
      <c r="L2775" t="str">
        <f t="shared" si="87"/>
        <v>Banca Ligure|23|Factoring</v>
      </c>
    </row>
    <row r="2776" spans="1:12" x14ac:dyDescent="0.25">
      <c r="A2776" t="s">
        <v>33</v>
      </c>
      <c r="B2776">
        <v>23</v>
      </c>
      <c r="C2776" t="s">
        <v>20</v>
      </c>
      <c r="D2776" s="1">
        <v>45991</v>
      </c>
      <c r="E2776">
        <v>3142</v>
      </c>
      <c r="F2776">
        <v>179.55</v>
      </c>
      <c r="G2776">
        <v>107.25</v>
      </c>
      <c r="H2776">
        <v>281</v>
      </c>
      <c r="I2776" t="s">
        <v>14</v>
      </c>
      <c r="J2776">
        <v>2025</v>
      </c>
      <c r="K2776">
        <f t="shared" si="86"/>
        <v>72.300000000000011</v>
      </c>
      <c r="L2776" t="str">
        <f t="shared" si="87"/>
        <v>Banca Ligure|23|Risparmio</v>
      </c>
    </row>
    <row r="2777" spans="1:12" x14ac:dyDescent="0.25">
      <c r="A2777" t="s">
        <v>33</v>
      </c>
      <c r="B2777">
        <v>23</v>
      </c>
      <c r="C2777" t="s">
        <v>21</v>
      </c>
      <c r="D2777" s="1">
        <v>45991</v>
      </c>
      <c r="E2777">
        <v>3501.7</v>
      </c>
      <c r="F2777">
        <v>206.62</v>
      </c>
      <c r="G2777">
        <v>123.19</v>
      </c>
      <c r="H2777">
        <v>327</v>
      </c>
      <c r="I2777" t="s">
        <v>14</v>
      </c>
      <c r="J2777">
        <v>2025</v>
      </c>
      <c r="K2777">
        <f t="shared" si="86"/>
        <v>83.43</v>
      </c>
      <c r="L2777" t="str">
        <f t="shared" si="87"/>
        <v>Banca Ligure|23|Assicurazioni</v>
      </c>
    </row>
    <row r="2778" spans="1:12" x14ac:dyDescent="0.25">
      <c r="A2778" t="s">
        <v>33</v>
      </c>
      <c r="B2778">
        <v>24</v>
      </c>
      <c r="C2778" t="s">
        <v>13</v>
      </c>
      <c r="D2778" s="1">
        <v>46022</v>
      </c>
      <c r="E2778">
        <v>993.8</v>
      </c>
      <c r="F2778">
        <v>44.86</v>
      </c>
      <c r="G2778">
        <v>28.71</v>
      </c>
      <c r="H2778">
        <v>109</v>
      </c>
      <c r="I2778" t="s">
        <v>14</v>
      </c>
      <c r="J2778">
        <v>2025</v>
      </c>
      <c r="K2778">
        <f t="shared" si="86"/>
        <v>16.149999999999999</v>
      </c>
      <c r="L2778" t="str">
        <f t="shared" si="87"/>
        <v>Banca Ligure|24|Mutui</v>
      </c>
    </row>
    <row r="2779" spans="1:12" x14ac:dyDescent="0.25">
      <c r="A2779" t="s">
        <v>33</v>
      </c>
      <c r="B2779">
        <v>24</v>
      </c>
      <c r="C2779" t="s">
        <v>15</v>
      </c>
      <c r="D2779" s="1">
        <v>46022</v>
      </c>
      <c r="E2779">
        <v>1329.4</v>
      </c>
      <c r="F2779">
        <v>62.82</v>
      </c>
      <c r="G2779">
        <v>38.79</v>
      </c>
      <c r="H2779">
        <v>141</v>
      </c>
      <c r="I2779" t="s">
        <v>14</v>
      </c>
      <c r="J2779">
        <v>2025</v>
      </c>
      <c r="K2779">
        <f t="shared" si="86"/>
        <v>24.03</v>
      </c>
      <c r="L2779" t="str">
        <f t="shared" si="87"/>
        <v>Banca Ligure|24|Prestiti</v>
      </c>
    </row>
    <row r="2780" spans="1:12" x14ac:dyDescent="0.25">
      <c r="A2780" t="s">
        <v>33</v>
      </c>
      <c r="B2780">
        <v>24</v>
      </c>
      <c r="C2780" t="s">
        <v>16</v>
      </c>
      <c r="D2780" s="1">
        <v>46022</v>
      </c>
      <c r="E2780">
        <v>1682.6</v>
      </c>
      <c r="F2780">
        <v>83.28</v>
      </c>
      <c r="G2780">
        <v>51.32</v>
      </c>
      <c r="H2780">
        <v>169</v>
      </c>
      <c r="I2780" t="s">
        <v>14</v>
      </c>
      <c r="J2780">
        <v>2025</v>
      </c>
      <c r="K2780">
        <f t="shared" si="86"/>
        <v>31.96</v>
      </c>
      <c r="L2780" t="str">
        <f t="shared" si="87"/>
        <v>Banca Ligure|24|Conti</v>
      </c>
    </row>
    <row r="2781" spans="1:12" x14ac:dyDescent="0.25">
      <c r="A2781" t="s">
        <v>33</v>
      </c>
      <c r="B2781">
        <v>24</v>
      </c>
      <c r="C2781" t="s">
        <v>17</v>
      </c>
      <c r="D2781" s="1">
        <v>46022</v>
      </c>
      <c r="E2781">
        <v>2047.5</v>
      </c>
      <c r="F2781">
        <v>104.45</v>
      </c>
      <c r="G2781">
        <v>63.66</v>
      </c>
      <c r="H2781">
        <v>210</v>
      </c>
      <c r="I2781" t="s">
        <v>14</v>
      </c>
      <c r="J2781">
        <v>2025</v>
      </c>
      <c r="K2781">
        <f t="shared" si="86"/>
        <v>40.790000000000006</v>
      </c>
      <c r="L2781" t="str">
        <f t="shared" si="87"/>
        <v>Banca Ligure|24|Carte</v>
      </c>
    </row>
    <row r="2782" spans="1:12" x14ac:dyDescent="0.25">
      <c r="A2782" t="s">
        <v>33</v>
      </c>
      <c r="B2782">
        <v>24</v>
      </c>
      <c r="C2782" t="s">
        <v>18</v>
      </c>
      <c r="D2782" s="1">
        <v>46022</v>
      </c>
      <c r="E2782">
        <v>2418.4</v>
      </c>
      <c r="F2782">
        <v>128.94999999999999</v>
      </c>
      <c r="G2782">
        <v>78.239999999999995</v>
      </c>
      <c r="H2782">
        <v>234</v>
      </c>
      <c r="I2782" t="s">
        <v>14</v>
      </c>
      <c r="J2782">
        <v>2025</v>
      </c>
      <c r="K2782">
        <f t="shared" si="86"/>
        <v>50.709999999999994</v>
      </c>
      <c r="L2782" t="str">
        <f t="shared" si="87"/>
        <v>Banca Ligure|24|Leasing</v>
      </c>
    </row>
    <row r="2783" spans="1:12" x14ac:dyDescent="0.25">
      <c r="A2783" t="s">
        <v>33</v>
      </c>
      <c r="B2783">
        <v>24</v>
      </c>
      <c r="C2783" t="s">
        <v>19</v>
      </c>
      <c r="D2783" s="1">
        <v>46022</v>
      </c>
      <c r="E2783">
        <v>2789.2</v>
      </c>
      <c r="F2783">
        <v>153.74</v>
      </c>
      <c r="G2783">
        <v>92.74</v>
      </c>
      <c r="H2783">
        <v>240</v>
      </c>
      <c r="I2783" t="s">
        <v>14</v>
      </c>
      <c r="J2783">
        <v>2025</v>
      </c>
      <c r="K2783">
        <f t="shared" si="86"/>
        <v>61.000000000000014</v>
      </c>
      <c r="L2783" t="str">
        <f t="shared" si="87"/>
        <v>Banca Ligure|24|Factoring</v>
      </c>
    </row>
    <row r="2784" spans="1:12" x14ac:dyDescent="0.25">
      <c r="A2784" t="s">
        <v>33</v>
      </c>
      <c r="B2784">
        <v>24</v>
      </c>
      <c r="C2784" t="s">
        <v>20</v>
      </c>
      <c r="D2784" s="1">
        <v>46022</v>
      </c>
      <c r="E2784">
        <v>3176.9</v>
      </c>
      <c r="F2784">
        <v>181.86</v>
      </c>
      <c r="G2784">
        <v>108.71</v>
      </c>
      <c r="H2784">
        <v>264</v>
      </c>
      <c r="I2784" t="s">
        <v>14</v>
      </c>
      <c r="J2784">
        <v>2025</v>
      </c>
      <c r="K2784">
        <f t="shared" si="86"/>
        <v>73.15000000000002</v>
      </c>
      <c r="L2784" t="str">
        <f t="shared" si="87"/>
        <v>Banca Ligure|24|Risparmio</v>
      </c>
    </row>
    <row r="2785" spans="1:12" x14ac:dyDescent="0.25">
      <c r="A2785" t="s">
        <v>33</v>
      </c>
      <c r="B2785">
        <v>24</v>
      </c>
      <c r="C2785" t="s">
        <v>21</v>
      </c>
      <c r="D2785" s="1">
        <v>46022</v>
      </c>
      <c r="E2785">
        <v>3524.4</v>
      </c>
      <c r="F2785">
        <v>208.67</v>
      </c>
      <c r="G2785">
        <v>123.39</v>
      </c>
      <c r="H2785">
        <v>305</v>
      </c>
      <c r="I2785" t="s">
        <v>14</v>
      </c>
      <c r="J2785">
        <v>2025</v>
      </c>
      <c r="K2785">
        <f t="shared" si="86"/>
        <v>85.279999999999987</v>
      </c>
      <c r="L2785" t="str">
        <f t="shared" si="87"/>
        <v>Banca Ligure|24|Assicurazioni</v>
      </c>
    </row>
    <row r="2786" spans="1:12" x14ac:dyDescent="0.25">
      <c r="A2786" t="s">
        <v>33</v>
      </c>
      <c r="B2786">
        <v>25</v>
      </c>
      <c r="C2786" t="s">
        <v>13</v>
      </c>
      <c r="D2786" s="1">
        <v>46053</v>
      </c>
      <c r="E2786">
        <v>992.9</v>
      </c>
      <c r="F2786">
        <v>44.68</v>
      </c>
      <c r="G2786">
        <v>27.99</v>
      </c>
      <c r="H2786">
        <v>85</v>
      </c>
      <c r="I2786" t="s">
        <v>14</v>
      </c>
      <c r="J2786">
        <v>2026</v>
      </c>
      <c r="K2786">
        <f t="shared" si="86"/>
        <v>16.690000000000001</v>
      </c>
      <c r="L2786" t="str">
        <f t="shared" si="87"/>
        <v>Banca Ligure|25|Mutui</v>
      </c>
    </row>
    <row r="2787" spans="1:12" x14ac:dyDescent="0.25">
      <c r="A2787" t="s">
        <v>33</v>
      </c>
      <c r="B2787">
        <v>25</v>
      </c>
      <c r="C2787" t="s">
        <v>15</v>
      </c>
      <c r="D2787" s="1">
        <v>46053</v>
      </c>
      <c r="E2787">
        <v>1336.7</v>
      </c>
      <c r="F2787">
        <v>63.45</v>
      </c>
      <c r="G2787">
        <v>39.51</v>
      </c>
      <c r="H2787">
        <v>117</v>
      </c>
      <c r="I2787" t="s">
        <v>14</v>
      </c>
      <c r="J2787">
        <v>2026</v>
      </c>
      <c r="K2787">
        <f t="shared" si="86"/>
        <v>23.940000000000005</v>
      </c>
      <c r="L2787" t="str">
        <f t="shared" si="87"/>
        <v>Banca Ligure|25|Prestiti</v>
      </c>
    </row>
    <row r="2788" spans="1:12" x14ac:dyDescent="0.25">
      <c r="A2788" t="s">
        <v>33</v>
      </c>
      <c r="B2788">
        <v>25</v>
      </c>
      <c r="C2788" t="s">
        <v>16</v>
      </c>
      <c r="D2788" s="1">
        <v>46053</v>
      </c>
      <c r="E2788">
        <v>1682.1</v>
      </c>
      <c r="F2788">
        <v>83.25</v>
      </c>
      <c r="G2788">
        <v>51.17</v>
      </c>
      <c r="H2788">
        <v>157</v>
      </c>
      <c r="I2788" t="s">
        <v>14</v>
      </c>
      <c r="J2788">
        <v>2026</v>
      </c>
      <c r="K2788">
        <f t="shared" si="86"/>
        <v>32.08</v>
      </c>
      <c r="L2788" t="str">
        <f t="shared" si="87"/>
        <v>Banca Ligure|25|Conti</v>
      </c>
    </row>
    <row r="2789" spans="1:12" x14ac:dyDescent="0.25">
      <c r="A2789" t="s">
        <v>33</v>
      </c>
      <c r="B2789">
        <v>25</v>
      </c>
      <c r="C2789" t="s">
        <v>17</v>
      </c>
      <c r="D2789" s="1">
        <v>46053</v>
      </c>
      <c r="E2789">
        <v>2096.4</v>
      </c>
      <c r="F2789">
        <v>107.2</v>
      </c>
      <c r="G2789">
        <v>65.099999999999994</v>
      </c>
      <c r="H2789">
        <v>180</v>
      </c>
      <c r="I2789" t="s">
        <v>14</v>
      </c>
      <c r="J2789">
        <v>2026</v>
      </c>
      <c r="K2789">
        <f t="shared" si="86"/>
        <v>42.100000000000009</v>
      </c>
      <c r="L2789" t="str">
        <f t="shared" si="87"/>
        <v>Banca Ligure|25|Carte</v>
      </c>
    </row>
    <row r="2790" spans="1:12" x14ac:dyDescent="0.25">
      <c r="A2790" t="s">
        <v>33</v>
      </c>
      <c r="B2790">
        <v>25</v>
      </c>
      <c r="C2790" t="s">
        <v>18</v>
      </c>
      <c r="D2790" s="1">
        <v>46053</v>
      </c>
      <c r="E2790">
        <v>2413.8000000000002</v>
      </c>
      <c r="F2790">
        <v>128.57</v>
      </c>
      <c r="G2790">
        <v>77.319999999999993</v>
      </c>
      <c r="H2790">
        <v>235</v>
      </c>
      <c r="I2790" t="s">
        <v>14</v>
      </c>
      <c r="J2790">
        <v>2026</v>
      </c>
      <c r="K2790">
        <f t="shared" si="86"/>
        <v>51.25</v>
      </c>
      <c r="L2790" t="str">
        <f t="shared" si="87"/>
        <v>Banca Ligure|25|Leasing</v>
      </c>
    </row>
    <row r="2791" spans="1:12" x14ac:dyDescent="0.25">
      <c r="A2791" t="s">
        <v>33</v>
      </c>
      <c r="B2791">
        <v>25</v>
      </c>
      <c r="C2791" t="s">
        <v>19</v>
      </c>
      <c r="D2791" s="1">
        <v>46053</v>
      </c>
      <c r="E2791">
        <v>2815.1</v>
      </c>
      <c r="F2791">
        <v>154.97</v>
      </c>
      <c r="G2791">
        <v>93.72</v>
      </c>
      <c r="H2791">
        <v>273</v>
      </c>
      <c r="I2791" t="s">
        <v>14</v>
      </c>
      <c r="J2791">
        <v>2026</v>
      </c>
      <c r="K2791">
        <f t="shared" si="86"/>
        <v>61.25</v>
      </c>
      <c r="L2791" t="str">
        <f t="shared" si="87"/>
        <v>Banca Ligure|25|Factoring</v>
      </c>
    </row>
    <row r="2792" spans="1:12" x14ac:dyDescent="0.25">
      <c r="A2792" t="s">
        <v>33</v>
      </c>
      <c r="B2792">
        <v>25</v>
      </c>
      <c r="C2792" t="s">
        <v>20</v>
      </c>
      <c r="D2792" s="1">
        <v>46053</v>
      </c>
      <c r="E2792">
        <v>3183.4</v>
      </c>
      <c r="F2792">
        <v>182.44</v>
      </c>
      <c r="G2792">
        <v>109.17</v>
      </c>
      <c r="H2792">
        <v>269</v>
      </c>
      <c r="I2792" t="s">
        <v>14</v>
      </c>
      <c r="J2792">
        <v>2026</v>
      </c>
      <c r="K2792">
        <f t="shared" si="86"/>
        <v>73.27</v>
      </c>
      <c r="L2792" t="str">
        <f t="shared" si="87"/>
        <v>Banca Ligure|25|Risparmio</v>
      </c>
    </row>
    <row r="2793" spans="1:12" x14ac:dyDescent="0.25">
      <c r="A2793" t="s">
        <v>33</v>
      </c>
      <c r="B2793">
        <v>25</v>
      </c>
      <c r="C2793" t="s">
        <v>21</v>
      </c>
      <c r="D2793" s="1">
        <v>46053</v>
      </c>
      <c r="E2793">
        <v>3528.4</v>
      </c>
      <c r="F2793">
        <v>208.77</v>
      </c>
      <c r="G2793">
        <v>124.24</v>
      </c>
      <c r="H2793">
        <v>309</v>
      </c>
      <c r="I2793" t="s">
        <v>14</v>
      </c>
      <c r="J2793">
        <v>2026</v>
      </c>
      <c r="K2793">
        <f t="shared" si="86"/>
        <v>84.530000000000015</v>
      </c>
      <c r="L2793" t="str">
        <f t="shared" si="87"/>
        <v>Banca Ligure|25|Assicurazioni</v>
      </c>
    </row>
    <row r="2794" spans="1:12" x14ac:dyDescent="0.25">
      <c r="A2794" t="s">
        <v>33</v>
      </c>
      <c r="B2794">
        <v>26</v>
      </c>
      <c r="C2794" t="s">
        <v>13</v>
      </c>
      <c r="D2794" s="1">
        <v>46081</v>
      </c>
      <c r="E2794">
        <v>988.1</v>
      </c>
      <c r="F2794">
        <v>45.06</v>
      </c>
      <c r="G2794">
        <v>28.22</v>
      </c>
      <c r="H2794">
        <v>83</v>
      </c>
      <c r="I2794" t="s">
        <v>14</v>
      </c>
      <c r="J2794">
        <v>2026</v>
      </c>
      <c r="K2794">
        <f t="shared" si="86"/>
        <v>16.840000000000003</v>
      </c>
      <c r="L2794" t="str">
        <f t="shared" si="87"/>
        <v>Banca Ligure|26|Mutui</v>
      </c>
    </row>
    <row r="2795" spans="1:12" x14ac:dyDescent="0.25">
      <c r="A2795" t="s">
        <v>33</v>
      </c>
      <c r="B2795">
        <v>26</v>
      </c>
      <c r="C2795" t="s">
        <v>15</v>
      </c>
      <c r="D2795" s="1">
        <v>46081</v>
      </c>
      <c r="E2795">
        <v>1353.5</v>
      </c>
      <c r="F2795">
        <v>63.68</v>
      </c>
      <c r="G2795">
        <v>39.56</v>
      </c>
      <c r="H2795">
        <v>117</v>
      </c>
      <c r="I2795" t="s">
        <v>14</v>
      </c>
      <c r="J2795">
        <v>2026</v>
      </c>
      <c r="K2795">
        <f t="shared" si="86"/>
        <v>24.119999999999997</v>
      </c>
      <c r="L2795" t="str">
        <f t="shared" si="87"/>
        <v>Banca Ligure|26|Prestiti</v>
      </c>
    </row>
    <row r="2796" spans="1:12" x14ac:dyDescent="0.25">
      <c r="A2796" t="s">
        <v>33</v>
      </c>
      <c r="B2796">
        <v>26</v>
      </c>
      <c r="C2796" t="s">
        <v>16</v>
      </c>
      <c r="D2796" s="1">
        <v>46081</v>
      </c>
      <c r="E2796">
        <v>1748.4</v>
      </c>
      <c r="F2796">
        <v>86.29</v>
      </c>
      <c r="G2796">
        <v>53.31</v>
      </c>
      <c r="H2796">
        <v>149</v>
      </c>
      <c r="I2796" t="s">
        <v>14</v>
      </c>
      <c r="J2796">
        <v>2026</v>
      </c>
      <c r="K2796">
        <f t="shared" si="86"/>
        <v>32.980000000000004</v>
      </c>
      <c r="L2796" t="str">
        <f t="shared" si="87"/>
        <v>Banca Ligure|26|Conti</v>
      </c>
    </row>
    <row r="2797" spans="1:12" x14ac:dyDescent="0.25">
      <c r="A2797" t="s">
        <v>33</v>
      </c>
      <c r="B2797">
        <v>26</v>
      </c>
      <c r="C2797" t="s">
        <v>17</v>
      </c>
      <c r="D2797" s="1">
        <v>46081</v>
      </c>
      <c r="E2797">
        <v>2090.9</v>
      </c>
      <c r="F2797">
        <v>107.56</v>
      </c>
      <c r="G2797">
        <v>65.2</v>
      </c>
      <c r="H2797">
        <v>190</v>
      </c>
      <c r="I2797" t="s">
        <v>14</v>
      </c>
      <c r="J2797">
        <v>2026</v>
      </c>
      <c r="K2797">
        <f t="shared" si="86"/>
        <v>42.36</v>
      </c>
      <c r="L2797" t="str">
        <f t="shared" si="87"/>
        <v>Banca Ligure|26|Carte</v>
      </c>
    </row>
    <row r="2798" spans="1:12" x14ac:dyDescent="0.25">
      <c r="A2798" t="s">
        <v>33</v>
      </c>
      <c r="B2798">
        <v>26</v>
      </c>
      <c r="C2798" t="s">
        <v>18</v>
      </c>
      <c r="D2798" s="1">
        <v>46081</v>
      </c>
      <c r="E2798">
        <v>2479.6999999999998</v>
      </c>
      <c r="F2798">
        <v>132.22</v>
      </c>
      <c r="G2798">
        <v>80.099999999999994</v>
      </c>
      <c r="H2798">
        <v>220</v>
      </c>
      <c r="I2798" t="s">
        <v>14</v>
      </c>
      <c r="J2798">
        <v>2026</v>
      </c>
      <c r="K2798">
        <f t="shared" si="86"/>
        <v>52.120000000000005</v>
      </c>
      <c r="L2798" t="str">
        <f t="shared" si="87"/>
        <v>Banca Ligure|26|Leasing</v>
      </c>
    </row>
    <row r="2799" spans="1:12" x14ac:dyDescent="0.25">
      <c r="A2799" t="s">
        <v>33</v>
      </c>
      <c r="B2799">
        <v>26</v>
      </c>
      <c r="C2799" t="s">
        <v>19</v>
      </c>
      <c r="D2799" s="1">
        <v>46081</v>
      </c>
      <c r="E2799">
        <v>2805.7</v>
      </c>
      <c r="F2799">
        <v>155.21</v>
      </c>
      <c r="G2799">
        <v>93.15</v>
      </c>
      <c r="H2799">
        <v>235</v>
      </c>
      <c r="I2799" t="s">
        <v>14</v>
      </c>
      <c r="J2799">
        <v>2026</v>
      </c>
      <c r="K2799">
        <f t="shared" si="86"/>
        <v>62.06</v>
      </c>
      <c r="L2799" t="str">
        <f t="shared" si="87"/>
        <v>Banca Ligure|26|Factoring</v>
      </c>
    </row>
    <row r="2800" spans="1:12" x14ac:dyDescent="0.25">
      <c r="A2800" t="s">
        <v>33</v>
      </c>
      <c r="B2800">
        <v>26</v>
      </c>
      <c r="C2800" t="s">
        <v>20</v>
      </c>
      <c r="D2800" s="1">
        <v>46081</v>
      </c>
      <c r="E2800">
        <v>3213.7</v>
      </c>
      <c r="F2800">
        <v>183.73</v>
      </c>
      <c r="G2800">
        <v>110.01</v>
      </c>
      <c r="H2800">
        <v>287</v>
      </c>
      <c r="I2800" t="s">
        <v>14</v>
      </c>
      <c r="J2800">
        <v>2026</v>
      </c>
      <c r="K2800">
        <f t="shared" si="86"/>
        <v>73.719999999999985</v>
      </c>
      <c r="L2800" t="str">
        <f t="shared" si="87"/>
        <v>Banca Ligure|26|Risparmio</v>
      </c>
    </row>
    <row r="2801" spans="1:12" x14ac:dyDescent="0.25">
      <c r="A2801" t="s">
        <v>33</v>
      </c>
      <c r="B2801">
        <v>26</v>
      </c>
      <c r="C2801" t="s">
        <v>21</v>
      </c>
      <c r="D2801" s="1">
        <v>46081</v>
      </c>
      <c r="E2801">
        <v>3549.6</v>
      </c>
      <c r="F2801">
        <v>209.51</v>
      </c>
      <c r="G2801">
        <v>124.24</v>
      </c>
      <c r="H2801">
        <v>305</v>
      </c>
      <c r="I2801" t="s">
        <v>14</v>
      </c>
      <c r="J2801">
        <v>2026</v>
      </c>
      <c r="K2801">
        <f t="shared" si="86"/>
        <v>85.27</v>
      </c>
      <c r="L2801" t="str">
        <f t="shared" si="87"/>
        <v>Banca Ligure|26|Assicurazioni</v>
      </c>
    </row>
    <row r="2802" spans="1:12" x14ac:dyDescent="0.25">
      <c r="A2802" t="s">
        <v>33</v>
      </c>
      <c r="B2802">
        <v>27</v>
      </c>
      <c r="C2802" t="s">
        <v>13</v>
      </c>
      <c r="D2802" s="1">
        <v>46112</v>
      </c>
      <c r="E2802">
        <v>1012.3</v>
      </c>
      <c r="F2802">
        <v>46.39</v>
      </c>
      <c r="G2802">
        <v>29.03</v>
      </c>
      <c r="H2802">
        <v>81</v>
      </c>
      <c r="I2802" t="s">
        <v>14</v>
      </c>
      <c r="J2802">
        <v>2026</v>
      </c>
      <c r="K2802">
        <f t="shared" si="86"/>
        <v>17.36</v>
      </c>
      <c r="L2802" t="str">
        <f t="shared" si="87"/>
        <v>Banca Ligure|27|Mutui</v>
      </c>
    </row>
    <row r="2803" spans="1:12" x14ac:dyDescent="0.25">
      <c r="A2803" t="s">
        <v>33</v>
      </c>
      <c r="B2803">
        <v>27</v>
      </c>
      <c r="C2803" t="s">
        <v>15</v>
      </c>
      <c r="D2803" s="1">
        <v>46112</v>
      </c>
      <c r="E2803">
        <v>1353.9</v>
      </c>
      <c r="F2803">
        <v>63.76</v>
      </c>
      <c r="G2803">
        <v>40.01</v>
      </c>
      <c r="H2803">
        <v>135</v>
      </c>
      <c r="I2803" t="s">
        <v>14</v>
      </c>
      <c r="J2803">
        <v>2026</v>
      </c>
      <c r="K2803">
        <f t="shared" si="86"/>
        <v>23.75</v>
      </c>
      <c r="L2803" t="str">
        <f t="shared" si="87"/>
        <v>Banca Ligure|27|Prestiti</v>
      </c>
    </row>
    <row r="2804" spans="1:12" x14ac:dyDescent="0.25">
      <c r="A2804" t="s">
        <v>33</v>
      </c>
      <c r="B2804">
        <v>27</v>
      </c>
      <c r="C2804" t="s">
        <v>16</v>
      </c>
      <c r="D2804" s="1">
        <v>46112</v>
      </c>
      <c r="E2804">
        <v>1755.6</v>
      </c>
      <c r="F2804">
        <v>86.23</v>
      </c>
      <c r="G2804">
        <v>52.97</v>
      </c>
      <c r="H2804">
        <v>161</v>
      </c>
      <c r="I2804" t="s">
        <v>14</v>
      </c>
      <c r="J2804">
        <v>2026</v>
      </c>
      <c r="K2804">
        <f t="shared" si="86"/>
        <v>33.260000000000005</v>
      </c>
      <c r="L2804" t="str">
        <f t="shared" si="87"/>
        <v>Banca Ligure|27|Conti</v>
      </c>
    </row>
    <row r="2805" spans="1:12" x14ac:dyDescent="0.25">
      <c r="A2805" t="s">
        <v>33</v>
      </c>
      <c r="B2805">
        <v>27</v>
      </c>
      <c r="C2805" t="s">
        <v>17</v>
      </c>
      <c r="D2805" s="1">
        <v>46112</v>
      </c>
      <c r="E2805">
        <v>2118.3000000000002</v>
      </c>
      <c r="F2805">
        <v>108.88</v>
      </c>
      <c r="G2805">
        <v>65.78</v>
      </c>
      <c r="H2805">
        <v>208</v>
      </c>
      <c r="I2805" t="s">
        <v>14</v>
      </c>
      <c r="J2805">
        <v>2026</v>
      </c>
      <c r="K2805">
        <f t="shared" si="86"/>
        <v>43.099999999999994</v>
      </c>
      <c r="L2805" t="str">
        <f t="shared" si="87"/>
        <v>Banca Ligure|27|Carte</v>
      </c>
    </row>
    <row r="2806" spans="1:12" x14ac:dyDescent="0.25">
      <c r="A2806" t="s">
        <v>33</v>
      </c>
      <c r="B2806">
        <v>27</v>
      </c>
      <c r="C2806" t="s">
        <v>18</v>
      </c>
      <c r="D2806" s="1">
        <v>46112</v>
      </c>
      <c r="E2806">
        <v>2451</v>
      </c>
      <c r="F2806">
        <v>130.41</v>
      </c>
      <c r="G2806">
        <v>78.7</v>
      </c>
      <c r="H2806">
        <v>214</v>
      </c>
      <c r="I2806" t="s">
        <v>14</v>
      </c>
      <c r="J2806">
        <v>2026</v>
      </c>
      <c r="K2806">
        <f t="shared" si="86"/>
        <v>51.709999999999994</v>
      </c>
      <c r="L2806" t="str">
        <f t="shared" si="87"/>
        <v>Banca Ligure|27|Leasing</v>
      </c>
    </row>
    <row r="2807" spans="1:12" x14ac:dyDescent="0.25">
      <c r="A2807" t="s">
        <v>33</v>
      </c>
      <c r="B2807">
        <v>27</v>
      </c>
      <c r="C2807" t="s">
        <v>19</v>
      </c>
      <c r="D2807" s="1">
        <v>46112</v>
      </c>
      <c r="E2807">
        <v>2866.7</v>
      </c>
      <c r="F2807">
        <v>158.54</v>
      </c>
      <c r="G2807">
        <v>94.88</v>
      </c>
      <c r="H2807">
        <v>268</v>
      </c>
      <c r="I2807" t="s">
        <v>14</v>
      </c>
      <c r="J2807">
        <v>2026</v>
      </c>
      <c r="K2807">
        <f t="shared" si="86"/>
        <v>63.66</v>
      </c>
      <c r="L2807" t="str">
        <f t="shared" si="87"/>
        <v>Banca Ligure|27|Factoring</v>
      </c>
    </row>
    <row r="2808" spans="1:12" x14ac:dyDescent="0.25">
      <c r="A2808" t="s">
        <v>33</v>
      </c>
      <c r="B2808">
        <v>27</v>
      </c>
      <c r="C2808" t="s">
        <v>20</v>
      </c>
      <c r="D2808" s="1">
        <v>46112</v>
      </c>
      <c r="E2808">
        <v>3239.1</v>
      </c>
      <c r="F2808">
        <v>185.55</v>
      </c>
      <c r="G2808">
        <v>110.25</v>
      </c>
      <c r="H2808">
        <v>286</v>
      </c>
      <c r="I2808" t="s">
        <v>14</v>
      </c>
      <c r="J2808">
        <v>2026</v>
      </c>
      <c r="K2808">
        <f t="shared" si="86"/>
        <v>75.300000000000011</v>
      </c>
      <c r="L2808" t="str">
        <f t="shared" si="87"/>
        <v>Banca Ligure|27|Risparmio</v>
      </c>
    </row>
    <row r="2809" spans="1:12" x14ac:dyDescent="0.25">
      <c r="A2809" t="s">
        <v>33</v>
      </c>
      <c r="B2809">
        <v>27</v>
      </c>
      <c r="C2809" t="s">
        <v>21</v>
      </c>
      <c r="D2809" s="1">
        <v>46112</v>
      </c>
      <c r="E2809">
        <v>3580.6</v>
      </c>
      <c r="F2809">
        <v>211.36</v>
      </c>
      <c r="G2809">
        <v>126.06</v>
      </c>
      <c r="H2809">
        <v>296</v>
      </c>
      <c r="I2809" t="s">
        <v>14</v>
      </c>
      <c r="J2809">
        <v>2026</v>
      </c>
      <c r="K2809">
        <f t="shared" si="86"/>
        <v>85.300000000000011</v>
      </c>
      <c r="L2809" t="str">
        <f t="shared" si="87"/>
        <v>Banca Ligure|27|Assicurazioni</v>
      </c>
    </row>
    <row r="2810" spans="1:12" x14ac:dyDescent="0.25">
      <c r="A2810" t="s">
        <v>33</v>
      </c>
      <c r="B2810">
        <v>28</v>
      </c>
      <c r="C2810" t="s">
        <v>13</v>
      </c>
      <c r="D2810" s="1">
        <v>46142</v>
      </c>
      <c r="E2810">
        <v>1020.6</v>
      </c>
      <c r="F2810">
        <v>46.08</v>
      </c>
      <c r="G2810">
        <v>29.56</v>
      </c>
      <c r="H2810">
        <v>85</v>
      </c>
      <c r="I2810" t="s">
        <v>14</v>
      </c>
      <c r="J2810">
        <v>2026</v>
      </c>
      <c r="K2810">
        <f t="shared" si="86"/>
        <v>16.52</v>
      </c>
      <c r="L2810" t="str">
        <f t="shared" si="87"/>
        <v>Banca Ligure|28|Mutui</v>
      </c>
    </row>
    <row r="2811" spans="1:12" x14ac:dyDescent="0.25">
      <c r="A2811" t="s">
        <v>33</v>
      </c>
      <c r="B2811">
        <v>28</v>
      </c>
      <c r="C2811" t="s">
        <v>15</v>
      </c>
      <c r="D2811" s="1">
        <v>46142</v>
      </c>
      <c r="E2811">
        <v>1384.5</v>
      </c>
      <c r="F2811">
        <v>65.31</v>
      </c>
      <c r="G2811">
        <v>40.42</v>
      </c>
      <c r="H2811">
        <v>144</v>
      </c>
      <c r="I2811" t="s">
        <v>14</v>
      </c>
      <c r="J2811">
        <v>2026</v>
      </c>
      <c r="K2811">
        <f t="shared" si="86"/>
        <v>24.89</v>
      </c>
      <c r="L2811" t="str">
        <f t="shared" si="87"/>
        <v>Banca Ligure|28|Prestiti</v>
      </c>
    </row>
    <row r="2812" spans="1:12" x14ac:dyDescent="0.25">
      <c r="A2812" t="s">
        <v>33</v>
      </c>
      <c r="B2812">
        <v>28</v>
      </c>
      <c r="C2812" t="s">
        <v>16</v>
      </c>
      <c r="D2812" s="1">
        <v>46142</v>
      </c>
      <c r="E2812">
        <v>1733.7</v>
      </c>
      <c r="F2812">
        <v>85.92</v>
      </c>
      <c r="G2812">
        <v>52.14</v>
      </c>
      <c r="H2812">
        <v>147</v>
      </c>
      <c r="I2812" t="s">
        <v>14</v>
      </c>
      <c r="J2812">
        <v>2026</v>
      </c>
      <c r="K2812">
        <f t="shared" si="86"/>
        <v>33.78</v>
      </c>
      <c r="L2812" t="str">
        <f t="shared" si="87"/>
        <v>Banca Ligure|28|Conti</v>
      </c>
    </row>
    <row r="2813" spans="1:12" x14ac:dyDescent="0.25">
      <c r="A2813" t="s">
        <v>33</v>
      </c>
      <c r="B2813">
        <v>28</v>
      </c>
      <c r="C2813" t="s">
        <v>17</v>
      </c>
      <c r="D2813" s="1">
        <v>46142</v>
      </c>
      <c r="E2813">
        <v>2086.1</v>
      </c>
      <c r="F2813">
        <v>106.95</v>
      </c>
      <c r="G2813">
        <v>65.069999999999993</v>
      </c>
      <c r="H2813">
        <v>177</v>
      </c>
      <c r="I2813" t="s">
        <v>14</v>
      </c>
      <c r="J2813">
        <v>2026</v>
      </c>
      <c r="K2813">
        <f t="shared" si="86"/>
        <v>41.88000000000001</v>
      </c>
      <c r="L2813" t="str">
        <f t="shared" si="87"/>
        <v>Banca Ligure|28|Carte</v>
      </c>
    </row>
    <row r="2814" spans="1:12" x14ac:dyDescent="0.25">
      <c r="A2814" t="s">
        <v>33</v>
      </c>
      <c r="B2814">
        <v>28</v>
      </c>
      <c r="C2814" t="s">
        <v>18</v>
      </c>
      <c r="D2814" s="1">
        <v>46142</v>
      </c>
      <c r="E2814">
        <v>2497.8000000000002</v>
      </c>
      <c r="F2814">
        <v>133.22999999999999</v>
      </c>
      <c r="G2814">
        <v>80.8</v>
      </c>
      <c r="H2814">
        <v>229</v>
      </c>
      <c r="I2814" t="s">
        <v>14</v>
      </c>
      <c r="J2814">
        <v>2026</v>
      </c>
      <c r="K2814">
        <f t="shared" si="86"/>
        <v>52.429999999999993</v>
      </c>
      <c r="L2814" t="str">
        <f t="shared" si="87"/>
        <v>Banca Ligure|28|Leasing</v>
      </c>
    </row>
    <row r="2815" spans="1:12" x14ac:dyDescent="0.25">
      <c r="A2815" t="s">
        <v>33</v>
      </c>
      <c r="B2815">
        <v>28</v>
      </c>
      <c r="C2815" t="s">
        <v>19</v>
      </c>
      <c r="D2815" s="1">
        <v>46142</v>
      </c>
      <c r="E2815">
        <v>2865.8</v>
      </c>
      <c r="F2815">
        <v>157.69999999999999</v>
      </c>
      <c r="G2815">
        <v>95.32</v>
      </c>
      <c r="H2815">
        <v>236</v>
      </c>
      <c r="I2815" t="s">
        <v>14</v>
      </c>
      <c r="J2815">
        <v>2026</v>
      </c>
      <c r="K2815">
        <f t="shared" si="86"/>
        <v>62.379999999999995</v>
      </c>
      <c r="L2815" t="str">
        <f t="shared" si="87"/>
        <v>Banca Ligure|28|Factoring</v>
      </c>
    </row>
    <row r="2816" spans="1:12" x14ac:dyDescent="0.25">
      <c r="A2816" t="s">
        <v>33</v>
      </c>
      <c r="B2816">
        <v>28</v>
      </c>
      <c r="C2816" t="s">
        <v>20</v>
      </c>
      <c r="D2816" s="1">
        <v>46142</v>
      </c>
      <c r="E2816">
        <v>3252.8</v>
      </c>
      <c r="F2816">
        <v>185.52</v>
      </c>
      <c r="G2816">
        <v>110.67</v>
      </c>
      <c r="H2816">
        <v>302</v>
      </c>
      <c r="I2816" t="s">
        <v>14</v>
      </c>
      <c r="J2816">
        <v>2026</v>
      </c>
      <c r="K2816">
        <f t="shared" si="86"/>
        <v>74.850000000000009</v>
      </c>
      <c r="L2816" t="str">
        <f t="shared" si="87"/>
        <v>Banca Ligure|28|Risparmio</v>
      </c>
    </row>
    <row r="2817" spans="1:12" x14ac:dyDescent="0.25">
      <c r="A2817" t="s">
        <v>33</v>
      </c>
      <c r="B2817">
        <v>28</v>
      </c>
      <c r="C2817" t="s">
        <v>21</v>
      </c>
      <c r="D2817" s="1">
        <v>46142</v>
      </c>
      <c r="E2817">
        <v>3629.9</v>
      </c>
      <c r="F2817">
        <v>214.69</v>
      </c>
      <c r="G2817">
        <v>127.2</v>
      </c>
      <c r="H2817">
        <v>315</v>
      </c>
      <c r="I2817" t="s">
        <v>14</v>
      </c>
      <c r="J2817">
        <v>2026</v>
      </c>
      <c r="K2817">
        <f t="shared" si="86"/>
        <v>87.49</v>
      </c>
      <c r="L2817" t="str">
        <f t="shared" si="87"/>
        <v>Banca Ligure|28|Assicurazioni</v>
      </c>
    </row>
    <row r="2818" spans="1:12" x14ac:dyDescent="0.25">
      <c r="A2818" t="s">
        <v>33</v>
      </c>
      <c r="B2818">
        <v>29</v>
      </c>
      <c r="C2818" t="s">
        <v>13</v>
      </c>
      <c r="D2818" s="1">
        <v>46173</v>
      </c>
      <c r="E2818">
        <v>1031.4000000000001</v>
      </c>
      <c r="F2818">
        <v>47.01</v>
      </c>
      <c r="G2818">
        <v>29.34</v>
      </c>
      <c r="H2818">
        <v>101</v>
      </c>
      <c r="I2818" t="s">
        <v>14</v>
      </c>
      <c r="J2818">
        <v>2026</v>
      </c>
      <c r="K2818">
        <f t="shared" ref="K2818:K2881" si="88">F2818-G2818</f>
        <v>17.669999999999998</v>
      </c>
      <c r="L2818" t="str">
        <f t="shared" ref="L2818:L2881" si="89">A2818&amp;"|"&amp;B2818&amp;"|"&amp;C2818</f>
        <v>Banca Ligure|29|Mutui</v>
      </c>
    </row>
    <row r="2819" spans="1:12" x14ac:dyDescent="0.25">
      <c r="A2819" t="s">
        <v>33</v>
      </c>
      <c r="B2819">
        <v>29</v>
      </c>
      <c r="C2819" t="s">
        <v>15</v>
      </c>
      <c r="D2819" s="1">
        <v>46173</v>
      </c>
      <c r="E2819">
        <v>1355.9</v>
      </c>
      <c r="F2819">
        <v>64.52</v>
      </c>
      <c r="G2819">
        <v>40.32</v>
      </c>
      <c r="H2819">
        <v>133</v>
      </c>
      <c r="I2819" t="s">
        <v>14</v>
      </c>
      <c r="J2819">
        <v>2026</v>
      </c>
      <c r="K2819">
        <f t="shared" si="88"/>
        <v>24.199999999999996</v>
      </c>
      <c r="L2819" t="str">
        <f t="shared" si="89"/>
        <v>Banca Ligure|29|Prestiti</v>
      </c>
    </row>
    <row r="2820" spans="1:12" x14ac:dyDescent="0.25">
      <c r="A2820" t="s">
        <v>33</v>
      </c>
      <c r="B2820">
        <v>29</v>
      </c>
      <c r="C2820" t="s">
        <v>16</v>
      </c>
      <c r="D2820" s="1">
        <v>46173</v>
      </c>
      <c r="E2820">
        <v>1751.7</v>
      </c>
      <c r="F2820">
        <v>86.54</v>
      </c>
      <c r="G2820">
        <v>53.16</v>
      </c>
      <c r="H2820">
        <v>157</v>
      </c>
      <c r="I2820" t="s">
        <v>14</v>
      </c>
      <c r="J2820">
        <v>2026</v>
      </c>
      <c r="K2820">
        <f t="shared" si="88"/>
        <v>33.38000000000001</v>
      </c>
      <c r="L2820" t="str">
        <f t="shared" si="89"/>
        <v>Banca Ligure|29|Conti</v>
      </c>
    </row>
    <row r="2821" spans="1:12" x14ac:dyDescent="0.25">
      <c r="A2821" t="s">
        <v>33</v>
      </c>
      <c r="B2821">
        <v>29</v>
      </c>
      <c r="C2821" t="s">
        <v>17</v>
      </c>
      <c r="D2821" s="1">
        <v>46173</v>
      </c>
      <c r="E2821">
        <v>2130.4</v>
      </c>
      <c r="F2821">
        <v>108.94</v>
      </c>
      <c r="G2821">
        <v>66.37</v>
      </c>
      <c r="H2821">
        <v>194</v>
      </c>
      <c r="I2821" t="s">
        <v>14</v>
      </c>
      <c r="J2821">
        <v>2026</v>
      </c>
      <c r="K2821">
        <f t="shared" si="88"/>
        <v>42.569999999999993</v>
      </c>
      <c r="L2821" t="str">
        <f t="shared" si="89"/>
        <v>Banca Ligure|29|Carte</v>
      </c>
    </row>
    <row r="2822" spans="1:12" x14ac:dyDescent="0.25">
      <c r="A2822" t="s">
        <v>33</v>
      </c>
      <c r="B2822">
        <v>29</v>
      </c>
      <c r="C2822" t="s">
        <v>18</v>
      </c>
      <c r="D2822" s="1">
        <v>46173</v>
      </c>
      <c r="E2822">
        <v>2510.5</v>
      </c>
      <c r="F2822">
        <v>133.54</v>
      </c>
      <c r="G2822">
        <v>80.55</v>
      </c>
      <c r="H2822">
        <v>203</v>
      </c>
      <c r="I2822" t="s">
        <v>14</v>
      </c>
      <c r="J2822">
        <v>2026</v>
      </c>
      <c r="K2822">
        <f t="shared" si="88"/>
        <v>52.989999999999995</v>
      </c>
      <c r="L2822" t="str">
        <f t="shared" si="89"/>
        <v>Banca Ligure|29|Leasing</v>
      </c>
    </row>
    <row r="2823" spans="1:12" x14ac:dyDescent="0.25">
      <c r="A2823" t="s">
        <v>33</v>
      </c>
      <c r="B2823">
        <v>29</v>
      </c>
      <c r="C2823" t="s">
        <v>19</v>
      </c>
      <c r="D2823" s="1">
        <v>46173</v>
      </c>
      <c r="E2823">
        <v>2880</v>
      </c>
      <c r="F2823">
        <v>159.30000000000001</v>
      </c>
      <c r="G2823">
        <v>95.21</v>
      </c>
      <c r="H2823">
        <v>245</v>
      </c>
      <c r="I2823" t="s">
        <v>14</v>
      </c>
      <c r="J2823">
        <v>2026</v>
      </c>
      <c r="K2823">
        <f t="shared" si="88"/>
        <v>64.090000000000018</v>
      </c>
      <c r="L2823" t="str">
        <f t="shared" si="89"/>
        <v>Banca Ligure|29|Factoring</v>
      </c>
    </row>
    <row r="2824" spans="1:12" x14ac:dyDescent="0.25">
      <c r="A2824" t="s">
        <v>33</v>
      </c>
      <c r="B2824">
        <v>29</v>
      </c>
      <c r="C2824" t="s">
        <v>20</v>
      </c>
      <c r="D2824" s="1">
        <v>46173</v>
      </c>
      <c r="E2824">
        <v>3243.5</v>
      </c>
      <c r="F2824">
        <v>185.28</v>
      </c>
      <c r="G2824">
        <v>111.16</v>
      </c>
      <c r="H2824">
        <v>269</v>
      </c>
      <c r="I2824" t="s">
        <v>14</v>
      </c>
      <c r="J2824">
        <v>2026</v>
      </c>
      <c r="K2824">
        <f t="shared" si="88"/>
        <v>74.12</v>
      </c>
      <c r="L2824" t="str">
        <f t="shared" si="89"/>
        <v>Banca Ligure|29|Risparmio</v>
      </c>
    </row>
    <row r="2825" spans="1:12" x14ac:dyDescent="0.25">
      <c r="A2825" t="s">
        <v>33</v>
      </c>
      <c r="B2825">
        <v>29</v>
      </c>
      <c r="C2825" t="s">
        <v>21</v>
      </c>
      <c r="D2825" s="1">
        <v>46173</v>
      </c>
      <c r="E2825">
        <v>3610.5</v>
      </c>
      <c r="F2825">
        <v>213.4</v>
      </c>
      <c r="G2825">
        <v>126.72</v>
      </c>
      <c r="H2825">
        <v>315</v>
      </c>
      <c r="I2825" t="s">
        <v>14</v>
      </c>
      <c r="J2825">
        <v>2026</v>
      </c>
      <c r="K2825">
        <f t="shared" si="88"/>
        <v>86.68</v>
      </c>
      <c r="L2825" t="str">
        <f t="shared" si="89"/>
        <v>Banca Ligure|29|Assicurazioni</v>
      </c>
    </row>
    <row r="2826" spans="1:12" x14ac:dyDescent="0.25">
      <c r="A2826" t="s">
        <v>33</v>
      </c>
      <c r="B2826">
        <v>30</v>
      </c>
      <c r="C2826" t="s">
        <v>13</v>
      </c>
      <c r="D2826" s="1">
        <v>46203</v>
      </c>
      <c r="E2826">
        <v>990.7</v>
      </c>
      <c r="F2826">
        <v>44.67</v>
      </c>
      <c r="G2826">
        <v>27.94</v>
      </c>
      <c r="H2826">
        <v>104</v>
      </c>
      <c r="I2826" t="s">
        <v>14</v>
      </c>
      <c r="J2826">
        <v>2026</v>
      </c>
      <c r="K2826">
        <f t="shared" si="88"/>
        <v>16.73</v>
      </c>
      <c r="L2826" t="str">
        <f t="shared" si="89"/>
        <v>Banca Ligure|30|Mutui</v>
      </c>
    </row>
    <row r="2827" spans="1:12" x14ac:dyDescent="0.25">
      <c r="A2827" t="s">
        <v>33</v>
      </c>
      <c r="B2827">
        <v>30</v>
      </c>
      <c r="C2827" t="s">
        <v>15</v>
      </c>
      <c r="D2827" s="1">
        <v>46203</v>
      </c>
      <c r="E2827">
        <v>1378.7</v>
      </c>
      <c r="F2827">
        <v>65.290000000000006</v>
      </c>
      <c r="G2827">
        <v>40.659999999999997</v>
      </c>
      <c r="H2827">
        <v>129</v>
      </c>
      <c r="I2827" t="s">
        <v>14</v>
      </c>
      <c r="J2827">
        <v>2026</v>
      </c>
      <c r="K2827">
        <f t="shared" si="88"/>
        <v>24.63000000000001</v>
      </c>
      <c r="L2827" t="str">
        <f t="shared" si="89"/>
        <v>Banca Ligure|30|Prestiti</v>
      </c>
    </row>
    <row r="2828" spans="1:12" x14ac:dyDescent="0.25">
      <c r="A2828" t="s">
        <v>33</v>
      </c>
      <c r="B2828">
        <v>30</v>
      </c>
      <c r="C2828" t="s">
        <v>16</v>
      </c>
      <c r="D2828" s="1">
        <v>46203</v>
      </c>
      <c r="E2828">
        <v>1759.1</v>
      </c>
      <c r="F2828">
        <v>86.39</v>
      </c>
      <c r="G2828">
        <v>53.4</v>
      </c>
      <c r="H2828">
        <v>179</v>
      </c>
      <c r="I2828" t="s">
        <v>14</v>
      </c>
      <c r="J2828">
        <v>2026</v>
      </c>
      <c r="K2828">
        <f t="shared" si="88"/>
        <v>32.99</v>
      </c>
      <c r="L2828" t="str">
        <f t="shared" si="89"/>
        <v>Banca Ligure|30|Conti</v>
      </c>
    </row>
    <row r="2829" spans="1:12" x14ac:dyDescent="0.25">
      <c r="A2829" t="s">
        <v>33</v>
      </c>
      <c r="B2829">
        <v>30</v>
      </c>
      <c r="C2829" t="s">
        <v>17</v>
      </c>
      <c r="D2829" s="1">
        <v>46203</v>
      </c>
      <c r="E2829">
        <v>2121.8000000000002</v>
      </c>
      <c r="F2829">
        <v>108.6</v>
      </c>
      <c r="G2829">
        <v>66.22</v>
      </c>
      <c r="H2829">
        <v>173</v>
      </c>
      <c r="I2829" t="s">
        <v>14</v>
      </c>
      <c r="J2829">
        <v>2026</v>
      </c>
      <c r="K2829">
        <f t="shared" si="88"/>
        <v>42.379999999999995</v>
      </c>
      <c r="L2829" t="str">
        <f t="shared" si="89"/>
        <v>Banca Ligure|30|Carte</v>
      </c>
    </row>
    <row r="2830" spans="1:12" x14ac:dyDescent="0.25">
      <c r="A2830" t="s">
        <v>33</v>
      </c>
      <c r="B2830">
        <v>30</v>
      </c>
      <c r="C2830" t="s">
        <v>18</v>
      </c>
      <c r="D2830" s="1">
        <v>46203</v>
      </c>
      <c r="E2830">
        <v>2518.4</v>
      </c>
      <c r="F2830">
        <v>134.1</v>
      </c>
      <c r="G2830">
        <v>81.31</v>
      </c>
      <c r="H2830">
        <v>213</v>
      </c>
      <c r="I2830" t="s">
        <v>14</v>
      </c>
      <c r="J2830">
        <v>2026</v>
      </c>
      <c r="K2830">
        <f t="shared" si="88"/>
        <v>52.789999999999992</v>
      </c>
      <c r="L2830" t="str">
        <f t="shared" si="89"/>
        <v>Banca Ligure|30|Leasing</v>
      </c>
    </row>
    <row r="2831" spans="1:12" x14ac:dyDescent="0.25">
      <c r="A2831" t="s">
        <v>33</v>
      </c>
      <c r="B2831">
        <v>30</v>
      </c>
      <c r="C2831" t="s">
        <v>19</v>
      </c>
      <c r="D2831" s="1">
        <v>46203</v>
      </c>
      <c r="E2831">
        <v>2871.1</v>
      </c>
      <c r="F2831">
        <v>158.72999999999999</v>
      </c>
      <c r="G2831">
        <v>95.22</v>
      </c>
      <c r="H2831">
        <v>243</v>
      </c>
      <c r="I2831" t="s">
        <v>14</v>
      </c>
      <c r="J2831">
        <v>2026</v>
      </c>
      <c r="K2831">
        <f t="shared" si="88"/>
        <v>63.509999999999991</v>
      </c>
      <c r="L2831" t="str">
        <f t="shared" si="89"/>
        <v>Banca Ligure|30|Factoring</v>
      </c>
    </row>
    <row r="2832" spans="1:12" x14ac:dyDescent="0.25">
      <c r="A2832" t="s">
        <v>33</v>
      </c>
      <c r="B2832">
        <v>30</v>
      </c>
      <c r="C2832" t="s">
        <v>20</v>
      </c>
      <c r="D2832" s="1">
        <v>46203</v>
      </c>
      <c r="E2832">
        <v>3290.3</v>
      </c>
      <c r="F2832">
        <v>188.48</v>
      </c>
      <c r="G2832">
        <v>112.69</v>
      </c>
      <c r="H2832">
        <v>276</v>
      </c>
      <c r="I2832" t="s">
        <v>14</v>
      </c>
      <c r="J2832">
        <v>2026</v>
      </c>
      <c r="K2832">
        <f t="shared" si="88"/>
        <v>75.789999999999992</v>
      </c>
      <c r="L2832" t="str">
        <f t="shared" si="89"/>
        <v>Banca Ligure|30|Risparmio</v>
      </c>
    </row>
    <row r="2833" spans="1:12" x14ac:dyDescent="0.25">
      <c r="A2833" t="s">
        <v>33</v>
      </c>
      <c r="B2833">
        <v>30</v>
      </c>
      <c r="C2833" t="s">
        <v>21</v>
      </c>
      <c r="D2833" s="1">
        <v>46203</v>
      </c>
      <c r="E2833">
        <v>3638.1</v>
      </c>
      <c r="F2833">
        <v>214.93</v>
      </c>
      <c r="G2833">
        <v>127.97</v>
      </c>
      <c r="H2833">
        <v>320</v>
      </c>
      <c r="I2833" t="s">
        <v>14</v>
      </c>
      <c r="J2833">
        <v>2026</v>
      </c>
      <c r="K2833">
        <f t="shared" si="88"/>
        <v>86.960000000000008</v>
      </c>
      <c r="L2833" t="str">
        <f t="shared" si="89"/>
        <v>Banca Ligure|30|Assicurazioni</v>
      </c>
    </row>
    <row r="2834" spans="1:12" x14ac:dyDescent="0.25">
      <c r="A2834" t="s">
        <v>33</v>
      </c>
      <c r="B2834">
        <v>31</v>
      </c>
      <c r="C2834" t="s">
        <v>13</v>
      </c>
      <c r="D2834" s="1">
        <v>46234</v>
      </c>
      <c r="E2834">
        <v>1005.1</v>
      </c>
      <c r="F2834">
        <v>45.44</v>
      </c>
      <c r="G2834">
        <v>28.88</v>
      </c>
      <c r="H2834">
        <v>115</v>
      </c>
      <c r="I2834" t="s">
        <v>14</v>
      </c>
      <c r="J2834">
        <v>2026</v>
      </c>
      <c r="K2834">
        <f t="shared" si="88"/>
        <v>16.559999999999999</v>
      </c>
      <c r="L2834" t="str">
        <f t="shared" si="89"/>
        <v>Banca Ligure|31|Mutui</v>
      </c>
    </row>
    <row r="2835" spans="1:12" x14ac:dyDescent="0.25">
      <c r="A2835" t="s">
        <v>33</v>
      </c>
      <c r="B2835">
        <v>31</v>
      </c>
      <c r="C2835" t="s">
        <v>15</v>
      </c>
      <c r="D2835" s="1">
        <v>46234</v>
      </c>
      <c r="E2835">
        <v>1415.7</v>
      </c>
      <c r="F2835">
        <v>67.31</v>
      </c>
      <c r="G2835">
        <v>42.01</v>
      </c>
      <c r="H2835">
        <v>151</v>
      </c>
      <c r="I2835" t="s">
        <v>14</v>
      </c>
      <c r="J2835">
        <v>2026</v>
      </c>
      <c r="K2835">
        <f t="shared" si="88"/>
        <v>25.300000000000004</v>
      </c>
      <c r="L2835" t="str">
        <f t="shared" si="89"/>
        <v>Banca Ligure|31|Prestiti</v>
      </c>
    </row>
    <row r="2836" spans="1:12" x14ac:dyDescent="0.25">
      <c r="A2836" t="s">
        <v>33</v>
      </c>
      <c r="B2836">
        <v>31</v>
      </c>
      <c r="C2836" t="s">
        <v>16</v>
      </c>
      <c r="D2836" s="1">
        <v>46234</v>
      </c>
      <c r="E2836">
        <v>1752.4</v>
      </c>
      <c r="F2836">
        <v>86.8</v>
      </c>
      <c r="G2836">
        <v>52.9</v>
      </c>
      <c r="H2836">
        <v>143</v>
      </c>
      <c r="I2836" t="s">
        <v>14</v>
      </c>
      <c r="J2836">
        <v>2026</v>
      </c>
      <c r="K2836">
        <f t="shared" si="88"/>
        <v>33.9</v>
      </c>
      <c r="L2836" t="str">
        <f t="shared" si="89"/>
        <v>Banca Ligure|31|Conti</v>
      </c>
    </row>
    <row r="2837" spans="1:12" x14ac:dyDescent="0.25">
      <c r="A2837" t="s">
        <v>33</v>
      </c>
      <c r="B2837">
        <v>31</v>
      </c>
      <c r="C2837" t="s">
        <v>17</v>
      </c>
      <c r="D2837" s="1">
        <v>46234</v>
      </c>
      <c r="E2837">
        <v>2170.4</v>
      </c>
      <c r="F2837">
        <v>111.05</v>
      </c>
      <c r="G2837">
        <v>68.22</v>
      </c>
      <c r="H2837">
        <v>194</v>
      </c>
      <c r="I2837" t="s">
        <v>14</v>
      </c>
      <c r="J2837">
        <v>2026</v>
      </c>
      <c r="K2837">
        <f t="shared" si="88"/>
        <v>42.83</v>
      </c>
      <c r="L2837" t="str">
        <f t="shared" si="89"/>
        <v>Banca Ligure|31|Carte</v>
      </c>
    </row>
    <row r="2838" spans="1:12" x14ac:dyDescent="0.25">
      <c r="A2838" t="s">
        <v>33</v>
      </c>
      <c r="B2838">
        <v>31</v>
      </c>
      <c r="C2838" t="s">
        <v>18</v>
      </c>
      <c r="D2838" s="1">
        <v>46234</v>
      </c>
      <c r="E2838">
        <v>2528.5</v>
      </c>
      <c r="F2838">
        <v>134.04</v>
      </c>
      <c r="G2838">
        <v>81.349999999999994</v>
      </c>
      <c r="H2838">
        <v>231</v>
      </c>
      <c r="I2838" t="s">
        <v>14</v>
      </c>
      <c r="J2838">
        <v>2026</v>
      </c>
      <c r="K2838">
        <f t="shared" si="88"/>
        <v>52.69</v>
      </c>
      <c r="L2838" t="str">
        <f t="shared" si="89"/>
        <v>Banca Ligure|31|Leasing</v>
      </c>
    </row>
    <row r="2839" spans="1:12" x14ac:dyDescent="0.25">
      <c r="A2839" t="s">
        <v>33</v>
      </c>
      <c r="B2839">
        <v>31</v>
      </c>
      <c r="C2839" t="s">
        <v>19</v>
      </c>
      <c r="D2839" s="1">
        <v>46234</v>
      </c>
      <c r="E2839">
        <v>2909.3</v>
      </c>
      <c r="F2839">
        <v>160.38999999999999</v>
      </c>
      <c r="G2839">
        <v>96.31</v>
      </c>
      <c r="H2839">
        <v>262</v>
      </c>
      <c r="I2839" t="s">
        <v>14</v>
      </c>
      <c r="J2839">
        <v>2026</v>
      </c>
      <c r="K2839">
        <f t="shared" si="88"/>
        <v>64.079999999999984</v>
      </c>
      <c r="L2839" t="str">
        <f t="shared" si="89"/>
        <v>Banca Ligure|31|Factoring</v>
      </c>
    </row>
    <row r="2840" spans="1:12" x14ac:dyDescent="0.25">
      <c r="A2840" t="s">
        <v>33</v>
      </c>
      <c r="B2840">
        <v>31</v>
      </c>
      <c r="C2840" t="s">
        <v>20</v>
      </c>
      <c r="D2840" s="1">
        <v>46234</v>
      </c>
      <c r="E2840">
        <v>3294.1</v>
      </c>
      <c r="F2840">
        <v>188.51</v>
      </c>
      <c r="G2840">
        <v>112.8</v>
      </c>
      <c r="H2840">
        <v>290</v>
      </c>
      <c r="I2840" t="s">
        <v>14</v>
      </c>
      <c r="J2840">
        <v>2026</v>
      </c>
      <c r="K2840">
        <f t="shared" si="88"/>
        <v>75.709999999999994</v>
      </c>
      <c r="L2840" t="str">
        <f t="shared" si="89"/>
        <v>Banca Ligure|31|Risparmio</v>
      </c>
    </row>
    <row r="2841" spans="1:12" x14ac:dyDescent="0.25">
      <c r="A2841" t="s">
        <v>33</v>
      </c>
      <c r="B2841">
        <v>31</v>
      </c>
      <c r="C2841" t="s">
        <v>21</v>
      </c>
      <c r="D2841" s="1">
        <v>46234</v>
      </c>
      <c r="E2841">
        <v>3665.2</v>
      </c>
      <c r="F2841">
        <v>217.14</v>
      </c>
      <c r="G2841">
        <v>129.13999999999999</v>
      </c>
      <c r="H2841">
        <v>311</v>
      </c>
      <c r="I2841" t="s">
        <v>14</v>
      </c>
      <c r="J2841">
        <v>2026</v>
      </c>
      <c r="K2841">
        <f t="shared" si="88"/>
        <v>88</v>
      </c>
      <c r="L2841" t="str">
        <f t="shared" si="89"/>
        <v>Banca Ligure|31|Assicurazioni</v>
      </c>
    </row>
    <row r="2842" spans="1:12" x14ac:dyDescent="0.25">
      <c r="A2842" t="s">
        <v>33</v>
      </c>
      <c r="B2842">
        <v>32</v>
      </c>
      <c r="C2842" t="s">
        <v>13</v>
      </c>
      <c r="D2842" s="1">
        <v>46265</v>
      </c>
      <c r="E2842">
        <v>1039.5999999999999</v>
      </c>
      <c r="F2842">
        <v>47.65</v>
      </c>
      <c r="G2842">
        <v>29.6</v>
      </c>
      <c r="H2842">
        <v>86</v>
      </c>
      <c r="I2842" t="s">
        <v>14</v>
      </c>
      <c r="J2842">
        <v>2026</v>
      </c>
      <c r="K2842">
        <f t="shared" si="88"/>
        <v>18.049999999999997</v>
      </c>
      <c r="L2842" t="str">
        <f t="shared" si="89"/>
        <v>Banca Ligure|32|Mutui</v>
      </c>
    </row>
    <row r="2843" spans="1:12" x14ac:dyDescent="0.25">
      <c r="A2843" t="s">
        <v>33</v>
      </c>
      <c r="B2843">
        <v>32</v>
      </c>
      <c r="C2843" t="s">
        <v>15</v>
      </c>
      <c r="D2843" s="1">
        <v>46265</v>
      </c>
      <c r="E2843">
        <v>1392.5</v>
      </c>
      <c r="F2843">
        <v>66.06</v>
      </c>
      <c r="G2843">
        <v>41.15</v>
      </c>
      <c r="H2843">
        <v>135</v>
      </c>
      <c r="I2843" t="s">
        <v>14</v>
      </c>
      <c r="J2843">
        <v>2026</v>
      </c>
      <c r="K2843">
        <f t="shared" si="88"/>
        <v>24.910000000000004</v>
      </c>
      <c r="L2843" t="str">
        <f t="shared" si="89"/>
        <v>Banca Ligure|32|Prestiti</v>
      </c>
    </row>
    <row r="2844" spans="1:12" x14ac:dyDescent="0.25">
      <c r="A2844" t="s">
        <v>33</v>
      </c>
      <c r="B2844">
        <v>32</v>
      </c>
      <c r="C2844" t="s">
        <v>16</v>
      </c>
      <c r="D2844" s="1">
        <v>46265</v>
      </c>
      <c r="E2844">
        <v>1784.8</v>
      </c>
      <c r="F2844">
        <v>87.8</v>
      </c>
      <c r="G2844">
        <v>53.63</v>
      </c>
      <c r="H2844">
        <v>153</v>
      </c>
      <c r="I2844" t="s">
        <v>14</v>
      </c>
      <c r="J2844">
        <v>2026</v>
      </c>
      <c r="K2844">
        <f t="shared" si="88"/>
        <v>34.169999999999995</v>
      </c>
      <c r="L2844" t="str">
        <f t="shared" si="89"/>
        <v>Banca Ligure|32|Conti</v>
      </c>
    </row>
    <row r="2845" spans="1:12" x14ac:dyDescent="0.25">
      <c r="A2845" t="s">
        <v>33</v>
      </c>
      <c r="B2845">
        <v>32</v>
      </c>
      <c r="C2845" t="s">
        <v>17</v>
      </c>
      <c r="D2845" s="1">
        <v>46265</v>
      </c>
      <c r="E2845">
        <v>2141.6</v>
      </c>
      <c r="F2845">
        <v>110</v>
      </c>
      <c r="G2845">
        <v>66.41</v>
      </c>
      <c r="H2845">
        <v>193</v>
      </c>
      <c r="I2845" t="s">
        <v>14</v>
      </c>
      <c r="J2845">
        <v>2026</v>
      </c>
      <c r="K2845">
        <f t="shared" si="88"/>
        <v>43.59</v>
      </c>
      <c r="L2845" t="str">
        <f t="shared" si="89"/>
        <v>Banca Ligure|32|Carte</v>
      </c>
    </row>
    <row r="2846" spans="1:12" x14ac:dyDescent="0.25">
      <c r="A2846" t="s">
        <v>33</v>
      </c>
      <c r="B2846">
        <v>32</v>
      </c>
      <c r="C2846" t="s">
        <v>18</v>
      </c>
      <c r="D2846" s="1">
        <v>46265</v>
      </c>
      <c r="E2846">
        <v>2544.3000000000002</v>
      </c>
      <c r="F2846">
        <v>135.31</v>
      </c>
      <c r="G2846">
        <v>81.650000000000006</v>
      </c>
      <c r="H2846">
        <v>225</v>
      </c>
      <c r="I2846" t="s">
        <v>14</v>
      </c>
      <c r="J2846">
        <v>2026</v>
      </c>
      <c r="K2846">
        <f t="shared" si="88"/>
        <v>53.66</v>
      </c>
      <c r="L2846" t="str">
        <f t="shared" si="89"/>
        <v>Banca Ligure|32|Leasing</v>
      </c>
    </row>
    <row r="2847" spans="1:12" x14ac:dyDescent="0.25">
      <c r="A2847" t="s">
        <v>33</v>
      </c>
      <c r="B2847">
        <v>32</v>
      </c>
      <c r="C2847" t="s">
        <v>19</v>
      </c>
      <c r="D2847" s="1">
        <v>46265</v>
      </c>
      <c r="E2847">
        <v>2929.1</v>
      </c>
      <c r="F2847">
        <v>161.22999999999999</v>
      </c>
      <c r="G2847">
        <v>97.32</v>
      </c>
      <c r="H2847">
        <v>264</v>
      </c>
      <c r="I2847" t="s">
        <v>14</v>
      </c>
      <c r="J2847">
        <v>2026</v>
      </c>
      <c r="K2847">
        <f t="shared" si="88"/>
        <v>63.91</v>
      </c>
      <c r="L2847" t="str">
        <f t="shared" si="89"/>
        <v>Banca Ligure|32|Factoring</v>
      </c>
    </row>
    <row r="2848" spans="1:12" x14ac:dyDescent="0.25">
      <c r="A2848" t="s">
        <v>33</v>
      </c>
      <c r="B2848">
        <v>32</v>
      </c>
      <c r="C2848" t="s">
        <v>20</v>
      </c>
      <c r="D2848" s="1">
        <v>46265</v>
      </c>
      <c r="E2848">
        <v>3317.3</v>
      </c>
      <c r="F2848">
        <v>189.59</v>
      </c>
      <c r="G2848">
        <v>113.31</v>
      </c>
      <c r="H2848">
        <v>293</v>
      </c>
      <c r="I2848" t="s">
        <v>14</v>
      </c>
      <c r="J2848">
        <v>2026</v>
      </c>
      <c r="K2848">
        <f t="shared" si="88"/>
        <v>76.28</v>
      </c>
      <c r="L2848" t="str">
        <f t="shared" si="89"/>
        <v>Banca Ligure|32|Risparmio</v>
      </c>
    </row>
    <row r="2849" spans="1:12" x14ac:dyDescent="0.25">
      <c r="A2849" t="s">
        <v>33</v>
      </c>
      <c r="B2849">
        <v>32</v>
      </c>
      <c r="C2849" t="s">
        <v>21</v>
      </c>
      <c r="D2849" s="1">
        <v>46265</v>
      </c>
      <c r="E2849">
        <v>3680</v>
      </c>
      <c r="F2849">
        <v>217.65</v>
      </c>
      <c r="G2849">
        <v>129.09</v>
      </c>
      <c r="H2849">
        <v>311</v>
      </c>
      <c r="I2849" t="s">
        <v>14</v>
      </c>
      <c r="J2849">
        <v>2026</v>
      </c>
      <c r="K2849">
        <f t="shared" si="88"/>
        <v>88.56</v>
      </c>
      <c r="L2849" t="str">
        <f t="shared" si="89"/>
        <v>Banca Ligure|32|Assicurazioni</v>
      </c>
    </row>
    <row r="2850" spans="1:12" x14ac:dyDescent="0.25">
      <c r="A2850" t="s">
        <v>33</v>
      </c>
      <c r="B2850">
        <v>33</v>
      </c>
      <c r="C2850" t="s">
        <v>13</v>
      </c>
      <c r="D2850" s="1">
        <v>46295</v>
      </c>
      <c r="E2850">
        <v>1012.8</v>
      </c>
      <c r="F2850">
        <v>46.18</v>
      </c>
      <c r="G2850">
        <v>29.07</v>
      </c>
      <c r="H2850">
        <v>91</v>
      </c>
      <c r="I2850" t="s">
        <v>14</v>
      </c>
      <c r="J2850">
        <v>2026</v>
      </c>
      <c r="K2850">
        <f t="shared" si="88"/>
        <v>17.11</v>
      </c>
      <c r="L2850" t="str">
        <f t="shared" si="89"/>
        <v>Banca Ligure|33|Mutui</v>
      </c>
    </row>
    <row r="2851" spans="1:12" x14ac:dyDescent="0.25">
      <c r="A2851" t="s">
        <v>33</v>
      </c>
      <c r="B2851">
        <v>33</v>
      </c>
      <c r="C2851" t="s">
        <v>15</v>
      </c>
      <c r="D2851" s="1">
        <v>46295</v>
      </c>
      <c r="E2851">
        <v>1385.7</v>
      </c>
      <c r="F2851">
        <v>65.790000000000006</v>
      </c>
      <c r="G2851">
        <v>40.700000000000003</v>
      </c>
      <c r="H2851">
        <v>138</v>
      </c>
      <c r="I2851" t="s">
        <v>14</v>
      </c>
      <c r="J2851">
        <v>2026</v>
      </c>
      <c r="K2851">
        <f t="shared" si="88"/>
        <v>25.090000000000003</v>
      </c>
      <c r="L2851" t="str">
        <f t="shared" si="89"/>
        <v>Banca Ligure|33|Prestiti</v>
      </c>
    </row>
    <row r="2852" spans="1:12" x14ac:dyDescent="0.25">
      <c r="A2852" t="s">
        <v>33</v>
      </c>
      <c r="B2852">
        <v>33</v>
      </c>
      <c r="C2852" t="s">
        <v>16</v>
      </c>
      <c r="D2852" s="1">
        <v>46295</v>
      </c>
      <c r="E2852">
        <v>1776.3</v>
      </c>
      <c r="F2852">
        <v>87.9</v>
      </c>
      <c r="G2852">
        <v>53.65</v>
      </c>
      <c r="H2852">
        <v>144</v>
      </c>
      <c r="I2852" t="s">
        <v>14</v>
      </c>
      <c r="J2852">
        <v>2026</v>
      </c>
      <c r="K2852">
        <f t="shared" si="88"/>
        <v>34.250000000000007</v>
      </c>
      <c r="L2852" t="str">
        <f t="shared" si="89"/>
        <v>Banca Ligure|33|Conti</v>
      </c>
    </row>
    <row r="2853" spans="1:12" x14ac:dyDescent="0.25">
      <c r="A2853" t="s">
        <v>33</v>
      </c>
      <c r="B2853">
        <v>33</v>
      </c>
      <c r="C2853" t="s">
        <v>17</v>
      </c>
      <c r="D2853" s="1">
        <v>46295</v>
      </c>
      <c r="E2853">
        <v>2211</v>
      </c>
      <c r="F2853">
        <v>113.4</v>
      </c>
      <c r="G2853">
        <v>69.47</v>
      </c>
      <c r="H2853">
        <v>203</v>
      </c>
      <c r="I2853" t="s">
        <v>14</v>
      </c>
      <c r="J2853">
        <v>2026</v>
      </c>
      <c r="K2853">
        <f t="shared" si="88"/>
        <v>43.930000000000007</v>
      </c>
      <c r="L2853" t="str">
        <f t="shared" si="89"/>
        <v>Banca Ligure|33|Carte</v>
      </c>
    </row>
    <row r="2854" spans="1:12" x14ac:dyDescent="0.25">
      <c r="A2854" t="s">
        <v>33</v>
      </c>
      <c r="B2854">
        <v>33</v>
      </c>
      <c r="C2854" t="s">
        <v>18</v>
      </c>
      <c r="D2854" s="1">
        <v>46295</v>
      </c>
      <c r="E2854">
        <v>2578.6999999999998</v>
      </c>
      <c r="F2854">
        <v>137.62</v>
      </c>
      <c r="G2854">
        <v>82.52</v>
      </c>
      <c r="H2854">
        <v>208</v>
      </c>
      <c r="I2854" t="s">
        <v>14</v>
      </c>
      <c r="J2854">
        <v>2026</v>
      </c>
      <c r="K2854">
        <f t="shared" si="88"/>
        <v>55.100000000000009</v>
      </c>
      <c r="L2854" t="str">
        <f t="shared" si="89"/>
        <v>Banca Ligure|33|Leasing</v>
      </c>
    </row>
    <row r="2855" spans="1:12" x14ac:dyDescent="0.25">
      <c r="A2855" t="s">
        <v>33</v>
      </c>
      <c r="B2855">
        <v>33</v>
      </c>
      <c r="C2855" t="s">
        <v>19</v>
      </c>
      <c r="D2855" s="1">
        <v>46295</v>
      </c>
      <c r="E2855">
        <v>2961</v>
      </c>
      <c r="F2855">
        <v>163.68</v>
      </c>
      <c r="G2855">
        <v>98.06</v>
      </c>
      <c r="H2855">
        <v>240</v>
      </c>
      <c r="I2855" t="s">
        <v>14</v>
      </c>
      <c r="J2855">
        <v>2026</v>
      </c>
      <c r="K2855">
        <f t="shared" si="88"/>
        <v>65.62</v>
      </c>
      <c r="L2855" t="str">
        <f t="shared" si="89"/>
        <v>Banca Ligure|33|Factoring</v>
      </c>
    </row>
    <row r="2856" spans="1:12" x14ac:dyDescent="0.25">
      <c r="A2856" t="s">
        <v>33</v>
      </c>
      <c r="B2856">
        <v>33</v>
      </c>
      <c r="C2856" t="s">
        <v>20</v>
      </c>
      <c r="D2856" s="1">
        <v>46295</v>
      </c>
      <c r="E2856">
        <v>3344.3</v>
      </c>
      <c r="F2856">
        <v>191.11</v>
      </c>
      <c r="G2856">
        <v>114.33</v>
      </c>
      <c r="H2856">
        <v>274</v>
      </c>
      <c r="I2856" t="s">
        <v>14</v>
      </c>
      <c r="J2856">
        <v>2026</v>
      </c>
      <c r="K2856">
        <f t="shared" si="88"/>
        <v>76.780000000000015</v>
      </c>
      <c r="L2856" t="str">
        <f t="shared" si="89"/>
        <v>Banca Ligure|33|Risparmio</v>
      </c>
    </row>
    <row r="2857" spans="1:12" x14ac:dyDescent="0.25">
      <c r="A2857" t="s">
        <v>33</v>
      </c>
      <c r="B2857">
        <v>33</v>
      </c>
      <c r="C2857" t="s">
        <v>21</v>
      </c>
      <c r="D2857" s="1">
        <v>46295</v>
      </c>
      <c r="E2857">
        <v>3723.3</v>
      </c>
      <c r="F2857">
        <v>220.43</v>
      </c>
      <c r="G2857">
        <v>131.27000000000001</v>
      </c>
      <c r="H2857">
        <v>315</v>
      </c>
      <c r="I2857" t="s">
        <v>14</v>
      </c>
      <c r="J2857">
        <v>2026</v>
      </c>
      <c r="K2857">
        <f t="shared" si="88"/>
        <v>89.16</v>
      </c>
      <c r="L2857" t="str">
        <f t="shared" si="89"/>
        <v>Banca Ligure|33|Assicurazioni</v>
      </c>
    </row>
    <row r="2858" spans="1:12" x14ac:dyDescent="0.25">
      <c r="A2858" t="s">
        <v>33</v>
      </c>
      <c r="B2858">
        <v>34</v>
      </c>
      <c r="C2858" t="s">
        <v>13</v>
      </c>
      <c r="D2858" s="1">
        <v>46326</v>
      </c>
      <c r="E2858">
        <v>1062.4000000000001</v>
      </c>
      <c r="F2858">
        <v>48.42</v>
      </c>
      <c r="G2858">
        <v>29.75</v>
      </c>
      <c r="H2858">
        <v>106</v>
      </c>
      <c r="I2858" t="s">
        <v>14</v>
      </c>
      <c r="J2858">
        <v>2026</v>
      </c>
      <c r="K2858">
        <f t="shared" si="88"/>
        <v>18.670000000000002</v>
      </c>
      <c r="L2858" t="str">
        <f t="shared" si="89"/>
        <v>Banca Ligure|34|Mutui</v>
      </c>
    </row>
    <row r="2859" spans="1:12" x14ac:dyDescent="0.25">
      <c r="A2859" t="s">
        <v>33</v>
      </c>
      <c r="B2859">
        <v>34</v>
      </c>
      <c r="C2859" t="s">
        <v>15</v>
      </c>
      <c r="D2859" s="1">
        <v>46326</v>
      </c>
      <c r="E2859">
        <v>1451.3</v>
      </c>
      <c r="F2859">
        <v>68.36</v>
      </c>
      <c r="G2859">
        <v>42.55</v>
      </c>
      <c r="H2859">
        <v>144</v>
      </c>
      <c r="I2859" t="s">
        <v>14</v>
      </c>
      <c r="J2859">
        <v>2026</v>
      </c>
      <c r="K2859">
        <f t="shared" si="88"/>
        <v>25.810000000000002</v>
      </c>
      <c r="L2859" t="str">
        <f t="shared" si="89"/>
        <v>Banca Ligure|34|Prestiti</v>
      </c>
    </row>
    <row r="2860" spans="1:12" x14ac:dyDescent="0.25">
      <c r="A2860" t="s">
        <v>33</v>
      </c>
      <c r="B2860">
        <v>34</v>
      </c>
      <c r="C2860" t="s">
        <v>16</v>
      </c>
      <c r="D2860" s="1">
        <v>46326</v>
      </c>
      <c r="E2860">
        <v>1801</v>
      </c>
      <c r="F2860">
        <v>88.85</v>
      </c>
      <c r="G2860">
        <v>54.56</v>
      </c>
      <c r="H2860">
        <v>172</v>
      </c>
      <c r="I2860" t="s">
        <v>14</v>
      </c>
      <c r="J2860">
        <v>2026</v>
      </c>
      <c r="K2860">
        <f t="shared" si="88"/>
        <v>34.289999999999992</v>
      </c>
      <c r="L2860" t="str">
        <f t="shared" si="89"/>
        <v>Banca Ligure|34|Conti</v>
      </c>
    </row>
    <row r="2861" spans="1:12" x14ac:dyDescent="0.25">
      <c r="A2861" t="s">
        <v>33</v>
      </c>
      <c r="B2861">
        <v>34</v>
      </c>
      <c r="C2861" t="s">
        <v>17</v>
      </c>
      <c r="D2861" s="1">
        <v>46326</v>
      </c>
      <c r="E2861">
        <v>2183</v>
      </c>
      <c r="F2861">
        <v>111.94</v>
      </c>
      <c r="G2861">
        <v>68.239999999999995</v>
      </c>
      <c r="H2861">
        <v>200</v>
      </c>
      <c r="I2861" t="s">
        <v>14</v>
      </c>
      <c r="J2861">
        <v>2026</v>
      </c>
      <c r="K2861">
        <f t="shared" si="88"/>
        <v>43.7</v>
      </c>
      <c r="L2861" t="str">
        <f t="shared" si="89"/>
        <v>Banca Ligure|34|Carte</v>
      </c>
    </row>
    <row r="2862" spans="1:12" x14ac:dyDescent="0.25">
      <c r="A2862" t="s">
        <v>33</v>
      </c>
      <c r="B2862">
        <v>34</v>
      </c>
      <c r="C2862" t="s">
        <v>18</v>
      </c>
      <c r="D2862" s="1">
        <v>46326</v>
      </c>
      <c r="E2862">
        <v>2565.5</v>
      </c>
      <c r="F2862">
        <v>136.30000000000001</v>
      </c>
      <c r="G2862">
        <v>82.44</v>
      </c>
      <c r="H2862">
        <v>206</v>
      </c>
      <c r="I2862" t="s">
        <v>14</v>
      </c>
      <c r="J2862">
        <v>2026</v>
      </c>
      <c r="K2862">
        <f t="shared" si="88"/>
        <v>53.860000000000014</v>
      </c>
      <c r="L2862" t="str">
        <f t="shared" si="89"/>
        <v>Banca Ligure|34|Leasing</v>
      </c>
    </row>
    <row r="2863" spans="1:12" x14ac:dyDescent="0.25">
      <c r="A2863" t="s">
        <v>33</v>
      </c>
      <c r="B2863">
        <v>34</v>
      </c>
      <c r="C2863" t="s">
        <v>19</v>
      </c>
      <c r="D2863" s="1">
        <v>46326</v>
      </c>
      <c r="E2863">
        <v>2972.9</v>
      </c>
      <c r="F2863">
        <v>163.75</v>
      </c>
      <c r="G2863">
        <v>98.2</v>
      </c>
      <c r="H2863">
        <v>258</v>
      </c>
      <c r="I2863" t="s">
        <v>14</v>
      </c>
      <c r="J2863">
        <v>2026</v>
      </c>
      <c r="K2863">
        <f t="shared" si="88"/>
        <v>65.55</v>
      </c>
      <c r="L2863" t="str">
        <f t="shared" si="89"/>
        <v>Banca Ligure|34|Factoring</v>
      </c>
    </row>
    <row r="2864" spans="1:12" x14ac:dyDescent="0.25">
      <c r="A2864" t="s">
        <v>33</v>
      </c>
      <c r="B2864">
        <v>34</v>
      </c>
      <c r="C2864" t="s">
        <v>20</v>
      </c>
      <c r="D2864" s="1">
        <v>46326</v>
      </c>
      <c r="E2864">
        <v>3372.8</v>
      </c>
      <c r="F2864">
        <v>192.93</v>
      </c>
      <c r="G2864">
        <v>115.09</v>
      </c>
      <c r="H2864">
        <v>295</v>
      </c>
      <c r="I2864" t="s">
        <v>14</v>
      </c>
      <c r="J2864">
        <v>2026</v>
      </c>
      <c r="K2864">
        <f t="shared" si="88"/>
        <v>77.84</v>
      </c>
      <c r="L2864" t="str">
        <f t="shared" si="89"/>
        <v>Banca Ligure|34|Risparmio</v>
      </c>
    </row>
    <row r="2865" spans="1:12" x14ac:dyDescent="0.25">
      <c r="A2865" t="s">
        <v>33</v>
      </c>
      <c r="B2865">
        <v>34</v>
      </c>
      <c r="C2865" t="s">
        <v>21</v>
      </c>
      <c r="D2865" s="1">
        <v>46326</v>
      </c>
      <c r="E2865">
        <v>3758</v>
      </c>
      <c r="F2865">
        <v>222.67</v>
      </c>
      <c r="G2865">
        <v>131.88</v>
      </c>
      <c r="H2865">
        <v>301</v>
      </c>
      <c r="I2865" t="s">
        <v>14</v>
      </c>
      <c r="J2865">
        <v>2026</v>
      </c>
      <c r="K2865">
        <f t="shared" si="88"/>
        <v>90.789999999999992</v>
      </c>
      <c r="L2865" t="str">
        <f t="shared" si="89"/>
        <v>Banca Ligure|34|Assicurazioni</v>
      </c>
    </row>
    <row r="2866" spans="1:12" x14ac:dyDescent="0.25">
      <c r="A2866" t="s">
        <v>33</v>
      </c>
      <c r="B2866">
        <v>35</v>
      </c>
      <c r="C2866" t="s">
        <v>13</v>
      </c>
      <c r="D2866" s="1">
        <v>46356</v>
      </c>
      <c r="E2866">
        <v>1046.5999999999999</v>
      </c>
      <c r="F2866">
        <v>47.46</v>
      </c>
      <c r="G2866">
        <v>29.84</v>
      </c>
      <c r="H2866">
        <v>114</v>
      </c>
      <c r="I2866" t="s">
        <v>14</v>
      </c>
      <c r="J2866">
        <v>2026</v>
      </c>
      <c r="K2866">
        <f t="shared" si="88"/>
        <v>17.62</v>
      </c>
      <c r="L2866" t="str">
        <f t="shared" si="89"/>
        <v>Banca Ligure|35|Mutui</v>
      </c>
    </row>
    <row r="2867" spans="1:12" x14ac:dyDescent="0.25">
      <c r="A2867" t="s">
        <v>33</v>
      </c>
      <c r="B2867">
        <v>35</v>
      </c>
      <c r="C2867" t="s">
        <v>15</v>
      </c>
      <c r="D2867" s="1">
        <v>46356</v>
      </c>
      <c r="E2867">
        <v>1445.3</v>
      </c>
      <c r="F2867">
        <v>68.88</v>
      </c>
      <c r="G2867">
        <v>42.78</v>
      </c>
      <c r="H2867">
        <v>112</v>
      </c>
      <c r="I2867" t="s">
        <v>14</v>
      </c>
      <c r="J2867">
        <v>2026</v>
      </c>
      <c r="K2867">
        <f t="shared" si="88"/>
        <v>26.099999999999994</v>
      </c>
      <c r="L2867" t="str">
        <f t="shared" si="89"/>
        <v>Banca Ligure|35|Prestiti</v>
      </c>
    </row>
    <row r="2868" spans="1:12" x14ac:dyDescent="0.25">
      <c r="A2868" t="s">
        <v>33</v>
      </c>
      <c r="B2868">
        <v>35</v>
      </c>
      <c r="C2868" t="s">
        <v>16</v>
      </c>
      <c r="D2868" s="1">
        <v>46356</v>
      </c>
      <c r="E2868">
        <v>1823.2</v>
      </c>
      <c r="F2868">
        <v>89.53</v>
      </c>
      <c r="G2868">
        <v>54.98</v>
      </c>
      <c r="H2868">
        <v>156</v>
      </c>
      <c r="I2868" t="s">
        <v>14</v>
      </c>
      <c r="J2868">
        <v>2026</v>
      </c>
      <c r="K2868">
        <f t="shared" si="88"/>
        <v>34.550000000000004</v>
      </c>
      <c r="L2868" t="str">
        <f t="shared" si="89"/>
        <v>Banca Ligure|35|Conti</v>
      </c>
    </row>
    <row r="2869" spans="1:12" x14ac:dyDescent="0.25">
      <c r="A2869" t="s">
        <v>33</v>
      </c>
      <c r="B2869">
        <v>35</v>
      </c>
      <c r="C2869" t="s">
        <v>17</v>
      </c>
      <c r="D2869" s="1">
        <v>46356</v>
      </c>
      <c r="E2869">
        <v>2206.6</v>
      </c>
      <c r="F2869">
        <v>112.81</v>
      </c>
      <c r="G2869">
        <v>69.31</v>
      </c>
      <c r="H2869">
        <v>179</v>
      </c>
      <c r="I2869" t="s">
        <v>14</v>
      </c>
      <c r="J2869">
        <v>2026</v>
      </c>
      <c r="K2869">
        <f t="shared" si="88"/>
        <v>43.5</v>
      </c>
      <c r="L2869" t="str">
        <f t="shared" si="89"/>
        <v>Banca Ligure|35|Carte</v>
      </c>
    </row>
    <row r="2870" spans="1:12" x14ac:dyDescent="0.25">
      <c r="A2870" t="s">
        <v>33</v>
      </c>
      <c r="B2870">
        <v>35</v>
      </c>
      <c r="C2870" t="s">
        <v>18</v>
      </c>
      <c r="D2870" s="1">
        <v>46356</v>
      </c>
      <c r="E2870">
        <v>2631</v>
      </c>
      <c r="F2870">
        <v>139.5</v>
      </c>
      <c r="G2870">
        <v>85.04</v>
      </c>
      <c r="H2870">
        <v>207</v>
      </c>
      <c r="I2870" t="s">
        <v>14</v>
      </c>
      <c r="J2870">
        <v>2026</v>
      </c>
      <c r="K2870">
        <f t="shared" si="88"/>
        <v>54.459999999999994</v>
      </c>
      <c r="L2870" t="str">
        <f t="shared" si="89"/>
        <v>Banca Ligure|35|Leasing</v>
      </c>
    </row>
    <row r="2871" spans="1:12" x14ac:dyDescent="0.25">
      <c r="A2871" t="s">
        <v>33</v>
      </c>
      <c r="B2871">
        <v>35</v>
      </c>
      <c r="C2871" t="s">
        <v>19</v>
      </c>
      <c r="D2871" s="1">
        <v>46356</v>
      </c>
      <c r="E2871">
        <v>2981.7</v>
      </c>
      <c r="F2871">
        <v>164.19</v>
      </c>
      <c r="G2871">
        <v>99.14</v>
      </c>
      <c r="H2871">
        <v>238</v>
      </c>
      <c r="I2871" t="s">
        <v>14</v>
      </c>
      <c r="J2871">
        <v>2026</v>
      </c>
      <c r="K2871">
        <f t="shared" si="88"/>
        <v>65.05</v>
      </c>
      <c r="L2871" t="str">
        <f t="shared" si="89"/>
        <v>Banca Ligure|35|Factoring</v>
      </c>
    </row>
    <row r="2872" spans="1:12" x14ac:dyDescent="0.25">
      <c r="A2872" t="s">
        <v>33</v>
      </c>
      <c r="B2872">
        <v>35</v>
      </c>
      <c r="C2872" t="s">
        <v>20</v>
      </c>
      <c r="D2872" s="1">
        <v>46356</v>
      </c>
      <c r="E2872">
        <v>3404.9</v>
      </c>
      <c r="F2872">
        <v>194.33</v>
      </c>
      <c r="G2872">
        <v>116.16</v>
      </c>
      <c r="H2872">
        <v>267</v>
      </c>
      <c r="I2872" t="s">
        <v>14</v>
      </c>
      <c r="J2872">
        <v>2026</v>
      </c>
      <c r="K2872">
        <f t="shared" si="88"/>
        <v>78.170000000000016</v>
      </c>
      <c r="L2872" t="str">
        <f t="shared" si="89"/>
        <v>Banca Ligure|35|Risparmio</v>
      </c>
    </row>
    <row r="2873" spans="1:12" x14ac:dyDescent="0.25">
      <c r="A2873" t="s">
        <v>33</v>
      </c>
      <c r="B2873">
        <v>35</v>
      </c>
      <c r="C2873" t="s">
        <v>21</v>
      </c>
      <c r="D2873" s="1">
        <v>46356</v>
      </c>
      <c r="E2873">
        <v>3769.5</v>
      </c>
      <c r="F2873">
        <v>223.18</v>
      </c>
      <c r="G2873">
        <v>132.44</v>
      </c>
      <c r="H2873">
        <v>309</v>
      </c>
      <c r="I2873" t="s">
        <v>14</v>
      </c>
      <c r="J2873">
        <v>2026</v>
      </c>
      <c r="K2873">
        <f t="shared" si="88"/>
        <v>90.740000000000009</v>
      </c>
      <c r="L2873" t="str">
        <f t="shared" si="89"/>
        <v>Banca Ligure|35|Assicurazioni</v>
      </c>
    </row>
    <row r="2874" spans="1:12" x14ac:dyDescent="0.25">
      <c r="A2874" t="s">
        <v>33</v>
      </c>
      <c r="B2874">
        <v>36</v>
      </c>
      <c r="C2874" t="s">
        <v>13</v>
      </c>
      <c r="D2874" s="1">
        <v>46387</v>
      </c>
      <c r="E2874">
        <v>1045.4000000000001</v>
      </c>
      <c r="F2874">
        <v>47.41</v>
      </c>
      <c r="G2874">
        <v>29.34</v>
      </c>
      <c r="H2874">
        <v>84</v>
      </c>
      <c r="I2874" t="s">
        <v>14</v>
      </c>
      <c r="J2874">
        <v>2026</v>
      </c>
      <c r="K2874">
        <f t="shared" si="88"/>
        <v>18.069999999999997</v>
      </c>
      <c r="L2874" t="str">
        <f t="shared" si="89"/>
        <v>Banca Ligure|36|Mutui</v>
      </c>
    </row>
    <row r="2875" spans="1:12" x14ac:dyDescent="0.25">
      <c r="A2875" t="s">
        <v>33</v>
      </c>
      <c r="B2875">
        <v>36</v>
      </c>
      <c r="C2875" t="s">
        <v>15</v>
      </c>
      <c r="D2875" s="1">
        <v>46387</v>
      </c>
      <c r="E2875">
        <v>1413</v>
      </c>
      <c r="F2875">
        <v>66.81</v>
      </c>
      <c r="G2875">
        <v>41.03</v>
      </c>
      <c r="H2875">
        <v>127</v>
      </c>
      <c r="I2875" t="s">
        <v>14</v>
      </c>
      <c r="J2875">
        <v>2026</v>
      </c>
      <c r="K2875">
        <f t="shared" si="88"/>
        <v>25.78</v>
      </c>
      <c r="L2875" t="str">
        <f t="shared" si="89"/>
        <v>Banca Ligure|36|Prestiti</v>
      </c>
    </row>
    <row r="2876" spans="1:12" x14ac:dyDescent="0.25">
      <c r="A2876" t="s">
        <v>33</v>
      </c>
      <c r="B2876">
        <v>36</v>
      </c>
      <c r="C2876" t="s">
        <v>16</v>
      </c>
      <c r="D2876" s="1">
        <v>46387</v>
      </c>
      <c r="E2876">
        <v>1861.1</v>
      </c>
      <c r="F2876">
        <v>91.23</v>
      </c>
      <c r="G2876">
        <v>56.03</v>
      </c>
      <c r="H2876">
        <v>150</v>
      </c>
      <c r="I2876" t="s">
        <v>14</v>
      </c>
      <c r="J2876">
        <v>2026</v>
      </c>
      <c r="K2876">
        <f t="shared" si="88"/>
        <v>35.200000000000003</v>
      </c>
      <c r="L2876" t="str">
        <f t="shared" si="89"/>
        <v>Banca Ligure|36|Conti</v>
      </c>
    </row>
    <row r="2877" spans="1:12" x14ac:dyDescent="0.25">
      <c r="A2877" t="s">
        <v>33</v>
      </c>
      <c r="B2877">
        <v>36</v>
      </c>
      <c r="C2877" t="s">
        <v>17</v>
      </c>
      <c r="D2877" s="1">
        <v>46387</v>
      </c>
      <c r="E2877">
        <v>2246.4</v>
      </c>
      <c r="F2877">
        <v>115.08</v>
      </c>
      <c r="G2877">
        <v>70.06</v>
      </c>
      <c r="H2877">
        <v>193</v>
      </c>
      <c r="I2877" t="s">
        <v>14</v>
      </c>
      <c r="J2877">
        <v>2026</v>
      </c>
      <c r="K2877">
        <f t="shared" si="88"/>
        <v>45.019999999999996</v>
      </c>
      <c r="L2877" t="str">
        <f t="shared" si="89"/>
        <v>Banca Ligure|36|Carte</v>
      </c>
    </row>
    <row r="2878" spans="1:12" x14ac:dyDescent="0.25">
      <c r="A2878" t="s">
        <v>33</v>
      </c>
      <c r="B2878">
        <v>36</v>
      </c>
      <c r="C2878" t="s">
        <v>18</v>
      </c>
      <c r="D2878" s="1">
        <v>46387</v>
      </c>
      <c r="E2878">
        <v>2624.3</v>
      </c>
      <c r="F2878">
        <v>139.31</v>
      </c>
      <c r="G2878">
        <v>84.74</v>
      </c>
      <c r="H2878">
        <v>209</v>
      </c>
      <c r="I2878" t="s">
        <v>14</v>
      </c>
      <c r="J2878">
        <v>2026</v>
      </c>
      <c r="K2878">
        <f t="shared" si="88"/>
        <v>54.570000000000007</v>
      </c>
      <c r="L2878" t="str">
        <f t="shared" si="89"/>
        <v>Banca Ligure|36|Leasing</v>
      </c>
    </row>
    <row r="2879" spans="1:12" x14ac:dyDescent="0.25">
      <c r="A2879" t="s">
        <v>33</v>
      </c>
      <c r="B2879">
        <v>36</v>
      </c>
      <c r="C2879" t="s">
        <v>19</v>
      </c>
      <c r="D2879" s="1">
        <v>46387</v>
      </c>
      <c r="E2879">
        <v>3012.7</v>
      </c>
      <c r="F2879">
        <v>166.5</v>
      </c>
      <c r="G2879">
        <v>99.62</v>
      </c>
      <c r="H2879">
        <v>270</v>
      </c>
      <c r="I2879" t="s">
        <v>14</v>
      </c>
      <c r="J2879">
        <v>2026</v>
      </c>
      <c r="K2879">
        <f t="shared" si="88"/>
        <v>66.88</v>
      </c>
      <c r="L2879" t="str">
        <f t="shared" si="89"/>
        <v>Banca Ligure|36|Factoring</v>
      </c>
    </row>
    <row r="2880" spans="1:12" x14ac:dyDescent="0.25">
      <c r="A2880" t="s">
        <v>33</v>
      </c>
      <c r="B2880">
        <v>36</v>
      </c>
      <c r="C2880" t="s">
        <v>20</v>
      </c>
      <c r="D2880" s="1">
        <v>46387</v>
      </c>
      <c r="E2880">
        <v>3386.9</v>
      </c>
      <c r="F2880">
        <v>193.81</v>
      </c>
      <c r="G2880">
        <v>115.71</v>
      </c>
      <c r="H2880">
        <v>291</v>
      </c>
      <c r="I2880" t="s">
        <v>14</v>
      </c>
      <c r="J2880">
        <v>2026</v>
      </c>
      <c r="K2880">
        <f t="shared" si="88"/>
        <v>78.100000000000009</v>
      </c>
      <c r="L2880" t="str">
        <f t="shared" si="89"/>
        <v>Banca Ligure|36|Risparmio</v>
      </c>
    </row>
    <row r="2881" spans="1:12" x14ac:dyDescent="0.25">
      <c r="A2881" t="s">
        <v>33</v>
      </c>
      <c r="B2881">
        <v>36</v>
      </c>
      <c r="C2881" t="s">
        <v>21</v>
      </c>
      <c r="D2881" s="1">
        <v>46387</v>
      </c>
      <c r="E2881">
        <v>3822.2</v>
      </c>
      <c r="F2881">
        <v>226.49</v>
      </c>
      <c r="G2881">
        <v>134.54</v>
      </c>
      <c r="H2881">
        <v>298</v>
      </c>
      <c r="I2881" t="s">
        <v>14</v>
      </c>
      <c r="J2881">
        <v>2026</v>
      </c>
      <c r="K2881">
        <f t="shared" si="88"/>
        <v>91.950000000000017</v>
      </c>
      <c r="L2881" t="str">
        <f t="shared" si="89"/>
        <v>Banca Ligure|36|Assicurazioni</v>
      </c>
    </row>
    <row r="2882" spans="1:12" x14ac:dyDescent="0.25">
      <c r="A2882" t="s">
        <v>34</v>
      </c>
      <c r="B2882">
        <v>1</v>
      </c>
      <c r="C2882" t="s">
        <v>13</v>
      </c>
      <c r="D2882" s="1">
        <v>45322</v>
      </c>
      <c r="E2882">
        <v>874.7</v>
      </c>
      <c r="F2882">
        <v>39.49</v>
      </c>
      <c r="G2882">
        <v>24.85</v>
      </c>
      <c r="H2882">
        <v>92</v>
      </c>
      <c r="I2882" t="s">
        <v>23</v>
      </c>
      <c r="J2882">
        <v>2024</v>
      </c>
      <c r="K2882">
        <f t="shared" ref="K2882:K2945" si="90">F2882-G2882</f>
        <v>14.64</v>
      </c>
      <c r="L2882" t="str">
        <f t="shared" ref="L2882:L2945" si="91">A2882&amp;"|"&amp;B2882&amp;"|"&amp;C2882</f>
        <v>Banca Veneta|1|Mutui</v>
      </c>
    </row>
    <row r="2883" spans="1:12" x14ac:dyDescent="0.25">
      <c r="A2883" t="s">
        <v>34</v>
      </c>
      <c r="B2883">
        <v>1</v>
      </c>
      <c r="C2883" t="s">
        <v>15</v>
      </c>
      <c r="D2883" s="1">
        <v>45322</v>
      </c>
      <c r="E2883">
        <v>1219</v>
      </c>
      <c r="F2883">
        <v>57.35</v>
      </c>
      <c r="G2883">
        <v>35.53</v>
      </c>
      <c r="H2883">
        <v>128</v>
      </c>
      <c r="I2883" t="s">
        <v>23</v>
      </c>
      <c r="J2883">
        <v>2024</v>
      </c>
      <c r="K2883">
        <f t="shared" si="90"/>
        <v>21.82</v>
      </c>
      <c r="L2883" t="str">
        <f t="shared" si="91"/>
        <v>Banca Veneta|1|Prestiti</v>
      </c>
    </row>
    <row r="2884" spans="1:12" x14ac:dyDescent="0.25">
      <c r="A2884" t="s">
        <v>34</v>
      </c>
      <c r="B2884">
        <v>1</v>
      </c>
      <c r="C2884" t="s">
        <v>16</v>
      </c>
      <c r="D2884" s="1">
        <v>45322</v>
      </c>
      <c r="E2884">
        <v>1546.8</v>
      </c>
      <c r="F2884">
        <v>76.16</v>
      </c>
      <c r="G2884">
        <v>46.41</v>
      </c>
      <c r="H2884">
        <v>182</v>
      </c>
      <c r="I2884" t="s">
        <v>23</v>
      </c>
      <c r="J2884">
        <v>2024</v>
      </c>
      <c r="K2884">
        <f t="shared" si="90"/>
        <v>29.75</v>
      </c>
      <c r="L2884" t="str">
        <f t="shared" si="91"/>
        <v>Banca Veneta|1|Conti</v>
      </c>
    </row>
    <row r="2885" spans="1:12" x14ac:dyDescent="0.25">
      <c r="A2885" t="s">
        <v>34</v>
      </c>
      <c r="B2885">
        <v>1</v>
      </c>
      <c r="C2885" t="s">
        <v>17</v>
      </c>
      <c r="D2885" s="1">
        <v>45322</v>
      </c>
      <c r="E2885">
        <v>1868.1</v>
      </c>
      <c r="F2885">
        <v>95.88</v>
      </c>
      <c r="G2885">
        <v>58.82</v>
      </c>
      <c r="H2885">
        <v>206</v>
      </c>
      <c r="I2885" t="s">
        <v>23</v>
      </c>
      <c r="J2885">
        <v>2024</v>
      </c>
      <c r="K2885">
        <f t="shared" si="90"/>
        <v>37.059999999999995</v>
      </c>
      <c r="L2885" t="str">
        <f t="shared" si="91"/>
        <v>Banca Veneta|1|Carte</v>
      </c>
    </row>
    <row r="2886" spans="1:12" x14ac:dyDescent="0.25">
      <c r="A2886" t="s">
        <v>34</v>
      </c>
      <c r="B2886">
        <v>1</v>
      </c>
      <c r="C2886" t="s">
        <v>18</v>
      </c>
      <c r="D2886" s="1">
        <v>45322</v>
      </c>
      <c r="E2886">
        <v>2195.4</v>
      </c>
      <c r="F2886">
        <v>116.56</v>
      </c>
      <c r="G2886">
        <v>70.39</v>
      </c>
      <c r="H2886">
        <v>223</v>
      </c>
      <c r="I2886" t="s">
        <v>23</v>
      </c>
      <c r="J2886">
        <v>2024</v>
      </c>
      <c r="K2886">
        <f t="shared" si="90"/>
        <v>46.17</v>
      </c>
      <c r="L2886" t="str">
        <f t="shared" si="91"/>
        <v>Banca Veneta|1|Leasing</v>
      </c>
    </row>
    <row r="2887" spans="1:12" x14ac:dyDescent="0.25">
      <c r="A2887" t="s">
        <v>34</v>
      </c>
      <c r="B2887">
        <v>1</v>
      </c>
      <c r="C2887" t="s">
        <v>19</v>
      </c>
      <c r="D2887" s="1">
        <v>45322</v>
      </c>
      <c r="E2887">
        <v>2489.8000000000002</v>
      </c>
      <c r="F2887">
        <v>137.43</v>
      </c>
      <c r="G2887">
        <v>82.67</v>
      </c>
      <c r="H2887">
        <v>261</v>
      </c>
      <c r="I2887" t="s">
        <v>23</v>
      </c>
      <c r="J2887">
        <v>2024</v>
      </c>
      <c r="K2887">
        <f t="shared" si="90"/>
        <v>54.760000000000005</v>
      </c>
      <c r="L2887" t="str">
        <f t="shared" si="91"/>
        <v>Banca Veneta|1|Factoring</v>
      </c>
    </row>
    <row r="2888" spans="1:12" x14ac:dyDescent="0.25">
      <c r="A2888" t="s">
        <v>34</v>
      </c>
      <c r="B2888">
        <v>1</v>
      </c>
      <c r="C2888" t="s">
        <v>20</v>
      </c>
      <c r="D2888" s="1">
        <v>45322</v>
      </c>
      <c r="E2888">
        <v>2840.3</v>
      </c>
      <c r="F2888">
        <v>162.65</v>
      </c>
      <c r="G2888">
        <v>96.91</v>
      </c>
      <c r="H2888">
        <v>282</v>
      </c>
      <c r="I2888" t="s">
        <v>23</v>
      </c>
      <c r="J2888">
        <v>2024</v>
      </c>
      <c r="K2888">
        <f t="shared" si="90"/>
        <v>65.740000000000009</v>
      </c>
      <c r="L2888" t="str">
        <f t="shared" si="91"/>
        <v>Banca Veneta|1|Risparmio</v>
      </c>
    </row>
    <row r="2889" spans="1:12" x14ac:dyDescent="0.25">
      <c r="A2889" t="s">
        <v>34</v>
      </c>
      <c r="B2889">
        <v>1</v>
      </c>
      <c r="C2889" t="s">
        <v>21</v>
      </c>
      <c r="D2889" s="1">
        <v>45322</v>
      </c>
      <c r="E2889">
        <v>3193.4</v>
      </c>
      <c r="F2889">
        <v>189.27</v>
      </c>
      <c r="G2889">
        <v>112.39</v>
      </c>
      <c r="H2889">
        <v>331</v>
      </c>
      <c r="I2889" t="s">
        <v>23</v>
      </c>
      <c r="J2889">
        <v>2024</v>
      </c>
      <c r="K2889">
        <f t="shared" si="90"/>
        <v>76.88000000000001</v>
      </c>
      <c r="L2889" t="str">
        <f t="shared" si="91"/>
        <v>Banca Veneta|1|Assicurazioni</v>
      </c>
    </row>
    <row r="2890" spans="1:12" x14ac:dyDescent="0.25">
      <c r="A2890" t="s">
        <v>34</v>
      </c>
      <c r="B2890">
        <v>2</v>
      </c>
      <c r="C2890" t="s">
        <v>13</v>
      </c>
      <c r="D2890" s="1">
        <v>45351</v>
      </c>
      <c r="E2890">
        <v>886.2</v>
      </c>
      <c r="F2890">
        <v>40.5</v>
      </c>
      <c r="G2890">
        <v>25.77</v>
      </c>
      <c r="H2890">
        <v>93</v>
      </c>
      <c r="I2890" t="s">
        <v>23</v>
      </c>
      <c r="J2890">
        <v>2024</v>
      </c>
      <c r="K2890">
        <f t="shared" si="90"/>
        <v>14.73</v>
      </c>
      <c r="L2890" t="str">
        <f t="shared" si="91"/>
        <v>Banca Veneta|2|Mutui</v>
      </c>
    </row>
    <row r="2891" spans="1:12" x14ac:dyDescent="0.25">
      <c r="A2891" t="s">
        <v>34</v>
      </c>
      <c r="B2891">
        <v>2</v>
      </c>
      <c r="C2891" t="s">
        <v>15</v>
      </c>
      <c r="D2891" s="1">
        <v>45351</v>
      </c>
      <c r="E2891">
        <v>1214.0999999999999</v>
      </c>
      <c r="F2891">
        <v>57.81</v>
      </c>
      <c r="G2891">
        <v>35.99</v>
      </c>
      <c r="H2891">
        <v>121</v>
      </c>
      <c r="I2891" t="s">
        <v>23</v>
      </c>
      <c r="J2891">
        <v>2024</v>
      </c>
      <c r="K2891">
        <f t="shared" si="90"/>
        <v>21.82</v>
      </c>
      <c r="L2891" t="str">
        <f t="shared" si="91"/>
        <v>Banca Veneta|2|Prestiti</v>
      </c>
    </row>
    <row r="2892" spans="1:12" x14ac:dyDescent="0.25">
      <c r="A2892" t="s">
        <v>34</v>
      </c>
      <c r="B2892">
        <v>2</v>
      </c>
      <c r="C2892" t="s">
        <v>16</v>
      </c>
      <c r="D2892" s="1">
        <v>45351</v>
      </c>
      <c r="E2892">
        <v>1519.1</v>
      </c>
      <c r="F2892">
        <v>74.5</v>
      </c>
      <c r="G2892">
        <v>45.77</v>
      </c>
      <c r="H2892">
        <v>169</v>
      </c>
      <c r="I2892" t="s">
        <v>23</v>
      </c>
      <c r="J2892">
        <v>2024</v>
      </c>
      <c r="K2892">
        <f t="shared" si="90"/>
        <v>28.729999999999997</v>
      </c>
      <c r="L2892" t="str">
        <f t="shared" si="91"/>
        <v>Banca Veneta|2|Conti</v>
      </c>
    </row>
    <row r="2893" spans="1:12" x14ac:dyDescent="0.25">
      <c r="A2893" t="s">
        <v>34</v>
      </c>
      <c r="B2893">
        <v>2</v>
      </c>
      <c r="C2893" t="s">
        <v>17</v>
      </c>
      <c r="D2893" s="1">
        <v>45351</v>
      </c>
      <c r="E2893">
        <v>1872.6</v>
      </c>
      <c r="F2893">
        <v>96.49</v>
      </c>
      <c r="G2893">
        <v>58.24</v>
      </c>
      <c r="H2893">
        <v>186</v>
      </c>
      <c r="I2893" t="s">
        <v>23</v>
      </c>
      <c r="J2893">
        <v>2024</v>
      </c>
      <c r="K2893">
        <f t="shared" si="90"/>
        <v>38.249999999999993</v>
      </c>
      <c r="L2893" t="str">
        <f t="shared" si="91"/>
        <v>Banca Veneta|2|Carte</v>
      </c>
    </row>
    <row r="2894" spans="1:12" x14ac:dyDescent="0.25">
      <c r="A2894" t="s">
        <v>34</v>
      </c>
      <c r="B2894">
        <v>2</v>
      </c>
      <c r="C2894" t="s">
        <v>18</v>
      </c>
      <c r="D2894" s="1">
        <v>45351</v>
      </c>
      <c r="E2894">
        <v>2199.1999999999998</v>
      </c>
      <c r="F2894">
        <v>117.11</v>
      </c>
      <c r="G2894">
        <v>71.27</v>
      </c>
      <c r="H2894">
        <v>248</v>
      </c>
      <c r="I2894" t="s">
        <v>23</v>
      </c>
      <c r="J2894">
        <v>2024</v>
      </c>
      <c r="K2894">
        <f t="shared" si="90"/>
        <v>45.84</v>
      </c>
      <c r="L2894" t="str">
        <f t="shared" si="91"/>
        <v>Banca Veneta|2|Leasing</v>
      </c>
    </row>
    <row r="2895" spans="1:12" x14ac:dyDescent="0.25">
      <c r="A2895" t="s">
        <v>34</v>
      </c>
      <c r="B2895">
        <v>2</v>
      </c>
      <c r="C2895" t="s">
        <v>19</v>
      </c>
      <c r="D2895" s="1">
        <v>45351</v>
      </c>
      <c r="E2895">
        <v>2509.4</v>
      </c>
      <c r="F2895">
        <v>138.04</v>
      </c>
      <c r="G2895">
        <v>83.81</v>
      </c>
      <c r="H2895">
        <v>286</v>
      </c>
      <c r="I2895" t="s">
        <v>23</v>
      </c>
      <c r="J2895">
        <v>2024</v>
      </c>
      <c r="K2895">
        <f t="shared" si="90"/>
        <v>54.22999999999999</v>
      </c>
      <c r="L2895" t="str">
        <f t="shared" si="91"/>
        <v>Banca Veneta|2|Factoring</v>
      </c>
    </row>
    <row r="2896" spans="1:12" x14ac:dyDescent="0.25">
      <c r="A2896" t="s">
        <v>34</v>
      </c>
      <c r="B2896">
        <v>2</v>
      </c>
      <c r="C2896" t="s">
        <v>20</v>
      </c>
      <c r="D2896" s="1">
        <v>45351</v>
      </c>
      <c r="E2896">
        <v>2893.1</v>
      </c>
      <c r="F2896">
        <v>165.89</v>
      </c>
      <c r="G2896">
        <v>98.88</v>
      </c>
      <c r="H2896">
        <v>321</v>
      </c>
      <c r="I2896" t="s">
        <v>23</v>
      </c>
      <c r="J2896">
        <v>2024</v>
      </c>
      <c r="K2896">
        <f t="shared" si="90"/>
        <v>67.009999999999991</v>
      </c>
      <c r="L2896" t="str">
        <f t="shared" si="91"/>
        <v>Banca Veneta|2|Risparmio</v>
      </c>
    </row>
    <row r="2897" spans="1:12" x14ac:dyDescent="0.25">
      <c r="A2897" t="s">
        <v>34</v>
      </c>
      <c r="B2897">
        <v>2</v>
      </c>
      <c r="C2897" t="s">
        <v>21</v>
      </c>
      <c r="D2897" s="1">
        <v>45351</v>
      </c>
      <c r="E2897">
        <v>3185.2</v>
      </c>
      <c r="F2897">
        <v>188.18</v>
      </c>
      <c r="G2897">
        <v>112.46</v>
      </c>
      <c r="H2897">
        <v>341</v>
      </c>
      <c r="I2897" t="s">
        <v>23</v>
      </c>
      <c r="J2897">
        <v>2024</v>
      </c>
      <c r="K2897">
        <f t="shared" si="90"/>
        <v>75.720000000000013</v>
      </c>
      <c r="L2897" t="str">
        <f t="shared" si="91"/>
        <v>Banca Veneta|2|Assicurazioni</v>
      </c>
    </row>
    <row r="2898" spans="1:12" x14ac:dyDescent="0.25">
      <c r="A2898" t="s">
        <v>34</v>
      </c>
      <c r="B2898">
        <v>3</v>
      </c>
      <c r="C2898" t="s">
        <v>13</v>
      </c>
      <c r="D2898" s="1">
        <v>45382</v>
      </c>
      <c r="E2898">
        <v>892.4</v>
      </c>
      <c r="F2898">
        <v>40.86</v>
      </c>
      <c r="G2898">
        <v>25.44</v>
      </c>
      <c r="H2898">
        <v>94</v>
      </c>
      <c r="I2898" t="s">
        <v>23</v>
      </c>
      <c r="J2898">
        <v>2024</v>
      </c>
      <c r="K2898">
        <f t="shared" si="90"/>
        <v>15.419999999999998</v>
      </c>
      <c r="L2898" t="str">
        <f t="shared" si="91"/>
        <v>Banca Veneta|3|Mutui</v>
      </c>
    </row>
    <row r="2899" spans="1:12" x14ac:dyDescent="0.25">
      <c r="A2899" t="s">
        <v>34</v>
      </c>
      <c r="B2899">
        <v>3</v>
      </c>
      <c r="C2899" t="s">
        <v>15</v>
      </c>
      <c r="D2899" s="1">
        <v>45382</v>
      </c>
      <c r="E2899">
        <v>1231.8</v>
      </c>
      <c r="F2899">
        <v>58.46</v>
      </c>
      <c r="G2899">
        <v>36.630000000000003</v>
      </c>
      <c r="H2899">
        <v>140</v>
      </c>
      <c r="I2899" t="s">
        <v>23</v>
      </c>
      <c r="J2899">
        <v>2024</v>
      </c>
      <c r="K2899">
        <f t="shared" si="90"/>
        <v>21.83</v>
      </c>
      <c r="L2899" t="str">
        <f t="shared" si="91"/>
        <v>Banca Veneta|3|Prestiti</v>
      </c>
    </row>
    <row r="2900" spans="1:12" x14ac:dyDescent="0.25">
      <c r="A2900" t="s">
        <v>34</v>
      </c>
      <c r="B2900">
        <v>3</v>
      </c>
      <c r="C2900" t="s">
        <v>16</v>
      </c>
      <c r="D2900" s="1">
        <v>45382</v>
      </c>
      <c r="E2900">
        <v>1544.2</v>
      </c>
      <c r="F2900">
        <v>76.33</v>
      </c>
      <c r="G2900">
        <v>46.88</v>
      </c>
      <c r="H2900">
        <v>191</v>
      </c>
      <c r="I2900" t="s">
        <v>23</v>
      </c>
      <c r="J2900">
        <v>2024</v>
      </c>
      <c r="K2900">
        <f t="shared" si="90"/>
        <v>29.449999999999996</v>
      </c>
      <c r="L2900" t="str">
        <f t="shared" si="91"/>
        <v>Banca Veneta|3|Conti</v>
      </c>
    </row>
    <row r="2901" spans="1:12" x14ac:dyDescent="0.25">
      <c r="A2901" t="s">
        <v>34</v>
      </c>
      <c r="B2901">
        <v>3</v>
      </c>
      <c r="C2901" t="s">
        <v>17</v>
      </c>
      <c r="D2901" s="1">
        <v>45382</v>
      </c>
      <c r="E2901">
        <v>1865.6</v>
      </c>
      <c r="F2901">
        <v>95.87</v>
      </c>
      <c r="G2901">
        <v>57.99</v>
      </c>
      <c r="H2901">
        <v>188</v>
      </c>
      <c r="I2901" t="s">
        <v>23</v>
      </c>
      <c r="J2901">
        <v>2024</v>
      </c>
      <c r="K2901">
        <f t="shared" si="90"/>
        <v>37.880000000000003</v>
      </c>
      <c r="L2901" t="str">
        <f t="shared" si="91"/>
        <v>Banca Veneta|3|Carte</v>
      </c>
    </row>
    <row r="2902" spans="1:12" x14ac:dyDescent="0.25">
      <c r="A2902" t="s">
        <v>34</v>
      </c>
      <c r="B2902">
        <v>3</v>
      </c>
      <c r="C2902" t="s">
        <v>18</v>
      </c>
      <c r="D2902" s="1">
        <v>45382</v>
      </c>
      <c r="E2902">
        <v>2227.6</v>
      </c>
      <c r="F2902">
        <v>118.82</v>
      </c>
      <c r="G2902">
        <v>72.150000000000006</v>
      </c>
      <c r="H2902">
        <v>221</v>
      </c>
      <c r="I2902" t="s">
        <v>23</v>
      </c>
      <c r="J2902">
        <v>2024</v>
      </c>
      <c r="K2902">
        <f t="shared" si="90"/>
        <v>46.669999999999987</v>
      </c>
      <c r="L2902" t="str">
        <f t="shared" si="91"/>
        <v>Banca Veneta|3|Leasing</v>
      </c>
    </row>
    <row r="2903" spans="1:12" x14ac:dyDescent="0.25">
      <c r="A2903" t="s">
        <v>34</v>
      </c>
      <c r="B2903">
        <v>3</v>
      </c>
      <c r="C2903" t="s">
        <v>19</v>
      </c>
      <c r="D2903" s="1">
        <v>45382</v>
      </c>
      <c r="E2903">
        <v>2533.1999999999998</v>
      </c>
      <c r="F2903">
        <v>139.88999999999999</v>
      </c>
      <c r="G2903">
        <v>83.8</v>
      </c>
      <c r="H2903">
        <v>255</v>
      </c>
      <c r="I2903" t="s">
        <v>23</v>
      </c>
      <c r="J2903">
        <v>2024</v>
      </c>
      <c r="K2903">
        <f t="shared" si="90"/>
        <v>56.089999999999989</v>
      </c>
      <c r="L2903" t="str">
        <f t="shared" si="91"/>
        <v>Banca Veneta|3|Factoring</v>
      </c>
    </row>
    <row r="2904" spans="1:12" x14ac:dyDescent="0.25">
      <c r="A2904" t="s">
        <v>34</v>
      </c>
      <c r="B2904">
        <v>3</v>
      </c>
      <c r="C2904" t="s">
        <v>20</v>
      </c>
      <c r="D2904" s="1">
        <v>45382</v>
      </c>
      <c r="E2904">
        <v>2863</v>
      </c>
      <c r="F2904">
        <v>163.21</v>
      </c>
      <c r="G2904">
        <v>97.88</v>
      </c>
      <c r="H2904">
        <v>302</v>
      </c>
      <c r="I2904" t="s">
        <v>23</v>
      </c>
      <c r="J2904">
        <v>2024</v>
      </c>
      <c r="K2904">
        <f t="shared" si="90"/>
        <v>65.330000000000013</v>
      </c>
      <c r="L2904" t="str">
        <f t="shared" si="91"/>
        <v>Banca Veneta|3|Risparmio</v>
      </c>
    </row>
    <row r="2905" spans="1:12" x14ac:dyDescent="0.25">
      <c r="A2905" t="s">
        <v>34</v>
      </c>
      <c r="B2905">
        <v>3</v>
      </c>
      <c r="C2905" t="s">
        <v>21</v>
      </c>
      <c r="D2905" s="1">
        <v>45382</v>
      </c>
      <c r="E2905">
        <v>3240.8</v>
      </c>
      <c r="F2905">
        <v>191.3</v>
      </c>
      <c r="G2905">
        <v>114.14</v>
      </c>
      <c r="H2905">
        <v>320</v>
      </c>
      <c r="I2905" t="s">
        <v>23</v>
      </c>
      <c r="J2905">
        <v>2024</v>
      </c>
      <c r="K2905">
        <f t="shared" si="90"/>
        <v>77.160000000000011</v>
      </c>
      <c r="L2905" t="str">
        <f t="shared" si="91"/>
        <v>Banca Veneta|3|Assicurazioni</v>
      </c>
    </row>
    <row r="2906" spans="1:12" x14ac:dyDescent="0.25">
      <c r="A2906" t="s">
        <v>34</v>
      </c>
      <c r="B2906">
        <v>4</v>
      </c>
      <c r="C2906" t="s">
        <v>13</v>
      </c>
      <c r="D2906" s="1">
        <v>45412</v>
      </c>
      <c r="E2906">
        <v>891.1</v>
      </c>
      <c r="F2906">
        <v>40.22</v>
      </c>
      <c r="G2906">
        <v>25.41</v>
      </c>
      <c r="H2906">
        <v>110</v>
      </c>
      <c r="I2906" t="s">
        <v>23</v>
      </c>
      <c r="J2906">
        <v>2024</v>
      </c>
      <c r="K2906">
        <f t="shared" si="90"/>
        <v>14.809999999999999</v>
      </c>
      <c r="L2906" t="str">
        <f t="shared" si="91"/>
        <v>Banca Veneta|4|Mutui</v>
      </c>
    </row>
    <row r="2907" spans="1:12" x14ac:dyDescent="0.25">
      <c r="A2907" t="s">
        <v>34</v>
      </c>
      <c r="B2907">
        <v>4</v>
      </c>
      <c r="C2907" t="s">
        <v>15</v>
      </c>
      <c r="D2907" s="1">
        <v>45412</v>
      </c>
      <c r="E2907">
        <v>1216</v>
      </c>
      <c r="F2907">
        <v>57.58</v>
      </c>
      <c r="G2907">
        <v>35.78</v>
      </c>
      <c r="H2907">
        <v>154</v>
      </c>
      <c r="I2907" t="s">
        <v>23</v>
      </c>
      <c r="J2907">
        <v>2024</v>
      </c>
      <c r="K2907">
        <f t="shared" si="90"/>
        <v>21.799999999999997</v>
      </c>
      <c r="L2907" t="str">
        <f t="shared" si="91"/>
        <v>Banca Veneta|4|Prestiti</v>
      </c>
    </row>
    <row r="2908" spans="1:12" x14ac:dyDescent="0.25">
      <c r="A2908" t="s">
        <v>34</v>
      </c>
      <c r="B2908">
        <v>4</v>
      </c>
      <c r="C2908" t="s">
        <v>16</v>
      </c>
      <c r="D2908" s="1">
        <v>45412</v>
      </c>
      <c r="E2908">
        <v>1569.3</v>
      </c>
      <c r="F2908">
        <v>76.989999999999995</v>
      </c>
      <c r="G2908">
        <v>47.95</v>
      </c>
      <c r="H2908">
        <v>154</v>
      </c>
      <c r="I2908" t="s">
        <v>23</v>
      </c>
      <c r="J2908">
        <v>2024</v>
      </c>
      <c r="K2908">
        <f t="shared" si="90"/>
        <v>29.039999999999992</v>
      </c>
      <c r="L2908" t="str">
        <f t="shared" si="91"/>
        <v>Banca Veneta|4|Conti</v>
      </c>
    </row>
    <row r="2909" spans="1:12" x14ac:dyDescent="0.25">
      <c r="A2909" t="s">
        <v>34</v>
      </c>
      <c r="B2909">
        <v>4</v>
      </c>
      <c r="C2909" t="s">
        <v>17</v>
      </c>
      <c r="D2909" s="1">
        <v>45412</v>
      </c>
      <c r="E2909">
        <v>1877.4</v>
      </c>
      <c r="F2909">
        <v>96.58</v>
      </c>
      <c r="G2909">
        <v>58.54</v>
      </c>
      <c r="H2909">
        <v>186</v>
      </c>
      <c r="I2909" t="s">
        <v>23</v>
      </c>
      <c r="J2909">
        <v>2024</v>
      </c>
      <c r="K2909">
        <f t="shared" si="90"/>
        <v>38.04</v>
      </c>
      <c r="L2909" t="str">
        <f t="shared" si="91"/>
        <v>Banca Veneta|4|Carte</v>
      </c>
    </row>
    <row r="2910" spans="1:12" x14ac:dyDescent="0.25">
      <c r="A2910" t="s">
        <v>34</v>
      </c>
      <c r="B2910">
        <v>4</v>
      </c>
      <c r="C2910" t="s">
        <v>18</v>
      </c>
      <c r="D2910" s="1">
        <v>45412</v>
      </c>
      <c r="E2910">
        <v>2260.5</v>
      </c>
      <c r="F2910">
        <v>120.17</v>
      </c>
      <c r="G2910">
        <v>73.12</v>
      </c>
      <c r="H2910">
        <v>235</v>
      </c>
      <c r="I2910" t="s">
        <v>23</v>
      </c>
      <c r="J2910">
        <v>2024</v>
      </c>
      <c r="K2910">
        <f t="shared" si="90"/>
        <v>47.05</v>
      </c>
      <c r="L2910" t="str">
        <f t="shared" si="91"/>
        <v>Banca Veneta|4|Leasing</v>
      </c>
    </row>
    <row r="2911" spans="1:12" x14ac:dyDescent="0.25">
      <c r="A2911" t="s">
        <v>34</v>
      </c>
      <c r="B2911">
        <v>4</v>
      </c>
      <c r="C2911" t="s">
        <v>19</v>
      </c>
      <c r="D2911" s="1">
        <v>45412</v>
      </c>
      <c r="E2911">
        <v>2547</v>
      </c>
      <c r="F2911">
        <v>140.22</v>
      </c>
      <c r="G2911">
        <v>84.1</v>
      </c>
      <c r="H2911">
        <v>257</v>
      </c>
      <c r="I2911" t="s">
        <v>23</v>
      </c>
      <c r="J2911">
        <v>2024</v>
      </c>
      <c r="K2911">
        <f t="shared" si="90"/>
        <v>56.120000000000005</v>
      </c>
      <c r="L2911" t="str">
        <f t="shared" si="91"/>
        <v>Banca Veneta|4|Factoring</v>
      </c>
    </row>
    <row r="2912" spans="1:12" x14ac:dyDescent="0.25">
      <c r="A2912" t="s">
        <v>34</v>
      </c>
      <c r="B2912">
        <v>4</v>
      </c>
      <c r="C2912" t="s">
        <v>20</v>
      </c>
      <c r="D2912" s="1">
        <v>45412</v>
      </c>
      <c r="E2912">
        <v>2903</v>
      </c>
      <c r="F2912">
        <v>165.48</v>
      </c>
      <c r="G2912">
        <v>98.72</v>
      </c>
      <c r="H2912">
        <v>308</v>
      </c>
      <c r="I2912" t="s">
        <v>23</v>
      </c>
      <c r="J2912">
        <v>2024</v>
      </c>
      <c r="K2912">
        <f t="shared" si="90"/>
        <v>66.759999999999991</v>
      </c>
      <c r="L2912" t="str">
        <f t="shared" si="91"/>
        <v>Banca Veneta|4|Risparmio</v>
      </c>
    </row>
    <row r="2913" spans="1:12" x14ac:dyDescent="0.25">
      <c r="A2913" t="s">
        <v>34</v>
      </c>
      <c r="B2913">
        <v>4</v>
      </c>
      <c r="C2913" t="s">
        <v>21</v>
      </c>
      <c r="D2913" s="1">
        <v>45412</v>
      </c>
      <c r="E2913">
        <v>3230.6</v>
      </c>
      <c r="F2913">
        <v>190.9</v>
      </c>
      <c r="G2913">
        <v>113.34</v>
      </c>
      <c r="H2913">
        <v>350</v>
      </c>
      <c r="I2913" t="s">
        <v>23</v>
      </c>
      <c r="J2913">
        <v>2024</v>
      </c>
      <c r="K2913">
        <f t="shared" si="90"/>
        <v>77.56</v>
      </c>
      <c r="L2913" t="str">
        <f t="shared" si="91"/>
        <v>Banca Veneta|4|Assicurazioni</v>
      </c>
    </row>
    <row r="2914" spans="1:12" x14ac:dyDescent="0.25">
      <c r="A2914" t="s">
        <v>34</v>
      </c>
      <c r="B2914">
        <v>5</v>
      </c>
      <c r="C2914" t="s">
        <v>13</v>
      </c>
      <c r="D2914" s="1">
        <v>45443</v>
      </c>
      <c r="E2914">
        <v>923.1</v>
      </c>
      <c r="F2914">
        <v>41.59</v>
      </c>
      <c r="G2914">
        <v>26.17</v>
      </c>
      <c r="H2914">
        <v>111</v>
      </c>
      <c r="I2914" t="s">
        <v>23</v>
      </c>
      <c r="J2914">
        <v>2024</v>
      </c>
      <c r="K2914">
        <f t="shared" si="90"/>
        <v>15.420000000000002</v>
      </c>
      <c r="L2914" t="str">
        <f t="shared" si="91"/>
        <v>Banca Veneta|5|Mutui</v>
      </c>
    </row>
    <row r="2915" spans="1:12" x14ac:dyDescent="0.25">
      <c r="A2915" t="s">
        <v>34</v>
      </c>
      <c r="B2915">
        <v>5</v>
      </c>
      <c r="C2915" t="s">
        <v>15</v>
      </c>
      <c r="D2915" s="1">
        <v>45443</v>
      </c>
      <c r="E2915">
        <v>1234.4000000000001</v>
      </c>
      <c r="F2915">
        <v>58.16</v>
      </c>
      <c r="G2915">
        <v>36.270000000000003</v>
      </c>
      <c r="H2915">
        <v>137</v>
      </c>
      <c r="I2915" t="s">
        <v>23</v>
      </c>
      <c r="J2915">
        <v>2024</v>
      </c>
      <c r="K2915">
        <f t="shared" si="90"/>
        <v>21.889999999999993</v>
      </c>
      <c r="L2915" t="str">
        <f t="shared" si="91"/>
        <v>Banca Veneta|5|Prestiti</v>
      </c>
    </row>
    <row r="2916" spans="1:12" x14ac:dyDescent="0.25">
      <c r="A2916" t="s">
        <v>34</v>
      </c>
      <c r="B2916">
        <v>5</v>
      </c>
      <c r="C2916" t="s">
        <v>16</v>
      </c>
      <c r="D2916" s="1">
        <v>45443</v>
      </c>
      <c r="E2916">
        <v>1607.7</v>
      </c>
      <c r="F2916">
        <v>79.53</v>
      </c>
      <c r="G2916">
        <v>48.89</v>
      </c>
      <c r="H2916">
        <v>163</v>
      </c>
      <c r="I2916" t="s">
        <v>23</v>
      </c>
      <c r="J2916">
        <v>2024</v>
      </c>
      <c r="K2916">
        <f t="shared" si="90"/>
        <v>30.64</v>
      </c>
      <c r="L2916" t="str">
        <f t="shared" si="91"/>
        <v>Banca Veneta|5|Conti</v>
      </c>
    </row>
    <row r="2917" spans="1:12" x14ac:dyDescent="0.25">
      <c r="A2917" t="s">
        <v>34</v>
      </c>
      <c r="B2917">
        <v>5</v>
      </c>
      <c r="C2917" t="s">
        <v>17</v>
      </c>
      <c r="D2917" s="1">
        <v>45443</v>
      </c>
      <c r="E2917">
        <v>1909.3</v>
      </c>
      <c r="F2917">
        <v>97.71</v>
      </c>
      <c r="G2917">
        <v>60.18</v>
      </c>
      <c r="H2917">
        <v>207</v>
      </c>
      <c r="I2917" t="s">
        <v>23</v>
      </c>
      <c r="J2917">
        <v>2024</v>
      </c>
      <c r="K2917">
        <f t="shared" si="90"/>
        <v>37.529999999999994</v>
      </c>
      <c r="L2917" t="str">
        <f t="shared" si="91"/>
        <v>Banca Veneta|5|Carte</v>
      </c>
    </row>
    <row r="2918" spans="1:12" x14ac:dyDescent="0.25">
      <c r="A2918" t="s">
        <v>34</v>
      </c>
      <c r="B2918">
        <v>5</v>
      </c>
      <c r="C2918" t="s">
        <v>18</v>
      </c>
      <c r="D2918" s="1">
        <v>45443</v>
      </c>
      <c r="E2918">
        <v>2259</v>
      </c>
      <c r="F2918">
        <v>120.11</v>
      </c>
      <c r="G2918">
        <v>72.599999999999994</v>
      </c>
      <c r="H2918">
        <v>238</v>
      </c>
      <c r="I2918" t="s">
        <v>23</v>
      </c>
      <c r="J2918">
        <v>2024</v>
      </c>
      <c r="K2918">
        <f t="shared" si="90"/>
        <v>47.510000000000005</v>
      </c>
      <c r="L2918" t="str">
        <f t="shared" si="91"/>
        <v>Banca Veneta|5|Leasing</v>
      </c>
    </row>
    <row r="2919" spans="1:12" x14ac:dyDescent="0.25">
      <c r="A2919" t="s">
        <v>34</v>
      </c>
      <c r="B2919">
        <v>5</v>
      </c>
      <c r="C2919" t="s">
        <v>19</v>
      </c>
      <c r="D2919" s="1">
        <v>45443</v>
      </c>
      <c r="E2919">
        <v>2615</v>
      </c>
      <c r="F2919">
        <v>143.9</v>
      </c>
      <c r="G2919">
        <v>86.5</v>
      </c>
      <c r="H2919">
        <v>283</v>
      </c>
      <c r="I2919" t="s">
        <v>23</v>
      </c>
      <c r="J2919">
        <v>2024</v>
      </c>
      <c r="K2919">
        <f t="shared" si="90"/>
        <v>57.400000000000006</v>
      </c>
      <c r="L2919" t="str">
        <f t="shared" si="91"/>
        <v>Banca Veneta|5|Factoring</v>
      </c>
    </row>
    <row r="2920" spans="1:12" x14ac:dyDescent="0.25">
      <c r="A2920" t="s">
        <v>34</v>
      </c>
      <c r="B2920">
        <v>5</v>
      </c>
      <c r="C2920" t="s">
        <v>20</v>
      </c>
      <c r="D2920" s="1">
        <v>45443</v>
      </c>
      <c r="E2920">
        <v>2945.4</v>
      </c>
      <c r="F2920">
        <v>168.45</v>
      </c>
      <c r="G2920">
        <v>100.6</v>
      </c>
      <c r="H2920">
        <v>290</v>
      </c>
      <c r="I2920" t="s">
        <v>23</v>
      </c>
      <c r="J2920">
        <v>2024</v>
      </c>
      <c r="K2920">
        <f t="shared" si="90"/>
        <v>67.849999999999994</v>
      </c>
      <c r="L2920" t="str">
        <f t="shared" si="91"/>
        <v>Banca Veneta|5|Risparmio</v>
      </c>
    </row>
    <row r="2921" spans="1:12" x14ac:dyDescent="0.25">
      <c r="A2921" t="s">
        <v>34</v>
      </c>
      <c r="B2921">
        <v>5</v>
      </c>
      <c r="C2921" t="s">
        <v>21</v>
      </c>
      <c r="D2921" s="1">
        <v>45443</v>
      </c>
      <c r="E2921">
        <v>3270.4</v>
      </c>
      <c r="F2921">
        <v>193</v>
      </c>
      <c r="G2921">
        <v>114.64</v>
      </c>
      <c r="H2921">
        <v>318</v>
      </c>
      <c r="I2921" t="s">
        <v>23</v>
      </c>
      <c r="J2921">
        <v>2024</v>
      </c>
      <c r="K2921">
        <f t="shared" si="90"/>
        <v>78.36</v>
      </c>
      <c r="L2921" t="str">
        <f t="shared" si="91"/>
        <v>Banca Veneta|5|Assicurazioni</v>
      </c>
    </row>
    <row r="2922" spans="1:12" x14ac:dyDescent="0.25">
      <c r="A2922" t="s">
        <v>34</v>
      </c>
      <c r="B2922">
        <v>6</v>
      </c>
      <c r="C2922" t="s">
        <v>13</v>
      </c>
      <c r="D2922" s="1">
        <v>45473</v>
      </c>
      <c r="E2922">
        <v>929.2</v>
      </c>
      <c r="F2922">
        <v>42.48</v>
      </c>
      <c r="G2922">
        <v>26.61</v>
      </c>
      <c r="H2922">
        <v>96</v>
      </c>
      <c r="I2922" t="s">
        <v>23</v>
      </c>
      <c r="J2922">
        <v>2024</v>
      </c>
      <c r="K2922">
        <f t="shared" si="90"/>
        <v>15.869999999999997</v>
      </c>
      <c r="L2922" t="str">
        <f t="shared" si="91"/>
        <v>Banca Veneta|6|Mutui</v>
      </c>
    </row>
    <row r="2923" spans="1:12" x14ac:dyDescent="0.25">
      <c r="A2923" t="s">
        <v>34</v>
      </c>
      <c r="B2923">
        <v>6</v>
      </c>
      <c r="C2923" t="s">
        <v>15</v>
      </c>
      <c r="D2923" s="1">
        <v>45473</v>
      </c>
      <c r="E2923">
        <v>1246.7</v>
      </c>
      <c r="F2923">
        <v>58.95</v>
      </c>
      <c r="G2923">
        <v>36.89</v>
      </c>
      <c r="H2923">
        <v>131</v>
      </c>
      <c r="I2923" t="s">
        <v>23</v>
      </c>
      <c r="J2923">
        <v>2024</v>
      </c>
      <c r="K2923">
        <f t="shared" si="90"/>
        <v>22.060000000000002</v>
      </c>
      <c r="L2923" t="str">
        <f t="shared" si="91"/>
        <v>Banca Veneta|6|Prestiti</v>
      </c>
    </row>
    <row r="2924" spans="1:12" x14ac:dyDescent="0.25">
      <c r="A2924" t="s">
        <v>34</v>
      </c>
      <c r="B2924">
        <v>6</v>
      </c>
      <c r="C2924" t="s">
        <v>16</v>
      </c>
      <c r="D2924" s="1">
        <v>45473</v>
      </c>
      <c r="E2924">
        <v>1575</v>
      </c>
      <c r="F2924">
        <v>77.48</v>
      </c>
      <c r="G2924">
        <v>47.94</v>
      </c>
      <c r="H2924">
        <v>165</v>
      </c>
      <c r="I2924" t="s">
        <v>23</v>
      </c>
      <c r="J2924">
        <v>2024</v>
      </c>
      <c r="K2924">
        <f t="shared" si="90"/>
        <v>29.540000000000006</v>
      </c>
      <c r="L2924" t="str">
        <f t="shared" si="91"/>
        <v>Banca Veneta|6|Conti</v>
      </c>
    </row>
    <row r="2925" spans="1:12" x14ac:dyDescent="0.25">
      <c r="A2925" t="s">
        <v>34</v>
      </c>
      <c r="B2925">
        <v>6</v>
      </c>
      <c r="C2925" t="s">
        <v>17</v>
      </c>
      <c r="D2925" s="1">
        <v>45473</v>
      </c>
      <c r="E2925">
        <v>1944</v>
      </c>
      <c r="F2925">
        <v>99.88</v>
      </c>
      <c r="G2925">
        <v>61.06</v>
      </c>
      <c r="H2925">
        <v>215</v>
      </c>
      <c r="I2925" t="s">
        <v>23</v>
      </c>
      <c r="J2925">
        <v>2024</v>
      </c>
      <c r="K2925">
        <f t="shared" si="90"/>
        <v>38.819999999999993</v>
      </c>
      <c r="L2925" t="str">
        <f t="shared" si="91"/>
        <v>Banca Veneta|6|Carte</v>
      </c>
    </row>
    <row r="2926" spans="1:12" x14ac:dyDescent="0.25">
      <c r="A2926" t="s">
        <v>34</v>
      </c>
      <c r="B2926">
        <v>6</v>
      </c>
      <c r="C2926" t="s">
        <v>18</v>
      </c>
      <c r="D2926" s="1">
        <v>45473</v>
      </c>
      <c r="E2926">
        <v>2286.3000000000002</v>
      </c>
      <c r="F2926">
        <v>122.11</v>
      </c>
      <c r="G2926">
        <v>73.790000000000006</v>
      </c>
      <c r="H2926">
        <v>247</v>
      </c>
      <c r="I2926" t="s">
        <v>23</v>
      </c>
      <c r="J2926">
        <v>2024</v>
      </c>
      <c r="K2926">
        <f t="shared" si="90"/>
        <v>48.319999999999993</v>
      </c>
      <c r="L2926" t="str">
        <f t="shared" si="91"/>
        <v>Banca Veneta|6|Leasing</v>
      </c>
    </row>
    <row r="2927" spans="1:12" x14ac:dyDescent="0.25">
      <c r="A2927" t="s">
        <v>34</v>
      </c>
      <c r="B2927">
        <v>6</v>
      </c>
      <c r="C2927" t="s">
        <v>19</v>
      </c>
      <c r="D2927" s="1">
        <v>45473</v>
      </c>
      <c r="E2927">
        <v>2609.6</v>
      </c>
      <c r="F2927">
        <v>143.83000000000001</v>
      </c>
      <c r="G2927">
        <v>86.56</v>
      </c>
      <c r="H2927">
        <v>282</v>
      </c>
      <c r="I2927" t="s">
        <v>23</v>
      </c>
      <c r="J2927">
        <v>2024</v>
      </c>
      <c r="K2927">
        <f t="shared" si="90"/>
        <v>57.27000000000001</v>
      </c>
      <c r="L2927" t="str">
        <f t="shared" si="91"/>
        <v>Banca Veneta|6|Factoring</v>
      </c>
    </row>
    <row r="2928" spans="1:12" x14ac:dyDescent="0.25">
      <c r="A2928" t="s">
        <v>34</v>
      </c>
      <c r="B2928">
        <v>6</v>
      </c>
      <c r="C2928" t="s">
        <v>20</v>
      </c>
      <c r="D2928" s="1">
        <v>45473</v>
      </c>
      <c r="E2928">
        <v>2947.4</v>
      </c>
      <c r="F2928">
        <v>168.16</v>
      </c>
      <c r="G2928">
        <v>101.12</v>
      </c>
      <c r="H2928">
        <v>312</v>
      </c>
      <c r="I2928" t="s">
        <v>23</v>
      </c>
      <c r="J2928">
        <v>2024</v>
      </c>
      <c r="K2928">
        <f t="shared" si="90"/>
        <v>67.039999999999992</v>
      </c>
      <c r="L2928" t="str">
        <f t="shared" si="91"/>
        <v>Banca Veneta|6|Risparmio</v>
      </c>
    </row>
    <row r="2929" spans="1:12" x14ac:dyDescent="0.25">
      <c r="A2929" t="s">
        <v>34</v>
      </c>
      <c r="B2929">
        <v>6</v>
      </c>
      <c r="C2929" t="s">
        <v>21</v>
      </c>
      <c r="D2929" s="1">
        <v>45473</v>
      </c>
      <c r="E2929">
        <v>3268</v>
      </c>
      <c r="F2929">
        <v>193.61</v>
      </c>
      <c r="G2929">
        <v>114.46</v>
      </c>
      <c r="H2929">
        <v>319</v>
      </c>
      <c r="I2929" t="s">
        <v>23</v>
      </c>
      <c r="J2929">
        <v>2024</v>
      </c>
      <c r="K2929">
        <f t="shared" si="90"/>
        <v>79.15000000000002</v>
      </c>
      <c r="L2929" t="str">
        <f t="shared" si="91"/>
        <v>Banca Veneta|6|Assicurazioni</v>
      </c>
    </row>
    <row r="2930" spans="1:12" x14ac:dyDescent="0.25">
      <c r="A2930" t="s">
        <v>34</v>
      </c>
      <c r="B2930">
        <v>7</v>
      </c>
      <c r="C2930" t="s">
        <v>13</v>
      </c>
      <c r="D2930" s="1">
        <v>45504</v>
      </c>
      <c r="E2930">
        <v>939.9</v>
      </c>
      <c r="F2930">
        <v>42.64</v>
      </c>
      <c r="G2930">
        <v>27.22</v>
      </c>
      <c r="H2930">
        <v>111</v>
      </c>
      <c r="I2930" t="s">
        <v>23</v>
      </c>
      <c r="J2930">
        <v>2024</v>
      </c>
      <c r="K2930">
        <f t="shared" si="90"/>
        <v>15.420000000000002</v>
      </c>
      <c r="L2930" t="str">
        <f t="shared" si="91"/>
        <v>Banca Veneta|7|Mutui</v>
      </c>
    </row>
    <row r="2931" spans="1:12" x14ac:dyDescent="0.25">
      <c r="A2931" t="s">
        <v>34</v>
      </c>
      <c r="B2931">
        <v>7</v>
      </c>
      <c r="C2931" t="s">
        <v>15</v>
      </c>
      <c r="D2931" s="1">
        <v>45504</v>
      </c>
      <c r="E2931">
        <v>1268.5999999999999</v>
      </c>
      <c r="F2931">
        <v>60.49</v>
      </c>
      <c r="G2931">
        <v>36.92</v>
      </c>
      <c r="H2931">
        <v>140</v>
      </c>
      <c r="I2931" t="s">
        <v>23</v>
      </c>
      <c r="J2931">
        <v>2024</v>
      </c>
      <c r="K2931">
        <f t="shared" si="90"/>
        <v>23.57</v>
      </c>
      <c r="L2931" t="str">
        <f t="shared" si="91"/>
        <v>Banca Veneta|7|Prestiti</v>
      </c>
    </row>
    <row r="2932" spans="1:12" x14ac:dyDescent="0.25">
      <c r="A2932" t="s">
        <v>34</v>
      </c>
      <c r="B2932">
        <v>7</v>
      </c>
      <c r="C2932" t="s">
        <v>16</v>
      </c>
      <c r="D2932" s="1">
        <v>45504</v>
      </c>
      <c r="E2932">
        <v>1603.4</v>
      </c>
      <c r="F2932">
        <v>78.819999999999993</v>
      </c>
      <c r="G2932">
        <v>48.5</v>
      </c>
      <c r="H2932">
        <v>166</v>
      </c>
      <c r="I2932" t="s">
        <v>23</v>
      </c>
      <c r="J2932">
        <v>2024</v>
      </c>
      <c r="K2932">
        <f t="shared" si="90"/>
        <v>30.319999999999993</v>
      </c>
      <c r="L2932" t="str">
        <f t="shared" si="91"/>
        <v>Banca Veneta|7|Conti</v>
      </c>
    </row>
    <row r="2933" spans="1:12" x14ac:dyDescent="0.25">
      <c r="A2933" t="s">
        <v>34</v>
      </c>
      <c r="B2933">
        <v>7</v>
      </c>
      <c r="C2933" t="s">
        <v>17</v>
      </c>
      <c r="D2933" s="1">
        <v>45504</v>
      </c>
      <c r="E2933">
        <v>1959.4</v>
      </c>
      <c r="F2933">
        <v>99.96</v>
      </c>
      <c r="G2933">
        <v>61.56</v>
      </c>
      <c r="H2933">
        <v>217</v>
      </c>
      <c r="I2933" t="s">
        <v>23</v>
      </c>
      <c r="J2933">
        <v>2024</v>
      </c>
      <c r="K2933">
        <f t="shared" si="90"/>
        <v>38.399999999999991</v>
      </c>
      <c r="L2933" t="str">
        <f t="shared" si="91"/>
        <v>Banca Veneta|7|Carte</v>
      </c>
    </row>
    <row r="2934" spans="1:12" x14ac:dyDescent="0.25">
      <c r="A2934" t="s">
        <v>34</v>
      </c>
      <c r="B2934">
        <v>7</v>
      </c>
      <c r="C2934" t="s">
        <v>18</v>
      </c>
      <c r="D2934" s="1">
        <v>45504</v>
      </c>
      <c r="E2934">
        <v>2265.1999999999998</v>
      </c>
      <c r="F2934">
        <v>120.96</v>
      </c>
      <c r="G2934">
        <v>73.41</v>
      </c>
      <c r="H2934">
        <v>255</v>
      </c>
      <c r="I2934" t="s">
        <v>23</v>
      </c>
      <c r="J2934">
        <v>2024</v>
      </c>
      <c r="K2934">
        <f t="shared" si="90"/>
        <v>47.55</v>
      </c>
      <c r="L2934" t="str">
        <f t="shared" si="91"/>
        <v>Banca Veneta|7|Leasing</v>
      </c>
    </row>
    <row r="2935" spans="1:12" x14ac:dyDescent="0.25">
      <c r="A2935" t="s">
        <v>34</v>
      </c>
      <c r="B2935">
        <v>7</v>
      </c>
      <c r="C2935" t="s">
        <v>19</v>
      </c>
      <c r="D2935" s="1">
        <v>45504</v>
      </c>
      <c r="E2935">
        <v>2621.1</v>
      </c>
      <c r="F2935">
        <v>144.56</v>
      </c>
      <c r="G2935">
        <v>87.44</v>
      </c>
      <c r="H2935">
        <v>263</v>
      </c>
      <c r="I2935" t="s">
        <v>23</v>
      </c>
      <c r="J2935">
        <v>2024</v>
      </c>
      <c r="K2935">
        <f t="shared" si="90"/>
        <v>57.120000000000005</v>
      </c>
      <c r="L2935" t="str">
        <f t="shared" si="91"/>
        <v>Banca Veneta|7|Factoring</v>
      </c>
    </row>
    <row r="2936" spans="1:12" x14ac:dyDescent="0.25">
      <c r="A2936" t="s">
        <v>34</v>
      </c>
      <c r="B2936">
        <v>7</v>
      </c>
      <c r="C2936" t="s">
        <v>20</v>
      </c>
      <c r="D2936" s="1">
        <v>45504</v>
      </c>
      <c r="E2936">
        <v>2959.2</v>
      </c>
      <c r="F2936">
        <v>169.33</v>
      </c>
      <c r="G2936">
        <v>101.3</v>
      </c>
      <c r="H2936">
        <v>317</v>
      </c>
      <c r="I2936" t="s">
        <v>23</v>
      </c>
      <c r="J2936">
        <v>2024</v>
      </c>
      <c r="K2936">
        <f t="shared" si="90"/>
        <v>68.030000000000015</v>
      </c>
      <c r="L2936" t="str">
        <f t="shared" si="91"/>
        <v>Banca Veneta|7|Risparmio</v>
      </c>
    </row>
    <row r="2937" spans="1:12" x14ac:dyDescent="0.25">
      <c r="A2937" t="s">
        <v>34</v>
      </c>
      <c r="B2937">
        <v>7</v>
      </c>
      <c r="C2937" t="s">
        <v>21</v>
      </c>
      <c r="D2937" s="1">
        <v>45504</v>
      </c>
      <c r="E2937">
        <v>3316.5</v>
      </c>
      <c r="F2937">
        <v>195.71</v>
      </c>
      <c r="G2937">
        <v>116.1</v>
      </c>
      <c r="H2937">
        <v>319</v>
      </c>
      <c r="I2937" t="s">
        <v>23</v>
      </c>
      <c r="J2937">
        <v>2024</v>
      </c>
      <c r="K2937">
        <f t="shared" si="90"/>
        <v>79.610000000000014</v>
      </c>
      <c r="L2937" t="str">
        <f t="shared" si="91"/>
        <v>Banca Veneta|7|Assicurazioni</v>
      </c>
    </row>
    <row r="2938" spans="1:12" x14ac:dyDescent="0.25">
      <c r="A2938" t="s">
        <v>34</v>
      </c>
      <c r="B2938">
        <v>8</v>
      </c>
      <c r="C2938" t="s">
        <v>13</v>
      </c>
      <c r="D2938" s="1">
        <v>45535</v>
      </c>
      <c r="E2938">
        <v>903</v>
      </c>
      <c r="F2938">
        <v>40.81</v>
      </c>
      <c r="G2938">
        <v>26.19</v>
      </c>
      <c r="H2938">
        <v>99</v>
      </c>
      <c r="I2938" t="s">
        <v>23</v>
      </c>
      <c r="J2938">
        <v>2024</v>
      </c>
      <c r="K2938">
        <f t="shared" si="90"/>
        <v>14.620000000000001</v>
      </c>
      <c r="L2938" t="str">
        <f t="shared" si="91"/>
        <v>Banca Veneta|8|Mutui</v>
      </c>
    </row>
    <row r="2939" spans="1:12" x14ac:dyDescent="0.25">
      <c r="A2939" t="s">
        <v>34</v>
      </c>
      <c r="B2939">
        <v>8</v>
      </c>
      <c r="C2939" t="s">
        <v>15</v>
      </c>
      <c r="D2939" s="1">
        <v>45535</v>
      </c>
      <c r="E2939">
        <v>1243.5999999999999</v>
      </c>
      <c r="F2939">
        <v>59.21</v>
      </c>
      <c r="G2939">
        <v>36.6</v>
      </c>
      <c r="H2939">
        <v>121</v>
      </c>
      <c r="I2939" t="s">
        <v>23</v>
      </c>
      <c r="J2939">
        <v>2024</v>
      </c>
      <c r="K2939">
        <f t="shared" si="90"/>
        <v>22.61</v>
      </c>
      <c r="L2939" t="str">
        <f t="shared" si="91"/>
        <v>Banca Veneta|8|Prestiti</v>
      </c>
    </row>
    <row r="2940" spans="1:12" x14ac:dyDescent="0.25">
      <c r="A2940" t="s">
        <v>34</v>
      </c>
      <c r="B2940">
        <v>8</v>
      </c>
      <c r="C2940" t="s">
        <v>16</v>
      </c>
      <c r="D2940" s="1">
        <v>45535</v>
      </c>
      <c r="E2940">
        <v>1609.7</v>
      </c>
      <c r="F2940">
        <v>79.849999999999994</v>
      </c>
      <c r="G2940">
        <v>48.53</v>
      </c>
      <c r="H2940">
        <v>153</v>
      </c>
      <c r="I2940" t="s">
        <v>23</v>
      </c>
      <c r="J2940">
        <v>2024</v>
      </c>
      <c r="K2940">
        <f t="shared" si="90"/>
        <v>31.319999999999993</v>
      </c>
      <c r="L2940" t="str">
        <f t="shared" si="91"/>
        <v>Banca Veneta|8|Conti</v>
      </c>
    </row>
    <row r="2941" spans="1:12" x14ac:dyDescent="0.25">
      <c r="A2941" t="s">
        <v>34</v>
      </c>
      <c r="B2941">
        <v>8</v>
      </c>
      <c r="C2941" t="s">
        <v>17</v>
      </c>
      <c r="D2941" s="1">
        <v>45535</v>
      </c>
      <c r="E2941">
        <v>1948</v>
      </c>
      <c r="F2941">
        <v>99.76</v>
      </c>
      <c r="G2941">
        <v>61.32</v>
      </c>
      <c r="H2941">
        <v>197</v>
      </c>
      <c r="I2941" t="s">
        <v>23</v>
      </c>
      <c r="J2941">
        <v>2024</v>
      </c>
      <c r="K2941">
        <f t="shared" si="90"/>
        <v>38.440000000000005</v>
      </c>
      <c r="L2941" t="str">
        <f t="shared" si="91"/>
        <v>Banca Veneta|8|Carte</v>
      </c>
    </row>
    <row r="2942" spans="1:12" x14ac:dyDescent="0.25">
      <c r="A2942" t="s">
        <v>34</v>
      </c>
      <c r="B2942">
        <v>8</v>
      </c>
      <c r="C2942" t="s">
        <v>18</v>
      </c>
      <c r="D2942" s="1">
        <v>45535</v>
      </c>
      <c r="E2942">
        <v>2324.6999999999998</v>
      </c>
      <c r="F2942">
        <v>124.14</v>
      </c>
      <c r="G2942">
        <v>75.19</v>
      </c>
      <c r="H2942">
        <v>231</v>
      </c>
      <c r="I2942" t="s">
        <v>23</v>
      </c>
      <c r="J2942">
        <v>2024</v>
      </c>
      <c r="K2942">
        <f t="shared" si="90"/>
        <v>48.95</v>
      </c>
      <c r="L2942" t="str">
        <f t="shared" si="91"/>
        <v>Banca Veneta|8|Leasing</v>
      </c>
    </row>
    <row r="2943" spans="1:12" x14ac:dyDescent="0.25">
      <c r="A2943" t="s">
        <v>34</v>
      </c>
      <c r="B2943">
        <v>8</v>
      </c>
      <c r="C2943" t="s">
        <v>19</v>
      </c>
      <c r="D2943" s="1">
        <v>45535</v>
      </c>
      <c r="E2943">
        <v>2642.8</v>
      </c>
      <c r="F2943">
        <v>145.93</v>
      </c>
      <c r="G2943">
        <v>87.74</v>
      </c>
      <c r="H2943">
        <v>288</v>
      </c>
      <c r="I2943" t="s">
        <v>23</v>
      </c>
      <c r="J2943">
        <v>2024</v>
      </c>
      <c r="K2943">
        <f t="shared" si="90"/>
        <v>58.190000000000012</v>
      </c>
      <c r="L2943" t="str">
        <f t="shared" si="91"/>
        <v>Banca Veneta|8|Factoring</v>
      </c>
    </row>
    <row r="2944" spans="1:12" x14ac:dyDescent="0.25">
      <c r="A2944" t="s">
        <v>34</v>
      </c>
      <c r="B2944">
        <v>8</v>
      </c>
      <c r="C2944" t="s">
        <v>20</v>
      </c>
      <c r="D2944" s="1">
        <v>45535</v>
      </c>
      <c r="E2944">
        <v>3027.1</v>
      </c>
      <c r="F2944">
        <v>172.55</v>
      </c>
      <c r="G2944">
        <v>103.62</v>
      </c>
      <c r="H2944">
        <v>309</v>
      </c>
      <c r="I2944" t="s">
        <v>23</v>
      </c>
      <c r="J2944">
        <v>2024</v>
      </c>
      <c r="K2944">
        <f t="shared" si="90"/>
        <v>68.930000000000007</v>
      </c>
      <c r="L2944" t="str">
        <f t="shared" si="91"/>
        <v>Banca Veneta|8|Risparmio</v>
      </c>
    </row>
    <row r="2945" spans="1:12" x14ac:dyDescent="0.25">
      <c r="A2945" t="s">
        <v>34</v>
      </c>
      <c r="B2945">
        <v>8</v>
      </c>
      <c r="C2945" t="s">
        <v>21</v>
      </c>
      <c r="D2945" s="1">
        <v>45535</v>
      </c>
      <c r="E2945">
        <v>3351.3</v>
      </c>
      <c r="F2945">
        <v>197.73</v>
      </c>
      <c r="G2945">
        <v>117.91</v>
      </c>
      <c r="H2945">
        <v>351</v>
      </c>
      <c r="I2945" t="s">
        <v>23</v>
      </c>
      <c r="J2945">
        <v>2024</v>
      </c>
      <c r="K2945">
        <f t="shared" si="90"/>
        <v>79.819999999999993</v>
      </c>
      <c r="L2945" t="str">
        <f t="shared" si="91"/>
        <v>Banca Veneta|8|Assicurazioni</v>
      </c>
    </row>
    <row r="2946" spans="1:12" x14ac:dyDescent="0.25">
      <c r="A2946" t="s">
        <v>34</v>
      </c>
      <c r="B2946">
        <v>9</v>
      </c>
      <c r="C2946" t="s">
        <v>13</v>
      </c>
      <c r="D2946" s="1">
        <v>45565</v>
      </c>
      <c r="E2946">
        <v>933.6</v>
      </c>
      <c r="F2946">
        <v>42.87</v>
      </c>
      <c r="G2946">
        <v>27.02</v>
      </c>
      <c r="H2946">
        <v>124</v>
      </c>
      <c r="I2946" t="s">
        <v>23</v>
      </c>
      <c r="J2946">
        <v>2024</v>
      </c>
      <c r="K2946">
        <f t="shared" ref="K2946:K3009" si="92">F2946-G2946</f>
        <v>15.849999999999998</v>
      </c>
      <c r="L2946" t="str">
        <f t="shared" ref="L2946:L3009" si="93">A2946&amp;"|"&amp;B2946&amp;"|"&amp;C2946</f>
        <v>Banca Veneta|9|Mutui</v>
      </c>
    </row>
    <row r="2947" spans="1:12" x14ac:dyDescent="0.25">
      <c r="A2947" t="s">
        <v>34</v>
      </c>
      <c r="B2947">
        <v>9</v>
      </c>
      <c r="C2947" t="s">
        <v>15</v>
      </c>
      <c r="D2947" s="1">
        <v>45565</v>
      </c>
      <c r="E2947">
        <v>1291.7</v>
      </c>
      <c r="F2947">
        <v>61.12</v>
      </c>
      <c r="G2947">
        <v>38.1</v>
      </c>
      <c r="H2947">
        <v>143</v>
      </c>
      <c r="I2947" t="s">
        <v>23</v>
      </c>
      <c r="J2947">
        <v>2024</v>
      </c>
      <c r="K2947">
        <f t="shared" si="92"/>
        <v>23.019999999999996</v>
      </c>
      <c r="L2947" t="str">
        <f t="shared" si="93"/>
        <v>Banca Veneta|9|Prestiti</v>
      </c>
    </row>
    <row r="2948" spans="1:12" x14ac:dyDescent="0.25">
      <c r="A2948" t="s">
        <v>34</v>
      </c>
      <c r="B2948">
        <v>9</v>
      </c>
      <c r="C2948" t="s">
        <v>16</v>
      </c>
      <c r="D2948" s="1">
        <v>45565</v>
      </c>
      <c r="E2948">
        <v>1656.7</v>
      </c>
      <c r="F2948">
        <v>81.28</v>
      </c>
      <c r="G2948">
        <v>50.37</v>
      </c>
      <c r="H2948">
        <v>166</v>
      </c>
      <c r="I2948" t="s">
        <v>23</v>
      </c>
      <c r="J2948">
        <v>2024</v>
      </c>
      <c r="K2948">
        <f t="shared" si="92"/>
        <v>30.910000000000004</v>
      </c>
      <c r="L2948" t="str">
        <f t="shared" si="93"/>
        <v>Banca Veneta|9|Conti</v>
      </c>
    </row>
    <row r="2949" spans="1:12" x14ac:dyDescent="0.25">
      <c r="A2949" t="s">
        <v>34</v>
      </c>
      <c r="B2949">
        <v>9</v>
      </c>
      <c r="C2949" t="s">
        <v>17</v>
      </c>
      <c r="D2949" s="1">
        <v>45565</v>
      </c>
      <c r="E2949">
        <v>1965.9</v>
      </c>
      <c r="F2949">
        <v>100.63</v>
      </c>
      <c r="G2949">
        <v>61.48</v>
      </c>
      <c r="H2949">
        <v>184</v>
      </c>
      <c r="I2949" t="s">
        <v>23</v>
      </c>
      <c r="J2949">
        <v>2024</v>
      </c>
      <c r="K2949">
        <f t="shared" si="92"/>
        <v>39.15</v>
      </c>
      <c r="L2949" t="str">
        <f t="shared" si="93"/>
        <v>Banca Veneta|9|Carte</v>
      </c>
    </row>
    <row r="2950" spans="1:12" x14ac:dyDescent="0.25">
      <c r="A2950" t="s">
        <v>34</v>
      </c>
      <c r="B2950">
        <v>9</v>
      </c>
      <c r="C2950" t="s">
        <v>18</v>
      </c>
      <c r="D2950" s="1">
        <v>45565</v>
      </c>
      <c r="E2950">
        <v>2320.4</v>
      </c>
      <c r="F2950">
        <v>123.22</v>
      </c>
      <c r="G2950">
        <v>74.819999999999993</v>
      </c>
      <c r="H2950">
        <v>222</v>
      </c>
      <c r="I2950" t="s">
        <v>23</v>
      </c>
      <c r="J2950">
        <v>2024</v>
      </c>
      <c r="K2950">
        <f t="shared" si="92"/>
        <v>48.400000000000006</v>
      </c>
      <c r="L2950" t="str">
        <f t="shared" si="93"/>
        <v>Banca Veneta|9|Leasing</v>
      </c>
    </row>
    <row r="2951" spans="1:12" x14ac:dyDescent="0.25">
      <c r="A2951" t="s">
        <v>34</v>
      </c>
      <c r="B2951">
        <v>9</v>
      </c>
      <c r="C2951" t="s">
        <v>19</v>
      </c>
      <c r="D2951" s="1">
        <v>45565</v>
      </c>
      <c r="E2951">
        <v>2693.6</v>
      </c>
      <c r="F2951">
        <v>148.43</v>
      </c>
      <c r="G2951">
        <v>89.45</v>
      </c>
      <c r="H2951">
        <v>269</v>
      </c>
      <c r="I2951" t="s">
        <v>23</v>
      </c>
      <c r="J2951">
        <v>2024</v>
      </c>
      <c r="K2951">
        <f t="shared" si="92"/>
        <v>58.980000000000004</v>
      </c>
      <c r="L2951" t="str">
        <f t="shared" si="93"/>
        <v>Banca Veneta|9|Factoring</v>
      </c>
    </row>
    <row r="2952" spans="1:12" x14ac:dyDescent="0.25">
      <c r="A2952" t="s">
        <v>34</v>
      </c>
      <c r="B2952">
        <v>9</v>
      </c>
      <c r="C2952" t="s">
        <v>20</v>
      </c>
      <c r="D2952" s="1">
        <v>45565</v>
      </c>
      <c r="E2952">
        <v>3042.5</v>
      </c>
      <c r="F2952">
        <v>174.23</v>
      </c>
      <c r="G2952">
        <v>103.47</v>
      </c>
      <c r="H2952">
        <v>313</v>
      </c>
      <c r="I2952" t="s">
        <v>23</v>
      </c>
      <c r="J2952">
        <v>2024</v>
      </c>
      <c r="K2952">
        <f t="shared" si="92"/>
        <v>70.759999999999991</v>
      </c>
      <c r="L2952" t="str">
        <f t="shared" si="93"/>
        <v>Banca Veneta|9|Risparmio</v>
      </c>
    </row>
    <row r="2953" spans="1:12" x14ac:dyDescent="0.25">
      <c r="A2953" t="s">
        <v>34</v>
      </c>
      <c r="B2953">
        <v>9</v>
      </c>
      <c r="C2953" t="s">
        <v>21</v>
      </c>
      <c r="D2953" s="1">
        <v>45565</v>
      </c>
      <c r="E2953">
        <v>3382</v>
      </c>
      <c r="F2953">
        <v>199.59</v>
      </c>
      <c r="G2953">
        <v>119.23</v>
      </c>
      <c r="H2953">
        <v>341</v>
      </c>
      <c r="I2953" t="s">
        <v>23</v>
      </c>
      <c r="J2953">
        <v>2024</v>
      </c>
      <c r="K2953">
        <f t="shared" si="92"/>
        <v>80.36</v>
      </c>
      <c r="L2953" t="str">
        <f t="shared" si="93"/>
        <v>Banca Veneta|9|Assicurazioni</v>
      </c>
    </row>
    <row r="2954" spans="1:12" x14ac:dyDescent="0.25">
      <c r="A2954" t="s">
        <v>34</v>
      </c>
      <c r="B2954">
        <v>10</v>
      </c>
      <c r="C2954" t="s">
        <v>13</v>
      </c>
      <c r="D2954" s="1">
        <v>45596</v>
      </c>
      <c r="E2954">
        <v>911.7</v>
      </c>
      <c r="F2954">
        <v>41.96</v>
      </c>
      <c r="G2954">
        <v>26.43</v>
      </c>
      <c r="H2954">
        <v>126</v>
      </c>
      <c r="I2954" t="s">
        <v>23</v>
      </c>
      <c r="J2954">
        <v>2024</v>
      </c>
      <c r="K2954">
        <f t="shared" si="92"/>
        <v>15.530000000000001</v>
      </c>
      <c r="L2954" t="str">
        <f t="shared" si="93"/>
        <v>Banca Veneta|10|Mutui</v>
      </c>
    </row>
    <row r="2955" spans="1:12" x14ac:dyDescent="0.25">
      <c r="A2955" t="s">
        <v>34</v>
      </c>
      <c r="B2955">
        <v>10</v>
      </c>
      <c r="C2955" t="s">
        <v>15</v>
      </c>
      <c r="D2955" s="1">
        <v>45596</v>
      </c>
      <c r="E2955">
        <v>1292.5</v>
      </c>
      <c r="F2955">
        <v>61.08</v>
      </c>
      <c r="G2955">
        <v>37.82</v>
      </c>
      <c r="H2955">
        <v>133</v>
      </c>
      <c r="I2955" t="s">
        <v>23</v>
      </c>
      <c r="J2955">
        <v>2024</v>
      </c>
      <c r="K2955">
        <f t="shared" si="92"/>
        <v>23.259999999999998</v>
      </c>
      <c r="L2955" t="str">
        <f t="shared" si="93"/>
        <v>Banca Veneta|10|Prestiti</v>
      </c>
    </row>
    <row r="2956" spans="1:12" x14ac:dyDescent="0.25">
      <c r="A2956" t="s">
        <v>34</v>
      </c>
      <c r="B2956">
        <v>10</v>
      </c>
      <c r="C2956" t="s">
        <v>16</v>
      </c>
      <c r="D2956" s="1">
        <v>45596</v>
      </c>
      <c r="E2956">
        <v>1669.6</v>
      </c>
      <c r="F2956">
        <v>82.27</v>
      </c>
      <c r="G2956">
        <v>50.69</v>
      </c>
      <c r="H2956">
        <v>171</v>
      </c>
      <c r="I2956" t="s">
        <v>23</v>
      </c>
      <c r="J2956">
        <v>2024</v>
      </c>
      <c r="K2956">
        <f t="shared" si="92"/>
        <v>31.58</v>
      </c>
      <c r="L2956" t="str">
        <f t="shared" si="93"/>
        <v>Banca Veneta|10|Conti</v>
      </c>
    </row>
    <row r="2957" spans="1:12" x14ac:dyDescent="0.25">
      <c r="A2957" t="s">
        <v>34</v>
      </c>
      <c r="B2957">
        <v>10</v>
      </c>
      <c r="C2957" t="s">
        <v>17</v>
      </c>
      <c r="D2957" s="1">
        <v>45596</v>
      </c>
      <c r="E2957">
        <v>1987.9</v>
      </c>
      <c r="F2957">
        <v>101.67</v>
      </c>
      <c r="G2957">
        <v>62.36</v>
      </c>
      <c r="H2957">
        <v>189</v>
      </c>
      <c r="I2957" t="s">
        <v>23</v>
      </c>
      <c r="J2957">
        <v>2024</v>
      </c>
      <c r="K2957">
        <f t="shared" si="92"/>
        <v>39.31</v>
      </c>
      <c r="L2957" t="str">
        <f t="shared" si="93"/>
        <v>Banca Veneta|10|Carte</v>
      </c>
    </row>
    <row r="2958" spans="1:12" x14ac:dyDescent="0.25">
      <c r="A2958" t="s">
        <v>34</v>
      </c>
      <c r="B2958">
        <v>10</v>
      </c>
      <c r="C2958" t="s">
        <v>18</v>
      </c>
      <c r="D2958" s="1">
        <v>45596</v>
      </c>
      <c r="E2958">
        <v>2328.5</v>
      </c>
      <c r="F2958">
        <v>124.27</v>
      </c>
      <c r="G2958">
        <v>74.67</v>
      </c>
      <c r="H2958">
        <v>249</v>
      </c>
      <c r="I2958" t="s">
        <v>23</v>
      </c>
      <c r="J2958">
        <v>2024</v>
      </c>
      <c r="K2958">
        <f t="shared" si="92"/>
        <v>49.599999999999994</v>
      </c>
      <c r="L2958" t="str">
        <f t="shared" si="93"/>
        <v>Banca Veneta|10|Leasing</v>
      </c>
    </row>
    <row r="2959" spans="1:12" x14ac:dyDescent="0.25">
      <c r="A2959" t="s">
        <v>34</v>
      </c>
      <c r="B2959">
        <v>10</v>
      </c>
      <c r="C2959" t="s">
        <v>19</v>
      </c>
      <c r="D2959" s="1">
        <v>45596</v>
      </c>
      <c r="E2959">
        <v>2699.7</v>
      </c>
      <c r="F2959">
        <v>148.55000000000001</v>
      </c>
      <c r="G2959">
        <v>89.97</v>
      </c>
      <c r="H2959">
        <v>278</v>
      </c>
      <c r="I2959" t="s">
        <v>23</v>
      </c>
      <c r="J2959">
        <v>2024</v>
      </c>
      <c r="K2959">
        <f t="shared" si="92"/>
        <v>58.580000000000013</v>
      </c>
      <c r="L2959" t="str">
        <f t="shared" si="93"/>
        <v>Banca Veneta|10|Factoring</v>
      </c>
    </row>
    <row r="2960" spans="1:12" x14ac:dyDescent="0.25">
      <c r="A2960" t="s">
        <v>34</v>
      </c>
      <c r="B2960">
        <v>10</v>
      </c>
      <c r="C2960" t="s">
        <v>20</v>
      </c>
      <c r="D2960" s="1">
        <v>45596</v>
      </c>
      <c r="E2960">
        <v>3036.2</v>
      </c>
      <c r="F2960">
        <v>173.58</v>
      </c>
      <c r="G2960">
        <v>104.11</v>
      </c>
      <c r="H2960">
        <v>319</v>
      </c>
      <c r="I2960" t="s">
        <v>23</v>
      </c>
      <c r="J2960">
        <v>2024</v>
      </c>
      <c r="K2960">
        <f t="shared" si="92"/>
        <v>69.470000000000013</v>
      </c>
      <c r="L2960" t="str">
        <f t="shared" si="93"/>
        <v>Banca Veneta|10|Risparmio</v>
      </c>
    </row>
    <row r="2961" spans="1:12" x14ac:dyDescent="0.25">
      <c r="A2961" t="s">
        <v>34</v>
      </c>
      <c r="B2961">
        <v>10</v>
      </c>
      <c r="C2961" t="s">
        <v>21</v>
      </c>
      <c r="D2961" s="1">
        <v>45596</v>
      </c>
      <c r="E2961">
        <v>3379.4</v>
      </c>
      <c r="F2961">
        <v>199.72</v>
      </c>
      <c r="G2961">
        <v>118.86</v>
      </c>
      <c r="H2961">
        <v>338</v>
      </c>
      <c r="I2961" t="s">
        <v>23</v>
      </c>
      <c r="J2961">
        <v>2024</v>
      </c>
      <c r="K2961">
        <f t="shared" si="92"/>
        <v>80.86</v>
      </c>
      <c r="L2961" t="str">
        <f t="shared" si="93"/>
        <v>Banca Veneta|10|Assicurazioni</v>
      </c>
    </row>
    <row r="2962" spans="1:12" x14ac:dyDescent="0.25">
      <c r="A2962" t="s">
        <v>34</v>
      </c>
      <c r="B2962">
        <v>11</v>
      </c>
      <c r="C2962" t="s">
        <v>13</v>
      </c>
      <c r="D2962" s="1">
        <v>45626</v>
      </c>
      <c r="E2962">
        <v>933.5</v>
      </c>
      <c r="F2962">
        <v>42.95</v>
      </c>
      <c r="G2962">
        <v>26.33</v>
      </c>
      <c r="H2962">
        <v>106</v>
      </c>
      <c r="I2962" t="s">
        <v>23</v>
      </c>
      <c r="J2962">
        <v>2024</v>
      </c>
      <c r="K2962">
        <f t="shared" si="92"/>
        <v>16.620000000000005</v>
      </c>
      <c r="L2962" t="str">
        <f t="shared" si="93"/>
        <v>Banca Veneta|11|Mutui</v>
      </c>
    </row>
    <row r="2963" spans="1:12" x14ac:dyDescent="0.25">
      <c r="A2963" t="s">
        <v>34</v>
      </c>
      <c r="B2963">
        <v>11</v>
      </c>
      <c r="C2963" t="s">
        <v>15</v>
      </c>
      <c r="D2963" s="1">
        <v>45626</v>
      </c>
      <c r="E2963">
        <v>1311.5</v>
      </c>
      <c r="F2963">
        <v>61.85</v>
      </c>
      <c r="G2963">
        <v>38.57</v>
      </c>
      <c r="H2963">
        <v>133</v>
      </c>
      <c r="I2963" t="s">
        <v>23</v>
      </c>
      <c r="J2963">
        <v>2024</v>
      </c>
      <c r="K2963">
        <f t="shared" si="92"/>
        <v>23.28</v>
      </c>
      <c r="L2963" t="str">
        <f t="shared" si="93"/>
        <v>Banca Veneta|11|Prestiti</v>
      </c>
    </row>
    <row r="2964" spans="1:12" x14ac:dyDescent="0.25">
      <c r="A2964" t="s">
        <v>34</v>
      </c>
      <c r="B2964">
        <v>11</v>
      </c>
      <c r="C2964" t="s">
        <v>16</v>
      </c>
      <c r="D2964" s="1">
        <v>45626</v>
      </c>
      <c r="E2964">
        <v>1668.4</v>
      </c>
      <c r="F2964">
        <v>82.06</v>
      </c>
      <c r="G2964">
        <v>50.78</v>
      </c>
      <c r="H2964">
        <v>169</v>
      </c>
      <c r="I2964" t="s">
        <v>23</v>
      </c>
      <c r="J2964">
        <v>2024</v>
      </c>
      <c r="K2964">
        <f t="shared" si="92"/>
        <v>31.28</v>
      </c>
      <c r="L2964" t="str">
        <f t="shared" si="93"/>
        <v>Banca Veneta|11|Conti</v>
      </c>
    </row>
    <row r="2965" spans="1:12" x14ac:dyDescent="0.25">
      <c r="A2965" t="s">
        <v>34</v>
      </c>
      <c r="B2965">
        <v>11</v>
      </c>
      <c r="C2965" t="s">
        <v>17</v>
      </c>
      <c r="D2965" s="1">
        <v>45626</v>
      </c>
      <c r="E2965">
        <v>1985.2</v>
      </c>
      <c r="F2965">
        <v>102.02</v>
      </c>
      <c r="G2965">
        <v>61.63</v>
      </c>
      <c r="H2965">
        <v>200</v>
      </c>
      <c r="I2965" t="s">
        <v>23</v>
      </c>
      <c r="J2965">
        <v>2024</v>
      </c>
      <c r="K2965">
        <f t="shared" si="92"/>
        <v>40.389999999999993</v>
      </c>
      <c r="L2965" t="str">
        <f t="shared" si="93"/>
        <v>Banca Veneta|11|Carte</v>
      </c>
    </row>
    <row r="2966" spans="1:12" x14ac:dyDescent="0.25">
      <c r="A2966" t="s">
        <v>34</v>
      </c>
      <c r="B2966">
        <v>11</v>
      </c>
      <c r="C2966" t="s">
        <v>18</v>
      </c>
      <c r="D2966" s="1">
        <v>45626</v>
      </c>
      <c r="E2966">
        <v>2390.4</v>
      </c>
      <c r="F2966">
        <v>127.14</v>
      </c>
      <c r="G2966">
        <v>77.11</v>
      </c>
      <c r="H2966">
        <v>218</v>
      </c>
      <c r="I2966" t="s">
        <v>23</v>
      </c>
      <c r="J2966">
        <v>2024</v>
      </c>
      <c r="K2966">
        <f t="shared" si="92"/>
        <v>50.03</v>
      </c>
      <c r="L2966" t="str">
        <f t="shared" si="93"/>
        <v>Banca Veneta|11|Leasing</v>
      </c>
    </row>
    <row r="2967" spans="1:12" x14ac:dyDescent="0.25">
      <c r="A2967" t="s">
        <v>34</v>
      </c>
      <c r="B2967">
        <v>11</v>
      </c>
      <c r="C2967" t="s">
        <v>19</v>
      </c>
      <c r="D2967" s="1">
        <v>45626</v>
      </c>
      <c r="E2967">
        <v>2714.7</v>
      </c>
      <c r="F2967">
        <v>149.88999999999999</v>
      </c>
      <c r="G2967">
        <v>90.24</v>
      </c>
      <c r="H2967">
        <v>261</v>
      </c>
      <c r="I2967" t="s">
        <v>23</v>
      </c>
      <c r="J2967">
        <v>2024</v>
      </c>
      <c r="K2967">
        <f t="shared" si="92"/>
        <v>59.649999999999991</v>
      </c>
      <c r="L2967" t="str">
        <f t="shared" si="93"/>
        <v>Banca Veneta|11|Factoring</v>
      </c>
    </row>
    <row r="2968" spans="1:12" x14ac:dyDescent="0.25">
      <c r="A2968" t="s">
        <v>34</v>
      </c>
      <c r="B2968">
        <v>11</v>
      </c>
      <c r="C2968" t="s">
        <v>20</v>
      </c>
      <c r="D2968" s="1">
        <v>45626</v>
      </c>
      <c r="E2968">
        <v>3052.8</v>
      </c>
      <c r="F2968">
        <v>174.71</v>
      </c>
      <c r="G2968">
        <v>103.95</v>
      </c>
      <c r="H2968">
        <v>313</v>
      </c>
      <c r="I2968" t="s">
        <v>23</v>
      </c>
      <c r="J2968">
        <v>2024</v>
      </c>
      <c r="K2968">
        <f t="shared" si="92"/>
        <v>70.760000000000005</v>
      </c>
      <c r="L2968" t="str">
        <f t="shared" si="93"/>
        <v>Banca Veneta|11|Risparmio</v>
      </c>
    </row>
    <row r="2969" spans="1:12" x14ac:dyDescent="0.25">
      <c r="A2969" t="s">
        <v>34</v>
      </c>
      <c r="B2969">
        <v>11</v>
      </c>
      <c r="C2969" t="s">
        <v>21</v>
      </c>
      <c r="D2969" s="1">
        <v>45626</v>
      </c>
      <c r="E2969">
        <v>3400.4</v>
      </c>
      <c r="F2969">
        <v>201.29</v>
      </c>
      <c r="G2969">
        <v>119.69</v>
      </c>
      <c r="H2969">
        <v>319</v>
      </c>
      <c r="I2969" t="s">
        <v>23</v>
      </c>
      <c r="J2969">
        <v>2024</v>
      </c>
      <c r="K2969">
        <f t="shared" si="92"/>
        <v>81.599999999999994</v>
      </c>
      <c r="L2969" t="str">
        <f t="shared" si="93"/>
        <v>Banca Veneta|11|Assicurazioni</v>
      </c>
    </row>
    <row r="2970" spans="1:12" x14ac:dyDescent="0.25">
      <c r="A2970" t="s">
        <v>34</v>
      </c>
      <c r="B2970">
        <v>12</v>
      </c>
      <c r="C2970" t="s">
        <v>13</v>
      </c>
      <c r="D2970" s="1">
        <v>45657</v>
      </c>
      <c r="E2970">
        <v>958.7</v>
      </c>
      <c r="F2970">
        <v>43.67</v>
      </c>
      <c r="G2970">
        <v>27.37</v>
      </c>
      <c r="H2970">
        <v>125</v>
      </c>
      <c r="I2970" t="s">
        <v>23</v>
      </c>
      <c r="J2970">
        <v>2024</v>
      </c>
      <c r="K2970">
        <f t="shared" si="92"/>
        <v>16.3</v>
      </c>
      <c r="L2970" t="str">
        <f t="shared" si="93"/>
        <v>Banca Veneta|12|Mutui</v>
      </c>
    </row>
    <row r="2971" spans="1:12" x14ac:dyDescent="0.25">
      <c r="A2971" t="s">
        <v>34</v>
      </c>
      <c r="B2971">
        <v>12</v>
      </c>
      <c r="C2971" t="s">
        <v>15</v>
      </c>
      <c r="D2971" s="1">
        <v>45657</v>
      </c>
      <c r="E2971">
        <v>1316.3</v>
      </c>
      <c r="F2971">
        <v>62.65</v>
      </c>
      <c r="G2971">
        <v>38.619999999999997</v>
      </c>
      <c r="H2971">
        <v>151</v>
      </c>
      <c r="I2971" t="s">
        <v>23</v>
      </c>
      <c r="J2971">
        <v>2024</v>
      </c>
      <c r="K2971">
        <f t="shared" si="92"/>
        <v>24.03</v>
      </c>
      <c r="L2971" t="str">
        <f t="shared" si="93"/>
        <v>Banca Veneta|12|Prestiti</v>
      </c>
    </row>
    <row r="2972" spans="1:12" x14ac:dyDescent="0.25">
      <c r="A2972" t="s">
        <v>34</v>
      </c>
      <c r="B2972">
        <v>12</v>
      </c>
      <c r="C2972" t="s">
        <v>16</v>
      </c>
      <c r="D2972" s="1">
        <v>45657</v>
      </c>
      <c r="E2972">
        <v>1685.3</v>
      </c>
      <c r="F2972">
        <v>82.82</v>
      </c>
      <c r="G2972">
        <v>50.73</v>
      </c>
      <c r="H2972">
        <v>175</v>
      </c>
      <c r="I2972" t="s">
        <v>23</v>
      </c>
      <c r="J2972">
        <v>2024</v>
      </c>
      <c r="K2972">
        <f t="shared" si="92"/>
        <v>32.089999999999996</v>
      </c>
      <c r="L2972" t="str">
        <f t="shared" si="93"/>
        <v>Banca Veneta|12|Conti</v>
      </c>
    </row>
    <row r="2973" spans="1:12" x14ac:dyDescent="0.25">
      <c r="A2973" t="s">
        <v>34</v>
      </c>
      <c r="B2973">
        <v>12</v>
      </c>
      <c r="C2973" t="s">
        <v>17</v>
      </c>
      <c r="D2973" s="1">
        <v>45657</v>
      </c>
      <c r="E2973">
        <v>2047.2</v>
      </c>
      <c r="F2973">
        <v>104.73</v>
      </c>
      <c r="G2973">
        <v>63.61</v>
      </c>
      <c r="H2973">
        <v>223</v>
      </c>
      <c r="I2973" t="s">
        <v>23</v>
      </c>
      <c r="J2973">
        <v>2024</v>
      </c>
      <c r="K2973">
        <f t="shared" si="92"/>
        <v>41.120000000000005</v>
      </c>
      <c r="L2973" t="str">
        <f t="shared" si="93"/>
        <v>Banca Veneta|12|Carte</v>
      </c>
    </row>
    <row r="2974" spans="1:12" x14ac:dyDescent="0.25">
      <c r="A2974" t="s">
        <v>34</v>
      </c>
      <c r="B2974">
        <v>12</v>
      </c>
      <c r="C2974" t="s">
        <v>18</v>
      </c>
      <c r="D2974" s="1">
        <v>45657</v>
      </c>
      <c r="E2974">
        <v>2356.6999999999998</v>
      </c>
      <c r="F2974">
        <v>125.45</v>
      </c>
      <c r="G2974">
        <v>75.650000000000006</v>
      </c>
      <c r="H2974">
        <v>222</v>
      </c>
      <c r="I2974" t="s">
        <v>23</v>
      </c>
      <c r="J2974">
        <v>2024</v>
      </c>
      <c r="K2974">
        <f t="shared" si="92"/>
        <v>49.8</v>
      </c>
      <c r="L2974" t="str">
        <f t="shared" si="93"/>
        <v>Banca Veneta|12|Leasing</v>
      </c>
    </row>
    <row r="2975" spans="1:12" x14ac:dyDescent="0.25">
      <c r="A2975" t="s">
        <v>34</v>
      </c>
      <c r="B2975">
        <v>12</v>
      </c>
      <c r="C2975" t="s">
        <v>19</v>
      </c>
      <c r="D2975" s="1">
        <v>45657</v>
      </c>
      <c r="E2975">
        <v>2718.1</v>
      </c>
      <c r="F2975">
        <v>149.65</v>
      </c>
      <c r="G2975">
        <v>90.63</v>
      </c>
      <c r="H2975">
        <v>262</v>
      </c>
      <c r="I2975" t="s">
        <v>23</v>
      </c>
      <c r="J2975">
        <v>2024</v>
      </c>
      <c r="K2975">
        <f t="shared" si="92"/>
        <v>59.02000000000001</v>
      </c>
      <c r="L2975" t="str">
        <f t="shared" si="93"/>
        <v>Banca Veneta|12|Factoring</v>
      </c>
    </row>
    <row r="2976" spans="1:12" x14ac:dyDescent="0.25">
      <c r="A2976" t="s">
        <v>34</v>
      </c>
      <c r="B2976">
        <v>12</v>
      </c>
      <c r="C2976" t="s">
        <v>20</v>
      </c>
      <c r="D2976" s="1">
        <v>45657</v>
      </c>
      <c r="E2976">
        <v>3070.5</v>
      </c>
      <c r="F2976">
        <v>175.12</v>
      </c>
      <c r="G2976">
        <v>105.38</v>
      </c>
      <c r="H2976">
        <v>313</v>
      </c>
      <c r="I2976" t="s">
        <v>23</v>
      </c>
      <c r="J2976">
        <v>2024</v>
      </c>
      <c r="K2976">
        <f t="shared" si="92"/>
        <v>69.740000000000009</v>
      </c>
      <c r="L2976" t="str">
        <f t="shared" si="93"/>
        <v>Banca Veneta|12|Risparmio</v>
      </c>
    </row>
    <row r="2977" spans="1:12" x14ac:dyDescent="0.25">
      <c r="A2977" t="s">
        <v>34</v>
      </c>
      <c r="B2977">
        <v>12</v>
      </c>
      <c r="C2977" t="s">
        <v>21</v>
      </c>
      <c r="D2977" s="1">
        <v>45657</v>
      </c>
      <c r="E2977">
        <v>3457.4</v>
      </c>
      <c r="F2977">
        <v>204.92</v>
      </c>
      <c r="G2977">
        <v>121.67</v>
      </c>
      <c r="H2977">
        <v>331</v>
      </c>
      <c r="I2977" t="s">
        <v>23</v>
      </c>
      <c r="J2977">
        <v>2024</v>
      </c>
      <c r="K2977">
        <f t="shared" si="92"/>
        <v>83.249999999999986</v>
      </c>
      <c r="L2977" t="str">
        <f t="shared" si="93"/>
        <v>Banca Veneta|12|Assicurazioni</v>
      </c>
    </row>
    <row r="2978" spans="1:12" x14ac:dyDescent="0.25">
      <c r="A2978" t="s">
        <v>34</v>
      </c>
      <c r="B2978">
        <v>13</v>
      </c>
      <c r="C2978" t="s">
        <v>13</v>
      </c>
      <c r="D2978" s="1">
        <v>45688</v>
      </c>
      <c r="E2978">
        <v>945.1</v>
      </c>
      <c r="F2978">
        <v>42.66</v>
      </c>
      <c r="G2978">
        <v>27.32</v>
      </c>
      <c r="H2978">
        <v>105</v>
      </c>
      <c r="I2978" t="s">
        <v>23</v>
      </c>
      <c r="J2978">
        <v>2025</v>
      </c>
      <c r="K2978">
        <f t="shared" si="92"/>
        <v>15.339999999999996</v>
      </c>
      <c r="L2978" t="str">
        <f t="shared" si="93"/>
        <v>Banca Veneta|13|Mutui</v>
      </c>
    </row>
    <row r="2979" spans="1:12" x14ac:dyDescent="0.25">
      <c r="A2979" t="s">
        <v>34</v>
      </c>
      <c r="B2979">
        <v>13</v>
      </c>
      <c r="C2979" t="s">
        <v>15</v>
      </c>
      <c r="D2979" s="1">
        <v>45688</v>
      </c>
      <c r="E2979">
        <v>1334.9</v>
      </c>
      <c r="F2979">
        <v>63.28</v>
      </c>
      <c r="G2979">
        <v>39.270000000000003</v>
      </c>
      <c r="H2979">
        <v>153</v>
      </c>
      <c r="I2979" t="s">
        <v>23</v>
      </c>
      <c r="J2979">
        <v>2025</v>
      </c>
      <c r="K2979">
        <f t="shared" si="92"/>
        <v>24.009999999999998</v>
      </c>
      <c r="L2979" t="str">
        <f t="shared" si="93"/>
        <v>Banca Veneta|13|Prestiti</v>
      </c>
    </row>
    <row r="2980" spans="1:12" x14ac:dyDescent="0.25">
      <c r="A2980" t="s">
        <v>34</v>
      </c>
      <c r="B2980">
        <v>13</v>
      </c>
      <c r="C2980" t="s">
        <v>16</v>
      </c>
      <c r="D2980" s="1">
        <v>45688</v>
      </c>
      <c r="E2980">
        <v>1673.6</v>
      </c>
      <c r="F2980">
        <v>82.53</v>
      </c>
      <c r="G2980">
        <v>50.89</v>
      </c>
      <c r="H2980">
        <v>190</v>
      </c>
      <c r="I2980" t="s">
        <v>23</v>
      </c>
      <c r="J2980">
        <v>2025</v>
      </c>
      <c r="K2980">
        <f t="shared" si="92"/>
        <v>31.64</v>
      </c>
      <c r="L2980" t="str">
        <f t="shared" si="93"/>
        <v>Banca Veneta|13|Conti</v>
      </c>
    </row>
    <row r="2981" spans="1:12" x14ac:dyDescent="0.25">
      <c r="A2981" t="s">
        <v>34</v>
      </c>
      <c r="B2981">
        <v>13</v>
      </c>
      <c r="C2981" t="s">
        <v>17</v>
      </c>
      <c r="D2981" s="1">
        <v>45688</v>
      </c>
      <c r="E2981">
        <v>2021.1</v>
      </c>
      <c r="F2981">
        <v>103.37</v>
      </c>
      <c r="G2981">
        <v>63.04</v>
      </c>
      <c r="H2981">
        <v>214</v>
      </c>
      <c r="I2981" t="s">
        <v>23</v>
      </c>
      <c r="J2981">
        <v>2025</v>
      </c>
      <c r="K2981">
        <f t="shared" si="92"/>
        <v>40.330000000000005</v>
      </c>
      <c r="L2981" t="str">
        <f t="shared" si="93"/>
        <v>Banca Veneta|13|Carte</v>
      </c>
    </row>
    <row r="2982" spans="1:12" x14ac:dyDescent="0.25">
      <c r="A2982" t="s">
        <v>34</v>
      </c>
      <c r="B2982">
        <v>13</v>
      </c>
      <c r="C2982" t="s">
        <v>18</v>
      </c>
      <c r="D2982" s="1">
        <v>45688</v>
      </c>
      <c r="E2982">
        <v>2403.6999999999998</v>
      </c>
      <c r="F2982">
        <v>128.25</v>
      </c>
      <c r="G2982">
        <v>77.05</v>
      </c>
      <c r="H2982">
        <v>243</v>
      </c>
      <c r="I2982" t="s">
        <v>23</v>
      </c>
      <c r="J2982">
        <v>2025</v>
      </c>
      <c r="K2982">
        <f t="shared" si="92"/>
        <v>51.2</v>
      </c>
      <c r="L2982" t="str">
        <f t="shared" si="93"/>
        <v>Banca Veneta|13|Leasing</v>
      </c>
    </row>
    <row r="2983" spans="1:12" x14ac:dyDescent="0.25">
      <c r="A2983" t="s">
        <v>34</v>
      </c>
      <c r="B2983">
        <v>13</v>
      </c>
      <c r="C2983" t="s">
        <v>19</v>
      </c>
      <c r="D2983" s="1">
        <v>45688</v>
      </c>
      <c r="E2983">
        <v>2733.4</v>
      </c>
      <c r="F2983">
        <v>150.59</v>
      </c>
      <c r="G2983">
        <v>90.58</v>
      </c>
      <c r="H2983">
        <v>288</v>
      </c>
      <c r="I2983" t="s">
        <v>23</v>
      </c>
      <c r="J2983">
        <v>2025</v>
      </c>
      <c r="K2983">
        <f t="shared" si="92"/>
        <v>60.010000000000005</v>
      </c>
      <c r="L2983" t="str">
        <f t="shared" si="93"/>
        <v>Banca Veneta|13|Factoring</v>
      </c>
    </row>
    <row r="2984" spans="1:12" x14ac:dyDescent="0.25">
      <c r="A2984" t="s">
        <v>34</v>
      </c>
      <c r="B2984">
        <v>13</v>
      </c>
      <c r="C2984" t="s">
        <v>20</v>
      </c>
      <c r="D2984" s="1">
        <v>45688</v>
      </c>
      <c r="E2984">
        <v>3087.1</v>
      </c>
      <c r="F2984">
        <v>176.63</v>
      </c>
      <c r="G2984">
        <v>105.71</v>
      </c>
      <c r="H2984">
        <v>310</v>
      </c>
      <c r="I2984" t="s">
        <v>23</v>
      </c>
      <c r="J2984">
        <v>2025</v>
      </c>
      <c r="K2984">
        <f t="shared" si="92"/>
        <v>70.92</v>
      </c>
      <c r="L2984" t="str">
        <f t="shared" si="93"/>
        <v>Banca Veneta|13|Risparmio</v>
      </c>
    </row>
    <row r="2985" spans="1:12" x14ac:dyDescent="0.25">
      <c r="A2985" t="s">
        <v>34</v>
      </c>
      <c r="B2985">
        <v>13</v>
      </c>
      <c r="C2985" t="s">
        <v>21</v>
      </c>
      <c r="D2985" s="1">
        <v>45688</v>
      </c>
      <c r="E2985">
        <v>3465</v>
      </c>
      <c r="F2985">
        <v>205.13</v>
      </c>
      <c r="G2985">
        <v>122.05</v>
      </c>
      <c r="H2985">
        <v>328</v>
      </c>
      <c r="I2985" t="s">
        <v>23</v>
      </c>
      <c r="J2985">
        <v>2025</v>
      </c>
      <c r="K2985">
        <f t="shared" si="92"/>
        <v>83.08</v>
      </c>
      <c r="L2985" t="str">
        <f t="shared" si="93"/>
        <v>Banca Veneta|13|Assicurazioni</v>
      </c>
    </row>
    <row r="2986" spans="1:12" x14ac:dyDescent="0.25">
      <c r="A2986" t="s">
        <v>34</v>
      </c>
      <c r="B2986">
        <v>14</v>
      </c>
      <c r="C2986" t="s">
        <v>13</v>
      </c>
      <c r="D2986" s="1">
        <v>45716</v>
      </c>
      <c r="E2986">
        <v>988.7</v>
      </c>
      <c r="F2986">
        <v>45.09</v>
      </c>
      <c r="G2986">
        <v>27.75</v>
      </c>
      <c r="H2986">
        <v>122</v>
      </c>
      <c r="I2986" t="s">
        <v>23</v>
      </c>
      <c r="J2986">
        <v>2025</v>
      </c>
      <c r="K2986">
        <f t="shared" si="92"/>
        <v>17.340000000000003</v>
      </c>
      <c r="L2986" t="str">
        <f t="shared" si="93"/>
        <v>Banca Veneta|14|Mutui</v>
      </c>
    </row>
    <row r="2987" spans="1:12" x14ac:dyDescent="0.25">
      <c r="A2987" t="s">
        <v>34</v>
      </c>
      <c r="B2987">
        <v>14</v>
      </c>
      <c r="C2987" t="s">
        <v>15</v>
      </c>
      <c r="D2987" s="1">
        <v>45716</v>
      </c>
      <c r="E2987">
        <v>1325.3</v>
      </c>
      <c r="F2987">
        <v>62.71</v>
      </c>
      <c r="G2987">
        <v>38.46</v>
      </c>
      <c r="H2987">
        <v>140</v>
      </c>
      <c r="I2987" t="s">
        <v>23</v>
      </c>
      <c r="J2987">
        <v>2025</v>
      </c>
      <c r="K2987">
        <f t="shared" si="92"/>
        <v>24.25</v>
      </c>
      <c r="L2987" t="str">
        <f t="shared" si="93"/>
        <v>Banca Veneta|14|Prestiti</v>
      </c>
    </row>
    <row r="2988" spans="1:12" x14ac:dyDescent="0.25">
      <c r="A2988" t="s">
        <v>34</v>
      </c>
      <c r="B2988">
        <v>14</v>
      </c>
      <c r="C2988" t="s">
        <v>16</v>
      </c>
      <c r="D2988" s="1">
        <v>45716</v>
      </c>
      <c r="E2988">
        <v>1709.7</v>
      </c>
      <c r="F2988">
        <v>84.32</v>
      </c>
      <c r="G2988">
        <v>52.19</v>
      </c>
      <c r="H2988">
        <v>182</v>
      </c>
      <c r="I2988" t="s">
        <v>23</v>
      </c>
      <c r="J2988">
        <v>2025</v>
      </c>
      <c r="K2988">
        <f t="shared" si="92"/>
        <v>32.129999999999995</v>
      </c>
      <c r="L2988" t="str">
        <f t="shared" si="93"/>
        <v>Banca Veneta|14|Conti</v>
      </c>
    </row>
    <row r="2989" spans="1:12" x14ac:dyDescent="0.25">
      <c r="A2989" t="s">
        <v>34</v>
      </c>
      <c r="B2989">
        <v>14</v>
      </c>
      <c r="C2989" t="s">
        <v>17</v>
      </c>
      <c r="D2989" s="1">
        <v>45716</v>
      </c>
      <c r="E2989">
        <v>2036</v>
      </c>
      <c r="F2989">
        <v>104.83</v>
      </c>
      <c r="G2989">
        <v>63.32</v>
      </c>
      <c r="H2989">
        <v>196</v>
      </c>
      <c r="I2989" t="s">
        <v>23</v>
      </c>
      <c r="J2989">
        <v>2025</v>
      </c>
      <c r="K2989">
        <f t="shared" si="92"/>
        <v>41.51</v>
      </c>
      <c r="L2989" t="str">
        <f t="shared" si="93"/>
        <v>Banca Veneta|14|Carte</v>
      </c>
    </row>
    <row r="2990" spans="1:12" x14ac:dyDescent="0.25">
      <c r="A2990" t="s">
        <v>34</v>
      </c>
      <c r="B2990">
        <v>14</v>
      </c>
      <c r="C2990" t="s">
        <v>18</v>
      </c>
      <c r="D2990" s="1">
        <v>45716</v>
      </c>
      <c r="E2990">
        <v>2410.1</v>
      </c>
      <c r="F2990">
        <v>127.89</v>
      </c>
      <c r="G2990">
        <v>77.73</v>
      </c>
      <c r="H2990">
        <v>250</v>
      </c>
      <c r="I2990" t="s">
        <v>23</v>
      </c>
      <c r="J2990">
        <v>2025</v>
      </c>
      <c r="K2990">
        <f t="shared" si="92"/>
        <v>50.16</v>
      </c>
      <c r="L2990" t="str">
        <f t="shared" si="93"/>
        <v>Banca Veneta|14|Leasing</v>
      </c>
    </row>
    <row r="2991" spans="1:12" x14ac:dyDescent="0.25">
      <c r="A2991" t="s">
        <v>34</v>
      </c>
      <c r="B2991">
        <v>14</v>
      </c>
      <c r="C2991" t="s">
        <v>19</v>
      </c>
      <c r="D2991" s="1">
        <v>45716</v>
      </c>
      <c r="E2991">
        <v>2786</v>
      </c>
      <c r="F2991">
        <v>154.01</v>
      </c>
      <c r="G2991">
        <v>92.9</v>
      </c>
      <c r="H2991">
        <v>273</v>
      </c>
      <c r="I2991" t="s">
        <v>23</v>
      </c>
      <c r="J2991">
        <v>2025</v>
      </c>
      <c r="K2991">
        <f t="shared" si="92"/>
        <v>61.109999999999985</v>
      </c>
      <c r="L2991" t="str">
        <f t="shared" si="93"/>
        <v>Banca Veneta|14|Factoring</v>
      </c>
    </row>
    <row r="2992" spans="1:12" x14ac:dyDescent="0.25">
      <c r="A2992" t="s">
        <v>34</v>
      </c>
      <c r="B2992">
        <v>14</v>
      </c>
      <c r="C2992" t="s">
        <v>20</v>
      </c>
      <c r="D2992" s="1">
        <v>45716</v>
      </c>
      <c r="E2992">
        <v>3107.1</v>
      </c>
      <c r="F2992">
        <v>177.62</v>
      </c>
      <c r="G2992">
        <v>105.68</v>
      </c>
      <c r="H2992">
        <v>316</v>
      </c>
      <c r="I2992" t="s">
        <v>23</v>
      </c>
      <c r="J2992">
        <v>2025</v>
      </c>
      <c r="K2992">
        <f t="shared" si="92"/>
        <v>71.94</v>
      </c>
      <c r="L2992" t="str">
        <f t="shared" si="93"/>
        <v>Banca Veneta|14|Risparmio</v>
      </c>
    </row>
    <row r="2993" spans="1:12" x14ac:dyDescent="0.25">
      <c r="A2993" t="s">
        <v>34</v>
      </c>
      <c r="B2993">
        <v>14</v>
      </c>
      <c r="C2993" t="s">
        <v>21</v>
      </c>
      <c r="D2993" s="1">
        <v>45716</v>
      </c>
      <c r="E2993">
        <v>3480.3</v>
      </c>
      <c r="F2993">
        <v>206.13</v>
      </c>
      <c r="G2993">
        <v>122.06</v>
      </c>
      <c r="H2993">
        <v>322</v>
      </c>
      <c r="I2993" t="s">
        <v>23</v>
      </c>
      <c r="J2993">
        <v>2025</v>
      </c>
      <c r="K2993">
        <f t="shared" si="92"/>
        <v>84.07</v>
      </c>
      <c r="L2993" t="str">
        <f t="shared" si="93"/>
        <v>Banca Veneta|14|Assicurazioni</v>
      </c>
    </row>
    <row r="2994" spans="1:12" x14ac:dyDescent="0.25">
      <c r="A2994" t="s">
        <v>34</v>
      </c>
      <c r="B2994">
        <v>15</v>
      </c>
      <c r="C2994" t="s">
        <v>13</v>
      </c>
      <c r="D2994" s="1">
        <v>45747</v>
      </c>
      <c r="E2994">
        <v>1001.1</v>
      </c>
      <c r="F2994">
        <v>45.28</v>
      </c>
      <c r="G2994">
        <v>28.86</v>
      </c>
      <c r="H2994">
        <v>91</v>
      </c>
      <c r="I2994" t="s">
        <v>23</v>
      </c>
      <c r="J2994">
        <v>2025</v>
      </c>
      <c r="K2994">
        <f t="shared" si="92"/>
        <v>16.420000000000002</v>
      </c>
      <c r="L2994" t="str">
        <f t="shared" si="93"/>
        <v>Banca Veneta|15|Mutui</v>
      </c>
    </row>
    <row r="2995" spans="1:12" x14ac:dyDescent="0.25">
      <c r="A2995" t="s">
        <v>34</v>
      </c>
      <c r="B2995">
        <v>15</v>
      </c>
      <c r="C2995" t="s">
        <v>15</v>
      </c>
      <c r="D2995" s="1">
        <v>45747</v>
      </c>
      <c r="E2995">
        <v>1333.9</v>
      </c>
      <c r="F2995">
        <v>63.47</v>
      </c>
      <c r="G2995">
        <v>39.67</v>
      </c>
      <c r="H2995">
        <v>137</v>
      </c>
      <c r="I2995" t="s">
        <v>23</v>
      </c>
      <c r="J2995">
        <v>2025</v>
      </c>
      <c r="K2995">
        <f t="shared" si="92"/>
        <v>23.799999999999997</v>
      </c>
      <c r="L2995" t="str">
        <f t="shared" si="93"/>
        <v>Banca Veneta|15|Prestiti</v>
      </c>
    </row>
    <row r="2996" spans="1:12" x14ac:dyDescent="0.25">
      <c r="A2996" t="s">
        <v>34</v>
      </c>
      <c r="B2996">
        <v>15</v>
      </c>
      <c r="C2996" t="s">
        <v>16</v>
      </c>
      <c r="D2996" s="1">
        <v>45747</v>
      </c>
      <c r="E2996">
        <v>1697.5</v>
      </c>
      <c r="F2996">
        <v>83.67</v>
      </c>
      <c r="G2996">
        <v>51.39</v>
      </c>
      <c r="H2996">
        <v>187</v>
      </c>
      <c r="I2996" t="s">
        <v>23</v>
      </c>
      <c r="J2996">
        <v>2025</v>
      </c>
      <c r="K2996">
        <f t="shared" si="92"/>
        <v>32.28</v>
      </c>
      <c r="L2996" t="str">
        <f t="shared" si="93"/>
        <v>Banca Veneta|15|Conti</v>
      </c>
    </row>
    <row r="2997" spans="1:12" x14ac:dyDescent="0.25">
      <c r="A2997" t="s">
        <v>34</v>
      </c>
      <c r="B2997">
        <v>15</v>
      </c>
      <c r="C2997" t="s">
        <v>17</v>
      </c>
      <c r="D2997" s="1">
        <v>45747</v>
      </c>
      <c r="E2997">
        <v>2085.1</v>
      </c>
      <c r="F2997">
        <v>107.33</v>
      </c>
      <c r="G2997">
        <v>64.87</v>
      </c>
      <c r="H2997">
        <v>191</v>
      </c>
      <c r="I2997" t="s">
        <v>23</v>
      </c>
      <c r="J2997">
        <v>2025</v>
      </c>
      <c r="K2997">
        <f t="shared" si="92"/>
        <v>42.459999999999994</v>
      </c>
      <c r="L2997" t="str">
        <f t="shared" si="93"/>
        <v>Banca Veneta|15|Carte</v>
      </c>
    </row>
    <row r="2998" spans="1:12" x14ac:dyDescent="0.25">
      <c r="A2998" t="s">
        <v>34</v>
      </c>
      <c r="B2998">
        <v>15</v>
      </c>
      <c r="C2998" t="s">
        <v>18</v>
      </c>
      <c r="D2998" s="1">
        <v>45747</v>
      </c>
      <c r="E2998">
        <v>2428.8000000000002</v>
      </c>
      <c r="F2998">
        <v>129.19</v>
      </c>
      <c r="G2998">
        <v>78.150000000000006</v>
      </c>
      <c r="H2998">
        <v>238</v>
      </c>
      <c r="I2998" t="s">
        <v>23</v>
      </c>
      <c r="J2998">
        <v>2025</v>
      </c>
      <c r="K2998">
        <f t="shared" si="92"/>
        <v>51.039999999999992</v>
      </c>
      <c r="L2998" t="str">
        <f t="shared" si="93"/>
        <v>Banca Veneta|15|Leasing</v>
      </c>
    </row>
    <row r="2999" spans="1:12" x14ac:dyDescent="0.25">
      <c r="A2999" t="s">
        <v>34</v>
      </c>
      <c r="B2999">
        <v>15</v>
      </c>
      <c r="C2999" t="s">
        <v>19</v>
      </c>
      <c r="D2999" s="1">
        <v>45747</v>
      </c>
      <c r="E2999">
        <v>2808</v>
      </c>
      <c r="F2999">
        <v>154.94999999999999</v>
      </c>
      <c r="G2999">
        <v>92.69</v>
      </c>
      <c r="H2999">
        <v>272</v>
      </c>
      <c r="I2999" t="s">
        <v>23</v>
      </c>
      <c r="J2999">
        <v>2025</v>
      </c>
      <c r="K2999">
        <f t="shared" si="92"/>
        <v>62.259999999999991</v>
      </c>
      <c r="L2999" t="str">
        <f t="shared" si="93"/>
        <v>Banca Veneta|15|Factoring</v>
      </c>
    </row>
    <row r="3000" spans="1:12" x14ac:dyDescent="0.25">
      <c r="A3000" t="s">
        <v>34</v>
      </c>
      <c r="B3000">
        <v>15</v>
      </c>
      <c r="C3000" t="s">
        <v>20</v>
      </c>
      <c r="D3000" s="1">
        <v>45747</v>
      </c>
      <c r="E3000">
        <v>3176.7</v>
      </c>
      <c r="F3000">
        <v>181.82</v>
      </c>
      <c r="G3000">
        <v>108.03</v>
      </c>
      <c r="H3000">
        <v>295</v>
      </c>
      <c r="I3000" t="s">
        <v>23</v>
      </c>
      <c r="J3000">
        <v>2025</v>
      </c>
      <c r="K3000">
        <f t="shared" si="92"/>
        <v>73.789999999999992</v>
      </c>
      <c r="L3000" t="str">
        <f t="shared" si="93"/>
        <v>Banca Veneta|15|Risparmio</v>
      </c>
    </row>
    <row r="3001" spans="1:12" x14ac:dyDescent="0.25">
      <c r="A3001" t="s">
        <v>34</v>
      </c>
      <c r="B3001">
        <v>15</v>
      </c>
      <c r="C3001" t="s">
        <v>21</v>
      </c>
      <c r="D3001" s="1">
        <v>45747</v>
      </c>
      <c r="E3001">
        <v>3527.9</v>
      </c>
      <c r="F3001">
        <v>208.48</v>
      </c>
      <c r="G3001">
        <v>123.97</v>
      </c>
      <c r="H3001">
        <v>330</v>
      </c>
      <c r="I3001" t="s">
        <v>23</v>
      </c>
      <c r="J3001">
        <v>2025</v>
      </c>
      <c r="K3001">
        <f t="shared" si="92"/>
        <v>84.509999999999991</v>
      </c>
      <c r="L3001" t="str">
        <f t="shared" si="93"/>
        <v>Banca Veneta|15|Assicurazioni</v>
      </c>
    </row>
    <row r="3002" spans="1:12" x14ac:dyDescent="0.25">
      <c r="A3002" t="s">
        <v>34</v>
      </c>
      <c r="B3002">
        <v>16</v>
      </c>
      <c r="C3002" t="s">
        <v>13</v>
      </c>
      <c r="D3002" s="1">
        <v>45777</v>
      </c>
      <c r="E3002">
        <v>979.3</v>
      </c>
      <c r="F3002">
        <v>44.86</v>
      </c>
      <c r="G3002">
        <v>27.91</v>
      </c>
      <c r="H3002">
        <v>93</v>
      </c>
      <c r="I3002" t="s">
        <v>23</v>
      </c>
      <c r="J3002">
        <v>2025</v>
      </c>
      <c r="K3002">
        <f t="shared" si="92"/>
        <v>16.95</v>
      </c>
      <c r="L3002" t="str">
        <f t="shared" si="93"/>
        <v>Banca Veneta|16|Mutui</v>
      </c>
    </row>
    <row r="3003" spans="1:12" x14ac:dyDescent="0.25">
      <c r="A3003" t="s">
        <v>34</v>
      </c>
      <c r="B3003">
        <v>16</v>
      </c>
      <c r="C3003" t="s">
        <v>15</v>
      </c>
      <c r="D3003" s="1">
        <v>45777</v>
      </c>
      <c r="E3003">
        <v>1361.9</v>
      </c>
      <c r="F3003">
        <v>64.069999999999993</v>
      </c>
      <c r="G3003">
        <v>39.659999999999997</v>
      </c>
      <c r="H3003">
        <v>120</v>
      </c>
      <c r="I3003" t="s">
        <v>23</v>
      </c>
      <c r="J3003">
        <v>2025</v>
      </c>
      <c r="K3003">
        <f t="shared" si="92"/>
        <v>24.409999999999997</v>
      </c>
      <c r="L3003" t="str">
        <f t="shared" si="93"/>
        <v>Banca Veneta|16|Prestiti</v>
      </c>
    </row>
    <row r="3004" spans="1:12" x14ac:dyDescent="0.25">
      <c r="A3004" t="s">
        <v>34</v>
      </c>
      <c r="B3004">
        <v>16</v>
      </c>
      <c r="C3004" t="s">
        <v>16</v>
      </c>
      <c r="D3004" s="1">
        <v>45777</v>
      </c>
      <c r="E3004">
        <v>1736.9</v>
      </c>
      <c r="F3004">
        <v>85.67</v>
      </c>
      <c r="G3004">
        <v>52.17</v>
      </c>
      <c r="H3004">
        <v>180</v>
      </c>
      <c r="I3004" t="s">
        <v>23</v>
      </c>
      <c r="J3004">
        <v>2025</v>
      </c>
      <c r="K3004">
        <f t="shared" si="92"/>
        <v>33.5</v>
      </c>
      <c r="L3004" t="str">
        <f t="shared" si="93"/>
        <v>Banca Veneta|16|Conti</v>
      </c>
    </row>
    <row r="3005" spans="1:12" x14ac:dyDescent="0.25">
      <c r="A3005" t="s">
        <v>34</v>
      </c>
      <c r="B3005">
        <v>16</v>
      </c>
      <c r="C3005" t="s">
        <v>17</v>
      </c>
      <c r="D3005" s="1">
        <v>45777</v>
      </c>
      <c r="E3005">
        <v>2086</v>
      </c>
      <c r="F3005">
        <v>107.19</v>
      </c>
      <c r="G3005">
        <v>64.95</v>
      </c>
      <c r="H3005">
        <v>199</v>
      </c>
      <c r="I3005" t="s">
        <v>23</v>
      </c>
      <c r="J3005">
        <v>2025</v>
      </c>
      <c r="K3005">
        <f t="shared" si="92"/>
        <v>42.239999999999995</v>
      </c>
      <c r="L3005" t="str">
        <f t="shared" si="93"/>
        <v>Banca Veneta|16|Carte</v>
      </c>
    </row>
    <row r="3006" spans="1:12" x14ac:dyDescent="0.25">
      <c r="A3006" t="s">
        <v>34</v>
      </c>
      <c r="B3006">
        <v>16</v>
      </c>
      <c r="C3006" t="s">
        <v>18</v>
      </c>
      <c r="D3006" s="1">
        <v>45777</v>
      </c>
      <c r="E3006">
        <v>2441.4</v>
      </c>
      <c r="F3006">
        <v>130.15</v>
      </c>
      <c r="G3006">
        <v>78.55</v>
      </c>
      <c r="H3006">
        <v>244</v>
      </c>
      <c r="I3006" t="s">
        <v>23</v>
      </c>
      <c r="J3006">
        <v>2025</v>
      </c>
      <c r="K3006">
        <f t="shared" si="92"/>
        <v>51.600000000000009</v>
      </c>
      <c r="L3006" t="str">
        <f t="shared" si="93"/>
        <v>Banca Veneta|16|Leasing</v>
      </c>
    </row>
    <row r="3007" spans="1:12" x14ac:dyDescent="0.25">
      <c r="A3007" t="s">
        <v>34</v>
      </c>
      <c r="B3007">
        <v>16</v>
      </c>
      <c r="C3007" t="s">
        <v>19</v>
      </c>
      <c r="D3007" s="1">
        <v>45777</v>
      </c>
      <c r="E3007">
        <v>2802.4</v>
      </c>
      <c r="F3007">
        <v>154.6</v>
      </c>
      <c r="G3007">
        <v>92.6</v>
      </c>
      <c r="H3007">
        <v>262</v>
      </c>
      <c r="I3007" t="s">
        <v>23</v>
      </c>
      <c r="J3007">
        <v>2025</v>
      </c>
      <c r="K3007">
        <f t="shared" si="92"/>
        <v>62</v>
      </c>
      <c r="L3007" t="str">
        <f t="shared" si="93"/>
        <v>Banca Veneta|16|Factoring</v>
      </c>
    </row>
    <row r="3008" spans="1:12" x14ac:dyDescent="0.25">
      <c r="A3008" t="s">
        <v>34</v>
      </c>
      <c r="B3008">
        <v>16</v>
      </c>
      <c r="C3008" t="s">
        <v>20</v>
      </c>
      <c r="D3008" s="1">
        <v>45777</v>
      </c>
      <c r="E3008">
        <v>3153</v>
      </c>
      <c r="F3008">
        <v>180.22</v>
      </c>
      <c r="G3008">
        <v>108.06</v>
      </c>
      <c r="H3008">
        <v>309</v>
      </c>
      <c r="I3008" t="s">
        <v>23</v>
      </c>
      <c r="J3008">
        <v>2025</v>
      </c>
      <c r="K3008">
        <f t="shared" si="92"/>
        <v>72.16</v>
      </c>
      <c r="L3008" t="str">
        <f t="shared" si="93"/>
        <v>Banca Veneta|16|Risparmio</v>
      </c>
    </row>
    <row r="3009" spans="1:12" x14ac:dyDescent="0.25">
      <c r="A3009" t="s">
        <v>34</v>
      </c>
      <c r="B3009">
        <v>16</v>
      </c>
      <c r="C3009" t="s">
        <v>21</v>
      </c>
      <c r="D3009" s="1">
        <v>45777</v>
      </c>
      <c r="E3009">
        <v>3533.9</v>
      </c>
      <c r="F3009">
        <v>209.47</v>
      </c>
      <c r="G3009">
        <v>123.95</v>
      </c>
      <c r="H3009">
        <v>346</v>
      </c>
      <c r="I3009" t="s">
        <v>23</v>
      </c>
      <c r="J3009">
        <v>2025</v>
      </c>
      <c r="K3009">
        <f t="shared" si="92"/>
        <v>85.52</v>
      </c>
      <c r="L3009" t="str">
        <f t="shared" si="93"/>
        <v>Banca Veneta|16|Assicurazioni</v>
      </c>
    </row>
    <row r="3010" spans="1:12" x14ac:dyDescent="0.25">
      <c r="A3010" t="s">
        <v>34</v>
      </c>
      <c r="B3010">
        <v>17</v>
      </c>
      <c r="C3010" t="s">
        <v>13</v>
      </c>
      <c r="D3010" s="1">
        <v>45808</v>
      </c>
      <c r="E3010">
        <v>961.1</v>
      </c>
      <c r="F3010">
        <v>43.59</v>
      </c>
      <c r="G3010">
        <v>27.89</v>
      </c>
      <c r="H3010">
        <v>113</v>
      </c>
      <c r="I3010" t="s">
        <v>23</v>
      </c>
      <c r="J3010">
        <v>2025</v>
      </c>
      <c r="K3010">
        <f t="shared" ref="K3010:K3073" si="94">F3010-G3010</f>
        <v>15.700000000000003</v>
      </c>
      <c r="L3010" t="str">
        <f t="shared" ref="L3010:L3073" si="95">A3010&amp;"|"&amp;B3010&amp;"|"&amp;C3010</f>
        <v>Banca Veneta|17|Mutui</v>
      </c>
    </row>
    <row r="3011" spans="1:12" x14ac:dyDescent="0.25">
      <c r="A3011" t="s">
        <v>34</v>
      </c>
      <c r="B3011">
        <v>17</v>
      </c>
      <c r="C3011" t="s">
        <v>15</v>
      </c>
      <c r="D3011" s="1">
        <v>45808</v>
      </c>
      <c r="E3011">
        <v>1346.4</v>
      </c>
      <c r="F3011">
        <v>63.97</v>
      </c>
      <c r="G3011">
        <v>39.36</v>
      </c>
      <c r="H3011">
        <v>148</v>
      </c>
      <c r="I3011" t="s">
        <v>23</v>
      </c>
      <c r="J3011">
        <v>2025</v>
      </c>
      <c r="K3011">
        <f t="shared" si="94"/>
        <v>24.61</v>
      </c>
      <c r="L3011" t="str">
        <f t="shared" si="95"/>
        <v>Banca Veneta|17|Prestiti</v>
      </c>
    </row>
    <row r="3012" spans="1:12" x14ac:dyDescent="0.25">
      <c r="A3012" t="s">
        <v>34</v>
      </c>
      <c r="B3012">
        <v>17</v>
      </c>
      <c r="C3012" t="s">
        <v>16</v>
      </c>
      <c r="D3012" s="1">
        <v>45808</v>
      </c>
      <c r="E3012">
        <v>1701.6</v>
      </c>
      <c r="F3012">
        <v>83.43</v>
      </c>
      <c r="G3012">
        <v>51.14</v>
      </c>
      <c r="H3012">
        <v>191</v>
      </c>
      <c r="I3012" t="s">
        <v>23</v>
      </c>
      <c r="J3012">
        <v>2025</v>
      </c>
      <c r="K3012">
        <f t="shared" si="94"/>
        <v>32.290000000000006</v>
      </c>
      <c r="L3012" t="str">
        <f t="shared" si="95"/>
        <v>Banca Veneta|17|Conti</v>
      </c>
    </row>
    <row r="3013" spans="1:12" x14ac:dyDescent="0.25">
      <c r="A3013" t="s">
        <v>34</v>
      </c>
      <c r="B3013">
        <v>17</v>
      </c>
      <c r="C3013" t="s">
        <v>17</v>
      </c>
      <c r="D3013" s="1">
        <v>45808</v>
      </c>
      <c r="E3013">
        <v>2113.8000000000002</v>
      </c>
      <c r="F3013">
        <v>108.17</v>
      </c>
      <c r="G3013">
        <v>66.34</v>
      </c>
      <c r="H3013">
        <v>218</v>
      </c>
      <c r="I3013" t="s">
        <v>23</v>
      </c>
      <c r="J3013">
        <v>2025</v>
      </c>
      <c r="K3013">
        <f t="shared" si="94"/>
        <v>41.83</v>
      </c>
      <c r="L3013" t="str">
        <f t="shared" si="95"/>
        <v>Banca Veneta|17|Carte</v>
      </c>
    </row>
    <row r="3014" spans="1:12" x14ac:dyDescent="0.25">
      <c r="A3014" t="s">
        <v>34</v>
      </c>
      <c r="B3014">
        <v>17</v>
      </c>
      <c r="C3014" t="s">
        <v>18</v>
      </c>
      <c r="D3014" s="1">
        <v>45808</v>
      </c>
      <c r="E3014">
        <v>2450.3000000000002</v>
      </c>
      <c r="F3014">
        <v>130.80000000000001</v>
      </c>
      <c r="G3014">
        <v>79.25</v>
      </c>
      <c r="H3014">
        <v>218</v>
      </c>
      <c r="I3014" t="s">
        <v>23</v>
      </c>
      <c r="J3014">
        <v>2025</v>
      </c>
      <c r="K3014">
        <f t="shared" si="94"/>
        <v>51.550000000000011</v>
      </c>
      <c r="L3014" t="str">
        <f t="shared" si="95"/>
        <v>Banca Veneta|17|Leasing</v>
      </c>
    </row>
    <row r="3015" spans="1:12" x14ac:dyDescent="0.25">
      <c r="A3015" t="s">
        <v>34</v>
      </c>
      <c r="B3015">
        <v>17</v>
      </c>
      <c r="C3015" t="s">
        <v>19</v>
      </c>
      <c r="D3015" s="1">
        <v>45808</v>
      </c>
      <c r="E3015">
        <v>2861.8</v>
      </c>
      <c r="F3015">
        <v>158.11000000000001</v>
      </c>
      <c r="G3015">
        <v>94.81</v>
      </c>
      <c r="H3015">
        <v>268</v>
      </c>
      <c r="I3015" t="s">
        <v>23</v>
      </c>
      <c r="J3015">
        <v>2025</v>
      </c>
      <c r="K3015">
        <f t="shared" si="94"/>
        <v>63.300000000000011</v>
      </c>
      <c r="L3015" t="str">
        <f t="shared" si="95"/>
        <v>Banca Veneta|17|Factoring</v>
      </c>
    </row>
    <row r="3016" spans="1:12" x14ac:dyDescent="0.25">
      <c r="A3016" t="s">
        <v>34</v>
      </c>
      <c r="B3016">
        <v>17</v>
      </c>
      <c r="C3016" t="s">
        <v>20</v>
      </c>
      <c r="D3016" s="1">
        <v>45808</v>
      </c>
      <c r="E3016">
        <v>3234.1</v>
      </c>
      <c r="F3016">
        <v>184.89</v>
      </c>
      <c r="G3016">
        <v>110.46</v>
      </c>
      <c r="H3016">
        <v>293</v>
      </c>
      <c r="I3016" t="s">
        <v>23</v>
      </c>
      <c r="J3016">
        <v>2025</v>
      </c>
      <c r="K3016">
        <f t="shared" si="94"/>
        <v>74.429999999999993</v>
      </c>
      <c r="L3016" t="str">
        <f t="shared" si="95"/>
        <v>Banca Veneta|17|Risparmio</v>
      </c>
    </row>
    <row r="3017" spans="1:12" x14ac:dyDescent="0.25">
      <c r="A3017" t="s">
        <v>34</v>
      </c>
      <c r="B3017">
        <v>17</v>
      </c>
      <c r="C3017" t="s">
        <v>21</v>
      </c>
      <c r="D3017" s="1">
        <v>45808</v>
      </c>
      <c r="E3017">
        <v>3567.8</v>
      </c>
      <c r="F3017">
        <v>211.27</v>
      </c>
      <c r="G3017">
        <v>125.63</v>
      </c>
      <c r="H3017">
        <v>328</v>
      </c>
      <c r="I3017" t="s">
        <v>23</v>
      </c>
      <c r="J3017">
        <v>2025</v>
      </c>
      <c r="K3017">
        <f t="shared" si="94"/>
        <v>85.640000000000015</v>
      </c>
      <c r="L3017" t="str">
        <f t="shared" si="95"/>
        <v>Banca Veneta|17|Assicurazioni</v>
      </c>
    </row>
    <row r="3018" spans="1:12" x14ac:dyDescent="0.25">
      <c r="A3018" t="s">
        <v>34</v>
      </c>
      <c r="B3018">
        <v>18</v>
      </c>
      <c r="C3018" t="s">
        <v>13</v>
      </c>
      <c r="D3018" s="1">
        <v>45838</v>
      </c>
      <c r="E3018">
        <v>1006.8</v>
      </c>
      <c r="F3018">
        <v>45.45</v>
      </c>
      <c r="G3018">
        <v>28.57</v>
      </c>
      <c r="H3018">
        <v>95</v>
      </c>
      <c r="I3018" t="s">
        <v>23</v>
      </c>
      <c r="J3018">
        <v>2025</v>
      </c>
      <c r="K3018">
        <f t="shared" si="94"/>
        <v>16.880000000000003</v>
      </c>
      <c r="L3018" t="str">
        <f t="shared" si="95"/>
        <v>Banca Veneta|18|Mutui</v>
      </c>
    </row>
    <row r="3019" spans="1:12" x14ac:dyDescent="0.25">
      <c r="A3019" t="s">
        <v>34</v>
      </c>
      <c r="B3019">
        <v>18</v>
      </c>
      <c r="C3019" t="s">
        <v>15</v>
      </c>
      <c r="D3019" s="1">
        <v>45838</v>
      </c>
      <c r="E3019">
        <v>1395.3</v>
      </c>
      <c r="F3019">
        <v>65.98</v>
      </c>
      <c r="G3019">
        <v>41.33</v>
      </c>
      <c r="H3019">
        <v>153</v>
      </c>
      <c r="I3019" t="s">
        <v>23</v>
      </c>
      <c r="J3019">
        <v>2025</v>
      </c>
      <c r="K3019">
        <f t="shared" si="94"/>
        <v>24.650000000000006</v>
      </c>
      <c r="L3019" t="str">
        <f t="shared" si="95"/>
        <v>Banca Veneta|18|Prestiti</v>
      </c>
    </row>
    <row r="3020" spans="1:12" x14ac:dyDescent="0.25">
      <c r="A3020" t="s">
        <v>34</v>
      </c>
      <c r="B3020">
        <v>18</v>
      </c>
      <c r="C3020" t="s">
        <v>16</v>
      </c>
      <c r="D3020" s="1">
        <v>45838</v>
      </c>
      <c r="E3020">
        <v>1754</v>
      </c>
      <c r="F3020">
        <v>86.1</v>
      </c>
      <c r="G3020">
        <v>53.02</v>
      </c>
      <c r="H3020">
        <v>172</v>
      </c>
      <c r="I3020" t="s">
        <v>23</v>
      </c>
      <c r="J3020">
        <v>2025</v>
      </c>
      <c r="K3020">
        <f t="shared" si="94"/>
        <v>33.079999999999991</v>
      </c>
      <c r="L3020" t="str">
        <f t="shared" si="95"/>
        <v>Banca Veneta|18|Conti</v>
      </c>
    </row>
    <row r="3021" spans="1:12" x14ac:dyDescent="0.25">
      <c r="A3021" t="s">
        <v>34</v>
      </c>
      <c r="B3021">
        <v>18</v>
      </c>
      <c r="C3021" t="s">
        <v>17</v>
      </c>
      <c r="D3021" s="1">
        <v>45838</v>
      </c>
      <c r="E3021">
        <v>2136.1999999999998</v>
      </c>
      <c r="F3021">
        <v>109.45</v>
      </c>
      <c r="G3021">
        <v>67.16</v>
      </c>
      <c r="H3021">
        <v>213</v>
      </c>
      <c r="I3021" t="s">
        <v>23</v>
      </c>
      <c r="J3021">
        <v>2025</v>
      </c>
      <c r="K3021">
        <f t="shared" si="94"/>
        <v>42.290000000000006</v>
      </c>
      <c r="L3021" t="str">
        <f t="shared" si="95"/>
        <v>Banca Veneta|18|Carte</v>
      </c>
    </row>
    <row r="3022" spans="1:12" x14ac:dyDescent="0.25">
      <c r="A3022" t="s">
        <v>34</v>
      </c>
      <c r="B3022">
        <v>18</v>
      </c>
      <c r="C3022" t="s">
        <v>18</v>
      </c>
      <c r="D3022" s="1">
        <v>45838</v>
      </c>
      <c r="E3022">
        <v>2476.4</v>
      </c>
      <c r="F3022">
        <v>131.56</v>
      </c>
      <c r="G3022">
        <v>80.099999999999994</v>
      </c>
      <c r="H3022">
        <v>247</v>
      </c>
      <c r="I3022" t="s">
        <v>23</v>
      </c>
      <c r="J3022">
        <v>2025</v>
      </c>
      <c r="K3022">
        <f t="shared" si="94"/>
        <v>51.460000000000008</v>
      </c>
      <c r="L3022" t="str">
        <f t="shared" si="95"/>
        <v>Banca Veneta|18|Leasing</v>
      </c>
    </row>
    <row r="3023" spans="1:12" x14ac:dyDescent="0.25">
      <c r="A3023" t="s">
        <v>34</v>
      </c>
      <c r="B3023">
        <v>18</v>
      </c>
      <c r="C3023" t="s">
        <v>19</v>
      </c>
      <c r="D3023" s="1">
        <v>45838</v>
      </c>
      <c r="E3023">
        <v>2863.3</v>
      </c>
      <c r="F3023">
        <v>158.03</v>
      </c>
      <c r="G3023">
        <v>95.29</v>
      </c>
      <c r="H3023">
        <v>274</v>
      </c>
      <c r="I3023" t="s">
        <v>23</v>
      </c>
      <c r="J3023">
        <v>2025</v>
      </c>
      <c r="K3023">
        <f t="shared" si="94"/>
        <v>62.739999999999995</v>
      </c>
      <c r="L3023" t="str">
        <f t="shared" si="95"/>
        <v>Banca Veneta|18|Factoring</v>
      </c>
    </row>
    <row r="3024" spans="1:12" x14ac:dyDescent="0.25">
      <c r="A3024" t="s">
        <v>34</v>
      </c>
      <c r="B3024">
        <v>18</v>
      </c>
      <c r="C3024" t="s">
        <v>20</v>
      </c>
      <c r="D3024" s="1">
        <v>45838</v>
      </c>
      <c r="E3024">
        <v>3225.9</v>
      </c>
      <c r="F3024">
        <v>184.49</v>
      </c>
      <c r="G3024">
        <v>110.16</v>
      </c>
      <c r="H3024">
        <v>287</v>
      </c>
      <c r="I3024" t="s">
        <v>23</v>
      </c>
      <c r="J3024">
        <v>2025</v>
      </c>
      <c r="K3024">
        <f t="shared" si="94"/>
        <v>74.330000000000013</v>
      </c>
      <c r="L3024" t="str">
        <f t="shared" si="95"/>
        <v>Banca Veneta|18|Risparmio</v>
      </c>
    </row>
    <row r="3025" spans="1:12" x14ac:dyDescent="0.25">
      <c r="A3025" t="s">
        <v>34</v>
      </c>
      <c r="B3025">
        <v>18</v>
      </c>
      <c r="C3025" t="s">
        <v>21</v>
      </c>
      <c r="D3025" s="1">
        <v>45838</v>
      </c>
      <c r="E3025">
        <v>3596.6</v>
      </c>
      <c r="F3025">
        <v>212.76</v>
      </c>
      <c r="G3025">
        <v>126.52</v>
      </c>
      <c r="H3025">
        <v>316</v>
      </c>
      <c r="I3025" t="s">
        <v>23</v>
      </c>
      <c r="J3025">
        <v>2025</v>
      </c>
      <c r="K3025">
        <f t="shared" si="94"/>
        <v>86.24</v>
      </c>
      <c r="L3025" t="str">
        <f t="shared" si="95"/>
        <v>Banca Veneta|18|Assicurazioni</v>
      </c>
    </row>
    <row r="3026" spans="1:12" x14ac:dyDescent="0.25">
      <c r="A3026" t="s">
        <v>34</v>
      </c>
      <c r="B3026">
        <v>19</v>
      </c>
      <c r="C3026" t="s">
        <v>13</v>
      </c>
      <c r="D3026" s="1">
        <v>45869</v>
      </c>
      <c r="E3026">
        <v>971.5</v>
      </c>
      <c r="F3026">
        <v>44.56</v>
      </c>
      <c r="G3026">
        <v>27.7</v>
      </c>
      <c r="H3026">
        <v>114</v>
      </c>
      <c r="I3026" t="s">
        <v>23</v>
      </c>
      <c r="J3026">
        <v>2025</v>
      </c>
      <c r="K3026">
        <f t="shared" si="94"/>
        <v>16.860000000000003</v>
      </c>
      <c r="L3026" t="str">
        <f t="shared" si="95"/>
        <v>Banca Veneta|19|Mutui</v>
      </c>
    </row>
    <row r="3027" spans="1:12" x14ac:dyDescent="0.25">
      <c r="A3027" t="s">
        <v>34</v>
      </c>
      <c r="B3027">
        <v>19</v>
      </c>
      <c r="C3027" t="s">
        <v>15</v>
      </c>
      <c r="D3027" s="1">
        <v>45869</v>
      </c>
      <c r="E3027">
        <v>1390.2</v>
      </c>
      <c r="F3027">
        <v>65.489999999999995</v>
      </c>
      <c r="G3027">
        <v>41.3</v>
      </c>
      <c r="H3027">
        <v>133</v>
      </c>
      <c r="I3027" t="s">
        <v>23</v>
      </c>
      <c r="J3027">
        <v>2025</v>
      </c>
      <c r="K3027">
        <f t="shared" si="94"/>
        <v>24.189999999999998</v>
      </c>
      <c r="L3027" t="str">
        <f t="shared" si="95"/>
        <v>Banca Veneta|19|Prestiti</v>
      </c>
    </row>
    <row r="3028" spans="1:12" x14ac:dyDescent="0.25">
      <c r="A3028" t="s">
        <v>34</v>
      </c>
      <c r="B3028">
        <v>19</v>
      </c>
      <c r="C3028" t="s">
        <v>16</v>
      </c>
      <c r="D3028" s="1">
        <v>45869</v>
      </c>
      <c r="E3028">
        <v>1738.7</v>
      </c>
      <c r="F3028">
        <v>86.03</v>
      </c>
      <c r="G3028">
        <v>52.18</v>
      </c>
      <c r="H3028">
        <v>189</v>
      </c>
      <c r="I3028" t="s">
        <v>23</v>
      </c>
      <c r="J3028">
        <v>2025</v>
      </c>
      <c r="K3028">
        <f t="shared" si="94"/>
        <v>33.85</v>
      </c>
      <c r="L3028" t="str">
        <f t="shared" si="95"/>
        <v>Banca Veneta|19|Conti</v>
      </c>
    </row>
    <row r="3029" spans="1:12" x14ac:dyDescent="0.25">
      <c r="A3029" t="s">
        <v>34</v>
      </c>
      <c r="B3029">
        <v>19</v>
      </c>
      <c r="C3029" t="s">
        <v>17</v>
      </c>
      <c r="D3029" s="1">
        <v>45869</v>
      </c>
      <c r="E3029">
        <v>2145.4</v>
      </c>
      <c r="F3029">
        <v>109.7</v>
      </c>
      <c r="G3029">
        <v>67.13</v>
      </c>
      <c r="H3029">
        <v>206</v>
      </c>
      <c r="I3029" t="s">
        <v>23</v>
      </c>
      <c r="J3029">
        <v>2025</v>
      </c>
      <c r="K3029">
        <f t="shared" si="94"/>
        <v>42.570000000000007</v>
      </c>
      <c r="L3029" t="str">
        <f t="shared" si="95"/>
        <v>Banca Veneta|19|Carte</v>
      </c>
    </row>
    <row r="3030" spans="1:12" x14ac:dyDescent="0.25">
      <c r="A3030" t="s">
        <v>34</v>
      </c>
      <c r="B3030">
        <v>19</v>
      </c>
      <c r="C3030" t="s">
        <v>18</v>
      </c>
      <c r="D3030" s="1">
        <v>45869</v>
      </c>
      <c r="E3030">
        <v>2500.1999999999998</v>
      </c>
      <c r="F3030">
        <v>133.12</v>
      </c>
      <c r="G3030">
        <v>80.27</v>
      </c>
      <c r="H3030">
        <v>232</v>
      </c>
      <c r="I3030" t="s">
        <v>23</v>
      </c>
      <c r="J3030">
        <v>2025</v>
      </c>
      <c r="K3030">
        <f t="shared" si="94"/>
        <v>52.850000000000009</v>
      </c>
      <c r="L3030" t="str">
        <f t="shared" si="95"/>
        <v>Banca Veneta|19|Leasing</v>
      </c>
    </row>
    <row r="3031" spans="1:12" x14ac:dyDescent="0.25">
      <c r="A3031" t="s">
        <v>34</v>
      </c>
      <c r="B3031">
        <v>19</v>
      </c>
      <c r="C3031" t="s">
        <v>19</v>
      </c>
      <c r="D3031" s="1">
        <v>45869</v>
      </c>
      <c r="E3031">
        <v>2848.4</v>
      </c>
      <c r="F3031">
        <v>157.34</v>
      </c>
      <c r="G3031">
        <v>94.25</v>
      </c>
      <c r="H3031">
        <v>252</v>
      </c>
      <c r="I3031" t="s">
        <v>23</v>
      </c>
      <c r="J3031">
        <v>2025</v>
      </c>
      <c r="K3031">
        <f t="shared" si="94"/>
        <v>63.09</v>
      </c>
      <c r="L3031" t="str">
        <f t="shared" si="95"/>
        <v>Banca Veneta|19|Factoring</v>
      </c>
    </row>
    <row r="3032" spans="1:12" x14ac:dyDescent="0.25">
      <c r="A3032" t="s">
        <v>34</v>
      </c>
      <c r="B3032">
        <v>19</v>
      </c>
      <c r="C3032" t="s">
        <v>20</v>
      </c>
      <c r="D3032" s="1">
        <v>45869</v>
      </c>
      <c r="E3032">
        <v>3275.3</v>
      </c>
      <c r="F3032">
        <v>187.56</v>
      </c>
      <c r="G3032">
        <v>112.25</v>
      </c>
      <c r="H3032">
        <v>310</v>
      </c>
      <c r="I3032" t="s">
        <v>23</v>
      </c>
      <c r="J3032">
        <v>2025</v>
      </c>
      <c r="K3032">
        <f t="shared" si="94"/>
        <v>75.31</v>
      </c>
      <c r="L3032" t="str">
        <f t="shared" si="95"/>
        <v>Banca Veneta|19|Risparmio</v>
      </c>
    </row>
    <row r="3033" spans="1:12" x14ac:dyDescent="0.25">
      <c r="A3033" t="s">
        <v>34</v>
      </c>
      <c r="B3033">
        <v>19</v>
      </c>
      <c r="C3033" t="s">
        <v>21</v>
      </c>
      <c r="D3033" s="1">
        <v>45869</v>
      </c>
      <c r="E3033">
        <v>3645.8</v>
      </c>
      <c r="F3033">
        <v>215.92</v>
      </c>
      <c r="G3033">
        <v>127.77</v>
      </c>
      <c r="H3033">
        <v>354</v>
      </c>
      <c r="I3033" t="s">
        <v>23</v>
      </c>
      <c r="J3033">
        <v>2025</v>
      </c>
      <c r="K3033">
        <f t="shared" si="94"/>
        <v>88.149999999999991</v>
      </c>
      <c r="L3033" t="str">
        <f t="shared" si="95"/>
        <v>Banca Veneta|19|Assicurazioni</v>
      </c>
    </row>
    <row r="3034" spans="1:12" x14ac:dyDescent="0.25">
      <c r="A3034" t="s">
        <v>34</v>
      </c>
      <c r="B3034">
        <v>20</v>
      </c>
      <c r="C3034" t="s">
        <v>13</v>
      </c>
      <c r="D3034" s="1">
        <v>45900</v>
      </c>
      <c r="E3034">
        <v>996.2</v>
      </c>
      <c r="F3034">
        <v>45.39</v>
      </c>
      <c r="G3034">
        <v>28.33</v>
      </c>
      <c r="H3034">
        <v>98</v>
      </c>
      <c r="I3034" t="s">
        <v>23</v>
      </c>
      <c r="J3034">
        <v>2025</v>
      </c>
      <c r="K3034">
        <f t="shared" si="94"/>
        <v>17.060000000000002</v>
      </c>
      <c r="L3034" t="str">
        <f t="shared" si="95"/>
        <v>Banca Veneta|20|Mutui</v>
      </c>
    </row>
    <row r="3035" spans="1:12" x14ac:dyDescent="0.25">
      <c r="A3035" t="s">
        <v>34</v>
      </c>
      <c r="B3035">
        <v>20</v>
      </c>
      <c r="C3035" t="s">
        <v>15</v>
      </c>
      <c r="D3035" s="1">
        <v>45900</v>
      </c>
      <c r="E3035">
        <v>1393.3</v>
      </c>
      <c r="F3035">
        <v>66.08</v>
      </c>
      <c r="G3035">
        <v>40.96</v>
      </c>
      <c r="H3035">
        <v>130</v>
      </c>
      <c r="I3035" t="s">
        <v>23</v>
      </c>
      <c r="J3035">
        <v>2025</v>
      </c>
      <c r="K3035">
        <f t="shared" si="94"/>
        <v>25.119999999999997</v>
      </c>
      <c r="L3035" t="str">
        <f t="shared" si="95"/>
        <v>Banca Veneta|20|Prestiti</v>
      </c>
    </row>
    <row r="3036" spans="1:12" x14ac:dyDescent="0.25">
      <c r="A3036" t="s">
        <v>34</v>
      </c>
      <c r="B3036">
        <v>20</v>
      </c>
      <c r="C3036" t="s">
        <v>16</v>
      </c>
      <c r="D3036" s="1">
        <v>45900</v>
      </c>
      <c r="E3036">
        <v>1789.8</v>
      </c>
      <c r="F3036">
        <v>88.63</v>
      </c>
      <c r="G3036">
        <v>53.77</v>
      </c>
      <c r="H3036">
        <v>173</v>
      </c>
      <c r="I3036" t="s">
        <v>23</v>
      </c>
      <c r="J3036">
        <v>2025</v>
      </c>
      <c r="K3036">
        <f t="shared" si="94"/>
        <v>34.859999999999992</v>
      </c>
      <c r="L3036" t="str">
        <f t="shared" si="95"/>
        <v>Banca Veneta|20|Conti</v>
      </c>
    </row>
    <row r="3037" spans="1:12" x14ac:dyDescent="0.25">
      <c r="A3037" t="s">
        <v>34</v>
      </c>
      <c r="B3037">
        <v>20</v>
      </c>
      <c r="C3037" t="s">
        <v>17</v>
      </c>
      <c r="D3037" s="1">
        <v>45900</v>
      </c>
      <c r="E3037">
        <v>2149.6</v>
      </c>
      <c r="F3037">
        <v>110.2</v>
      </c>
      <c r="G3037">
        <v>66.73</v>
      </c>
      <c r="H3037">
        <v>208</v>
      </c>
      <c r="I3037" t="s">
        <v>23</v>
      </c>
      <c r="J3037">
        <v>2025</v>
      </c>
      <c r="K3037">
        <f t="shared" si="94"/>
        <v>43.47</v>
      </c>
      <c r="L3037" t="str">
        <f t="shared" si="95"/>
        <v>Banca Veneta|20|Carte</v>
      </c>
    </row>
    <row r="3038" spans="1:12" x14ac:dyDescent="0.25">
      <c r="A3038" t="s">
        <v>34</v>
      </c>
      <c r="B3038">
        <v>20</v>
      </c>
      <c r="C3038" t="s">
        <v>18</v>
      </c>
      <c r="D3038" s="1">
        <v>45900</v>
      </c>
      <c r="E3038">
        <v>2495.8000000000002</v>
      </c>
      <c r="F3038">
        <v>133.18</v>
      </c>
      <c r="G3038">
        <v>80.78</v>
      </c>
      <c r="H3038">
        <v>234</v>
      </c>
      <c r="I3038" t="s">
        <v>23</v>
      </c>
      <c r="J3038">
        <v>2025</v>
      </c>
      <c r="K3038">
        <f t="shared" si="94"/>
        <v>52.400000000000006</v>
      </c>
      <c r="L3038" t="str">
        <f t="shared" si="95"/>
        <v>Banca Veneta|20|Leasing</v>
      </c>
    </row>
    <row r="3039" spans="1:12" x14ac:dyDescent="0.25">
      <c r="A3039" t="s">
        <v>34</v>
      </c>
      <c r="B3039">
        <v>20</v>
      </c>
      <c r="C3039" t="s">
        <v>19</v>
      </c>
      <c r="D3039" s="1">
        <v>45900</v>
      </c>
      <c r="E3039">
        <v>2913.7</v>
      </c>
      <c r="F3039">
        <v>161.19999999999999</v>
      </c>
      <c r="G3039">
        <v>96.46</v>
      </c>
      <c r="H3039">
        <v>252</v>
      </c>
      <c r="I3039" t="s">
        <v>23</v>
      </c>
      <c r="J3039">
        <v>2025</v>
      </c>
      <c r="K3039">
        <f t="shared" si="94"/>
        <v>64.739999999999995</v>
      </c>
      <c r="L3039" t="str">
        <f t="shared" si="95"/>
        <v>Banca Veneta|20|Factoring</v>
      </c>
    </row>
    <row r="3040" spans="1:12" x14ac:dyDescent="0.25">
      <c r="A3040" t="s">
        <v>34</v>
      </c>
      <c r="B3040">
        <v>20</v>
      </c>
      <c r="C3040" t="s">
        <v>20</v>
      </c>
      <c r="D3040" s="1">
        <v>45900</v>
      </c>
      <c r="E3040">
        <v>3292</v>
      </c>
      <c r="F3040">
        <v>187.77</v>
      </c>
      <c r="G3040">
        <v>112.56</v>
      </c>
      <c r="H3040">
        <v>291</v>
      </c>
      <c r="I3040" t="s">
        <v>23</v>
      </c>
      <c r="J3040">
        <v>2025</v>
      </c>
      <c r="K3040">
        <f t="shared" si="94"/>
        <v>75.210000000000008</v>
      </c>
      <c r="L3040" t="str">
        <f t="shared" si="95"/>
        <v>Banca Veneta|20|Risparmio</v>
      </c>
    </row>
    <row r="3041" spans="1:12" x14ac:dyDescent="0.25">
      <c r="A3041" t="s">
        <v>34</v>
      </c>
      <c r="B3041">
        <v>20</v>
      </c>
      <c r="C3041" t="s">
        <v>21</v>
      </c>
      <c r="D3041" s="1">
        <v>45900</v>
      </c>
      <c r="E3041">
        <v>3631.7</v>
      </c>
      <c r="F3041">
        <v>214.44</v>
      </c>
      <c r="G3041">
        <v>128.09</v>
      </c>
      <c r="H3041">
        <v>345</v>
      </c>
      <c r="I3041" t="s">
        <v>23</v>
      </c>
      <c r="J3041">
        <v>2025</v>
      </c>
      <c r="K3041">
        <f t="shared" si="94"/>
        <v>86.35</v>
      </c>
      <c r="L3041" t="str">
        <f t="shared" si="95"/>
        <v>Banca Veneta|20|Assicurazioni</v>
      </c>
    </row>
    <row r="3042" spans="1:12" x14ac:dyDescent="0.25">
      <c r="A3042" t="s">
        <v>34</v>
      </c>
      <c r="B3042">
        <v>21</v>
      </c>
      <c r="C3042" t="s">
        <v>13</v>
      </c>
      <c r="D3042" s="1">
        <v>45930</v>
      </c>
      <c r="E3042">
        <v>994.9</v>
      </c>
      <c r="F3042">
        <v>44.89</v>
      </c>
      <c r="G3042">
        <v>28.81</v>
      </c>
      <c r="H3042">
        <v>91</v>
      </c>
      <c r="I3042" t="s">
        <v>23</v>
      </c>
      <c r="J3042">
        <v>2025</v>
      </c>
      <c r="K3042">
        <f t="shared" si="94"/>
        <v>16.080000000000002</v>
      </c>
      <c r="L3042" t="str">
        <f t="shared" si="95"/>
        <v>Banca Veneta|21|Mutui</v>
      </c>
    </row>
    <row r="3043" spans="1:12" x14ac:dyDescent="0.25">
      <c r="A3043" t="s">
        <v>34</v>
      </c>
      <c r="B3043">
        <v>21</v>
      </c>
      <c r="C3043" t="s">
        <v>15</v>
      </c>
      <c r="D3043" s="1">
        <v>45930</v>
      </c>
      <c r="E3043">
        <v>1376.6</v>
      </c>
      <c r="F3043">
        <v>65.489999999999995</v>
      </c>
      <c r="G3043">
        <v>40.28</v>
      </c>
      <c r="H3043">
        <v>121</v>
      </c>
      <c r="I3043" t="s">
        <v>23</v>
      </c>
      <c r="J3043">
        <v>2025</v>
      </c>
      <c r="K3043">
        <f t="shared" si="94"/>
        <v>25.209999999999994</v>
      </c>
      <c r="L3043" t="str">
        <f t="shared" si="95"/>
        <v>Banca Veneta|21|Prestiti</v>
      </c>
    </row>
    <row r="3044" spans="1:12" x14ac:dyDescent="0.25">
      <c r="A3044" t="s">
        <v>34</v>
      </c>
      <c r="B3044">
        <v>21</v>
      </c>
      <c r="C3044" t="s">
        <v>16</v>
      </c>
      <c r="D3044" s="1">
        <v>45930</v>
      </c>
      <c r="E3044">
        <v>1799.6</v>
      </c>
      <c r="F3044">
        <v>88.91</v>
      </c>
      <c r="G3044">
        <v>54.53</v>
      </c>
      <c r="H3044">
        <v>186</v>
      </c>
      <c r="I3044" t="s">
        <v>23</v>
      </c>
      <c r="J3044">
        <v>2025</v>
      </c>
      <c r="K3044">
        <f t="shared" si="94"/>
        <v>34.379999999999995</v>
      </c>
      <c r="L3044" t="str">
        <f t="shared" si="95"/>
        <v>Banca Veneta|21|Conti</v>
      </c>
    </row>
    <row r="3045" spans="1:12" x14ac:dyDescent="0.25">
      <c r="A3045" t="s">
        <v>34</v>
      </c>
      <c r="B3045">
        <v>21</v>
      </c>
      <c r="C3045" t="s">
        <v>17</v>
      </c>
      <c r="D3045" s="1">
        <v>45930</v>
      </c>
      <c r="E3045">
        <v>2165.8000000000002</v>
      </c>
      <c r="F3045">
        <v>111.1</v>
      </c>
      <c r="G3045">
        <v>67.150000000000006</v>
      </c>
      <c r="H3045">
        <v>203</v>
      </c>
      <c r="I3045" t="s">
        <v>23</v>
      </c>
      <c r="J3045">
        <v>2025</v>
      </c>
      <c r="K3045">
        <f t="shared" si="94"/>
        <v>43.949999999999989</v>
      </c>
      <c r="L3045" t="str">
        <f t="shared" si="95"/>
        <v>Banca Veneta|21|Carte</v>
      </c>
    </row>
    <row r="3046" spans="1:12" x14ac:dyDescent="0.25">
      <c r="A3046" t="s">
        <v>34</v>
      </c>
      <c r="B3046">
        <v>21</v>
      </c>
      <c r="C3046" t="s">
        <v>18</v>
      </c>
      <c r="D3046" s="1">
        <v>45930</v>
      </c>
      <c r="E3046">
        <v>2545.5</v>
      </c>
      <c r="F3046">
        <v>135.19</v>
      </c>
      <c r="G3046">
        <v>81.93</v>
      </c>
      <c r="H3046">
        <v>236</v>
      </c>
      <c r="I3046" t="s">
        <v>23</v>
      </c>
      <c r="J3046">
        <v>2025</v>
      </c>
      <c r="K3046">
        <f t="shared" si="94"/>
        <v>53.259999999999991</v>
      </c>
      <c r="L3046" t="str">
        <f t="shared" si="95"/>
        <v>Banca Veneta|21|Leasing</v>
      </c>
    </row>
    <row r="3047" spans="1:12" x14ac:dyDescent="0.25">
      <c r="A3047" t="s">
        <v>34</v>
      </c>
      <c r="B3047">
        <v>21</v>
      </c>
      <c r="C3047" t="s">
        <v>19</v>
      </c>
      <c r="D3047" s="1">
        <v>45930</v>
      </c>
      <c r="E3047">
        <v>2902.3</v>
      </c>
      <c r="F3047">
        <v>159.93</v>
      </c>
      <c r="G3047">
        <v>96.62</v>
      </c>
      <c r="H3047">
        <v>264</v>
      </c>
      <c r="I3047" t="s">
        <v>23</v>
      </c>
      <c r="J3047">
        <v>2025</v>
      </c>
      <c r="K3047">
        <f t="shared" si="94"/>
        <v>63.31</v>
      </c>
      <c r="L3047" t="str">
        <f t="shared" si="95"/>
        <v>Banca Veneta|21|Factoring</v>
      </c>
    </row>
    <row r="3048" spans="1:12" x14ac:dyDescent="0.25">
      <c r="A3048" t="s">
        <v>34</v>
      </c>
      <c r="B3048">
        <v>21</v>
      </c>
      <c r="C3048" t="s">
        <v>20</v>
      </c>
      <c r="D3048" s="1">
        <v>45930</v>
      </c>
      <c r="E3048">
        <v>3315.7</v>
      </c>
      <c r="F3048">
        <v>189.58</v>
      </c>
      <c r="G3048">
        <v>113.07</v>
      </c>
      <c r="H3048">
        <v>299</v>
      </c>
      <c r="I3048" t="s">
        <v>23</v>
      </c>
      <c r="J3048">
        <v>2025</v>
      </c>
      <c r="K3048">
        <f t="shared" si="94"/>
        <v>76.510000000000019</v>
      </c>
      <c r="L3048" t="str">
        <f t="shared" si="95"/>
        <v>Banca Veneta|21|Risparmio</v>
      </c>
    </row>
    <row r="3049" spans="1:12" x14ac:dyDescent="0.25">
      <c r="A3049" t="s">
        <v>34</v>
      </c>
      <c r="B3049">
        <v>21</v>
      </c>
      <c r="C3049" t="s">
        <v>21</v>
      </c>
      <c r="D3049" s="1">
        <v>45930</v>
      </c>
      <c r="E3049">
        <v>3651.6</v>
      </c>
      <c r="F3049">
        <v>216.39</v>
      </c>
      <c r="G3049">
        <v>128.62</v>
      </c>
      <c r="H3049">
        <v>323</v>
      </c>
      <c r="I3049" t="s">
        <v>23</v>
      </c>
      <c r="J3049">
        <v>2025</v>
      </c>
      <c r="K3049">
        <f t="shared" si="94"/>
        <v>87.769999999999982</v>
      </c>
      <c r="L3049" t="str">
        <f t="shared" si="95"/>
        <v>Banca Veneta|21|Assicurazioni</v>
      </c>
    </row>
    <row r="3050" spans="1:12" x14ac:dyDescent="0.25">
      <c r="A3050" t="s">
        <v>34</v>
      </c>
      <c r="B3050">
        <v>22</v>
      </c>
      <c r="C3050" t="s">
        <v>13</v>
      </c>
      <c r="D3050" s="1">
        <v>45961</v>
      </c>
      <c r="E3050">
        <v>1003.9</v>
      </c>
      <c r="F3050">
        <v>45.76</v>
      </c>
      <c r="G3050">
        <v>28.36</v>
      </c>
      <c r="H3050">
        <v>93</v>
      </c>
      <c r="I3050" t="s">
        <v>23</v>
      </c>
      <c r="J3050">
        <v>2025</v>
      </c>
      <c r="K3050">
        <f t="shared" si="94"/>
        <v>17.399999999999999</v>
      </c>
      <c r="L3050" t="str">
        <f t="shared" si="95"/>
        <v>Banca Veneta|22|Mutui</v>
      </c>
    </row>
    <row r="3051" spans="1:12" x14ac:dyDescent="0.25">
      <c r="A3051" t="s">
        <v>34</v>
      </c>
      <c r="B3051">
        <v>22</v>
      </c>
      <c r="C3051" t="s">
        <v>15</v>
      </c>
      <c r="D3051" s="1">
        <v>45961</v>
      </c>
      <c r="E3051">
        <v>1395.5</v>
      </c>
      <c r="F3051">
        <v>66.17</v>
      </c>
      <c r="G3051">
        <v>41.24</v>
      </c>
      <c r="H3051">
        <v>140</v>
      </c>
      <c r="I3051" t="s">
        <v>23</v>
      </c>
      <c r="J3051">
        <v>2025</v>
      </c>
      <c r="K3051">
        <f t="shared" si="94"/>
        <v>24.93</v>
      </c>
      <c r="L3051" t="str">
        <f t="shared" si="95"/>
        <v>Banca Veneta|22|Prestiti</v>
      </c>
    </row>
    <row r="3052" spans="1:12" x14ac:dyDescent="0.25">
      <c r="A3052" t="s">
        <v>34</v>
      </c>
      <c r="B3052">
        <v>22</v>
      </c>
      <c r="C3052" t="s">
        <v>16</v>
      </c>
      <c r="D3052" s="1">
        <v>45961</v>
      </c>
      <c r="E3052">
        <v>1801.5</v>
      </c>
      <c r="F3052">
        <v>88.43</v>
      </c>
      <c r="G3052">
        <v>54.55</v>
      </c>
      <c r="H3052">
        <v>155</v>
      </c>
      <c r="I3052" t="s">
        <v>23</v>
      </c>
      <c r="J3052">
        <v>2025</v>
      </c>
      <c r="K3052">
        <f t="shared" si="94"/>
        <v>33.88000000000001</v>
      </c>
      <c r="L3052" t="str">
        <f t="shared" si="95"/>
        <v>Banca Veneta|22|Conti</v>
      </c>
    </row>
    <row r="3053" spans="1:12" x14ac:dyDescent="0.25">
      <c r="A3053" t="s">
        <v>34</v>
      </c>
      <c r="B3053">
        <v>22</v>
      </c>
      <c r="C3053" t="s">
        <v>17</v>
      </c>
      <c r="D3053" s="1">
        <v>45961</v>
      </c>
      <c r="E3053">
        <v>2155.9</v>
      </c>
      <c r="F3053">
        <v>110.6</v>
      </c>
      <c r="G3053">
        <v>67.3</v>
      </c>
      <c r="H3053">
        <v>216</v>
      </c>
      <c r="I3053" t="s">
        <v>23</v>
      </c>
      <c r="J3053">
        <v>2025</v>
      </c>
      <c r="K3053">
        <f t="shared" si="94"/>
        <v>43.3</v>
      </c>
      <c r="L3053" t="str">
        <f t="shared" si="95"/>
        <v>Banca Veneta|22|Carte</v>
      </c>
    </row>
    <row r="3054" spans="1:12" x14ac:dyDescent="0.25">
      <c r="A3054" t="s">
        <v>34</v>
      </c>
      <c r="B3054">
        <v>22</v>
      </c>
      <c r="C3054" t="s">
        <v>18</v>
      </c>
      <c r="D3054" s="1">
        <v>45961</v>
      </c>
      <c r="E3054">
        <v>2558.1999999999998</v>
      </c>
      <c r="F3054">
        <v>136.54</v>
      </c>
      <c r="G3054">
        <v>81.87</v>
      </c>
      <c r="H3054">
        <v>225</v>
      </c>
      <c r="I3054" t="s">
        <v>23</v>
      </c>
      <c r="J3054">
        <v>2025</v>
      </c>
      <c r="K3054">
        <f t="shared" si="94"/>
        <v>54.669999999999987</v>
      </c>
      <c r="L3054" t="str">
        <f t="shared" si="95"/>
        <v>Banca Veneta|22|Leasing</v>
      </c>
    </row>
    <row r="3055" spans="1:12" x14ac:dyDescent="0.25">
      <c r="A3055" t="s">
        <v>34</v>
      </c>
      <c r="B3055">
        <v>22</v>
      </c>
      <c r="C3055" t="s">
        <v>19</v>
      </c>
      <c r="D3055" s="1">
        <v>45961</v>
      </c>
      <c r="E3055">
        <v>2914.6</v>
      </c>
      <c r="F3055">
        <v>160.68</v>
      </c>
      <c r="G3055">
        <v>96.3</v>
      </c>
      <c r="H3055">
        <v>279</v>
      </c>
      <c r="I3055" t="s">
        <v>23</v>
      </c>
      <c r="J3055">
        <v>2025</v>
      </c>
      <c r="K3055">
        <f t="shared" si="94"/>
        <v>64.38000000000001</v>
      </c>
      <c r="L3055" t="str">
        <f t="shared" si="95"/>
        <v>Banca Veneta|22|Factoring</v>
      </c>
    </row>
    <row r="3056" spans="1:12" x14ac:dyDescent="0.25">
      <c r="A3056" t="s">
        <v>34</v>
      </c>
      <c r="B3056">
        <v>22</v>
      </c>
      <c r="C3056" t="s">
        <v>20</v>
      </c>
      <c r="D3056" s="1">
        <v>45961</v>
      </c>
      <c r="E3056">
        <v>3298</v>
      </c>
      <c r="F3056">
        <v>188.82</v>
      </c>
      <c r="G3056">
        <v>112.93</v>
      </c>
      <c r="H3056">
        <v>292</v>
      </c>
      <c r="I3056" t="s">
        <v>23</v>
      </c>
      <c r="J3056">
        <v>2025</v>
      </c>
      <c r="K3056">
        <f t="shared" si="94"/>
        <v>75.889999999999986</v>
      </c>
      <c r="L3056" t="str">
        <f t="shared" si="95"/>
        <v>Banca Veneta|22|Risparmio</v>
      </c>
    </row>
    <row r="3057" spans="1:12" x14ac:dyDescent="0.25">
      <c r="A3057" t="s">
        <v>34</v>
      </c>
      <c r="B3057">
        <v>22</v>
      </c>
      <c r="C3057" t="s">
        <v>21</v>
      </c>
      <c r="D3057" s="1">
        <v>45961</v>
      </c>
      <c r="E3057">
        <v>3700.6</v>
      </c>
      <c r="F3057">
        <v>218.36</v>
      </c>
      <c r="G3057">
        <v>129.84</v>
      </c>
      <c r="H3057">
        <v>319</v>
      </c>
      <c r="I3057" t="s">
        <v>23</v>
      </c>
      <c r="J3057">
        <v>2025</v>
      </c>
      <c r="K3057">
        <f t="shared" si="94"/>
        <v>88.52000000000001</v>
      </c>
      <c r="L3057" t="str">
        <f t="shared" si="95"/>
        <v>Banca Veneta|22|Assicurazioni</v>
      </c>
    </row>
    <row r="3058" spans="1:12" x14ac:dyDescent="0.25">
      <c r="A3058" t="s">
        <v>34</v>
      </c>
      <c r="B3058">
        <v>23</v>
      </c>
      <c r="C3058" t="s">
        <v>13</v>
      </c>
      <c r="D3058" s="1">
        <v>45991</v>
      </c>
      <c r="E3058">
        <v>1017.7</v>
      </c>
      <c r="F3058">
        <v>46.33</v>
      </c>
      <c r="G3058">
        <v>28.79</v>
      </c>
      <c r="H3058">
        <v>111</v>
      </c>
      <c r="I3058" t="s">
        <v>23</v>
      </c>
      <c r="J3058">
        <v>2025</v>
      </c>
      <c r="K3058">
        <f t="shared" si="94"/>
        <v>17.54</v>
      </c>
      <c r="L3058" t="str">
        <f t="shared" si="95"/>
        <v>Banca Veneta|23|Mutui</v>
      </c>
    </row>
    <row r="3059" spans="1:12" x14ac:dyDescent="0.25">
      <c r="A3059" t="s">
        <v>34</v>
      </c>
      <c r="B3059">
        <v>23</v>
      </c>
      <c r="C3059" t="s">
        <v>15</v>
      </c>
      <c r="D3059" s="1">
        <v>45991</v>
      </c>
      <c r="E3059">
        <v>1424.7</v>
      </c>
      <c r="F3059">
        <v>67.05</v>
      </c>
      <c r="G3059">
        <v>41.58</v>
      </c>
      <c r="H3059">
        <v>125</v>
      </c>
      <c r="I3059" t="s">
        <v>23</v>
      </c>
      <c r="J3059">
        <v>2025</v>
      </c>
      <c r="K3059">
        <f t="shared" si="94"/>
        <v>25.47</v>
      </c>
      <c r="L3059" t="str">
        <f t="shared" si="95"/>
        <v>Banca Veneta|23|Prestiti</v>
      </c>
    </row>
    <row r="3060" spans="1:12" x14ac:dyDescent="0.25">
      <c r="A3060" t="s">
        <v>34</v>
      </c>
      <c r="B3060">
        <v>23</v>
      </c>
      <c r="C3060" t="s">
        <v>16</v>
      </c>
      <c r="D3060" s="1">
        <v>45991</v>
      </c>
      <c r="E3060">
        <v>1790.4</v>
      </c>
      <c r="F3060">
        <v>88.2</v>
      </c>
      <c r="G3060">
        <v>54.7</v>
      </c>
      <c r="H3060">
        <v>175</v>
      </c>
      <c r="I3060" t="s">
        <v>23</v>
      </c>
      <c r="J3060">
        <v>2025</v>
      </c>
      <c r="K3060">
        <f t="shared" si="94"/>
        <v>33.5</v>
      </c>
      <c r="L3060" t="str">
        <f t="shared" si="95"/>
        <v>Banca Veneta|23|Conti</v>
      </c>
    </row>
    <row r="3061" spans="1:12" x14ac:dyDescent="0.25">
      <c r="A3061" t="s">
        <v>34</v>
      </c>
      <c r="B3061">
        <v>23</v>
      </c>
      <c r="C3061" t="s">
        <v>17</v>
      </c>
      <c r="D3061" s="1">
        <v>45991</v>
      </c>
      <c r="E3061">
        <v>2211.1</v>
      </c>
      <c r="F3061">
        <v>113.35</v>
      </c>
      <c r="G3061">
        <v>68.58</v>
      </c>
      <c r="H3061">
        <v>184</v>
      </c>
      <c r="I3061" t="s">
        <v>23</v>
      </c>
      <c r="J3061">
        <v>2025</v>
      </c>
      <c r="K3061">
        <f t="shared" si="94"/>
        <v>44.769999999999996</v>
      </c>
      <c r="L3061" t="str">
        <f t="shared" si="95"/>
        <v>Banca Veneta|23|Carte</v>
      </c>
    </row>
    <row r="3062" spans="1:12" x14ac:dyDescent="0.25">
      <c r="A3062" t="s">
        <v>34</v>
      </c>
      <c r="B3062">
        <v>23</v>
      </c>
      <c r="C3062" t="s">
        <v>18</v>
      </c>
      <c r="D3062" s="1">
        <v>45991</v>
      </c>
      <c r="E3062">
        <v>2568.8000000000002</v>
      </c>
      <c r="F3062">
        <v>136.61000000000001</v>
      </c>
      <c r="G3062">
        <v>82.23</v>
      </c>
      <c r="H3062">
        <v>231</v>
      </c>
      <c r="I3062" t="s">
        <v>23</v>
      </c>
      <c r="J3062">
        <v>2025</v>
      </c>
      <c r="K3062">
        <f t="shared" si="94"/>
        <v>54.38000000000001</v>
      </c>
      <c r="L3062" t="str">
        <f t="shared" si="95"/>
        <v>Banca Veneta|23|Leasing</v>
      </c>
    </row>
    <row r="3063" spans="1:12" x14ac:dyDescent="0.25">
      <c r="A3063" t="s">
        <v>34</v>
      </c>
      <c r="B3063">
        <v>23</v>
      </c>
      <c r="C3063" t="s">
        <v>19</v>
      </c>
      <c r="D3063" s="1">
        <v>45991</v>
      </c>
      <c r="E3063">
        <v>2941</v>
      </c>
      <c r="F3063">
        <v>162.12</v>
      </c>
      <c r="G3063">
        <v>97.3</v>
      </c>
      <c r="H3063">
        <v>273</v>
      </c>
      <c r="I3063" t="s">
        <v>23</v>
      </c>
      <c r="J3063">
        <v>2025</v>
      </c>
      <c r="K3063">
        <f t="shared" si="94"/>
        <v>64.820000000000007</v>
      </c>
      <c r="L3063" t="str">
        <f t="shared" si="95"/>
        <v>Banca Veneta|23|Factoring</v>
      </c>
    </row>
    <row r="3064" spans="1:12" x14ac:dyDescent="0.25">
      <c r="A3064" t="s">
        <v>34</v>
      </c>
      <c r="B3064">
        <v>23</v>
      </c>
      <c r="C3064" t="s">
        <v>20</v>
      </c>
      <c r="D3064" s="1">
        <v>45991</v>
      </c>
      <c r="E3064">
        <v>3365.8</v>
      </c>
      <c r="F3064">
        <v>192.17</v>
      </c>
      <c r="G3064">
        <v>114.79</v>
      </c>
      <c r="H3064">
        <v>301</v>
      </c>
      <c r="I3064" t="s">
        <v>23</v>
      </c>
      <c r="J3064">
        <v>2025</v>
      </c>
      <c r="K3064">
        <f t="shared" si="94"/>
        <v>77.379999999999981</v>
      </c>
      <c r="L3064" t="str">
        <f t="shared" si="95"/>
        <v>Banca Veneta|23|Risparmio</v>
      </c>
    </row>
    <row r="3065" spans="1:12" x14ac:dyDescent="0.25">
      <c r="A3065" t="s">
        <v>34</v>
      </c>
      <c r="B3065">
        <v>23</v>
      </c>
      <c r="C3065" t="s">
        <v>21</v>
      </c>
      <c r="D3065" s="1">
        <v>45991</v>
      </c>
      <c r="E3065">
        <v>3731.2</v>
      </c>
      <c r="F3065">
        <v>220.8</v>
      </c>
      <c r="G3065">
        <v>131</v>
      </c>
      <c r="H3065">
        <v>336</v>
      </c>
      <c r="I3065" t="s">
        <v>23</v>
      </c>
      <c r="J3065">
        <v>2025</v>
      </c>
      <c r="K3065">
        <f t="shared" si="94"/>
        <v>89.800000000000011</v>
      </c>
      <c r="L3065" t="str">
        <f t="shared" si="95"/>
        <v>Banca Veneta|23|Assicurazioni</v>
      </c>
    </row>
    <row r="3066" spans="1:12" x14ac:dyDescent="0.25">
      <c r="A3066" t="s">
        <v>34</v>
      </c>
      <c r="B3066">
        <v>24</v>
      </c>
      <c r="C3066" t="s">
        <v>13</v>
      </c>
      <c r="D3066" s="1">
        <v>46022</v>
      </c>
      <c r="E3066">
        <v>1037.4000000000001</v>
      </c>
      <c r="F3066">
        <v>46.81</v>
      </c>
      <c r="G3066">
        <v>30</v>
      </c>
      <c r="H3066">
        <v>102</v>
      </c>
      <c r="I3066" t="s">
        <v>23</v>
      </c>
      <c r="J3066">
        <v>2025</v>
      </c>
      <c r="K3066">
        <f t="shared" si="94"/>
        <v>16.810000000000002</v>
      </c>
      <c r="L3066" t="str">
        <f t="shared" si="95"/>
        <v>Banca Veneta|24|Mutui</v>
      </c>
    </row>
    <row r="3067" spans="1:12" x14ac:dyDescent="0.25">
      <c r="A3067" t="s">
        <v>34</v>
      </c>
      <c r="B3067">
        <v>24</v>
      </c>
      <c r="C3067" t="s">
        <v>15</v>
      </c>
      <c r="D3067" s="1">
        <v>46022</v>
      </c>
      <c r="E3067">
        <v>1410.7</v>
      </c>
      <c r="F3067">
        <v>67.14</v>
      </c>
      <c r="G3067">
        <v>41.11</v>
      </c>
      <c r="H3067">
        <v>131</v>
      </c>
      <c r="I3067" t="s">
        <v>23</v>
      </c>
      <c r="J3067">
        <v>2025</v>
      </c>
      <c r="K3067">
        <f t="shared" si="94"/>
        <v>26.03</v>
      </c>
      <c r="L3067" t="str">
        <f t="shared" si="95"/>
        <v>Banca Veneta|24|Prestiti</v>
      </c>
    </row>
    <row r="3068" spans="1:12" x14ac:dyDescent="0.25">
      <c r="A3068" t="s">
        <v>34</v>
      </c>
      <c r="B3068">
        <v>24</v>
      </c>
      <c r="C3068" t="s">
        <v>16</v>
      </c>
      <c r="D3068" s="1">
        <v>46022</v>
      </c>
      <c r="E3068">
        <v>1798.4</v>
      </c>
      <c r="F3068">
        <v>89.11</v>
      </c>
      <c r="G3068">
        <v>54.27</v>
      </c>
      <c r="H3068">
        <v>177</v>
      </c>
      <c r="I3068" t="s">
        <v>23</v>
      </c>
      <c r="J3068">
        <v>2025</v>
      </c>
      <c r="K3068">
        <f t="shared" si="94"/>
        <v>34.839999999999996</v>
      </c>
      <c r="L3068" t="str">
        <f t="shared" si="95"/>
        <v>Banca Veneta|24|Conti</v>
      </c>
    </row>
    <row r="3069" spans="1:12" x14ac:dyDescent="0.25">
      <c r="A3069" t="s">
        <v>34</v>
      </c>
      <c r="B3069">
        <v>24</v>
      </c>
      <c r="C3069" t="s">
        <v>17</v>
      </c>
      <c r="D3069" s="1">
        <v>46022</v>
      </c>
      <c r="E3069">
        <v>2215.1999999999998</v>
      </c>
      <c r="F3069">
        <v>113.48</v>
      </c>
      <c r="G3069">
        <v>69.59</v>
      </c>
      <c r="H3069">
        <v>197</v>
      </c>
      <c r="I3069" t="s">
        <v>23</v>
      </c>
      <c r="J3069">
        <v>2025</v>
      </c>
      <c r="K3069">
        <f t="shared" si="94"/>
        <v>43.89</v>
      </c>
      <c r="L3069" t="str">
        <f t="shared" si="95"/>
        <v>Banca Veneta|24|Carte</v>
      </c>
    </row>
    <row r="3070" spans="1:12" x14ac:dyDescent="0.25">
      <c r="A3070" t="s">
        <v>34</v>
      </c>
      <c r="B3070">
        <v>24</v>
      </c>
      <c r="C3070" t="s">
        <v>18</v>
      </c>
      <c r="D3070" s="1">
        <v>46022</v>
      </c>
      <c r="E3070">
        <v>2577.9</v>
      </c>
      <c r="F3070">
        <v>137.47</v>
      </c>
      <c r="G3070">
        <v>83.18</v>
      </c>
      <c r="H3070">
        <v>226</v>
      </c>
      <c r="I3070" t="s">
        <v>23</v>
      </c>
      <c r="J3070">
        <v>2025</v>
      </c>
      <c r="K3070">
        <f t="shared" si="94"/>
        <v>54.289999999999992</v>
      </c>
      <c r="L3070" t="str">
        <f t="shared" si="95"/>
        <v>Banca Veneta|24|Leasing</v>
      </c>
    </row>
    <row r="3071" spans="1:12" x14ac:dyDescent="0.25">
      <c r="A3071" t="s">
        <v>34</v>
      </c>
      <c r="B3071">
        <v>24</v>
      </c>
      <c r="C3071" t="s">
        <v>19</v>
      </c>
      <c r="D3071" s="1">
        <v>46022</v>
      </c>
      <c r="E3071">
        <v>2983.2</v>
      </c>
      <c r="F3071">
        <v>164.2</v>
      </c>
      <c r="G3071">
        <v>98.96</v>
      </c>
      <c r="H3071">
        <v>250</v>
      </c>
      <c r="I3071" t="s">
        <v>23</v>
      </c>
      <c r="J3071">
        <v>2025</v>
      </c>
      <c r="K3071">
        <f t="shared" si="94"/>
        <v>65.239999999999995</v>
      </c>
      <c r="L3071" t="str">
        <f t="shared" si="95"/>
        <v>Banca Veneta|24|Factoring</v>
      </c>
    </row>
    <row r="3072" spans="1:12" x14ac:dyDescent="0.25">
      <c r="A3072" t="s">
        <v>34</v>
      </c>
      <c r="B3072">
        <v>24</v>
      </c>
      <c r="C3072" t="s">
        <v>20</v>
      </c>
      <c r="D3072" s="1">
        <v>46022</v>
      </c>
      <c r="E3072">
        <v>3345.2</v>
      </c>
      <c r="F3072">
        <v>190.85</v>
      </c>
      <c r="G3072">
        <v>114.25</v>
      </c>
      <c r="H3072">
        <v>300</v>
      </c>
      <c r="I3072" t="s">
        <v>23</v>
      </c>
      <c r="J3072">
        <v>2025</v>
      </c>
      <c r="K3072">
        <f t="shared" si="94"/>
        <v>76.599999999999994</v>
      </c>
      <c r="L3072" t="str">
        <f t="shared" si="95"/>
        <v>Banca Veneta|24|Risparmio</v>
      </c>
    </row>
    <row r="3073" spans="1:12" x14ac:dyDescent="0.25">
      <c r="A3073" t="s">
        <v>34</v>
      </c>
      <c r="B3073">
        <v>24</v>
      </c>
      <c r="C3073" t="s">
        <v>21</v>
      </c>
      <c r="D3073" s="1">
        <v>46022</v>
      </c>
      <c r="E3073">
        <v>3763.1</v>
      </c>
      <c r="F3073">
        <v>222.53</v>
      </c>
      <c r="G3073">
        <v>132.36000000000001</v>
      </c>
      <c r="H3073">
        <v>317</v>
      </c>
      <c r="I3073" t="s">
        <v>23</v>
      </c>
      <c r="J3073">
        <v>2025</v>
      </c>
      <c r="K3073">
        <f t="shared" si="94"/>
        <v>90.169999999999987</v>
      </c>
      <c r="L3073" t="str">
        <f t="shared" si="95"/>
        <v>Banca Veneta|24|Assicurazioni</v>
      </c>
    </row>
    <row r="3074" spans="1:12" x14ac:dyDescent="0.25">
      <c r="A3074" t="s">
        <v>34</v>
      </c>
      <c r="B3074">
        <v>25</v>
      </c>
      <c r="C3074" t="s">
        <v>13</v>
      </c>
      <c r="D3074" s="1">
        <v>46053</v>
      </c>
      <c r="E3074">
        <v>1027.0999999999999</v>
      </c>
      <c r="F3074">
        <v>46.38</v>
      </c>
      <c r="G3074">
        <v>29.7</v>
      </c>
      <c r="H3074">
        <v>98</v>
      </c>
      <c r="I3074" t="s">
        <v>23</v>
      </c>
      <c r="J3074">
        <v>2026</v>
      </c>
      <c r="K3074">
        <f t="shared" ref="K3074:K3137" si="96">F3074-G3074</f>
        <v>16.680000000000003</v>
      </c>
      <c r="L3074" t="str">
        <f t="shared" ref="L3074:L3137" si="97">A3074&amp;"|"&amp;B3074&amp;"|"&amp;C3074</f>
        <v>Banca Veneta|25|Mutui</v>
      </c>
    </row>
    <row r="3075" spans="1:12" x14ac:dyDescent="0.25">
      <c r="A3075" t="s">
        <v>34</v>
      </c>
      <c r="B3075">
        <v>25</v>
      </c>
      <c r="C3075" t="s">
        <v>15</v>
      </c>
      <c r="D3075" s="1">
        <v>46053</v>
      </c>
      <c r="E3075">
        <v>1411.9</v>
      </c>
      <c r="F3075">
        <v>66.36</v>
      </c>
      <c r="G3075">
        <v>41.67</v>
      </c>
      <c r="H3075">
        <v>147</v>
      </c>
      <c r="I3075" t="s">
        <v>23</v>
      </c>
      <c r="J3075">
        <v>2026</v>
      </c>
      <c r="K3075">
        <f t="shared" si="96"/>
        <v>24.689999999999998</v>
      </c>
      <c r="L3075" t="str">
        <f t="shared" si="97"/>
        <v>Banca Veneta|25|Prestiti</v>
      </c>
    </row>
    <row r="3076" spans="1:12" x14ac:dyDescent="0.25">
      <c r="A3076" t="s">
        <v>34</v>
      </c>
      <c r="B3076">
        <v>25</v>
      </c>
      <c r="C3076" t="s">
        <v>16</v>
      </c>
      <c r="D3076" s="1">
        <v>46053</v>
      </c>
      <c r="E3076">
        <v>1795</v>
      </c>
      <c r="F3076">
        <v>88.69</v>
      </c>
      <c r="G3076">
        <v>53.92</v>
      </c>
      <c r="H3076">
        <v>158</v>
      </c>
      <c r="I3076" t="s">
        <v>23</v>
      </c>
      <c r="J3076">
        <v>2026</v>
      </c>
      <c r="K3076">
        <f t="shared" si="96"/>
        <v>34.769999999999996</v>
      </c>
      <c r="L3076" t="str">
        <f t="shared" si="97"/>
        <v>Banca Veneta|25|Conti</v>
      </c>
    </row>
    <row r="3077" spans="1:12" x14ac:dyDescent="0.25">
      <c r="A3077" t="s">
        <v>34</v>
      </c>
      <c r="B3077">
        <v>25</v>
      </c>
      <c r="C3077" t="s">
        <v>17</v>
      </c>
      <c r="D3077" s="1">
        <v>46053</v>
      </c>
      <c r="E3077">
        <v>2202.3000000000002</v>
      </c>
      <c r="F3077">
        <v>112.76</v>
      </c>
      <c r="G3077">
        <v>68.989999999999995</v>
      </c>
      <c r="H3077">
        <v>213</v>
      </c>
      <c r="I3077" t="s">
        <v>23</v>
      </c>
      <c r="J3077">
        <v>2026</v>
      </c>
      <c r="K3077">
        <f t="shared" si="96"/>
        <v>43.77000000000001</v>
      </c>
      <c r="L3077" t="str">
        <f t="shared" si="97"/>
        <v>Banca Veneta|25|Carte</v>
      </c>
    </row>
    <row r="3078" spans="1:12" x14ac:dyDescent="0.25">
      <c r="A3078" t="s">
        <v>34</v>
      </c>
      <c r="B3078">
        <v>25</v>
      </c>
      <c r="C3078" t="s">
        <v>18</v>
      </c>
      <c r="D3078" s="1">
        <v>46053</v>
      </c>
      <c r="E3078">
        <v>2619.9</v>
      </c>
      <c r="F3078">
        <v>139.18</v>
      </c>
      <c r="G3078">
        <v>84.03</v>
      </c>
      <c r="H3078">
        <v>220</v>
      </c>
      <c r="I3078" t="s">
        <v>23</v>
      </c>
      <c r="J3078">
        <v>2026</v>
      </c>
      <c r="K3078">
        <f t="shared" si="96"/>
        <v>55.150000000000006</v>
      </c>
      <c r="L3078" t="str">
        <f t="shared" si="97"/>
        <v>Banca Veneta|25|Leasing</v>
      </c>
    </row>
    <row r="3079" spans="1:12" x14ac:dyDescent="0.25">
      <c r="A3079" t="s">
        <v>34</v>
      </c>
      <c r="B3079">
        <v>25</v>
      </c>
      <c r="C3079" t="s">
        <v>19</v>
      </c>
      <c r="D3079" s="1">
        <v>46053</v>
      </c>
      <c r="E3079">
        <v>3008.2</v>
      </c>
      <c r="F3079">
        <v>165.92</v>
      </c>
      <c r="G3079">
        <v>100.13</v>
      </c>
      <c r="H3079">
        <v>286</v>
      </c>
      <c r="I3079" t="s">
        <v>23</v>
      </c>
      <c r="J3079">
        <v>2026</v>
      </c>
      <c r="K3079">
        <f t="shared" si="96"/>
        <v>65.789999999999992</v>
      </c>
      <c r="L3079" t="str">
        <f t="shared" si="97"/>
        <v>Banca Veneta|25|Factoring</v>
      </c>
    </row>
    <row r="3080" spans="1:12" x14ac:dyDescent="0.25">
      <c r="A3080" t="s">
        <v>34</v>
      </c>
      <c r="B3080">
        <v>25</v>
      </c>
      <c r="C3080" t="s">
        <v>20</v>
      </c>
      <c r="D3080" s="1">
        <v>46053</v>
      </c>
      <c r="E3080">
        <v>3374.3</v>
      </c>
      <c r="F3080">
        <v>193.19</v>
      </c>
      <c r="G3080">
        <v>115.58</v>
      </c>
      <c r="H3080">
        <v>284</v>
      </c>
      <c r="I3080" t="s">
        <v>23</v>
      </c>
      <c r="J3080">
        <v>2026</v>
      </c>
      <c r="K3080">
        <f t="shared" si="96"/>
        <v>77.61</v>
      </c>
      <c r="L3080" t="str">
        <f t="shared" si="97"/>
        <v>Banca Veneta|25|Risparmio</v>
      </c>
    </row>
    <row r="3081" spans="1:12" x14ac:dyDescent="0.25">
      <c r="A3081" t="s">
        <v>34</v>
      </c>
      <c r="B3081">
        <v>25</v>
      </c>
      <c r="C3081" t="s">
        <v>21</v>
      </c>
      <c r="D3081" s="1">
        <v>46053</v>
      </c>
      <c r="E3081">
        <v>3797.9</v>
      </c>
      <c r="F3081">
        <v>224.98</v>
      </c>
      <c r="G3081">
        <v>133.32</v>
      </c>
      <c r="H3081">
        <v>318</v>
      </c>
      <c r="I3081" t="s">
        <v>23</v>
      </c>
      <c r="J3081">
        <v>2026</v>
      </c>
      <c r="K3081">
        <f t="shared" si="96"/>
        <v>91.66</v>
      </c>
      <c r="L3081" t="str">
        <f t="shared" si="97"/>
        <v>Banca Veneta|25|Assicurazioni</v>
      </c>
    </row>
    <row r="3082" spans="1:12" x14ac:dyDescent="0.25">
      <c r="A3082" t="s">
        <v>34</v>
      </c>
      <c r="B3082">
        <v>26</v>
      </c>
      <c r="C3082" t="s">
        <v>13</v>
      </c>
      <c r="D3082" s="1">
        <v>46081</v>
      </c>
      <c r="E3082">
        <v>1073.0999999999999</v>
      </c>
      <c r="F3082">
        <v>48.69</v>
      </c>
      <c r="G3082">
        <v>30.85</v>
      </c>
      <c r="H3082">
        <v>125</v>
      </c>
      <c r="I3082" t="s">
        <v>23</v>
      </c>
      <c r="J3082">
        <v>2026</v>
      </c>
      <c r="K3082">
        <f t="shared" si="96"/>
        <v>17.839999999999996</v>
      </c>
      <c r="L3082" t="str">
        <f t="shared" si="97"/>
        <v>Banca Veneta|26|Mutui</v>
      </c>
    </row>
    <row r="3083" spans="1:12" x14ac:dyDescent="0.25">
      <c r="A3083" t="s">
        <v>34</v>
      </c>
      <c r="B3083">
        <v>26</v>
      </c>
      <c r="C3083" t="s">
        <v>15</v>
      </c>
      <c r="D3083" s="1">
        <v>46081</v>
      </c>
      <c r="E3083">
        <v>1470.6</v>
      </c>
      <c r="F3083">
        <v>69.22</v>
      </c>
      <c r="G3083">
        <v>42.99</v>
      </c>
      <c r="H3083">
        <v>125</v>
      </c>
      <c r="I3083" t="s">
        <v>23</v>
      </c>
      <c r="J3083">
        <v>2026</v>
      </c>
      <c r="K3083">
        <f t="shared" si="96"/>
        <v>26.229999999999997</v>
      </c>
      <c r="L3083" t="str">
        <f t="shared" si="97"/>
        <v>Banca Veneta|26|Prestiti</v>
      </c>
    </row>
    <row r="3084" spans="1:12" x14ac:dyDescent="0.25">
      <c r="A3084" t="s">
        <v>34</v>
      </c>
      <c r="B3084">
        <v>26</v>
      </c>
      <c r="C3084" t="s">
        <v>16</v>
      </c>
      <c r="D3084" s="1">
        <v>46081</v>
      </c>
      <c r="E3084">
        <v>1851</v>
      </c>
      <c r="F3084">
        <v>91.49</v>
      </c>
      <c r="G3084">
        <v>56.44</v>
      </c>
      <c r="H3084">
        <v>164</v>
      </c>
      <c r="I3084" t="s">
        <v>23</v>
      </c>
      <c r="J3084">
        <v>2026</v>
      </c>
      <c r="K3084">
        <f t="shared" si="96"/>
        <v>35.049999999999997</v>
      </c>
      <c r="L3084" t="str">
        <f t="shared" si="97"/>
        <v>Banca Veneta|26|Conti</v>
      </c>
    </row>
    <row r="3085" spans="1:12" x14ac:dyDescent="0.25">
      <c r="A3085" t="s">
        <v>34</v>
      </c>
      <c r="B3085">
        <v>26</v>
      </c>
      <c r="C3085" t="s">
        <v>17</v>
      </c>
      <c r="D3085" s="1">
        <v>46081</v>
      </c>
      <c r="E3085">
        <v>2220.3000000000002</v>
      </c>
      <c r="F3085">
        <v>114.2</v>
      </c>
      <c r="G3085">
        <v>69.69</v>
      </c>
      <c r="H3085">
        <v>206</v>
      </c>
      <c r="I3085" t="s">
        <v>23</v>
      </c>
      <c r="J3085">
        <v>2026</v>
      </c>
      <c r="K3085">
        <f t="shared" si="96"/>
        <v>44.510000000000005</v>
      </c>
      <c r="L3085" t="str">
        <f t="shared" si="97"/>
        <v>Banca Veneta|26|Carte</v>
      </c>
    </row>
    <row r="3086" spans="1:12" x14ac:dyDescent="0.25">
      <c r="A3086" t="s">
        <v>34</v>
      </c>
      <c r="B3086">
        <v>26</v>
      </c>
      <c r="C3086" t="s">
        <v>18</v>
      </c>
      <c r="D3086" s="1">
        <v>46081</v>
      </c>
      <c r="E3086">
        <v>2625.6</v>
      </c>
      <c r="F3086">
        <v>139.30000000000001</v>
      </c>
      <c r="G3086">
        <v>84.83</v>
      </c>
      <c r="H3086">
        <v>232</v>
      </c>
      <c r="I3086" t="s">
        <v>23</v>
      </c>
      <c r="J3086">
        <v>2026</v>
      </c>
      <c r="K3086">
        <f t="shared" si="96"/>
        <v>54.470000000000013</v>
      </c>
      <c r="L3086" t="str">
        <f t="shared" si="97"/>
        <v>Banca Veneta|26|Leasing</v>
      </c>
    </row>
    <row r="3087" spans="1:12" x14ac:dyDescent="0.25">
      <c r="A3087" t="s">
        <v>34</v>
      </c>
      <c r="B3087">
        <v>26</v>
      </c>
      <c r="C3087" t="s">
        <v>19</v>
      </c>
      <c r="D3087" s="1">
        <v>46081</v>
      </c>
      <c r="E3087">
        <v>3042.9</v>
      </c>
      <c r="F3087">
        <v>168.24</v>
      </c>
      <c r="G3087">
        <v>100.42</v>
      </c>
      <c r="H3087">
        <v>261</v>
      </c>
      <c r="I3087" t="s">
        <v>23</v>
      </c>
      <c r="J3087">
        <v>2026</v>
      </c>
      <c r="K3087">
        <f t="shared" si="96"/>
        <v>67.820000000000007</v>
      </c>
      <c r="L3087" t="str">
        <f t="shared" si="97"/>
        <v>Banca Veneta|26|Factoring</v>
      </c>
    </row>
    <row r="3088" spans="1:12" x14ac:dyDescent="0.25">
      <c r="A3088" t="s">
        <v>34</v>
      </c>
      <c r="B3088">
        <v>26</v>
      </c>
      <c r="C3088" t="s">
        <v>20</v>
      </c>
      <c r="D3088" s="1">
        <v>46081</v>
      </c>
      <c r="E3088">
        <v>3390.8</v>
      </c>
      <c r="F3088">
        <v>193.32</v>
      </c>
      <c r="G3088">
        <v>115.92</v>
      </c>
      <c r="H3088">
        <v>315</v>
      </c>
      <c r="I3088" t="s">
        <v>23</v>
      </c>
      <c r="J3088">
        <v>2026</v>
      </c>
      <c r="K3088">
        <f t="shared" si="96"/>
        <v>77.399999999999991</v>
      </c>
      <c r="L3088" t="str">
        <f t="shared" si="97"/>
        <v>Banca Veneta|26|Risparmio</v>
      </c>
    </row>
    <row r="3089" spans="1:12" x14ac:dyDescent="0.25">
      <c r="A3089" t="s">
        <v>34</v>
      </c>
      <c r="B3089">
        <v>26</v>
      </c>
      <c r="C3089" t="s">
        <v>21</v>
      </c>
      <c r="D3089" s="1">
        <v>46081</v>
      </c>
      <c r="E3089">
        <v>3784.5</v>
      </c>
      <c r="F3089">
        <v>223.81</v>
      </c>
      <c r="G3089">
        <v>132.69</v>
      </c>
      <c r="H3089">
        <v>319</v>
      </c>
      <c r="I3089" t="s">
        <v>23</v>
      </c>
      <c r="J3089">
        <v>2026</v>
      </c>
      <c r="K3089">
        <f t="shared" si="96"/>
        <v>91.12</v>
      </c>
      <c r="L3089" t="str">
        <f t="shared" si="97"/>
        <v>Banca Veneta|26|Assicurazioni</v>
      </c>
    </row>
    <row r="3090" spans="1:12" x14ac:dyDescent="0.25">
      <c r="A3090" t="s">
        <v>34</v>
      </c>
      <c r="B3090">
        <v>27</v>
      </c>
      <c r="C3090" t="s">
        <v>13</v>
      </c>
      <c r="D3090" s="1">
        <v>46112</v>
      </c>
      <c r="E3090">
        <v>1080</v>
      </c>
      <c r="F3090">
        <v>48.73</v>
      </c>
      <c r="G3090">
        <v>30.95</v>
      </c>
      <c r="H3090">
        <v>92</v>
      </c>
      <c r="I3090" t="s">
        <v>23</v>
      </c>
      <c r="J3090">
        <v>2026</v>
      </c>
      <c r="K3090">
        <f t="shared" si="96"/>
        <v>17.779999999999998</v>
      </c>
      <c r="L3090" t="str">
        <f t="shared" si="97"/>
        <v>Banca Veneta|27|Mutui</v>
      </c>
    </row>
    <row r="3091" spans="1:12" x14ac:dyDescent="0.25">
      <c r="A3091" t="s">
        <v>34</v>
      </c>
      <c r="B3091">
        <v>27</v>
      </c>
      <c r="C3091" t="s">
        <v>15</v>
      </c>
      <c r="D3091" s="1">
        <v>46112</v>
      </c>
      <c r="E3091">
        <v>1439.6</v>
      </c>
      <c r="F3091">
        <v>68.61</v>
      </c>
      <c r="G3091">
        <v>42.3</v>
      </c>
      <c r="H3091">
        <v>146</v>
      </c>
      <c r="I3091" t="s">
        <v>23</v>
      </c>
      <c r="J3091">
        <v>2026</v>
      </c>
      <c r="K3091">
        <f t="shared" si="96"/>
        <v>26.310000000000002</v>
      </c>
      <c r="L3091" t="str">
        <f t="shared" si="97"/>
        <v>Banca Veneta|27|Prestiti</v>
      </c>
    </row>
    <row r="3092" spans="1:12" x14ac:dyDescent="0.25">
      <c r="A3092" t="s">
        <v>34</v>
      </c>
      <c r="B3092">
        <v>27</v>
      </c>
      <c r="C3092" t="s">
        <v>16</v>
      </c>
      <c r="D3092" s="1">
        <v>46112</v>
      </c>
      <c r="E3092">
        <v>1859.2</v>
      </c>
      <c r="F3092">
        <v>91.15</v>
      </c>
      <c r="G3092">
        <v>56.6</v>
      </c>
      <c r="H3092">
        <v>172</v>
      </c>
      <c r="I3092" t="s">
        <v>23</v>
      </c>
      <c r="J3092">
        <v>2026</v>
      </c>
      <c r="K3092">
        <f t="shared" si="96"/>
        <v>34.550000000000004</v>
      </c>
      <c r="L3092" t="str">
        <f t="shared" si="97"/>
        <v>Banca Veneta|27|Conti</v>
      </c>
    </row>
    <row r="3093" spans="1:12" x14ac:dyDescent="0.25">
      <c r="A3093" t="s">
        <v>34</v>
      </c>
      <c r="B3093">
        <v>27</v>
      </c>
      <c r="C3093" t="s">
        <v>17</v>
      </c>
      <c r="D3093" s="1">
        <v>46112</v>
      </c>
      <c r="E3093">
        <v>2251.3000000000002</v>
      </c>
      <c r="F3093">
        <v>115.41</v>
      </c>
      <c r="G3093">
        <v>70.209999999999994</v>
      </c>
      <c r="H3093">
        <v>223</v>
      </c>
      <c r="I3093" t="s">
        <v>23</v>
      </c>
      <c r="J3093">
        <v>2026</v>
      </c>
      <c r="K3093">
        <f t="shared" si="96"/>
        <v>45.2</v>
      </c>
      <c r="L3093" t="str">
        <f t="shared" si="97"/>
        <v>Banca Veneta|27|Carte</v>
      </c>
    </row>
    <row r="3094" spans="1:12" x14ac:dyDescent="0.25">
      <c r="A3094" t="s">
        <v>34</v>
      </c>
      <c r="B3094">
        <v>27</v>
      </c>
      <c r="C3094" t="s">
        <v>18</v>
      </c>
      <c r="D3094" s="1">
        <v>46112</v>
      </c>
      <c r="E3094">
        <v>2644.7</v>
      </c>
      <c r="F3094">
        <v>140.27000000000001</v>
      </c>
      <c r="G3094">
        <v>84.68</v>
      </c>
      <c r="H3094">
        <v>254</v>
      </c>
      <c r="I3094" t="s">
        <v>23</v>
      </c>
      <c r="J3094">
        <v>2026</v>
      </c>
      <c r="K3094">
        <f t="shared" si="96"/>
        <v>55.59</v>
      </c>
      <c r="L3094" t="str">
        <f t="shared" si="97"/>
        <v>Banca Veneta|27|Leasing</v>
      </c>
    </row>
    <row r="3095" spans="1:12" x14ac:dyDescent="0.25">
      <c r="A3095" t="s">
        <v>34</v>
      </c>
      <c r="B3095">
        <v>27</v>
      </c>
      <c r="C3095" t="s">
        <v>19</v>
      </c>
      <c r="D3095" s="1">
        <v>46112</v>
      </c>
      <c r="E3095">
        <v>3050.5</v>
      </c>
      <c r="F3095">
        <v>167.93</v>
      </c>
      <c r="G3095">
        <v>100.74</v>
      </c>
      <c r="H3095">
        <v>253</v>
      </c>
      <c r="I3095" t="s">
        <v>23</v>
      </c>
      <c r="J3095">
        <v>2026</v>
      </c>
      <c r="K3095">
        <f t="shared" si="96"/>
        <v>67.190000000000012</v>
      </c>
      <c r="L3095" t="str">
        <f t="shared" si="97"/>
        <v>Banca Veneta|27|Factoring</v>
      </c>
    </row>
    <row r="3096" spans="1:12" x14ac:dyDescent="0.25">
      <c r="A3096" t="s">
        <v>34</v>
      </c>
      <c r="B3096">
        <v>27</v>
      </c>
      <c r="C3096" t="s">
        <v>20</v>
      </c>
      <c r="D3096" s="1">
        <v>46112</v>
      </c>
      <c r="E3096">
        <v>3454</v>
      </c>
      <c r="F3096">
        <v>197.61</v>
      </c>
      <c r="G3096">
        <v>118.18</v>
      </c>
      <c r="H3096">
        <v>308</v>
      </c>
      <c r="I3096" t="s">
        <v>23</v>
      </c>
      <c r="J3096">
        <v>2026</v>
      </c>
      <c r="K3096">
        <f t="shared" si="96"/>
        <v>79.430000000000007</v>
      </c>
      <c r="L3096" t="str">
        <f t="shared" si="97"/>
        <v>Banca Veneta|27|Risparmio</v>
      </c>
    </row>
    <row r="3097" spans="1:12" x14ac:dyDescent="0.25">
      <c r="A3097" t="s">
        <v>34</v>
      </c>
      <c r="B3097">
        <v>27</v>
      </c>
      <c r="C3097" t="s">
        <v>21</v>
      </c>
      <c r="D3097" s="1">
        <v>46112</v>
      </c>
      <c r="E3097">
        <v>3801.3</v>
      </c>
      <c r="F3097">
        <v>224.7</v>
      </c>
      <c r="G3097">
        <v>133.72999999999999</v>
      </c>
      <c r="H3097">
        <v>317</v>
      </c>
      <c r="I3097" t="s">
        <v>23</v>
      </c>
      <c r="J3097">
        <v>2026</v>
      </c>
      <c r="K3097">
        <f t="shared" si="96"/>
        <v>90.97</v>
      </c>
      <c r="L3097" t="str">
        <f t="shared" si="97"/>
        <v>Banca Veneta|27|Assicurazioni</v>
      </c>
    </row>
    <row r="3098" spans="1:12" x14ac:dyDescent="0.25">
      <c r="A3098" t="s">
        <v>34</v>
      </c>
      <c r="B3098">
        <v>28</v>
      </c>
      <c r="C3098" t="s">
        <v>13</v>
      </c>
      <c r="D3098" s="1">
        <v>46142</v>
      </c>
      <c r="E3098">
        <v>1075.9000000000001</v>
      </c>
      <c r="F3098">
        <v>48.74</v>
      </c>
      <c r="G3098">
        <v>30.43</v>
      </c>
      <c r="H3098">
        <v>110</v>
      </c>
      <c r="I3098" t="s">
        <v>23</v>
      </c>
      <c r="J3098">
        <v>2026</v>
      </c>
      <c r="K3098">
        <f t="shared" si="96"/>
        <v>18.310000000000002</v>
      </c>
      <c r="L3098" t="str">
        <f t="shared" si="97"/>
        <v>Banca Veneta|28|Mutui</v>
      </c>
    </row>
    <row r="3099" spans="1:12" x14ac:dyDescent="0.25">
      <c r="A3099" t="s">
        <v>34</v>
      </c>
      <c r="B3099">
        <v>28</v>
      </c>
      <c r="C3099" t="s">
        <v>15</v>
      </c>
      <c r="D3099" s="1">
        <v>46142</v>
      </c>
      <c r="E3099">
        <v>1437.8</v>
      </c>
      <c r="F3099">
        <v>67.8</v>
      </c>
      <c r="G3099">
        <v>41.83</v>
      </c>
      <c r="H3099">
        <v>126</v>
      </c>
      <c r="I3099" t="s">
        <v>23</v>
      </c>
      <c r="J3099">
        <v>2026</v>
      </c>
      <c r="K3099">
        <f t="shared" si="96"/>
        <v>25.97</v>
      </c>
      <c r="L3099" t="str">
        <f t="shared" si="97"/>
        <v>Banca Veneta|28|Prestiti</v>
      </c>
    </row>
    <row r="3100" spans="1:12" x14ac:dyDescent="0.25">
      <c r="A3100" t="s">
        <v>34</v>
      </c>
      <c r="B3100">
        <v>28</v>
      </c>
      <c r="C3100" t="s">
        <v>16</v>
      </c>
      <c r="D3100" s="1">
        <v>46142</v>
      </c>
      <c r="E3100">
        <v>1879.1</v>
      </c>
      <c r="F3100">
        <v>92.19</v>
      </c>
      <c r="G3100">
        <v>56.63</v>
      </c>
      <c r="H3100">
        <v>172</v>
      </c>
      <c r="I3100" t="s">
        <v>23</v>
      </c>
      <c r="J3100">
        <v>2026</v>
      </c>
      <c r="K3100">
        <f t="shared" si="96"/>
        <v>35.559999999999995</v>
      </c>
      <c r="L3100" t="str">
        <f t="shared" si="97"/>
        <v>Banca Veneta|28|Conti</v>
      </c>
    </row>
    <row r="3101" spans="1:12" x14ac:dyDescent="0.25">
      <c r="A3101" t="s">
        <v>34</v>
      </c>
      <c r="B3101">
        <v>28</v>
      </c>
      <c r="C3101" t="s">
        <v>17</v>
      </c>
      <c r="D3101" s="1">
        <v>46142</v>
      </c>
      <c r="E3101">
        <v>2285</v>
      </c>
      <c r="F3101">
        <v>116.62</v>
      </c>
      <c r="G3101">
        <v>71.62</v>
      </c>
      <c r="H3101">
        <v>199</v>
      </c>
      <c r="I3101" t="s">
        <v>23</v>
      </c>
      <c r="J3101">
        <v>2026</v>
      </c>
      <c r="K3101">
        <f t="shared" si="96"/>
        <v>45</v>
      </c>
      <c r="L3101" t="str">
        <f t="shared" si="97"/>
        <v>Banca Veneta|28|Carte</v>
      </c>
    </row>
    <row r="3102" spans="1:12" x14ac:dyDescent="0.25">
      <c r="A3102" t="s">
        <v>34</v>
      </c>
      <c r="B3102">
        <v>28</v>
      </c>
      <c r="C3102" t="s">
        <v>18</v>
      </c>
      <c r="D3102" s="1">
        <v>46142</v>
      </c>
      <c r="E3102">
        <v>2646.2</v>
      </c>
      <c r="F3102">
        <v>141.12</v>
      </c>
      <c r="G3102">
        <v>85.15</v>
      </c>
      <c r="H3102">
        <v>248</v>
      </c>
      <c r="I3102" t="s">
        <v>23</v>
      </c>
      <c r="J3102">
        <v>2026</v>
      </c>
      <c r="K3102">
        <f t="shared" si="96"/>
        <v>55.97</v>
      </c>
      <c r="L3102" t="str">
        <f t="shared" si="97"/>
        <v>Banca Veneta|28|Leasing</v>
      </c>
    </row>
    <row r="3103" spans="1:12" x14ac:dyDescent="0.25">
      <c r="A3103" t="s">
        <v>34</v>
      </c>
      <c r="B3103">
        <v>28</v>
      </c>
      <c r="C3103" t="s">
        <v>19</v>
      </c>
      <c r="D3103" s="1">
        <v>46142</v>
      </c>
      <c r="E3103">
        <v>3028.9</v>
      </c>
      <c r="F3103">
        <v>166.89</v>
      </c>
      <c r="G3103">
        <v>100.11</v>
      </c>
      <c r="H3103">
        <v>266</v>
      </c>
      <c r="I3103" t="s">
        <v>23</v>
      </c>
      <c r="J3103">
        <v>2026</v>
      </c>
      <c r="K3103">
        <f t="shared" si="96"/>
        <v>66.779999999999987</v>
      </c>
      <c r="L3103" t="str">
        <f t="shared" si="97"/>
        <v>Banca Veneta|28|Factoring</v>
      </c>
    </row>
    <row r="3104" spans="1:12" x14ac:dyDescent="0.25">
      <c r="A3104" t="s">
        <v>34</v>
      </c>
      <c r="B3104">
        <v>28</v>
      </c>
      <c r="C3104" t="s">
        <v>20</v>
      </c>
      <c r="D3104" s="1">
        <v>46142</v>
      </c>
      <c r="E3104">
        <v>3453.9</v>
      </c>
      <c r="F3104">
        <v>197.78</v>
      </c>
      <c r="G3104">
        <v>117.77</v>
      </c>
      <c r="H3104">
        <v>292</v>
      </c>
      <c r="I3104" t="s">
        <v>23</v>
      </c>
      <c r="J3104">
        <v>2026</v>
      </c>
      <c r="K3104">
        <f t="shared" si="96"/>
        <v>80.010000000000005</v>
      </c>
      <c r="L3104" t="str">
        <f t="shared" si="97"/>
        <v>Banca Veneta|28|Risparmio</v>
      </c>
    </row>
    <row r="3105" spans="1:12" x14ac:dyDescent="0.25">
      <c r="A3105" t="s">
        <v>34</v>
      </c>
      <c r="B3105">
        <v>28</v>
      </c>
      <c r="C3105" t="s">
        <v>21</v>
      </c>
      <c r="D3105" s="1">
        <v>46142</v>
      </c>
      <c r="E3105">
        <v>3830.9</v>
      </c>
      <c r="F3105">
        <v>226.82</v>
      </c>
      <c r="G3105">
        <v>134.55000000000001</v>
      </c>
      <c r="H3105">
        <v>347</v>
      </c>
      <c r="I3105" t="s">
        <v>23</v>
      </c>
      <c r="J3105">
        <v>2026</v>
      </c>
      <c r="K3105">
        <f t="shared" si="96"/>
        <v>92.269999999999982</v>
      </c>
      <c r="L3105" t="str">
        <f t="shared" si="97"/>
        <v>Banca Veneta|28|Assicurazioni</v>
      </c>
    </row>
    <row r="3106" spans="1:12" x14ac:dyDescent="0.25">
      <c r="A3106" t="s">
        <v>34</v>
      </c>
      <c r="B3106">
        <v>29</v>
      </c>
      <c r="C3106" t="s">
        <v>13</v>
      </c>
      <c r="D3106" s="1">
        <v>46173</v>
      </c>
      <c r="E3106">
        <v>1086.0999999999999</v>
      </c>
      <c r="F3106">
        <v>48.9</v>
      </c>
      <c r="G3106">
        <v>31.29</v>
      </c>
      <c r="H3106">
        <v>97</v>
      </c>
      <c r="I3106" t="s">
        <v>23</v>
      </c>
      <c r="J3106">
        <v>2026</v>
      </c>
      <c r="K3106">
        <f t="shared" si="96"/>
        <v>17.61</v>
      </c>
      <c r="L3106" t="str">
        <f t="shared" si="97"/>
        <v>Banca Veneta|29|Mutui</v>
      </c>
    </row>
    <row r="3107" spans="1:12" x14ac:dyDescent="0.25">
      <c r="A3107" t="s">
        <v>34</v>
      </c>
      <c r="B3107">
        <v>29</v>
      </c>
      <c r="C3107" t="s">
        <v>15</v>
      </c>
      <c r="D3107" s="1">
        <v>46173</v>
      </c>
      <c r="E3107">
        <v>1440.9</v>
      </c>
      <c r="F3107">
        <v>68.2</v>
      </c>
      <c r="G3107">
        <v>42.02</v>
      </c>
      <c r="H3107">
        <v>147</v>
      </c>
      <c r="I3107" t="s">
        <v>23</v>
      </c>
      <c r="J3107">
        <v>2026</v>
      </c>
      <c r="K3107">
        <f t="shared" si="96"/>
        <v>26.18</v>
      </c>
      <c r="L3107" t="str">
        <f t="shared" si="97"/>
        <v>Banca Veneta|29|Prestiti</v>
      </c>
    </row>
    <row r="3108" spans="1:12" x14ac:dyDescent="0.25">
      <c r="A3108" t="s">
        <v>34</v>
      </c>
      <c r="B3108">
        <v>29</v>
      </c>
      <c r="C3108" t="s">
        <v>16</v>
      </c>
      <c r="D3108" s="1">
        <v>46173</v>
      </c>
      <c r="E3108">
        <v>1883.5</v>
      </c>
      <c r="F3108">
        <v>92.94</v>
      </c>
      <c r="G3108">
        <v>56.81</v>
      </c>
      <c r="H3108">
        <v>181</v>
      </c>
      <c r="I3108" t="s">
        <v>23</v>
      </c>
      <c r="J3108">
        <v>2026</v>
      </c>
      <c r="K3108">
        <f t="shared" si="96"/>
        <v>36.129999999999995</v>
      </c>
      <c r="L3108" t="str">
        <f t="shared" si="97"/>
        <v>Banca Veneta|29|Conti</v>
      </c>
    </row>
    <row r="3109" spans="1:12" x14ac:dyDescent="0.25">
      <c r="A3109" t="s">
        <v>34</v>
      </c>
      <c r="B3109">
        <v>29</v>
      </c>
      <c r="C3109" t="s">
        <v>17</v>
      </c>
      <c r="D3109" s="1">
        <v>46173</v>
      </c>
      <c r="E3109">
        <v>2279</v>
      </c>
      <c r="F3109">
        <v>117.08</v>
      </c>
      <c r="G3109">
        <v>71.16</v>
      </c>
      <c r="H3109">
        <v>204</v>
      </c>
      <c r="I3109" t="s">
        <v>23</v>
      </c>
      <c r="J3109">
        <v>2026</v>
      </c>
      <c r="K3109">
        <f t="shared" si="96"/>
        <v>45.92</v>
      </c>
      <c r="L3109" t="str">
        <f t="shared" si="97"/>
        <v>Banca Veneta|29|Carte</v>
      </c>
    </row>
    <row r="3110" spans="1:12" x14ac:dyDescent="0.25">
      <c r="A3110" t="s">
        <v>34</v>
      </c>
      <c r="B3110">
        <v>29</v>
      </c>
      <c r="C3110" t="s">
        <v>18</v>
      </c>
      <c r="D3110" s="1">
        <v>46173</v>
      </c>
      <c r="E3110">
        <v>2687.1</v>
      </c>
      <c r="F3110">
        <v>142.47999999999999</v>
      </c>
      <c r="G3110">
        <v>86.7</v>
      </c>
      <c r="H3110">
        <v>243</v>
      </c>
      <c r="I3110" t="s">
        <v>23</v>
      </c>
      <c r="J3110">
        <v>2026</v>
      </c>
      <c r="K3110">
        <f t="shared" si="96"/>
        <v>55.779999999999987</v>
      </c>
      <c r="L3110" t="str">
        <f t="shared" si="97"/>
        <v>Banca Veneta|29|Leasing</v>
      </c>
    </row>
    <row r="3111" spans="1:12" x14ac:dyDescent="0.25">
      <c r="A3111" t="s">
        <v>34</v>
      </c>
      <c r="B3111">
        <v>29</v>
      </c>
      <c r="C3111" t="s">
        <v>19</v>
      </c>
      <c r="D3111" s="1">
        <v>46173</v>
      </c>
      <c r="E3111">
        <v>3095.4</v>
      </c>
      <c r="F3111">
        <v>171.01</v>
      </c>
      <c r="G3111">
        <v>103.14</v>
      </c>
      <c r="H3111">
        <v>264</v>
      </c>
      <c r="I3111" t="s">
        <v>23</v>
      </c>
      <c r="J3111">
        <v>2026</v>
      </c>
      <c r="K3111">
        <f t="shared" si="96"/>
        <v>67.86999999999999</v>
      </c>
      <c r="L3111" t="str">
        <f t="shared" si="97"/>
        <v>Banca Veneta|29|Factoring</v>
      </c>
    </row>
    <row r="3112" spans="1:12" x14ac:dyDescent="0.25">
      <c r="A3112" t="s">
        <v>34</v>
      </c>
      <c r="B3112">
        <v>29</v>
      </c>
      <c r="C3112" t="s">
        <v>20</v>
      </c>
      <c r="D3112" s="1">
        <v>46173</v>
      </c>
      <c r="E3112">
        <v>3466.1</v>
      </c>
      <c r="F3112">
        <v>198.18</v>
      </c>
      <c r="G3112">
        <v>118.81</v>
      </c>
      <c r="H3112">
        <v>306</v>
      </c>
      <c r="I3112" t="s">
        <v>23</v>
      </c>
      <c r="J3112">
        <v>2026</v>
      </c>
      <c r="K3112">
        <f t="shared" si="96"/>
        <v>79.37</v>
      </c>
      <c r="L3112" t="str">
        <f t="shared" si="97"/>
        <v>Banca Veneta|29|Risparmio</v>
      </c>
    </row>
    <row r="3113" spans="1:12" x14ac:dyDescent="0.25">
      <c r="A3113" t="s">
        <v>34</v>
      </c>
      <c r="B3113">
        <v>29</v>
      </c>
      <c r="C3113" t="s">
        <v>21</v>
      </c>
      <c r="D3113" s="1">
        <v>46173</v>
      </c>
      <c r="E3113">
        <v>3882.6</v>
      </c>
      <c r="F3113">
        <v>230.06</v>
      </c>
      <c r="G3113">
        <v>136.1</v>
      </c>
      <c r="H3113">
        <v>346</v>
      </c>
      <c r="I3113" t="s">
        <v>23</v>
      </c>
      <c r="J3113">
        <v>2026</v>
      </c>
      <c r="K3113">
        <f t="shared" si="96"/>
        <v>93.960000000000008</v>
      </c>
      <c r="L3113" t="str">
        <f t="shared" si="97"/>
        <v>Banca Veneta|29|Assicurazioni</v>
      </c>
    </row>
    <row r="3114" spans="1:12" x14ac:dyDescent="0.25">
      <c r="A3114" t="s">
        <v>34</v>
      </c>
      <c r="B3114">
        <v>30</v>
      </c>
      <c r="C3114" t="s">
        <v>13</v>
      </c>
      <c r="D3114" s="1">
        <v>46203</v>
      </c>
      <c r="E3114">
        <v>1080.2</v>
      </c>
      <c r="F3114">
        <v>48.68</v>
      </c>
      <c r="G3114">
        <v>30.7</v>
      </c>
      <c r="H3114">
        <v>115</v>
      </c>
      <c r="I3114" t="s">
        <v>23</v>
      </c>
      <c r="J3114">
        <v>2026</v>
      </c>
      <c r="K3114">
        <f t="shared" si="96"/>
        <v>17.98</v>
      </c>
      <c r="L3114" t="str">
        <f t="shared" si="97"/>
        <v>Banca Veneta|30|Mutui</v>
      </c>
    </row>
    <row r="3115" spans="1:12" x14ac:dyDescent="0.25">
      <c r="A3115" t="s">
        <v>34</v>
      </c>
      <c r="B3115">
        <v>30</v>
      </c>
      <c r="C3115" t="s">
        <v>15</v>
      </c>
      <c r="D3115" s="1">
        <v>46203</v>
      </c>
      <c r="E3115">
        <v>1478.3</v>
      </c>
      <c r="F3115">
        <v>70.09</v>
      </c>
      <c r="G3115">
        <v>43.49</v>
      </c>
      <c r="H3115">
        <v>145</v>
      </c>
      <c r="I3115" t="s">
        <v>23</v>
      </c>
      <c r="J3115">
        <v>2026</v>
      </c>
      <c r="K3115">
        <f t="shared" si="96"/>
        <v>26.6</v>
      </c>
      <c r="L3115" t="str">
        <f t="shared" si="97"/>
        <v>Banca Veneta|30|Prestiti</v>
      </c>
    </row>
    <row r="3116" spans="1:12" x14ac:dyDescent="0.25">
      <c r="A3116" t="s">
        <v>34</v>
      </c>
      <c r="B3116">
        <v>30</v>
      </c>
      <c r="C3116" t="s">
        <v>16</v>
      </c>
      <c r="D3116" s="1">
        <v>46203</v>
      </c>
      <c r="E3116">
        <v>1889.3</v>
      </c>
      <c r="F3116">
        <v>92.86</v>
      </c>
      <c r="G3116">
        <v>57.64</v>
      </c>
      <c r="H3116">
        <v>155</v>
      </c>
      <c r="I3116" t="s">
        <v>23</v>
      </c>
      <c r="J3116">
        <v>2026</v>
      </c>
      <c r="K3116">
        <f t="shared" si="96"/>
        <v>35.22</v>
      </c>
      <c r="L3116" t="str">
        <f t="shared" si="97"/>
        <v>Banca Veneta|30|Conti</v>
      </c>
    </row>
    <row r="3117" spans="1:12" x14ac:dyDescent="0.25">
      <c r="A3117" t="s">
        <v>34</v>
      </c>
      <c r="B3117">
        <v>30</v>
      </c>
      <c r="C3117" t="s">
        <v>17</v>
      </c>
      <c r="D3117" s="1">
        <v>46203</v>
      </c>
      <c r="E3117">
        <v>2262.9</v>
      </c>
      <c r="F3117">
        <v>115.72</v>
      </c>
      <c r="G3117">
        <v>70.36</v>
      </c>
      <c r="H3117">
        <v>200</v>
      </c>
      <c r="I3117" t="s">
        <v>23</v>
      </c>
      <c r="J3117">
        <v>2026</v>
      </c>
      <c r="K3117">
        <f t="shared" si="96"/>
        <v>45.36</v>
      </c>
      <c r="L3117" t="str">
        <f t="shared" si="97"/>
        <v>Banca Veneta|30|Carte</v>
      </c>
    </row>
    <row r="3118" spans="1:12" x14ac:dyDescent="0.25">
      <c r="A3118" t="s">
        <v>34</v>
      </c>
      <c r="B3118">
        <v>30</v>
      </c>
      <c r="C3118" t="s">
        <v>18</v>
      </c>
      <c r="D3118" s="1">
        <v>46203</v>
      </c>
      <c r="E3118">
        <v>2663.6</v>
      </c>
      <c r="F3118">
        <v>141.66</v>
      </c>
      <c r="G3118">
        <v>86.11</v>
      </c>
      <c r="H3118">
        <v>231</v>
      </c>
      <c r="I3118" t="s">
        <v>23</v>
      </c>
      <c r="J3118">
        <v>2026</v>
      </c>
      <c r="K3118">
        <f t="shared" si="96"/>
        <v>55.55</v>
      </c>
      <c r="L3118" t="str">
        <f t="shared" si="97"/>
        <v>Banca Veneta|30|Leasing</v>
      </c>
    </row>
    <row r="3119" spans="1:12" x14ac:dyDescent="0.25">
      <c r="A3119" t="s">
        <v>34</v>
      </c>
      <c r="B3119">
        <v>30</v>
      </c>
      <c r="C3119" t="s">
        <v>19</v>
      </c>
      <c r="D3119" s="1">
        <v>46203</v>
      </c>
      <c r="E3119">
        <v>3072.8</v>
      </c>
      <c r="F3119">
        <v>169.69</v>
      </c>
      <c r="G3119">
        <v>102.1</v>
      </c>
      <c r="H3119">
        <v>255</v>
      </c>
      <c r="I3119" t="s">
        <v>23</v>
      </c>
      <c r="J3119">
        <v>2026</v>
      </c>
      <c r="K3119">
        <f t="shared" si="96"/>
        <v>67.59</v>
      </c>
      <c r="L3119" t="str">
        <f t="shared" si="97"/>
        <v>Banca Veneta|30|Factoring</v>
      </c>
    </row>
    <row r="3120" spans="1:12" x14ac:dyDescent="0.25">
      <c r="A3120" t="s">
        <v>34</v>
      </c>
      <c r="B3120">
        <v>30</v>
      </c>
      <c r="C3120" t="s">
        <v>20</v>
      </c>
      <c r="D3120" s="1">
        <v>46203</v>
      </c>
      <c r="E3120">
        <v>3498.6</v>
      </c>
      <c r="F3120">
        <v>200.06</v>
      </c>
      <c r="G3120">
        <v>119.69</v>
      </c>
      <c r="H3120">
        <v>319</v>
      </c>
      <c r="I3120" t="s">
        <v>23</v>
      </c>
      <c r="J3120">
        <v>2026</v>
      </c>
      <c r="K3120">
        <f t="shared" si="96"/>
        <v>80.37</v>
      </c>
      <c r="L3120" t="str">
        <f t="shared" si="97"/>
        <v>Banca Veneta|30|Risparmio</v>
      </c>
    </row>
    <row r="3121" spans="1:12" x14ac:dyDescent="0.25">
      <c r="A3121" t="s">
        <v>34</v>
      </c>
      <c r="B3121">
        <v>30</v>
      </c>
      <c r="C3121" t="s">
        <v>21</v>
      </c>
      <c r="D3121" s="1">
        <v>46203</v>
      </c>
      <c r="E3121">
        <v>3921.3</v>
      </c>
      <c r="F3121">
        <v>231.96</v>
      </c>
      <c r="G3121">
        <v>137.25</v>
      </c>
      <c r="H3121">
        <v>323</v>
      </c>
      <c r="I3121" t="s">
        <v>23</v>
      </c>
      <c r="J3121">
        <v>2026</v>
      </c>
      <c r="K3121">
        <f t="shared" si="96"/>
        <v>94.710000000000008</v>
      </c>
      <c r="L3121" t="str">
        <f t="shared" si="97"/>
        <v>Banca Veneta|30|Assicurazioni</v>
      </c>
    </row>
    <row r="3122" spans="1:12" x14ac:dyDescent="0.25">
      <c r="A3122" t="s">
        <v>34</v>
      </c>
      <c r="B3122">
        <v>31</v>
      </c>
      <c r="C3122" t="s">
        <v>13</v>
      </c>
      <c r="D3122" s="1">
        <v>46234</v>
      </c>
      <c r="E3122">
        <v>1084.5999999999999</v>
      </c>
      <c r="F3122">
        <v>48.96</v>
      </c>
      <c r="G3122">
        <v>30.7</v>
      </c>
      <c r="H3122">
        <v>117</v>
      </c>
      <c r="I3122" t="s">
        <v>23</v>
      </c>
      <c r="J3122">
        <v>2026</v>
      </c>
      <c r="K3122">
        <f t="shared" si="96"/>
        <v>18.260000000000002</v>
      </c>
      <c r="L3122" t="str">
        <f t="shared" si="97"/>
        <v>Banca Veneta|31|Mutui</v>
      </c>
    </row>
    <row r="3123" spans="1:12" x14ac:dyDescent="0.25">
      <c r="A3123" t="s">
        <v>34</v>
      </c>
      <c r="B3123">
        <v>31</v>
      </c>
      <c r="C3123" t="s">
        <v>15</v>
      </c>
      <c r="D3123" s="1">
        <v>46234</v>
      </c>
      <c r="E3123">
        <v>1493.8</v>
      </c>
      <c r="F3123">
        <v>70.87</v>
      </c>
      <c r="G3123">
        <v>44.2</v>
      </c>
      <c r="H3123">
        <v>139</v>
      </c>
      <c r="I3123" t="s">
        <v>23</v>
      </c>
      <c r="J3123">
        <v>2026</v>
      </c>
      <c r="K3123">
        <f t="shared" si="96"/>
        <v>26.67</v>
      </c>
      <c r="L3123" t="str">
        <f t="shared" si="97"/>
        <v>Banca Veneta|31|Prestiti</v>
      </c>
    </row>
    <row r="3124" spans="1:12" x14ac:dyDescent="0.25">
      <c r="A3124" t="s">
        <v>34</v>
      </c>
      <c r="B3124">
        <v>31</v>
      </c>
      <c r="C3124" t="s">
        <v>16</v>
      </c>
      <c r="D3124" s="1">
        <v>46234</v>
      </c>
      <c r="E3124">
        <v>1921.5</v>
      </c>
      <c r="F3124">
        <v>94.93</v>
      </c>
      <c r="G3124">
        <v>58.44</v>
      </c>
      <c r="H3124">
        <v>181</v>
      </c>
      <c r="I3124" t="s">
        <v>23</v>
      </c>
      <c r="J3124">
        <v>2026</v>
      </c>
      <c r="K3124">
        <f t="shared" si="96"/>
        <v>36.490000000000009</v>
      </c>
      <c r="L3124" t="str">
        <f t="shared" si="97"/>
        <v>Banca Veneta|31|Conti</v>
      </c>
    </row>
    <row r="3125" spans="1:12" x14ac:dyDescent="0.25">
      <c r="A3125" t="s">
        <v>34</v>
      </c>
      <c r="B3125">
        <v>31</v>
      </c>
      <c r="C3125" t="s">
        <v>17</v>
      </c>
      <c r="D3125" s="1">
        <v>46234</v>
      </c>
      <c r="E3125">
        <v>2319.3000000000002</v>
      </c>
      <c r="F3125">
        <v>118.48</v>
      </c>
      <c r="G3125">
        <v>71.989999999999995</v>
      </c>
      <c r="H3125">
        <v>206</v>
      </c>
      <c r="I3125" t="s">
        <v>23</v>
      </c>
      <c r="J3125">
        <v>2026</v>
      </c>
      <c r="K3125">
        <f t="shared" si="96"/>
        <v>46.490000000000009</v>
      </c>
      <c r="L3125" t="str">
        <f t="shared" si="97"/>
        <v>Banca Veneta|31|Carte</v>
      </c>
    </row>
    <row r="3126" spans="1:12" x14ac:dyDescent="0.25">
      <c r="A3126" t="s">
        <v>34</v>
      </c>
      <c r="B3126">
        <v>31</v>
      </c>
      <c r="C3126" t="s">
        <v>18</v>
      </c>
      <c r="D3126" s="1">
        <v>46234</v>
      </c>
      <c r="E3126">
        <v>2680.8</v>
      </c>
      <c r="F3126">
        <v>143</v>
      </c>
      <c r="G3126">
        <v>86.27</v>
      </c>
      <c r="H3126">
        <v>222</v>
      </c>
      <c r="I3126" t="s">
        <v>23</v>
      </c>
      <c r="J3126">
        <v>2026</v>
      </c>
      <c r="K3126">
        <f t="shared" si="96"/>
        <v>56.730000000000004</v>
      </c>
      <c r="L3126" t="str">
        <f t="shared" si="97"/>
        <v>Banca Veneta|31|Leasing</v>
      </c>
    </row>
    <row r="3127" spans="1:12" x14ac:dyDescent="0.25">
      <c r="A3127" t="s">
        <v>34</v>
      </c>
      <c r="B3127">
        <v>31</v>
      </c>
      <c r="C3127" t="s">
        <v>19</v>
      </c>
      <c r="D3127" s="1">
        <v>46234</v>
      </c>
      <c r="E3127">
        <v>3085.5</v>
      </c>
      <c r="F3127">
        <v>170.25</v>
      </c>
      <c r="G3127">
        <v>101.83</v>
      </c>
      <c r="H3127">
        <v>260</v>
      </c>
      <c r="I3127" t="s">
        <v>23</v>
      </c>
      <c r="J3127">
        <v>2026</v>
      </c>
      <c r="K3127">
        <f t="shared" si="96"/>
        <v>68.42</v>
      </c>
      <c r="L3127" t="str">
        <f t="shared" si="97"/>
        <v>Banca Veneta|31|Factoring</v>
      </c>
    </row>
    <row r="3128" spans="1:12" x14ac:dyDescent="0.25">
      <c r="A3128" t="s">
        <v>34</v>
      </c>
      <c r="B3128">
        <v>31</v>
      </c>
      <c r="C3128" t="s">
        <v>20</v>
      </c>
      <c r="D3128" s="1">
        <v>46234</v>
      </c>
      <c r="E3128">
        <v>3518.7</v>
      </c>
      <c r="F3128">
        <v>200.87</v>
      </c>
      <c r="G3128">
        <v>119.64</v>
      </c>
      <c r="H3128">
        <v>317</v>
      </c>
      <c r="I3128" t="s">
        <v>23</v>
      </c>
      <c r="J3128">
        <v>2026</v>
      </c>
      <c r="K3128">
        <f t="shared" si="96"/>
        <v>81.23</v>
      </c>
      <c r="L3128" t="str">
        <f t="shared" si="97"/>
        <v>Banca Veneta|31|Risparmio</v>
      </c>
    </row>
    <row r="3129" spans="1:12" x14ac:dyDescent="0.25">
      <c r="A3129" t="s">
        <v>34</v>
      </c>
      <c r="B3129">
        <v>31</v>
      </c>
      <c r="C3129" t="s">
        <v>21</v>
      </c>
      <c r="D3129" s="1">
        <v>46234</v>
      </c>
      <c r="E3129">
        <v>3936.4</v>
      </c>
      <c r="F3129">
        <v>232.41</v>
      </c>
      <c r="G3129">
        <v>137.88</v>
      </c>
      <c r="H3129">
        <v>346</v>
      </c>
      <c r="I3129" t="s">
        <v>23</v>
      </c>
      <c r="J3129">
        <v>2026</v>
      </c>
      <c r="K3129">
        <f t="shared" si="96"/>
        <v>94.53</v>
      </c>
      <c r="L3129" t="str">
        <f t="shared" si="97"/>
        <v>Banca Veneta|31|Assicurazioni</v>
      </c>
    </row>
    <row r="3130" spans="1:12" x14ac:dyDescent="0.25">
      <c r="A3130" t="s">
        <v>34</v>
      </c>
      <c r="B3130">
        <v>32</v>
      </c>
      <c r="C3130" t="s">
        <v>13</v>
      </c>
      <c r="D3130" s="1">
        <v>46265</v>
      </c>
      <c r="E3130">
        <v>1111</v>
      </c>
      <c r="F3130">
        <v>50.8</v>
      </c>
      <c r="G3130">
        <v>31.27</v>
      </c>
      <c r="H3130">
        <v>95</v>
      </c>
      <c r="I3130" t="s">
        <v>23</v>
      </c>
      <c r="J3130">
        <v>2026</v>
      </c>
      <c r="K3130">
        <f t="shared" si="96"/>
        <v>19.529999999999998</v>
      </c>
      <c r="L3130" t="str">
        <f t="shared" si="97"/>
        <v>Banca Veneta|32|Mutui</v>
      </c>
    </row>
    <row r="3131" spans="1:12" x14ac:dyDescent="0.25">
      <c r="A3131" t="s">
        <v>34</v>
      </c>
      <c r="B3131">
        <v>32</v>
      </c>
      <c r="C3131" t="s">
        <v>15</v>
      </c>
      <c r="D3131" s="1">
        <v>46265</v>
      </c>
      <c r="E3131">
        <v>1513.8</v>
      </c>
      <c r="F3131">
        <v>71.989999999999995</v>
      </c>
      <c r="G3131">
        <v>44.89</v>
      </c>
      <c r="H3131">
        <v>125</v>
      </c>
      <c r="I3131" t="s">
        <v>23</v>
      </c>
      <c r="J3131">
        <v>2026</v>
      </c>
      <c r="K3131">
        <f t="shared" si="96"/>
        <v>27.099999999999994</v>
      </c>
      <c r="L3131" t="str">
        <f t="shared" si="97"/>
        <v>Banca Veneta|32|Prestiti</v>
      </c>
    </row>
    <row r="3132" spans="1:12" x14ac:dyDescent="0.25">
      <c r="A3132" t="s">
        <v>34</v>
      </c>
      <c r="B3132">
        <v>32</v>
      </c>
      <c r="C3132" t="s">
        <v>16</v>
      </c>
      <c r="D3132" s="1">
        <v>46265</v>
      </c>
      <c r="E3132">
        <v>1903.3</v>
      </c>
      <c r="F3132">
        <v>93.78</v>
      </c>
      <c r="G3132">
        <v>57.54</v>
      </c>
      <c r="H3132">
        <v>158</v>
      </c>
      <c r="I3132" t="s">
        <v>23</v>
      </c>
      <c r="J3132">
        <v>2026</v>
      </c>
      <c r="K3132">
        <f t="shared" si="96"/>
        <v>36.24</v>
      </c>
      <c r="L3132" t="str">
        <f t="shared" si="97"/>
        <v>Banca Veneta|32|Conti</v>
      </c>
    </row>
    <row r="3133" spans="1:12" x14ac:dyDescent="0.25">
      <c r="A3133" t="s">
        <v>34</v>
      </c>
      <c r="B3133">
        <v>32</v>
      </c>
      <c r="C3133" t="s">
        <v>17</v>
      </c>
      <c r="D3133" s="1">
        <v>46265</v>
      </c>
      <c r="E3133">
        <v>2339.1</v>
      </c>
      <c r="F3133">
        <v>119.96</v>
      </c>
      <c r="G3133">
        <v>72.7</v>
      </c>
      <c r="H3133">
        <v>213</v>
      </c>
      <c r="I3133" t="s">
        <v>23</v>
      </c>
      <c r="J3133">
        <v>2026</v>
      </c>
      <c r="K3133">
        <f t="shared" si="96"/>
        <v>47.259999999999991</v>
      </c>
      <c r="L3133" t="str">
        <f t="shared" si="97"/>
        <v>Banca Veneta|32|Carte</v>
      </c>
    </row>
    <row r="3134" spans="1:12" x14ac:dyDescent="0.25">
      <c r="A3134" t="s">
        <v>34</v>
      </c>
      <c r="B3134">
        <v>32</v>
      </c>
      <c r="C3134" t="s">
        <v>18</v>
      </c>
      <c r="D3134" s="1">
        <v>46265</v>
      </c>
      <c r="E3134">
        <v>2722.3</v>
      </c>
      <c r="F3134">
        <v>144.93</v>
      </c>
      <c r="G3134">
        <v>87.74</v>
      </c>
      <c r="H3134">
        <v>219</v>
      </c>
      <c r="I3134" t="s">
        <v>23</v>
      </c>
      <c r="J3134">
        <v>2026</v>
      </c>
      <c r="K3134">
        <f t="shared" si="96"/>
        <v>57.190000000000012</v>
      </c>
      <c r="L3134" t="str">
        <f t="shared" si="97"/>
        <v>Banca Veneta|32|Leasing</v>
      </c>
    </row>
    <row r="3135" spans="1:12" x14ac:dyDescent="0.25">
      <c r="A3135" t="s">
        <v>34</v>
      </c>
      <c r="B3135">
        <v>32</v>
      </c>
      <c r="C3135" t="s">
        <v>19</v>
      </c>
      <c r="D3135" s="1">
        <v>46265</v>
      </c>
      <c r="E3135">
        <v>3154.8</v>
      </c>
      <c r="F3135">
        <v>174.29</v>
      </c>
      <c r="G3135">
        <v>105.01</v>
      </c>
      <c r="H3135">
        <v>253</v>
      </c>
      <c r="I3135" t="s">
        <v>23</v>
      </c>
      <c r="J3135">
        <v>2026</v>
      </c>
      <c r="K3135">
        <f t="shared" si="96"/>
        <v>69.279999999999987</v>
      </c>
      <c r="L3135" t="str">
        <f t="shared" si="97"/>
        <v>Banca Veneta|32|Factoring</v>
      </c>
    </row>
    <row r="3136" spans="1:12" x14ac:dyDescent="0.25">
      <c r="A3136" t="s">
        <v>34</v>
      </c>
      <c r="B3136">
        <v>32</v>
      </c>
      <c r="C3136" t="s">
        <v>20</v>
      </c>
      <c r="D3136" s="1">
        <v>46265</v>
      </c>
      <c r="E3136">
        <v>3524.4</v>
      </c>
      <c r="F3136">
        <v>200.99</v>
      </c>
      <c r="G3136">
        <v>120.13</v>
      </c>
      <c r="H3136">
        <v>311</v>
      </c>
      <c r="I3136" t="s">
        <v>23</v>
      </c>
      <c r="J3136">
        <v>2026</v>
      </c>
      <c r="K3136">
        <f t="shared" si="96"/>
        <v>80.860000000000014</v>
      </c>
      <c r="L3136" t="str">
        <f t="shared" si="97"/>
        <v>Banca Veneta|32|Risparmio</v>
      </c>
    </row>
    <row r="3137" spans="1:12" x14ac:dyDescent="0.25">
      <c r="A3137" t="s">
        <v>34</v>
      </c>
      <c r="B3137">
        <v>32</v>
      </c>
      <c r="C3137" t="s">
        <v>21</v>
      </c>
      <c r="D3137" s="1">
        <v>46265</v>
      </c>
      <c r="E3137">
        <v>3938.8</v>
      </c>
      <c r="F3137">
        <v>233.14</v>
      </c>
      <c r="G3137">
        <v>138.13999999999999</v>
      </c>
      <c r="H3137">
        <v>331</v>
      </c>
      <c r="I3137" t="s">
        <v>23</v>
      </c>
      <c r="J3137">
        <v>2026</v>
      </c>
      <c r="K3137">
        <f t="shared" si="96"/>
        <v>95</v>
      </c>
      <c r="L3137" t="str">
        <f t="shared" si="97"/>
        <v>Banca Veneta|32|Assicurazioni</v>
      </c>
    </row>
    <row r="3138" spans="1:12" x14ac:dyDescent="0.25">
      <c r="A3138" t="s">
        <v>34</v>
      </c>
      <c r="B3138">
        <v>33</v>
      </c>
      <c r="C3138" t="s">
        <v>13</v>
      </c>
      <c r="D3138" s="1">
        <v>46295</v>
      </c>
      <c r="E3138">
        <v>1080.4000000000001</v>
      </c>
      <c r="F3138">
        <v>49.18</v>
      </c>
      <c r="G3138">
        <v>31.11</v>
      </c>
      <c r="H3138">
        <v>120</v>
      </c>
      <c r="I3138" t="s">
        <v>23</v>
      </c>
      <c r="J3138">
        <v>2026</v>
      </c>
      <c r="K3138">
        <f t="shared" ref="K3138:K3201" si="98">F3138-G3138</f>
        <v>18.07</v>
      </c>
      <c r="L3138" t="str">
        <f t="shared" ref="L3138:L3201" si="99">A3138&amp;"|"&amp;B3138&amp;"|"&amp;C3138</f>
        <v>Banca Veneta|33|Mutui</v>
      </c>
    </row>
    <row r="3139" spans="1:12" x14ac:dyDescent="0.25">
      <c r="A3139" t="s">
        <v>34</v>
      </c>
      <c r="B3139">
        <v>33</v>
      </c>
      <c r="C3139" t="s">
        <v>15</v>
      </c>
      <c r="D3139" s="1">
        <v>46295</v>
      </c>
      <c r="E3139">
        <v>1482.1</v>
      </c>
      <c r="F3139">
        <v>70.52</v>
      </c>
      <c r="G3139">
        <v>43.82</v>
      </c>
      <c r="H3139">
        <v>119</v>
      </c>
      <c r="I3139" t="s">
        <v>23</v>
      </c>
      <c r="J3139">
        <v>2026</v>
      </c>
      <c r="K3139">
        <f t="shared" si="98"/>
        <v>26.699999999999996</v>
      </c>
      <c r="L3139" t="str">
        <f t="shared" si="99"/>
        <v>Banca Veneta|33|Prestiti</v>
      </c>
    </row>
    <row r="3140" spans="1:12" x14ac:dyDescent="0.25">
      <c r="A3140" t="s">
        <v>34</v>
      </c>
      <c r="B3140">
        <v>33</v>
      </c>
      <c r="C3140" t="s">
        <v>16</v>
      </c>
      <c r="D3140" s="1">
        <v>46295</v>
      </c>
      <c r="E3140">
        <v>1903</v>
      </c>
      <c r="F3140">
        <v>94.22</v>
      </c>
      <c r="G3140">
        <v>57.44</v>
      </c>
      <c r="H3140">
        <v>166</v>
      </c>
      <c r="I3140" t="s">
        <v>23</v>
      </c>
      <c r="J3140">
        <v>2026</v>
      </c>
      <c r="K3140">
        <f t="shared" si="98"/>
        <v>36.78</v>
      </c>
      <c r="L3140" t="str">
        <f t="shared" si="99"/>
        <v>Banca Veneta|33|Conti</v>
      </c>
    </row>
    <row r="3141" spans="1:12" x14ac:dyDescent="0.25">
      <c r="A3141" t="s">
        <v>34</v>
      </c>
      <c r="B3141">
        <v>33</v>
      </c>
      <c r="C3141" t="s">
        <v>17</v>
      </c>
      <c r="D3141" s="1">
        <v>46295</v>
      </c>
      <c r="E3141">
        <v>2306.6</v>
      </c>
      <c r="F3141">
        <v>117.81</v>
      </c>
      <c r="G3141">
        <v>71.62</v>
      </c>
      <c r="H3141">
        <v>198</v>
      </c>
      <c r="I3141" t="s">
        <v>23</v>
      </c>
      <c r="J3141">
        <v>2026</v>
      </c>
      <c r="K3141">
        <f t="shared" si="98"/>
        <v>46.19</v>
      </c>
      <c r="L3141" t="str">
        <f t="shared" si="99"/>
        <v>Banca Veneta|33|Carte</v>
      </c>
    </row>
    <row r="3142" spans="1:12" x14ac:dyDescent="0.25">
      <c r="A3142" t="s">
        <v>34</v>
      </c>
      <c r="B3142">
        <v>33</v>
      </c>
      <c r="C3142" t="s">
        <v>18</v>
      </c>
      <c r="D3142" s="1">
        <v>46295</v>
      </c>
      <c r="E3142">
        <v>2727.9</v>
      </c>
      <c r="F3142">
        <v>145.52000000000001</v>
      </c>
      <c r="G3142">
        <v>88.2</v>
      </c>
      <c r="H3142">
        <v>255</v>
      </c>
      <c r="I3142" t="s">
        <v>23</v>
      </c>
      <c r="J3142">
        <v>2026</v>
      </c>
      <c r="K3142">
        <f t="shared" si="98"/>
        <v>57.320000000000007</v>
      </c>
      <c r="L3142" t="str">
        <f t="shared" si="99"/>
        <v>Banca Veneta|33|Leasing</v>
      </c>
    </row>
    <row r="3143" spans="1:12" x14ac:dyDescent="0.25">
      <c r="A3143" t="s">
        <v>34</v>
      </c>
      <c r="B3143">
        <v>33</v>
      </c>
      <c r="C3143" t="s">
        <v>19</v>
      </c>
      <c r="D3143" s="1">
        <v>46295</v>
      </c>
      <c r="E3143">
        <v>3134.6</v>
      </c>
      <c r="F3143">
        <v>172.62</v>
      </c>
      <c r="G3143">
        <v>104.15</v>
      </c>
      <c r="H3143">
        <v>285</v>
      </c>
      <c r="I3143" t="s">
        <v>23</v>
      </c>
      <c r="J3143">
        <v>2026</v>
      </c>
      <c r="K3143">
        <f t="shared" si="98"/>
        <v>68.47</v>
      </c>
      <c r="L3143" t="str">
        <f t="shared" si="99"/>
        <v>Banca Veneta|33|Factoring</v>
      </c>
    </row>
    <row r="3144" spans="1:12" x14ac:dyDescent="0.25">
      <c r="A3144" t="s">
        <v>34</v>
      </c>
      <c r="B3144">
        <v>33</v>
      </c>
      <c r="C3144" t="s">
        <v>20</v>
      </c>
      <c r="D3144" s="1">
        <v>46295</v>
      </c>
      <c r="E3144">
        <v>3538.4</v>
      </c>
      <c r="F3144">
        <v>202.07</v>
      </c>
      <c r="G3144">
        <v>121.08</v>
      </c>
      <c r="H3144">
        <v>302</v>
      </c>
      <c r="I3144" t="s">
        <v>23</v>
      </c>
      <c r="J3144">
        <v>2026</v>
      </c>
      <c r="K3144">
        <f t="shared" si="98"/>
        <v>80.989999999999995</v>
      </c>
      <c r="L3144" t="str">
        <f t="shared" si="99"/>
        <v>Banca Veneta|33|Risparmio</v>
      </c>
    </row>
    <row r="3145" spans="1:12" x14ac:dyDescent="0.25">
      <c r="A3145" t="s">
        <v>34</v>
      </c>
      <c r="B3145">
        <v>33</v>
      </c>
      <c r="C3145" t="s">
        <v>21</v>
      </c>
      <c r="D3145" s="1">
        <v>46295</v>
      </c>
      <c r="E3145">
        <v>3955.4</v>
      </c>
      <c r="F3145">
        <v>234.16</v>
      </c>
      <c r="G3145">
        <v>139.24</v>
      </c>
      <c r="H3145">
        <v>354</v>
      </c>
      <c r="I3145" t="s">
        <v>23</v>
      </c>
      <c r="J3145">
        <v>2026</v>
      </c>
      <c r="K3145">
        <f t="shared" si="98"/>
        <v>94.919999999999987</v>
      </c>
      <c r="L3145" t="str">
        <f t="shared" si="99"/>
        <v>Banca Veneta|33|Assicurazioni</v>
      </c>
    </row>
    <row r="3146" spans="1:12" x14ac:dyDescent="0.25">
      <c r="A3146" t="s">
        <v>34</v>
      </c>
      <c r="B3146">
        <v>34</v>
      </c>
      <c r="C3146" t="s">
        <v>13</v>
      </c>
      <c r="D3146" s="1">
        <v>46326</v>
      </c>
      <c r="E3146">
        <v>1091.7</v>
      </c>
      <c r="F3146">
        <v>50.06</v>
      </c>
      <c r="G3146">
        <v>31.45</v>
      </c>
      <c r="H3146">
        <v>121</v>
      </c>
      <c r="I3146" t="s">
        <v>23</v>
      </c>
      <c r="J3146">
        <v>2026</v>
      </c>
      <c r="K3146">
        <f t="shared" si="98"/>
        <v>18.610000000000003</v>
      </c>
      <c r="L3146" t="str">
        <f t="shared" si="99"/>
        <v>Banca Veneta|34|Mutui</v>
      </c>
    </row>
    <row r="3147" spans="1:12" x14ac:dyDescent="0.25">
      <c r="A3147" t="s">
        <v>34</v>
      </c>
      <c r="B3147">
        <v>34</v>
      </c>
      <c r="C3147" t="s">
        <v>15</v>
      </c>
      <c r="D3147" s="1">
        <v>46326</v>
      </c>
      <c r="E3147">
        <v>1502.4</v>
      </c>
      <c r="F3147">
        <v>71.349999999999994</v>
      </c>
      <c r="G3147">
        <v>44.51</v>
      </c>
      <c r="H3147">
        <v>144</v>
      </c>
      <c r="I3147" t="s">
        <v>23</v>
      </c>
      <c r="J3147">
        <v>2026</v>
      </c>
      <c r="K3147">
        <f t="shared" si="98"/>
        <v>26.839999999999996</v>
      </c>
      <c r="L3147" t="str">
        <f t="shared" si="99"/>
        <v>Banca Veneta|34|Prestiti</v>
      </c>
    </row>
    <row r="3148" spans="1:12" x14ac:dyDescent="0.25">
      <c r="A3148" t="s">
        <v>34</v>
      </c>
      <c r="B3148">
        <v>34</v>
      </c>
      <c r="C3148" t="s">
        <v>16</v>
      </c>
      <c r="D3148" s="1">
        <v>46326</v>
      </c>
      <c r="E3148">
        <v>1911.8</v>
      </c>
      <c r="F3148">
        <v>94.31</v>
      </c>
      <c r="G3148">
        <v>58.27</v>
      </c>
      <c r="H3148">
        <v>158</v>
      </c>
      <c r="I3148" t="s">
        <v>23</v>
      </c>
      <c r="J3148">
        <v>2026</v>
      </c>
      <c r="K3148">
        <f t="shared" si="98"/>
        <v>36.04</v>
      </c>
      <c r="L3148" t="str">
        <f t="shared" si="99"/>
        <v>Banca Veneta|34|Conti</v>
      </c>
    </row>
    <row r="3149" spans="1:12" x14ac:dyDescent="0.25">
      <c r="A3149" t="s">
        <v>34</v>
      </c>
      <c r="B3149">
        <v>34</v>
      </c>
      <c r="C3149" t="s">
        <v>17</v>
      </c>
      <c r="D3149" s="1">
        <v>46326</v>
      </c>
      <c r="E3149">
        <v>2328.6</v>
      </c>
      <c r="F3149">
        <v>119.42</v>
      </c>
      <c r="G3149">
        <v>73.08</v>
      </c>
      <c r="H3149">
        <v>209</v>
      </c>
      <c r="I3149" t="s">
        <v>23</v>
      </c>
      <c r="J3149">
        <v>2026</v>
      </c>
      <c r="K3149">
        <f t="shared" si="98"/>
        <v>46.34</v>
      </c>
      <c r="L3149" t="str">
        <f t="shared" si="99"/>
        <v>Banca Veneta|34|Carte</v>
      </c>
    </row>
    <row r="3150" spans="1:12" x14ac:dyDescent="0.25">
      <c r="A3150" t="s">
        <v>34</v>
      </c>
      <c r="B3150">
        <v>34</v>
      </c>
      <c r="C3150" t="s">
        <v>18</v>
      </c>
      <c r="D3150" s="1">
        <v>46326</v>
      </c>
      <c r="E3150">
        <v>2774.6</v>
      </c>
      <c r="F3150">
        <v>147.19999999999999</v>
      </c>
      <c r="G3150">
        <v>89.73</v>
      </c>
      <c r="H3150">
        <v>256</v>
      </c>
      <c r="I3150" t="s">
        <v>23</v>
      </c>
      <c r="J3150">
        <v>2026</v>
      </c>
      <c r="K3150">
        <f t="shared" si="98"/>
        <v>57.469999999999985</v>
      </c>
      <c r="L3150" t="str">
        <f t="shared" si="99"/>
        <v>Banca Veneta|34|Leasing</v>
      </c>
    </row>
    <row r="3151" spans="1:12" x14ac:dyDescent="0.25">
      <c r="A3151" t="s">
        <v>34</v>
      </c>
      <c r="B3151">
        <v>34</v>
      </c>
      <c r="C3151" t="s">
        <v>19</v>
      </c>
      <c r="D3151" s="1">
        <v>46326</v>
      </c>
      <c r="E3151">
        <v>3174.8</v>
      </c>
      <c r="F3151">
        <v>174.82</v>
      </c>
      <c r="G3151">
        <v>105.6</v>
      </c>
      <c r="H3151">
        <v>258</v>
      </c>
      <c r="I3151" t="s">
        <v>23</v>
      </c>
      <c r="J3151">
        <v>2026</v>
      </c>
      <c r="K3151">
        <f t="shared" si="98"/>
        <v>69.22</v>
      </c>
      <c r="L3151" t="str">
        <f t="shared" si="99"/>
        <v>Banca Veneta|34|Factoring</v>
      </c>
    </row>
    <row r="3152" spans="1:12" x14ac:dyDescent="0.25">
      <c r="A3152" t="s">
        <v>34</v>
      </c>
      <c r="B3152">
        <v>34</v>
      </c>
      <c r="C3152" t="s">
        <v>20</v>
      </c>
      <c r="D3152" s="1">
        <v>46326</v>
      </c>
      <c r="E3152">
        <v>3612.6</v>
      </c>
      <c r="F3152">
        <v>206.29</v>
      </c>
      <c r="G3152">
        <v>122.95</v>
      </c>
      <c r="H3152">
        <v>285</v>
      </c>
      <c r="I3152" t="s">
        <v>23</v>
      </c>
      <c r="J3152">
        <v>2026</v>
      </c>
      <c r="K3152">
        <f t="shared" si="98"/>
        <v>83.339999999999989</v>
      </c>
      <c r="L3152" t="str">
        <f t="shared" si="99"/>
        <v>Banca Veneta|34|Risparmio</v>
      </c>
    </row>
    <row r="3153" spans="1:12" x14ac:dyDescent="0.25">
      <c r="A3153" t="s">
        <v>34</v>
      </c>
      <c r="B3153">
        <v>34</v>
      </c>
      <c r="C3153" t="s">
        <v>21</v>
      </c>
      <c r="D3153" s="1">
        <v>46326</v>
      </c>
      <c r="E3153">
        <v>4010.4</v>
      </c>
      <c r="F3153">
        <v>236.67</v>
      </c>
      <c r="G3153">
        <v>140.4</v>
      </c>
      <c r="H3153">
        <v>344</v>
      </c>
      <c r="I3153" t="s">
        <v>23</v>
      </c>
      <c r="J3153">
        <v>2026</v>
      </c>
      <c r="K3153">
        <f t="shared" si="98"/>
        <v>96.269999999999982</v>
      </c>
      <c r="L3153" t="str">
        <f t="shared" si="99"/>
        <v>Banca Veneta|34|Assicurazioni</v>
      </c>
    </row>
    <row r="3154" spans="1:12" x14ac:dyDescent="0.25">
      <c r="A3154" t="s">
        <v>34</v>
      </c>
      <c r="B3154">
        <v>35</v>
      </c>
      <c r="C3154" t="s">
        <v>13</v>
      </c>
      <c r="D3154" s="1">
        <v>46356</v>
      </c>
      <c r="E3154">
        <v>1135.5999999999999</v>
      </c>
      <c r="F3154">
        <v>51.38</v>
      </c>
      <c r="G3154">
        <v>31.87</v>
      </c>
      <c r="H3154">
        <v>116</v>
      </c>
      <c r="I3154" t="s">
        <v>23</v>
      </c>
      <c r="J3154">
        <v>2026</v>
      </c>
      <c r="K3154">
        <f t="shared" si="98"/>
        <v>19.510000000000002</v>
      </c>
      <c r="L3154" t="str">
        <f t="shared" si="99"/>
        <v>Banca Veneta|35|Mutui</v>
      </c>
    </row>
    <row r="3155" spans="1:12" x14ac:dyDescent="0.25">
      <c r="A3155" t="s">
        <v>34</v>
      </c>
      <c r="B3155">
        <v>35</v>
      </c>
      <c r="C3155" t="s">
        <v>15</v>
      </c>
      <c r="D3155" s="1">
        <v>46356</v>
      </c>
      <c r="E3155">
        <v>1519.7</v>
      </c>
      <c r="F3155">
        <v>71.900000000000006</v>
      </c>
      <c r="G3155">
        <v>44.69</v>
      </c>
      <c r="H3155">
        <v>131</v>
      </c>
      <c r="I3155" t="s">
        <v>23</v>
      </c>
      <c r="J3155">
        <v>2026</v>
      </c>
      <c r="K3155">
        <f t="shared" si="98"/>
        <v>27.210000000000008</v>
      </c>
      <c r="L3155" t="str">
        <f t="shared" si="99"/>
        <v>Banca Veneta|35|Prestiti</v>
      </c>
    </row>
    <row r="3156" spans="1:12" x14ac:dyDescent="0.25">
      <c r="A3156" t="s">
        <v>34</v>
      </c>
      <c r="B3156">
        <v>35</v>
      </c>
      <c r="C3156" t="s">
        <v>16</v>
      </c>
      <c r="D3156" s="1">
        <v>46356</v>
      </c>
      <c r="E3156">
        <v>1960.8</v>
      </c>
      <c r="F3156">
        <v>96.98</v>
      </c>
      <c r="G3156">
        <v>58.98</v>
      </c>
      <c r="H3156">
        <v>162</v>
      </c>
      <c r="I3156" t="s">
        <v>23</v>
      </c>
      <c r="J3156">
        <v>2026</v>
      </c>
      <c r="K3156">
        <f t="shared" si="98"/>
        <v>38.000000000000007</v>
      </c>
      <c r="L3156" t="str">
        <f t="shared" si="99"/>
        <v>Banca Veneta|35|Conti</v>
      </c>
    </row>
    <row r="3157" spans="1:12" x14ac:dyDescent="0.25">
      <c r="A3157" t="s">
        <v>34</v>
      </c>
      <c r="B3157">
        <v>35</v>
      </c>
      <c r="C3157" t="s">
        <v>17</v>
      </c>
      <c r="D3157" s="1">
        <v>46356</v>
      </c>
      <c r="E3157">
        <v>2387.4</v>
      </c>
      <c r="F3157">
        <v>122.75</v>
      </c>
      <c r="G3157">
        <v>74.92</v>
      </c>
      <c r="H3157">
        <v>198</v>
      </c>
      <c r="I3157" t="s">
        <v>23</v>
      </c>
      <c r="J3157">
        <v>2026</v>
      </c>
      <c r="K3157">
        <f t="shared" si="98"/>
        <v>47.83</v>
      </c>
      <c r="L3157" t="str">
        <f t="shared" si="99"/>
        <v>Banca Veneta|35|Carte</v>
      </c>
    </row>
    <row r="3158" spans="1:12" x14ac:dyDescent="0.25">
      <c r="A3158" t="s">
        <v>34</v>
      </c>
      <c r="B3158">
        <v>35</v>
      </c>
      <c r="C3158" t="s">
        <v>18</v>
      </c>
      <c r="D3158" s="1">
        <v>46356</v>
      </c>
      <c r="E3158">
        <v>2786.7</v>
      </c>
      <c r="F3158">
        <v>148.6</v>
      </c>
      <c r="G3158">
        <v>89.9</v>
      </c>
      <c r="H3158">
        <v>246</v>
      </c>
      <c r="I3158" t="s">
        <v>23</v>
      </c>
      <c r="J3158">
        <v>2026</v>
      </c>
      <c r="K3158">
        <f t="shared" si="98"/>
        <v>58.699999999999989</v>
      </c>
      <c r="L3158" t="str">
        <f t="shared" si="99"/>
        <v>Banca Veneta|35|Leasing</v>
      </c>
    </row>
    <row r="3159" spans="1:12" x14ac:dyDescent="0.25">
      <c r="A3159" t="s">
        <v>34</v>
      </c>
      <c r="B3159">
        <v>35</v>
      </c>
      <c r="C3159" t="s">
        <v>19</v>
      </c>
      <c r="D3159" s="1">
        <v>46356</v>
      </c>
      <c r="E3159">
        <v>3213.5</v>
      </c>
      <c r="F3159">
        <v>177.26</v>
      </c>
      <c r="G3159">
        <v>106.88</v>
      </c>
      <c r="H3159">
        <v>270</v>
      </c>
      <c r="I3159" t="s">
        <v>23</v>
      </c>
      <c r="J3159">
        <v>2026</v>
      </c>
      <c r="K3159">
        <f t="shared" si="98"/>
        <v>70.38</v>
      </c>
      <c r="L3159" t="str">
        <f t="shared" si="99"/>
        <v>Banca Veneta|35|Factoring</v>
      </c>
    </row>
    <row r="3160" spans="1:12" x14ac:dyDescent="0.25">
      <c r="A3160" t="s">
        <v>34</v>
      </c>
      <c r="B3160">
        <v>35</v>
      </c>
      <c r="C3160" t="s">
        <v>20</v>
      </c>
      <c r="D3160" s="1">
        <v>46356</v>
      </c>
      <c r="E3160">
        <v>3588.2</v>
      </c>
      <c r="F3160">
        <v>205.15</v>
      </c>
      <c r="G3160">
        <v>122.15</v>
      </c>
      <c r="H3160">
        <v>311</v>
      </c>
      <c r="I3160" t="s">
        <v>23</v>
      </c>
      <c r="J3160">
        <v>2026</v>
      </c>
      <c r="K3160">
        <f t="shared" si="98"/>
        <v>83</v>
      </c>
      <c r="L3160" t="str">
        <f t="shared" si="99"/>
        <v>Banca Veneta|35|Risparmio</v>
      </c>
    </row>
    <row r="3161" spans="1:12" x14ac:dyDescent="0.25">
      <c r="A3161" t="s">
        <v>34</v>
      </c>
      <c r="B3161">
        <v>35</v>
      </c>
      <c r="C3161" t="s">
        <v>21</v>
      </c>
      <c r="D3161" s="1">
        <v>46356</v>
      </c>
      <c r="E3161">
        <v>4006.6</v>
      </c>
      <c r="F3161">
        <v>236.46</v>
      </c>
      <c r="G3161">
        <v>140.43</v>
      </c>
      <c r="H3161">
        <v>339</v>
      </c>
      <c r="I3161" t="s">
        <v>23</v>
      </c>
      <c r="J3161">
        <v>2026</v>
      </c>
      <c r="K3161">
        <f t="shared" si="98"/>
        <v>96.03</v>
      </c>
      <c r="L3161" t="str">
        <f t="shared" si="99"/>
        <v>Banca Veneta|35|Assicurazioni</v>
      </c>
    </row>
    <row r="3162" spans="1:12" x14ac:dyDescent="0.25">
      <c r="A3162" t="s">
        <v>34</v>
      </c>
      <c r="B3162">
        <v>36</v>
      </c>
      <c r="C3162" t="s">
        <v>13</v>
      </c>
      <c r="D3162" s="1">
        <v>46387</v>
      </c>
      <c r="E3162">
        <v>1114.0999999999999</v>
      </c>
      <c r="F3162">
        <v>50.71</v>
      </c>
      <c r="G3162">
        <v>31.72</v>
      </c>
      <c r="H3162">
        <v>104</v>
      </c>
      <c r="I3162" t="s">
        <v>23</v>
      </c>
      <c r="J3162">
        <v>2026</v>
      </c>
      <c r="K3162">
        <f t="shared" si="98"/>
        <v>18.990000000000002</v>
      </c>
      <c r="L3162" t="str">
        <f t="shared" si="99"/>
        <v>Banca Veneta|36|Mutui</v>
      </c>
    </row>
    <row r="3163" spans="1:12" x14ac:dyDescent="0.25">
      <c r="A3163" t="s">
        <v>34</v>
      </c>
      <c r="B3163">
        <v>36</v>
      </c>
      <c r="C3163" t="s">
        <v>15</v>
      </c>
      <c r="D3163" s="1">
        <v>46387</v>
      </c>
      <c r="E3163">
        <v>1529.7</v>
      </c>
      <c r="F3163">
        <v>72.11</v>
      </c>
      <c r="G3163">
        <v>45.23</v>
      </c>
      <c r="H3163">
        <v>124</v>
      </c>
      <c r="I3163" t="s">
        <v>23</v>
      </c>
      <c r="J3163">
        <v>2026</v>
      </c>
      <c r="K3163">
        <f t="shared" si="98"/>
        <v>26.880000000000003</v>
      </c>
      <c r="L3163" t="str">
        <f t="shared" si="99"/>
        <v>Banca Veneta|36|Prestiti</v>
      </c>
    </row>
    <row r="3164" spans="1:12" x14ac:dyDescent="0.25">
      <c r="A3164" t="s">
        <v>34</v>
      </c>
      <c r="B3164">
        <v>36</v>
      </c>
      <c r="C3164" t="s">
        <v>16</v>
      </c>
      <c r="D3164" s="1">
        <v>46387</v>
      </c>
      <c r="E3164">
        <v>1936.6</v>
      </c>
      <c r="F3164">
        <v>95.03</v>
      </c>
      <c r="G3164">
        <v>58.76</v>
      </c>
      <c r="H3164">
        <v>154</v>
      </c>
      <c r="I3164" t="s">
        <v>23</v>
      </c>
      <c r="J3164">
        <v>2026</v>
      </c>
      <c r="K3164">
        <f t="shared" si="98"/>
        <v>36.270000000000003</v>
      </c>
      <c r="L3164" t="str">
        <f t="shared" si="99"/>
        <v>Banca Veneta|36|Conti</v>
      </c>
    </row>
    <row r="3165" spans="1:12" x14ac:dyDescent="0.25">
      <c r="A3165" t="s">
        <v>34</v>
      </c>
      <c r="B3165">
        <v>36</v>
      </c>
      <c r="C3165" t="s">
        <v>17</v>
      </c>
      <c r="D3165" s="1">
        <v>46387</v>
      </c>
      <c r="E3165">
        <v>2396.4</v>
      </c>
      <c r="F3165">
        <v>122.76</v>
      </c>
      <c r="G3165">
        <v>74.63</v>
      </c>
      <c r="H3165">
        <v>220</v>
      </c>
      <c r="I3165" t="s">
        <v>23</v>
      </c>
      <c r="J3165">
        <v>2026</v>
      </c>
      <c r="K3165">
        <f t="shared" si="98"/>
        <v>48.13000000000001</v>
      </c>
      <c r="L3165" t="str">
        <f t="shared" si="99"/>
        <v>Banca Veneta|36|Carte</v>
      </c>
    </row>
    <row r="3166" spans="1:12" x14ac:dyDescent="0.25">
      <c r="A3166" t="s">
        <v>34</v>
      </c>
      <c r="B3166">
        <v>36</v>
      </c>
      <c r="C3166" t="s">
        <v>18</v>
      </c>
      <c r="D3166" s="1">
        <v>46387</v>
      </c>
      <c r="E3166">
        <v>2769.5</v>
      </c>
      <c r="F3166">
        <v>147.41999999999999</v>
      </c>
      <c r="G3166">
        <v>88.73</v>
      </c>
      <c r="H3166">
        <v>224</v>
      </c>
      <c r="I3166" t="s">
        <v>23</v>
      </c>
      <c r="J3166">
        <v>2026</v>
      </c>
      <c r="K3166">
        <f t="shared" si="98"/>
        <v>58.689999999999984</v>
      </c>
      <c r="L3166" t="str">
        <f t="shared" si="99"/>
        <v>Banca Veneta|36|Leasing</v>
      </c>
    </row>
    <row r="3167" spans="1:12" x14ac:dyDescent="0.25">
      <c r="A3167" t="s">
        <v>34</v>
      </c>
      <c r="B3167">
        <v>36</v>
      </c>
      <c r="C3167" t="s">
        <v>19</v>
      </c>
      <c r="D3167" s="1">
        <v>46387</v>
      </c>
      <c r="E3167">
        <v>3213.1</v>
      </c>
      <c r="F3167">
        <v>177.47</v>
      </c>
      <c r="G3167">
        <v>106.46</v>
      </c>
      <c r="H3167">
        <v>253</v>
      </c>
      <c r="I3167" t="s">
        <v>23</v>
      </c>
      <c r="J3167">
        <v>2026</v>
      </c>
      <c r="K3167">
        <f t="shared" si="98"/>
        <v>71.010000000000005</v>
      </c>
      <c r="L3167" t="str">
        <f t="shared" si="99"/>
        <v>Banca Veneta|36|Factoring</v>
      </c>
    </row>
    <row r="3168" spans="1:12" x14ac:dyDescent="0.25">
      <c r="A3168" t="s">
        <v>34</v>
      </c>
      <c r="B3168">
        <v>36</v>
      </c>
      <c r="C3168" t="s">
        <v>20</v>
      </c>
      <c r="D3168" s="1">
        <v>46387</v>
      </c>
      <c r="E3168">
        <v>3656.8</v>
      </c>
      <c r="F3168">
        <v>209.24</v>
      </c>
      <c r="G3168">
        <v>124.63</v>
      </c>
      <c r="H3168">
        <v>318</v>
      </c>
      <c r="I3168" t="s">
        <v>23</v>
      </c>
      <c r="J3168">
        <v>2026</v>
      </c>
      <c r="K3168">
        <f t="shared" si="98"/>
        <v>84.610000000000014</v>
      </c>
      <c r="L3168" t="str">
        <f t="shared" si="99"/>
        <v>Banca Veneta|36|Risparmio</v>
      </c>
    </row>
    <row r="3169" spans="1:12" x14ac:dyDescent="0.25">
      <c r="A3169" t="s">
        <v>34</v>
      </c>
      <c r="B3169">
        <v>36</v>
      </c>
      <c r="C3169" t="s">
        <v>21</v>
      </c>
      <c r="D3169" s="1">
        <v>46387</v>
      </c>
      <c r="E3169">
        <v>4056.2</v>
      </c>
      <c r="F3169">
        <v>239.7</v>
      </c>
      <c r="G3169">
        <v>142.26</v>
      </c>
      <c r="H3169">
        <v>329</v>
      </c>
      <c r="I3169" t="s">
        <v>23</v>
      </c>
      <c r="J3169">
        <v>2026</v>
      </c>
      <c r="K3169">
        <f t="shared" si="98"/>
        <v>97.44</v>
      </c>
      <c r="L3169" t="str">
        <f t="shared" si="99"/>
        <v>Banca Veneta|36|Assicurazioni</v>
      </c>
    </row>
    <row r="3170" spans="1:12" x14ac:dyDescent="0.25">
      <c r="A3170" t="s">
        <v>35</v>
      </c>
      <c r="B3170">
        <v>1</v>
      </c>
      <c r="C3170" t="s">
        <v>13</v>
      </c>
      <c r="D3170" s="1">
        <v>45322</v>
      </c>
      <c r="E3170">
        <v>923.3</v>
      </c>
      <c r="F3170">
        <v>42.19</v>
      </c>
      <c r="G3170">
        <v>26.55</v>
      </c>
      <c r="H3170">
        <v>105</v>
      </c>
      <c r="I3170" t="s">
        <v>23</v>
      </c>
      <c r="J3170">
        <v>2024</v>
      </c>
      <c r="K3170">
        <f t="shared" si="98"/>
        <v>15.639999999999997</v>
      </c>
      <c r="L3170" t="str">
        <f t="shared" si="99"/>
        <v>Banca Friulana|1|Mutui</v>
      </c>
    </row>
    <row r="3171" spans="1:12" x14ac:dyDescent="0.25">
      <c r="A3171" t="s">
        <v>35</v>
      </c>
      <c r="B3171">
        <v>1</v>
      </c>
      <c r="C3171" t="s">
        <v>15</v>
      </c>
      <c r="D3171" s="1">
        <v>45322</v>
      </c>
      <c r="E3171">
        <v>1251.2</v>
      </c>
      <c r="F3171">
        <v>59.77</v>
      </c>
      <c r="G3171">
        <v>36.369999999999997</v>
      </c>
      <c r="H3171">
        <v>162</v>
      </c>
      <c r="I3171" t="s">
        <v>23</v>
      </c>
      <c r="J3171">
        <v>2024</v>
      </c>
      <c r="K3171">
        <f t="shared" si="98"/>
        <v>23.400000000000006</v>
      </c>
      <c r="L3171" t="str">
        <f t="shared" si="99"/>
        <v>Banca Friulana|1|Prestiti</v>
      </c>
    </row>
    <row r="3172" spans="1:12" x14ac:dyDescent="0.25">
      <c r="A3172" t="s">
        <v>35</v>
      </c>
      <c r="B3172">
        <v>1</v>
      </c>
      <c r="C3172" t="s">
        <v>16</v>
      </c>
      <c r="D3172" s="1">
        <v>45322</v>
      </c>
      <c r="E3172">
        <v>1626.3</v>
      </c>
      <c r="F3172">
        <v>80.42</v>
      </c>
      <c r="G3172">
        <v>49.06</v>
      </c>
      <c r="H3172">
        <v>182</v>
      </c>
      <c r="I3172" t="s">
        <v>23</v>
      </c>
      <c r="J3172">
        <v>2024</v>
      </c>
      <c r="K3172">
        <f t="shared" si="98"/>
        <v>31.36</v>
      </c>
      <c r="L3172" t="str">
        <f t="shared" si="99"/>
        <v>Banca Friulana|1|Conti</v>
      </c>
    </row>
    <row r="3173" spans="1:12" x14ac:dyDescent="0.25">
      <c r="A3173" t="s">
        <v>35</v>
      </c>
      <c r="B3173">
        <v>1</v>
      </c>
      <c r="C3173" t="s">
        <v>17</v>
      </c>
      <c r="D3173" s="1">
        <v>45322</v>
      </c>
      <c r="E3173">
        <v>2000.1</v>
      </c>
      <c r="F3173">
        <v>102.48</v>
      </c>
      <c r="G3173">
        <v>62.34</v>
      </c>
      <c r="H3173">
        <v>234</v>
      </c>
      <c r="I3173" t="s">
        <v>23</v>
      </c>
      <c r="J3173">
        <v>2024</v>
      </c>
      <c r="K3173">
        <f t="shared" si="98"/>
        <v>40.14</v>
      </c>
      <c r="L3173" t="str">
        <f t="shared" si="99"/>
        <v>Banca Friulana|1|Carte</v>
      </c>
    </row>
    <row r="3174" spans="1:12" x14ac:dyDescent="0.25">
      <c r="A3174" t="s">
        <v>35</v>
      </c>
      <c r="B3174">
        <v>1</v>
      </c>
      <c r="C3174" t="s">
        <v>18</v>
      </c>
      <c r="D3174" s="1">
        <v>45322</v>
      </c>
      <c r="E3174">
        <v>2324.1</v>
      </c>
      <c r="F3174">
        <v>123.97</v>
      </c>
      <c r="G3174">
        <v>75.14</v>
      </c>
      <c r="H3174">
        <v>240</v>
      </c>
      <c r="I3174" t="s">
        <v>23</v>
      </c>
      <c r="J3174">
        <v>2024</v>
      </c>
      <c r="K3174">
        <f t="shared" si="98"/>
        <v>48.83</v>
      </c>
      <c r="L3174" t="str">
        <f t="shared" si="99"/>
        <v>Banca Friulana|1|Leasing</v>
      </c>
    </row>
    <row r="3175" spans="1:12" x14ac:dyDescent="0.25">
      <c r="A3175" t="s">
        <v>35</v>
      </c>
      <c r="B3175">
        <v>1</v>
      </c>
      <c r="C3175" t="s">
        <v>19</v>
      </c>
      <c r="D3175" s="1">
        <v>45322</v>
      </c>
      <c r="E3175">
        <v>2690.6</v>
      </c>
      <c r="F3175">
        <v>148.82</v>
      </c>
      <c r="G3175">
        <v>89.53</v>
      </c>
      <c r="H3175">
        <v>285</v>
      </c>
      <c r="I3175" t="s">
        <v>23</v>
      </c>
      <c r="J3175">
        <v>2024</v>
      </c>
      <c r="K3175">
        <f t="shared" si="98"/>
        <v>59.289999999999992</v>
      </c>
      <c r="L3175" t="str">
        <f t="shared" si="99"/>
        <v>Banca Friulana|1|Factoring</v>
      </c>
    </row>
    <row r="3176" spans="1:12" x14ac:dyDescent="0.25">
      <c r="A3176" t="s">
        <v>35</v>
      </c>
      <c r="B3176">
        <v>1</v>
      </c>
      <c r="C3176" t="s">
        <v>20</v>
      </c>
      <c r="D3176" s="1">
        <v>45322</v>
      </c>
      <c r="E3176">
        <v>3014.4</v>
      </c>
      <c r="F3176">
        <v>172.07</v>
      </c>
      <c r="G3176">
        <v>103.48</v>
      </c>
      <c r="H3176">
        <v>321</v>
      </c>
      <c r="I3176" t="s">
        <v>23</v>
      </c>
      <c r="J3176">
        <v>2024</v>
      </c>
      <c r="K3176">
        <f t="shared" si="98"/>
        <v>68.589999999999989</v>
      </c>
      <c r="L3176" t="str">
        <f t="shared" si="99"/>
        <v>Banca Friulana|1|Risparmio</v>
      </c>
    </row>
    <row r="3177" spans="1:12" x14ac:dyDescent="0.25">
      <c r="A3177" t="s">
        <v>35</v>
      </c>
      <c r="B3177">
        <v>1</v>
      </c>
      <c r="C3177" t="s">
        <v>21</v>
      </c>
      <c r="D3177" s="1">
        <v>45322</v>
      </c>
      <c r="E3177">
        <v>3401.8</v>
      </c>
      <c r="F3177">
        <v>201.64</v>
      </c>
      <c r="G3177">
        <v>119.82</v>
      </c>
      <c r="H3177">
        <v>340</v>
      </c>
      <c r="I3177" t="s">
        <v>23</v>
      </c>
      <c r="J3177">
        <v>2024</v>
      </c>
      <c r="K3177">
        <f t="shared" si="98"/>
        <v>81.819999999999993</v>
      </c>
      <c r="L3177" t="str">
        <f t="shared" si="99"/>
        <v>Banca Friulana|1|Assicurazioni</v>
      </c>
    </row>
    <row r="3178" spans="1:12" x14ac:dyDescent="0.25">
      <c r="A3178" t="s">
        <v>35</v>
      </c>
      <c r="B3178">
        <v>2</v>
      </c>
      <c r="C3178" t="s">
        <v>13</v>
      </c>
      <c r="D3178" s="1">
        <v>45351</v>
      </c>
      <c r="E3178">
        <v>926.5</v>
      </c>
      <c r="F3178">
        <v>42.35</v>
      </c>
      <c r="G3178">
        <v>26.48</v>
      </c>
      <c r="H3178">
        <v>116</v>
      </c>
      <c r="I3178" t="s">
        <v>23</v>
      </c>
      <c r="J3178">
        <v>2024</v>
      </c>
      <c r="K3178">
        <f t="shared" si="98"/>
        <v>15.870000000000001</v>
      </c>
      <c r="L3178" t="str">
        <f t="shared" si="99"/>
        <v>Banca Friulana|2|Mutui</v>
      </c>
    </row>
    <row r="3179" spans="1:12" x14ac:dyDescent="0.25">
      <c r="A3179" t="s">
        <v>35</v>
      </c>
      <c r="B3179">
        <v>2</v>
      </c>
      <c r="C3179" t="s">
        <v>15</v>
      </c>
      <c r="D3179" s="1">
        <v>45351</v>
      </c>
      <c r="E3179">
        <v>1280.8</v>
      </c>
      <c r="F3179">
        <v>60.73</v>
      </c>
      <c r="G3179">
        <v>37.909999999999997</v>
      </c>
      <c r="H3179">
        <v>128</v>
      </c>
      <c r="I3179" t="s">
        <v>23</v>
      </c>
      <c r="J3179">
        <v>2024</v>
      </c>
      <c r="K3179">
        <f t="shared" si="98"/>
        <v>22.82</v>
      </c>
      <c r="L3179" t="str">
        <f t="shared" si="99"/>
        <v>Banca Friulana|2|Prestiti</v>
      </c>
    </row>
    <row r="3180" spans="1:12" x14ac:dyDescent="0.25">
      <c r="A3180" t="s">
        <v>35</v>
      </c>
      <c r="B3180">
        <v>2</v>
      </c>
      <c r="C3180" t="s">
        <v>16</v>
      </c>
      <c r="D3180" s="1">
        <v>45351</v>
      </c>
      <c r="E3180">
        <v>1615.8</v>
      </c>
      <c r="F3180">
        <v>79.22</v>
      </c>
      <c r="G3180">
        <v>48.81</v>
      </c>
      <c r="H3180">
        <v>195</v>
      </c>
      <c r="I3180" t="s">
        <v>23</v>
      </c>
      <c r="J3180">
        <v>2024</v>
      </c>
      <c r="K3180">
        <f t="shared" si="98"/>
        <v>30.409999999999997</v>
      </c>
      <c r="L3180" t="str">
        <f t="shared" si="99"/>
        <v>Banca Friulana|2|Conti</v>
      </c>
    </row>
    <row r="3181" spans="1:12" x14ac:dyDescent="0.25">
      <c r="A3181" t="s">
        <v>35</v>
      </c>
      <c r="B3181">
        <v>2</v>
      </c>
      <c r="C3181" t="s">
        <v>17</v>
      </c>
      <c r="D3181" s="1">
        <v>45351</v>
      </c>
      <c r="E3181">
        <v>2004.6</v>
      </c>
      <c r="F3181">
        <v>103.11</v>
      </c>
      <c r="G3181">
        <v>62.6</v>
      </c>
      <c r="H3181">
        <v>218</v>
      </c>
      <c r="I3181" t="s">
        <v>23</v>
      </c>
      <c r="J3181">
        <v>2024</v>
      </c>
      <c r="K3181">
        <f t="shared" si="98"/>
        <v>40.51</v>
      </c>
      <c r="L3181" t="str">
        <f t="shared" si="99"/>
        <v>Banca Friulana|2|Carte</v>
      </c>
    </row>
    <row r="3182" spans="1:12" x14ac:dyDescent="0.25">
      <c r="A3182" t="s">
        <v>35</v>
      </c>
      <c r="B3182">
        <v>2</v>
      </c>
      <c r="C3182" t="s">
        <v>18</v>
      </c>
      <c r="D3182" s="1">
        <v>45351</v>
      </c>
      <c r="E3182">
        <v>2359.1999999999998</v>
      </c>
      <c r="F3182">
        <v>125.26</v>
      </c>
      <c r="G3182">
        <v>76.08</v>
      </c>
      <c r="H3182">
        <v>252</v>
      </c>
      <c r="I3182" t="s">
        <v>23</v>
      </c>
      <c r="J3182">
        <v>2024</v>
      </c>
      <c r="K3182">
        <f t="shared" si="98"/>
        <v>49.180000000000007</v>
      </c>
      <c r="L3182" t="str">
        <f t="shared" si="99"/>
        <v>Banca Friulana|2|Leasing</v>
      </c>
    </row>
    <row r="3183" spans="1:12" x14ac:dyDescent="0.25">
      <c r="A3183" t="s">
        <v>35</v>
      </c>
      <c r="B3183">
        <v>2</v>
      </c>
      <c r="C3183" t="s">
        <v>19</v>
      </c>
      <c r="D3183" s="1">
        <v>45351</v>
      </c>
      <c r="E3183">
        <v>2676.8</v>
      </c>
      <c r="F3183">
        <v>147.96</v>
      </c>
      <c r="G3183">
        <v>89.08</v>
      </c>
      <c r="H3183">
        <v>286</v>
      </c>
      <c r="I3183" t="s">
        <v>23</v>
      </c>
      <c r="J3183">
        <v>2024</v>
      </c>
      <c r="K3183">
        <f t="shared" si="98"/>
        <v>58.88000000000001</v>
      </c>
      <c r="L3183" t="str">
        <f t="shared" si="99"/>
        <v>Banca Friulana|2|Factoring</v>
      </c>
    </row>
    <row r="3184" spans="1:12" x14ac:dyDescent="0.25">
      <c r="A3184" t="s">
        <v>35</v>
      </c>
      <c r="B3184">
        <v>2</v>
      </c>
      <c r="C3184" t="s">
        <v>20</v>
      </c>
      <c r="D3184" s="1">
        <v>45351</v>
      </c>
      <c r="E3184">
        <v>3075.6</v>
      </c>
      <c r="F3184">
        <v>176.03</v>
      </c>
      <c r="G3184">
        <v>104.77</v>
      </c>
      <c r="H3184">
        <v>326</v>
      </c>
      <c r="I3184" t="s">
        <v>23</v>
      </c>
      <c r="J3184">
        <v>2024</v>
      </c>
      <c r="K3184">
        <f t="shared" si="98"/>
        <v>71.260000000000005</v>
      </c>
      <c r="L3184" t="str">
        <f t="shared" si="99"/>
        <v>Banca Friulana|2|Risparmio</v>
      </c>
    </row>
    <row r="3185" spans="1:12" x14ac:dyDescent="0.25">
      <c r="A3185" t="s">
        <v>35</v>
      </c>
      <c r="B3185">
        <v>2</v>
      </c>
      <c r="C3185" t="s">
        <v>21</v>
      </c>
      <c r="D3185" s="1">
        <v>45351</v>
      </c>
      <c r="E3185">
        <v>3400.7</v>
      </c>
      <c r="F3185">
        <v>200.9</v>
      </c>
      <c r="G3185">
        <v>119.18</v>
      </c>
      <c r="H3185">
        <v>370</v>
      </c>
      <c r="I3185" t="s">
        <v>23</v>
      </c>
      <c r="J3185">
        <v>2024</v>
      </c>
      <c r="K3185">
        <f t="shared" si="98"/>
        <v>81.72</v>
      </c>
      <c r="L3185" t="str">
        <f t="shared" si="99"/>
        <v>Banca Friulana|2|Assicurazioni</v>
      </c>
    </row>
    <row r="3186" spans="1:12" x14ac:dyDescent="0.25">
      <c r="A3186" t="s">
        <v>35</v>
      </c>
      <c r="B3186">
        <v>3</v>
      </c>
      <c r="C3186" t="s">
        <v>13</v>
      </c>
      <c r="D3186" s="1">
        <v>45382</v>
      </c>
      <c r="E3186">
        <v>921.7</v>
      </c>
      <c r="F3186">
        <v>41.55</v>
      </c>
      <c r="G3186">
        <v>26.51</v>
      </c>
      <c r="H3186">
        <v>108</v>
      </c>
      <c r="I3186" t="s">
        <v>23</v>
      </c>
      <c r="J3186">
        <v>2024</v>
      </c>
      <c r="K3186">
        <f t="shared" si="98"/>
        <v>15.039999999999996</v>
      </c>
      <c r="L3186" t="str">
        <f t="shared" si="99"/>
        <v>Banca Friulana|3|Mutui</v>
      </c>
    </row>
    <row r="3187" spans="1:12" x14ac:dyDescent="0.25">
      <c r="A3187" t="s">
        <v>35</v>
      </c>
      <c r="B3187">
        <v>3</v>
      </c>
      <c r="C3187" t="s">
        <v>15</v>
      </c>
      <c r="D3187" s="1">
        <v>45382</v>
      </c>
      <c r="E3187">
        <v>1289.5999999999999</v>
      </c>
      <c r="F3187">
        <v>61.52</v>
      </c>
      <c r="G3187">
        <v>37.520000000000003</v>
      </c>
      <c r="H3187">
        <v>159</v>
      </c>
      <c r="I3187" t="s">
        <v>23</v>
      </c>
      <c r="J3187">
        <v>2024</v>
      </c>
      <c r="K3187">
        <f t="shared" si="98"/>
        <v>24</v>
      </c>
      <c r="L3187" t="str">
        <f t="shared" si="99"/>
        <v>Banca Friulana|3|Prestiti</v>
      </c>
    </row>
    <row r="3188" spans="1:12" x14ac:dyDescent="0.25">
      <c r="A3188" t="s">
        <v>35</v>
      </c>
      <c r="B3188">
        <v>3</v>
      </c>
      <c r="C3188" t="s">
        <v>16</v>
      </c>
      <c r="D3188" s="1">
        <v>45382</v>
      </c>
      <c r="E3188">
        <v>1665.7</v>
      </c>
      <c r="F3188">
        <v>82.1</v>
      </c>
      <c r="G3188">
        <v>50.16</v>
      </c>
      <c r="H3188">
        <v>176</v>
      </c>
      <c r="I3188" t="s">
        <v>23</v>
      </c>
      <c r="J3188">
        <v>2024</v>
      </c>
      <c r="K3188">
        <f t="shared" si="98"/>
        <v>31.939999999999998</v>
      </c>
      <c r="L3188" t="str">
        <f t="shared" si="99"/>
        <v>Banca Friulana|3|Conti</v>
      </c>
    </row>
    <row r="3189" spans="1:12" x14ac:dyDescent="0.25">
      <c r="A3189" t="s">
        <v>35</v>
      </c>
      <c r="B3189">
        <v>3</v>
      </c>
      <c r="C3189" t="s">
        <v>17</v>
      </c>
      <c r="D3189" s="1">
        <v>45382</v>
      </c>
      <c r="E3189">
        <v>2036.7</v>
      </c>
      <c r="F3189">
        <v>103.95</v>
      </c>
      <c r="G3189">
        <v>64.14</v>
      </c>
      <c r="H3189">
        <v>213</v>
      </c>
      <c r="I3189" t="s">
        <v>23</v>
      </c>
      <c r="J3189">
        <v>2024</v>
      </c>
      <c r="K3189">
        <f t="shared" si="98"/>
        <v>39.81</v>
      </c>
      <c r="L3189" t="str">
        <f t="shared" si="99"/>
        <v>Banca Friulana|3|Carte</v>
      </c>
    </row>
    <row r="3190" spans="1:12" x14ac:dyDescent="0.25">
      <c r="A3190" t="s">
        <v>35</v>
      </c>
      <c r="B3190">
        <v>3</v>
      </c>
      <c r="C3190" t="s">
        <v>18</v>
      </c>
      <c r="D3190" s="1">
        <v>45382</v>
      </c>
      <c r="E3190">
        <v>2338.3000000000002</v>
      </c>
      <c r="F3190">
        <v>124.71</v>
      </c>
      <c r="G3190">
        <v>75.05</v>
      </c>
      <c r="H3190">
        <v>233</v>
      </c>
      <c r="I3190" t="s">
        <v>23</v>
      </c>
      <c r="J3190">
        <v>2024</v>
      </c>
      <c r="K3190">
        <f t="shared" si="98"/>
        <v>49.66</v>
      </c>
      <c r="L3190" t="str">
        <f t="shared" si="99"/>
        <v>Banca Friulana|3|Leasing</v>
      </c>
    </row>
    <row r="3191" spans="1:12" x14ac:dyDescent="0.25">
      <c r="A3191" t="s">
        <v>35</v>
      </c>
      <c r="B3191">
        <v>3</v>
      </c>
      <c r="C3191" t="s">
        <v>19</v>
      </c>
      <c r="D3191" s="1">
        <v>45382</v>
      </c>
      <c r="E3191">
        <v>2720</v>
      </c>
      <c r="F3191">
        <v>150.44999999999999</v>
      </c>
      <c r="G3191">
        <v>90.44</v>
      </c>
      <c r="H3191">
        <v>278</v>
      </c>
      <c r="I3191" t="s">
        <v>23</v>
      </c>
      <c r="J3191">
        <v>2024</v>
      </c>
      <c r="K3191">
        <f t="shared" si="98"/>
        <v>60.009999999999991</v>
      </c>
      <c r="L3191" t="str">
        <f t="shared" si="99"/>
        <v>Banca Friulana|3|Factoring</v>
      </c>
    </row>
    <row r="3192" spans="1:12" x14ac:dyDescent="0.25">
      <c r="A3192" t="s">
        <v>35</v>
      </c>
      <c r="B3192">
        <v>3</v>
      </c>
      <c r="C3192" t="s">
        <v>20</v>
      </c>
      <c r="D3192" s="1">
        <v>45382</v>
      </c>
      <c r="E3192">
        <v>3082.1</v>
      </c>
      <c r="F3192">
        <v>176.4</v>
      </c>
      <c r="G3192">
        <v>105.36</v>
      </c>
      <c r="H3192">
        <v>318</v>
      </c>
      <c r="I3192" t="s">
        <v>23</v>
      </c>
      <c r="J3192">
        <v>2024</v>
      </c>
      <c r="K3192">
        <f t="shared" si="98"/>
        <v>71.040000000000006</v>
      </c>
      <c r="L3192" t="str">
        <f t="shared" si="99"/>
        <v>Banca Friulana|3|Risparmio</v>
      </c>
    </row>
    <row r="3193" spans="1:12" x14ac:dyDescent="0.25">
      <c r="A3193" t="s">
        <v>35</v>
      </c>
      <c r="B3193">
        <v>3</v>
      </c>
      <c r="C3193" t="s">
        <v>21</v>
      </c>
      <c r="D3193" s="1">
        <v>45382</v>
      </c>
      <c r="E3193">
        <v>3395.7</v>
      </c>
      <c r="F3193">
        <v>200.86</v>
      </c>
      <c r="G3193">
        <v>119.02</v>
      </c>
      <c r="H3193">
        <v>342</v>
      </c>
      <c r="I3193" t="s">
        <v>23</v>
      </c>
      <c r="J3193">
        <v>2024</v>
      </c>
      <c r="K3193">
        <f t="shared" si="98"/>
        <v>81.840000000000018</v>
      </c>
      <c r="L3193" t="str">
        <f t="shared" si="99"/>
        <v>Banca Friulana|3|Assicurazioni</v>
      </c>
    </row>
    <row r="3194" spans="1:12" x14ac:dyDescent="0.25">
      <c r="A3194" t="s">
        <v>35</v>
      </c>
      <c r="B3194">
        <v>4</v>
      </c>
      <c r="C3194" t="s">
        <v>13</v>
      </c>
      <c r="D3194" s="1">
        <v>45412</v>
      </c>
      <c r="E3194">
        <v>978.7</v>
      </c>
      <c r="F3194">
        <v>44.66</v>
      </c>
      <c r="G3194">
        <v>28.33</v>
      </c>
      <c r="H3194">
        <v>125</v>
      </c>
      <c r="I3194" t="s">
        <v>23</v>
      </c>
      <c r="J3194">
        <v>2024</v>
      </c>
      <c r="K3194">
        <f t="shared" si="98"/>
        <v>16.329999999999998</v>
      </c>
      <c r="L3194" t="str">
        <f t="shared" si="99"/>
        <v>Banca Friulana|4|Mutui</v>
      </c>
    </row>
    <row r="3195" spans="1:12" x14ac:dyDescent="0.25">
      <c r="A3195" t="s">
        <v>35</v>
      </c>
      <c r="B3195">
        <v>4</v>
      </c>
      <c r="C3195" t="s">
        <v>15</v>
      </c>
      <c r="D3195" s="1">
        <v>45412</v>
      </c>
      <c r="E3195">
        <v>1335.5</v>
      </c>
      <c r="F3195">
        <v>63.31</v>
      </c>
      <c r="G3195">
        <v>39.549999999999997</v>
      </c>
      <c r="H3195">
        <v>153</v>
      </c>
      <c r="I3195" t="s">
        <v>23</v>
      </c>
      <c r="J3195">
        <v>2024</v>
      </c>
      <c r="K3195">
        <f t="shared" si="98"/>
        <v>23.760000000000005</v>
      </c>
      <c r="L3195" t="str">
        <f t="shared" si="99"/>
        <v>Banca Friulana|4|Prestiti</v>
      </c>
    </row>
    <row r="3196" spans="1:12" x14ac:dyDescent="0.25">
      <c r="A3196" t="s">
        <v>35</v>
      </c>
      <c r="B3196">
        <v>4</v>
      </c>
      <c r="C3196" t="s">
        <v>16</v>
      </c>
      <c r="D3196" s="1">
        <v>45412</v>
      </c>
      <c r="E3196">
        <v>1685.5</v>
      </c>
      <c r="F3196">
        <v>82.85</v>
      </c>
      <c r="G3196">
        <v>51.28</v>
      </c>
      <c r="H3196">
        <v>192</v>
      </c>
      <c r="I3196" t="s">
        <v>23</v>
      </c>
      <c r="J3196">
        <v>2024</v>
      </c>
      <c r="K3196">
        <f t="shared" si="98"/>
        <v>31.569999999999993</v>
      </c>
      <c r="L3196" t="str">
        <f t="shared" si="99"/>
        <v>Banca Friulana|4|Conti</v>
      </c>
    </row>
    <row r="3197" spans="1:12" x14ac:dyDescent="0.25">
      <c r="A3197" t="s">
        <v>35</v>
      </c>
      <c r="B3197">
        <v>4</v>
      </c>
      <c r="C3197" t="s">
        <v>17</v>
      </c>
      <c r="D3197" s="1">
        <v>45412</v>
      </c>
      <c r="E3197">
        <v>2005.7</v>
      </c>
      <c r="F3197">
        <v>103.14</v>
      </c>
      <c r="G3197">
        <v>62.82</v>
      </c>
      <c r="H3197">
        <v>229</v>
      </c>
      <c r="I3197" t="s">
        <v>23</v>
      </c>
      <c r="J3197">
        <v>2024</v>
      </c>
      <c r="K3197">
        <f t="shared" si="98"/>
        <v>40.32</v>
      </c>
      <c r="L3197" t="str">
        <f t="shared" si="99"/>
        <v>Banca Friulana|4|Carte</v>
      </c>
    </row>
    <row r="3198" spans="1:12" x14ac:dyDescent="0.25">
      <c r="A3198" t="s">
        <v>35</v>
      </c>
      <c r="B3198">
        <v>4</v>
      </c>
      <c r="C3198" t="s">
        <v>18</v>
      </c>
      <c r="D3198" s="1">
        <v>45412</v>
      </c>
      <c r="E3198">
        <v>2353.1999999999998</v>
      </c>
      <c r="F3198">
        <v>124.96</v>
      </c>
      <c r="G3198">
        <v>76.09</v>
      </c>
      <c r="H3198">
        <v>236</v>
      </c>
      <c r="I3198" t="s">
        <v>23</v>
      </c>
      <c r="J3198">
        <v>2024</v>
      </c>
      <c r="K3198">
        <f t="shared" si="98"/>
        <v>48.86999999999999</v>
      </c>
      <c r="L3198" t="str">
        <f t="shared" si="99"/>
        <v>Banca Friulana|4|Leasing</v>
      </c>
    </row>
    <row r="3199" spans="1:12" x14ac:dyDescent="0.25">
      <c r="A3199" t="s">
        <v>35</v>
      </c>
      <c r="B3199">
        <v>4</v>
      </c>
      <c r="C3199" t="s">
        <v>19</v>
      </c>
      <c r="D3199" s="1">
        <v>45412</v>
      </c>
      <c r="E3199">
        <v>2749.3</v>
      </c>
      <c r="F3199">
        <v>152.12</v>
      </c>
      <c r="G3199">
        <v>91.46</v>
      </c>
      <c r="H3199">
        <v>280</v>
      </c>
      <c r="I3199" t="s">
        <v>23</v>
      </c>
      <c r="J3199">
        <v>2024</v>
      </c>
      <c r="K3199">
        <f t="shared" si="98"/>
        <v>60.660000000000011</v>
      </c>
      <c r="L3199" t="str">
        <f t="shared" si="99"/>
        <v>Banca Friulana|4|Factoring</v>
      </c>
    </row>
    <row r="3200" spans="1:12" x14ac:dyDescent="0.25">
      <c r="A3200" t="s">
        <v>35</v>
      </c>
      <c r="B3200">
        <v>4</v>
      </c>
      <c r="C3200" t="s">
        <v>20</v>
      </c>
      <c r="D3200" s="1">
        <v>45412</v>
      </c>
      <c r="E3200">
        <v>3109.3</v>
      </c>
      <c r="F3200">
        <v>178.13</v>
      </c>
      <c r="G3200">
        <v>106.51</v>
      </c>
      <c r="H3200">
        <v>320</v>
      </c>
      <c r="I3200" t="s">
        <v>23</v>
      </c>
      <c r="J3200">
        <v>2024</v>
      </c>
      <c r="K3200">
        <f t="shared" si="98"/>
        <v>71.61999999999999</v>
      </c>
      <c r="L3200" t="str">
        <f t="shared" si="99"/>
        <v>Banca Friulana|4|Risparmio</v>
      </c>
    </row>
    <row r="3201" spans="1:12" x14ac:dyDescent="0.25">
      <c r="A3201" t="s">
        <v>35</v>
      </c>
      <c r="B3201">
        <v>4</v>
      </c>
      <c r="C3201" t="s">
        <v>21</v>
      </c>
      <c r="D3201" s="1">
        <v>45412</v>
      </c>
      <c r="E3201">
        <v>3466.5</v>
      </c>
      <c r="F3201">
        <v>205.38</v>
      </c>
      <c r="G3201">
        <v>121.72</v>
      </c>
      <c r="H3201">
        <v>340</v>
      </c>
      <c r="I3201" t="s">
        <v>23</v>
      </c>
      <c r="J3201">
        <v>2024</v>
      </c>
      <c r="K3201">
        <f t="shared" si="98"/>
        <v>83.66</v>
      </c>
      <c r="L3201" t="str">
        <f t="shared" si="99"/>
        <v>Banca Friulana|4|Assicurazioni</v>
      </c>
    </row>
    <row r="3202" spans="1:12" x14ac:dyDescent="0.25">
      <c r="A3202" t="s">
        <v>35</v>
      </c>
      <c r="B3202">
        <v>5</v>
      </c>
      <c r="C3202" t="s">
        <v>13</v>
      </c>
      <c r="D3202" s="1">
        <v>45443</v>
      </c>
      <c r="E3202">
        <v>960.5</v>
      </c>
      <c r="F3202">
        <v>43.25</v>
      </c>
      <c r="G3202">
        <v>26.9</v>
      </c>
      <c r="H3202">
        <v>112</v>
      </c>
      <c r="I3202" t="s">
        <v>23</v>
      </c>
      <c r="J3202">
        <v>2024</v>
      </c>
      <c r="K3202">
        <f t="shared" ref="K3202:K3265" si="100">F3202-G3202</f>
        <v>16.350000000000001</v>
      </c>
      <c r="L3202" t="str">
        <f t="shared" ref="L3202:L3265" si="101">A3202&amp;"|"&amp;B3202&amp;"|"&amp;C3202</f>
        <v>Banca Friulana|5|Mutui</v>
      </c>
    </row>
    <row r="3203" spans="1:12" x14ac:dyDescent="0.25">
      <c r="A3203" t="s">
        <v>35</v>
      </c>
      <c r="B3203">
        <v>5</v>
      </c>
      <c r="C3203" t="s">
        <v>15</v>
      </c>
      <c r="D3203" s="1">
        <v>45443</v>
      </c>
      <c r="E3203">
        <v>1334.4</v>
      </c>
      <c r="F3203">
        <v>62.72</v>
      </c>
      <c r="G3203">
        <v>39.479999999999997</v>
      </c>
      <c r="H3203">
        <v>137</v>
      </c>
      <c r="I3203" t="s">
        <v>23</v>
      </c>
      <c r="J3203">
        <v>2024</v>
      </c>
      <c r="K3203">
        <f t="shared" si="100"/>
        <v>23.240000000000002</v>
      </c>
      <c r="L3203" t="str">
        <f t="shared" si="101"/>
        <v>Banca Friulana|5|Prestiti</v>
      </c>
    </row>
    <row r="3204" spans="1:12" x14ac:dyDescent="0.25">
      <c r="A3204" t="s">
        <v>35</v>
      </c>
      <c r="B3204">
        <v>5</v>
      </c>
      <c r="C3204" t="s">
        <v>16</v>
      </c>
      <c r="D3204" s="1">
        <v>45443</v>
      </c>
      <c r="E3204">
        <v>1651.9</v>
      </c>
      <c r="F3204">
        <v>81.81</v>
      </c>
      <c r="G3204">
        <v>49.88</v>
      </c>
      <c r="H3204">
        <v>167</v>
      </c>
      <c r="I3204" t="s">
        <v>23</v>
      </c>
      <c r="J3204">
        <v>2024</v>
      </c>
      <c r="K3204">
        <f t="shared" si="100"/>
        <v>31.93</v>
      </c>
      <c r="L3204" t="str">
        <f t="shared" si="101"/>
        <v>Banca Friulana|5|Conti</v>
      </c>
    </row>
    <row r="3205" spans="1:12" x14ac:dyDescent="0.25">
      <c r="A3205" t="s">
        <v>35</v>
      </c>
      <c r="B3205">
        <v>5</v>
      </c>
      <c r="C3205" t="s">
        <v>17</v>
      </c>
      <c r="D3205" s="1">
        <v>45443</v>
      </c>
      <c r="E3205">
        <v>2040.5</v>
      </c>
      <c r="F3205">
        <v>104.9</v>
      </c>
      <c r="G3205">
        <v>64.06</v>
      </c>
      <c r="H3205">
        <v>201</v>
      </c>
      <c r="I3205" t="s">
        <v>23</v>
      </c>
      <c r="J3205">
        <v>2024</v>
      </c>
      <c r="K3205">
        <f t="shared" si="100"/>
        <v>40.840000000000003</v>
      </c>
      <c r="L3205" t="str">
        <f t="shared" si="101"/>
        <v>Banca Friulana|5|Carte</v>
      </c>
    </row>
    <row r="3206" spans="1:12" x14ac:dyDescent="0.25">
      <c r="A3206" t="s">
        <v>35</v>
      </c>
      <c r="B3206">
        <v>5</v>
      </c>
      <c r="C3206" t="s">
        <v>18</v>
      </c>
      <c r="D3206" s="1">
        <v>45443</v>
      </c>
      <c r="E3206">
        <v>2406.4</v>
      </c>
      <c r="F3206">
        <v>128.35</v>
      </c>
      <c r="G3206">
        <v>77.45</v>
      </c>
      <c r="H3206">
        <v>268</v>
      </c>
      <c r="I3206" t="s">
        <v>23</v>
      </c>
      <c r="J3206">
        <v>2024</v>
      </c>
      <c r="K3206">
        <f t="shared" si="100"/>
        <v>50.899999999999991</v>
      </c>
      <c r="L3206" t="str">
        <f t="shared" si="101"/>
        <v>Banca Friulana|5|Leasing</v>
      </c>
    </row>
    <row r="3207" spans="1:12" x14ac:dyDescent="0.25">
      <c r="A3207" t="s">
        <v>35</v>
      </c>
      <c r="B3207">
        <v>5</v>
      </c>
      <c r="C3207" t="s">
        <v>19</v>
      </c>
      <c r="D3207" s="1">
        <v>45443</v>
      </c>
      <c r="E3207">
        <v>2765.2</v>
      </c>
      <c r="F3207">
        <v>152.55000000000001</v>
      </c>
      <c r="G3207">
        <v>91.47</v>
      </c>
      <c r="H3207">
        <v>267</v>
      </c>
      <c r="I3207" t="s">
        <v>23</v>
      </c>
      <c r="J3207">
        <v>2024</v>
      </c>
      <c r="K3207">
        <f t="shared" si="100"/>
        <v>61.080000000000013</v>
      </c>
      <c r="L3207" t="str">
        <f t="shared" si="101"/>
        <v>Banca Friulana|5|Factoring</v>
      </c>
    </row>
    <row r="3208" spans="1:12" x14ac:dyDescent="0.25">
      <c r="A3208" t="s">
        <v>35</v>
      </c>
      <c r="B3208">
        <v>5</v>
      </c>
      <c r="C3208" t="s">
        <v>20</v>
      </c>
      <c r="D3208" s="1">
        <v>45443</v>
      </c>
      <c r="E3208">
        <v>3142.2</v>
      </c>
      <c r="F3208">
        <v>179.56</v>
      </c>
      <c r="G3208">
        <v>107.35</v>
      </c>
      <c r="H3208">
        <v>313</v>
      </c>
      <c r="I3208" t="s">
        <v>23</v>
      </c>
      <c r="J3208">
        <v>2024</v>
      </c>
      <c r="K3208">
        <f t="shared" si="100"/>
        <v>72.210000000000008</v>
      </c>
      <c r="L3208" t="str">
        <f t="shared" si="101"/>
        <v>Banca Friulana|5|Risparmio</v>
      </c>
    </row>
    <row r="3209" spans="1:12" x14ac:dyDescent="0.25">
      <c r="A3209" t="s">
        <v>35</v>
      </c>
      <c r="B3209">
        <v>5</v>
      </c>
      <c r="C3209" t="s">
        <v>21</v>
      </c>
      <c r="D3209" s="1">
        <v>45443</v>
      </c>
      <c r="E3209">
        <v>3466.3</v>
      </c>
      <c r="F3209">
        <v>204.74</v>
      </c>
      <c r="G3209">
        <v>121.59</v>
      </c>
      <c r="H3209">
        <v>350</v>
      </c>
      <c r="I3209" t="s">
        <v>23</v>
      </c>
      <c r="J3209">
        <v>2024</v>
      </c>
      <c r="K3209">
        <f t="shared" si="100"/>
        <v>83.15</v>
      </c>
      <c r="L3209" t="str">
        <f t="shared" si="101"/>
        <v>Banca Friulana|5|Assicurazioni</v>
      </c>
    </row>
    <row r="3210" spans="1:12" x14ac:dyDescent="0.25">
      <c r="A3210" t="s">
        <v>35</v>
      </c>
      <c r="B3210">
        <v>6</v>
      </c>
      <c r="C3210" t="s">
        <v>13</v>
      </c>
      <c r="D3210" s="1">
        <v>45473</v>
      </c>
      <c r="E3210">
        <v>991.4</v>
      </c>
      <c r="F3210">
        <v>44.74</v>
      </c>
      <c r="G3210">
        <v>28.23</v>
      </c>
      <c r="H3210">
        <v>105</v>
      </c>
      <c r="I3210" t="s">
        <v>23</v>
      </c>
      <c r="J3210">
        <v>2024</v>
      </c>
      <c r="K3210">
        <f t="shared" si="100"/>
        <v>16.510000000000002</v>
      </c>
      <c r="L3210" t="str">
        <f t="shared" si="101"/>
        <v>Banca Friulana|6|Mutui</v>
      </c>
    </row>
    <row r="3211" spans="1:12" x14ac:dyDescent="0.25">
      <c r="A3211" t="s">
        <v>35</v>
      </c>
      <c r="B3211">
        <v>6</v>
      </c>
      <c r="C3211" t="s">
        <v>15</v>
      </c>
      <c r="D3211" s="1">
        <v>45473</v>
      </c>
      <c r="E3211">
        <v>1320.1</v>
      </c>
      <c r="F3211">
        <v>62.62</v>
      </c>
      <c r="G3211">
        <v>38.92</v>
      </c>
      <c r="H3211">
        <v>165</v>
      </c>
      <c r="I3211" t="s">
        <v>23</v>
      </c>
      <c r="J3211">
        <v>2024</v>
      </c>
      <c r="K3211">
        <f t="shared" si="100"/>
        <v>23.699999999999996</v>
      </c>
      <c r="L3211" t="str">
        <f t="shared" si="101"/>
        <v>Banca Friulana|6|Prestiti</v>
      </c>
    </row>
    <row r="3212" spans="1:12" x14ac:dyDescent="0.25">
      <c r="A3212" t="s">
        <v>35</v>
      </c>
      <c r="B3212">
        <v>6</v>
      </c>
      <c r="C3212" t="s">
        <v>16</v>
      </c>
      <c r="D3212" s="1">
        <v>45473</v>
      </c>
      <c r="E3212">
        <v>1699.9</v>
      </c>
      <c r="F3212">
        <v>83.35</v>
      </c>
      <c r="G3212">
        <v>51.24</v>
      </c>
      <c r="H3212">
        <v>181</v>
      </c>
      <c r="I3212" t="s">
        <v>23</v>
      </c>
      <c r="J3212">
        <v>2024</v>
      </c>
      <c r="K3212">
        <f t="shared" si="100"/>
        <v>32.109999999999992</v>
      </c>
      <c r="L3212" t="str">
        <f t="shared" si="101"/>
        <v>Banca Friulana|6|Conti</v>
      </c>
    </row>
    <row r="3213" spans="1:12" x14ac:dyDescent="0.25">
      <c r="A3213" t="s">
        <v>35</v>
      </c>
      <c r="B3213">
        <v>6</v>
      </c>
      <c r="C3213" t="s">
        <v>17</v>
      </c>
      <c r="D3213" s="1">
        <v>45473</v>
      </c>
      <c r="E3213">
        <v>2047</v>
      </c>
      <c r="F3213">
        <v>104.99</v>
      </c>
      <c r="G3213">
        <v>63.53</v>
      </c>
      <c r="H3213">
        <v>232</v>
      </c>
      <c r="I3213" t="s">
        <v>23</v>
      </c>
      <c r="J3213">
        <v>2024</v>
      </c>
      <c r="K3213">
        <f t="shared" si="100"/>
        <v>41.459999999999994</v>
      </c>
      <c r="L3213" t="str">
        <f t="shared" si="101"/>
        <v>Banca Friulana|6|Carte</v>
      </c>
    </row>
    <row r="3214" spans="1:12" x14ac:dyDescent="0.25">
      <c r="A3214" t="s">
        <v>35</v>
      </c>
      <c r="B3214">
        <v>6</v>
      </c>
      <c r="C3214" t="s">
        <v>18</v>
      </c>
      <c r="D3214" s="1">
        <v>45473</v>
      </c>
      <c r="E3214">
        <v>2429</v>
      </c>
      <c r="F3214">
        <v>129.53</v>
      </c>
      <c r="G3214">
        <v>78.459999999999994</v>
      </c>
      <c r="H3214">
        <v>245</v>
      </c>
      <c r="I3214" t="s">
        <v>23</v>
      </c>
      <c r="J3214">
        <v>2024</v>
      </c>
      <c r="K3214">
        <f t="shared" si="100"/>
        <v>51.070000000000007</v>
      </c>
      <c r="L3214" t="str">
        <f t="shared" si="101"/>
        <v>Banca Friulana|6|Leasing</v>
      </c>
    </row>
    <row r="3215" spans="1:12" x14ac:dyDescent="0.25">
      <c r="A3215" t="s">
        <v>35</v>
      </c>
      <c r="B3215">
        <v>6</v>
      </c>
      <c r="C3215" t="s">
        <v>19</v>
      </c>
      <c r="D3215" s="1">
        <v>45473</v>
      </c>
      <c r="E3215">
        <v>2806.3</v>
      </c>
      <c r="F3215">
        <v>154.71</v>
      </c>
      <c r="G3215">
        <v>93.59</v>
      </c>
      <c r="H3215">
        <v>299</v>
      </c>
      <c r="I3215" t="s">
        <v>23</v>
      </c>
      <c r="J3215">
        <v>2024</v>
      </c>
      <c r="K3215">
        <f t="shared" si="100"/>
        <v>61.120000000000005</v>
      </c>
      <c r="L3215" t="str">
        <f t="shared" si="101"/>
        <v>Banca Friulana|6|Factoring</v>
      </c>
    </row>
    <row r="3216" spans="1:12" x14ac:dyDescent="0.25">
      <c r="A3216" t="s">
        <v>35</v>
      </c>
      <c r="B3216">
        <v>6</v>
      </c>
      <c r="C3216" t="s">
        <v>20</v>
      </c>
      <c r="D3216" s="1">
        <v>45473</v>
      </c>
      <c r="E3216">
        <v>3123</v>
      </c>
      <c r="F3216">
        <v>178.57</v>
      </c>
      <c r="G3216">
        <v>106.6</v>
      </c>
      <c r="H3216">
        <v>309</v>
      </c>
      <c r="I3216" t="s">
        <v>23</v>
      </c>
      <c r="J3216">
        <v>2024</v>
      </c>
      <c r="K3216">
        <f t="shared" si="100"/>
        <v>71.97</v>
      </c>
      <c r="L3216" t="str">
        <f t="shared" si="101"/>
        <v>Banca Friulana|6|Risparmio</v>
      </c>
    </row>
    <row r="3217" spans="1:12" x14ac:dyDescent="0.25">
      <c r="A3217" t="s">
        <v>35</v>
      </c>
      <c r="B3217">
        <v>6</v>
      </c>
      <c r="C3217" t="s">
        <v>21</v>
      </c>
      <c r="D3217" s="1">
        <v>45473</v>
      </c>
      <c r="E3217">
        <v>3493.7</v>
      </c>
      <c r="F3217">
        <v>206.47</v>
      </c>
      <c r="G3217">
        <v>122.38</v>
      </c>
      <c r="H3217">
        <v>358</v>
      </c>
      <c r="I3217" t="s">
        <v>23</v>
      </c>
      <c r="J3217">
        <v>2024</v>
      </c>
      <c r="K3217">
        <f t="shared" si="100"/>
        <v>84.09</v>
      </c>
      <c r="L3217" t="str">
        <f t="shared" si="101"/>
        <v>Banca Friulana|6|Assicurazioni</v>
      </c>
    </row>
    <row r="3218" spans="1:12" x14ac:dyDescent="0.25">
      <c r="A3218" t="s">
        <v>35</v>
      </c>
      <c r="B3218">
        <v>7</v>
      </c>
      <c r="C3218" t="s">
        <v>13</v>
      </c>
      <c r="D3218" s="1">
        <v>45504</v>
      </c>
      <c r="E3218">
        <v>959.9</v>
      </c>
      <c r="F3218">
        <v>44.02</v>
      </c>
      <c r="G3218">
        <v>27.12</v>
      </c>
      <c r="H3218">
        <v>109</v>
      </c>
      <c r="I3218" t="s">
        <v>23</v>
      </c>
      <c r="J3218">
        <v>2024</v>
      </c>
      <c r="K3218">
        <f t="shared" si="100"/>
        <v>16.900000000000002</v>
      </c>
      <c r="L3218" t="str">
        <f t="shared" si="101"/>
        <v>Banca Friulana|7|Mutui</v>
      </c>
    </row>
    <row r="3219" spans="1:12" x14ac:dyDescent="0.25">
      <c r="A3219" t="s">
        <v>35</v>
      </c>
      <c r="B3219">
        <v>7</v>
      </c>
      <c r="C3219" t="s">
        <v>15</v>
      </c>
      <c r="D3219" s="1">
        <v>45504</v>
      </c>
      <c r="E3219">
        <v>1334</v>
      </c>
      <c r="F3219">
        <v>62.91</v>
      </c>
      <c r="G3219">
        <v>38.69</v>
      </c>
      <c r="H3219">
        <v>166</v>
      </c>
      <c r="I3219" t="s">
        <v>23</v>
      </c>
      <c r="J3219">
        <v>2024</v>
      </c>
      <c r="K3219">
        <f t="shared" si="100"/>
        <v>24.22</v>
      </c>
      <c r="L3219" t="str">
        <f t="shared" si="101"/>
        <v>Banca Friulana|7|Prestiti</v>
      </c>
    </row>
    <row r="3220" spans="1:12" x14ac:dyDescent="0.25">
      <c r="A3220" t="s">
        <v>35</v>
      </c>
      <c r="B3220">
        <v>7</v>
      </c>
      <c r="C3220" t="s">
        <v>16</v>
      </c>
      <c r="D3220" s="1">
        <v>45504</v>
      </c>
      <c r="E3220">
        <v>1696.1</v>
      </c>
      <c r="F3220">
        <v>83.26</v>
      </c>
      <c r="G3220">
        <v>51.24</v>
      </c>
      <c r="H3220">
        <v>188</v>
      </c>
      <c r="I3220" t="s">
        <v>23</v>
      </c>
      <c r="J3220">
        <v>2024</v>
      </c>
      <c r="K3220">
        <f t="shared" si="100"/>
        <v>32.020000000000003</v>
      </c>
      <c r="L3220" t="str">
        <f t="shared" si="101"/>
        <v>Banca Friulana|7|Conti</v>
      </c>
    </row>
    <row r="3221" spans="1:12" x14ac:dyDescent="0.25">
      <c r="A3221" t="s">
        <v>35</v>
      </c>
      <c r="B3221">
        <v>7</v>
      </c>
      <c r="C3221" t="s">
        <v>17</v>
      </c>
      <c r="D3221" s="1">
        <v>45504</v>
      </c>
      <c r="E3221">
        <v>2077.3000000000002</v>
      </c>
      <c r="F3221">
        <v>106.34</v>
      </c>
      <c r="G3221">
        <v>64.5</v>
      </c>
      <c r="H3221">
        <v>212</v>
      </c>
      <c r="I3221" t="s">
        <v>23</v>
      </c>
      <c r="J3221">
        <v>2024</v>
      </c>
      <c r="K3221">
        <f t="shared" si="100"/>
        <v>41.84</v>
      </c>
      <c r="L3221" t="str">
        <f t="shared" si="101"/>
        <v>Banca Friulana|7|Carte</v>
      </c>
    </row>
    <row r="3222" spans="1:12" x14ac:dyDescent="0.25">
      <c r="A3222" t="s">
        <v>35</v>
      </c>
      <c r="B3222">
        <v>7</v>
      </c>
      <c r="C3222" t="s">
        <v>18</v>
      </c>
      <c r="D3222" s="1">
        <v>45504</v>
      </c>
      <c r="E3222">
        <v>2431.1999999999998</v>
      </c>
      <c r="F3222">
        <v>129.44999999999999</v>
      </c>
      <c r="G3222">
        <v>78.569999999999993</v>
      </c>
      <c r="H3222">
        <v>263</v>
      </c>
      <c r="I3222" t="s">
        <v>23</v>
      </c>
      <c r="J3222">
        <v>2024</v>
      </c>
      <c r="K3222">
        <f t="shared" si="100"/>
        <v>50.879999999999995</v>
      </c>
      <c r="L3222" t="str">
        <f t="shared" si="101"/>
        <v>Banca Friulana|7|Leasing</v>
      </c>
    </row>
    <row r="3223" spans="1:12" x14ac:dyDescent="0.25">
      <c r="A3223" t="s">
        <v>35</v>
      </c>
      <c r="B3223">
        <v>7</v>
      </c>
      <c r="C3223" t="s">
        <v>19</v>
      </c>
      <c r="D3223" s="1">
        <v>45504</v>
      </c>
      <c r="E3223">
        <v>2815.5</v>
      </c>
      <c r="F3223">
        <v>155.49</v>
      </c>
      <c r="G3223">
        <v>92.93</v>
      </c>
      <c r="H3223">
        <v>272</v>
      </c>
      <c r="I3223" t="s">
        <v>23</v>
      </c>
      <c r="J3223">
        <v>2024</v>
      </c>
      <c r="K3223">
        <f t="shared" si="100"/>
        <v>62.56</v>
      </c>
      <c r="L3223" t="str">
        <f t="shared" si="101"/>
        <v>Banca Friulana|7|Factoring</v>
      </c>
    </row>
    <row r="3224" spans="1:12" x14ac:dyDescent="0.25">
      <c r="A3224" t="s">
        <v>35</v>
      </c>
      <c r="B3224">
        <v>7</v>
      </c>
      <c r="C3224" t="s">
        <v>20</v>
      </c>
      <c r="D3224" s="1">
        <v>45504</v>
      </c>
      <c r="E3224">
        <v>3157.7</v>
      </c>
      <c r="F3224">
        <v>180.48</v>
      </c>
      <c r="G3224">
        <v>107.85</v>
      </c>
      <c r="H3224">
        <v>326</v>
      </c>
      <c r="I3224" t="s">
        <v>23</v>
      </c>
      <c r="J3224">
        <v>2024</v>
      </c>
      <c r="K3224">
        <f t="shared" si="100"/>
        <v>72.63</v>
      </c>
      <c r="L3224" t="str">
        <f t="shared" si="101"/>
        <v>Banca Friulana|7|Risparmio</v>
      </c>
    </row>
    <row r="3225" spans="1:12" x14ac:dyDescent="0.25">
      <c r="A3225" t="s">
        <v>35</v>
      </c>
      <c r="B3225">
        <v>7</v>
      </c>
      <c r="C3225" t="s">
        <v>21</v>
      </c>
      <c r="D3225" s="1">
        <v>45504</v>
      </c>
      <c r="E3225">
        <v>3516</v>
      </c>
      <c r="F3225">
        <v>207.99</v>
      </c>
      <c r="G3225">
        <v>123.36</v>
      </c>
      <c r="H3225">
        <v>373</v>
      </c>
      <c r="I3225" t="s">
        <v>23</v>
      </c>
      <c r="J3225">
        <v>2024</v>
      </c>
      <c r="K3225">
        <f t="shared" si="100"/>
        <v>84.63000000000001</v>
      </c>
      <c r="L3225" t="str">
        <f t="shared" si="101"/>
        <v>Banca Friulana|7|Assicurazioni</v>
      </c>
    </row>
    <row r="3226" spans="1:12" x14ac:dyDescent="0.25">
      <c r="A3226" t="s">
        <v>35</v>
      </c>
      <c r="B3226">
        <v>8</v>
      </c>
      <c r="C3226" t="s">
        <v>13</v>
      </c>
      <c r="D3226" s="1">
        <v>45535</v>
      </c>
      <c r="E3226">
        <v>1003.6</v>
      </c>
      <c r="F3226">
        <v>45.52</v>
      </c>
      <c r="G3226">
        <v>29.1</v>
      </c>
      <c r="H3226">
        <v>113</v>
      </c>
      <c r="I3226" t="s">
        <v>23</v>
      </c>
      <c r="J3226">
        <v>2024</v>
      </c>
      <c r="K3226">
        <f t="shared" si="100"/>
        <v>16.420000000000002</v>
      </c>
      <c r="L3226" t="str">
        <f t="shared" si="101"/>
        <v>Banca Friulana|8|Mutui</v>
      </c>
    </row>
    <row r="3227" spans="1:12" x14ac:dyDescent="0.25">
      <c r="A3227" t="s">
        <v>35</v>
      </c>
      <c r="B3227">
        <v>8</v>
      </c>
      <c r="C3227" t="s">
        <v>15</v>
      </c>
      <c r="D3227" s="1">
        <v>45535</v>
      </c>
      <c r="E3227">
        <v>1343.8</v>
      </c>
      <c r="F3227">
        <v>63.36</v>
      </c>
      <c r="G3227">
        <v>39.69</v>
      </c>
      <c r="H3227">
        <v>151</v>
      </c>
      <c r="I3227" t="s">
        <v>23</v>
      </c>
      <c r="J3227">
        <v>2024</v>
      </c>
      <c r="K3227">
        <f t="shared" si="100"/>
        <v>23.67</v>
      </c>
      <c r="L3227" t="str">
        <f t="shared" si="101"/>
        <v>Banca Friulana|8|Prestiti</v>
      </c>
    </row>
    <row r="3228" spans="1:12" x14ac:dyDescent="0.25">
      <c r="A3228" t="s">
        <v>35</v>
      </c>
      <c r="B3228">
        <v>8</v>
      </c>
      <c r="C3228" t="s">
        <v>16</v>
      </c>
      <c r="D3228" s="1">
        <v>45535</v>
      </c>
      <c r="E3228">
        <v>1735.9</v>
      </c>
      <c r="F3228">
        <v>85.29</v>
      </c>
      <c r="G3228">
        <v>52.76</v>
      </c>
      <c r="H3228">
        <v>168</v>
      </c>
      <c r="I3228" t="s">
        <v>23</v>
      </c>
      <c r="J3228">
        <v>2024</v>
      </c>
      <c r="K3228">
        <f t="shared" si="100"/>
        <v>32.530000000000008</v>
      </c>
      <c r="L3228" t="str">
        <f t="shared" si="101"/>
        <v>Banca Friulana|8|Conti</v>
      </c>
    </row>
    <row r="3229" spans="1:12" x14ac:dyDescent="0.25">
      <c r="A3229" t="s">
        <v>35</v>
      </c>
      <c r="B3229">
        <v>8</v>
      </c>
      <c r="C3229" t="s">
        <v>17</v>
      </c>
      <c r="D3229" s="1">
        <v>45535</v>
      </c>
      <c r="E3229">
        <v>2073.3000000000002</v>
      </c>
      <c r="F3229">
        <v>105.79</v>
      </c>
      <c r="G3229">
        <v>64.709999999999994</v>
      </c>
      <c r="H3229">
        <v>224</v>
      </c>
      <c r="I3229" t="s">
        <v>23</v>
      </c>
      <c r="J3229">
        <v>2024</v>
      </c>
      <c r="K3229">
        <f t="shared" si="100"/>
        <v>41.080000000000013</v>
      </c>
      <c r="L3229" t="str">
        <f t="shared" si="101"/>
        <v>Banca Friulana|8|Carte</v>
      </c>
    </row>
    <row r="3230" spans="1:12" x14ac:dyDescent="0.25">
      <c r="A3230" t="s">
        <v>35</v>
      </c>
      <c r="B3230">
        <v>8</v>
      </c>
      <c r="C3230" t="s">
        <v>18</v>
      </c>
      <c r="D3230" s="1">
        <v>45535</v>
      </c>
      <c r="E3230">
        <v>2454.1</v>
      </c>
      <c r="F3230">
        <v>130.26</v>
      </c>
      <c r="G3230">
        <v>79.33</v>
      </c>
      <c r="H3230">
        <v>256</v>
      </c>
      <c r="I3230" t="s">
        <v>23</v>
      </c>
      <c r="J3230">
        <v>2024</v>
      </c>
      <c r="K3230">
        <f t="shared" si="100"/>
        <v>50.929999999999993</v>
      </c>
      <c r="L3230" t="str">
        <f t="shared" si="101"/>
        <v>Banca Friulana|8|Leasing</v>
      </c>
    </row>
    <row r="3231" spans="1:12" x14ac:dyDescent="0.25">
      <c r="A3231" t="s">
        <v>35</v>
      </c>
      <c r="B3231">
        <v>8</v>
      </c>
      <c r="C3231" t="s">
        <v>19</v>
      </c>
      <c r="D3231" s="1">
        <v>45535</v>
      </c>
      <c r="E3231">
        <v>2836.1</v>
      </c>
      <c r="F3231">
        <v>156.65</v>
      </c>
      <c r="G3231">
        <v>94.3</v>
      </c>
      <c r="H3231">
        <v>283</v>
      </c>
      <c r="I3231" t="s">
        <v>23</v>
      </c>
      <c r="J3231">
        <v>2024</v>
      </c>
      <c r="K3231">
        <f t="shared" si="100"/>
        <v>62.350000000000009</v>
      </c>
      <c r="L3231" t="str">
        <f t="shared" si="101"/>
        <v>Banca Friulana|8|Factoring</v>
      </c>
    </row>
    <row r="3232" spans="1:12" x14ac:dyDescent="0.25">
      <c r="A3232" t="s">
        <v>35</v>
      </c>
      <c r="B3232">
        <v>8</v>
      </c>
      <c r="C3232" t="s">
        <v>20</v>
      </c>
      <c r="D3232" s="1">
        <v>45535</v>
      </c>
      <c r="E3232">
        <v>3169</v>
      </c>
      <c r="F3232">
        <v>180.73</v>
      </c>
      <c r="G3232">
        <v>107.89</v>
      </c>
      <c r="H3232">
        <v>322</v>
      </c>
      <c r="I3232" t="s">
        <v>23</v>
      </c>
      <c r="J3232">
        <v>2024</v>
      </c>
      <c r="K3232">
        <f t="shared" si="100"/>
        <v>72.839999999999989</v>
      </c>
      <c r="L3232" t="str">
        <f t="shared" si="101"/>
        <v>Banca Friulana|8|Risparmio</v>
      </c>
    </row>
    <row r="3233" spans="1:12" x14ac:dyDescent="0.25">
      <c r="A3233" t="s">
        <v>35</v>
      </c>
      <c r="B3233">
        <v>8</v>
      </c>
      <c r="C3233" t="s">
        <v>21</v>
      </c>
      <c r="D3233" s="1">
        <v>45535</v>
      </c>
      <c r="E3233">
        <v>3570.9</v>
      </c>
      <c r="F3233">
        <v>211.28</v>
      </c>
      <c r="G3233">
        <v>125.21</v>
      </c>
      <c r="H3233">
        <v>351</v>
      </c>
      <c r="I3233" t="s">
        <v>23</v>
      </c>
      <c r="J3233">
        <v>2024</v>
      </c>
      <c r="K3233">
        <f t="shared" si="100"/>
        <v>86.070000000000007</v>
      </c>
      <c r="L3233" t="str">
        <f t="shared" si="101"/>
        <v>Banca Friulana|8|Assicurazioni</v>
      </c>
    </row>
    <row r="3234" spans="1:12" x14ac:dyDescent="0.25">
      <c r="A3234" t="s">
        <v>35</v>
      </c>
      <c r="B3234">
        <v>9</v>
      </c>
      <c r="C3234" t="s">
        <v>13</v>
      </c>
      <c r="D3234" s="1">
        <v>45565</v>
      </c>
      <c r="E3234">
        <v>1018</v>
      </c>
      <c r="F3234">
        <v>46.72</v>
      </c>
      <c r="G3234">
        <v>28.9</v>
      </c>
      <c r="H3234">
        <v>108</v>
      </c>
      <c r="I3234" t="s">
        <v>23</v>
      </c>
      <c r="J3234">
        <v>2024</v>
      </c>
      <c r="K3234">
        <f t="shared" si="100"/>
        <v>17.82</v>
      </c>
      <c r="L3234" t="str">
        <f t="shared" si="101"/>
        <v>Banca Friulana|9|Mutui</v>
      </c>
    </row>
    <row r="3235" spans="1:12" x14ac:dyDescent="0.25">
      <c r="A3235" t="s">
        <v>35</v>
      </c>
      <c r="B3235">
        <v>9</v>
      </c>
      <c r="C3235" t="s">
        <v>15</v>
      </c>
      <c r="D3235" s="1">
        <v>45565</v>
      </c>
      <c r="E3235">
        <v>1372.6</v>
      </c>
      <c r="F3235">
        <v>65.31</v>
      </c>
      <c r="G3235">
        <v>40.11</v>
      </c>
      <c r="H3235">
        <v>141</v>
      </c>
      <c r="I3235" t="s">
        <v>23</v>
      </c>
      <c r="J3235">
        <v>2024</v>
      </c>
      <c r="K3235">
        <f t="shared" si="100"/>
        <v>25.200000000000003</v>
      </c>
      <c r="L3235" t="str">
        <f t="shared" si="101"/>
        <v>Banca Friulana|9|Prestiti</v>
      </c>
    </row>
    <row r="3236" spans="1:12" x14ac:dyDescent="0.25">
      <c r="A3236" t="s">
        <v>35</v>
      </c>
      <c r="B3236">
        <v>9</v>
      </c>
      <c r="C3236" t="s">
        <v>16</v>
      </c>
      <c r="D3236" s="1">
        <v>45565</v>
      </c>
      <c r="E3236">
        <v>1722.6</v>
      </c>
      <c r="F3236">
        <v>84.51</v>
      </c>
      <c r="G3236">
        <v>52.27</v>
      </c>
      <c r="H3236">
        <v>179</v>
      </c>
      <c r="I3236" t="s">
        <v>23</v>
      </c>
      <c r="J3236">
        <v>2024</v>
      </c>
      <c r="K3236">
        <f t="shared" si="100"/>
        <v>32.24</v>
      </c>
      <c r="L3236" t="str">
        <f t="shared" si="101"/>
        <v>Banca Friulana|9|Conti</v>
      </c>
    </row>
    <row r="3237" spans="1:12" x14ac:dyDescent="0.25">
      <c r="A3237" t="s">
        <v>35</v>
      </c>
      <c r="B3237">
        <v>9</v>
      </c>
      <c r="C3237" t="s">
        <v>17</v>
      </c>
      <c r="D3237" s="1">
        <v>45565</v>
      </c>
      <c r="E3237">
        <v>2097.6999999999998</v>
      </c>
      <c r="F3237">
        <v>107.54</v>
      </c>
      <c r="G3237">
        <v>65.37</v>
      </c>
      <c r="H3237">
        <v>228</v>
      </c>
      <c r="I3237" t="s">
        <v>23</v>
      </c>
      <c r="J3237">
        <v>2024</v>
      </c>
      <c r="K3237">
        <f t="shared" si="100"/>
        <v>42.17</v>
      </c>
      <c r="L3237" t="str">
        <f t="shared" si="101"/>
        <v>Banca Friulana|9|Carte</v>
      </c>
    </row>
    <row r="3238" spans="1:12" x14ac:dyDescent="0.25">
      <c r="A3238" t="s">
        <v>35</v>
      </c>
      <c r="B3238">
        <v>9</v>
      </c>
      <c r="C3238" t="s">
        <v>18</v>
      </c>
      <c r="D3238" s="1">
        <v>45565</v>
      </c>
      <c r="E3238">
        <v>2448.1999999999998</v>
      </c>
      <c r="F3238">
        <v>130.24</v>
      </c>
      <c r="G3238">
        <v>78.599999999999994</v>
      </c>
      <c r="H3238">
        <v>251</v>
      </c>
      <c r="I3238" t="s">
        <v>23</v>
      </c>
      <c r="J3238">
        <v>2024</v>
      </c>
      <c r="K3238">
        <f t="shared" si="100"/>
        <v>51.640000000000015</v>
      </c>
      <c r="L3238" t="str">
        <f t="shared" si="101"/>
        <v>Banca Friulana|9|Leasing</v>
      </c>
    </row>
    <row r="3239" spans="1:12" x14ac:dyDescent="0.25">
      <c r="A3239" t="s">
        <v>35</v>
      </c>
      <c r="B3239">
        <v>9</v>
      </c>
      <c r="C3239" t="s">
        <v>19</v>
      </c>
      <c r="D3239" s="1">
        <v>45565</v>
      </c>
      <c r="E3239">
        <v>2863.6</v>
      </c>
      <c r="F3239">
        <v>157.59</v>
      </c>
      <c r="G3239">
        <v>94.63</v>
      </c>
      <c r="H3239">
        <v>284</v>
      </c>
      <c r="I3239" t="s">
        <v>23</v>
      </c>
      <c r="J3239">
        <v>2024</v>
      </c>
      <c r="K3239">
        <f t="shared" si="100"/>
        <v>62.960000000000008</v>
      </c>
      <c r="L3239" t="str">
        <f t="shared" si="101"/>
        <v>Banca Friulana|9|Factoring</v>
      </c>
    </row>
    <row r="3240" spans="1:12" x14ac:dyDescent="0.25">
      <c r="A3240" t="s">
        <v>35</v>
      </c>
      <c r="B3240">
        <v>9</v>
      </c>
      <c r="C3240" t="s">
        <v>20</v>
      </c>
      <c r="D3240" s="1">
        <v>45565</v>
      </c>
      <c r="E3240">
        <v>3224.3</v>
      </c>
      <c r="F3240">
        <v>184.6</v>
      </c>
      <c r="G3240">
        <v>109.65</v>
      </c>
      <c r="H3240">
        <v>329</v>
      </c>
      <c r="I3240" t="s">
        <v>23</v>
      </c>
      <c r="J3240">
        <v>2024</v>
      </c>
      <c r="K3240">
        <f t="shared" si="100"/>
        <v>74.949999999999989</v>
      </c>
      <c r="L3240" t="str">
        <f t="shared" si="101"/>
        <v>Banca Friulana|9|Risparmio</v>
      </c>
    </row>
    <row r="3241" spans="1:12" x14ac:dyDescent="0.25">
      <c r="A3241" t="s">
        <v>35</v>
      </c>
      <c r="B3241">
        <v>9</v>
      </c>
      <c r="C3241" t="s">
        <v>21</v>
      </c>
      <c r="D3241" s="1">
        <v>45565</v>
      </c>
      <c r="E3241">
        <v>3602.5</v>
      </c>
      <c r="F3241">
        <v>213.35</v>
      </c>
      <c r="G3241">
        <v>126.49</v>
      </c>
      <c r="H3241">
        <v>372</v>
      </c>
      <c r="I3241" t="s">
        <v>23</v>
      </c>
      <c r="J3241">
        <v>2024</v>
      </c>
      <c r="K3241">
        <f t="shared" si="100"/>
        <v>86.86</v>
      </c>
      <c r="L3241" t="str">
        <f t="shared" si="101"/>
        <v>Banca Friulana|9|Assicurazioni</v>
      </c>
    </row>
    <row r="3242" spans="1:12" x14ac:dyDescent="0.25">
      <c r="A3242" t="s">
        <v>35</v>
      </c>
      <c r="B3242">
        <v>10</v>
      </c>
      <c r="C3242" t="s">
        <v>13</v>
      </c>
      <c r="D3242" s="1">
        <v>45596</v>
      </c>
      <c r="E3242">
        <v>987.1</v>
      </c>
      <c r="F3242">
        <v>44.78</v>
      </c>
      <c r="G3242">
        <v>27.98</v>
      </c>
      <c r="H3242">
        <v>96</v>
      </c>
      <c r="I3242" t="s">
        <v>23</v>
      </c>
      <c r="J3242">
        <v>2024</v>
      </c>
      <c r="K3242">
        <f t="shared" si="100"/>
        <v>16.8</v>
      </c>
      <c r="L3242" t="str">
        <f t="shared" si="101"/>
        <v>Banca Friulana|10|Mutui</v>
      </c>
    </row>
    <row r="3243" spans="1:12" x14ac:dyDescent="0.25">
      <c r="A3243" t="s">
        <v>35</v>
      </c>
      <c r="B3243">
        <v>10</v>
      </c>
      <c r="C3243" t="s">
        <v>15</v>
      </c>
      <c r="D3243" s="1">
        <v>45596</v>
      </c>
      <c r="E3243">
        <v>1381.2</v>
      </c>
      <c r="F3243">
        <v>65.430000000000007</v>
      </c>
      <c r="G3243">
        <v>40.74</v>
      </c>
      <c r="H3243">
        <v>132</v>
      </c>
      <c r="I3243" t="s">
        <v>23</v>
      </c>
      <c r="J3243">
        <v>2024</v>
      </c>
      <c r="K3243">
        <f t="shared" si="100"/>
        <v>24.690000000000005</v>
      </c>
      <c r="L3243" t="str">
        <f t="shared" si="101"/>
        <v>Banca Friulana|10|Prestiti</v>
      </c>
    </row>
    <row r="3244" spans="1:12" x14ac:dyDescent="0.25">
      <c r="A3244" t="s">
        <v>35</v>
      </c>
      <c r="B3244">
        <v>10</v>
      </c>
      <c r="C3244" t="s">
        <v>16</v>
      </c>
      <c r="D3244" s="1">
        <v>45596</v>
      </c>
      <c r="E3244">
        <v>1724.2</v>
      </c>
      <c r="F3244">
        <v>84.74</v>
      </c>
      <c r="G3244">
        <v>52.14</v>
      </c>
      <c r="H3244">
        <v>173</v>
      </c>
      <c r="I3244" t="s">
        <v>23</v>
      </c>
      <c r="J3244">
        <v>2024</v>
      </c>
      <c r="K3244">
        <f t="shared" si="100"/>
        <v>32.599999999999994</v>
      </c>
      <c r="L3244" t="str">
        <f t="shared" si="101"/>
        <v>Banca Friulana|10|Conti</v>
      </c>
    </row>
    <row r="3245" spans="1:12" x14ac:dyDescent="0.25">
      <c r="A3245" t="s">
        <v>35</v>
      </c>
      <c r="B3245">
        <v>10</v>
      </c>
      <c r="C3245" t="s">
        <v>17</v>
      </c>
      <c r="D3245" s="1">
        <v>45596</v>
      </c>
      <c r="E3245">
        <v>2141.1</v>
      </c>
      <c r="F3245">
        <v>109.85</v>
      </c>
      <c r="G3245">
        <v>67.260000000000005</v>
      </c>
      <c r="H3245">
        <v>219</v>
      </c>
      <c r="I3245" t="s">
        <v>23</v>
      </c>
      <c r="J3245">
        <v>2024</v>
      </c>
      <c r="K3245">
        <f t="shared" si="100"/>
        <v>42.589999999999989</v>
      </c>
      <c r="L3245" t="str">
        <f t="shared" si="101"/>
        <v>Banca Friulana|10|Carte</v>
      </c>
    </row>
    <row r="3246" spans="1:12" x14ac:dyDescent="0.25">
      <c r="A3246" t="s">
        <v>35</v>
      </c>
      <c r="B3246">
        <v>10</v>
      </c>
      <c r="C3246" t="s">
        <v>18</v>
      </c>
      <c r="D3246" s="1">
        <v>45596</v>
      </c>
      <c r="E3246">
        <v>2472.8000000000002</v>
      </c>
      <c r="F3246">
        <v>131.72999999999999</v>
      </c>
      <c r="G3246">
        <v>79.959999999999994</v>
      </c>
      <c r="H3246">
        <v>259</v>
      </c>
      <c r="I3246" t="s">
        <v>23</v>
      </c>
      <c r="J3246">
        <v>2024</v>
      </c>
      <c r="K3246">
        <f t="shared" si="100"/>
        <v>51.769999999999996</v>
      </c>
      <c r="L3246" t="str">
        <f t="shared" si="101"/>
        <v>Banca Friulana|10|Leasing</v>
      </c>
    </row>
    <row r="3247" spans="1:12" x14ac:dyDescent="0.25">
      <c r="A3247" t="s">
        <v>35</v>
      </c>
      <c r="B3247">
        <v>10</v>
      </c>
      <c r="C3247" t="s">
        <v>19</v>
      </c>
      <c r="D3247" s="1">
        <v>45596</v>
      </c>
      <c r="E3247">
        <v>2840.9</v>
      </c>
      <c r="F3247">
        <v>156.33000000000001</v>
      </c>
      <c r="G3247">
        <v>94.61</v>
      </c>
      <c r="H3247">
        <v>291</v>
      </c>
      <c r="I3247" t="s">
        <v>23</v>
      </c>
      <c r="J3247">
        <v>2024</v>
      </c>
      <c r="K3247">
        <f t="shared" si="100"/>
        <v>61.720000000000013</v>
      </c>
      <c r="L3247" t="str">
        <f t="shared" si="101"/>
        <v>Banca Friulana|10|Factoring</v>
      </c>
    </row>
    <row r="3248" spans="1:12" x14ac:dyDescent="0.25">
      <c r="A3248" t="s">
        <v>35</v>
      </c>
      <c r="B3248">
        <v>10</v>
      </c>
      <c r="C3248" t="s">
        <v>20</v>
      </c>
      <c r="D3248" s="1">
        <v>45596</v>
      </c>
      <c r="E3248">
        <v>3263.8</v>
      </c>
      <c r="F3248">
        <v>186.19</v>
      </c>
      <c r="G3248">
        <v>111.38</v>
      </c>
      <c r="H3248">
        <v>319</v>
      </c>
      <c r="I3248" t="s">
        <v>23</v>
      </c>
      <c r="J3248">
        <v>2024</v>
      </c>
      <c r="K3248">
        <f t="shared" si="100"/>
        <v>74.81</v>
      </c>
      <c r="L3248" t="str">
        <f t="shared" si="101"/>
        <v>Banca Friulana|10|Risparmio</v>
      </c>
    </row>
    <row r="3249" spans="1:12" x14ac:dyDescent="0.25">
      <c r="A3249" t="s">
        <v>35</v>
      </c>
      <c r="B3249">
        <v>10</v>
      </c>
      <c r="C3249" t="s">
        <v>21</v>
      </c>
      <c r="D3249" s="1">
        <v>45596</v>
      </c>
      <c r="E3249">
        <v>3619.5</v>
      </c>
      <c r="F3249">
        <v>213.7</v>
      </c>
      <c r="G3249">
        <v>126.82</v>
      </c>
      <c r="H3249">
        <v>368</v>
      </c>
      <c r="I3249" t="s">
        <v>23</v>
      </c>
      <c r="J3249">
        <v>2024</v>
      </c>
      <c r="K3249">
        <f t="shared" si="100"/>
        <v>86.88</v>
      </c>
      <c r="L3249" t="str">
        <f t="shared" si="101"/>
        <v>Banca Friulana|10|Assicurazioni</v>
      </c>
    </row>
    <row r="3250" spans="1:12" x14ac:dyDescent="0.25">
      <c r="A3250" t="s">
        <v>35</v>
      </c>
      <c r="B3250">
        <v>11</v>
      </c>
      <c r="C3250" t="s">
        <v>13</v>
      </c>
      <c r="D3250" s="1">
        <v>45626</v>
      </c>
      <c r="E3250">
        <v>1031</v>
      </c>
      <c r="F3250">
        <v>46.8</v>
      </c>
      <c r="G3250">
        <v>28.87</v>
      </c>
      <c r="H3250">
        <v>104</v>
      </c>
      <c r="I3250" t="s">
        <v>23</v>
      </c>
      <c r="J3250">
        <v>2024</v>
      </c>
      <c r="K3250">
        <f t="shared" si="100"/>
        <v>17.929999999999996</v>
      </c>
      <c r="L3250" t="str">
        <f t="shared" si="101"/>
        <v>Banca Friulana|11|Mutui</v>
      </c>
    </row>
    <row r="3251" spans="1:12" x14ac:dyDescent="0.25">
      <c r="A3251" t="s">
        <v>35</v>
      </c>
      <c r="B3251">
        <v>11</v>
      </c>
      <c r="C3251" t="s">
        <v>15</v>
      </c>
      <c r="D3251" s="1">
        <v>45626</v>
      </c>
      <c r="E3251">
        <v>1384.5</v>
      </c>
      <c r="F3251">
        <v>65.47</v>
      </c>
      <c r="G3251">
        <v>40.85</v>
      </c>
      <c r="H3251">
        <v>160</v>
      </c>
      <c r="I3251" t="s">
        <v>23</v>
      </c>
      <c r="J3251">
        <v>2024</v>
      </c>
      <c r="K3251">
        <f t="shared" si="100"/>
        <v>24.619999999999997</v>
      </c>
      <c r="L3251" t="str">
        <f t="shared" si="101"/>
        <v>Banca Friulana|11|Prestiti</v>
      </c>
    </row>
    <row r="3252" spans="1:12" x14ac:dyDescent="0.25">
      <c r="A3252" t="s">
        <v>35</v>
      </c>
      <c r="B3252">
        <v>11</v>
      </c>
      <c r="C3252" t="s">
        <v>16</v>
      </c>
      <c r="D3252" s="1">
        <v>45626</v>
      </c>
      <c r="E3252">
        <v>1760.9</v>
      </c>
      <c r="F3252">
        <v>87.19</v>
      </c>
      <c r="G3252">
        <v>53.65</v>
      </c>
      <c r="H3252">
        <v>190</v>
      </c>
      <c r="I3252" t="s">
        <v>23</v>
      </c>
      <c r="J3252">
        <v>2024</v>
      </c>
      <c r="K3252">
        <f t="shared" si="100"/>
        <v>33.54</v>
      </c>
      <c r="L3252" t="str">
        <f t="shared" si="101"/>
        <v>Banca Friulana|11|Conti</v>
      </c>
    </row>
    <row r="3253" spans="1:12" x14ac:dyDescent="0.25">
      <c r="A3253" t="s">
        <v>35</v>
      </c>
      <c r="B3253">
        <v>11</v>
      </c>
      <c r="C3253" t="s">
        <v>17</v>
      </c>
      <c r="D3253" s="1">
        <v>45626</v>
      </c>
      <c r="E3253">
        <v>2106.3000000000002</v>
      </c>
      <c r="F3253">
        <v>107.95</v>
      </c>
      <c r="G3253">
        <v>65.91</v>
      </c>
      <c r="H3253">
        <v>197</v>
      </c>
      <c r="I3253" t="s">
        <v>23</v>
      </c>
      <c r="J3253">
        <v>2024</v>
      </c>
      <c r="K3253">
        <f t="shared" si="100"/>
        <v>42.040000000000006</v>
      </c>
      <c r="L3253" t="str">
        <f t="shared" si="101"/>
        <v>Banca Friulana|11|Carte</v>
      </c>
    </row>
    <row r="3254" spans="1:12" x14ac:dyDescent="0.25">
      <c r="A3254" t="s">
        <v>35</v>
      </c>
      <c r="B3254">
        <v>11</v>
      </c>
      <c r="C3254" t="s">
        <v>18</v>
      </c>
      <c r="D3254" s="1">
        <v>45626</v>
      </c>
      <c r="E3254">
        <v>2482.8000000000002</v>
      </c>
      <c r="F3254">
        <v>132.22999999999999</v>
      </c>
      <c r="G3254">
        <v>79.459999999999994</v>
      </c>
      <c r="H3254">
        <v>239</v>
      </c>
      <c r="I3254" t="s">
        <v>23</v>
      </c>
      <c r="J3254">
        <v>2024</v>
      </c>
      <c r="K3254">
        <f t="shared" si="100"/>
        <v>52.769999999999996</v>
      </c>
      <c r="L3254" t="str">
        <f t="shared" si="101"/>
        <v>Banca Friulana|11|Leasing</v>
      </c>
    </row>
    <row r="3255" spans="1:12" x14ac:dyDescent="0.25">
      <c r="A3255" t="s">
        <v>35</v>
      </c>
      <c r="B3255">
        <v>11</v>
      </c>
      <c r="C3255" t="s">
        <v>19</v>
      </c>
      <c r="D3255" s="1">
        <v>45626</v>
      </c>
      <c r="E3255">
        <v>2883.4</v>
      </c>
      <c r="F3255">
        <v>159.43</v>
      </c>
      <c r="G3255">
        <v>96.09</v>
      </c>
      <c r="H3255">
        <v>293</v>
      </c>
      <c r="I3255" t="s">
        <v>23</v>
      </c>
      <c r="J3255">
        <v>2024</v>
      </c>
      <c r="K3255">
        <f t="shared" si="100"/>
        <v>63.34</v>
      </c>
      <c r="L3255" t="str">
        <f t="shared" si="101"/>
        <v>Banca Friulana|11|Factoring</v>
      </c>
    </row>
    <row r="3256" spans="1:12" x14ac:dyDescent="0.25">
      <c r="A3256" t="s">
        <v>35</v>
      </c>
      <c r="B3256">
        <v>11</v>
      </c>
      <c r="C3256" t="s">
        <v>20</v>
      </c>
      <c r="D3256" s="1">
        <v>45626</v>
      </c>
      <c r="E3256">
        <v>3243.1</v>
      </c>
      <c r="F3256">
        <v>185.38</v>
      </c>
      <c r="G3256">
        <v>110.33</v>
      </c>
      <c r="H3256">
        <v>324</v>
      </c>
      <c r="I3256" t="s">
        <v>23</v>
      </c>
      <c r="J3256">
        <v>2024</v>
      </c>
      <c r="K3256">
        <f t="shared" si="100"/>
        <v>75.05</v>
      </c>
      <c r="L3256" t="str">
        <f t="shared" si="101"/>
        <v>Banca Friulana|11|Risparmio</v>
      </c>
    </row>
    <row r="3257" spans="1:12" x14ac:dyDescent="0.25">
      <c r="A3257" t="s">
        <v>35</v>
      </c>
      <c r="B3257">
        <v>11</v>
      </c>
      <c r="C3257" t="s">
        <v>21</v>
      </c>
      <c r="D3257" s="1">
        <v>45626</v>
      </c>
      <c r="E3257">
        <v>3621.4</v>
      </c>
      <c r="F3257">
        <v>214.33</v>
      </c>
      <c r="G3257">
        <v>127.27</v>
      </c>
      <c r="H3257">
        <v>340</v>
      </c>
      <c r="I3257" t="s">
        <v>23</v>
      </c>
      <c r="J3257">
        <v>2024</v>
      </c>
      <c r="K3257">
        <f t="shared" si="100"/>
        <v>87.060000000000016</v>
      </c>
      <c r="L3257" t="str">
        <f t="shared" si="101"/>
        <v>Banca Friulana|11|Assicurazioni</v>
      </c>
    </row>
    <row r="3258" spans="1:12" x14ac:dyDescent="0.25">
      <c r="A3258" t="s">
        <v>35</v>
      </c>
      <c r="B3258">
        <v>12</v>
      </c>
      <c r="C3258" t="s">
        <v>13</v>
      </c>
      <c r="D3258" s="1">
        <v>45657</v>
      </c>
      <c r="E3258">
        <v>984.6</v>
      </c>
      <c r="F3258">
        <v>44.69</v>
      </c>
      <c r="G3258">
        <v>27.6</v>
      </c>
      <c r="H3258">
        <v>96</v>
      </c>
      <c r="I3258" t="s">
        <v>23</v>
      </c>
      <c r="J3258">
        <v>2024</v>
      </c>
      <c r="K3258">
        <f t="shared" si="100"/>
        <v>17.089999999999996</v>
      </c>
      <c r="L3258" t="str">
        <f t="shared" si="101"/>
        <v>Banca Friulana|12|Mutui</v>
      </c>
    </row>
    <row r="3259" spans="1:12" x14ac:dyDescent="0.25">
      <c r="A3259" t="s">
        <v>35</v>
      </c>
      <c r="B3259">
        <v>12</v>
      </c>
      <c r="C3259" t="s">
        <v>15</v>
      </c>
      <c r="D3259" s="1">
        <v>45657</v>
      </c>
      <c r="E3259">
        <v>1364.5</v>
      </c>
      <c r="F3259">
        <v>64.47</v>
      </c>
      <c r="G3259">
        <v>40.24</v>
      </c>
      <c r="H3259">
        <v>144</v>
      </c>
      <c r="I3259" t="s">
        <v>23</v>
      </c>
      <c r="J3259">
        <v>2024</v>
      </c>
      <c r="K3259">
        <f t="shared" si="100"/>
        <v>24.229999999999997</v>
      </c>
      <c r="L3259" t="str">
        <f t="shared" si="101"/>
        <v>Banca Friulana|12|Prestiti</v>
      </c>
    </row>
    <row r="3260" spans="1:12" x14ac:dyDescent="0.25">
      <c r="A3260" t="s">
        <v>35</v>
      </c>
      <c r="B3260">
        <v>12</v>
      </c>
      <c r="C3260" t="s">
        <v>16</v>
      </c>
      <c r="D3260" s="1">
        <v>45657</v>
      </c>
      <c r="E3260">
        <v>1787.1</v>
      </c>
      <c r="F3260">
        <v>88.11</v>
      </c>
      <c r="G3260">
        <v>53.72</v>
      </c>
      <c r="H3260">
        <v>192</v>
      </c>
      <c r="I3260" t="s">
        <v>23</v>
      </c>
      <c r="J3260">
        <v>2024</v>
      </c>
      <c r="K3260">
        <f t="shared" si="100"/>
        <v>34.39</v>
      </c>
      <c r="L3260" t="str">
        <f t="shared" si="101"/>
        <v>Banca Friulana|12|Conti</v>
      </c>
    </row>
    <row r="3261" spans="1:12" x14ac:dyDescent="0.25">
      <c r="A3261" t="s">
        <v>35</v>
      </c>
      <c r="B3261">
        <v>12</v>
      </c>
      <c r="C3261" t="s">
        <v>17</v>
      </c>
      <c r="D3261" s="1">
        <v>45657</v>
      </c>
      <c r="E3261">
        <v>2129.6</v>
      </c>
      <c r="F3261">
        <v>109</v>
      </c>
      <c r="G3261">
        <v>66.81</v>
      </c>
      <c r="H3261">
        <v>230</v>
      </c>
      <c r="I3261" t="s">
        <v>23</v>
      </c>
      <c r="J3261">
        <v>2024</v>
      </c>
      <c r="K3261">
        <f t="shared" si="100"/>
        <v>42.19</v>
      </c>
      <c r="L3261" t="str">
        <f t="shared" si="101"/>
        <v>Banca Friulana|12|Carte</v>
      </c>
    </row>
    <row r="3262" spans="1:12" x14ac:dyDescent="0.25">
      <c r="A3262" t="s">
        <v>35</v>
      </c>
      <c r="B3262">
        <v>12</v>
      </c>
      <c r="C3262" t="s">
        <v>18</v>
      </c>
      <c r="D3262" s="1">
        <v>45657</v>
      </c>
      <c r="E3262">
        <v>2538.6999999999998</v>
      </c>
      <c r="F3262">
        <v>135.01</v>
      </c>
      <c r="G3262">
        <v>82.22</v>
      </c>
      <c r="H3262">
        <v>257</v>
      </c>
      <c r="I3262" t="s">
        <v>23</v>
      </c>
      <c r="J3262">
        <v>2024</v>
      </c>
      <c r="K3262">
        <f t="shared" si="100"/>
        <v>52.789999999999992</v>
      </c>
      <c r="L3262" t="str">
        <f t="shared" si="101"/>
        <v>Banca Friulana|12|Leasing</v>
      </c>
    </row>
    <row r="3263" spans="1:12" x14ac:dyDescent="0.25">
      <c r="A3263" t="s">
        <v>35</v>
      </c>
      <c r="B3263">
        <v>12</v>
      </c>
      <c r="C3263" t="s">
        <v>19</v>
      </c>
      <c r="D3263" s="1">
        <v>45657</v>
      </c>
      <c r="E3263">
        <v>2906.1</v>
      </c>
      <c r="F3263">
        <v>160.68</v>
      </c>
      <c r="G3263">
        <v>96.11</v>
      </c>
      <c r="H3263">
        <v>287</v>
      </c>
      <c r="I3263" t="s">
        <v>23</v>
      </c>
      <c r="J3263">
        <v>2024</v>
      </c>
      <c r="K3263">
        <f t="shared" si="100"/>
        <v>64.570000000000007</v>
      </c>
      <c r="L3263" t="str">
        <f t="shared" si="101"/>
        <v>Banca Friulana|12|Factoring</v>
      </c>
    </row>
    <row r="3264" spans="1:12" x14ac:dyDescent="0.25">
      <c r="A3264" t="s">
        <v>35</v>
      </c>
      <c r="B3264">
        <v>12</v>
      </c>
      <c r="C3264" t="s">
        <v>20</v>
      </c>
      <c r="D3264" s="1">
        <v>45657</v>
      </c>
      <c r="E3264">
        <v>3266.2</v>
      </c>
      <c r="F3264">
        <v>186.18</v>
      </c>
      <c r="G3264">
        <v>111.53</v>
      </c>
      <c r="H3264">
        <v>338</v>
      </c>
      <c r="I3264" t="s">
        <v>23</v>
      </c>
      <c r="J3264">
        <v>2024</v>
      </c>
      <c r="K3264">
        <f t="shared" si="100"/>
        <v>74.650000000000006</v>
      </c>
      <c r="L3264" t="str">
        <f t="shared" si="101"/>
        <v>Banca Friulana|12|Risparmio</v>
      </c>
    </row>
    <row r="3265" spans="1:12" x14ac:dyDescent="0.25">
      <c r="A3265" t="s">
        <v>35</v>
      </c>
      <c r="B3265">
        <v>12</v>
      </c>
      <c r="C3265" t="s">
        <v>21</v>
      </c>
      <c r="D3265" s="1">
        <v>45657</v>
      </c>
      <c r="E3265">
        <v>3684.7</v>
      </c>
      <c r="F3265">
        <v>218.01</v>
      </c>
      <c r="G3265">
        <v>129.86000000000001</v>
      </c>
      <c r="H3265">
        <v>341</v>
      </c>
      <c r="I3265" t="s">
        <v>23</v>
      </c>
      <c r="J3265">
        <v>2024</v>
      </c>
      <c r="K3265">
        <f t="shared" si="100"/>
        <v>88.149999999999977</v>
      </c>
      <c r="L3265" t="str">
        <f t="shared" si="101"/>
        <v>Banca Friulana|12|Assicurazioni</v>
      </c>
    </row>
    <row r="3266" spans="1:12" x14ac:dyDescent="0.25">
      <c r="A3266" t="s">
        <v>35</v>
      </c>
      <c r="B3266">
        <v>13</v>
      </c>
      <c r="C3266" t="s">
        <v>13</v>
      </c>
      <c r="D3266" s="1">
        <v>45688</v>
      </c>
      <c r="E3266">
        <v>1026.3</v>
      </c>
      <c r="F3266">
        <v>46.35</v>
      </c>
      <c r="G3266">
        <v>29.25</v>
      </c>
      <c r="H3266">
        <v>129</v>
      </c>
      <c r="I3266" t="s">
        <v>23</v>
      </c>
      <c r="J3266">
        <v>2025</v>
      </c>
      <c r="K3266">
        <f t="shared" ref="K3266:K3329" si="102">F3266-G3266</f>
        <v>17.100000000000001</v>
      </c>
      <c r="L3266" t="str">
        <f t="shared" ref="L3266:L3329" si="103">A3266&amp;"|"&amp;B3266&amp;"|"&amp;C3266</f>
        <v>Banca Friulana|13|Mutui</v>
      </c>
    </row>
    <row r="3267" spans="1:12" x14ac:dyDescent="0.25">
      <c r="A3267" t="s">
        <v>35</v>
      </c>
      <c r="B3267">
        <v>13</v>
      </c>
      <c r="C3267" t="s">
        <v>15</v>
      </c>
      <c r="D3267" s="1">
        <v>45688</v>
      </c>
      <c r="E3267">
        <v>1429.3</v>
      </c>
      <c r="F3267">
        <v>67.59</v>
      </c>
      <c r="G3267">
        <v>41.73</v>
      </c>
      <c r="H3267">
        <v>144</v>
      </c>
      <c r="I3267" t="s">
        <v>23</v>
      </c>
      <c r="J3267">
        <v>2025</v>
      </c>
      <c r="K3267">
        <f t="shared" si="102"/>
        <v>25.860000000000007</v>
      </c>
      <c r="L3267" t="str">
        <f t="shared" si="103"/>
        <v>Banca Friulana|13|Prestiti</v>
      </c>
    </row>
    <row r="3268" spans="1:12" x14ac:dyDescent="0.25">
      <c r="A3268" t="s">
        <v>35</v>
      </c>
      <c r="B3268">
        <v>13</v>
      </c>
      <c r="C3268" t="s">
        <v>16</v>
      </c>
      <c r="D3268" s="1">
        <v>45688</v>
      </c>
      <c r="E3268">
        <v>1802.3</v>
      </c>
      <c r="F3268">
        <v>89.2</v>
      </c>
      <c r="G3268">
        <v>54.72</v>
      </c>
      <c r="H3268">
        <v>179</v>
      </c>
      <c r="I3268" t="s">
        <v>23</v>
      </c>
      <c r="J3268">
        <v>2025</v>
      </c>
      <c r="K3268">
        <f t="shared" si="102"/>
        <v>34.480000000000004</v>
      </c>
      <c r="L3268" t="str">
        <f t="shared" si="103"/>
        <v>Banca Friulana|13|Conti</v>
      </c>
    </row>
    <row r="3269" spans="1:12" x14ac:dyDescent="0.25">
      <c r="A3269" t="s">
        <v>35</v>
      </c>
      <c r="B3269">
        <v>13</v>
      </c>
      <c r="C3269" t="s">
        <v>17</v>
      </c>
      <c r="D3269" s="1">
        <v>45688</v>
      </c>
      <c r="E3269">
        <v>2188.6999999999998</v>
      </c>
      <c r="F3269">
        <v>112.02</v>
      </c>
      <c r="G3269">
        <v>68.22</v>
      </c>
      <c r="H3269">
        <v>221</v>
      </c>
      <c r="I3269" t="s">
        <v>23</v>
      </c>
      <c r="J3269">
        <v>2025</v>
      </c>
      <c r="K3269">
        <f t="shared" si="102"/>
        <v>43.8</v>
      </c>
      <c r="L3269" t="str">
        <f t="shared" si="103"/>
        <v>Banca Friulana|13|Carte</v>
      </c>
    </row>
    <row r="3270" spans="1:12" x14ac:dyDescent="0.25">
      <c r="A3270" t="s">
        <v>35</v>
      </c>
      <c r="B3270">
        <v>13</v>
      </c>
      <c r="C3270" t="s">
        <v>18</v>
      </c>
      <c r="D3270" s="1">
        <v>45688</v>
      </c>
      <c r="E3270">
        <v>2560.9</v>
      </c>
      <c r="F3270">
        <v>135.86000000000001</v>
      </c>
      <c r="G3270">
        <v>82.07</v>
      </c>
      <c r="H3270">
        <v>241</v>
      </c>
      <c r="I3270" t="s">
        <v>23</v>
      </c>
      <c r="J3270">
        <v>2025</v>
      </c>
      <c r="K3270">
        <f t="shared" si="102"/>
        <v>53.79000000000002</v>
      </c>
      <c r="L3270" t="str">
        <f t="shared" si="103"/>
        <v>Banca Friulana|13|Leasing</v>
      </c>
    </row>
    <row r="3271" spans="1:12" x14ac:dyDescent="0.25">
      <c r="A3271" t="s">
        <v>35</v>
      </c>
      <c r="B3271">
        <v>13</v>
      </c>
      <c r="C3271" t="s">
        <v>19</v>
      </c>
      <c r="D3271" s="1">
        <v>45688</v>
      </c>
      <c r="E3271">
        <v>2937.2</v>
      </c>
      <c r="F3271">
        <v>161.6</v>
      </c>
      <c r="G3271">
        <v>97.07</v>
      </c>
      <c r="H3271">
        <v>303</v>
      </c>
      <c r="I3271" t="s">
        <v>23</v>
      </c>
      <c r="J3271">
        <v>2025</v>
      </c>
      <c r="K3271">
        <f t="shared" si="102"/>
        <v>64.53</v>
      </c>
      <c r="L3271" t="str">
        <f t="shared" si="103"/>
        <v>Banca Friulana|13|Factoring</v>
      </c>
    </row>
    <row r="3272" spans="1:12" x14ac:dyDescent="0.25">
      <c r="A3272" t="s">
        <v>35</v>
      </c>
      <c r="B3272">
        <v>13</v>
      </c>
      <c r="C3272" t="s">
        <v>20</v>
      </c>
      <c r="D3272" s="1">
        <v>45688</v>
      </c>
      <c r="E3272">
        <v>3328.8</v>
      </c>
      <c r="F3272">
        <v>190.24</v>
      </c>
      <c r="G3272">
        <v>113.81</v>
      </c>
      <c r="H3272">
        <v>309</v>
      </c>
      <c r="I3272" t="s">
        <v>23</v>
      </c>
      <c r="J3272">
        <v>2025</v>
      </c>
      <c r="K3272">
        <f t="shared" si="102"/>
        <v>76.430000000000007</v>
      </c>
      <c r="L3272" t="str">
        <f t="shared" si="103"/>
        <v>Banca Friulana|13|Risparmio</v>
      </c>
    </row>
    <row r="3273" spans="1:12" x14ac:dyDescent="0.25">
      <c r="A3273" t="s">
        <v>35</v>
      </c>
      <c r="B3273">
        <v>13</v>
      </c>
      <c r="C3273" t="s">
        <v>21</v>
      </c>
      <c r="D3273" s="1">
        <v>45688</v>
      </c>
      <c r="E3273">
        <v>3668.1</v>
      </c>
      <c r="F3273">
        <v>217.37</v>
      </c>
      <c r="G3273">
        <v>128.44</v>
      </c>
      <c r="H3273">
        <v>362</v>
      </c>
      <c r="I3273" t="s">
        <v>23</v>
      </c>
      <c r="J3273">
        <v>2025</v>
      </c>
      <c r="K3273">
        <f t="shared" si="102"/>
        <v>88.93</v>
      </c>
      <c r="L3273" t="str">
        <f t="shared" si="103"/>
        <v>Banca Friulana|13|Assicurazioni</v>
      </c>
    </row>
    <row r="3274" spans="1:12" x14ac:dyDescent="0.25">
      <c r="A3274" t="s">
        <v>35</v>
      </c>
      <c r="B3274">
        <v>14</v>
      </c>
      <c r="C3274" t="s">
        <v>13</v>
      </c>
      <c r="D3274" s="1">
        <v>45716</v>
      </c>
      <c r="E3274">
        <v>1053.0999999999999</v>
      </c>
      <c r="F3274">
        <v>47.95</v>
      </c>
      <c r="G3274">
        <v>30.26</v>
      </c>
      <c r="H3274">
        <v>121</v>
      </c>
      <c r="I3274" t="s">
        <v>23</v>
      </c>
      <c r="J3274">
        <v>2025</v>
      </c>
      <c r="K3274">
        <f t="shared" si="102"/>
        <v>17.690000000000001</v>
      </c>
      <c r="L3274" t="str">
        <f t="shared" si="103"/>
        <v>Banca Friulana|14|Mutui</v>
      </c>
    </row>
    <row r="3275" spans="1:12" x14ac:dyDescent="0.25">
      <c r="A3275" t="s">
        <v>35</v>
      </c>
      <c r="B3275">
        <v>14</v>
      </c>
      <c r="C3275" t="s">
        <v>15</v>
      </c>
      <c r="D3275" s="1">
        <v>45716</v>
      </c>
      <c r="E3275">
        <v>1421.2</v>
      </c>
      <c r="F3275">
        <v>67.150000000000006</v>
      </c>
      <c r="G3275">
        <v>41.23</v>
      </c>
      <c r="H3275">
        <v>130</v>
      </c>
      <c r="I3275" t="s">
        <v>23</v>
      </c>
      <c r="J3275">
        <v>2025</v>
      </c>
      <c r="K3275">
        <f t="shared" si="102"/>
        <v>25.920000000000009</v>
      </c>
      <c r="L3275" t="str">
        <f t="shared" si="103"/>
        <v>Banca Friulana|14|Prestiti</v>
      </c>
    </row>
    <row r="3276" spans="1:12" x14ac:dyDescent="0.25">
      <c r="A3276" t="s">
        <v>35</v>
      </c>
      <c r="B3276">
        <v>14</v>
      </c>
      <c r="C3276" t="s">
        <v>16</v>
      </c>
      <c r="D3276" s="1">
        <v>45716</v>
      </c>
      <c r="E3276">
        <v>1768.8</v>
      </c>
      <c r="F3276">
        <v>86.91</v>
      </c>
      <c r="G3276">
        <v>53.32</v>
      </c>
      <c r="H3276">
        <v>178</v>
      </c>
      <c r="I3276" t="s">
        <v>23</v>
      </c>
      <c r="J3276">
        <v>2025</v>
      </c>
      <c r="K3276">
        <f t="shared" si="102"/>
        <v>33.589999999999996</v>
      </c>
      <c r="L3276" t="str">
        <f t="shared" si="103"/>
        <v>Banca Friulana|14|Conti</v>
      </c>
    </row>
    <row r="3277" spans="1:12" x14ac:dyDescent="0.25">
      <c r="A3277" t="s">
        <v>35</v>
      </c>
      <c r="B3277">
        <v>14</v>
      </c>
      <c r="C3277" t="s">
        <v>17</v>
      </c>
      <c r="D3277" s="1">
        <v>45716</v>
      </c>
      <c r="E3277">
        <v>2190</v>
      </c>
      <c r="F3277">
        <v>111.73</v>
      </c>
      <c r="G3277">
        <v>68.13</v>
      </c>
      <c r="H3277">
        <v>207</v>
      </c>
      <c r="I3277" t="s">
        <v>23</v>
      </c>
      <c r="J3277">
        <v>2025</v>
      </c>
      <c r="K3277">
        <f t="shared" si="102"/>
        <v>43.600000000000009</v>
      </c>
      <c r="L3277" t="str">
        <f t="shared" si="103"/>
        <v>Banca Friulana|14|Carte</v>
      </c>
    </row>
    <row r="3278" spans="1:12" x14ac:dyDescent="0.25">
      <c r="A3278" t="s">
        <v>35</v>
      </c>
      <c r="B3278">
        <v>14</v>
      </c>
      <c r="C3278" t="s">
        <v>18</v>
      </c>
      <c r="D3278" s="1">
        <v>45716</v>
      </c>
      <c r="E3278">
        <v>2581.9</v>
      </c>
      <c r="F3278">
        <v>137.1</v>
      </c>
      <c r="G3278">
        <v>82.93</v>
      </c>
      <c r="H3278">
        <v>256</v>
      </c>
      <c r="I3278" t="s">
        <v>23</v>
      </c>
      <c r="J3278">
        <v>2025</v>
      </c>
      <c r="K3278">
        <f t="shared" si="102"/>
        <v>54.169999999999987</v>
      </c>
      <c r="L3278" t="str">
        <f t="shared" si="103"/>
        <v>Banca Friulana|14|Leasing</v>
      </c>
    </row>
    <row r="3279" spans="1:12" x14ac:dyDescent="0.25">
      <c r="A3279" t="s">
        <v>35</v>
      </c>
      <c r="B3279">
        <v>14</v>
      </c>
      <c r="C3279" t="s">
        <v>19</v>
      </c>
      <c r="D3279" s="1">
        <v>45716</v>
      </c>
      <c r="E3279">
        <v>2924.2</v>
      </c>
      <c r="F3279">
        <v>161.08000000000001</v>
      </c>
      <c r="G3279">
        <v>96.91</v>
      </c>
      <c r="H3279">
        <v>279</v>
      </c>
      <c r="I3279" t="s">
        <v>23</v>
      </c>
      <c r="J3279">
        <v>2025</v>
      </c>
      <c r="K3279">
        <f t="shared" si="102"/>
        <v>64.170000000000016</v>
      </c>
      <c r="L3279" t="str">
        <f t="shared" si="103"/>
        <v>Banca Friulana|14|Factoring</v>
      </c>
    </row>
    <row r="3280" spans="1:12" x14ac:dyDescent="0.25">
      <c r="A3280" t="s">
        <v>35</v>
      </c>
      <c r="B3280">
        <v>14</v>
      </c>
      <c r="C3280" t="s">
        <v>20</v>
      </c>
      <c r="D3280" s="1">
        <v>45716</v>
      </c>
      <c r="E3280">
        <v>3357.8</v>
      </c>
      <c r="F3280">
        <v>191.74</v>
      </c>
      <c r="G3280">
        <v>114.85</v>
      </c>
      <c r="H3280">
        <v>327</v>
      </c>
      <c r="I3280" t="s">
        <v>23</v>
      </c>
      <c r="J3280">
        <v>2025</v>
      </c>
      <c r="K3280">
        <f t="shared" si="102"/>
        <v>76.890000000000015</v>
      </c>
      <c r="L3280" t="str">
        <f t="shared" si="103"/>
        <v>Banca Friulana|14|Risparmio</v>
      </c>
    </row>
    <row r="3281" spans="1:12" x14ac:dyDescent="0.25">
      <c r="A3281" t="s">
        <v>35</v>
      </c>
      <c r="B3281">
        <v>14</v>
      </c>
      <c r="C3281" t="s">
        <v>21</v>
      </c>
      <c r="D3281" s="1">
        <v>45716</v>
      </c>
      <c r="E3281">
        <v>3737.2</v>
      </c>
      <c r="F3281">
        <v>220.85</v>
      </c>
      <c r="G3281">
        <v>131.19</v>
      </c>
      <c r="H3281">
        <v>358</v>
      </c>
      <c r="I3281" t="s">
        <v>23</v>
      </c>
      <c r="J3281">
        <v>2025</v>
      </c>
      <c r="K3281">
        <f t="shared" si="102"/>
        <v>89.66</v>
      </c>
      <c r="L3281" t="str">
        <f t="shared" si="103"/>
        <v>Banca Friulana|14|Assicurazioni</v>
      </c>
    </row>
    <row r="3282" spans="1:12" x14ac:dyDescent="0.25">
      <c r="A3282" t="s">
        <v>35</v>
      </c>
      <c r="B3282">
        <v>15</v>
      </c>
      <c r="C3282" t="s">
        <v>13</v>
      </c>
      <c r="D3282" s="1">
        <v>45747</v>
      </c>
      <c r="E3282">
        <v>1026.4000000000001</v>
      </c>
      <c r="F3282">
        <v>46.23</v>
      </c>
      <c r="G3282">
        <v>28.8</v>
      </c>
      <c r="H3282">
        <v>129</v>
      </c>
      <c r="I3282" t="s">
        <v>23</v>
      </c>
      <c r="J3282">
        <v>2025</v>
      </c>
      <c r="K3282">
        <f t="shared" si="102"/>
        <v>17.429999999999996</v>
      </c>
      <c r="L3282" t="str">
        <f t="shared" si="103"/>
        <v>Banca Friulana|15|Mutui</v>
      </c>
    </row>
    <row r="3283" spans="1:12" x14ac:dyDescent="0.25">
      <c r="A3283" t="s">
        <v>35</v>
      </c>
      <c r="B3283">
        <v>15</v>
      </c>
      <c r="C3283" t="s">
        <v>15</v>
      </c>
      <c r="D3283" s="1">
        <v>45747</v>
      </c>
      <c r="E3283">
        <v>1438.6</v>
      </c>
      <c r="F3283">
        <v>67.86</v>
      </c>
      <c r="G3283">
        <v>41.91</v>
      </c>
      <c r="H3283">
        <v>150</v>
      </c>
      <c r="I3283" t="s">
        <v>23</v>
      </c>
      <c r="J3283">
        <v>2025</v>
      </c>
      <c r="K3283">
        <f t="shared" si="102"/>
        <v>25.950000000000003</v>
      </c>
      <c r="L3283" t="str">
        <f t="shared" si="103"/>
        <v>Banca Friulana|15|Prestiti</v>
      </c>
    </row>
    <row r="3284" spans="1:12" x14ac:dyDescent="0.25">
      <c r="A3284" t="s">
        <v>35</v>
      </c>
      <c r="B3284">
        <v>15</v>
      </c>
      <c r="C3284" t="s">
        <v>16</v>
      </c>
      <c r="D3284" s="1">
        <v>45747</v>
      </c>
      <c r="E3284">
        <v>1817.7</v>
      </c>
      <c r="F3284">
        <v>89.77</v>
      </c>
      <c r="G3284">
        <v>55.31</v>
      </c>
      <c r="H3284">
        <v>197</v>
      </c>
      <c r="I3284" t="s">
        <v>23</v>
      </c>
      <c r="J3284">
        <v>2025</v>
      </c>
      <c r="K3284">
        <f t="shared" si="102"/>
        <v>34.459999999999994</v>
      </c>
      <c r="L3284" t="str">
        <f t="shared" si="103"/>
        <v>Banca Friulana|15|Conti</v>
      </c>
    </row>
    <row r="3285" spans="1:12" x14ac:dyDescent="0.25">
      <c r="A3285" t="s">
        <v>35</v>
      </c>
      <c r="B3285">
        <v>15</v>
      </c>
      <c r="C3285" t="s">
        <v>17</v>
      </c>
      <c r="D3285" s="1">
        <v>45747</v>
      </c>
      <c r="E3285">
        <v>2193.9</v>
      </c>
      <c r="F3285">
        <v>112.15</v>
      </c>
      <c r="G3285">
        <v>68.14</v>
      </c>
      <c r="H3285">
        <v>222</v>
      </c>
      <c r="I3285" t="s">
        <v>23</v>
      </c>
      <c r="J3285">
        <v>2025</v>
      </c>
      <c r="K3285">
        <f t="shared" si="102"/>
        <v>44.010000000000005</v>
      </c>
      <c r="L3285" t="str">
        <f t="shared" si="103"/>
        <v>Banca Friulana|15|Carte</v>
      </c>
    </row>
    <row r="3286" spans="1:12" x14ac:dyDescent="0.25">
      <c r="A3286" t="s">
        <v>35</v>
      </c>
      <c r="B3286">
        <v>15</v>
      </c>
      <c r="C3286" t="s">
        <v>18</v>
      </c>
      <c r="D3286" s="1">
        <v>45747</v>
      </c>
      <c r="E3286">
        <v>2593.9</v>
      </c>
      <c r="F3286">
        <v>138.41999999999999</v>
      </c>
      <c r="G3286">
        <v>83.64</v>
      </c>
      <c r="H3286">
        <v>239</v>
      </c>
      <c r="I3286" t="s">
        <v>23</v>
      </c>
      <c r="J3286">
        <v>2025</v>
      </c>
      <c r="K3286">
        <f t="shared" si="102"/>
        <v>54.779999999999987</v>
      </c>
      <c r="L3286" t="str">
        <f t="shared" si="103"/>
        <v>Banca Friulana|15|Leasing</v>
      </c>
    </row>
    <row r="3287" spans="1:12" x14ac:dyDescent="0.25">
      <c r="A3287" t="s">
        <v>35</v>
      </c>
      <c r="B3287">
        <v>15</v>
      </c>
      <c r="C3287" t="s">
        <v>19</v>
      </c>
      <c r="D3287" s="1">
        <v>45747</v>
      </c>
      <c r="E3287">
        <v>2954.1</v>
      </c>
      <c r="F3287">
        <v>163.02000000000001</v>
      </c>
      <c r="G3287">
        <v>98.05</v>
      </c>
      <c r="H3287">
        <v>290</v>
      </c>
      <c r="I3287" t="s">
        <v>23</v>
      </c>
      <c r="J3287">
        <v>2025</v>
      </c>
      <c r="K3287">
        <f t="shared" si="102"/>
        <v>64.970000000000013</v>
      </c>
      <c r="L3287" t="str">
        <f t="shared" si="103"/>
        <v>Banca Friulana|15|Factoring</v>
      </c>
    </row>
    <row r="3288" spans="1:12" x14ac:dyDescent="0.25">
      <c r="A3288" t="s">
        <v>35</v>
      </c>
      <c r="B3288">
        <v>15</v>
      </c>
      <c r="C3288" t="s">
        <v>20</v>
      </c>
      <c r="D3288" s="1">
        <v>45747</v>
      </c>
      <c r="E3288">
        <v>3343.1</v>
      </c>
      <c r="F3288">
        <v>191.21</v>
      </c>
      <c r="G3288">
        <v>114.31</v>
      </c>
      <c r="H3288">
        <v>335</v>
      </c>
      <c r="I3288" t="s">
        <v>23</v>
      </c>
      <c r="J3288">
        <v>2025</v>
      </c>
      <c r="K3288">
        <f t="shared" si="102"/>
        <v>76.900000000000006</v>
      </c>
      <c r="L3288" t="str">
        <f t="shared" si="103"/>
        <v>Banca Friulana|15|Risparmio</v>
      </c>
    </row>
    <row r="3289" spans="1:12" x14ac:dyDescent="0.25">
      <c r="A3289" t="s">
        <v>35</v>
      </c>
      <c r="B3289">
        <v>15</v>
      </c>
      <c r="C3289" t="s">
        <v>21</v>
      </c>
      <c r="D3289" s="1">
        <v>45747</v>
      </c>
      <c r="E3289">
        <v>3773</v>
      </c>
      <c r="F3289">
        <v>222.81</v>
      </c>
      <c r="G3289">
        <v>132.43</v>
      </c>
      <c r="H3289">
        <v>369</v>
      </c>
      <c r="I3289" t="s">
        <v>23</v>
      </c>
      <c r="J3289">
        <v>2025</v>
      </c>
      <c r="K3289">
        <f t="shared" si="102"/>
        <v>90.38</v>
      </c>
      <c r="L3289" t="str">
        <f t="shared" si="103"/>
        <v>Banca Friulana|15|Assicurazioni</v>
      </c>
    </row>
    <row r="3290" spans="1:12" x14ac:dyDescent="0.25">
      <c r="A3290" t="s">
        <v>35</v>
      </c>
      <c r="B3290">
        <v>16</v>
      </c>
      <c r="C3290" t="s">
        <v>13</v>
      </c>
      <c r="D3290" s="1">
        <v>45777</v>
      </c>
      <c r="E3290">
        <v>1043.7</v>
      </c>
      <c r="F3290">
        <v>47.02</v>
      </c>
      <c r="G3290">
        <v>30.05</v>
      </c>
      <c r="H3290">
        <v>121</v>
      </c>
      <c r="I3290" t="s">
        <v>23</v>
      </c>
      <c r="J3290">
        <v>2025</v>
      </c>
      <c r="K3290">
        <f t="shared" si="102"/>
        <v>16.970000000000002</v>
      </c>
      <c r="L3290" t="str">
        <f t="shared" si="103"/>
        <v>Banca Friulana|16|Mutui</v>
      </c>
    </row>
    <row r="3291" spans="1:12" x14ac:dyDescent="0.25">
      <c r="A3291" t="s">
        <v>35</v>
      </c>
      <c r="B3291">
        <v>16</v>
      </c>
      <c r="C3291" t="s">
        <v>15</v>
      </c>
      <c r="D3291" s="1">
        <v>45777</v>
      </c>
      <c r="E3291">
        <v>1454.4</v>
      </c>
      <c r="F3291">
        <v>68.92</v>
      </c>
      <c r="G3291">
        <v>42.96</v>
      </c>
      <c r="H3291">
        <v>136</v>
      </c>
      <c r="I3291" t="s">
        <v>23</v>
      </c>
      <c r="J3291">
        <v>2025</v>
      </c>
      <c r="K3291">
        <f t="shared" si="102"/>
        <v>25.96</v>
      </c>
      <c r="L3291" t="str">
        <f t="shared" si="103"/>
        <v>Banca Friulana|16|Prestiti</v>
      </c>
    </row>
    <row r="3292" spans="1:12" x14ac:dyDescent="0.25">
      <c r="A3292" t="s">
        <v>35</v>
      </c>
      <c r="B3292">
        <v>16</v>
      </c>
      <c r="C3292" t="s">
        <v>16</v>
      </c>
      <c r="D3292" s="1">
        <v>45777</v>
      </c>
      <c r="E3292">
        <v>1798.8</v>
      </c>
      <c r="F3292">
        <v>88.36</v>
      </c>
      <c r="G3292">
        <v>54.68</v>
      </c>
      <c r="H3292">
        <v>197</v>
      </c>
      <c r="I3292" t="s">
        <v>23</v>
      </c>
      <c r="J3292">
        <v>2025</v>
      </c>
      <c r="K3292">
        <f t="shared" si="102"/>
        <v>33.68</v>
      </c>
      <c r="L3292" t="str">
        <f t="shared" si="103"/>
        <v>Banca Friulana|16|Conti</v>
      </c>
    </row>
    <row r="3293" spans="1:12" x14ac:dyDescent="0.25">
      <c r="A3293" t="s">
        <v>35</v>
      </c>
      <c r="B3293">
        <v>16</v>
      </c>
      <c r="C3293" t="s">
        <v>17</v>
      </c>
      <c r="D3293" s="1">
        <v>45777</v>
      </c>
      <c r="E3293">
        <v>2204.8000000000002</v>
      </c>
      <c r="F3293">
        <v>112.85</v>
      </c>
      <c r="G3293">
        <v>69.2</v>
      </c>
      <c r="H3293">
        <v>224</v>
      </c>
      <c r="I3293" t="s">
        <v>23</v>
      </c>
      <c r="J3293">
        <v>2025</v>
      </c>
      <c r="K3293">
        <f t="shared" si="102"/>
        <v>43.649999999999991</v>
      </c>
      <c r="L3293" t="str">
        <f t="shared" si="103"/>
        <v>Banca Friulana|16|Carte</v>
      </c>
    </row>
    <row r="3294" spans="1:12" x14ac:dyDescent="0.25">
      <c r="A3294" t="s">
        <v>35</v>
      </c>
      <c r="B3294">
        <v>16</v>
      </c>
      <c r="C3294" t="s">
        <v>18</v>
      </c>
      <c r="D3294" s="1">
        <v>45777</v>
      </c>
      <c r="E3294">
        <v>2581.3000000000002</v>
      </c>
      <c r="F3294">
        <v>137.49</v>
      </c>
      <c r="G3294">
        <v>83.15</v>
      </c>
      <c r="H3294">
        <v>244</v>
      </c>
      <c r="I3294" t="s">
        <v>23</v>
      </c>
      <c r="J3294">
        <v>2025</v>
      </c>
      <c r="K3294">
        <f t="shared" si="102"/>
        <v>54.34</v>
      </c>
      <c r="L3294" t="str">
        <f t="shared" si="103"/>
        <v>Banca Friulana|16|Leasing</v>
      </c>
    </row>
    <row r="3295" spans="1:12" x14ac:dyDescent="0.25">
      <c r="A3295" t="s">
        <v>35</v>
      </c>
      <c r="B3295">
        <v>16</v>
      </c>
      <c r="C3295" t="s">
        <v>19</v>
      </c>
      <c r="D3295" s="1">
        <v>45777</v>
      </c>
      <c r="E3295">
        <v>2995</v>
      </c>
      <c r="F3295">
        <v>164.78</v>
      </c>
      <c r="G3295">
        <v>99.72</v>
      </c>
      <c r="H3295">
        <v>303</v>
      </c>
      <c r="I3295" t="s">
        <v>23</v>
      </c>
      <c r="J3295">
        <v>2025</v>
      </c>
      <c r="K3295">
        <f t="shared" si="102"/>
        <v>65.06</v>
      </c>
      <c r="L3295" t="str">
        <f t="shared" si="103"/>
        <v>Banca Friulana|16|Factoring</v>
      </c>
    </row>
    <row r="3296" spans="1:12" x14ac:dyDescent="0.25">
      <c r="A3296" t="s">
        <v>35</v>
      </c>
      <c r="B3296">
        <v>16</v>
      </c>
      <c r="C3296" t="s">
        <v>20</v>
      </c>
      <c r="D3296" s="1">
        <v>45777</v>
      </c>
      <c r="E3296">
        <v>3354.4</v>
      </c>
      <c r="F3296">
        <v>192.09</v>
      </c>
      <c r="G3296">
        <v>114.32</v>
      </c>
      <c r="H3296">
        <v>305</v>
      </c>
      <c r="I3296" t="s">
        <v>23</v>
      </c>
      <c r="J3296">
        <v>2025</v>
      </c>
      <c r="K3296">
        <f t="shared" si="102"/>
        <v>77.77000000000001</v>
      </c>
      <c r="L3296" t="str">
        <f t="shared" si="103"/>
        <v>Banca Friulana|16|Risparmio</v>
      </c>
    </row>
    <row r="3297" spans="1:12" x14ac:dyDescent="0.25">
      <c r="A3297" t="s">
        <v>35</v>
      </c>
      <c r="B3297">
        <v>16</v>
      </c>
      <c r="C3297" t="s">
        <v>21</v>
      </c>
      <c r="D3297" s="1">
        <v>45777</v>
      </c>
      <c r="E3297">
        <v>3799.3</v>
      </c>
      <c r="F3297">
        <v>224.28</v>
      </c>
      <c r="G3297">
        <v>133.88</v>
      </c>
      <c r="H3297">
        <v>347</v>
      </c>
      <c r="I3297" t="s">
        <v>23</v>
      </c>
      <c r="J3297">
        <v>2025</v>
      </c>
      <c r="K3297">
        <f t="shared" si="102"/>
        <v>90.4</v>
      </c>
      <c r="L3297" t="str">
        <f t="shared" si="103"/>
        <v>Banca Friulana|16|Assicurazioni</v>
      </c>
    </row>
    <row r="3298" spans="1:12" x14ac:dyDescent="0.25">
      <c r="A3298" t="s">
        <v>35</v>
      </c>
      <c r="B3298">
        <v>17</v>
      </c>
      <c r="C3298" t="s">
        <v>13</v>
      </c>
      <c r="D3298" s="1">
        <v>45808</v>
      </c>
      <c r="E3298">
        <v>1023.4</v>
      </c>
      <c r="F3298">
        <v>46.82</v>
      </c>
      <c r="G3298">
        <v>28.98</v>
      </c>
      <c r="H3298">
        <v>112</v>
      </c>
      <c r="I3298" t="s">
        <v>23</v>
      </c>
      <c r="J3298">
        <v>2025</v>
      </c>
      <c r="K3298">
        <f t="shared" si="102"/>
        <v>17.84</v>
      </c>
      <c r="L3298" t="str">
        <f t="shared" si="103"/>
        <v>Banca Friulana|17|Mutui</v>
      </c>
    </row>
    <row r="3299" spans="1:12" x14ac:dyDescent="0.25">
      <c r="A3299" t="s">
        <v>35</v>
      </c>
      <c r="B3299">
        <v>17</v>
      </c>
      <c r="C3299" t="s">
        <v>15</v>
      </c>
      <c r="D3299" s="1">
        <v>45808</v>
      </c>
      <c r="E3299">
        <v>1417.3</v>
      </c>
      <c r="F3299">
        <v>67.55</v>
      </c>
      <c r="G3299">
        <v>41.83</v>
      </c>
      <c r="H3299">
        <v>148</v>
      </c>
      <c r="I3299" t="s">
        <v>23</v>
      </c>
      <c r="J3299">
        <v>2025</v>
      </c>
      <c r="K3299">
        <f t="shared" si="102"/>
        <v>25.72</v>
      </c>
      <c r="L3299" t="str">
        <f t="shared" si="103"/>
        <v>Banca Friulana|17|Prestiti</v>
      </c>
    </row>
    <row r="3300" spans="1:12" x14ac:dyDescent="0.25">
      <c r="A3300" t="s">
        <v>35</v>
      </c>
      <c r="B3300">
        <v>17</v>
      </c>
      <c r="C3300" t="s">
        <v>16</v>
      </c>
      <c r="D3300" s="1">
        <v>45808</v>
      </c>
      <c r="E3300">
        <v>1807.6</v>
      </c>
      <c r="F3300">
        <v>88.92</v>
      </c>
      <c r="G3300">
        <v>54.88</v>
      </c>
      <c r="H3300">
        <v>189</v>
      </c>
      <c r="I3300" t="s">
        <v>23</v>
      </c>
      <c r="J3300">
        <v>2025</v>
      </c>
      <c r="K3300">
        <f t="shared" si="102"/>
        <v>34.04</v>
      </c>
      <c r="L3300" t="str">
        <f t="shared" si="103"/>
        <v>Banca Friulana|17|Conti</v>
      </c>
    </row>
    <row r="3301" spans="1:12" x14ac:dyDescent="0.25">
      <c r="A3301" t="s">
        <v>35</v>
      </c>
      <c r="B3301">
        <v>17</v>
      </c>
      <c r="C3301" t="s">
        <v>17</v>
      </c>
      <c r="D3301" s="1">
        <v>45808</v>
      </c>
      <c r="E3301">
        <v>2231.6999999999998</v>
      </c>
      <c r="F3301">
        <v>114.33</v>
      </c>
      <c r="G3301">
        <v>69.66</v>
      </c>
      <c r="H3301">
        <v>203</v>
      </c>
      <c r="I3301" t="s">
        <v>23</v>
      </c>
      <c r="J3301">
        <v>2025</v>
      </c>
      <c r="K3301">
        <f t="shared" si="102"/>
        <v>44.67</v>
      </c>
      <c r="L3301" t="str">
        <f t="shared" si="103"/>
        <v>Banca Friulana|17|Carte</v>
      </c>
    </row>
    <row r="3302" spans="1:12" x14ac:dyDescent="0.25">
      <c r="A3302" t="s">
        <v>35</v>
      </c>
      <c r="B3302">
        <v>17</v>
      </c>
      <c r="C3302" t="s">
        <v>18</v>
      </c>
      <c r="D3302" s="1">
        <v>45808</v>
      </c>
      <c r="E3302">
        <v>2624.8</v>
      </c>
      <c r="F3302">
        <v>139.80000000000001</v>
      </c>
      <c r="G3302">
        <v>84.82</v>
      </c>
      <c r="H3302">
        <v>239</v>
      </c>
      <c r="I3302" t="s">
        <v>23</v>
      </c>
      <c r="J3302">
        <v>2025</v>
      </c>
      <c r="K3302">
        <f t="shared" si="102"/>
        <v>54.980000000000018</v>
      </c>
      <c r="L3302" t="str">
        <f t="shared" si="103"/>
        <v>Banca Friulana|17|Leasing</v>
      </c>
    </row>
    <row r="3303" spans="1:12" x14ac:dyDescent="0.25">
      <c r="A3303" t="s">
        <v>35</v>
      </c>
      <c r="B3303">
        <v>17</v>
      </c>
      <c r="C3303" t="s">
        <v>19</v>
      </c>
      <c r="D3303" s="1">
        <v>45808</v>
      </c>
      <c r="E3303">
        <v>3023.1</v>
      </c>
      <c r="F3303">
        <v>167.23</v>
      </c>
      <c r="G3303">
        <v>100.35</v>
      </c>
      <c r="H3303">
        <v>304</v>
      </c>
      <c r="I3303" t="s">
        <v>23</v>
      </c>
      <c r="J3303">
        <v>2025</v>
      </c>
      <c r="K3303">
        <f t="shared" si="102"/>
        <v>66.88</v>
      </c>
      <c r="L3303" t="str">
        <f t="shared" si="103"/>
        <v>Banca Friulana|17|Factoring</v>
      </c>
    </row>
    <row r="3304" spans="1:12" x14ac:dyDescent="0.25">
      <c r="A3304" t="s">
        <v>35</v>
      </c>
      <c r="B3304">
        <v>17</v>
      </c>
      <c r="C3304" t="s">
        <v>20</v>
      </c>
      <c r="D3304" s="1">
        <v>45808</v>
      </c>
      <c r="E3304">
        <v>3401.7</v>
      </c>
      <c r="F3304">
        <v>194.4</v>
      </c>
      <c r="G3304">
        <v>116.19</v>
      </c>
      <c r="H3304">
        <v>324</v>
      </c>
      <c r="I3304" t="s">
        <v>23</v>
      </c>
      <c r="J3304">
        <v>2025</v>
      </c>
      <c r="K3304">
        <f t="shared" si="102"/>
        <v>78.210000000000008</v>
      </c>
      <c r="L3304" t="str">
        <f t="shared" si="103"/>
        <v>Banca Friulana|17|Risparmio</v>
      </c>
    </row>
    <row r="3305" spans="1:12" x14ac:dyDescent="0.25">
      <c r="A3305" t="s">
        <v>35</v>
      </c>
      <c r="B3305">
        <v>17</v>
      </c>
      <c r="C3305" t="s">
        <v>21</v>
      </c>
      <c r="D3305" s="1">
        <v>45808</v>
      </c>
      <c r="E3305">
        <v>3772.3</v>
      </c>
      <c r="F3305">
        <v>222.92</v>
      </c>
      <c r="G3305">
        <v>132.05000000000001</v>
      </c>
      <c r="H3305">
        <v>345</v>
      </c>
      <c r="I3305" t="s">
        <v>23</v>
      </c>
      <c r="J3305">
        <v>2025</v>
      </c>
      <c r="K3305">
        <f t="shared" si="102"/>
        <v>90.869999999999976</v>
      </c>
      <c r="L3305" t="str">
        <f t="shared" si="103"/>
        <v>Banca Friulana|17|Assicurazioni</v>
      </c>
    </row>
    <row r="3306" spans="1:12" x14ac:dyDescent="0.25">
      <c r="A3306" t="s">
        <v>35</v>
      </c>
      <c r="B3306">
        <v>18</v>
      </c>
      <c r="C3306" t="s">
        <v>13</v>
      </c>
      <c r="D3306" s="1">
        <v>45838</v>
      </c>
      <c r="E3306">
        <v>1066.0999999999999</v>
      </c>
      <c r="F3306">
        <v>48.3</v>
      </c>
      <c r="G3306">
        <v>30.21</v>
      </c>
      <c r="H3306">
        <v>127</v>
      </c>
      <c r="I3306" t="s">
        <v>23</v>
      </c>
      <c r="J3306">
        <v>2025</v>
      </c>
      <c r="K3306">
        <f t="shared" si="102"/>
        <v>18.089999999999996</v>
      </c>
      <c r="L3306" t="str">
        <f t="shared" si="103"/>
        <v>Banca Friulana|18|Mutui</v>
      </c>
    </row>
    <row r="3307" spans="1:12" x14ac:dyDescent="0.25">
      <c r="A3307" t="s">
        <v>35</v>
      </c>
      <c r="B3307">
        <v>18</v>
      </c>
      <c r="C3307" t="s">
        <v>15</v>
      </c>
      <c r="D3307" s="1">
        <v>45838</v>
      </c>
      <c r="E3307">
        <v>1480.7</v>
      </c>
      <c r="F3307">
        <v>69.819999999999993</v>
      </c>
      <c r="G3307">
        <v>43.48</v>
      </c>
      <c r="H3307">
        <v>148</v>
      </c>
      <c r="I3307" t="s">
        <v>23</v>
      </c>
      <c r="J3307">
        <v>2025</v>
      </c>
      <c r="K3307">
        <f t="shared" si="102"/>
        <v>26.339999999999996</v>
      </c>
      <c r="L3307" t="str">
        <f t="shared" si="103"/>
        <v>Banca Friulana|18|Prestiti</v>
      </c>
    </row>
    <row r="3308" spans="1:12" x14ac:dyDescent="0.25">
      <c r="A3308" t="s">
        <v>35</v>
      </c>
      <c r="B3308">
        <v>18</v>
      </c>
      <c r="C3308" t="s">
        <v>16</v>
      </c>
      <c r="D3308" s="1">
        <v>45838</v>
      </c>
      <c r="E3308">
        <v>1868.9</v>
      </c>
      <c r="F3308">
        <v>92.21</v>
      </c>
      <c r="G3308">
        <v>56.79</v>
      </c>
      <c r="H3308">
        <v>190</v>
      </c>
      <c r="I3308" t="s">
        <v>23</v>
      </c>
      <c r="J3308">
        <v>2025</v>
      </c>
      <c r="K3308">
        <f t="shared" si="102"/>
        <v>35.419999999999995</v>
      </c>
      <c r="L3308" t="str">
        <f t="shared" si="103"/>
        <v>Banca Friulana|18|Conti</v>
      </c>
    </row>
    <row r="3309" spans="1:12" x14ac:dyDescent="0.25">
      <c r="A3309" t="s">
        <v>35</v>
      </c>
      <c r="B3309">
        <v>18</v>
      </c>
      <c r="C3309" t="s">
        <v>17</v>
      </c>
      <c r="D3309" s="1">
        <v>45838</v>
      </c>
      <c r="E3309">
        <v>2215.6999999999998</v>
      </c>
      <c r="F3309">
        <v>113.95</v>
      </c>
      <c r="G3309">
        <v>68.81</v>
      </c>
      <c r="H3309">
        <v>230</v>
      </c>
      <c r="I3309" t="s">
        <v>23</v>
      </c>
      <c r="J3309">
        <v>2025</v>
      </c>
      <c r="K3309">
        <f t="shared" si="102"/>
        <v>45.14</v>
      </c>
      <c r="L3309" t="str">
        <f t="shared" si="103"/>
        <v>Banca Friulana|18|Carte</v>
      </c>
    </row>
    <row r="3310" spans="1:12" x14ac:dyDescent="0.25">
      <c r="A3310" t="s">
        <v>35</v>
      </c>
      <c r="B3310">
        <v>18</v>
      </c>
      <c r="C3310" t="s">
        <v>18</v>
      </c>
      <c r="D3310" s="1">
        <v>45838</v>
      </c>
      <c r="E3310">
        <v>2659.1</v>
      </c>
      <c r="F3310">
        <v>141.29</v>
      </c>
      <c r="G3310">
        <v>85.84</v>
      </c>
      <c r="H3310">
        <v>235</v>
      </c>
      <c r="I3310" t="s">
        <v>23</v>
      </c>
      <c r="J3310">
        <v>2025</v>
      </c>
      <c r="K3310">
        <f t="shared" si="102"/>
        <v>55.449999999999989</v>
      </c>
      <c r="L3310" t="str">
        <f t="shared" si="103"/>
        <v>Banca Friulana|18|Leasing</v>
      </c>
    </row>
    <row r="3311" spans="1:12" x14ac:dyDescent="0.25">
      <c r="A3311" t="s">
        <v>35</v>
      </c>
      <c r="B3311">
        <v>18</v>
      </c>
      <c r="C3311" t="s">
        <v>19</v>
      </c>
      <c r="D3311" s="1">
        <v>45838</v>
      </c>
      <c r="E3311">
        <v>3022.6</v>
      </c>
      <c r="F3311">
        <v>167.07</v>
      </c>
      <c r="G3311">
        <v>99.78</v>
      </c>
      <c r="H3311">
        <v>292</v>
      </c>
      <c r="I3311" t="s">
        <v>23</v>
      </c>
      <c r="J3311">
        <v>2025</v>
      </c>
      <c r="K3311">
        <f t="shared" si="102"/>
        <v>67.289999999999992</v>
      </c>
      <c r="L3311" t="str">
        <f t="shared" si="103"/>
        <v>Banca Friulana|18|Factoring</v>
      </c>
    </row>
    <row r="3312" spans="1:12" x14ac:dyDescent="0.25">
      <c r="A3312" t="s">
        <v>35</v>
      </c>
      <c r="B3312">
        <v>18</v>
      </c>
      <c r="C3312" t="s">
        <v>20</v>
      </c>
      <c r="D3312" s="1">
        <v>45838</v>
      </c>
      <c r="E3312">
        <v>3423.7</v>
      </c>
      <c r="F3312">
        <v>195.64</v>
      </c>
      <c r="G3312">
        <v>116.63</v>
      </c>
      <c r="H3312">
        <v>320</v>
      </c>
      <c r="I3312" t="s">
        <v>23</v>
      </c>
      <c r="J3312">
        <v>2025</v>
      </c>
      <c r="K3312">
        <f t="shared" si="102"/>
        <v>79.009999999999991</v>
      </c>
      <c r="L3312" t="str">
        <f t="shared" si="103"/>
        <v>Banca Friulana|18|Risparmio</v>
      </c>
    </row>
    <row r="3313" spans="1:12" x14ac:dyDescent="0.25">
      <c r="A3313" t="s">
        <v>35</v>
      </c>
      <c r="B3313">
        <v>18</v>
      </c>
      <c r="C3313" t="s">
        <v>21</v>
      </c>
      <c r="D3313" s="1">
        <v>45838</v>
      </c>
      <c r="E3313">
        <v>3809.6</v>
      </c>
      <c r="F3313">
        <v>225.09</v>
      </c>
      <c r="G3313">
        <v>134.26</v>
      </c>
      <c r="H3313">
        <v>344</v>
      </c>
      <c r="I3313" t="s">
        <v>23</v>
      </c>
      <c r="J3313">
        <v>2025</v>
      </c>
      <c r="K3313">
        <f t="shared" si="102"/>
        <v>90.830000000000013</v>
      </c>
      <c r="L3313" t="str">
        <f t="shared" si="103"/>
        <v>Banca Friulana|18|Assicurazioni</v>
      </c>
    </row>
    <row r="3314" spans="1:12" x14ac:dyDescent="0.25">
      <c r="A3314" t="s">
        <v>35</v>
      </c>
      <c r="B3314">
        <v>19</v>
      </c>
      <c r="C3314" t="s">
        <v>13</v>
      </c>
      <c r="D3314" s="1">
        <v>45869</v>
      </c>
      <c r="E3314">
        <v>1066.0999999999999</v>
      </c>
      <c r="F3314">
        <v>48.39</v>
      </c>
      <c r="G3314">
        <v>29.89</v>
      </c>
      <c r="H3314">
        <v>96</v>
      </c>
      <c r="I3314" t="s">
        <v>23</v>
      </c>
      <c r="J3314">
        <v>2025</v>
      </c>
      <c r="K3314">
        <f t="shared" si="102"/>
        <v>18.5</v>
      </c>
      <c r="L3314" t="str">
        <f t="shared" si="103"/>
        <v>Banca Friulana|19|Mutui</v>
      </c>
    </row>
    <row r="3315" spans="1:12" x14ac:dyDescent="0.25">
      <c r="A3315" t="s">
        <v>35</v>
      </c>
      <c r="B3315">
        <v>19</v>
      </c>
      <c r="C3315" t="s">
        <v>15</v>
      </c>
      <c r="D3315" s="1">
        <v>45869</v>
      </c>
      <c r="E3315">
        <v>1488.8</v>
      </c>
      <c r="F3315">
        <v>70.75</v>
      </c>
      <c r="G3315">
        <v>43.97</v>
      </c>
      <c r="H3315">
        <v>150</v>
      </c>
      <c r="I3315" t="s">
        <v>23</v>
      </c>
      <c r="J3315">
        <v>2025</v>
      </c>
      <c r="K3315">
        <f t="shared" si="102"/>
        <v>26.78</v>
      </c>
      <c r="L3315" t="str">
        <f t="shared" si="103"/>
        <v>Banca Friulana|19|Prestiti</v>
      </c>
    </row>
    <row r="3316" spans="1:12" x14ac:dyDescent="0.25">
      <c r="A3316" t="s">
        <v>35</v>
      </c>
      <c r="B3316">
        <v>19</v>
      </c>
      <c r="C3316" t="s">
        <v>16</v>
      </c>
      <c r="D3316" s="1">
        <v>45869</v>
      </c>
      <c r="E3316">
        <v>1868.6</v>
      </c>
      <c r="F3316">
        <v>91.8</v>
      </c>
      <c r="G3316">
        <v>56.22</v>
      </c>
      <c r="H3316">
        <v>178</v>
      </c>
      <c r="I3316" t="s">
        <v>23</v>
      </c>
      <c r="J3316">
        <v>2025</v>
      </c>
      <c r="K3316">
        <f t="shared" si="102"/>
        <v>35.58</v>
      </c>
      <c r="L3316" t="str">
        <f t="shared" si="103"/>
        <v>Banca Friulana|19|Conti</v>
      </c>
    </row>
    <row r="3317" spans="1:12" x14ac:dyDescent="0.25">
      <c r="A3317" t="s">
        <v>35</v>
      </c>
      <c r="B3317">
        <v>19</v>
      </c>
      <c r="C3317" t="s">
        <v>17</v>
      </c>
      <c r="D3317" s="1">
        <v>45869</v>
      </c>
      <c r="E3317">
        <v>2274</v>
      </c>
      <c r="F3317">
        <v>116.55</v>
      </c>
      <c r="G3317">
        <v>70.739999999999995</v>
      </c>
      <c r="H3317">
        <v>220</v>
      </c>
      <c r="I3317" t="s">
        <v>23</v>
      </c>
      <c r="J3317">
        <v>2025</v>
      </c>
      <c r="K3317">
        <f t="shared" si="102"/>
        <v>45.81</v>
      </c>
      <c r="L3317" t="str">
        <f t="shared" si="103"/>
        <v>Banca Friulana|19|Carte</v>
      </c>
    </row>
    <row r="3318" spans="1:12" x14ac:dyDescent="0.25">
      <c r="A3318" t="s">
        <v>35</v>
      </c>
      <c r="B3318">
        <v>19</v>
      </c>
      <c r="C3318" t="s">
        <v>18</v>
      </c>
      <c r="D3318" s="1">
        <v>45869</v>
      </c>
      <c r="E3318">
        <v>2654</v>
      </c>
      <c r="F3318">
        <v>140.85</v>
      </c>
      <c r="G3318">
        <v>85.79</v>
      </c>
      <c r="H3318">
        <v>237</v>
      </c>
      <c r="I3318" t="s">
        <v>23</v>
      </c>
      <c r="J3318">
        <v>2025</v>
      </c>
      <c r="K3318">
        <f t="shared" si="102"/>
        <v>55.059999999999988</v>
      </c>
      <c r="L3318" t="str">
        <f t="shared" si="103"/>
        <v>Banca Friulana|19|Leasing</v>
      </c>
    </row>
    <row r="3319" spans="1:12" x14ac:dyDescent="0.25">
      <c r="A3319" t="s">
        <v>35</v>
      </c>
      <c r="B3319">
        <v>19</v>
      </c>
      <c r="C3319" t="s">
        <v>19</v>
      </c>
      <c r="D3319" s="1">
        <v>45869</v>
      </c>
      <c r="E3319">
        <v>3036.3</v>
      </c>
      <c r="F3319">
        <v>167.41</v>
      </c>
      <c r="G3319">
        <v>100.4</v>
      </c>
      <c r="H3319">
        <v>286</v>
      </c>
      <c r="I3319" t="s">
        <v>23</v>
      </c>
      <c r="J3319">
        <v>2025</v>
      </c>
      <c r="K3319">
        <f t="shared" si="102"/>
        <v>67.009999999999991</v>
      </c>
      <c r="L3319" t="str">
        <f t="shared" si="103"/>
        <v>Banca Friulana|19|Factoring</v>
      </c>
    </row>
    <row r="3320" spans="1:12" x14ac:dyDescent="0.25">
      <c r="A3320" t="s">
        <v>35</v>
      </c>
      <c r="B3320">
        <v>19</v>
      </c>
      <c r="C3320" t="s">
        <v>20</v>
      </c>
      <c r="D3320" s="1">
        <v>45869</v>
      </c>
      <c r="E3320">
        <v>3443</v>
      </c>
      <c r="F3320">
        <v>196.27</v>
      </c>
      <c r="G3320">
        <v>117.96</v>
      </c>
      <c r="H3320">
        <v>312</v>
      </c>
      <c r="I3320" t="s">
        <v>23</v>
      </c>
      <c r="J3320">
        <v>2025</v>
      </c>
      <c r="K3320">
        <f t="shared" si="102"/>
        <v>78.310000000000016</v>
      </c>
      <c r="L3320" t="str">
        <f t="shared" si="103"/>
        <v>Banca Friulana|19|Risparmio</v>
      </c>
    </row>
    <row r="3321" spans="1:12" x14ac:dyDescent="0.25">
      <c r="A3321" t="s">
        <v>35</v>
      </c>
      <c r="B3321">
        <v>19</v>
      </c>
      <c r="C3321" t="s">
        <v>21</v>
      </c>
      <c r="D3321" s="1">
        <v>45869</v>
      </c>
      <c r="E3321">
        <v>3870.1</v>
      </c>
      <c r="F3321">
        <v>228.65</v>
      </c>
      <c r="G3321">
        <v>136.08000000000001</v>
      </c>
      <c r="H3321">
        <v>340</v>
      </c>
      <c r="I3321" t="s">
        <v>23</v>
      </c>
      <c r="J3321">
        <v>2025</v>
      </c>
      <c r="K3321">
        <f t="shared" si="102"/>
        <v>92.57</v>
      </c>
      <c r="L3321" t="str">
        <f t="shared" si="103"/>
        <v>Banca Friulana|19|Assicurazioni</v>
      </c>
    </row>
    <row r="3322" spans="1:12" x14ac:dyDescent="0.25">
      <c r="A3322" t="s">
        <v>35</v>
      </c>
      <c r="B3322">
        <v>20</v>
      </c>
      <c r="C3322" t="s">
        <v>13</v>
      </c>
      <c r="D3322" s="1">
        <v>45900</v>
      </c>
      <c r="E3322">
        <v>1050.2</v>
      </c>
      <c r="F3322">
        <v>47.29</v>
      </c>
      <c r="G3322">
        <v>29.86</v>
      </c>
      <c r="H3322">
        <v>93</v>
      </c>
      <c r="I3322" t="s">
        <v>23</v>
      </c>
      <c r="J3322">
        <v>2025</v>
      </c>
      <c r="K3322">
        <f t="shared" si="102"/>
        <v>17.43</v>
      </c>
      <c r="L3322" t="str">
        <f t="shared" si="103"/>
        <v>Banca Friulana|20|Mutui</v>
      </c>
    </row>
    <row r="3323" spans="1:12" x14ac:dyDescent="0.25">
      <c r="A3323" t="s">
        <v>35</v>
      </c>
      <c r="B3323">
        <v>20</v>
      </c>
      <c r="C3323" t="s">
        <v>15</v>
      </c>
      <c r="D3323" s="1">
        <v>45900</v>
      </c>
      <c r="E3323">
        <v>1449.3</v>
      </c>
      <c r="F3323">
        <v>68.45</v>
      </c>
      <c r="G3323">
        <v>42.82</v>
      </c>
      <c r="H3323">
        <v>157</v>
      </c>
      <c r="I3323" t="s">
        <v>23</v>
      </c>
      <c r="J3323">
        <v>2025</v>
      </c>
      <c r="K3323">
        <f t="shared" si="102"/>
        <v>25.630000000000003</v>
      </c>
      <c r="L3323" t="str">
        <f t="shared" si="103"/>
        <v>Banca Friulana|20|Prestiti</v>
      </c>
    </row>
    <row r="3324" spans="1:12" x14ac:dyDescent="0.25">
      <c r="A3324" t="s">
        <v>35</v>
      </c>
      <c r="B3324">
        <v>20</v>
      </c>
      <c r="C3324" t="s">
        <v>16</v>
      </c>
      <c r="D3324" s="1">
        <v>45900</v>
      </c>
      <c r="E3324">
        <v>1854.4</v>
      </c>
      <c r="F3324">
        <v>90.95</v>
      </c>
      <c r="G3324">
        <v>55.95</v>
      </c>
      <c r="H3324">
        <v>192</v>
      </c>
      <c r="I3324" t="s">
        <v>23</v>
      </c>
      <c r="J3324">
        <v>2025</v>
      </c>
      <c r="K3324">
        <f t="shared" si="102"/>
        <v>35</v>
      </c>
      <c r="L3324" t="str">
        <f t="shared" si="103"/>
        <v>Banca Friulana|20|Conti</v>
      </c>
    </row>
    <row r="3325" spans="1:12" x14ac:dyDescent="0.25">
      <c r="A3325" t="s">
        <v>35</v>
      </c>
      <c r="B3325">
        <v>20</v>
      </c>
      <c r="C3325" t="s">
        <v>17</v>
      </c>
      <c r="D3325" s="1">
        <v>45900</v>
      </c>
      <c r="E3325">
        <v>2261.5</v>
      </c>
      <c r="F3325">
        <v>115.88</v>
      </c>
      <c r="G3325">
        <v>70.97</v>
      </c>
      <c r="H3325">
        <v>234</v>
      </c>
      <c r="I3325" t="s">
        <v>23</v>
      </c>
      <c r="J3325">
        <v>2025</v>
      </c>
      <c r="K3325">
        <f t="shared" si="102"/>
        <v>44.91</v>
      </c>
      <c r="L3325" t="str">
        <f t="shared" si="103"/>
        <v>Banca Friulana|20|Carte</v>
      </c>
    </row>
    <row r="3326" spans="1:12" x14ac:dyDescent="0.25">
      <c r="A3326" t="s">
        <v>35</v>
      </c>
      <c r="B3326">
        <v>20</v>
      </c>
      <c r="C3326" t="s">
        <v>18</v>
      </c>
      <c r="D3326" s="1">
        <v>45900</v>
      </c>
      <c r="E3326">
        <v>2646.8</v>
      </c>
      <c r="F3326">
        <v>140.86000000000001</v>
      </c>
      <c r="G3326">
        <v>84.96</v>
      </c>
      <c r="H3326">
        <v>241</v>
      </c>
      <c r="I3326" t="s">
        <v>23</v>
      </c>
      <c r="J3326">
        <v>2025</v>
      </c>
      <c r="K3326">
        <f t="shared" si="102"/>
        <v>55.90000000000002</v>
      </c>
      <c r="L3326" t="str">
        <f t="shared" si="103"/>
        <v>Banca Friulana|20|Leasing</v>
      </c>
    </row>
    <row r="3327" spans="1:12" x14ac:dyDescent="0.25">
      <c r="A3327" t="s">
        <v>35</v>
      </c>
      <c r="B3327">
        <v>20</v>
      </c>
      <c r="C3327" t="s">
        <v>19</v>
      </c>
      <c r="D3327" s="1">
        <v>45900</v>
      </c>
      <c r="E3327">
        <v>3080.8</v>
      </c>
      <c r="F3327">
        <v>169.78</v>
      </c>
      <c r="G3327">
        <v>102.51</v>
      </c>
      <c r="H3327">
        <v>291</v>
      </c>
      <c r="I3327" t="s">
        <v>23</v>
      </c>
      <c r="J3327">
        <v>2025</v>
      </c>
      <c r="K3327">
        <f t="shared" si="102"/>
        <v>67.27</v>
      </c>
      <c r="L3327" t="str">
        <f t="shared" si="103"/>
        <v>Banca Friulana|20|Factoring</v>
      </c>
    </row>
    <row r="3328" spans="1:12" x14ac:dyDescent="0.25">
      <c r="A3328" t="s">
        <v>35</v>
      </c>
      <c r="B3328">
        <v>20</v>
      </c>
      <c r="C3328" t="s">
        <v>20</v>
      </c>
      <c r="D3328" s="1">
        <v>45900</v>
      </c>
      <c r="E3328">
        <v>3464.7</v>
      </c>
      <c r="F3328">
        <v>198.43</v>
      </c>
      <c r="G3328">
        <v>117.9</v>
      </c>
      <c r="H3328">
        <v>318</v>
      </c>
      <c r="I3328" t="s">
        <v>23</v>
      </c>
      <c r="J3328">
        <v>2025</v>
      </c>
      <c r="K3328">
        <f t="shared" si="102"/>
        <v>80.53</v>
      </c>
      <c r="L3328" t="str">
        <f t="shared" si="103"/>
        <v>Banca Friulana|20|Risparmio</v>
      </c>
    </row>
    <row r="3329" spans="1:12" x14ac:dyDescent="0.25">
      <c r="A3329" t="s">
        <v>35</v>
      </c>
      <c r="B3329">
        <v>20</v>
      </c>
      <c r="C3329" t="s">
        <v>21</v>
      </c>
      <c r="D3329" s="1">
        <v>45900</v>
      </c>
      <c r="E3329">
        <v>3890.6</v>
      </c>
      <c r="F3329">
        <v>230.29</v>
      </c>
      <c r="G3329">
        <v>137</v>
      </c>
      <c r="H3329">
        <v>337</v>
      </c>
      <c r="I3329" t="s">
        <v>23</v>
      </c>
      <c r="J3329">
        <v>2025</v>
      </c>
      <c r="K3329">
        <f t="shared" si="102"/>
        <v>93.289999999999992</v>
      </c>
      <c r="L3329" t="str">
        <f t="shared" si="103"/>
        <v>Banca Friulana|20|Assicurazioni</v>
      </c>
    </row>
    <row r="3330" spans="1:12" x14ac:dyDescent="0.25">
      <c r="A3330" t="s">
        <v>35</v>
      </c>
      <c r="B3330">
        <v>21</v>
      </c>
      <c r="C3330" t="s">
        <v>13</v>
      </c>
      <c r="D3330" s="1">
        <v>45930</v>
      </c>
      <c r="E3330">
        <v>1088.5</v>
      </c>
      <c r="F3330">
        <v>49.61</v>
      </c>
      <c r="G3330">
        <v>30.92</v>
      </c>
      <c r="H3330">
        <v>105</v>
      </c>
      <c r="I3330" t="s">
        <v>23</v>
      </c>
      <c r="J3330">
        <v>2025</v>
      </c>
      <c r="K3330">
        <f t="shared" ref="K3330:K3393" si="104">F3330-G3330</f>
        <v>18.689999999999998</v>
      </c>
      <c r="L3330" t="str">
        <f t="shared" ref="L3330:L3393" si="105">A3330&amp;"|"&amp;B3330&amp;"|"&amp;C3330</f>
        <v>Banca Friulana|21|Mutui</v>
      </c>
    </row>
    <row r="3331" spans="1:12" x14ac:dyDescent="0.25">
      <c r="A3331" t="s">
        <v>35</v>
      </c>
      <c r="B3331">
        <v>21</v>
      </c>
      <c r="C3331" t="s">
        <v>15</v>
      </c>
      <c r="D3331" s="1">
        <v>45930</v>
      </c>
      <c r="E3331">
        <v>1461</v>
      </c>
      <c r="F3331">
        <v>69.38</v>
      </c>
      <c r="G3331">
        <v>42.48</v>
      </c>
      <c r="H3331">
        <v>128</v>
      </c>
      <c r="I3331" t="s">
        <v>23</v>
      </c>
      <c r="J3331">
        <v>2025</v>
      </c>
      <c r="K3331">
        <f t="shared" si="104"/>
        <v>26.9</v>
      </c>
      <c r="L3331" t="str">
        <f t="shared" si="105"/>
        <v>Banca Friulana|21|Prestiti</v>
      </c>
    </row>
    <row r="3332" spans="1:12" x14ac:dyDescent="0.25">
      <c r="A3332" t="s">
        <v>35</v>
      </c>
      <c r="B3332">
        <v>21</v>
      </c>
      <c r="C3332" t="s">
        <v>16</v>
      </c>
      <c r="D3332" s="1">
        <v>45930</v>
      </c>
      <c r="E3332">
        <v>1913.2</v>
      </c>
      <c r="F3332">
        <v>94.19</v>
      </c>
      <c r="G3332">
        <v>58.06</v>
      </c>
      <c r="H3332">
        <v>166</v>
      </c>
      <c r="I3332" t="s">
        <v>23</v>
      </c>
      <c r="J3332">
        <v>2025</v>
      </c>
      <c r="K3332">
        <f t="shared" si="104"/>
        <v>36.129999999999995</v>
      </c>
      <c r="L3332" t="str">
        <f t="shared" si="105"/>
        <v>Banca Friulana|21|Conti</v>
      </c>
    </row>
    <row r="3333" spans="1:12" x14ac:dyDescent="0.25">
      <c r="A3333" t="s">
        <v>35</v>
      </c>
      <c r="B3333">
        <v>21</v>
      </c>
      <c r="C3333" t="s">
        <v>17</v>
      </c>
      <c r="D3333" s="1">
        <v>45930</v>
      </c>
      <c r="E3333">
        <v>2286.6</v>
      </c>
      <c r="F3333">
        <v>117.38</v>
      </c>
      <c r="G3333">
        <v>71.069999999999993</v>
      </c>
      <c r="H3333">
        <v>215</v>
      </c>
      <c r="I3333" t="s">
        <v>23</v>
      </c>
      <c r="J3333">
        <v>2025</v>
      </c>
      <c r="K3333">
        <f t="shared" si="104"/>
        <v>46.31</v>
      </c>
      <c r="L3333" t="str">
        <f t="shared" si="105"/>
        <v>Banca Friulana|21|Carte</v>
      </c>
    </row>
    <row r="3334" spans="1:12" x14ac:dyDescent="0.25">
      <c r="A3334" t="s">
        <v>35</v>
      </c>
      <c r="B3334">
        <v>21</v>
      </c>
      <c r="C3334" t="s">
        <v>18</v>
      </c>
      <c r="D3334" s="1">
        <v>45930</v>
      </c>
      <c r="E3334">
        <v>2716.7</v>
      </c>
      <c r="F3334">
        <v>144.47</v>
      </c>
      <c r="G3334">
        <v>87.06</v>
      </c>
      <c r="H3334">
        <v>251</v>
      </c>
      <c r="I3334" t="s">
        <v>23</v>
      </c>
      <c r="J3334">
        <v>2025</v>
      </c>
      <c r="K3334">
        <f t="shared" si="104"/>
        <v>57.41</v>
      </c>
      <c r="L3334" t="str">
        <f t="shared" si="105"/>
        <v>Banca Friulana|21|Leasing</v>
      </c>
    </row>
    <row r="3335" spans="1:12" x14ac:dyDescent="0.25">
      <c r="A3335" t="s">
        <v>35</v>
      </c>
      <c r="B3335">
        <v>21</v>
      </c>
      <c r="C3335" t="s">
        <v>19</v>
      </c>
      <c r="D3335" s="1">
        <v>45930</v>
      </c>
      <c r="E3335">
        <v>3097</v>
      </c>
      <c r="F3335">
        <v>171.31</v>
      </c>
      <c r="G3335">
        <v>103.05</v>
      </c>
      <c r="H3335">
        <v>268</v>
      </c>
      <c r="I3335" t="s">
        <v>23</v>
      </c>
      <c r="J3335">
        <v>2025</v>
      </c>
      <c r="K3335">
        <f t="shared" si="104"/>
        <v>68.260000000000005</v>
      </c>
      <c r="L3335" t="str">
        <f t="shared" si="105"/>
        <v>Banca Friulana|21|Factoring</v>
      </c>
    </row>
    <row r="3336" spans="1:12" x14ac:dyDescent="0.25">
      <c r="A3336" t="s">
        <v>35</v>
      </c>
      <c r="B3336">
        <v>21</v>
      </c>
      <c r="C3336" t="s">
        <v>20</v>
      </c>
      <c r="D3336" s="1">
        <v>45930</v>
      </c>
      <c r="E3336">
        <v>3473.1</v>
      </c>
      <c r="F3336">
        <v>198.68</v>
      </c>
      <c r="G3336">
        <v>118.89</v>
      </c>
      <c r="H3336">
        <v>311</v>
      </c>
      <c r="I3336" t="s">
        <v>23</v>
      </c>
      <c r="J3336">
        <v>2025</v>
      </c>
      <c r="K3336">
        <f t="shared" si="104"/>
        <v>79.790000000000006</v>
      </c>
      <c r="L3336" t="str">
        <f t="shared" si="105"/>
        <v>Banca Friulana|21|Risparmio</v>
      </c>
    </row>
    <row r="3337" spans="1:12" x14ac:dyDescent="0.25">
      <c r="A3337" t="s">
        <v>35</v>
      </c>
      <c r="B3337">
        <v>21</v>
      </c>
      <c r="C3337" t="s">
        <v>21</v>
      </c>
      <c r="D3337" s="1">
        <v>45930</v>
      </c>
      <c r="E3337">
        <v>3900.2</v>
      </c>
      <c r="F3337">
        <v>230.24</v>
      </c>
      <c r="G3337">
        <v>137.43</v>
      </c>
      <c r="H3337">
        <v>339</v>
      </c>
      <c r="I3337" t="s">
        <v>23</v>
      </c>
      <c r="J3337">
        <v>2025</v>
      </c>
      <c r="K3337">
        <f t="shared" si="104"/>
        <v>92.81</v>
      </c>
      <c r="L3337" t="str">
        <f t="shared" si="105"/>
        <v>Banca Friulana|21|Assicurazioni</v>
      </c>
    </row>
    <row r="3338" spans="1:12" x14ac:dyDescent="0.25">
      <c r="A3338" t="s">
        <v>35</v>
      </c>
      <c r="B3338">
        <v>22</v>
      </c>
      <c r="C3338" t="s">
        <v>13</v>
      </c>
      <c r="D3338" s="1">
        <v>45961</v>
      </c>
      <c r="E3338">
        <v>1087.7</v>
      </c>
      <c r="F3338">
        <v>49.17</v>
      </c>
      <c r="G3338">
        <v>31.26</v>
      </c>
      <c r="H3338">
        <v>120</v>
      </c>
      <c r="I3338" t="s">
        <v>23</v>
      </c>
      <c r="J3338">
        <v>2025</v>
      </c>
      <c r="K3338">
        <f t="shared" si="104"/>
        <v>17.91</v>
      </c>
      <c r="L3338" t="str">
        <f t="shared" si="105"/>
        <v>Banca Friulana|22|Mutui</v>
      </c>
    </row>
    <row r="3339" spans="1:12" x14ac:dyDescent="0.25">
      <c r="A3339" t="s">
        <v>35</v>
      </c>
      <c r="B3339">
        <v>22</v>
      </c>
      <c r="C3339" t="s">
        <v>15</v>
      </c>
      <c r="D3339" s="1">
        <v>45961</v>
      </c>
      <c r="E3339">
        <v>1479.4</v>
      </c>
      <c r="F3339">
        <v>69.819999999999993</v>
      </c>
      <c r="G3339">
        <v>43.86</v>
      </c>
      <c r="H3339">
        <v>127</v>
      </c>
      <c r="I3339" t="s">
        <v>23</v>
      </c>
      <c r="J3339">
        <v>2025</v>
      </c>
      <c r="K3339">
        <f t="shared" si="104"/>
        <v>25.959999999999994</v>
      </c>
      <c r="L3339" t="str">
        <f t="shared" si="105"/>
        <v>Banca Friulana|22|Prestiti</v>
      </c>
    </row>
    <row r="3340" spans="1:12" x14ac:dyDescent="0.25">
      <c r="A3340" t="s">
        <v>35</v>
      </c>
      <c r="B3340">
        <v>22</v>
      </c>
      <c r="C3340" t="s">
        <v>16</v>
      </c>
      <c r="D3340" s="1">
        <v>45961</v>
      </c>
      <c r="E3340">
        <v>1898.6</v>
      </c>
      <c r="F3340">
        <v>93.58</v>
      </c>
      <c r="G3340">
        <v>57.3</v>
      </c>
      <c r="H3340">
        <v>168</v>
      </c>
      <c r="I3340" t="s">
        <v>23</v>
      </c>
      <c r="J3340">
        <v>2025</v>
      </c>
      <c r="K3340">
        <f t="shared" si="104"/>
        <v>36.28</v>
      </c>
      <c r="L3340" t="str">
        <f t="shared" si="105"/>
        <v>Banca Friulana|22|Conti</v>
      </c>
    </row>
    <row r="3341" spans="1:12" x14ac:dyDescent="0.25">
      <c r="A3341" t="s">
        <v>35</v>
      </c>
      <c r="B3341">
        <v>22</v>
      </c>
      <c r="C3341" t="s">
        <v>17</v>
      </c>
      <c r="D3341" s="1">
        <v>45961</v>
      </c>
      <c r="E3341">
        <v>2308.1999999999998</v>
      </c>
      <c r="F3341">
        <v>118.22</v>
      </c>
      <c r="G3341">
        <v>72.489999999999995</v>
      </c>
      <c r="H3341">
        <v>230</v>
      </c>
      <c r="I3341" t="s">
        <v>23</v>
      </c>
      <c r="J3341">
        <v>2025</v>
      </c>
      <c r="K3341">
        <f t="shared" si="104"/>
        <v>45.730000000000004</v>
      </c>
      <c r="L3341" t="str">
        <f t="shared" si="105"/>
        <v>Banca Friulana|22|Carte</v>
      </c>
    </row>
    <row r="3342" spans="1:12" x14ac:dyDescent="0.25">
      <c r="A3342" t="s">
        <v>35</v>
      </c>
      <c r="B3342">
        <v>22</v>
      </c>
      <c r="C3342" t="s">
        <v>18</v>
      </c>
      <c r="D3342" s="1">
        <v>45961</v>
      </c>
      <c r="E3342">
        <v>2740.1</v>
      </c>
      <c r="F3342">
        <v>146.08000000000001</v>
      </c>
      <c r="G3342">
        <v>87.7</v>
      </c>
      <c r="H3342">
        <v>232</v>
      </c>
      <c r="I3342" t="s">
        <v>23</v>
      </c>
      <c r="J3342">
        <v>2025</v>
      </c>
      <c r="K3342">
        <f t="shared" si="104"/>
        <v>58.38000000000001</v>
      </c>
      <c r="L3342" t="str">
        <f t="shared" si="105"/>
        <v>Banca Friulana|22|Leasing</v>
      </c>
    </row>
    <row r="3343" spans="1:12" x14ac:dyDescent="0.25">
      <c r="A3343" t="s">
        <v>35</v>
      </c>
      <c r="B3343">
        <v>22</v>
      </c>
      <c r="C3343" t="s">
        <v>19</v>
      </c>
      <c r="D3343" s="1">
        <v>45961</v>
      </c>
      <c r="E3343">
        <v>3139.2</v>
      </c>
      <c r="F3343">
        <v>173.29</v>
      </c>
      <c r="G3343">
        <v>103.97</v>
      </c>
      <c r="H3343">
        <v>294</v>
      </c>
      <c r="I3343" t="s">
        <v>23</v>
      </c>
      <c r="J3343">
        <v>2025</v>
      </c>
      <c r="K3343">
        <f t="shared" si="104"/>
        <v>69.319999999999993</v>
      </c>
      <c r="L3343" t="str">
        <f t="shared" si="105"/>
        <v>Banca Friulana|22|Factoring</v>
      </c>
    </row>
    <row r="3344" spans="1:12" x14ac:dyDescent="0.25">
      <c r="A3344" t="s">
        <v>35</v>
      </c>
      <c r="B3344">
        <v>22</v>
      </c>
      <c r="C3344" t="s">
        <v>20</v>
      </c>
      <c r="D3344" s="1">
        <v>45961</v>
      </c>
      <c r="E3344">
        <v>3518</v>
      </c>
      <c r="F3344">
        <v>201.37</v>
      </c>
      <c r="G3344">
        <v>119.7</v>
      </c>
      <c r="H3344">
        <v>337</v>
      </c>
      <c r="I3344" t="s">
        <v>23</v>
      </c>
      <c r="J3344">
        <v>2025</v>
      </c>
      <c r="K3344">
        <f t="shared" si="104"/>
        <v>81.67</v>
      </c>
      <c r="L3344" t="str">
        <f t="shared" si="105"/>
        <v>Banca Friulana|22|Risparmio</v>
      </c>
    </row>
    <row r="3345" spans="1:12" x14ac:dyDescent="0.25">
      <c r="A3345" t="s">
        <v>35</v>
      </c>
      <c r="B3345">
        <v>22</v>
      </c>
      <c r="C3345" t="s">
        <v>21</v>
      </c>
      <c r="D3345" s="1">
        <v>45961</v>
      </c>
      <c r="E3345">
        <v>3924.8</v>
      </c>
      <c r="F3345">
        <v>232.25</v>
      </c>
      <c r="G3345">
        <v>137.78</v>
      </c>
      <c r="H3345">
        <v>343</v>
      </c>
      <c r="I3345" t="s">
        <v>23</v>
      </c>
      <c r="J3345">
        <v>2025</v>
      </c>
      <c r="K3345">
        <f t="shared" si="104"/>
        <v>94.47</v>
      </c>
      <c r="L3345" t="str">
        <f t="shared" si="105"/>
        <v>Banca Friulana|22|Assicurazioni</v>
      </c>
    </row>
    <row r="3346" spans="1:12" x14ac:dyDescent="0.25">
      <c r="A3346" t="s">
        <v>35</v>
      </c>
      <c r="B3346">
        <v>23</v>
      </c>
      <c r="C3346" t="s">
        <v>13</v>
      </c>
      <c r="D3346" s="1">
        <v>45991</v>
      </c>
      <c r="E3346">
        <v>1075.5</v>
      </c>
      <c r="F3346">
        <v>48.42</v>
      </c>
      <c r="G3346">
        <v>30.95</v>
      </c>
      <c r="H3346">
        <v>116</v>
      </c>
      <c r="I3346" t="s">
        <v>23</v>
      </c>
      <c r="J3346">
        <v>2025</v>
      </c>
      <c r="K3346">
        <f t="shared" si="104"/>
        <v>17.470000000000002</v>
      </c>
      <c r="L3346" t="str">
        <f t="shared" si="105"/>
        <v>Banca Friulana|23|Mutui</v>
      </c>
    </row>
    <row r="3347" spans="1:12" x14ac:dyDescent="0.25">
      <c r="A3347" t="s">
        <v>35</v>
      </c>
      <c r="B3347">
        <v>23</v>
      </c>
      <c r="C3347" t="s">
        <v>15</v>
      </c>
      <c r="D3347" s="1">
        <v>45991</v>
      </c>
      <c r="E3347">
        <v>1502.9</v>
      </c>
      <c r="F3347">
        <v>71.010000000000005</v>
      </c>
      <c r="G3347">
        <v>44.21</v>
      </c>
      <c r="H3347">
        <v>157</v>
      </c>
      <c r="I3347" t="s">
        <v>23</v>
      </c>
      <c r="J3347">
        <v>2025</v>
      </c>
      <c r="K3347">
        <f t="shared" si="104"/>
        <v>26.800000000000004</v>
      </c>
      <c r="L3347" t="str">
        <f t="shared" si="105"/>
        <v>Banca Friulana|23|Prestiti</v>
      </c>
    </row>
    <row r="3348" spans="1:12" x14ac:dyDescent="0.25">
      <c r="A3348" t="s">
        <v>35</v>
      </c>
      <c r="B3348">
        <v>23</v>
      </c>
      <c r="C3348" t="s">
        <v>16</v>
      </c>
      <c r="D3348" s="1">
        <v>45991</v>
      </c>
      <c r="E3348">
        <v>1897.6</v>
      </c>
      <c r="F3348">
        <v>93.18</v>
      </c>
      <c r="G3348">
        <v>56.98</v>
      </c>
      <c r="H3348">
        <v>166</v>
      </c>
      <c r="I3348" t="s">
        <v>23</v>
      </c>
      <c r="J3348">
        <v>2025</v>
      </c>
      <c r="K3348">
        <f t="shared" si="104"/>
        <v>36.20000000000001</v>
      </c>
      <c r="L3348" t="str">
        <f t="shared" si="105"/>
        <v>Banca Friulana|23|Conti</v>
      </c>
    </row>
    <row r="3349" spans="1:12" x14ac:dyDescent="0.25">
      <c r="A3349" t="s">
        <v>35</v>
      </c>
      <c r="B3349">
        <v>23</v>
      </c>
      <c r="C3349" t="s">
        <v>17</v>
      </c>
      <c r="D3349" s="1">
        <v>45991</v>
      </c>
      <c r="E3349">
        <v>2322.4</v>
      </c>
      <c r="F3349">
        <v>118.66</v>
      </c>
      <c r="G3349">
        <v>72.77</v>
      </c>
      <c r="H3349">
        <v>231</v>
      </c>
      <c r="I3349" t="s">
        <v>23</v>
      </c>
      <c r="J3349">
        <v>2025</v>
      </c>
      <c r="K3349">
        <f t="shared" si="104"/>
        <v>45.89</v>
      </c>
      <c r="L3349" t="str">
        <f t="shared" si="105"/>
        <v>Banca Friulana|23|Carte</v>
      </c>
    </row>
    <row r="3350" spans="1:12" x14ac:dyDescent="0.25">
      <c r="A3350" t="s">
        <v>35</v>
      </c>
      <c r="B3350">
        <v>23</v>
      </c>
      <c r="C3350" t="s">
        <v>18</v>
      </c>
      <c r="D3350" s="1">
        <v>45991</v>
      </c>
      <c r="E3350">
        <v>2704.1</v>
      </c>
      <c r="F3350">
        <v>144.22</v>
      </c>
      <c r="G3350">
        <v>86.75</v>
      </c>
      <c r="H3350">
        <v>257</v>
      </c>
      <c r="I3350" t="s">
        <v>23</v>
      </c>
      <c r="J3350">
        <v>2025</v>
      </c>
      <c r="K3350">
        <f t="shared" si="104"/>
        <v>57.47</v>
      </c>
      <c r="L3350" t="str">
        <f t="shared" si="105"/>
        <v>Banca Friulana|23|Leasing</v>
      </c>
    </row>
    <row r="3351" spans="1:12" x14ac:dyDescent="0.25">
      <c r="A3351" t="s">
        <v>35</v>
      </c>
      <c r="B3351">
        <v>23</v>
      </c>
      <c r="C3351" t="s">
        <v>19</v>
      </c>
      <c r="D3351" s="1">
        <v>45991</v>
      </c>
      <c r="E3351">
        <v>3137.9</v>
      </c>
      <c r="F3351">
        <v>173.05</v>
      </c>
      <c r="G3351">
        <v>103.94</v>
      </c>
      <c r="H3351">
        <v>298</v>
      </c>
      <c r="I3351" t="s">
        <v>23</v>
      </c>
      <c r="J3351">
        <v>2025</v>
      </c>
      <c r="K3351">
        <f t="shared" si="104"/>
        <v>69.110000000000014</v>
      </c>
      <c r="L3351" t="str">
        <f t="shared" si="105"/>
        <v>Banca Friulana|23|Factoring</v>
      </c>
    </row>
    <row r="3352" spans="1:12" x14ac:dyDescent="0.25">
      <c r="A3352" t="s">
        <v>35</v>
      </c>
      <c r="B3352">
        <v>23</v>
      </c>
      <c r="C3352" t="s">
        <v>20</v>
      </c>
      <c r="D3352" s="1">
        <v>45991</v>
      </c>
      <c r="E3352">
        <v>3558.4</v>
      </c>
      <c r="F3352">
        <v>202.92</v>
      </c>
      <c r="G3352">
        <v>121.71</v>
      </c>
      <c r="H3352">
        <v>326</v>
      </c>
      <c r="I3352" t="s">
        <v>23</v>
      </c>
      <c r="J3352">
        <v>2025</v>
      </c>
      <c r="K3352">
        <f t="shared" si="104"/>
        <v>81.209999999999994</v>
      </c>
      <c r="L3352" t="str">
        <f t="shared" si="105"/>
        <v>Banca Friulana|23|Risparmio</v>
      </c>
    </row>
    <row r="3353" spans="1:12" x14ac:dyDescent="0.25">
      <c r="A3353" t="s">
        <v>35</v>
      </c>
      <c r="B3353">
        <v>23</v>
      </c>
      <c r="C3353" t="s">
        <v>21</v>
      </c>
      <c r="D3353" s="1">
        <v>45991</v>
      </c>
      <c r="E3353">
        <v>3932.7</v>
      </c>
      <c r="F3353">
        <v>232.05</v>
      </c>
      <c r="G3353">
        <v>138.05000000000001</v>
      </c>
      <c r="H3353">
        <v>355</v>
      </c>
      <c r="I3353" t="s">
        <v>23</v>
      </c>
      <c r="J3353">
        <v>2025</v>
      </c>
      <c r="K3353">
        <f t="shared" si="104"/>
        <v>94</v>
      </c>
      <c r="L3353" t="str">
        <f t="shared" si="105"/>
        <v>Banca Friulana|23|Assicurazioni</v>
      </c>
    </row>
    <row r="3354" spans="1:12" x14ac:dyDescent="0.25">
      <c r="A3354" t="s">
        <v>35</v>
      </c>
      <c r="B3354">
        <v>24</v>
      </c>
      <c r="C3354" t="s">
        <v>13</v>
      </c>
      <c r="D3354" s="1">
        <v>46022</v>
      </c>
      <c r="E3354">
        <v>1086.8</v>
      </c>
      <c r="F3354">
        <v>48.91</v>
      </c>
      <c r="G3354">
        <v>31.06</v>
      </c>
      <c r="H3354">
        <v>111</v>
      </c>
      <c r="I3354" t="s">
        <v>23</v>
      </c>
      <c r="J3354">
        <v>2025</v>
      </c>
      <c r="K3354">
        <f t="shared" si="104"/>
        <v>17.849999999999998</v>
      </c>
      <c r="L3354" t="str">
        <f t="shared" si="105"/>
        <v>Banca Friulana|24|Mutui</v>
      </c>
    </row>
    <row r="3355" spans="1:12" x14ac:dyDescent="0.25">
      <c r="A3355" t="s">
        <v>35</v>
      </c>
      <c r="B3355">
        <v>24</v>
      </c>
      <c r="C3355" t="s">
        <v>15</v>
      </c>
      <c r="D3355" s="1">
        <v>46022</v>
      </c>
      <c r="E3355">
        <v>1528.3</v>
      </c>
      <c r="F3355">
        <v>72.63</v>
      </c>
      <c r="G3355">
        <v>45.27</v>
      </c>
      <c r="H3355">
        <v>144</v>
      </c>
      <c r="I3355" t="s">
        <v>23</v>
      </c>
      <c r="J3355">
        <v>2025</v>
      </c>
      <c r="K3355">
        <f t="shared" si="104"/>
        <v>27.359999999999992</v>
      </c>
      <c r="L3355" t="str">
        <f t="shared" si="105"/>
        <v>Banca Friulana|24|Prestiti</v>
      </c>
    </row>
    <row r="3356" spans="1:12" x14ac:dyDescent="0.25">
      <c r="A3356" t="s">
        <v>35</v>
      </c>
      <c r="B3356">
        <v>24</v>
      </c>
      <c r="C3356" t="s">
        <v>16</v>
      </c>
      <c r="D3356" s="1">
        <v>46022</v>
      </c>
      <c r="E3356">
        <v>1935.7</v>
      </c>
      <c r="F3356">
        <v>95.76</v>
      </c>
      <c r="G3356">
        <v>58.59</v>
      </c>
      <c r="H3356">
        <v>167</v>
      </c>
      <c r="I3356" t="s">
        <v>23</v>
      </c>
      <c r="J3356">
        <v>2025</v>
      </c>
      <c r="K3356">
        <f t="shared" si="104"/>
        <v>37.17</v>
      </c>
      <c r="L3356" t="str">
        <f t="shared" si="105"/>
        <v>Banca Friulana|24|Conti</v>
      </c>
    </row>
    <row r="3357" spans="1:12" x14ac:dyDescent="0.25">
      <c r="A3357" t="s">
        <v>35</v>
      </c>
      <c r="B3357">
        <v>24</v>
      </c>
      <c r="C3357" t="s">
        <v>17</v>
      </c>
      <c r="D3357" s="1">
        <v>46022</v>
      </c>
      <c r="E3357">
        <v>2341.5</v>
      </c>
      <c r="F3357">
        <v>120.22</v>
      </c>
      <c r="G3357">
        <v>72.75</v>
      </c>
      <c r="H3357">
        <v>202</v>
      </c>
      <c r="I3357" t="s">
        <v>23</v>
      </c>
      <c r="J3357">
        <v>2025</v>
      </c>
      <c r="K3357">
        <f t="shared" si="104"/>
        <v>47.47</v>
      </c>
      <c r="L3357" t="str">
        <f t="shared" si="105"/>
        <v>Banca Friulana|24|Carte</v>
      </c>
    </row>
    <row r="3358" spans="1:12" x14ac:dyDescent="0.25">
      <c r="A3358" t="s">
        <v>35</v>
      </c>
      <c r="B3358">
        <v>24</v>
      </c>
      <c r="C3358" t="s">
        <v>18</v>
      </c>
      <c r="D3358" s="1">
        <v>46022</v>
      </c>
      <c r="E3358">
        <v>2771</v>
      </c>
      <c r="F3358">
        <v>147.85</v>
      </c>
      <c r="G3358">
        <v>89.47</v>
      </c>
      <c r="H3358">
        <v>236</v>
      </c>
      <c r="I3358" t="s">
        <v>23</v>
      </c>
      <c r="J3358">
        <v>2025</v>
      </c>
      <c r="K3358">
        <f t="shared" si="104"/>
        <v>58.379999999999995</v>
      </c>
      <c r="L3358" t="str">
        <f t="shared" si="105"/>
        <v>Banca Friulana|24|Leasing</v>
      </c>
    </row>
    <row r="3359" spans="1:12" x14ac:dyDescent="0.25">
      <c r="A3359" t="s">
        <v>35</v>
      </c>
      <c r="B3359">
        <v>24</v>
      </c>
      <c r="C3359" t="s">
        <v>19</v>
      </c>
      <c r="D3359" s="1">
        <v>46022</v>
      </c>
      <c r="E3359">
        <v>3180.9</v>
      </c>
      <c r="F3359">
        <v>175.42</v>
      </c>
      <c r="G3359">
        <v>105.36</v>
      </c>
      <c r="H3359">
        <v>268</v>
      </c>
      <c r="I3359" t="s">
        <v>23</v>
      </c>
      <c r="J3359">
        <v>2025</v>
      </c>
      <c r="K3359">
        <f t="shared" si="104"/>
        <v>70.059999999999988</v>
      </c>
      <c r="L3359" t="str">
        <f t="shared" si="105"/>
        <v>Banca Friulana|24|Factoring</v>
      </c>
    </row>
    <row r="3360" spans="1:12" x14ac:dyDescent="0.25">
      <c r="A3360" t="s">
        <v>35</v>
      </c>
      <c r="B3360">
        <v>24</v>
      </c>
      <c r="C3360" t="s">
        <v>20</v>
      </c>
      <c r="D3360" s="1">
        <v>46022</v>
      </c>
      <c r="E3360">
        <v>3575.6</v>
      </c>
      <c r="F3360">
        <v>204.61</v>
      </c>
      <c r="G3360">
        <v>121.82</v>
      </c>
      <c r="H3360">
        <v>324</v>
      </c>
      <c r="I3360" t="s">
        <v>23</v>
      </c>
      <c r="J3360">
        <v>2025</v>
      </c>
      <c r="K3360">
        <f t="shared" si="104"/>
        <v>82.79000000000002</v>
      </c>
      <c r="L3360" t="str">
        <f t="shared" si="105"/>
        <v>Banca Friulana|24|Risparmio</v>
      </c>
    </row>
    <row r="3361" spans="1:12" x14ac:dyDescent="0.25">
      <c r="A3361" t="s">
        <v>35</v>
      </c>
      <c r="B3361">
        <v>24</v>
      </c>
      <c r="C3361" t="s">
        <v>21</v>
      </c>
      <c r="D3361" s="1">
        <v>46022</v>
      </c>
      <c r="E3361">
        <v>3968</v>
      </c>
      <c r="F3361">
        <v>234.39</v>
      </c>
      <c r="G3361">
        <v>139.6</v>
      </c>
      <c r="H3361">
        <v>371</v>
      </c>
      <c r="I3361" t="s">
        <v>23</v>
      </c>
      <c r="J3361">
        <v>2025</v>
      </c>
      <c r="K3361">
        <f t="shared" si="104"/>
        <v>94.789999999999992</v>
      </c>
      <c r="L3361" t="str">
        <f t="shared" si="105"/>
        <v>Banca Friulana|24|Assicurazioni</v>
      </c>
    </row>
    <row r="3362" spans="1:12" x14ac:dyDescent="0.25">
      <c r="A3362" t="s">
        <v>35</v>
      </c>
      <c r="B3362">
        <v>25</v>
      </c>
      <c r="C3362" t="s">
        <v>13</v>
      </c>
      <c r="D3362" s="1">
        <v>46053</v>
      </c>
      <c r="E3362">
        <v>1112.2</v>
      </c>
      <c r="F3362">
        <v>50.56</v>
      </c>
      <c r="G3362">
        <v>32.1</v>
      </c>
      <c r="H3362">
        <v>98</v>
      </c>
      <c r="I3362" t="s">
        <v>23</v>
      </c>
      <c r="J3362">
        <v>2026</v>
      </c>
      <c r="K3362">
        <f t="shared" si="104"/>
        <v>18.46</v>
      </c>
      <c r="L3362" t="str">
        <f t="shared" si="105"/>
        <v>Banca Friulana|25|Mutui</v>
      </c>
    </row>
    <row r="3363" spans="1:12" x14ac:dyDescent="0.25">
      <c r="A3363" t="s">
        <v>35</v>
      </c>
      <c r="B3363">
        <v>25</v>
      </c>
      <c r="C3363" t="s">
        <v>15</v>
      </c>
      <c r="D3363" s="1">
        <v>46053</v>
      </c>
      <c r="E3363">
        <v>1548.2</v>
      </c>
      <c r="F3363">
        <v>73.33</v>
      </c>
      <c r="G3363">
        <v>45.44</v>
      </c>
      <c r="H3363">
        <v>130</v>
      </c>
      <c r="I3363" t="s">
        <v>23</v>
      </c>
      <c r="J3363">
        <v>2026</v>
      </c>
      <c r="K3363">
        <f t="shared" si="104"/>
        <v>27.89</v>
      </c>
      <c r="L3363" t="str">
        <f t="shared" si="105"/>
        <v>Banca Friulana|25|Prestiti</v>
      </c>
    </row>
    <row r="3364" spans="1:12" x14ac:dyDescent="0.25">
      <c r="A3364" t="s">
        <v>35</v>
      </c>
      <c r="B3364">
        <v>25</v>
      </c>
      <c r="C3364" t="s">
        <v>16</v>
      </c>
      <c r="D3364" s="1">
        <v>46053</v>
      </c>
      <c r="E3364">
        <v>1909.1</v>
      </c>
      <c r="F3364">
        <v>94.4</v>
      </c>
      <c r="G3364">
        <v>57.52</v>
      </c>
      <c r="H3364">
        <v>187</v>
      </c>
      <c r="I3364" t="s">
        <v>23</v>
      </c>
      <c r="J3364">
        <v>2026</v>
      </c>
      <c r="K3364">
        <f t="shared" si="104"/>
        <v>36.880000000000003</v>
      </c>
      <c r="L3364" t="str">
        <f t="shared" si="105"/>
        <v>Banca Friulana|25|Conti</v>
      </c>
    </row>
    <row r="3365" spans="1:12" x14ac:dyDescent="0.25">
      <c r="A3365" t="s">
        <v>35</v>
      </c>
      <c r="B3365">
        <v>25</v>
      </c>
      <c r="C3365" t="s">
        <v>17</v>
      </c>
      <c r="D3365" s="1">
        <v>46053</v>
      </c>
      <c r="E3365">
        <v>2335</v>
      </c>
      <c r="F3365">
        <v>119.29</v>
      </c>
      <c r="G3365">
        <v>72.89</v>
      </c>
      <c r="H3365">
        <v>223</v>
      </c>
      <c r="I3365" t="s">
        <v>23</v>
      </c>
      <c r="J3365">
        <v>2026</v>
      </c>
      <c r="K3365">
        <f t="shared" si="104"/>
        <v>46.400000000000006</v>
      </c>
      <c r="L3365" t="str">
        <f t="shared" si="105"/>
        <v>Banca Friulana|25|Carte</v>
      </c>
    </row>
    <row r="3366" spans="1:12" x14ac:dyDescent="0.25">
      <c r="A3366" t="s">
        <v>35</v>
      </c>
      <c r="B3366">
        <v>25</v>
      </c>
      <c r="C3366" t="s">
        <v>18</v>
      </c>
      <c r="D3366" s="1">
        <v>46053</v>
      </c>
      <c r="E3366">
        <v>2754.8</v>
      </c>
      <c r="F3366">
        <v>146.41999999999999</v>
      </c>
      <c r="G3366">
        <v>89.02</v>
      </c>
      <c r="H3366">
        <v>267</v>
      </c>
      <c r="I3366" t="s">
        <v>23</v>
      </c>
      <c r="J3366">
        <v>2026</v>
      </c>
      <c r="K3366">
        <f t="shared" si="104"/>
        <v>57.399999999999991</v>
      </c>
      <c r="L3366" t="str">
        <f t="shared" si="105"/>
        <v>Banca Friulana|25|Leasing</v>
      </c>
    </row>
    <row r="3367" spans="1:12" x14ac:dyDescent="0.25">
      <c r="A3367" t="s">
        <v>35</v>
      </c>
      <c r="B3367">
        <v>25</v>
      </c>
      <c r="C3367" t="s">
        <v>19</v>
      </c>
      <c r="D3367" s="1">
        <v>46053</v>
      </c>
      <c r="E3367">
        <v>3154.6</v>
      </c>
      <c r="F3367">
        <v>174.16</v>
      </c>
      <c r="G3367">
        <v>105.01</v>
      </c>
      <c r="H3367">
        <v>304</v>
      </c>
      <c r="I3367" t="s">
        <v>23</v>
      </c>
      <c r="J3367">
        <v>2026</v>
      </c>
      <c r="K3367">
        <f t="shared" si="104"/>
        <v>69.149999999999991</v>
      </c>
      <c r="L3367" t="str">
        <f t="shared" si="105"/>
        <v>Banca Friulana|25|Factoring</v>
      </c>
    </row>
    <row r="3368" spans="1:12" x14ac:dyDescent="0.25">
      <c r="A3368" t="s">
        <v>35</v>
      </c>
      <c r="B3368">
        <v>25</v>
      </c>
      <c r="C3368" t="s">
        <v>20</v>
      </c>
      <c r="D3368" s="1">
        <v>46053</v>
      </c>
      <c r="E3368">
        <v>3626.7</v>
      </c>
      <c r="F3368">
        <v>206.8</v>
      </c>
      <c r="G3368">
        <v>123.56</v>
      </c>
      <c r="H3368">
        <v>323</v>
      </c>
      <c r="I3368" t="s">
        <v>23</v>
      </c>
      <c r="J3368">
        <v>2026</v>
      </c>
      <c r="K3368">
        <f t="shared" si="104"/>
        <v>83.240000000000009</v>
      </c>
      <c r="L3368" t="str">
        <f t="shared" si="105"/>
        <v>Banca Friulana|25|Risparmio</v>
      </c>
    </row>
    <row r="3369" spans="1:12" x14ac:dyDescent="0.25">
      <c r="A3369" t="s">
        <v>35</v>
      </c>
      <c r="B3369">
        <v>25</v>
      </c>
      <c r="C3369" t="s">
        <v>21</v>
      </c>
      <c r="D3369" s="1">
        <v>46053</v>
      </c>
      <c r="E3369">
        <v>3984.8</v>
      </c>
      <c r="F3369">
        <v>235.13</v>
      </c>
      <c r="G3369">
        <v>140.11000000000001</v>
      </c>
      <c r="H3369">
        <v>343</v>
      </c>
      <c r="I3369" t="s">
        <v>23</v>
      </c>
      <c r="J3369">
        <v>2026</v>
      </c>
      <c r="K3369">
        <f t="shared" si="104"/>
        <v>95.019999999999982</v>
      </c>
      <c r="L3369" t="str">
        <f t="shared" si="105"/>
        <v>Banca Friulana|25|Assicurazioni</v>
      </c>
    </row>
    <row r="3370" spans="1:12" x14ac:dyDescent="0.25">
      <c r="A3370" t="s">
        <v>35</v>
      </c>
      <c r="B3370">
        <v>26</v>
      </c>
      <c r="C3370" t="s">
        <v>13</v>
      </c>
      <c r="D3370" s="1">
        <v>46081</v>
      </c>
      <c r="E3370">
        <v>1100.7</v>
      </c>
      <c r="F3370">
        <v>50.45</v>
      </c>
      <c r="G3370">
        <v>31.13</v>
      </c>
      <c r="H3370">
        <v>94</v>
      </c>
      <c r="I3370" t="s">
        <v>23</v>
      </c>
      <c r="J3370">
        <v>2026</v>
      </c>
      <c r="K3370">
        <f t="shared" si="104"/>
        <v>19.320000000000004</v>
      </c>
      <c r="L3370" t="str">
        <f t="shared" si="105"/>
        <v>Banca Friulana|26|Mutui</v>
      </c>
    </row>
    <row r="3371" spans="1:12" x14ac:dyDescent="0.25">
      <c r="A3371" t="s">
        <v>35</v>
      </c>
      <c r="B3371">
        <v>26</v>
      </c>
      <c r="C3371" t="s">
        <v>15</v>
      </c>
      <c r="D3371" s="1">
        <v>46081</v>
      </c>
      <c r="E3371">
        <v>1521.6</v>
      </c>
      <c r="F3371">
        <v>72.069999999999993</v>
      </c>
      <c r="G3371">
        <v>44.72</v>
      </c>
      <c r="H3371">
        <v>143</v>
      </c>
      <c r="I3371" t="s">
        <v>23</v>
      </c>
      <c r="J3371">
        <v>2026</v>
      </c>
      <c r="K3371">
        <f t="shared" si="104"/>
        <v>27.349999999999994</v>
      </c>
      <c r="L3371" t="str">
        <f t="shared" si="105"/>
        <v>Banca Friulana|26|Prestiti</v>
      </c>
    </row>
    <row r="3372" spans="1:12" x14ac:dyDescent="0.25">
      <c r="A3372" t="s">
        <v>35</v>
      </c>
      <c r="B3372">
        <v>26</v>
      </c>
      <c r="C3372" t="s">
        <v>16</v>
      </c>
      <c r="D3372" s="1">
        <v>46081</v>
      </c>
      <c r="E3372">
        <v>1938.2</v>
      </c>
      <c r="F3372">
        <v>95.75</v>
      </c>
      <c r="G3372">
        <v>58.18</v>
      </c>
      <c r="H3372">
        <v>186</v>
      </c>
      <c r="I3372" t="s">
        <v>23</v>
      </c>
      <c r="J3372">
        <v>2026</v>
      </c>
      <c r="K3372">
        <f t="shared" si="104"/>
        <v>37.57</v>
      </c>
      <c r="L3372" t="str">
        <f t="shared" si="105"/>
        <v>Banca Friulana|26|Conti</v>
      </c>
    </row>
    <row r="3373" spans="1:12" x14ac:dyDescent="0.25">
      <c r="A3373" t="s">
        <v>35</v>
      </c>
      <c r="B3373">
        <v>26</v>
      </c>
      <c r="C3373" t="s">
        <v>17</v>
      </c>
      <c r="D3373" s="1">
        <v>46081</v>
      </c>
      <c r="E3373">
        <v>2349.3000000000002</v>
      </c>
      <c r="F3373">
        <v>120.46</v>
      </c>
      <c r="G3373">
        <v>72.87</v>
      </c>
      <c r="H3373">
        <v>201</v>
      </c>
      <c r="I3373" t="s">
        <v>23</v>
      </c>
      <c r="J3373">
        <v>2026</v>
      </c>
      <c r="K3373">
        <f t="shared" si="104"/>
        <v>47.589999999999989</v>
      </c>
      <c r="L3373" t="str">
        <f t="shared" si="105"/>
        <v>Banca Friulana|26|Carte</v>
      </c>
    </row>
    <row r="3374" spans="1:12" x14ac:dyDescent="0.25">
      <c r="A3374" t="s">
        <v>35</v>
      </c>
      <c r="B3374">
        <v>26</v>
      </c>
      <c r="C3374" t="s">
        <v>18</v>
      </c>
      <c r="D3374" s="1">
        <v>46081</v>
      </c>
      <c r="E3374">
        <v>2758.7</v>
      </c>
      <c r="F3374">
        <v>146.87</v>
      </c>
      <c r="G3374">
        <v>88.83</v>
      </c>
      <c r="H3374">
        <v>235</v>
      </c>
      <c r="I3374" t="s">
        <v>23</v>
      </c>
      <c r="J3374">
        <v>2026</v>
      </c>
      <c r="K3374">
        <f t="shared" si="104"/>
        <v>58.040000000000006</v>
      </c>
      <c r="L3374" t="str">
        <f t="shared" si="105"/>
        <v>Banca Friulana|26|Leasing</v>
      </c>
    </row>
    <row r="3375" spans="1:12" x14ac:dyDescent="0.25">
      <c r="A3375" t="s">
        <v>35</v>
      </c>
      <c r="B3375">
        <v>26</v>
      </c>
      <c r="C3375" t="s">
        <v>19</v>
      </c>
      <c r="D3375" s="1">
        <v>46081</v>
      </c>
      <c r="E3375">
        <v>3192</v>
      </c>
      <c r="F3375">
        <v>176.16</v>
      </c>
      <c r="G3375">
        <v>105.98</v>
      </c>
      <c r="H3375">
        <v>290</v>
      </c>
      <c r="I3375" t="s">
        <v>23</v>
      </c>
      <c r="J3375">
        <v>2026</v>
      </c>
      <c r="K3375">
        <f t="shared" si="104"/>
        <v>70.179999999999993</v>
      </c>
      <c r="L3375" t="str">
        <f t="shared" si="105"/>
        <v>Banca Friulana|26|Factoring</v>
      </c>
    </row>
    <row r="3376" spans="1:12" x14ac:dyDescent="0.25">
      <c r="A3376" t="s">
        <v>35</v>
      </c>
      <c r="B3376">
        <v>26</v>
      </c>
      <c r="C3376" t="s">
        <v>20</v>
      </c>
      <c r="D3376" s="1">
        <v>46081</v>
      </c>
      <c r="E3376">
        <v>3629.8</v>
      </c>
      <c r="F3376">
        <v>207.46</v>
      </c>
      <c r="G3376">
        <v>123.71</v>
      </c>
      <c r="H3376">
        <v>317</v>
      </c>
      <c r="I3376" t="s">
        <v>23</v>
      </c>
      <c r="J3376">
        <v>2026</v>
      </c>
      <c r="K3376">
        <f t="shared" si="104"/>
        <v>83.750000000000014</v>
      </c>
      <c r="L3376" t="str">
        <f t="shared" si="105"/>
        <v>Banca Friulana|26|Risparmio</v>
      </c>
    </row>
    <row r="3377" spans="1:12" x14ac:dyDescent="0.25">
      <c r="A3377" t="s">
        <v>35</v>
      </c>
      <c r="B3377">
        <v>26</v>
      </c>
      <c r="C3377" t="s">
        <v>21</v>
      </c>
      <c r="D3377" s="1">
        <v>46081</v>
      </c>
      <c r="E3377">
        <v>4031.4</v>
      </c>
      <c r="F3377">
        <v>237.96</v>
      </c>
      <c r="G3377">
        <v>141.9</v>
      </c>
      <c r="H3377">
        <v>359</v>
      </c>
      <c r="I3377" t="s">
        <v>23</v>
      </c>
      <c r="J3377">
        <v>2026</v>
      </c>
      <c r="K3377">
        <f t="shared" si="104"/>
        <v>96.06</v>
      </c>
      <c r="L3377" t="str">
        <f t="shared" si="105"/>
        <v>Banca Friulana|26|Assicurazioni</v>
      </c>
    </row>
    <row r="3378" spans="1:12" x14ac:dyDescent="0.25">
      <c r="A3378" t="s">
        <v>35</v>
      </c>
      <c r="B3378">
        <v>27</v>
      </c>
      <c r="C3378" t="s">
        <v>13</v>
      </c>
      <c r="D3378" s="1">
        <v>46112</v>
      </c>
      <c r="E3378">
        <v>1104.5</v>
      </c>
      <c r="F3378">
        <v>49.77</v>
      </c>
      <c r="G3378">
        <v>31.42</v>
      </c>
      <c r="H3378">
        <v>119</v>
      </c>
      <c r="I3378" t="s">
        <v>23</v>
      </c>
      <c r="J3378">
        <v>2026</v>
      </c>
      <c r="K3378">
        <f t="shared" si="104"/>
        <v>18.350000000000001</v>
      </c>
      <c r="L3378" t="str">
        <f t="shared" si="105"/>
        <v>Banca Friulana|27|Mutui</v>
      </c>
    </row>
    <row r="3379" spans="1:12" x14ac:dyDescent="0.25">
      <c r="A3379" t="s">
        <v>35</v>
      </c>
      <c r="B3379">
        <v>27</v>
      </c>
      <c r="C3379" t="s">
        <v>15</v>
      </c>
      <c r="D3379" s="1">
        <v>46112</v>
      </c>
      <c r="E3379">
        <v>1545.9</v>
      </c>
      <c r="F3379">
        <v>72.709999999999994</v>
      </c>
      <c r="G3379">
        <v>45.45</v>
      </c>
      <c r="H3379">
        <v>143</v>
      </c>
      <c r="I3379" t="s">
        <v>23</v>
      </c>
      <c r="J3379">
        <v>2026</v>
      </c>
      <c r="K3379">
        <f t="shared" si="104"/>
        <v>27.259999999999991</v>
      </c>
      <c r="L3379" t="str">
        <f t="shared" si="105"/>
        <v>Banca Friulana|27|Prestiti</v>
      </c>
    </row>
    <row r="3380" spans="1:12" x14ac:dyDescent="0.25">
      <c r="A3380" t="s">
        <v>35</v>
      </c>
      <c r="B3380">
        <v>27</v>
      </c>
      <c r="C3380" t="s">
        <v>16</v>
      </c>
      <c r="D3380" s="1">
        <v>46112</v>
      </c>
      <c r="E3380">
        <v>1968.6</v>
      </c>
      <c r="F3380">
        <v>97.45</v>
      </c>
      <c r="G3380">
        <v>59.55</v>
      </c>
      <c r="H3380">
        <v>168</v>
      </c>
      <c r="I3380" t="s">
        <v>23</v>
      </c>
      <c r="J3380">
        <v>2026</v>
      </c>
      <c r="K3380">
        <f t="shared" si="104"/>
        <v>37.900000000000006</v>
      </c>
      <c r="L3380" t="str">
        <f t="shared" si="105"/>
        <v>Banca Friulana|27|Conti</v>
      </c>
    </row>
    <row r="3381" spans="1:12" x14ac:dyDescent="0.25">
      <c r="A3381" t="s">
        <v>35</v>
      </c>
      <c r="B3381">
        <v>27</v>
      </c>
      <c r="C3381" t="s">
        <v>17</v>
      </c>
      <c r="D3381" s="1">
        <v>46112</v>
      </c>
      <c r="E3381">
        <v>2376.8000000000002</v>
      </c>
      <c r="F3381">
        <v>121.59</v>
      </c>
      <c r="G3381">
        <v>73.87</v>
      </c>
      <c r="H3381">
        <v>226</v>
      </c>
      <c r="I3381" t="s">
        <v>23</v>
      </c>
      <c r="J3381">
        <v>2026</v>
      </c>
      <c r="K3381">
        <f t="shared" si="104"/>
        <v>47.72</v>
      </c>
      <c r="L3381" t="str">
        <f t="shared" si="105"/>
        <v>Banca Friulana|27|Carte</v>
      </c>
    </row>
    <row r="3382" spans="1:12" x14ac:dyDescent="0.25">
      <c r="A3382" t="s">
        <v>35</v>
      </c>
      <c r="B3382">
        <v>27</v>
      </c>
      <c r="C3382" t="s">
        <v>18</v>
      </c>
      <c r="D3382" s="1">
        <v>46112</v>
      </c>
      <c r="E3382">
        <v>2786.5</v>
      </c>
      <c r="F3382">
        <v>148.6</v>
      </c>
      <c r="G3382">
        <v>90.12</v>
      </c>
      <c r="H3382">
        <v>262</v>
      </c>
      <c r="I3382" t="s">
        <v>23</v>
      </c>
      <c r="J3382">
        <v>2026</v>
      </c>
      <c r="K3382">
        <f t="shared" si="104"/>
        <v>58.47999999999999</v>
      </c>
      <c r="L3382" t="str">
        <f t="shared" si="105"/>
        <v>Banca Friulana|27|Leasing</v>
      </c>
    </row>
    <row r="3383" spans="1:12" x14ac:dyDescent="0.25">
      <c r="A3383" t="s">
        <v>35</v>
      </c>
      <c r="B3383">
        <v>27</v>
      </c>
      <c r="C3383" t="s">
        <v>19</v>
      </c>
      <c r="D3383" s="1">
        <v>46112</v>
      </c>
      <c r="E3383">
        <v>3223</v>
      </c>
      <c r="F3383">
        <v>177.74</v>
      </c>
      <c r="G3383">
        <v>106.96</v>
      </c>
      <c r="H3383">
        <v>276</v>
      </c>
      <c r="I3383" t="s">
        <v>23</v>
      </c>
      <c r="J3383">
        <v>2026</v>
      </c>
      <c r="K3383">
        <f t="shared" si="104"/>
        <v>70.780000000000015</v>
      </c>
      <c r="L3383" t="str">
        <f t="shared" si="105"/>
        <v>Banca Friulana|27|Factoring</v>
      </c>
    </row>
    <row r="3384" spans="1:12" x14ac:dyDescent="0.25">
      <c r="A3384" t="s">
        <v>35</v>
      </c>
      <c r="B3384">
        <v>27</v>
      </c>
      <c r="C3384" t="s">
        <v>20</v>
      </c>
      <c r="D3384" s="1">
        <v>46112</v>
      </c>
      <c r="E3384">
        <v>3659.2</v>
      </c>
      <c r="F3384">
        <v>209.42</v>
      </c>
      <c r="G3384">
        <v>124.84</v>
      </c>
      <c r="H3384">
        <v>337</v>
      </c>
      <c r="I3384" t="s">
        <v>23</v>
      </c>
      <c r="J3384">
        <v>2026</v>
      </c>
      <c r="K3384">
        <f t="shared" si="104"/>
        <v>84.579999999999984</v>
      </c>
      <c r="L3384" t="str">
        <f t="shared" si="105"/>
        <v>Banca Friulana|27|Risparmio</v>
      </c>
    </row>
    <row r="3385" spans="1:12" x14ac:dyDescent="0.25">
      <c r="A3385" t="s">
        <v>35</v>
      </c>
      <c r="B3385">
        <v>27</v>
      </c>
      <c r="C3385" t="s">
        <v>21</v>
      </c>
      <c r="D3385" s="1">
        <v>46112</v>
      </c>
      <c r="E3385">
        <v>4078.5</v>
      </c>
      <c r="F3385">
        <v>240.8</v>
      </c>
      <c r="G3385">
        <v>143.61000000000001</v>
      </c>
      <c r="H3385">
        <v>357</v>
      </c>
      <c r="I3385" t="s">
        <v>23</v>
      </c>
      <c r="J3385">
        <v>2026</v>
      </c>
      <c r="K3385">
        <f t="shared" si="104"/>
        <v>97.19</v>
      </c>
      <c r="L3385" t="str">
        <f t="shared" si="105"/>
        <v>Banca Friulana|27|Assicurazioni</v>
      </c>
    </row>
    <row r="3386" spans="1:12" x14ac:dyDescent="0.25">
      <c r="A3386" t="s">
        <v>35</v>
      </c>
      <c r="B3386">
        <v>28</v>
      </c>
      <c r="C3386" t="s">
        <v>13</v>
      </c>
      <c r="D3386" s="1">
        <v>46142</v>
      </c>
      <c r="E3386">
        <v>1118.5999999999999</v>
      </c>
      <c r="F3386">
        <v>51.31</v>
      </c>
      <c r="G3386">
        <v>31.55</v>
      </c>
      <c r="H3386">
        <v>94</v>
      </c>
      <c r="I3386" t="s">
        <v>23</v>
      </c>
      <c r="J3386">
        <v>2026</v>
      </c>
      <c r="K3386">
        <f t="shared" si="104"/>
        <v>19.760000000000002</v>
      </c>
      <c r="L3386" t="str">
        <f t="shared" si="105"/>
        <v>Banca Friulana|28|Mutui</v>
      </c>
    </row>
    <row r="3387" spans="1:12" x14ac:dyDescent="0.25">
      <c r="A3387" t="s">
        <v>35</v>
      </c>
      <c r="B3387">
        <v>28</v>
      </c>
      <c r="C3387" t="s">
        <v>15</v>
      </c>
      <c r="D3387" s="1">
        <v>46142</v>
      </c>
      <c r="E3387">
        <v>1564.9</v>
      </c>
      <c r="F3387">
        <v>73.62</v>
      </c>
      <c r="G3387">
        <v>45.5</v>
      </c>
      <c r="H3387">
        <v>128</v>
      </c>
      <c r="I3387" t="s">
        <v>23</v>
      </c>
      <c r="J3387">
        <v>2026</v>
      </c>
      <c r="K3387">
        <f t="shared" si="104"/>
        <v>28.120000000000005</v>
      </c>
      <c r="L3387" t="str">
        <f t="shared" si="105"/>
        <v>Banca Friulana|28|Prestiti</v>
      </c>
    </row>
    <row r="3388" spans="1:12" x14ac:dyDescent="0.25">
      <c r="A3388" t="s">
        <v>35</v>
      </c>
      <c r="B3388">
        <v>28</v>
      </c>
      <c r="C3388" t="s">
        <v>16</v>
      </c>
      <c r="D3388" s="1">
        <v>46142</v>
      </c>
      <c r="E3388">
        <v>1950.7</v>
      </c>
      <c r="F3388">
        <v>96.5</v>
      </c>
      <c r="G3388">
        <v>58.55</v>
      </c>
      <c r="H3388">
        <v>177</v>
      </c>
      <c r="I3388" t="s">
        <v>23</v>
      </c>
      <c r="J3388">
        <v>2026</v>
      </c>
      <c r="K3388">
        <f t="shared" si="104"/>
        <v>37.950000000000003</v>
      </c>
      <c r="L3388" t="str">
        <f t="shared" si="105"/>
        <v>Banca Friulana|28|Conti</v>
      </c>
    </row>
    <row r="3389" spans="1:12" x14ac:dyDescent="0.25">
      <c r="A3389" t="s">
        <v>35</v>
      </c>
      <c r="B3389">
        <v>28</v>
      </c>
      <c r="C3389" t="s">
        <v>17</v>
      </c>
      <c r="D3389" s="1">
        <v>46142</v>
      </c>
      <c r="E3389">
        <v>2370.6</v>
      </c>
      <c r="F3389">
        <v>121.02</v>
      </c>
      <c r="G3389">
        <v>74.19</v>
      </c>
      <c r="H3389">
        <v>205</v>
      </c>
      <c r="I3389" t="s">
        <v>23</v>
      </c>
      <c r="J3389">
        <v>2026</v>
      </c>
      <c r="K3389">
        <f t="shared" si="104"/>
        <v>46.83</v>
      </c>
      <c r="L3389" t="str">
        <f t="shared" si="105"/>
        <v>Banca Friulana|28|Carte</v>
      </c>
    </row>
    <row r="3390" spans="1:12" x14ac:dyDescent="0.25">
      <c r="A3390" t="s">
        <v>35</v>
      </c>
      <c r="B3390">
        <v>28</v>
      </c>
      <c r="C3390" t="s">
        <v>18</v>
      </c>
      <c r="D3390" s="1">
        <v>46142</v>
      </c>
      <c r="E3390">
        <v>2835.3</v>
      </c>
      <c r="F3390">
        <v>150.71</v>
      </c>
      <c r="G3390">
        <v>91.06</v>
      </c>
      <c r="H3390">
        <v>259</v>
      </c>
      <c r="I3390" t="s">
        <v>23</v>
      </c>
      <c r="J3390">
        <v>2026</v>
      </c>
      <c r="K3390">
        <f t="shared" si="104"/>
        <v>59.650000000000006</v>
      </c>
      <c r="L3390" t="str">
        <f t="shared" si="105"/>
        <v>Banca Friulana|28|Leasing</v>
      </c>
    </row>
    <row r="3391" spans="1:12" x14ac:dyDescent="0.25">
      <c r="A3391" t="s">
        <v>35</v>
      </c>
      <c r="B3391">
        <v>28</v>
      </c>
      <c r="C3391" t="s">
        <v>19</v>
      </c>
      <c r="D3391" s="1">
        <v>46142</v>
      </c>
      <c r="E3391">
        <v>3231.4</v>
      </c>
      <c r="F3391">
        <v>178.29</v>
      </c>
      <c r="G3391">
        <v>107.19</v>
      </c>
      <c r="H3391">
        <v>285</v>
      </c>
      <c r="I3391" t="s">
        <v>23</v>
      </c>
      <c r="J3391">
        <v>2026</v>
      </c>
      <c r="K3391">
        <f t="shared" si="104"/>
        <v>71.099999999999994</v>
      </c>
      <c r="L3391" t="str">
        <f t="shared" si="105"/>
        <v>Banca Friulana|28|Factoring</v>
      </c>
    </row>
    <row r="3392" spans="1:12" x14ac:dyDescent="0.25">
      <c r="A3392" t="s">
        <v>35</v>
      </c>
      <c r="B3392">
        <v>28</v>
      </c>
      <c r="C3392" t="s">
        <v>20</v>
      </c>
      <c r="D3392" s="1">
        <v>46142</v>
      </c>
      <c r="E3392">
        <v>3675</v>
      </c>
      <c r="F3392">
        <v>209.99</v>
      </c>
      <c r="G3392">
        <v>125.57</v>
      </c>
      <c r="H3392">
        <v>317</v>
      </c>
      <c r="I3392" t="s">
        <v>23</v>
      </c>
      <c r="J3392">
        <v>2026</v>
      </c>
      <c r="K3392">
        <f t="shared" si="104"/>
        <v>84.420000000000016</v>
      </c>
      <c r="L3392" t="str">
        <f t="shared" si="105"/>
        <v>Banca Friulana|28|Risparmio</v>
      </c>
    </row>
    <row r="3393" spans="1:12" x14ac:dyDescent="0.25">
      <c r="A3393" t="s">
        <v>35</v>
      </c>
      <c r="B3393">
        <v>28</v>
      </c>
      <c r="C3393" t="s">
        <v>21</v>
      </c>
      <c r="D3393" s="1">
        <v>46142</v>
      </c>
      <c r="E3393">
        <v>4071.7</v>
      </c>
      <c r="F3393">
        <v>240.91</v>
      </c>
      <c r="G3393">
        <v>143.38999999999999</v>
      </c>
      <c r="H3393">
        <v>339</v>
      </c>
      <c r="I3393" t="s">
        <v>23</v>
      </c>
      <c r="J3393">
        <v>2026</v>
      </c>
      <c r="K3393">
        <f t="shared" si="104"/>
        <v>97.52000000000001</v>
      </c>
      <c r="L3393" t="str">
        <f t="shared" si="105"/>
        <v>Banca Friulana|28|Assicurazioni</v>
      </c>
    </row>
    <row r="3394" spans="1:12" x14ac:dyDescent="0.25">
      <c r="A3394" t="s">
        <v>35</v>
      </c>
      <c r="B3394">
        <v>29</v>
      </c>
      <c r="C3394" t="s">
        <v>13</v>
      </c>
      <c r="D3394" s="1">
        <v>46173</v>
      </c>
      <c r="E3394">
        <v>1141.7</v>
      </c>
      <c r="F3394">
        <v>51.74</v>
      </c>
      <c r="G3394">
        <v>32.520000000000003</v>
      </c>
      <c r="H3394">
        <v>100</v>
      </c>
      <c r="I3394" t="s">
        <v>23</v>
      </c>
      <c r="J3394">
        <v>2026</v>
      </c>
      <c r="K3394">
        <f t="shared" ref="K3394:K3457" si="106">F3394-G3394</f>
        <v>19.22</v>
      </c>
      <c r="L3394" t="str">
        <f t="shared" ref="L3394:L3457" si="107">A3394&amp;"|"&amp;B3394&amp;"|"&amp;C3394</f>
        <v>Banca Friulana|29|Mutui</v>
      </c>
    </row>
    <row r="3395" spans="1:12" x14ac:dyDescent="0.25">
      <c r="A3395" t="s">
        <v>35</v>
      </c>
      <c r="B3395">
        <v>29</v>
      </c>
      <c r="C3395" t="s">
        <v>15</v>
      </c>
      <c r="D3395" s="1">
        <v>46173</v>
      </c>
      <c r="E3395">
        <v>1569.6</v>
      </c>
      <c r="F3395">
        <v>74.59</v>
      </c>
      <c r="G3395">
        <v>45.52</v>
      </c>
      <c r="H3395">
        <v>164</v>
      </c>
      <c r="I3395" t="s">
        <v>23</v>
      </c>
      <c r="J3395">
        <v>2026</v>
      </c>
      <c r="K3395">
        <f t="shared" si="106"/>
        <v>29.07</v>
      </c>
      <c r="L3395" t="str">
        <f t="shared" si="107"/>
        <v>Banca Friulana|29|Prestiti</v>
      </c>
    </row>
    <row r="3396" spans="1:12" x14ac:dyDescent="0.25">
      <c r="A3396" t="s">
        <v>35</v>
      </c>
      <c r="B3396">
        <v>29</v>
      </c>
      <c r="C3396" t="s">
        <v>16</v>
      </c>
      <c r="D3396" s="1">
        <v>46173</v>
      </c>
      <c r="E3396">
        <v>1974.2</v>
      </c>
      <c r="F3396">
        <v>97.21</v>
      </c>
      <c r="G3396">
        <v>59.84</v>
      </c>
      <c r="H3396">
        <v>195</v>
      </c>
      <c r="I3396" t="s">
        <v>23</v>
      </c>
      <c r="J3396">
        <v>2026</v>
      </c>
      <c r="K3396">
        <f t="shared" si="106"/>
        <v>37.36999999999999</v>
      </c>
      <c r="L3396" t="str">
        <f t="shared" si="107"/>
        <v>Banca Friulana|29|Conti</v>
      </c>
    </row>
    <row r="3397" spans="1:12" x14ac:dyDescent="0.25">
      <c r="A3397" t="s">
        <v>35</v>
      </c>
      <c r="B3397">
        <v>29</v>
      </c>
      <c r="C3397" t="s">
        <v>17</v>
      </c>
      <c r="D3397" s="1">
        <v>46173</v>
      </c>
      <c r="E3397">
        <v>2435.5</v>
      </c>
      <c r="F3397">
        <v>124.86</v>
      </c>
      <c r="G3397">
        <v>76.03</v>
      </c>
      <c r="H3397">
        <v>229</v>
      </c>
      <c r="I3397" t="s">
        <v>23</v>
      </c>
      <c r="J3397">
        <v>2026</v>
      </c>
      <c r="K3397">
        <f t="shared" si="106"/>
        <v>48.83</v>
      </c>
      <c r="L3397" t="str">
        <f t="shared" si="107"/>
        <v>Banca Friulana|29|Carte</v>
      </c>
    </row>
    <row r="3398" spans="1:12" x14ac:dyDescent="0.25">
      <c r="A3398" t="s">
        <v>35</v>
      </c>
      <c r="B3398">
        <v>29</v>
      </c>
      <c r="C3398" t="s">
        <v>18</v>
      </c>
      <c r="D3398" s="1">
        <v>46173</v>
      </c>
      <c r="E3398">
        <v>2848.5</v>
      </c>
      <c r="F3398">
        <v>151.49</v>
      </c>
      <c r="G3398">
        <v>91.76</v>
      </c>
      <c r="H3398">
        <v>250</v>
      </c>
      <c r="I3398" t="s">
        <v>23</v>
      </c>
      <c r="J3398">
        <v>2026</v>
      </c>
      <c r="K3398">
        <f t="shared" si="106"/>
        <v>59.730000000000004</v>
      </c>
      <c r="L3398" t="str">
        <f t="shared" si="107"/>
        <v>Banca Friulana|29|Leasing</v>
      </c>
    </row>
    <row r="3399" spans="1:12" x14ac:dyDescent="0.25">
      <c r="A3399" t="s">
        <v>35</v>
      </c>
      <c r="B3399">
        <v>29</v>
      </c>
      <c r="C3399" t="s">
        <v>19</v>
      </c>
      <c r="D3399" s="1">
        <v>46173</v>
      </c>
      <c r="E3399">
        <v>3297.1</v>
      </c>
      <c r="F3399">
        <v>181.63</v>
      </c>
      <c r="G3399">
        <v>109.39</v>
      </c>
      <c r="H3399">
        <v>277</v>
      </c>
      <c r="I3399" t="s">
        <v>23</v>
      </c>
      <c r="J3399">
        <v>2026</v>
      </c>
      <c r="K3399">
        <f t="shared" si="106"/>
        <v>72.239999999999995</v>
      </c>
      <c r="L3399" t="str">
        <f t="shared" si="107"/>
        <v>Banca Friulana|29|Factoring</v>
      </c>
    </row>
    <row r="3400" spans="1:12" x14ac:dyDescent="0.25">
      <c r="A3400" t="s">
        <v>35</v>
      </c>
      <c r="B3400">
        <v>29</v>
      </c>
      <c r="C3400" t="s">
        <v>20</v>
      </c>
      <c r="D3400" s="1">
        <v>46173</v>
      </c>
      <c r="E3400">
        <v>3711.6</v>
      </c>
      <c r="F3400">
        <v>211.8</v>
      </c>
      <c r="G3400">
        <v>126.78</v>
      </c>
      <c r="H3400">
        <v>326</v>
      </c>
      <c r="I3400" t="s">
        <v>23</v>
      </c>
      <c r="J3400">
        <v>2026</v>
      </c>
      <c r="K3400">
        <f t="shared" si="106"/>
        <v>85.02000000000001</v>
      </c>
      <c r="L3400" t="str">
        <f t="shared" si="107"/>
        <v>Banca Friulana|29|Risparmio</v>
      </c>
    </row>
    <row r="3401" spans="1:12" x14ac:dyDescent="0.25">
      <c r="A3401" t="s">
        <v>35</v>
      </c>
      <c r="B3401">
        <v>29</v>
      </c>
      <c r="C3401" t="s">
        <v>21</v>
      </c>
      <c r="D3401" s="1">
        <v>46173</v>
      </c>
      <c r="E3401">
        <v>4145.3999999999996</v>
      </c>
      <c r="F3401">
        <v>245.47</v>
      </c>
      <c r="G3401">
        <v>145.19999999999999</v>
      </c>
      <c r="H3401">
        <v>338</v>
      </c>
      <c r="I3401" t="s">
        <v>23</v>
      </c>
      <c r="J3401">
        <v>2026</v>
      </c>
      <c r="K3401">
        <f t="shared" si="106"/>
        <v>100.27000000000001</v>
      </c>
      <c r="L3401" t="str">
        <f t="shared" si="107"/>
        <v>Banca Friulana|29|Assicurazioni</v>
      </c>
    </row>
    <row r="3402" spans="1:12" x14ac:dyDescent="0.25">
      <c r="A3402" t="s">
        <v>35</v>
      </c>
      <c r="B3402">
        <v>30</v>
      </c>
      <c r="C3402" t="s">
        <v>13</v>
      </c>
      <c r="D3402" s="1">
        <v>46203</v>
      </c>
      <c r="E3402">
        <v>1162.5</v>
      </c>
      <c r="F3402">
        <v>52.87</v>
      </c>
      <c r="G3402">
        <v>33.159999999999997</v>
      </c>
      <c r="H3402">
        <v>102</v>
      </c>
      <c r="I3402" t="s">
        <v>23</v>
      </c>
      <c r="J3402">
        <v>2026</v>
      </c>
      <c r="K3402">
        <f t="shared" si="106"/>
        <v>19.71</v>
      </c>
      <c r="L3402" t="str">
        <f t="shared" si="107"/>
        <v>Banca Friulana|30|Mutui</v>
      </c>
    </row>
    <row r="3403" spans="1:12" x14ac:dyDescent="0.25">
      <c r="A3403" t="s">
        <v>35</v>
      </c>
      <c r="B3403">
        <v>30</v>
      </c>
      <c r="C3403" t="s">
        <v>15</v>
      </c>
      <c r="D3403" s="1">
        <v>46203</v>
      </c>
      <c r="E3403">
        <v>1596</v>
      </c>
      <c r="F3403">
        <v>75.91</v>
      </c>
      <c r="G3403">
        <v>47.03</v>
      </c>
      <c r="H3403">
        <v>151</v>
      </c>
      <c r="I3403" t="s">
        <v>23</v>
      </c>
      <c r="J3403">
        <v>2026</v>
      </c>
      <c r="K3403">
        <f t="shared" si="106"/>
        <v>28.879999999999995</v>
      </c>
      <c r="L3403" t="str">
        <f t="shared" si="107"/>
        <v>Banca Friulana|30|Prestiti</v>
      </c>
    </row>
    <row r="3404" spans="1:12" x14ac:dyDescent="0.25">
      <c r="A3404" t="s">
        <v>35</v>
      </c>
      <c r="B3404">
        <v>30</v>
      </c>
      <c r="C3404" t="s">
        <v>16</v>
      </c>
      <c r="D3404" s="1">
        <v>46203</v>
      </c>
      <c r="E3404">
        <v>2002.1</v>
      </c>
      <c r="F3404">
        <v>98.25</v>
      </c>
      <c r="G3404">
        <v>60.12</v>
      </c>
      <c r="H3404">
        <v>181</v>
      </c>
      <c r="I3404" t="s">
        <v>23</v>
      </c>
      <c r="J3404">
        <v>2026</v>
      </c>
      <c r="K3404">
        <f t="shared" si="106"/>
        <v>38.130000000000003</v>
      </c>
      <c r="L3404" t="str">
        <f t="shared" si="107"/>
        <v>Banca Friulana|30|Conti</v>
      </c>
    </row>
    <row r="3405" spans="1:12" x14ac:dyDescent="0.25">
      <c r="A3405" t="s">
        <v>35</v>
      </c>
      <c r="B3405">
        <v>30</v>
      </c>
      <c r="C3405" t="s">
        <v>17</v>
      </c>
      <c r="D3405" s="1">
        <v>46203</v>
      </c>
      <c r="E3405">
        <v>2417.8000000000002</v>
      </c>
      <c r="F3405">
        <v>124.07</v>
      </c>
      <c r="G3405">
        <v>75.03</v>
      </c>
      <c r="H3405">
        <v>205</v>
      </c>
      <c r="I3405" t="s">
        <v>23</v>
      </c>
      <c r="J3405">
        <v>2026</v>
      </c>
      <c r="K3405">
        <f t="shared" si="106"/>
        <v>49.039999999999992</v>
      </c>
      <c r="L3405" t="str">
        <f t="shared" si="107"/>
        <v>Banca Friulana|30|Carte</v>
      </c>
    </row>
    <row r="3406" spans="1:12" x14ac:dyDescent="0.25">
      <c r="A3406" t="s">
        <v>35</v>
      </c>
      <c r="B3406">
        <v>30</v>
      </c>
      <c r="C3406" t="s">
        <v>18</v>
      </c>
      <c r="D3406" s="1">
        <v>46203</v>
      </c>
      <c r="E3406">
        <v>2831.8</v>
      </c>
      <c r="F3406">
        <v>150.31</v>
      </c>
      <c r="G3406">
        <v>91.32</v>
      </c>
      <c r="H3406">
        <v>237</v>
      </c>
      <c r="I3406" t="s">
        <v>23</v>
      </c>
      <c r="J3406">
        <v>2026</v>
      </c>
      <c r="K3406">
        <f t="shared" si="106"/>
        <v>58.990000000000009</v>
      </c>
      <c r="L3406" t="str">
        <f t="shared" si="107"/>
        <v>Banca Friulana|30|Leasing</v>
      </c>
    </row>
    <row r="3407" spans="1:12" x14ac:dyDescent="0.25">
      <c r="A3407" t="s">
        <v>35</v>
      </c>
      <c r="B3407">
        <v>30</v>
      </c>
      <c r="C3407" t="s">
        <v>19</v>
      </c>
      <c r="D3407" s="1">
        <v>46203</v>
      </c>
      <c r="E3407">
        <v>3289.2</v>
      </c>
      <c r="F3407">
        <v>181.79</v>
      </c>
      <c r="G3407">
        <v>109.49</v>
      </c>
      <c r="H3407">
        <v>303</v>
      </c>
      <c r="I3407" t="s">
        <v>23</v>
      </c>
      <c r="J3407">
        <v>2026</v>
      </c>
      <c r="K3407">
        <f t="shared" si="106"/>
        <v>72.3</v>
      </c>
      <c r="L3407" t="str">
        <f t="shared" si="107"/>
        <v>Banca Friulana|30|Factoring</v>
      </c>
    </row>
    <row r="3408" spans="1:12" x14ac:dyDescent="0.25">
      <c r="A3408" t="s">
        <v>35</v>
      </c>
      <c r="B3408">
        <v>30</v>
      </c>
      <c r="C3408" t="s">
        <v>20</v>
      </c>
      <c r="D3408" s="1">
        <v>46203</v>
      </c>
      <c r="E3408">
        <v>3731.6</v>
      </c>
      <c r="F3408">
        <v>213.23</v>
      </c>
      <c r="G3408">
        <v>127.32</v>
      </c>
      <c r="H3408">
        <v>300</v>
      </c>
      <c r="I3408" t="s">
        <v>23</v>
      </c>
      <c r="J3408">
        <v>2026</v>
      </c>
      <c r="K3408">
        <f t="shared" si="106"/>
        <v>85.91</v>
      </c>
      <c r="L3408" t="str">
        <f t="shared" si="107"/>
        <v>Banca Friulana|30|Risparmio</v>
      </c>
    </row>
    <row r="3409" spans="1:12" x14ac:dyDescent="0.25">
      <c r="A3409" t="s">
        <v>35</v>
      </c>
      <c r="B3409">
        <v>30</v>
      </c>
      <c r="C3409" t="s">
        <v>21</v>
      </c>
      <c r="D3409" s="1">
        <v>46203</v>
      </c>
      <c r="E3409">
        <v>4138.7</v>
      </c>
      <c r="F3409">
        <v>245.1</v>
      </c>
      <c r="G3409">
        <v>145.19999999999999</v>
      </c>
      <c r="H3409">
        <v>358</v>
      </c>
      <c r="I3409" t="s">
        <v>23</v>
      </c>
      <c r="J3409">
        <v>2026</v>
      </c>
      <c r="K3409">
        <f t="shared" si="106"/>
        <v>99.9</v>
      </c>
      <c r="L3409" t="str">
        <f t="shared" si="107"/>
        <v>Banca Friulana|30|Assicurazioni</v>
      </c>
    </row>
    <row r="3410" spans="1:12" x14ac:dyDescent="0.25">
      <c r="A3410" t="s">
        <v>35</v>
      </c>
      <c r="B3410">
        <v>31</v>
      </c>
      <c r="C3410" t="s">
        <v>13</v>
      </c>
      <c r="D3410" s="1">
        <v>46234</v>
      </c>
      <c r="E3410">
        <v>1142.3</v>
      </c>
      <c r="F3410">
        <v>51.94</v>
      </c>
      <c r="G3410">
        <v>32.96</v>
      </c>
      <c r="H3410">
        <v>124</v>
      </c>
      <c r="I3410" t="s">
        <v>23</v>
      </c>
      <c r="J3410">
        <v>2026</v>
      </c>
      <c r="K3410">
        <f t="shared" si="106"/>
        <v>18.979999999999997</v>
      </c>
      <c r="L3410" t="str">
        <f t="shared" si="107"/>
        <v>Banca Friulana|31|Mutui</v>
      </c>
    </row>
    <row r="3411" spans="1:12" x14ac:dyDescent="0.25">
      <c r="A3411" t="s">
        <v>35</v>
      </c>
      <c r="B3411">
        <v>31</v>
      </c>
      <c r="C3411" t="s">
        <v>15</v>
      </c>
      <c r="D3411" s="1">
        <v>46234</v>
      </c>
      <c r="E3411">
        <v>1565.1</v>
      </c>
      <c r="F3411">
        <v>73.739999999999995</v>
      </c>
      <c r="G3411">
        <v>45.47</v>
      </c>
      <c r="H3411">
        <v>142</v>
      </c>
      <c r="I3411" t="s">
        <v>23</v>
      </c>
      <c r="J3411">
        <v>2026</v>
      </c>
      <c r="K3411">
        <f t="shared" si="106"/>
        <v>28.269999999999996</v>
      </c>
      <c r="L3411" t="str">
        <f t="shared" si="107"/>
        <v>Banca Friulana|31|Prestiti</v>
      </c>
    </row>
    <row r="3412" spans="1:12" x14ac:dyDescent="0.25">
      <c r="A3412" t="s">
        <v>35</v>
      </c>
      <c r="B3412">
        <v>31</v>
      </c>
      <c r="C3412" t="s">
        <v>16</v>
      </c>
      <c r="D3412" s="1">
        <v>46234</v>
      </c>
      <c r="E3412">
        <v>2024.8</v>
      </c>
      <c r="F3412">
        <v>100.02</v>
      </c>
      <c r="G3412">
        <v>61.63</v>
      </c>
      <c r="H3412">
        <v>163</v>
      </c>
      <c r="I3412" t="s">
        <v>23</v>
      </c>
      <c r="J3412">
        <v>2026</v>
      </c>
      <c r="K3412">
        <f t="shared" si="106"/>
        <v>38.389999999999993</v>
      </c>
      <c r="L3412" t="str">
        <f t="shared" si="107"/>
        <v>Banca Friulana|31|Conti</v>
      </c>
    </row>
    <row r="3413" spans="1:12" x14ac:dyDescent="0.25">
      <c r="A3413" t="s">
        <v>35</v>
      </c>
      <c r="B3413">
        <v>31</v>
      </c>
      <c r="C3413" t="s">
        <v>17</v>
      </c>
      <c r="D3413" s="1">
        <v>46234</v>
      </c>
      <c r="E3413">
        <v>2457.3000000000002</v>
      </c>
      <c r="F3413">
        <v>126.18</v>
      </c>
      <c r="G3413">
        <v>76.62</v>
      </c>
      <c r="H3413">
        <v>227</v>
      </c>
      <c r="I3413" t="s">
        <v>23</v>
      </c>
      <c r="J3413">
        <v>2026</v>
      </c>
      <c r="K3413">
        <f t="shared" si="106"/>
        <v>49.56</v>
      </c>
      <c r="L3413" t="str">
        <f t="shared" si="107"/>
        <v>Banca Friulana|31|Carte</v>
      </c>
    </row>
    <row r="3414" spans="1:12" x14ac:dyDescent="0.25">
      <c r="A3414" t="s">
        <v>35</v>
      </c>
      <c r="B3414">
        <v>31</v>
      </c>
      <c r="C3414" t="s">
        <v>18</v>
      </c>
      <c r="D3414" s="1">
        <v>46234</v>
      </c>
      <c r="E3414">
        <v>2874.9</v>
      </c>
      <c r="F3414">
        <v>153.33000000000001</v>
      </c>
      <c r="G3414">
        <v>92.79</v>
      </c>
      <c r="H3414">
        <v>267</v>
      </c>
      <c r="I3414" t="s">
        <v>23</v>
      </c>
      <c r="J3414">
        <v>2026</v>
      </c>
      <c r="K3414">
        <f t="shared" si="106"/>
        <v>60.540000000000006</v>
      </c>
      <c r="L3414" t="str">
        <f t="shared" si="107"/>
        <v>Banca Friulana|31|Leasing</v>
      </c>
    </row>
    <row r="3415" spans="1:12" x14ac:dyDescent="0.25">
      <c r="A3415" t="s">
        <v>35</v>
      </c>
      <c r="B3415">
        <v>31</v>
      </c>
      <c r="C3415" t="s">
        <v>19</v>
      </c>
      <c r="D3415" s="1">
        <v>46234</v>
      </c>
      <c r="E3415">
        <v>3326.1</v>
      </c>
      <c r="F3415">
        <v>183.64</v>
      </c>
      <c r="G3415">
        <v>109.81</v>
      </c>
      <c r="H3415">
        <v>271</v>
      </c>
      <c r="I3415" t="s">
        <v>23</v>
      </c>
      <c r="J3415">
        <v>2026</v>
      </c>
      <c r="K3415">
        <f t="shared" si="106"/>
        <v>73.829999999999984</v>
      </c>
      <c r="L3415" t="str">
        <f t="shared" si="107"/>
        <v>Banca Friulana|31|Factoring</v>
      </c>
    </row>
    <row r="3416" spans="1:12" x14ac:dyDescent="0.25">
      <c r="A3416" t="s">
        <v>35</v>
      </c>
      <c r="B3416">
        <v>31</v>
      </c>
      <c r="C3416" t="s">
        <v>20</v>
      </c>
      <c r="D3416" s="1">
        <v>46234</v>
      </c>
      <c r="E3416">
        <v>3744.2</v>
      </c>
      <c r="F3416">
        <v>213.84</v>
      </c>
      <c r="G3416">
        <v>127.79</v>
      </c>
      <c r="H3416">
        <v>335</v>
      </c>
      <c r="I3416" t="s">
        <v>23</v>
      </c>
      <c r="J3416">
        <v>2026</v>
      </c>
      <c r="K3416">
        <f t="shared" si="106"/>
        <v>86.05</v>
      </c>
      <c r="L3416" t="str">
        <f t="shared" si="107"/>
        <v>Banca Friulana|31|Risparmio</v>
      </c>
    </row>
    <row r="3417" spans="1:12" x14ac:dyDescent="0.25">
      <c r="A3417" t="s">
        <v>35</v>
      </c>
      <c r="B3417">
        <v>31</v>
      </c>
      <c r="C3417" t="s">
        <v>21</v>
      </c>
      <c r="D3417" s="1">
        <v>46234</v>
      </c>
      <c r="E3417">
        <v>4165.3</v>
      </c>
      <c r="F3417">
        <v>246.01</v>
      </c>
      <c r="G3417">
        <v>146.68</v>
      </c>
      <c r="H3417">
        <v>373</v>
      </c>
      <c r="I3417" t="s">
        <v>23</v>
      </c>
      <c r="J3417">
        <v>2026</v>
      </c>
      <c r="K3417">
        <f t="shared" si="106"/>
        <v>99.329999999999984</v>
      </c>
      <c r="L3417" t="str">
        <f t="shared" si="107"/>
        <v>Banca Friulana|31|Assicurazioni</v>
      </c>
    </row>
    <row r="3418" spans="1:12" x14ac:dyDescent="0.25">
      <c r="A3418" t="s">
        <v>35</v>
      </c>
      <c r="B3418">
        <v>32</v>
      </c>
      <c r="C3418" t="s">
        <v>13</v>
      </c>
      <c r="D3418" s="1">
        <v>46265</v>
      </c>
      <c r="E3418">
        <v>1181.3</v>
      </c>
      <c r="F3418">
        <v>53.96</v>
      </c>
      <c r="G3418">
        <v>33.619999999999997</v>
      </c>
      <c r="H3418">
        <v>104</v>
      </c>
      <c r="I3418" t="s">
        <v>23</v>
      </c>
      <c r="J3418">
        <v>2026</v>
      </c>
      <c r="K3418">
        <f t="shared" si="106"/>
        <v>20.340000000000003</v>
      </c>
      <c r="L3418" t="str">
        <f t="shared" si="107"/>
        <v>Banca Friulana|32|Mutui</v>
      </c>
    </row>
    <row r="3419" spans="1:12" x14ac:dyDescent="0.25">
      <c r="A3419" t="s">
        <v>35</v>
      </c>
      <c r="B3419">
        <v>32</v>
      </c>
      <c r="C3419" t="s">
        <v>15</v>
      </c>
      <c r="D3419" s="1">
        <v>46265</v>
      </c>
      <c r="E3419">
        <v>1584.6</v>
      </c>
      <c r="F3419">
        <v>75.12</v>
      </c>
      <c r="G3419">
        <v>46.33</v>
      </c>
      <c r="H3419">
        <v>140</v>
      </c>
      <c r="I3419" t="s">
        <v>23</v>
      </c>
      <c r="J3419">
        <v>2026</v>
      </c>
      <c r="K3419">
        <f t="shared" si="106"/>
        <v>28.790000000000006</v>
      </c>
      <c r="L3419" t="str">
        <f t="shared" si="107"/>
        <v>Banca Friulana|32|Prestiti</v>
      </c>
    </row>
    <row r="3420" spans="1:12" x14ac:dyDescent="0.25">
      <c r="A3420" t="s">
        <v>35</v>
      </c>
      <c r="B3420">
        <v>32</v>
      </c>
      <c r="C3420" t="s">
        <v>16</v>
      </c>
      <c r="D3420" s="1">
        <v>46265</v>
      </c>
      <c r="E3420">
        <v>2017.2</v>
      </c>
      <c r="F3420">
        <v>99.31</v>
      </c>
      <c r="G3420">
        <v>61.08</v>
      </c>
      <c r="H3420">
        <v>167</v>
      </c>
      <c r="I3420" t="s">
        <v>23</v>
      </c>
      <c r="J3420">
        <v>2026</v>
      </c>
      <c r="K3420">
        <f t="shared" si="106"/>
        <v>38.230000000000004</v>
      </c>
      <c r="L3420" t="str">
        <f t="shared" si="107"/>
        <v>Banca Friulana|32|Conti</v>
      </c>
    </row>
    <row r="3421" spans="1:12" x14ac:dyDescent="0.25">
      <c r="A3421" t="s">
        <v>35</v>
      </c>
      <c r="B3421">
        <v>32</v>
      </c>
      <c r="C3421" t="s">
        <v>17</v>
      </c>
      <c r="D3421" s="1">
        <v>46265</v>
      </c>
      <c r="E3421">
        <v>2468.6999999999998</v>
      </c>
      <c r="F3421">
        <v>126.65</v>
      </c>
      <c r="G3421">
        <v>76.599999999999994</v>
      </c>
      <c r="H3421">
        <v>197</v>
      </c>
      <c r="I3421" t="s">
        <v>23</v>
      </c>
      <c r="J3421">
        <v>2026</v>
      </c>
      <c r="K3421">
        <f t="shared" si="106"/>
        <v>50.050000000000011</v>
      </c>
      <c r="L3421" t="str">
        <f t="shared" si="107"/>
        <v>Banca Friulana|32|Carte</v>
      </c>
    </row>
    <row r="3422" spans="1:12" x14ac:dyDescent="0.25">
      <c r="A3422" t="s">
        <v>35</v>
      </c>
      <c r="B3422">
        <v>32</v>
      </c>
      <c r="C3422" t="s">
        <v>18</v>
      </c>
      <c r="D3422" s="1">
        <v>46265</v>
      </c>
      <c r="E3422">
        <v>2876.5</v>
      </c>
      <c r="F3422">
        <v>152.58000000000001</v>
      </c>
      <c r="G3422">
        <v>92.97</v>
      </c>
      <c r="H3422">
        <v>265</v>
      </c>
      <c r="I3422" t="s">
        <v>23</v>
      </c>
      <c r="J3422">
        <v>2026</v>
      </c>
      <c r="K3422">
        <f t="shared" si="106"/>
        <v>59.610000000000014</v>
      </c>
      <c r="L3422" t="str">
        <f t="shared" si="107"/>
        <v>Banca Friulana|32|Leasing</v>
      </c>
    </row>
    <row r="3423" spans="1:12" x14ac:dyDescent="0.25">
      <c r="A3423" t="s">
        <v>35</v>
      </c>
      <c r="B3423">
        <v>32</v>
      </c>
      <c r="C3423" t="s">
        <v>19</v>
      </c>
      <c r="D3423" s="1">
        <v>46265</v>
      </c>
      <c r="E3423">
        <v>3321.2</v>
      </c>
      <c r="F3423">
        <v>182.99</v>
      </c>
      <c r="G3423">
        <v>110.6</v>
      </c>
      <c r="H3423">
        <v>293</v>
      </c>
      <c r="I3423" t="s">
        <v>23</v>
      </c>
      <c r="J3423">
        <v>2026</v>
      </c>
      <c r="K3423">
        <f t="shared" si="106"/>
        <v>72.390000000000015</v>
      </c>
      <c r="L3423" t="str">
        <f t="shared" si="107"/>
        <v>Banca Friulana|32|Factoring</v>
      </c>
    </row>
    <row r="3424" spans="1:12" x14ac:dyDescent="0.25">
      <c r="A3424" t="s">
        <v>35</v>
      </c>
      <c r="B3424">
        <v>32</v>
      </c>
      <c r="C3424" t="s">
        <v>20</v>
      </c>
      <c r="D3424" s="1">
        <v>46265</v>
      </c>
      <c r="E3424">
        <v>3741.7</v>
      </c>
      <c r="F3424">
        <v>214.23</v>
      </c>
      <c r="G3424">
        <v>127.69</v>
      </c>
      <c r="H3424">
        <v>335</v>
      </c>
      <c r="I3424" t="s">
        <v>23</v>
      </c>
      <c r="J3424">
        <v>2026</v>
      </c>
      <c r="K3424">
        <f t="shared" si="106"/>
        <v>86.539999999999992</v>
      </c>
      <c r="L3424" t="str">
        <f t="shared" si="107"/>
        <v>Banca Friulana|32|Risparmio</v>
      </c>
    </row>
    <row r="3425" spans="1:12" x14ac:dyDescent="0.25">
      <c r="A3425" t="s">
        <v>35</v>
      </c>
      <c r="B3425">
        <v>32</v>
      </c>
      <c r="C3425" t="s">
        <v>21</v>
      </c>
      <c r="D3425" s="1">
        <v>46265</v>
      </c>
      <c r="E3425">
        <v>4181.5</v>
      </c>
      <c r="F3425">
        <v>247.12</v>
      </c>
      <c r="G3425">
        <v>146.84</v>
      </c>
      <c r="H3425">
        <v>357</v>
      </c>
      <c r="I3425" t="s">
        <v>23</v>
      </c>
      <c r="J3425">
        <v>2026</v>
      </c>
      <c r="K3425">
        <f t="shared" si="106"/>
        <v>100.28</v>
      </c>
      <c r="L3425" t="str">
        <f t="shared" si="107"/>
        <v>Banca Friulana|32|Assicurazioni</v>
      </c>
    </row>
    <row r="3426" spans="1:12" x14ac:dyDescent="0.25">
      <c r="A3426" t="s">
        <v>35</v>
      </c>
      <c r="B3426">
        <v>33</v>
      </c>
      <c r="C3426" t="s">
        <v>13</v>
      </c>
      <c r="D3426" s="1">
        <v>46295</v>
      </c>
      <c r="E3426">
        <v>1186.8</v>
      </c>
      <c r="F3426">
        <v>53.74</v>
      </c>
      <c r="G3426">
        <v>33.950000000000003</v>
      </c>
      <c r="H3426">
        <v>126</v>
      </c>
      <c r="I3426" t="s">
        <v>23</v>
      </c>
      <c r="J3426">
        <v>2026</v>
      </c>
      <c r="K3426">
        <f t="shared" si="106"/>
        <v>19.79</v>
      </c>
      <c r="L3426" t="str">
        <f t="shared" si="107"/>
        <v>Banca Friulana|33|Mutui</v>
      </c>
    </row>
    <row r="3427" spans="1:12" x14ac:dyDescent="0.25">
      <c r="A3427" t="s">
        <v>35</v>
      </c>
      <c r="B3427">
        <v>33</v>
      </c>
      <c r="C3427" t="s">
        <v>15</v>
      </c>
      <c r="D3427" s="1">
        <v>46295</v>
      </c>
      <c r="E3427">
        <v>1612.7</v>
      </c>
      <c r="F3427">
        <v>76.650000000000006</v>
      </c>
      <c r="G3427">
        <v>47.09</v>
      </c>
      <c r="H3427">
        <v>138</v>
      </c>
      <c r="I3427" t="s">
        <v>23</v>
      </c>
      <c r="J3427">
        <v>2026</v>
      </c>
      <c r="K3427">
        <f t="shared" si="106"/>
        <v>29.560000000000002</v>
      </c>
      <c r="L3427" t="str">
        <f t="shared" si="107"/>
        <v>Banca Friulana|33|Prestiti</v>
      </c>
    </row>
    <row r="3428" spans="1:12" x14ac:dyDescent="0.25">
      <c r="A3428" t="s">
        <v>35</v>
      </c>
      <c r="B3428">
        <v>33</v>
      </c>
      <c r="C3428" t="s">
        <v>16</v>
      </c>
      <c r="D3428" s="1">
        <v>46295</v>
      </c>
      <c r="E3428">
        <v>2049.1</v>
      </c>
      <c r="F3428">
        <v>100.59</v>
      </c>
      <c r="G3428">
        <v>62.33</v>
      </c>
      <c r="H3428">
        <v>194</v>
      </c>
      <c r="I3428" t="s">
        <v>23</v>
      </c>
      <c r="J3428">
        <v>2026</v>
      </c>
      <c r="K3428">
        <f t="shared" si="106"/>
        <v>38.260000000000005</v>
      </c>
      <c r="L3428" t="str">
        <f t="shared" si="107"/>
        <v>Banca Friulana|33|Conti</v>
      </c>
    </row>
    <row r="3429" spans="1:12" x14ac:dyDescent="0.25">
      <c r="A3429" t="s">
        <v>35</v>
      </c>
      <c r="B3429">
        <v>33</v>
      </c>
      <c r="C3429" t="s">
        <v>17</v>
      </c>
      <c r="D3429" s="1">
        <v>46295</v>
      </c>
      <c r="E3429">
        <v>2507.8000000000002</v>
      </c>
      <c r="F3429">
        <v>128.77000000000001</v>
      </c>
      <c r="G3429">
        <v>78.42</v>
      </c>
      <c r="H3429">
        <v>235</v>
      </c>
      <c r="I3429" t="s">
        <v>23</v>
      </c>
      <c r="J3429">
        <v>2026</v>
      </c>
      <c r="K3429">
        <f t="shared" si="106"/>
        <v>50.350000000000009</v>
      </c>
      <c r="L3429" t="str">
        <f t="shared" si="107"/>
        <v>Banca Friulana|33|Carte</v>
      </c>
    </row>
    <row r="3430" spans="1:12" x14ac:dyDescent="0.25">
      <c r="A3430" t="s">
        <v>35</v>
      </c>
      <c r="B3430">
        <v>33</v>
      </c>
      <c r="C3430" t="s">
        <v>18</v>
      </c>
      <c r="D3430" s="1">
        <v>46295</v>
      </c>
      <c r="E3430">
        <v>2908.7</v>
      </c>
      <c r="F3430">
        <v>154.80000000000001</v>
      </c>
      <c r="G3430">
        <v>93.74</v>
      </c>
      <c r="H3430">
        <v>240</v>
      </c>
      <c r="I3430" t="s">
        <v>23</v>
      </c>
      <c r="J3430">
        <v>2026</v>
      </c>
      <c r="K3430">
        <f t="shared" si="106"/>
        <v>61.060000000000016</v>
      </c>
      <c r="L3430" t="str">
        <f t="shared" si="107"/>
        <v>Banca Friulana|33|Leasing</v>
      </c>
    </row>
    <row r="3431" spans="1:12" x14ac:dyDescent="0.25">
      <c r="A3431" t="s">
        <v>35</v>
      </c>
      <c r="B3431">
        <v>33</v>
      </c>
      <c r="C3431" t="s">
        <v>19</v>
      </c>
      <c r="D3431" s="1">
        <v>46295</v>
      </c>
      <c r="E3431">
        <v>3355.4</v>
      </c>
      <c r="F3431">
        <v>185.54</v>
      </c>
      <c r="G3431">
        <v>111.39</v>
      </c>
      <c r="H3431">
        <v>265</v>
      </c>
      <c r="I3431" t="s">
        <v>23</v>
      </c>
      <c r="J3431">
        <v>2026</v>
      </c>
      <c r="K3431">
        <f t="shared" si="106"/>
        <v>74.149999999999991</v>
      </c>
      <c r="L3431" t="str">
        <f t="shared" si="107"/>
        <v>Banca Friulana|33|Factoring</v>
      </c>
    </row>
    <row r="3432" spans="1:12" x14ac:dyDescent="0.25">
      <c r="A3432" t="s">
        <v>35</v>
      </c>
      <c r="B3432">
        <v>33</v>
      </c>
      <c r="C3432" t="s">
        <v>20</v>
      </c>
      <c r="D3432" s="1">
        <v>46295</v>
      </c>
      <c r="E3432">
        <v>3799.2</v>
      </c>
      <c r="F3432">
        <v>216.81</v>
      </c>
      <c r="G3432">
        <v>129.66</v>
      </c>
      <c r="H3432">
        <v>307</v>
      </c>
      <c r="I3432" t="s">
        <v>23</v>
      </c>
      <c r="J3432">
        <v>2026</v>
      </c>
      <c r="K3432">
        <f t="shared" si="106"/>
        <v>87.15</v>
      </c>
      <c r="L3432" t="str">
        <f t="shared" si="107"/>
        <v>Banca Friulana|33|Risparmio</v>
      </c>
    </row>
    <row r="3433" spans="1:12" x14ac:dyDescent="0.25">
      <c r="A3433" t="s">
        <v>35</v>
      </c>
      <c r="B3433">
        <v>33</v>
      </c>
      <c r="C3433" t="s">
        <v>21</v>
      </c>
      <c r="D3433" s="1">
        <v>46295</v>
      </c>
      <c r="E3433">
        <v>4242.8</v>
      </c>
      <c r="F3433">
        <v>250.74</v>
      </c>
      <c r="G3433">
        <v>148.57</v>
      </c>
      <c r="H3433">
        <v>343</v>
      </c>
      <c r="I3433" t="s">
        <v>23</v>
      </c>
      <c r="J3433">
        <v>2026</v>
      </c>
      <c r="K3433">
        <f t="shared" si="106"/>
        <v>102.17000000000002</v>
      </c>
      <c r="L3433" t="str">
        <f t="shared" si="107"/>
        <v>Banca Friulana|33|Assicurazioni</v>
      </c>
    </row>
    <row r="3434" spans="1:12" x14ac:dyDescent="0.25">
      <c r="A3434" t="s">
        <v>35</v>
      </c>
      <c r="B3434">
        <v>34</v>
      </c>
      <c r="C3434" t="s">
        <v>13</v>
      </c>
      <c r="D3434" s="1">
        <v>46326</v>
      </c>
      <c r="E3434">
        <v>1168.9000000000001</v>
      </c>
      <c r="F3434">
        <v>53.6</v>
      </c>
      <c r="G3434">
        <v>33.44</v>
      </c>
      <c r="H3434">
        <v>95</v>
      </c>
      <c r="I3434" t="s">
        <v>23</v>
      </c>
      <c r="J3434">
        <v>2026</v>
      </c>
      <c r="K3434">
        <f t="shared" si="106"/>
        <v>20.160000000000004</v>
      </c>
      <c r="L3434" t="str">
        <f t="shared" si="107"/>
        <v>Banca Friulana|34|Mutui</v>
      </c>
    </row>
    <row r="3435" spans="1:12" x14ac:dyDescent="0.25">
      <c r="A3435" t="s">
        <v>35</v>
      </c>
      <c r="B3435">
        <v>34</v>
      </c>
      <c r="C3435" t="s">
        <v>15</v>
      </c>
      <c r="D3435" s="1">
        <v>46326</v>
      </c>
      <c r="E3435">
        <v>1598.6</v>
      </c>
      <c r="F3435">
        <v>75.23</v>
      </c>
      <c r="G3435">
        <v>47</v>
      </c>
      <c r="H3435">
        <v>163</v>
      </c>
      <c r="I3435" t="s">
        <v>23</v>
      </c>
      <c r="J3435">
        <v>2026</v>
      </c>
      <c r="K3435">
        <f t="shared" si="106"/>
        <v>28.230000000000004</v>
      </c>
      <c r="L3435" t="str">
        <f t="shared" si="107"/>
        <v>Banca Friulana|34|Prestiti</v>
      </c>
    </row>
    <row r="3436" spans="1:12" x14ac:dyDescent="0.25">
      <c r="A3436" t="s">
        <v>35</v>
      </c>
      <c r="B3436">
        <v>34</v>
      </c>
      <c r="C3436" t="s">
        <v>16</v>
      </c>
      <c r="D3436" s="1">
        <v>46326</v>
      </c>
      <c r="E3436">
        <v>2024.2</v>
      </c>
      <c r="F3436">
        <v>99.92</v>
      </c>
      <c r="G3436">
        <v>61.22</v>
      </c>
      <c r="H3436">
        <v>168</v>
      </c>
      <c r="I3436" t="s">
        <v>23</v>
      </c>
      <c r="J3436">
        <v>2026</v>
      </c>
      <c r="K3436">
        <f t="shared" si="106"/>
        <v>38.700000000000003</v>
      </c>
      <c r="L3436" t="str">
        <f t="shared" si="107"/>
        <v>Banca Friulana|34|Conti</v>
      </c>
    </row>
    <row r="3437" spans="1:12" x14ac:dyDescent="0.25">
      <c r="A3437" t="s">
        <v>35</v>
      </c>
      <c r="B3437">
        <v>34</v>
      </c>
      <c r="C3437" t="s">
        <v>17</v>
      </c>
      <c r="D3437" s="1">
        <v>46326</v>
      </c>
      <c r="E3437">
        <v>2479.1</v>
      </c>
      <c r="F3437">
        <v>127.1</v>
      </c>
      <c r="G3437">
        <v>77.319999999999993</v>
      </c>
      <c r="H3437">
        <v>209</v>
      </c>
      <c r="I3437" t="s">
        <v>23</v>
      </c>
      <c r="J3437">
        <v>2026</v>
      </c>
      <c r="K3437">
        <f t="shared" si="106"/>
        <v>49.78</v>
      </c>
      <c r="L3437" t="str">
        <f t="shared" si="107"/>
        <v>Banca Friulana|34|Carte</v>
      </c>
    </row>
    <row r="3438" spans="1:12" x14ac:dyDescent="0.25">
      <c r="A3438" t="s">
        <v>35</v>
      </c>
      <c r="B3438">
        <v>34</v>
      </c>
      <c r="C3438" t="s">
        <v>18</v>
      </c>
      <c r="D3438" s="1">
        <v>46326</v>
      </c>
      <c r="E3438">
        <v>2947.4</v>
      </c>
      <c r="F3438">
        <v>156.4</v>
      </c>
      <c r="G3438">
        <v>94.63</v>
      </c>
      <c r="H3438">
        <v>256</v>
      </c>
      <c r="I3438" t="s">
        <v>23</v>
      </c>
      <c r="J3438">
        <v>2026</v>
      </c>
      <c r="K3438">
        <f t="shared" si="106"/>
        <v>61.77000000000001</v>
      </c>
      <c r="L3438" t="str">
        <f t="shared" si="107"/>
        <v>Banca Friulana|34|Leasing</v>
      </c>
    </row>
    <row r="3439" spans="1:12" x14ac:dyDescent="0.25">
      <c r="A3439" t="s">
        <v>35</v>
      </c>
      <c r="B3439">
        <v>34</v>
      </c>
      <c r="C3439" t="s">
        <v>19</v>
      </c>
      <c r="D3439" s="1">
        <v>46326</v>
      </c>
      <c r="E3439">
        <v>3363.3</v>
      </c>
      <c r="F3439">
        <v>185.67</v>
      </c>
      <c r="G3439">
        <v>111.65</v>
      </c>
      <c r="H3439">
        <v>268</v>
      </c>
      <c r="I3439" t="s">
        <v>23</v>
      </c>
      <c r="J3439">
        <v>2026</v>
      </c>
      <c r="K3439">
        <f t="shared" si="106"/>
        <v>74.019999999999982</v>
      </c>
      <c r="L3439" t="str">
        <f t="shared" si="107"/>
        <v>Banca Friulana|34|Factoring</v>
      </c>
    </row>
    <row r="3440" spans="1:12" x14ac:dyDescent="0.25">
      <c r="A3440" t="s">
        <v>35</v>
      </c>
      <c r="B3440">
        <v>34</v>
      </c>
      <c r="C3440" t="s">
        <v>20</v>
      </c>
      <c r="D3440" s="1">
        <v>46326</v>
      </c>
      <c r="E3440">
        <v>3810.6</v>
      </c>
      <c r="F3440">
        <v>218.01</v>
      </c>
      <c r="G3440">
        <v>130.02000000000001</v>
      </c>
      <c r="H3440">
        <v>322</v>
      </c>
      <c r="I3440" t="s">
        <v>23</v>
      </c>
      <c r="J3440">
        <v>2026</v>
      </c>
      <c r="K3440">
        <f t="shared" si="106"/>
        <v>87.989999999999981</v>
      </c>
      <c r="L3440" t="str">
        <f t="shared" si="107"/>
        <v>Banca Friulana|34|Risparmio</v>
      </c>
    </row>
    <row r="3441" spans="1:12" x14ac:dyDescent="0.25">
      <c r="A3441" t="s">
        <v>35</v>
      </c>
      <c r="B3441">
        <v>34</v>
      </c>
      <c r="C3441" t="s">
        <v>21</v>
      </c>
      <c r="D3441" s="1">
        <v>46326</v>
      </c>
      <c r="E3441">
        <v>4242.6000000000004</v>
      </c>
      <c r="F3441">
        <v>251.25</v>
      </c>
      <c r="G3441">
        <v>149.06</v>
      </c>
      <c r="H3441">
        <v>335</v>
      </c>
      <c r="I3441" t="s">
        <v>23</v>
      </c>
      <c r="J3441">
        <v>2026</v>
      </c>
      <c r="K3441">
        <f t="shared" si="106"/>
        <v>102.19</v>
      </c>
      <c r="L3441" t="str">
        <f t="shared" si="107"/>
        <v>Banca Friulana|34|Assicurazioni</v>
      </c>
    </row>
    <row r="3442" spans="1:12" x14ac:dyDescent="0.25">
      <c r="A3442" t="s">
        <v>35</v>
      </c>
      <c r="B3442">
        <v>35</v>
      </c>
      <c r="C3442" t="s">
        <v>13</v>
      </c>
      <c r="D3442" s="1">
        <v>46356</v>
      </c>
      <c r="E3442">
        <v>1207</v>
      </c>
      <c r="F3442">
        <v>54.67</v>
      </c>
      <c r="G3442">
        <v>34.56</v>
      </c>
      <c r="H3442">
        <v>92</v>
      </c>
      <c r="I3442" t="s">
        <v>23</v>
      </c>
      <c r="J3442">
        <v>2026</v>
      </c>
      <c r="K3442">
        <f t="shared" si="106"/>
        <v>20.11</v>
      </c>
      <c r="L3442" t="str">
        <f t="shared" si="107"/>
        <v>Banca Friulana|35|Mutui</v>
      </c>
    </row>
    <row r="3443" spans="1:12" x14ac:dyDescent="0.25">
      <c r="A3443" t="s">
        <v>35</v>
      </c>
      <c r="B3443">
        <v>35</v>
      </c>
      <c r="C3443" t="s">
        <v>15</v>
      </c>
      <c r="D3443" s="1">
        <v>46356</v>
      </c>
      <c r="E3443">
        <v>1628.7</v>
      </c>
      <c r="F3443">
        <v>77.31</v>
      </c>
      <c r="G3443">
        <v>47.53</v>
      </c>
      <c r="H3443">
        <v>165</v>
      </c>
      <c r="I3443" t="s">
        <v>23</v>
      </c>
      <c r="J3443">
        <v>2026</v>
      </c>
      <c r="K3443">
        <f t="shared" si="106"/>
        <v>29.78</v>
      </c>
      <c r="L3443" t="str">
        <f t="shared" si="107"/>
        <v>Banca Friulana|35|Prestiti</v>
      </c>
    </row>
    <row r="3444" spans="1:12" x14ac:dyDescent="0.25">
      <c r="A3444" t="s">
        <v>35</v>
      </c>
      <c r="B3444">
        <v>35</v>
      </c>
      <c r="C3444" t="s">
        <v>16</v>
      </c>
      <c r="D3444" s="1">
        <v>46356</v>
      </c>
      <c r="E3444">
        <v>2097</v>
      </c>
      <c r="F3444">
        <v>103.7</v>
      </c>
      <c r="G3444">
        <v>63.65</v>
      </c>
      <c r="H3444">
        <v>181</v>
      </c>
      <c r="I3444" t="s">
        <v>23</v>
      </c>
      <c r="J3444">
        <v>2026</v>
      </c>
      <c r="K3444">
        <f t="shared" si="106"/>
        <v>40.050000000000004</v>
      </c>
      <c r="L3444" t="str">
        <f t="shared" si="107"/>
        <v>Banca Friulana|35|Conti</v>
      </c>
    </row>
    <row r="3445" spans="1:12" x14ac:dyDescent="0.25">
      <c r="A3445" t="s">
        <v>35</v>
      </c>
      <c r="B3445">
        <v>35</v>
      </c>
      <c r="C3445" t="s">
        <v>17</v>
      </c>
      <c r="D3445" s="1">
        <v>46356</v>
      </c>
      <c r="E3445">
        <v>2512.9</v>
      </c>
      <c r="F3445">
        <v>128.85</v>
      </c>
      <c r="G3445">
        <v>77.97</v>
      </c>
      <c r="H3445">
        <v>227</v>
      </c>
      <c r="I3445" t="s">
        <v>23</v>
      </c>
      <c r="J3445">
        <v>2026</v>
      </c>
      <c r="K3445">
        <f t="shared" si="106"/>
        <v>50.879999999999995</v>
      </c>
      <c r="L3445" t="str">
        <f t="shared" si="107"/>
        <v>Banca Friulana|35|Carte</v>
      </c>
    </row>
    <row r="3446" spans="1:12" x14ac:dyDescent="0.25">
      <c r="A3446" t="s">
        <v>35</v>
      </c>
      <c r="B3446">
        <v>35</v>
      </c>
      <c r="C3446" t="s">
        <v>18</v>
      </c>
      <c r="D3446" s="1">
        <v>46356</v>
      </c>
      <c r="E3446">
        <v>2961.9</v>
      </c>
      <c r="F3446">
        <v>157.41999999999999</v>
      </c>
      <c r="G3446">
        <v>95.33</v>
      </c>
      <c r="H3446">
        <v>250</v>
      </c>
      <c r="I3446" t="s">
        <v>23</v>
      </c>
      <c r="J3446">
        <v>2026</v>
      </c>
      <c r="K3446">
        <f t="shared" si="106"/>
        <v>62.089999999999989</v>
      </c>
      <c r="L3446" t="str">
        <f t="shared" si="107"/>
        <v>Banca Friulana|35|Leasing</v>
      </c>
    </row>
    <row r="3447" spans="1:12" x14ac:dyDescent="0.25">
      <c r="A3447" t="s">
        <v>35</v>
      </c>
      <c r="B3447">
        <v>35</v>
      </c>
      <c r="C3447" t="s">
        <v>19</v>
      </c>
      <c r="D3447" s="1">
        <v>46356</v>
      </c>
      <c r="E3447">
        <v>3382.2</v>
      </c>
      <c r="F3447">
        <v>186.29</v>
      </c>
      <c r="G3447">
        <v>112.54</v>
      </c>
      <c r="H3447">
        <v>301</v>
      </c>
      <c r="I3447" t="s">
        <v>23</v>
      </c>
      <c r="J3447">
        <v>2026</v>
      </c>
      <c r="K3447">
        <f t="shared" si="106"/>
        <v>73.749999999999986</v>
      </c>
      <c r="L3447" t="str">
        <f t="shared" si="107"/>
        <v>Banca Friulana|35|Factoring</v>
      </c>
    </row>
    <row r="3448" spans="1:12" x14ac:dyDescent="0.25">
      <c r="A3448" t="s">
        <v>35</v>
      </c>
      <c r="B3448">
        <v>35</v>
      </c>
      <c r="C3448" t="s">
        <v>20</v>
      </c>
      <c r="D3448" s="1">
        <v>46356</v>
      </c>
      <c r="E3448">
        <v>3847.7</v>
      </c>
      <c r="F3448">
        <v>219.41</v>
      </c>
      <c r="G3448">
        <v>131.27000000000001</v>
      </c>
      <c r="H3448">
        <v>316</v>
      </c>
      <c r="I3448" t="s">
        <v>23</v>
      </c>
      <c r="J3448">
        <v>2026</v>
      </c>
      <c r="K3448">
        <f t="shared" si="106"/>
        <v>88.139999999999986</v>
      </c>
      <c r="L3448" t="str">
        <f t="shared" si="107"/>
        <v>Banca Friulana|35|Risparmio</v>
      </c>
    </row>
    <row r="3449" spans="1:12" x14ac:dyDescent="0.25">
      <c r="A3449" t="s">
        <v>35</v>
      </c>
      <c r="B3449">
        <v>35</v>
      </c>
      <c r="C3449" t="s">
        <v>21</v>
      </c>
      <c r="D3449" s="1">
        <v>46356</v>
      </c>
      <c r="E3449">
        <v>4305.3</v>
      </c>
      <c r="F3449">
        <v>254.45</v>
      </c>
      <c r="G3449">
        <v>150.99</v>
      </c>
      <c r="H3449">
        <v>337</v>
      </c>
      <c r="I3449" t="s">
        <v>23</v>
      </c>
      <c r="J3449">
        <v>2026</v>
      </c>
      <c r="K3449">
        <f t="shared" si="106"/>
        <v>103.45999999999998</v>
      </c>
      <c r="L3449" t="str">
        <f t="shared" si="107"/>
        <v>Banca Friulana|35|Assicurazioni</v>
      </c>
    </row>
    <row r="3450" spans="1:12" x14ac:dyDescent="0.25">
      <c r="A3450" t="s">
        <v>35</v>
      </c>
      <c r="B3450">
        <v>36</v>
      </c>
      <c r="C3450" t="s">
        <v>13</v>
      </c>
      <c r="D3450" s="1">
        <v>46387</v>
      </c>
      <c r="E3450">
        <v>1202.4000000000001</v>
      </c>
      <c r="F3450">
        <v>54.5</v>
      </c>
      <c r="G3450">
        <v>34.369999999999997</v>
      </c>
      <c r="H3450">
        <v>96</v>
      </c>
      <c r="I3450" t="s">
        <v>23</v>
      </c>
      <c r="J3450">
        <v>2026</v>
      </c>
      <c r="K3450">
        <f t="shared" si="106"/>
        <v>20.130000000000003</v>
      </c>
      <c r="L3450" t="str">
        <f t="shared" si="107"/>
        <v>Banca Friulana|36|Mutui</v>
      </c>
    </row>
    <row r="3451" spans="1:12" x14ac:dyDescent="0.25">
      <c r="A3451" t="s">
        <v>35</v>
      </c>
      <c r="B3451">
        <v>36</v>
      </c>
      <c r="C3451" t="s">
        <v>15</v>
      </c>
      <c r="D3451" s="1">
        <v>46387</v>
      </c>
      <c r="E3451">
        <v>1636.1</v>
      </c>
      <c r="F3451">
        <v>76.959999999999994</v>
      </c>
      <c r="G3451">
        <v>48.4</v>
      </c>
      <c r="H3451">
        <v>128</v>
      </c>
      <c r="I3451" t="s">
        <v>23</v>
      </c>
      <c r="J3451">
        <v>2026</v>
      </c>
      <c r="K3451">
        <f t="shared" si="106"/>
        <v>28.559999999999995</v>
      </c>
      <c r="L3451" t="str">
        <f t="shared" si="107"/>
        <v>Banca Friulana|36|Prestiti</v>
      </c>
    </row>
    <row r="3452" spans="1:12" x14ac:dyDescent="0.25">
      <c r="A3452" t="s">
        <v>35</v>
      </c>
      <c r="B3452">
        <v>36</v>
      </c>
      <c r="C3452" t="s">
        <v>16</v>
      </c>
      <c r="D3452" s="1">
        <v>46387</v>
      </c>
      <c r="E3452">
        <v>2072.9</v>
      </c>
      <c r="F3452">
        <v>102.44</v>
      </c>
      <c r="G3452">
        <v>62.96</v>
      </c>
      <c r="H3452">
        <v>175</v>
      </c>
      <c r="I3452" t="s">
        <v>23</v>
      </c>
      <c r="J3452">
        <v>2026</v>
      </c>
      <c r="K3452">
        <f t="shared" si="106"/>
        <v>39.479999999999997</v>
      </c>
      <c r="L3452" t="str">
        <f t="shared" si="107"/>
        <v>Banca Friulana|36|Conti</v>
      </c>
    </row>
    <row r="3453" spans="1:12" x14ac:dyDescent="0.25">
      <c r="A3453" t="s">
        <v>35</v>
      </c>
      <c r="B3453">
        <v>36</v>
      </c>
      <c r="C3453" t="s">
        <v>17</v>
      </c>
      <c r="D3453" s="1">
        <v>46387</v>
      </c>
      <c r="E3453">
        <v>2496.1</v>
      </c>
      <c r="F3453">
        <v>128.11000000000001</v>
      </c>
      <c r="G3453">
        <v>77.66</v>
      </c>
      <c r="H3453">
        <v>225</v>
      </c>
      <c r="I3453" t="s">
        <v>23</v>
      </c>
      <c r="J3453">
        <v>2026</v>
      </c>
      <c r="K3453">
        <f t="shared" si="106"/>
        <v>50.450000000000017</v>
      </c>
      <c r="L3453" t="str">
        <f t="shared" si="107"/>
        <v>Banca Friulana|36|Carte</v>
      </c>
    </row>
    <row r="3454" spans="1:12" x14ac:dyDescent="0.25">
      <c r="A3454" t="s">
        <v>35</v>
      </c>
      <c r="B3454">
        <v>36</v>
      </c>
      <c r="C3454" t="s">
        <v>18</v>
      </c>
      <c r="D3454" s="1">
        <v>46387</v>
      </c>
      <c r="E3454">
        <v>2958.7</v>
      </c>
      <c r="F3454">
        <v>157.65</v>
      </c>
      <c r="G3454">
        <v>95.07</v>
      </c>
      <c r="H3454">
        <v>243</v>
      </c>
      <c r="I3454" t="s">
        <v>23</v>
      </c>
      <c r="J3454">
        <v>2026</v>
      </c>
      <c r="K3454">
        <f t="shared" si="106"/>
        <v>62.580000000000013</v>
      </c>
      <c r="L3454" t="str">
        <f t="shared" si="107"/>
        <v>Banca Friulana|36|Leasing</v>
      </c>
    </row>
    <row r="3455" spans="1:12" x14ac:dyDescent="0.25">
      <c r="A3455" t="s">
        <v>35</v>
      </c>
      <c r="B3455">
        <v>36</v>
      </c>
      <c r="C3455" t="s">
        <v>19</v>
      </c>
      <c r="D3455" s="1">
        <v>46387</v>
      </c>
      <c r="E3455">
        <v>3396.9</v>
      </c>
      <c r="F3455">
        <v>187.33</v>
      </c>
      <c r="G3455">
        <v>112.42</v>
      </c>
      <c r="H3455">
        <v>289</v>
      </c>
      <c r="I3455" t="s">
        <v>23</v>
      </c>
      <c r="J3455">
        <v>2026</v>
      </c>
      <c r="K3455">
        <f t="shared" si="106"/>
        <v>74.910000000000011</v>
      </c>
      <c r="L3455" t="str">
        <f t="shared" si="107"/>
        <v>Banca Friulana|36|Factoring</v>
      </c>
    </row>
    <row r="3456" spans="1:12" x14ac:dyDescent="0.25">
      <c r="A3456" t="s">
        <v>35</v>
      </c>
      <c r="B3456">
        <v>36</v>
      </c>
      <c r="C3456" t="s">
        <v>20</v>
      </c>
      <c r="D3456" s="1">
        <v>46387</v>
      </c>
      <c r="E3456">
        <v>3833.3</v>
      </c>
      <c r="F3456">
        <v>218.88</v>
      </c>
      <c r="G3456">
        <v>131.32</v>
      </c>
      <c r="H3456">
        <v>302</v>
      </c>
      <c r="I3456" t="s">
        <v>23</v>
      </c>
      <c r="J3456">
        <v>2026</v>
      </c>
      <c r="K3456">
        <f t="shared" si="106"/>
        <v>87.56</v>
      </c>
      <c r="L3456" t="str">
        <f t="shared" si="107"/>
        <v>Banca Friulana|36|Risparmio</v>
      </c>
    </row>
    <row r="3457" spans="1:12" x14ac:dyDescent="0.25">
      <c r="A3457" t="s">
        <v>35</v>
      </c>
      <c r="B3457">
        <v>36</v>
      </c>
      <c r="C3457" t="s">
        <v>21</v>
      </c>
      <c r="D3457" s="1">
        <v>46387</v>
      </c>
      <c r="E3457">
        <v>4328.1000000000004</v>
      </c>
      <c r="F3457">
        <v>256.08999999999997</v>
      </c>
      <c r="G3457">
        <v>151.91999999999999</v>
      </c>
      <c r="H3457">
        <v>373</v>
      </c>
      <c r="I3457" t="s">
        <v>23</v>
      </c>
      <c r="J3457">
        <v>2026</v>
      </c>
      <c r="K3457">
        <f t="shared" si="106"/>
        <v>104.16999999999999</v>
      </c>
      <c r="L3457" t="str">
        <f t="shared" si="107"/>
        <v>Banca Friulana|36|Assicurazioni</v>
      </c>
    </row>
    <row r="3458" spans="1:12" x14ac:dyDescent="0.25">
      <c r="A3458" t="s">
        <v>36</v>
      </c>
      <c r="B3458">
        <v>1</v>
      </c>
      <c r="C3458" t="s">
        <v>13</v>
      </c>
      <c r="D3458" s="1">
        <v>45322</v>
      </c>
      <c r="E3458">
        <v>984.6</v>
      </c>
      <c r="F3458">
        <v>44.62</v>
      </c>
      <c r="G3458">
        <v>28.47</v>
      </c>
      <c r="H3458">
        <v>119</v>
      </c>
      <c r="I3458" t="s">
        <v>25</v>
      </c>
      <c r="J3458">
        <v>2024</v>
      </c>
      <c r="K3458">
        <f t="shared" ref="K3458:K3521" si="108">F3458-G3458</f>
        <v>16.149999999999999</v>
      </c>
      <c r="L3458" t="str">
        <f t="shared" ref="L3458:L3521" si="109">A3458&amp;"|"&amp;B3458&amp;"|"&amp;C3458</f>
        <v>Banca Umbra|1|Mutui</v>
      </c>
    </row>
    <row r="3459" spans="1:12" x14ac:dyDescent="0.25">
      <c r="A3459" t="s">
        <v>36</v>
      </c>
      <c r="B3459">
        <v>1</v>
      </c>
      <c r="C3459" t="s">
        <v>15</v>
      </c>
      <c r="D3459" s="1">
        <v>45322</v>
      </c>
      <c r="E3459">
        <v>1368.9</v>
      </c>
      <c r="F3459">
        <v>64.66</v>
      </c>
      <c r="G3459">
        <v>39.78</v>
      </c>
      <c r="H3459">
        <v>150</v>
      </c>
      <c r="I3459" t="s">
        <v>25</v>
      </c>
      <c r="J3459">
        <v>2024</v>
      </c>
      <c r="K3459">
        <f t="shared" si="108"/>
        <v>24.879999999999995</v>
      </c>
      <c r="L3459" t="str">
        <f t="shared" si="109"/>
        <v>Banca Umbra|1|Prestiti</v>
      </c>
    </row>
    <row r="3460" spans="1:12" x14ac:dyDescent="0.25">
      <c r="A3460" t="s">
        <v>36</v>
      </c>
      <c r="B3460">
        <v>1</v>
      </c>
      <c r="C3460" t="s">
        <v>16</v>
      </c>
      <c r="D3460" s="1">
        <v>45322</v>
      </c>
      <c r="E3460">
        <v>1724.2</v>
      </c>
      <c r="F3460">
        <v>84.64</v>
      </c>
      <c r="G3460">
        <v>52.31</v>
      </c>
      <c r="H3460">
        <v>202</v>
      </c>
      <c r="I3460" t="s">
        <v>25</v>
      </c>
      <c r="J3460">
        <v>2024</v>
      </c>
      <c r="K3460">
        <f t="shared" si="108"/>
        <v>32.33</v>
      </c>
      <c r="L3460" t="str">
        <f t="shared" si="109"/>
        <v>Banca Umbra|1|Conti</v>
      </c>
    </row>
    <row r="3461" spans="1:12" x14ac:dyDescent="0.25">
      <c r="A3461" t="s">
        <v>36</v>
      </c>
      <c r="B3461">
        <v>1</v>
      </c>
      <c r="C3461" t="s">
        <v>17</v>
      </c>
      <c r="D3461" s="1">
        <v>45322</v>
      </c>
      <c r="E3461">
        <v>2089</v>
      </c>
      <c r="F3461">
        <v>106.54</v>
      </c>
      <c r="G3461">
        <v>65.14</v>
      </c>
      <c r="H3461">
        <v>245</v>
      </c>
      <c r="I3461" t="s">
        <v>25</v>
      </c>
      <c r="J3461">
        <v>2024</v>
      </c>
      <c r="K3461">
        <f t="shared" si="108"/>
        <v>41.400000000000006</v>
      </c>
      <c r="L3461" t="str">
        <f t="shared" si="109"/>
        <v>Banca Umbra|1|Carte</v>
      </c>
    </row>
    <row r="3462" spans="1:12" x14ac:dyDescent="0.25">
      <c r="A3462" t="s">
        <v>36</v>
      </c>
      <c r="B3462">
        <v>1</v>
      </c>
      <c r="C3462" t="s">
        <v>18</v>
      </c>
      <c r="D3462" s="1">
        <v>45322</v>
      </c>
      <c r="E3462">
        <v>2476.8000000000002</v>
      </c>
      <c r="F3462">
        <v>132.02000000000001</v>
      </c>
      <c r="G3462">
        <v>79.59</v>
      </c>
      <c r="H3462">
        <v>244</v>
      </c>
      <c r="I3462" t="s">
        <v>25</v>
      </c>
      <c r="J3462">
        <v>2024</v>
      </c>
      <c r="K3462">
        <f t="shared" si="108"/>
        <v>52.430000000000007</v>
      </c>
      <c r="L3462" t="str">
        <f t="shared" si="109"/>
        <v>Banca Umbra|1|Leasing</v>
      </c>
    </row>
    <row r="3463" spans="1:12" x14ac:dyDescent="0.25">
      <c r="A3463" t="s">
        <v>36</v>
      </c>
      <c r="B3463">
        <v>1</v>
      </c>
      <c r="C3463" t="s">
        <v>19</v>
      </c>
      <c r="D3463" s="1">
        <v>45322</v>
      </c>
      <c r="E3463">
        <v>2857.6</v>
      </c>
      <c r="F3463">
        <v>158.05000000000001</v>
      </c>
      <c r="G3463">
        <v>95</v>
      </c>
      <c r="H3463">
        <v>303</v>
      </c>
      <c r="I3463" t="s">
        <v>25</v>
      </c>
      <c r="J3463">
        <v>2024</v>
      </c>
      <c r="K3463">
        <f t="shared" si="108"/>
        <v>63.050000000000011</v>
      </c>
      <c r="L3463" t="str">
        <f t="shared" si="109"/>
        <v>Banca Umbra|1|Factoring</v>
      </c>
    </row>
    <row r="3464" spans="1:12" x14ac:dyDescent="0.25">
      <c r="A3464" t="s">
        <v>36</v>
      </c>
      <c r="B3464">
        <v>1</v>
      </c>
      <c r="C3464" t="s">
        <v>20</v>
      </c>
      <c r="D3464" s="1">
        <v>45322</v>
      </c>
      <c r="E3464">
        <v>3202.3</v>
      </c>
      <c r="F3464">
        <v>182.9</v>
      </c>
      <c r="G3464">
        <v>109.19</v>
      </c>
      <c r="H3464">
        <v>327</v>
      </c>
      <c r="I3464" t="s">
        <v>25</v>
      </c>
      <c r="J3464">
        <v>2024</v>
      </c>
      <c r="K3464">
        <f t="shared" si="108"/>
        <v>73.710000000000008</v>
      </c>
      <c r="L3464" t="str">
        <f t="shared" si="109"/>
        <v>Banca Umbra|1|Risparmio</v>
      </c>
    </row>
    <row r="3465" spans="1:12" x14ac:dyDescent="0.25">
      <c r="A3465" t="s">
        <v>36</v>
      </c>
      <c r="B3465">
        <v>1</v>
      </c>
      <c r="C3465" t="s">
        <v>21</v>
      </c>
      <c r="D3465" s="1">
        <v>45322</v>
      </c>
      <c r="E3465">
        <v>3548.1</v>
      </c>
      <c r="F3465">
        <v>210.27</v>
      </c>
      <c r="G3465">
        <v>125.04</v>
      </c>
      <c r="H3465">
        <v>378</v>
      </c>
      <c r="I3465" t="s">
        <v>25</v>
      </c>
      <c r="J3465">
        <v>2024</v>
      </c>
      <c r="K3465">
        <f t="shared" si="108"/>
        <v>85.23</v>
      </c>
      <c r="L3465" t="str">
        <f t="shared" si="109"/>
        <v>Banca Umbra|1|Assicurazioni</v>
      </c>
    </row>
    <row r="3466" spans="1:12" x14ac:dyDescent="0.25">
      <c r="A3466" t="s">
        <v>36</v>
      </c>
      <c r="B3466">
        <v>2</v>
      </c>
      <c r="C3466" t="s">
        <v>13</v>
      </c>
      <c r="D3466" s="1">
        <v>45351</v>
      </c>
      <c r="E3466">
        <v>975.7</v>
      </c>
      <c r="F3466">
        <v>44.33</v>
      </c>
      <c r="G3466">
        <v>28.24</v>
      </c>
      <c r="H3466">
        <v>102</v>
      </c>
      <c r="I3466" t="s">
        <v>25</v>
      </c>
      <c r="J3466">
        <v>2024</v>
      </c>
      <c r="K3466">
        <f t="shared" si="108"/>
        <v>16.09</v>
      </c>
      <c r="L3466" t="str">
        <f t="shared" si="109"/>
        <v>Banca Umbra|2|Mutui</v>
      </c>
    </row>
    <row r="3467" spans="1:12" x14ac:dyDescent="0.25">
      <c r="A3467" t="s">
        <v>36</v>
      </c>
      <c r="B3467">
        <v>2</v>
      </c>
      <c r="C3467" t="s">
        <v>15</v>
      </c>
      <c r="D3467" s="1">
        <v>45351</v>
      </c>
      <c r="E3467">
        <v>1353</v>
      </c>
      <c r="F3467">
        <v>64.39</v>
      </c>
      <c r="G3467">
        <v>39.450000000000003</v>
      </c>
      <c r="H3467">
        <v>160</v>
      </c>
      <c r="I3467" t="s">
        <v>25</v>
      </c>
      <c r="J3467">
        <v>2024</v>
      </c>
      <c r="K3467">
        <f t="shared" si="108"/>
        <v>24.939999999999998</v>
      </c>
      <c r="L3467" t="str">
        <f t="shared" si="109"/>
        <v>Banca Umbra|2|Prestiti</v>
      </c>
    </row>
    <row r="3468" spans="1:12" x14ac:dyDescent="0.25">
      <c r="A3468" t="s">
        <v>36</v>
      </c>
      <c r="B3468">
        <v>2</v>
      </c>
      <c r="C3468" t="s">
        <v>16</v>
      </c>
      <c r="D3468" s="1">
        <v>45351</v>
      </c>
      <c r="E3468">
        <v>1757.7</v>
      </c>
      <c r="F3468">
        <v>86.47</v>
      </c>
      <c r="G3468">
        <v>53.23</v>
      </c>
      <c r="H3468">
        <v>180</v>
      </c>
      <c r="I3468" t="s">
        <v>25</v>
      </c>
      <c r="J3468">
        <v>2024</v>
      </c>
      <c r="K3468">
        <f t="shared" si="108"/>
        <v>33.24</v>
      </c>
      <c r="L3468" t="str">
        <f t="shared" si="109"/>
        <v>Banca Umbra|2|Conti</v>
      </c>
    </row>
    <row r="3469" spans="1:12" x14ac:dyDescent="0.25">
      <c r="A3469" t="s">
        <v>36</v>
      </c>
      <c r="B3469">
        <v>2</v>
      </c>
      <c r="C3469" t="s">
        <v>17</v>
      </c>
      <c r="D3469" s="1">
        <v>45351</v>
      </c>
      <c r="E3469">
        <v>2093.1</v>
      </c>
      <c r="F3469">
        <v>107.73</v>
      </c>
      <c r="G3469">
        <v>65.78</v>
      </c>
      <c r="H3469">
        <v>233</v>
      </c>
      <c r="I3469" t="s">
        <v>25</v>
      </c>
      <c r="J3469">
        <v>2024</v>
      </c>
      <c r="K3469">
        <f t="shared" si="108"/>
        <v>41.95</v>
      </c>
      <c r="L3469" t="str">
        <f t="shared" si="109"/>
        <v>Banca Umbra|2|Carte</v>
      </c>
    </row>
    <row r="3470" spans="1:12" x14ac:dyDescent="0.25">
      <c r="A3470" t="s">
        <v>36</v>
      </c>
      <c r="B3470">
        <v>2</v>
      </c>
      <c r="C3470" t="s">
        <v>18</v>
      </c>
      <c r="D3470" s="1">
        <v>45351</v>
      </c>
      <c r="E3470">
        <v>2464.1999999999998</v>
      </c>
      <c r="F3470">
        <v>131.22999999999999</v>
      </c>
      <c r="G3470">
        <v>79.38</v>
      </c>
      <c r="H3470">
        <v>280</v>
      </c>
      <c r="I3470" t="s">
        <v>25</v>
      </c>
      <c r="J3470">
        <v>2024</v>
      </c>
      <c r="K3470">
        <f t="shared" si="108"/>
        <v>51.849999999999994</v>
      </c>
      <c r="L3470" t="str">
        <f t="shared" si="109"/>
        <v>Banca Umbra|2|Leasing</v>
      </c>
    </row>
    <row r="3471" spans="1:12" x14ac:dyDescent="0.25">
      <c r="A3471" t="s">
        <v>36</v>
      </c>
      <c r="B3471">
        <v>2</v>
      </c>
      <c r="C3471" t="s">
        <v>19</v>
      </c>
      <c r="D3471" s="1">
        <v>45351</v>
      </c>
      <c r="E3471">
        <v>2875.9</v>
      </c>
      <c r="F3471">
        <v>159.02000000000001</v>
      </c>
      <c r="G3471">
        <v>95.26</v>
      </c>
      <c r="H3471">
        <v>308</v>
      </c>
      <c r="I3471" t="s">
        <v>25</v>
      </c>
      <c r="J3471">
        <v>2024</v>
      </c>
      <c r="K3471">
        <f t="shared" si="108"/>
        <v>63.760000000000005</v>
      </c>
      <c r="L3471" t="str">
        <f t="shared" si="109"/>
        <v>Banca Umbra|2|Factoring</v>
      </c>
    </row>
    <row r="3472" spans="1:12" x14ac:dyDescent="0.25">
      <c r="A3472" t="s">
        <v>36</v>
      </c>
      <c r="B3472">
        <v>2</v>
      </c>
      <c r="C3472" t="s">
        <v>20</v>
      </c>
      <c r="D3472" s="1">
        <v>45351</v>
      </c>
      <c r="E3472">
        <v>3222.1</v>
      </c>
      <c r="F3472">
        <v>183.8</v>
      </c>
      <c r="G3472">
        <v>110.33</v>
      </c>
      <c r="H3472">
        <v>347</v>
      </c>
      <c r="I3472" t="s">
        <v>25</v>
      </c>
      <c r="J3472">
        <v>2024</v>
      </c>
      <c r="K3472">
        <f t="shared" si="108"/>
        <v>73.470000000000013</v>
      </c>
      <c r="L3472" t="str">
        <f t="shared" si="109"/>
        <v>Banca Umbra|2|Risparmio</v>
      </c>
    </row>
    <row r="3473" spans="1:12" x14ac:dyDescent="0.25">
      <c r="A3473" t="s">
        <v>36</v>
      </c>
      <c r="B3473">
        <v>2</v>
      </c>
      <c r="C3473" t="s">
        <v>21</v>
      </c>
      <c r="D3473" s="1">
        <v>45351</v>
      </c>
      <c r="E3473">
        <v>3585.4</v>
      </c>
      <c r="F3473">
        <v>212.36</v>
      </c>
      <c r="G3473">
        <v>125.7</v>
      </c>
      <c r="H3473">
        <v>382</v>
      </c>
      <c r="I3473" t="s">
        <v>25</v>
      </c>
      <c r="J3473">
        <v>2024</v>
      </c>
      <c r="K3473">
        <f t="shared" si="108"/>
        <v>86.660000000000011</v>
      </c>
      <c r="L3473" t="str">
        <f t="shared" si="109"/>
        <v>Banca Umbra|2|Assicurazioni</v>
      </c>
    </row>
    <row r="3474" spans="1:12" x14ac:dyDescent="0.25">
      <c r="A3474" t="s">
        <v>36</v>
      </c>
      <c r="B3474">
        <v>3</v>
      </c>
      <c r="C3474" t="s">
        <v>13</v>
      </c>
      <c r="D3474" s="1">
        <v>45382</v>
      </c>
      <c r="E3474">
        <v>1006.8</v>
      </c>
      <c r="F3474">
        <v>45.97</v>
      </c>
      <c r="G3474">
        <v>28.23</v>
      </c>
      <c r="H3474">
        <v>127</v>
      </c>
      <c r="I3474" t="s">
        <v>25</v>
      </c>
      <c r="J3474">
        <v>2024</v>
      </c>
      <c r="K3474">
        <f t="shared" si="108"/>
        <v>17.739999999999998</v>
      </c>
      <c r="L3474" t="str">
        <f t="shared" si="109"/>
        <v>Banca Umbra|3|Mutui</v>
      </c>
    </row>
    <row r="3475" spans="1:12" x14ac:dyDescent="0.25">
      <c r="A3475" t="s">
        <v>36</v>
      </c>
      <c r="B3475">
        <v>3</v>
      </c>
      <c r="C3475" t="s">
        <v>15</v>
      </c>
      <c r="D3475" s="1">
        <v>45382</v>
      </c>
      <c r="E3475">
        <v>1405.8</v>
      </c>
      <c r="F3475">
        <v>66.94</v>
      </c>
      <c r="G3475">
        <v>40.840000000000003</v>
      </c>
      <c r="H3475">
        <v>134</v>
      </c>
      <c r="I3475" t="s">
        <v>25</v>
      </c>
      <c r="J3475">
        <v>2024</v>
      </c>
      <c r="K3475">
        <f t="shared" si="108"/>
        <v>26.099999999999994</v>
      </c>
      <c r="L3475" t="str">
        <f t="shared" si="109"/>
        <v>Banca Umbra|3|Prestiti</v>
      </c>
    </row>
    <row r="3476" spans="1:12" x14ac:dyDescent="0.25">
      <c r="A3476" t="s">
        <v>36</v>
      </c>
      <c r="B3476">
        <v>3</v>
      </c>
      <c r="C3476" t="s">
        <v>16</v>
      </c>
      <c r="D3476" s="1">
        <v>45382</v>
      </c>
      <c r="E3476">
        <v>1759.9</v>
      </c>
      <c r="F3476">
        <v>86.27</v>
      </c>
      <c r="G3476">
        <v>53.03</v>
      </c>
      <c r="H3476">
        <v>187</v>
      </c>
      <c r="I3476" t="s">
        <v>25</v>
      </c>
      <c r="J3476">
        <v>2024</v>
      </c>
      <c r="K3476">
        <f t="shared" si="108"/>
        <v>33.239999999999995</v>
      </c>
      <c r="L3476" t="str">
        <f t="shared" si="109"/>
        <v>Banca Umbra|3|Conti</v>
      </c>
    </row>
    <row r="3477" spans="1:12" x14ac:dyDescent="0.25">
      <c r="A3477" t="s">
        <v>36</v>
      </c>
      <c r="B3477">
        <v>3</v>
      </c>
      <c r="C3477" t="s">
        <v>17</v>
      </c>
      <c r="D3477" s="1">
        <v>45382</v>
      </c>
      <c r="E3477">
        <v>2106.1</v>
      </c>
      <c r="F3477">
        <v>108.31</v>
      </c>
      <c r="G3477">
        <v>65.31</v>
      </c>
      <c r="H3477">
        <v>219</v>
      </c>
      <c r="I3477" t="s">
        <v>25</v>
      </c>
      <c r="J3477">
        <v>2024</v>
      </c>
      <c r="K3477">
        <f t="shared" si="108"/>
        <v>43</v>
      </c>
      <c r="L3477" t="str">
        <f t="shared" si="109"/>
        <v>Banca Umbra|3|Carte</v>
      </c>
    </row>
    <row r="3478" spans="1:12" x14ac:dyDescent="0.25">
      <c r="A3478" t="s">
        <v>36</v>
      </c>
      <c r="B3478">
        <v>3</v>
      </c>
      <c r="C3478" t="s">
        <v>18</v>
      </c>
      <c r="D3478" s="1">
        <v>45382</v>
      </c>
      <c r="E3478">
        <v>2530.1</v>
      </c>
      <c r="F3478">
        <v>134.54</v>
      </c>
      <c r="G3478">
        <v>81.5</v>
      </c>
      <c r="H3478">
        <v>253</v>
      </c>
      <c r="I3478" t="s">
        <v>25</v>
      </c>
      <c r="J3478">
        <v>2024</v>
      </c>
      <c r="K3478">
        <f t="shared" si="108"/>
        <v>53.039999999999992</v>
      </c>
      <c r="L3478" t="str">
        <f t="shared" si="109"/>
        <v>Banca Umbra|3|Leasing</v>
      </c>
    </row>
    <row r="3479" spans="1:12" x14ac:dyDescent="0.25">
      <c r="A3479" t="s">
        <v>36</v>
      </c>
      <c r="B3479">
        <v>3</v>
      </c>
      <c r="C3479" t="s">
        <v>19</v>
      </c>
      <c r="D3479" s="1">
        <v>45382</v>
      </c>
      <c r="E3479">
        <v>2893.4</v>
      </c>
      <c r="F3479">
        <v>159.69999999999999</v>
      </c>
      <c r="G3479">
        <v>96.25</v>
      </c>
      <c r="H3479">
        <v>281</v>
      </c>
      <c r="I3479" t="s">
        <v>25</v>
      </c>
      <c r="J3479">
        <v>2024</v>
      </c>
      <c r="K3479">
        <f t="shared" si="108"/>
        <v>63.449999999999989</v>
      </c>
      <c r="L3479" t="str">
        <f t="shared" si="109"/>
        <v>Banca Umbra|3|Factoring</v>
      </c>
    </row>
    <row r="3480" spans="1:12" x14ac:dyDescent="0.25">
      <c r="A3480" t="s">
        <v>36</v>
      </c>
      <c r="B3480">
        <v>3</v>
      </c>
      <c r="C3480" t="s">
        <v>20</v>
      </c>
      <c r="D3480" s="1">
        <v>45382</v>
      </c>
      <c r="E3480">
        <v>3245.1</v>
      </c>
      <c r="F3480">
        <v>185.74</v>
      </c>
      <c r="G3480">
        <v>110.51</v>
      </c>
      <c r="H3480">
        <v>319</v>
      </c>
      <c r="I3480" t="s">
        <v>25</v>
      </c>
      <c r="J3480">
        <v>2024</v>
      </c>
      <c r="K3480">
        <f t="shared" si="108"/>
        <v>75.23</v>
      </c>
      <c r="L3480" t="str">
        <f t="shared" si="109"/>
        <v>Banca Umbra|3|Risparmio</v>
      </c>
    </row>
    <row r="3481" spans="1:12" x14ac:dyDescent="0.25">
      <c r="A3481" t="s">
        <v>36</v>
      </c>
      <c r="B3481">
        <v>3</v>
      </c>
      <c r="C3481" t="s">
        <v>21</v>
      </c>
      <c r="D3481" s="1">
        <v>45382</v>
      </c>
      <c r="E3481">
        <v>3625.3</v>
      </c>
      <c r="F3481">
        <v>214.48</v>
      </c>
      <c r="G3481">
        <v>127.68</v>
      </c>
      <c r="H3481">
        <v>390</v>
      </c>
      <c r="I3481" t="s">
        <v>25</v>
      </c>
      <c r="J3481">
        <v>2024</v>
      </c>
      <c r="K3481">
        <f t="shared" si="108"/>
        <v>86.799999999999983</v>
      </c>
      <c r="L3481" t="str">
        <f t="shared" si="109"/>
        <v>Banca Umbra|3|Assicurazioni</v>
      </c>
    </row>
    <row r="3482" spans="1:12" x14ac:dyDescent="0.25">
      <c r="A3482" t="s">
        <v>36</v>
      </c>
      <c r="B3482">
        <v>4</v>
      </c>
      <c r="C3482" t="s">
        <v>13</v>
      </c>
      <c r="D3482" s="1">
        <v>45412</v>
      </c>
      <c r="E3482">
        <v>1010.4</v>
      </c>
      <c r="F3482">
        <v>46.23</v>
      </c>
      <c r="G3482">
        <v>28.63</v>
      </c>
      <c r="H3482">
        <v>99</v>
      </c>
      <c r="I3482" t="s">
        <v>25</v>
      </c>
      <c r="J3482">
        <v>2024</v>
      </c>
      <c r="K3482">
        <f t="shared" si="108"/>
        <v>17.599999999999998</v>
      </c>
      <c r="L3482" t="str">
        <f t="shared" si="109"/>
        <v>Banca Umbra|4|Mutui</v>
      </c>
    </row>
    <row r="3483" spans="1:12" x14ac:dyDescent="0.25">
      <c r="A3483" t="s">
        <v>36</v>
      </c>
      <c r="B3483">
        <v>4</v>
      </c>
      <c r="C3483" t="s">
        <v>15</v>
      </c>
      <c r="D3483" s="1">
        <v>45412</v>
      </c>
      <c r="E3483">
        <v>1380.2</v>
      </c>
      <c r="F3483">
        <v>65.78</v>
      </c>
      <c r="G3483">
        <v>40.39</v>
      </c>
      <c r="H3483">
        <v>157</v>
      </c>
      <c r="I3483" t="s">
        <v>25</v>
      </c>
      <c r="J3483">
        <v>2024</v>
      </c>
      <c r="K3483">
        <f t="shared" si="108"/>
        <v>25.39</v>
      </c>
      <c r="L3483" t="str">
        <f t="shared" si="109"/>
        <v>Banca Umbra|4|Prestiti</v>
      </c>
    </row>
    <row r="3484" spans="1:12" x14ac:dyDescent="0.25">
      <c r="A3484" t="s">
        <v>36</v>
      </c>
      <c r="B3484">
        <v>4</v>
      </c>
      <c r="C3484" t="s">
        <v>16</v>
      </c>
      <c r="D3484" s="1">
        <v>45412</v>
      </c>
      <c r="E3484">
        <v>1759.5</v>
      </c>
      <c r="F3484">
        <v>87.02</v>
      </c>
      <c r="G3484">
        <v>53.71</v>
      </c>
      <c r="H3484">
        <v>201</v>
      </c>
      <c r="I3484" t="s">
        <v>25</v>
      </c>
      <c r="J3484">
        <v>2024</v>
      </c>
      <c r="K3484">
        <f t="shared" si="108"/>
        <v>33.309999999999995</v>
      </c>
      <c r="L3484" t="str">
        <f t="shared" si="109"/>
        <v>Banca Umbra|4|Conti</v>
      </c>
    </row>
    <row r="3485" spans="1:12" x14ac:dyDescent="0.25">
      <c r="A3485" t="s">
        <v>36</v>
      </c>
      <c r="B3485">
        <v>4</v>
      </c>
      <c r="C3485" t="s">
        <v>17</v>
      </c>
      <c r="D3485" s="1">
        <v>45412</v>
      </c>
      <c r="E3485">
        <v>2120.1999999999998</v>
      </c>
      <c r="F3485">
        <v>108.25</v>
      </c>
      <c r="G3485">
        <v>66.52</v>
      </c>
      <c r="H3485">
        <v>246</v>
      </c>
      <c r="I3485" t="s">
        <v>25</v>
      </c>
      <c r="J3485">
        <v>2024</v>
      </c>
      <c r="K3485">
        <f t="shared" si="108"/>
        <v>41.730000000000004</v>
      </c>
      <c r="L3485" t="str">
        <f t="shared" si="109"/>
        <v>Banca Umbra|4|Carte</v>
      </c>
    </row>
    <row r="3486" spans="1:12" x14ac:dyDescent="0.25">
      <c r="A3486" t="s">
        <v>36</v>
      </c>
      <c r="B3486">
        <v>4</v>
      </c>
      <c r="C3486" t="s">
        <v>18</v>
      </c>
      <c r="D3486" s="1">
        <v>45412</v>
      </c>
      <c r="E3486">
        <v>2530</v>
      </c>
      <c r="F3486">
        <v>134.19</v>
      </c>
      <c r="G3486">
        <v>81.03</v>
      </c>
      <c r="H3486">
        <v>270</v>
      </c>
      <c r="I3486" t="s">
        <v>25</v>
      </c>
      <c r="J3486">
        <v>2024</v>
      </c>
      <c r="K3486">
        <f t="shared" si="108"/>
        <v>53.16</v>
      </c>
      <c r="L3486" t="str">
        <f t="shared" si="109"/>
        <v>Banca Umbra|4|Leasing</v>
      </c>
    </row>
    <row r="3487" spans="1:12" x14ac:dyDescent="0.25">
      <c r="A3487" t="s">
        <v>36</v>
      </c>
      <c r="B3487">
        <v>4</v>
      </c>
      <c r="C3487" t="s">
        <v>19</v>
      </c>
      <c r="D3487" s="1">
        <v>45412</v>
      </c>
      <c r="E3487">
        <v>2870.8</v>
      </c>
      <c r="F3487">
        <v>158.75</v>
      </c>
      <c r="G3487">
        <v>94.93</v>
      </c>
      <c r="H3487">
        <v>319</v>
      </c>
      <c r="I3487" t="s">
        <v>25</v>
      </c>
      <c r="J3487">
        <v>2024</v>
      </c>
      <c r="K3487">
        <f t="shared" si="108"/>
        <v>63.819999999999993</v>
      </c>
      <c r="L3487" t="str">
        <f t="shared" si="109"/>
        <v>Banca Umbra|4|Factoring</v>
      </c>
    </row>
    <row r="3488" spans="1:12" x14ac:dyDescent="0.25">
      <c r="A3488" t="s">
        <v>36</v>
      </c>
      <c r="B3488">
        <v>4</v>
      </c>
      <c r="C3488" t="s">
        <v>20</v>
      </c>
      <c r="D3488" s="1">
        <v>45412</v>
      </c>
      <c r="E3488">
        <v>3292.1</v>
      </c>
      <c r="F3488">
        <v>187.75</v>
      </c>
      <c r="G3488">
        <v>112.04</v>
      </c>
      <c r="H3488">
        <v>348</v>
      </c>
      <c r="I3488" t="s">
        <v>25</v>
      </c>
      <c r="J3488">
        <v>2024</v>
      </c>
      <c r="K3488">
        <f t="shared" si="108"/>
        <v>75.709999999999994</v>
      </c>
      <c r="L3488" t="str">
        <f t="shared" si="109"/>
        <v>Banca Umbra|4|Risparmio</v>
      </c>
    </row>
    <row r="3489" spans="1:12" x14ac:dyDescent="0.25">
      <c r="A3489" t="s">
        <v>36</v>
      </c>
      <c r="B3489">
        <v>4</v>
      </c>
      <c r="C3489" t="s">
        <v>21</v>
      </c>
      <c r="D3489" s="1">
        <v>45412</v>
      </c>
      <c r="E3489">
        <v>3655.9</v>
      </c>
      <c r="F3489">
        <v>215.81</v>
      </c>
      <c r="G3489">
        <v>128.44999999999999</v>
      </c>
      <c r="H3489">
        <v>387</v>
      </c>
      <c r="I3489" t="s">
        <v>25</v>
      </c>
      <c r="J3489">
        <v>2024</v>
      </c>
      <c r="K3489">
        <f t="shared" si="108"/>
        <v>87.360000000000014</v>
      </c>
      <c r="L3489" t="str">
        <f t="shared" si="109"/>
        <v>Banca Umbra|4|Assicurazioni</v>
      </c>
    </row>
    <row r="3490" spans="1:12" x14ac:dyDescent="0.25">
      <c r="A3490" t="s">
        <v>36</v>
      </c>
      <c r="B3490">
        <v>5</v>
      </c>
      <c r="C3490" t="s">
        <v>13</v>
      </c>
      <c r="D3490" s="1">
        <v>45443</v>
      </c>
      <c r="E3490">
        <v>1031.2</v>
      </c>
      <c r="F3490">
        <v>46.6</v>
      </c>
      <c r="G3490">
        <v>29.05</v>
      </c>
      <c r="H3490">
        <v>122</v>
      </c>
      <c r="I3490" t="s">
        <v>25</v>
      </c>
      <c r="J3490">
        <v>2024</v>
      </c>
      <c r="K3490">
        <f t="shared" si="108"/>
        <v>17.55</v>
      </c>
      <c r="L3490" t="str">
        <f t="shared" si="109"/>
        <v>Banca Umbra|5|Mutui</v>
      </c>
    </row>
    <row r="3491" spans="1:12" x14ac:dyDescent="0.25">
      <c r="A3491" t="s">
        <v>36</v>
      </c>
      <c r="B3491">
        <v>5</v>
      </c>
      <c r="C3491" t="s">
        <v>15</v>
      </c>
      <c r="D3491" s="1">
        <v>45443</v>
      </c>
      <c r="E3491">
        <v>1391.8</v>
      </c>
      <c r="F3491">
        <v>66.260000000000005</v>
      </c>
      <c r="G3491">
        <v>40.78</v>
      </c>
      <c r="H3491">
        <v>171</v>
      </c>
      <c r="I3491" t="s">
        <v>25</v>
      </c>
      <c r="J3491">
        <v>2024</v>
      </c>
      <c r="K3491">
        <f t="shared" si="108"/>
        <v>25.480000000000004</v>
      </c>
      <c r="L3491" t="str">
        <f t="shared" si="109"/>
        <v>Banca Umbra|5|Prestiti</v>
      </c>
    </row>
    <row r="3492" spans="1:12" x14ac:dyDescent="0.25">
      <c r="A3492" t="s">
        <v>36</v>
      </c>
      <c r="B3492">
        <v>5</v>
      </c>
      <c r="C3492" t="s">
        <v>16</v>
      </c>
      <c r="D3492" s="1">
        <v>45443</v>
      </c>
      <c r="E3492">
        <v>1758.5</v>
      </c>
      <c r="F3492">
        <v>86.96</v>
      </c>
      <c r="G3492">
        <v>53.59</v>
      </c>
      <c r="H3492">
        <v>182</v>
      </c>
      <c r="I3492" t="s">
        <v>25</v>
      </c>
      <c r="J3492">
        <v>2024</v>
      </c>
      <c r="K3492">
        <f t="shared" si="108"/>
        <v>33.36999999999999</v>
      </c>
      <c r="L3492" t="str">
        <f t="shared" si="109"/>
        <v>Banca Umbra|5|Conti</v>
      </c>
    </row>
    <row r="3493" spans="1:12" x14ac:dyDescent="0.25">
      <c r="A3493" t="s">
        <v>36</v>
      </c>
      <c r="B3493">
        <v>5</v>
      </c>
      <c r="C3493" t="s">
        <v>17</v>
      </c>
      <c r="D3493" s="1">
        <v>45443</v>
      </c>
      <c r="E3493">
        <v>2176.9</v>
      </c>
      <c r="F3493">
        <v>111.72</v>
      </c>
      <c r="G3493">
        <v>68.17</v>
      </c>
      <c r="H3493">
        <v>209</v>
      </c>
      <c r="I3493" t="s">
        <v>25</v>
      </c>
      <c r="J3493">
        <v>2024</v>
      </c>
      <c r="K3493">
        <f t="shared" si="108"/>
        <v>43.55</v>
      </c>
      <c r="L3493" t="str">
        <f t="shared" si="109"/>
        <v>Banca Umbra|5|Carte</v>
      </c>
    </row>
    <row r="3494" spans="1:12" x14ac:dyDescent="0.25">
      <c r="A3494" t="s">
        <v>36</v>
      </c>
      <c r="B3494">
        <v>5</v>
      </c>
      <c r="C3494" t="s">
        <v>18</v>
      </c>
      <c r="D3494" s="1">
        <v>45443</v>
      </c>
      <c r="E3494">
        <v>2520.9</v>
      </c>
      <c r="F3494">
        <v>134.33000000000001</v>
      </c>
      <c r="G3494">
        <v>81.06</v>
      </c>
      <c r="H3494">
        <v>278</v>
      </c>
      <c r="I3494" t="s">
        <v>25</v>
      </c>
      <c r="J3494">
        <v>2024</v>
      </c>
      <c r="K3494">
        <f t="shared" si="108"/>
        <v>53.27000000000001</v>
      </c>
      <c r="L3494" t="str">
        <f t="shared" si="109"/>
        <v>Banca Umbra|5|Leasing</v>
      </c>
    </row>
    <row r="3495" spans="1:12" x14ac:dyDescent="0.25">
      <c r="A3495" t="s">
        <v>36</v>
      </c>
      <c r="B3495">
        <v>5</v>
      </c>
      <c r="C3495" t="s">
        <v>19</v>
      </c>
      <c r="D3495" s="1">
        <v>45443</v>
      </c>
      <c r="E3495">
        <v>2900.9</v>
      </c>
      <c r="F3495">
        <v>160.25</v>
      </c>
      <c r="G3495">
        <v>95.89</v>
      </c>
      <c r="H3495">
        <v>292</v>
      </c>
      <c r="I3495" t="s">
        <v>25</v>
      </c>
      <c r="J3495">
        <v>2024</v>
      </c>
      <c r="K3495">
        <f t="shared" si="108"/>
        <v>64.36</v>
      </c>
      <c r="L3495" t="str">
        <f t="shared" si="109"/>
        <v>Banca Umbra|5|Factoring</v>
      </c>
    </row>
    <row r="3496" spans="1:12" x14ac:dyDescent="0.25">
      <c r="A3496" t="s">
        <v>36</v>
      </c>
      <c r="B3496">
        <v>5</v>
      </c>
      <c r="C3496" t="s">
        <v>20</v>
      </c>
      <c r="D3496" s="1">
        <v>45443</v>
      </c>
      <c r="E3496">
        <v>3297.5</v>
      </c>
      <c r="F3496">
        <v>188.59</v>
      </c>
      <c r="G3496">
        <v>113.06</v>
      </c>
      <c r="H3496">
        <v>327</v>
      </c>
      <c r="I3496" t="s">
        <v>25</v>
      </c>
      <c r="J3496">
        <v>2024</v>
      </c>
      <c r="K3496">
        <f t="shared" si="108"/>
        <v>75.53</v>
      </c>
      <c r="L3496" t="str">
        <f t="shared" si="109"/>
        <v>Banca Umbra|5|Risparmio</v>
      </c>
    </row>
    <row r="3497" spans="1:12" x14ac:dyDescent="0.25">
      <c r="A3497" t="s">
        <v>36</v>
      </c>
      <c r="B3497">
        <v>5</v>
      </c>
      <c r="C3497" t="s">
        <v>21</v>
      </c>
      <c r="D3497" s="1">
        <v>45443</v>
      </c>
      <c r="E3497">
        <v>3666.1</v>
      </c>
      <c r="F3497">
        <v>217.22</v>
      </c>
      <c r="G3497">
        <v>128.77000000000001</v>
      </c>
      <c r="H3497">
        <v>364</v>
      </c>
      <c r="I3497" t="s">
        <v>25</v>
      </c>
      <c r="J3497">
        <v>2024</v>
      </c>
      <c r="K3497">
        <f t="shared" si="108"/>
        <v>88.449999999999989</v>
      </c>
      <c r="L3497" t="str">
        <f t="shared" si="109"/>
        <v>Banca Umbra|5|Assicurazioni</v>
      </c>
    </row>
    <row r="3498" spans="1:12" x14ac:dyDescent="0.25">
      <c r="A3498" t="s">
        <v>36</v>
      </c>
      <c r="B3498">
        <v>6</v>
      </c>
      <c r="C3498" t="s">
        <v>13</v>
      </c>
      <c r="D3498" s="1">
        <v>45473</v>
      </c>
      <c r="E3498">
        <v>1005.9</v>
      </c>
      <c r="F3498">
        <v>45.7</v>
      </c>
      <c r="G3498">
        <v>28.42</v>
      </c>
      <c r="H3498">
        <v>130</v>
      </c>
      <c r="I3498" t="s">
        <v>25</v>
      </c>
      <c r="J3498">
        <v>2024</v>
      </c>
      <c r="K3498">
        <f t="shared" si="108"/>
        <v>17.28</v>
      </c>
      <c r="L3498" t="str">
        <f t="shared" si="109"/>
        <v>Banca Umbra|6|Mutui</v>
      </c>
    </row>
    <row r="3499" spans="1:12" x14ac:dyDescent="0.25">
      <c r="A3499" t="s">
        <v>36</v>
      </c>
      <c r="B3499">
        <v>6</v>
      </c>
      <c r="C3499" t="s">
        <v>15</v>
      </c>
      <c r="D3499" s="1">
        <v>45473</v>
      </c>
      <c r="E3499">
        <v>1405.2</v>
      </c>
      <c r="F3499">
        <v>66.31</v>
      </c>
      <c r="G3499">
        <v>41.57</v>
      </c>
      <c r="H3499">
        <v>173</v>
      </c>
      <c r="I3499" t="s">
        <v>25</v>
      </c>
      <c r="J3499">
        <v>2024</v>
      </c>
      <c r="K3499">
        <f t="shared" si="108"/>
        <v>24.740000000000002</v>
      </c>
      <c r="L3499" t="str">
        <f t="shared" si="109"/>
        <v>Banca Umbra|6|Prestiti</v>
      </c>
    </row>
    <row r="3500" spans="1:12" x14ac:dyDescent="0.25">
      <c r="A3500" t="s">
        <v>36</v>
      </c>
      <c r="B3500">
        <v>6</v>
      </c>
      <c r="C3500" t="s">
        <v>16</v>
      </c>
      <c r="D3500" s="1">
        <v>45473</v>
      </c>
      <c r="E3500">
        <v>1767.9</v>
      </c>
      <c r="F3500">
        <v>87.05</v>
      </c>
      <c r="G3500">
        <v>53.51</v>
      </c>
      <c r="H3500">
        <v>198</v>
      </c>
      <c r="I3500" t="s">
        <v>25</v>
      </c>
      <c r="J3500">
        <v>2024</v>
      </c>
      <c r="K3500">
        <f t="shared" si="108"/>
        <v>33.54</v>
      </c>
      <c r="L3500" t="str">
        <f t="shared" si="109"/>
        <v>Banca Umbra|6|Conti</v>
      </c>
    </row>
    <row r="3501" spans="1:12" x14ac:dyDescent="0.25">
      <c r="A3501" t="s">
        <v>36</v>
      </c>
      <c r="B3501">
        <v>6</v>
      </c>
      <c r="C3501" t="s">
        <v>17</v>
      </c>
      <c r="D3501" s="1">
        <v>45473</v>
      </c>
      <c r="E3501">
        <v>2181.8000000000002</v>
      </c>
      <c r="F3501">
        <v>112.08</v>
      </c>
      <c r="G3501">
        <v>67.95</v>
      </c>
      <c r="H3501">
        <v>227</v>
      </c>
      <c r="I3501" t="s">
        <v>25</v>
      </c>
      <c r="J3501">
        <v>2024</v>
      </c>
      <c r="K3501">
        <f t="shared" si="108"/>
        <v>44.129999999999995</v>
      </c>
      <c r="L3501" t="str">
        <f t="shared" si="109"/>
        <v>Banca Umbra|6|Carte</v>
      </c>
    </row>
    <row r="3502" spans="1:12" x14ac:dyDescent="0.25">
      <c r="A3502" t="s">
        <v>36</v>
      </c>
      <c r="B3502">
        <v>6</v>
      </c>
      <c r="C3502" t="s">
        <v>18</v>
      </c>
      <c r="D3502" s="1">
        <v>45473</v>
      </c>
      <c r="E3502">
        <v>2562.4</v>
      </c>
      <c r="F3502">
        <v>136.5</v>
      </c>
      <c r="G3502">
        <v>82.14</v>
      </c>
      <c r="H3502">
        <v>265</v>
      </c>
      <c r="I3502" t="s">
        <v>25</v>
      </c>
      <c r="J3502">
        <v>2024</v>
      </c>
      <c r="K3502">
        <f t="shared" si="108"/>
        <v>54.36</v>
      </c>
      <c r="L3502" t="str">
        <f t="shared" si="109"/>
        <v>Banca Umbra|6|Leasing</v>
      </c>
    </row>
    <row r="3503" spans="1:12" x14ac:dyDescent="0.25">
      <c r="A3503" t="s">
        <v>36</v>
      </c>
      <c r="B3503">
        <v>6</v>
      </c>
      <c r="C3503" t="s">
        <v>19</v>
      </c>
      <c r="D3503" s="1">
        <v>45473</v>
      </c>
      <c r="E3503">
        <v>2974.2</v>
      </c>
      <c r="F3503">
        <v>164.43</v>
      </c>
      <c r="G3503">
        <v>98.76</v>
      </c>
      <c r="H3503">
        <v>285</v>
      </c>
      <c r="I3503" t="s">
        <v>25</v>
      </c>
      <c r="J3503">
        <v>2024</v>
      </c>
      <c r="K3503">
        <f t="shared" si="108"/>
        <v>65.67</v>
      </c>
      <c r="L3503" t="str">
        <f t="shared" si="109"/>
        <v>Banca Umbra|6|Factoring</v>
      </c>
    </row>
    <row r="3504" spans="1:12" x14ac:dyDescent="0.25">
      <c r="A3504" t="s">
        <v>36</v>
      </c>
      <c r="B3504">
        <v>6</v>
      </c>
      <c r="C3504" t="s">
        <v>20</v>
      </c>
      <c r="D3504" s="1">
        <v>45473</v>
      </c>
      <c r="E3504">
        <v>3313.2</v>
      </c>
      <c r="F3504">
        <v>189.09</v>
      </c>
      <c r="G3504">
        <v>113.07</v>
      </c>
      <c r="H3504">
        <v>351</v>
      </c>
      <c r="I3504" t="s">
        <v>25</v>
      </c>
      <c r="J3504">
        <v>2024</v>
      </c>
      <c r="K3504">
        <f t="shared" si="108"/>
        <v>76.02000000000001</v>
      </c>
      <c r="L3504" t="str">
        <f t="shared" si="109"/>
        <v>Banca Umbra|6|Risparmio</v>
      </c>
    </row>
    <row r="3505" spans="1:12" x14ac:dyDescent="0.25">
      <c r="A3505" t="s">
        <v>36</v>
      </c>
      <c r="B3505">
        <v>6</v>
      </c>
      <c r="C3505" t="s">
        <v>21</v>
      </c>
      <c r="D3505" s="1">
        <v>45473</v>
      </c>
      <c r="E3505">
        <v>3730.6</v>
      </c>
      <c r="F3505">
        <v>220.57</v>
      </c>
      <c r="G3505">
        <v>131.16</v>
      </c>
      <c r="H3505">
        <v>371</v>
      </c>
      <c r="I3505" t="s">
        <v>25</v>
      </c>
      <c r="J3505">
        <v>2024</v>
      </c>
      <c r="K3505">
        <f t="shared" si="108"/>
        <v>89.41</v>
      </c>
      <c r="L3505" t="str">
        <f t="shared" si="109"/>
        <v>Banca Umbra|6|Assicurazioni</v>
      </c>
    </row>
    <row r="3506" spans="1:12" x14ac:dyDescent="0.25">
      <c r="A3506" t="s">
        <v>36</v>
      </c>
      <c r="B3506">
        <v>7</v>
      </c>
      <c r="C3506" t="s">
        <v>13</v>
      </c>
      <c r="D3506" s="1">
        <v>45504</v>
      </c>
      <c r="E3506">
        <v>1040.9000000000001</v>
      </c>
      <c r="F3506">
        <v>47.72</v>
      </c>
      <c r="G3506">
        <v>29.31</v>
      </c>
      <c r="H3506">
        <v>105</v>
      </c>
      <c r="I3506" t="s">
        <v>25</v>
      </c>
      <c r="J3506">
        <v>2024</v>
      </c>
      <c r="K3506">
        <f t="shared" si="108"/>
        <v>18.41</v>
      </c>
      <c r="L3506" t="str">
        <f t="shared" si="109"/>
        <v>Banca Umbra|7|Mutui</v>
      </c>
    </row>
    <row r="3507" spans="1:12" x14ac:dyDescent="0.25">
      <c r="A3507" t="s">
        <v>36</v>
      </c>
      <c r="B3507">
        <v>7</v>
      </c>
      <c r="C3507" t="s">
        <v>15</v>
      </c>
      <c r="D3507" s="1">
        <v>45504</v>
      </c>
      <c r="E3507">
        <v>1413.2</v>
      </c>
      <c r="F3507">
        <v>66.58</v>
      </c>
      <c r="G3507">
        <v>41.24</v>
      </c>
      <c r="H3507">
        <v>160</v>
      </c>
      <c r="I3507" t="s">
        <v>25</v>
      </c>
      <c r="J3507">
        <v>2024</v>
      </c>
      <c r="K3507">
        <f t="shared" si="108"/>
        <v>25.339999999999996</v>
      </c>
      <c r="L3507" t="str">
        <f t="shared" si="109"/>
        <v>Banca Umbra|7|Prestiti</v>
      </c>
    </row>
    <row r="3508" spans="1:12" x14ac:dyDescent="0.25">
      <c r="A3508" t="s">
        <v>36</v>
      </c>
      <c r="B3508">
        <v>7</v>
      </c>
      <c r="C3508" t="s">
        <v>16</v>
      </c>
      <c r="D3508" s="1">
        <v>45504</v>
      </c>
      <c r="E3508">
        <v>1803.3</v>
      </c>
      <c r="F3508">
        <v>88.97</v>
      </c>
      <c r="G3508">
        <v>55.06</v>
      </c>
      <c r="H3508">
        <v>200</v>
      </c>
      <c r="I3508" t="s">
        <v>25</v>
      </c>
      <c r="J3508">
        <v>2024</v>
      </c>
      <c r="K3508">
        <f t="shared" si="108"/>
        <v>33.909999999999997</v>
      </c>
      <c r="L3508" t="str">
        <f t="shared" si="109"/>
        <v>Banca Umbra|7|Conti</v>
      </c>
    </row>
    <row r="3509" spans="1:12" x14ac:dyDescent="0.25">
      <c r="A3509" t="s">
        <v>36</v>
      </c>
      <c r="B3509">
        <v>7</v>
      </c>
      <c r="C3509" t="s">
        <v>17</v>
      </c>
      <c r="D3509" s="1">
        <v>45504</v>
      </c>
      <c r="E3509">
        <v>2168.4</v>
      </c>
      <c r="F3509">
        <v>110.88</v>
      </c>
      <c r="G3509">
        <v>67.94</v>
      </c>
      <c r="H3509">
        <v>241</v>
      </c>
      <c r="I3509" t="s">
        <v>25</v>
      </c>
      <c r="J3509">
        <v>2024</v>
      </c>
      <c r="K3509">
        <f t="shared" si="108"/>
        <v>42.94</v>
      </c>
      <c r="L3509" t="str">
        <f t="shared" si="109"/>
        <v>Banca Umbra|7|Carte</v>
      </c>
    </row>
    <row r="3510" spans="1:12" x14ac:dyDescent="0.25">
      <c r="A3510" t="s">
        <v>36</v>
      </c>
      <c r="B3510">
        <v>7</v>
      </c>
      <c r="C3510" t="s">
        <v>18</v>
      </c>
      <c r="D3510" s="1">
        <v>45504</v>
      </c>
      <c r="E3510">
        <v>2597.5</v>
      </c>
      <c r="F3510">
        <v>138.32</v>
      </c>
      <c r="G3510">
        <v>83.84</v>
      </c>
      <c r="H3510">
        <v>274</v>
      </c>
      <c r="I3510" t="s">
        <v>25</v>
      </c>
      <c r="J3510">
        <v>2024</v>
      </c>
      <c r="K3510">
        <f t="shared" si="108"/>
        <v>54.47999999999999</v>
      </c>
      <c r="L3510" t="str">
        <f t="shared" si="109"/>
        <v>Banca Umbra|7|Leasing</v>
      </c>
    </row>
    <row r="3511" spans="1:12" x14ac:dyDescent="0.25">
      <c r="A3511" t="s">
        <v>36</v>
      </c>
      <c r="B3511">
        <v>7</v>
      </c>
      <c r="C3511" t="s">
        <v>19</v>
      </c>
      <c r="D3511" s="1">
        <v>45504</v>
      </c>
      <c r="E3511">
        <v>2976.8</v>
      </c>
      <c r="F3511">
        <v>163.72999999999999</v>
      </c>
      <c r="G3511">
        <v>98.87</v>
      </c>
      <c r="H3511">
        <v>317</v>
      </c>
      <c r="I3511" t="s">
        <v>25</v>
      </c>
      <c r="J3511">
        <v>2024</v>
      </c>
      <c r="K3511">
        <f t="shared" si="108"/>
        <v>64.859999999999985</v>
      </c>
      <c r="L3511" t="str">
        <f t="shared" si="109"/>
        <v>Banca Umbra|7|Factoring</v>
      </c>
    </row>
    <row r="3512" spans="1:12" x14ac:dyDescent="0.25">
      <c r="A3512" t="s">
        <v>36</v>
      </c>
      <c r="B3512">
        <v>7</v>
      </c>
      <c r="C3512" t="s">
        <v>20</v>
      </c>
      <c r="D3512" s="1">
        <v>45504</v>
      </c>
      <c r="E3512">
        <v>3374.4</v>
      </c>
      <c r="F3512">
        <v>192.56</v>
      </c>
      <c r="G3512">
        <v>115.61</v>
      </c>
      <c r="H3512">
        <v>351</v>
      </c>
      <c r="I3512" t="s">
        <v>25</v>
      </c>
      <c r="J3512">
        <v>2024</v>
      </c>
      <c r="K3512">
        <f t="shared" si="108"/>
        <v>76.95</v>
      </c>
      <c r="L3512" t="str">
        <f t="shared" si="109"/>
        <v>Banca Umbra|7|Risparmio</v>
      </c>
    </row>
    <row r="3513" spans="1:12" x14ac:dyDescent="0.25">
      <c r="A3513" t="s">
        <v>36</v>
      </c>
      <c r="B3513">
        <v>7</v>
      </c>
      <c r="C3513" t="s">
        <v>21</v>
      </c>
      <c r="D3513" s="1">
        <v>45504</v>
      </c>
      <c r="E3513">
        <v>3767.5</v>
      </c>
      <c r="F3513">
        <v>222.81</v>
      </c>
      <c r="G3513">
        <v>132.82</v>
      </c>
      <c r="H3513">
        <v>360</v>
      </c>
      <c r="I3513" t="s">
        <v>25</v>
      </c>
      <c r="J3513">
        <v>2024</v>
      </c>
      <c r="K3513">
        <f t="shared" si="108"/>
        <v>89.990000000000009</v>
      </c>
      <c r="L3513" t="str">
        <f t="shared" si="109"/>
        <v>Banca Umbra|7|Assicurazioni</v>
      </c>
    </row>
    <row r="3514" spans="1:12" x14ac:dyDescent="0.25">
      <c r="A3514" t="s">
        <v>36</v>
      </c>
      <c r="B3514">
        <v>8</v>
      </c>
      <c r="C3514" t="s">
        <v>13</v>
      </c>
      <c r="D3514" s="1">
        <v>45535</v>
      </c>
      <c r="E3514">
        <v>1023.7</v>
      </c>
      <c r="F3514">
        <v>46.66</v>
      </c>
      <c r="G3514">
        <v>29.61</v>
      </c>
      <c r="H3514">
        <v>124</v>
      </c>
      <c r="I3514" t="s">
        <v>25</v>
      </c>
      <c r="J3514">
        <v>2024</v>
      </c>
      <c r="K3514">
        <f t="shared" si="108"/>
        <v>17.049999999999997</v>
      </c>
      <c r="L3514" t="str">
        <f t="shared" si="109"/>
        <v>Banca Umbra|8|Mutui</v>
      </c>
    </row>
    <row r="3515" spans="1:12" x14ac:dyDescent="0.25">
      <c r="A3515" t="s">
        <v>36</v>
      </c>
      <c r="B3515">
        <v>8</v>
      </c>
      <c r="C3515" t="s">
        <v>15</v>
      </c>
      <c r="D3515" s="1">
        <v>45535</v>
      </c>
      <c r="E3515">
        <v>1429.1</v>
      </c>
      <c r="F3515">
        <v>67.45</v>
      </c>
      <c r="G3515">
        <v>42.13</v>
      </c>
      <c r="H3515">
        <v>164</v>
      </c>
      <c r="I3515" t="s">
        <v>25</v>
      </c>
      <c r="J3515">
        <v>2024</v>
      </c>
      <c r="K3515">
        <f t="shared" si="108"/>
        <v>25.32</v>
      </c>
      <c r="L3515" t="str">
        <f t="shared" si="109"/>
        <v>Banca Umbra|8|Prestiti</v>
      </c>
    </row>
    <row r="3516" spans="1:12" x14ac:dyDescent="0.25">
      <c r="A3516" t="s">
        <v>36</v>
      </c>
      <c r="B3516">
        <v>8</v>
      </c>
      <c r="C3516" t="s">
        <v>16</v>
      </c>
      <c r="D3516" s="1">
        <v>45535</v>
      </c>
      <c r="E3516">
        <v>1794.7</v>
      </c>
      <c r="F3516">
        <v>88.69</v>
      </c>
      <c r="G3516">
        <v>54.6</v>
      </c>
      <c r="H3516">
        <v>196</v>
      </c>
      <c r="I3516" t="s">
        <v>25</v>
      </c>
      <c r="J3516">
        <v>2024</v>
      </c>
      <c r="K3516">
        <f t="shared" si="108"/>
        <v>34.089999999999996</v>
      </c>
      <c r="L3516" t="str">
        <f t="shared" si="109"/>
        <v>Banca Umbra|8|Conti</v>
      </c>
    </row>
    <row r="3517" spans="1:12" x14ac:dyDescent="0.25">
      <c r="A3517" t="s">
        <v>36</v>
      </c>
      <c r="B3517">
        <v>8</v>
      </c>
      <c r="C3517" t="s">
        <v>17</v>
      </c>
      <c r="D3517" s="1">
        <v>45535</v>
      </c>
      <c r="E3517">
        <v>2182.3000000000002</v>
      </c>
      <c r="F3517">
        <v>111.46</v>
      </c>
      <c r="G3517">
        <v>68.040000000000006</v>
      </c>
      <c r="H3517">
        <v>229</v>
      </c>
      <c r="I3517" t="s">
        <v>25</v>
      </c>
      <c r="J3517">
        <v>2024</v>
      </c>
      <c r="K3517">
        <f t="shared" si="108"/>
        <v>43.419999999999987</v>
      </c>
      <c r="L3517" t="str">
        <f t="shared" si="109"/>
        <v>Banca Umbra|8|Carte</v>
      </c>
    </row>
    <row r="3518" spans="1:12" x14ac:dyDescent="0.25">
      <c r="A3518" t="s">
        <v>36</v>
      </c>
      <c r="B3518">
        <v>8</v>
      </c>
      <c r="C3518" t="s">
        <v>18</v>
      </c>
      <c r="D3518" s="1">
        <v>45535</v>
      </c>
      <c r="E3518">
        <v>2607.1999999999998</v>
      </c>
      <c r="F3518">
        <v>138.71</v>
      </c>
      <c r="G3518">
        <v>83.76</v>
      </c>
      <c r="H3518">
        <v>277</v>
      </c>
      <c r="I3518" t="s">
        <v>25</v>
      </c>
      <c r="J3518">
        <v>2024</v>
      </c>
      <c r="K3518">
        <f t="shared" si="108"/>
        <v>54.95</v>
      </c>
      <c r="L3518" t="str">
        <f t="shared" si="109"/>
        <v>Banca Umbra|8|Leasing</v>
      </c>
    </row>
    <row r="3519" spans="1:12" x14ac:dyDescent="0.25">
      <c r="A3519" t="s">
        <v>36</v>
      </c>
      <c r="B3519">
        <v>8</v>
      </c>
      <c r="C3519" t="s">
        <v>19</v>
      </c>
      <c r="D3519" s="1">
        <v>45535</v>
      </c>
      <c r="E3519">
        <v>2972</v>
      </c>
      <c r="F3519">
        <v>164.18</v>
      </c>
      <c r="G3519">
        <v>98.19</v>
      </c>
      <c r="H3519">
        <v>313</v>
      </c>
      <c r="I3519" t="s">
        <v>25</v>
      </c>
      <c r="J3519">
        <v>2024</v>
      </c>
      <c r="K3519">
        <f t="shared" si="108"/>
        <v>65.990000000000009</v>
      </c>
      <c r="L3519" t="str">
        <f t="shared" si="109"/>
        <v>Banca Umbra|8|Factoring</v>
      </c>
    </row>
    <row r="3520" spans="1:12" x14ac:dyDescent="0.25">
      <c r="A3520" t="s">
        <v>36</v>
      </c>
      <c r="B3520">
        <v>8</v>
      </c>
      <c r="C3520" t="s">
        <v>20</v>
      </c>
      <c r="D3520" s="1">
        <v>45535</v>
      </c>
      <c r="E3520">
        <v>3399.7</v>
      </c>
      <c r="F3520">
        <v>194.12</v>
      </c>
      <c r="G3520">
        <v>116.15</v>
      </c>
      <c r="H3520">
        <v>341</v>
      </c>
      <c r="I3520" t="s">
        <v>25</v>
      </c>
      <c r="J3520">
        <v>2024</v>
      </c>
      <c r="K3520">
        <f t="shared" si="108"/>
        <v>77.97</v>
      </c>
      <c r="L3520" t="str">
        <f t="shared" si="109"/>
        <v>Banca Umbra|8|Risparmio</v>
      </c>
    </row>
    <row r="3521" spans="1:12" x14ac:dyDescent="0.25">
      <c r="A3521" t="s">
        <v>36</v>
      </c>
      <c r="B3521">
        <v>8</v>
      </c>
      <c r="C3521" t="s">
        <v>21</v>
      </c>
      <c r="D3521" s="1">
        <v>45535</v>
      </c>
      <c r="E3521">
        <v>3756.6</v>
      </c>
      <c r="F3521">
        <v>222.35</v>
      </c>
      <c r="G3521">
        <v>131.54</v>
      </c>
      <c r="H3521">
        <v>365</v>
      </c>
      <c r="I3521" t="s">
        <v>25</v>
      </c>
      <c r="J3521">
        <v>2024</v>
      </c>
      <c r="K3521">
        <f t="shared" si="108"/>
        <v>90.81</v>
      </c>
      <c r="L3521" t="str">
        <f t="shared" si="109"/>
        <v>Banca Umbra|8|Assicurazioni</v>
      </c>
    </row>
    <row r="3522" spans="1:12" x14ac:dyDescent="0.25">
      <c r="A3522" t="s">
        <v>36</v>
      </c>
      <c r="B3522">
        <v>9</v>
      </c>
      <c r="C3522" t="s">
        <v>13</v>
      </c>
      <c r="D3522" s="1">
        <v>45565</v>
      </c>
      <c r="E3522">
        <v>1064.5</v>
      </c>
      <c r="F3522">
        <v>48.21</v>
      </c>
      <c r="G3522">
        <v>30.68</v>
      </c>
      <c r="H3522">
        <v>132</v>
      </c>
      <c r="I3522" t="s">
        <v>25</v>
      </c>
      <c r="J3522">
        <v>2024</v>
      </c>
      <c r="K3522">
        <f t="shared" ref="K3522:K3585" si="110">F3522-G3522</f>
        <v>17.53</v>
      </c>
      <c r="L3522" t="str">
        <f t="shared" ref="L3522:L3585" si="111">A3522&amp;"|"&amp;B3522&amp;"|"&amp;C3522</f>
        <v>Banca Umbra|9|Mutui</v>
      </c>
    </row>
    <row r="3523" spans="1:12" x14ac:dyDescent="0.25">
      <c r="A3523" t="s">
        <v>36</v>
      </c>
      <c r="B3523">
        <v>9</v>
      </c>
      <c r="C3523" t="s">
        <v>15</v>
      </c>
      <c r="D3523" s="1">
        <v>45565</v>
      </c>
      <c r="E3523">
        <v>1434.5</v>
      </c>
      <c r="F3523">
        <v>67.89</v>
      </c>
      <c r="G3523">
        <v>41.83</v>
      </c>
      <c r="H3523">
        <v>166</v>
      </c>
      <c r="I3523" t="s">
        <v>25</v>
      </c>
      <c r="J3523">
        <v>2024</v>
      </c>
      <c r="K3523">
        <f t="shared" si="110"/>
        <v>26.060000000000002</v>
      </c>
      <c r="L3523" t="str">
        <f t="shared" si="111"/>
        <v>Banca Umbra|9|Prestiti</v>
      </c>
    </row>
    <row r="3524" spans="1:12" x14ac:dyDescent="0.25">
      <c r="A3524" t="s">
        <v>36</v>
      </c>
      <c r="B3524">
        <v>9</v>
      </c>
      <c r="C3524" t="s">
        <v>16</v>
      </c>
      <c r="D3524" s="1">
        <v>45565</v>
      </c>
      <c r="E3524">
        <v>1862.1</v>
      </c>
      <c r="F3524">
        <v>91.38</v>
      </c>
      <c r="G3524">
        <v>56.27</v>
      </c>
      <c r="H3524">
        <v>192</v>
      </c>
      <c r="I3524" t="s">
        <v>25</v>
      </c>
      <c r="J3524">
        <v>2024</v>
      </c>
      <c r="K3524">
        <f t="shared" si="110"/>
        <v>35.109999999999992</v>
      </c>
      <c r="L3524" t="str">
        <f t="shared" si="111"/>
        <v>Banca Umbra|9|Conti</v>
      </c>
    </row>
    <row r="3525" spans="1:12" x14ac:dyDescent="0.25">
      <c r="A3525" t="s">
        <v>36</v>
      </c>
      <c r="B3525">
        <v>9</v>
      </c>
      <c r="C3525" t="s">
        <v>17</v>
      </c>
      <c r="D3525" s="1">
        <v>45565</v>
      </c>
      <c r="E3525">
        <v>2225.9</v>
      </c>
      <c r="F3525">
        <v>113.78</v>
      </c>
      <c r="G3525">
        <v>69.13</v>
      </c>
      <c r="H3525">
        <v>226</v>
      </c>
      <c r="I3525" t="s">
        <v>25</v>
      </c>
      <c r="J3525">
        <v>2024</v>
      </c>
      <c r="K3525">
        <f t="shared" si="110"/>
        <v>44.650000000000006</v>
      </c>
      <c r="L3525" t="str">
        <f t="shared" si="111"/>
        <v>Banca Umbra|9|Carte</v>
      </c>
    </row>
    <row r="3526" spans="1:12" x14ac:dyDescent="0.25">
      <c r="A3526" t="s">
        <v>36</v>
      </c>
      <c r="B3526">
        <v>9</v>
      </c>
      <c r="C3526" t="s">
        <v>18</v>
      </c>
      <c r="D3526" s="1">
        <v>45565</v>
      </c>
      <c r="E3526">
        <v>2647.1</v>
      </c>
      <c r="F3526">
        <v>140.46</v>
      </c>
      <c r="G3526">
        <v>85.6</v>
      </c>
      <c r="H3526">
        <v>281</v>
      </c>
      <c r="I3526" t="s">
        <v>25</v>
      </c>
      <c r="J3526">
        <v>2024</v>
      </c>
      <c r="K3526">
        <f t="shared" si="110"/>
        <v>54.860000000000014</v>
      </c>
      <c r="L3526" t="str">
        <f t="shared" si="111"/>
        <v>Banca Umbra|9|Leasing</v>
      </c>
    </row>
    <row r="3527" spans="1:12" x14ac:dyDescent="0.25">
      <c r="A3527" t="s">
        <v>36</v>
      </c>
      <c r="B3527">
        <v>9</v>
      </c>
      <c r="C3527" t="s">
        <v>19</v>
      </c>
      <c r="D3527" s="1">
        <v>45565</v>
      </c>
      <c r="E3527">
        <v>3036.1</v>
      </c>
      <c r="F3527">
        <v>167.17</v>
      </c>
      <c r="G3527">
        <v>100.35</v>
      </c>
      <c r="H3527">
        <v>295</v>
      </c>
      <c r="I3527" t="s">
        <v>25</v>
      </c>
      <c r="J3527">
        <v>2024</v>
      </c>
      <c r="K3527">
        <f t="shared" si="110"/>
        <v>66.819999999999993</v>
      </c>
      <c r="L3527" t="str">
        <f t="shared" si="111"/>
        <v>Banca Umbra|9|Factoring</v>
      </c>
    </row>
    <row r="3528" spans="1:12" x14ac:dyDescent="0.25">
      <c r="A3528" t="s">
        <v>36</v>
      </c>
      <c r="B3528">
        <v>9</v>
      </c>
      <c r="C3528" t="s">
        <v>20</v>
      </c>
      <c r="D3528" s="1">
        <v>45565</v>
      </c>
      <c r="E3528">
        <v>3435.2</v>
      </c>
      <c r="F3528">
        <v>195.9</v>
      </c>
      <c r="G3528">
        <v>116.9</v>
      </c>
      <c r="H3528">
        <v>348</v>
      </c>
      <c r="I3528" t="s">
        <v>25</v>
      </c>
      <c r="J3528">
        <v>2024</v>
      </c>
      <c r="K3528">
        <f t="shared" si="110"/>
        <v>79</v>
      </c>
      <c r="L3528" t="str">
        <f t="shared" si="111"/>
        <v>Banca Umbra|9|Risparmio</v>
      </c>
    </row>
    <row r="3529" spans="1:12" x14ac:dyDescent="0.25">
      <c r="A3529" t="s">
        <v>36</v>
      </c>
      <c r="B3529">
        <v>9</v>
      </c>
      <c r="C3529" t="s">
        <v>21</v>
      </c>
      <c r="D3529" s="1">
        <v>45565</v>
      </c>
      <c r="E3529">
        <v>3776.4</v>
      </c>
      <c r="F3529">
        <v>223.46</v>
      </c>
      <c r="G3529">
        <v>132.65</v>
      </c>
      <c r="H3529">
        <v>371</v>
      </c>
      <c r="I3529" t="s">
        <v>25</v>
      </c>
      <c r="J3529">
        <v>2024</v>
      </c>
      <c r="K3529">
        <f t="shared" si="110"/>
        <v>90.81</v>
      </c>
      <c r="L3529" t="str">
        <f t="shared" si="111"/>
        <v>Banca Umbra|9|Assicurazioni</v>
      </c>
    </row>
    <row r="3530" spans="1:12" x14ac:dyDescent="0.25">
      <c r="A3530" t="s">
        <v>36</v>
      </c>
      <c r="B3530">
        <v>10</v>
      </c>
      <c r="C3530" t="s">
        <v>13</v>
      </c>
      <c r="D3530" s="1">
        <v>45596</v>
      </c>
      <c r="E3530">
        <v>1065.9000000000001</v>
      </c>
      <c r="F3530">
        <v>48.45</v>
      </c>
      <c r="G3530">
        <v>30.14</v>
      </c>
      <c r="H3530">
        <v>130</v>
      </c>
      <c r="I3530" t="s">
        <v>25</v>
      </c>
      <c r="J3530">
        <v>2024</v>
      </c>
      <c r="K3530">
        <f t="shared" si="110"/>
        <v>18.310000000000002</v>
      </c>
      <c r="L3530" t="str">
        <f t="shared" si="111"/>
        <v>Banca Umbra|10|Mutui</v>
      </c>
    </row>
    <row r="3531" spans="1:12" x14ac:dyDescent="0.25">
      <c r="A3531" t="s">
        <v>36</v>
      </c>
      <c r="B3531">
        <v>10</v>
      </c>
      <c r="C3531" t="s">
        <v>15</v>
      </c>
      <c r="D3531" s="1">
        <v>45596</v>
      </c>
      <c r="E3531">
        <v>1465.8</v>
      </c>
      <c r="F3531">
        <v>69.81</v>
      </c>
      <c r="G3531">
        <v>42.53</v>
      </c>
      <c r="H3531">
        <v>138</v>
      </c>
      <c r="I3531" t="s">
        <v>25</v>
      </c>
      <c r="J3531">
        <v>2024</v>
      </c>
      <c r="K3531">
        <f t="shared" si="110"/>
        <v>27.28</v>
      </c>
      <c r="L3531" t="str">
        <f t="shared" si="111"/>
        <v>Banca Umbra|10|Prestiti</v>
      </c>
    </row>
    <row r="3532" spans="1:12" x14ac:dyDescent="0.25">
      <c r="A3532" t="s">
        <v>36</v>
      </c>
      <c r="B3532">
        <v>10</v>
      </c>
      <c r="C3532" t="s">
        <v>16</v>
      </c>
      <c r="D3532" s="1">
        <v>45596</v>
      </c>
      <c r="E3532">
        <v>1836.4</v>
      </c>
      <c r="F3532">
        <v>90.57</v>
      </c>
      <c r="G3532">
        <v>55.68</v>
      </c>
      <c r="H3532">
        <v>184</v>
      </c>
      <c r="I3532" t="s">
        <v>25</v>
      </c>
      <c r="J3532">
        <v>2024</v>
      </c>
      <c r="K3532">
        <f t="shared" si="110"/>
        <v>34.889999999999993</v>
      </c>
      <c r="L3532" t="str">
        <f t="shared" si="111"/>
        <v>Banca Umbra|10|Conti</v>
      </c>
    </row>
    <row r="3533" spans="1:12" x14ac:dyDescent="0.25">
      <c r="A3533" t="s">
        <v>36</v>
      </c>
      <c r="B3533">
        <v>10</v>
      </c>
      <c r="C3533" t="s">
        <v>17</v>
      </c>
      <c r="D3533" s="1">
        <v>45596</v>
      </c>
      <c r="E3533">
        <v>2251.9</v>
      </c>
      <c r="F3533">
        <v>115.27</v>
      </c>
      <c r="G3533">
        <v>70.739999999999995</v>
      </c>
      <c r="H3533">
        <v>246</v>
      </c>
      <c r="I3533" t="s">
        <v>25</v>
      </c>
      <c r="J3533">
        <v>2024</v>
      </c>
      <c r="K3533">
        <f t="shared" si="110"/>
        <v>44.53</v>
      </c>
      <c r="L3533" t="str">
        <f t="shared" si="111"/>
        <v>Banca Umbra|10|Carte</v>
      </c>
    </row>
    <row r="3534" spans="1:12" x14ac:dyDescent="0.25">
      <c r="A3534" t="s">
        <v>36</v>
      </c>
      <c r="B3534">
        <v>10</v>
      </c>
      <c r="C3534" t="s">
        <v>18</v>
      </c>
      <c r="D3534" s="1">
        <v>45596</v>
      </c>
      <c r="E3534">
        <v>2625.8</v>
      </c>
      <c r="F3534">
        <v>139.47999999999999</v>
      </c>
      <c r="G3534">
        <v>84.89</v>
      </c>
      <c r="H3534">
        <v>277</v>
      </c>
      <c r="I3534" t="s">
        <v>25</v>
      </c>
      <c r="J3534">
        <v>2024</v>
      </c>
      <c r="K3534">
        <f t="shared" si="110"/>
        <v>54.589999999999989</v>
      </c>
      <c r="L3534" t="str">
        <f t="shared" si="111"/>
        <v>Banca Umbra|10|Leasing</v>
      </c>
    </row>
    <row r="3535" spans="1:12" x14ac:dyDescent="0.25">
      <c r="A3535" t="s">
        <v>36</v>
      </c>
      <c r="B3535">
        <v>10</v>
      </c>
      <c r="C3535" t="s">
        <v>19</v>
      </c>
      <c r="D3535" s="1">
        <v>45596</v>
      </c>
      <c r="E3535">
        <v>3050.4</v>
      </c>
      <c r="F3535">
        <v>167.81</v>
      </c>
      <c r="G3535">
        <v>101.31</v>
      </c>
      <c r="H3535">
        <v>297</v>
      </c>
      <c r="I3535" t="s">
        <v>25</v>
      </c>
      <c r="J3535">
        <v>2024</v>
      </c>
      <c r="K3535">
        <f t="shared" si="110"/>
        <v>66.5</v>
      </c>
      <c r="L3535" t="str">
        <f t="shared" si="111"/>
        <v>Banca Umbra|10|Factoring</v>
      </c>
    </row>
    <row r="3536" spans="1:12" x14ac:dyDescent="0.25">
      <c r="A3536" t="s">
        <v>36</v>
      </c>
      <c r="B3536">
        <v>10</v>
      </c>
      <c r="C3536" t="s">
        <v>20</v>
      </c>
      <c r="D3536" s="1">
        <v>45596</v>
      </c>
      <c r="E3536">
        <v>3403.7</v>
      </c>
      <c r="F3536">
        <v>194.79</v>
      </c>
      <c r="G3536">
        <v>116.41</v>
      </c>
      <c r="H3536">
        <v>349</v>
      </c>
      <c r="I3536" t="s">
        <v>25</v>
      </c>
      <c r="J3536">
        <v>2024</v>
      </c>
      <c r="K3536">
        <f t="shared" si="110"/>
        <v>78.38</v>
      </c>
      <c r="L3536" t="str">
        <f t="shared" si="111"/>
        <v>Banca Umbra|10|Risparmio</v>
      </c>
    </row>
    <row r="3537" spans="1:12" x14ac:dyDescent="0.25">
      <c r="A3537" t="s">
        <v>36</v>
      </c>
      <c r="B3537">
        <v>10</v>
      </c>
      <c r="C3537" t="s">
        <v>21</v>
      </c>
      <c r="D3537" s="1">
        <v>45596</v>
      </c>
      <c r="E3537">
        <v>3852</v>
      </c>
      <c r="F3537">
        <v>228.14</v>
      </c>
      <c r="G3537">
        <v>134.88</v>
      </c>
      <c r="H3537">
        <v>361</v>
      </c>
      <c r="I3537" t="s">
        <v>25</v>
      </c>
      <c r="J3537">
        <v>2024</v>
      </c>
      <c r="K3537">
        <f t="shared" si="110"/>
        <v>93.259999999999991</v>
      </c>
      <c r="L3537" t="str">
        <f t="shared" si="111"/>
        <v>Banca Umbra|10|Assicurazioni</v>
      </c>
    </row>
    <row r="3538" spans="1:12" x14ac:dyDescent="0.25">
      <c r="A3538" t="s">
        <v>36</v>
      </c>
      <c r="B3538">
        <v>11</v>
      </c>
      <c r="C3538" t="s">
        <v>13</v>
      </c>
      <c r="D3538" s="1">
        <v>45626</v>
      </c>
      <c r="E3538">
        <v>1084.8</v>
      </c>
      <c r="F3538">
        <v>48.98</v>
      </c>
      <c r="G3538">
        <v>30.42</v>
      </c>
      <c r="H3538">
        <v>100</v>
      </c>
      <c r="I3538" t="s">
        <v>25</v>
      </c>
      <c r="J3538">
        <v>2024</v>
      </c>
      <c r="K3538">
        <f t="shared" si="110"/>
        <v>18.559999999999995</v>
      </c>
      <c r="L3538" t="str">
        <f t="shared" si="111"/>
        <v>Banca Umbra|11|Mutui</v>
      </c>
    </row>
    <row r="3539" spans="1:12" x14ac:dyDescent="0.25">
      <c r="A3539" t="s">
        <v>36</v>
      </c>
      <c r="B3539">
        <v>11</v>
      </c>
      <c r="C3539" t="s">
        <v>15</v>
      </c>
      <c r="D3539" s="1">
        <v>45626</v>
      </c>
      <c r="E3539">
        <v>1446.2</v>
      </c>
      <c r="F3539">
        <v>68.48</v>
      </c>
      <c r="G3539">
        <v>42.71</v>
      </c>
      <c r="H3539">
        <v>138</v>
      </c>
      <c r="I3539" t="s">
        <v>25</v>
      </c>
      <c r="J3539">
        <v>2024</v>
      </c>
      <c r="K3539">
        <f t="shared" si="110"/>
        <v>25.770000000000003</v>
      </c>
      <c r="L3539" t="str">
        <f t="shared" si="111"/>
        <v>Banca Umbra|11|Prestiti</v>
      </c>
    </row>
    <row r="3540" spans="1:12" x14ac:dyDescent="0.25">
      <c r="A3540" t="s">
        <v>36</v>
      </c>
      <c r="B3540">
        <v>11</v>
      </c>
      <c r="C3540" t="s">
        <v>16</v>
      </c>
      <c r="D3540" s="1">
        <v>45626</v>
      </c>
      <c r="E3540">
        <v>1879.4</v>
      </c>
      <c r="F3540">
        <v>92.81</v>
      </c>
      <c r="G3540">
        <v>56.9</v>
      </c>
      <c r="H3540">
        <v>177</v>
      </c>
      <c r="I3540" t="s">
        <v>25</v>
      </c>
      <c r="J3540">
        <v>2024</v>
      </c>
      <c r="K3540">
        <f t="shared" si="110"/>
        <v>35.910000000000004</v>
      </c>
      <c r="L3540" t="str">
        <f t="shared" si="111"/>
        <v>Banca Umbra|11|Conti</v>
      </c>
    </row>
    <row r="3541" spans="1:12" x14ac:dyDescent="0.25">
      <c r="A3541" t="s">
        <v>36</v>
      </c>
      <c r="B3541">
        <v>11</v>
      </c>
      <c r="C3541" t="s">
        <v>17</v>
      </c>
      <c r="D3541" s="1">
        <v>45626</v>
      </c>
      <c r="E3541">
        <v>2251.9</v>
      </c>
      <c r="F3541">
        <v>115.47</v>
      </c>
      <c r="G3541">
        <v>70.27</v>
      </c>
      <c r="H3541">
        <v>211</v>
      </c>
      <c r="I3541" t="s">
        <v>25</v>
      </c>
      <c r="J3541">
        <v>2024</v>
      </c>
      <c r="K3541">
        <f t="shared" si="110"/>
        <v>45.2</v>
      </c>
      <c r="L3541" t="str">
        <f t="shared" si="111"/>
        <v>Banca Umbra|11|Carte</v>
      </c>
    </row>
    <row r="3542" spans="1:12" x14ac:dyDescent="0.25">
      <c r="A3542" t="s">
        <v>36</v>
      </c>
      <c r="B3542">
        <v>11</v>
      </c>
      <c r="C3542" t="s">
        <v>18</v>
      </c>
      <c r="D3542" s="1">
        <v>45626</v>
      </c>
      <c r="E3542">
        <v>2674.1</v>
      </c>
      <c r="F3542">
        <v>142</v>
      </c>
      <c r="G3542">
        <v>86.18</v>
      </c>
      <c r="H3542">
        <v>246</v>
      </c>
      <c r="I3542" t="s">
        <v>25</v>
      </c>
      <c r="J3542">
        <v>2024</v>
      </c>
      <c r="K3542">
        <f t="shared" si="110"/>
        <v>55.819999999999993</v>
      </c>
      <c r="L3542" t="str">
        <f t="shared" si="111"/>
        <v>Banca Umbra|11|Leasing</v>
      </c>
    </row>
    <row r="3543" spans="1:12" x14ac:dyDescent="0.25">
      <c r="A3543" t="s">
        <v>36</v>
      </c>
      <c r="B3543">
        <v>11</v>
      </c>
      <c r="C3543" t="s">
        <v>19</v>
      </c>
      <c r="D3543" s="1">
        <v>45626</v>
      </c>
      <c r="E3543">
        <v>3087.9</v>
      </c>
      <c r="F3543">
        <v>170.74</v>
      </c>
      <c r="G3543">
        <v>102.7</v>
      </c>
      <c r="H3543">
        <v>297</v>
      </c>
      <c r="I3543" t="s">
        <v>25</v>
      </c>
      <c r="J3543">
        <v>2024</v>
      </c>
      <c r="K3543">
        <f t="shared" si="110"/>
        <v>68.040000000000006</v>
      </c>
      <c r="L3543" t="str">
        <f t="shared" si="111"/>
        <v>Banca Umbra|11|Factoring</v>
      </c>
    </row>
    <row r="3544" spans="1:12" x14ac:dyDescent="0.25">
      <c r="A3544" t="s">
        <v>36</v>
      </c>
      <c r="B3544">
        <v>11</v>
      </c>
      <c r="C3544" t="s">
        <v>20</v>
      </c>
      <c r="D3544" s="1">
        <v>45626</v>
      </c>
      <c r="E3544">
        <v>3486.2</v>
      </c>
      <c r="F3544">
        <v>199.07</v>
      </c>
      <c r="G3544">
        <v>119.27</v>
      </c>
      <c r="H3544">
        <v>322</v>
      </c>
      <c r="I3544" t="s">
        <v>25</v>
      </c>
      <c r="J3544">
        <v>2024</v>
      </c>
      <c r="K3544">
        <f t="shared" si="110"/>
        <v>79.8</v>
      </c>
      <c r="L3544" t="str">
        <f t="shared" si="111"/>
        <v>Banca Umbra|11|Risparmio</v>
      </c>
    </row>
    <row r="3545" spans="1:12" x14ac:dyDescent="0.25">
      <c r="A3545" t="s">
        <v>36</v>
      </c>
      <c r="B3545">
        <v>11</v>
      </c>
      <c r="C3545" t="s">
        <v>21</v>
      </c>
      <c r="D3545" s="1">
        <v>45626</v>
      </c>
      <c r="E3545">
        <v>3830.8</v>
      </c>
      <c r="F3545">
        <v>226.29</v>
      </c>
      <c r="G3545">
        <v>134.88999999999999</v>
      </c>
      <c r="H3545">
        <v>378</v>
      </c>
      <c r="I3545" t="s">
        <v>25</v>
      </c>
      <c r="J3545">
        <v>2024</v>
      </c>
      <c r="K3545">
        <f t="shared" si="110"/>
        <v>91.4</v>
      </c>
      <c r="L3545" t="str">
        <f t="shared" si="111"/>
        <v>Banca Umbra|11|Assicurazioni</v>
      </c>
    </row>
    <row r="3546" spans="1:12" x14ac:dyDescent="0.25">
      <c r="A3546" t="s">
        <v>36</v>
      </c>
      <c r="B3546">
        <v>12</v>
      </c>
      <c r="C3546" t="s">
        <v>13</v>
      </c>
      <c r="D3546" s="1">
        <v>45657</v>
      </c>
      <c r="E3546">
        <v>1045.9000000000001</v>
      </c>
      <c r="F3546">
        <v>47.33</v>
      </c>
      <c r="G3546">
        <v>29.81</v>
      </c>
      <c r="H3546">
        <v>122</v>
      </c>
      <c r="I3546" t="s">
        <v>25</v>
      </c>
      <c r="J3546">
        <v>2024</v>
      </c>
      <c r="K3546">
        <f t="shared" si="110"/>
        <v>17.52</v>
      </c>
      <c r="L3546" t="str">
        <f t="shared" si="111"/>
        <v>Banca Umbra|12|Mutui</v>
      </c>
    </row>
    <row r="3547" spans="1:12" x14ac:dyDescent="0.25">
      <c r="A3547" t="s">
        <v>36</v>
      </c>
      <c r="B3547">
        <v>12</v>
      </c>
      <c r="C3547" t="s">
        <v>15</v>
      </c>
      <c r="D3547" s="1">
        <v>45657</v>
      </c>
      <c r="E3547">
        <v>1445.8</v>
      </c>
      <c r="F3547">
        <v>68.22</v>
      </c>
      <c r="G3547">
        <v>42.45</v>
      </c>
      <c r="H3547">
        <v>151</v>
      </c>
      <c r="I3547" t="s">
        <v>25</v>
      </c>
      <c r="J3547">
        <v>2024</v>
      </c>
      <c r="K3547">
        <f t="shared" si="110"/>
        <v>25.769999999999996</v>
      </c>
      <c r="L3547" t="str">
        <f t="shared" si="111"/>
        <v>Banca Umbra|12|Prestiti</v>
      </c>
    </row>
    <row r="3548" spans="1:12" x14ac:dyDescent="0.25">
      <c r="A3548" t="s">
        <v>36</v>
      </c>
      <c r="B3548">
        <v>12</v>
      </c>
      <c r="C3548" t="s">
        <v>16</v>
      </c>
      <c r="D3548" s="1">
        <v>45657</v>
      </c>
      <c r="E3548">
        <v>1855.1</v>
      </c>
      <c r="F3548">
        <v>91.31</v>
      </c>
      <c r="G3548">
        <v>56.63</v>
      </c>
      <c r="H3548">
        <v>188</v>
      </c>
      <c r="I3548" t="s">
        <v>25</v>
      </c>
      <c r="J3548">
        <v>2024</v>
      </c>
      <c r="K3548">
        <f t="shared" si="110"/>
        <v>34.68</v>
      </c>
      <c r="L3548" t="str">
        <f t="shared" si="111"/>
        <v>Banca Umbra|12|Conti</v>
      </c>
    </row>
    <row r="3549" spans="1:12" x14ac:dyDescent="0.25">
      <c r="A3549" t="s">
        <v>36</v>
      </c>
      <c r="B3549">
        <v>12</v>
      </c>
      <c r="C3549" t="s">
        <v>17</v>
      </c>
      <c r="D3549" s="1">
        <v>45657</v>
      </c>
      <c r="E3549">
        <v>2297.6999999999998</v>
      </c>
      <c r="F3549">
        <v>117.73</v>
      </c>
      <c r="G3549">
        <v>72.2</v>
      </c>
      <c r="H3549">
        <v>210</v>
      </c>
      <c r="I3549" t="s">
        <v>25</v>
      </c>
      <c r="J3549">
        <v>2024</v>
      </c>
      <c r="K3549">
        <f t="shared" si="110"/>
        <v>45.53</v>
      </c>
      <c r="L3549" t="str">
        <f t="shared" si="111"/>
        <v>Banca Umbra|12|Carte</v>
      </c>
    </row>
    <row r="3550" spans="1:12" x14ac:dyDescent="0.25">
      <c r="A3550" t="s">
        <v>36</v>
      </c>
      <c r="B3550">
        <v>12</v>
      </c>
      <c r="C3550" t="s">
        <v>18</v>
      </c>
      <c r="D3550" s="1">
        <v>45657</v>
      </c>
      <c r="E3550">
        <v>2662.4</v>
      </c>
      <c r="F3550">
        <v>141.81</v>
      </c>
      <c r="G3550">
        <v>85.55</v>
      </c>
      <c r="H3550">
        <v>248</v>
      </c>
      <c r="I3550" t="s">
        <v>25</v>
      </c>
      <c r="J3550">
        <v>2024</v>
      </c>
      <c r="K3550">
        <f t="shared" si="110"/>
        <v>56.260000000000005</v>
      </c>
      <c r="L3550" t="str">
        <f t="shared" si="111"/>
        <v>Banca Umbra|12|Leasing</v>
      </c>
    </row>
    <row r="3551" spans="1:12" x14ac:dyDescent="0.25">
      <c r="A3551" t="s">
        <v>36</v>
      </c>
      <c r="B3551">
        <v>12</v>
      </c>
      <c r="C3551" t="s">
        <v>19</v>
      </c>
      <c r="D3551" s="1">
        <v>45657</v>
      </c>
      <c r="E3551">
        <v>3071.1</v>
      </c>
      <c r="F3551">
        <v>169.89</v>
      </c>
      <c r="G3551">
        <v>101.75</v>
      </c>
      <c r="H3551">
        <v>283</v>
      </c>
      <c r="I3551" t="s">
        <v>25</v>
      </c>
      <c r="J3551">
        <v>2024</v>
      </c>
      <c r="K3551">
        <f t="shared" si="110"/>
        <v>68.139999999999986</v>
      </c>
      <c r="L3551" t="str">
        <f t="shared" si="111"/>
        <v>Banca Umbra|12|Factoring</v>
      </c>
    </row>
    <row r="3552" spans="1:12" x14ac:dyDescent="0.25">
      <c r="A3552" t="s">
        <v>36</v>
      </c>
      <c r="B3552">
        <v>12</v>
      </c>
      <c r="C3552" t="s">
        <v>20</v>
      </c>
      <c r="D3552" s="1">
        <v>45657</v>
      </c>
      <c r="E3552">
        <v>3463.7</v>
      </c>
      <c r="F3552">
        <v>198.25</v>
      </c>
      <c r="G3552">
        <v>118.61</v>
      </c>
      <c r="H3552">
        <v>318</v>
      </c>
      <c r="I3552" t="s">
        <v>25</v>
      </c>
      <c r="J3552">
        <v>2024</v>
      </c>
      <c r="K3552">
        <f t="shared" si="110"/>
        <v>79.64</v>
      </c>
      <c r="L3552" t="str">
        <f t="shared" si="111"/>
        <v>Banca Umbra|12|Risparmio</v>
      </c>
    </row>
    <row r="3553" spans="1:12" x14ac:dyDescent="0.25">
      <c r="A3553" t="s">
        <v>36</v>
      </c>
      <c r="B3553">
        <v>12</v>
      </c>
      <c r="C3553" t="s">
        <v>21</v>
      </c>
      <c r="D3553" s="1">
        <v>45657</v>
      </c>
      <c r="E3553">
        <v>3870.7</v>
      </c>
      <c r="F3553">
        <v>229.12</v>
      </c>
      <c r="G3553">
        <v>135.47999999999999</v>
      </c>
      <c r="H3553">
        <v>355</v>
      </c>
      <c r="I3553" t="s">
        <v>25</v>
      </c>
      <c r="J3553">
        <v>2024</v>
      </c>
      <c r="K3553">
        <f t="shared" si="110"/>
        <v>93.640000000000015</v>
      </c>
      <c r="L3553" t="str">
        <f t="shared" si="111"/>
        <v>Banca Umbra|12|Assicurazioni</v>
      </c>
    </row>
    <row r="3554" spans="1:12" x14ac:dyDescent="0.25">
      <c r="A3554" t="s">
        <v>36</v>
      </c>
      <c r="B3554">
        <v>13</v>
      </c>
      <c r="C3554" t="s">
        <v>13</v>
      </c>
      <c r="D3554" s="1">
        <v>45688</v>
      </c>
      <c r="E3554">
        <v>1073</v>
      </c>
      <c r="F3554">
        <v>48.66</v>
      </c>
      <c r="G3554">
        <v>30.41</v>
      </c>
      <c r="H3554">
        <v>107</v>
      </c>
      <c r="I3554" t="s">
        <v>25</v>
      </c>
      <c r="J3554">
        <v>2025</v>
      </c>
      <c r="K3554">
        <f t="shared" si="110"/>
        <v>18.249999999999996</v>
      </c>
      <c r="L3554" t="str">
        <f t="shared" si="111"/>
        <v>Banca Umbra|13|Mutui</v>
      </c>
    </row>
    <row r="3555" spans="1:12" x14ac:dyDescent="0.25">
      <c r="A3555" t="s">
        <v>36</v>
      </c>
      <c r="B3555">
        <v>13</v>
      </c>
      <c r="C3555" t="s">
        <v>15</v>
      </c>
      <c r="D3555" s="1">
        <v>45688</v>
      </c>
      <c r="E3555">
        <v>1512</v>
      </c>
      <c r="F3555">
        <v>71.44</v>
      </c>
      <c r="G3555">
        <v>44.14</v>
      </c>
      <c r="H3555">
        <v>144</v>
      </c>
      <c r="I3555" t="s">
        <v>25</v>
      </c>
      <c r="J3555">
        <v>2025</v>
      </c>
      <c r="K3555">
        <f t="shared" si="110"/>
        <v>27.299999999999997</v>
      </c>
      <c r="L3555" t="str">
        <f t="shared" si="111"/>
        <v>Banca Umbra|13|Prestiti</v>
      </c>
    </row>
    <row r="3556" spans="1:12" x14ac:dyDescent="0.25">
      <c r="A3556" t="s">
        <v>36</v>
      </c>
      <c r="B3556">
        <v>13</v>
      </c>
      <c r="C3556" t="s">
        <v>16</v>
      </c>
      <c r="D3556" s="1">
        <v>45688</v>
      </c>
      <c r="E3556">
        <v>1869.3</v>
      </c>
      <c r="F3556">
        <v>91.9</v>
      </c>
      <c r="G3556">
        <v>56.82</v>
      </c>
      <c r="H3556">
        <v>186</v>
      </c>
      <c r="I3556" t="s">
        <v>25</v>
      </c>
      <c r="J3556">
        <v>2025</v>
      </c>
      <c r="K3556">
        <f t="shared" si="110"/>
        <v>35.080000000000005</v>
      </c>
      <c r="L3556" t="str">
        <f t="shared" si="111"/>
        <v>Banca Umbra|13|Conti</v>
      </c>
    </row>
    <row r="3557" spans="1:12" x14ac:dyDescent="0.25">
      <c r="A3557" t="s">
        <v>36</v>
      </c>
      <c r="B3557">
        <v>13</v>
      </c>
      <c r="C3557" t="s">
        <v>17</v>
      </c>
      <c r="D3557" s="1">
        <v>45688</v>
      </c>
      <c r="E3557">
        <v>2282.1999999999998</v>
      </c>
      <c r="F3557">
        <v>117.3</v>
      </c>
      <c r="G3557">
        <v>71.150000000000006</v>
      </c>
      <c r="H3557">
        <v>218</v>
      </c>
      <c r="I3557" t="s">
        <v>25</v>
      </c>
      <c r="J3557">
        <v>2025</v>
      </c>
      <c r="K3557">
        <f t="shared" si="110"/>
        <v>46.149999999999991</v>
      </c>
      <c r="L3557" t="str">
        <f t="shared" si="111"/>
        <v>Banca Umbra|13|Carte</v>
      </c>
    </row>
    <row r="3558" spans="1:12" x14ac:dyDescent="0.25">
      <c r="A3558" t="s">
        <v>36</v>
      </c>
      <c r="B3558">
        <v>13</v>
      </c>
      <c r="C3558" t="s">
        <v>18</v>
      </c>
      <c r="D3558" s="1">
        <v>45688</v>
      </c>
      <c r="E3558">
        <v>2690.8</v>
      </c>
      <c r="F3558">
        <v>143.47</v>
      </c>
      <c r="G3558">
        <v>86.56</v>
      </c>
      <c r="H3558">
        <v>253</v>
      </c>
      <c r="I3558" t="s">
        <v>25</v>
      </c>
      <c r="J3558">
        <v>2025</v>
      </c>
      <c r="K3558">
        <f t="shared" si="110"/>
        <v>56.91</v>
      </c>
      <c r="L3558" t="str">
        <f t="shared" si="111"/>
        <v>Banca Umbra|13|Leasing</v>
      </c>
    </row>
    <row r="3559" spans="1:12" x14ac:dyDescent="0.25">
      <c r="A3559" t="s">
        <v>36</v>
      </c>
      <c r="B3559">
        <v>13</v>
      </c>
      <c r="C3559" t="s">
        <v>19</v>
      </c>
      <c r="D3559" s="1">
        <v>45688</v>
      </c>
      <c r="E3559">
        <v>3115.1</v>
      </c>
      <c r="F3559">
        <v>171.9</v>
      </c>
      <c r="G3559">
        <v>103.76</v>
      </c>
      <c r="H3559">
        <v>287</v>
      </c>
      <c r="I3559" t="s">
        <v>25</v>
      </c>
      <c r="J3559">
        <v>2025</v>
      </c>
      <c r="K3559">
        <f t="shared" si="110"/>
        <v>68.14</v>
      </c>
      <c r="L3559" t="str">
        <f t="shared" si="111"/>
        <v>Banca Umbra|13|Factoring</v>
      </c>
    </row>
    <row r="3560" spans="1:12" x14ac:dyDescent="0.25">
      <c r="A3560" t="s">
        <v>36</v>
      </c>
      <c r="B3560">
        <v>13</v>
      </c>
      <c r="C3560" t="s">
        <v>20</v>
      </c>
      <c r="D3560" s="1">
        <v>45688</v>
      </c>
      <c r="E3560">
        <v>3483.8</v>
      </c>
      <c r="F3560">
        <v>199.12</v>
      </c>
      <c r="G3560">
        <v>119.38</v>
      </c>
      <c r="H3560">
        <v>344</v>
      </c>
      <c r="I3560" t="s">
        <v>25</v>
      </c>
      <c r="J3560">
        <v>2025</v>
      </c>
      <c r="K3560">
        <f t="shared" si="110"/>
        <v>79.740000000000009</v>
      </c>
      <c r="L3560" t="str">
        <f t="shared" si="111"/>
        <v>Banca Umbra|13|Risparmio</v>
      </c>
    </row>
    <row r="3561" spans="1:12" x14ac:dyDescent="0.25">
      <c r="A3561" t="s">
        <v>36</v>
      </c>
      <c r="B3561">
        <v>13</v>
      </c>
      <c r="C3561" t="s">
        <v>21</v>
      </c>
      <c r="D3561" s="1">
        <v>45688</v>
      </c>
      <c r="E3561">
        <v>3912.7</v>
      </c>
      <c r="F3561">
        <v>231.19</v>
      </c>
      <c r="G3561">
        <v>137.06</v>
      </c>
      <c r="H3561">
        <v>360</v>
      </c>
      <c r="I3561" t="s">
        <v>25</v>
      </c>
      <c r="J3561">
        <v>2025</v>
      </c>
      <c r="K3561">
        <f t="shared" si="110"/>
        <v>94.13</v>
      </c>
      <c r="L3561" t="str">
        <f t="shared" si="111"/>
        <v>Banca Umbra|13|Assicurazioni</v>
      </c>
    </row>
    <row r="3562" spans="1:12" x14ac:dyDescent="0.25">
      <c r="A3562" t="s">
        <v>36</v>
      </c>
      <c r="B3562">
        <v>14</v>
      </c>
      <c r="C3562" t="s">
        <v>13</v>
      </c>
      <c r="D3562" s="1">
        <v>45716</v>
      </c>
      <c r="E3562">
        <v>1075.4000000000001</v>
      </c>
      <c r="F3562">
        <v>49.08</v>
      </c>
      <c r="G3562">
        <v>30.26</v>
      </c>
      <c r="H3562">
        <v>133</v>
      </c>
      <c r="I3562" t="s">
        <v>25</v>
      </c>
      <c r="J3562">
        <v>2025</v>
      </c>
      <c r="K3562">
        <f t="shared" si="110"/>
        <v>18.819999999999997</v>
      </c>
      <c r="L3562" t="str">
        <f t="shared" si="111"/>
        <v>Banca Umbra|14|Mutui</v>
      </c>
    </row>
    <row r="3563" spans="1:12" x14ac:dyDescent="0.25">
      <c r="A3563" t="s">
        <v>36</v>
      </c>
      <c r="B3563">
        <v>14</v>
      </c>
      <c r="C3563" t="s">
        <v>15</v>
      </c>
      <c r="D3563" s="1">
        <v>45716</v>
      </c>
      <c r="E3563">
        <v>1498.9</v>
      </c>
      <c r="F3563">
        <v>70.53</v>
      </c>
      <c r="G3563">
        <v>43.94</v>
      </c>
      <c r="H3563">
        <v>162</v>
      </c>
      <c r="I3563" t="s">
        <v>25</v>
      </c>
      <c r="J3563">
        <v>2025</v>
      </c>
      <c r="K3563">
        <f t="shared" si="110"/>
        <v>26.590000000000003</v>
      </c>
      <c r="L3563" t="str">
        <f t="shared" si="111"/>
        <v>Banca Umbra|14|Prestiti</v>
      </c>
    </row>
    <row r="3564" spans="1:12" x14ac:dyDescent="0.25">
      <c r="A3564" t="s">
        <v>36</v>
      </c>
      <c r="B3564">
        <v>14</v>
      </c>
      <c r="C3564" t="s">
        <v>16</v>
      </c>
      <c r="D3564" s="1">
        <v>45716</v>
      </c>
      <c r="E3564">
        <v>1902.2</v>
      </c>
      <c r="F3564">
        <v>93.56</v>
      </c>
      <c r="G3564">
        <v>57.81</v>
      </c>
      <c r="H3564">
        <v>197</v>
      </c>
      <c r="I3564" t="s">
        <v>25</v>
      </c>
      <c r="J3564">
        <v>2025</v>
      </c>
      <c r="K3564">
        <f t="shared" si="110"/>
        <v>35.75</v>
      </c>
      <c r="L3564" t="str">
        <f t="shared" si="111"/>
        <v>Banca Umbra|14|Conti</v>
      </c>
    </row>
    <row r="3565" spans="1:12" x14ac:dyDescent="0.25">
      <c r="A3565" t="s">
        <v>36</v>
      </c>
      <c r="B3565">
        <v>14</v>
      </c>
      <c r="C3565" t="s">
        <v>17</v>
      </c>
      <c r="D3565" s="1">
        <v>45716</v>
      </c>
      <c r="E3565">
        <v>2327.9</v>
      </c>
      <c r="F3565">
        <v>119.65</v>
      </c>
      <c r="G3565">
        <v>72.28</v>
      </c>
      <c r="H3565">
        <v>229</v>
      </c>
      <c r="I3565" t="s">
        <v>25</v>
      </c>
      <c r="J3565">
        <v>2025</v>
      </c>
      <c r="K3565">
        <f t="shared" si="110"/>
        <v>47.370000000000005</v>
      </c>
      <c r="L3565" t="str">
        <f t="shared" si="111"/>
        <v>Banca Umbra|14|Carte</v>
      </c>
    </row>
    <row r="3566" spans="1:12" x14ac:dyDescent="0.25">
      <c r="A3566" t="s">
        <v>36</v>
      </c>
      <c r="B3566">
        <v>14</v>
      </c>
      <c r="C3566" t="s">
        <v>18</v>
      </c>
      <c r="D3566" s="1">
        <v>45716</v>
      </c>
      <c r="E3566">
        <v>2733.2</v>
      </c>
      <c r="F3566">
        <v>145.27000000000001</v>
      </c>
      <c r="G3566">
        <v>87.58</v>
      </c>
      <c r="H3566">
        <v>249</v>
      </c>
      <c r="I3566" t="s">
        <v>25</v>
      </c>
      <c r="J3566">
        <v>2025</v>
      </c>
      <c r="K3566">
        <f t="shared" si="110"/>
        <v>57.690000000000012</v>
      </c>
      <c r="L3566" t="str">
        <f t="shared" si="111"/>
        <v>Banca Umbra|14|Leasing</v>
      </c>
    </row>
    <row r="3567" spans="1:12" x14ac:dyDescent="0.25">
      <c r="A3567" t="s">
        <v>36</v>
      </c>
      <c r="B3567">
        <v>14</v>
      </c>
      <c r="C3567" t="s">
        <v>19</v>
      </c>
      <c r="D3567" s="1">
        <v>45716</v>
      </c>
      <c r="E3567">
        <v>3095.5</v>
      </c>
      <c r="F3567">
        <v>170.62</v>
      </c>
      <c r="G3567">
        <v>102.22</v>
      </c>
      <c r="H3567">
        <v>315</v>
      </c>
      <c r="I3567" t="s">
        <v>25</v>
      </c>
      <c r="J3567">
        <v>2025</v>
      </c>
      <c r="K3567">
        <f t="shared" si="110"/>
        <v>68.400000000000006</v>
      </c>
      <c r="L3567" t="str">
        <f t="shared" si="111"/>
        <v>Banca Umbra|14|Factoring</v>
      </c>
    </row>
    <row r="3568" spans="1:12" x14ac:dyDescent="0.25">
      <c r="A3568" t="s">
        <v>36</v>
      </c>
      <c r="B3568">
        <v>14</v>
      </c>
      <c r="C3568" t="s">
        <v>20</v>
      </c>
      <c r="D3568" s="1">
        <v>45716</v>
      </c>
      <c r="E3568">
        <v>3558.5</v>
      </c>
      <c r="F3568">
        <v>203.63</v>
      </c>
      <c r="G3568">
        <v>121.24</v>
      </c>
      <c r="H3568">
        <v>356</v>
      </c>
      <c r="I3568" t="s">
        <v>25</v>
      </c>
      <c r="J3568">
        <v>2025</v>
      </c>
      <c r="K3568">
        <f t="shared" si="110"/>
        <v>82.39</v>
      </c>
      <c r="L3568" t="str">
        <f t="shared" si="111"/>
        <v>Banca Umbra|14|Risparmio</v>
      </c>
    </row>
    <row r="3569" spans="1:12" x14ac:dyDescent="0.25">
      <c r="A3569" t="s">
        <v>36</v>
      </c>
      <c r="B3569">
        <v>14</v>
      </c>
      <c r="C3569" t="s">
        <v>21</v>
      </c>
      <c r="D3569" s="1">
        <v>45716</v>
      </c>
      <c r="E3569">
        <v>3917.6</v>
      </c>
      <c r="F3569">
        <v>231.85</v>
      </c>
      <c r="G3569">
        <v>137.68</v>
      </c>
      <c r="H3569">
        <v>380</v>
      </c>
      <c r="I3569" t="s">
        <v>25</v>
      </c>
      <c r="J3569">
        <v>2025</v>
      </c>
      <c r="K3569">
        <f t="shared" si="110"/>
        <v>94.169999999999987</v>
      </c>
      <c r="L3569" t="str">
        <f t="shared" si="111"/>
        <v>Banca Umbra|14|Assicurazioni</v>
      </c>
    </row>
    <row r="3570" spans="1:12" x14ac:dyDescent="0.25">
      <c r="A3570" t="s">
        <v>36</v>
      </c>
      <c r="B3570">
        <v>15</v>
      </c>
      <c r="C3570" t="s">
        <v>13</v>
      </c>
      <c r="D3570" s="1">
        <v>45747</v>
      </c>
      <c r="E3570">
        <v>1097</v>
      </c>
      <c r="F3570">
        <v>49.46</v>
      </c>
      <c r="G3570">
        <v>30.98</v>
      </c>
      <c r="H3570">
        <v>125</v>
      </c>
      <c r="I3570" t="s">
        <v>25</v>
      </c>
      <c r="J3570">
        <v>2025</v>
      </c>
      <c r="K3570">
        <f t="shared" si="110"/>
        <v>18.48</v>
      </c>
      <c r="L3570" t="str">
        <f t="shared" si="111"/>
        <v>Banca Umbra|15|Mutui</v>
      </c>
    </row>
    <row r="3571" spans="1:12" x14ac:dyDescent="0.25">
      <c r="A3571" t="s">
        <v>36</v>
      </c>
      <c r="B3571">
        <v>15</v>
      </c>
      <c r="C3571" t="s">
        <v>15</v>
      </c>
      <c r="D3571" s="1">
        <v>45747</v>
      </c>
      <c r="E3571">
        <v>1492.3</v>
      </c>
      <c r="F3571">
        <v>70.95</v>
      </c>
      <c r="G3571">
        <v>43.56</v>
      </c>
      <c r="H3571">
        <v>169</v>
      </c>
      <c r="I3571" t="s">
        <v>25</v>
      </c>
      <c r="J3571">
        <v>2025</v>
      </c>
      <c r="K3571">
        <f t="shared" si="110"/>
        <v>27.39</v>
      </c>
      <c r="L3571" t="str">
        <f t="shared" si="111"/>
        <v>Banca Umbra|15|Prestiti</v>
      </c>
    </row>
    <row r="3572" spans="1:12" x14ac:dyDescent="0.25">
      <c r="A3572" t="s">
        <v>36</v>
      </c>
      <c r="B3572">
        <v>15</v>
      </c>
      <c r="C3572" t="s">
        <v>16</v>
      </c>
      <c r="D3572" s="1">
        <v>45747</v>
      </c>
      <c r="E3572">
        <v>1925.6</v>
      </c>
      <c r="F3572">
        <v>94.57</v>
      </c>
      <c r="G3572">
        <v>58.35</v>
      </c>
      <c r="H3572">
        <v>186</v>
      </c>
      <c r="I3572" t="s">
        <v>25</v>
      </c>
      <c r="J3572">
        <v>2025</v>
      </c>
      <c r="K3572">
        <f t="shared" si="110"/>
        <v>36.219999999999992</v>
      </c>
      <c r="L3572" t="str">
        <f t="shared" si="111"/>
        <v>Banca Umbra|15|Conti</v>
      </c>
    </row>
    <row r="3573" spans="1:12" x14ac:dyDescent="0.25">
      <c r="A3573" t="s">
        <v>36</v>
      </c>
      <c r="B3573">
        <v>15</v>
      </c>
      <c r="C3573" t="s">
        <v>17</v>
      </c>
      <c r="D3573" s="1">
        <v>45747</v>
      </c>
      <c r="E3573">
        <v>2347.5</v>
      </c>
      <c r="F3573">
        <v>120.3</v>
      </c>
      <c r="G3573">
        <v>72.77</v>
      </c>
      <c r="H3573">
        <v>242</v>
      </c>
      <c r="I3573" t="s">
        <v>25</v>
      </c>
      <c r="J3573">
        <v>2025</v>
      </c>
      <c r="K3573">
        <f t="shared" si="110"/>
        <v>47.53</v>
      </c>
      <c r="L3573" t="str">
        <f t="shared" si="111"/>
        <v>Banca Umbra|15|Carte</v>
      </c>
    </row>
    <row r="3574" spans="1:12" x14ac:dyDescent="0.25">
      <c r="A3574" t="s">
        <v>36</v>
      </c>
      <c r="B3574">
        <v>15</v>
      </c>
      <c r="C3574" t="s">
        <v>18</v>
      </c>
      <c r="D3574" s="1">
        <v>45747</v>
      </c>
      <c r="E3574">
        <v>2738.1</v>
      </c>
      <c r="F3574">
        <v>145.13</v>
      </c>
      <c r="G3574">
        <v>88.22</v>
      </c>
      <c r="H3574">
        <v>274</v>
      </c>
      <c r="I3574" t="s">
        <v>25</v>
      </c>
      <c r="J3574">
        <v>2025</v>
      </c>
      <c r="K3574">
        <f t="shared" si="110"/>
        <v>56.91</v>
      </c>
      <c r="L3574" t="str">
        <f t="shared" si="111"/>
        <v>Banca Umbra|15|Leasing</v>
      </c>
    </row>
    <row r="3575" spans="1:12" x14ac:dyDescent="0.25">
      <c r="A3575" t="s">
        <v>36</v>
      </c>
      <c r="B3575">
        <v>15</v>
      </c>
      <c r="C3575" t="s">
        <v>19</v>
      </c>
      <c r="D3575" s="1">
        <v>45747</v>
      </c>
      <c r="E3575">
        <v>3120.9</v>
      </c>
      <c r="F3575">
        <v>171.75</v>
      </c>
      <c r="G3575">
        <v>103.78</v>
      </c>
      <c r="H3575">
        <v>302</v>
      </c>
      <c r="I3575" t="s">
        <v>25</v>
      </c>
      <c r="J3575">
        <v>2025</v>
      </c>
      <c r="K3575">
        <f t="shared" si="110"/>
        <v>67.97</v>
      </c>
      <c r="L3575" t="str">
        <f t="shared" si="111"/>
        <v>Banca Umbra|15|Factoring</v>
      </c>
    </row>
    <row r="3576" spans="1:12" x14ac:dyDescent="0.25">
      <c r="A3576" t="s">
        <v>36</v>
      </c>
      <c r="B3576">
        <v>15</v>
      </c>
      <c r="C3576" t="s">
        <v>20</v>
      </c>
      <c r="D3576" s="1">
        <v>45747</v>
      </c>
      <c r="E3576">
        <v>3580.6</v>
      </c>
      <c r="F3576">
        <v>204.45</v>
      </c>
      <c r="G3576">
        <v>122.19</v>
      </c>
      <c r="H3576">
        <v>357</v>
      </c>
      <c r="I3576" t="s">
        <v>25</v>
      </c>
      <c r="J3576">
        <v>2025</v>
      </c>
      <c r="K3576">
        <f t="shared" si="110"/>
        <v>82.259999999999991</v>
      </c>
      <c r="L3576" t="str">
        <f t="shared" si="111"/>
        <v>Banca Umbra|15|Risparmio</v>
      </c>
    </row>
    <row r="3577" spans="1:12" x14ac:dyDescent="0.25">
      <c r="A3577" t="s">
        <v>36</v>
      </c>
      <c r="B3577">
        <v>15</v>
      </c>
      <c r="C3577" t="s">
        <v>21</v>
      </c>
      <c r="D3577" s="1">
        <v>45747</v>
      </c>
      <c r="E3577">
        <v>3976.4</v>
      </c>
      <c r="F3577">
        <v>234.76</v>
      </c>
      <c r="G3577">
        <v>139.61000000000001</v>
      </c>
      <c r="H3577">
        <v>388</v>
      </c>
      <c r="I3577" t="s">
        <v>25</v>
      </c>
      <c r="J3577">
        <v>2025</v>
      </c>
      <c r="K3577">
        <f t="shared" si="110"/>
        <v>95.149999999999977</v>
      </c>
      <c r="L3577" t="str">
        <f t="shared" si="111"/>
        <v>Banca Umbra|15|Assicurazioni</v>
      </c>
    </row>
    <row r="3578" spans="1:12" x14ac:dyDescent="0.25">
      <c r="A3578" t="s">
        <v>36</v>
      </c>
      <c r="B3578">
        <v>16</v>
      </c>
      <c r="C3578" t="s">
        <v>13</v>
      </c>
      <c r="D3578" s="1">
        <v>45777</v>
      </c>
      <c r="E3578">
        <v>1085</v>
      </c>
      <c r="F3578">
        <v>48.91</v>
      </c>
      <c r="G3578">
        <v>30.56</v>
      </c>
      <c r="H3578">
        <v>106</v>
      </c>
      <c r="I3578" t="s">
        <v>25</v>
      </c>
      <c r="J3578">
        <v>2025</v>
      </c>
      <c r="K3578">
        <f t="shared" si="110"/>
        <v>18.349999999999998</v>
      </c>
      <c r="L3578" t="str">
        <f t="shared" si="111"/>
        <v>Banca Umbra|16|Mutui</v>
      </c>
    </row>
    <row r="3579" spans="1:12" x14ac:dyDescent="0.25">
      <c r="A3579" t="s">
        <v>36</v>
      </c>
      <c r="B3579">
        <v>16</v>
      </c>
      <c r="C3579" t="s">
        <v>15</v>
      </c>
      <c r="D3579" s="1">
        <v>45777</v>
      </c>
      <c r="E3579">
        <v>1514.5</v>
      </c>
      <c r="F3579">
        <v>71.39</v>
      </c>
      <c r="G3579">
        <v>44.78</v>
      </c>
      <c r="H3579">
        <v>138</v>
      </c>
      <c r="I3579" t="s">
        <v>25</v>
      </c>
      <c r="J3579">
        <v>2025</v>
      </c>
      <c r="K3579">
        <f t="shared" si="110"/>
        <v>26.61</v>
      </c>
      <c r="L3579" t="str">
        <f t="shared" si="111"/>
        <v>Banca Umbra|16|Prestiti</v>
      </c>
    </row>
    <row r="3580" spans="1:12" x14ac:dyDescent="0.25">
      <c r="A3580" t="s">
        <v>36</v>
      </c>
      <c r="B3580">
        <v>16</v>
      </c>
      <c r="C3580" t="s">
        <v>16</v>
      </c>
      <c r="D3580" s="1">
        <v>45777</v>
      </c>
      <c r="E3580">
        <v>1914.1</v>
      </c>
      <c r="F3580">
        <v>94.5</v>
      </c>
      <c r="G3580">
        <v>58.12</v>
      </c>
      <c r="H3580">
        <v>177</v>
      </c>
      <c r="I3580" t="s">
        <v>25</v>
      </c>
      <c r="J3580">
        <v>2025</v>
      </c>
      <c r="K3580">
        <f t="shared" si="110"/>
        <v>36.380000000000003</v>
      </c>
      <c r="L3580" t="str">
        <f t="shared" si="111"/>
        <v>Banca Umbra|16|Conti</v>
      </c>
    </row>
    <row r="3581" spans="1:12" x14ac:dyDescent="0.25">
      <c r="A3581" t="s">
        <v>36</v>
      </c>
      <c r="B3581">
        <v>16</v>
      </c>
      <c r="C3581" t="s">
        <v>17</v>
      </c>
      <c r="D3581" s="1">
        <v>45777</v>
      </c>
      <c r="E3581">
        <v>2357.4</v>
      </c>
      <c r="F3581">
        <v>120.73</v>
      </c>
      <c r="G3581">
        <v>73.569999999999993</v>
      </c>
      <c r="H3581">
        <v>233</v>
      </c>
      <c r="I3581" t="s">
        <v>25</v>
      </c>
      <c r="J3581">
        <v>2025</v>
      </c>
      <c r="K3581">
        <f t="shared" si="110"/>
        <v>47.160000000000011</v>
      </c>
      <c r="L3581" t="str">
        <f t="shared" si="111"/>
        <v>Banca Umbra|16|Carte</v>
      </c>
    </row>
    <row r="3582" spans="1:12" x14ac:dyDescent="0.25">
      <c r="A3582" t="s">
        <v>36</v>
      </c>
      <c r="B3582">
        <v>16</v>
      </c>
      <c r="C3582" t="s">
        <v>18</v>
      </c>
      <c r="D3582" s="1">
        <v>45777</v>
      </c>
      <c r="E3582">
        <v>2741.5</v>
      </c>
      <c r="F3582">
        <v>145.32</v>
      </c>
      <c r="G3582">
        <v>88.46</v>
      </c>
      <c r="H3582">
        <v>244</v>
      </c>
      <c r="I3582" t="s">
        <v>25</v>
      </c>
      <c r="J3582">
        <v>2025</v>
      </c>
      <c r="K3582">
        <f t="shared" si="110"/>
        <v>56.86</v>
      </c>
      <c r="L3582" t="str">
        <f t="shared" si="111"/>
        <v>Banca Umbra|16|Leasing</v>
      </c>
    </row>
    <row r="3583" spans="1:12" x14ac:dyDescent="0.25">
      <c r="A3583" t="s">
        <v>36</v>
      </c>
      <c r="B3583">
        <v>16</v>
      </c>
      <c r="C3583" t="s">
        <v>19</v>
      </c>
      <c r="D3583" s="1">
        <v>45777</v>
      </c>
      <c r="E3583">
        <v>3169.5</v>
      </c>
      <c r="F3583">
        <v>175.1</v>
      </c>
      <c r="G3583">
        <v>105.19</v>
      </c>
      <c r="H3583">
        <v>311</v>
      </c>
      <c r="I3583" t="s">
        <v>25</v>
      </c>
      <c r="J3583">
        <v>2025</v>
      </c>
      <c r="K3583">
        <f t="shared" si="110"/>
        <v>69.91</v>
      </c>
      <c r="L3583" t="str">
        <f t="shared" si="111"/>
        <v>Banca Umbra|16|Factoring</v>
      </c>
    </row>
    <row r="3584" spans="1:12" x14ac:dyDescent="0.25">
      <c r="A3584" t="s">
        <v>36</v>
      </c>
      <c r="B3584">
        <v>16</v>
      </c>
      <c r="C3584" t="s">
        <v>20</v>
      </c>
      <c r="D3584" s="1">
        <v>45777</v>
      </c>
      <c r="E3584">
        <v>3581.6</v>
      </c>
      <c r="F3584">
        <v>204.29</v>
      </c>
      <c r="G3584">
        <v>121.9</v>
      </c>
      <c r="H3584">
        <v>344</v>
      </c>
      <c r="I3584" t="s">
        <v>25</v>
      </c>
      <c r="J3584">
        <v>2025</v>
      </c>
      <c r="K3584">
        <f t="shared" si="110"/>
        <v>82.389999999999986</v>
      </c>
      <c r="L3584" t="str">
        <f t="shared" si="111"/>
        <v>Banca Umbra|16|Risparmio</v>
      </c>
    </row>
    <row r="3585" spans="1:12" x14ac:dyDescent="0.25">
      <c r="A3585" t="s">
        <v>36</v>
      </c>
      <c r="B3585">
        <v>16</v>
      </c>
      <c r="C3585" t="s">
        <v>21</v>
      </c>
      <c r="D3585" s="1">
        <v>45777</v>
      </c>
      <c r="E3585">
        <v>3983.1</v>
      </c>
      <c r="F3585">
        <v>235.83</v>
      </c>
      <c r="G3585">
        <v>139.79</v>
      </c>
      <c r="H3585">
        <v>366</v>
      </c>
      <c r="I3585" t="s">
        <v>25</v>
      </c>
      <c r="J3585">
        <v>2025</v>
      </c>
      <c r="K3585">
        <f t="shared" si="110"/>
        <v>96.04000000000002</v>
      </c>
      <c r="L3585" t="str">
        <f t="shared" si="111"/>
        <v>Banca Umbra|16|Assicurazioni</v>
      </c>
    </row>
    <row r="3586" spans="1:12" x14ac:dyDescent="0.25">
      <c r="A3586" t="s">
        <v>36</v>
      </c>
      <c r="B3586">
        <v>17</v>
      </c>
      <c r="C3586" t="s">
        <v>13</v>
      </c>
      <c r="D3586" s="1">
        <v>45808</v>
      </c>
      <c r="E3586">
        <v>1131.4000000000001</v>
      </c>
      <c r="F3586">
        <v>51.15</v>
      </c>
      <c r="G3586">
        <v>32.35</v>
      </c>
      <c r="H3586">
        <v>109</v>
      </c>
      <c r="I3586" t="s">
        <v>25</v>
      </c>
      <c r="J3586">
        <v>2025</v>
      </c>
      <c r="K3586">
        <f t="shared" ref="K3586:K3649" si="112">F3586-G3586</f>
        <v>18.799999999999997</v>
      </c>
      <c r="L3586" t="str">
        <f t="shared" ref="L3586:L3649" si="113">A3586&amp;"|"&amp;B3586&amp;"|"&amp;C3586</f>
        <v>Banca Umbra|17|Mutui</v>
      </c>
    </row>
    <row r="3587" spans="1:12" x14ac:dyDescent="0.25">
      <c r="A3587" t="s">
        <v>36</v>
      </c>
      <c r="B3587">
        <v>17</v>
      </c>
      <c r="C3587" t="s">
        <v>15</v>
      </c>
      <c r="D3587" s="1">
        <v>45808</v>
      </c>
      <c r="E3587">
        <v>1528.5</v>
      </c>
      <c r="F3587">
        <v>72.489999999999995</v>
      </c>
      <c r="G3587">
        <v>44.61</v>
      </c>
      <c r="H3587">
        <v>143</v>
      </c>
      <c r="I3587" t="s">
        <v>25</v>
      </c>
      <c r="J3587">
        <v>2025</v>
      </c>
      <c r="K3587">
        <f t="shared" si="112"/>
        <v>27.879999999999995</v>
      </c>
      <c r="L3587" t="str">
        <f t="shared" si="113"/>
        <v>Banca Umbra|17|Prestiti</v>
      </c>
    </row>
    <row r="3588" spans="1:12" x14ac:dyDescent="0.25">
      <c r="A3588" t="s">
        <v>36</v>
      </c>
      <c r="B3588">
        <v>17</v>
      </c>
      <c r="C3588" t="s">
        <v>16</v>
      </c>
      <c r="D3588" s="1">
        <v>45808</v>
      </c>
      <c r="E3588">
        <v>1944.4</v>
      </c>
      <c r="F3588">
        <v>95.93</v>
      </c>
      <c r="G3588">
        <v>59.14</v>
      </c>
      <c r="H3588">
        <v>196</v>
      </c>
      <c r="I3588" t="s">
        <v>25</v>
      </c>
      <c r="J3588">
        <v>2025</v>
      </c>
      <c r="K3588">
        <f t="shared" si="112"/>
        <v>36.790000000000006</v>
      </c>
      <c r="L3588" t="str">
        <f t="shared" si="113"/>
        <v>Banca Umbra|17|Conti</v>
      </c>
    </row>
    <row r="3589" spans="1:12" x14ac:dyDescent="0.25">
      <c r="A3589" t="s">
        <v>36</v>
      </c>
      <c r="B3589">
        <v>17</v>
      </c>
      <c r="C3589" t="s">
        <v>17</v>
      </c>
      <c r="D3589" s="1">
        <v>45808</v>
      </c>
      <c r="E3589">
        <v>2359.1999999999998</v>
      </c>
      <c r="F3589">
        <v>120.67</v>
      </c>
      <c r="G3589">
        <v>73.3</v>
      </c>
      <c r="H3589">
        <v>236</v>
      </c>
      <c r="I3589" t="s">
        <v>25</v>
      </c>
      <c r="J3589">
        <v>2025</v>
      </c>
      <c r="K3589">
        <f t="shared" si="112"/>
        <v>47.370000000000005</v>
      </c>
      <c r="L3589" t="str">
        <f t="shared" si="113"/>
        <v>Banca Umbra|17|Carte</v>
      </c>
    </row>
    <row r="3590" spans="1:12" x14ac:dyDescent="0.25">
      <c r="A3590" t="s">
        <v>36</v>
      </c>
      <c r="B3590">
        <v>17</v>
      </c>
      <c r="C3590" t="s">
        <v>18</v>
      </c>
      <c r="D3590" s="1">
        <v>45808</v>
      </c>
      <c r="E3590">
        <v>2767.8</v>
      </c>
      <c r="F3590">
        <v>147.30000000000001</v>
      </c>
      <c r="G3590">
        <v>88.68</v>
      </c>
      <c r="H3590">
        <v>270</v>
      </c>
      <c r="I3590" t="s">
        <v>25</v>
      </c>
      <c r="J3590">
        <v>2025</v>
      </c>
      <c r="K3590">
        <f t="shared" si="112"/>
        <v>58.620000000000005</v>
      </c>
      <c r="L3590" t="str">
        <f t="shared" si="113"/>
        <v>Banca Umbra|17|Leasing</v>
      </c>
    </row>
    <row r="3591" spans="1:12" x14ac:dyDescent="0.25">
      <c r="A3591" t="s">
        <v>36</v>
      </c>
      <c r="B3591">
        <v>17</v>
      </c>
      <c r="C3591" t="s">
        <v>19</v>
      </c>
      <c r="D3591" s="1">
        <v>45808</v>
      </c>
      <c r="E3591">
        <v>3194</v>
      </c>
      <c r="F3591">
        <v>176.25</v>
      </c>
      <c r="G3591">
        <v>105.43</v>
      </c>
      <c r="H3591">
        <v>317</v>
      </c>
      <c r="I3591" t="s">
        <v>25</v>
      </c>
      <c r="J3591">
        <v>2025</v>
      </c>
      <c r="K3591">
        <f t="shared" si="112"/>
        <v>70.819999999999993</v>
      </c>
      <c r="L3591" t="str">
        <f t="shared" si="113"/>
        <v>Banca Umbra|17|Factoring</v>
      </c>
    </row>
    <row r="3592" spans="1:12" x14ac:dyDescent="0.25">
      <c r="A3592" t="s">
        <v>36</v>
      </c>
      <c r="B3592">
        <v>17</v>
      </c>
      <c r="C3592" t="s">
        <v>20</v>
      </c>
      <c r="D3592" s="1">
        <v>45808</v>
      </c>
      <c r="E3592">
        <v>3580.6</v>
      </c>
      <c r="F3592">
        <v>204.21</v>
      </c>
      <c r="G3592">
        <v>121.93</v>
      </c>
      <c r="H3592">
        <v>349</v>
      </c>
      <c r="I3592" t="s">
        <v>25</v>
      </c>
      <c r="J3592">
        <v>2025</v>
      </c>
      <c r="K3592">
        <f t="shared" si="112"/>
        <v>82.28</v>
      </c>
      <c r="L3592" t="str">
        <f t="shared" si="113"/>
        <v>Banca Umbra|17|Risparmio</v>
      </c>
    </row>
    <row r="3593" spans="1:12" x14ac:dyDescent="0.25">
      <c r="A3593" t="s">
        <v>36</v>
      </c>
      <c r="B3593">
        <v>17</v>
      </c>
      <c r="C3593" t="s">
        <v>21</v>
      </c>
      <c r="D3593" s="1">
        <v>45808</v>
      </c>
      <c r="E3593">
        <v>4020.2</v>
      </c>
      <c r="F3593">
        <v>237.54</v>
      </c>
      <c r="G3593">
        <v>141.13999999999999</v>
      </c>
      <c r="H3593">
        <v>373</v>
      </c>
      <c r="I3593" t="s">
        <v>25</v>
      </c>
      <c r="J3593">
        <v>2025</v>
      </c>
      <c r="K3593">
        <f t="shared" si="112"/>
        <v>96.4</v>
      </c>
      <c r="L3593" t="str">
        <f t="shared" si="113"/>
        <v>Banca Umbra|17|Assicurazioni</v>
      </c>
    </row>
    <row r="3594" spans="1:12" x14ac:dyDescent="0.25">
      <c r="A3594" t="s">
        <v>36</v>
      </c>
      <c r="B3594">
        <v>18</v>
      </c>
      <c r="C3594" t="s">
        <v>13</v>
      </c>
      <c r="D3594" s="1">
        <v>45838</v>
      </c>
      <c r="E3594">
        <v>1091.8</v>
      </c>
      <c r="F3594">
        <v>49.62</v>
      </c>
      <c r="G3594">
        <v>30.93</v>
      </c>
      <c r="H3594">
        <v>108</v>
      </c>
      <c r="I3594" t="s">
        <v>25</v>
      </c>
      <c r="J3594">
        <v>2025</v>
      </c>
      <c r="K3594">
        <f t="shared" si="112"/>
        <v>18.689999999999998</v>
      </c>
      <c r="L3594" t="str">
        <f t="shared" si="113"/>
        <v>Banca Umbra|18|Mutui</v>
      </c>
    </row>
    <row r="3595" spans="1:12" x14ac:dyDescent="0.25">
      <c r="A3595" t="s">
        <v>36</v>
      </c>
      <c r="B3595">
        <v>18</v>
      </c>
      <c r="C3595" t="s">
        <v>15</v>
      </c>
      <c r="D3595" s="1">
        <v>45838</v>
      </c>
      <c r="E3595">
        <v>1541.8</v>
      </c>
      <c r="F3595">
        <v>72.790000000000006</v>
      </c>
      <c r="G3595">
        <v>45.21</v>
      </c>
      <c r="H3595">
        <v>141</v>
      </c>
      <c r="I3595" t="s">
        <v>25</v>
      </c>
      <c r="J3595">
        <v>2025</v>
      </c>
      <c r="K3595">
        <f t="shared" si="112"/>
        <v>27.580000000000005</v>
      </c>
      <c r="L3595" t="str">
        <f t="shared" si="113"/>
        <v>Banca Umbra|18|Prestiti</v>
      </c>
    </row>
    <row r="3596" spans="1:12" x14ac:dyDescent="0.25">
      <c r="A3596" t="s">
        <v>36</v>
      </c>
      <c r="B3596">
        <v>18</v>
      </c>
      <c r="C3596" t="s">
        <v>16</v>
      </c>
      <c r="D3596" s="1">
        <v>45838</v>
      </c>
      <c r="E3596">
        <v>1928.5</v>
      </c>
      <c r="F3596">
        <v>95.15</v>
      </c>
      <c r="G3596">
        <v>58.52</v>
      </c>
      <c r="H3596">
        <v>208</v>
      </c>
      <c r="I3596" t="s">
        <v>25</v>
      </c>
      <c r="J3596">
        <v>2025</v>
      </c>
      <c r="K3596">
        <f t="shared" si="112"/>
        <v>36.630000000000003</v>
      </c>
      <c r="L3596" t="str">
        <f t="shared" si="113"/>
        <v>Banca Umbra|18|Conti</v>
      </c>
    </row>
    <row r="3597" spans="1:12" x14ac:dyDescent="0.25">
      <c r="A3597" t="s">
        <v>36</v>
      </c>
      <c r="B3597">
        <v>18</v>
      </c>
      <c r="C3597" t="s">
        <v>17</v>
      </c>
      <c r="D3597" s="1">
        <v>45838</v>
      </c>
      <c r="E3597">
        <v>2369.8000000000002</v>
      </c>
      <c r="F3597">
        <v>120.98</v>
      </c>
      <c r="G3597">
        <v>73.47</v>
      </c>
      <c r="H3597">
        <v>238</v>
      </c>
      <c r="I3597" t="s">
        <v>25</v>
      </c>
      <c r="J3597">
        <v>2025</v>
      </c>
      <c r="K3597">
        <f t="shared" si="112"/>
        <v>47.510000000000005</v>
      </c>
      <c r="L3597" t="str">
        <f t="shared" si="113"/>
        <v>Banca Umbra|18|Carte</v>
      </c>
    </row>
    <row r="3598" spans="1:12" x14ac:dyDescent="0.25">
      <c r="A3598" t="s">
        <v>36</v>
      </c>
      <c r="B3598">
        <v>18</v>
      </c>
      <c r="C3598" t="s">
        <v>18</v>
      </c>
      <c r="D3598" s="1">
        <v>45838</v>
      </c>
      <c r="E3598">
        <v>2785.8</v>
      </c>
      <c r="F3598">
        <v>148.28</v>
      </c>
      <c r="G3598">
        <v>89.52</v>
      </c>
      <c r="H3598">
        <v>252</v>
      </c>
      <c r="I3598" t="s">
        <v>25</v>
      </c>
      <c r="J3598">
        <v>2025</v>
      </c>
      <c r="K3598">
        <f t="shared" si="112"/>
        <v>58.760000000000005</v>
      </c>
      <c r="L3598" t="str">
        <f t="shared" si="113"/>
        <v>Banca Umbra|18|Leasing</v>
      </c>
    </row>
    <row r="3599" spans="1:12" x14ac:dyDescent="0.25">
      <c r="A3599" t="s">
        <v>36</v>
      </c>
      <c r="B3599">
        <v>18</v>
      </c>
      <c r="C3599" t="s">
        <v>19</v>
      </c>
      <c r="D3599" s="1">
        <v>45838</v>
      </c>
      <c r="E3599">
        <v>3198.1</v>
      </c>
      <c r="F3599">
        <v>176.35</v>
      </c>
      <c r="G3599">
        <v>105.56</v>
      </c>
      <c r="H3599">
        <v>289</v>
      </c>
      <c r="I3599" t="s">
        <v>25</v>
      </c>
      <c r="J3599">
        <v>2025</v>
      </c>
      <c r="K3599">
        <f t="shared" si="112"/>
        <v>70.789999999999992</v>
      </c>
      <c r="L3599" t="str">
        <f t="shared" si="113"/>
        <v>Banca Umbra|18|Factoring</v>
      </c>
    </row>
    <row r="3600" spans="1:12" x14ac:dyDescent="0.25">
      <c r="A3600" t="s">
        <v>36</v>
      </c>
      <c r="B3600">
        <v>18</v>
      </c>
      <c r="C3600" t="s">
        <v>20</v>
      </c>
      <c r="D3600" s="1">
        <v>45838</v>
      </c>
      <c r="E3600">
        <v>3605.6</v>
      </c>
      <c r="F3600">
        <v>206.44</v>
      </c>
      <c r="G3600">
        <v>123.27</v>
      </c>
      <c r="H3600">
        <v>344</v>
      </c>
      <c r="I3600" t="s">
        <v>25</v>
      </c>
      <c r="J3600">
        <v>2025</v>
      </c>
      <c r="K3600">
        <f t="shared" si="112"/>
        <v>83.17</v>
      </c>
      <c r="L3600" t="str">
        <f t="shared" si="113"/>
        <v>Banca Umbra|18|Risparmio</v>
      </c>
    </row>
    <row r="3601" spans="1:12" x14ac:dyDescent="0.25">
      <c r="A3601" t="s">
        <v>36</v>
      </c>
      <c r="B3601">
        <v>18</v>
      </c>
      <c r="C3601" t="s">
        <v>21</v>
      </c>
      <c r="D3601" s="1">
        <v>45838</v>
      </c>
      <c r="E3601">
        <v>4079.1</v>
      </c>
      <c r="F3601">
        <v>240.91</v>
      </c>
      <c r="G3601">
        <v>143.62</v>
      </c>
      <c r="H3601">
        <v>357</v>
      </c>
      <c r="I3601" t="s">
        <v>25</v>
      </c>
      <c r="J3601">
        <v>2025</v>
      </c>
      <c r="K3601">
        <f t="shared" si="112"/>
        <v>97.289999999999992</v>
      </c>
      <c r="L3601" t="str">
        <f t="shared" si="113"/>
        <v>Banca Umbra|18|Assicurazioni</v>
      </c>
    </row>
    <row r="3602" spans="1:12" x14ac:dyDescent="0.25">
      <c r="A3602" t="s">
        <v>36</v>
      </c>
      <c r="B3602">
        <v>19</v>
      </c>
      <c r="C3602" t="s">
        <v>13</v>
      </c>
      <c r="D3602" s="1">
        <v>45869</v>
      </c>
      <c r="E3602">
        <v>1125.0999999999999</v>
      </c>
      <c r="F3602">
        <v>50.71</v>
      </c>
      <c r="G3602">
        <v>32.35</v>
      </c>
      <c r="H3602">
        <v>133</v>
      </c>
      <c r="I3602" t="s">
        <v>25</v>
      </c>
      <c r="J3602">
        <v>2025</v>
      </c>
      <c r="K3602">
        <f t="shared" si="112"/>
        <v>18.36</v>
      </c>
      <c r="L3602" t="str">
        <f t="shared" si="113"/>
        <v>Banca Umbra|19|Mutui</v>
      </c>
    </row>
    <row r="3603" spans="1:12" x14ac:dyDescent="0.25">
      <c r="A3603" t="s">
        <v>36</v>
      </c>
      <c r="B3603">
        <v>19</v>
      </c>
      <c r="C3603" t="s">
        <v>15</v>
      </c>
      <c r="D3603" s="1">
        <v>45869</v>
      </c>
      <c r="E3603">
        <v>1559.2</v>
      </c>
      <c r="F3603">
        <v>73.72</v>
      </c>
      <c r="G3603">
        <v>45.47</v>
      </c>
      <c r="H3603">
        <v>149</v>
      </c>
      <c r="I3603" t="s">
        <v>25</v>
      </c>
      <c r="J3603">
        <v>2025</v>
      </c>
      <c r="K3603">
        <f t="shared" si="112"/>
        <v>28.25</v>
      </c>
      <c r="L3603" t="str">
        <f t="shared" si="113"/>
        <v>Banca Umbra|19|Prestiti</v>
      </c>
    </row>
    <row r="3604" spans="1:12" x14ac:dyDescent="0.25">
      <c r="A3604" t="s">
        <v>36</v>
      </c>
      <c r="B3604">
        <v>19</v>
      </c>
      <c r="C3604" t="s">
        <v>16</v>
      </c>
      <c r="D3604" s="1">
        <v>45869</v>
      </c>
      <c r="E3604">
        <v>1952.2</v>
      </c>
      <c r="F3604">
        <v>96</v>
      </c>
      <c r="G3604">
        <v>59.23</v>
      </c>
      <c r="H3604">
        <v>178</v>
      </c>
      <c r="I3604" t="s">
        <v>25</v>
      </c>
      <c r="J3604">
        <v>2025</v>
      </c>
      <c r="K3604">
        <f t="shared" si="112"/>
        <v>36.770000000000003</v>
      </c>
      <c r="L3604" t="str">
        <f t="shared" si="113"/>
        <v>Banca Umbra|19|Conti</v>
      </c>
    </row>
    <row r="3605" spans="1:12" x14ac:dyDescent="0.25">
      <c r="A3605" t="s">
        <v>36</v>
      </c>
      <c r="B3605">
        <v>19</v>
      </c>
      <c r="C3605" t="s">
        <v>17</v>
      </c>
      <c r="D3605" s="1">
        <v>45869</v>
      </c>
      <c r="E3605">
        <v>2375</v>
      </c>
      <c r="F3605">
        <v>121.24</v>
      </c>
      <c r="G3605">
        <v>73.78</v>
      </c>
      <c r="H3605">
        <v>209</v>
      </c>
      <c r="I3605" t="s">
        <v>25</v>
      </c>
      <c r="J3605">
        <v>2025</v>
      </c>
      <c r="K3605">
        <f t="shared" si="112"/>
        <v>47.459999999999994</v>
      </c>
      <c r="L3605" t="str">
        <f t="shared" si="113"/>
        <v>Banca Umbra|19|Carte</v>
      </c>
    </row>
    <row r="3606" spans="1:12" x14ac:dyDescent="0.25">
      <c r="A3606" t="s">
        <v>36</v>
      </c>
      <c r="B3606">
        <v>19</v>
      </c>
      <c r="C3606" t="s">
        <v>18</v>
      </c>
      <c r="D3606" s="1">
        <v>45869</v>
      </c>
      <c r="E3606">
        <v>2834.1</v>
      </c>
      <c r="F3606">
        <v>150.52000000000001</v>
      </c>
      <c r="G3606">
        <v>90.98</v>
      </c>
      <c r="H3606">
        <v>251</v>
      </c>
      <c r="I3606" t="s">
        <v>25</v>
      </c>
      <c r="J3606">
        <v>2025</v>
      </c>
      <c r="K3606">
        <f t="shared" si="112"/>
        <v>59.540000000000006</v>
      </c>
      <c r="L3606" t="str">
        <f t="shared" si="113"/>
        <v>Banca Umbra|19|Leasing</v>
      </c>
    </row>
    <row r="3607" spans="1:12" x14ac:dyDescent="0.25">
      <c r="A3607" t="s">
        <v>36</v>
      </c>
      <c r="B3607">
        <v>19</v>
      </c>
      <c r="C3607" t="s">
        <v>19</v>
      </c>
      <c r="D3607" s="1">
        <v>45869</v>
      </c>
      <c r="E3607">
        <v>3215.2</v>
      </c>
      <c r="F3607">
        <v>177.82</v>
      </c>
      <c r="G3607">
        <v>106.11</v>
      </c>
      <c r="H3607">
        <v>281</v>
      </c>
      <c r="I3607" t="s">
        <v>25</v>
      </c>
      <c r="J3607">
        <v>2025</v>
      </c>
      <c r="K3607">
        <f t="shared" si="112"/>
        <v>71.709999999999994</v>
      </c>
      <c r="L3607" t="str">
        <f t="shared" si="113"/>
        <v>Banca Umbra|19|Factoring</v>
      </c>
    </row>
    <row r="3608" spans="1:12" x14ac:dyDescent="0.25">
      <c r="A3608" t="s">
        <v>36</v>
      </c>
      <c r="B3608">
        <v>19</v>
      </c>
      <c r="C3608" t="s">
        <v>20</v>
      </c>
      <c r="D3608" s="1">
        <v>45869</v>
      </c>
      <c r="E3608">
        <v>3657.1</v>
      </c>
      <c r="F3608">
        <v>208.73</v>
      </c>
      <c r="G3608">
        <v>125.26</v>
      </c>
      <c r="H3608">
        <v>329</v>
      </c>
      <c r="I3608" t="s">
        <v>25</v>
      </c>
      <c r="J3608">
        <v>2025</v>
      </c>
      <c r="K3608">
        <f t="shared" si="112"/>
        <v>83.469999999999985</v>
      </c>
      <c r="L3608" t="str">
        <f t="shared" si="113"/>
        <v>Banca Umbra|19|Risparmio</v>
      </c>
    </row>
    <row r="3609" spans="1:12" x14ac:dyDescent="0.25">
      <c r="A3609" t="s">
        <v>36</v>
      </c>
      <c r="B3609">
        <v>19</v>
      </c>
      <c r="C3609" t="s">
        <v>21</v>
      </c>
      <c r="D3609" s="1">
        <v>45869</v>
      </c>
      <c r="E3609">
        <v>4079.2</v>
      </c>
      <c r="F3609">
        <v>241.46</v>
      </c>
      <c r="G3609">
        <v>143.26</v>
      </c>
      <c r="H3609">
        <v>375</v>
      </c>
      <c r="I3609" t="s">
        <v>25</v>
      </c>
      <c r="J3609">
        <v>2025</v>
      </c>
      <c r="K3609">
        <f t="shared" si="112"/>
        <v>98.200000000000017</v>
      </c>
      <c r="L3609" t="str">
        <f t="shared" si="113"/>
        <v>Banca Umbra|19|Assicurazioni</v>
      </c>
    </row>
    <row r="3610" spans="1:12" x14ac:dyDescent="0.25">
      <c r="A3610" t="s">
        <v>36</v>
      </c>
      <c r="B3610">
        <v>20</v>
      </c>
      <c r="C3610" t="s">
        <v>13</v>
      </c>
      <c r="D3610" s="1">
        <v>45900</v>
      </c>
      <c r="E3610">
        <v>1137.3</v>
      </c>
      <c r="F3610">
        <v>51.38</v>
      </c>
      <c r="G3610">
        <v>32.47</v>
      </c>
      <c r="H3610">
        <v>98</v>
      </c>
      <c r="I3610" t="s">
        <v>25</v>
      </c>
      <c r="J3610">
        <v>2025</v>
      </c>
      <c r="K3610">
        <f t="shared" si="112"/>
        <v>18.910000000000004</v>
      </c>
      <c r="L3610" t="str">
        <f t="shared" si="113"/>
        <v>Banca Umbra|20|Mutui</v>
      </c>
    </row>
    <row r="3611" spans="1:12" x14ac:dyDescent="0.25">
      <c r="A3611" t="s">
        <v>36</v>
      </c>
      <c r="B3611">
        <v>20</v>
      </c>
      <c r="C3611" t="s">
        <v>15</v>
      </c>
      <c r="D3611" s="1">
        <v>45900</v>
      </c>
      <c r="E3611">
        <v>1567.8</v>
      </c>
      <c r="F3611">
        <v>73.94</v>
      </c>
      <c r="G3611">
        <v>45.97</v>
      </c>
      <c r="H3611">
        <v>152</v>
      </c>
      <c r="I3611" t="s">
        <v>25</v>
      </c>
      <c r="J3611">
        <v>2025</v>
      </c>
      <c r="K3611">
        <f t="shared" si="112"/>
        <v>27.97</v>
      </c>
      <c r="L3611" t="str">
        <f t="shared" si="113"/>
        <v>Banca Umbra|20|Prestiti</v>
      </c>
    </row>
    <row r="3612" spans="1:12" x14ac:dyDescent="0.25">
      <c r="A3612" t="s">
        <v>36</v>
      </c>
      <c r="B3612">
        <v>20</v>
      </c>
      <c r="C3612" t="s">
        <v>16</v>
      </c>
      <c r="D3612" s="1">
        <v>45900</v>
      </c>
      <c r="E3612">
        <v>1960.4</v>
      </c>
      <c r="F3612">
        <v>96.15</v>
      </c>
      <c r="G3612">
        <v>59.61</v>
      </c>
      <c r="H3612">
        <v>182</v>
      </c>
      <c r="I3612" t="s">
        <v>25</v>
      </c>
      <c r="J3612">
        <v>2025</v>
      </c>
      <c r="K3612">
        <f t="shared" si="112"/>
        <v>36.540000000000006</v>
      </c>
      <c r="L3612" t="str">
        <f t="shared" si="113"/>
        <v>Banca Umbra|20|Conti</v>
      </c>
    </row>
    <row r="3613" spans="1:12" x14ac:dyDescent="0.25">
      <c r="A3613" t="s">
        <v>36</v>
      </c>
      <c r="B3613">
        <v>20</v>
      </c>
      <c r="C3613" t="s">
        <v>17</v>
      </c>
      <c r="D3613" s="1">
        <v>45900</v>
      </c>
      <c r="E3613">
        <v>2432.4</v>
      </c>
      <c r="F3613">
        <v>124.84</v>
      </c>
      <c r="G3613">
        <v>76.069999999999993</v>
      </c>
      <c r="H3613">
        <v>238</v>
      </c>
      <c r="I3613" t="s">
        <v>25</v>
      </c>
      <c r="J3613">
        <v>2025</v>
      </c>
      <c r="K3613">
        <f t="shared" si="112"/>
        <v>48.77000000000001</v>
      </c>
      <c r="L3613" t="str">
        <f t="shared" si="113"/>
        <v>Banca Umbra|20|Carte</v>
      </c>
    </row>
    <row r="3614" spans="1:12" x14ac:dyDescent="0.25">
      <c r="A3614" t="s">
        <v>36</v>
      </c>
      <c r="B3614">
        <v>20</v>
      </c>
      <c r="C3614" t="s">
        <v>18</v>
      </c>
      <c r="D3614" s="1">
        <v>45900</v>
      </c>
      <c r="E3614">
        <v>2819.7</v>
      </c>
      <c r="F3614">
        <v>149.88</v>
      </c>
      <c r="G3614">
        <v>90.47</v>
      </c>
      <c r="H3614">
        <v>281</v>
      </c>
      <c r="I3614" t="s">
        <v>25</v>
      </c>
      <c r="J3614">
        <v>2025</v>
      </c>
      <c r="K3614">
        <f t="shared" si="112"/>
        <v>59.41</v>
      </c>
      <c r="L3614" t="str">
        <f t="shared" si="113"/>
        <v>Banca Umbra|20|Leasing</v>
      </c>
    </row>
    <row r="3615" spans="1:12" x14ac:dyDescent="0.25">
      <c r="A3615" t="s">
        <v>36</v>
      </c>
      <c r="B3615">
        <v>20</v>
      </c>
      <c r="C3615" t="s">
        <v>19</v>
      </c>
      <c r="D3615" s="1">
        <v>45900</v>
      </c>
      <c r="E3615">
        <v>3243.4</v>
      </c>
      <c r="F3615">
        <v>178.8</v>
      </c>
      <c r="G3615">
        <v>107.4</v>
      </c>
      <c r="H3615">
        <v>310</v>
      </c>
      <c r="I3615" t="s">
        <v>25</v>
      </c>
      <c r="J3615">
        <v>2025</v>
      </c>
      <c r="K3615">
        <f t="shared" si="112"/>
        <v>71.400000000000006</v>
      </c>
      <c r="L3615" t="str">
        <f t="shared" si="113"/>
        <v>Banca Umbra|20|Factoring</v>
      </c>
    </row>
    <row r="3616" spans="1:12" x14ac:dyDescent="0.25">
      <c r="A3616" t="s">
        <v>36</v>
      </c>
      <c r="B3616">
        <v>20</v>
      </c>
      <c r="C3616" t="s">
        <v>20</v>
      </c>
      <c r="D3616" s="1">
        <v>45900</v>
      </c>
      <c r="E3616">
        <v>3679.6</v>
      </c>
      <c r="F3616">
        <v>210.37</v>
      </c>
      <c r="G3616">
        <v>125.72</v>
      </c>
      <c r="H3616">
        <v>337</v>
      </c>
      <c r="I3616" t="s">
        <v>25</v>
      </c>
      <c r="J3616">
        <v>2025</v>
      </c>
      <c r="K3616">
        <f t="shared" si="112"/>
        <v>84.65</v>
      </c>
      <c r="L3616" t="str">
        <f t="shared" si="113"/>
        <v>Banca Umbra|20|Risparmio</v>
      </c>
    </row>
    <row r="3617" spans="1:12" x14ac:dyDescent="0.25">
      <c r="A3617" t="s">
        <v>36</v>
      </c>
      <c r="B3617">
        <v>20</v>
      </c>
      <c r="C3617" t="s">
        <v>21</v>
      </c>
      <c r="D3617" s="1">
        <v>45900</v>
      </c>
      <c r="E3617">
        <v>4109.2</v>
      </c>
      <c r="F3617">
        <v>243.13</v>
      </c>
      <c r="G3617">
        <v>144.09</v>
      </c>
      <c r="H3617">
        <v>375</v>
      </c>
      <c r="I3617" t="s">
        <v>25</v>
      </c>
      <c r="J3617">
        <v>2025</v>
      </c>
      <c r="K3617">
        <f t="shared" si="112"/>
        <v>99.039999999999992</v>
      </c>
      <c r="L3617" t="str">
        <f t="shared" si="113"/>
        <v>Banca Umbra|20|Assicurazioni</v>
      </c>
    </row>
    <row r="3618" spans="1:12" x14ac:dyDescent="0.25">
      <c r="A3618" t="s">
        <v>36</v>
      </c>
      <c r="B3618">
        <v>21</v>
      </c>
      <c r="C3618" t="s">
        <v>13</v>
      </c>
      <c r="D3618" s="1">
        <v>45930</v>
      </c>
      <c r="E3618">
        <v>1147</v>
      </c>
      <c r="F3618">
        <v>52.1</v>
      </c>
      <c r="G3618">
        <v>32.659999999999997</v>
      </c>
      <c r="H3618">
        <v>134</v>
      </c>
      <c r="I3618" t="s">
        <v>25</v>
      </c>
      <c r="J3618">
        <v>2025</v>
      </c>
      <c r="K3618">
        <f t="shared" si="112"/>
        <v>19.440000000000005</v>
      </c>
      <c r="L3618" t="str">
        <f t="shared" si="113"/>
        <v>Banca Umbra|21|Mutui</v>
      </c>
    </row>
    <row r="3619" spans="1:12" x14ac:dyDescent="0.25">
      <c r="A3619" t="s">
        <v>36</v>
      </c>
      <c r="B3619">
        <v>21</v>
      </c>
      <c r="C3619" t="s">
        <v>15</v>
      </c>
      <c r="D3619" s="1">
        <v>45930</v>
      </c>
      <c r="E3619">
        <v>1577.9</v>
      </c>
      <c r="F3619">
        <v>74.63</v>
      </c>
      <c r="G3619">
        <v>46.39</v>
      </c>
      <c r="H3619">
        <v>150</v>
      </c>
      <c r="I3619" t="s">
        <v>25</v>
      </c>
      <c r="J3619">
        <v>2025</v>
      </c>
      <c r="K3619">
        <f t="shared" si="112"/>
        <v>28.239999999999995</v>
      </c>
      <c r="L3619" t="str">
        <f t="shared" si="113"/>
        <v>Banca Umbra|21|Prestiti</v>
      </c>
    </row>
    <row r="3620" spans="1:12" x14ac:dyDescent="0.25">
      <c r="A3620" t="s">
        <v>36</v>
      </c>
      <c r="B3620">
        <v>21</v>
      </c>
      <c r="C3620" t="s">
        <v>16</v>
      </c>
      <c r="D3620" s="1">
        <v>45930</v>
      </c>
      <c r="E3620">
        <v>2021.2</v>
      </c>
      <c r="F3620">
        <v>99.16</v>
      </c>
      <c r="G3620">
        <v>61.36</v>
      </c>
      <c r="H3620">
        <v>182</v>
      </c>
      <c r="I3620" t="s">
        <v>25</v>
      </c>
      <c r="J3620">
        <v>2025</v>
      </c>
      <c r="K3620">
        <f t="shared" si="112"/>
        <v>37.799999999999997</v>
      </c>
      <c r="L3620" t="str">
        <f t="shared" si="113"/>
        <v>Banca Umbra|21|Conti</v>
      </c>
    </row>
    <row r="3621" spans="1:12" x14ac:dyDescent="0.25">
      <c r="A3621" t="s">
        <v>36</v>
      </c>
      <c r="B3621">
        <v>21</v>
      </c>
      <c r="C3621" t="s">
        <v>17</v>
      </c>
      <c r="D3621" s="1">
        <v>45930</v>
      </c>
      <c r="E3621">
        <v>2450.3000000000002</v>
      </c>
      <c r="F3621">
        <v>125.93</v>
      </c>
      <c r="G3621">
        <v>76.64</v>
      </c>
      <c r="H3621">
        <v>239</v>
      </c>
      <c r="I3621" t="s">
        <v>25</v>
      </c>
      <c r="J3621">
        <v>2025</v>
      </c>
      <c r="K3621">
        <f t="shared" si="112"/>
        <v>49.290000000000006</v>
      </c>
      <c r="L3621" t="str">
        <f t="shared" si="113"/>
        <v>Banca Umbra|21|Carte</v>
      </c>
    </row>
    <row r="3622" spans="1:12" x14ac:dyDescent="0.25">
      <c r="A3622" t="s">
        <v>36</v>
      </c>
      <c r="B3622">
        <v>21</v>
      </c>
      <c r="C3622" t="s">
        <v>18</v>
      </c>
      <c r="D3622" s="1">
        <v>45930</v>
      </c>
      <c r="E3622">
        <v>2857.7</v>
      </c>
      <c r="F3622">
        <v>152.34</v>
      </c>
      <c r="G3622">
        <v>92.21</v>
      </c>
      <c r="H3622">
        <v>246</v>
      </c>
      <c r="I3622" t="s">
        <v>25</v>
      </c>
      <c r="J3622">
        <v>2025</v>
      </c>
      <c r="K3622">
        <f t="shared" si="112"/>
        <v>60.13000000000001</v>
      </c>
      <c r="L3622" t="str">
        <f t="shared" si="113"/>
        <v>Banca Umbra|21|Leasing</v>
      </c>
    </row>
    <row r="3623" spans="1:12" x14ac:dyDescent="0.25">
      <c r="A3623" t="s">
        <v>36</v>
      </c>
      <c r="B3623">
        <v>21</v>
      </c>
      <c r="C3623" t="s">
        <v>19</v>
      </c>
      <c r="D3623" s="1">
        <v>45930</v>
      </c>
      <c r="E3623">
        <v>3256</v>
      </c>
      <c r="F3623">
        <v>179.56</v>
      </c>
      <c r="G3623">
        <v>107.76</v>
      </c>
      <c r="H3623">
        <v>313</v>
      </c>
      <c r="I3623" t="s">
        <v>25</v>
      </c>
      <c r="J3623">
        <v>2025</v>
      </c>
      <c r="K3623">
        <f t="shared" si="112"/>
        <v>71.8</v>
      </c>
      <c r="L3623" t="str">
        <f t="shared" si="113"/>
        <v>Banca Umbra|21|Factoring</v>
      </c>
    </row>
    <row r="3624" spans="1:12" x14ac:dyDescent="0.25">
      <c r="A3624" t="s">
        <v>36</v>
      </c>
      <c r="B3624">
        <v>21</v>
      </c>
      <c r="C3624" t="s">
        <v>20</v>
      </c>
      <c r="D3624" s="1">
        <v>45930</v>
      </c>
      <c r="E3624">
        <v>3709.9</v>
      </c>
      <c r="F3624">
        <v>211.98</v>
      </c>
      <c r="G3624">
        <v>126.27</v>
      </c>
      <c r="H3624">
        <v>325</v>
      </c>
      <c r="I3624" t="s">
        <v>25</v>
      </c>
      <c r="J3624">
        <v>2025</v>
      </c>
      <c r="K3624">
        <f t="shared" si="112"/>
        <v>85.71</v>
      </c>
      <c r="L3624" t="str">
        <f t="shared" si="113"/>
        <v>Banca Umbra|21|Risparmio</v>
      </c>
    </row>
    <row r="3625" spans="1:12" x14ac:dyDescent="0.25">
      <c r="A3625" t="s">
        <v>36</v>
      </c>
      <c r="B3625">
        <v>21</v>
      </c>
      <c r="C3625" t="s">
        <v>21</v>
      </c>
      <c r="D3625" s="1">
        <v>45930</v>
      </c>
      <c r="E3625">
        <v>4112.3</v>
      </c>
      <c r="F3625">
        <v>243.52</v>
      </c>
      <c r="G3625">
        <v>144.25</v>
      </c>
      <c r="H3625">
        <v>367</v>
      </c>
      <c r="I3625" t="s">
        <v>25</v>
      </c>
      <c r="J3625">
        <v>2025</v>
      </c>
      <c r="K3625">
        <f t="shared" si="112"/>
        <v>99.27000000000001</v>
      </c>
      <c r="L3625" t="str">
        <f t="shared" si="113"/>
        <v>Banca Umbra|21|Assicurazioni</v>
      </c>
    </row>
    <row r="3626" spans="1:12" x14ac:dyDescent="0.25">
      <c r="A3626" t="s">
        <v>36</v>
      </c>
      <c r="B3626">
        <v>22</v>
      </c>
      <c r="C3626" t="s">
        <v>13</v>
      </c>
      <c r="D3626" s="1">
        <v>45961</v>
      </c>
      <c r="E3626">
        <v>1140.3</v>
      </c>
      <c r="F3626">
        <v>52.1</v>
      </c>
      <c r="G3626">
        <v>32.880000000000003</v>
      </c>
      <c r="H3626">
        <v>132</v>
      </c>
      <c r="I3626" t="s">
        <v>25</v>
      </c>
      <c r="J3626">
        <v>2025</v>
      </c>
      <c r="K3626">
        <f t="shared" si="112"/>
        <v>19.22</v>
      </c>
      <c r="L3626" t="str">
        <f t="shared" si="113"/>
        <v>Banca Umbra|22|Mutui</v>
      </c>
    </row>
    <row r="3627" spans="1:12" x14ac:dyDescent="0.25">
      <c r="A3627" t="s">
        <v>36</v>
      </c>
      <c r="B3627">
        <v>22</v>
      </c>
      <c r="C3627" t="s">
        <v>15</v>
      </c>
      <c r="D3627" s="1">
        <v>45961</v>
      </c>
      <c r="E3627">
        <v>1576.7</v>
      </c>
      <c r="F3627">
        <v>75.02</v>
      </c>
      <c r="G3627">
        <v>46.05</v>
      </c>
      <c r="H3627">
        <v>157</v>
      </c>
      <c r="I3627" t="s">
        <v>25</v>
      </c>
      <c r="J3627">
        <v>2025</v>
      </c>
      <c r="K3627">
        <f t="shared" si="112"/>
        <v>28.97</v>
      </c>
      <c r="L3627" t="str">
        <f t="shared" si="113"/>
        <v>Banca Umbra|22|Prestiti</v>
      </c>
    </row>
    <row r="3628" spans="1:12" x14ac:dyDescent="0.25">
      <c r="A3628" t="s">
        <v>36</v>
      </c>
      <c r="B3628">
        <v>22</v>
      </c>
      <c r="C3628" t="s">
        <v>16</v>
      </c>
      <c r="D3628" s="1">
        <v>45961</v>
      </c>
      <c r="E3628">
        <v>2016.3</v>
      </c>
      <c r="F3628">
        <v>98.8</v>
      </c>
      <c r="G3628">
        <v>60.97</v>
      </c>
      <c r="H3628">
        <v>209</v>
      </c>
      <c r="I3628" t="s">
        <v>25</v>
      </c>
      <c r="J3628">
        <v>2025</v>
      </c>
      <c r="K3628">
        <f t="shared" si="112"/>
        <v>37.83</v>
      </c>
      <c r="L3628" t="str">
        <f t="shared" si="113"/>
        <v>Banca Umbra|22|Conti</v>
      </c>
    </row>
    <row r="3629" spans="1:12" x14ac:dyDescent="0.25">
      <c r="A3629" t="s">
        <v>36</v>
      </c>
      <c r="B3629">
        <v>22</v>
      </c>
      <c r="C3629" t="s">
        <v>17</v>
      </c>
      <c r="D3629" s="1">
        <v>45961</v>
      </c>
      <c r="E3629">
        <v>2440.3000000000002</v>
      </c>
      <c r="F3629">
        <v>125.18</v>
      </c>
      <c r="G3629">
        <v>76.14</v>
      </c>
      <c r="H3629">
        <v>242</v>
      </c>
      <c r="I3629" t="s">
        <v>25</v>
      </c>
      <c r="J3629">
        <v>2025</v>
      </c>
      <c r="K3629">
        <f t="shared" si="112"/>
        <v>49.040000000000006</v>
      </c>
      <c r="L3629" t="str">
        <f t="shared" si="113"/>
        <v>Banca Umbra|22|Carte</v>
      </c>
    </row>
    <row r="3630" spans="1:12" x14ac:dyDescent="0.25">
      <c r="A3630" t="s">
        <v>36</v>
      </c>
      <c r="B3630">
        <v>22</v>
      </c>
      <c r="C3630" t="s">
        <v>18</v>
      </c>
      <c r="D3630" s="1">
        <v>45961</v>
      </c>
      <c r="E3630">
        <v>2869.5</v>
      </c>
      <c r="F3630">
        <v>152.24</v>
      </c>
      <c r="G3630">
        <v>92.64</v>
      </c>
      <c r="H3630">
        <v>281</v>
      </c>
      <c r="I3630" t="s">
        <v>25</v>
      </c>
      <c r="J3630">
        <v>2025</v>
      </c>
      <c r="K3630">
        <f t="shared" si="112"/>
        <v>59.600000000000009</v>
      </c>
      <c r="L3630" t="str">
        <f t="shared" si="113"/>
        <v>Banca Umbra|22|Leasing</v>
      </c>
    </row>
    <row r="3631" spans="1:12" x14ac:dyDescent="0.25">
      <c r="A3631" t="s">
        <v>36</v>
      </c>
      <c r="B3631">
        <v>22</v>
      </c>
      <c r="C3631" t="s">
        <v>19</v>
      </c>
      <c r="D3631" s="1">
        <v>45961</v>
      </c>
      <c r="E3631">
        <v>3333.7</v>
      </c>
      <c r="F3631">
        <v>184.34</v>
      </c>
      <c r="G3631">
        <v>110.56</v>
      </c>
      <c r="H3631">
        <v>290</v>
      </c>
      <c r="I3631" t="s">
        <v>25</v>
      </c>
      <c r="J3631">
        <v>2025</v>
      </c>
      <c r="K3631">
        <f t="shared" si="112"/>
        <v>73.78</v>
      </c>
      <c r="L3631" t="str">
        <f t="shared" si="113"/>
        <v>Banca Umbra|22|Factoring</v>
      </c>
    </row>
    <row r="3632" spans="1:12" x14ac:dyDescent="0.25">
      <c r="A3632" t="s">
        <v>36</v>
      </c>
      <c r="B3632">
        <v>22</v>
      </c>
      <c r="C3632" t="s">
        <v>20</v>
      </c>
      <c r="D3632" s="1">
        <v>45961</v>
      </c>
      <c r="E3632">
        <v>3748.4</v>
      </c>
      <c r="F3632">
        <v>214.3</v>
      </c>
      <c r="G3632">
        <v>127.8</v>
      </c>
      <c r="H3632">
        <v>336</v>
      </c>
      <c r="I3632" t="s">
        <v>25</v>
      </c>
      <c r="J3632">
        <v>2025</v>
      </c>
      <c r="K3632">
        <f t="shared" si="112"/>
        <v>86.500000000000014</v>
      </c>
      <c r="L3632" t="str">
        <f t="shared" si="113"/>
        <v>Banca Umbra|22|Risparmio</v>
      </c>
    </row>
    <row r="3633" spans="1:12" x14ac:dyDescent="0.25">
      <c r="A3633" t="s">
        <v>36</v>
      </c>
      <c r="B3633">
        <v>22</v>
      </c>
      <c r="C3633" t="s">
        <v>21</v>
      </c>
      <c r="D3633" s="1">
        <v>45961</v>
      </c>
      <c r="E3633">
        <v>4193.8999999999996</v>
      </c>
      <c r="F3633">
        <v>248.37</v>
      </c>
      <c r="G3633">
        <v>147.68</v>
      </c>
      <c r="H3633">
        <v>379</v>
      </c>
      <c r="I3633" t="s">
        <v>25</v>
      </c>
      <c r="J3633">
        <v>2025</v>
      </c>
      <c r="K3633">
        <f t="shared" si="112"/>
        <v>100.69</v>
      </c>
      <c r="L3633" t="str">
        <f t="shared" si="113"/>
        <v>Banca Umbra|22|Assicurazioni</v>
      </c>
    </row>
    <row r="3634" spans="1:12" x14ac:dyDescent="0.25">
      <c r="A3634" t="s">
        <v>36</v>
      </c>
      <c r="B3634">
        <v>23</v>
      </c>
      <c r="C3634" t="s">
        <v>13</v>
      </c>
      <c r="D3634" s="1">
        <v>45991</v>
      </c>
      <c r="E3634">
        <v>1135.8</v>
      </c>
      <c r="F3634">
        <v>51.27</v>
      </c>
      <c r="G3634">
        <v>32.520000000000003</v>
      </c>
      <c r="H3634">
        <v>107</v>
      </c>
      <c r="I3634" t="s">
        <v>25</v>
      </c>
      <c r="J3634">
        <v>2025</v>
      </c>
      <c r="K3634">
        <f t="shared" si="112"/>
        <v>18.75</v>
      </c>
      <c r="L3634" t="str">
        <f t="shared" si="113"/>
        <v>Banca Umbra|23|Mutui</v>
      </c>
    </row>
    <row r="3635" spans="1:12" x14ac:dyDescent="0.25">
      <c r="A3635" t="s">
        <v>36</v>
      </c>
      <c r="B3635">
        <v>23</v>
      </c>
      <c r="C3635" t="s">
        <v>15</v>
      </c>
      <c r="D3635" s="1">
        <v>45991</v>
      </c>
      <c r="E3635">
        <v>1564.4</v>
      </c>
      <c r="F3635">
        <v>73.569999999999993</v>
      </c>
      <c r="G3635">
        <v>45.54</v>
      </c>
      <c r="H3635">
        <v>162</v>
      </c>
      <c r="I3635" t="s">
        <v>25</v>
      </c>
      <c r="J3635">
        <v>2025</v>
      </c>
      <c r="K3635">
        <f t="shared" si="112"/>
        <v>28.029999999999994</v>
      </c>
      <c r="L3635" t="str">
        <f t="shared" si="113"/>
        <v>Banca Umbra|23|Prestiti</v>
      </c>
    </row>
    <row r="3636" spans="1:12" x14ac:dyDescent="0.25">
      <c r="A3636" t="s">
        <v>36</v>
      </c>
      <c r="B3636">
        <v>23</v>
      </c>
      <c r="C3636" t="s">
        <v>16</v>
      </c>
      <c r="D3636" s="1">
        <v>45991</v>
      </c>
      <c r="E3636">
        <v>2041</v>
      </c>
      <c r="F3636">
        <v>100.4</v>
      </c>
      <c r="G3636">
        <v>61.69</v>
      </c>
      <c r="H3636">
        <v>206</v>
      </c>
      <c r="I3636" t="s">
        <v>25</v>
      </c>
      <c r="J3636">
        <v>2025</v>
      </c>
      <c r="K3636">
        <f t="shared" si="112"/>
        <v>38.710000000000008</v>
      </c>
      <c r="L3636" t="str">
        <f t="shared" si="113"/>
        <v>Banca Umbra|23|Conti</v>
      </c>
    </row>
    <row r="3637" spans="1:12" x14ac:dyDescent="0.25">
      <c r="A3637" t="s">
        <v>36</v>
      </c>
      <c r="B3637">
        <v>23</v>
      </c>
      <c r="C3637" t="s">
        <v>17</v>
      </c>
      <c r="D3637" s="1">
        <v>45991</v>
      </c>
      <c r="E3637">
        <v>2486.1</v>
      </c>
      <c r="F3637">
        <v>127.76</v>
      </c>
      <c r="G3637">
        <v>78.069999999999993</v>
      </c>
      <c r="H3637">
        <v>243</v>
      </c>
      <c r="I3637" t="s">
        <v>25</v>
      </c>
      <c r="J3637">
        <v>2025</v>
      </c>
      <c r="K3637">
        <f t="shared" si="112"/>
        <v>49.690000000000012</v>
      </c>
      <c r="L3637" t="str">
        <f t="shared" si="113"/>
        <v>Banca Umbra|23|Carte</v>
      </c>
    </row>
    <row r="3638" spans="1:12" x14ac:dyDescent="0.25">
      <c r="A3638" t="s">
        <v>36</v>
      </c>
      <c r="B3638">
        <v>23</v>
      </c>
      <c r="C3638" t="s">
        <v>18</v>
      </c>
      <c r="D3638" s="1">
        <v>45991</v>
      </c>
      <c r="E3638">
        <v>2921.6</v>
      </c>
      <c r="F3638">
        <v>155.22</v>
      </c>
      <c r="G3638">
        <v>93.58</v>
      </c>
      <c r="H3638">
        <v>279</v>
      </c>
      <c r="I3638" t="s">
        <v>25</v>
      </c>
      <c r="J3638">
        <v>2025</v>
      </c>
      <c r="K3638">
        <f t="shared" si="112"/>
        <v>61.64</v>
      </c>
      <c r="L3638" t="str">
        <f t="shared" si="113"/>
        <v>Banca Umbra|23|Leasing</v>
      </c>
    </row>
    <row r="3639" spans="1:12" x14ac:dyDescent="0.25">
      <c r="A3639" t="s">
        <v>36</v>
      </c>
      <c r="B3639">
        <v>23</v>
      </c>
      <c r="C3639" t="s">
        <v>19</v>
      </c>
      <c r="D3639" s="1">
        <v>45991</v>
      </c>
      <c r="E3639">
        <v>3332.5</v>
      </c>
      <c r="F3639">
        <v>183.94</v>
      </c>
      <c r="G3639">
        <v>110</v>
      </c>
      <c r="H3639">
        <v>281</v>
      </c>
      <c r="I3639" t="s">
        <v>25</v>
      </c>
      <c r="J3639">
        <v>2025</v>
      </c>
      <c r="K3639">
        <f t="shared" si="112"/>
        <v>73.94</v>
      </c>
      <c r="L3639" t="str">
        <f t="shared" si="113"/>
        <v>Banca Umbra|23|Factoring</v>
      </c>
    </row>
    <row r="3640" spans="1:12" x14ac:dyDescent="0.25">
      <c r="A3640" t="s">
        <v>36</v>
      </c>
      <c r="B3640">
        <v>23</v>
      </c>
      <c r="C3640" t="s">
        <v>20</v>
      </c>
      <c r="D3640" s="1">
        <v>45991</v>
      </c>
      <c r="E3640">
        <v>3738.2</v>
      </c>
      <c r="F3640">
        <v>213.9</v>
      </c>
      <c r="G3640">
        <v>127.96</v>
      </c>
      <c r="H3640">
        <v>346</v>
      </c>
      <c r="I3640" t="s">
        <v>25</v>
      </c>
      <c r="J3640">
        <v>2025</v>
      </c>
      <c r="K3640">
        <f t="shared" si="112"/>
        <v>85.940000000000012</v>
      </c>
      <c r="L3640" t="str">
        <f t="shared" si="113"/>
        <v>Banca Umbra|23|Risparmio</v>
      </c>
    </row>
    <row r="3641" spans="1:12" x14ac:dyDescent="0.25">
      <c r="A3641" t="s">
        <v>36</v>
      </c>
      <c r="B3641">
        <v>23</v>
      </c>
      <c r="C3641" t="s">
        <v>21</v>
      </c>
      <c r="D3641" s="1">
        <v>45991</v>
      </c>
      <c r="E3641">
        <v>4175.1000000000004</v>
      </c>
      <c r="F3641">
        <v>246.77</v>
      </c>
      <c r="G3641">
        <v>146.71</v>
      </c>
      <c r="H3641">
        <v>390</v>
      </c>
      <c r="I3641" t="s">
        <v>25</v>
      </c>
      <c r="J3641">
        <v>2025</v>
      </c>
      <c r="K3641">
        <f t="shared" si="112"/>
        <v>100.06</v>
      </c>
      <c r="L3641" t="str">
        <f t="shared" si="113"/>
        <v>Banca Umbra|23|Assicurazioni</v>
      </c>
    </row>
    <row r="3642" spans="1:12" x14ac:dyDescent="0.25">
      <c r="A3642" t="s">
        <v>36</v>
      </c>
      <c r="B3642">
        <v>24</v>
      </c>
      <c r="C3642" t="s">
        <v>13</v>
      </c>
      <c r="D3642" s="1">
        <v>46022</v>
      </c>
      <c r="E3642">
        <v>1140.7</v>
      </c>
      <c r="F3642">
        <v>52.15</v>
      </c>
      <c r="G3642">
        <v>32.770000000000003</v>
      </c>
      <c r="H3642">
        <v>116</v>
      </c>
      <c r="I3642" t="s">
        <v>25</v>
      </c>
      <c r="J3642">
        <v>2025</v>
      </c>
      <c r="K3642">
        <f t="shared" si="112"/>
        <v>19.379999999999995</v>
      </c>
      <c r="L3642" t="str">
        <f t="shared" si="113"/>
        <v>Banca Umbra|24|Mutui</v>
      </c>
    </row>
    <row r="3643" spans="1:12" x14ac:dyDescent="0.25">
      <c r="A3643" t="s">
        <v>36</v>
      </c>
      <c r="B3643">
        <v>24</v>
      </c>
      <c r="C3643" t="s">
        <v>15</v>
      </c>
      <c r="D3643" s="1">
        <v>46022</v>
      </c>
      <c r="E3643">
        <v>1586.9</v>
      </c>
      <c r="F3643">
        <v>74.77</v>
      </c>
      <c r="G3643">
        <v>46.48</v>
      </c>
      <c r="H3643">
        <v>154</v>
      </c>
      <c r="I3643" t="s">
        <v>25</v>
      </c>
      <c r="J3643">
        <v>2025</v>
      </c>
      <c r="K3643">
        <f t="shared" si="112"/>
        <v>28.29</v>
      </c>
      <c r="L3643" t="str">
        <f t="shared" si="113"/>
        <v>Banca Umbra|24|Prestiti</v>
      </c>
    </row>
    <row r="3644" spans="1:12" x14ac:dyDescent="0.25">
      <c r="A3644" t="s">
        <v>36</v>
      </c>
      <c r="B3644">
        <v>24</v>
      </c>
      <c r="C3644" t="s">
        <v>16</v>
      </c>
      <c r="D3644" s="1">
        <v>46022</v>
      </c>
      <c r="E3644">
        <v>2038.6</v>
      </c>
      <c r="F3644">
        <v>100.83</v>
      </c>
      <c r="G3644">
        <v>61.17</v>
      </c>
      <c r="H3644">
        <v>198</v>
      </c>
      <c r="I3644" t="s">
        <v>25</v>
      </c>
      <c r="J3644">
        <v>2025</v>
      </c>
      <c r="K3644">
        <f t="shared" si="112"/>
        <v>39.659999999999997</v>
      </c>
      <c r="L3644" t="str">
        <f t="shared" si="113"/>
        <v>Banca Umbra|24|Conti</v>
      </c>
    </row>
    <row r="3645" spans="1:12" x14ac:dyDescent="0.25">
      <c r="A3645" t="s">
        <v>36</v>
      </c>
      <c r="B3645">
        <v>24</v>
      </c>
      <c r="C3645" t="s">
        <v>17</v>
      </c>
      <c r="D3645" s="1">
        <v>46022</v>
      </c>
      <c r="E3645">
        <v>2459.1999999999998</v>
      </c>
      <c r="F3645">
        <v>125.49</v>
      </c>
      <c r="G3645">
        <v>77.06</v>
      </c>
      <c r="H3645">
        <v>234</v>
      </c>
      <c r="I3645" t="s">
        <v>25</v>
      </c>
      <c r="J3645">
        <v>2025</v>
      </c>
      <c r="K3645">
        <f t="shared" si="112"/>
        <v>48.429999999999993</v>
      </c>
      <c r="L3645" t="str">
        <f t="shared" si="113"/>
        <v>Banca Umbra|24|Carte</v>
      </c>
    </row>
    <row r="3646" spans="1:12" x14ac:dyDescent="0.25">
      <c r="A3646" t="s">
        <v>36</v>
      </c>
      <c r="B3646">
        <v>24</v>
      </c>
      <c r="C3646" t="s">
        <v>18</v>
      </c>
      <c r="D3646" s="1">
        <v>46022</v>
      </c>
      <c r="E3646">
        <v>2897.5</v>
      </c>
      <c r="F3646">
        <v>153.59</v>
      </c>
      <c r="G3646">
        <v>92.87</v>
      </c>
      <c r="H3646">
        <v>268</v>
      </c>
      <c r="I3646" t="s">
        <v>25</v>
      </c>
      <c r="J3646">
        <v>2025</v>
      </c>
      <c r="K3646">
        <f t="shared" si="112"/>
        <v>60.72</v>
      </c>
      <c r="L3646" t="str">
        <f t="shared" si="113"/>
        <v>Banca Umbra|24|Leasing</v>
      </c>
    </row>
    <row r="3647" spans="1:12" x14ac:dyDescent="0.25">
      <c r="A3647" t="s">
        <v>36</v>
      </c>
      <c r="B3647">
        <v>24</v>
      </c>
      <c r="C3647" t="s">
        <v>19</v>
      </c>
      <c r="D3647" s="1">
        <v>46022</v>
      </c>
      <c r="E3647">
        <v>3344.9</v>
      </c>
      <c r="F3647">
        <v>184.5</v>
      </c>
      <c r="G3647">
        <v>111.12</v>
      </c>
      <c r="H3647">
        <v>310</v>
      </c>
      <c r="I3647" t="s">
        <v>25</v>
      </c>
      <c r="J3647">
        <v>2025</v>
      </c>
      <c r="K3647">
        <f t="shared" si="112"/>
        <v>73.38</v>
      </c>
      <c r="L3647" t="str">
        <f t="shared" si="113"/>
        <v>Banca Umbra|24|Factoring</v>
      </c>
    </row>
    <row r="3648" spans="1:12" x14ac:dyDescent="0.25">
      <c r="A3648" t="s">
        <v>36</v>
      </c>
      <c r="B3648">
        <v>24</v>
      </c>
      <c r="C3648" t="s">
        <v>20</v>
      </c>
      <c r="D3648" s="1">
        <v>46022</v>
      </c>
      <c r="E3648">
        <v>3799.2</v>
      </c>
      <c r="F3648">
        <v>216.95</v>
      </c>
      <c r="G3648">
        <v>129.26</v>
      </c>
      <c r="H3648">
        <v>349</v>
      </c>
      <c r="I3648" t="s">
        <v>25</v>
      </c>
      <c r="J3648">
        <v>2025</v>
      </c>
      <c r="K3648">
        <f t="shared" si="112"/>
        <v>87.69</v>
      </c>
      <c r="L3648" t="str">
        <f t="shared" si="113"/>
        <v>Banca Umbra|24|Risparmio</v>
      </c>
    </row>
    <row r="3649" spans="1:12" x14ac:dyDescent="0.25">
      <c r="A3649" t="s">
        <v>36</v>
      </c>
      <c r="B3649">
        <v>24</v>
      </c>
      <c r="C3649" t="s">
        <v>21</v>
      </c>
      <c r="D3649" s="1">
        <v>46022</v>
      </c>
      <c r="E3649">
        <v>4225.3</v>
      </c>
      <c r="F3649">
        <v>249.84</v>
      </c>
      <c r="G3649">
        <v>148.5</v>
      </c>
      <c r="H3649">
        <v>379</v>
      </c>
      <c r="I3649" t="s">
        <v>25</v>
      </c>
      <c r="J3649">
        <v>2025</v>
      </c>
      <c r="K3649">
        <f t="shared" si="112"/>
        <v>101.34</v>
      </c>
      <c r="L3649" t="str">
        <f t="shared" si="113"/>
        <v>Banca Umbra|24|Assicurazioni</v>
      </c>
    </row>
    <row r="3650" spans="1:12" x14ac:dyDescent="0.25">
      <c r="A3650" t="s">
        <v>36</v>
      </c>
      <c r="B3650">
        <v>25</v>
      </c>
      <c r="C3650" t="s">
        <v>13</v>
      </c>
      <c r="D3650" s="1">
        <v>46053</v>
      </c>
      <c r="E3650">
        <v>1200.7</v>
      </c>
      <c r="F3650">
        <v>54.22</v>
      </c>
      <c r="G3650">
        <v>34.14</v>
      </c>
      <c r="H3650">
        <v>119</v>
      </c>
      <c r="I3650" t="s">
        <v>25</v>
      </c>
      <c r="J3650">
        <v>2026</v>
      </c>
      <c r="K3650">
        <f t="shared" ref="K3650:K3713" si="114">F3650-G3650</f>
        <v>20.079999999999998</v>
      </c>
      <c r="L3650" t="str">
        <f t="shared" ref="L3650:L3713" si="115">A3650&amp;"|"&amp;B3650&amp;"|"&amp;C3650</f>
        <v>Banca Umbra|25|Mutui</v>
      </c>
    </row>
    <row r="3651" spans="1:12" x14ac:dyDescent="0.25">
      <c r="A3651" t="s">
        <v>36</v>
      </c>
      <c r="B3651">
        <v>25</v>
      </c>
      <c r="C3651" t="s">
        <v>15</v>
      </c>
      <c r="D3651" s="1">
        <v>46053</v>
      </c>
      <c r="E3651">
        <v>1627.5</v>
      </c>
      <c r="F3651">
        <v>77.31</v>
      </c>
      <c r="G3651">
        <v>47.38</v>
      </c>
      <c r="H3651">
        <v>154</v>
      </c>
      <c r="I3651" t="s">
        <v>25</v>
      </c>
      <c r="J3651">
        <v>2026</v>
      </c>
      <c r="K3651">
        <f t="shared" si="114"/>
        <v>29.93</v>
      </c>
      <c r="L3651" t="str">
        <f t="shared" si="115"/>
        <v>Banca Umbra|25|Prestiti</v>
      </c>
    </row>
    <row r="3652" spans="1:12" x14ac:dyDescent="0.25">
      <c r="A3652" t="s">
        <v>36</v>
      </c>
      <c r="B3652">
        <v>25</v>
      </c>
      <c r="C3652" t="s">
        <v>16</v>
      </c>
      <c r="D3652" s="1">
        <v>46053</v>
      </c>
      <c r="E3652">
        <v>2037.1</v>
      </c>
      <c r="F3652">
        <v>100.43</v>
      </c>
      <c r="G3652">
        <v>62.02</v>
      </c>
      <c r="H3652">
        <v>198</v>
      </c>
      <c r="I3652" t="s">
        <v>25</v>
      </c>
      <c r="J3652">
        <v>2026</v>
      </c>
      <c r="K3652">
        <f t="shared" si="114"/>
        <v>38.410000000000004</v>
      </c>
      <c r="L3652" t="str">
        <f t="shared" si="115"/>
        <v>Banca Umbra|25|Conti</v>
      </c>
    </row>
    <row r="3653" spans="1:12" x14ac:dyDescent="0.25">
      <c r="A3653" t="s">
        <v>36</v>
      </c>
      <c r="B3653">
        <v>25</v>
      </c>
      <c r="C3653" t="s">
        <v>17</v>
      </c>
      <c r="D3653" s="1">
        <v>46053</v>
      </c>
      <c r="E3653">
        <v>2514.3000000000002</v>
      </c>
      <c r="F3653">
        <v>128.88999999999999</v>
      </c>
      <c r="G3653">
        <v>78.16</v>
      </c>
      <c r="H3653">
        <v>210</v>
      </c>
      <c r="I3653" t="s">
        <v>25</v>
      </c>
      <c r="J3653">
        <v>2026</v>
      </c>
      <c r="K3653">
        <f t="shared" si="114"/>
        <v>50.72999999999999</v>
      </c>
      <c r="L3653" t="str">
        <f t="shared" si="115"/>
        <v>Banca Umbra|25|Carte</v>
      </c>
    </row>
    <row r="3654" spans="1:12" x14ac:dyDescent="0.25">
      <c r="A3654" t="s">
        <v>36</v>
      </c>
      <c r="B3654">
        <v>25</v>
      </c>
      <c r="C3654" t="s">
        <v>18</v>
      </c>
      <c r="D3654" s="1">
        <v>46053</v>
      </c>
      <c r="E3654">
        <v>2938.9</v>
      </c>
      <c r="F3654">
        <v>156.21</v>
      </c>
      <c r="G3654">
        <v>94.76</v>
      </c>
      <c r="H3654">
        <v>276</v>
      </c>
      <c r="I3654" t="s">
        <v>25</v>
      </c>
      <c r="J3654">
        <v>2026</v>
      </c>
      <c r="K3654">
        <f t="shared" si="114"/>
        <v>61.45</v>
      </c>
      <c r="L3654" t="str">
        <f t="shared" si="115"/>
        <v>Banca Umbra|25|Leasing</v>
      </c>
    </row>
    <row r="3655" spans="1:12" x14ac:dyDescent="0.25">
      <c r="A3655" t="s">
        <v>36</v>
      </c>
      <c r="B3655">
        <v>25</v>
      </c>
      <c r="C3655" t="s">
        <v>19</v>
      </c>
      <c r="D3655" s="1">
        <v>46053</v>
      </c>
      <c r="E3655">
        <v>3371.7</v>
      </c>
      <c r="F3655">
        <v>186.29</v>
      </c>
      <c r="G3655">
        <v>111.48</v>
      </c>
      <c r="H3655">
        <v>286</v>
      </c>
      <c r="I3655" t="s">
        <v>25</v>
      </c>
      <c r="J3655">
        <v>2026</v>
      </c>
      <c r="K3655">
        <f t="shared" si="114"/>
        <v>74.809999999999988</v>
      </c>
      <c r="L3655" t="str">
        <f t="shared" si="115"/>
        <v>Banca Umbra|25|Factoring</v>
      </c>
    </row>
    <row r="3656" spans="1:12" x14ac:dyDescent="0.25">
      <c r="A3656" t="s">
        <v>36</v>
      </c>
      <c r="B3656">
        <v>25</v>
      </c>
      <c r="C3656" t="s">
        <v>20</v>
      </c>
      <c r="D3656" s="1">
        <v>46053</v>
      </c>
      <c r="E3656">
        <v>3787</v>
      </c>
      <c r="F3656">
        <v>216.32</v>
      </c>
      <c r="G3656">
        <v>128.94999999999999</v>
      </c>
      <c r="H3656">
        <v>346</v>
      </c>
      <c r="I3656" t="s">
        <v>25</v>
      </c>
      <c r="J3656">
        <v>2026</v>
      </c>
      <c r="K3656">
        <f t="shared" si="114"/>
        <v>87.37</v>
      </c>
      <c r="L3656" t="str">
        <f t="shared" si="115"/>
        <v>Banca Umbra|25|Risparmio</v>
      </c>
    </row>
    <row r="3657" spans="1:12" x14ac:dyDescent="0.25">
      <c r="A3657" t="s">
        <v>36</v>
      </c>
      <c r="B3657">
        <v>25</v>
      </c>
      <c r="C3657" t="s">
        <v>21</v>
      </c>
      <c r="D3657" s="1">
        <v>46053</v>
      </c>
      <c r="E3657">
        <v>4259.6000000000004</v>
      </c>
      <c r="F3657">
        <v>251.82</v>
      </c>
      <c r="G3657">
        <v>149.71</v>
      </c>
      <c r="H3657">
        <v>388</v>
      </c>
      <c r="I3657" t="s">
        <v>25</v>
      </c>
      <c r="J3657">
        <v>2026</v>
      </c>
      <c r="K3657">
        <f t="shared" si="114"/>
        <v>102.10999999999999</v>
      </c>
      <c r="L3657" t="str">
        <f t="shared" si="115"/>
        <v>Banca Umbra|25|Assicurazioni</v>
      </c>
    </row>
    <row r="3658" spans="1:12" x14ac:dyDescent="0.25">
      <c r="A3658" t="s">
        <v>36</v>
      </c>
      <c r="B3658">
        <v>26</v>
      </c>
      <c r="C3658" t="s">
        <v>13</v>
      </c>
      <c r="D3658" s="1">
        <v>46081</v>
      </c>
      <c r="E3658">
        <v>1209.8</v>
      </c>
      <c r="F3658">
        <v>54.78</v>
      </c>
      <c r="G3658">
        <v>34.1</v>
      </c>
      <c r="H3658">
        <v>118</v>
      </c>
      <c r="I3658" t="s">
        <v>25</v>
      </c>
      <c r="J3658">
        <v>2026</v>
      </c>
      <c r="K3658">
        <f t="shared" si="114"/>
        <v>20.68</v>
      </c>
      <c r="L3658" t="str">
        <f t="shared" si="115"/>
        <v>Banca Umbra|26|Mutui</v>
      </c>
    </row>
    <row r="3659" spans="1:12" x14ac:dyDescent="0.25">
      <c r="A3659" t="s">
        <v>36</v>
      </c>
      <c r="B3659">
        <v>26</v>
      </c>
      <c r="C3659" t="s">
        <v>15</v>
      </c>
      <c r="D3659" s="1">
        <v>46081</v>
      </c>
      <c r="E3659">
        <v>1626.2</v>
      </c>
      <c r="F3659">
        <v>76.91</v>
      </c>
      <c r="G3659">
        <v>47.57</v>
      </c>
      <c r="H3659">
        <v>171</v>
      </c>
      <c r="I3659" t="s">
        <v>25</v>
      </c>
      <c r="J3659">
        <v>2026</v>
      </c>
      <c r="K3659">
        <f t="shared" si="114"/>
        <v>29.339999999999996</v>
      </c>
      <c r="L3659" t="str">
        <f t="shared" si="115"/>
        <v>Banca Umbra|26|Prestiti</v>
      </c>
    </row>
    <row r="3660" spans="1:12" x14ac:dyDescent="0.25">
      <c r="A3660" t="s">
        <v>36</v>
      </c>
      <c r="B3660">
        <v>26</v>
      </c>
      <c r="C3660" t="s">
        <v>16</v>
      </c>
      <c r="D3660" s="1">
        <v>46081</v>
      </c>
      <c r="E3660">
        <v>2044.1</v>
      </c>
      <c r="F3660">
        <v>100.48</v>
      </c>
      <c r="G3660">
        <v>61.87</v>
      </c>
      <c r="H3660">
        <v>171</v>
      </c>
      <c r="I3660" t="s">
        <v>25</v>
      </c>
      <c r="J3660">
        <v>2026</v>
      </c>
      <c r="K3660">
        <f t="shared" si="114"/>
        <v>38.610000000000007</v>
      </c>
      <c r="L3660" t="str">
        <f t="shared" si="115"/>
        <v>Banca Umbra|26|Conti</v>
      </c>
    </row>
    <row r="3661" spans="1:12" x14ac:dyDescent="0.25">
      <c r="A3661" t="s">
        <v>36</v>
      </c>
      <c r="B3661">
        <v>26</v>
      </c>
      <c r="C3661" t="s">
        <v>17</v>
      </c>
      <c r="D3661" s="1">
        <v>46081</v>
      </c>
      <c r="E3661">
        <v>2531.6999999999998</v>
      </c>
      <c r="F3661">
        <v>129.59</v>
      </c>
      <c r="G3661">
        <v>79.2</v>
      </c>
      <c r="H3661">
        <v>210</v>
      </c>
      <c r="I3661" t="s">
        <v>25</v>
      </c>
      <c r="J3661">
        <v>2026</v>
      </c>
      <c r="K3661">
        <f t="shared" si="114"/>
        <v>50.39</v>
      </c>
      <c r="L3661" t="str">
        <f t="shared" si="115"/>
        <v>Banca Umbra|26|Carte</v>
      </c>
    </row>
    <row r="3662" spans="1:12" x14ac:dyDescent="0.25">
      <c r="A3662" t="s">
        <v>36</v>
      </c>
      <c r="B3662">
        <v>26</v>
      </c>
      <c r="C3662" t="s">
        <v>18</v>
      </c>
      <c r="D3662" s="1">
        <v>46081</v>
      </c>
      <c r="E3662">
        <v>2966.9</v>
      </c>
      <c r="F3662">
        <v>157.85</v>
      </c>
      <c r="G3662">
        <v>94.98</v>
      </c>
      <c r="H3662">
        <v>261</v>
      </c>
      <c r="I3662" t="s">
        <v>25</v>
      </c>
      <c r="J3662">
        <v>2026</v>
      </c>
      <c r="K3662">
        <f t="shared" si="114"/>
        <v>62.86999999999999</v>
      </c>
      <c r="L3662" t="str">
        <f t="shared" si="115"/>
        <v>Banca Umbra|26|Leasing</v>
      </c>
    </row>
    <row r="3663" spans="1:12" x14ac:dyDescent="0.25">
      <c r="A3663" t="s">
        <v>36</v>
      </c>
      <c r="B3663">
        <v>26</v>
      </c>
      <c r="C3663" t="s">
        <v>19</v>
      </c>
      <c r="D3663" s="1">
        <v>46081</v>
      </c>
      <c r="E3663">
        <v>3417.9</v>
      </c>
      <c r="F3663">
        <v>188.41</v>
      </c>
      <c r="G3663">
        <v>112.98</v>
      </c>
      <c r="H3663">
        <v>282</v>
      </c>
      <c r="I3663" t="s">
        <v>25</v>
      </c>
      <c r="J3663">
        <v>2026</v>
      </c>
      <c r="K3663">
        <f t="shared" si="114"/>
        <v>75.429999999999993</v>
      </c>
      <c r="L3663" t="str">
        <f t="shared" si="115"/>
        <v>Banca Umbra|26|Factoring</v>
      </c>
    </row>
    <row r="3664" spans="1:12" x14ac:dyDescent="0.25">
      <c r="A3664" t="s">
        <v>36</v>
      </c>
      <c r="B3664">
        <v>26</v>
      </c>
      <c r="C3664" t="s">
        <v>20</v>
      </c>
      <c r="D3664" s="1">
        <v>46081</v>
      </c>
      <c r="E3664">
        <v>3857</v>
      </c>
      <c r="F3664">
        <v>219.89</v>
      </c>
      <c r="G3664">
        <v>131.49</v>
      </c>
      <c r="H3664">
        <v>322</v>
      </c>
      <c r="I3664" t="s">
        <v>25</v>
      </c>
      <c r="J3664">
        <v>2026</v>
      </c>
      <c r="K3664">
        <f t="shared" si="114"/>
        <v>88.399999999999977</v>
      </c>
      <c r="L3664" t="str">
        <f t="shared" si="115"/>
        <v>Banca Umbra|26|Risparmio</v>
      </c>
    </row>
    <row r="3665" spans="1:12" x14ac:dyDescent="0.25">
      <c r="A3665" t="s">
        <v>36</v>
      </c>
      <c r="B3665">
        <v>26</v>
      </c>
      <c r="C3665" t="s">
        <v>21</v>
      </c>
      <c r="D3665" s="1">
        <v>46081</v>
      </c>
      <c r="E3665">
        <v>4298.7</v>
      </c>
      <c r="F3665">
        <v>253.85</v>
      </c>
      <c r="G3665">
        <v>150.66</v>
      </c>
      <c r="H3665">
        <v>364</v>
      </c>
      <c r="I3665" t="s">
        <v>25</v>
      </c>
      <c r="J3665">
        <v>2026</v>
      </c>
      <c r="K3665">
        <f t="shared" si="114"/>
        <v>103.19</v>
      </c>
      <c r="L3665" t="str">
        <f t="shared" si="115"/>
        <v>Banca Umbra|26|Assicurazioni</v>
      </c>
    </row>
    <row r="3666" spans="1:12" x14ac:dyDescent="0.25">
      <c r="A3666" t="s">
        <v>36</v>
      </c>
      <c r="B3666">
        <v>27</v>
      </c>
      <c r="C3666" t="s">
        <v>13</v>
      </c>
      <c r="D3666" s="1">
        <v>46112</v>
      </c>
      <c r="E3666">
        <v>1163.3</v>
      </c>
      <c r="F3666">
        <v>52.79</v>
      </c>
      <c r="G3666">
        <v>32.86</v>
      </c>
      <c r="H3666">
        <v>99</v>
      </c>
      <c r="I3666" t="s">
        <v>25</v>
      </c>
      <c r="J3666">
        <v>2026</v>
      </c>
      <c r="K3666">
        <f t="shared" si="114"/>
        <v>19.93</v>
      </c>
      <c r="L3666" t="str">
        <f t="shared" si="115"/>
        <v>Banca Umbra|27|Mutui</v>
      </c>
    </row>
    <row r="3667" spans="1:12" x14ac:dyDescent="0.25">
      <c r="A3667" t="s">
        <v>36</v>
      </c>
      <c r="B3667">
        <v>27</v>
      </c>
      <c r="C3667" t="s">
        <v>15</v>
      </c>
      <c r="D3667" s="1">
        <v>46112</v>
      </c>
      <c r="E3667">
        <v>1640.6</v>
      </c>
      <c r="F3667">
        <v>78.02</v>
      </c>
      <c r="G3667">
        <v>47.74</v>
      </c>
      <c r="H3667">
        <v>167</v>
      </c>
      <c r="I3667" t="s">
        <v>25</v>
      </c>
      <c r="J3667">
        <v>2026</v>
      </c>
      <c r="K3667">
        <f t="shared" si="114"/>
        <v>30.279999999999994</v>
      </c>
      <c r="L3667" t="str">
        <f t="shared" si="115"/>
        <v>Banca Umbra|27|Prestiti</v>
      </c>
    </row>
    <row r="3668" spans="1:12" x14ac:dyDescent="0.25">
      <c r="A3668" t="s">
        <v>36</v>
      </c>
      <c r="B3668">
        <v>27</v>
      </c>
      <c r="C3668" t="s">
        <v>16</v>
      </c>
      <c r="D3668" s="1">
        <v>46112</v>
      </c>
      <c r="E3668">
        <v>2078.9</v>
      </c>
      <c r="F3668">
        <v>102.65</v>
      </c>
      <c r="G3668">
        <v>62.94</v>
      </c>
      <c r="H3668">
        <v>175</v>
      </c>
      <c r="I3668" t="s">
        <v>25</v>
      </c>
      <c r="J3668">
        <v>2026</v>
      </c>
      <c r="K3668">
        <f t="shared" si="114"/>
        <v>39.710000000000008</v>
      </c>
      <c r="L3668" t="str">
        <f t="shared" si="115"/>
        <v>Banca Umbra|27|Conti</v>
      </c>
    </row>
    <row r="3669" spans="1:12" x14ac:dyDescent="0.25">
      <c r="A3669" t="s">
        <v>36</v>
      </c>
      <c r="B3669">
        <v>27</v>
      </c>
      <c r="C3669" t="s">
        <v>17</v>
      </c>
      <c r="D3669" s="1">
        <v>46112</v>
      </c>
      <c r="E3669">
        <v>2519.3000000000002</v>
      </c>
      <c r="F3669">
        <v>128.79</v>
      </c>
      <c r="G3669">
        <v>78.88</v>
      </c>
      <c r="H3669">
        <v>233</v>
      </c>
      <c r="I3669" t="s">
        <v>25</v>
      </c>
      <c r="J3669">
        <v>2026</v>
      </c>
      <c r="K3669">
        <f t="shared" si="114"/>
        <v>49.91</v>
      </c>
      <c r="L3669" t="str">
        <f t="shared" si="115"/>
        <v>Banca Umbra|27|Carte</v>
      </c>
    </row>
    <row r="3670" spans="1:12" x14ac:dyDescent="0.25">
      <c r="A3670" t="s">
        <v>36</v>
      </c>
      <c r="B3670">
        <v>27</v>
      </c>
      <c r="C3670" t="s">
        <v>18</v>
      </c>
      <c r="D3670" s="1">
        <v>46112</v>
      </c>
      <c r="E3670">
        <v>2991.9</v>
      </c>
      <c r="F3670">
        <v>158.86000000000001</v>
      </c>
      <c r="G3670">
        <v>96.1</v>
      </c>
      <c r="H3670">
        <v>249</v>
      </c>
      <c r="I3670" t="s">
        <v>25</v>
      </c>
      <c r="J3670">
        <v>2026</v>
      </c>
      <c r="K3670">
        <f t="shared" si="114"/>
        <v>62.760000000000019</v>
      </c>
      <c r="L3670" t="str">
        <f t="shared" si="115"/>
        <v>Banca Umbra|27|Leasing</v>
      </c>
    </row>
    <row r="3671" spans="1:12" x14ac:dyDescent="0.25">
      <c r="A3671" t="s">
        <v>36</v>
      </c>
      <c r="B3671">
        <v>27</v>
      </c>
      <c r="C3671" t="s">
        <v>19</v>
      </c>
      <c r="D3671" s="1">
        <v>46112</v>
      </c>
      <c r="E3671">
        <v>3400.1</v>
      </c>
      <c r="F3671">
        <v>187.98</v>
      </c>
      <c r="G3671">
        <v>112.65</v>
      </c>
      <c r="H3671">
        <v>290</v>
      </c>
      <c r="I3671" t="s">
        <v>25</v>
      </c>
      <c r="J3671">
        <v>2026</v>
      </c>
      <c r="K3671">
        <f t="shared" si="114"/>
        <v>75.329999999999984</v>
      </c>
      <c r="L3671" t="str">
        <f t="shared" si="115"/>
        <v>Banca Umbra|27|Factoring</v>
      </c>
    </row>
    <row r="3672" spans="1:12" x14ac:dyDescent="0.25">
      <c r="A3672" t="s">
        <v>36</v>
      </c>
      <c r="B3672">
        <v>27</v>
      </c>
      <c r="C3672" t="s">
        <v>20</v>
      </c>
      <c r="D3672" s="1">
        <v>46112</v>
      </c>
      <c r="E3672">
        <v>3841.4</v>
      </c>
      <c r="F3672">
        <v>219.23</v>
      </c>
      <c r="G3672">
        <v>131.06</v>
      </c>
      <c r="H3672">
        <v>357</v>
      </c>
      <c r="I3672" t="s">
        <v>25</v>
      </c>
      <c r="J3672">
        <v>2026</v>
      </c>
      <c r="K3672">
        <f t="shared" si="114"/>
        <v>88.169999999999987</v>
      </c>
      <c r="L3672" t="str">
        <f t="shared" si="115"/>
        <v>Banca Umbra|27|Risparmio</v>
      </c>
    </row>
    <row r="3673" spans="1:12" x14ac:dyDescent="0.25">
      <c r="A3673" t="s">
        <v>36</v>
      </c>
      <c r="B3673">
        <v>27</v>
      </c>
      <c r="C3673" t="s">
        <v>21</v>
      </c>
      <c r="D3673" s="1">
        <v>46112</v>
      </c>
      <c r="E3673">
        <v>4293.3999999999996</v>
      </c>
      <c r="F3673">
        <v>253.63</v>
      </c>
      <c r="G3673">
        <v>150.28</v>
      </c>
      <c r="H3673">
        <v>387</v>
      </c>
      <c r="I3673" t="s">
        <v>25</v>
      </c>
      <c r="J3673">
        <v>2026</v>
      </c>
      <c r="K3673">
        <f t="shared" si="114"/>
        <v>103.35</v>
      </c>
      <c r="L3673" t="str">
        <f t="shared" si="115"/>
        <v>Banca Umbra|27|Assicurazioni</v>
      </c>
    </row>
    <row r="3674" spans="1:12" x14ac:dyDescent="0.25">
      <c r="A3674" t="s">
        <v>36</v>
      </c>
      <c r="B3674">
        <v>28</v>
      </c>
      <c r="C3674" t="s">
        <v>13</v>
      </c>
      <c r="D3674" s="1">
        <v>46142</v>
      </c>
      <c r="E3674">
        <v>1217.4000000000001</v>
      </c>
      <c r="F3674">
        <v>55.04</v>
      </c>
      <c r="G3674">
        <v>34.43</v>
      </c>
      <c r="H3674">
        <v>120</v>
      </c>
      <c r="I3674" t="s">
        <v>25</v>
      </c>
      <c r="J3674">
        <v>2026</v>
      </c>
      <c r="K3674">
        <f t="shared" si="114"/>
        <v>20.61</v>
      </c>
      <c r="L3674" t="str">
        <f t="shared" si="115"/>
        <v>Banca Umbra|28|Mutui</v>
      </c>
    </row>
    <row r="3675" spans="1:12" x14ac:dyDescent="0.25">
      <c r="A3675" t="s">
        <v>36</v>
      </c>
      <c r="B3675">
        <v>28</v>
      </c>
      <c r="C3675" t="s">
        <v>15</v>
      </c>
      <c r="D3675" s="1">
        <v>46142</v>
      </c>
      <c r="E3675">
        <v>1628.4</v>
      </c>
      <c r="F3675">
        <v>77.010000000000005</v>
      </c>
      <c r="G3675">
        <v>47.45</v>
      </c>
      <c r="H3675">
        <v>162</v>
      </c>
      <c r="I3675" t="s">
        <v>25</v>
      </c>
      <c r="J3675">
        <v>2026</v>
      </c>
      <c r="K3675">
        <f t="shared" si="114"/>
        <v>29.560000000000002</v>
      </c>
      <c r="L3675" t="str">
        <f t="shared" si="115"/>
        <v>Banca Umbra|28|Prestiti</v>
      </c>
    </row>
    <row r="3676" spans="1:12" x14ac:dyDescent="0.25">
      <c r="A3676" t="s">
        <v>36</v>
      </c>
      <c r="B3676">
        <v>28</v>
      </c>
      <c r="C3676" t="s">
        <v>16</v>
      </c>
      <c r="D3676" s="1">
        <v>46142</v>
      </c>
      <c r="E3676">
        <v>2098.5</v>
      </c>
      <c r="F3676">
        <v>103.27</v>
      </c>
      <c r="G3676">
        <v>63.53</v>
      </c>
      <c r="H3676">
        <v>188</v>
      </c>
      <c r="I3676" t="s">
        <v>25</v>
      </c>
      <c r="J3676">
        <v>2026</v>
      </c>
      <c r="K3676">
        <f t="shared" si="114"/>
        <v>39.739999999999995</v>
      </c>
      <c r="L3676" t="str">
        <f t="shared" si="115"/>
        <v>Banca Umbra|28|Conti</v>
      </c>
    </row>
    <row r="3677" spans="1:12" x14ac:dyDescent="0.25">
      <c r="A3677" t="s">
        <v>36</v>
      </c>
      <c r="B3677">
        <v>28</v>
      </c>
      <c r="C3677" t="s">
        <v>17</v>
      </c>
      <c r="D3677" s="1">
        <v>46142</v>
      </c>
      <c r="E3677">
        <v>2518</v>
      </c>
      <c r="F3677">
        <v>128.49</v>
      </c>
      <c r="G3677">
        <v>78.209999999999994</v>
      </c>
      <c r="H3677">
        <v>240</v>
      </c>
      <c r="I3677" t="s">
        <v>25</v>
      </c>
      <c r="J3677">
        <v>2026</v>
      </c>
      <c r="K3677">
        <f t="shared" si="114"/>
        <v>50.280000000000015</v>
      </c>
      <c r="L3677" t="str">
        <f t="shared" si="115"/>
        <v>Banca Umbra|28|Carte</v>
      </c>
    </row>
    <row r="3678" spans="1:12" x14ac:dyDescent="0.25">
      <c r="A3678" t="s">
        <v>36</v>
      </c>
      <c r="B3678">
        <v>28</v>
      </c>
      <c r="C3678" t="s">
        <v>18</v>
      </c>
      <c r="D3678" s="1">
        <v>46142</v>
      </c>
      <c r="E3678">
        <v>2972.5</v>
      </c>
      <c r="F3678">
        <v>158.02000000000001</v>
      </c>
      <c r="G3678">
        <v>96.06</v>
      </c>
      <c r="H3678">
        <v>272</v>
      </c>
      <c r="I3678" t="s">
        <v>25</v>
      </c>
      <c r="J3678">
        <v>2026</v>
      </c>
      <c r="K3678">
        <f t="shared" si="114"/>
        <v>61.960000000000008</v>
      </c>
      <c r="L3678" t="str">
        <f t="shared" si="115"/>
        <v>Banca Umbra|28|Leasing</v>
      </c>
    </row>
    <row r="3679" spans="1:12" x14ac:dyDescent="0.25">
      <c r="A3679" t="s">
        <v>36</v>
      </c>
      <c r="B3679">
        <v>28</v>
      </c>
      <c r="C3679" t="s">
        <v>19</v>
      </c>
      <c r="D3679" s="1">
        <v>46142</v>
      </c>
      <c r="E3679">
        <v>3442.5</v>
      </c>
      <c r="F3679">
        <v>189.66</v>
      </c>
      <c r="G3679">
        <v>114.2</v>
      </c>
      <c r="H3679">
        <v>316</v>
      </c>
      <c r="I3679" t="s">
        <v>25</v>
      </c>
      <c r="J3679">
        <v>2026</v>
      </c>
      <c r="K3679">
        <f t="shared" si="114"/>
        <v>75.459999999999994</v>
      </c>
      <c r="L3679" t="str">
        <f t="shared" si="115"/>
        <v>Banca Umbra|28|Factoring</v>
      </c>
    </row>
    <row r="3680" spans="1:12" x14ac:dyDescent="0.25">
      <c r="A3680" t="s">
        <v>36</v>
      </c>
      <c r="B3680">
        <v>28</v>
      </c>
      <c r="C3680" t="s">
        <v>20</v>
      </c>
      <c r="D3680" s="1">
        <v>46142</v>
      </c>
      <c r="E3680">
        <v>3874.8</v>
      </c>
      <c r="F3680">
        <v>221.16</v>
      </c>
      <c r="G3680">
        <v>132.69999999999999</v>
      </c>
      <c r="H3680">
        <v>349</v>
      </c>
      <c r="I3680" t="s">
        <v>25</v>
      </c>
      <c r="J3680">
        <v>2026</v>
      </c>
      <c r="K3680">
        <f t="shared" si="114"/>
        <v>88.460000000000008</v>
      </c>
      <c r="L3680" t="str">
        <f t="shared" si="115"/>
        <v>Banca Umbra|28|Risparmio</v>
      </c>
    </row>
    <row r="3681" spans="1:12" x14ac:dyDescent="0.25">
      <c r="A3681" t="s">
        <v>36</v>
      </c>
      <c r="B3681">
        <v>28</v>
      </c>
      <c r="C3681" t="s">
        <v>21</v>
      </c>
      <c r="D3681" s="1">
        <v>46142</v>
      </c>
      <c r="E3681">
        <v>4309.3</v>
      </c>
      <c r="F3681">
        <v>255.2</v>
      </c>
      <c r="G3681">
        <v>151.62</v>
      </c>
      <c r="H3681">
        <v>390</v>
      </c>
      <c r="I3681" t="s">
        <v>25</v>
      </c>
      <c r="J3681">
        <v>2026</v>
      </c>
      <c r="K3681">
        <f t="shared" si="114"/>
        <v>103.57999999999998</v>
      </c>
      <c r="L3681" t="str">
        <f t="shared" si="115"/>
        <v>Banca Umbra|28|Assicurazioni</v>
      </c>
    </row>
    <row r="3682" spans="1:12" x14ac:dyDescent="0.25">
      <c r="A3682" t="s">
        <v>36</v>
      </c>
      <c r="B3682">
        <v>29</v>
      </c>
      <c r="C3682" t="s">
        <v>13</v>
      </c>
      <c r="D3682" s="1">
        <v>46173</v>
      </c>
      <c r="E3682">
        <v>1180.4000000000001</v>
      </c>
      <c r="F3682">
        <v>53.86</v>
      </c>
      <c r="G3682">
        <v>33.79</v>
      </c>
      <c r="H3682">
        <v>124</v>
      </c>
      <c r="I3682" t="s">
        <v>25</v>
      </c>
      <c r="J3682">
        <v>2026</v>
      </c>
      <c r="K3682">
        <f t="shared" si="114"/>
        <v>20.07</v>
      </c>
      <c r="L3682" t="str">
        <f t="shared" si="115"/>
        <v>Banca Umbra|29|Mutui</v>
      </c>
    </row>
    <row r="3683" spans="1:12" x14ac:dyDescent="0.25">
      <c r="A3683" t="s">
        <v>36</v>
      </c>
      <c r="B3683">
        <v>29</v>
      </c>
      <c r="C3683" t="s">
        <v>15</v>
      </c>
      <c r="D3683" s="1">
        <v>46173</v>
      </c>
      <c r="E3683">
        <v>1667.5</v>
      </c>
      <c r="F3683">
        <v>79.06</v>
      </c>
      <c r="G3683">
        <v>48.37</v>
      </c>
      <c r="H3683">
        <v>169</v>
      </c>
      <c r="I3683" t="s">
        <v>25</v>
      </c>
      <c r="J3683">
        <v>2026</v>
      </c>
      <c r="K3683">
        <f t="shared" si="114"/>
        <v>30.690000000000005</v>
      </c>
      <c r="L3683" t="str">
        <f t="shared" si="115"/>
        <v>Banca Umbra|29|Prestiti</v>
      </c>
    </row>
    <row r="3684" spans="1:12" x14ac:dyDescent="0.25">
      <c r="A3684" t="s">
        <v>36</v>
      </c>
      <c r="B3684">
        <v>29</v>
      </c>
      <c r="C3684" t="s">
        <v>16</v>
      </c>
      <c r="D3684" s="1">
        <v>46173</v>
      </c>
      <c r="E3684">
        <v>2078.8000000000002</v>
      </c>
      <c r="F3684">
        <v>102.02</v>
      </c>
      <c r="G3684">
        <v>62.56</v>
      </c>
      <c r="H3684">
        <v>196</v>
      </c>
      <c r="I3684" t="s">
        <v>25</v>
      </c>
      <c r="J3684">
        <v>2026</v>
      </c>
      <c r="K3684">
        <f t="shared" si="114"/>
        <v>39.459999999999994</v>
      </c>
      <c r="L3684" t="str">
        <f t="shared" si="115"/>
        <v>Banca Umbra|29|Conti</v>
      </c>
    </row>
    <row r="3685" spans="1:12" x14ac:dyDescent="0.25">
      <c r="A3685" t="s">
        <v>36</v>
      </c>
      <c r="B3685">
        <v>29</v>
      </c>
      <c r="C3685" t="s">
        <v>17</v>
      </c>
      <c r="D3685" s="1">
        <v>46173</v>
      </c>
      <c r="E3685">
        <v>2575.6999999999998</v>
      </c>
      <c r="F3685">
        <v>131.68</v>
      </c>
      <c r="G3685">
        <v>80.459999999999994</v>
      </c>
      <c r="H3685">
        <v>209</v>
      </c>
      <c r="I3685" t="s">
        <v>25</v>
      </c>
      <c r="J3685">
        <v>2026</v>
      </c>
      <c r="K3685">
        <f t="shared" si="114"/>
        <v>51.220000000000013</v>
      </c>
      <c r="L3685" t="str">
        <f t="shared" si="115"/>
        <v>Banca Umbra|29|Carte</v>
      </c>
    </row>
    <row r="3686" spans="1:12" x14ac:dyDescent="0.25">
      <c r="A3686" t="s">
        <v>36</v>
      </c>
      <c r="B3686">
        <v>29</v>
      </c>
      <c r="C3686" t="s">
        <v>18</v>
      </c>
      <c r="D3686" s="1">
        <v>46173</v>
      </c>
      <c r="E3686">
        <v>3036.8</v>
      </c>
      <c r="F3686">
        <v>161.83000000000001</v>
      </c>
      <c r="G3686">
        <v>97.52</v>
      </c>
      <c r="H3686">
        <v>262</v>
      </c>
      <c r="I3686" t="s">
        <v>25</v>
      </c>
      <c r="J3686">
        <v>2026</v>
      </c>
      <c r="K3686">
        <f t="shared" si="114"/>
        <v>64.310000000000016</v>
      </c>
      <c r="L3686" t="str">
        <f t="shared" si="115"/>
        <v>Banca Umbra|29|Leasing</v>
      </c>
    </row>
    <row r="3687" spans="1:12" x14ac:dyDescent="0.25">
      <c r="A3687" t="s">
        <v>36</v>
      </c>
      <c r="B3687">
        <v>29</v>
      </c>
      <c r="C3687" t="s">
        <v>19</v>
      </c>
      <c r="D3687" s="1">
        <v>46173</v>
      </c>
      <c r="E3687">
        <v>3472.8</v>
      </c>
      <c r="F3687">
        <v>191.49</v>
      </c>
      <c r="G3687">
        <v>115.39</v>
      </c>
      <c r="H3687">
        <v>297</v>
      </c>
      <c r="I3687" t="s">
        <v>25</v>
      </c>
      <c r="J3687">
        <v>2026</v>
      </c>
      <c r="K3687">
        <f t="shared" si="114"/>
        <v>76.100000000000009</v>
      </c>
      <c r="L3687" t="str">
        <f t="shared" si="115"/>
        <v>Banca Umbra|29|Factoring</v>
      </c>
    </row>
    <row r="3688" spans="1:12" x14ac:dyDescent="0.25">
      <c r="A3688" t="s">
        <v>36</v>
      </c>
      <c r="B3688">
        <v>29</v>
      </c>
      <c r="C3688" t="s">
        <v>20</v>
      </c>
      <c r="D3688" s="1">
        <v>46173</v>
      </c>
      <c r="E3688">
        <v>3906.6</v>
      </c>
      <c r="F3688">
        <v>222.96</v>
      </c>
      <c r="G3688">
        <v>133.07</v>
      </c>
      <c r="H3688">
        <v>346</v>
      </c>
      <c r="I3688" t="s">
        <v>25</v>
      </c>
      <c r="J3688">
        <v>2026</v>
      </c>
      <c r="K3688">
        <f t="shared" si="114"/>
        <v>89.890000000000015</v>
      </c>
      <c r="L3688" t="str">
        <f t="shared" si="115"/>
        <v>Banca Umbra|29|Risparmio</v>
      </c>
    </row>
    <row r="3689" spans="1:12" x14ac:dyDescent="0.25">
      <c r="A3689" t="s">
        <v>36</v>
      </c>
      <c r="B3689">
        <v>29</v>
      </c>
      <c r="C3689" t="s">
        <v>21</v>
      </c>
      <c r="D3689" s="1">
        <v>46173</v>
      </c>
      <c r="E3689">
        <v>4350.3</v>
      </c>
      <c r="F3689">
        <v>257.39999999999998</v>
      </c>
      <c r="G3689">
        <v>152.54</v>
      </c>
      <c r="H3689">
        <v>355</v>
      </c>
      <c r="I3689" t="s">
        <v>25</v>
      </c>
      <c r="J3689">
        <v>2026</v>
      </c>
      <c r="K3689">
        <f t="shared" si="114"/>
        <v>104.85999999999999</v>
      </c>
      <c r="L3689" t="str">
        <f t="shared" si="115"/>
        <v>Banca Umbra|29|Assicurazioni</v>
      </c>
    </row>
    <row r="3690" spans="1:12" x14ac:dyDescent="0.25">
      <c r="A3690" t="s">
        <v>36</v>
      </c>
      <c r="B3690">
        <v>30</v>
      </c>
      <c r="C3690" t="s">
        <v>13</v>
      </c>
      <c r="D3690" s="1">
        <v>46203</v>
      </c>
      <c r="E3690">
        <v>1185.8</v>
      </c>
      <c r="F3690">
        <v>53.68</v>
      </c>
      <c r="G3690">
        <v>33.92</v>
      </c>
      <c r="H3690">
        <v>131</v>
      </c>
      <c r="I3690" t="s">
        <v>25</v>
      </c>
      <c r="J3690">
        <v>2026</v>
      </c>
      <c r="K3690">
        <f t="shared" si="114"/>
        <v>19.759999999999998</v>
      </c>
      <c r="L3690" t="str">
        <f t="shared" si="115"/>
        <v>Banca Umbra|30|Mutui</v>
      </c>
    </row>
    <row r="3691" spans="1:12" x14ac:dyDescent="0.25">
      <c r="A3691" t="s">
        <v>36</v>
      </c>
      <c r="B3691">
        <v>30</v>
      </c>
      <c r="C3691" t="s">
        <v>15</v>
      </c>
      <c r="D3691" s="1">
        <v>46203</v>
      </c>
      <c r="E3691">
        <v>1648.6</v>
      </c>
      <c r="F3691">
        <v>77.58</v>
      </c>
      <c r="G3691">
        <v>48.12</v>
      </c>
      <c r="H3691">
        <v>134</v>
      </c>
      <c r="I3691" t="s">
        <v>25</v>
      </c>
      <c r="J3691">
        <v>2026</v>
      </c>
      <c r="K3691">
        <f t="shared" si="114"/>
        <v>29.46</v>
      </c>
      <c r="L3691" t="str">
        <f t="shared" si="115"/>
        <v>Banca Umbra|30|Prestiti</v>
      </c>
    </row>
    <row r="3692" spans="1:12" x14ac:dyDescent="0.25">
      <c r="A3692" t="s">
        <v>36</v>
      </c>
      <c r="B3692">
        <v>30</v>
      </c>
      <c r="C3692" t="s">
        <v>16</v>
      </c>
      <c r="D3692" s="1">
        <v>46203</v>
      </c>
      <c r="E3692">
        <v>2132.8000000000002</v>
      </c>
      <c r="F3692">
        <v>104.84</v>
      </c>
      <c r="G3692">
        <v>64.75</v>
      </c>
      <c r="H3692">
        <v>210</v>
      </c>
      <c r="I3692" t="s">
        <v>25</v>
      </c>
      <c r="J3692">
        <v>2026</v>
      </c>
      <c r="K3692">
        <f t="shared" si="114"/>
        <v>40.090000000000003</v>
      </c>
      <c r="L3692" t="str">
        <f t="shared" si="115"/>
        <v>Banca Umbra|30|Conti</v>
      </c>
    </row>
    <row r="3693" spans="1:12" x14ac:dyDescent="0.25">
      <c r="A3693" t="s">
        <v>36</v>
      </c>
      <c r="B3693">
        <v>30</v>
      </c>
      <c r="C3693" t="s">
        <v>17</v>
      </c>
      <c r="D3693" s="1">
        <v>46203</v>
      </c>
      <c r="E3693">
        <v>2563.1</v>
      </c>
      <c r="F3693">
        <v>131.12</v>
      </c>
      <c r="G3693">
        <v>79.739999999999995</v>
      </c>
      <c r="H3693">
        <v>247</v>
      </c>
      <c r="I3693" t="s">
        <v>25</v>
      </c>
      <c r="J3693">
        <v>2026</v>
      </c>
      <c r="K3693">
        <f t="shared" si="114"/>
        <v>51.38000000000001</v>
      </c>
      <c r="L3693" t="str">
        <f t="shared" si="115"/>
        <v>Banca Umbra|30|Carte</v>
      </c>
    </row>
    <row r="3694" spans="1:12" x14ac:dyDescent="0.25">
      <c r="A3694" t="s">
        <v>36</v>
      </c>
      <c r="B3694">
        <v>30</v>
      </c>
      <c r="C3694" t="s">
        <v>18</v>
      </c>
      <c r="D3694" s="1">
        <v>46203</v>
      </c>
      <c r="E3694">
        <v>3034.6</v>
      </c>
      <c r="F3694">
        <v>161.72999999999999</v>
      </c>
      <c r="G3694">
        <v>97.69</v>
      </c>
      <c r="H3694">
        <v>264</v>
      </c>
      <c r="I3694" t="s">
        <v>25</v>
      </c>
      <c r="J3694">
        <v>2026</v>
      </c>
      <c r="K3694">
        <f t="shared" si="114"/>
        <v>64.039999999999992</v>
      </c>
      <c r="L3694" t="str">
        <f t="shared" si="115"/>
        <v>Banca Umbra|30|Leasing</v>
      </c>
    </row>
    <row r="3695" spans="1:12" x14ac:dyDescent="0.25">
      <c r="A3695" t="s">
        <v>36</v>
      </c>
      <c r="B3695">
        <v>30</v>
      </c>
      <c r="C3695" t="s">
        <v>19</v>
      </c>
      <c r="D3695" s="1">
        <v>46203</v>
      </c>
      <c r="E3695">
        <v>3501.9</v>
      </c>
      <c r="F3695">
        <v>193.52</v>
      </c>
      <c r="G3695">
        <v>116.04</v>
      </c>
      <c r="H3695">
        <v>297</v>
      </c>
      <c r="I3695" t="s">
        <v>25</v>
      </c>
      <c r="J3695">
        <v>2026</v>
      </c>
      <c r="K3695">
        <f t="shared" si="114"/>
        <v>77.48</v>
      </c>
      <c r="L3695" t="str">
        <f t="shared" si="115"/>
        <v>Banca Umbra|30|Factoring</v>
      </c>
    </row>
    <row r="3696" spans="1:12" x14ac:dyDescent="0.25">
      <c r="A3696" t="s">
        <v>36</v>
      </c>
      <c r="B3696">
        <v>30</v>
      </c>
      <c r="C3696" t="s">
        <v>20</v>
      </c>
      <c r="D3696" s="1">
        <v>46203</v>
      </c>
      <c r="E3696">
        <v>3936.3</v>
      </c>
      <c r="F3696">
        <v>224.42</v>
      </c>
      <c r="G3696">
        <v>134.41999999999999</v>
      </c>
      <c r="H3696">
        <v>357</v>
      </c>
      <c r="I3696" t="s">
        <v>25</v>
      </c>
      <c r="J3696">
        <v>2026</v>
      </c>
      <c r="K3696">
        <f t="shared" si="114"/>
        <v>90</v>
      </c>
      <c r="L3696" t="str">
        <f t="shared" si="115"/>
        <v>Banca Umbra|30|Risparmio</v>
      </c>
    </row>
    <row r="3697" spans="1:12" x14ac:dyDescent="0.25">
      <c r="A3697" t="s">
        <v>36</v>
      </c>
      <c r="B3697">
        <v>30</v>
      </c>
      <c r="C3697" t="s">
        <v>21</v>
      </c>
      <c r="D3697" s="1">
        <v>46203</v>
      </c>
      <c r="E3697">
        <v>4382.8</v>
      </c>
      <c r="F3697">
        <v>258.75</v>
      </c>
      <c r="G3697">
        <v>153.9</v>
      </c>
      <c r="H3697">
        <v>364</v>
      </c>
      <c r="I3697" t="s">
        <v>25</v>
      </c>
      <c r="J3697">
        <v>2026</v>
      </c>
      <c r="K3697">
        <f t="shared" si="114"/>
        <v>104.85</v>
      </c>
      <c r="L3697" t="str">
        <f t="shared" si="115"/>
        <v>Banca Umbra|30|Assicurazioni</v>
      </c>
    </row>
    <row r="3698" spans="1:12" x14ac:dyDescent="0.25">
      <c r="A3698" t="s">
        <v>36</v>
      </c>
      <c r="B3698">
        <v>31</v>
      </c>
      <c r="C3698" t="s">
        <v>13</v>
      </c>
      <c r="D3698" s="1">
        <v>46234</v>
      </c>
      <c r="E3698">
        <v>1245.0999999999999</v>
      </c>
      <c r="F3698">
        <v>56.21</v>
      </c>
      <c r="G3698">
        <v>35.630000000000003</v>
      </c>
      <c r="H3698">
        <v>127</v>
      </c>
      <c r="I3698" t="s">
        <v>25</v>
      </c>
      <c r="J3698">
        <v>2026</v>
      </c>
      <c r="K3698">
        <f t="shared" si="114"/>
        <v>20.58</v>
      </c>
      <c r="L3698" t="str">
        <f t="shared" si="115"/>
        <v>Banca Umbra|31|Mutui</v>
      </c>
    </row>
    <row r="3699" spans="1:12" x14ac:dyDescent="0.25">
      <c r="A3699" t="s">
        <v>36</v>
      </c>
      <c r="B3699">
        <v>31</v>
      </c>
      <c r="C3699" t="s">
        <v>15</v>
      </c>
      <c r="D3699" s="1">
        <v>46234</v>
      </c>
      <c r="E3699">
        <v>1706.5</v>
      </c>
      <c r="F3699">
        <v>80.73</v>
      </c>
      <c r="G3699">
        <v>49.75</v>
      </c>
      <c r="H3699">
        <v>151</v>
      </c>
      <c r="I3699" t="s">
        <v>25</v>
      </c>
      <c r="J3699">
        <v>2026</v>
      </c>
      <c r="K3699">
        <f t="shared" si="114"/>
        <v>30.980000000000004</v>
      </c>
      <c r="L3699" t="str">
        <f t="shared" si="115"/>
        <v>Banca Umbra|31|Prestiti</v>
      </c>
    </row>
    <row r="3700" spans="1:12" x14ac:dyDescent="0.25">
      <c r="A3700" t="s">
        <v>36</v>
      </c>
      <c r="B3700">
        <v>31</v>
      </c>
      <c r="C3700" t="s">
        <v>16</v>
      </c>
      <c r="D3700" s="1">
        <v>46234</v>
      </c>
      <c r="E3700">
        <v>2115</v>
      </c>
      <c r="F3700">
        <v>104.09</v>
      </c>
      <c r="G3700">
        <v>63.73</v>
      </c>
      <c r="H3700">
        <v>189</v>
      </c>
      <c r="I3700" t="s">
        <v>25</v>
      </c>
      <c r="J3700">
        <v>2026</v>
      </c>
      <c r="K3700">
        <f t="shared" si="114"/>
        <v>40.360000000000007</v>
      </c>
      <c r="L3700" t="str">
        <f t="shared" si="115"/>
        <v>Banca Umbra|31|Conti</v>
      </c>
    </row>
    <row r="3701" spans="1:12" x14ac:dyDescent="0.25">
      <c r="A3701" t="s">
        <v>36</v>
      </c>
      <c r="B3701">
        <v>31</v>
      </c>
      <c r="C3701" t="s">
        <v>17</v>
      </c>
      <c r="D3701" s="1">
        <v>46234</v>
      </c>
      <c r="E3701">
        <v>2566.3000000000002</v>
      </c>
      <c r="F3701">
        <v>131.62</v>
      </c>
      <c r="G3701">
        <v>79.77</v>
      </c>
      <c r="H3701">
        <v>211</v>
      </c>
      <c r="I3701" t="s">
        <v>25</v>
      </c>
      <c r="J3701">
        <v>2026</v>
      </c>
      <c r="K3701">
        <f t="shared" si="114"/>
        <v>51.850000000000009</v>
      </c>
      <c r="L3701" t="str">
        <f t="shared" si="115"/>
        <v>Banca Umbra|31|Carte</v>
      </c>
    </row>
    <row r="3702" spans="1:12" x14ac:dyDescent="0.25">
      <c r="A3702" t="s">
        <v>36</v>
      </c>
      <c r="B3702">
        <v>31</v>
      </c>
      <c r="C3702" t="s">
        <v>18</v>
      </c>
      <c r="D3702" s="1">
        <v>46234</v>
      </c>
      <c r="E3702">
        <v>3045.9</v>
      </c>
      <c r="F3702">
        <v>162.06</v>
      </c>
      <c r="G3702">
        <v>98.38</v>
      </c>
      <c r="H3702">
        <v>267</v>
      </c>
      <c r="I3702" t="s">
        <v>25</v>
      </c>
      <c r="J3702">
        <v>2026</v>
      </c>
      <c r="K3702">
        <f t="shared" si="114"/>
        <v>63.680000000000007</v>
      </c>
      <c r="L3702" t="str">
        <f t="shared" si="115"/>
        <v>Banca Umbra|31|Leasing</v>
      </c>
    </row>
    <row r="3703" spans="1:12" x14ac:dyDescent="0.25">
      <c r="A3703" t="s">
        <v>36</v>
      </c>
      <c r="B3703">
        <v>31</v>
      </c>
      <c r="C3703" t="s">
        <v>19</v>
      </c>
      <c r="D3703" s="1">
        <v>46234</v>
      </c>
      <c r="E3703">
        <v>3483</v>
      </c>
      <c r="F3703">
        <v>192.31</v>
      </c>
      <c r="G3703">
        <v>115.72</v>
      </c>
      <c r="H3703">
        <v>308</v>
      </c>
      <c r="I3703" t="s">
        <v>25</v>
      </c>
      <c r="J3703">
        <v>2026</v>
      </c>
      <c r="K3703">
        <f t="shared" si="114"/>
        <v>76.59</v>
      </c>
      <c r="L3703" t="str">
        <f t="shared" si="115"/>
        <v>Banca Umbra|31|Factoring</v>
      </c>
    </row>
    <row r="3704" spans="1:12" x14ac:dyDescent="0.25">
      <c r="A3704" t="s">
        <v>36</v>
      </c>
      <c r="B3704">
        <v>31</v>
      </c>
      <c r="C3704" t="s">
        <v>20</v>
      </c>
      <c r="D3704" s="1">
        <v>46234</v>
      </c>
      <c r="E3704">
        <v>3984.1</v>
      </c>
      <c r="F3704">
        <v>227.99</v>
      </c>
      <c r="G3704">
        <v>135.49</v>
      </c>
      <c r="H3704">
        <v>320</v>
      </c>
      <c r="I3704" t="s">
        <v>25</v>
      </c>
      <c r="J3704">
        <v>2026</v>
      </c>
      <c r="K3704">
        <f t="shared" si="114"/>
        <v>92.5</v>
      </c>
      <c r="L3704" t="str">
        <f t="shared" si="115"/>
        <v>Banca Umbra|31|Risparmio</v>
      </c>
    </row>
    <row r="3705" spans="1:12" x14ac:dyDescent="0.25">
      <c r="A3705" t="s">
        <v>36</v>
      </c>
      <c r="B3705">
        <v>31</v>
      </c>
      <c r="C3705" t="s">
        <v>21</v>
      </c>
      <c r="D3705" s="1">
        <v>46234</v>
      </c>
      <c r="E3705">
        <v>4424.5</v>
      </c>
      <c r="F3705">
        <v>261.18</v>
      </c>
      <c r="G3705">
        <v>155.71</v>
      </c>
      <c r="H3705">
        <v>375</v>
      </c>
      <c r="I3705" t="s">
        <v>25</v>
      </c>
      <c r="J3705">
        <v>2026</v>
      </c>
      <c r="K3705">
        <f t="shared" si="114"/>
        <v>105.47</v>
      </c>
      <c r="L3705" t="str">
        <f t="shared" si="115"/>
        <v>Banca Umbra|31|Assicurazioni</v>
      </c>
    </row>
    <row r="3706" spans="1:12" x14ac:dyDescent="0.25">
      <c r="A3706" t="s">
        <v>36</v>
      </c>
      <c r="B3706">
        <v>32</v>
      </c>
      <c r="C3706" t="s">
        <v>13</v>
      </c>
      <c r="D3706" s="1">
        <v>46265</v>
      </c>
      <c r="E3706">
        <v>1248.0999999999999</v>
      </c>
      <c r="F3706">
        <v>56.81</v>
      </c>
      <c r="G3706">
        <v>35</v>
      </c>
      <c r="H3706">
        <v>108</v>
      </c>
      <c r="I3706" t="s">
        <v>25</v>
      </c>
      <c r="J3706">
        <v>2026</v>
      </c>
      <c r="K3706">
        <f t="shared" si="114"/>
        <v>21.810000000000002</v>
      </c>
      <c r="L3706" t="str">
        <f t="shared" si="115"/>
        <v>Banca Umbra|32|Mutui</v>
      </c>
    </row>
    <row r="3707" spans="1:12" x14ac:dyDescent="0.25">
      <c r="A3707" t="s">
        <v>36</v>
      </c>
      <c r="B3707">
        <v>32</v>
      </c>
      <c r="C3707" t="s">
        <v>15</v>
      </c>
      <c r="D3707" s="1">
        <v>46265</v>
      </c>
      <c r="E3707">
        <v>1689.5</v>
      </c>
      <c r="F3707">
        <v>80.17</v>
      </c>
      <c r="G3707">
        <v>49.11</v>
      </c>
      <c r="H3707">
        <v>171</v>
      </c>
      <c r="I3707" t="s">
        <v>25</v>
      </c>
      <c r="J3707">
        <v>2026</v>
      </c>
      <c r="K3707">
        <f t="shared" si="114"/>
        <v>31.060000000000002</v>
      </c>
      <c r="L3707" t="str">
        <f t="shared" si="115"/>
        <v>Banca Umbra|32|Prestiti</v>
      </c>
    </row>
    <row r="3708" spans="1:12" x14ac:dyDescent="0.25">
      <c r="A3708" t="s">
        <v>36</v>
      </c>
      <c r="B3708">
        <v>32</v>
      </c>
      <c r="C3708" t="s">
        <v>16</v>
      </c>
      <c r="D3708" s="1">
        <v>46265</v>
      </c>
      <c r="E3708">
        <v>2154.5</v>
      </c>
      <c r="F3708">
        <v>106.52</v>
      </c>
      <c r="G3708">
        <v>65.06</v>
      </c>
      <c r="H3708">
        <v>204</v>
      </c>
      <c r="I3708" t="s">
        <v>25</v>
      </c>
      <c r="J3708">
        <v>2026</v>
      </c>
      <c r="K3708">
        <f t="shared" si="114"/>
        <v>41.459999999999994</v>
      </c>
      <c r="L3708" t="str">
        <f t="shared" si="115"/>
        <v>Banca Umbra|32|Conti</v>
      </c>
    </row>
    <row r="3709" spans="1:12" x14ac:dyDescent="0.25">
      <c r="A3709" t="s">
        <v>36</v>
      </c>
      <c r="B3709">
        <v>32</v>
      </c>
      <c r="C3709" t="s">
        <v>17</v>
      </c>
      <c r="D3709" s="1">
        <v>46265</v>
      </c>
      <c r="E3709">
        <v>2584.6</v>
      </c>
      <c r="F3709">
        <v>132.09</v>
      </c>
      <c r="G3709">
        <v>80.31</v>
      </c>
      <c r="H3709">
        <v>233</v>
      </c>
      <c r="I3709" t="s">
        <v>25</v>
      </c>
      <c r="J3709">
        <v>2026</v>
      </c>
      <c r="K3709">
        <f t="shared" si="114"/>
        <v>51.78</v>
      </c>
      <c r="L3709" t="str">
        <f t="shared" si="115"/>
        <v>Banca Umbra|32|Carte</v>
      </c>
    </row>
    <row r="3710" spans="1:12" x14ac:dyDescent="0.25">
      <c r="A3710" t="s">
        <v>36</v>
      </c>
      <c r="B3710">
        <v>32</v>
      </c>
      <c r="C3710" t="s">
        <v>18</v>
      </c>
      <c r="D3710" s="1">
        <v>46265</v>
      </c>
      <c r="E3710">
        <v>3076.8</v>
      </c>
      <c r="F3710">
        <v>163.81</v>
      </c>
      <c r="G3710">
        <v>99.04</v>
      </c>
      <c r="H3710">
        <v>268</v>
      </c>
      <c r="I3710" t="s">
        <v>25</v>
      </c>
      <c r="J3710">
        <v>2026</v>
      </c>
      <c r="K3710">
        <f t="shared" si="114"/>
        <v>64.77</v>
      </c>
      <c r="L3710" t="str">
        <f t="shared" si="115"/>
        <v>Banca Umbra|32|Leasing</v>
      </c>
    </row>
    <row r="3711" spans="1:12" x14ac:dyDescent="0.25">
      <c r="A3711" t="s">
        <v>36</v>
      </c>
      <c r="B3711">
        <v>32</v>
      </c>
      <c r="C3711" t="s">
        <v>19</v>
      </c>
      <c r="D3711" s="1">
        <v>46265</v>
      </c>
      <c r="E3711">
        <v>3514.1</v>
      </c>
      <c r="F3711">
        <v>193.7</v>
      </c>
      <c r="G3711">
        <v>116.18</v>
      </c>
      <c r="H3711">
        <v>319</v>
      </c>
      <c r="I3711" t="s">
        <v>25</v>
      </c>
      <c r="J3711">
        <v>2026</v>
      </c>
      <c r="K3711">
        <f t="shared" si="114"/>
        <v>77.519999999999982</v>
      </c>
      <c r="L3711" t="str">
        <f t="shared" si="115"/>
        <v>Banca Umbra|32|Factoring</v>
      </c>
    </row>
    <row r="3712" spans="1:12" x14ac:dyDescent="0.25">
      <c r="A3712" t="s">
        <v>36</v>
      </c>
      <c r="B3712">
        <v>32</v>
      </c>
      <c r="C3712" t="s">
        <v>20</v>
      </c>
      <c r="D3712" s="1">
        <v>46265</v>
      </c>
      <c r="E3712">
        <v>3975.1</v>
      </c>
      <c r="F3712">
        <v>227.46</v>
      </c>
      <c r="G3712">
        <v>135.84</v>
      </c>
      <c r="H3712">
        <v>327</v>
      </c>
      <c r="I3712" t="s">
        <v>25</v>
      </c>
      <c r="J3712">
        <v>2026</v>
      </c>
      <c r="K3712">
        <f t="shared" si="114"/>
        <v>91.62</v>
      </c>
      <c r="L3712" t="str">
        <f t="shared" si="115"/>
        <v>Banca Umbra|32|Risparmio</v>
      </c>
    </row>
    <row r="3713" spans="1:12" x14ac:dyDescent="0.25">
      <c r="A3713" t="s">
        <v>36</v>
      </c>
      <c r="B3713">
        <v>32</v>
      </c>
      <c r="C3713" t="s">
        <v>21</v>
      </c>
      <c r="D3713" s="1">
        <v>46265</v>
      </c>
      <c r="E3713">
        <v>4431.2</v>
      </c>
      <c r="F3713">
        <v>262.01</v>
      </c>
      <c r="G3713">
        <v>155.75</v>
      </c>
      <c r="H3713">
        <v>355</v>
      </c>
      <c r="I3713" t="s">
        <v>25</v>
      </c>
      <c r="J3713">
        <v>2026</v>
      </c>
      <c r="K3713">
        <f t="shared" si="114"/>
        <v>106.25999999999999</v>
      </c>
      <c r="L3713" t="str">
        <f t="shared" si="115"/>
        <v>Banca Umbra|32|Assicurazioni</v>
      </c>
    </row>
    <row r="3714" spans="1:12" x14ac:dyDescent="0.25">
      <c r="A3714" t="s">
        <v>36</v>
      </c>
      <c r="B3714">
        <v>33</v>
      </c>
      <c r="C3714" t="s">
        <v>13</v>
      </c>
      <c r="D3714" s="1">
        <v>46295</v>
      </c>
      <c r="E3714">
        <v>1263.3</v>
      </c>
      <c r="F3714">
        <v>57.48</v>
      </c>
      <c r="G3714">
        <v>36.229999999999997</v>
      </c>
      <c r="H3714">
        <v>101</v>
      </c>
      <c r="I3714" t="s">
        <v>25</v>
      </c>
      <c r="J3714">
        <v>2026</v>
      </c>
      <c r="K3714">
        <f t="shared" ref="K3714:K3777" si="116">F3714-G3714</f>
        <v>21.25</v>
      </c>
      <c r="L3714" t="str">
        <f t="shared" ref="L3714:L3777" si="117">A3714&amp;"|"&amp;B3714&amp;"|"&amp;C3714</f>
        <v>Banca Umbra|33|Mutui</v>
      </c>
    </row>
    <row r="3715" spans="1:12" x14ac:dyDescent="0.25">
      <c r="A3715" t="s">
        <v>36</v>
      </c>
      <c r="B3715">
        <v>33</v>
      </c>
      <c r="C3715" t="s">
        <v>15</v>
      </c>
      <c r="D3715" s="1">
        <v>46295</v>
      </c>
      <c r="E3715">
        <v>1673</v>
      </c>
      <c r="F3715">
        <v>79.11</v>
      </c>
      <c r="G3715">
        <v>48.72</v>
      </c>
      <c r="H3715">
        <v>172</v>
      </c>
      <c r="I3715" t="s">
        <v>25</v>
      </c>
      <c r="J3715">
        <v>2026</v>
      </c>
      <c r="K3715">
        <f t="shared" si="116"/>
        <v>30.39</v>
      </c>
      <c r="L3715" t="str">
        <f t="shared" si="117"/>
        <v>Banca Umbra|33|Prestiti</v>
      </c>
    </row>
    <row r="3716" spans="1:12" x14ac:dyDescent="0.25">
      <c r="A3716" t="s">
        <v>36</v>
      </c>
      <c r="B3716">
        <v>33</v>
      </c>
      <c r="C3716" t="s">
        <v>16</v>
      </c>
      <c r="D3716" s="1">
        <v>46295</v>
      </c>
      <c r="E3716">
        <v>2139</v>
      </c>
      <c r="F3716">
        <v>105.76</v>
      </c>
      <c r="G3716">
        <v>64.39</v>
      </c>
      <c r="H3716">
        <v>207</v>
      </c>
      <c r="I3716" t="s">
        <v>25</v>
      </c>
      <c r="J3716">
        <v>2026</v>
      </c>
      <c r="K3716">
        <f t="shared" si="116"/>
        <v>41.370000000000005</v>
      </c>
      <c r="L3716" t="str">
        <f t="shared" si="117"/>
        <v>Banca Umbra|33|Conti</v>
      </c>
    </row>
    <row r="3717" spans="1:12" x14ac:dyDescent="0.25">
      <c r="A3717" t="s">
        <v>36</v>
      </c>
      <c r="B3717">
        <v>33</v>
      </c>
      <c r="C3717" t="s">
        <v>17</v>
      </c>
      <c r="D3717" s="1">
        <v>46295</v>
      </c>
      <c r="E3717">
        <v>2636.3</v>
      </c>
      <c r="F3717">
        <v>134.51</v>
      </c>
      <c r="G3717">
        <v>82.16</v>
      </c>
      <c r="H3717">
        <v>208</v>
      </c>
      <c r="I3717" t="s">
        <v>25</v>
      </c>
      <c r="J3717">
        <v>2026</v>
      </c>
      <c r="K3717">
        <f t="shared" si="116"/>
        <v>52.349999999999994</v>
      </c>
      <c r="L3717" t="str">
        <f t="shared" si="117"/>
        <v>Banca Umbra|33|Carte</v>
      </c>
    </row>
    <row r="3718" spans="1:12" x14ac:dyDescent="0.25">
      <c r="A3718" t="s">
        <v>36</v>
      </c>
      <c r="B3718">
        <v>33</v>
      </c>
      <c r="C3718" t="s">
        <v>18</v>
      </c>
      <c r="D3718" s="1">
        <v>46295</v>
      </c>
      <c r="E3718">
        <v>3089.9</v>
      </c>
      <c r="F3718">
        <v>164.31</v>
      </c>
      <c r="G3718">
        <v>99.04</v>
      </c>
      <c r="H3718">
        <v>271</v>
      </c>
      <c r="I3718" t="s">
        <v>25</v>
      </c>
      <c r="J3718">
        <v>2026</v>
      </c>
      <c r="K3718">
        <f t="shared" si="116"/>
        <v>65.27</v>
      </c>
      <c r="L3718" t="str">
        <f t="shared" si="117"/>
        <v>Banca Umbra|33|Leasing</v>
      </c>
    </row>
    <row r="3719" spans="1:12" x14ac:dyDescent="0.25">
      <c r="A3719" t="s">
        <v>36</v>
      </c>
      <c r="B3719">
        <v>33</v>
      </c>
      <c r="C3719" t="s">
        <v>19</v>
      </c>
      <c r="D3719" s="1">
        <v>46295</v>
      </c>
      <c r="E3719">
        <v>3523.5</v>
      </c>
      <c r="F3719">
        <v>194.06</v>
      </c>
      <c r="G3719">
        <v>116.46</v>
      </c>
      <c r="H3719">
        <v>307</v>
      </c>
      <c r="I3719" t="s">
        <v>25</v>
      </c>
      <c r="J3719">
        <v>2026</v>
      </c>
      <c r="K3719">
        <f t="shared" si="116"/>
        <v>77.600000000000009</v>
      </c>
      <c r="L3719" t="str">
        <f t="shared" si="117"/>
        <v>Banca Umbra|33|Factoring</v>
      </c>
    </row>
    <row r="3720" spans="1:12" x14ac:dyDescent="0.25">
      <c r="A3720" t="s">
        <v>36</v>
      </c>
      <c r="B3720">
        <v>33</v>
      </c>
      <c r="C3720" t="s">
        <v>20</v>
      </c>
      <c r="D3720" s="1">
        <v>46295</v>
      </c>
      <c r="E3720">
        <v>4040.8</v>
      </c>
      <c r="F3720">
        <v>230.94</v>
      </c>
      <c r="G3720">
        <v>137.53</v>
      </c>
      <c r="H3720">
        <v>344</v>
      </c>
      <c r="I3720" t="s">
        <v>25</v>
      </c>
      <c r="J3720">
        <v>2026</v>
      </c>
      <c r="K3720">
        <f t="shared" si="116"/>
        <v>93.41</v>
      </c>
      <c r="L3720" t="str">
        <f t="shared" si="117"/>
        <v>Banca Umbra|33|Risparmio</v>
      </c>
    </row>
    <row r="3721" spans="1:12" x14ac:dyDescent="0.25">
      <c r="A3721" t="s">
        <v>36</v>
      </c>
      <c r="B3721">
        <v>33</v>
      </c>
      <c r="C3721" t="s">
        <v>21</v>
      </c>
      <c r="D3721" s="1">
        <v>46295</v>
      </c>
      <c r="E3721">
        <v>4451.8999999999996</v>
      </c>
      <c r="F3721">
        <v>263.55</v>
      </c>
      <c r="G3721">
        <v>156.31</v>
      </c>
      <c r="H3721">
        <v>376</v>
      </c>
      <c r="I3721" t="s">
        <v>25</v>
      </c>
      <c r="J3721">
        <v>2026</v>
      </c>
      <c r="K3721">
        <f t="shared" si="116"/>
        <v>107.24000000000001</v>
      </c>
      <c r="L3721" t="str">
        <f t="shared" si="117"/>
        <v>Banca Umbra|33|Assicurazioni</v>
      </c>
    </row>
    <row r="3722" spans="1:12" x14ac:dyDescent="0.25">
      <c r="A3722" t="s">
        <v>36</v>
      </c>
      <c r="B3722">
        <v>34</v>
      </c>
      <c r="C3722" t="s">
        <v>13</v>
      </c>
      <c r="D3722" s="1">
        <v>46326</v>
      </c>
      <c r="E3722">
        <v>1230</v>
      </c>
      <c r="F3722">
        <v>55.57</v>
      </c>
      <c r="G3722">
        <v>34.69</v>
      </c>
      <c r="H3722">
        <v>131</v>
      </c>
      <c r="I3722" t="s">
        <v>25</v>
      </c>
      <c r="J3722">
        <v>2026</v>
      </c>
      <c r="K3722">
        <f t="shared" si="116"/>
        <v>20.880000000000003</v>
      </c>
      <c r="L3722" t="str">
        <f t="shared" si="117"/>
        <v>Banca Umbra|34|Mutui</v>
      </c>
    </row>
    <row r="3723" spans="1:12" x14ac:dyDescent="0.25">
      <c r="A3723" t="s">
        <v>36</v>
      </c>
      <c r="B3723">
        <v>34</v>
      </c>
      <c r="C3723" t="s">
        <v>15</v>
      </c>
      <c r="D3723" s="1">
        <v>46326</v>
      </c>
      <c r="E3723">
        <v>1721.5</v>
      </c>
      <c r="F3723">
        <v>81.569999999999993</v>
      </c>
      <c r="G3723">
        <v>50.71</v>
      </c>
      <c r="H3723">
        <v>156</v>
      </c>
      <c r="I3723" t="s">
        <v>25</v>
      </c>
      <c r="J3723">
        <v>2026</v>
      </c>
      <c r="K3723">
        <f t="shared" si="116"/>
        <v>30.859999999999992</v>
      </c>
      <c r="L3723" t="str">
        <f t="shared" si="117"/>
        <v>Banca Umbra|34|Prestiti</v>
      </c>
    </row>
    <row r="3724" spans="1:12" x14ac:dyDescent="0.25">
      <c r="A3724" t="s">
        <v>36</v>
      </c>
      <c r="B3724">
        <v>34</v>
      </c>
      <c r="C3724" t="s">
        <v>16</v>
      </c>
      <c r="D3724" s="1">
        <v>46326</v>
      </c>
      <c r="E3724">
        <v>2185.3000000000002</v>
      </c>
      <c r="F3724">
        <v>107.22</v>
      </c>
      <c r="G3724">
        <v>66.2</v>
      </c>
      <c r="H3724">
        <v>192</v>
      </c>
      <c r="I3724" t="s">
        <v>25</v>
      </c>
      <c r="J3724">
        <v>2026</v>
      </c>
      <c r="K3724">
        <f t="shared" si="116"/>
        <v>41.019999999999996</v>
      </c>
      <c r="L3724" t="str">
        <f t="shared" si="117"/>
        <v>Banca Umbra|34|Conti</v>
      </c>
    </row>
    <row r="3725" spans="1:12" x14ac:dyDescent="0.25">
      <c r="A3725" t="s">
        <v>36</v>
      </c>
      <c r="B3725">
        <v>34</v>
      </c>
      <c r="C3725" t="s">
        <v>17</v>
      </c>
      <c r="D3725" s="1">
        <v>46326</v>
      </c>
      <c r="E3725">
        <v>2626.5</v>
      </c>
      <c r="F3725">
        <v>134.43</v>
      </c>
      <c r="G3725">
        <v>81.59</v>
      </c>
      <c r="H3725">
        <v>211</v>
      </c>
      <c r="I3725" t="s">
        <v>25</v>
      </c>
      <c r="J3725">
        <v>2026</v>
      </c>
      <c r="K3725">
        <f t="shared" si="116"/>
        <v>52.84</v>
      </c>
      <c r="L3725" t="str">
        <f t="shared" si="117"/>
        <v>Banca Umbra|34|Carte</v>
      </c>
    </row>
    <row r="3726" spans="1:12" x14ac:dyDescent="0.25">
      <c r="A3726" t="s">
        <v>36</v>
      </c>
      <c r="B3726">
        <v>34</v>
      </c>
      <c r="C3726" t="s">
        <v>18</v>
      </c>
      <c r="D3726" s="1">
        <v>46326</v>
      </c>
      <c r="E3726">
        <v>3090.5</v>
      </c>
      <c r="F3726">
        <v>164.09</v>
      </c>
      <c r="G3726">
        <v>99.43</v>
      </c>
      <c r="H3726">
        <v>246</v>
      </c>
      <c r="I3726" t="s">
        <v>25</v>
      </c>
      <c r="J3726">
        <v>2026</v>
      </c>
      <c r="K3726">
        <f t="shared" si="116"/>
        <v>64.66</v>
      </c>
      <c r="L3726" t="str">
        <f t="shared" si="117"/>
        <v>Banca Umbra|34|Leasing</v>
      </c>
    </row>
    <row r="3727" spans="1:12" x14ac:dyDescent="0.25">
      <c r="A3727" t="s">
        <v>36</v>
      </c>
      <c r="B3727">
        <v>34</v>
      </c>
      <c r="C3727" t="s">
        <v>19</v>
      </c>
      <c r="D3727" s="1">
        <v>46326</v>
      </c>
      <c r="E3727">
        <v>3561</v>
      </c>
      <c r="F3727">
        <v>196.66</v>
      </c>
      <c r="G3727">
        <v>118.06</v>
      </c>
      <c r="H3727">
        <v>315</v>
      </c>
      <c r="I3727" t="s">
        <v>25</v>
      </c>
      <c r="J3727">
        <v>2026</v>
      </c>
      <c r="K3727">
        <f t="shared" si="116"/>
        <v>78.599999999999994</v>
      </c>
      <c r="L3727" t="str">
        <f t="shared" si="117"/>
        <v>Banca Umbra|34|Factoring</v>
      </c>
    </row>
    <row r="3728" spans="1:12" x14ac:dyDescent="0.25">
      <c r="A3728" t="s">
        <v>36</v>
      </c>
      <c r="B3728">
        <v>34</v>
      </c>
      <c r="C3728" t="s">
        <v>20</v>
      </c>
      <c r="D3728" s="1">
        <v>46326</v>
      </c>
      <c r="E3728">
        <v>4019</v>
      </c>
      <c r="F3728">
        <v>229.65</v>
      </c>
      <c r="G3728">
        <v>137.52000000000001</v>
      </c>
      <c r="H3728">
        <v>347</v>
      </c>
      <c r="I3728" t="s">
        <v>25</v>
      </c>
      <c r="J3728">
        <v>2026</v>
      </c>
      <c r="K3728">
        <f t="shared" si="116"/>
        <v>92.13</v>
      </c>
      <c r="L3728" t="str">
        <f t="shared" si="117"/>
        <v>Banca Umbra|34|Risparmio</v>
      </c>
    </row>
    <row r="3729" spans="1:12" x14ac:dyDescent="0.25">
      <c r="A3729" t="s">
        <v>36</v>
      </c>
      <c r="B3729">
        <v>34</v>
      </c>
      <c r="C3729" t="s">
        <v>21</v>
      </c>
      <c r="D3729" s="1">
        <v>46326</v>
      </c>
      <c r="E3729">
        <v>4536.2</v>
      </c>
      <c r="F3729">
        <v>267.94</v>
      </c>
      <c r="G3729">
        <v>159.08000000000001</v>
      </c>
      <c r="H3729">
        <v>354</v>
      </c>
      <c r="I3729" t="s">
        <v>25</v>
      </c>
      <c r="J3729">
        <v>2026</v>
      </c>
      <c r="K3729">
        <f t="shared" si="116"/>
        <v>108.85999999999999</v>
      </c>
      <c r="L3729" t="str">
        <f t="shared" si="117"/>
        <v>Banca Umbra|34|Assicurazioni</v>
      </c>
    </row>
    <row r="3730" spans="1:12" x14ac:dyDescent="0.25">
      <c r="A3730" t="s">
        <v>36</v>
      </c>
      <c r="B3730">
        <v>35</v>
      </c>
      <c r="C3730" t="s">
        <v>13</v>
      </c>
      <c r="D3730" s="1">
        <v>46356</v>
      </c>
      <c r="E3730">
        <v>1243.5</v>
      </c>
      <c r="F3730">
        <v>56.44</v>
      </c>
      <c r="G3730">
        <v>35.44</v>
      </c>
      <c r="H3730">
        <v>98</v>
      </c>
      <c r="I3730" t="s">
        <v>25</v>
      </c>
      <c r="J3730">
        <v>2026</v>
      </c>
      <c r="K3730">
        <f t="shared" si="116"/>
        <v>21</v>
      </c>
      <c r="L3730" t="str">
        <f t="shared" si="117"/>
        <v>Banca Umbra|35|Mutui</v>
      </c>
    </row>
    <row r="3731" spans="1:12" x14ac:dyDescent="0.25">
      <c r="A3731" t="s">
        <v>36</v>
      </c>
      <c r="B3731">
        <v>35</v>
      </c>
      <c r="C3731" t="s">
        <v>15</v>
      </c>
      <c r="D3731" s="1">
        <v>46356</v>
      </c>
      <c r="E3731">
        <v>1738.3</v>
      </c>
      <c r="F3731">
        <v>82.67</v>
      </c>
      <c r="G3731">
        <v>51.02</v>
      </c>
      <c r="H3731">
        <v>151</v>
      </c>
      <c r="I3731" t="s">
        <v>25</v>
      </c>
      <c r="J3731">
        <v>2026</v>
      </c>
      <c r="K3731">
        <f t="shared" si="116"/>
        <v>31.65</v>
      </c>
      <c r="L3731" t="str">
        <f t="shared" si="117"/>
        <v>Banca Umbra|35|Prestiti</v>
      </c>
    </row>
    <row r="3732" spans="1:12" x14ac:dyDescent="0.25">
      <c r="A3732" t="s">
        <v>36</v>
      </c>
      <c r="B3732">
        <v>35</v>
      </c>
      <c r="C3732" t="s">
        <v>16</v>
      </c>
      <c r="D3732" s="1">
        <v>46356</v>
      </c>
      <c r="E3732">
        <v>2218.9</v>
      </c>
      <c r="F3732">
        <v>109.45</v>
      </c>
      <c r="G3732">
        <v>66.98</v>
      </c>
      <c r="H3732">
        <v>185</v>
      </c>
      <c r="I3732" t="s">
        <v>25</v>
      </c>
      <c r="J3732">
        <v>2026</v>
      </c>
      <c r="K3732">
        <f t="shared" si="116"/>
        <v>42.47</v>
      </c>
      <c r="L3732" t="str">
        <f t="shared" si="117"/>
        <v>Banca Umbra|35|Conti</v>
      </c>
    </row>
    <row r="3733" spans="1:12" x14ac:dyDescent="0.25">
      <c r="A3733" t="s">
        <v>36</v>
      </c>
      <c r="B3733">
        <v>35</v>
      </c>
      <c r="C3733" t="s">
        <v>17</v>
      </c>
      <c r="D3733" s="1">
        <v>46356</v>
      </c>
      <c r="E3733">
        <v>2662.3</v>
      </c>
      <c r="F3733">
        <v>136.46</v>
      </c>
      <c r="G3733">
        <v>82.72</v>
      </c>
      <c r="H3733">
        <v>231</v>
      </c>
      <c r="I3733" t="s">
        <v>25</v>
      </c>
      <c r="J3733">
        <v>2026</v>
      </c>
      <c r="K3733">
        <f t="shared" si="116"/>
        <v>53.740000000000009</v>
      </c>
      <c r="L3733" t="str">
        <f t="shared" si="117"/>
        <v>Banca Umbra|35|Carte</v>
      </c>
    </row>
    <row r="3734" spans="1:12" x14ac:dyDescent="0.25">
      <c r="A3734" t="s">
        <v>36</v>
      </c>
      <c r="B3734">
        <v>35</v>
      </c>
      <c r="C3734" t="s">
        <v>18</v>
      </c>
      <c r="D3734" s="1">
        <v>46356</v>
      </c>
      <c r="E3734">
        <v>3144.1</v>
      </c>
      <c r="F3734">
        <v>166.75</v>
      </c>
      <c r="G3734">
        <v>101.53</v>
      </c>
      <c r="H3734">
        <v>261</v>
      </c>
      <c r="I3734" t="s">
        <v>25</v>
      </c>
      <c r="J3734">
        <v>2026</v>
      </c>
      <c r="K3734">
        <f t="shared" si="116"/>
        <v>65.22</v>
      </c>
      <c r="L3734" t="str">
        <f t="shared" si="117"/>
        <v>Banca Umbra|35|Leasing</v>
      </c>
    </row>
    <row r="3735" spans="1:12" x14ac:dyDescent="0.25">
      <c r="A3735" t="s">
        <v>36</v>
      </c>
      <c r="B3735">
        <v>35</v>
      </c>
      <c r="C3735" t="s">
        <v>19</v>
      </c>
      <c r="D3735" s="1">
        <v>46356</v>
      </c>
      <c r="E3735">
        <v>3569.1</v>
      </c>
      <c r="F3735">
        <v>196.57</v>
      </c>
      <c r="G3735">
        <v>118.67</v>
      </c>
      <c r="H3735">
        <v>303</v>
      </c>
      <c r="I3735" t="s">
        <v>25</v>
      </c>
      <c r="J3735">
        <v>2026</v>
      </c>
      <c r="K3735">
        <f t="shared" si="116"/>
        <v>77.899999999999991</v>
      </c>
      <c r="L3735" t="str">
        <f t="shared" si="117"/>
        <v>Banca Umbra|35|Factoring</v>
      </c>
    </row>
    <row r="3736" spans="1:12" x14ac:dyDescent="0.25">
      <c r="A3736" t="s">
        <v>36</v>
      </c>
      <c r="B3736">
        <v>35</v>
      </c>
      <c r="C3736" t="s">
        <v>20</v>
      </c>
      <c r="D3736" s="1">
        <v>46356</v>
      </c>
      <c r="E3736">
        <v>4080.6</v>
      </c>
      <c r="F3736">
        <v>232.76</v>
      </c>
      <c r="G3736">
        <v>138.9</v>
      </c>
      <c r="H3736">
        <v>345</v>
      </c>
      <c r="I3736" t="s">
        <v>25</v>
      </c>
      <c r="J3736">
        <v>2026</v>
      </c>
      <c r="K3736">
        <f t="shared" si="116"/>
        <v>93.859999999999985</v>
      </c>
      <c r="L3736" t="str">
        <f t="shared" si="117"/>
        <v>Banca Umbra|35|Risparmio</v>
      </c>
    </row>
    <row r="3737" spans="1:12" x14ac:dyDescent="0.25">
      <c r="A3737" t="s">
        <v>36</v>
      </c>
      <c r="B3737">
        <v>35</v>
      </c>
      <c r="C3737" t="s">
        <v>21</v>
      </c>
      <c r="D3737" s="1">
        <v>46356</v>
      </c>
      <c r="E3737">
        <v>4565.3</v>
      </c>
      <c r="F3737">
        <v>270.02</v>
      </c>
      <c r="G3737">
        <v>160.31</v>
      </c>
      <c r="H3737">
        <v>364</v>
      </c>
      <c r="I3737" t="s">
        <v>25</v>
      </c>
      <c r="J3737">
        <v>2026</v>
      </c>
      <c r="K3737">
        <f t="shared" si="116"/>
        <v>109.70999999999998</v>
      </c>
      <c r="L3737" t="str">
        <f t="shared" si="117"/>
        <v>Banca Umbra|35|Assicurazioni</v>
      </c>
    </row>
    <row r="3738" spans="1:12" x14ac:dyDescent="0.25">
      <c r="A3738" t="s">
        <v>36</v>
      </c>
      <c r="B3738">
        <v>36</v>
      </c>
      <c r="C3738" t="s">
        <v>13</v>
      </c>
      <c r="D3738" s="1">
        <v>46387</v>
      </c>
      <c r="E3738">
        <v>1263.0999999999999</v>
      </c>
      <c r="F3738">
        <v>57.03</v>
      </c>
      <c r="G3738">
        <v>35.479999999999997</v>
      </c>
      <c r="H3738">
        <v>132</v>
      </c>
      <c r="I3738" t="s">
        <v>25</v>
      </c>
      <c r="J3738">
        <v>2026</v>
      </c>
      <c r="K3738">
        <f t="shared" si="116"/>
        <v>21.550000000000004</v>
      </c>
      <c r="L3738" t="str">
        <f t="shared" si="117"/>
        <v>Banca Umbra|36|Mutui</v>
      </c>
    </row>
    <row r="3739" spans="1:12" x14ac:dyDescent="0.25">
      <c r="A3739" t="s">
        <v>36</v>
      </c>
      <c r="B3739">
        <v>36</v>
      </c>
      <c r="C3739" t="s">
        <v>15</v>
      </c>
      <c r="D3739" s="1">
        <v>46387</v>
      </c>
      <c r="E3739">
        <v>1705.2</v>
      </c>
      <c r="F3739">
        <v>80.290000000000006</v>
      </c>
      <c r="G3739">
        <v>49.97</v>
      </c>
      <c r="H3739">
        <v>141</v>
      </c>
      <c r="I3739" t="s">
        <v>25</v>
      </c>
      <c r="J3739">
        <v>2026</v>
      </c>
      <c r="K3739">
        <f t="shared" si="116"/>
        <v>30.320000000000007</v>
      </c>
      <c r="L3739" t="str">
        <f t="shared" si="117"/>
        <v>Banca Umbra|36|Prestiti</v>
      </c>
    </row>
    <row r="3740" spans="1:12" x14ac:dyDescent="0.25">
      <c r="A3740" t="s">
        <v>36</v>
      </c>
      <c r="B3740">
        <v>36</v>
      </c>
      <c r="C3740" t="s">
        <v>16</v>
      </c>
      <c r="D3740" s="1">
        <v>46387</v>
      </c>
      <c r="E3740">
        <v>2218.3000000000002</v>
      </c>
      <c r="F3740">
        <v>108.81</v>
      </c>
      <c r="G3740">
        <v>67.27</v>
      </c>
      <c r="H3740">
        <v>181</v>
      </c>
      <c r="I3740" t="s">
        <v>25</v>
      </c>
      <c r="J3740">
        <v>2026</v>
      </c>
      <c r="K3740">
        <f t="shared" si="116"/>
        <v>41.540000000000006</v>
      </c>
      <c r="L3740" t="str">
        <f t="shared" si="117"/>
        <v>Banca Umbra|36|Conti</v>
      </c>
    </row>
    <row r="3741" spans="1:12" x14ac:dyDescent="0.25">
      <c r="A3741" t="s">
        <v>36</v>
      </c>
      <c r="B3741">
        <v>36</v>
      </c>
      <c r="C3741" t="s">
        <v>17</v>
      </c>
      <c r="D3741" s="1">
        <v>46387</v>
      </c>
      <c r="E3741">
        <v>2678.8</v>
      </c>
      <c r="F3741">
        <v>137.18</v>
      </c>
      <c r="G3741">
        <v>83.22</v>
      </c>
      <c r="H3741">
        <v>246</v>
      </c>
      <c r="I3741" t="s">
        <v>25</v>
      </c>
      <c r="J3741">
        <v>2026</v>
      </c>
      <c r="K3741">
        <f t="shared" si="116"/>
        <v>53.960000000000008</v>
      </c>
      <c r="L3741" t="str">
        <f t="shared" si="117"/>
        <v>Banca Umbra|36|Carte</v>
      </c>
    </row>
    <row r="3742" spans="1:12" x14ac:dyDescent="0.25">
      <c r="A3742" t="s">
        <v>36</v>
      </c>
      <c r="B3742">
        <v>36</v>
      </c>
      <c r="C3742" t="s">
        <v>18</v>
      </c>
      <c r="D3742" s="1">
        <v>46387</v>
      </c>
      <c r="E3742">
        <v>3131.3</v>
      </c>
      <c r="F3742">
        <v>166.04</v>
      </c>
      <c r="G3742">
        <v>100.26</v>
      </c>
      <c r="H3742">
        <v>272</v>
      </c>
      <c r="I3742" t="s">
        <v>25</v>
      </c>
      <c r="J3742">
        <v>2026</v>
      </c>
      <c r="K3742">
        <f t="shared" si="116"/>
        <v>65.779999999999987</v>
      </c>
      <c r="L3742" t="str">
        <f t="shared" si="117"/>
        <v>Banca Umbra|36|Leasing</v>
      </c>
    </row>
    <row r="3743" spans="1:12" x14ac:dyDescent="0.25">
      <c r="A3743" t="s">
        <v>36</v>
      </c>
      <c r="B3743">
        <v>36</v>
      </c>
      <c r="C3743" t="s">
        <v>19</v>
      </c>
      <c r="D3743" s="1">
        <v>46387</v>
      </c>
      <c r="E3743">
        <v>3605</v>
      </c>
      <c r="F3743">
        <v>198.84</v>
      </c>
      <c r="G3743">
        <v>119.68</v>
      </c>
      <c r="H3743">
        <v>295</v>
      </c>
      <c r="I3743" t="s">
        <v>25</v>
      </c>
      <c r="J3743">
        <v>2026</v>
      </c>
      <c r="K3743">
        <f t="shared" si="116"/>
        <v>79.16</v>
      </c>
      <c r="L3743" t="str">
        <f t="shared" si="117"/>
        <v>Banca Umbra|36|Factoring</v>
      </c>
    </row>
    <row r="3744" spans="1:12" x14ac:dyDescent="0.25">
      <c r="A3744" t="s">
        <v>36</v>
      </c>
      <c r="B3744">
        <v>36</v>
      </c>
      <c r="C3744" t="s">
        <v>20</v>
      </c>
      <c r="D3744" s="1">
        <v>46387</v>
      </c>
      <c r="E3744">
        <v>4082.8</v>
      </c>
      <c r="F3744">
        <v>232.88</v>
      </c>
      <c r="G3744">
        <v>139.72999999999999</v>
      </c>
      <c r="H3744">
        <v>319</v>
      </c>
      <c r="I3744" t="s">
        <v>25</v>
      </c>
      <c r="J3744">
        <v>2026</v>
      </c>
      <c r="K3744">
        <f t="shared" si="116"/>
        <v>93.15</v>
      </c>
      <c r="L3744" t="str">
        <f t="shared" si="117"/>
        <v>Banca Umbra|36|Risparmio</v>
      </c>
    </row>
    <row r="3745" spans="1:12" x14ac:dyDescent="0.25">
      <c r="A3745" t="s">
        <v>36</v>
      </c>
      <c r="B3745">
        <v>36</v>
      </c>
      <c r="C3745" t="s">
        <v>21</v>
      </c>
      <c r="D3745" s="1">
        <v>46387</v>
      </c>
      <c r="E3745">
        <v>4582</v>
      </c>
      <c r="F3745">
        <v>271.33999999999997</v>
      </c>
      <c r="G3745">
        <v>160.41999999999999</v>
      </c>
      <c r="H3745">
        <v>369</v>
      </c>
      <c r="I3745" t="s">
        <v>25</v>
      </c>
      <c r="J3745">
        <v>2026</v>
      </c>
      <c r="K3745">
        <f t="shared" si="116"/>
        <v>110.91999999999999</v>
      </c>
      <c r="L3745" t="str">
        <f t="shared" si="117"/>
        <v>Banca Umbra|36|Assicurazioni</v>
      </c>
    </row>
    <row r="3746" spans="1:12" x14ac:dyDescent="0.25">
      <c r="A3746" t="s">
        <v>37</v>
      </c>
      <c r="B3746">
        <v>1</v>
      </c>
      <c r="C3746" t="s">
        <v>13</v>
      </c>
      <c r="D3746" s="1">
        <v>45322</v>
      </c>
      <c r="E3746">
        <v>1018.1</v>
      </c>
      <c r="F3746">
        <v>46.56</v>
      </c>
      <c r="G3746">
        <v>29.21</v>
      </c>
      <c r="H3746">
        <v>135</v>
      </c>
      <c r="I3746" t="s">
        <v>25</v>
      </c>
      <c r="J3746">
        <v>2024</v>
      </c>
      <c r="K3746">
        <f t="shared" si="116"/>
        <v>17.350000000000001</v>
      </c>
      <c r="L3746" t="str">
        <f t="shared" si="117"/>
        <v>Banca Marchigiana|1|Mutui</v>
      </c>
    </row>
    <row r="3747" spans="1:12" x14ac:dyDescent="0.25">
      <c r="A3747" t="s">
        <v>37</v>
      </c>
      <c r="B3747">
        <v>1</v>
      </c>
      <c r="C3747" t="s">
        <v>15</v>
      </c>
      <c r="D3747" s="1">
        <v>45322</v>
      </c>
      <c r="E3747">
        <v>1455.5</v>
      </c>
      <c r="F3747">
        <v>68.849999999999994</v>
      </c>
      <c r="G3747">
        <v>43.11</v>
      </c>
      <c r="H3747">
        <v>147</v>
      </c>
      <c r="I3747" t="s">
        <v>25</v>
      </c>
      <c r="J3747">
        <v>2024</v>
      </c>
      <c r="K3747">
        <f t="shared" si="116"/>
        <v>25.739999999999995</v>
      </c>
      <c r="L3747" t="str">
        <f t="shared" si="117"/>
        <v>Banca Marchigiana|1|Prestiti</v>
      </c>
    </row>
    <row r="3748" spans="1:12" x14ac:dyDescent="0.25">
      <c r="A3748" t="s">
        <v>37</v>
      </c>
      <c r="B3748">
        <v>1</v>
      </c>
      <c r="C3748" t="s">
        <v>16</v>
      </c>
      <c r="D3748" s="1">
        <v>45322</v>
      </c>
      <c r="E3748">
        <v>1844.8</v>
      </c>
      <c r="F3748">
        <v>90.89</v>
      </c>
      <c r="G3748">
        <v>55.9</v>
      </c>
      <c r="H3748">
        <v>182</v>
      </c>
      <c r="I3748" t="s">
        <v>25</v>
      </c>
      <c r="J3748">
        <v>2024</v>
      </c>
      <c r="K3748">
        <f t="shared" si="116"/>
        <v>34.99</v>
      </c>
      <c r="L3748" t="str">
        <f t="shared" si="117"/>
        <v>Banca Marchigiana|1|Conti</v>
      </c>
    </row>
    <row r="3749" spans="1:12" x14ac:dyDescent="0.25">
      <c r="A3749" t="s">
        <v>37</v>
      </c>
      <c r="B3749">
        <v>1</v>
      </c>
      <c r="C3749" t="s">
        <v>17</v>
      </c>
      <c r="D3749" s="1">
        <v>45322</v>
      </c>
      <c r="E3749">
        <v>2189.3000000000002</v>
      </c>
      <c r="F3749">
        <v>111.79</v>
      </c>
      <c r="G3749">
        <v>68.27</v>
      </c>
      <c r="H3749">
        <v>244</v>
      </c>
      <c r="I3749" t="s">
        <v>25</v>
      </c>
      <c r="J3749">
        <v>2024</v>
      </c>
      <c r="K3749">
        <f t="shared" si="116"/>
        <v>43.52000000000001</v>
      </c>
      <c r="L3749" t="str">
        <f t="shared" si="117"/>
        <v>Banca Marchigiana|1|Carte</v>
      </c>
    </row>
    <row r="3750" spans="1:12" x14ac:dyDescent="0.25">
      <c r="A3750" t="s">
        <v>37</v>
      </c>
      <c r="B3750">
        <v>1</v>
      </c>
      <c r="C3750" t="s">
        <v>18</v>
      </c>
      <c r="D3750" s="1">
        <v>45322</v>
      </c>
      <c r="E3750">
        <v>2581</v>
      </c>
      <c r="F3750">
        <v>137.22</v>
      </c>
      <c r="G3750">
        <v>82.74</v>
      </c>
      <c r="H3750">
        <v>291</v>
      </c>
      <c r="I3750" t="s">
        <v>25</v>
      </c>
      <c r="J3750">
        <v>2024</v>
      </c>
      <c r="K3750">
        <f t="shared" si="116"/>
        <v>54.480000000000004</v>
      </c>
      <c r="L3750" t="str">
        <f t="shared" si="117"/>
        <v>Banca Marchigiana|1|Leasing</v>
      </c>
    </row>
    <row r="3751" spans="1:12" x14ac:dyDescent="0.25">
      <c r="A3751" t="s">
        <v>37</v>
      </c>
      <c r="B3751">
        <v>1</v>
      </c>
      <c r="C3751" t="s">
        <v>19</v>
      </c>
      <c r="D3751" s="1">
        <v>45322</v>
      </c>
      <c r="E3751">
        <v>2971.6</v>
      </c>
      <c r="F3751">
        <v>163.63999999999999</v>
      </c>
      <c r="G3751">
        <v>98.75</v>
      </c>
      <c r="H3751">
        <v>315</v>
      </c>
      <c r="I3751" t="s">
        <v>25</v>
      </c>
      <c r="J3751">
        <v>2024</v>
      </c>
      <c r="K3751">
        <f t="shared" si="116"/>
        <v>64.889999999999986</v>
      </c>
      <c r="L3751" t="str">
        <f t="shared" si="117"/>
        <v>Banca Marchigiana|1|Factoring</v>
      </c>
    </row>
    <row r="3752" spans="1:12" x14ac:dyDescent="0.25">
      <c r="A3752" t="s">
        <v>37</v>
      </c>
      <c r="B3752">
        <v>1</v>
      </c>
      <c r="C3752" t="s">
        <v>20</v>
      </c>
      <c r="D3752" s="1">
        <v>45322</v>
      </c>
      <c r="E3752">
        <v>3407.2</v>
      </c>
      <c r="F3752">
        <v>194.73</v>
      </c>
      <c r="G3752">
        <v>116.64</v>
      </c>
      <c r="H3752">
        <v>369</v>
      </c>
      <c r="I3752" t="s">
        <v>25</v>
      </c>
      <c r="J3752">
        <v>2024</v>
      </c>
      <c r="K3752">
        <f t="shared" si="116"/>
        <v>78.089999999999989</v>
      </c>
      <c r="L3752" t="str">
        <f t="shared" si="117"/>
        <v>Banca Marchigiana|1|Risparmio</v>
      </c>
    </row>
    <row r="3753" spans="1:12" x14ac:dyDescent="0.25">
      <c r="A3753" t="s">
        <v>37</v>
      </c>
      <c r="B3753">
        <v>1</v>
      </c>
      <c r="C3753" t="s">
        <v>21</v>
      </c>
      <c r="D3753" s="1">
        <v>45322</v>
      </c>
      <c r="E3753">
        <v>3792.1</v>
      </c>
      <c r="F3753">
        <v>224.1</v>
      </c>
      <c r="G3753">
        <v>132.96</v>
      </c>
      <c r="H3753">
        <v>405</v>
      </c>
      <c r="I3753" t="s">
        <v>25</v>
      </c>
      <c r="J3753">
        <v>2024</v>
      </c>
      <c r="K3753">
        <f t="shared" si="116"/>
        <v>91.139999999999986</v>
      </c>
      <c r="L3753" t="str">
        <f t="shared" si="117"/>
        <v>Banca Marchigiana|1|Assicurazioni</v>
      </c>
    </row>
    <row r="3754" spans="1:12" x14ac:dyDescent="0.25">
      <c r="A3754" t="s">
        <v>37</v>
      </c>
      <c r="B3754">
        <v>2</v>
      </c>
      <c r="C3754" t="s">
        <v>13</v>
      </c>
      <c r="D3754" s="1">
        <v>45351</v>
      </c>
      <c r="E3754">
        <v>1056.4000000000001</v>
      </c>
      <c r="F3754">
        <v>48.2</v>
      </c>
      <c r="G3754">
        <v>30.15</v>
      </c>
      <c r="H3754">
        <v>122</v>
      </c>
      <c r="I3754" t="s">
        <v>25</v>
      </c>
      <c r="J3754">
        <v>2024</v>
      </c>
      <c r="K3754">
        <f t="shared" si="116"/>
        <v>18.050000000000004</v>
      </c>
      <c r="L3754" t="str">
        <f t="shared" si="117"/>
        <v>Banca Marchigiana|2|Mutui</v>
      </c>
    </row>
    <row r="3755" spans="1:12" x14ac:dyDescent="0.25">
      <c r="A3755" t="s">
        <v>37</v>
      </c>
      <c r="B3755">
        <v>2</v>
      </c>
      <c r="C3755" t="s">
        <v>15</v>
      </c>
      <c r="D3755" s="1">
        <v>45351</v>
      </c>
      <c r="E3755">
        <v>1452.3</v>
      </c>
      <c r="F3755">
        <v>68.87</v>
      </c>
      <c r="G3755">
        <v>42.98</v>
      </c>
      <c r="H3755">
        <v>178</v>
      </c>
      <c r="I3755" t="s">
        <v>25</v>
      </c>
      <c r="J3755">
        <v>2024</v>
      </c>
      <c r="K3755">
        <f t="shared" si="116"/>
        <v>25.890000000000008</v>
      </c>
      <c r="L3755" t="str">
        <f t="shared" si="117"/>
        <v>Banca Marchigiana|2|Prestiti</v>
      </c>
    </row>
    <row r="3756" spans="1:12" x14ac:dyDescent="0.25">
      <c r="A3756" t="s">
        <v>37</v>
      </c>
      <c r="B3756">
        <v>2</v>
      </c>
      <c r="C3756" t="s">
        <v>16</v>
      </c>
      <c r="D3756" s="1">
        <v>45351</v>
      </c>
      <c r="E3756">
        <v>1860.1</v>
      </c>
      <c r="F3756">
        <v>91.74</v>
      </c>
      <c r="G3756">
        <v>56.22</v>
      </c>
      <c r="H3756">
        <v>190</v>
      </c>
      <c r="I3756" t="s">
        <v>25</v>
      </c>
      <c r="J3756">
        <v>2024</v>
      </c>
      <c r="K3756">
        <f t="shared" si="116"/>
        <v>35.519999999999996</v>
      </c>
      <c r="L3756" t="str">
        <f t="shared" si="117"/>
        <v>Banca Marchigiana|2|Conti</v>
      </c>
    </row>
    <row r="3757" spans="1:12" x14ac:dyDescent="0.25">
      <c r="A3757" t="s">
        <v>37</v>
      </c>
      <c r="B3757">
        <v>2</v>
      </c>
      <c r="C3757" t="s">
        <v>17</v>
      </c>
      <c r="D3757" s="1">
        <v>45351</v>
      </c>
      <c r="E3757">
        <v>2246.9</v>
      </c>
      <c r="F3757">
        <v>115.19</v>
      </c>
      <c r="G3757">
        <v>70.52</v>
      </c>
      <c r="H3757">
        <v>245</v>
      </c>
      <c r="I3757" t="s">
        <v>25</v>
      </c>
      <c r="J3757">
        <v>2024</v>
      </c>
      <c r="K3757">
        <f t="shared" si="116"/>
        <v>44.67</v>
      </c>
      <c r="L3757" t="str">
        <f t="shared" si="117"/>
        <v>Banca Marchigiana|2|Carte</v>
      </c>
    </row>
    <row r="3758" spans="1:12" x14ac:dyDescent="0.25">
      <c r="A3758" t="s">
        <v>37</v>
      </c>
      <c r="B3758">
        <v>2</v>
      </c>
      <c r="C3758" t="s">
        <v>18</v>
      </c>
      <c r="D3758" s="1">
        <v>45351</v>
      </c>
      <c r="E3758">
        <v>2607.6999999999998</v>
      </c>
      <c r="F3758">
        <v>138.96</v>
      </c>
      <c r="G3758">
        <v>83.88</v>
      </c>
      <c r="H3758">
        <v>266</v>
      </c>
      <c r="I3758" t="s">
        <v>25</v>
      </c>
      <c r="J3758">
        <v>2024</v>
      </c>
      <c r="K3758">
        <f t="shared" si="116"/>
        <v>55.080000000000013</v>
      </c>
      <c r="L3758" t="str">
        <f t="shared" si="117"/>
        <v>Banca Marchigiana|2|Leasing</v>
      </c>
    </row>
    <row r="3759" spans="1:12" x14ac:dyDescent="0.25">
      <c r="A3759" t="s">
        <v>37</v>
      </c>
      <c r="B3759">
        <v>2</v>
      </c>
      <c r="C3759" t="s">
        <v>19</v>
      </c>
      <c r="D3759" s="1">
        <v>45351</v>
      </c>
      <c r="E3759">
        <v>3031.8</v>
      </c>
      <c r="F3759">
        <v>167.44</v>
      </c>
      <c r="G3759">
        <v>100.76</v>
      </c>
      <c r="H3759">
        <v>305</v>
      </c>
      <c r="I3759" t="s">
        <v>25</v>
      </c>
      <c r="J3759">
        <v>2024</v>
      </c>
      <c r="K3759">
        <f t="shared" si="116"/>
        <v>66.679999999999993</v>
      </c>
      <c r="L3759" t="str">
        <f t="shared" si="117"/>
        <v>Banca Marchigiana|2|Factoring</v>
      </c>
    </row>
    <row r="3760" spans="1:12" x14ac:dyDescent="0.25">
      <c r="A3760" t="s">
        <v>37</v>
      </c>
      <c r="B3760">
        <v>2</v>
      </c>
      <c r="C3760" t="s">
        <v>20</v>
      </c>
      <c r="D3760" s="1">
        <v>45351</v>
      </c>
      <c r="E3760">
        <v>3404.5</v>
      </c>
      <c r="F3760">
        <v>194.95</v>
      </c>
      <c r="G3760">
        <v>116.37</v>
      </c>
      <c r="H3760">
        <v>336</v>
      </c>
      <c r="I3760" t="s">
        <v>25</v>
      </c>
      <c r="J3760">
        <v>2024</v>
      </c>
      <c r="K3760">
        <f t="shared" si="116"/>
        <v>78.579999999999984</v>
      </c>
      <c r="L3760" t="str">
        <f t="shared" si="117"/>
        <v>Banca Marchigiana|2|Risparmio</v>
      </c>
    </row>
    <row r="3761" spans="1:12" x14ac:dyDescent="0.25">
      <c r="A3761" t="s">
        <v>37</v>
      </c>
      <c r="B3761">
        <v>2</v>
      </c>
      <c r="C3761" t="s">
        <v>21</v>
      </c>
      <c r="D3761" s="1">
        <v>45351</v>
      </c>
      <c r="E3761">
        <v>3814</v>
      </c>
      <c r="F3761">
        <v>225.88</v>
      </c>
      <c r="G3761">
        <v>134.15</v>
      </c>
      <c r="H3761">
        <v>380</v>
      </c>
      <c r="I3761" t="s">
        <v>25</v>
      </c>
      <c r="J3761">
        <v>2024</v>
      </c>
      <c r="K3761">
        <f t="shared" si="116"/>
        <v>91.72999999999999</v>
      </c>
      <c r="L3761" t="str">
        <f t="shared" si="117"/>
        <v>Banca Marchigiana|2|Assicurazioni</v>
      </c>
    </row>
    <row r="3762" spans="1:12" x14ac:dyDescent="0.25">
      <c r="A3762" t="s">
        <v>37</v>
      </c>
      <c r="B3762">
        <v>3</v>
      </c>
      <c r="C3762" t="s">
        <v>13</v>
      </c>
      <c r="D3762" s="1">
        <v>45382</v>
      </c>
      <c r="E3762">
        <v>1031.2</v>
      </c>
      <c r="F3762">
        <v>46.74</v>
      </c>
      <c r="G3762">
        <v>29.65</v>
      </c>
      <c r="H3762">
        <v>125</v>
      </c>
      <c r="I3762" t="s">
        <v>25</v>
      </c>
      <c r="J3762">
        <v>2024</v>
      </c>
      <c r="K3762">
        <f t="shared" si="116"/>
        <v>17.090000000000003</v>
      </c>
      <c r="L3762" t="str">
        <f t="shared" si="117"/>
        <v>Banca Marchigiana|3|Mutui</v>
      </c>
    </row>
    <row r="3763" spans="1:12" x14ac:dyDescent="0.25">
      <c r="A3763" t="s">
        <v>37</v>
      </c>
      <c r="B3763">
        <v>3</v>
      </c>
      <c r="C3763" t="s">
        <v>15</v>
      </c>
      <c r="D3763" s="1">
        <v>45382</v>
      </c>
      <c r="E3763">
        <v>1449.1</v>
      </c>
      <c r="F3763">
        <v>68.2</v>
      </c>
      <c r="G3763">
        <v>42.59</v>
      </c>
      <c r="H3763">
        <v>143</v>
      </c>
      <c r="I3763" t="s">
        <v>25</v>
      </c>
      <c r="J3763">
        <v>2024</v>
      </c>
      <c r="K3763">
        <f t="shared" si="116"/>
        <v>25.61</v>
      </c>
      <c r="L3763" t="str">
        <f t="shared" si="117"/>
        <v>Banca Marchigiana|3|Prestiti</v>
      </c>
    </row>
    <row r="3764" spans="1:12" x14ac:dyDescent="0.25">
      <c r="A3764" t="s">
        <v>37</v>
      </c>
      <c r="B3764">
        <v>3</v>
      </c>
      <c r="C3764" t="s">
        <v>16</v>
      </c>
      <c r="D3764" s="1">
        <v>45382</v>
      </c>
      <c r="E3764">
        <v>1870.2</v>
      </c>
      <c r="F3764">
        <v>92.14</v>
      </c>
      <c r="G3764">
        <v>56.69</v>
      </c>
      <c r="H3764">
        <v>202</v>
      </c>
      <c r="I3764" t="s">
        <v>25</v>
      </c>
      <c r="J3764">
        <v>2024</v>
      </c>
      <c r="K3764">
        <f t="shared" si="116"/>
        <v>35.450000000000003</v>
      </c>
      <c r="L3764" t="str">
        <f t="shared" si="117"/>
        <v>Banca Marchigiana|3|Conti</v>
      </c>
    </row>
    <row r="3765" spans="1:12" x14ac:dyDescent="0.25">
      <c r="A3765" t="s">
        <v>37</v>
      </c>
      <c r="B3765">
        <v>3</v>
      </c>
      <c r="C3765" t="s">
        <v>17</v>
      </c>
      <c r="D3765" s="1">
        <v>45382</v>
      </c>
      <c r="E3765">
        <v>2228.1999999999998</v>
      </c>
      <c r="F3765">
        <v>113.86</v>
      </c>
      <c r="G3765">
        <v>69.42</v>
      </c>
      <c r="H3765">
        <v>247</v>
      </c>
      <c r="I3765" t="s">
        <v>25</v>
      </c>
      <c r="J3765">
        <v>2024</v>
      </c>
      <c r="K3765">
        <f t="shared" si="116"/>
        <v>44.44</v>
      </c>
      <c r="L3765" t="str">
        <f t="shared" si="117"/>
        <v>Banca Marchigiana|3|Carte</v>
      </c>
    </row>
    <row r="3766" spans="1:12" x14ac:dyDescent="0.25">
      <c r="A3766" t="s">
        <v>37</v>
      </c>
      <c r="B3766">
        <v>3</v>
      </c>
      <c r="C3766" t="s">
        <v>18</v>
      </c>
      <c r="D3766" s="1">
        <v>45382</v>
      </c>
      <c r="E3766">
        <v>2645.3</v>
      </c>
      <c r="F3766">
        <v>141.1</v>
      </c>
      <c r="G3766">
        <v>85.29</v>
      </c>
      <c r="H3766">
        <v>277</v>
      </c>
      <c r="I3766" t="s">
        <v>25</v>
      </c>
      <c r="J3766">
        <v>2024</v>
      </c>
      <c r="K3766">
        <f t="shared" si="116"/>
        <v>55.809999999999988</v>
      </c>
      <c r="L3766" t="str">
        <f t="shared" si="117"/>
        <v>Banca Marchigiana|3|Leasing</v>
      </c>
    </row>
    <row r="3767" spans="1:12" x14ac:dyDescent="0.25">
      <c r="A3767" t="s">
        <v>37</v>
      </c>
      <c r="B3767">
        <v>3</v>
      </c>
      <c r="C3767" t="s">
        <v>19</v>
      </c>
      <c r="D3767" s="1">
        <v>45382</v>
      </c>
      <c r="E3767">
        <v>3033</v>
      </c>
      <c r="F3767">
        <v>167.79</v>
      </c>
      <c r="G3767">
        <v>100.5</v>
      </c>
      <c r="H3767">
        <v>318</v>
      </c>
      <c r="I3767" t="s">
        <v>25</v>
      </c>
      <c r="J3767">
        <v>2024</v>
      </c>
      <c r="K3767">
        <f t="shared" si="116"/>
        <v>67.289999999999992</v>
      </c>
      <c r="L3767" t="str">
        <f t="shared" si="117"/>
        <v>Banca Marchigiana|3|Factoring</v>
      </c>
    </row>
    <row r="3768" spans="1:12" x14ac:dyDescent="0.25">
      <c r="A3768" t="s">
        <v>37</v>
      </c>
      <c r="B3768">
        <v>3</v>
      </c>
      <c r="C3768" t="s">
        <v>20</v>
      </c>
      <c r="D3768" s="1">
        <v>45382</v>
      </c>
      <c r="E3768">
        <v>3413</v>
      </c>
      <c r="F3768">
        <v>195.48</v>
      </c>
      <c r="G3768">
        <v>116.75</v>
      </c>
      <c r="H3768">
        <v>358</v>
      </c>
      <c r="I3768" t="s">
        <v>25</v>
      </c>
      <c r="J3768">
        <v>2024</v>
      </c>
      <c r="K3768">
        <f t="shared" si="116"/>
        <v>78.72999999999999</v>
      </c>
      <c r="L3768" t="str">
        <f t="shared" si="117"/>
        <v>Banca Marchigiana|3|Risparmio</v>
      </c>
    </row>
    <row r="3769" spans="1:12" x14ac:dyDescent="0.25">
      <c r="A3769" t="s">
        <v>37</v>
      </c>
      <c r="B3769">
        <v>3</v>
      </c>
      <c r="C3769" t="s">
        <v>21</v>
      </c>
      <c r="D3769" s="1">
        <v>45382</v>
      </c>
      <c r="E3769">
        <v>3814.4</v>
      </c>
      <c r="F3769">
        <v>226.01</v>
      </c>
      <c r="G3769">
        <v>134.38</v>
      </c>
      <c r="H3769">
        <v>406</v>
      </c>
      <c r="I3769" t="s">
        <v>25</v>
      </c>
      <c r="J3769">
        <v>2024</v>
      </c>
      <c r="K3769">
        <f t="shared" si="116"/>
        <v>91.63</v>
      </c>
      <c r="L3769" t="str">
        <f t="shared" si="117"/>
        <v>Banca Marchigiana|3|Assicurazioni</v>
      </c>
    </row>
    <row r="3770" spans="1:12" x14ac:dyDescent="0.25">
      <c r="A3770" t="s">
        <v>37</v>
      </c>
      <c r="B3770">
        <v>4</v>
      </c>
      <c r="C3770" t="s">
        <v>13</v>
      </c>
      <c r="D3770" s="1">
        <v>45412</v>
      </c>
      <c r="E3770">
        <v>1050.5</v>
      </c>
      <c r="F3770">
        <v>47.4</v>
      </c>
      <c r="G3770">
        <v>30.07</v>
      </c>
      <c r="H3770">
        <v>118</v>
      </c>
      <c r="I3770" t="s">
        <v>25</v>
      </c>
      <c r="J3770">
        <v>2024</v>
      </c>
      <c r="K3770">
        <f t="shared" si="116"/>
        <v>17.329999999999998</v>
      </c>
      <c r="L3770" t="str">
        <f t="shared" si="117"/>
        <v>Banca Marchigiana|4|Mutui</v>
      </c>
    </row>
    <row r="3771" spans="1:12" x14ac:dyDescent="0.25">
      <c r="A3771" t="s">
        <v>37</v>
      </c>
      <c r="B3771">
        <v>4</v>
      </c>
      <c r="C3771" t="s">
        <v>15</v>
      </c>
      <c r="D3771" s="1">
        <v>45412</v>
      </c>
      <c r="E3771">
        <v>1454</v>
      </c>
      <c r="F3771">
        <v>68.64</v>
      </c>
      <c r="G3771">
        <v>42.25</v>
      </c>
      <c r="H3771">
        <v>174</v>
      </c>
      <c r="I3771" t="s">
        <v>25</v>
      </c>
      <c r="J3771">
        <v>2024</v>
      </c>
      <c r="K3771">
        <f t="shared" si="116"/>
        <v>26.39</v>
      </c>
      <c r="L3771" t="str">
        <f t="shared" si="117"/>
        <v>Banca Marchigiana|4|Prestiti</v>
      </c>
    </row>
    <row r="3772" spans="1:12" x14ac:dyDescent="0.25">
      <c r="A3772" t="s">
        <v>37</v>
      </c>
      <c r="B3772">
        <v>4</v>
      </c>
      <c r="C3772" t="s">
        <v>16</v>
      </c>
      <c r="D3772" s="1">
        <v>45412</v>
      </c>
      <c r="E3772">
        <v>1893</v>
      </c>
      <c r="F3772">
        <v>93.26</v>
      </c>
      <c r="G3772">
        <v>57.74</v>
      </c>
      <c r="H3772">
        <v>205</v>
      </c>
      <c r="I3772" t="s">
        <v>25</v>
      </c>
      <c r="J3772">
        <v>2024</v>
      </c>
      <c r="K3772">
        <f t="shared" si="116"/>
        <v>35.520000000000003</v>
      </c>
      <c r="L3772" t="str">
        <f t="shared" si="117"/>
        <v>Banca Marchigiana|4|Conti</v>
      </c>
    </row>
    <row r="3773" spans="1:12" x14ac:dyDescent="0.25">
      <c r="A3773" t="s">
        <v>37</v>
      </c>
      <c r="B3773">
        <v>4</v>
      </c>
      <c r="C3773" t="s">
        <v>17</v>
      </c>
      <c r="D3773" s="1">
        <v>45412</v>
      </c>
      <c r="E3773">
        <v>2275.1999999999998</v>
      </c>
      <c r="F3773">
        <v>116.73</v>
      </c>
      <c r="G3773">
        <v>70.819999999999993</v>
      </c>
      <c r="H3773">
        <v>225</v>
      </c>
      <c r="I3773" t="s">
        <v>25</v>
      </c>
      <c r="J3773">
        <v>2024</v>
      </c>
      <c r="K3773">
        <f t="shared" si="116"/>
        <v>45.910000000000011</v>
      </c>
      <c r="L3773" t="str">
        <f t="shared" si="117"/>
        <v>Banca Marchigiana|4|Carte</v>
      </c>
    </row>
    <row r="3774" spans="1:12" x14ac:dyDescent="0.25">
      <c r="A3774" t="s">
        <v>37</v>
      </c>
      <c r="B3774">
        <v>4</v>
      </c>
      <c r="C3774" t="s">
        <v>18</v>
      </c>
      <c r="D3774" s="1">
        <v>45412</v>
      </c>
      <c r="E3774">
        <v>2682.1</v>
      </c>
      <c r="F3774">
        <v>142.84</v>
      </c>
      <c r="G3774">
        <v>85.85</v>
      </c>
      <c r="H3774">
        <v>295</v>
      </c>
      <c r="I3774" t="s">
        <v>25</v>
      </c>
      <c r="J3774">
        <v>2024</v>
      </c>
      <c r="K3774">
        <f t="shared" si="116"/>
        <v>56.990000000000009</v>
      </c>
      <c r="L3774" t="str">
        <f t="shared" si="117"/>
        <v>Banca Marchigiana|4|Leasing</v>
      </c>
    </row>
    <row r="3775" spans="1:12" x14ac:dyDescent="0.25">
      <c r="A3775" t="s">
        <v>37</v>
      </c>
      <c r="B3775">
        <v>4</v>
      </c>
      <c r="C3775" t="s">
        <v>19</v>
      </c>
      <c r="D3775" s="1">
        <v>45412</v>
      </c>
      <c r="E3775">
        <v>3075.3</v>
      </c>
      <c r="F3775">
        <v>169.94</v>
      </c>
      <c r="G3775">
        <v>101.5</v>
      </c>
      <c r="H3775">
        <v>309</v>
      </c>
      <c r="I3775" t="s">
        <v>25</v>
      </c>
      <c r="J3775">
        <v>2024</v>
      </c>
      <c r="K3775">
        <f t="shared" si="116"/>
        <v>68.44</v>
      </c>
      <c r="L3775" t="str">
        <f t="shared" si="117"/>
        <v>Banca Marchigiana|4|Factoring</v>
      </c>
    </row>
    <row r="3776" spans="1:12" x14ac:dyDescent="0.25">
      <c r="A3776" t="s">
        <v>37</v>
      </c>
      <c r="B3776">
        <v>4</v>
      </c>
      <c r="C3776" t="s">
        <v>20</v>
      </c>
      <c r="D3776" s="1">
        <v>45412</v>
      </c>
      <c r="E3776">
        <v>3439.4</v>
      </c>
      <c r="F3776">
        <v>196.4</v>
      </c>
      <c r="G3776">
        <v>117.48</v>
      </c>
      <c r="H3776">
        <v>354</v>
      </c>
      <c r="I3776" t="s">
        <v>25</v>
      </c>
      <c r="J3776">
        <v>2024</v>
      </c>
      <c r="K3776">
        <f t="shared" si="116"/>
        <v>78.92</v>
      </c>
      <c r="L3776" t="str">
        <f t="shared" si="117"/>
        <v>Banca Marchigiana|4|Risparmio</v>
      </c>
    </row>
    <row r="3777" spans="1:12" x14ac:dyDescent="0.25">
      <c r="A3777" t="s">
        <v>37</v>
      </c>
      <c r="B3777">
        <v>4</v>
      </c>
      <c r="C3777" t="s">
        <v>21</v>
      </c>
      <c r="D3777" s="1">
        <v>45412</v>
      </c>
      <c r="E3777">
        <v>3861.5</v>
      </c>
      <c r="F3777">
        <v>228.06</v>
      </c>
      <c r="G3777">
        <v>135.41</v>
      </c>
      <c r="H3777">
        <v>380</v>
      </c>
      <c r="I3777" t="s">
        <v>25</v>
      </c>
      <c r="J3777">
        <v>2024</v>
      </c>
      <c r="K3777">
        <f t="shared" si="116"/>
        <v>92.65</v>
      </c>
      <c r="L3777" t="str">
        <f t="shared" si="117"/>
        <v>Banca Marchigiana|4|Assicurazioni</v>
      </c>
    </row>
    <row r="3778" spans="1:12" x14ac:dyDescent="0.25">
      <c r="A3778" t="s">
        <v>37</v>
      </c>
      <c r="B3778">
        <v>5</v>
      </c>
      <c r="C3778" t="s">
        <v>13</v>
      </c>
      <c r="D3778" s="1">
        <v>45443</v>
      </c>
      <c r="E3778">
        <v>1067</v>
      </c>
      <c r="F3778">
        <v>48.91</v>
      </c>
      <c r="G3778">
        <v>30.48</v>
      </c>
      <c r="H3778">
        <v>125</v>
      </c>
      <c r="I3778" t="s">
        <v>25</v>
      </c>
      <c r="J3778">
        <v>2024</v>
      </c>
      <c r="K3778">
        <f t="shared" ref="K3778:K3841" si="118">F3778-G3778</f>
        <v>18.429999999999996</v>
      </c>
      <c r="L3778" t="str">
        <f t="shared" ref="L3778:L3841" si="119">A3778&amp;"|"&amp;B3778&amp;"|"&amp;C3778</f>
        <v>Banca Marchigiana|5|Mutui</v>
      </c>
    </row>
    <row r="3779" spans="1:12" x14ac:dyDescent="0.25">
      <c r="A3779" t="s">
        <v>37</v>
      </c>
      <c r="B3779">
        <v>5</v>
      </c>
      <c r="C3779" t="s">
        <v>15</v>
      </c>
      <c r="D3779" s="1">
        <v>45443</v>
      </c>
      <c r="E3779">
        <v>1486</v>
      </c>
      <c r="F3779">
        <v>70.83</v>
      </c>
      <c r="G3779">
        <v>43.17</v>
      </c>
      <c r="H3779">
        <v>177</v>
      </c>
      <c r="I3779" t="s">
        <v>25</v>
      </c>
      <c r="J3779">
        <v>2024</v>
      </c>
      <c r="K3779">
        <f t="shared" si="118"/>
        <v>27.659999999999997</v>
      </c>
      <c r="L3779" t="str">
        <f t="shared" si="119"/>
        <v>Banca Marchigiana|5|Prestiti</v>
      </c>
    </row>
    <row r="3780" spans="1:12" x14ac:dyDescent="0.25">
      <c r="A3780" t="s">
        <v>37</v>
      </c>
      <c r="B3780">
        <v>5</v>
      </c>
      <c r="C3780" t="s">
        <v>16</v>
      </c>
      <c r="D3780" s="1">
        <v>45443</v>
      </c>
      <c r="E3780">
        <v>1852.4</v>
      </c>
      <c r="F3780">
        <v>91.45</v>
      </c>
      <c r="G3780">
        <v>56.28</v>
      </c>
      <c r="H3780">
        <v>220</v>
      </c>
      <c r="I3780" t="s">
        <v>25</v>
      </c>
      <c r="J3780">
        <v>2024</v>
      </c>
      <c r="K3780">
        <f t="shared" si="118"/>
        <v>35.17</v>
      </c>
      <c r="L3780" t="str">
        <f t="shared" si="119"/>
        <v>Banca Marchigiana|5|Conti</v>
      </c>
    </row>
    <row r="3781" spans="1:12" x14ac:dyDescent="0.25">
      <c r="A3781" t="s">
        <v>37</v>
      </c>
      <c r="B3781">
        <v>5</v>
      </c>
      <c r="C3781" t="s">
        <v>17</v>
      </c>
      <c r="D3781" s="1">
        <v>45443</v>
      </c>
      <c r="E3781">
        <v>2295</v>
      </c>
      <c r="F3781">
        <v>117.15</v>
      </c>
      <c r="G3781">
        <v>71.87</v>
      </c>
      <c r="H3781">
        <v>245</v>
      </c>
      <c r="I3781" t="s">
        <v>25</v>
      </c>
      <c r="J3781">
        <v>2024</v>
      </c>
      <c r="K3781">
        <f t="shared" si="118"/>
        <v>45.28</v>
      </c>
      <c r="L3781" t="str">
        <f t="shared" si="119"/>
        <v>Banca Marchigiana|5|Carte</v>
      </c>
    </row>
    <row r="3782" spans="1:12" x14ac:dyDescent="0.25">
      <c r="A3782" t="s">
        <v>37</v>
      </c>
      <c r="B3782">
        <v>5</v>
      </c>
      <c r="C3782" t="s">
        <v>18</v>
      </c>
      <c r="D3782" s="1">
        <v>45443</v>
      </c>
      <c r="E3782">
        <v>2664.5</v>
      </c>
      <c r="F3782">
        <v>141.51</v>
      </c>
      <c r="G3782">
        <v>86.03</v>
      </c>
      <c r="H3782">
        <v>285</v>
      </c>
      <c r="I3782" t="s">
        <v>25</v>
      </c>
      <c r="J3782">
        <v>2024</v>
      </c>
      <c r="K3782">
        <f t="shared" si="118"/>
        <v>55.47999999999999</v>
      </c>
      <c r="L3782" t="str">
        <f t="shared" si="119"/>
        <v>Banca Marchigiana|5|Leasing</v>
      </c>
    </row>
    <row r="3783" spans="1:12" x14ac:dyDescent="0.25">
      <c r="A3783" t="s">
        <v>37</v>
      </c>
      <c r="B3783">
        <v>5</v>
      </c>
      <c r="C3783" t="s">
        <v>19</v>
      </c>
      <c r="D3783" s="1">
        <v>45443</v>
      </c>
      <c r="E3783">
        <v>3070</v>
      </c>
      <c r="F3783">
        <v>169.81</v>
      </c>
      <c r="G3783">
        <v>101.81</v>
      </c>
      <c r="H3783">
        <v>302</v>
      </c>
      <c r="I3783" t="s">
        <v>25</v>
      </c>
      <c r="J3783">
        <v>2024</v>
      </c>
      <c r="K3783">
        <f t="shared" si="118"/>
        <v>68</v>
      </c>
      <c r="L3783" t="str">
        <f t="shared" si="119"/>
        <v>Banca Marchigiana|5|Factoring</v>
      </c>
    </row>
    <row r="3784" spans="1:12" x14ac:dyDescent="0.25">
      <c r="A3784" t="s">
        <v>37</v>
      </c>
      <c r="B3784">
        <v>5</v>
      </c>
      <c r="C3784" t="s">
        <v>20</v>
      </c>
      <c r="D3784" s="1">
        <v>45443</v>
      </c>
      <c r="E3784">
        <v>3486.4</v>
      </c>
      <c r="F3784">
        <v>199.16</v>
      </c>
      <c r="G3784">
        <v>118.66</v>
      </c>
      <c r="H3784">
        <v>367</v>
      </c>
      <c r="I3784" t="s">
        <v>25</v>
      </c>
      <c r="J3784">
        <v>2024</v>
      </c>
      <c r="K3784">
        <f t="shared" si="118"/>
        <v>80.5</v>
      </c>
      <c r="L3784" t="str">
        <f t="shared" si="119"/>
        <v>Banca Marchigiana|5|Risparmio</v>
      </c>
    </row>
    <row r="3785" spans="1:12" x14ac:dyDescent="0.25">
      <c r="A3785" t="s">
        <v>37</v>
      </c>
      <c r="B3785">
        <v>5</v>
      </c>
      <c r="C3785" t="s">
        <v>21</v>
      </c>
      <c r="D3785" s="1">
        <v>45443</v>
      </c>
      <c r="E3785">
        <v>3892.8</v>
      </c>
      <c r="F3785">
        <v>229.76</v>
      </c>
      <c r="G3785">
        <v>136.69999999999999</v>
      </c>
      <c r="H3785">
        <v>384</v>
      </c>
      <c r="I3785" t="s">
        <v>25</v>
      </c>
      <c r="J3785">
        <v>2024</v>
      </c>
      <c r="K3785">
        <f t="shared" si="118"/>
        <v>93.06</v>
      </c>
      <c r="L3785" t="str">
        <f t="shared" si="119"/>
        <v>Banca Marchigiana|5|Assicurazioni</v>
      </c>
    </row>
    <row r="3786" spans="1:12" x14ac:dyDescent="0.25">
      <c r="A3786" t="s">
        <v>37</v>
      </c>
      <c r="B3786">
        <v>6</v>
      </c>
      <c r="C3786" t="s">
        <v>13</v>
      </c>
      <c r="D3786" s="1">
        <v>45473</v>
      </c>
      <c r="E3786">
        <v>1057.0999999999999</v>
      </c>
      <c r="F3786">
        <v>48.29</v>
      </c>
      <c r="G3786">
        <v>29.73</v>
      </c>
      <c r="H3786">
        <v>113</v>
      </c>
      <c r="I3786" t="s">
        <v>25</v>
      </c>
      <c r="J3786">
        <v>2024</v>
      </c>
      <c r="K3786">
        <f t="shared" si="118"/>
        <v>18.559999999999999</v>
      </c>
      <c r="L3786" t="str">
        <f t="shared" si="119"/>
        <v>Banca Marchigiana|6|Mutui</v>
      </c>
    </row>
    <row r="3787" spans="1:12" x14ac:dyDescent="0.25">
      <c r="A3787" t="s">
        <v>37</v>
      </c>
      <c r="B3787">
        <v>6</v>
      </c>
      <c r="C3787" t="s">
        <v>15</v>
      </c>
      <c r="D3787" s="1">
        <v>45473</v>
      </c>
      <c r="E3787">
        <v>1500.8</v>
      </c>
      <c r="F3787">
        <v>71.180000000000007</v>
      </c>
      <c r="G3787">
        <v>44.07</v>
      </c>
      <c r="H3787">
        <v>171</v>
      </c>
      <c r="I3787" t="s">
        <v>25</v>
      </c>
      <c r="J3787">
        <v>2024</v>
      </c>
      <c r="K3787">
        <f t="shared" si="118"/>
        <v>27.110000000000007</v>
      </c>
      <c r="L3787" t="str">
        <f t="shared" si="119"/>
        <v>Banca Marchigiana|6|Prestiti</v>
      </c>
    </row>
    <row r="3788" spans="1:12" x14ac:dyDescent="0.25">
      <c r="A3788" t="s">
        <v>37</v>
      </c>
      <c r="B3788">
        <v>6</v>
      </c>
      <c r="C3788" t="s">
        <v>16</v>
      </c>
      <c r="D3788" s="1">
        <v>45473</v>
      </c>
      <c r="E3788">
        <v>1870.6</v>
      </c>
      <c r="F3788">
        <v>92.17</v>
      </c>
      <c r="G3788">
        <v>56.71</v>
      </c>
      <c r="H3788">
        <v>220</v>
      </c>
      <c r="I3788" t="s">
        <v>25</v>
      </c>
      <c r="J3788">
        <v>2024</v>
      </c>
      <c r="K3788">
        <f t="shared" si="118"/>
        <v>35.46</v>
      </c>
      <c r="L3788" t="str">
        <f t="shared" si="119"/>
        <v>Banca Marchigiana|6|Conti</v>
      </c>
    </row>
    <row r="3789" spans="1:12" x14ac:dyDescent="0.25">
      <c r="A3789" t="s">
        <v>37</v>
      </c>
      <c r="B3789">
        <v>6</v>
      </c>
      <c r="C3789" t="s">
        <v>17</v>
      </c>
      <c r="D3789" s="1">
        <v>45473</v>
      </c>
      <c r="E3789">
        <v>2279.1999999999998</v>
      </c>
      <c r="F3789">
        <v>116.36</v>
      </c>
      <c r="G3789">
        <v>71.55</v>
      </c>
      <c r="H3789">
        <v>233</v>
      </c>
      <c r="I3789" t="s">
        <v>25</v>
      </c>
      <c r="J3789">
        <v>2024</v>
      </c>
      <c r="K3789">
        <f t="shared" si="118"/>
        <v>44.81</v>
      </c>
      <c r="L3789" t="str">
        <f t="shared" si="119"/>
        <v>Banca Marchigiana|6|Carte</v>
      </c>
    </row>
    <row r="3790" spans="1:12" x14ac:dyDescent="0.25">
      <c r="A3790" t="s">
        <v>37</v>
      </c>
      <c r="B3790">
        <v>6</v>
      </c>
      <c r="C3790" t="s">
        <v>18</v>
      </c>
      <c r="D3790" s="1">
        <v>45473</v>
      </c>
      <c r="E3790">
        <v>2708.5</v>
      </c>
      <c r="F3790">
        <v>144.05000000000001</v>
      </c>
      <c r="G3790">
        <v>87.62</v>
      </c>
      <c r="H3790">
        <v>275</v>
      </c>
      <c r="I3790" t="s">
        <v>25</v>
      </c>
      <c r="J3790">
        <v>2024</v>
      </c>
      <c r="K3790">
        <f t="shared" si="118"/>
        <v>56.430000000000007</v>
      </c>
      <c r="L3790" t="str">
        <f t="shared" si="119"/>
        <v>Banca Marchigiana|6|Leasing</v>
      </c>
    </row>
    <row r="3791" spans="1:12" x14ac:dyDescent="0.25">
      <c r="A3791" t="s">
        <v>37</v>
      </c>
      <c r="B3791">
        <v>6</v>
      </c>
      <c r="C3791" t="s">
        <v>19</v>
      </c>
      <c r="D3791" s="1">
        <v>45473</v>
      </c>
      <c r="E3791">
        <v>3089.6</v>
      </c>
      <c r="F3791">
        <v>170.49</v>
      </c>
      <c r="G3791">
        <v>102.88</v>
      </c>
      <c r="H3791">
        <v>316</v>
      </c>
      <c r="I3791" t="s">
        <v>25</v>
      </c>
      <c r="J3791">
        <v>2024</v>
      </c>
      <c r="K3791">
        <f t="shared" si="118"/>
        <v>67.610000000000014</v>
      </c>
      <c r="L3791" t="str">
        <f t="shared" si="119"/>
        <v>Banca Marchigiana|6|Factoring</v>
      </c>
    </row>
    <row r="3792" spans="1:12" x14ac:dyDescent="0.25">
      <c r="A3792" t="s">
        <v>37</v>
      </c>
      <c r="B3792">
        <v>6</v>
      </c>
      <c r="C3792" t="s">
        <v>20</v>
      </c>
      <c r="D3792" s="1">
        <v>45473</v>
      </c>
      <c r="E3792">
        <v>3490.6</v>
      </c>
      <c r="F3792">
        <v>199.63</v>
      </c>
      <c r="G3792">
        <v>119.14</v>
      </c>
      <c r="H3792">
        <v>358</v>
      </c>
      <c r="I3792" t="s">
        <v>25</v>
      </c>
      <c r="J3792">
        <v>2024</v>
      </c>
      <c r="K3792">
        <f t="shared" si="118"/>
        <v>80.489999999999995</v>
      </c>
      <c r="L3792" t="str">
        <f t="shared" si="119"/>
        <v>Banca Marchigiana|6|Risparmio</v>
      </c>
    </row>
    <row r="3793" spans="1:12" x14ac:dyDescent="0.25">
      <c r="A3793" t="s">
        <v>37</v>
      </c>
      <c r="B3793">
        <v>6</v>
      </c>
      <c r="C3793" t="s">
        <v>21</v>
      </c>
      <c r="D3793" s="1">
        <v>45473</v>
      </c>
      <c r="E3793">
        <v>3951.6</v>
      </c>
      <c r="F3793">
        <v>233.31</v>
      </c>
      <c r="G3793">
        <v>138.81</v>
      </c>
      <c r="H3793">
        <v>413</v>
      </c>
      <c r="I3793" t="s">
        <v>25</v>
      </c>
      <c r="J3793">
        <v>2024</v>
      </c>
      <c r="K3793">
        <f t="shared" si="118"/>
        <v>94.5</v>
      </c>
      <c r="L3793" t="str">
        <f t="shared" si="119"/>
        <v>Banca Marchigiana|6|Assicurazioni</v>
      </c>
    </row>
    <row r="3794" spans="1:12" x14ac:dyDescent="0.25">
      <c r="A3794" t="s">
        <v>37</v>
      </c>
      <c r="B3794">
        <v>7</v>
      </c>
      <c r="C3794" t="s">
        <v>13</v>
      </c>
      <c r="D3794" s="1">
        <v>45504</v>
      </c>
      <c r="E3794">
        <v>1069.7</v>
      </c>
      <c r="F3794">
        <v>48.55</v>
      </c>
      <c r="G3794">
        <v>30.72</v>
      </c>
      <c r="H3794">
        <v>103</v>
      </c>
      <c r="I3794" t="s">
        <v>25</v>
      </c>
      <c r="J3794">
        <v>2024</v>
      </c>
      <c r="K3794">
        <f t="shared" si="118"/>
        <v>17.829999999999998</v>
      </c>
      <c r="L3794" t="str">
        <f t="shared" si="119"/>
        <v>Banca Marchigiana|7|Mutui</v>
      </c>
    </row>
    <row r="3795" spans="1:12" x14ac:dyDescent="0.25">
      <c r="A3795" t="s">
        <v>37</v>
      </c>
      <c r="B3795">
        <v>7</v>
      </c>
      <c r="C3795" t="s">
        <v>15</v>
      </c>
      <c r="D3795" s="1">
        <v>45504</v>
      </c>
      <c r="E3795">
        <v>1486.4</v>
      </c>
      <c r="F3795">
        <v>70.7</v>
      </c>
      <c r="G3795">
        <v>43.23</v>
      </c>
      <c r="H3795">
        <v>166</v>
      </c>
      <c r="I3795" t="s">
        <v>25</v>
      </c>
      <c r="J3795">
        <v>2024</v>
      </c>
      <c r="K3795">
        <f t="shared" si="118"/>
        <v>27.470000000000006</v>
      </c>
      <c r="L3795" t="str">
        <f t="shared" si="119"/>
        <v>Banca Marchigiana|7|Prestiti</v>
      </c>
    </row>
    <row r="3796" spans="1:12" x14ac:dyDescent="0.25">
      <c r="A3796" t="s">
        <v>37</v>
      </c>
      <c r="B3796">
        <v>7</v>
      </c>
      <c r="C3796" t="s">
        <v>16</v>
      </c>
      <c r="D3796" s="1">
        <v>45504</v>
      </c>
      <c r="E3796">
        <v>1908.4</v>
      </c>
      <c r="F3796">
        <v>93.69</v>
      </c>
      <c r="G3796">
        <v>57.35</v>
      </c>
      <c r="H3796">
        <v>209</v>
      </c>
      <c r="I3796" t="s">
        <v>25</v>
      </c>
      <c r="J3796">
        <v>2024</v>
      </c>
      <c r="K3796">
        <f t="shared" si="118"/>
        <v>36.339999999999996</v>
      </c>
      <c r="L3796" t="str">
        <f t="shared" si="119"/>
        <v>Banca Marchigiana|7|Conti</v>
      </c>
    </row>
    <row r="3797" spans="1:12" x14ac:dyDescent="0.25">
      <c r="A3797" t="s">
        <v>37</v>
      </c>
      <c r="B3797">
        <v>7</v>
      </c>
      <c r="C3797" t="s">
        <v>17</v>
      </c>
      <c r="D3797" s="1">
        <v>45504</v>
      </c>
      <c r="E3797">
        <v>2313.4</v>
      </c>
      <c r="F3797">
        <v>118.75</v>
      </c>
      <c r="G3797">
        <v>72.39</v>
      </c>
      <c r="H3797">
        <v>223</v>
      </c>
      <c r="I3797" t="s">
        <v>25</v>
      </c>
      <c r="J3797">
        <v>2024</v>
      </c>
      <c r="K3797">
        <f t="shared" si="118"/>
        <v>46.36</v>
      </c>
      <c r="L3797" t="str">
        <f t="shared" si="119"/>
        <v>Banca Marchigiana|7|Carte</v>
      </c>
    </row>
    <row r="3798" spans="1:12" x14ac:dyDescent="0.25">
      <c r="A3798" t="s">
        <v>37</v>
      </c>
      <c r="B3798">
        <v>7</v>
      </c>
      <c r="C3798" t="s">
        <v>18</v>
      </c>
      <c r="D3798" s="1">
        <v>45504</v>
      </c>
      <c r="E3798">
        <v>2742</v>
      </c>
      <c r="F3798">
        <v>146.04</v>
      </c>
      <c r="G3798">
        <v>87.8</v>
      </c>
      <c r="H3798">
        <v>284</v>
      </c>
      <c r="I3798" t="s">
        <v>25</v>
      </c>
      <c r="J3798">
        <v>2024</v>
      </c>
      <c r="K3798">
        <f t="shared" si="118"/>
        <v>58.239999999999995</v>
      </c>
      <c r="L3798" t="str">
        <f t="shared" si="119"/>
        <v>Banca Marchigiana|7|Leasing</v>
      </c>
    </row>
    <row r="3799" spans="1:12" x14ac:dyDescent="0.25">
      <c r="A3799" t="s">
        <v>37</v>
      </c>
      <c r="B3799">
        <v>7</v>
      </c>
      <c r="C3799" t="s">
        <v>19</v>
      </c>
      <c r="D3799" s="1">
        <v>45504</v>
      </c>
      <c r="E3799">
        <v>3154.9</v>
      </c>
      <c r="F3799">
        <v>173.57</v>
      </c>
      <c r="G3799">
        <v>104.14</v>
      </c>
      <c r="H3799">
        <v>297</v>
      </c>
      <c r="I3799" t="s">
        <v>25</v>
      </c>
      <c r="J3799">
        <v>2024</v>
      </c>
      <c r="K3799">
        <f t="shared" si="118"/>
        <v>69.429999999999993</v>
      </c>
      <c r="L3799" t="str">
        <f t="shared" si="119"/>
        <v>Banca Marchigiana|7|Factoring</v>
      </c>
    </row>
    <row r="3800" spans="1:12" x14ac:dyDescent="0.25">
      <c r="A3800" t="s">
        <v>37</v>
      </c>
      <c r="B3800">
        <v>7</v>
      </c>
      <c r="C3800" t="s">
        <v>20</v>
      </c>
      <c r="D3800" s="1">
        <v>45504</v>
      </c>
      <c r="E3800">
        <v>3554</v>
      </c>
      <c r="F3800">
        <v>203.2</v>
      </c>
      <c r="G3800">
        <v>121.76</v>
      </c>
      <c r="H3800">
        <v>344</v>
      </c>
      <c r="I3800" t="s">
        <v>25</v>
      </c>
      <c r="J3800">
        <v>2024</v>
      </c>
      <c r="K3800">
        <f t="shared" si="118"/>
        <v>81.439999999999984</v>
      </c>
      <c r="L3800" t="str">
        <f t="shared" si="119"/>
        <v>Banca Marchigiana|7|Risparmio</v>
      </c>
    </row>
    <row r="3801" spans="1:12" x14ac:dyDescent="0.25">
      <c r="A3801" t="s">
        <v>37</v>
      </c>
      <c r="B3801">
        <v>7</v>
      </c>
      <c r="C3801" t="s">
        <v>21</v>
      </c>
      <c r="D3801" s="1">
        <v>45504</v>
      </c>
      <c r="E3801">
        <v>3927.3</v>
      </c>
      <c r="F3801">
        <v>232.44</v>
      </c>
      <c r="G3801">
        <v>138.38</v>
      </c>
      <c r="H3801">
        <v>380</v>
      </c>
      <c r="I3801" t="s">
        <v>25</v>
      </c>
      <c r="J3801">
        <v>2024</v>
      </c>
      <c r="K3801">
        <f t="shared" si="118"/>
        <v>94.06</v>
      </c>
      <c r="L3801" t="str">
        <f t="shared" si="119"/>
        <v>Banca Marchigiana|7|Assicurazioni</v>
      </c>
    </row>
    <row r="3802" spans="1:12" x14ac:dyDescent="0.25">
      <c r="A3802" t="s">
        <v>37</v>
      </c>
      <c r="B3802">
        <v>8</v>
      </c>
      <c r="C3802" t="s">
        <v>13</v>
      </c>
      <c r="D3802" s="1">
        <v>45535</v>
      </c>
      <c r="E3802">
        <v>1112.5999999999999</v>
      </c>
      <c r="F3802">
        <v>50.51</v>
      </c>
      <c r="G3802">
        <v>31.47</v>
      </c>
      <c r="H3802">
        <v>142</v>
      </c>
      <c r="I3802" t="s">
        <v>25</v>
      </c>
      <c r="J3802">
        <v>2024</v>
      </c>
      <c r="K3802">
        <f t="shared" si="118"/>
        <v>19.04</v>
      </c>
      <c r="L3802" t="str">
        <f t="shared" si="119"/>
        <v>Banca Marchigiana|8|Mutui</v>
      </c>
    </row>
    <row r="3803" spans="1:12" x14ac:dyDescent="0.25">
      <c r="A3803" t="s">
        <v>37</v>
      </c>
      <c r="B3803">
        <v>8</v>
      </c>
      <c r="C3803" t="s">
        <v>15</v>
      </c>
      <c r="D3803" s="1">
        <v>45535</v>
      </c>
      <c r="E3803">
        <v>1512.5</v>
      </c>
      <c r="F3803">
        <v>71.66</v>
      </c>
      <c r="G3803">
        <v>44.62</v>
      </c>
      <c r="H3803">
        <v>147</v>
      </c>
      <c r="I3803" t="s">
        <v>25</v>
      </c>
      <c r="J3803">
        <v>2024</v>
      </c>
      <c r="K3803">
        <f t="shared" si="118"/>
        <v>27.04</v>
      </c>
      <c r="L3803" t="str">
        <f t="shared" si="119"/>
        <v>Banca Marchigiana|8|Prestiti</v>
      </c>
    </row>
    <row r="3804" spans="1:12" x14ac:dyDescent="0.25">
      <c r="A3804" t="s">
        <v>37</v>
      </c>
      <c r="B3804">
        <v>8</v>
      </c>
      <c r="C3804" t="s">
        <v>16</v>
      </c>
      <c r="D3804" s="1">
        <v>45535</v>
      </c>
      <c r="E3804">
        <v>1912.1</v>
      </c>
      <c r="F3804">
        <v>94.18</v>
      </c>
      <c r="G3804">
        <v>57.75</v>
      </c>
      <c r="H3804">
        <v>189</v>
      </c>
      <c r="I3804" t="s">
        <v>25</v>
      </c>
      <c r="J3804">
        <v>2024</v>
      </c>
      <c r="K3804">
        <f t="shared" si="118"/>
        <v>36.430000000000007</v>
      </c>
      <c r="L3804" t="str">
        <f t="shared" si="119"/>
        <v>Banca Marchigiana|8|Conti</v>
      </c>
    </row>
    <row r="3805" spans="1:12" x14ac:dyDescent="0.25">
      <c r="A3805" t="s">
        <v>37</v>
      </c>
      <c r="B3805">
        <v>8</v>
      </c>
      <c r="C3805" t="s">
        <v>17</v>
      </c>
      <c r="D3805" s="1">
        <v>45535</v>
      </c>
      <c r="E3805">
        <v>2343</v>
      </c>
      <c r="F3805">
        <v>119.85</v>
      </c>
      <c r="G3805">
        <v>72.73</v>
      </c>
      <c r="H3805">
        <v>226</v>
      </c>
      <c r="I3805" t="s">
        <v>25</v>
      </c>
      <c r="J3805">
        <v>2024</v>
      </c>
      <c r="K3805">
        <f t="shared" si="118"/>
        <v>47.11999999999999</v>
      </c>
      <c r="L3805" t="str">
        <f t="shared" si="119"/>
        <v>Banca Marchigiana|8|Carte</v>
      </c>
    </row>
    <row r="3806" spans="1:12" x14ac:dyDescent="0.25">
      <c r="A3806" t="s">
        <v>37</v>
      </c>
      <c r="B3806">
        <v>8</v>
      </c>
      <c r="C3806" t="s">
        <v>18</v>
      </c>
      <c r="D3806" s="1">
        <v>45535</v>
      </c>
      <c r="E3806">
        <v>2764.5</v>
      </c>
      <c r="F3806">
        <v>147.33000000000001</v>
      </c>
      <c r="G3806">
        <v>88.59</v>
      </c>
      <c r="H3806">
        <v>295</v>
      </c>
      <c r="I3806" t="s">
        <v>25</v>
      </c>
      <c r="J3806">
        <v>2024</v>
      </c>
      <c r="K3806">
        <f t="shared" si="118"/>
        <v>58.740000000000009</v>
      </c>
      <c r="L3806" t="str">
        <f t="shared" si="119"/>
        <v>Banca Marchigiana|8|Leasing</v>
      </c>
    </row>
    <row r="3807" spans="1:12" x14ac:dyDescent="0.25">
      <c r="A3807" t="s">
        <v>37</v>
      </c>
      <c r="B3807">
        <v>8</v>
      </c>
      <c r="C3807" t="s">
        <v>19</v>
      </c>
      <c r="D3807" s="1">
        <v>45535</v>
      </c>
      <c r="E3807">
        <v>3168</v>
      </c>
      <c r="F3807">
        <v>174.5</v>
      </c>
      <c r="G3807">
        <v>105.43</v>
      </c>
      <c r="H3807">
        <v>321</v>
      </c>
      <c r="I3807" t="s">
        <v>25</v>
      </c>
      <c r="J3807">
        <v>2024</v>
      </c>
      <c r="K3807">
        <f t="shared" si="118"/>
        <v>69.069999999999993</v>
      </c>
      <c r="L3807" t="str">
        <f t="shared" si="119"/>
        <v>Banca Marchigiana|8|Factoring</v>
      </c>
    </row>
    <row r="3808" spans="1:12" x14ac:dyDescent="0.25">
      <c r="A3808" t="s">
        <v>37</v>
      </c>
      <c r="B3808">
        <v>8</v>
      </c>
      <c r="C3808" t="s">
        <v>20</v>
      </c>
      <c r="D3808" s="1">
        <v>45535</v>
      </c>
      <c r="E3808">
        <v>3552</v>
      </c>
      <c r="F3808">
        <v>203.31</v>
      </c>
      <c r="G3808">
        <v>121.29</v>
      </c>
      <c r="H3808">
        <v>350</v>
      </c>
      <c r="I3808" t="s">
        <v>25</v>
      </c>
      <c r="J3808">
        <v>2024</v>
      </c>
      <c r="K3808">
        <f t="shared" si="118"/>
        <v>82.02</v>
      </c>
      <c r="L3808" t="str">
        <f t="shared" si="119"/>
        <v>Banca Marchigiana|8|Risparmio</v>
      </c>
    </row>
    <row r="3809" spans="1:12" x14ac:dyDescent="0.25">
      <c r="A3809" t="s">
        <v>37</v>
      </c>
      <c r="B3809">
        <v>8</v>
      </c>
      <c r="C3809" t="s">
        <v>21</v>
      </c>
      <c r="D3809" s="1">
        <v>45535</v>
      </c>
      <c r="E3809">
        <v>3991</v>
      </c>
      <c r="F3809">
        <v>235.86</v>
      </c>
      <c r="G3809">
        <v>139.76</v>
      </c>
      <c r="H3809">
        <v>378</v>
      </c>
      <c r="I3809" t="s">
        <v>25</v>
      </c>
      <c r="J3809">
        <v>2024</v>
      </c>
      <c r="K3809">
        <f t="shared" si="118"/>
        <v>96.100000000000023</v>
      </c>
      <c r="L3809" t="str">
        <f t="shared" si="119"/>
        <v>Banca Marchigiana|8|Assicurazioni</v>
      </c>
    </row>
    <row r="3810" spans="1:12" x14ac:dyDescent="0.25">
      <c r="A3810" t="s">
        <v>37</v>
      </c>
      <c r="B3810">
        <v>9</v>
      </c>
      <c r="C3810" t="s">
        <v>13</v>
      </c>
      <c r="D3810" s="1">
        <v>45565</v>
      </c>
      <c r="E3810">
        <v>1121.5999999999999</v>
      </c>
      <c r="F3810">
        <v>50.77</v>
      </c>
      <c r="G3810">
        <v>32.299999999999997</v>
      </c>
      <c r="H3810">
        <v>130</v>
      </c>
      <c r="I3810" t="s">
        <v>25</v>
      </c>
      <c r="J3810">
        <v>2024</v>
      </c>
      <c r="K3810">
        <f t="shared" si="118"/>
        <v>18.470000000000006</v>
      </c>
      <c r="L3810" t="str">
        <f t="shared" si="119"/>
        <v>Banca Marchigiana|9|Mutui</v>
      </c>
    </row>
    <row r="3811" spans="1:12" x14ac:dyDescent="0.25">
      <c r="A3811" t="s">
        <v>37</v>
      </c>
      <c r="B3811">
        <v>9</v>
      </c>
      <c r="C3811" t="s">
        <v>15</v>
      </c>
      <c r="D3811" s="1">
        <v>45565</v>
      </c>
      <c r="E3811">
        <v>1549.1</v>
      </c>
      <c r="F3811">
        <v>73.03</v>
      </c>
      <c r="G3811">
        <v>45.64</v>
      </c>
      <c r="H3811">
        <v>164</v>
      </c>
      <c r="I3811" t="s">
        <v>25</v>
      </c>
      <c r="J3811">
        <v>2024</v>
      </c>
      <c r="K3811">
        <f t="shared" si="118"/>
        <v>27.39</v>
      </c>
      <c r="L3811" t="str">
        <f t="shared" si="119"/>
        <v>Banca Marchigiana|9|Prestiti</v>
      </c>
    </row>
    <row r="3812" spans="1:12" x14ac:dyDescent="0.25">
      <c r="A3812" t="s">
        <v>37</v>
      </c>
      <c r="B3812">
        <v>9</v>
      </c>
      <c r="C3812" t="s">
        <v>16</v>
      </c>
      <c r="D3812" s="1">
        <v>45565</v>
      </c>
      <c r="E3812">
        <v>1928.7</v>
      </c>
      <c r="F3812">
        <v>95.13</v>
      </c>
      <c r="G3812">
        <v>58.6</v>
      </c>
      <c r="H3812">
        <v>195</v>
      </c>
      <c r="I3812" t="s">
        <v>25</v>
      </c>
      <c r="J3812">
        <v>2024</v>
      </c>
      <c r="K3812">
        <f t="shared" si="118"/>
        <v>36.529999999999994</v>
      </c>
      <c r="L3812" t="str">
        <f t="shared" si="119"/>
        <v>Banca Marchigiana|9|Conti</v>
      </c>
    </row>
    <row r="3813" spans="1:12" x14ac:dyDescent="0.25">
      <c r="A3813" t="s">
        <v>37</v>
      </c>
      <c r="B3813">
        <v>9</v>
      </c>
      <c r="C3813" t="s">
        <v>17</v>
      </c>
      <c r="D3813" s="1">
        <v>45565</v>
      </c>
      <c r="E3813">
        <v>2345.1</v>
      </c>
      <c r="F3813">
        <v>119.92</v>
      </c>
      <c r="G3813">
        <v>73.09</v>
      </c>
      <c r="H3813">
        <v>231</v>
      </c>
      <c r="I3813" t="s">
        <v>25</v>
      </c>
      <c r="J3813">
        <v>2024</v>
      </c>
      <c r="K3813">
        <f t="shared" si="118"/>
        <v>46.83</v>
      </c>
      <c r="L3813" t="str">
        <f t="shared" si="119"/>
        <v>Banca Marchigiana|9|Carte</v>
      </c>
    </row>
    <row r="3814" spans="1:12" x14ac:dyDescent="0.25">
      <c r="A3814" t="s">
        <v>37</v>
      </c>
      <c r="B3814">
        <v>9</v>
      </c>
      <c r="C3814" t="s">
        <v>18</v>
      </c>
      <c r="D3814" s="1">
        <v>45565</v>
      </c>
      <c r="E3814">
        <v>2774.7</v>
      </c>
      <c r="F3814">
        <v>147.74</v>
      </c>
      <c r="G3814">
        <v>88.94</v>
      </c>
      <c r="H3814">
        <v>295</v>
      </c>
      <c r="I3814" t="s">
        <v>25</v>
      </c>
      <c r="J3814">
        <v>2024</v>
      </c>
      <c r="K3814">
        <f t="shared" si="118"/>
        <v>58.800000000000011</v>
      </c>
      <c r="L3814" t="str">
        <f t="shared" si="119"/>
        <v>Banca Marchigiana|9|Leasing</v>
      </c>
    </row>
    <row r="3815" spans="1:12" x14ac:dyDescent="0.25">
      <c r="A3815" t="s">
        <v>37</v>
      </c>
      <c r="B3815">
        <v>9</v>
      </c>
      <c r="C3815" t="s">
        <v>19</v>
      </c>
      <c r="D3815" s="1">
        <v>45565</v>
      </c>
      <c r="E3815">
        <v>3174.7</v>
      </c>
      <c r="F3815">
        <v>175.58</v>
      </c>
      <c r="G3815">
        <v>104.78</v>
      </c>
      <c r="H3815">
        <v>319</v>
      </c>
      <c r="I3815" t="s">
        <v>25</v>
      </c>
      <c r="J3815">
        <v>2024</v>
      </c>
      <c r="K3815">
        <f t="shared" si="118"/>
        <v>70.800000000000011</v>
      </c>
      <c r="L3815" t="str">
        <f t="shared" si="119"/>
        <v>Banca Marchigiana|9|Factoring</v>
      </c>
    </row>
    <row r="3816" spans="1:12" x14ac:dyDescent="0.25">
      <c r="A3816" t="s">
        <v>37</v>
      </c>
      <c r="B3816">
        <v>9</v>
      </c>
      <c r="C3816" t="s">
        <v>20</v>
      </c>
      <c r="D3816" s="1">
        <v>45565</v>
      </c>
      <c r="E3816">
        <v>3601.2</v>
      </c>
      <c r="F3816">
        <v>205.56</v>
      </c>
      <c r="G3816">
        <v>123.42</v>
      </c>
      <c r="H3816">
        <v>354</v>
      </c>
      <c r="I3816" t="s">
        <v>25</v>
      </c>
      <c r="J3816">
        <v>2024</v>
      </c>
      <c r="K3816">
        <f t="shared" si="118"/>
        <v>82.14</v>
      </c>
      <c r="L3816" t="str">
        <f t="shared" si="119"/>
        <v>Banca Marchigiana|9|Risparmio</v>
      </c>
    </row>
    <row r="3817" spans="1:12" x14ac:dyDescent="0.25">
      <c r="A3817" t="s">
        <v>37</v>
      </c>
      <c r="B3817">
        <v>9</v>
      </c>
      <c r="C3817" t="s">
        <v>21</v>
      </c>
      <c r="D3817" s="1">
        <v>45565</v>
      </c>
      <c r="E3817">
        <v>4035</v>
      </c>
      <c r="F3817">
        <v>238.98</v>
      </c>
      <c r="G3817">
        <v>141.66999999999999</v>
      </c>
      <c r="H3817">
        <v>412</v>
      </c>
      <c r="I3817" t="s">
        <v>25</v>
      </c>
      <c r="J3817">
        <v>2024</v>
      </c>
      <c r="K3817">
        <f t="shared" si="118"/>
        <v>97.31</v>
      </c>
      <c r="L3817" t="str">
        <f t="shared" si="119"/>
        <v>Banca Marchigiana|9|Assicurazioni</v>
      </c>
    </row>
    <row r="3818" spans="1:12" x14ac:dyDescent="0.25">
      <c r="A3818" t="s">
        <v>37</v>
      </c>
      <c r="B3818">
        <v>10</v>
      </c>
      <c r="C3818" t="s">
        <v>13</v>
      </c>
      <c r="D3818" s="1">
        <v>45596</v>
      </c>
      <c r="E3818">
        <v>1103.7</v>
      </c>
      <c r="F3818">
        <v>50.21</v>
      </c>
      <c r="G3818">
        <v>31.23</v>
      </c>
      <c r="H3818">
        <v>113</v>
      </c>
      <c r="I3818" t="s">
        <v>25</v>
      </c>
      <c r="J3818">
        <v>2024</v>
      </c>
      <c r="K3818">
        <f t="shared" si="118"/>
        <v>18.98</v>
      </c>
      <c r="L3818" t="str">
        <f t="shared" si="119"/>
        <v>Banca Marchigiana|10|Mutui</v>
      </c>
    </row>
    <row r="3819" spans="1:12" x14ac:dyDescent="0.25">
      <c r="A3819" t="s">
        <v>37</v>
      </c>
      <c r="B3819">
        <v>10</v>
      </c>
      <c r="C3819" t="s">
        <v>15</v>
      </c>
      <c r="D3819" s="1">
        <v>45596</v>
      </c>
      <c r="E3819">
        <v>1522.4</v>
      </c>
      <c r="F3819">
        <v>71.66</v>
      </c>
      <c r="G3819">
        <v>44.31</v>
      </c>
      <c r="H3819">
        <v>181</v>
      </c>
      <c r="I3819" t="s">
        <v>25</v>
      </c>
      <c r="J3819">
        <v>2024</v>
      </c>
      <c r="K3819">
        <f t="shared" si="118"/>
        <v>27.349999999999994</v>
      </c>
      <c r="L3819" t="str">
        <f t="shared" si="119"/>
        <v>Banca Marchigiana|10|Prestiti</v>
      </c>
    </row>
    <row r="3820" spans="1:12" x14ac:dyDescent="0.25">
      <c r="A3820" t="s">
        <v>37</v>
      </c>
      <c r="B3820">
        <v>10</v>
      </c>
      <c r="C3820" t="s">
        <v>16</v>
      </c>
      <c r="D3820" s="1">
        <v>45596</v>
      </c>
      <c r="E3820">
        <v>1942</v>
      </c>
      <c r="F3820">
        <v>96.16</v>
      </c>
      <c r="G3820">
        <v>59.01</v>
      </c>
      <c r="H3820">
        <v>200</v>
      </c>
      <c r="I3820" t="s">
        <v>25</v>
      </c>
      <c r="J3820">
        <v>2024</v>
      </c>
      <c r="K3820">
        <f t="shared" si="118"/>
        <v>37.15</v>
      </c>
      <c r="L3820" t="str">
        <f t="shared" si="119"/>
        <v>Banca Marchigiana|10|Conti</v>
      </c>
    </row>
    <row r="3821" spans="1:12" x14ac:dyDescent="0.25">
      <c r="A3821" t="s">
        <v>37</v>
      </c>
      <c r="B3821">
        <v>10</v>
      </c>
      <c r="C3821" t="s">
        <v>17</v>
      </c>
      <c r="D3821" s="1">
        <v>45596</v>
      </c>
      <c r="E3821">
        <v>2392.6</v>
      </c>
      <c r="F3821">
        <v>122.16</v>
      </c>
      <c r="G3821">
        <v>75.14</v>
      </c>
      <c r="H3821">
        <v>231</v>
      </c>
      <c r="I3821" t="s">
        <v>25</v>
      </c>
      <c r="J3821">
        <v>2024</v>
      </c>
      <c r="K3821">
        <f t="shared" si="118"/>
        <v>47.019999999999996</v>
      </c>
      <c r="L3821" t="str">
        <f t="shared" si="119"/>
        <v>Banca Marchigiana|10|Carte</v>
      </c>
    </row>
    <row r="3822" spans="1:12" x14ac:dyDescent="0.25">
      <c r="A3822" t="s">
        <v>37</v>
      </c>
      <c r="B3822">
        <v>10</v>
      </c>
      <c r="C3822" t="s">
        <v>18</v>
      </c>
      <c r="D3822" s="1">
        <v>45596</v>
      </c>
      <c r="E3822">
        <v>2761.9</v>
      </c>
      <c r="F3822">
        <v>146.59</v>
      </c>
      <c r="G3822">
        <v>88.54</v>
      </c>
      <c r="H3822">
        <v>297</v>
      </c>
      <c r="I3822" t="s">
        <v>25</v>
      </c>
      <c r="J3822">
        <v>2024</v>
      </c>
      <c r="K3822">
        <f t="shared" si="118"/>
        <v>58.05</v>
      </c>
      <c r="L3822" t="str">
        <f t="shared" si="119"/>
        <v>Banca Marchigiana|10|Leasing</v>
      </c>
    </row>
    <row r="3823" spans="1:12" x14ac:dyDescent="0.25">
      <c r="A3823" t="s">
        <v>37</v>
      </c>
      <c r="B3823">
        <v>10</v>
      </c>
      <c r="C3823" t="s">
        <v>19</v>
      </c>
      <c r="D3823" s="1">
        <v>45596</v>
      </c>
      <c r="E3823">
        <v>3235.2</v>
      </c>
      <c r="F3823">
        <v>178.59</v>
      </c>
      <c r="G3823">
        <v>107.05</v>
      </c>
      <c r="H3823">
        <v>315</v>
      </c>
      <c r="I3823" t="s">
        <v>25</v>
      </c>
      <c r="J3823">
        <v>2024</v>
      </c>
      <c r="K3823">
        <f t="shared" si="118"/>
        <v>71.540000000000006</v>
      </c>
      <c r="L3823" t="str">
        <f t="shared" si="119"/>
        <v>Banca Marchigiana|10|Factoring</v>
      </c>
    </row>
    <row r="3824" spans="1:12" x14ac:dyDescent="0.25">
      <c r="A3824" t="s">
        <v>37</v>
      </c>
      <c r="B3824">
        <v>10</v>
      </c>
      <c r="C3824" t="s">
        <v>20</v>
      </c>
      <c r="D3824" s="1">
        <v>45596</v>
      </c>
      <c r="E3824">
        <v>3613.1</v>
      </c>
      <c r="F3824">
        <v>206.83</v>
      </c>
      <c r="G3824">
        <v>123.27</v>
      </c>
      <c r="H3824">
        <v>336</v>
      </c>
      <c r="I3824" t="s">
        <v>25</v>
      </c>
      <c r="J3824">
        <v>2024</v>
      </c>
      <c r="K3824">
        <f t="shared" si="118"/>
        <v>83.560000000000016</v>
      </c>
      <c r="L3824" t="str">
        <f t="shared" si="119"/>
        <v>Banca Marchigiana|10|Risparmio</v>
      </c>
    </row>
    <row r="3825" spans="1:12" x14ac:dyDescent="0.25">
      <c r="A3825" t="s">
        <v>37</v>
      </c>
      <c r="B3825">
        <v>10</v>
      </c>
      <c r="C3825" t="s">
        <v>21</v>
      </c>
      <c r="D3825" s="1">
        <v>45596</v>
      </c>
      <c r="E3825">
        <v>4068.1</v>
      </c>
      <c r="F3825">
        <v>240.37</v>
      </c>
      <c r="G3825">
        <v>143.28</v>
      </c>
      <c r="H3825">
        <v>398</v>
      </c>
      <c r="I3825" t="s">
        <v>25</v>
      </c>
      <c r="J3825">
        <v>2024</v>
      </c>
      <c r="K3825">
        <f t="shared" si="118"/>
        <v>97.09</v>
      </c>
      <c r="L3825" t="str">
        <f t="shared" si="119"/>
        <v>Banca Marchigiana|10|Assicurazioni</v>
      </c>
    </row>
    <row r="3826" spans="1:12" x14ac:dyDescent="0.25">
      <c r="A3826" t="s">
        <v>37</v>
      </c>
      <c r="B3826">
        <v>11</v>
      </c>
      <c r="C3826" t="s">
        <v>13</v>
      </c>
      <c r="D3826" s="1">
        <v>45626</v>
      </c>
      <c r="E3826">
        <v>1097</v>
      </c>
      <c r="F3826">
        <v>50.18</v>
      </c>
      <c r="G3826">
        <v>30.75</v>
      </c>
      <c r="H3826">
        <v>111</v>
      </c>
      <c r="I3826" t="s">
        <v>25</v>
      </c>
      <c r="J3826">
        <v>2024</v>
      </c>
      <c r="K3826">
        <f t="shared" si="118"/>
        <v>19.43</v>
      </c>
      <c r="L3826" t="str">
        <f t="shared" si="119"/>
        <v>Banca Marchigiana|11|Mutui</v>
      </c>
    </row>
    <row r="3827" spans="1:12" x14ac:dyDescent="0.25">
      <c r="A3827" t="s">
        <v>37</v>
      </c>
      <c r="B3827">
        <v>11</v>
      </c>
      <c r="C3827" t="s">
        <v>15</v>
      </c>
      <c r="D3827" s="1">
        <v>45626</v>
      </c>
      <c r="E3827">
        <v>1563.8</v>
      </c>
      <c r="F3827">
        <v>74.040000000000006</v>
      </c>
      <c r="G3827">
        <v>45.84</v>
      </c>
      <c r="H3827">
        <v>164</v>
      </c>
      <c r="I3827" t="s">
        <v>25</v>
      </c>
      <c r="J3827">
        <v>2024</v>
      </c>
      <c r="K3827">
        <f t="shared" si="118"/>
        <v>28.200000000000003</v>
      </c>
      <c r="L3827" t="str">
        <f t="shared" si="119"/>
        <v>Banca Marchigiana|11|Prestiti</v>
      </c>
    </row>
    <row r="3828" spans="1:12" x14ac:dyDescent="0.25">
      <c r="A3828" t="s">
        <v>37</v>
      </c>
      <c r="B3828">
        <v>11</v>
      </c>
      <c r="C3828" t="s">
        <v>16</v>
      </c>
      <c r="D3828" s="1">
        <v>45626</v>
      </c>
      <c r="E3828">
        <v>1975.6</v>
      </c>
      <c r="F3828">
        <v>97.75</v>
      </c>
      <c r="G3828">
        <v>59.4</v>
      </c>
      <c r="H3828">
        <v>216</v>
      </c>
      <c r="I3828" t="s">
        <v>25</v>
      </c>
      <c r="J3828">
        <v>2024</v>
      </c>
      <c r="K3828">
        <f t="shared" si="118"/>
        <v>38.35</v>
      </c>
      <c r="L3828" t="str">
        <f t="shared" si="119"/>
        <v>Banca Marchigiana|11|Conti</v>
      </c>
    </row>
    <row r="3829" spans="1:12" x14ac:dyDescent="0.25">
      <c r="A3829" t="s">
        <v>37</v>
      </c>
      <c r="B3829">
        <v>11</v>
      </c>
      <c r="C3829" t="s">
        <v>17</v>
      </c>
      <c r="D3829" s="1">
        <v>45626</v>
      </c>
      <c r="E3829">
        <v>2412.4</v>
      </c>
      <c r="F3829">
        <v>123.42</v>
      </c>
      <c r="G3829">
        <v>75.13</v>
      </c>
      <c r="H3829">
        <v>229</v>
      </c>
      <c r="I3829" t="s">
        <v>25</v>
      </c>
      <c r="J3829">
        <v>2024</v>
      </c>
      <c r="K3829">
        <f t="shared" si="118"/>
        <v>48.290000000000006</v>
      </c>
      <c r="L3829" t="str">
        <f t="shared" si="119"/>
        <v>Banca Marchigiana|11|Carte</v>
      </c>
    </row>
    <row r="3830" spans="1:12" x14ac:dyDescent="0.25">
      <c r="A3830" t="s">
        <v>37</v>
      </c>
      <c r="B3830">
        <v>11</v>
      </c>
      <c r="C3830" t="s">
        <v>18</v>
      </c>
      <c r="D3830" s="1">
        <v>45626</v>
      </c>
      <c r="E3830">
        <v>2821.8</v>
      </c>
      <c r="F3830">
        <v>150.38</v>
      </c>
      <c r="G3830">
        <v>90.98</v>
      </c>
      <c r="H3830">
        <v>284</v>
      </c>
      <c r="I3830" t="s">
        <v>25</v>
      </c>
      <c r="J3830">
        <v>2024</v>
      </c>
      <c r="K3830">
        <f t="shared" si="118"/>
        <v>59.399999999999991</v>
      </c>
      <c r="L3830" t="str">
        <f t="shared" si="119"/>
        <v>Banca Marchigiana|11|Leasing</v>
      </c>
    </row>
    <row r="3831" spans="1:12" x14ac:dyDescent="0.25">
      <c r="A3831" t="s">
        <v>37</v>
      </c>
      <c r="B3831">
        <v>11</v>
      </c>
      <c r="C3831" t="s">
        <v>19</v>
      </c>
      <c r="D3831" s="1">
        <v>45626</v>
      </c>
      <c r="E3831">
        <v>3257.2</v>
      </c>
      <c r="F3831">
        <v>179.72</v>
      </c>
      <c r="G3831">
        <v>108.22</v>
      </c>
      <c r="H3831">
        <v>318</v>
      </c>
      <c r="I3831" t="s">
        <v>25</v>
      </c>
      <c r="J3831">
        <v>2024</v>
      </c>
      <c r="K3831">
        <f t="shared" si="118"/>
        <v>71.5</v>
      </c>
      <c r="L3831" t="str">
        <f t="shared" si="119"/>
        <v>Banca Marchigiana|11|Factoring</v>
      </c>
    </row>
    <row r="3832" spans="1:12" x14ac:dyDescent="0.25">
      <c r="A3832" t="s">
        <v>37</v>
      </c>
      <c r="B3832">
        <v>11</v>
      </c>
      <c r="C3832" t="s">
        <v>20</v>
      </c>
      <c r="D3832" s="1">
        <v>45626</v>
      </c>
      <c r="E3832">
        <v>3656.5</v>
      </c>
      <c r="F3832">
        <v>208.66</v>
      </c>
      <c r="G3832">
        <v>124.68</v>
      </c>
      <c r="H3832">
        <v>346</v>
      </c>
      <c r="I3832" t="s">
        <v>25</v>
      </c>
      <c r="J3832">
        <v>2024</v>
      </c>
      <c r="K3832">
        <f t="shared" si="118"/>
        <v>83.97999999999999</v>
      </c>
      <c r="L3832" t="str">
        <f t="shared" si="119"/>
        <v>Banca Marchigiana|11|Risparmio</v>
      </c>
    </row>
    <row r="3833" spans="1:12" x14ac:dyDescent="0.25">
      <c r="A3833" t="s">
        <v>37</v>
      </c>
      <c r="B3833">
        <v>11</v>
      </c>
      <c r="C3833" t="s">
        <v>21</v>
      </c>
      <c r="D3833" s="1">
        <v>45626</v>
      </c>
      <c r="E3833">
        <v>4061.4</v>
      </c>
      <c r="F3833">
        <v>239.8</v>
      </c>
      <c r="G3833">
        <v>143.09</v>
      </c>
      <c r="H3833">
        <v>380</v>
      </c>
      <c r="I3833" t="s">
        <v>25</v>
      </c>
      <c r="J3833">
        <v>2024</v>
      </c>
      <c r="K3833">
        <f t="shared" si="118"/>
        <v>96.710000000000008</v>
      </c>
      <c r="L3833" t="str">
        <f t="shared" si="119"/>
        <v>Banca Marchigiana|11|Assicurazioni</v>
      </c>
    </row>
    <row r="3834" spans="1:12" x14ac:dyDescent="0.25">
      <c r="A3834" t="s">
        <v>37</v>
      </c>
      <c r="B3834">
        <v>12</v>
      </c>
      <c r="C3834" t="s">
        <v>13</v>
      </c>
      <c r="D3834" s="1">
        <v>45657</v>
      </c>
      <c r="E3834">
        <v>1139.5999999999999</v>
      </c>
      <c r="F3834">
        <v>51.44</v>
      </c>
      <c r="G3834">
        <v>32.64</v>
      </c>
      <c r="H3834">
        <v>135</v>
      </c>
      <c r="I3834" t="s">
        <v>25</v>
      </c>
      <c r="J3834">
        <v>2024</v>
      </c>
      <c r="K3834">
        <f t="shared" si="118"/>
        <v>18.799999999999997</v>
      </c>
      <c r="L3834" t="str">
        <f t="shared" si="119"/>
        <v>Banca Marchigiana|12|Mutui</v>
      </c>
    </row>
    <row r="3835" spans="1:12" x14ac:dyDescent="0.25">
      <c r="A3835" t="s">
        <v>37</v>
      </c>
      <c r="B3835">
        <v>12</v>
      </c>
      <c r="C3835" t="s">
        <v>15</v>
      </c>
      <c r="D3835" s="1">
        <v>45657</v>
      </c>
      <c r="E3835">
        <v>1550.3</v>
      </c>
      <c r="F3835">
        <v>73.61</v>
      </c>
      <c r="G3835">
        <v>45.5</v>
      </c>
      <c r="H3835">
        <v>145</v>
      </c>
      <c r="I3835" t="s">
        <v>25</v>
      </c>
      <c r="J3835">
        <v>2024</v>
      </c>
      <c r="K3835">
        <f t="shared" si="118"/>
        <v>28.11</v>
      </c>
      <c r="L3835" t="str">
        <f t="shared" si="119"/>
        <v>Banca Marchigiana|12|Prestiti</v>
      </c>
    </row>
    <row r="3836" spans="1:12" x14ac:dyDescent="0.25">
      <c r="A3836" t="s">
        <v>37</v>
      </c>
      <c r="B3836">
        <v>12</v>
      </c>
      <c r="C3836" t="s">
        <v>16</v>
      </c>
      <c r="D3836" s="1">
        <v>45657</v>
      </c>
      <c r="E3836">
        <v>1979.1</v>
      </c>
      <c r="F3836">
        <v>96.98</v>
      </c>
      <c r="G3836">
        <v>60.01</v>
      </c>
      <c r="H3836">
        <v>216</v>
      </c>
      <c r="I3836" t="s">
        <v>25</v>
      </c>
      <c r="J3836">
        <v>2024</v>
      </c>
      <c r="K3836">
        <f t="shared" si="118"/>
        <v>36.970000000000006</v>
      </c>
      <c r="L3836" t="str">
        <f t="shared" si="119"/>
        <v>Banca Marchigiana|12|Conti</v>
      </c>
    </row>
    <row r="3837" spans="1:12" x14ac:dyDescent="0.25">
      <c r="A3837" t="s">
        <v>37</v>
      </c>
      <c r="B3837">
        <v>12</v>
      </c>
      <c r="C3837" t="s">
        <v>17</v>
      </c>
      <c r="D3837" s="1">
        <v>45657</v>
      </c>
      <c r="E3837">
        <v>2397.4</v>
      </c>
      <c r="F3837">
        <v>122.39</v>
      </c>
      <c r="G3837">
        <v>74.69</v>
      </c>
      <c r="H3837">
        <v>229</v>
      </c>
      <c r="I3837" t="s">
        <v>25</v>
      </c>
      <c r="J3837">
        <v>2024</v>
      </c>
      <c r="K3837">
        <f t="shared" si="118"/>
        <v>47.7</v>
      </c>
      <c r="L3837" t="str">
        <f t="shared" si="119"/>
        <v>Banca Marchigiana|12|Carte</v>
      </c>
    </row>
    <row r="3838" spans="1:12" x14ac:dyDescent="0.25">
      <c r="A3838" t="s">
        <v>37</v>
      </c>
      <c r="B3838">
        <v>12</v>
      </c>
      <c r="C3838" t="s">
        <v>18</v>
      </c>
      <c r="D3838" s="1">
        <v>45657</v>
      </c>
      <c r="E3838">
        <v>2856.6</v>
      </c>
      <c r="F3838">
        <v>152.21</v>
      </c>
      <c r="G3838">
        <v>92.35</v>
      </c>
      <c r="H3838">
        <v>296</v>
      </c>
      <c r="I3838" t="s">
        <v>25</v>
      </c>
      <c r="J3838">
        <v>2024</v>
      </c>
      <c r="K3838">
        <f t="shared" si="118"/>
        <v>59.860000000000014</v>
      </c>
      <c r="L3838" t="str">
        <f t="shared" si="119"/>
        <v>Banca Marchigiana|12|Leasing</v>
      </c>
    </row>
    <row r="3839" spans="1:12" x14ac:dyDescent="0.25">
      <c r="A3839" t="s">
        <v>37</v>
      </c>
      <c r="B3839">
        <v>12</v>
      </c>
      <c r="C3839" t="s">
        <v>19</v>
      </c>
      <c r="D3839" s="1">
        <v>45657</v>
      </c>
      <c r="E3839">
        <v>3268.8</v>
      </c>
      <c r="F3839">
        <v>180.37</v>
      </c>
      <c r="G3839">
        <v>108.75</v>
      </c>
      <c r="H3839">
        <v>319</v>
      </c>
      <c r="I3839" t="s">
        <v>25</v>
      </c>
      <c r="J3839">
        <v>2024</v>
      </c>
      <c r="K3839">
        <f t="shared" si="118"/>
        <v>71.62</v>
      </c>
      <c r="L3839" t="str">
        <f t="shared" si="119"/>
        <v>Banca Marchigiana|12|Factoring</v>
      </c>
    </row>
    <row r="3840" spans="1:12" x14ac:dyDescent="0.25">
      <c r="A3840" t="s">
        <v>37</v>
      </c>
      <c r="B3840">
        <v>12</v>
      </c>
      <c r="C3840" t="s">
        <v>20</v>
      </c>
      <c r="D3840" s="1">
        <v>45657</v>
      </c>
      <c r="E3840">
        <v>3668.7</v>
      </c>
      <c r="F3840">
        <v>209.56</v>
      </c>
      <c r="G3840">
        <v>124.93</v>
      </c>
      <c r="H3840">
        <v>360</v>
      </c>
      <c r="I3840" t="s">
        <v>25</v>
      </c>
      <c r="J3840">
        <v>2024</v>
      </c>
      <c r="K3840">
        <f t="shared" si="118"/>
        <v>84.63</v>
      </c>
      <c r="L3840" t="str">
        <f t="shared" si="119"/>
        <v>Banca Marchigiana|12|Risparmio</v>
      </c>
    </row>
    <row r="3841" spans="1:12" x14ac:dyDescent="0.25">
      <c r="A3841" t="s">
        <v>37</v>
      </c>
      <c r="B3841">
        <v>12</v>
      </c>
      <c r="C3841" t="s">
        <v>21</v>
      </c>
      <c r="D3841" s="1">
        <v>45657</v>
      </c>
      <c r="E3841">
        <v>4112.2</v>
      </c>
      <c r="F3841">
        <v>242.71</v>
      </c>
      <c r="G3841">
        <v>144.79</v>
      </c>
      <c r="H3841">
        <v>384</v>
      </c>
      <c r="I3841" t="s">
        <v>25</v>
      </c>
      <c r="J3841">
        <v>2024</v>
      </c>
      <c r="K3841">
        <f t="shared" si="118"/>
        <v>97.920000000000016</v>
      </c>
      <c r="L3841" t="str">
        <f t="shared" si="119"/>
        <v>Banca Marchigiana|12|Assicurazioni</v>
      </c>
    </row>
    <row r="3842" spans="1:12" x14ac:dyDescent="0.25">
      <c r="A3842" t="s">
        <v>37</v>
      </c>
      <c r="B3842">
        <v>13</v>
      </c>
      <c r="C3842" t="s">
        <v>13</v>
      </c>
      <c r="D3842" s="1">
        <v>45688</v>
      </c>
      <c r="E3842">
        <v>1139.9000000000001</v>
      </c>
      <c r="F3842">
        <v>51.33</v>
      </c>
      <c r="G3842">
        <v>32.58</v>
      </c>
      <c r="H3842">
        <v>105</v>
      </c>
      <c r="I3842" t="s">
        <v>25</v>
      </c>
      <c r="J3842">
        <v>2025</v>
      </c>
      <c r="K3842">
        <f t="shared" ref="K3842:K3905" si="120">F3842-G3842</f>
        <v>18.75</v>
      </c>
      <c r="L3842" t="str">
        <f t="shared" ref="L3842:L3905" si="121">A3842&amp;"|"&amp;B3842&amp;"|"&amp;C3842</f>
        <v>Banca Marchigiana|13|Mutui</v>
      </c>
    </row>
    <row r="3843" spans="1:12" x14ac:dyDescent="0.25">
      <c r="A3843" t="s">
        <v>37</v>
      </c>
      <c r="B3843">
        <v>13</v>
      </c>
      <c r="C3843" t="s">
        <v>15</v>
      </c>
      <c r="D3843" s="1">
        <v>45688</v>
      </c>
      <c r="E3843">
        <v>1578.1</v>
      </c>
      <c r="F3843">
        <v>74.77</v>
      </c>
      <c r="G3843">
        <v>46.24</v>
      </c>
      <c r="H3843">
        <v>176</v>
      </c>
      <c r="I3843" t="s">
        <v>25</v>
      </c>
      <c r="J3843">
        <v>2025</v>
      </c>
      <c r="K3843">
        <f t="shared" si="120"/>
        <v>28.529999999999994</v>
      </c>
      <c r="L3843" t="str">
        <f t="shared" si="121"/>
        <v>Banca Marchigiana|13|Prestiti</v>
      </c>
    </row>
    <row r="3844" spans="1:12" x14ac:dyDescent="0.25">
      <c r="A3844" t="s">
        <v>37</v>
      </c>
      <c r="B3844">
        <v>13</v>
      </c>
      <c r="C3844" t="s">
        <v>16</v>
      </c>
      <c r="D3844" s="1">
        <v>45688</v>
      </c>
      <c r="E3844">
        <v>1987</v>
      </c>
      <c r="F3844">
        <v>98.17</v>
      </c>
      <c r="G3844">
        <v>60.29</v>
      </c>
      <c r="H3844">
        <v>188</v>
      </c>
      <c r="I3844" t="s">
        <v>25</v>
      </c>
      <c r="J3844">
        <v>2025</v>
      </c>
      <c r="K3844">
        <f t="shared" si="120"/>
        <v>37.880000000000003</v>
      </c>
      <c r="L3844" t="str">
        <f t="shared" si="121"/>
        <v>Banca Marchigiana|13|Conti</v>
      </c>
    </row>
    <row r="3845" spans="1:12" x14ac:dyDescent="0.25">
      <c r="A3845" t="s">
        <v>37</v>
      </c>
      <c r="B3845">
        <v>13</v>
      </c>
      <c r="C3845" t="s">
        <v>17</v>
      </c>
      <c r="D3845" s="1">
        <v>45688</v>
      </c>
      <c r="E3845">
        <v>2443.1999999999998</v>
      </c>
      <c r="F3845">
        <v>124.82</v>
      </c>
      <c r="G3845">
        <v>76.510000000000005</v>
      </c>
      <c r="H3845">
        <v>221</v>
      </c>
      <c r="I3845" t="s">
        <v>25</v>
      </c>
      <c r="J3845">
        <v>2025</v>
      </c>
      <c r="K3845">
        <f t="shared" si="120"/>
        <v>48.309999999999988</v>
      </c>
      <c r="L3845" t="str">
        <f t="shared" si="121"/>
        <v>Banca Marchigiana|13|Carte</v>
      </c>
    </row>
    <row r="3846" spans="1:12" x14ac:dyDescent="0.25">
      <c r="A3846" t="s">
        <v>37</v>
      </c>
      <c r="B3846">
        <v>13</v>
      </c>
      <c r="C3846" t="s">
        <v>18</v>
      </c>
      <c r="D3846" s="1">
        <v>45688</v>
      </c>
      <c r="E3846">
        <v>2863.3</v>
      </c>
      <c r="F3846">
        <v>152.62</v>
      </c>
      <c r="G3846">
        <v>92.6</v>
      </c>
      <c r="H3846">
        <v>286</v>
      </c>
      <c r="I3846" t="s">
        <v>25</v>
      </c>
      <c r="J3846">
        <v>2025</v>
      </c>
      <c r="K3846">
        <f t="shared" si="120"/>
        <v>60.02000000000001</v>
      </c>
      <c r="L3846" t="str">
        <f t="shared" si="121"/>
        <v>Banca Marchigiana|13|Leasing</v>
      </c>
    </row>
    <row r="3847" spans="1:12" x14ac:dyDescent="0.25">
      <c r="A3847" t="s">
        <v>37</v>
      </c>
      <c r="B3847">
        <v>13</v>
      </c>
      <c r="C3847" t="s">
        <v>19</v>
      </c>
      <c r="D3847" s="1">
        <v>45688</v>
      </c>
      <c r="E3847">
        <v>3257.3</v>
      </c>
      <c r="F3847">
        <v>179.96</v>
      </c>
      <c r="G3847">
        <v>107.51</v>
      </c>
      <c r="H3847">
        <v>305</v>
      </c>
      <c r="I3847" t="s">
        <v>25</v>
      </c>
      <c r="J3847">
        <v>2025</v>
      </c>
      <c r="K3847">
        <f t="shared" si="120"/>
        <v>72.45</v>
      </c>
      <c r="L3847" t="str">
        <f t="shared" si="121"/>
        <v>Banca Marchigiana|13|Factoring</v>
      </c>
    </row>
    <row r="3848" spans="1:12" x14ac:dyDescent="0.25">
      <c r="A3848" t="s">
        <v>37</v>
      </c>
      <c r="B3848">
        <v>13</v>
      </c>
      <c r="C3848" t="s">
        <v>20</v>
      </c>
      <c r="D3848" s="1">
        <v>45688</v>
      </c>
      <c r="E3848">
        <v>3727.1</v>
      </c>
      <c r="F3848">
        <v>212.7</v>
      </c>
      <c r="G3848">
        <v>126.84</v>
      </c>
      <c r="H3848">
        <v>366</v>
      </c>
      <c r="I3848" t="s">
        <v>25</v>
      </c>
      <c r="J3848">
        <v>2025</v>
      </c>
      <c r="K3848">
        <f t="shared" si="120"/>
        <v>85.859999999999985</v>
      </c>
      <c r="L3848" t="str">
        <f t="shared" si="121"/>
        <v>Banca Marchigiana|13|Risparmio</v>
      </c>
    </row>
    <row r="3849" spans="1:12" x14ac:dyDescent="0.25">
      <c r="A3849" t="s">
        <v>37</v>
      </c>
      <c r="B3849">
        <v>13</v>
      </c>
      <c r="C3849" t="s">
        <v>21</v>
      </c>
      <c r="D3849" s="1">
        <v>45688</v>
      </c>
      <c r="E3849">
        <v>4151.3999999999996</v>
      </c>
      <c r="F3849">
        <v>245.08</v>
      </c>
      <c r="G3849">
        <v>146.16999999999999</v>
      </c>
      <c r="H3849">
        <v>385</v>
      </c>
      <c r="I3849" t="s">
        <v>25</v>
      </c>
      <c r="J3849">
        <v>2025</v>
      </c>
      <c r="K3849">
        <f t="shared" si="120"/>
        <v>98.910000000000025</v>
      </c>
      <c r="L3849" t="str">
        <f t="shared" si="121"/>
        <v>Banca Marchigiana|13|Assicurazioni</v>
      </c>
    </row>
    <row r="3850" spans="1:12" x14ac:dyDescent="0.25">
      <c r="A3850" t="s">
        <v>37</v>
      </c>
      <c r="B3850">
        <v>14</v>
      </c>
      <c r="C3850" t="s">
        <v>13</v>
      </c>
      <c r="D3850" s="1">
        <v>45716</v>
      </c>
      <c r="E3850">
        <v>1170.0999999999999</v>
      </c>
      <c r="F3850">
        <v>52.77</v>
      </c>
      <c r="G3850">
        <v>32.770000000000003</v>
      </c>
      <c r="H3850">
        <v>110</v>
      </c>
      <c r="I3850" t="s">
        <v>25</v>
      </c>
      <c r="J3850">
        <v>2025</v>
      </c>
      <c r="K3850">
        <f t="shared" si="120"/>
        <v>20</v>
      </c>
      <c r="L3850" t="str">
        <f t="shared" si="121"/>
        <v>Banca Marchigiana|14|Mutui</v>
      </c>
    </row>
    <row r="3851" spans="1:12" x14ac:dyDescent="0.25">
      <c r="A3851" t="s">
        <v>37</v>
      </c>
      <c r="B3851">
        <v>14</v>
      </c>
      <c r="C3851" t="s">
        <v>15</v>
      </c>
      <c r="D3851" s="1">
        <v>45716</v>
      </c>
      <c r="E3851">
        <v>1604</v>
      </c>
      <c r="F3851">
        <v>76.16</v>
      </c>
      <c r="G3851">
        <v>47.51</v>
      </c>
      <c r="H3851">
        <v>172</v>
      </c>
      <c r="I3851" t="s">
        <v>25</v>
      </c>
      <c r="J3851">
        <v>2025</v>
      </c>
      <c r="K3851">
        <f t="shared" si="120"/>
        <v>28.65</v>
      </c>
      <c r="L3851" t="str">
        <f t="shared" si="121"/>
        <v>Banca Marchigiana|14|Prestiti</v>
      </c>
    </row>
    <row r="3852" spans="1:12" x14ac:dyDescent="0.25">
      <c r="A3852" t="s">
        <v>37</v>
      </c>
      <c r="B3852">
        <v>14</v>
      </c>
      <c r="C3852" t="s">
        <v>16</v>
      </c>
      <c r="D3852" s="1">
        <v>45716</v>
      </c>
      <c r="E3852">
        <v>2005.3</v>
      </c>
      <c r="F3852">
        <v>98.59</v>
      </c>
      <c r="G3852">
        <v>60.97</v>
      </c>
      <c r="H3852">
        <v>202</v>
      </c>
      <c r="I3852" t="s">
        <v>25</v>
      </c>
      <c r="J3852">
        <v>2025</v>
      </c>
      <c r="K3852">
        <f t="shared" si="120"/>
        <v>37.620000000000005</v>
      </c>
      <c r="L3852" t="str">
        <f t="shared" si="121"/>
        <v>Banca Marchigiana|14|Conti</v>
      </c>
    </row>
    <row r="3853" spans="1:12" x14ac:dyDescent="0.25">
      <c r="A3853" t="s">
        <v>37</v>
      </c>
      <c r="B3853">
        <v>14</v>
      </c>
      <c r="C3853" t="s">
        <v>17</v>
      </c>
      <c r="D3853" s="1">
        <v>45716</v>
      </c>
      <c r="E3853">
        <v>2448.8000000000002</v>
      </c>
      <c r="F3853">
        <v>124.95</v>
      </c>
      <c r="G3853">
        <v>76.86</v>
      </c>
      <c r="H3853">
        <v>255</v>
      </c>
      <c r="I3853" t="s">
        <v>25</v>
      </c>
      <c r="J3853">
        <v>2025</v>
      </c>
      <c r="K3853">
        <f t="shared" si="120"/>
        <v>48.09</v>
      </c>
      <c r="L3853" t="str">
        <f t="shared" si="121"/>
        <v>Banca Marchigiana|14|Carte</v>
      </c>
    </row>
    <row r="3854" spans="1:12" x14ac:dyDescent="0.25">
      <c r="A3854" t="s">
        <v>37</v>
      </c>
      <c r="B3854">
        <v>14</v>
      </c>
      <c r="C3854" t="s">
        <v>18</v>
      </c>
      <c r="D3854" s="1">
        <v>45716</v>
      </c>
      <c r="E3854">
        <v>2853.1</v>
      </c>
      <c r="F3854">
        <v>151.80000000000001</v>
      </c>
      <c r="G3854">
        <v>91.57</v>
      </c>
      <c r="H3854">
        <v>258</v>
      </c>
      <c r="I3854" t="s">
        <v>25</v>
      </c>
      <c r="J3854">
        <v>2025</v>
      </c>
      <c r="K3854">
        <f t="shared" si="120"/>
        <v>60.230000000000018</v>
      </c>
      <c r="L3854" t="str">
        <f t="shared" si="121"/>
        <v>Banca Marchigiana|14|Leasing</v>
      </c>
    </row>
    <row r="3855" spans="1:12" x14ac:dyDescent="0.25">
      <c r="A3855" t="s">
        <v>37</v>
      </c>
      <c r="B3855">
        <v>14</v>
      </c>
      <c r="C3855" t="s">
        <v>19</v>
      </c>
      <c r="D3855" s="1">
        <v>45716</v>
      </c>
      <c r="E3855">
        <v>3300.8</v>
      </c>
      <c r="F3855">
        <v>182.24</v>
      </c>
      <c r="G3855">
        <v>109.85</v>
      </c>
      <c r="H3855">
        <v>311</v>
      </c>
      <c r="I3855" t="s">
        <v>25</v>
      </c>
      <c r="J3855">
        <v>2025</v>
      </c>
      <c r="K3855">
        <f t="shared" si="120"/>
        <v>72.390000000000015</v>
      </c>
      <c r="L3855" t="str">
        <f t="shared" si="121"/>
        <v>Banca Marchigiana|14|Factoring</v>
      </c>
    </row>
    <row r="3856" spans="1:12" x14ac:dyDescent="0.25">
      <c r="A3856" t="s">
        <v>37</v>
      </c>
      <c r="B3856">
        <v>14</v>
      </c>
      <c r="C3856" t="s">
        <v>20</v>
      </c>
      <c r="D3856" s="1">
        <v>45716</v>
      </c>
      <c r="E3856">
        <v>3707.2</v>
      </c>
      <c r="F3856">
        <v>211.66</v>
      </c>
      <c r="G3856">
        <v>126.53</v>
      </c>
      <c r="H3856">
        <v>343</v>
      </c>
      <c r="I3856" t="s">
        <v>25</v>
      </c>
      <c r="J3856">
        <v>2025</v>
      </c>
      <c r="K3856">
        <f t="shared" si="120"/>
        <v>85.13</v>
      </c>
      <c r="L3856" t="str">
        <f t="shared" si="121"/>
        <v>Banca Marchigiana|14|Risparmio</v>
      </c>
    </row>
    <row r="3857" spans="1:12" x14ac:dyDescent="0.25">
      <c r="A3857" t="s">
        <v>37</v>
      </c>
      <c r="B3857">
        <v>14</v>
      </c>
      <c r="C3857" t="s">
        <v>21</v>
      </c>
      <c r="D3857" s="1">
        <v>45716</v>
      </c>
      <c r="E3857">
        <v>4170.3</v>
      </c>
      <c r="F3857">
        <v>246.9</v>
      </c>
      <c r="G3857">
        <v>146.72999999999999</v>
      </c>
      <c r="H3857">
        <v>405</v>
      </c>
      <c r="I3857" t="s">
        <v>25</v>
      </c>
      <c r="J3857">
        <v>2025</v>
      </c>
      <c r="K3857">
        <f t="shared" si="120"/>
        <v>100.17000000000002</v>
      </c>
      <c r="L3857" t="str">
        <f t="shared" si="121"/>
        <v>Banca Marchigiana|14|Assicurazioni</v>
      </c>
    </row>
    <row r="3858" spans="1:12" x14ac:dyDescent="0.25">
      <c r="A3858" t="s">
        <v>37</v>
      </c>
      <c r="B3858">
        <v>15</v>
      </c>
      <c r="C3858" t="s">
        <v>13</v>
      </c>
      <c r="D3858" s="1">
        <v>45747</v>
      </c>
      <c r="E3858">
        <v>1167</v>
      </c>
      <c r="F3858">
        <v>53.33</v>
      </c>
      <c r="G3858">
        <v>32.94</v>
      </c>
      <c r="H3858">
        <v>133</v>
      </c>
      <c r="I3858" t="s">
        <v>25</v>
      </c>
      <c r="J3858">
        <v>2025</v>
      </c>
      <c r="K3858">
        <f t="shared" si="120"/>
        <v>20.39</v>
      </c>
      <c r="L3858" t="str">
        <f t="shared" si="121"/>
        <v>Banca Marchigiana|15|Mutui</v>
      </c>
    </row>
    <row r="3859" spans="1:12" x14ac:dyDescent="0.25">
      <c r="A3859" t="s">
        <v>37</v>
      </c>
      <c r="B3859">
        <v>15</v>
      </c>
      <c r="C3859" t="s">
        <v>15</v>
      </c>
      <c r="D3859" s="1">
        <v>45747</v>
      </c>
      <c r="E3859">
        <v>1594.4</v>
      </c>
      <c r="F3859">
        <v>75.39</v>
      </c>
      <c r="G3859">
        <v>46.83</v>
      </c>
      <c r="H3859">
        <v>145</v>
      </c>
      <c r="I3859" t="s">
        <v>25</v>
      </c>
      <c r="J3859">
        <v>2025</v>
      </c>
      <c r="K3859">
        <f t="shared" si="120"/>
        <v>28.560000000000002</v>
      </c>
      <c r="L3859" t="str">
        <f t="shared" si="121"/>
        <v>Banca Marchigiana|15|Prestiti</v>
      </c>
    </row>
    <row r="3860" spans="1:12" x14ac:dyDescent="0.25">
      <c r="A3860" t="s">
        <v>37</v>
      </c>
      <c r="B3860">
        <v>15</v>
      </c>
      <c r="C3860" t="s">
        <v>16</v>
      </c>
      <c r="D3860" s="1">
        <v>45747</v>
      </c>
      <c r="E3860">
        <v>2027.2</v>
      </c>
      <c r="F3860">
        <v>99.53</v>
      </c>
      <c r="G3860">
        <v>61.78</v>
      </c>
      <c r="H3860">
        <v>183</v>
      </c>
      <c r="I3860" t="s">
        <v>25</v>
      </c>
      <c r="J3860">
        <v>2025</v>
      </c>
      <c r="K3860">
        <f t="shared" si="120"/>
        <v>37.75</v>
      </c>
      <c r="L3860" t="str">
        <f t="shared" si="121"/>
        <v>Banca Marchigiana|15|Conti</v>
      </c>
    </row>
    <row r="3861" spans="1:12" x14ac:dyDescent="0.25">
      <c r="A3861" t="s">
        <v>37</v>
      </c>
      <c r="B3861">
        <v>15</v>
      </c>
      <c r="C3861" t="s">
        <v>17</v>
      </c>
      <c r="D3861" s="1">
        <v>45747</v>
      </c>
      <c r="E3861">
        <v>2475.6</v>
      </c>
      <c r="F3861">
        <v>127.11</v>
      </c>
      <c r="G3861">
        <v>76.75</v>
      </c>
      <c r="H3861">
        <v>246</v>
      </c>
      <c r="I3861" t="s">
        <v>25</v>
      </c>
      <c r="J3861">
        <v>2025</v>
      </c>
      <c r="K3861">
        <f t="shared" si="120"/>
        <v>50.36</v>
      </c>
      <c r="L3861" t="str">
        <f t="shared" si="121"/>
        <v>Banca Marchigiana|15|Carte</v>
      </c>
    </row>
    <row r="3862" spans="1:12" x14ac:dyDescent="0.25">
      <c r="A3862" t="s">
        <v>37</v>
      </c>
      <c r="B3862">
        <v>15</v>
      </c>
      <c r="C3862" t="s">
        <v>18</v>
      </c>
      <c r="D3862" s="1">
        <v>45747</v>
      </c>
      <c r="E3862">
        <v>2905.5</v>
      </c>
      <c r="F3862">
        <v>154.83000000000001</v>
      </c>
      <c r="G3862">
        <v>93.61</v>
      </c>
      <c r="H3862">
        <v>284</v>
      </c>
      <c r="I3862" t="s">
        <v>25</v>
      </c>
      <c r="J3862">
        <v>2025</v>
      </c>
      <c r="K3862">
        <f t="shared" si="120"/>
        <v>61.220000000000013</v>
      </c>
      <c r="L3862" t="str">
        <f t="shared" si="121"/>
        <v>Banca Marchigiana|15|Leasing</v>
      </c>
    </row>
    <row r="3863" spans="1:12" x14ac:dyDescent="0.25">
      <c r="A3863" t="s">
        <v>37</v>
      </c>
      <c r="B3863">
        <v>15</v>
      </c>
      <c r="C3863" t="s">
        <v>19</v>
      </c>
      <c r="D3863" s="1">
        <v>45747</v>
      </c>
      <c r="E3863">
        <v>3316.3</v>
      </c>
      <c r="F3863">
        <v>183.24</v>
      </c>
      <c r="G3863">
        <v>110.07</v>
      </c>
      <c r="H3863">
        <v>332</v>
      </c>
      <c r="I3863" t="s">
        <v>25</v>
      </c>
      <c r="J3863">
        <v>2025</v>
      </c>
      <c r="K3863">
        <f t="shared" si="120"/>
        <v>73.170000000000016</v>
      </c>
      <c r="L3863" t="str">
        <f t="shared" si="121"/>
        <v>Banca Marchigiana|15|Factoring</v>
      </c>
    </row>
    <row r="3864" spans="1:12" x14ac:dyDescent="0.25">
      <c r="A3864" t="s">
        <v>37</v>
      </c>
      <c r="B3864">
        <v>15</v>
      </c>
      <c r="C3864" t="s">
        <v>20</v>
      </c>
      <c r="D3864" s="1">
        <v>45747</v>
      </c>
      <c r="E3864">
        <v>3782.3</v>
      </c>
      <c r="F3864">
        <v>215.88</v>
      </c>
      <c r="G3864">
        <v>128.76</v>
      </c>
      <c r="H3864">
        <v>344</v>
      </c>
      <c r="I3864" t="s">
        <v>25</v>
      </c>
      <c r="J3864">
        <v>2025</v>
      </c>
      <c r="K3864">
        <f t="shared" si="120"/>
        <v>87.12</v>
      </c>
      <c r="L3864" t="str">
        <f t="shared" si="121"/>
        <v>Banca Marchigiana|15|Risparmio</v>
      </c>
    </row>
    <row r="3865" spans="1:12" x14ac:dyDescent="0.25">
      <c r="A3865" t="s">
        <v>37</v>
      </c>
      <c r="B3865">
        <v>15</v>
      </c>
      <c r="C3865" t="s">
        <v>21</v>
      </c>
      <c r="D3865" s="1">
        <v>45747</v>
      </c>
      <c r="E3865">
        <v>4192.8</v>
      </c>
      <c r="F3865">
        <v>247.69</v>
      </c>
      <c r="G3865">
        <v>147.25</v>
      </c>
      <c r="H3865">
        <v>390</v>
      </c>
      <c r="I3865" t="s">
        <v>25</v>
      </c>
      <c r="J3865">
        <v>2025</v>
      </c>
      <c r="K3865">
        <f t="shared" si="120"/>
        <v>100.44</v>
      </c>
      <c r="L3865" t="str">
        <f t="shared" si="121"/>
        <v>Banca Marchigiana|15|Assicurazioni</v>
      </c>
    </row>
    <row r="3866" spans="1:12" x14ac:dyDescent="0.25">
      <c r="A3866" t="s">
        <v>37</v>
      </c>
      <c r="B3866">
        <v>16</v>
      </c>
      <c r="C3866" t="s">
        <v>13</v>
      </c>
      <c r="D3866" s="1">
        <v>45777</v>
      </c>
      <c r="E3866">
        <v>1193.3</v>
      </c>
      <c r="F3866">
        <v>53.8</v>
      </c>
      <c r="G3866">
        <v>34.24</v>
      </c>
      <c r="H3866">
        <v>134</v>
      </c>
      <c r="I3866" t="s">
        <v>25</v>
      </c>
      <c r="J3866">
        <v>2025</v>
      </c>
      <c r="K3866">
        <f t="shared" si="120"/>
        <v>19.559999999999995</v>
      </c>
      <c r="L3866" t="str">
        <f t="shared" si="121"/>
        <v>Banca Marchigiana|16|Mutui</v>
      </c>
    </row>
    <row r="3867" spans="1:12" x14ac:dyDescent="0.25">
      <c r="A3867" t="s">
        <v>37</v>
      </c>
      <c r="B3867">
        <v>16</v>
      </c>
      <c r="C3867" t="s">
        <v>15</v>
      </c>
      <c r="D3867" s="1">
        <v>45777</v>
      </c>
      <c r="E3867">
        <v>1597.1</v>
      </c>
      <c r="F3867">
        <v>75.44</v>
      </c>
      <c r="G3867">
        <v>46.74</v>
      </c>
      <c r="H3867">
        <v>156</v>
      </c>
      <c r="I3867" t="s">
        <v>25</v>
      </c>
      <c r="J3867">
        <v>2025</v>
      </c>
      <c r="K3867">
        <f t="shared" si="120"/>
        <v>28.699999999999996</v>
      </c>
      <c r="L3867" t="str">
        <f t="shared" si="121"/>
        <v>Banca Marchigiana|16|Prestiti</v>
      </c>
    </row>
    <row r="3868" spans="1:12" x14ac:dyDescent="0.25">
      <c r="A3868" t="s">
        <v>37</v>
      </c>
      <c r="B3868">
        <v>16</v>
      </c>
      <c r="C3868" t="s">
        <v>16</v>
      </c>
      <c r="D3868" s="1">
        <v>45777</v>
      </c>
      <c r="E3868">
        <v>2017.8</v>
      </c>
      <c r="F3868">
        <v>99.72</v>
      </c>
      <c r="G3868">
        <v>60.62</v>
      </c>
      <c r="H3868">
        <v>182</v>
      </c>
      <c r="I3868" t="s">
        <v>25</v>
      </c>
      <c r="J3868">
        <v>2025</v>
      </c>
      <c r="K3868">
        <f t="shared" si="120"/>
        <v>39.1</v>
      </c>
      <c r="L3868" t="str">
        <f t="shared" si="121"/>
        <v>Banca Marchigiana|16|Conti</v>
      </c>
    </row>
    <row r="3869" spans="1:12" x14ac:dyDescent="0.25">
      <c r="A3869" t="s">
        <v>37</v>
      </c>
      <c r="B3869">
        <v>16</v>
      </c>
      <c r="C3869" t="s">
        <v>17</v>
      </c>
      <c r="D3869" s="1">
        <v>45777</v>
      </c>
      <c r="E3869">
        <v>2498.5</v>
      </c>
      <c r="F3869">
        <v>127.61</v>
      </c>
      <c r="G3869">
        <v>78.06</v>
      </c>
      <c r="H3869">
        <v>235</v>
      </c>
      <c r="I3869" t="s">
        <v>25</v>
      </c>
      <c r="J3869">
        <v>2025</v>
      </c>
      <c r="K3869">
        <f t="shared" si="120"/>
        <v>49.55</v>
      </c>
      <c r="L3869" t="str">
        <f t="shared" si="121"/>
        <v>Banca Marchigiana|16|Carte</v>
      </c>
    </row>
    <row r="3870" spans="1:12" x14ac:dyDescent="0.25">
      <c r="A3870" t="s">
        <v>37</v>
      </c>
      <c r="B3870">
        <v>16</v>
      </c>
      <c r="C3870" t="s">
        <v>18</v>
      </c>
      <c r="D3870" s="1">
        <v>45777</v>
      </c>
      <c r="E3870">
        <v>2919.1</v>
      </c>
      <c r="F3870">
        <v>155.53</v>
      </c>
      <c r="G3870">
        <v>94.12</v>
      </c>
      <c r="H3870">
        <v>265</v>
      </c>
      <c r="I3870" t="s">
        <v>25</v>
      </c>
      <c r="J3870">
        <v>2025</v>
      </c>
      <c r="K3870">
        <f t="shared" si="120"/>
        <v>61.41</v>
      </c>
      <c r="L3870" t="str">
        <f t="shared" si="121"/>
        <v>Banca Marchigiana|16|Leasing</v>
      </c>
    </row>
    <row r="3871" spans="1:12" x14ac:dyDescent="0.25">
      <c r="A3871" t="s">
        <v>37</v>
      </c>
      <c r="B3871">
        <v>16</v>
      </c>
      <c r="C3871" t="s">
        <v>19</v>
      </c>
      <c r="D3871" s="1">
        <v>45777</v>
      </c>
      <c r="E3871">
        <v>3327.5</v>
      </c>
      <c r="F3871">
        <v>183.05</v>
      </c>
      <c r="G3871">
        <v>110.55</v>
      </c>
      <c r="H3871">
        <v>318</v>
      </c>
      <c r="I3871" t="s">
        <v>25</v>
      </c>
      <c r="J3871">
        <v>2025</v>
      </c>
      <c r="K3871">
        <f t="shared" si="120"/>
        <v>72.500000000000014</v>
      </c>
      <c r="L3871" t="str">
        <f t="shared" si="121"/>
        <v>Banca Marchigiana|16|Factoring</v>
      </c>
    </row>
    <row r="3872" spans="1:12" x14ac:dyDescent="0.25">
      <c r="A3872" t="s">
        <v>37</v>
      </c>
      <c r="B3872">
        <v>16</v>
      </c>
      <c r="C3872" t="s">
        <v>20</v>
      </c>
      <c r="D3872" s="1">
        <v>45777</v>
      </c>
      <c r="E3872">
        <v>3787</v>
      </c>
      <c r="F3872">
        <v>216.2</v>
      </c>
      <c r="G3872">
        <v>129.34</v>
      </c>
      <c r="H3872">
        <v>364</v>
      </c>
      <c r="I3872" t="s">
        <v>25</v>
      </c>
      <c r="J3872">
        <v>2025</v>
      </c>
      <c r="K3872">
        <f t="shared" si="120"/>
        <v>86.859999999999985</v>
      </c>
      <c r="L3872" t="str">
        <f t="shared" si="121"/>
        <v>Banca Marchigiana|16|Risparmio</v>
      </c>
    </row>
    <row r="3873" spans="1:12" x14ac:dyDescent="0.25">
      <c r="A3873" t="s">
        <v>37</v>
      </c>
      <c r="B3873">
        <v>16</v>
      </c>
      <c r="C3873" t="s">
        <v>21</v>
      </c>
      <c r="D3873" s="1">
        <v>45777</v>
      </c>
      <c r="E3873">
        <v>4192.2</v>
      </c>
      <c r="F3873">
        <v>247.35</v>
      </c>
      <c r="G3873">
        <v>147.56</v>
      </c>
      <c r="H3873">
        <v>383</v>
      </c>
      <c r="I3873" t="s">
        <v>25</v>
      </c>
      <c r="J3873">
        <v>2025</v>
      </c>
      <c r="K3873">
        <f t="shared" si="120"/>
        <v>99.789999999999992</v>
      </c>
      <c r="L3873" t="str">
        <f t="shared" si="121"/>
        <v>Banca Marchigiana|16|Assicurazioni</v>
      </c>
    </row>
    <row r="3874" spans="1:12" x14ac:dyDescent="0.25">
      <c r="A3874" t="s">
        <v>37</v>
      </c>
      <c r="B3874">
        <v>17</v>
      </c>
      <c r="C3874" t="s">
        <v>13</v>
      </c>
      <c r="D3874" s="1">
        <v>45808</v>
      </c>
      <c r="E3874">
        <v>1170.4000000000001</v>
      </c>
      <c r="F3874">
        <v>53.09</v>
      </c>
      <c r="G3874">
        <v>33.03</v>
      </c>
      <c r="H3874">
        <v>132</v>
      </c>
      <c r="I3874" t="s">
        <v>25</v>
      </c>
      <c r="J3874">
        <v>2025</v>
      </c>
      <c r="K3874">
        <f t="shared" si="120"/>
        <v>20.060000000000002</v>
      </c>
      <c r="L3874" t="str">
        <f t="shared" si="121"/>
        <v>Banca Marchigiana|17|Mutui</v>
      </c>
    </row>
    <row r="3875" spans="1:12" x14ac:dyDescent="0.25">
      <c r="A3875" t="s">
        <v>37</v>
      </c>
      <c r="B3875">
        <v>17</v>
      </c>
      <c r="C3875" t="s">
        <v>15</v>
      </c>
      <c r="D3875" s="1">
        <v>45808</v>
      </c>
      <c r="E3875">
        <v>1584.2</v>
      </c>
      <c r="F3875">
        <v>74.66</v>
      </c>
      <c r="G3875">
        <v>46.06</v>
      </c>
      <c r="H3875">
        <v>155</v>
      </c>
      <c r="I3875" t="s">
        <v>25</v>
      </c>
      <c r="J3875">
        <v>2025</v>
      </c>
      <c r="K3875">
        <f t="shared" si="120"/>
        <v>28.599999999999994</v>
      </c>
      <c r="L3875" t="str">
        <f t="shared" si="121"/>
        <v>Banca Marchigiana|17|Prestiti</v>
      </c>
    </row>
    <row r="3876" spans="1:12" x14ac:dyDescent="0.25">
      <c r="A3876" t="s">
        <v>37</v>
      </c>
      <c r="B3876">
        <v>17</v>
      </c>
      <c r="C3876" t="s">
        <v>16</v>
      </c>
      <c r="D3876" s="1">
        <v>45808</v>
      </c>
      <c r="E3876">
        <v>2061.5</v>
      </c>
      <c r="F3876">
        <v>101.73</v>
      </c>
      <c r="G3876">
        <v>61.94</v>
      </c>
      <c r="H3876">
        <v>212</v>
      </c>
      <c r="I3876" t="s">
        <v>25</v>
      </c>
      <c r="J3876">
        <v>2025</v>
      </c>
      <c r="K3876">
        <f t="shared" si="120"/>
        <v>39.790000000000006</v>
      </c>
      <c r="L3876" t="str">
        <f t="shared" si="121"/>
        <v>Banca Marchigiana|17|Conti</v>
      </c>
    </row>
    <row r="3877" spans="1:12" x14ac:dyDescent="0.25">
      <c r="A3877" t="s">
        <v>37</v>
      </c>
      <c r="B3877">
        <v>17</v>
      </c>
      <c r="C3877" t="s">
        <v>17</v>
      </c>
      <c r="D3877" s="1">
        <v>45808</v>
      </c>
      <c r="E3877">
        <v>2480.1</v>
      </c>
      <c r="F3877">
        <v>126.89</v>
      </c>
      <c r="G3877">
        <v>77.53</v>
      </c>
      <c r="H3877">
        <v>244</v>
      </c>
      <c r="I3877" t="s">
        <v>25</v>
      </c>
      <c r="J3877">
        <v>2025</v>
      </c>
      <c r="K3877">
        <f t="shared" si="120"/>
        <v>49.36</v>
      </c>
      <c r="L3877" t="str">
        <f t="shared" si="121"/>
        <v>Banca Marchigiana|17|Carte</v>
      </c>
    </row>
    <row r="3878" spans="1:12" x14ac:dyDescent="0.25">
      <c r="A3878" t="s">
        <v>37</v>
      </c>
      <c r="B3878">
        <v>17</v>
      </c>
      <c r="C3878" t="s">
        <v>18</v>
      </c>
      <c r="D3878" s="1">
        <v>45808</v>
      </c>
      <c r="E3878">
        <v>2903.9</v>
      </c>
      <c r="F3878">
        <v>154.53</v>
      </c>
      <c r="G3878">
        <v>93.8</v>
      </c>
      <c r="H3878">
        <v>291</v>
      </c>
      <c r="I3878" t="s">
        <v>25</v>
      </c>
      <c r="J3878">
        <v>2025</v>
      </c>
      <c r="K3878">
        <f t="shared" si="120"/>
        <v>60.730000000000004</v>
      </c>
      <c r="L3878" t="str">
        <f t="shared" si="121"/>
        <v>Banca Marchigiana|17|Leasing</v>
      </c>
    </row>
    <row r="3879" spans="1:12" x14ac:dyDescent="0.25">
      <c r="A3879" t="s">
        <v>37</v>
      </c>
      <c r="B3879">
        <v>17</v>
      </c>
      <c r="C3879" t="s">
        <v>19</v>
      </c>
      <c r="D3879" s="1">
        <v>45808</v>
      </c>
      <c r="E3879">
        <v>3400.4</v>
      </c>
      <c r="F3879">
        <v>187.28</v>
      </c>
      <c r="G3879">
        <v>112.6</v>
      </c>
      <c r="H3879">
        <v>298</v>
      </c>
      <c r="I3879" t="s">
        <v>25</v>
      </c>
      <c r="J3879">
        <v>2025</v>
      </c>
      <c r="K3879">
        <f t="shared" si="120"/>
        <v>74.680000000000007</v>
      </c>
      <c r="L3879" t="str">
        <f t="shared" si="121"/>
        <v>Banca Marchigiana|17|Factoring</v>
      </c>
    </row>
    <row r="3880" spans="1:12" x14ac:dyDescent="0.25">
      <c r="A3880" t="s">
        <v>37</v>
      </c>
      <c r="B3880">
        <v>17</v>
      </c>
      <c r="C3880" t="s">
        <v>20</v>
      </c>
      <c r="D3880" s="1">
        <v>45808</v>
      </c>
      <c r="E3880">
        <v>3793.5</v>
      </c>
      <c r="F3880">
        <v>216.58</v>
      </c>
      <c r="G3880">
        <v>129.34</v>
      </c>
      <c r="H3880">
        <v>374</v>
      </c>
      <c r="I3880" t="s">
        <v>25</v>
      </c>
      <c r="J3880">
        <v>2025</v>
      </c>
      <c r="K3880">
        <f t="shared" si="120"/>
        <v>87.240000000000009</v>
      </c>
      <c r="L3880" t="str">
        <f t="shared" si="121"/>
        <v>Banca Marchigiana|17|Risparmio</v>
      </c>
    </row>
    <row r="3881" spans="1:12" x14ac:dyDescent="0.25">
      <c r="A3881" t="s">
        <v>37</v>
      </c>
      <c r="B3881">
        <v>17</v>
      </c>
      <c r="C3881" t="s">
        <v>21</v>
      </c>
      <c r="D3881" s="1">
        <v>45808</v>
      </c>
      <c r="E3881">
        <v>4224.7</v>
      </c>
      <c r="F3881">
        <v>249.81</v>
      </c>
      <c r="G3881">
        <v>148.85</v>
      </c>
      <c r="H3881">
        <v>380</v>
      </c>
      <c r="I3881" t="s">
        <v>25</v>
      </c>
      <c r="J3881">
        <v>2025</v>
      </c>
      <c r="K3881">
        <f t="shared" si="120"/>
        <v>100.96000000000001</v>
      </c>
      <c r="L3881" t="str">
        <f t="shared" si="121"/>
        <v>Banca Marchigiana|17|Assicurazioni</v>
      </c>
    </row>
    <row r="3882" spans="1:12" x14ac:dyDescent="0.25">
      <c r="A3882" t="s">
        <v>37</v>
      </c>
      <c r="B3882">
        <v>18</v>
      </c>
      <c r="C3882" t="s">
        <v>13</v>
      </c>
      <c r="D3882" s="1">
        <v>45838</v>
      </c>
      <c r="E3882">
        <v>1186.3</v>
      </c>
      <c r="F3882">
        <v>54.31</v>
      </c>
      <c r="G3882">
        <v>33.630000000000003</v>
      </c>
      <c r="H3882">
        <v>138</v>
      </c>
      <c r="I3882" t="s">
        <v>25</v>
      </c>
      <c r="J3882">
        <v>2025</v>
      </c>
      <c r="K3882">
        <f t="shared" si="120"/>
        <v>20.68</v>
      </c>
      <c r="L3882" t="str">
        <f t="shared" si="121"/>
        <v>Banca Marchigiana|18|Mutui</v>
      </c>
    </row>
    <row r="3883" spans="1:12" x14ac:dyDescent="0.25">
      <c r="A3883" t="s">
        <v>37</v>
      </c>
      <c r="B3883">
        <v>18</v>
      </c>
      <c r="C3883" t="s">
        <v>15</v>
      </c>
      <c r="D3883" s="1">
        <v>45838</v>
      </c>
      <c r="E3883">
        <v>1622.4</v>
      </c>
      <c r="F3883">
        <v>76.5</v>
      </c>
      <c r="G3883">
        <v>47.85</v>
      </c>
      <c r="H3883">
        <v>158</v>
      </c>
      <c r="I3883" t="s">
        <v>25</v>
      </c>
      <c r="J3883">
        <v>2025</v>
      </c>
      <c r="K3883">
        <f t="shared" si="120"/>
        <v>28.65</v>
      </c>
      <c r="L3883" t="str">
        <f t="shared" si="121"/>
        <v>Banca Marchigiana|18|Prestiti</v>
      </c>
    </row>
    <row r="3884" spans="1:12" x14ac:dyDescent="0.25">
      <c r="A3884" t="s">
        <v>37</v>
      </c>
      <c r="B3884">
        <v>18</v>
      </c>
      <c r="C3884" t="s">
        <v>16</v>
      </c>
      <c r="D3884" s="1">
        <v>45838</v>
      </c>
      <c r="E3884">
        <v>2042.2</v>
      </c>
      <c r="F3884">
        <v>100.43</v>
      </c>
      <c r="G3884">
        <v>61.45</v>
      </c>
      <c r="H3884">
        <v>189</v>
      </c>
      <c r="I3884" t="s">
        <v>25</v>
      </c>
      <c r="J3884">
        <v>2025</v>
      </c>
      <c r="K3884">
        <f t="shared" si="120"/>
        <v>38.980000000000004</v>
      </c>
      <c r="L3884" t="str">
        <f t="shared" si="121"/>
        <v>Banca Marchigiana|18|Conti</v>
      </c>
    </row>
    <row r="3885" spans="1:12" x14ac:dyDescent="0.25">
      <c r="A3885" t="s">
        <v>37</v>
      </c>
      <c r="B3885">
        <v>18</v>
      </c>
      <c r="C3885" t="s">
        <v>17</v>
      </c>
      <c r="D3885" s="1">
        <v>45838</v>
      </c>
      <c r="E3885">
        <v>2516.6999999999998</v>
      </c>
      <c r="F3885">
        <v>128.9</v>
      </c>
      <c r="G3885">
        <v>78.45</v>
      </c>
      <c r="H3885">
        <v>249</v>
      </c>
      <c r="I3885" t="s">
        <v>25</v>
      </c>
      <c r="J3885">
        <v>2025</v>
      </c>
      <c r="K3885">
        <f t="shared" si="120"/>
        <v>50.45</v>
      </c>
      <c r="L3885" t="str">
        <f t="shared" si="121"/>
        <v>Banca Marchigiana|18|Carte</v>
      </c>
    </row>
    <row r="3886" spans="1:12" x14ac:dyDescent="0.25">
      <c r="A3886" t="s">
        <v>37</v>
      </c>
      <c r="B3886">
        <v>18</v>
      </c>
      <c r="C3886" t="s">
        <v>18</v>
      </c>
      <c r="D3886" s="1">
        <v>45838</v>
      </c>
      <c r="E3886">
        <v>2952</v>
      </c>
      <c r="F3886">
        <v>157.27000000000001</v>
      </c>
      <c r="G3886">
        <v>94.54</v>
      </c>
      <c r="H3886">
        <v>263</v>
      </c>
      <c r="I3886" t="s">
        <v>25</v>
      </c>
      <c r="J3886">
        <v>2025</v>
      </c>
      <c r="K3886">
        <f t="shared" si="120"/>
        <v>62.730000000000004</v>
      </c>
      <c r="L3886" t="str">
        <f t="shared" si="121"/>
        <v>Banca Marchigiana|18|Leasing</v>
      </c>
    </row>
    <row r="3887" spans="1:12" x14ac:dyDescent="0.25">
      <c r="A3887" t="s">
        <v>37</v>
      </c>
      <c r="B3887">
        <v>18</v>
      </c>
      <c r="C3887" t="s">
        <v>19</v>
      </c>
      <c r="D3887" s="1">
        <v>45838</v>
      </c>
      <c r="E3887">
        <v>3414.3</v>
      </c>
      <c r="F3887">
        <v>188.14</v>
      </c>
      <c r="G3887">
        <v>112.82</v>
      </c>
      <c r="H3887">
        <v>326</v>
      </c>
      <c r="I3887" t="s">
        <v>25</v>
      </c>
      <c r="J3887">
        <v>2025</v>
      </c>
      <c r="K3887">
        <f t="shared" si="120"/>
        <v>75.319999999999993</v>
      </c>
      <c r="L3887" t="str">
        <f t="shared" si="121"/>
        <v>Banca Marchigiana|18|Factoring</v>
      </c>
    </row>
    <row r="3888" spans="1:12" x14ac:dyDescent="0.25">
      <c r="A3888" t="s">
        <v>37</v>
      </c>
      <c r="B3888">
        <v>18</v>
      </c>
      <c r="C3888" t="s">
        <v>20</v>
      </c>
      <c r="D3888" s="1">
        <v>45838</v>
      </c>
      <c r="E3888">
        <v>3809.8</v>
      </c>
      <c r="F3888">
        <v>217.58</v>
      </c>
      <c r="G3888">
        <v>130.03</v>
      </c>
      <c r="H3888">
        <v>338</v>
      </c>
      <c r="I3888" t="s">
        <v>25</v>
      </c>
      <c r="J3888">
        <v>2025</v>
      </c>
      <c r="K3888">
        <f t="shared" si="120"/>
        <v>87.550000000000011</v>
      </c>
      <c r="L3888" t="str">
        <f t="shared" si="121"/>
        <v>Banca Marchigiana|18|Risparmio</v>
      </c>
    </row>
    <row r="3889" spans="1:12" x14ac:dyDescent="0.25">
      <c r="A3889" t="s">
        <v>37</v>
      </c>
      <c r="B3889">
        <v>18</v>
      </c>
      <c r="C3889" t="s">
        <v>21</v>
      </c>
      <c r="D3889" s="1">
        <v>45838</v>
      </c>
      <c r="E3889">
        <v>4301.3</v>
      </c>
      <c r="F3889">
        <v>253.99</v>
      </c>
      <c r="G3889">
        <v>151.54</v>
      </c>
      <c r="H3889">
        <v>388</v>
      </c>
      <c r="I3889" t="s">
        <v>25</v>
      </c>
      <c r="J3889">
        <v>2025</v>
      </c>
      <c r="K3889">
        <f t="shared" si="120"/>
        <v>102.45000000000002</v>
      </c>
      <c r="L3889" t="str">
        <f t="shared" si="121"/>
        <v>Banca Marchigiana|18|Assicurazioni</v>
      </c>
    </row>
    <row r="3890" spans="1:12" x14ac:dyDescent="0.25">
      <c r="A3890" t="s">
        <v>37</v>
      </c>
      <c r="B3890">
        <v>19</v>
      </c>
      <c r="C3890" t="s">
        <v>13</v>
      </c>
      <c r="D3890" s="1">
        <v>45869</v>
      </c>
      <c r="E3890">
        <v>1189.5999999999999</v>
      </c>
      <c r="F3890">
        <v>54</v>
      </c>
      <c r="G3890">
        <v>34.28</v>
      </c>
      <c r="H3890">
        <v>140</v>
      </c>
      <c r="I3890" t="s">
        <v>25</v>
      </c>
      <c r="J3890">
        <v>2025</v>
      </c>
      <c r="K3890">
        <f t="shared" si="120"/>
        <v>19.72</v>
      </c>
      <c r="L3890" t="str">
        <f t="shared" si="121"/>
        <v>Banca Marchigiana|19|Mutui</v>
      </c>
    </row>
    <row r="3891" spans="1:12" x14ac:dyDescent="0.25">
      <c r="A3891" t="s">
        <v>37</v>
      </c>
      <c r="B3891">
        <v>19</v>
      </c>
      <c r="C3891" t="s">
        <v>15</v>
      </c>
      <c r="D3891" s="1">
        <v>45869</v>
      </c>
      <c r="E3891">
        <v>1659.8</v>
      </c>
      <c r="F3891">
        <v>78.180000000000007</v>
      </c>
      <c r="G3891">
        <v>48.28</v>
      </c>
      <c r="H3891">
        <v>155</v>
      </c>
      <c r="I3891" t="s">
        <v>25</v>
      </c>
      <c r="J3891">
        <v>2025</v>
      </c>
      <c r="K3891">
        <f t="shared" si="120"/>
        <v>29.900000000000006</v>
      </c>
      <c r="L3891" t="str">
        <f t="shared" si="121"/>
        <v>Banca Marchigiana|19|Prestiti</v>
      </c>
    </row>
    <row r="3892" spans="1:12" x14ac:dyDescent="0.25">
      <c r="A3892" t="s">
        <v>37</v>
      </c>
      <c r="B3892">
        <v>19</v>
      </c>
      <c r="C3892" t="s">
        <v>16</v>
      </c>
      <c r="D3892" s="1">
        <v>45869</v>
      </c>
      <c r="E3892">
        <v>2059</v>
      </c>
      <c r="F3892">
        <v>101.02</v>
      </c>
      <c r="G3892">
        <v>62</v>
      </c>
      <c r="H3892">
        <v>207</v>
      </c>
      <c r="I3892" t="s">
        <v>25</v>
      </c>
      <c r="J3892">
        <v>2025</v>
      </c>
      <c r="K3892">
        <f t="shared" si="120"/>
        <v>39.019999999999996</v>
      </c>
      <c r="L3892" t="str">
        <f t="shared" si="121"/>
        <v>Banca Marchigiana|19|Conti</v>
      </c>
    </row>
    <row r="3893" spans="1:12" x14ac:dyDescent="0.25">
      <c r="A3893" t="s">
        <v>37</v>
      </c>
      <c r="B3893">
        <v>19</v>
      </c>
      <c r="C3893" t="s">
        <v>17</v>
      </c>
      <c r="D3893" s="1">
        <v>45869</v>
      </c>
      <c r="E3893">
        <v>2514.6999999999998</v>
      </c>
      <c r="F3893">
        <v>129.1</v>
      </c>
      <c r="G3893">
        <v>78.22</v>
      </c>
      <c r="H3893">
        <v>221</v>
      </c>
      <c r="I3893" t="s">
        <v>25</v>
      </c>
      <c r="J3893">
        <v>2025</v>
      </c>
      <c r="K3893">
        <f t="shared" si="120"/>
        <v>50.879999999999995</v>
      </c>
      <c r="L3893" t="str">
        <f t="shared" si="121"/>
        <v>Banca Marchigiana|19|Carte</v>
      </c>
    </row>
    <row r="3894" spans="1:12" x14ac:dyDescent="0.25">
      <c r="A3894" t="s">
        <v>37</v>
      </c>
      <c r="B3894">
        <v>19</v>
      </c>
      <c r="C3894" t="s">
        <v>18</v>
      </c>
      <c r="D3894" s="1">
        <v>45869</v>
      </c>
      <c r="E3894">
        <v>2988.4</v>
      </c>
      <c r="F3894">
        <v>158.49</v>
      </c>
      <c r="G3894">
        <v>95.69</v>
      </c>
      <c r="H3894">
        <v>273</v>
      </c>
      <c r="I3894" t="s">
        <v>25</v>
      </c>
      <c r="J3894">
        <v>2025</v>
      </c>
      <c r="K3894">
        <f t="shared" si="120"/>
        <v>62.800000000000011</v>
      </c>
      <c r="L3894" t="str">
        <f t="shared" si="121"/>
        <v>Banca Marchigiana|19|Leasing</v>
      </c>
    </row>
    <row r="3895" spans="1:12" x14ac:dyDescent="0.25">
      <c r="A3895" t="s">
        <v>37</v>
      </c>
      <c r="B3895">
        <v>19</v>
      </c>
      <c r="C3895" t="s">
        <v>19</v>
      </c>
      <c r="D3895" s="1">
        <v>45869</v>
      </c>
      <c r="E3895">
        <v>3433.2</v>
      </c>
      <c r="F3895">
        <v>189.69</v>
      </c>
      <c r="G3895">
        <v>113.43</v>
      </c>
      <c r="H3895">
        <v>313</v>
      </c>
      <c r="I3895" t="s">
        <v>25</v>
      </c>
      <c r="J3895">
        <v>2025</v>
      </c>
      <c r="K3895">
        <f t="shared" si="120"/>
        <v>76.259999999999991</v>
      </c>
      <c r="L3895" t="str">
        <f t="shared" si="121"/>
        <v>Banca Marchigiana|19|Factoring</v>
      </c>
    </row>
    <row r="3896" spans="1:12" x14ac:dyDescent="0.25">
      <c r="A3896" t="s">
        <v>37</v>
      </c>
      <c r="B3896">
        <v>19</v>
      </c>
      <c r="C3896" t="s">
        <v>20</v>
      </c>
      <c r="D3896" s="1">
        <v>45869</v>
      </c>
      <c r="E3896">
        <v>3877</v>
      </c>
      <c r="F3896">
        <v>221.54</v>
      </c>
      <c r="G3896">
        <v>131.88999999999999</v>
      </c>
      <c r="H3896">
        <v>346</v>
      </c>
      <c r="I3896" t="s">
        <v>25</v>
      </c>
      <c r="J3896">
        <v>2025</v>
      </c>
      <c r="K3896">
        <f t="shared" si="120"/>
        <v>89.65</v>
      </c>
      <c r="L3896" t="str">
        <f t="shared" si="121"/>
        <v>Banca Marchigiana|19|Risparmio</v>
      </c>
    </row>
    <row r="3897" spans="1:12" x14ac:dyDescent="0.25">
      <c r="A3897" t="s">
        <v>37</v>
      </c>
      <c r="B3897">
        <v>19</v>
      </c>
      <c r="C3897" t="s">
        <v>21</v>
      </c>
      <c r="D3897" s="1">
        <v>45869</v>
      </c>
      <c r="E3897">
        <v>4293.1000000000004</v>
      </c>
      <c r="F3897">
        <v>254.14</v>
      </c>
      <c r="G3897">
        <v>150.38999999999999</v>
      </c>
      <c r="H3897">
        <v>383</v>
      </c>
      <c r="I3897" t="s">
        <v>25</v>
      </c>
      <c r="J3897">
        <v>2025</v>
      </c>
      <c r="K3897">
        <f t="shared" si="120"/>
        <v>103.75</v>
      </c>
      <c r="L3897" t="str">
        <f t="shared" si="121"/>
        <v>Banca Marchigiana|19|Assicurazioni</v>
      </c>
    </row>
    <row r="3898" spans="1:12" x14ac:dyDescent="0.25">
      <c r="A3898" t="s">
        <v>37</v>
      </c>
      <c r="B3898">
        <v>20</v>
      </c>
      <c r="C3898" t="s">
        <v>13</v>
      </c>
      <c r="D3898" s="1">
        <v>45900</v>
      </c>
      <c r="E3898">
        <v>1186.0999999999999</v>
      </c>
      <c r="F3898">
        <v>53.59</v>
      </c>
      <c r="G3898">
        <v>34.020000000000003</v>
      </c>
      <c r="H3898">
        <v>127</v>
      </c>
      <c r="I3898" t="s">
        <v>25</v>
      </c>
      <c r="J3898">
        <v>2025</v>
      </c>
      <c r="K3898">
        <f t="shared" si="120"/>
        <v>19.57</v>
      </c>
      <c r="L3898" t="str">
        <f t="shared" si="121"/>
        <v>Banca Marchigiana|20|Mutui</v>
      </c>
    </row>
    <row r="3899" spans="1:12" x14ac:dyDescent="0.25">
      <c r="A3899" t="s">
        <v>37</v>
      </c>
      <c r="B3899">
        <v>20</v>
      </c>
      <c r="C3899" t="s">
        <v>15</v>
      </c>
      <c r="D3899" s="1">
        <v>45900</v>
      </c>
      <c r="E3899">
        <v>1633.9</v>
      </c>
      <c r="F3899">
        <v>76.989999999999995</v>
      </c>
      <c r="G3899">
        <v>48.21</v>
      </c>
      <c r="H3899">
        <v>172</v>
      </c>
      <c r="I3899" t="s">
        <v>25</v>
      </c>
      <c r="J3899">
        <v>2025</v>
      </c>
      <c r="K3899">
        <f t="shared" si="120"/>
        <v>28.779999999999994</v>
      </c>
      <c r="L3899" t="str">
        <f t="shared" si="121"/>
        <v>Banca Marchigiana|20|Prestiti</v>
      </c>
    </row>
    <row r="3900" spans="1:12" x14ac:dyDescent="0.25">
      <c r="A3900" t="s">
        <v>37</v>
      </c>
      <c r="B3900">
        <v>20</v>
      </c>
      <c r="C3900" t="s">
        <v>16</v>
      </c>
      <c r="D3900" s="1">
        <v>45900</v>
      </c>
      <c r="E3900">
        <v>2090.8000000000002</v>
      </c>
      <c r="F3900">
        <v>103.4</v>
      </c>
      <c r="G3900">
        <v>63.65</v>
      </c>
      <c r="H3900">
        <v>205</v>
      </c>
      <c r="I3900" t="s">
        <v>25</v>
      </c>
      <c r="J3900">
        <v>2025</v>
      </c>
      <c r="K3900">
        <f t="shared" si="120"/>
        <v>39.750000000000007</v>
      </c>
      <c r="L3900" t="str">
        <f t="shared" si="121"/>
        <v>Banca Marchigiana|20|Conti</v>
      </c>
    </row>
    <row r="3901" spans="1:12" x14ac:dyDescent="0.25">
      <c r="A3901" t="s">
        <v>37</v>
      </c>
      <c r="B3901">
        <v>20</v>
      </c>
      <c r="C3901" t="s">
        <v>17</v>
      </c>
      <c r="D3901" s="1">
        <v>45900</v>
      </c>
      <c r="E3901">
        <v>2538.1</v>
      </c>
      <c r="F3901">
        <v>129.84</v>
      </c>
      <c r="G3901">
        <v>79.260000000000005</v>
      </c>
      <c r="H3901">
        <v>227</v>
      </c>
      <c r="I3901" t="s">
        <v>25</v>
      </c>
      <c r="J3901">
        <v>2025</v>
      </c>
      <c r="K3901">
        <f t="shared" si="120"/>
        <v>50.58</v>
      </c>
      <c r="L3901" t="str">
        <f t="shared" si="121"/>
        <v>Banca Marchigiana|20|Carte</v>
      </c>
    </row>
    <row r="3902" spans="1:12" x14ac:dyDescent="0.25">
      <c r="A3902" t="s">
        <v>37</v>
      </c>
      <c r="B3902">
        <v>20</v>
      </c>
      <c r="C3902" t="s">
        <v>18</v>
      </c>
      <c r="D3902" s="1">
        <v>45900</v>
      </c>
      <c r="E3902">
        <v>2965.6</v>
      </c>
      <c r="F3902">
        <v>157.21</v>
      </c>
      <c r="G3902">
        <v>95.63</v>
      </c>
      <c r="H3902">
        <v>284</v>
      </c>
      <c r="I3902" t="s">
        <v>25</v>
      </c>
      <c r="J3902">
        <v>2025</v>
      </c>
      <c r="K3902">
        <f t="shared" si="120"/>
        <v>61.580000000000013</v>
      </c>
      <c r="L3902" t="str">
        <f t="shared" si="121"/>
        <v>Banca Marchigiana|20|Leasing</v>
      </c>
    </row>
    <row r="3903" spans="1:12" x14ac:dyDescent="0.25">
      <c r="A3903" t="s">
        <v>37</v>
      </c>
      <c r="B3903">
        <v>20</v>
      </c>
      <c r="C3903" t="s">
        <v>19</v>
      </c>
      <c r="D3903" s="1">
        <v>45900</v>
      </c>
      <c r="E3903">
        <v>3436.2</v>
      </c>
      <c r="F3903">
        <v>189.05</v>
      </c>
      <c r="G3903">
        <v>114.37</v>
      </c>
      <c r="H3903">
        <v>315</v>
      </c>
      <c r="I3903" t="s">
        <v>25</v>
      </c>
      <c r="J3903">
        <v>2025</v>
      </c>
      <c r="K3903">
        <f t="shared" si="120"/>
        <v>74.680000000000007</v>
      </c>
      <c r="L3903" t="str">
        <f t="shared" si="121"/>
        <v>Banca Marchigiana|20|Factoring</v>
      </c>
    </row>
    <row r="3904" spans="1:12" x14ac:dyDescent="0.25">
      <c r="A3904" t="s">
        <v>37</v>
      </c>
      <c r="B3904">
        <v>20</v>
      </c>
      <c r="C3904" t="s">
        <v>20</v>
      </c>
      <c r="D3904" s="1">
        <v>45900</v>
      </c>
      <c r="E3904">
        <v>3888.7</v>
      </c>
      <c r="F3904">
        <v>222.37</v>
      </c>
      <c r="G3904">
        <v>132.24</v>
      </c>
      <c r="H3904">
        <v>366</v>
      </c>
      <c r="I3904" t="s">
        <v>25</v>
      </c>
      <c r="J3904">
        <v>2025</v>
      </c>
      <c r="K3904">
        <f t="shared" si="120"/>
        <v>90.13</v>
      </c>
      <c r="L3904" t="str">
        <f t="shared" si="121"/>
        <v>Banca Marchigiana|20|Risparmio</v>
      </c>
    </row>
    <row r="3905" spans="1:12" x14ac:dyDescent="0.25">
      <c r="A3905" t="s">
        <v>37</v>
      </c>
      <c r="B3905">
        <v>20</v>
      </c>
      <c r="C3905" t="s">
        <v>21</v>
      </c>
      <c r="D3905" s="1">
        <v>45900</v>
      </c>
      <c r="E3905">
        <v>4323.1000000000004</v>
      </c>
      <c r="F3905">
        <v>255.37</v>
      </c>
      <c r="G3905">
        <v>151.76</v>
      </c>
      <c r="H3905">
        <v>377</v>
      </c>
      <c r="I3905" t="s">
        <v>25</v>
      </c>
      <c r="J3905">
        <v>2025</v>
      </c>
      <c r="K3905">
        <f t="shared" si="120"/>
        <v>103.61000000000001</v>
      </c>
      <c r="L3905" t="str">
        <f t="shared" si="121"/>
        <v>Banca Marchigiana|20|Assicurazioni</v>
      </c>
    </row>
    <row r="3906" spans="1:12" x14ac:dyDescent="0.25">
      <c r="A3906" t="s">
        <v>37</v>
      </c>
      <c r="B3906">
        <v>21</v>
      </c>
      <c r="C3906" t="s">
        <v>13</v>
      </c>
      <c r="D3906" s="1">
        <v>45930</v>
      </c>
      <c r="E3906">
        <v>1206.5</v>
      </c>
      <c r="F3906">
        <v>54.34</v>
      </c>
      <c r="G3906">
        <v>34.15</v>
      </c>
      <c r="H3906">
        <v>141</v>
      </c>
      <c r="I3906" t="s">
        <v>25</v>
      </c>
      <c r="J3906">
        <v>2025</v>
      </c>
      <c r="K3906">
        <f t="shared" ref="K3906:K3969" si="122">F3906-G3906</f>
        <v>20.190000000000005</v>
      </c>
      <c r="L3906" t="str">
        <f t="shared" ref="L3906:L3969" si="123">A3906&amp;"|"&amp;B3906&amp;"|"&amp;C3906</f>
        <v>Banca Marchigiana|21|Mutui</v>
      </c>
    </row>
    <row r="3907" spans="1:12" x14ac:dyDescent="0.25">
      <c r="A3907" t="s">
        <v>37</v>
      </c>
      <c r="B3907">
        <v>21</v>
      </c>
      <c r="C3907" t="s">
        <v>15</v>
      </c>
      <c r="D3907" s="1">
        <v>45930</v>
      </c>
      <c r="E3907">
        <v>1664.8</v>
      </c>
      <c r="F3907">
        <v>78.87</v>
      </c>
      <c r="G3907">
        <v>48.74</v>
      </c>
      <c r="H3907">
        <v>176</v>
      </c>
      <c r="I3907" t="s">
        <v>25</v>
      </c>
      <c r="J3907">
        <v>2025</v>
      </c>
      <c r="K3907">
        <f t="shared" si="122"/>
        <v>30.130000000000003</v>
      </c>
      <c r="L3907" t="str">
        <f t="shared" si="123"/>
        <v>Banca Marchigiana|21|Prestiti</v>
      </c>
    </row>
    <row r="3908" spans="1:12" x14ac:dyDescent="0.25">
      <c r="A3908" t="s">
        <v>37</v>
      </c>
      <c r="B3908">
        <v>21</v>
      </c>
      <c r="C3908" t="s">
        <v>16</v>
      </c>
      <c r="D3908" s="1">
        <v>45930</v>
      </c>
      <c r="E3908">
        <v>2080.6999999999998</v>
      </c>
      <c r="F3908">
        <v>102.22</v>
      </c>
      <c r="G3908">
        <v>63.34</v>
      </c>
      <c r="H3908">
        <v>189</v>
      </c>
      <c r="I3908" t="s">
        <v>25</v>
      </c>
      <c r="J3908">
        <v>2025</v>
      </c>
      <c r="K3908">
        <f t="shared" si="122"/>
        <v>38.879999999999995</v>
      </c>
      <c r="L3908" t="str">
        <f t="shared" si="123"/>
        <v>Banca Marchigiana|21|Conti</v>
      </c>
    </row>
    <row r="3909" spans="1:12" x14ac:dyDescent="0.25">
      <c r="A3909" t="s">
        <v>37</v>
      </c>
      <c r="B3909">
        <v>21</v>
      </c>
      <c r="C3909" t="s">
        <v>17</v>
      </c>
      <c r="D3909" s="1">
        <v>45930</v>
      </c>
      <c r="E3909">
        <v>2573.9</v>
      </c>
      <c r="F3909">
        <v>131.74</v>
      </c>
      <c r="G3909">
        <v>79.94</v>
      </c>
      <c r="H3909">
        <v>227</v>
      </c>
      <c r="I3909" t="s">
        <v>25</v>
      </c>
      <c r="J3909">
        <v>2025</v>
      </c>
      <c r="K3909">
        <f t="shared" si="122"/>
        <v>51.800000000000011</v>
      </c>
      <c r="L3909" t="str">
        <f t="shared" si="123"/>
        <v>Banca Marchigiana|21|Carte</v>
      </c>
    </row>
    <row r="3910" spans="1:12" x14ac:dyDescent="0.25">
      <c r="A3910" t="s">
        <v>37</v>
      </c>
      <c r="B3910">
        <v>21</v>
      </c>
      <c r="C3910" t="s">
        <v>18</v>
      </c>
      <c r="D3910" s="1">
        <v>45930</v>
      </c>
      <c r="E3910">
        <v>2991.8</v>
      </c>
      <c r="F3910">
        <v>158.79</v>
      </c>
      <c r="G3910">
        <v>96.09</v>
      </c>
      <c r="H3910">
        <v>271</v>
      </c>
      <c r="I3910" t="s">
        <v>25</v>
      </c>
      <c r="J3910">
        <v>2025</v>
      </c>
      <c r="K3910">
        <f t="shared" si="122"/>
        <v>62.699999999999989</v>
      </c>
      <c r="L3910" t="str">
        <f t="shared" si="123"/>
        <v>Banca Marchigiana|21|Leasing</v>
      </c>
    </row>
    <row r="3911" spans="1:12" x14ac:dyDescent="0.25">
      <c r="A3911" t="s">
        <v>37</v>
      </c>
      <c r="B3911">
        <v>21</v>
      </c>
      <c r="C3911" t="s">
        <v>19</v>
      </c>
      <c r="D3911" s="1">
        <v>45930</v>
      </c>
      <c r="E3911">
        <v>3490.2</v>
      </c>
      <c r="F3911">
        <v>192.88</v>
      </c>
      <c r="G3911">
        <v>115.34</v>
      </c>
      <c r="H3911">
        <v>313</v>
      </c>
      <c r="I3911" t="s">
        <v>25</v>
      </c>
      <c r="J3911">
        <v>2025</v>
      </c>
      <c r="K3911">
        <f t="shared" si="122"/>
        <v>77.539999999999992</v>
      </c>
      <c r="L3911" t="str">
        <f t="shared" si="123"/>
        <v>Banca Marchigiana|21|Factoring</v>
      </c>
    </row>
    <row r="3912" spans="1:12" x14ac:dyDescent="0.25">
      <c r="A3912" t="s">
        <v>37</v>
      </c>
      <c r="B3912">
        <v>21</v>
      </c>
      <c r="C3912" t="s">
        <v>20</v>
      </c>
      <c r="D3912" s="1">
        <v>45930</v>
      </c>
      <c r="E3912">
        <v>3917.9</v>
      </c>
      <c r="F3912">
        <v>224.26</v>
      </c>
      <c r="G3912">
        <v>133.69</v>
      </c>
      <c r="H3912">
        <v>364</v>
      </c>
      <c r="I3912" t="s">
        <v>25</v>
      </c>
      <c r="J3912">
        <v>2025</v>
      </c>
      <c r="K3912">
        <f t="shared" si="122"/>
        <v>90.57</v>
      </c>
      <c r="L3912" t="str">
        <f t="shared" si="123"/>
        <v>Banca Marchigiana|21|Risparmio</v>
      </c>
    </row>
    <row r="3913" spans="1:12" x14ac:dyDescent="0.25">
      <c r="A3913" t="s">
        <v>37</v>
      </c>
      <c r="B3913">
        <v>21</v>
      </c>
      <c r="C3913" t="s">
        <v>21</v>
      </c>
      <c r="D3913" s="1">
        <v>45930</v>
      </c>
      <c r="E3913">
        <v>4361.8</v>
      </c>
      <c r="F3913">
        <v>258.01</v>
      </c>
      <c r="G3913">
        <v>153.43</v>
      </c>
      <c r="H3913">
        <v>375</v>
      </c>
      <c r="I3913" t="s">
        <v>25</v>
      </c>
      <c r="J3913">
        <v>2025</v>
      </c>
      <c r="K3913">
        <f t="shared" si="122"/>
        <v>104.57999999999998</v>
      </c>
      <c r="L3913" t="str">
        <f t="shared" si="123"/>
        <v>Banca Marchigiana|21|Assicurazioni</v>
      </c>
    </row>
    <row r="3914" spans="1:12" x14ac:dyDescent="0.25">
      <c r="A3914" t="s">
        <v>37</v>
      </c>
      <c r="B3914">
        <v>22</v>
      </c>
      <c r="C3914" t="s">
        <v>13</v>
      </c>
      <c r="D3914" s="1">
        <v>45961</v>
      </c>
      <c r="E3914">
        <v>1221.5999999999999</v>
      </c>
      <c r="F3914">
        <v>55.57</v>
      </c>
      <c r="G3914">
        <v>34.31</v>
      </c>
      <c r="H3914">
        <v>121</v>
      </c>
      <c r="I3914" t="s">
        <v>25</v>
      </c>
      <c r="J3914">
        <v>2025</v>
      </c>
      <c r="K3914">
        <f t="shared" si="122"/>
        <v>21.259999999999998</v>
      </c>
      <c r="L3914" t="str">
        <f t="shared" si="123"/>
        <v>Banca Marchigiana|22|Mutui</v>
      </c>
    </row>
    <row r="3915" spans="1:12" x14ac:dyDescent="0.25">
      <c r="A3915" t="s">
        <v>37</v>
      </c>
      <c r="B3915">
        <v>22</v>
      </c>
      <c r="C3915" t="s">
        <v>15</v>
      </c>
      <c r="D3915" s="1">
        <v>45961</v>
      </c>
      <c r="E3915">
        <v>1639.7</v>
      </c>
      <c r="F3915">
        <v>77.86</v>
      </c>
      <c r="G3915">
        <v>48.37</v>
      </c>
      <c r="H3915">
        <v>144</v>
      </c>
      <c r="I3915" t="s">
        <v>25</v>
      </c>
      <c r="J3915">
        <v>2025</v>
      </c>
      <c r="K3915">
        <f t="shared" si="122"/>
        <v>29.490000000000002</v>
      </c>
      <c r="L3915" t="str">
        <f t="shared" si="123"/>
        <v>Banca Marchigiana|22|Prestiti</v>
      </c>
    </row>
    <row r="3916" spans="1:12" x14ac:dyDescent="0.25">
      <c r="A3916" t="s">
        <v>37</v>
      </c>
      <c r="B3916">
        <v>22</v>
      </c>
      <c r="C3916" t="s">
        <v>16</v>
      </c>
      <c r="D3916" s="1">
        <v>45961</v>
      </c>
      <c r="E3916">
        <v>2135.1</v>
      </c>
      <c r="F3916">
        <v>104.77</v>
      </c>
      <c r="G3916">
        <v>64.290000000000006</v>
      </c>
      <c r="H3916">
        <v>219</v>
      </c>
      <c r="I3916" t="s">
        <v>25</v>
      </c>
      <c r="J3916">
        <v>2025</v>
      </c>
      <c r="K3916">
        <f t="shared" si="122"/>
        <v>40.47999999999999</v>
      </c>
      <c r="L3916" t="str">
        <f t="shared" si="123"/>
        <v>Banca Marchigiana|22|Conti</v>
      </c>
    </row>
    <row r="3917" spans="1:12" x14ac:dyDescent="0.25">
      <c r="A3917" t="s">
        <v>37</v>
      </c>
      <c r="B3917">
        <v>22</v>
      </c>
      <c r="C3917" t="s">
        <v>17</v>
      </c>
      <c r="D3917" s="1">
        <v>45961</v>
      </c>
      <c r="E3917">
        <v>2569.4</v>
      </c>
      <c r="F3917">
        <v>131.72999999999999</v>
      </c>
      <c r="G3917">
        <v>79.69</v>
      </c>
      <c r="H3917">
        <v>222</v>
      </c>
      <c r="I3917" t="s">
        <v>25</v>
      </c>
      <c r="J3917">
        <v>2025</v>
      </c>
      <c r="K3917">
        <f t="shared" si="122"/>
        <v>52.039999999999992</v>
      </c>
      <c r="L3917" t="str">
        <f t="shared" si="123"/>
        <v>Banca Marchigiana|22|Carte</v>
      </c>
    </row>
    <row r="3918" spans="1:12" x14ac:dyDescent="0.25">
      <c r="A3918" t="s">
        <v>37</v>
      </c>
      <c r="B3918">
        <v>22</v>
      </c>
      <c r="C3918" t="s">
        <v>18</v>
      </c>
      <c r="D3918" s="1">
        <v>45961</v>
      </c>
      <c r="E3918">
        <v>3020.1</v>
      </c>
      <c r="F3918">
        <v>160.53</v>
      </c>
      <c r="G3918">
        <v>96.7</v>
      </c>
      <c r="H3918">
        <v>273</v>
      </c>
      <c r="I3918" t="s">
        <v>25</v>
      </c>
      <c r="J3918">
        <v>2025</v>
      </c>
      <c r="K3918">
        <f t="shared" si="122"/>
        <v>63.83</v>
      </c>
      <c r="L3918" t="str">
        <f t="shared" si="123"/>
        <v>Banca Marchigiana|22|Leasing</v>
      </c>
    </row>
    <row r="3919" spans="1:12" x14ac:dyDescent="0.25">
      <c r="A3919" t="s">
        <v>37</v>
      </c>
      <c r="B3919">
        <v>22</v>
      </c>
      <c r="C3919" t="s">
        <v>19</v>
      </c>
      <c r="D3919" s="1">
        <v>45961</v>
      </c>
      <c r="E3919">
        <v>3468</v>
      </c>
      <c r="F3919">
        <v>191.53</v>
      </c>
      <c r="G3919">
        <v>114.66</v>
      </c>
      <c r="H3919">
        <v>331</v>
      </c>
      <c r="I3919" t="s">
        <v>25</v>
      </c>
      <c r="J3919">
        <v>2025</v>
      </c>
      <c r="K3919">
        <f t="shared" si="122"/>
        <v>76.87</v>
      </c>
      <c r="L3919" t="str">
        <f t="shared" si="123"/>
        <v>Banca Marchigiana|22|Factoring</v>
      </c>
    </row>
    <row r="3920" spans="1:12" x14ac:dyDescent="0.25">
      <c r="A3920" t="s">
        <v>37</v>
      </c>
      <c r="B3920">
        <v>22</v>
      </c>
      <c r="C3920" t="s">
        <v>20</v>
      </c>
      <c r="D3920" s="1">
        <v>45961</v>
      </c>
      <c r="E3920">
        <v>3922.7</v>
      </c>
      <c r="F3920">
        <v>224.3</v>
      </c>
      <c r="G3920">
        <v>133.47999999999999</v>
      </c>
      <c r="H3920">
        <v>359</v>
      </c>
      <c r="I3920" t="s">
        <v>25</v>
      </c>
      <c r="J3920">
        <v>2025</v>
      </c>
      <c r="K3920">
        <f t="shared" si="122"/>
        <v>90.820000000000022</v>
      </c>
      <c r="L3920" t="str">
        <f t="shared" si="123"/>
        <v>Banca Marchigiana|22|Risparmio</v>
      </c>
    </row>
    <row r="3921" spans="1:12" x14ac:dyDescent="0.25">
      <c r="A3921" t="s">
        <v>37</v>
      </c>
      <c r="B3921">
        <v>22</v>
      </c>
      <c r="C3921" t="s">
        <v>21</v>
      </c>
      <c r="D3921" s="1">
        <v>45961</v>
      </c>
      <c r="E3921">
        <v>4405.7</v>
      </c>
      <c r="F3921">
        <v>260.05</v>
      </c>
      <c r="G3921">
        <v>155.08000000000001</v>
      </c>
      <c r="H3921">
        <v>387</v>
      </c>
      <c r="I3921" t="s">
        <v>25</v>
      </c>
      <c r="J3921">
        <v>2025</v>
      </c>
      <c r="K3921">
        <f t="shared" si="122"/>
        <v>104.97</v>
      </c>
      <c r="L3921" t="str">
        <f t="shared" si="123"/>
        <v>Banca Marchigiana|22|Assicurazioni</v>
      </c>
    </row>
    <row r="3922" spans="1:12" x14ac:dyDescent="0.25">
      <c r="A3922" t="s">
        <v>37</v>
      </c>
      <c r="B3922">
        <v>23</v>
      </c>
      <c r="C3922" t="s">
        <v>13</v>
      </c>
      <c r="D3922" s="1">
        <v>45991</v>
      </c>
      <c r="E3922">
        <v>1229.9000000000001</v>
      </c>
      <c r="F3922">
        <v>55.45</v>
      </c>
      <c r="G3922">
        <v>34.54</v>
      </c>
      <c r="H3922">
        <v>132</v>
      </c>
      <c r="I3922" t="s">
        <v>25</v>
      </c>
      <c r="J3922">
        <v>2025</v>
      </c>
      <c r="K3922">
        <f t="shared" si="122"/>
        <v>20.910000000000004</v>
      </c>
      <c r="L3922" t="str">
        <f t="shared" si="123"/>
        <v>Banca Marchigiana|23|Mutui</v>
      </c>
    </row>
    <row r="3923" spans="1:12" x14ac:dyDescent="0.25">
      <c r="A3923" t="s">
        <v>37</v>
      </c>
      <c r="B3923">
        <v>23</v>
      </c>
      <c r="C3923" t="s">
        <v>15</v>
      </c>
      <c r="D3923" s="1">
        <v>45991</v>
      </c>
      <c r="E3923">
        <v>1653.5</v>
      </c>
      <c r="F3923">
        <v>78.42</v>
      </c>
      <c r="G3923">
        <v>48.45</v>
      </c>
      <c r="H3923">
        <v>157</v>
      </c>
      <c r="I3923" t="s">
        <v>25</v>
      </c>
      <c r="J3923">
        <v>2025</v>
      </c>
      <c r="K3923">
        <f t="shared" si="122"/>
        <v>29.97</v>
      </c>
      <c r="L3923" t="str">
        <f t="shared" si="123"/>
        <v>Banca Marchigiana|23|Prestiti</v>
      </c>
    </row>
    <row r="3924" spans="1:12" x14ac:dyDescent="0.25">
      <c r="A3924" t="s">
        <v>37</v>
      </c>
      <c r="B3924">
        <v>23</v>
      </c>
      <c r="C3924" t="s">
        <v>16</v>
      </c>
      <c r="D3924" s="1">
        <v>45991</v>
      </c>
      <c r="E3924">
        <v>2163</v>
      </c>
      <c r="F3924">
        <v>106.62</v>
      </c>
      <c r="G3924">
        <v>65.58</v>
      </c>
      <c r="H3924">
        <v>212</v>
      </c>
      <c r="I3924" t="s">
        <v>25</v>
      </c>
      <c r="J3924">
        <v>2025</v>
      </c>
      <c r="K3924">
        <f t="shared" si="122"/>
        <v>41.040000000000006</v>
      </c>
      <c r="L3924" t="str">
        <f t="shared" si="123"/>
        <v>Banca Marchigiana|23|Conti</v>
      </c>
    </row>
    <row r="3925" spans="1:12" x14ac:dyDescent="0.25">
      <c r="A3925" t="s">
        <v>37</v>
      </c>
      <c r="B3925">
        <v>23</v>
      </c>
      <c r="C3925" t="s">
        <v>17</v>
      </c>
      <c r="D3925" s="1">
        <v>45991</v>
      </c>
      <c r="E3925">
        <v>2613.6</v>
      </c>
      <c r="F3925">
        <v>133.83000000000001</v>
      </c>
      <c r="G3925">
        <v>81.75</v>
      </c>
      <c r="H3925">
        <v>232</v>
      </c>
      <c r="I3925" t="s">
        <v>25</v>
      </c>
      <c r="J3925">
        <v>2025</v>
      </c>
      <c r="K3925">
        <f t="shared" si="122"/>
        <v>52.080000000000013</v>
      </c>
      <c r="L3925" t="str">
        <f t="shared" si="123"/>
        <v>Banca Marchigiana|23|Carte</v>
      </c>
    </row>
    <row r="3926" spans="1:12" x14ac:dyDescent="0.25">
      <c r="A3926" t="s">
        <v>37</v>
      </c>
      <c r="B3926">
        <v>23</v>
      </c>
      <c r="C3926" t="s">
        <v>18</v>
      </c>
      <c r="D3926" s="1">
        <v>45991</v>
      </c>
      <c r="E3926">
        <v>3056.4</v>
      </c>
      <c r="F3926">
        <v>162.57</v>
      </c>
      <c r="G3926">
        <v>98.76</v>
      </c>
      <c r="H3926">
        <v>296</v>
      </c>
      <c r="I3926" t="s">
        <v>25</v>
      </c>
      <c r="J3926">
        <v>2025</v>
      </c>
      <c r="K3926">
        <f t="shared" si="122"/>
        <v>63.809999999999988</v>
      </c>
      <c r="L3926" t="str">
        <f t="shared" si="123"/>
        <v>Banca Marchigiana|23|Leasing</v>
      </c>
    </row>
    <row r="3927" spans="1:12" x14ac:dyDescent="0.25">
      <c r="A3927" t="s">
        <v>37</v>
      </c>
      <c r="B3927">
        <v>23</v>
      </c>
      <c r="C3927" t="s">
        <v>19</v>
      </c>
      <c r="D3927" s="1">
        <v>45991</v>
      </c>
      <c r="E3927">
        <v>3534</v>
      </c>
      <c r="F3927">
        <v>194.42</v>
      </c>
      <c r="G3927">
        <v>117.27</v>
      </c>
      <c r="H3927">
        <v>312</v>
      </c>
      <c r="I3927" t="s">
        <v>25</v>
      </c>
      <c r="J3927">
        <v>2025</v>
      </c>
      <c r="K3927">
        <f t="shared" si="122"/>
        <v>77.149999999999991</v>
      </c>
      <c r="L3927" t="str">
        <f t="shared" si="123"/>
        <v>Banca Marchigiana|23|Factoring</v>
      </c>
    </row>
    <row r="3928" spans="1:12" x14ac:dyDescent="0.25">
      <c r="A3928" t="s">
        <v>37</v>
      </c>
      <c r="B3928">
        <v>23</v>
      </c>
      <c r="C3928" t="s">
        <v>20</v>
      </c>
      <c r="D3928" s="1">
        <v>45991</v>
      </c>
      <c r="E3928">
        <v>3987</v>
      </c>
      <c r="F3928">
        <v>228.07</v>
      </c>
      <c r="G3928">
        <v>136.27000000000001</v>
      </c>
      <c r="H3928">
        <v>354</v>
      </c>
      <c r="I3928" t="s">
        <v>25</v>
      </c>
      <c r="J3928">
        <v>2025</v>
      </c>
      <c r="K3928">
        <f t="shared" si="122"/>
        <v>91.799999999999983</v>
      </c>
      <c r="L3928" t="str">
        <f t="shared" si="123"/>
        <v>Banca Marchigiana|23|Risparmio</v>
      </c>
    </row>
    <row r="3929" spans="1:12" x14ac:dyDescent="0.25">
      <c r="A3929" t="s">
        <v>37</v>
      </c>
      <c r="B3929">
        <v>23</v>
      </c>
      <c r="C3929" t="s">
        <v>21</v>
      </c>
      <c r="D3929" s="1">
        <v>45991</v>
      </c>
      <c r="E3929">
        <v>4441.8</v>
      </c>
      <c r="F3929">
        <v>262.43</v>
      </c>
      <c r="G3929">
        <v>155.79</v>
      </c>
      <c r="H3929">
        <v>387</v>
      </c>
      <c r="I3929" t="s">
        <v>25</v>
      </c>
      <c r="J3929">
        <v>2025</v>
      </c>
      <c r="K3929">
        <f t="shared" si="122"/>
        <v>106.64000000000001</v>
      </c>
      <c r="L3929" t="str">
        <f t="shared" si="123"/>
        <v>Banca Marchigiana|23|Assicurazioni</v>
      </c>
    </row>
    <row r="3930" spans="1:12" x14ac:dyDescent="0.25">
      <c r="A3930" t="s">
        <v>37</v>
      </c>
      <c r="B3930">
        <v>24</v>
      </c>
      <c r="C3930" t="s">
        <v>13</v>
      </c>
      <c r="D3930" s="1">
        <v>46022</v>
      </c>
      <c r="E3930">
        <v>1224.4000000000001</v>
      </c>
      <c r="F3930">
        <v>55.38</v>
      </c>
      <c r="G3930">
        <v>35.11</v>
      </c>
      <c r="H3930">
        <v>141</v>
      </c>
      <c r="I3930" t="s">
        <v>25</v>
      </c>
      <c r="J3930">
        <v>2025</v>
      </c>
      <c r="K3930">
        <f t="shared" si="122"/>
        <v>20.270000000000003</v>
      </c>
      <c r="L3930" t="str">
        <f t="shared" si="123"/>
        <v>Banca Marchigiana|24|Mutui</v>
      </c>
    </row>
    <row r="3931" spans="1:12" x14ac:dyDescent="0.25">
      <c r="A3931" t="s">
        <v>37</v>
      </c>
      <c r="B3931">
        <v>24</v>
      </c>
      <c r="C3931" t="s">
        <v>15</v>
      </c>
      <c r="D3931" s="1">
        <v>46022</v>
      </c>
      <c r="E3931">
        <v>1675.3</v>
      </c>
      <c r="F3931">
        <v>78.760000000000005</v>
      </c>
      <c r="G3931">
        <v>48.89</v>
      </c>
      <c r="H3931">
        <v>174</v>
      </c>
      <c r="I3931" t="s">
        <v>25</v>
      </c>
      <c r="J3931">
        <v>2025</v>
      </c>
      <c r="K3931">
        <f t="shared" si="122"/>
        <v>29.870000000000005</v>
      </c>
      <c r="L3931" t="str">
        <f t="shared" si="123"/>
        <v>Banca Marchigiana|24|Prestiti</v>
      </c>
    </row>
    <row r="3932" spans="1:12" x14ac:dyDescent="0.25">
      <c r="A3932" t="s">
        <v>37</v>
      </c>
      <c r="B3932">
        <v>24</v>
      </c>
      <c r="C3932" t="s">
        <v>16</v>
      </c>
      <c r="D3932" s="1">
        <v>46022</v>
      </c>
      <c r="E3932">
        <v>2152.6</v>
      </c>
      <c r="F3932">
        <v>105.87</v>
      </c>
      <c r="G3932">
        <v>65.11</v>
      </c>
      <c r="H3932">
        <v>213</v>
      </c>
      <c r="I3932" t="s">
        <v>25</v>
      </c>
      <c r="J3932">
        <v>2025</v>
      </c>
      <c r="K3932">
        <f t="shared" si="122"/>
        <v>40.760000000000005</v>
      </c>
      <c r="L3932" t="str">
        <f t="shared" si="123"/>
        <v>Banca Marchigiana|24|Conti</v>
      </c>
    </row>
    <row r="3933" spans="1:12" x14ac:dyDescent="0.25">
      <c r="A3933" t="s">
        <v>37</v>
      </c>
      <c r="B3933">
        <v>24</v>
      </c>
      <c r="C3933" t="s">
        <v>17</v>
      </c>
      <c r="D3933" s="1">
        <v>46022</v>
      </c>
      <c r="E3933">
        <v>2594.1</v>
      </c>
      <c r="F3933">
        <v>132.44999999999999</v>
      </c>
      <c r="G3933">
        <v>80.56</v>
      </c>
      <c r="H3933">
        <v>255</v>
      </c>
      <c r="I3933" t="s">
        <v>25</v>
      </c>
      <c r="J3933">
        <v>2025</v>
      </c>
      <c r="K3933">
        <f t="shared" si="122"/>
        <v>51.889999999999986</v>
      </c>
      <c r="L3933" t="str">
        <f t="shared" si="123"/>
        <v>Banca Marchigiana|24|Carte</v>
      </c>
    </row>
    <row r="3934" spans="1:12" x14ac:dyDescent="0.25">
      <c r="A3934" t="s">
        <v>37</v>
      </c>
      <c r="B3934">
        <v>24</v>
      </c>
      <c r="C3934" t="s">
        <v>18</v>
      </c>
      <c r="D3934" s="1">
        <v>46022</v>
      </c>
      <c r="E3934">
        <v>3066.2</v>
      </c>
      <c r="F3934">
        <v>162.56</v>
      </c>
      <c r="G3934">
        <v>98.23</v>
      </c>
      <c r="H3934">
        <v>283</v>
      </c>
      <c r="I3934" t="s">
        <v>25</v>
      </c>
      <c r="J3934">
        <v>2025</v>
      </c>
      <c r="K3934">
        <f t="shared" si="122"/>
        <v>64.33</v>
      </c>
      <c r="L3934" t="str">
        <f t="shared" si="123"/>
        <v>Banca Marchigiana|24|Leasing</v>
      </c>
    </row>
    <row r="3935" spans="1:12" x14ac:dyDescent="0.25">
      <c r="A3935" t="s">
        <v>37</v>
      </c>
      <c r="B3935">
        <v>24</v>
      </c>
      <c r="C3935" t="s">
        <v>19</v>
      </c>
      <c r="D3935" s="1">
        <v>46022</v>
      </c>
      <c r="E3935">
        <v>3541.1</v>
      </c>
      <c r="F3935">
        <v>195.68</v>
      </c>
      <c r="G3935">
        <v>117.08</v>
      </c>
      <c r="H3935">
        <v>301</v>
      </c>
      <c r="I3935" t="s">
        <v>25</v>
      </c>
      <c r="J3935">
        <v>2025</v>
      </c>
      <c r="K3935">
        <f t="shared" si="122"/>
        <v>78.600000000000009</v>
      </c>
      <c r="L3935" t="str">
        <f t="shared" si="123"/>
        <v>Banca Marchigiana|24|Factoring</v>
      </c>
    </row>
    <row r="3936" spans="1:12" x14ac:dyDescent="0.25">
      <c r="A3936" t="s">
        <v>37</v>
      </c>
      <c r="B3936">
        <v>24</v>
      </c>
      <c r="C3936" t="s">
        <v>20</v>
      </c>
      <c r="D3936" s="1">
        <v>46022</v>
      </c>
      <c r="E3936">
        <v>3972.2</v>
      </c>
      <c r="F3936">
        <v>226.63</v>
      </c>
      <c r="G3936">
        <v>135.44999999999999</v>
      </c>
      <c r="H3936">
        <v>374</v>
      </c>
      <c r="I3936" t="s">
        <v>25</v>
      </c>
      <c r="J3936">
        <v>2025</v>
      </c>
      <c r="K3936">
        <f t="shared" si="122"/>
        <v>91.18</v>
      </c>
      <c r="L3936" t="str">
        <f t="shared" si="123"/>
        <v>Banca Marchigiana|24|Risparmio</v>
      </c>
    </row>
    <row r="3937" spans="1:12" x14ac:dyDescent="0.25">
      <c r="A3937" t="s">
        <v>37</v>
      </c>
      <c r="B3937">
        <v>24</v>
      </c>
      <c r="C3937" t="s">
        <v>21</v>
      </c>
      <c r="D3937" s="1">
        <v>46022</v>
      </c>
      <c r="E3937">
        <v>4473.2</v>
      </c>
      <c r="F3937">
        <v>264.68</v>
      </c>
      <c r="G3937">
        <v>157.55000000000001</v>
      </c>
      <c r="H3937">
        <v>403</v>
      </c>
      <c r="I3937" t="s">
        <v>25</v>
      </c>
      <c r="J3937">
        <v>2025</v>
      </c>
      <c r="K3937">
        <f t="shared" si="122"/>
        <v>107.13</v>
      </c>
      <c r="L3937" t="str">
        <f t="shared" si="123"/>
        <v>Banca Marchigiana|24|Assicurazioni</v>
      </c>
    </row>
    <row r="3938" spans="1:12" x14ac:dyDescent="0.25">
      <c r="A3938" t="s">
        <v>37</v>
      </c>
      <c r="B3938">
        <v>25</v>
      </c>
      <c r="C3938" t="s">
        <v>13</v>
      </c>
      <c r="D3938" s="1">
        <v>46053</v>
      </c>
      <c r="E3938">
        <v>1245.5999999999999</v>
      </c>
      <c r="F3938">
        <v>56.79</v>
      </c>
      <c r="G3938">
        <v>35.72</v>
      </c>
      <c r="H3938">
        <v>139</v>
      </c>
      <c r="I3938" t="s">
        <v>25</v>
      </c>
      <c r="J3938">
        <v>2026</v>
      </c>
      <c r="K3938">
        <f t="shared" si="122"/>
        <v>21.07</v>
      </c>
      <c r="L3938" t="str">
        <f t="shared" si="123"/>
        <v>Banca Marchigiana|25|Mutui</v>
      </c>
    </row>
    <row r="3939" spans="1:12" x14ac:dyDescent="0.25">
      <c r="A3939" t="s">
        <v>37</v>
      </c>
      <c r="B3939">
        <v>25</v>
      </c>
      <c r="C3939" t="s">
        <v>15</v>
      </c>
      <c r="D3939" s="1">
        <v>46053</v>
      </c>
      <c r="E3939">
        <v>1715.4</v>
      </c>
      <c r="F3939">
        <v>80.900000000000006</v>
      </c>
      <c r="G3939">
        <v>50.64</v>
      </c>
      <c r="H3939">
        <v>155</v>
      </c>
      <c r="I3939" t="s">
        <v>25</v>
      </c>
      <c r="J3939">
        <v>2026</v>
      </c>
      <c r="K3939">
        <f t="shared" si="122"/>
        <v>30.260000000000005</v>
      </c>
      <c r="L3939" t="str">
        <f t="shared" si="123"/>
        <v>Banca Marchigiana|25|Prestiti</v>
      </c>
    </row>
    <row r="3940" spans="1:12" x14ac:dyDescent="0.25">
      <c r="A3940" t="s">
        <v>37</v>
      </c>
      <c r="B3940">
        <v>25</v>
      </c>
      <c r="C3940" t="s">
        <v>16</v>
      </c>
      <c r="D3940" s="1">
        <v>46053</v>
      </c>
      <c r="E3940">
        <v>2180.6</v>
      </c>
      <c r="F3940">
        <v>107.07</v>
      </c>
      <c r="G3940">
        <v>65.84</v>
      </c>
      <c r="H3940">
        <v>181</v>
      </c>
      <c r="I3940" t="s">
        <v>25</v>
      </c>
      <c r="J3940">
        <v>2026</v>
      </c>
      <c r="K3940">
        <f t="shared" si="122"/>
        <v>41.22999999999999</v>
      </c>
      <c r="L3940" t="str">
        <f t="shared" si="123"/>
        <v>Banca Marchigiana|25|Conti</v>
      </c>
    </row>
    <row r="3941" spans="1:12" x14ac:dyDescent="0.25">
      <c r="A3941" t="s">
        <v>37</v>
      </c>
      <c r="B3941">
        <v>25</v>
      </c>
      <c r="C3941" t="s">
        <v>17</v>
      </c>
      <c r="D3941" s="1">
        <v>46053</v>
      </c>
      <c r="E3941">
        <v>2645.4</v>
      </c>
      <c r="F3941">
        <v>135.09</v>
      </c>
      <c r="G3941">
        <v>82.18</v>
      </c>
      <c r="H3941">
        <v>235</v>
      </c>
      <c r="I3941" t="s">
        <v>25</v>
      </c>
      <c r="J3941">
        <v>2026</v>
      </c>
      <c r="K3941">
        <f t="shared" si="122"/>
        <v>52.91</v>
      </c>
      <c r="L3941" t="str">
        <f t="shared" si="123"/>
        <v>Banca Marchigiana|25|Carte</v>
      </c>
    </row>
    <row r="3942" spans="1:12" x14ac:dyDescent="0.25">
      <c r="A3942" t="s">
        <v>37</v>
      </c>
      <c r="B3942">
        <v>25</v>
      </c>
      <c r="C3942" t="s">
        <v>18</v>
      </c>
      <c r="D3942" s="1">
        <v>46053</v>
      </c>
      <c r="E3942">
        <v>3075.5</v>
      </c>
      <c r="F3942">
        <v>163.80000000000001</v>
      </c>
      <c r="G3942">
        <v>98.61</v>
      </c>
      <c r="H3942">
        <v>288</v>
      </c>
      <c r="I3942" t="s">
        <v>25</v>
      </c>
      <c r="J3942">
        <v>2026</v>
      </c>
      <c r="K3942">
        <f t="shared" si="122"/>
        <v>65.190000000000012</v>
      </c>
      <c r="L3942" t="str">
        <f t="shared" si="123"/>
        <v>Banca Marchigiana|25|Leasing</v>
      </c>
    </row>
    <row r="3943" spans="1:12" x14ac:dyDescent="0.25">
      <c r="A3943" t="s">
        <v>37</v>
      </c>
      <c r="B3943">
        <v>25</v>
      </c>
      <c r="C3943" t="s">
        <v>19</v>
      </c>
      <c r="D3943" s="1">
        <v>46053</v>
      </c>
      <c r="E3943">
        <v>3577.6</v>
      </c>
      <c r="F3943">
        <v>197.77</v>
      </c>
      <c r="G3943">
        <v>118.64</v>
      </c>
      <c r="H3943">
        <v>301</v>
      </c>
      <c r="I3943" t="s">
        <v>25</v>
      </c>
      <c r="J3943">
        <v>2026</v>
      </c>
      <c r="K3943">
        <f t="shared" si="122"/>
        <v>79.13000000000001</v>
      </c>
      <c r="L3943" t="str">
        <f t="shared" si="123"/>
        <v>Banca Marchigiana|25|Factoring</v>
      </c>
    </row>
    <row r="3944" spans="1:12" x14ac:dyDescent="0.25">
      <c r="A3944" t="s">
        <v>37</v>
      </c>
      <c r="B3944">
        <v>25</v>
      </c>
      <c r="C3944" t="s">
        <v>20</v>
      </c>
      <c r="D3944" s="1">
        <v>46053</v>
      </c>
      <c r="E3944">
        <v>4052.6</v>
      </c>
      <c r="F3944">
        <v>231.16</v>
      </c>
      <c r="G3944">
        <v>138.19999999999999</v>
      </c>
      <c r="H3944">
        <v>348</v>
      </c>
      <c r="I3944" t="s">
        <v>25</v>
      </c>
      <c r="J3944">
        <v>2026</v>
      </c>
      <c r="K3944">
        <f t="shared" si="122"/>
        <v>92.960000000000008</v>
      </c>
      <c r="L3944" t="str">
        <f t="shared" si="123"/>
        <v>Banca Marchigiana|25|Risparmio</v>
      </c>
    </row>
    <row r="3945" spans="1:12" x14ac:dyDescent="0.25">
      <c r="A3945" t="s">
        <v>37</v>
      </c>
      <c r="B3945">
        <v>25</v>
      </c>
      <c r="C3945" t="s">
        <v>21</v>
      </c>
      <c r="D3945" s="1">
        <v>46053</v>
      </c>
      <c r="E3945">
        <v>4498.8999999999996</v>
      </c>
      <c r="F3945">
        <v>265.64999999999998</v>
      </c>
      <c r="G3945">
        <v>157.66</v>
      </c>
      <c r="H3945">
        <v>411</v>
      </c>
      <c r="I3945" t="s">
        <v>25</v>
      </c>
      <c r="J3945">
        <v>2026</v>
      </c>
      <c r="K3945">
        <f t="shared" si="122"/>
        <v>107.98999999999998</v>
      </c>
      <c r="L3945" t="str">
        <f t="shared" si="123"/>
        <v>Banca Marchigiana|25|Assicurazioni</v>
      </c>
    </row>
    <row r="3946" spans="1:12" x14ac:dyDescent="0.25">
      <c r="A3946" t="s">
        <v>37</v>
      </c>
      <c r="B3946">
        <v>26</v>
      </c>
      <c r="C3946" t="s">
        <v>13</v>
      </c>
      <c r="D3946" s="1">
        <v>46081</v>
      </c>
      <c r="E3946">
        <v>1252.9000000000001</v>
      </c>
      <c r="F3946">
        <v>56.41</v>
      </c>
      <c r="G3946">
        <v>35.979999999999997</v>
      </c>
      <c r="H3946">
        <v>119</v>
      </c>
      <c r="I3946" t="s">
        <v>25</v>
      </c>
      <c r="J3946">
        <v>2026</v>
      </c>
      <c r="K3946">
        <f t="shared" si="122"/>
        <v>20.43</v>
      </c>
      <c r="L3946" t="str">
        <f t="shared" si="123"/>
        <v>Banca Marchigiana|26|Mutui</v>
      </c>
    </row>
    <row r="3947" spans="1:12" x14ac:dyDescent="0.25">
      <c r="A3947" t="s">
        <v>37</v>
      </c>
      <c r="B3947">
        <v>26</v>
      </c>
      <c r="C3947" t="s">
        <v>15</v>
      </c>
      <c r="D3947" s="1">
        <v>46081</v>
      </c>
      <c r="E3947">
        <v>1711.3</v>
      </c>
      <c r="F3947">
        <v>81.23</v>
      </c>
      <c r="G3947">
        <v>50.01</v>
      </c>
      <c r="H3947">
        <v>152</v>
      </c>
      <c r="I3947" t="s">
        <v>25</v>
      </c>
      <c r="J3947">
        <v>2026</v>
      </c>
      <c r="K3947">
        <f t="shared" si="122"/>
        <v>31.220000000000006</v>
      </c>
      <c r="L3947" t="str">
        <f t="shared" si="123"/>
        <v>Banca Marchigiana|26|Prestiti</v>
      </c>
    </row>
    <row r="3948" spans="1:12" x14ac:dyDescent="0.25">
      <c r="A3948" t="s">
        <v>37</v>
      </c>
      <c r="B3948">
        <v>26</v>
      </c>
      <c r="C3948" t="s">
        <v>16</v>
      </c>
      <c r="D3948" s="1">
        <v>46081</v>
      </c>
      <c r="E3948">
        <v>2210.5</v>
      </c>
      <c r="F3948">
        <v>108.9</v>
      </c>
      <c r="G3948">
        <v>66.88</v>
      </c>
      <c r="H3948">
        <v>204</v>
      </c>
      <c r="I3948" t="s">
        <v>25</v>
      </c>
      <c r="J3948">
        <v>2026</v>
      </c>
      <c r="K3948">
        <f t="shared" si="122"/>
        <v>42.02000000000001</v>
      </c>
      <c r="L3948" t="str">
        <f t="shared" si="123"/>
        <v>Banca Marchigiana|26|Conti</v>
      </c>
    </row>
    <row r="3949" spans="1:12" x14ac:dyDescent="0.25">
      <c r="A3949" t="s">
        <v>37</v>
      </c>
      <c r="B3949">
        <v>26</v>
      </c>
      <c r="C3949" t="s">
        <v>17</v>
      </c>
      <c r="D3949" s="1">
        <v>46081</v>
      </c>
      <c r="E3949">
        <v>2638.1</v>
      </c>
      <c r="F3949">
        <v>135.08000000000001</v>
      </c>
      <c r="G3949">
        <v>81.849999999999994</v>
      </c>
      <c r="H3949">
        <v>224</v>
      </c>
      <c r="I3949" t="s">
        <v>25</v>
      </c>
      <c r="J3949">
        <v>2026</v>
      </c>
      <c r="K3949">
        <f t="shared" si="122"/>
        <v>53.230000000000018</v>
      </c>
      <c r="L3949" t="str">
        <f t="shared" si="123"/>
        <v>Banca Marchigiana|26|Carte</v>
      </c>
    </row>
    <row r="3950" spans="1:12" x14ac:dyDescent="0.25">
      <c r="A3950" t="s">
        <v>37</v>
      </c>
      <c r="B3950">
        <v>26</v>
      </c>
      <c r="C3950" t="s">
        <v>18</v>
      </c>
      <c r="D3950" s="1">
        <v>46081</v>
      </c>
      <c r="E3950">
        <v>3140.8</v>
      </c>
      <c r="F3950">
        <v>167.16</v>
      </c>
      <c r="G3950">
        <v>101.28</v>
      </c>
      <c r="H3950">
        <v>273</v>
      </c>
      <c r="I3950" t="s">
        <v>25</v>
      </c>
      <c r="J3950">
        <v>2026</v>
      </c>
      <c r="K3950">
        <f t="shared" si="122"/>
        <v>65.88</v>
      </c>
      <c r="L3950" t="str">
        <f t="shared" si="123"/>
        <v>Banca Marchigiana|26|Leasing</v>
      </c>
    </row>
    <row r="3951" spans="1:12" x14ac:dyDescent="0.25">
      <c r="A3951" t="s">
        <v>37</v>
      </c>
      <c r="B3951">
        <v>26</v>
      </c>
      <c r="C3951" t="s">
        <v>19</v>
      </c>
      <c r="D3951" s="1">
        <v>46081</v>
      </c>
      <c r="E3951">
        <v>3583.9</v>
      </c>
      <c r="F3951">
        <v>197.92</v>
      </c>
      <c r="G3951">
        <v>118.39</v>
      </c>
      <c r="H3951">
        <v>312</v>
      </c>
      <c r="I3951" t="s">
        <v>25</v>
      </c>
      <c r="J3951">
        <v>2026</v>
      </c>
      <c r="K3951">
        <f t="shared" si="122"/>
        <v>79.529999999999987</v>
      </c>
      <c r="L3951" t="str">
        <f t="shared" si="123"/>
        <v>Banca Marchigiana|26|Factoring</v>
      </c>
    </row>
    <row r="3952" spans="1:12" x14ac:dyDescent="0.25">
      <c r="A3952" t="s">
        <v>37</v>
      </c>
      <c r="B3952">
        <v>26</v>
      </c>
      <c r="C3952" t="s">
        <v>20</v>
      </c>
      <c r="D3952" s="1">
        <v>46081</v>
      </c>
      <c r="E3952">
        <v>4068.7</v>
      </c>
      <c r="F3952">
        <v>232.89</v>
      </c>
      <c r="G3952">
        <v>138.57</v>
      </c>
      <c r="H3952">
        <v>368</v>
      </c>
      <c r="I3952" t="s">
        <v>25</v>
      </c>
      <c r="J3952">
        <v>2026</v>
      </c>
      <c r="K3952">
        <f t="shared" si="122"/>
        <v>94.32</v>
      </c>
      <c r="L3952" t="str">
        <f t="shared" si="123"/>
        <v>Banca Marchigiana|26|Risparmio</v>
      </c>
    </row>
    <row r="3953" spans="1:12" x14ac:dyDescent="0.25">
      <c r="A3953" t="s">
        <v>37</v>
      </c>
      <c r="B3953">
        <v>26</v>
      </c>
      <c r="C3953" t="s">
        <v>21</v>
      </c>
      <c r="D3953" s="1">
        <v>46081</v>
      </c>
      <c r="E3953">
        <v>4511.2</v>
      </c>
      <c r="F3953">
        <v>267.06</v>
      </c>
      <c r="G3953">
        <v>158.68</v>
      </c>
      <c r="H3953">
        <v>387</v>
      </c>
      <c r="I3953" t="s">
        <v>25</v>
      </c>
      <c r="J3953">
        <v>2026</v>
      </c>
      <c r="K3953">
        <f t="shared" si="122"/>
        <v>108.38</v>
      </c>
      <c r="L3953" t="str">
        <f t="shared" si="123"/>
        <v>Banca Marchigiana|26|Assicurazioni</v>
      </c>
    </row>
    <row r="3954" spans="1:12" x14ac:dyDescent="0.25">
      <c r="A3954" t="s">
        <v>37</v>
      </c>
      <c r="B3954">
        <v>27</v>
      </c>
      <c r="C3954" t="s">
        <v>13</v>
      </c>
      <c r="D3954" s="1">
        <v>46112</v>
      </c>
      <c r="E3954">
        <v>1240.4000000000001</v>
      </c>
      <c r="F3954">
        <v>56.44</v>
      </c>
      <c r="G3954">
        <v>35.049999999999997</v>
      </c>
      <c r="H3954">
        <v>108</v>
      </c>
      <c r="I3954" t="s">
        <v>25</v>
      </c>
      <c r="J3954">
        <v>2026</v>
      </c>
      <c r="K3954">
        <f t="shared" si="122"/>
        <v>21.39</v>
      </c>
      <c r="L3954" t="str">
        <f t="shared" si="123"/>
        <v>Banca Marchigiana|27|Mutui</v>
      </c>
    </row>
    <row r="3955" spans="1:12" x14ac:dyDescent="0.25">
      <c r="A3955" t="s">
        <v>37</v>
      </c>
      <c r="B3955">
        <v>27</v>
      </c>
      <c r="C3955" t="s">
        <v>15</v>
      </c>
      <c r="D3955" s="1">
        <v>46112</v>
      </c>
      <c r="E3955">
        <v>1751.8</v>
      </c>
      <c r="F3955">
        <v>82.94</v>
      </c>
      <c r="G3955">
        <v>51.63</v>
      </c>
      <c r="H3955">
        <v>142</v>
      </c>
      <c r="I3955" t="s">
        <v>25</v>
      </c>
      <c r="J3955">
        <v>2026</v>
      </c>
      <c r="K3955">
        <f t="shared" si="122"/>
        <v>31.309999999999995</v>
      </c>
      <c r="L3955" t="str">
        <f t="shared" si="123"/>
        <v>Banca Marchigiana|27|Prestiti</v>
      </c>
    </row>
    <row r="3956" spans="1:12" x14ac:dyDescent="0.25">
      <c r="A3956" t="s">
        <v>37</v>
      </c>
      <c r="B3956">
        <v>27</v>
      </c>
      <c r="C3956" t="s">
        <v>16</v>
      </c>
      <c r="D3956" s="1">
        <v>46112</v>
      </c>
      <c r="E3956">
        <v>2210.4</v>
      </c>
      <c r="F3956">
        <v>108.45</v>
      </c>
      <c r="G3956">
        <v>66.38</v>
      </c>
      <c r="H3956">
        <v>184</v>
      </c>
      <c r="I3956" t="s">
        <v>25</v>
      </c>
      <c r="J3956">
        <v>2026</v>
      </c>
      <c r="K3956">
        <f t="shared" si="122"/>
        <v>42.070000000000007</v>
      </c>
      <c r="L3956" t="str">
        <f t="shared" si="123"/>
        <v>Banca Marchigiana|27|Conti</v>
      </c>
    </row>
    <row r="3957" spans="1:12" x14ac:dyDescent="0.25">
      <c r="A3957" t="s">
        <v>37</v>
      </c>
      <c r="B3957">
        <v>27</v>
      </c>
      <c r="C3957" t="s">
        <v>17</v>
      </c>
      <c r="D3957" s="1">
        <v>46112</v>
      </c>
      <c r="E3957">
        <v>2675.8</v>
      </c>
      <c r="F3957">
        <v>136.72</v>
      </c>
      <c r="G3957">
        <v>83.46</v>
      </c>
      <c r="H3957">
        <v>256</v>
      </c>
      <c r="I3957" t="s">
        <v>25</v>
      </c>
      <c r="J3957">
        <v>2026</v>
      </c>
      <c r="K3957">
        <f t="shared" si="122"/>
        <v>53.260000000000005</v>
      </c>
      <c r="L3957" t="str">
        <f t="shared" si="123"/>
        <v>Banca Marchigiana|27|Carte</v>
      </c>
    </row>
    <row r="3958" spans="1:12" x14ac:dyDescent="0.25">
      <c r="A3958" t="s">
        <v>37</v>
      </c>
      <c r="B3958">
        <v>27</v>
      </c>
      <c r="C3958" t="s">
        <v>18</v>
      </c>
      <c r="D3958" s="1">
        <v>46112</v>
      </c>
      <c r="E3958">
        <v>3110.2</v>
      </c>
      <c r="F3958">
        <v>165.52</v>
      </c>
      <c r="G3958">
        <v>100.52</v>
      </c>
      <c r="H3958">
        <v>278</v>
      </c>
      <c r="I3958" t="s">
        <v>25</v>
      </c>
      <c r="J3958">
        <v>2026</v>
      </c>
      <c r="K3958">
        <f t="shared" si="122"/>
        <v>65.000000000000014</v>
      </c>
      <c r="L3958" t="str">
        <f t="shared" si="123"/>
        <v>Banca Marchigiana|27|Leasing</v>
      </c>
    </row>
    <row r="3959" spans="1:12" x14ac:dyDescent="0.25">
      <c r="A3959" t="s">
        <v>37</v>
      </c>
      <c r="B3959">
        <v>27</v>
      </c>
      <c r="C3959" t="s">
        <v>19</v>
      </c>
      <c r="D3959" s="1">
        <v>46112</v>
      </c>
      <c r="E3959">
        <v>3605.3</v>
      </c>
      <c r="F3959">
        <v>198.65</v>
      </c>
      <c r="G3959">
        <v>119.72</v>
      </c>
      <c r="H3959">
        <v>306</v>
      </c>
      <c r="I3959" t="s">
        <v>25</v>
      </c>
      <c r="J3959">
        <v>2026</v>
      </c>
      <c r="K3959">
        <f t="shared" si="122"/>
        <v>78.930000000000007</v>
      </c>
      <c r="L3959" t="str">
        <f t="shared" si="123"/>
        <v>Banca Marchigiana|27|Factoring</v>
      </c>
    </row>
    <row r="3960" spans="1:12" x14ac:dyDescent="0.25">
      <c r="A3960" t="s">
        <v>37</v>
      </c>
      <c r="B3960">
        <v>27</v>
      </c>
      <c r="C3960" t="s">
        <v>20</v>
      </c>
      <c r="D3960" s="1">
        <v>46112</v>
      </c>
      <c r="E3960">
        <v>4051</v>
      </c>
      <c r="F3960">
        <v>231.66</v>
      </c>
      <c r="G3960">
        <v>138.47</v>
      </c>
      <c r="H3960">
        <v>371</v>
      </c>
      <c r="I3960" t="s">
        <v>25</v>
      </c>
      <c r="J3960">
        <v>2026</v>
      </c>
      <c r="K3960">
        <f t="shared" si="122"/>
        <v>93.19</v>
      </c>
      <c r="L3960" t="str">
        <f t="shared" si="123"/>
        <v>Banca Marchigiana|27|Risparmio</v>
      </c>
    </row>
    <row r="3961" spans="1:12" x14ac:dyDescent="0.25">
      <c r="A3961" t="s">
        <v>37</v>
      </c>
      <c r="B3961">
        <v>27</v>
      </c>
      <c r="C3961" t="s">
        <v>21</v>
      </c>
      <c r="D3961" s="1">
        <v>46112</v>
      </c>
      <c r="E3961">
        <v>4571.2</v>
      </c>
      <c r="F3961">
        <v>270.08</v>
      </c>
      <c r="G3961">
        <v>160.62</v>
      </c>
      <c r="H3961">
        <v>392</v>
      </c>
      <c r="I3961" t="s">
        <v>25</v>
      </c>
      <c r="J3961">
        <v>2026</v>
      </c>
      <c r="K3961">
        <f t="shared" si="122"/>
        <v>109.45999999999998</v>
      </c>
      <c r="L3961" t="str">
        <f t="shared" si="123"/>
        <v>Banca Marchigiana|27|Assicurazioni</v>
      </c>
    </row>
    <row r="3962" spans="1:12" x14ac:dyDescent="0.25">
      <c r="A3962" t="s">
        <v>37</v>
      </c>
      <c r="B3962">
        <v>28</v>
      </c>
      <c r="C3962" t="s">
        <v>13</v>
      </c>
      <c r="D3962" s="1">
        <v>46142</v>
      </c>
      <c r="E3962">
        <v>1284.5</v>
      </c>
      <c r="F3962">
        <v>58.78</v>
      </c>
      <c r="G3962">
        <v>36.07</v>
      </c>
      <c r="H3962">
        <v>129</v>
      </c>
      <c r="I3962" t="s">
        <v>25</v>
      </c>
      <c r="J3962">
        <v>2026</v>
      </c>
      <c r="K3962">
        <f t="shared" si="122"/>
        <v>22.71</v>
      </c>
      <c r="L3962" t="str">
        <f t="shared" si="123"/>
        <v>Banca Marchigiana|28|Mutui</v>
      </c>
    </row>
    <row r="3963" spans="1:12" x14ac:dyDescent="0.25">
      <c r="A3963" t="s">
        <v>37</v>
      </c>
      <c r="B3963">
        <v>28</v>
      </c>
      <c r="C3963" t="s">
        <v>15</v>
      </c>
      <c r="D3963" s="1">
        <v>46142</v>
      </c>
      <c r="E3963">
        <v>1727.9</v>
      </c>
      <c r="F3963">
        <v>82.12</v>
      </c>
      <c r="G3963">
        <v>50.26</v>
      </c>
      <c r="H3963">
        <v>149</v>
      </c>
      <c r="I3963" t="s">
        <v>25</v>
      </c>
      <c r="J3963">
        <v>2026</v>
      </c>
      <c r="K3963">
        <f t="shared" si="122"/>
        <v>31.860000000000007</v>
      </c>
      <c r="L3963" t="str">
        <f t="shared" si="123"/>
        <v>Banca Marchigiana|28|Prestiti</v>
      </c>
    </row>
    <row r="3964" spans="1:12" x14ac:dyDescent="0.25">
      <c r="A3964" t="s">
        <v>37</v>
      </c>
      <c r="B3964">
        <v>28</v>
      </c>
      <c r="C3964" t="s">
        <v>16</v>
      </c>
      <c r="D3964" s="1">
        <v>46142</v>
      </c>
      <c r="E3964">
        <v>2195.4</v>
      </c>
      <c r="F3964">
        <v>107.97</v>
      </c>
      <c r="G3964">
        <v>66.72</v>
      </c>
      <c r="H3964">
        <v>193</v>
      </c>
      <c r="I3964" t="s">
        <v>25</v>
      </c>
      <c r="J3964">
        <v>2026</v>
      </c>
      <c r="K3964">
        <f t="shared" si="122"/>
        <v>41.25</v>
      </c>
      <c r="L3964" t="str">
        <f t="shared" si="123"/>
        <v>Banca Marchigiana|28|Conti</v>
      </c>
    </row>
    <row r="3965" spans="1:12" x14ac:dyDescent="0.25">
      <c r="A3965" t="s">
        <v>37</v>
      </c>
      <c r="B3965">
        <v>28</v>
      </c>
      <c r="C3965" t="s">
        <v>17</v>
      </c>
      <c r="D3965" s="1">
        <v>46142</v>
      </c>
      <c r="E3965">
        <v>2687.6</v>
      </c>
      <c r="F3965">
        <v>137.69</v>
      </c>
      <c r="G3965">
        <v>84.13</v>
      </c>
      <c r="H3965">
        <v>247</v>
      </c>
      <c r="I3965" t="s">
        <v>25</v>
      </c>
      <c r="J3965">
        <v>2026</v>
      </c>
      <c r="K3965">
        <f t="shared" si="122"/>
        <v>53.56</v>
      </c>
      <c r="L3965" t="str">
        <f t="shared" si="123"/>
        <v>Banca Marchigiana|28|Carte</v>
      </c>
    </row>
    <row r="3966" spans="1:12" x14ac:dyDescent="0.25">
      <c r="A3966" t="s">
        <v>37</v>
      </c>
      <c r="B3966">
        <v>28</v>
      </c>
      <c r="C3966" t="s">
        <v>18</v>
      </c>
      <c r="D3966" s="1">
        <v>46142</v>
      </c>
      <c r="E3966">
        <v>3181.4</v>
      </c>
      <c r="F3966">
        <v>169.47</v>
      </c>
      <c r="G3966">
        <v>102.38</v>
      </c>
      <c r="H3966">
        <v>297</v>
      </c>
      <c r="I3966" t="s">
        <v>25</v>
      </c>
      <c r="J3966">
        <v>2026</v>
      </c>
      <c r="K3966">
        <f t="shared" si="122"/>
        <v>67.09</v>
      </c>
      <c r="L3966" t="str">
        <f t="shared" si="123"/>
        <v>Banca Marchigiana|28|Leasing</v>
      </c>
    </row>
    <row r="3967" spans="1:12" x14ac:dyDescent="0.25">
      <c r="A3967" t="s">
        <v>37</v>
      </c>
      <c r="B3967">
        <v>28</v>
      </c>
      <c r="C3967" t="s">
        <v>19</v>
      </c>
      <c r="D3967" s="1">
        <v>46142</v>
      </c>
      <c r="E3967">
        <v>3646.7</v>
      </c>
      <c r="F3967">
        <v>200.98</v>
      </c>
      <c r="G3967">
        <v>120.52</v>
      </c>
      <c r="H3967">
        <v>306</v>
      </c>
      <c r="I3967" t="s">
        <v>25</v>
      </c>
      <c r="J3967">
        <v>2026</v>
      </c>
      <c r="K3967">
        <f t="shared" si="122"/>
        <v>80.459999999999994</v>
      </c>
      <c r="L3967" t="str">
        <f t="shared" si="123"/>
        <v>Banca Marchigiana|28|Factoring</v>
      </c>
    </row>
    <row r="3968" spans="1:12" x14ac:dyDescent="0.25">
      <c r="A3968" t="s">
        <v>37</v>
      </c>
      <c r="B3968">
        <v>28</v>
      </c>
      <c r="C3968" t="s">
        <v>20</v>
      </c>
      <c r="D3968" s="1">
        <v>46142</v>
      </c>
      <c r="E3968">
        <v>4095.6</v>
      </c>
      <c r="F3968">
        <v>234.06</v>
      </c>
      <c r="G3968">
        <v>139.29</v>
      </c>
      <c r="H3968">
        <v>339</v>
      </c>
      <c r="I3968" t="s">
        <v>25</v>
      </c>
      <c r="J3968">
        <v>2026</v>
      </c>
      <c r="K3968">
        <f t="shared" si="122"/>
        <v>94.77000000000001</v>
      </c>
      <c r="L3968" t="str">
        <f t="shared" si="123"/>
        <v>Banca Marchigiana|28|Risparmio</v>
      </c>
    </row>
    <row r="3969" spans="1:12" x14ac:dyDescent="0.25">
      <c r="A3969" t="s">
        <v>37</v>
      </c>
      <c r="B3969">
        <v>28</v>
      </c>
      <c r="C3969" t="s">
        <v>21</v>
      </c>
      <c r="D3969" s="1">
        <v>46142</v>
      </c>
      <c r="E3969">
        <v>4563.5</v>
      </c>
      <c r="F3969">
        <v>269.82</v>
      </c>
      <c r="G3969">
        <v>160.05000000000001</v>
      </c>
      <c r="H3969">
        <v>380</v>
      </c>
      <c r="I3969" t="s">
        <v>25</v>
      </c>
      <c r="J3969">
        <v>2026</v>
      </c>
      <c r="K3969">
        <f t="shared" si="122"/>
        <v>109.76999999999998</v>
      </c>
      <c r="L3969" t="str">
        <f t="shared" si="123"/>
        <v>Banca Marchigiana|28|Assicurazioni</v>
      </c>
    </row>
    <row r="3970" spans="1:12" x14ac:dyDescent="0.25">
      <c r="A3970" t="s">
        <v>37</v>
      </c>
      <c r="B3970">
        <v>29</v>
      </c>
      <c r="C3970" t="s">
        <v>13</v>
      </c>
      <c r="D3970" s="1">
        <v>46173</v>
      </c>
      <c r="E3970">
        <v>1245</v>
      </c>
      <c r="F3970">
        <v>56.23</v>
      </c>
      <c r="G3970">
        <v>35.43</v>
      </c>
      <c r="H3970">
        <v>103</v>
      </c>
      <c r="I3970" t="s">
        <v>25</v>
      </c>
      <c r="J3970">
        <v>2026</v>
      </c>
      <c r="K3970">
        <f t="shared" ref="K3970:K4033" si="124">F3970-G3970</f>
        <v>20.799999999999997</v>
      </c>
      <c r="L3970" t="str">
        <f t="shared" ref="L3970:L4033" si="125">A3970&amp;"|"&amp;B3970&amp;"|"&amp;C3970</f>
        <v>Banca Marchigiana|29|Mutui</v>
      </c>
    </row>
    <row r="3971" spans="1:12" x14ac:dyDescent="0.25">
      <c r="A3971" t="s">
        <v>37</v>
      </c>
      <c r="B3971">
        <v>29</v>
      </c>
      <c r="C3971" t="s">
        <v>15</v>
      </c>
      <c r="D3971" s="1">
        <v>46173</v>
      </c>
      <c r="E3971">
        <v>1777.5</v>
      </c>
      <c r="F3971">
        <v>84.44</v>
      </c>
      <c r="G3971">
        <v>51.98</v>
      </c>
      <c r="H3971">
        <v>155</v>
      </c>
      <c r="I3971" t="s">
        <v>25</v>
      </c>
      <c r="J3971">
        <v>2026</v>
      </c>
      <c r="K3971">
        <f t="shared" si="124"/>
        <v>32.46</v>
      </c>
      <c r="L3971" t="str">
        <f t="shared" si="125"/>
        <v>Banca Marchigiana|29|Prestiti</v>
      </c>
    </row>
    <row r="3972" spans="1:12" x14ac:dyDescent="0.25">
      <c r="A3972" t="s">
        <v>37</v>
      </c>
      <c r="B3972">
        <v>29</v>
      </c>
      <c r="C3972" t="s">
        <v>16</v>
      </c>
      <c r="D3972" s="1">
        <v>46173</v>
      </c>
      <c r="E3972">
        <v>2225.6</v>
      </c>
      <c r="F3972">
        <v>109.62</v>
      </c>
      <c r="G3972">
        <v>67.7</v>
      </c>
      <c r="H3972">
        <v>204</v>
      </c>
      <c r="I3972" t="s">
        <v>25</v>
      </c>
      <c r="J3972">
        <v>2026</v>
      </c>
      <c r="K3972">
        <f t="shared" si="124"/>
        <v>41.92</v>
      </c>
      <c r="L3972" t="str">
        <f t="shared" si="125"/>
        <v>Banca Marchigiana|29|Conti</v>
      </c>
    </row>
    <row r="3973" spans="1:12" x14ac:dyDescent="0.25">
      <c r="A3973" t="s">
        <v>37</v>
      </c>
      <c r="B3973">
        <v>29</v>
      </c>
      <c r="C3973" t="s">
        <v>17</v>
      </c>
      <c r="D3973" s="1">
        <v>46173</v>
      </c>
      <c r="E3973">
        <v>2706.8</v>
      </c>
      <c r="F3973">
        <v>138.44999999999999</v>
      </c>
      <c r="G3973">
        <v>84.02</v>
      </c>
      <c r="H3973">
        <v>256</v>
      </c>
      <c r="I3973" t="s">
        <v>25</v>
      </c>
      <c r="J3973">
        <v>2026</v>
      </c>
      <c r="K3973">
        <f t="shared" si="124"/>
        <v>54.429999999999993</v>
      </c>
      <c r="L3973" t="str">
        <f t="shared" si="125"/>
        <v>Banca Marchigiana|29|Carte</v>
      </c>
    </row>
    <row r="3974" spans="1:12" x14ac:dyDescent="0.25">
      <c r="A3974" t="s">
        <v>37</v>
      </c>
      <c r="B3974">
        <v>29</v>
      </c>
      <c r="C3974" t="s">
        <v>18</v>
      </c>
      <c r="D3974" s="1">
        <v>46173</v>
      </c>
      <c r="E3974">
        <v>3191.8</v>
      </c>
      <c r="F3974">
        <v>169.89</v>
      </c>
      <c r="G3974">
        <v>103.04</v>
      </c>
      <c r="H3974">
        <v>292</v>
      </c>
      <c r="I3974" t="s">
        <v>25</v>
      </c>
      <c r="J3974">
        <v>2026</v>
      </c>
      <c r="K3974">
        <f t="shared" si="124"/>
        <v>66.84999999999998</v>
      </c>
      <c r="L3974" t="str">
        <f t="shared" si="125"/>
        <v>Banca Marchigiana|29|Leasing</v>
      </c>
    </row>
    <row r="3975" spans="1:12" x14ac:dyDescent="0.25">
      <c r="A3975" t="s">
        <v>37</v>
      </c>
      <c r="B3975">
        <v>29</v>
      </c>
      <c r="C3975" t="s">
        <v>19</v>
      </c>
      <c r="D3975" s="1">
        <v>46173</v>
      </c>
      <c r="E3975">
        <v>3658.2</v>
      </c>
      <c r="F3975">
        <v>201.55</v>
      </c>
      <c r="G3975">
        <v>121.49</v>
      </c>
      <c r="H3975">
        <v>300</v>
      </c>
      <c r="I3975" t="s">
        <v>25</v>
      </c>
      <c r="J3975">
        <v>2026</v>
      </c>
      <c r="K3975">
        <f t="shared" si="124"/>
        <v>80.060000000000016</v>
      </c>
      <c r="L3975" t="str">
        <f t="shared" si="125"/>
        <v>Banca Marchigiana|29|Factoring</v>
      </c>
    </row>
    <row r="3976" spans="1:12" x14ac:dyDescent="0.25">
      <c r="A3976" t="s">
        <v>37</v>
      </c>
      <c r="B3976">
        <v>29</v>
      </c>
      <c r="C3976" t="s">
        <v>20</v>
      </c>
      <c r="D3976" s="1">
        <v>46173</v>
      </c>
      <c r="E3976">
        <v>4152.5</v>
      </c>
      <c r="F3976">
        <v>236.99</v>
      </c>
      <c r="G3976">
        <v>141.84</v>
      </c>
      <c r="H3976">
        <v>361</v>
      </c>
      <c r="I3976" t="s">
        <v>25</v>
      </c>
      <c r="J3976">
        <v>2026</v>
      </c>
      <c r="K3976">
        <f t="shared" si="124"/>
        <v>95.15</v>
      </c>
      <c r="L3976" t="str">
        <f t="shared" si="125"/>
        <v>Banca Marchigiana|29|Risparmio</v>
      </c>
    </row>
    <row r="3977" spans="1:12" x14ac:dyDescent="0.25">
      <c r="A3977" t="s">
        <v>37</v>
      </c>
      <c r="B3977">
        <v>29</v>
      </c>
      <c r="C3977" t="s">
        <v>21</v>
      </c>
      <c r="D3977" s="1">
        <v>46173</v>
      </c>
      <c r="E3977">
        <v>4624.8</v>
      </c>
      <c r="F3977">
        <v>273.14999999999998</v>
      </c>
      <c r="G3977">
        <v>162.44</v>
      </c>
      <c r="H3977">
        <v>374</v>
      </c>
      <c r="I3977" t="s">
        <v>25</v>
      </c>
      <c r="J3977">
        <v>2026</v>
      </c>
      <c r="K3977">
        <f t="shared" si="124"/>
        <v>110.70999999999998</v>
      </c>
      <c r="L3977" t="str">
        <f t="shared" si="125"/>
        <v>Banca Marchigiana|29|Assicurazioni</v>
      </c>
    </row>
    <row r="3978" spans="1:12" x14ac:dyDescent="0.25">
      <c r="A3978" t="s">
        <v>37</v>
      </c>
      <c r="B3978">
        <v>30</v>
      </c>
      <c r="C3978" t="s">
        <v>13</v>
      </c>
      <c r="D3978" s="1">
        <v>46203</v>
      </c>
      <c r="E3978">
        <v>1257.9000000000001</v>
      </c>
      <c r="F3978">
        <v>57.58</v>
      </c>
      <c r="G3978">
        <v>36.06</v>
      </c>
      <c r="H3978">
        <v>133</v>
      </c>
      <c r="I3978" t="s">
        <v>25</v>
      </c>
      <c r="J3978">
        <v>2026</v>
      </c>
      <c r="K3978">
        <f t="shared" si="124"/>
        <v>21.519999999999996</v>
      </c>
      <c r="L3978" t="str">
        <f t="shared" si="125"/>
        <v>Banca Marchigiana|30|Mutui</v>
      </c>
    </row>
    <row r="3979" spans="1:12" x14ac:dyDescent="0.25">
      <c r="A3979" t="s">
        <v>37</v>
      </c>
      <c r="B3979">
        <v>30</v>
      </c>
      <c r="C3979" t="s">
        <v>15</v>
      </c>
      <c r="D3979" s="1">
        <v>46203</v>
      </c>
      <c r="E3979">
        <v>1765.4</v>
      </c>
      <c r="F3979">
        <v>83.65</v>
      </c>
      <c r="G3979">
        <v>51.65</v>
      </c>
      <c r="H3979">
        <v>162</v>
      </c>
      <c r="I3979" t="s">
        <v>25</v>
      </c>
      <c r="J3979">
        <v>2026</v>
      </c>
      <c r="K3979">
        <f t="shared" si="124"/>
        <v>32.000000000000007</v>
      </c>
      <c r="L3979" t="str">
        <f t="shared" si="125"/>
        <v>Banca Marchigiana|30|Prestiti</v>
      </c>
    </row>
    <row r="3980" spans="1:12" x14ac:dyDescent="0.25">
      <c r="A3980" t="s">
        <v>37</v>
      </c>
      <c r="B3980">
        <v>30</v>
      </c>
      <c r="C3980" t="s">
        <v>16</v>
      </c>
      <c r="D3980" s="1">
        <v>46203</v>
      </c>
      <c r="E3980">
        <v>2224.6</v>
      </c>
      <c r="F3980">
        <v>109.48</v>
      </c>
      <c r="G3980">
        <v>67.12</v>
      </c>
      <c r="H3980">
        <v>200</v>
      </c>
      <c r="I3980" t="s">
        <v>25</v>
      </c>
      <c r="J3980">
        <v>2026</v>
      </c>
      <c r="K3980">
        <f t="shared" si="124"/>
        <v>42.36</v>
      </c>
      <c r="L3980" t="str">
        <f t="shared" si="125"/>
        <v>Banca Marchigiana|30|Conti</v>
      </c>
    </row>
    <row r="3981" spans="1:12" x14ac:dyDescent="0.25">
      <c r="A3981" t="s">
        <v>37</v>
      </c>
      <c r="B3981">
        <v>30</v>
      </c>
      <c r="C3981" t="s">
        <v>17</v>
      </c>
      <c r="D3981" s="1">
        <v>46203</v>
      </c>
      <c r="E3981">
        <v>2695.8</v>
      </c>
      <c r="F3981">
        <v>137.79</v>
      </c>
      <c r="G3981">
        <v>84.27</v>
      </c>
      <c r="H3981">
        <v>238</v>
      </c>
      <c r="I3981" t="s">
        <v>25</v>
      </c>
      <c r="J3981">
        <v>2026</v>
      </c>
      <c r="K3981">
        <f t="shared" si="124"/>
        <v>53.519999999999996</v>
      </c>
      <c r="L3981" t="str">
        <f t="shared" si="125"/>
        <v>Banca Marchigiana|30|Carte</v>
      </c>
    </row>
    <row r="3982" spans="1:12" x14ac:dyDescent="0.25">
      <c r="A3982" t="s">
        <v>37</v>
      </c>
      <c r="B3982">
        <v>30</v>
      </c>
      <c r="C3982" t="s">
        <v>18</v>
      </c>
      <c r="D3982" s="1">
        <v>46203</v>
      </c>
      <c r="E3982">
        <v>3203.7</v>
      </c>
      <c r="F3982">
        <v>169.92</v>
      </c>
      <c r="G3982">
        <v>102.86</v>
      </c>
      <c r="H3982">
        <v>279</v>
      </c>
      <c r="I3982" t="s">
        <v>25</v>
      </c>
      <c r="J3982">
        <v>2026</v>
      </c>
      <c r="K3982">
        <f t="shared" si="124"/>
        <v>67.059999999999988</v>
      </c>
      <c r="L3982" t="str">
        <f t="shared" si="125"/>
        <v>Banca Marchigiana|30|Leasing</v>
      </c>
    </row>
    <row r="3983" spans="1:12" x14ac:dyDescent="0.25">
      <c r="A3983" t="s">
        <v>37</v>
      </c>
      <c r="B3983">
        <v>30</v>
      </c>
      <c r="C3983" t="s">
        <v>19</v>
      </c>
      <c r="D3983" s="1">
        <v>46203</v>
      </c>
      <c r="E3983">
        <v>3692.9</v>
      </c>
      <c r="F3983">
        <v>204.03</v>
      </c>
      <c r="G3983">
        <v>122.16</v>
      </c>
      <c r="H3983">
        <v>330</v>
      </c>
      <c r="I3983" t="s">
        <v>25</v>
      </c>
      <c r="J3983">
        <v>2026</v>
      </c>
      <c r="K3983">
        <f t="shared" si="124"/>
        <v>81.87</v>
      </c>
      <c r="L3983" t="str">
        <f t="shared" si="125"/>
        <v>Banca Marchigiana|30|Factoring</v>
      </c>
    </row>
    <row r="3984" spans="1:12" x14ac:dyDescent="0.25">
      <c r="A3984" t="s">
        <v>37</v>
      </c>
      <c r="B3984">
        <v>30</v>
      </c>
      <c r="C3984" t="s">
        <v>20</v>
      </c>
      <c r="D3984" s="1">
        <v>46203</v>
      </c>
      <c r="E3984">
        <v>4160.2</v>
      </c>
      <c r="F3984">
        <v>237.97</v>
      </c>
      <c r="G3984">
        <v>141.53</v>
      </c>
      <c r="H3984">
        <v>369</v>
      </c>
      <c r="I3984" t="s">
        <v>25</v>
      </c>
      <c r="J3984">
        <v>2026</v>
      </c>
      <c r="K3984">
        <f t="shared" si="124"/>
        <v>96.44</v>
      </c>
      <c r="L3984" t="str">
        <f t="shared" si="125"/>
        <v>Banca Marchigiana|30|Risparmio</v>
      </c>
    </row>
    <row r="3985" spans="1:12" x14ac:dyDescent="0.25">
      <c r="A3985" t="s">
        <v>37</v>
      </c>
      <c r="B3985">
        <v>30</v>
      </c>
      <c r="C3985" t="s">
        <v>21</v>
      </c>
      <c r="D3985" s="1">
        <v>46203</v>
      </c>
      <c r="E3985">
        <v>4666.6000000000004</v>
      </c>
      <c r="F3985">
        <v>276.22000000000003</v>
      </c>
      <c r="G3985">
        <v>163.47999999999999</v>
      </c>
      <c r="H3985">
        <v>384</v>
      </c>
      <c r="I3985" t="s">
        <v>25</v>
      </c>
      <c r="J3985">
        <v>2026</v>
      </c>
      <c r="K3985">
        <f t="shared" si="124"/>
        <v>112.74000000000004</v>
      </c>
      <c r="L3985" t="str">
        <f t="shared" si="125"/>
        <v>Banca Marchigiana|30|Assicurazioni</v>
      </c>
    </row>
    <row r="3986" spans="1:12" x14ac:dyDescent="0.25">
      <c r="A3986" t="s">
        <v>37</v>
      </c>
      <c r="B3986">
        <v>31</v>
      </c>
      <c r="C3986" t="s">
        <v>13</v>
      </c>
      <c r="D3986" s="1">
        <v>46234</v>
      </c>
      <c r="E3986">
        <v>1280.2</v>
      </c>
      <c r="F3986">
        <v>58.51</v>
      </c>
      <c r="G3986">
        <v>36.1</v>
      </c>
      <c r="H3986">
        <v>137</v>
      </c>
      <c r="I3986" t="s">
        <v>25</v>
      </c>
      <c r="J3986">
        <v>2026</v>
      </c>
      <c r="K3986">
        <f t="shared" si="124"/>
        <v>22.409999999999997</v>
      </c>
      <c r="L3986" t="str">
        <f t="shared" si="125"/>
        <v>Banca Marchigiana|31|Mutui</v>
      </c>
    </row>
    <row r="3987" spans="1:12" x14ac:dyDescent="0.25">
      <c r="A3987" t="s">
        <v>37</v>
      </c>
      <c r="B3987">
        <v>31</v>
      </c>
      <c r="C3987" t="s">
        <v>15</v>
      </c>
      <c r="D3987" s="1">
        <v>46234</v>
      </c>
      <c r="E3987">
        <v>1769.9</v>
      </c>
      <c r="F3987">
        <v>84.1</v>
      </c>
      <c r="G3987">
        <v>51.5</v>
      </c>
      <c r="H3987">
        <v>163</v>
      </c>
      <c r="I3987" t="s">
        <v>25</v>
      </c>
      <c r="J3987">
        <v>2026</v>
      </c>
      <c r="K3987">
        <f t="shared" si="124"/>
        <v>32.599999999999994</v>
      </c>
      <c r="L3987" t="str">
        <f t="shared" si="125"/>
        <v>Banca Marchigiana|31|Prestiti</v>
      </c>
    </row>
    <row r="3988" spans="1:12" x14ac:dyDescent="0.25">
      <c r="A3988" t="s">
        <v>37</v>
      </c>
      <c r="B3988">
        <v>31</v>
      </c>
      <c r="C3988" t="s">
        <v>16</v>
      </c>
      <c r="D3988" s="1">
        <v>46234</v>
      </c>
      <c r="E3988">
        <v>2245.5</v>
      </c>
      <c r="F3988">
        <v>110.62</v>
      </c>
      <c r="G3988">
        <v>67.45</v>
      </c>
      <c r="H3988">
        <v>199</v>
      </c>
      <c r="I3988" t="s">
        <v>25</v>
      </c>
      <c r="J3988">
        <v>2026</v>
      </c>
      <c r="K3988">
        <f t="shared" si="124"/>
        <v>43.17</v>
      </c>
      <c r="L3988" t="str">
        <f t="shared" si="125"/>
        <v>Banca Marchigiana|31|Conti</v>
      </c>
    </row>
    <row r="3989" spans="1:12" x14ac:dyDescent="0.25">
      <c r="A3989" t="s">
        <v>37</v>
      </c>
      <c r="B3989">
        <v>31</v>
      </c>
      <c r="C3989" t="s">
        <v>17</v>
      </c>
      <c r="D3989" s="1">
        <v>46234</v>
      </c>
      <c r="E3989">
        <v>2759.6</v>
      </c>
      <c r="F3989">
        <v>141.37</v>
      </c>
      <c r="G3989">
        <v>85.86</v>
      </c>
      <c r="H3989">
        <v>220</v>
      </c>
      <c r="I3989" t="s">
        <v>25</v>
      </c>
      <c r="J3989">
        <v>2026</v>
      </c>
      <c r="K3989">
        <f t="shared" si="124"/>
        <v>55.510000000000005</v>
      </c>
      <c r="L3989" t="str">
        <f t="shared" si="125"/>
        <v>Banca Marchigiana|31|Carte</v>
      </c>
    </row>
    <row r="3990" spans="1:12" x14ac:dyDescent="0.25">
      <c r="A3990" t="s">
        <v>37</v>
      </c>
      <c r="B3990">
        <v>31</v>
      </c>
      <c r="C3990" t="s">
        <v>18</v>
      </c>
      <c r="D3990" s="1">
        <v>46234</v>
      </c>
      <c r="E3990">
        <v>3201.3</v>
      </c>
      <c r="F3990">
        <v>170.05</v>
      </c>
      <c r="G3990">
        <v>103.05</v>
      </c>
      <c r="H3990">
        <v>259</v>
      </c>
      <c r="I3990" t="s">
        <v>25</v>
      </c>
      <c r="J3990">
        <v>2026</v>
      </c>
      <c r="K3990">
        <f t="shared" si="124"/>
        <v>67.000000000000014</v>
      </c>
      <c r="L3990" t="str">
        <f t="shared" si="125"/>
        <v>Banca Marchigiana|31|Leasing</v>
      </c>
    </row>
    <row r="3991" spans="1:12" x14ac:dyDescent="0.25">
      <c r="A3991" t="s">
        <v>37</v>
      </c>
      <c r="B3991">
        <v>31</v>
      </c>
      <c r="C3991" t="s">
        <v>19</v>
      </c>
      <c r="D3991" s="1">
        <v>46234</v>
      </c>
      <c r="E3991">
        <v>3708.8</v>
      </c>
      <c r="F3991">
        <v>204.36</v>
      </c>
      <c r="G3991">
        <v>122.95</v>
      </c>
      <c r="H3991">
        <v>319</v>
      </c>
      <c r="I3991" t="s">
        <v>25</v>
      </c>
      <c r="J3991">
        <v>2026</v>
      </c>
      <c r="K3991">
        <f t="shared" si="124"/>
        <v>81.410000000000011</v>
      </c>
      <c r="L3991" t="str">
        <f t="shared" si="125"/>
        <v>Banca Marchigiana|31|Factoring</v>
      </c>
    </row>
    <row r="3992" spans="1:12" x14ac:dyDescent="0.25">
      <c r="A3992" t="s">
        <v>37</v>
      </c>
      <c r="B3992">
        <v>31</v>
      </c>
      <c r="C3992" t="s">
        <v>20</v>
      </c>
      <c r="D3992" s="1">
        <v>46234</v>
      </c>
      <c r="E3992">
        <v>4162.8999999999996</v>
      </c>
      <c r="F3992">
        <v>237.45</v>
      </c>
      <c r="G3992">
        <v>141.97</v>
      </c>
      <c r="H3992">
        <v>340</v>
      </c>
      <c r="I3992" t="s">
        <v>25</v>
      </c>
      <c r="J3992">
        <v>2026</v>
      </c>
      <c r="K3992">
        <f t="shared" si="124"/>
        <v>95.47999999999999</v>
      </c>
      <c r="L3992" t="str">
        <f t="shared" si="125"/>
        <v>Banca Marchigiana|31|Risparmio</v>
      </c>
    </row>
    <row r="3993" spans="1:12" x14ac:dyDescent="0.25">
      <c r="A3993" t="s">
        <v>37</v>
      </c>
      <c r="B3993">
        <v>31</v>
      </c>
      <c r="C3993" t="s">
        <v>21</v>
      </c>
      <c r="D3993" s="1">
        <v>46234</v>
      </c>
      <c r="E3993">
        <v>4688.8999999999996</v>
      </c>
      <c r="F3993">
        <v>277.51</v>
      </c>
      <c r="G3993">
        <v>164.6</v>
      </c>
      <c r="H3993">
        <v>375</v>
      </c>
      <c r="I3993" t="s">
        <v>25</v>
      </c>
      <c r="J3993">
        <v>2026</v>
      </c>
      <c r="K3993">
        <f t="shared" si="124"/>
        <v>112.91</v>
      </c>
      <c r="L3993" t="str">
        <f t="shared" si="125"/>
        <v>Banca Marchigiana|31|Assicurazioni</v>
      </c>
    </row>
    <row r="3994" spans="1:12" x14ac:dyDescent="0.25">
      <c r="A3994" t="s">
        <v>37</v>
      </c>
      <c r="B3994">
        <v>32</v>
      </c>
      <c r="C3994" t="s">
        <v>13</v>
      </c>
      <c r="D3994" s="1">
        <v>46265</v>
      </c>
      <c r="E3994">
        <v>1291.2</v>
      </c>
      <c r="F3994">
        <v>58.85</v>
      </c>
      <c r="G3994">
        <v>36.909999999999997</v>
      </c>
      <c r="H3994">
        <v>123</v>
      </c>
      <c r="I3994" t="s">
        <v>25</v>
      </c>
      <c r="J3994">
        <v>2026</v>
      </c>
      <c r="K3994">
        <f t="shared" si="124"/>
        <v>21.940000000000005</v>
      </c>
      <c r="L3994" t="str">
        <f t="shared" si="125"/>
        <v>Banca Marchigiana|32|Mutui</v>
      </c>
    </row>
    <row r="3995" spans="1:12" x14ac:dyDescent="0.25">
      <c r="A3995" t="s">
        <v>37</v>
      </c>
      <c r="B3995">
        <v>32</v>
      </c>
      <c r="C3995" t="s">
        <v>15</v>
      </c>
      <c r="D3995" s="1">
        <v>46265</v>
      </c>
      <c r="E3995">
        <v>1796</v>
      </c>
      <c r="F3995">
        <v>85.16</v>
      </c>
      <c r="G3995">
        <v>52.7</v>
      </c>
      <c r="H3995">
        <v>180</v>
      </c>
      <c r="I3995" t="s">
        <v>25</v>
      </c>
      <c r="J3995">
        <v>2026</v>
      </c>
      <c r="K3995">
        <f t="shared" si="124"/>
        <v>32.459999999999994</v>
      </c>
      <c r="L3995" t="str">
        <f t="shared" si="125"/>
        <v>Banca Marchigiana|32|Prestiti</v>
      </c>
    </row>
    <row r="3996" spans="1:12" x14ac:dyDescent="0.25">
      <c r="A3996" t="s">
        <v>37</v>
      </c>
      <c r="B3996">
        <v>32</v>
      </c>
      <c r="C3996" t="s">
        <v>16</v>
      </c>
      <c r="D3996" s="1">
        <v>46265</v>
      </c>
      <c r="E3996">
        <v>2256.6</v>
      </c>
      <c r="F3996">
        <v>111.15</v>
      </c>
      <c r="G3996">
        <v>67.8</v>
      </c>
      <c r="H3996">
        <v>184</v>
      </c>
      <c r="I3996" t="s">
        <v>25</v>
      </c>
      <c r="J3996">
        <v>2026</v>
      </c>
      <c r="K3996">
        <f t="shared" si="124"/>
        <v>43.350000000000009</v>
      </c>
      <c r="L3996" t="str">
        <f t="shared" si="125"/>
        <v>Banca Marchigiana|32|Conti</v>
      </c>
    </row>
    <row r="3997" spans="1:12" x14ac:dyDescent="0.25">
      <c r="A3997" t="s">
        <v>37</v>
      </c>
      <c r="B3997">
        <v>32</v>
      </c>
      <c r="C3997" t="s">
        <v>17</v>
      </c>
      <c r="D3997" s="1">
        <v>46265</v>
      </c>
      <c r="E3997">
        <v>2732.8</v>
      </c>
      <c r="F3997">
        <v>139.66999999999999</v>
      </c>
      <c r="G3997">
        <v>84.94</v>
      </c>
      <c r="H3997">
        <v>230</v>
      </c>
      <c r="I3997" t="s">
        <v>25</v>
      </c>
      <c r="J3997">
        <v>2026</v>
      </c>
      <c r="K3997">
        <f t="shared" si="124"/>
        <v>54.72999999999999</v>
      </c>
      <c r="L3997" t="str">
        <f t="shared" si="125"/>
        <v>Banca Marchigiana|32|Carte</v>
      </c>
    </row>
    <row r="3998" spans="1:12" x14ac:dyDescent="0.25">
      <c r="A3998" t="s">
        <v>37</v>
      </c>
      <c r="B3998">
        <v>32</v>
      </c>
      <c r="C3998" t="s">
        <v>18</v>
      </c>
      <c r="D3998" s="1">
        <v>46265</v>
      </c>
      <c r="E3998">
        <v>3271.7</v>
      </c>
      <c r="F3998">
        <v>173.75</v>
      </c>
      <c r="G3998">
        <v>105.31</v>
      </c>
      <c r="H3998">
        <v>276</v>
      </c>
      <c r="I3998" t="s">
        <v>25</v>
      </c>
      <c r="J3998">
        <v>2026</v>
      </c>
      <c r="K3998">
        <f t="shared" si="124"/>
        <v>68.44</v>
      </c>
      <c r="L3998" t="str">
        <f t="shared" si="125"/>
        <v>Banca Marchigiana|32|Leasing</v>
      </c>
    </row>
    <row r="3999" spans="1:12" x14ac:dyDescent="0.25">
      <c r="A3999" t="s">
        <v>37</v>
      </c>
      <c r="B3999">
        <v>32</v>
      </c>
      <c r="C3999" t="s">
        <v>19</v>
      </c>
      <c r="D3999" s="1">
        <v>46265</v>
      </c>
      <c r="E3999">
        <v>3747.6</v>
      </c>
      <c r="F3999">
        <v>206.28</v>
      </c>
      <c r="G3999">
        <v>124.63</v>
      </c>
      <c r="H3999">
        <v>323</v>
      </c>
      <c r="I3999" t="s">
        <v>25</v>
      </c>
      <c r="J3999">
        <v>2026</v>
      </c>
      <c r="K3999">
        <f t="shared" si="124"/>
        <v>81.650000000000006</v>
      </c>
      <c r="L3999" t="str">
        <f t="shared" si="125"/>
        <v>Banca Marchigiana|32|Factoring</v>
      </c>
    </row>
    <row r="4000" spans="1:12" x14ac:dyDescent="0.25">
      <c r="A4000" t="s">
        <v>37</v>
      </c>
      <c r="B4000">
        <v>32</v>
      </c>
      <c r="C4000" t="s">
        <v>20</v>
      </c>
      <c r="D4000" s="1">
        <v>46265</v>
      </c>
      <c r="E4000">
        <v>4215</v>
      </c>
      <c r="F4000">
        <v>240.41</v>
      </c>
      <c r="G4000">
        <v>143.58000000000001</v>
      </c>
      <c r="H4000">
        <v>361</v>
      </c>
      <c r="I4000" t="s">
        <v>25</v>
      </c>
      <c r="J4000">
        <v>2026</v>
      </c>
      <c r="K4000">
        <f t="shared" si="124"/>
        <v>96.829999999999984</v>
      </c>
      <c r="L4000" t="str">
        <f t="shared" si="125"/>
        <v>Banca Marchigiana|32|Risparmio</v>
      </c>
    </row>
    <row r="4001" spans="1:12" x14ac:dyDescent="0.25">
      <c r="A4001" t="s">
        <v>37</v>
      </c>
      <c r="B4001">
        <v>32</v>
      </c>
      <c r="C4001" t="s">
        <v>21</v>
      </c>
      <c r="D4001" s="1">
        <v>46265</v>
      </c>
      <c r="E4001">
        <v>4711</v>
      </c>
      <c r="F4001">
        <v>278.58</v>
      </c>
      <c r="G4001">
        <v>164.98</v>
      </c>
      <c r="H4001">
        <v>386</v>
      </c>
      <c r="I4001" t="s">
        <v>25</v>
      </c>
      <c r="J4001">
        <v>2026</v>
      </c>
      <c r="K4001">
        <f t="shared" si="124"/>
        <v>113.6</v>
      </c>
      <c r="L4001" t="str">
        <f t="shared" si="125"/>
        <v>Banca Marchigiana|32|Assicurazioni</v>
      </c>
    </row>
    <row r="4002" spans="1:12" x14ac:dyDescent="0.25">
      <c r="A4002" t="s">
        <v>37</v>
      </c>
      <c r="B4002">
        <v>33</v>
      </c>
      <c r="C4002" t="s">
        <v>13</v>
      </c>
      <c r="D4002" s="1">
        <v>46295</v>
      </c>
      <c r="E4002">
        <v>1304.7</v>
      </c>
      <c r="F4002">
        <v>59.48</v>
      </c>
      <c r="G4002">
        <v>37.119999999999997</v>
      </c>
      <c r="H4002">
        <v>113</v>
      </c>
      <c r="I4002" t="s">
        <v>25</v>
      </c>
      <c r="J4002">
        <v>2026</v>
      </c>
      <c r="K4002">
        <f t="shared" si="124"/>
        <v>22.36</v>
      </c>
      <c r="L4002" t="str">
        <f t="shared" si="125"/>
        <v>Banca Marchigiana|33|Mutui</v>
      </c>
    </row>
    <row r="4003" spans="1:12" x14ac:dyDescent="0.25">
      <c r="A4003" t="s">
        <v>37</v>
      </c>
      <c r="B4003">
        <v>33</v>
      </c>
      <c r="C4003" t="s">
        <v>15</v>
      </c>
      <c r="D4003" s="1">
        <v>46295</v>
      </c>
      <c r="E4003">
        <v>1808.2</v>
      </c>
      <c r="F4003">
        <v>85.05</v>
      </c>
      <c r="G4003">
        <v>52.78</v>
      </c>
      <c r="H4003">
        <v>181</v>
      </c>
      <c r="I4003" t="s">
        <v>25</v>
      </c>
      <c r="J4003">
        <v>2026</v>
      </c>
      <c r="K4003">
        <f t="shared" si="124"/>
        <v>32.269999999999996</v>
      </c>
      <c r="L4003" t="str">
        <f t="shared" si="125"/>
        <v>Banca Marchigiana|33|Prestiti</v>
      </c>
    </row>
    <row r="4004" spans="1:12" x14ac:dyDescent="0.25">
      <c r="A4004" t="s">
        <v>37</v>
      </c>
      <c r="B4004">
        <v>33</v>
      </c>
      <c r="C4004" t="s">
        <v>16</v>
      </c>
      <c r="D4004" s="1">
        <v>46295</v>
      </c>
      <c r="E4004">
        <v>2280.6999999999998</v>
      </c>
      <c r="F4004">
        <v>112.39</v>
      </c>
      <c r="G4004">
        <v>68.61</v>
      </c>
      <c r="H4004">
        <v>183</v>
      </c>
      <c r="I4004" t="s">
        <v>25</v>
      </c>
      <c r="J4004">
        <v>2026</v>
      </c>
      <c r="K4004">
        <f t="shared" si="124"/>
        <v>43.78</v>
      </c>
      <c r="L4004" t="str">
        <f t="shared" si="125"/>
        <v>Banca Marchigiana|33|Conti</v>
      </c>
    </row>
    <row r="4005" spans="1:12" x14ac:dyDescent="0.25">
      <c r="A4005" t="s">
        <v>37</v>
      </c>
      <c r="B4005">
        <v>33</v>
      </c>
      <c r="C4005" t="s">
        <v>17</v>
      </c>
      <c r="D4005" s="1">
        <v>46295</v>
      </c>
      <c r="E4005">
        <v>2772.2</v>
      </c>
      <c r="F4005">
        <v>141.51</v>
      </c>
      <c r="G4005">
        <v>86.24</v>
      </c>
      <c r="H4005">
        <v>246</v>
      </c>
      <c r="I4005" t="s">
        <v>25</v>
      </c>
      <c r="J4005">
        <v>2026</v>
      </c>
      <c r="K4005">
        <f t="shared" si="124"/>
        <v>55.269999999999996</v>
      </c>
      <c r="L4005" t="str">
        <f t="shared" si="125"/>
        <v>Banca Marchigiana|33|Carte</v>
      </c>
    </row>
    <row r="4006" spans="1:12" x14ac:dyDescent="0.25">
      <c r="A4006" t="s">
        <v>37</v>
      </c>
      <c r="B4006">
        <v>33</v>
      </c>
      <c r="C4006" t="s">
        <v>18</v>
      </c>
      <c r="D4006" s="1">
        <v>46295</v>
      </c>
      <c r="E4006">
        <v>3239.3</v>
      </c>
      <c r="F4006">
        <v>172.48</v>
      </c>
      <c r="G4006">
        <v>104.62</v>
      </c>
      <c r="H4006">
        <v>276</v>
      </c>
      <c r="I4006" t="s">
        <v>25</v>
      </c>
      <c r="J4006">
        <v>2026</v>
      </c>
      <c r="K4006">
        <f t="shared" si="124"/>
        <v>67.859999999999985</v>
      </c>
      <c r="L4006" t="str">
        <f t="shared" si="125"/>
        <v>Banca Marchigiana|33|Leasing</v>
      </c>
    </row>
    <row r="4007" spans="1:12" x14ac:dyDescent="0.25">
      <c r="A4007" t="s">
        <v>37</v>
      </c>
      <c r="B4007">
        <v>33</v>
      </c>
      <c r="C4007" t="s">
        <v>19</v>
      </c>
      <c r="D4007" s="1">
        <v>46295</v>
      </c>
      <c r="E4007">
        <v>3752</v>
      </c>
      <c r="F4007">
        <v>206.66</v>
      </c>
      <c r="G4007">
        <v>124.28</v>
      </c>
      <c r="H4007">
        <v>313</v>
      </c>
      <c r="I4007" t="s">
        <v>25</v>
      </c>
      <c r="J4007">
        <v>2026</v>
      </c>
      <c r="K4007">
        <f t="shared" si="124"/>
        <v>82.38</v>
      </c>
      <c r="L4007" t="str">
        <f t="shared" si="125"/>
        <v>Banca Marchigiana|33|Factoring</v>
      </c>
    </row>
    <row r="4008" spans="1:12" x14ac:dyDescent="0.25">
      <c r="A4008" t="s">
        <v>37</v>
      </c>
      <c r="B4008">
        <v>33</v>
      </c>
      <c r="C4008" t="s">
        <v>20</v>
      </c>
      <c r="D4008" s="1">
        <v>46295</v>
      </c>
      <c r="E4008">
        <v>4249.8</v>
      </c>
      <c r="F4008">
        <v>242.44</v>
      </c>
      <c r="G4008">
        <v>145.41</v>
      </c>
      <c r="H4008">
        <v>368</v>
      </c>
      <c r="I4008" t="s">
        <v>25</v>
      </c>
      <c r="J4008">
        <v>2026</v>
      </c>
      <c r="K4008">
        <f t="shared" si="124"/>
        <v>97.03</v>
      </c>
      <c r="L4008" t="str">
        <f t="shared" si="125"/>
        <v>Banca Marchigiana|33|Risparmio</v>
      </c>
    </row>
    <row r="4009" spans="1:12" x14ac:dyDescent="0.25">
      <c r="A4009" t="s">
        <v>37</v>
      </c>
      <c r="B4009">
        <v>33</v>
      </c>
      <c r="C4009" t="s">
        <v>21</v>
      </c>
      <c r="D4009" s="1">
        <v>46295</v>
      </c>
      <c r="E4009">
        <v>4714.6000000000004</v>
      </c>
      <c r="F4009">
        <v>278.93</v>
      </c>
      <c r="G4009">
        <v>165.36</v>
      </c>
      <c r="H4009">
        <v>402</v>
      </c>
      <c r="I4009" t="s">
        <v>25</v>
      </c>
      <c r="J4009">
        <v>2026</v>
      </c>
      <c r="K4009">
        <f t="shared" si="124"/>
        <v>113.57</v>
      </c>
      <c r="L4009" t="str">
        <f t="shared" si="125"/>
        <v>Banca Marchigiana|33|Assicurazioni</v>
      </c>
    </row>
    <row r="4010" spans="1:12" x14ac:dyDescent="0.25">
      <c r="A4010" t="s">
        <v>37</v>
      </c>
      <c r="B4010">
        <v>34</v>
      </c>
      <c r="C4010" t="s">
        <v>13</v>
      </c>
      <c r="D4010" s="1">
        <v>46326</v>
      </c>
      <c r="E4010">
        <v>1336.8</v>
      </c>
      <c r="F4010">
        <v>60.98</v>
      </c>
      <c r="G4010">
        <v>38.39</v>
      </c>
      <c r="H4010">
        <v>110</v>
      </c>
      <c r="I4010" t="s">
        <v>25</v>
      </c>
      <c r="J4010">
        <v>2026</v>
      </c>
      <c r="K4010">
        <f t="shared" si="124"/>
        <v>22.589999999999996</v>
      </c>
      <c r="L4010" t="str">
        <f t="shared" si="125"/>
        <v>Banca Marchigiana|34|Mutui</v>
      </c>
    </row>
    <row r="4011" spans="1:12" x14ac:dyDescent="0.25">
      <c r="A4011" t="s">
        <v>37</v>
      </c>
      <c r="B4011">
        <v>34</v>
      </c>
      <c r="C4011" t="s">
        <v>15</v>
      </c>
      <c r="D4011" s="1">
        <v>46326</v>
      </c>
      <c r="E4011">
        <v>1801.8</v>
      </c>
      <c r="F4011">
        <v>85.64</v>
      </c>
      <c r="G4011">
        <v>52.46</v>
      </c>
      <c r="H4011">
        <v>147</v>
      </c>
      <c r="I4011" t="s">
        <v>25</v>
      </c>
      <c r="J4011">
        <v>2026</v>
      </c>
      <c r="K4011">
        <f t="shared" si="124"/>
        <v>33.18</v>
      </c>
      <c r="L4011" t="str">
        <f t="shared" si="125"/>
        <v>Banca Marchigiana|34|Prestiti</v>
      </c>
    </row>
    <row r="4012" spans="1:12" x14ac:dyDescent="0.25">
      <c r="A4012" t="s">
        <v>37</v>
      </c>
      <c r="B4012">
        <v>34</v>
      </c>
      <c r="C4012" t="s">
        <v>16</v>
      </c>
      <c r="D4012" s="1">
        <v>46326</v>
      </c>
      <c r="E4012">
        <v>2300.5</v>
      </c>
      <c r="F4012">
        <v>113.05</v>
      </c>
      <c r="G4012">
        <v>69.430000000000007</v>
      </c>
      <c r="H4012">
        <v>189</v>
      </c>
      <c r="I4012" t="s">
        <v>25</v>
      </c>
      <c r="J4012">
        <v>2026</v>
      </c>
      <c r="K4012">
        <f t="shared" si="124"/>
        <v>43.61999999999999</v>
      </c>
      <c r="L4012" t="str">
        <f t="shared" si="125"/>
        <v>Banca Marchigiana|34|Conti</v>
      </c>
    </row>
    <row r="4013" spans="1:12" x14ac:dyDescent="0.25">
      <c r="A4013" t="s">
        <v>37</v>
      </c>
      <c r="B4013">
        <v>34</v>
      </c>
      <c r="C4013" t="s">
        <v>17</v>
      </c>
      <c r="D4013" s="1">
        <v>46326</v>
      </c>
      <c r="E4013">
        <v>2794.5</v>
      </c>
      <c r="F4013">
        <v>143.32</v>
      </c>
      <c r="G4013">
        <v>86.76</v>
      </c>
      <c r="H4013">
        <v>249</v>
      </c>
      <c r="I4013" t="s">
        <v>25</v>
      </c>
      <c r="J4013">
        <v>2026</v>
      </c>
      <c r="K4013">
        <f t="shared" si="124"/>
        <v>56.559999999999988</v>
      </c>
      <c r="L4013" t="str">
        <f t="shared" si="125"/>
        <v>Banca Marchigiana|34|Carte</v>
      </c>
    </row>
    <row r="4014" spans="1:12" x14ac:dyDescent="0.25">
      <c r="A4014" t="s">
        <v>37</v>
      </c>
      <c r="B4014">
        <v>34</v>
      </c>
      <c r="C4014" t="s">
        <v>18</v>
      </c>
      <c r="D4014" s="1">
        <v>46326</v>
      </c>
      <c r="E4014">
        <v>3283.7</v>
      </c>
      <c r="F4014">
        <v>174.63</v>
      </c>
      <c r="G4014">
        <v>106.01</v>
      </c>
      <c r="H4014">
        <v>272</v>
      </c>
      <c r="I4014" t="s">
        <v>25</v>
      </c>
      <c r="J4014">
        <v>2026</v>
      </c>
      <c r="K4014">
        <f t="shared" si="124"/>
        <v>68.61999999999999</v>
      </c>
      <c r="L4014" t="str">
        <f t="shared" si="125"/>
        <v>Banca Marchigiana|34|Leasing</v>
      </c>
    </row>
    <row r="4015" spans="1:12" x14ac:dyDescent="0.25">
      <c r="A4015" t="s">
        <v>37</v>
      </c>
      <c r="B4015">
        <v>34</v>
      </c>
      <c r="C4015" t="s">
        <v>19</v>
      </c>
      <c r="D4015" s="1">
        <v>46326</v>
      </c>
      <c r="E4015">
        <v>3789.3</v>
      </c>
      <c r="F4015">
        <v>209.14</v>
      </c>
      <c r="G4015">
        <v>125.44</v>
      </c>
      <c r="H4015">
        <v>330</v>
      </c>
      <c r="I4015" t="s">
        <v>25</v>
      </c>
      <c r="J4015">
        <v>2026</v>
      </c>
      <c r="K4015">
        <f t="shared" si="124"/>
        <v>83.699999999999989</v>
      </c>
      <c r="L4015" t="str">
        <f t="shared" si="125"/>
        <v>Banca Marchigiana|34|Factoring</v>
      </c>
    </row>
    <row r="4016" spans="1:12" x14ac:dyDescent="0.25">
      <c r="A4016" t="s">
        <v>37</v>
      </c>
      <c r="B4016">
        <v>34</v>
      </c>
      <c r="C4016" t="s">
        <v>20</v>
      </c>
      <c r="D4016" s="1">
        <v>46326</v>
      </c>
      <c r="E4016">
        <v>4257.3</v>
      </c>
      <c r="F4016">
        <v>243.44</v>
      </c>
      <c r="G4016">
        <v>145.33000000000001</v>
      </c>
      <c r="H4016">
        <v>367</v>
      </c>
      <c r="I4016" t="s">
        <v>25</v>
      </c>
      <c r="J4016">
        <v>2026</v>
      </c>
      <c r="K4016">
        <f t="shared" si="124"/>
        <v>98.109999999999985</v>
      </c>
      <c r="L4016" t="str">
        <f t="shared" si="125"/>
        <v>Banca Marchigiana|34|Risparmio</v>
      </c>
    </row>
    <row r="4017" spans="1:12" x14ac:dyDescent="0.25">
      <c r="A4017" t="s">
        <v>37</v>
      </c>
      <c r="B4017">
        <v>34</v>
      </c>
      <c r="C4017" t="s">
        <v>21</v>
      </c>
      <c r="D4017" s="1">
        <v>46326</v>
      </c>
      <c r="E4017">
        <v>4763.5</v>
      </c>
      <c r="F4017">
        <v>281.88</v>
      </c>
      <c r="G4017">
        <v>167.49</v>
      </c>
      <c r="H4017">
        <v>374</v>
      </c>
      <c r="I4017" t="s">
        <v>25</v>
      </c>
      <c r="J4017">
        <v>2026</v>
      </c>
      <c r="K4017">
        <f t="shared" si="124"/>
        <v>114.38999999999999</v>
      </c>
      <c r="L4017" t="str">
        <f t="shared" si="125"/>
        <v>Banca Marchigiana|34|Assicurazioni</v>
      </c>
    </row>
    <row r="4018" spans="1:12" x14ac:dyDescent="0.25">
      <c r="A4018" t="s">
        <v>37</v>
      </c>
      <c r="B4018">
        <v>35</v>
      </c>
      <c r="C4018" t="s">
        <v>13</v>
      </c>
      <c r="D4018" s="1">
        <v>46356</v>
      </c>
      <c r="E4018">
        <v>1313.7</v>
      </c>
      <c r="F4018">
        <v>59.21</v>
      </c>
      <c r="G4018">
        <v>37.11</v>
      </c>
      <c r="H4018">
        <v>137</v>
      </c>
      <c r="I4018" t="s">
        <v>25</v>
      </c>
      <c r="J4018">
        <v>2026</v>
      </c>
      <c r="K4018">
        <f t="shared" si="124"/>
        <v>22.1</v>
      </c>
      <c r="L4018" t="str">
        <f t="shared" si="125"/>
        <v>Banca Marchigiana|35|Mutui</v>
      </c>
    </row>
    <row r="4019" spans="1:12" x14ac:dyDescent="0.25">
      <c r="A4019" t="s">
        <v>37</v>
      </c>
      <c r="B4019">
        <v>35</v>
      </c>
      <c r="C4019" t="s">
        <v>15</v>
      </c>
      <c r="D4019" s="1">
        <v>46356</v>
      </c>
      <c r="E4019">
        <v>1803.4</v>
      </c>
      <c r="F4019">
        <v>85.54</v>
      </c>
      <c r="G4019">
        <v>53.01</v>
      </c>
      <c r="H4019">
        <v>151</v>
      </c>
      <c r="I4019" t="s">
        <v>25</v>
      </c>
      <c r="J4019">
        <v>2026</v>
      </c>
      <c r="K4019">
        <f t="shared" si="124"/>
        <v>32.530000000000008</v>
      </c>
      <c r="L4019" t="str">
        <f t="shared" si="125"/>
        <v>Banca Marchigiana|35|Prestiti</v>
      </c>
    </row>
    <row r="4020" spans="1:12" x14ac:dyDescent="0.25">
      <c r="A4020" t="s">
        <v>37</v>
      </c>
      <c r="B4020">
        <v>35</v>
      </c>
      <c r="C4020" t="s">
        <v>16</v>
      </c>
      <c r="D4020" s="1">
        <v>46356</v>
      </c>
      <c r="E4020">
        <v>2298.9</v>
      </c>
      <c r="F4020">
        <v>113.28</v>
      </c>
      <c r="G4020">
        <v>69.569999999999993</v>
      </c>
      <c r="H4020">
        <v>189</v>
      </c>
      <c r="I4020" t="s">
        <v>25</v>
      </c>
      <c r="J4020">
        <v>2026</v>
      </c>
      <c r="K4020">
        <f t="shared" si="124"/>
        <v>43.710000000000008</v>
      </c>
      <c r="L4020" t="str">
        <f t="shared" si="125"/>
        <v>Banca Marchigiana|35|Conti</v>
      </c>
    </row>
    <row r="4021" spans="1:12" x14ac:dyDescent="0.25">
      <c r="A4021" t="s">
        <v>37</v>
      </c>
      <c r="B4021">
        <v>35</v>
      </c>
      <c r="C4021" t="s">
        <v>17</v>
      </c>
      <c r="D4021" s="1">
        <v>46356</v>
      </c>
      <c r="E4021">
        <v>2794.1</v>
      </c>
      <c r="F4021">
        <v>143.38999999999999</v>
      </c>
      <c r="G4021">
        <v>87.22</v>
      </c>
      <c r="H4021">
        <v>237</v>
      </c>
      <c r="I4021" t="s">
        <v>25</v>
      </c>
      <c r="J4021">
        <v>2026</v>
      </c>
      <c r="K4021">
        <f t="shared" si="124"/>
        <v>56.169999999999987</v>
      </c>
      <c r="L4021" t="str">
        <f t="shared" si="125"/>
        <v>Banca Marchigiana|35|Carte</v>
      </c>
    </row>
    <row r="4022" spans="1:12" x14ac:dyDescent="0.25">
      <c r="A4022" t="s">
        <v>37</v>
      </c>
      <c r="B4022">
        <v>35</v>
      </c>
      <c r="C4022" t="s">
        <v>18</v>
      </c>
      <c r="D4022" s="1">
        <v>46356</v>
      </c>
      <c r="E4022">
        <v>3308.1</v>
      </c>
      <c r="F4022">
        <v>175.9</v>
      </c>
      <c r="G4022">
        <v>106.24</v>
      </c>
      <c r="H4022">
        <v>290</v>
      </c>
      <c r="I4022" t="s">
        <v>25</v>
      </c>
      <c r="J4022">
        <v>2026</v>
      </c>
      <c r="K4022">
        <f t="shared" si="124"/>
        <v>69.660000000000011</v>
      </c>
      <c r="L4022" t="str">
        <f t="shared" si="125"/>
        <v>Banca Marchigiana|35|Leasing</v>
      </c>
    </row>
    <row r="4023" spans="1:12" x14ac:dyDescent="0.25">
      <c r="A4023" t="s">
        <v>37</v>
      </c>
      <c r="B4023">
        <v>35</v>
      </c>
      <c r="C4023" t="s">
        <v>19</v>
      </c>
      <c r="D4023" s="1">
        <v>46356</v>
      </c>
      <c r="E4023">
        <v>3778.8</v>
      </c>
      <c r="F4023">
        <v>208.59</v>
      </c>
      <c r="G4023">
        <v>125.33</v>
      </c>
      <c r="H4023">
        <v>322</v>
      </c>
      <c r="I4023" t="s">
        <v>25</v>
      </c>
      <c r="J4023">
        <v>2026</v>
      </c>
      <c r="K4023">
        <f t="shared" si="124"/>
        <v>83.26</v>
      </c>
      <c r="L4023" t="str">
        <f t="shared" si="125"/>
        <v>Banca Marchigiana|35|Factoring</v>
      </c>
    </row>
    <row r="4024" spans="1:12" x14ac:dyDescent="0.25">
      <c r="A4024" t="s">
        <v>37</v>
      </c>
      <c r="B4024">
        <v>35</v>
      </c>
      <c r="C4024" t="s">
        <v>20</v>
      </c>
      <c r="D4024" s="1">
        <v>46356</v>
      </c>
      <c r="E4024">
        <v>4292.8999999999996</v>
      </c>
      <c r="F4024">
        <v>244.73</v>
      </c>
      <c r="G4024">
        <v>146.08000000000001</v>
      </c>
      <c r="H4024">
        <v>350</v>
      </c>
      <c r="I4024" t="s">
        <v>25</v>
      </c>
      <c r="J4024">
        <v>2026</v>
      </c>
      <c r="K4024">
        <f t="shared" si="124"/>
        <v>98.649999999999977</v>
      </c>
      <c r="L4024" t="str">
        <f t="shared" si="125"/>
        <v>Banca Marchigiana|35|Risparmio</v>
      </c>
    </row>
    <row r="4025" spans="1:12" x14ac:dyDescent="0.25">
      <c r="A4025" t="s">
        <v>37</v>
      </c>
      <c r="B4025">
        <v>35</v>
      </c>
      <c r="C4025" t="s">
        <v>21</v>
      </c>
      <c r="D4025" s="1">
        <v>46356</v>
      </c>
      <c r="E4025">
        <v>4775.8999999999996</v>
      </c>
      <c r="F4025">
        <v>282.04000000000002</v>
      </c>
      <c r="G4025">
        <v>167.21</v>
      </c>
      <c r="H4025">
        <v>377</v>
      </c>
      <c r="I4025" t="s">
        <v>25</v>
      </c>
      <c r="J4025">
        <v>2026</v>
      </c>
      <c r="K4025">
        <f t="shared" si="124"/>
        <v>114.83000000000001</v>
      </c>
      <c r="L4025" t="str">
        <f t="shared" si="125"/>
        <v>Banca Marchigiana|35|Assicurazioni</v>
      </c>
    </row>
    <row r="4026" spans="1:12" x14ac:dyDescent="0.25">
      <c r="A4026" t="s">
        <v>37</v>
      </c>
      <c r="B4026">
        <v>36</v>
      </c>
      <c r="C4026" t="s">
        <v>13</v>
      </c>
      <c r="D4026" s="1">
        <v>46387</v>
      </c>
      <c r="E4026">
        <v>1319.8</v>
      </c>
      <c r="F4026">
        <v>59.41</v>
      </c>
      <c r="G4026">
        <v>37.1</v>
      </c>
      <c r="H4026">
        <v>124</v>
      </c>
      <c r="I4026" t="s">
        <v>25</v>
      </c>
      <c r="J4026">
        <v>2026</v>
      </c>
      <c r="K4026">
        <f t="shared" si="124"/>
        <v>22.309999999999995</v>
      </c>
      <c r="L4026" t="str">
        <f t="shared" si="125"/>
        <v>Banca Marchigiana|36|Mutui</v>
      </c>
    </row>
    <row r="4027" spans="1:12" x14ac:dyDescent="0.25">
      <c r="A4027" t="s">
        <v>37</v>
      </c>
      <c r="B4027">
        <v>36</v>
      </c>
      <c r="C4027" t="s">
        <v>15</v>
      </c>
      <c r="D4027" s="1">
        <v>46387</v>
      </c>
      <c r="E4027">
        <v>1857.1</v>
      </c>
      <c r="F4027">
        <v>87.46</v>
      </c>
      <c r="G4027">
        <v>54.23</v>
      </c>
      <c r="H4027">
        <v>163</v>
      </c>
      <c r="I4027" t="s">
        <v>25</v>
      </c>
      <c r="J4027">
        <v>2026</v>
      </c>
      <c r="K4027">
        <f t="shared" si="124"/>
        <v>33.229999999999997</v>
      </c>
      <c r="L4027" t="str">
        <f t="shared" si="125"/>
        <v>Banca Marchigiana|36|Prestiti</v>
      </c>
    </row>
    <row r="4028" spans="1:12" x14ac:dyDescent="0.25">
      <c r="A4028" t="s">
        <v>37</v>
      </c>
      <c r="B4028">
        <v>36</v>
      </c>
      <c r="C4028" t="s">
        <v>16</v>
      </c>
      <c r="D4028" s="1">
        <v>46387</v>
      </c>
      <c r="E4028">
        <v>2333.1999999999998</v>
      </c>
      <c r="F4028">
        <v>114.56</v>
      </c>
      <c r="G4028">
        <v>70.290000000000006</v>
      </c>
      <c r="H4028">
        <v>198</v>
      </c>
      <c r="I4028" t="s">
        <v>25</v>
      </c>
      <c r="J4028">
        <v>2026</v>
      </c>
      <c r="K4028">
        <f t="shared" si="124"/>
        <v>44.269999999999996</v>
      </c>
      <c r="L4028" t="str">
        <f t="shared" si="125"/>
        <v>Banca Marchigiana|36|Conti</v>
      </c>
    </row>
    <row r="4029" spans="1:12" x14ac:dyDescent="0.25">
      <c r="A4029" t="s">
        <v>37</v>
      </c>
      <c r="B4029">
        <v>36</v>
      </c>
      <c r="C4029" t="s">
        <v>17</v>
      </c>
      <c r="D4029" s="1">
        <v>46387</v>
      </c>
      <c r="E4029">
        <v>2854.4</v>
      </c>
      <c r="F4029">
        <v>146.28</v>
      </c>
      <c r="G4029">
        <v>89</v>
      </c>
      <c r="H4029">
        <v>247</v>
      </c>
      <c r="I4029" t="s">
        <v>25</v>
      </c>
      <c r="J4029">
        <v>2026</v>
      </c>
      <c r="K4029">
        <f t="shared" si="124"/>
        <v>57.28</v>
      </c>
      <c r="L4029" t="str">
        <f t="shared" si="125"/>
        <v>Banca Marchigiana|36|Carte</v>
      </c>
    </row>
    <row r="4030" spans="1:12" x14ac:dyDescent="0.25">
      <c r="A4030" t="s">
        <v>37</v>
      </c>
      <c r="B4030">
        <v>36</v>
      </c>
      <c r="C4030" t="s">
        <v>18</v>
      </c>
      <c r="D4030" s="1">
        <v>46387</v>
      </c>
      <c r="E4030">
        <v>3335</v>
      </c>
      <c r="F4030">
        <v>176.9</v>
      </c>
      <c r="G4030">
        <v>106.78</v>
      </c>
      <c r="H4030">
        <v>288</v>
      </c>
      <c r="I4030" t="s">
        <v>25</v>
      </c>
      <c r="J4030">
        <v>2026</v>
      </c>
      <c r="K4030">
        <f t="shared" si="124"/>
        <v>70.12</v>
      </c>
      <c r="L4030" t="str">
        <f t="shared" si="125"/>
        <v>Banca Marchigiana|36|Leasing</v>
      </c>
    </row>
    <row r="4031" spans="1:12" x14ac:dyDescent="0.25">
      <c r="A4031" t="s">
        <v>37</v>
      </c>
      <c r="B4031">
        <v>36</v>
      </c>
      <c r="C4031" t="s">
        <v>19</v>
      </c>
      <c r="D4031" s="1">
        <v>46387</v>
      </c>
      <c r="E4031">
        <v>3802.3</v>
      </c>
      <c r="F4031">
        <v>209.64</v>
      </c>
      <c r="G4031">
        <v>125.71</v>
      </c>
      <c r="H4031">
        <v>334</v>
      </c>
      <c r="I4031" t="s">
        <v>25</v>
      </c>
      <c r="J4031">
        <v>2026</v>
      </c>
      <c r="K4031">
        <f t="shared" si="124"/>
        <v>83.929999999999993</v>
      </c>
      <c r="L4031" t="str">
        <f t="shared" si="125"/>
        <v>Banca Marchigiana|36|Factoring</v>
      </c>
    </row>
    <row r="4032" spans="1:12" x14ac:dyDescent="0.25">
      <c r="A4032" t="s">
        <v>37</v>
      </c>
      <c r="B4032">
        <v>36</v>
      </c>
      <c r="C4032" t="s">
        <v>20</v>
      </c>
      <c r="D4032" s="1">
        <v>46387</v>
      </c>
      <c r="E4032">
        <v>4335.3</v>
      </c>
      <c r="F4032">
        <v>247.95</v>
      </c>
      <c r="G4032">
        <v>147.91</v>
      </c>
      <c r="H4032">
        <v>341</v>
      </c>
      <c r="I4032" t="s">
        <v>25</v>
      </c>
      <c r="J4032">
        <v>2026</v>
      </c>
      <c r="K4032">
        <f t="shared" si="124"/>
        <v>100.03999999999999</v>
      </c>
      <c r="L4032" t="str">
        <f t="shared" si="125"/>
        <v>Banca Marchigiana|36|Risparmio</v>
      </c>
    </row>
    <row r="4033" spans="1:12" x14ac:dyDescent="0.25">
      <c r="A4033" t="s">
        <v>37</v>
      </c>
      <c r="B4033">
        <v>36</v>
      </c>
      <c r="C4033" t="s">
        <v>21</v>
      </c>
      <c r="D4033" s="1">
        <v>46387</v>
      </c>
      <c r="E4033">
        <v>4820.7</v>
      </c>
      <c r="F4033">
        <v>284.83999999999997</v>
      </c>
      <c r="G4033">
        <v>169.56</v>
      </c>
      <c r="H4033">
        <v>407</v>
      </c>
      <c r="I4033" t="s">
        <v>25</v>
      </c>
      <c r="J4033">
        <v>2026</v>
      </c>
      <c r="K4033">
        <f t="shared" si="124"/>
        <v>115.27999999999997</v>
      </c>
      <c r="L4033" t="str">
        <f t="shared" si="125"/>
        <v>Banca Marchigiana|36|Assicurazioni</v>
      </c>
    </row>
    <row r="4034" spans="1:12" x14ac:dyDescent="0.25">
      <c r="A4034" t="s">
        <v>38</v>
      </c>
      <c r="B4034">
        <v>1</v>
      </c>
      <c r="C4034" t="s">
        <v>13</v>
      </c>
      <c r="D4034" s="1">
        <v>45322</v>
      </c>
      <c r="E4034">
        <v>1090.3</v>
      </c>
      <c r="F4034">
        <v>49.44</v>
      </c>
      <c r="G4034">
        <v>30.64</v>
      </c>
      <c r="H4034">
        <v>110</v>
      </c>
      <c r="I4034" t="s">
        <v>31</v>
      </c>
      <c r="J4034">
        <v>2024</v>
      </c>
      <c r="K4034">
        <f t="shared" ref="K4034:K4097" si="126">F4034-G4034</f>
        <v>18.799999999999997</v>
      </c>
      <c r="L4034" t="str">
        <f t="shared" ref="L4034:L4097" si="127">A4034&amp;"|"&amp;B4034&amp;"|"&amp;C4034</f>
        <v>Banca Lucana|1|Mutui</v>
      </c>
    </row>
    <row r="4035" spans="1:12" x14ac:dyDescent="0.25">
      <c r="A4035" t="s">
        <v>38</v>
      </c>
      <c r="B4035">
        <v>1</v>
      </c>
      <c r="C4035" t="s">
        <v>15</v>
      </c>
      <c r="D4035" s="1">
        <v>45322</v>
      </c>
      <c r="E4035">
        <v>1493.7</v>
      </c>
      <c r="F4035">
        <v>70.95</v>
      </c>
      <c r="G4035">
        <v>44.01</v>
      </c>
      <c r="H4035">
        <v>164</v>
      </c>
      <c r="I4035" t="s">
        <v>31</v>
      </c>
      <c r="J4035">
        <v>2024</v>
      </c>
      <c r="K4035">
        <f t="shared" si="126"/>
        <v>26.940000000000005</v>
      </c>
      <c r="L4035" t="str">
        <f t="shared" si="127"/>
        <v>Banca Lucana|1|Prestiti</v>
      </c>
    </row>
    <row r="4036" spans="1:12" x14ac:dyDescent="0.25">
      <c r="A4036" t="s">
        <v>38</v>
      </c>
      <c r="B4036">
        <v>1</v>
      </c>
      <c r="C4036" t="s">
        <v>16</v>
      </c>
      <c r="D4036" s="1">
        <v>45322</v>
      </c>
      <c r="E4036">
        <v>1922.6</v>
      </c>
      <c r="F4036">
        <v>94.96</v>
      </c>
      <c r="G4036">
        <v>58.02</v>
      </c>
      <c r="H4036">
        <v>206</v>
      </c>
      <c r="I4036" t="s">
        <v>31</v>
      </c>
      <c r="J4036">
        <v>2024</v>
      </c>
      <c r="K4036">
        <f t="shared" si="126"/>
        <v>36.939999999999991</v>
      </c>
      <c r="L4036" t="str">
        <f t="shared" si="127"/>
        <v>Banca Lucana|1|Conti</v>
      </c>
    </row>
    <row r="4037" spans="1:12" x14ac:dyDescent="0.25">
      <c r="A4037" t="s">
        <v>38</v>
      </c>
      <c r="B4037">
        <v>1</v>
      </c>
      <c r="C4037" t="s">
        <v>17</v>
      </c>
      <c r="D4037" s="1">
        <v>45322</v>
      </c>
      <c r="E4037">
        <v>2340.6999999999998</v>
      </c>
      <c r="F4037">
        <v>120.33</v>
      </c>
      <c r="G4037">
        <v>72.94</v>
      </c>
      <c r="H4037">
        <v>246</v>
      </c>
      <c r="I4037" t="s">
        <v>31</v>
      </c>
      <c r="J4037">
        <v>2024</v>
      </c>
      <c r="K4037">
        <f t="shared" si="126"/>
        <v>47.39</v>
      </c>
      <c r="L4037" t="str">
        <f t="shared" si="127"/>
        <v>Banca Lucana|1|Carte</v>
      </c>
    </row>
    <row r="4038" spans="1:12" x14ac:dyDescent="0.25">
      <c r="A4038" t="s">
        <v>38</v>
      </c>
      <c r="B4038">
        <v>1</v>
      </c>
      <c r="C4038" t="s">
        <v>18</v>
      </c>
      <c r="D4038" s="1">
        <v>45322</v>
      </c>
      <c r="E4038">
        <v>2749</v>
      </c>
      <c r="F4038">
        <v>146.63999999999999</v>
      </c>
      <c r="G4038">
        <v>88.39</v>
      </c>
      <c r="H4038">
        <v>304</v>
      </c>
      <c r="I4038" t="s">
        <v>31</v>
      </c>
      <c r="J4038">
        <v>2024</v>
      </c>
      <c r="K4038">
        <f t="shared" si="126"/>
        <v>58.249999999999986</v>
      </c>
      <c r="L4038" t="str">
        <f t="shared" si="127"/>
        <v>Banca Lucana|1|Leasing</v>
      </c>
    </row>
    <row r="4039" spans="1:12" x14ac:dyDescent="0.25">
      <c r="A4039" t="s">
        <v>38</v>
      </c>
      <c r="B4039">
        <v>1</v>
      </c>
      <c r="C4039" t="s">
        <v>19</v>
      </c>
      <c r="D4039" s="1">
        <v>45322</v>
      </c>
      <c r="E4039">
        <v>3175.1</v>
      </c>
      <c r="F4039">
        <v>175.35</v>
      </c>
      <c r="G4039">
        <v>104.94</v>
      </c>
      <c r="H4039">
        <v>350</v>
      </c>
      <c r="I4039" t="s">
        <v>31</v>
      </c>
      <c r="J4039">
        <v>2024</v>
      </c>
      <c r="K4039">
        <f t="shared" si="126"/>
        <v>70.41</v>
      </c>
      <c r="L4039" t="str">
        <f t="shared" si="127"/>
        <v>Banca Lucana|1|Factoring</v>
      </c>
    </row>
    <row r="4040" spans="1:12" x14ac:dyDescent="0.25">
      <c r="A4040" t="s">
        <v>38</v>
      </c>
      <c r="B4040">
        <v>1</v>
      </c>
      <c r="C4040" t="s">
        <v>20</v>
      </c>
      <c r="D4040" s="1">
        <v>45322</v>
      </c>
      <c r="E4040">
        <v>3565.9</v>
      </c>
      <c r="F4040">
        <v>204.13</v>
      </c>
      <c r="G4040">
        <v>121.92</v>
      </c>
      <c r="H4040">
        <v>365</v>
      </c>
      <c r="I4040" t="s">
        <v>31</v>
      </c>
      <c r="J4040">
        <v>2024</v>
      </c>
      <c r="K4040">
        <f t="shared" si="126"/>
        <v>82.21</v>
      </c>
      <c r="L4040" t="str">
        <f t="shared" si="127"/>
        <v>Banca Lucana|1|Risparmio</v>
      </c>
    </row>
    <row r="4041" spans="1:12" x14ac:dyDescent="0.25">
      <c r="A4041" t="s">
        <v>38</v>
      </c>
      <c r="B4041">
        <v>1</v>
      </c>
      <c r="C4041" t="s">
        <v>21</v>
      </c>
      <c r="D4041" s="1">
        <v>45322</v>
      </c>
      <c r="E4041">
        <v>3957.9</v>
      </c>
      <c r="F4041">
        <v>233.56</v>
      </c>
      <c r="G4041">
        <v>138.54</v>
      </c>
      <c r="H4041">
        <v>414</v>
      </c>
      <c r="I4041" t="s">
        <v>31</v>
      </c>
      <c r="J4041">
        <v>2024</v>
      </c>
      <c r="K4041">
        <f t="shared" si="126"/>
        <v>95.02000000000001</v>
      </c>
      <c r="L4041" t="str">
        <f t="shared" si="127"/>
        <v>Banca Lucana|1|Assicurazioni</v>
      </c>
    </row>
    <row r="4042" spans="1:12" x14ac:dyDescent="0.25">
      <c r="A4042" t="s">
        <v>38</v>
      </c>
      <c r="B4042">
        <v>2</v>
      </c>
      <c r="C4042" t="s">
        <v>13</v>
      </c>
      <c r="D4042" s="1">
        <v>45351</v>
      </c>
      <c r="E4042">
        <v>1091.2</v>
      </c>
      <c r="F4042">
        <v>49.93</v>
      </c>
      <c r="G4042">
        <v>31.39</v>
      </c>
      <c r="H4042">
        <v>124</v>
      </c>
      <c r="I4042" t="s">
        <v>31</v>
      </c>
      <c r="J4042">
        <v>2024</v>
      </c>
      <c r="K4042">
        <f t="shared" si="126"/>
        <v>18.54</v>
      </c>
      <c r="L4042" t="str">
        <f t="shared" si="127"/>
        <v>Banca Lucana|2|Mutui</v>
      </c>
    </row>
    <row r="4043" spans="1:12" x14ac:dyDescent="0.25">
      <c r="A4043" t="s">
        <v>38</v>
      </c>
      <c r="B4043">
        <v>2</v>
      </c>
      <c r="C4043" t="s">
        <v>15</v>
      </c>
      <c r="D4043" s="1">
        <v>45351</v>
      </c>
      <c r="E4043">
        <v>1542.8</v>
      </c>
      <c r="F4043">
        <v>73</v>
      </c>
      <c r="G4043">
        <v>44.84</v>
      </c>
      <c r="H4043">
        <v>166</v>
      </c>
      <c r="I4043" t="s">
        <v>31</v>
      </c>
      <c r="J4043">
        <v>2024</v>
      </c>
      <c r="K4043">
        <f t="shared" si="126"/>
        <v>28.159999999999997</v>
      </c>
      <c r="L4043" t="str">
        <f t="shared" si="127"/>
        <v>Banca Lucana|2|Prestiti</v>
      </c>
    </row>
    <row r="4044" spans="1:12" x14ac:dyDescent="0.25">
      <c r="A4044" t="s">
        <v>38</v>
      </c>
      <c r="B4044">
        <v>2</v>
      </c>
      <c r="C4044" t="s">
        <v>16</v>
      </c>
      <c r="D4044" s="1">
        <v>45351</v>
      </c>
      <c r="E4044">
        <v>1937.5</v>
      </c>
      <c r="F4044">
        <v>94.98</v>
      </c>
      <c r="G4044">
        <v>58.57</v>
      </c>
      <c r="H4044">
        <v>197</v>
      </c>
      <c r="I4044" t="s">
        <v>31</v>
      </c>
      <c r="J4044">
        <v>2024</v>
      </c>
      <c r="K4044">
        <f t="shared" si="126"/>
        <v>36.410000000000004</v>
      </c>
      <c r="L4044" t="str">
        <f t="shared" si="127"/>
        <v>Banca Lucana|2|Conti</v>
      </c>
    </row>
    <row r="4045" spans="1:12" x14ac:dyDescent="0.25">
      <c r="A4045" t="s">
        <v>38</v>
      </c>
      <c r="B4045">
        <v>2</v>
      </c>
      <c r="C4045" t="s">
        <v>17</v>
      </c>
      <c r="D4045" s="1">
        <v>45351</v>
      </c>
      <c r="E4045">
        <v>2326.6999999999998</v>
      </c>
      <c r="F4045">
        <v>119.62</v>
      </c>
      <c r="G4045">
        <v>72.430000000000007</v>
      </c>
      <c r="H4045">
        <v>236</v>
      </c>
      <c r="I4045" t="s">
        <v>31</v>
      </c>
      <c r="J4045">
        <v>2024</v>
      </c>
      <c r="K4045">
        <f t="shared" si="126"/>
        <v>47.19</v>
      </c>
      <c r="L4045" t="str">
        <f t="shared" si="127"/>
        <v>Banca Lucana|2|Carte</v>
      </c>
    </row>
    <row r="4046" spans="1:12" x14ac:dyDescent="0.25">
      <c r="A4046" t="s">
        <v>38</v>
      </c>
      <c r="B4046">
        <v>2</v>
      </c>
      <c r="C4046" t="s">
        <v>18</v>
      </c>
      <c r="D4046" s="1">
        <v>45351</v>
      </c>
      <c r="E4046">
        <v>2785.7</v>
      </c>
      <c r="F4046">
        <v>148.21</v>
      </c>
      <c r="G4046">
        <v>89.9</v>
      </c>
      <c r="H4046">
        <v>304</v>
      </c>
      <c r="I4046" t="s">
        <v>31</v>
      </c>
      <c r="J4046">
        <v>2024</v>
      </c>
      <c r="K4046">
        <f t="shared" si="126"/>
        <v>58.31</v>
      </c>
      <c r="L4046" t="str">
        <f t="shared" si="127"/>
        <v>Banca Lucana|2|Leasing</v>
      </c>
    </row>
    <row r="4047" spans="1:12" x14ac:dyDescent="0.25">
      <c r="A4047" t="s">
        <v>38</v>
      </c>
      <c r="B4047">
        <v>2</v>
      </c>
      <c r="C4047" t="s">
        <v>19</v>
      </c>
      <c r="D4047" s="1">
        <v>45351</v>
      </c>
      <c r="E4047">
        <v>3164.7</v>
      </c>
      <c r="F4047">
        <v>174.13</v>
      </c>
      <c r="G4047">
        <v>104.47</v>
      </c>
      <c r="H4047">
        <v>318</v>
      </c>
      <c r="I4047" t="s">
        <v>31</v>
      </c>
      <c r="J4047">
        <v>2024</v>
      </c>
      <c r="K4047">
        <f t="shared" si="126"/>
        <v>69.66</v>
      </c>
      <c r="L4047" t="str">
        <f t="shared" si="127"/>
        <v>Banca Lucana|2|Factoring</v>
      </c>
    </row>
    <row r="4048" spans="1:12" x14ac:dyDescent="0.25">
      <c r="A4048" t="s">
        <v>38</v>
      </c>
      <c r="B4048">
        <v>2</v>
      </c>
      <c r="C4048" t="s">
        <v>20</v>
      </c>
      <c r="D4048" s="1">
        <v>45351</v>
      </c>
      <c r="E4048">
        <v>3585.8</v>
      </c>
      <c r="F4048">
        <v>205.33</v>
      </c>
      <c r="G4048">
        <v>122.79</v>
      </c>
      <c r="H4048">
        <v>357</v>
      </c>
      <c r="I4048" t="s">
        <v>31</v>
      </c>
      <c r="J4048">
        <v>2024</v>
      </c>
      <c r="K4048">
        <f t="shared" si="126"/>
        <v>82.54</v>
      </c>
      <c r="L4048" t="str">
        <f t="shared" si="127"/>
        <v>Banca Lucana|2|Risparmio</v>
      </c>
    </row>
    <row r="4049" spans="1:12" x14ac:dyDescent="0.25">
      <c r="A4049" t="s">
        <v>38</v>
      </c>
      <c r="B4049">
        <v>2</v>
      </c>
      <c r="C4049" t="s">
        <v>21</v>
      </c>
      <c r="D4049" s="1">
        <v>45351</v>
      </c>
      <c r="E4049">
        <v>3978.6</v>
      </c>
      <c r="F4049">
        <v>234.84</v>
      </c>
      <c r="G4049">
        <v>139.29</v>
      </c>
      <c r="H4049">
        <v>430</v>
      </c>
      <c r="I4049" t="s">
        <v>31</v>
      </c>
      <c r="J4049">
        <v>2024</v>
      </c>
      <c r="K4049">
        <f t="shared" si="126"/>
        <v>95.550000000000011</v>
      </c>
      <c r="L4049" t="str">
        <f t="shared" si="127"/>
        <v>Banca Lucana|2|Assicurazioni</v>
      </c>
    </row>
    <row r="4050" spans="1:12" x14ac:dyDescent="0.25">
      <c r="A4050" t="s">
        <v>38</v>
      </c>
      <c r="B4050">
        <v>3</v>
      </c>
      <c r="C4050" t="s">
        <v>13</v>
      </c>
      <c r="D4050" s="1">
        <v>45382</v>
      </c>
      <c r="E4050">
        <v>1142.2</v>
      </c>
      <c r="F4050">
        <v>52.02</v>
      </c>
      <c r="G4050">
        <v>32.700000000000003</v>
      </c>
      <c r="H4050">
        <v>123</v>
      </c>
      <c r="I4050" t="s">
        <v>31</v>
      </c>
      <c r="J4050">
        <v>2024</v>
      </c>
      <c r="K4050">
        <f t="shared" si="126"/>
        <v>19.32</v>
      </c>
      <c r="L4050" t="str">
        <f t="shared" si="127"/>
        <v>Banca Lucana|3|Mutui</v>
      </c>
    </row>
    <row r="4051" spans="1:12" x14ac:dyDescent="0.25">
      <c r="A4051" t="s">
        <v>38</v>
      </c>
      <c r="B4051">
        <v>3</v>
      </c>
      <c r="C4051" t="s">
        <v>15</v>
      </c>
      <c r="D4051" s="1">
        <v>45382</v>
      </c>
      <c r="E4051">
        <v>1509</v>
      </c>
      <c r="F4051">
        <v>71.349999999999994</v>
      </c>
      <c r="G4051">
        <v>44.26</v>
      </c>
      <c r="H4051">
        <v>154</v>
      </c>
      <c r="I4051" t="s">
        <v>31</v>
      </c>
      <c r="J4051">
        <v>2024</v>
      </c>
      <c r="K4051">
        <f t="shared" si="126"/>
        <v>27.089999999999996</v>
      </c>
      <c r="L4051" t="str">
        <f t="shared" si="127"/>
        <v>Banca Lucana|3|Prestiti</v>
      </c>
    </row>
    <row r="4052" spans="1:12" x14ac:dyDescent="0.25">
      <c r="A4052" t="s">
        <v>38</v>
      </c>
      <c r="B4052">
        <v>3</v>
      </c>
      <c r="C4052" t="s">
        <v>16</v>
      </c>
      <c r="D4052" s="1">
        <v>45382</v>
      </c>
      <c r="E4052">
        <v>1965.6</v>
      </c>
      <c r="F4052">
        <v>97.05</v>
      </c>
      <c r="G4052">
        <v>59.85</v>
      </c>
      <c r="H4052">
        <v>213</v>
      </c>
      <c r="I4052" t="s">
        <v>31</v>
      </c>
      <c r="J4052">
        <v>2024</v>
      </c>
      <c r="K4052">
        <f t="shared" si="126"/>
        <v>37.199999999999996</v>
      </c>
      <c r="L4052" t="str">
        <f t="shared" si="127"/>
        <v>Banca Lucana|3|Conti</v>
      </c>
    </row>
    <row r="4053" spans="1:12" x14ac:dyDescent="0.25">
      <c r="A4053" t="s">
        <v>38</v>
      </c>
      <c r="B4053">
        <v>3</v>
      </c>
      <c r="C4053" t="s">
        <v>17</v>
      </c>
      <c r="D4053" s="1">
        <v>45382</v>
      </c>
      <c r="E4053">
        <v>2341.8000000000002</v>
      </c>
      <c r="F4053">
        <v>119.5</v>
      </c>
      <c r="G4053">
        <v>72.61</v>
      </c>
      <c r="H4053">
        <v>233</v>
      </c>
      <c r="I4053" t="s">
        <v>31</v>
      </c>
      <c r="J4053">
        <v>2024</v>
      </c>
      <c r="K4053">
        <f t="shared" si="126"/>
        <v>46.89</v>
      </c>
      <c r="L4053" t="str">
        <f t="shared" si="127"/>
        <v>Banca Lucana|3|Carte</v>
      </c>
    </row>
    <row r="4054" spans="1:12" x14ac:dyDescent="0.25">
      <c r="A4054" t="s">
        <v>38</v>
      </c>
      <c r="B4054">
        <v>3</v>
      </c>
      <c r="C4054" t="s">
        <v>18</v>
      </c>
      <c r="D4054" s="1">
        <v>45382</v>
      </c>
      <c r="E4054">
        <v>2810.1</v>
      </c>
      <c r="F4054">
        <v>149.4</v>
      </c>
      <c r="G4054">
        <v>90.87</v>
      </c>
      <c r="H4054">
        <v>272</v>
      </c>
      <c r="I4054" t="s">
        <v>31</v>
      </c>
      <c r="J4054">
        <v>2024</v>
      </c>
      <c r="K4054">
        <f t="shared" si="126"/>
        <v>58.53</v>
      </c>
      <c r="L4054" t="str">
        <f t="shared" si="127"/>
        <v>Banca Lucana|3|Leasing</v>
      </c>
    </row>
    <row r="4055" spans="1:12" x14ac:dyDescent="0.25">
      <c r="A4055" t="s">
        <v>38</v>
      </c>
      <c r="B4055">
        <v>3</v>
      </c>
      <c r="C4055" t="s">
        <v>19</v>
      </c>
      <c r="D4055" s="1">
        <v>45382</v>
      </c>
      <c r="E4055">
        <v>3211.2</v>
      </c>
      <c r="F4055">
        <v>176.79</v>
      </c>
      <c r="G4055">
        <v>106.3</v>
      </c>
      <c r="H4055">
        <v>316</v>
      </c>
      <c r="I4055" t="s">
        <v>31</v>
      </c>
      <c r="J4055">
        <v>2024</v>
      </c>
      <c r="K4055">
        <f t="shared" si="126"/>
        <v>70.489999999999995</v>
      </c>
      <c r="L4055" t="str">
        <f t="shared" si="127"/>
        <v>Banca Lucana|3|Factoring</v>
      </c>
    </row>
    <row r="4056" spans="1:12" x14ac:dyDescent="0.25">
      <c r="A4056" t="s">
        <v>38</v>
      </c>
      <c r="B4056">
        <v>3</v>
      </c>
      <c r="C4056" t="s">
        <v>20</v>
      </c>
      <c r="D4056" s="1">
        <v>45382</v>
      </c>
      <c r="E4056">
        <v>3633.6</v>
      </c>
      <c r="F4056">
        <v>208.03</v>
      </c>
      <c r="G4056">
        <v>123.94</v>
      </c>
      <c r="H4056">
        <v>359</v>
      </c>
      <c r="I4056" t="s">
        <v>31</v>
      </c>
      <c r="J4056">
        <v>2024</v>
      </c>
      <c r="K4056">
        <f t="shared" si="126"/>
        <v>84.09</v>
      </c>
      <c r="L4056" t="str">
        <f t="shared" si="127"/>
        <v>Banca Lucana|3|Risparmio</v>
      </c>
    </row>
    <row r="4057" spans="1:12" x14ac:dyDescent="0.25">
      <c r="A4057" t="s">
        <v>38</v>
      </c>
      <c r="B4057">
        <v>3</v>
      </c>
      <c r="C4057" t="s">
        <v>21</v>
      </c>
      <c r="D4057" s="1">
        <v>45382</v>
      </c>
      <c r="E4057">
        <v>4008.2</v>
      </c>
      <c r="F4057">
        <v>237.34</v>
      </c>
      <c r="G4057">
        <v>140.68</v>
      </c>
      <c r="H4057">
        <v>421</v>
      </c>
      <c r="I4057" t="s">
        <v>31</v>
      </c>
      <c r="J4057">
        <v>2024</v>
      </c>
      <c r="K4057">
        <f t="shared" si="126"/>
        <v>96.66</v>
      </c>
      <c r="L4057" t="str">
        <f t="shared" si="127"/>
        <v>Banca Lucana|3|Assicurazioni</v>
      </c>
    </row>
    <row r="4058" spans="1:12" x14ac:dyDescent="0.25">
      <c r="A4058" t="s">
        <v>38</v>
      </c>
      <c r="B4058">
        <v>4</v>
      </c>
      <c r="C4058" t="s">
        <v>13</v>
      </c>
      <c r="D4058" s="1">
        <v>45412</v>
      </c>
      <c r="E4058">
        <v>1097.5</v>
      </c>
      <c r="F4058">
        <v>49.96</v>
      </c>
      <c r="G4058">
        <v>31.62</v>
      </c>
      <c r="H4058">
        <v>123</v>
      </c>
      <c r="I4058" t="s">
        <v>31</v>
      </c>
      <c r="J4058">
        <v>2024</v>
      </c>
      <c r="K4058">
        <f t="shared" si="126"/>
        <v>18.34</v>
      </c>
      <c r="L4058" t="str">
        <f t="shared" si="127"/>
        <v>Banca Lucana|4|Mutui</v>
      </c>
    </row>
    <row r="4059" spans="1:12" x14ac:dyDescent="0.25">
      <c r="A4059" t="s">
        <v>38</v>
      </c>
      <c r="B4059">
        <v>4</v>
      </c>
      <c r="C4059" t="s">
        <v>15</v>
      </c>
      <c r="D4059" s="1">
        <v>45412</v>
      </c>
      <c r="E4059">
        <v>1518.9</v>
      </c>
      <c r="F4059">
        <v>71.45</v>
      </c>
      <c r="G4059">
        <v>44.32</v>
      </c>
      <c r="H4059">
        <v>149</v>
      </c>
      <c r="I4059" t="s">
        <v>31</v>
      </c>
      <c r="J4059">
        <v>2024</v>
      </c>
      <c r="K4059">
        <f t="shared" si="126"/>
        <v>27.130000000000003</v>
      </c>
      <c r="L4059" t="str">
        <f t="shared" si="127"/>
        <v>Banca Lucana|4|Prestiti</v>
      </c>
    </row>
    <row r="4060" spans="1:12" x14ac:dyDescent="0.25">
      <c r="A4060" t="s">
        <v>38</v>
      </c>
      <c r="B4060">
        <v>4</v>
      </c>
      <c r="C4060" t="s">
        <v>16</v>
      </c>
      <c r="D4060" s="1">
        <v>45412</v>
      </c>
      <c r="E4060">
        <v>1937.8</v>
      </c>
      <c r="F4060">
        <v>95.05</v>
      </c>
      <c r="G4060">
        <v>59.11</v>
      </c>
      <c r="H4060">
        <v>228</v>
      </c>
      <c r="I4060" t="s">
        <v>31</v>
      </c>
      <c r="J4060">
        <v>2024</v>
      </c>
      <c r="K4060">
        <f t="shared" si="126"/>
        <v>35.94</v>
      </c>
      <c r="L4060" t="str">
        <f t="shared" si="127"/>
        <v>Banca Lucana|4|Conti</v>
      </c>
    </row>
    <row r="4061" spans="1:12" x14ac:dyDescent="0.25">
      <c r="A4061" t="s">
        <v>38</v>
      </c>
      <c r="B4061">
        <v>4</v>
      </c>
      <c r="C4061" t="s">
        <v>17</v>
      </c>
      <c r="D4061" s="1">
        <v>45412</v>
      </c>
      <c r="E4061">
        <v>2361.6</v>
      </c>
      <c r="F4061">
        <v>121.12</v>
      </c>
      <c r="G4061">
        <v>73.91</v>
      </c>
      <c r="H4061">
        <v>258</v>
      </c>
      <c r="I4061" t="s">
        <v>31</v>
      </c>
      <c r="J4061">
        <v>2024</v>
      </c>
      <c r="K4061">
        <f t="shared" si="126"/>
        <v>47.210000000000008</v>
      </c>
      <c r="L4061" t="str">
        <f t="shared" si="127"/>
        <v>Banca Lucana|4|Carte</v>
      </c>
    </row>
    <row r="4062" spans="1:12" x14ac:dyDescent="0.25">
      <c r="A4062" t="s">
        <v>38</v>
      </c>
      <c r="B4062">
        <v>4</v>
      </c>
      <c r="C4062" t="s">
        <v>18</v>
      </c>
      <c r="D4062" s="1">
        <v>45412</v>
      </c>
      <c r="E4062">
        <v>2813</v>
      </c>
      <c r="F4062">
        <v>149.19</v>
      </c>
      <c r="G4062">
        <v>90.43</v>
      </c>
      <c r="H4062">
        <v>287</v>
      </c>
      <c r="I4062" t="s">
        <v>31</v>
      </c>
      <c r="J4062">
        <v>2024</v>
      </c>
      <c r="K4062">
        <f t="shared" si="126"/>
        <v>58.759999999999991</v>
      </c>
      <c r="L4062" t="str">
        <f t="shared" si="127"/>
        <v>Banca Lucana|4|Leasing</v>
      </c>
    </row>
    <row r="4063" spans="1:12" x14ac:dyDescent="0.25">
      <c r="A4063" t="s">
        <v>38</v>
      </c>
      <c r="B4063">
        <v>4</v>
      </c>
      <c r="C4063" t="s">
        <v>19</v>
      </c>
      <c r="D4063" s="1">
        <v>45412</v>
      </c>
      <c r="E4063">
        <v>3220.1</v>
      </c>
      <c r="F4063">
        <v>177.44</v>
      </c>
      <c r="G4063">
        <v>106.98</v>
      </c>
      <c r="H4063">
        <v>335</v>
      </c>
      <c r="I4063" t="s">
        <v>31</v>
      </c>
      <c r="J4063">
        <v>2024</v>
      </c>
      <c r="K4063">
        <f t="shared" si="126"/>
        <v>70.459999999999994</v>
      </c>
      <c r="L4063" t="str">
        <f t="shared" si="127"/>
        <v>Banca Lucana|4|Factoring</v>
      </c>
    </row>
    <row r="4064" spans="1:12" x14ac:dyDescent="0.25">
      <c r="A4064" t="s">
        <v>38</v>
      </c>
      <c r="B4064">
        <v>4</v>
      </c>
      <c r="C4064" t="s">
        <v>20</v>
      </c>
      <c r="D4064" s="1">
        <v>45412</v>
      </c>
      <c r="E4064">
        <v>3649.6</v>
      </c>
      <c r="F4064">
        <v>208.7</v>
      </c>
      <c r="G4064">
        <v>124.43</v>
      </c>
      <c r="H4064">
        <v>392</v>
      </c>
      <c r="I4064" t="s">
        <v>31</v>
      </c>
      <c r="J4064">
        <v>2024</v>
      </c>
      <c r="K4064">
        <f t="shared" si="126"/>
        <v>84.269999999999982</v>
      </c>
      <c r="L4064" t="str">
        <f t="shared" si="127"/>
        <v>Banca Lucana|4|Risparmio</v>
      </c>
    </row>
    <row r="4065" spans="1:12" x14ac:dyDescent="0.25">
      <c r="A4065" t="s">
        <v>38</v>
      </c>
      <c r="B4065">
        <v>4</v>
      </c>
      <c r="C4065" t="s">
        <v>21</v>
      </c>
      <c r="D4065" s="1">
        <v>45412</v>
      </c>
      <c r="E4065">
        <v>4061.5</v>
      </c>
      <c r="F4065">
        <v>240.2</v>
      </c>
      <c r="G4065">
        <v>142.74</v>
      </c>
      <c r="H4065">
        <v>430</v>
      </c>
      <c r="I4065" t="s">
        <v>31</v>
      </c>
      <c r="J4065">
        <v>2024</v>
      </c>
      <c r="K4065">
        <f t="shared" si="126"/>
        <v>97.45999999999998</v>
      </c>
      <c r="L4065" t="str">
        <f t="shared" si="127"/>
        <v>Banca Lucana|4|Assicurazioni</v>
      </c>
    </row>
    <row r="4066" spans="1:12" x14ac:dyDescent="0.25">
      <c r="A4066" t="s">
        <v>38</v>
      </c>
      <c r="B4066">
        <v>5</v>
      </c>
      <c r="C4066" t="s">
        <v>13</v>
      </c>
      <c r="D4066" s="1">
        <v>45443</v>
      </c>
      <c r="E4066">
        <v>1131.0999999999999</v>
      </c>
      <c r="F4066">
        <v>51.81</v>
      </c>
      <c r="G4066">
        <v>31.98</v>
      </c>
      <c r="H4066">
        <v>109</v>
      </c>
      <c r="I4066" t="s">
        <v>31</v>
      </c>
      <c r="J4066">
        <v>2024</v>
      </c>
      <c r="K4066">
        <f t="shared" si="126"/>
        <v>19.830000000000002</v>
      </c>
      <c r="L4066" t="str">
        <f t="shared" si="127"/>
        <v>Banca Lucana|5|Mutui</v>
      </c>
    </row>
    <row r="4067" spans="1:12" x14ac:dyDescent="0.25">
      <c r="A4067" t="s">
        <v>38</v>
      </c>
      <c r="B4067">
        <v>5</v>
      </c>
      <c r="C4067" t="s">
        <v>15</v>
      </c>
      <c r="D4067" s="1">
        <v>45443</v>
      </c>
      <c r="E4067">
        <v>1549</v>
      </c>
      <c r="F4067">
        <v>73.739999999999995</v>
      </c>
      <c r="G4067">
        <v>45.36</v>
      </c>
      <c r="H4067">
        <v>150</v>
      </c>
      <c r="I4067" t="s">
        <v>31</v>
      </c>
      <c r="J4067">
        <v>2024</v>
      </c>
      <c r="K4067">
        <f t="shared" si="126"/>
        <v>28.379999999999995</v>
      </c>
      <c r="L4067" t="str">
        <f t="shared" si="127"/>
        <v>Banca Lucana|5|Prestiti</v>
      </c>
    </row>
    <row r="4068" spans="1:12" x14ac:dyDescent="0.25">
      <c r="A4068" t="s">
        <v>38</v>
      </c>
      <c r="B4068">
        <v>5</v>
      </c>
      <c r="C4068" t="s">
        <v>16</v>
      </c>
      <c r="D4068" s="1">
        <v>45443</v>
      </c>
      <c r="E4068">
        <v>1986.6</v>
      </c>
      <c r="F4068">
        <v>97.49</v>
      </c>
      <c r="G4068">
        <v>60.3</v>
      </c>
      <c r="H4068">
        <v>191</v>
      </c>
      <c r="I4068" t="s">
        <v>31</v>
      </c>
      <c r="J4068">
        <v>2024</v>
      </c>
      <c r="K4068">
        <f t="shared" si="126"/>
        <v>37.19</v>
      </c>
      <c r="L4068" t="str">
        <f t="shared" si="127"/>
        <v>Banca Lucana|5|Conti</v>
      </c>
    </row>
    <row r="4069" spans="1:12" x14ac:dyDescent="0.25">
      <c r="A4069" t="s">
        <v>38</v>
      </c>
      <c r="B4069">
        <v>5</v>
      </c>
      <c r="C4069" t="s">
        <v>17</v>
      </c>
      <c r="D4069" s="1">
        <v>45443</v>
      </c>
      <c r="E4069">
        <v>2375.1</v>
      </c>
      <c r="F4069">
        <v>121.3</v>
      </c>
      <c r="G4069">
        <v>74.13</v>
      </c>
      <c r="H4069">
        <v>268</v>
      </c>
      <c r="I4069" t="s">
        <v>31</v>
      </c>
      <c r="J4069">
        <v>2024</v>
      </c>
      <c r="K4069">
        <f t="shared" si="126"/>
        <v>47.17</v>
      </c>
      <c r="L4069" t="str">
        <f t="shared" si="127"/>
        <v>Banca Lucana|5|Carte</v>
      </c>
    </row>
    <row r="4070" spans="1:12" x14ac:dyDescent="0.25">
      <c r="A4070" t="s">
        <v>38</v>
      </c>
      <c r="B4070">
        <v>5</v>
      </c>
      <c r="C4070" t="s">
        <v>18</v>
      </c>
      <c r="D4070" s="1">
        <v>45443</v>
      </c>
      <c r="E4070">
        <v>2839.5</v>
      </c>
      <c r="F4070">
        <v>150.84</v>
      </c>
      <c r="G4070">
        <v>91.57</v>
      </c>
      <c r="H4070">
        <v>290</v>
      </c>
      <c r="I4070" t="s">
        <v>31</v>
      </c>
      <c r="J4070">
        <v>2024</v>
      </c>
      <c r="K4070">
        <f t="shared" si="126"/>
        <v>59.27000000000001</v>
      </c>
      <c r="L4070" t="str">
        <f t="shared" si="127"/>
        <v>Banca Lucana|5|Leasing</v>
      </c>
    </row>
    <row r="4071" spans="1:12" x14ac:dyDescent="0.25">
      <c r="A4071" t="s">
        <v>38</v>
      </c>
      <c r="B4071">
        <v>5</v>
      </c>
      <c r="C4071" t="s">
        <v>19</v>
      </c>
      <c r="D4071" s="1">
        <v>45443</v>
      </c>
      <c r="E4071">
        <v>3276.4</v>
      </c>
      <c r="F4071">
        <v>180.95</v>
      </c>
      <c r="G4071">
        <v>109.11</v>
      </c>
      <c r="H4071">
        <v>334</v>
      </c>
      <c r="I4071" t="s">
        <v>31</v>
      </c>
      <c r="J4071">
        <v>2024</v>
      </c>
      <c r="K4071">
        <f t="shared" si="126"/>
        <v>71.839999999999989</v>
      </c>
      <c r="L4071" t="str">
        <f t="shared" si="127"/>
        <v>Banca Lucana|5|Factoring</v>
      </c>
    </row>
    <row r="4072" spans="1:12" x14ac:dyDescent="0.25">
      <c r="A4072" t="s">
        <v>38</v>
      </c>
      <c r="B4072">
        <v>5</v>
      </c>
      <c r="C4072" t="s">
        <v>20</v>
      </c>
      <c r="D4072" s="1">
        <v>45443</v>
      </c>
      <c r="E4072">
        <v>3695.6</v>
      </c>
      <c r="F4072">
        <v>210.73</v>
      </c>
      <c r="G4072">
        <v>126.44</v>
      </c>
      <c r="H4072">
        <v>360</v>
      </c>
      <c r="I4072" t="s">
        <v>31</v>
      </c>
      <c r="J4072">
        <v>2024</v>
      </c>
      <c r="K4072">
        <f t="shared" si="126"/>
        <v>84.289999999999992</v>
      </c>
      <c r="L4072" t="str">
        <f t="shared" si="127"/>
        <v>Banca Lucana|5|Risparmio</v>
      </c>
    </row>
    <row r="4073" spans="1:12" x14ac:dyDescent="0.25">
      <c r="A4073" t="s">
        <v>38</v>
      </c>
      <c r="B4073">
        <v>5</v>
      </c>
      <c r="C4073" t="s">
        <v>21</v>
      </c>
      <c r="D4073" s="1">
        <v>45443</v>
      </c>
      <c r="E4073">
        <v>4080.9</v>
      </c>
      <c r="F4073">
        <v>241.56</v>
      </c>
      <c r="G4073">
        <v>143.22</v>
      </c>
      <c r="H4073">
        <v>433</v>
      </c>
      <c r="I4073" t="s">
        <v>31</v>
      </c>
      <c r="J4073">
        <v>2024</v>
      </c>
      <c r="K4073">
        <f t="shared" si="126"/>
        <v>98.34</v>
      </c>
      <c r="L4073" t="str">
        <f t="shared" si="127"/>
        <v>Banca Lucana|5|Assicurazioni</v>
      </c>
    </row>
    <row r="4074" spans="1:12" x14ac:dyDescent="0.25">
      <c r="A4074" t="s">
        <v>38</v>
      </c>
      <c r="B4074">
        <v>6</v>
      </c>
      <c r="C4074" t="s">
        <v>13</v>
      </c>
      <c r="D4074" s="1">
        <v>45473</v>
      </c>
      <c r="E4074">
        <v>1117.8</v>
      </c>
      <c r="F4074">
        <v>51.2</v>
      </c>
      <c r="G4074">
        <v>31.98</v>
      </c>
      <c r="H4074">
        <v>146</v>
      </c>
      <c r="I4074" t="s">
        <v>31</v>
      </c>
      <c r="J4074">
        <v>2024</v>
      </c>
      <c r="K4074">
        <f t="shared" si="126"/>
        <v>19.220000000000002</v>
      </c>
      <c r="L4074" t="str">
        <f t="shared" si="127"/>
        <v>Banca Lucana|6|Mutui</v>
      </c>
    </row>
    <row r="4075" spans="1:12" x14ac:dyDescent="0.25">
      <c r="A4075" t="s">
        <v>38</v>
      </c>
      <c r="B4075">
        <v>6</v>
      </c>
      <c r="C4075" t="s">
        <v>15</v>
      </c>
      <c r="D4075" s="1">
        <v>45473</v>
      </c>
      <c r="E4075">
        <v>1579.7</v>
      </c>
      <c r="F4075">
        <v>75.22</v>
      </c>
      <c r="G4075">
        <v>46.12</v>
      </c>
      <c r="H4075">
        <v>186</v>
      </c>
      <c r="I4075" t="s">
        <v>31</v>
      </c>
      <c r="J4075">
        <v>2024</v>
      </c>
      <c r="K4075">
        <f t="shared" si="126"/>
        <v>29.1</v>
      </c>
      <c r="L4075" t="str">
        <f t="shared" si="127"/>
        <v>Banca Lucana|6|Prestiti</v>
      </c>
    </row>
    <row r="4076" spans="1:12" x14ac:dyDescent="0.25">
      <c r="A4076" t="s">
        <v>38</v>
      </c>
      <c r="B4076">
        <v>6</v>
      </c>
      <c r="C4076" t="s">
        <v>16</v>
      </c>
      <c r="D4076" s="1">
        <v>45473</v>
      </c>
      <c r="E4076">
        <v>2022</v>
      </c>
      <c r="F4076">
        <v>99.15</v>
      </c>
      <c r="G4076">
        <v>61.3</v>
      </c>
      <c r="H4076">
        <v>197</v>
      </c>
      <c r="I4076" t="s">
        <v>31</v>
      </c>
      <c r="J4076">
        <v>2024</v>
      </c>
      <c r="K4076">
        <f t="shared" si="126"/>
        <v>37.850000000000009</v>
      </c>
      <c r="L4076" t="str">
        <f t="shared" si="127"/>
        <v>Banca Lucana|6|Conti</v>
      </c>
    </row>
    <row r="4077" spans="1:12" x14ac:dyDescent="0.25">
      <c r="A4077" t="s">
        <v>38</v>
      </c>
      <c r="B4077">
        <v>6</v>
      </c>
      <c r="C4077" t="s">
        <v>17</v>
      </c>
      <c r="D4077" s="1">
        <v>45473</v>
      </c>
      <c r="E4077">
        <v>2432.3000000000002</v>
      </c>
      <c r="F4077">
        <v>124.24</v>
      </c>
      <c r="G4077">
        <v>76.260000000000005</v>
      </c>
      <c r="H4077">
        <v>234</v>
      </c>
      <c r="I4077" t="s">
        <v>31</v>
      </c>
      <c r="J4077">
        <v>2024</v>
      </c>
      <c r="K4077">
        <f t="shared" si="126"/>
        <v>47.97999999999999</v>
      </c>
      <c r="L4077" t="str">
        <f t="shared" si="127"/>
        <v>Banca Lucana|6|Carte</v>
      </c>
    </row>
    <row r="4078" spans="1:12" x14ac:dyDescent="0.25">
      <c r="A4078" t="s">
        <v>38</v>
      </c>
      <c r="B4078">
        <v>6</v>
      </c>
      <c r="C4078" t="s">
        <v>18</v>
      </c>
      <c r="D4078" s="1">
        <v>45473</v>
      </c>
      <c r="E4078">
        <v>2862</v>
      </c>
      <c r="F4078">
        <v>152.63999999999999</v>
      </c>
      <c r="G4078">
        <v>92.48</v>
      </c>
      <c r="H4078">
        <v>280</v>
      </c>
      <c r="I4078" t="s">
        <v>31</v>
      </c>
      <c r="J4078">
        <v>2024</v>
      </c>
      <c r="K4078">
        <f t="shared" si="126"/>
        <v>60.159999999999982</v>
      </c>
      <c r="L4078" t="str">
        <f t="shared" si="127"/>
        <v>Banca Lucana|6|Leasing</v>
      </c>
    </row>
    <row r="4079" spans="1:12" x14ac:dyDescent="0.25">
      <c r="A4079" t="s">
        <v>38</v>
      </c>
      <c r="B4079">
        <v>6</v>
      </c>
      <c r="C4079" t="s">
        <v>19</v>
      </c>
      <c r="D4079" s="1">
        <v>45473</v>
      </c>
      <c r="E4079">
        <v>3293.5</v>
      </c>
      <c r="F4079">
        <v>181.51</v>
      </c>
      <c r="G4079">
        <v>109.21</v>
      </c>
      <c r="H4079">
        <v>345</v>
      </c>
      <c r="I4079" t="s">
        <v>31</v>
      </c>
      <c r="J4079">
        <v>2024</v>
      </c>
      <c r="K4079">
        <f t="shared" si="126"/>
        <v>72.3</v>
      </c>
      <c r="L4079" t="str">
        <f t="shared" si="127"/>
        <v>Banca Lucana|6|Factoring</v>
      </c>
    </row>
    <row r="4080" spans="1:12" x14ac:dyDescent="0.25">
      <c r="A4080" t="s">
        <v>38</v>
      </c>
      <c r="B4080">
        <v>6</v>
      </c>
      <c r="C4080" t="s">
        <v>20</v>
      </c>
      <c r="D4080" s="1">
        <v>45473</v>
      </c>
      <c r="E4080">
        <v>3727.7</v>
      </c>
      <c r="F4080">
        <v>213.25</v>
      </c>
      <c r="G4080">
        <v>127.25</v>
      </c>
      <c r="H4080">
        <v>385</v>
      </c>
      <c r="I4080" t="s">
        <v>31</v>
      </c>
      <c r="J4080">
        <v>2024</v>
      </c>
      <c r="K4080">
        <f t="shared" si="126"/>
        <v>86</v>
      </c>
      <c r="L4080" t="str">
        <f t="shared" si="127"/>
        <v>Banca Lucana|6|Risparmio</v>
      </c>
    </row>
    <row r="4081" spans="1:12" x14ac:dyDescent="0.25">
      <c r="A4081" t="s">
        <v>38</v>
      </c>
      <c r="B4081">
        <v>6</v>
      </c>
      <c r="C4081" t="s">
        <v>21</v>
      </c>
      <c r="D4081" s="1">
        <v>45473</v>
      </c>
      <c r="E4081">
        <v>4116.2</v>
      </c>
      <c r="F4081">
        <v>243.52</v>
      </c>
      <c r="G4081">
        <v>144.84</v>
      </c>
      <c r="H4081">
        <v>424</v>
      </c>
      <c r="I4081" t="s">
        <v>31</v>
      </c>
      <c r="J4081">
        <v>2024</v>
      </c>
      <c r="K4081">
        <f t="shared" si="126"/>
        <v>98.68</v>
      </c>
      <c r="L4081" t="str">
        <f t="shared" si="127"/>
        <v>Banca Lucana|6|Assicurazioni</v>
      </c>
    </row>
    <row r="4082" spans="1:12" x14ac:dyDescent="0.25">
      <c r="A4082" t="s">
        <v>38</v>
      </c>
      <c r="B4082">
        <v>7</v>
      </c>
      <c r="C4082" t="s">
        <v>13</v>
      </c>
      <c r="D4082" s="1">
        <v>45504</v>
      </c>
      <c r="E4082">
        <v>1173.8</v>
      </c>
      <c r="F4082">
        <v>53.26</v>
      </c>
      <c r="G4082">
        <v>32.92</v>
      </c>
      <c r="H4082">
        <v>131</v>
      </c>
      <c r="I4082" t="s">
        <v>31</v>
      </c>
      <c r="J4082">
        <v>2024</v>
      </c>
      <c r="K4082">
        <f t="shared" si="126"/>
        <v>20.339999999999996</v>
      </c>
      <c r="L4082" t="str">
        <f t="shared" si="127"/>
        <v>Banca Lucana|7|Mutui</v>
      </c>
    </row>
    <row r="4083" spans="1:12" x14ac:dyDescent="0.25">
      <c r="A4083" t="s">
        <v>38</v>
      </c>
      <c r="B4083">
        <v>7</v>
      </c>
      <c r="C4083" t="s">
        <v>15</v>
      </c>
      <c r="D4083" s="1">
        <v>45504</v>
      </c>
      <c r="E4083">
        <v>1592.4</v>
      </c>
      <c r="F4083">
        <v>75.290000000000006</v>
      </c>
      <c r="G4083">
        <v>46.77</v>
      </c>
      <c r="H4083">
        <v>168</v>
      </c>
      <c r="I4083" t="s">
        <v>31</v>
      </c>
      <c r="J4083">
        <v>2024</v>
      </c>
      <c r="K4083">
        <f t="shared" si="126"/>
        <v>28.520000000000003</v>
      </c>
      <c r="L4083" t="str">
        <f t="shared" si="127"/>
        <v>Banca Lucana|7|Prestiti</v>
      </c>
    </row>
    <row r="4084" spans="1:12" x14ac:dyDescent="0.25">
      <c r="A4084" t="s">
        <v>38</v>
      </c>
      <c r="B4084">
        <v>7</v>
      </c>
      <c r="C4084" t="s">
        <v>16</v>
      </c>
      <c r="D4084" s="1">
        <v>45504</v>
      </c>
      <c r="E4084">
        <v>1986.1</v>
      </c>
      <c r="F4084">
        <v>98.25</v>
      </c>
      <c r="G4084">
        <v>59.89</v>
      </c>
      <c r="H4084">
        <v>200</v>
      </c>
      <c r="I4084" t="s">
        <v>31</v>
      </c>
      <c r="J4084">
        <v>2024</v>
      </c>
      <c r="K4084">
        <f t="shared" si="126"/>
        <v>38.36</v>
      </c>
      <c r="L4084" t="str">
        <f t="shared" si="127"/>
        <v>Banca Lucana|7|Conti</v>
      </c>
    </row>
    <row r="4085" spans="1:12" x14ac:dyDescent="0.25">
      <c r="A4085" t="s">
        <v>38</v>
      </c>
      <c r="B4085">
        <v>7</v>
      </c>
      <c r="C4085" t="s">
        <v>17</v>
      </c>
      <c r="D4085" s="1">
        <v>45504</v>
      </c>
      <c r="E4085">
        <v>2447.1999999999998</v>
      </c>
      <c r="F4085">
        <v>125.8</v>
      </c>
      <c r="G4085">
        <v>76.34</v>
      </c>
      <c r="H4085">
        <v>236</v>
      </c>
      <c r="I4085" t="s">
        <v>31</v>
      </c>
      <c r="J4085">
        <v>2024</v>
      </c>
      <c r="K4085">
        <f t="shared" si="126"/>
        <v>49.459999999999994</v>
      </c>
      <c r="L4085" t="str">
        <f t="shared" si="127"/>
        <v>Banca Lucana|7|Carte</v>
      </c>
    </row>
    <row r="4086" spans="1:12" x14ac:dyDescent="0.25">
      <c r="A4086" t="s">
        <v>38</v>
      </c>
      <c r="B4086">
        <v>7</v>
      </c>
      <c r="C4086" t="s">
        <v>18</v>
      </c>
      <c r="D4086" s="1">
        <v>45504</v>
      </c>
      <c r="E4086">
        <v>2895.8</v>
      </c>
      <c r="F4086">
        <v>153.93</v>
      </c>
      <c r="G4086">
        <v>93.15</v>
      </c>
      <c r="H4086">
        <v>272</v>
      </c>
      <c r="I4086" t="s">
        <v>31</v>
      </c>
      <c r="J4086">
        <v>2024</v>
      </c>
      <c r="K4086">
        <f t="shared" si="126"/>
        <v>60.78</v>
      </c>
      <c r="L4086" t="str">
        <f t="shared" si="127"/>
        <v>Banca Lucana|7|Leasing</v>
      </c>
    </row>
    <row r="4087" spans="1:12" x14ac:dyDescent="0.25">
      <c r="A4087" t="s">
        <v>38</v>
      </c>
      <c r="B4087">
        <v>7</v>
      </c>
      <c r="C4087" t="s">
        <v>19</v>
      </c>
      <c r="D4087" s="1">
        <v>45504</v>
      </c>
      <c r="E4087">
        <v>3290.1</v>
      </c>
      <c r="F4087">
        <v>181.51</v>
      </c>
      <c r="G4087">
        <v>109.4</v>
      </c>
      <c r="H4087">
        <v>350</v>
      </c>
      <c r="I4087" t="s">
        <v>31</v>
      </c>
      <c r="J4087">
        <v>2024</v>
      </c>
      <c r="K4087">
        <f t="shared" si="126"/>
        <v>72.109999999999985</v>
      </c>
      <c r="L4087" t="str">
        <f t="shared" si="127"/>
        <v>Banca Lucana|7|Factoring</v>
      </c>
    </row>
    <row r="4088" spans="1:12" x14ac:dyDescent="0.25">
      <c r="A4088" t="s">
        <v>38</v>
      </c>
      <c r="B4088">
        <v>7</v>
      </c>
      <c r="C4088" t="s">
        <v>20</v>
      </c>
      <c r="D4088" s="1">
        <v>45504</v>
      </c>
      <c r="E4088">
        <v>3746.7</v>
      </c>
      <c r="F4088">
        <v>213.98</v>
      </c>
      <c r="G4088">
        <v>127.5</v>
      </c>
      <c r="H4088">
        <v>359</v>
      </c>
      <c r="I4088" t="s">
        <v>31</v>
      </c>
      <c r="J4088">
        <v>2024</v>
      </c>
      <c r="K4088">
        <f t="shared" si="126"/>
        <v>86.47999999999999</v>
      </c>
      <c r="L4088" t="str">
        <f t="shared" si="127"/>
        <v>Banca Lucana|7|Risparmio</v>
      </c>
    </row>
    <row r="4089" spans="1:12" x14ac:dyDescent="0.25">
      <c r="A4089" t="s">
        <v>38</v>
      </c>
      <c r="B4089">
        <v>7</v>
      </c>
      <c r="C4089" t="s">
        <v>21</v>
      </c>
      <c r="D4089" s="1">
        <v>45504</v>
      </c>
      <c r="E4089">
        <v>4132.8999999999996</v>
      </c>
      <c r="F4089">
        <v>244.74</v>
      </c>
      <c r="G4089">
        <v>144.99</v>
      </c>
      <c r="H4089">
        <v>413</v>
      </c>
      <c r="I4089" t="s">
        <v>31</v>
      </c>
      <c r="J4089">
        <v>2024</v>
      </c>
      <c r="K4089">
        <f t="shared" si="126"/>
        <v>99.75</v>
      </c>
      <c r="L4089" t="str">
        <f t="shared" si="127"/>
        <v>Banca Lucana|7|Assicurazioni</v>
      </c>
    </row>
    <row r="4090" spans="1:12" x14ac:dyDescent="0.25">
      <c r="A4090" t="s">
        <v>38</v>
      </c>
      <c r="B4090">
        <v>8</v>
      </c>
      <c r="C4090" t="s">
        <v>13</v>
      </c>
      <c r="D4090" s="1">
        <v>45535</v>
      </c>
      <c r="E4090">
        <v>1127.0999999999999</v>
      </c>
      <c r="F4090">
        <v>51.49</v>
      </c>
      <c r="G4090">
        <v>31.6</v>
      </c>
      <c r="H4090">
        <v>137</v>
      </c>
      <c r="I4090" t="s">
        <v>31</v>
      </c>
      <c r="J4090">
        <v>2024</v>
      </c>
      <c r="K4090">
        <f t="shared" si="126"/>
        <v>19.89</v>
      </c>
      <c r="L4090" t="str">
        <f t="shared" si="127"/>
        <v>Banca Lucana|8|Mutui</v>
      </c>
    </row>
    <row r="4091" spans="1:12" x14ac:dyDescent="0.25">
      <c r="A4091" t="s">
        <v>38</v>
      </c>
      <c r="B4091">
        <v>8</v>
      </c>
      <c r="C4091" t="s">
        <v>15</v>
      </c>
      <c r="D4091" s="1">
        <v>45535</v>
      </c>
      <c r="E4091">
        <v>1619.3</v>
      </c>
      <c r="F4091">
        <v>76.569999999999993</v>
      </c>
      <c r="G4091">
        <v>47.21</v>
      </c>
      <c r="H4091">
        <v>156</v>
      </c>
      <c r="I4091" t="s">
        <v>31</v>
      </c>
      <c r="J4091">
        <v>2024</v>
      </c>
      <c r="K4091">
        <f t="shared" si="126"/>
        <v>29.359999999999992</v>
      </c>
      <c r="L4091" t="str">
        <f t="shared" si="127"/>
        <v>Banca Lucana|8|Prestiti</v>
      </c>
    </row>
    <row r="4092" spans="1:12" x14ac:dyDescent="0.25">
      <c r="A4092" t="s">
        <v>38</v>
      </c>
      <c r="B4092">
        <v>8</v>
      </c>
      <c r="C4092" t="s">
        <v>16</v>
      </c>
      <c r="D4092" s="1">
        <v>45535</v>
      </c>
      <c r="E4092">
        <v>2040.3</v>
      </c>
      <c r="F4092">
        <v>100.16</v>
      </c>
      <c r="G4092">
        <v>61.84</v>
      </c>
      <c r="H4092">
        <v>223</v>
      </c>
      <c r="I4092" t="s">
        <v>31</v>
      </c>
      <c r="J4092">
        <v>2024</v>
      </c>
      <c r="K4092">
        <f t="shared" si="126"/>
        <v>38.319999999999993</v>
      </c>
      <c r="L4092" t="str">
        <f t="shared" si="127"/>
        <v>Banca Lucana|8|Conti</v>
      </c>
    </row>
    <row r="4093" spans="1:12" x14ac:dyDescent="0.25">
      <c r="A4093" t="s">
        <v>38</v>
      </c>
      <c r="B4093">
        <v>8</v>
      </c>
      <c r="C4093" t="s">
        <v>17</v>
      </c>
      <c r="D4093" s="1">
        <v>45535</v>
      </c>
      <c r="E4093">
        <v>2445.4</v>
      </c>
      <c r="F4093">
        <v>125.67</v>
      </c>
      <c r="G4093">
        <v>75.84</v>
      </c>
      <c r="H4093">
        <v>240</v>
      </c>
      <c r="I4093" t="s">
        <v>31</v>
      </c>
      <c r="J4093">
        <v>2024</v>
      </c>
      <c r="K4093">
        <f t="shared" si="126"/>
        <v>49.83</v>
      </c>
      <c r="L4093" t="str">
        <f t="shared" si="127"/>
        <v>Banca Lucana|8|Carte</v>
      </c>
    </row>
    <row r="4094" spans="1:12" x14ac:dyDescent="0.25">
      <c r="A4094" t="s">
        <v>38</v>
      </c>
      <c r="B4094">
        <v>8</v>
      </c>
      <c r="C4094" t="s">
        <v>18</v>
      </c>
      <c r="D4094" s="1">
        <v>45535</v>
      </c>
      <c r="E4094">
        <v>2884.2</v>
      </c>
      <c r="F4094">
        <v>153.47999999999999</v>
      </c>
      <c r="G4094">
        <v>92.95</v>
      </c>
      <c r="H4094">
        <v>300</v>
      </c>
      <c r="I4094" t="s">
        <v>31</v>
      </c>
      <c r="J4094">
        <v>2024</v>
      </c>
      <c r="K4094">
        <f t="shared" si="126"/>
        <v>60.529999999999987</v>
      </c>
      <c r="L4094" t="str">
        <f t="shared" si="127"/>
        <v>Banca Lucana|8|Leasing</v>
      </c>
    </row>
    <row r="4095" spans="1:12" x14ac:dyDescent="0.25">
      <c r="A4095" t="s">
        <v>38</v>
      </c>
      <c r="B4095">
        <v>8</v>
      </c>
      <c r="C4095" t="s">
        <v>19</v>
      </c>
      <c r="D4095" s="1">
        <v>45535</v>
      </c>
      <c r="E4095">
        <v>3336.3</v>
      </c>
      <c r="F4095">
        <v>184.31</v>
      </c>
      <c r="G4095">
        <v>110.24</v>
      </c>
      <c r="H4095">
        <v>322</v>
      </c>
      <c r="I4095" t="s">
        <v>31</v>
      </c>
      <c r="J4095">
        <v>2024</v>
      </c>
      <c r="K4095">
        <f t="shared" si="126"/>
        <v>74.070000000000007</v>
      </c>
      <c r="L4095" t="str">
        <f t="shared" si="127"/>
        <v>Banca Lucana|8|Factoring</v>
      </c>
    </row>
    <row r="4096" spans="1:12" x14ac:dyDescent="0.25">
      <c r="A4096" t="s">
        <v>38</v>
      </c>
      <c r="B4096">
        <v>8</v>
      </c>
      <c r="C4096" t="s">
        <v>20</v>
      </c>
      <c r="D4096" s="1">
        <v>45535</v>
      </c>
      <c r="E4096">
        <v>3762.1</v>
      </c>
      <c r="F4096">
        <v>215.09</v>
      </c>
      <c r="G4096">
        <v>128.91</v>
      </c>
      <c r="H4096">
        <v>358</v>
      </c>
      <c r="I4096" t="s">
        <v>31</v>
      </c>
      <c r="J4096">
        <v>2024</v>
      </c>
      <c r="K4096">
        <f t="shared" si="126"/>
        <v>86.18</v>
      </c>
      <c r="L4096" t="str">
        <f t="shared" si="127"/>
        <v>Banca Lucana|8|Risparmio</v>
      </c>
    </row>
    <row r="4097" spans="1:12" x14ac:dyDescent="0.25">
      <c r="A4097" t="s">
        <v>38</v>
      </c>
      <c r="B4097">
        <v>8</v>
      </c>
      <c r="C4097" t="s">
        <v>21</v>
      </c>
      <c r="D4097" s="1">
        <v>45535</v>
      </c>
      <c r="E4097">
        <v>4199.2</v>
      </c>
      <c r="F4097">
        <v>248.16</v>
      </c>
      <c r="G4097">
        <v>147.75</v>
      </c>
      <c r="H4097">
        <v>395</v>
      </c>
      <c r="I4097" t="s">
        <v>31</v>
      </c>
      <c r="J4097">
        <v>2024</v>
      </c>
      <c r="K4097">
        <f t="shared" si="126"/>
        <v>100.41</v>
      </c>
      <c r="L4097" t="str">
        <f t="shared" si="127"/>
        <v>Banca Lucana|8|Assicurazioni</v>
      </c>
    </row>
    <row r="4098" spans="1:12" x14ac:dyDescent="0.25">
      <c r="A4098" t="s">
        <v>38</v>
      </c>
      <c r="B4098">
        <v>9</v>
      </c>
      <c r="C4098" t="s">
        <v>13</v>
      </c>
      <c r="D4098" s="1">
        <v>45565</v>
      </c>
      <c r="E4098">
        <v>1172.4000000000001</v>
      </c>
      <c r="F4098">
        <v>53.06</v>
      </c>
      <c r="G4098">
        <v>33.46</v>
      </c>
      <c r="H4098">
        <v>115</v>
      </c>
      <c r="I4098" t="s">
        <v>31</v>
      </c>
      <c r="J4098">
        <v>2024</v>
      </c>
      <c r="K4098">
        <f t="shared" ref="K4098:K4161" si="128">F4098-G4098</f>
        <v>19.600000000000001</v>
      </c>
      <c r="L4098" t="str">
        <f t="shared" ref="L4098:L4161" si="129">A4098&amp;"|"&amp;B4098&amp;"|"&amp;C4098</f>
        <v>Banca Lucana|9|Mutui</v>
      </c>
    </row>
    <row r="4099" spans="1:12" x14ac:dyDescent="0.25">
      <c r="A4099" t="s">
        <v>38</v>
      </c>
      <c r="B4099">
        <v>9</v>
      </c>
      <c r="C4099" t="s">
        <v>15</v>
      </c>
      <c r="D4099" s="1">
        <v>45565</v>
      </c>
      <c r="E4099">
        <v>1621.8</v>
      </c>
      <c r="F4099">
        <v>77.02</v>
      </c>
      <c r="G4099">
        <v>47.31</v>
      </c>
      <c r="H4099">
        <v>183</v>
      </c>
      <c r="I4099" t="s">
        <v>31</v>
      </c>
      <c r="J4099">
        <v>2024</v>
      </c>
      <c r="K4099">
        <f t="shared" si="128"/>
        <v>29.709999999999994</v>
      </c>
      <c r="L4099" t="str">
        <f t="shared" si="129"/>
        <v>Banca Lucana|9|Prestiti</v>
      </c>
    </row>
    <row r="4100" spans="1:12" x14ac:dyDescent="0.25">
      <c r="A4100" t="s">
        <v>38</v>
      </c>
      <c r="B4100">
        <v>9</v>
      </c>
      <c r="C4100" t="s">
        <v>16</v>
      </c>
      <c r="D4100" s="1">
        <v>45565</v>
      </c>
      <c r="E4100">
        <v>2055.6999999999998</v>
      </c>
      <c r="F4100">
        <v>101.6</v>
      </c>
      <c r="G4100">
        <v>61.78</v>
      </c>
      <c r="H4100">
        <v>194</v>
      </c>
      <c r="I4100" t="s">
        <v>31</v>
      </c>
      <c r="J4100">
        <v>2024</v>
      </c>
      <c r="K4100">
        <f t="shared" si="128"/>
        <v>39.819999999999993</v>
      </c>
      <c r="L4100" t="str">
        <f t="shared" si="129"/>
        <v>Banca Lucana|9|Conti</v>
      </c>
    </row>
    <row r="4101" spans="1:12" x14ac:dyDescent="0.25">
      <c r="A4101" t="s">
        <v>38</v>
      </c>
      <c r="B4101">
        <v>9</v>
      </c>
      <c r="C4101" t="s">
        <v>17</v>
      </c>
      <c r="D4101" s="1">
        <v>45565</v>
      </c>
      <c r="E4101">
        <v>2494.4</v>
      </c>
      <c r="F4101">
        <v>127.32</v>
      </c>
      <c r="G4101">
        <v>77.650000000000006</v>
      </c>
      <c r="H4101">
        <v>232</v>
      </c>
      <c r="I4101" t="s">
        <v>31</v>
      </c>
      <c r="J4101">
        <v>2024</v>
      </c>
      <c r="K4101">
        <f t="shared" si="128"/>
        <v>49.669999999999987</v>
      </c>
      <c r="L4101" t="str">
        <f t="shared" si="129"/>
        <v>Banca Lucana|9|Carte</v>
      </c>
    </row>
    <row r="4102" spans="1:12" x14ac:dyDescent="0.25">
      <c r="A4102" t="s">
        <v>38</v>
      </c>
      <c r="B4102">
        <v>9</v>
      </c>
      <c r="C4102" t="s">
        <v>18</v>
      </c>
      <c r="D4102" s="1">
        <v>45565</v>
      </c>
      <c r="E4102">
        <v>2911.6</v>
      </c>
      <c r="F4102">
        <v>154.63999999999999</v>
      </c>
      <c r="G4102">
        <v>93.18</v>
      </c>
      <c r="H4102">
        <v>298</v>
      </c>
      <c r="I4102" t="s">
        <v>31</v>
      </c>
      <c r="J4102">
        <v>2024</v>
      </c>
      <c r="K4102">
        <f t="shared" si="128"/>
        <v>61.45999999999998</v>
      </c>
      <c r="L4102" t="str">
        <f t="shared" si="129"/>
        <v>Banca Lucana|9|Leasing</v>
      </c>
    </row>
    <row r="4103" spans="1:12" x14ac:dyDescent="0.25">
      <c r="A4103" t="s">
        <v>38</v>
      </c>
      <c r="B4103">
        <v>9</v>
      </c>
      <c r="C4103" t="s">
        <v>19</v>
      </c>
      <c r="D4103" s="1">
        <v>45565</v>
      </c>
      <c r="E4103">
        <v>3330</v>
      </c>
      <c r="F4103">
        <v>183.34</v>
      </c>
      <c r="G4103">
        <v>110.39</v>
      </c>
      <c r="H4103">
        <v>322</v>
      </c>
      <c r="I4103" t="s">
        <v>31</v>
      </c>
      <c r="J4103">
        <v>2024</v>
      </c>
      <c r="K4103">
        <f t="shared" si="128"/>
        <v>72.95</v>
      </c>
      <c r="L4103" t="str">
        <f t="shared" si="129"/>
        <v>Banca Lucana|9|Factoring</v>
      </c>
    </row>
    <row r="4104" spans="1:12" x14ac:dyDescent="0.25">
      <c r="A4104" t="s">
        <v>38</v>
      </c>
      <c r="B4104">
        <v>9</v>
      </c>
      <c r="C4104" t="s">
        <v>20</v>
      </c>
      <c r="D4104" s="1">
        <v>45565</v>
      </c>
      <c r="E4104">
        <v>3783.7</v>
      </c>
      <c r="F4104">
        <v>215.85</v>
      </c>
      <c r="G4104">
        <v>129.63</v>
      </c>
      <c r="H4104">
        <v>377</v>
      </c>
      <c r="I4104" t="s">
        <v>31</v>
      </c>
      <c r="J4104">
        <v>2024</v>
      </c>
      <c r="K4104">
        <f t="shared" si="128"/>
        <v>86.22</v>
      </c>
      <c r="L4104" t="str">
        <f t="shared" si="129"/>
        <v>Banca Lucana|9|Risparmio</v>
      </c>
    </row>
    <row r="4105" spans="1:12" x14ac:dyDescent="0.25">
      <c r="A4105" t="s">
        <v>38</v>
      </c>
      <c r="B4105">
        <v>9</v>
      </c>
      <c r="C4105" t="s">
        <v>21</v>
      </c>
      <c r="D4105" s="1">
        <v>45565</v>
      </c>
      <c r="E4105">
        <v>4224.8</v>
      </c>
      <c r="F4105">
        <v>250.24</v>
      </c>
      <c r="G4105">
        <v>148.35</v>
      </c>
      <c r="H4105">
        <v>429</v>
      </c>
      <c r="I4105" t="s">
        <v>31</v>
      </c>
      <c r="J4105">
        <v>2024</v>
      </c>
      <c r="K4105">
        <f t="shared" si="128"/>
        <v>101.89000000000001</v>
      </c>
      <c r="L4105" t="str">
        <f t="shared" si="129"/>
        <v>Banca Lucana|9|Assicurazioni</v>
      </c>
    </row>
    <row r="4106" spans="1:12" x14ac:dyDescent="0.25">
      <c r="A4106" t="s">
        <v>38</v>
      </c>
      <c r="B4106">
        <v>10</v>
      </c>
      <c r="C4106" t="s">
        <v>13</v>
      </c>
      <c r="D4106" s="1">
        <v>45596</v>
      </c>
      <c r="E4106">
        <v>1169.9000000000001</v>
      </c>
      <c r="F4106">
        <v>53.19</v>
      </c>
      <c r="G4106">
        <v>33.020000000000003</v>
      </c>
      <c r="H4106">
        <v>127</v>
      </c>
      <c r="I4106" t="s">
        <v>31</v>
      </c>
      <c r="J4106">
        <v>2024</v>
      </c>
      <c r="K4106">
        <f t="shared" si="128"/>
        <v>20.169999999999995</v>
      </c>
      <c r="L4106" t="str">
        <f t="shared" si="129"/>
        <v>Banca Lucana|10|Mutui</v>
      </c>
    </row>
    <row r="4107" spans="1:12" x14ac:dyDescent="0.25">
      <c r="A4107" t="s">
        <v>38</v>
      </c>
      <c r="B4107">
        <v>10</v>
      </c>
      <c r="C4107" t="s">
        <v>15</v>
      </c>
      <c r="D4107" s="1">
        <v>45596</v>
      </c>
      <c r="E4107">
        <v>1609.2</v>
      </c>
      <c r="F4107">
        <v>76.17</v>
      </c>
      <c r="G4107">
        <v>47.55</v>
      </c>
      <c r="H4107">
        <v>162</v>
      </c>
      <c r="I4107" t="s">
        <v>31</v>
      </c>
      <c r="J4107">
        <v>2024</v>
      </c>
      <c r="K4107">
        <f t="shared" si="128"/>
        <v>28.620000000000005</v>
      </c>
      <c r="L4107" t="str">
        <f t="shared" si="129"/>
        <v>Banca Lucana|10|Prestiti</v>
      </c>
    </row>
    <row r="4108" spans="1:12" x14ac:dyDescent="0.25">
      <c r="A4108" t="s">
        <v>38</v>
      </c>
      <c r="B4108">
        <v>10</v>
      </c>
      <c r="C4108" t="s">
        <v>16</v>
      </c>
      <c r="D4108" s="1">
        <v>45596</v>
      </c>
      <c r="E4108">
        <v>2078.6</v>
      </c>
      <c r="F4108">
        <v>101.94</v>
      </c>
      <c r="G4108">
        <v>63.1</v>
      </c>
      <c r="H4108">
        <v>213</v>
      </c>
      <c r="I4108" t="s">
        <v>31</v>
      </c>
      <c r="J4108">
        <v>2024</v>
      </c>
      <c r="K4108">
        <f t="shared" si="128"/>
        <v>38.839999999999996</v>
      </c>
      <c r="L4108" t="str">
        <f t="shared" si="129"/>
        <v>Banca Lucana|10|Conti</v>
      </c>
    </row>
    <row r="4109" spans="1:12" x14ac:dyDescent="0.25">
      <c r="A4109" t="s">
        <v>38</v>
      </c>
      <c r="B4109">
        <v>10</v>
      </c>
      <c r="C4109" t="s">
        <v>17</v>
      </c>
      <c r="D4109" s="1">
        <v>45596</v>
      </c>
      <c r="E4109">
        <v>2507.6999999999998</v>
      </c>
      <c r="F4109">
        <v>128.19</v>
      </c>
      <c r="G4109">
        <v>78.72</v>
      </c>
      <c r="H4109">
        <v>231</v>
      </c>
      <c r="I4109" t="s">
        <v>31</v>
      </c>
      <c r="J4109">
        <v>2024</v>
      </c>
      <c r="K4109">
        <f t="shared" si="128"/>
        <v>49.47</v>
      </c>
      <c r="L4109" t="str">
        <f t="shared" si="129"/>
        <v>Banca Lucana|10|Carte</v>
      </c>
    </row>
    <row r="4110" spans="1:12" x14ac:dyDescent="0.25">
      <c r="A4110" t="s">
        <v>38</v>
      </c>
      <c r="B4110">
        <v>10</v>
      </c>
      <c r="C4110" t="s">
        <v>18</v>
      </c>
      <c r="D4110" s="1">
        <v>45596</v>
      </c>
      <c r="E4110">
        <v>2937.5</v>
      </c>
      <c r="F4110">
        <v>155.97999999999999</v>
      </c>
      <c r="G4110">
        <v>94.04</v>
      </c>
      <c r="H4110">
        <v>290</v>
      </c>
      <c r="I4110" t="s">
        <v>31</v>
      </c>
      <c r="J4110">
        <v>2024</v>
      </c>
      <c r="K4110">
        <f t="shared" si="128"/>
        <v>61.939999999999984</v>
      </c>
      <c r="L4110" t="str">
        <f t="shared" si="129"/>
        <v>Banca Lucana|10|Leasing</v>
      </c>
    </row>
    <row r="4111" spans="1:12" x14ac:dyDescent="0.25">
      <c r="A4111" t="s">
        <v>38</v>
      </c>
      <c r="B4111">
        <v>10</v>
      </c>
      <c r="C4111" t="s">
        <v>19</v>
      </c>
      <c r="D4111" s="1">
        <v>45596</v>
      </c>
      <c r="E4111">
        <v>3401.7</v>
      </c>
      <c r="F4111">
        <v>187.97</v>
      </c>
      <c r="G4111">
        <v>112.75</v>
      </c>
      <c r="H4111">
        <v>337</v>
      </c>
      <c r="I4111" t="s">
        <v>31</v>
      </c>
      <c r="J4111">
        <v>2024</v>
      </c>
      <c r="K4111">
        <f t="shared" si="128"/>
        <v>75.22</v>
      </c>
      <c r="L4111" t="str">
        <f t="shared" si="129"/>
        <v>Banca Lucana|10|Factoring</v>
      </c>
    </row>
    <row r="4112" spans="1:12" x14ac:dyDescent="0.25">
      <c r="A4112" t="s">
        <v>38</v>
      </c>
      <c r="B4112">
        <v>10</v>
      </c>
      <c r="C4112" t="s">
        <v>20</v>
      </c>
      <c r="D4112" s="1">
        <v>45596</v>
      </c>
      <c r="E4112">
        <v>3839.8</v>
      </c>
      <c r="F4112">
        <v>219.49</v>
      </c>
      <c r="G4112">
        <v>130.99</v>
      </c>
      <c r="H4112">
        <v>377</v>
      </c>
      <c r="I4112" t="s">
        <v>31</v>
      </c>
      <c r="J4112">
        <v>2024</v>
      </c>
      <c r="K4112">
        <f t="shared" si="128"/>
        <v>88.5</v>
      </c>
      <c r="L4112" t="str">
        <f t="shared" si="129"/>
        <v>Banca Lucana|10|Risparmio</v>
      </c>
    </row>
    <row r="4113" spans="1:12" x14ac:dyDescent="0.25">
      <c r="A4113" t="s">
        <v>38</v>
      </c>
      <c r="B4113">
        <v>10</v>
      </c>
      <c r="C4113" t="s">
        <v>21</v>
      </c>
      <c r="D4113" s="1">
        <v>45596</v>
      </c>
      <c r="E4113">
        <v>4270.7</v>
      </c>
      <c r="F4113">
        <v>252.03</v>
      </c>
      <c r="G4113">
        <v>150.02000000000001</v>
      </c>
      <c r="H4113">
        <v>403</v>
      </c>
      <c r="I4113" t="s">
        <v>31</v>
      </c>
      <c r="J4113">
        <v>2024</v>
      </c>
      <c r="K4113">
        <f t="shared" si="128"/>
        <v>102.00999999999999</v>
      </c>
      <c r="L4113" t="str">
        <f t="shared" si="129"/>
        <v>Banca Lucana|10|Assicurazioni</v>
      </c>
    </row>
    <row r="4114" spans="1:12" x14ac:dyDescent="0.25">
      <c r="A4114" t="s">
        <v>38</v>
      </c>
      <c r="B4114">
        <v>11</v>
      </c>
      <c r="C4114" t="s">
        <v>13</v>
      </c>
      <c r="D4114" s="1">
        <v>45626</v>
      </c>
      <c r="E4114">
        <v>1179.5999999999999</v>
      </c>
      <c r="F4114">
        <v>53.39</v>
      </c>
      <c r="G4114">
        <v>33.200000000000003</v>
      </c>
      <c r="H4114">
        <v>123</v>
      </c>
      <c r="I4114" t="s">
        <v>31</v>
      </c>
      <c r="J4114">
        <v>2024</v>
      </c>
      <c r="K4114">
        <f t="shared" si="128"/>
        <v>20.189999999999998</v>
      </c>
      <c r="L4114" t="str">
        <f t="shared" si="129"/>
        <v>Banca Lucana|11|Mutui</v>
      </c>
    </row>
    <row r="4115" spans="1:12" x14ac:dyDescent="0.25">
      <c r="A4115" t="s">
        <v>38</v>
      </c>
      <c r="B4115">
        <v>11</v>
      </c>
      <c r="C4115" t="s">
        <v>15</v>
      </c>
      <c r="D4115" s="1">
        <v>45626</v>
      </c>
      <c r="E4115">
        <v>1636.2</v>
      </c>
      <c r="F4115">
        <v>77.33</v>
      </c>
      <c r="G4115">
        <v>47.85</v>
      </c>
      <c r="H4115">
        <v>185</v>
      </c>
      <c r="I4115" t="s">
        <v>31</v>
      </c>
      <c r="J4115">
        <v>2024</v>
      </c>
      <c r="K4115">
        <f t="shared" si="128"/>
        <v>29.479999999999997</v>
      </c>
      <c r="L4115" t="str">
        <f t="shared" si="129"/>
        <v>Banca Lucana|11|Prestiti</v>
      </c>
    </row>
    <row r="4116" spans="1:12" x14ac:dyDescent="0.25">
      <c r="A4116" t="s">
        <v>38</v>
      </c>
      <c r="B4116">
        <v>11</v>
      </c>
      <c r="C4116" t="s">
        <v>16</v>
      </c>
      <c r="D4116" s="1">
        <v>45626</v>
      </c>
      <c r="E4116">
        <v>2096.6</v>
      </c>
      <c r="F4116">
        <v>103.74</v>
      </c>
      <c r="G4116">
        <v>63.38</v>
      </c>
      <c r="H4116">
        <v>203</v>
      </c>
      <c r="I4116" t="s">
        <v>31</v>
      </c>
      <c r="J4116">
        <v>2024</v>
      </c>
      <c r="K4116">
        <f t="shared" si="128"/>
        <v>40.359999999999992</v>
      </c>
      <c r="L4116" t="str">
        <f t="shared" si="129"/>
        <v>Banca Lucana|11|Conti</v>
      </c>
    </row>
    <row r="4117" spans="1:12" x14ac:dyDescent="0.25">
      <c r="A4117" t="s">
        <v>38</v>
      </c>
      <c r="B4117">
        <v>11</v>
      </c>
      <c r="C4117" t="s">
        <v>17</v>
      </c>
      <c r="D4117" s="1">
        <v>45626</v>
      </c>
      <c r="E4117">
        <v>2505</v>
      </c>
      <c r="F4117">
        <v>128.26</v>
      </c>
      <c r="G4117">
        <v>78.47</v>
      </c>
      <c r="H4117">
        <v>252</v>
      </c>
      <c r="I4117" t="s">
        <v>31</v>
      </c>
      <c r="J4117">
        <v>2024</v>
      </c>
      <c r="K4117">
        <f t="shared" si="128"/>
        <v>49.789999999999992</v>
      </c>
      <c r="L4117" t="str">
        <f t="shared" si="129"/>
        <v>Banca Lucana|11|Carte</v>
      </c>
    </row>
    <row r="4118" spans="1:12" x14ac:dyDescent="0.25">
      <c r="A4118" t="s">
        <v>38</v>
      </c>
      <c r="B4118">
        <v>11</v>
      </c>
      <c r="C4118" t="s">
        <v>18</v>
      </c>
      <c r="D4118" s="1">
        <v>45626</v>
      </c>
      <c r="E4118">
        <v>2956</v>
      </c>
      <c r="F4118">
        <v>156.72</v>
      </c>
      <c r="G4118">
        <v>94.86</v>
      </c>
      <c r="H4118">
        <v>289</v>
      </c>
      <c r="I4118" t="s">
        <v>31</v>
      </c>
      <c r="J4118">
        <v>2024</v>
      </c>
      <c r="K4118">
        <f t="shared" si="128"/>
        <v>61.86</v>
      </c>
      <c r="L4118" t="str">
        <f t="shared" si="129"/>
        <v>Banca Lucana|11|Leasing</v>
      </c>
    </row>
    <row r="4119" spans="1:12" x14ac:dyDescent="0.25">
      <c r="A4119" t="s">
        <v>38</v>
      </c>
      <c r="B4119">
        <v>11</v>
      </c>
      <c r="C4119" t="s">
        <v>19</v>
      </c>
      <c r="D4119" s="1">
        <v>45626</v>
      </c>
      <c r="E4119">
        <v>3379.9</v>
      </c>
      <c r="F4119">
        <v>186.55</v>
      </c>
      <c r="G4119">
        <v>111.67</v>
      </c>
      <c r="H4119">
        <v>346</v>
      </c>
      <c r="I4119" t="s">
        <v>31</v>
      </c>
      <c r="J4119">
        <v>2024</v>
      </c>
      <c r="K4119">
        <f t="shared" si="128"/>
        <v>74.88000000000001</v>
      </c>
      <c r="L4119" t="str">
        <f t="shared" si="129"/>
        <v>Banca Lucana|11|Factoring</v>
      </c>
    </row>
    <row r="4120" spans="1:12" x14ac:dyDescent="0.25">
      <c r="A4120" t="s">
        <v>38</v>
      </c>
      <c r="B4120">
        <v>11</v>
      </c>
      <c r="C4120" t="s">
        <v>20</v>
      </c>
      <c r="D4120" s="1">
        <v>45626</v>
      </c>
      <c r="E4120">
        <v>3834.8</v>
      </c>
      <c r="F4120">
        <v>219.33</v>
      </c>
      <c r="G4120">
        <v>131.13</v>
      </c>
      <c r="H4120">
        <v>375</v>
      </c>
      <c r="I4120" t="s">
        <v>31</v>
      </c>
      <c r="J4120">
        <v>2024</v>
      </c>
      <c r="K4120">
        <f t="shared" si="128"/>
        <v>88.200000000000017</v>
      </c>
      <c r="L4120" t="str">
        <f t="shared" si="129"/>
        <v>Banca Lucana|11|Risparmio</v>
      </c>
    </row>
    <row r="4121" spans="1:12" x14ac:dyDescent="0.25">
      <c r="A4121" t="s">
        <v>38</v>
      </c>
      <c r="B4121">
        <v>11</v>
      </c>
      <c r="C4121" t="s">
        <v>21</v>
      </c>
      <c r="D4121" s="1">
        <v>45626</v>
      </c>
      <c r="E4121">
        <v>4306.7</v>
      </c>
      <c r="F4121">
        <v>254.22</v>
      </c>
      <c r="G4121">
        <v>151.41999999999999</v>
      </c>
      <c r="H4121">
        <v>425</v>
      </c>
      <c r="I4121" t="s">
        <v>31</v>
      </c>
      <c r="J4121">
        <v>2024</v>
      </c>
      <c r="K4121">
        <f t="shared" si="128"/>
        <v>102.80000000000001</v>
      </c>
      <c r="L4121" t="str">
        <f t="shared" si="129"/>
        <v>Banca Lucana|11|Assicurazioni</v>
      </c>
    </row>
    <row r="4122" spans="1:12" x14ac:dyDescent="0.25">
      <c r="A4122" t="s">
        <v>38</v>
      </c>
      <c r="B4122">
        <v>12</v>
      </c>
      <c r="C4122" t="s">
        <v>13</v>
      </c>
      <c r="D4122" s="1">
        <v>45657</v>
      </c>
      <c r="E4122">
        <v>1172.0999999999999</v>
      </c>
      <c r="F4122">
        <v>53.22</v>
      </c>
      <c r="G4122">
        <v>33.4</v>
      </c>
      <c r="H4122">
        <v>136</v>
      </c>
      <c r="I4122" t="s">
        <v>31</v>
      </c>
      <c r="J4122">
        <v>2024</v>
      </c>
      <c r="K4122">
        <f t="shared" si="128"/>
        <v>19.82</v>
      </c>
      <c r="L4122" t="str">
        <f t="shared" si="129"/>
        <v>Banca Lucana|12|Mutui</v>
      </c>
    </row>
    <row r="4123" spans="1:12" x14ac:dyDescent="0.25">
      <c r="A4123" t="s">
        <v>38</v>
      </c>
      <c r="B4123">
        <v>12</v>
      </c>
      <c r="C4123" t="s">
        <v>15</v>
      </c>
      <c r="D4123" s="1">
        <v>45657</v>
      </c>
      <c r="E4123">
        <v>1625.1</v>
      </c>
      <c r="F4123">
        <v>76.53</v>
      </c>
      <c r="G4123">
        <v>47.22</v>
      </c>
      <c r="H4123">
        <v>159</v>
      </c>
      <c r="I4123" t="s">
        <v>31</v>
      </c>
      <c r="J4123">
        <v>2024</v>
      </c>
      <c r="K4123">
        <f t="shared" si="128"/>
        <v>29.310000000000002</v>
      </c>
      <c r="L4123" t="str">
        <f t="shared" si="129"/>
        <v>Banca Lucana|12|Prestiti</v>
      </c>
    </row>
    <row r="4124" spans="1:12" x14ac:dyDescent="0.25">
      <c r="A4124" t="s">
        <v>38</v>
      </c>
      <c r="B4124">
        <v>12</v>
      </c>
      <c r="C4124" t="s">
        <v>16</v>
      </c>
      <c r="D4124" s="1">
        <v>45657</v>
      </c>
      <c r="E4124">
        <v>2074.1</v>
      </c>
      <c r="F4124">
        <v>101.88</v>
      </c>
      <c r="G4124">
        <v>62.23</v>
      </c>
      <c r="H4124">
        <v>220</v>
      </c>
      <c r="I4124" t="s">
        <v>31</v>
      </c>
      <c r="J4124">
        <v>2024</v>
      </c>
      <c r="K4124">
        <f t="shared" si="128"/>
        <v>39.65</v>
      </c>
      <c r="L4124" t="str">
        <f t="shared" si="129"/>
        <v>Banca Lucana|12|Conti</v>
      </c>
    </row>
    <row r="4125" spans="1:12" x14ac:dyDescent="0.25">
      <c r="A4125" t="s">
        <v>38</v>
      </c>
      <c r="B4125">
        <v>12</v>
      </c>
      <c r="C4125" t="s">
        <v>17</v>
      </c>
      <c r="D4125" s="1">
        <v>45657</v>
      </c>
      <c r="E4125">
        <v>2537.8000000000002</v>
      </c>
      <c r="F4125">
        <v>129.47</v>
      </c>
      <c r="G4125">
        <v>79.39</v>
      </c>
      <c r="H4125">
        <v>238</v>
      </c>
      <c r="I4125" t="s">
        <v>31</v>
      </c>
      <c r="J4125">
        <v>2024</v>
      </c>
      <c r="K4125">
        <f t="shared" si="128"/>
        <v>50.08</v>
      </c>
      <c r="L4125" t="str">
        <f t="shared" si="129"/>
        <v>Banca Lucana|12|Carte</v>
      </c>
    </row>
    <row r="4126" spans="1:12" x14ac:dyDescent="0.25">
      <c r="A4126" t="s">
        <v>38</v>
      </c>
      <c r="B4126">
        <v>12</v>
      </c>
      <c r="C4126" t="s">
        <v>18</v>
      </c>
      <c r="D4126" s="1">
        <v>45657</v>
      </c>
      <c r="E4126">
        <v>2980</v>
      </c>
      <c r="F4126">
        <v>158.24</v>
      </c>
      <c r="G4126">
        <v>95.92</v>
      </c>
      <c r="H4126">
        <v>294</v>
      </c>
      <c r="I4126" t="s">
        <v>31</v>
      </c>
      <c r="J4126">
        <v>2024</v>
      </c>
      <c r="K4126">
        <f t="shared" si="128"/>
        <v>62.320000000000007</v>
      </c>
      <c r="L4126" t="str">
        <f t="shared" si="129"/>
        <v>Banca Lucana|12|Leasing</v>
      </c>
    </row>
    <row r="4127" spans="1:12" x14ac:dyDescent="0.25">
      <c r="A4127" t="s">
        <v>38</v>
      </c>
      <c r="B4127">
        <v>12</v>
      </c>
      <c r="C4127" t="s">
        <v>19</v>
      </c>
      <c r="D4127" s="1">
        <v>45657</v>
      </c>
      <c r="E4127">
        <v>3422.6</v>
      </c>
      <c r="F4127">
        <v>188.5</v>
      </c>
      <c r="G4127">
        <v>113.85</v>
      </c>
      <c r="H4127">
        <v>334</v>
      </c>
      <c r="I4127" t="s">
        <v>31</v>
      </c>
      <c r="J4127">
        <v>2024</v>
      </c>
      <c r="K4127">
        <f t="shared" si="128"/>
        <v>74.650000000000006</v>
      </c>
      <c r="L4127" t="str">
        <f t="shared" si="129"/>
        <v>Banca Lucana|12|Factoring</v>
      </c>
    </row>
    <row r="4128" spans="1:12" x14ac:dyDescent="0.25">
      <c r="A4128" t="s">
        <v>38</v>
      </c>
      <c r="B4128">
        <v>12</v>
      </c>
      <c r="C4128" t="s">
        <v>20</v>
      </c>
      <c r="D4128" s="1">
        <v>45657</v>
      </c>
      <c r="E4128">
        <v>3877.9</v>
      </c>
      <c r="F4128">
        <v>221.86</v>
      </c>
      <c r="G4128">
        <v>131.86000000000001</v>
      </c>
      <c r="H4128">
        <v>367</v>
      </c>
      <c r="I4128" t="s">
        <v>31</v>
      </c>
      <c r="J4128">
        <v>2024</v>
      </c>
      <c r="K4128">
        <f t="shared" si="128"/>
        <v>90</v>
      </c>
      <c r="L4128" t="str">
        <f t="shared" si="129"/>
        <v>Banca Lucana|12|Risparmio</v>
      </c>
    </row>
    <row r="4129" spans="1:12" x14ac:dyDescent="0.25">
      <c r="A4129" t="s">
        <v>38</v>
      </c>
      <c r="B4129">
        <v>12</v>
      </c>
      <c r="C4129" t="s">
        <v>21</v>
      </c>
      <c r="D4129" s="1">
        <v>45657</v>
      </c>
      <c r="E4129">
        <v>4346.8</v>
      </c>
      <c r="F4129">
        <v>256.92</v>
      </c>
      <c r="G4129">
        <v>152.72</v>
      </c>
      <c r="H4129">
        <v>401</v>
      </c>
      <c r="I4129" t="s">
        <v>31</v>
      </c>
      <c r="J4129">
        <v>2024</v>
      </c>
      <c r="K4129">
        <f t="shared" si="128"/>
        <v>104.20000000000002</v>
      </c>
      <c r="L4129" t="str">
        <f t="shared" si="129"/>
        <v>Banca Lucana|12|Assicurazioni</v>
      </c>
    </row>
    <row r="4130" spans="1:12" x14ac:dyDescent="0.25">
      <c r="A4130" t="s">
        <v>38</v>
      </c>
      <c r="B4130">
        <v>13</v>
      </c>
      <c r="C4130" t="s">
        <v>13</v>
      </c>
      <c r="D4130" s="1">
        <v>45688</v>
      </c>
      <c r="E4130">
        <v>1196.3</v>
      </c>
      <c r="F4130">
        <v>54.4</v>
      </c>
      <c r="G4130">
        <v>34.369999999999997</v>
      </c>
      <c r="H4130">
        <v>130</v>
      </c>
      <c r="I4130" t="s">
        <v>31</v>
      </c>
      <c r="J4130">
        <v>2025</v>
      </c>
      <c r="K4130">
        <f t="shared" si="128"/>
        <v>20.03</v>
      </c>
      <c r="L4130" t="str">
        <f t="shared" si="129"/>
        <v>Banca Lucana|13|Mutui</v>
      </c>
    </row>
    <row r="4131" spans="1:12" x14ac:dyDescent="0.25">
      <c r="A4131" t="s">
        <v>38</v>
      </c>
      <c r="B4131">
        <v>13</v>
      </c>
      <c r="C4131" t="s">
        <v>15</v>
      </c>
      <c r="D4131" s="1">
        <v>45688</v>
      </c>
      <c r="E4131">
        <v>1649.6</v>
      </c>
      <c r="F4131">
        <v>78.27</v>
      </c>
      <c r="G4131">
        <v>48.81</v>
      </c>
      <c r="H4131">
        <v>188</v>
      </c>
      <c r="I4131" t="s">
        <v>31</v>
      </c>
      <c r="J4131">
        <v>2025</v>
      </c>
      <c r="K4131">
        <f t="shared" si="128"/>
        <v>29.459999999999994</v>
      </c>
      <c r="L4131" t="str">
        <f t="shared" si="129"/>
        <v>Banca Lucana|13|Prestiti</v>
      </c>
    </row>
    <row r="4132" spans="1:12" x14ac:dyDescent="0.25">
      <c r="A4132" t="s">
        <v>38</v>
      </c>
      <c r="B4132">
        <v>13</v>
      </c>
      <c r="C4132" t="s">
        <v>16</v>
      </c>
      <c r="D4132" s="1">
        <v>45688</v>
      </c>
      <c r="E4132">
        <v>2077.1999999999998</v>
      </c>
      <c r="F4132">
        <v>102.18</v>
      </c>
      <c r="G4132">
        <v>62.8</v>
      </c>
      <c r="H4132">
        <v>200</v>
      </c>
      <c r="I4132" t="s">
        <v>31</v>
      </c>
      <c r="J4132">
        <v>2025</v>
      </c>
      <c r="K4132">
        <f t="shared" si="128"/>
        <v>39.38000000000001</v>
      </c>
      <c r="L4132" t="str">
        <f t="shared" si="129"/>
        <v>Banca Lucana|13|Conti</v>
      </c>
    </row>
    <row r="4133" spans="1:12" x14ac:dyDescent="0.25">
      <c r="A4133" t="s">
        <v>38</v>
      </c>
      <c r="B4133">
        <v>13</v>
      </c>
      <c r="C4133" t="s">
        <v>17</v>
      </c>
      <c r="D4133" s="1">
        <v>45688</v>
      </c>
      <c r="E4133">
        <v>2523.8000000000002</v>
      </c>
      <c r="F4133">
        <v>129.63</v>
      </c>
      <c r="G4133">
        <v>78.260000000000005</v>
      </c>
      <c r="H4133">
        <v>240</v>
      </c>
      <c r="I4133" t="s">
        <v>31</v>
      </c>
      <c r="J4133">
        <v>2025</v>
      </c>
      <c r="K4133">
        <f t="shared" si="128"/>
        <v>51.36999999999999</v>
      </c>
      <c r="L4133" t="str">
        <f t="shared" si="129"/>
        <v>Banca Lucana|13|Carte</v>
      </c>
    </row>
    <row r="4134" spans="1:12" x14ac:dyDescent="0.25">
      <c r="A4134" t="s">
        <v>38</v>
      </c>
      <c r="B4134">
        <v>13</v>
      </c>
      <c r="C4134" t="s">
        <v>18</v>
      </c>
      <c r="D4134" s="1">
        <v>45688</v>
      </c>
      <c r="E4134">
        <v>2995.1</v>
      </c>
      <c r="F4134">
        <v>158.97999999999999</v>
      </c>
      <c r="G4134">
        <v>96.4</v>
      </c>
      <c r="H4134">
        <v>298</v>
      </c>
      <c r="I4134" t="s">
        <v>31</v>
      </c>
      <c r="J4134">
        <v>2025</v>
      </c>
      <c r="K4134">
        <f t="shared" si="128"/>
        <v>62.579999999999984</v>
      </c>
      <c r="L4134" t="str">
        <f t="shared" si="129"/>
        <v>Banca Lucana|13|Leasing</v>
      </c>
    </row>
    <row r="4135" spans="1:12" x14ac:dyDescent="0.25">
      <c r="A4135" t="s">
        <v>38</v>
      </c>
      <c r="B4135">
        <v>13</v>
      </c>
      <c r="C4135" t="s">
        <v>19</v>
      </c>
      <c r="D4135" s="1">
        <v>45688</v>
      </c>
      <c r="E4135">
        <v>3479.8</v>
      </c>
      <c r="F4135">
        <v>191.62</v>
      </c>
      <c r="G4135">
        <v>115.47</v>
      </c>
      <c r="H4135">
        <v>345</v>
      </c>
      <c r="I4135" t="s">
        <v>31</v>
      </c>
      <c r="J4135">
        <v>2025</v>
      </c>
      <c r="K4135">
        <f t="shared" si="128"/>
        <v>76.150000000000006</v>
      </c>
      <c r="L4135" t="str">
        <f t="shared" si="129"/>
        <v>Banca Lucana|13|Factoring</v>
      </c>
    </row>
    <row r="4136" spans="1:12" x14ac:dyDescent="0.25">
      <c r="A4136" t="s">
        <v>38</v>
      </c>
      <c r="B4136">
        <v>13</v>
      </c>
      <c r="C4136" t="s">
        <v>20</v>
      </c>
      <c r="D4136" s="1">
        <v>45688</v>
      </c>
      <c r="E4136">
        <v>3883.1</v>
      </c>
      <c r="F4136">
        <v>221.8</v>
      </c>
      <c r="G4136">
        <v>132.57</v>
      </c>
      <c r="H4136">
        <v>383</v>
      </c>
      <c r="I4136" t="s">
        <v>31</v>
      </c>
      <c r="J4136">
        <v>2025</v>
      </c>
      <c r="K4136">
        <f t="shared" si="128"/>
        <v>89.230000000000018</v>
      </c>
      <c r="L4136" t="str">
        <f t="shared" si="129"/>
        <v>Banca Lucana|13|Risparmio</v>
      </c>
    </row>
    <row r="4137" spans="1:12" x14ac:dyDescent="0.25">
      <c r="A4137" t="s">
        <v>38</v>
      </c>
      <c r="B4137">
        <v>13</v>
      </c>
      <c r="C4137" t="s">
        <v>21</v>
      </c>
      <c r="D4137" s="1">
        <v>45688</v>
      </c>
      <c r="E4137">
        <v>4353.5</v>
      </c>
      <c r="F4137">
        <v>257.27999999999997</v>
      </c>
      <c r="G4137">
        <v>152.38999999999999</v>
      </c>
      <c r="H4137">
        <v>396</v>
      </c>
      <c r="I4137" t="s">
        <v>31</v>
      </c>
      <c r="J4137">
        <v>2025</v>
      </c>
      <c r="K4137">
        <f t="shared" si="128"/>
        <v>104.88999999999999</v>
      </c>
      <c r="L4137" t="str">
        <f t="shared" si="129"/>
        <v>Banca Lucana|13|Assicurazioni</v>
      </c>
    </row>
    <row r="4138" spans="1:12" x14ac:dyDescent="0.25">
      <c r="A4138" t="s">
        <v>38</v>
      </c>
      <c r="B4138">
        <v>14</v>
      </c>
      <c r="C4138" t="s">
        <v>13</v>
      </c>
      <c r="D4138" s="1">
        <v>45716</v>
      </c>
      <c r="E4138">
        <v>1190.0999999999999</v>
      </c>
      <c r="F4138">
        <v>53.84</v>
      </c>
      <c r="G4138">
        <v>34.25</v>
      </c>
      <c r="H4138">
        <v>126</v>
      </c>
      <c r="I4138" t="s">
        <v>31</v>
      </c>
      <c r="J4138">
        <v>2025</v>
      </c>
      <c r="K4138">
        <f t="shared" si="128"/>
        <v>19.590000000000003</v>
      </c>
      <c r="L4138" t="str">
        <f t="shared" si="129"/>
        <v>Banca Lucana|14|Mutui</v>
      </c>
    </row>
    <row r="4139" spans="1:12" x14ac:dyDescent="0.25">
      <c r="A4139" t="s">
        <v>38</v>
      </c>
      <c r="B4139">
        <v>14</v>
      </c>
      <c r="C4139" t="s">
        <v>15</v>
      </c>
      <c r="D4139" s="1">
        <v>45716</v>
      </c>
      <c r="E4139">
        <v>1685.2</v>
      </c>
      <c r="F4139">
        <v>79.540000000000006</v>
      </c>
      <c r="G4139">
        <v>49.61</v>
      </c>
      <c r="H4139">
        <v>161</v>
      </c>
      <c r="I4139" t="s">
        <v>31</v>
      </c>
      <c r="J4139">
        <v>2025</v>
      </c>
      <c r="K4139">
        <f t="shared" si="128"/>
        <v>29.930000000000007</v>
      </c>
      <c r="L4139" t="str">
        <f t="shared" si="129"/>
        <v>Banca Lucana|14|Prestiti</v>
      </c>
    </row>
    <row r="4140" spans="1:12" x14ac:dyDescent="0.25">
      <c r="A4140" t="s">
        <v>38</v>
      </c>
      <c r="B4140">
        <v>14</v>
      </c>
      <c r="C4140" t="s">
        <v>16</v>
      </c>
      <c r="D4140" s="1">
        <v>45716</v>
      </c>
      <c r="E4140">
        <v>2130.1</v>
      </c>
      <c r="F4140">
        <v>104.81</v>
      </c>
      <c r="G4140">
        <v>64.239999999999995</v>
      </c>
      <c r="H4140">
        <v>221</v>
      </c>
      <c r="I4140" t="s">
        <v>31</v>
      </c>
      <c r="J4140">
        <v>2025</v>
      </c>
      <c r="K4140">
        <f t="shared" si="128"/>
        <v>40.570000000000007</v>
      </c>
      <c r="L4140" t="str">
        <f t="shared" si="129"/>
        <v>Banca Lucana|14|Conti</v>
      </c>
    </row>
    <row r="4141" spans="1:12" x14ac:dyDescent="0.25">
      <c r="A4141" t="s">
        <v>38</v>
      </c>
      <c r="B4141">
        <v>14</v>
      </c>
      <c r="C4141" t="s">
        <v>17</v>
      </c>
      <c r="D4141" s="1">
        <v>45716</v>
      </c>
      <c r="E4141">
        <v>2596.8000000000002</v>
      </c>
      <c r="F4141">
        <v>132.44999999999999</v>
      </c>
      <c r="G4141">
        <v>80.7</v>
      </c>
      <c r="H4141">
        <v>253</v>
      </c>
      <c r="I4141" t="s">
        <v>31</v>
      </c>
      <c r="J4141">
        <v>2025</v>
      </c>
      <c r="K4141">
        <f t="shared" si="128"/>
        <v>51.749999999999986</v>
      </c>
      <c r="L4141" t="str">
        <f t="shared" si="129"/>
        <v>Banca Lucana|14|Carte</v>
      </c>
    </row>
    <row r="4142" spans="1:12" x14ac:dyDescent="0.25">
      <c r="A4142" t="s">
        <v>38</v>
      </c>
      <c r="B4142">
        <v>14</v>
      </c>
      <c r="C4142" t="s">
        <v>18</v>
      </c>
      <c r="D4142" s="1">
        <v>45716</v>
      </c>
      <c r="E4142">
        <v>3019.4</v>
      </c>
      <c r="F4142">
        <v>160.13</v>
      </c>
      <c r="G4142">
        <v>96.78</v>
      </c>
      <c r="H4142">
        <v>302</v>
      </c>
      <c r="I4142" t="s">
        <v>31</v>
      </c>
      <c r="J4142">
        <v>2025</v>
      </c>
      <c r="K4142">
        <f t="shared" si="128"/>
        <v>63.349999999999994</v>
      </c>
      <c r="L4142" t="str">
        <f t="shared" si="129"/>
        <v>Banca Lucana|14|Leasing</v>
      </c>
    </row>
    <row r="4143" spans="1:12" x14ac:dyDescent="0.25">
      <c r="A4143" t="s">
        <v>38</v>
      </c>
      <c r="B4143">
        <v>14</v>
      </c>
      <c r="C4143" t="s">
        <v>19</v>
      </c>
      <c r="D4143" s="1">
        <v>45716</v>
      </c>
      <c r="E4143">
        <v>3498</v>
      </c>
      <c r="F4143">
        <v>193.25</v>
      </c>
      <c r="G4143">
        <v>116.16</v>
      </c>
      <c r="H4143">
        <v>342</v>
      </c>
      <c r="I4143" t="s">
        <v>31</v>
      </c>
      <c r="J4143">
        <v>2025</v>
      </c>
      <c r="K4143">
        <f t="shared" si="128"/>
        <v>77.09</v>
      </c>
      <c r="L4143" t="str">
        <f t="shared" si="129"/>
        <v>Banca Lucana|14|Factoring</v>
      </c>
    </row>
    <row r="4144" spans="1:12" x14ac:dyDescent="0.25">
      <c r="A4144" t="s">
        <v>38</v>
      </c>
      <c r="B4144">
        <v>14</v>
      </c>
      <c r="C4144" t="s">
        <v>20</v>
      </c>
      <c r="D4144" s="1">
        <v>45716</v>
      </c>
      <c r="E4144">
        <v>3930.9</v>
      </c>
      <c r="F4144">
        <v>224.97</v>
      </c>
      <c r="G4144">
        <v>134.61000000000001</v>
      </c>
      <c r="H4144">
        <v>355</v>
      </c>
      <c r="I4144" t="s">
        <v>31</v>
      </c>
      <c r="J4144">
        <v>2025</v>
      </c>
      <c r="K4144">
        <f t="shared" si="128"/>
        <v>90.359999999999985</v>
      </c>
      <c r="L4144" t="str">
        <f t="shared" si="129"/>
        <v>Banca Lucana|14|Risparmio</v>
      </c>
    </row>
    <row r="4145" spans="1:12" x14ac:dyDescent="0.25">
      <c r="A4145" t="s">
        <v>38</v>
      </c>
      <c r="B4145">
        <v>14</v>
      </c>
      <c r="C4145" t="s">
        <v>21</v>
      </c>
      <c r="D4145" s="1">
        <v>45716</v>
      </c>
      <c r="E4145">
        <v>4368.7</v>
      </c>
      <c r="F4145">
        <v>258.07</v>
      </c>
      <c r="G4145">
        <v>153.03</v>
      </c>
      <c r="H4145">
        <v>426</v>
      </c>
      <c r="I4145" t="s">
        <v>31</v>
      </c>
      <c r="J4145">
        <v>2025</v>
      </c>
      <c r="K4145">
        <f t="shared" si="128"/>
        <v>105.03999999999999</v>
      </c>
      <c r="L4145" t="str">
        <f t="shared" si="129"/>
        <v>Banca Lucana|14|Assicurazioni</v>
      </c>
    </row>
    <row r="4146" spans="1:12" x14ac:dyDescent="0.25">
      <c r="A4146" t="s">
        <v>38</v>
      </c>
      <c r="B4146">
        <v>15</v>
      </c>
      <c r="C4146" t="s">
        <v>13</v>
      </c>
      <c r="D4146" s="1">
        <v>45747</v>
      </c>
      <c r="E4146">
        <v>1193.4000000000001</v>
      </c>
      <c r="F4146">
        <v>54.19</v>
      </c>
      <c r="G4146">
        <v>33.75</v>
      </c>
      <c r="H4146">
        <v>112</v>
      </c>
      <c r="I4146" t="s">
        <v>31</v>
      </c>
      <c r="J4146">
        <v>2025</v>
      </c>
      <c r="K4146">
        <f t="shared" si="128"/>
        <v>20.439999999999998</v>
      </c>
      <c r="L4146" t="str">
        <f t="shared" si="129"/>
        <v>Banca Lucana|15|Mutui</v>
      </c>
    </row>
    <row r="4147" spans="1:12" x14ac:dyDescent="0.25">
      <c r="A4147" t="s">
        <v>38</v>
      </c>
      <c r="B4147">
        <v>15</v>
      </c>
      <c r="C4147" t="s">
        <v>15</v>
      </c>
      <c r="D4147" s="1">
        <v>45747</v>
      </c>
      <c r="E4147">
        <v>1690.1</v>
      </c>
      <c r="F4147">
        <v>79.56</v>
      </c>
      <c r="G4147">
        <v>49.77</v>
      </c>
      <c r="H4147">
        <v>181</v>
      </c>
      <c r="I4147" t="s">
        <v>31</v>
      </c>
      <c r="J4147">
        <v>2025</v>
      </c>
      <c r="K4147">
        <f t="shared" si="128"/>
        <v>29.79</v>
      </c>
      <c r="L4147" t="str">
        <f t="shared" si="129"/>
        <v>Banca Lucana|15|Prestiti</v>
      </c>
    </row>
    <row r="4148" spans="1:12" x14ac:dyDescent="0.25">
      <c r="A4148" t="s">
        <v>38</v>
      </c>
      <c r="B4148">
        <v>15</v>
      </c>
      <c r="C4148" t="s">
        <v>16</v>
      </c>
      <c r="D4148" s="1">
        <v>45747</v>
      </c>
      <c r="E4148">
        <v>2148.4</v>
      </c>
      <c r="F4148">
        <v>105.49</v>
      </c>
      <c r="G4148">
        <v>64.92</v>
      </c>
      <c r="H4148">
        <v>214</v>
      </c>
      <c r="I4148" t="s">
        <v>31</v>
      </c>
      <c r="J4148">
        <v>2025</v>
      </c>
      <c r="K4148">
        <f t="shared" si="128"/>
        <v>40.569999999999993</v>
      </c>
      <c r="L4148" t="str">
        <f t="shared" si="129"/>
        <v>Banca Lucana|15|Conti</v>
      </c>
    </row>
    <row r="4149" spans="1:12" x14ac:dyDescent="0.25">
      <c r="A4149" t="s">
        <v>38</v>
      </c>
      <c r="B4149">
        <v>15</v>
      </c>
      <c r="C4149" t="s">
        <v>17</v>
      </c>
      <c r="D4149" s="1">
        <v>45747</v>
      </c>
      <c r="E4149">
        <v>2566.6</v>
      </c>
      <c r="F4149">
        <v>131.02000000000001</v>
      </c>
      <c r="G4149">
        <v>79.72</v>
      </c>
      <c r="H4149">
        <v>252</v>
      </c>
      <c r="I4149" t="s">
        <v>31</v>
      </c>
      <c r="J4149">
        <v>2025</v>
      </c>
      <c r="K4149">
        <f t="shared" si="128"/>
        <v>51.300000000000011</v>
      </c>
      <c r="L4149" t="str">
        <f t="shared" si="129"/>
        <v>Banca Lucana|15|Carte</v>
      </c>
    </row>
    <row r="4150" spans="1:12" x14ac:dyDescent="0.25">
      <c r="A4150" t="s">
        <v>38</v>
      </c>
      <c r="B4150">
        <v>15</v>
      </c>
      <c r="C4150" t="s">
        <v>18</v>
      </c>
      <c r="D4150" s="1">
        <v>45747</v>
      </c>
      <c r="E4150">
        <v>3050.2</v>
      </c>
      <c r="F4150">
        <v>162.27000000000001</v>
      </c>
      <c r="G4150">
        <v>97.61</v>
      </c>
      <c r="H4150">
        <v>303</v>
      </c>
      <c r="I4150" t="s">
        <v>31</v>
      </c>
      <c r="J4150">
        <v>2025</v>
      </c>
      <c r="K4150">
        <f t="shared" si="128"/>
        <v>64.660000000000011</v>
      </c>
      <c r="L4150" t="str">
        <f t="shared" si="129"/>
        <v>Banca Lucana|15|Leasing</v>
      </c>
    </row>
    <row r="4151" spans="1:12" x14ac:dyDescent="0.25">
      <c r="A4151" t="s">
        <v>38</v>
      </c>
      <c r="B4151">
        <v>15</v>
      </c>
      <c r="C4151" t="s">
        <v>19</v>
      </c>
      <c r="D4151" s="1">
        <v>45747</v>
      </c>
      <c r="E4151">
        <v>3527.3</v>
      </c>
      <c r="F4151">
        <v>194.48</v>
      </c>
      <c r="G4151">
        <v>116.68</v>
      </c>
      <c r="H4151">
        <v>333</v>
      </c>
      <c r="I4151" t="s">
        <v>31</v>
      </c>
      <c r="J4151">
        <v>2025</v>
      </c>
      <c r="K4151">
        <f t="shared" si="128"/>
        <v>77.799999999999983</v>
      </c>
      <c r="L4151" t="str">
        <f t="shared" si="129"/>
        <v>Banca Lucana|15|Factoring</v>
      </c>
    </row>
    <row r="4152" spans="1:12" x14ac:dyDescent="0.25">
      <c r="A4152" t="s">
        <v>38</v>
      </c>
      <c r="B4152">
        <v>15</v>
      </c>
      <c r="C4152" t="s">
        <v>20</v>
      </c>
      <c r="D4152" s="1">
        <v>45747</v>
      </c>
      <c r="E4152">
        <v>3973.8</v>
      </c>
      <c r="F4152">
        <v>227.39</v>
      </c>
      <c r="G4152">
        <v>135.51</v>
      </c>
      <c r="H4152">
        <v>371</v>
      </c>
      <c r="I4152" t="s">
        <v>31</v>
      </c>
      <c r="J4152">
        <v>2025</v>
      </c>
      <c r="K4152">
        <f t="shared" si="128"/>
        <v>91.88</v>
      </c>
      <c r="L4152" t="str">
        <f t="shared" si="129"/>
        <v>Banca Lucana|15|Risparmio</v>
      </c>
    </row>
    <row r="4153" spans="1:12" x14ac:dyDescent="0.25">
      <c r="A4153" t="s">
        <v>38</v>
      </c>
      <c r="B4153">
        <v>15</v>
      </c>
      <c r="C4153" t="s">
        <v>21</v>
      </c>
      <c r="D4153" s="1">
        <v>45747</v>
      </c>
      <c r="E4153">
        <v>4428.6000000000004</v>
      </c>
      <c r="F4153">
        <v>262.05</v>
      </c>
      <c r="G4153">
        <v>155.08000000000001</v>
      </c>
      <c r="H4153">
        <v>394</v>
      </c>
      <c r="I4153" t="s">
        <v>31</v>
      </c>
      <c r="J4153">
        <v>2025</v>
      </c>
      <c r="K4153">
        <f t="shared" si="128"/>
        <v>106.97</v>
      </c>
      <c r="L4153" t="str">
        <f t="shared" si="129"/>
        <v>Banca Lucana|15|Assicurazioni</v>
      </c>
    </row>
    <row r="4154" spans="1:12" x14ac:dyDescent="0.25">
      <c r="A4154" t="s">
        <v>38</v>
      </c>
      <c r="B4154">
        <v>16</v>
      </c>
      <c r="C4154" t="s">
        <v>13</v>
      </c>
      <c r="D4154" s="1">
        <v>45777</v>
      </c>
      <c r="E4154">
        <v>1201.5</v>
      </c>
      <c r="F4154">
        <v>54.17</v>
      </c>
      <c r="G4154">
        <v>34.56</v>
      </c>
      <c r="H4154">
        <v>146</v>
      </c>
      <c r="I4154" t="s">
        <v>31</v>
      </c>
      <c r="J4154">
        <v>2025</v>
      </c>
      <c r="K4154">
        <f t="shared" si="128"/>
        <v>19.61</v>
      </c>
      <c r="L4154" t="str">
        <f t="shared" si="129"/>
        <v>Banca Lucana|16|Mutui</v>
      </c>
    </row>
    <row r="4155" spans="1:12" x14ac:dyDescent="0.25">
      <c r="A4155" t="s">
        <v>38</v>
      </c>
      <c r="B4155">
        <v>16</v>
      </c>
      <c r="C4155" t="s">
        <v>15</v>
      </c>
      <c r="D4155" s="1">
        <v>45777</v>
      </c>
      <c r="E4155">
        <v>1715.8</v>
      </c>
      <c r="F4155">
        <v>81.08</v>
      </c>
      <c r="G4155">
        <v>50.11</v>
      </c>
      <c r="H4155">
        <v>184</v>
      </c>
      <c r="I4155" t="s">
        <v>31</v>
      </c>
      <c r="J4155">
        <v>2025</v>
      </c>
      <c r="K4155">
        <f t="shared" si="128"/>
        <v>30.97</v>
      </c>
      <c r="L4155" t="str">
        <f t="shared" si="129"/>
        <v>Banca Lucana|16|Prestiti</v>
      </c>
    </row>
    <row r="4156" spans="1:12" x14ac:dyDescent="0.25">
      <c r="A4156" t="s">
        <v>38</v>
      </c>
      <c r="B4156">
        <v>16</v>
      </c>
      <c r="C4156" t="s">
        <v>16</v>
      </c>
      <c r="D4156" s="1">
        <v>45777</v>
      </c>
      <c r="E4156">
        <v>2130.1999999999998</v>
      </c>
      <c r="F4156">
        <v>104.53</v>
      </c>
      <c r="G4156">
        <v>64.489999999999995</v>
      </c>
      <c r="H4156">
        <v>197</v>
      </c>
      <c r="I4156" t="s">
        <v>31</v>
      </c>
      <c r="J4156">
        <v>2025</v>
      </c>
      <c r="K4156">
        <f t="shared" si="128"/>
        <v>40.040000000000006</v>
      </c>
      <c r="L4156" t="str">
        <f t="shared" si="129"/>
        <v>Banca Lucana|16|Conti</v>
      </c>
    </row>
    <row r="4157" spans="1:12" x14ac:dyDescent="0.25">
      <c r="A4157" t="s">
        <v>38</v>
      </c>
      <c r="B4157">
        <v>16</v>
      </c>
      <c r="C4157" t="s">
        <v>17</v>
      </c>
      <c r="D4157" s="1">
        <v>45777</v>
      </c>
      <c r="E4157">
        <v>2578.1</v>
      </c>
      <c r="F4157">
        <v>131.97999999999999</v>
      </c>
      <c r="G4157">
        <v>80.48</v>
      </c>
      <c r="H4157">
        <v>236</v>
      </c>
      <c r="I4157" t="s">
        <v>31</v>
      </c>
      <c r="J4157">
        <v>2025</v>
      </c>
      <c r="K4157">
        <f t="shared" si="128"/>
        <v>51.499999999999986</v>
      </c>
      <c r="L4157" t="str">
        <f t="shared" si="129"/>
        <v>Banca Lucana|16|Carte</v>
      </c>
    </row>
    <row r="4158" spans="1:12" x14ac:dyDescent="0.25">
      <c r="A4158" t="s">
        <v>38</v>
      </c>
      <c r="B4158">
        <v>16</v>
      </c>
      <c r="C4158" t="s">
        <v>18</v>
      </c>
      <c r="D4158" s="1">
        <v>45777</v>
      </c>
      <c r="E4158">
        <v>3048.2</v>
      </c>
      <c r="F4158">
        <v>162.4</v>
      </c>
      <c r="G4158">
        <v>97.8</v>
      </c>
      <c r="H4158">
        <v>273</v>
      </c>
      <c r="I4158" t="s">
        <v>31</v>
      </c>
      <c r="J4158">
        <v>2025</v>
      </c>
      <c r="K4158">
        <f t="shared" si="128"/>
        <v>64.600000000000009</v>
      </c>
      <c r="L4158" t="str">
        <f t="shared" si="129"/>
        <v>Banca Lucana|16|Leasing</v>
      </c>
    </row>
    <row r="4159" spans="1:12" x14ac:dyDescent="0.25">
      <c r="A4159" t="s">
        <v>38</v>
      </c>
      <c r="B4159">
        <v>16</v>
      </c>
      <c r="C4159" t="s">
        <v>19</v>
      </c>
      <c r="D4159" s="1">
        <v>45777</v>
      </c>
      <c r="E4159">
        <v>3517.4</v>
      </c>
      <c r="F4159">
        <v>194.28</v>
      </c>
      <c r="G4159">
        <v>117.07</v>
      </c>
      <c r="H4159">
        <v>347</v>
      </c>
      <c r="I4159" t="s">
        <v>31</v>
      </c>
      <c r="J4159">
        <v>2025</v>
      </c>
      <c r="K4159">
        <f t="shared" si="128"/>
        <v>77.210000000000008</v>
      </c>
      <c r="L4159" t="str">
        <f t="shared" si="129"/>
        <v>Banca Lucana|16|Factoring</v>
      </c>
    </row>
    <row r="4160" spans="1:12" x14ac:dyDescent="0.25">
      <c r="A4160" t="s">
        <v>38</v>
      </c>
      <c r="B4160">
        <v>16</v>
      </c>
      <c r="C4160" t="s">
        <v>20</v>
      </c>
      <c r="D4160" s="1">
        <v>45777</v>
      </c>
      <c r="E4160">
        <v>3993.9</v>
      </c>
      <c r="F4160">
        <v>227.71</v>
      </c>
      <c r="G4160">
        <v>135.94999999999999</v>
      </c>
      <c r="H4160">
        <v>371</v>
      </c>
      <c r="I4160" t="s">
        <v>31</v>
      </c>
      <c r="J4160">
        <v>2025</v>
      </c>
      <c r="K4160">
        <f t="shared" si="128"/>
        <v>91.760000000000019</v>
      </c>
      <c r="L4160" t="str">
        <f t="shared" si="129"/>
        <v>Banca Lucana|16|Risparmio</v>
      </c>
    </row>
    <row r="4161" spans="1:12" x14ac:dyDescent="0.25">
      <c r="A4161" t="s">
        <v>38</v>
      </c>
      <c r="B4161">
        <v>16</v>
      </c>
      <c r="C4161" t="s">
        <v>21</v>
      </c>
      <c r="D4161" s="1">
        <v>45777</v>
      </c>
      <c r="E4161">
        <v>4444.5</v>
      </c>
      <c r="F4161">
        <v>262.91000000000003</v>
      </c>
      <c r="G4161">
        <v>155.61000000000001</v>
      </c>
      <c r="H4161">
        <v>425</v>
      </c>
      <c r="I4161" t="s">
        <v>31</v>
      </c>
      <c r="J4161">
        <v>2025</v>
      </c>
      <c r="K4161">
        <f t="shared" si="128"/>
        <v>107.30000000000001</v>
      </c>
      <c r="L4161" t="str">
        <f t="shared" si="129"/>
        <v>Banca Lucana|16|Assicurazioni</v>
      </c>
    </row>
    <row r="4162" spans="1:12" x14ac:dyDescent="0.25">
      <c r="A4162" t="s">
        <v>38</v>
      </c>
      <c r="B4162">
        <v>17</v>
      </c>
      <c r="C4162" t="s">
        <v>13</v>
      </c>
      <c r="D4162" s="1">
        <v>45808</v>
      </c>
      <c r="E4162">
        <v>1227.2</v>
      </c>
      <c r="F4162">
        <v>55.35</v>
      </c>
      <c r="G4162">
        <v>34.75</v>
      </c>
      <c r="H4162">
        <v>119</v>
      </c>
      <c r="I4162" t="s">
        <v>31</v>
      </c>
      <c r="J4162">
        <v>2025</v>
      </c>
      <c r="K4162">
        <f t="shared" ref="K4162:K4225" si="130">F4162-G4162</f>
        <v>20.6</v>
      </c>
      <c r="L4162" t="str">
        <f t="shared" ref="L4162:L4225" si="131">A4162&amp;"|"&amp;B4162&amp;"|"&amp;C4162</f>
        <v>Banca Lucana|17|Mutui</v>
      </c>
    </row>
    <row r="4163" spans="1:12" x14ac:dyDescent="0.25">
      <c r="A4163" t="s">
        <v>38</v>
      </c>
      <c r="B4163">
        <v>17</v>
      </c>
      <c r="C4163" t="s">
        <v>15</v>
      </c>
      <c r="D4163" s="1">
        <v>45808</v>
      </c>
      <c r="E4163">
        <v>1711.5</v>
      </c>
      <c r="F4163">
        <v>80.739999999999995</v>
      </c>
      <c r="G4163">
        <v>49.84</v>
      </c>
      <c r="H4163">
        <v>166</v>
      </c>
      <c r="I4163" t="s">
        <v>31</v>
      </c>
      <c r="J4163">
        <v>2025</v>
      </c>
      <c r="K4163">
        <f t="shared" si="130"/>
        <v>30.899999999999991</v>
      </c>
      <c r="L4163" t="str">
        <f t="shared" si="131"/>
        <v>Banca Lucana|17|Prestiti</v>
      </c>
    </row>
    <row r="4164" spans="1:12" x14ac:dyDescent="0.25">
      <c r="A4164" t="s">
        <v>38</v>
      </c>
      <c r="B4164">
        <v>17</v>
      </c>
      <c r="C4164" t="s">
        <v>16</v>
      </c>
      <c r="D4164" s="1">
        <v>45808</v>
      </c>
      <c r="E4164">
        <v>2169.4</v>
      </c>
      <c r="F4164">
        <v>106.5</v>
      </c>
      <c r="G4164">
        <v>66.03</v>
      </c>
      <c r="H4164">
        <v>221</v>
      </c>
      <c r="I4164" t="s">
        <v>31</v>
      </c>
      <c r="J4164">
        <v>2025</v>
      </c>
      <c r="K4164">
        <f t="shared" si="130"/>
        <v>40.47</v>
      </c>
      <c r="L4164" t="str">
        <f t="shared" si="131"/>
        <v>Banca Lucana|17|Conti</v>
      </c>
    </row>
    <row r="4165" spans="1:12" x14ac:dyDescent="0.25">
      <c r="A4165" t="s">
        <v>38</v>
      </c>
      <c r="B4165">
        <v>17</v>
      </c>
      <c r="C4165" t="s">
        <v>17</v>
      </c>
      <c r="D4165" s="1">
        <v>45808</v>
      </c>
      <c r="E4165">
        <v>2640.8</v>
      </c>
      <c r="F4165">
        <v>135.52000000000001</v>
      </c>
      <c r="G4165">
        <v>82.76</v>
      </c>
      <c r="H4165">
        <v>254</v>
      </c>
      <c r="I4165" t="s">
        <v>31</v>
      </c>
      <c r="J4165">
        <v>2025</v>
      </c>
      <c r="K4165">
        <f t="shared" si="130"/>
        <v>52.760000000000005</v>
      </c>
      <c r="L4165" t="str">
        <f t="shared" si="131"/>
        <v>Banca Lucana|17|Carte</v>
      </c>
    </row>
    <row r="4166" spans="1:12" x14ac:dyDescent="0.25">
      <c r="A4166" t="s">
        <v>38</v>
      </c>
      <c r="B4166">
        <v>17</v>
      </c>
      <c r="C4166" t="s">
        <v>18</v>
      </c>
      <c r="D4166" s="1">
        <v>45808</v>
      </c>
      <c r="E4166">
        <v>3078.4</v>
      </c>
      <c r="F4166">
        <v>163.6</v>
      </c>
      <c r="G4166">
        <v>99</v>
      </c>
      <c r="H4166">
        <v>282</v>
      </c>
      <c r="I4166" t="s">
        <v>31</v>
      </c>
      <c r="J4166">
        <v>2025</v>
      </c>
      <c r="K4166">
        <f t="shared" si="130"/>
        <v>64.599999999999994</v>
      </c>
      <c r="L4166" t="str">
        <f t="shared" si="131"/>
        <v>Banca Lucana|17|Leasing</v>
      </c>
    </row>
    <row r="4167" spans="1:12" x14ac:dyDescent="0.25">
      <c r="A4167" t="s">
        <v>38</v>
      </c>
      <c r="B4167">
        <v>17</v>
      </c>
      <c r="C4167" t="s">
        <v>19</v>
      </c>
      <c r="D4167" s="1">
        <v>45808</v>
      </c>
      <c r="E4167">
        <v>3578.8</v>
      </c>
      <c r="F4167">
        <v>197.83</v>
      </c>
      <c r="G4167">
        <v>118.22</v>
      </c>
      <c r="H4167">
        <v>341</v>
      </c>
      <c r="I4167" t="s">
        <v>31</v>
      </c>
      <c r="J4167">
        <v>2025</v>
      </c>
      <c r="K4167">
        <f t="shared" si="130"/>
        <v>79.610000000000014</v>
      </c>
      <c r="L4167" t="str">
        <f t="shared" si="131"/>
        <v>Banca Lucana|17|Factoring</v>
      </c>
    </row>
    <row r="4168" spans="1:12" x14ac:dyDescent="0.25">
      <c r="A4168" t="s">
        <v>38</v>
      </c>
      <c r="B4168">
        <v>17</v>
      </c>
      <c r="C4168" t="s">
        <v>20</v>
      </c>
      <c r="D4168" s="1">
        <v>45808</v>
      </c>
      <c r="E4168">
        <v>3989.4</v>
      </c>
      <c r="F4168">
        <v>227.83</v>
      </c>
      <c r="G4168">
        <v>136.41</v>
      </c>
      <c r="H4168">
        <v>382</v>
      </c>
      <c r="I4168" t="s">
        <v>31</v>
      </c>
      <c r="J4168">
        <v>2025</v>
      </c>
      <c r="K4168">
        <f t="shared" si="130"/>
        <v>91.420000000000016</v>
      </c>
      <c r="L4168" t="str">
        <f t="shared" si="131"/>
        <v>Banca Lucana|17|Risparmio</v>
      </c>
    </row>
    <row r="4169" spans="1:12" x14ac:dyDescent="0.25">
      <c r="A4169" t="s">
        <v>38</v>
      </c>
      <c r="B4169">
        <v>17</v>
      </c>
      <c r="C4169" t="s">
        <v>21</v>
      </c>
      <c r="D4169" s="1">
        <v>45808</v>
      </c>
      <c r="E4169">
        <v>4452.3</v>
      </c>
      <c r="F4169">
        <v>263.14</v>
      </c>
      <c r="G4169">
        <v>156.82</v>
      </c>
      <c r="H4169">
        <v>406</v>
      </c>
      <c r="I4169" t="s">
        <v>31</v>
      </c>
      <c r="J4169">
        <v>2025</v>
      </c>
      <c r="K4169">
        <f t="shared" si="130"/>
        <v>106.32</v>
      </c>
      <c r="L4169" t="str">
        <f t="shared" si="131"/>
        <v>Banca Lucana|17|Assicurazioni</v>
      </c>
    </row>
    <row r="4170" spans="1:12" x14ac:dyDescent="0.25">
      <c r="A4170" t="s">
        <v>38</v>
      </c>
      <c r="B4170">
        <v>18</v>
      </c>
      <c r="C4170" t="s">
        <v>13</v>
      </c>
      <c r="D4170" s="1">
        <v>45838</v>
      </c>
      <c r="E4170">
        <v>1219.0999999999999</v>
      </c>
      <c r="F4170">
        <v>55.48</v>
      </c>
      <c r="G4170">
        <v>34.700000000000003</v>
      </c>
      <c r="H4170">
        <v>117</v>
      </c>
      <c r="I4170" t="s">
        <v>31</v>
      </c>
      <c r="J4170">
        <v>2025</v>
      </c>
      <c r="K4170">
        <f t="shared" si="130"/>
        <v>20.779999999999994</v>
      </c>
      <c r="L4170" t="str">
        <f t="shared" si="131"/>
        <v>Banca Lucana|18|Mutui</v>
      </c>
    </row>
    <row r="4171" spans="1:12" x14ac:dyDescent="0.25">
      <c r="A4171" t="s">
        <v>38</v>
      </c>
      <c r="B4171">
        <v>18</v>
      </c>
      <c r="C4171" t="s">
        <v>15</v>
      </c>
      <c r="D4171" s="1">
        <v>45838</v>
      </c>
      <c r="E4171">
        <v>1716.2</v>
      </c>
      <c r="F4171">
        <v>80.760000000000005</v>
      </c>
      <c r="G4171">
        <v>50.13</v>
      </c>
      <c r="H4171">
        <v>176</v>
      </c>
      <c r="I4171" t="s">
        <v>31</v>
      </c>
      <c r="J4171">
        <v>2025</v>
      </c>
      <c r="K4171">
        <f t="shared" si="130"/>
        <v>30.630000000000003</v>
      </c>
      <c r="L4171" t="str">
        <f t="shared" si="131"/>
        <v>Banca Lucana|18|Prestiti</v>
      </c>
    </row>
    <row r="4172" spans="1:12" x14ac:dyDescent="0.25">
      <c r="A4172" t="s">
        <v>38</v>
      </c>
      <c r="B4172">
        <v>18</v>
      </c>
      <c r="C4172" t="s">
        <v>16</v>
      </c>
      <c r="D4172" s="1">
        <v>45838</v>
      </c>
      <c r="E4172">
        <v>2157.6999999999998</v>
      </c>
      <c r="F4172">
        <v>106.52</v>
      </c>
      <c r="G4172">
        <v>65.2</v>
      </c>
      <c r="H4172">
        <v>207</v>
      </c>
      <c r="I4172" t="s">
        <v>31</v>
      </c>
      <c r="J4172">
        <v>2025</v>
      </c>
      <c r="K4172">
        <f t="shared" si="130"/>
        <v>41.319999999999993</v>
      </c>
      <c r="L4172" t="str">
        <f t="shared" si="131"/>
        <v>Banca Lucana|18|Conti</v>
      </c>
    </row>
    <row r="4173" spans="1:12" x14ac:dyDescent="0.25">
      <c r="A4173" t="s">
        <v>38</v>
      </c>
      <c r="B4173">
        <v>18</v>
      </c>
      <c r="C4173" t="s">
        <v>17</v>
      </c>
      <c r="D4173" s="1">
        <v>45838</v>
      </c>
      <c r="E4173">
        <v>2650.7</v>
      </c>
      <c r="F4173">
        <v>135.82</v>
      </c>
      <c r="G4173">
        <v>82.3</v>
      </c>
      <c r="H4173">
        <v>242</v>
      </c>
      <c r="I4173" t="s">
        <v>31</v>
      </c>
      <c r="J4173">
        <v>2025</v>
      </c>
      <c r="K4173">
        <f t="shared" si="130"/>
        <v>53.519999999999996</v>
      </c>
      <c r="L4173" t="str">
        <f t="shared" si="131"/>
        <v>Banca Lucana|18|Carte</v>
      </c>
    </row>
    <row r="4174" spans="1:12" x14ac:dyDescent="0.25">
      <c r="A4174" t="s">
        <v>38</v>
      </c>
      <c r="B4174">
        <v>18</v>
      </c>
      <c r="C4174" t="s">
        <v>18</v>
      </c>
      <c r="D4174" s="1">
        <v>45838</v>
      </c>
      <c r="E4174">
        <v>3121.7</v>
      </c>
      <c r="F4174">
        <v>165.63</v>
      </c>
      <c r="G4174">
        <v>100.37</v>
      </c>
      <c r="H4174">
        <v>285</v>
      </c>
      <c r="I4174" t="s">
        <v>31</v>
      </c>
      <c r="J4174">
        <v>2025</v>
      </c>
      <c r="K4174">
        <f t="shared" si="130"/>
        <v>65.259999999999991</v>
      </c>
      <c r="L4174" t="str">
        <f t="shared" si="131"/>
        <v>Banca Lucana|18|Leasing</v>
      </c>
    </row>
    <row r="4175" spans="1:12" x14ac:dyDescent="0.25">
      <c r="A4175" t="s">
        <v>38</v>
      </c>
      <c r="B4175">
        <v>18</v>
      </c>
      <c r="C4175" t="s">
        <v>19</v>
      </c>
      <c r="D4175" s="1">
        <v>45838</v>
      </c>
      <c r="E4175">
        <v>3559.4</v>
      </c>
      <c r="F4175">
        <v>196.2</v>
      </c>
      <c r="G4175">
        <v>117.66</v>
      </c>
      <c r="H4175">
        <v>340</v>
      </c>
      <c r="I4175" t="s">
        <v>31</v>
      </c>
      <c r="J4175">
        <v>2025</v>
      </c>
      <c r="K4175">
        <f t="shared" si="130"/>
        <v>78.539999999999992</v>
      </c>
      <c r="L4175" t="str">
        <f t="shared" si="131"/>
        <v>Banca Lucana|18|Factoring</v>
      </c>
    </row>
    <row r="4176" spans="1:12" x14ac:dyDescent="0.25">
      <c r="A4176" t="s">
        <v>38</v>
      </c>
      <c r="B4176">
        <v>18</v>
      </c>
      <c r="C4176" t="s">
        <v>20</v>
      </c>
      <c r="D4176" s="1">
        <v>45838</v>
      </c>
      <c r="E4176">
        <v>4047</v>
      </c>
      <c r="F4176">
        <v>231.54</v>
      </c>
      <c r="G4176">
        <v>138.18</v>
      </c>
      <c r="H4176">
        <v>372</v>
      </c>
      <c r="I4176" t="s">
        <v>31</v>
      </c>
      <c r="J4176">
        <v>2025</v>
      </c>
      <c r="K4176">
        <f t="shared" si="130"/>
        <v>93.359999999999985</v>
      </c>
      <c r="L4176" t="str">
        <f t="shared" si="131"/>
        <v>Banca Lucana|18|Risparmio</v>
      </c>
    </row>
    <row r="4177" spans="1:12" x14ac:dyDescent="0.25">
      <c r="A4177" t="s">
        <v>38</v>
      </c>
      <c r="B4177">
        <v>18</v>
      </c>
      <c r="C4177" t="s">
        <v>21</v>
      </c>
      <c r="D4177" s="1">
        <v>45838</v>
      </c>
      <c r="E4177">
        <v>4478.7</v>
      </c>
      <c r="F4177">
        <v>265.12</v>
      </c>
      <c r="G4177">
        <v>157.03</v>
      </c>
      <c r="H4177">
        <v>420</v>
      </c>
      <c r="I4177" t="s">
        <v>31</v>
      </c>
      <c r="J4177">
        <v>2025</v>
      </c>
      <c r="K4177">
        <f t="shared" si="130"/>
        <v>108.09</v>
      </c>
      <c r="L4177" t="str">
        <f t="shared" si="131"/>
        <v>Banca Lucana|18|Assicurazioni</v>
      </c>
    </row>
    <row r="4178" spans="1:12" x14ac:dyDescent="0.25">
      <c r="A4178" t="s">
        <v>38</v>
      </c>
      <c r="B4178">
        <v>19</v>
      </c>
      <c r="C4178" t="s">
        <v>13</v>
      </c>
      <c r="D4178" s="1">
        <v>45869</v>
      </c>
      <c r="E4178">
        <v>1277.4000000000001</v>
      </c>
      <c r="F4178">
        <v>58.12</v>
      </c>
      <c r="G4178">
        <v>36.19</v>
      </c>
      <c r="H4178">
        <v>130</v>
      </c>
      <c r="I4178" t="s">
        <v>31</v>
      </c>
      <c r="J4178">
        <v>2025</v>
      </c>
      <c r="K4178">
        <f t="shared" si="130"/>
        <v>21.93</v>
      </c>
      <c r="L4178" t="str">
        <f t="shared" si="131"/>
        <v>Banca Lucana|19|Mutui</v>
      </c>
    </row>
    <row r="4179" spans="1:12" x14ac:dyDescent="0.25">
      <c r="A4179" t="s">
        <v>38</v>
      </c>
      <c r="B4179">
        <v>19</v>
      </c>
      <c r="C4179" t="s">
        <v>15</v>
      </c>
      <c r="D4179" s="1">
        <v>45869</v>
      </c>
      <c r="E4179">
        <v>1750.7</v>
      </c>
      <c r="F4179">
        <v>83.25</v>
      </c>
      <c r="G4179">
        <v>51.11</v>
      </c>
      <c r="H4179">
        <v>153</v>
      </c>
      <c r="I4179" t="s">
        <v>31</v>
      </c>
      <c r="J4179">
        <v>2025</v>
      </c>
      <c r="K4179">
        <f t="shared" si="130"/>
        <v>32.14</v>
      </c>
      <c r="L4179" t="str">
        <f t="shared" si="131"/>
        <v>Banca Lucana|19|Prestiti</v>
      </c>
    </row>
    <row r="4180" spans="1:12" x14ac:dyDescent="0.25">
      <c r="A4180" t="s">
        <v>38</v>
      </c>
      <c r="B4180">
        <v>19</v>
      </c>
      <c r="C4180" t="s">
        <v>16</v>
      </c>
      <c r="D4180" s="1">
        <v>45869</v>
      </c>
      <c r="E4180">
        <v>2187.3000000000002</v>
      </c>
      <c r="F4180">
        <v>107.51</v>
      </c>
      <c r="G4180">
        <v>66.31</v>
      </c>
      <c r="H4180">
        <v>214</v>
      </c>
      <c r="I4180" t="s">
        <v>31</v>
      </c>
      <c r="J4180">
        <v>2025</v>
      </c>
      <c r="K4180">
        <f t="shared" si="130"/>
        <v>41.2</v>
      </c>
      <c r="L4180" t="str">
        <f t="shared" si="131"/>
        <v>Banca Lucana|19|Conti</v>
      </c>
    </row>
    <row r="4181" spans="1:12" x14ac:dyDescent="0.25">
      <c r="A4181" t="s">
        <v>38</v>
      </c>
      <c r="B4181">
        <v>19</v>
      </c>
      <c r="C4181" t="s">
        <v>17</v>
      </c>
      <c r="D4181" s="1">
        <v>45869</v>
      </c>
      <c r="E4181">
        <v>2679.6</v>
      </c>
      <c r="F4181">
        <v>136.80000000000001</v>
      </c>
      <c r="G4181">
        <v>83.29</v>
      </c>
      <c r="H4181">
        <v>270</v>
      </c>
      <c r="I4181" t="s">
        <v>31</v>
      </c>
      <c r="J4181">
        <v>2025</v>
      </c>
      <c r="K4181">
        <f t="shared" si="130"/>
        <v>53.510000000000005</v>
      </c>
      <c r="L4181" t="str">
        <f t="shared" si="131"/>
        <v>Banca Lucana|19|Carte</v>
      </c>
    </row>
    <row r="4182" spans="1:12" x14ac:dyDescent="0.25">
      <c r="A4182" t="s">
        <v>38</v>
      </c>
      <c r="B4182">
        <v>19</v>
      </c>
      <c r="C4182" t="s">
        <v>18</v>
      </c>
      <c r="D4182" s="1">
        <v>45869</v>
      </c>
      <c r="E4182">
        <v>3101.8</v>
      </c>
      <c r="F4182">
        <v>165.29</v>
      </c>
      <c r="G4182">
        <v>99.92</v>
      </c>
      <c r="H4182">
        <v>276</v>
      </c>
      <c r="I4182" t="s">
        <v>31</v>
      </c>
      <c r="J4182">
        <v>2025</v>
      </c>
      <c r="K4182">
        <f t="shared" si="130"/>
        <v>65.36999999999999</v>
      </c>
      <c r="L4182" t="str">
        <f t="shared" si="131"/>
        <v>Banca Lucana|19|Leasing</v>
      </c>
    </row>
    <row r="4183" spans="1:12" x14ac:dyDescent="0.25">
      <c r="A4183" t="s">
        <v>38</v>
      </c>
      <c r="B4183">
        <v>19</v>
      </c>
      <c r="C4183" t="s">
        <v>19</v>
      </c>
      <c r="D4183" s="1">
        <v>45869</v>
      </c>
      <c r="E4183">
        <v>3592.1</v>
      </c>
      <c r="F4183">
        <v>197.77</v>
      </c>
      <c r="G4183">
        <v>119.52</v>
      </c>
      <c r="H4183">
        <v>330</v>
      </c>
      <c r="I4183" t="s">
        <v>31</v>
      </c>
      <c r="J4183">
        <v>2025</v>
      </c>
      <c r="K4183">
        <f t="shared" si="130"/>
        <v>78.250000000000014</v>
      </c>
      <c r="L4183" t="str">
        <f t="shared" si="131"/>
        <v>Banca Lucana|19|Factoring</v>
      </c>
    </row>
    <row r="4184" spans="1:12" x14ac:dyDescent="0.25">
      <c r="A4184" t="s">
        <v>38</v>
      </c>
      <c r="B4184">
        <v>19</v>
      </c>
      <c r="C4184" t="s">
        <v>20</v>
      </c>
      <c r="D4184" s="1">
        <v>45869</v>
      </c>
      <c r="E4184">
        <v>4071.3</v>
      </c>
      <c r="F4184">
        <v>232.43</v>
      </c>
      <c r="G4184">
        <v>138.9</v>
      </c>
      <c r="H4184">
        <v>368</v>
      </c>
      <c r="I4184" t="s">
        <v>31</v>
      </c>
      <c r="J4184">
        <v>2025</v>
      </c>
      <c r="K4184">
        <f t="shared" si="130"/>
        <v>93.53</v>
      </c>
      <c r="L4184" t="str">
        <f t="shared" si="131"/>
        <v>Banca Lucana|19|Risparmio</v>
      </c>
    </row>
    <row r="4185" spans="1:12" x14ac:dyDescent="0.25">
      <c r="A4185" t="s">
        <v>38</v>
      </c>
      <c r="B4185">
        <v>19</v>
      </c>
      <c r="C4185" t="s">
        <v>21</v>
      </c>
      <c r="D4185" s="1">
        <v>45869</v>
      </c>
      <c r="E4185">
        <v>4558.8</v>
      </c>
      <c r="F4185">
        <v>269.73</v>
      </c>
      <c r="G4185">
        <v>160.5</v>
      </c>
      <c r="H4185">
        <v>408</v>
      </c>
      <c r="I4185" t="s">
        <v>31</v>
      </c>
      <c r="J4185">
        <v>2025</v>
      </c>
      <c r="K4185">
        <f t="shared" si="130"/>
        <v>109.23000000000002</v>
      </c>
      <c r="L4185" t="str">
        <f t="shared" si="131"/>
        <v>Banca Lucana|19|Assicurazioni</v>
      </c>
    </row>
    <row r="4186" spans="1:12" x14ac:dyDescent="0.25">
      <c r="A4186" t="s">
        <v>38</v>
      </c>
      <c r="B4186">
        <v>20</v>
      </c>
      <c r="C4186" t="s">
        <v>13</v>
      </c>
      <c r="D4186" s="1">
        <v>45900</v>
      </c>
      <c r="E4186">
        <v>1267.8</v>
      </c>
      <c r="F4186">
        <v>57.15</v>
      </c>
      <c r="G4186">
        <v>35.590000000000003</v>
      </c>
      <c r="H4186">
        <v>119</v>
      </c>
      <c r="I4186" t="s">
        <v>31</v>
      </c>
      <c r="J4186">
        <v>2025</v>
      </c>
      <c r="K4186">
        <f t="shared" si="130"/>
        <v>21.559999999999995</v>
      </c>
      <c r="L4186" t="str">
        <f t="shared" si="131"/>
        <v>Banca Lucana|20|Mutui</v>
      </c>
    </row>
    <row r="4187" spans="1:12" x14ac:dyDescent="0.25">
      <c r="A4187" t="s">
        <v>38</v>
      </c>
      <c r="B4187">
        <v>20</v>
      </c>
      <c r="C4187" t="s">
        <v>15</v>
      </c>
      <c r="D4187" s="1">
        <v>45900</v>
      </c>
      <c r="E4187">
        <v>1706.6</v>
      </c>
      <c r="F4187">
        <v>80.38</v>
      </c>
      <c r="G4187">
        <v>50.47</v>
      </c>
      <c r="H4187">
        <v>176</v>
      </c>
      <c r="I4187" t="s">
        <v>31</v>
      </c>
      <c r="J4187">
        <v>2025</v>
      </c>
      <c r="K4187">
        <f t="shared" si="130"/>
        <v>29.909999999999997</v>
      </c>
      <c r="L4187" t="str">
        <f t="shared" si="131"/>
        <v>Banca Lucana|20|Prestiti</v>
      </c>
    </row>
    <row r="4188" spans="1:12" x14ac:dyDescent="0.25">
      <c r="A4188" t="s">
        <v>38</v>
      </c>
      <c r="B4188">
        <v>20</v>
      </c>
      <c r="C4188" t="s">
        <v>16</v>
      </c>
      <c r="D4188" s="1">
        <v>45900</v>
      </c>
      <c r="E4188">
        <v>2228</v>
      </c>
      <c r="F4188">
        <v>109.83</v>
      </c>
      <c r="G4188">
        <v>67.14</v>
      </c>
      <c r="H4188">
        <v>216</v>
      </c>
      <c r="I4188" t="s">
        <v>31</v>
      </c>
      <c r="J4188">
        <v>2025</v>
      </c>
      <c r="K4188">
        <f t="shared" si="130"/>
        <v>42.69</v>
      </c>
      <c r="L4188" t="str">
        <f t="shared" si="131"/>
        <v>Banca Lucana|20|Conti</v>
      </c>
    </row>
    <row r="4189" spans="1:12" x14ac:dyDescent="0.25">
      <c r="A4189" t="s">
        <v>38</v>
      </c>
      <c r="B4189">
        <v>20</v>
      </c>
      <c r="C4189" t="s">
        <v>17</v>
      </c>
      <c r="D4189" s="1">
        <v>45900</v>
      </c>
      <c r="E4189">
        <v>2666</v>
      </c>
      <c r="F4189">
        <v>136.94</v>
      </c>
      <c r="G4189">
        <v>82.95</v>
      </c>
      <c r="H4189">
        <v>238</v>
      </c>
      <c r="I4189" t="s">
        <v>31</v>
      </c>
      <c r="J4189">
        <v>2025</v>
      </c>
      <c r="K4189">
        <f t="shared" si="130"/>
        <v>53.989999999999995</v>
      </c>
      <c r="L4189" t="str">
        <f t="shared" si="131"/>
        <v>Banca Lucana|20|Carte</v>
      </c>
    </row>
    <row r="4190" spans="1:12" x14ac:dyDescent="0.25">
      <c r="A4190" t="s">
        <v>38</v>
      </c>
      <c r="B4190">
        <v>20</v>
      </c>
      <c r="C4190" t="s">
        <v>18</v>
      </c>
      <c r="D4190" s="1">
        <v>45900</v>
      </c>
      <c r="E4190">
        <v>3166.3</v>
      </c>
      <c r="F4190">
        <v>168.8</v>
      </c>
      <c r="G4190">
        <v>102.23</v>
      </c>
      <c r="H4190">
        <v>296</v>
      </c>
      <c r="I4190" t="s">
        <v>31</v>
      </c>
      <c r="J4190">
        <v>2025</v>
      </c>
      <c r="K4190">
        <f t="shared" si="130"/>
        <v>66.570000000000007</v>
      </c>
      <c r="L4190" t="str">
        <f t="shared" si="131"/>
        <v>Banca Lucana|20|Leasing</v>
      </c>
    </row>
    <row r="4191" spans="1:12" x14ac:dyDescent="0.25">
      <c r="A4191" t="s">
        <v>38</v>
      </c>
      <c r="B4191">
        <v>20</v>
      </c>
      <c r="C4191" t="s">
        <v>19</v>
      </c>
      <c r="D4191" s="1">
        <v>45900</v>
      </c>
      <c r="E4191">
        <v>3633</v>
      </c>
      <c r="F4191">
        <v>200.67</v>
      </c>
      <c r="G4191">
        <v>120.18</v>
      </c>
      <c r="H4191">
        <v>345</v>
      </c>
      <c r="I4191" t="s">
        <v>31</v>
      </c>
      <c r="J4191">
        <v>2025</v>
      </c>
      <c r="K4191">
        <f t="shared" si="130"/>
        <v>80.489999999999981</v>
      </c>
      <c r="L4191" t="str">
        <f t="shared" si="131"/>
        <v>Banca Lucana|20|Factoring</v>
      </c>
    </row>
    <row r="4192" spans="1:12" x14ac:dyDescent="0.25">
      <c r="A4192" t="s">
        <v>38</v>
      </c>
      <c r="B4192">
        <v>20</v>
      </c>
      <c r="C4192" t="s">
        <v>20</v>
      </c>
      <c r="D4192" s="1">
        <v>45900</v>
      </c>
      <c r="E4192">
        <v>4079.1</v>
      </c>
      <c r="F4192">
        <v>232.71</v>
      </c>
      <c r="G4192">
        <v>139.54</v>
      </c>
      <c r="H4192">
        <v>367</v>
      </c>
      <c r="I4192" t="s">
        <v>31</v>
      </c>
      <c r="J4192">
        <v>2025</v>
      </c>
      <c r="K4192">
        <f t="shared" si="130"/>
        <v>93.170000000000016</v>
      </c>
      <c r="L4192" t="str">
        <f t="shared" si="131"/>
        <v>Banca Lucana|20|Risparmio</v>
      </c>
    </row>
    <row r="4193" spans="1:12" x14ac:dyDescent="0.25">
      <c r="A4193" t="s">
        <v>38</v>
      </c>
      <c r="B4193">
        <v>20</v>
      </c>
      <c r="C4193" t="s">
        <v>21</v>
      </c>
      <c r="D4193" s="1">
        <v>45900</v>
      </c>
      <c r="E4193">
        <v>4564.2</v>
      </c>
      <c r="F4193">
        <v>270.08999999999997</v>
      </c>
      <c r="G4193">
        <v>160.13999999999999</v>
      </c>
      <c r="H4193">
        <v>397</v>
      </c>
      <c r="I4193" t="s">
        <v>31</v>
      </c>
      <c r="J4193">
        <v>2025</v>
      </c>
      <c r="K4193">
        <f t="shared" si="130"/>
        <v>109.94999999999999</v>
      </c>
      <c r="L4193" t="str">
        <f t="shared" si="131"/>
        <v>Banca Lucana|20|Assicurazioni</v>
      </c>
    </row>
    <row r="4194" spans="1:12" x14ac:dyDescent="0.25">
      <c r="A4194" t="s">
        <v>38</v>
      </c>
      <c r="B4194">
        <v>21</v>
      </c>
      <c r="C4194" t="s">
        <v>13</v>
      </c>
      <c r="D4194" s="1">
        <v>45930</v>
      </c>
      <c r="E4194">
        <v>1290.9000000000001</v>
      </c>
      <c r="F4194">
        <v>58.32</v>
      </c>
      <c r="G4194">
        <v>36.450000000000003</v>
      </c>
      <c r="H4194">
        <v>132</v>
      </c>
      <c r="I4194" t="s">
        <v>31</v>
      </c>
      <c r="J4194">
        <v>2025</v>
      </c>
      <c r="K4194">
        <f t="shared" si="130"/>
        <v>21.869999999999997</v>
      </c>
      <c r="L4194" t="str">
        <f t="shared" si="131"/>
        <v>Banca Lucana|21|Mutui</v>
      </c>
    </row>
    <row r="4195" spans="1:12" x14ac:dyDescent="0.25">
      <c r="A4195" t="s">
        <v>38</v>
      </c>
      <c r="B4195">
        <v>21</v>
      </c>
      <c r="C4195" t="s">
        <v>15</v>
      </c>
      <c r="D4195" s="1">
        <v>45930</v>
      </c>
      <c r="E4195">
        <v>1747.2</v>
      </c>
      <c r="F4195">
        <v>82.19</v>
      </c>
      <c r="G4195">
        <v>51.49</v>
      </c>
      <c r="H4195">
        <v>154</v>
      </c>
      <c r="I4195" t="s">
        <v>31</v>
      </c>
      <c r="J4195">
        <v>2025</v>
      </c>
      <c r="K4195">
        <f t="shared" si="130"/>
        <v>30.699999999999996</v>
      </c>
      <c r="L4195" t="str">
        <f t="shared" si="131"/>
        <v>Banca Lucana|21|Prestiti</v>
      </c>
    </row>
    <row r="4196" spans="1:12" x14ac:dyDescent="0.25">
      <c r="A4196" t="s">
        <v>38</v>
      </c>
      <c r="B4196">
        <v>21</v>
      </c>
      <c r="C4196" t="s">
        <v>16</v>
      </c>
      <c r="D4196" s="1">
        <v>45930</v>
      </c>
      <c r="E4196">
        <v>2239.9</v>
      </c>
      <c r="F4196">
        <v>110.21</v>
      </c>
      <c r="G4196">
        <v>67.959999999999994</v>
      </c>
      <c r="H4196">
        <v>215</v>
      </c>
      <c r="I4196" t="s">
        <v>31</v>
      </c>
      <c r="J4196">
        <v>2025</v>
      </c>
      <c r="K4196">
        <f t="shared" si="130"/>
        <v>42.25</v>
      </c>
      <c r="L4196" t="str">
        <f t="shared" si="131"/>
        <v>Banca Lucana|21|Conti</v>
      </c>
    </row>
    <row r="4197" spans="1:12" x14ac:dyDescent="0.25">
      <c r="A4197" t="s">
        <v>38</v>
      </c>
      <c r="B4197">
        <v>21</v>
      </c>
      <c r="C4197" t="s">
        <v>17</v>
      </c>
      <c r="D4197" s="1">
        <v>45930</v>
      </c>
      <c r="E4197">
        <v>2681.1</v>
      </c>
      <c r="F4197">
        <v>136.91999999999999</v>
      </c>
      <c r="G4197">
        <v>83.6</v>
      </c>
      <c r="H4197">
        <v>256</v>
      </c>
      <c r="I4197" t="s">
        <v>31</v>
      </c>
      <c r="J4197">
        <v>2025</v>
      </c>
      <c r="K4197">
        <f t="shared" si="130"/>
        <v>53.319999999999993</v>
      </c>
      <c r="L4197" t="str">
        <f t="shared" si="131"/>
        <v>Banca Lucana|21|Carte</v>
      </c>
    </row>
    <row r="4198" spans="1:12" x14ac:dyDescent="0.25">
      <c r="A4198" t="s">
        <v>38</v>
      </c>
      <c r="B4198">
        <v>21</v>
      </c>
      <c r="C4198" t="s">
        <v>18</v>
      </c>
      <c r="D4198" s="1">
        <v>45930</v>
      </c>
      <c r="E4198">
        <v>3196.3</v>
      </c>
      <c r="F4198">
        <v>170.28</v>
      </c>
      <c r="G4198">
        <v>102.46</v>
      </c>
      <c r="H4198">
        <v>291</v>
      </c>
      <c r="I4198" t="s">
        <v>31</v>
      </c>
      <c r="J4198">
        <v>2025</v>
      </c>
      <c r="K4198">
        <f t="shared" si="130"/>
        <v>67.820000000000007</v>
      </c>
      <c r="L4198" t="str">
        <f t="shared" si="131"/>
        <v>Banca Lucana|21|Leasing</v>
      </c>
    </row>
    <row r="4199" spans="1:12" x14ac:dyDescent="0.25">
      <c r="A4199" t="s">
        <v>38</v>
      </c>
      <c r="B4199">
        <v>21</v>
      </c>
      <c r="C4199" t="s">
        <v>19</v>
      </c>
      <c r="D4199" s="1">
        <v>45930</v>
      </c>
      <c r="E4199">
        <v>3647.6</v>
      </c>
      <c r="F4199">
        <v>201.42</v>
      </c>
      <c r="G4199">
        <v>121.3</v>
      </c>
      <c r="H4199">
        <v>323</v>
      </c>
      <c r="I4199" t="s">
        <v>31</v>
      </c>
      <c r="J4199">
        <v>2025</v>
      </c>
      <c r="K4199">
        <f t="shared" si="130"/>
        <v>80.11999999999999</v>
      </c>
      <c r="L4199" t="str">
        <f t="shared" si="131"/>
        <v>Banca Lucana|21|Factoring</v>
      </c>
    </row>
    <row r="4200" spans="1:12" x14ac:dyDescent="0.25">
      <c r="A4200" t="s">
        <v>38</v>
      </c>
      <c r="B4200">
        <v>21</v>
      </c>
      <c r="C4200" t="s">
        <v>20</v>
      </c>
      <c r="D4200" s="1">
        <v>45930</v>
      </c>
      <c r="E4200">
        <v>4140.2</v>
      </c>
      <c r="F4200">
        <v>236.57</v>
      </c>
      <c r="G4200">
        <v>140.99</v>
      </c>
      <c r="H4200">
        <v>365</v>
      </c>
      <c r="I4200" t="s">
        <v>31</v>
      </c>
      <c r="J4200">
        <v>2025</v>
      </c>
      <c r="K4200">
        <f t="shared" si="130"/>
        <v>95.579999999999984</v>
      </c>
      <c r="L4200" t="str">
        <f t="shared" si="131"/>
        <v>Banca Lucana|21|Risparmio</v>
      </c>
    </row>
    <row r="4201" spans="1:12" x14ac:dyDescent="0.25">
      <c r="A4201" t="s">
        <v>38</v>
      </c>
      <c r="B4201">
        <v>21</v>
      </c>
      <c r="C4201" t="s">
        <v>21</v>
      </c>
      <c r="D4201" s="1">
        <v>45930</v>
      </c>
      <c r="E4201">
        <v>4611.3999999999996</v>
      </c>
      <c r="F4201">
        <v>272.76</v>
      </c>
      <c r="G4201">
        <v>161.72</v>
      </c>
      <c r="H4201">
        <v>397</v>
      </c>
      <c r="I4201" t="s">
        <v>31</v>
      </c>
      <c r="J4201">
        <v>2025</v>
      </c>
      <c r="K4201">
        <f t="shared" si="130"/>
        <v>111.03999999999999</v>
      </c>
      <c r="L4201" t="str">
        <f t="shared" si="131"/>
        <v>Banca Lucana|21|Assicurazioni</v>
      </c>
    </row>
    <row r="4202" spans="1:12" x14ac:dyDescent="0.25">
      <c r="A4202" t="s">
        <v>38</v>
      </c>
      <c r="B4202">
        <v>22</v>
      </c>
      <c r="C4202" t="s">
        <v>13</v>
      </c>
      <c r="D4202" s="1">
        <v>45961</v>
      </c>
      <c r="E4202">
        <v>1277.7</v>
      </c>
      <c r="F4202">
        <v>57.53</v>
      </c>
      <c r="G4202">
        <v>35.94</v>
      </c>
      <c r="H4202">
        <v>109</v>
      </c>
      <c r="I4202" t="s">
        <v>31</v>
      </c>
      <c r="J4202">
        <v>2025</v>
      </c>
      <c r="K4202">
        <f t="shared" si="130"/>
        <v>21.590000000000003</v>
      </c>
      <c r="L4202" t="str">
        <f t="shared" si="131"/>
        <v>Banca Lucana|22|Mutui</v>
      </c>
    </row>
    <row r="4203" spans="1:12" x14ac:dyDescent="0.25">
      <c r="A4203" t="s">
        <v>38</v>
      </c>
      <c r="B4203">
        <v>22</v>
      </c>
      <c r="C4203" t="s">
        <v>15</v>
      </c>
      <c r="D4203" s="1">
        <v>45961</v>
      </c>
      <c r="E4203">
        <v>1758.9</v>
      </c>
      <c r="F4203">
        <v>83.11</v>
      </c>
      <c r="G4203">
        <v>51.22</v>
      </c>
      <c r="H4203">
        <v>155</v>
      </c>
      <c r="I4203" t="s">
        <v>31</v>
      </c>
      <c r="J4203">
        <v>2025</v>
      </c>
      <c r="K4203">
        <f t="shared" si="130"/>
        <v>31.89</v>
      </c>
      <c r="L4203" t="str">
        <f t="shared" si="131"/>
        <v>Banca Lucana|22|Prestiti</v>
      </c>
    </row>
    <row r="4204" spans="1:12" x14ac:dyDescent="0.25">
      <c r="A4204" t="s">
        <v>38</v>
      </c>
      <c r="B4204">
        <v>22</v>
      </c>
      <c r="C4204" t="s">
        <v>16</v>
      </c>
      <c r="D4204" s="1">
        <v>45961</v>
      </c>
      <c r="E4204">
        <v>2251.8000000000002</v>
      </c>
      <c r="F4204">
        <v>110.66</v>
      </c>
      <c r="G4204">
        <v>68.31</v>
      </c>
      <c r="H4204">
        <v>199</v>
      </c>
      <c r="I4204" t="s">
        <v>31</v>
      </c>
      <c r="J4204">
        <v>2025</v>
      </c>
      <c r="K4204">
        <f t="shared" si="130"/>
        <v>42.349999999999994</v>
      </c>
      <c r="L4204" t="str">
        <f t="shared" si="131"/>
        <v>Banca Lucana|22|Conti</v>
      </c>
    </row>
    <row r="4205" spans="1:12" x14ac:dyDescent="0.25">
      <c r="A4205" t="s">
        <v>38</v>
      </c>
      <c r="B4205">
        <v>22</v>
      </c>
      <c r="C4205" t="s">
        <v>17</v>
      </c>
      <c r="D4205" s="1">
        <v>45961</v>
      </c>
      <c r="E4205">
        <v>2700.1</v>
      </c>
      <c r="F4205">
        <v>137.76</v>
      </c>
      <c r="G4205">
        <v>84.51</v>
      </c>
      <c r="H4205">
        <v>236</v>
      </c>
      <c r="I4205" t="s">
        <v>31</v>
      </c>
      <c r="J4205">
        <v>2025</v>
      </c>
      <c r="K4205">
        <f t="shared" si="130"/>
        <v>53.249999999999986</v>
      </c>
      <c r="L4205" t="str">
        <f t="shared" si="131"/>
        <v>Banca Lucana|22|Carte</v>
      </c>
    </row>
    <row r="4206" spans="1:12" x14ac:dyDescent="0.25">
      <c r="A4206" t="s">
        <v>38</v>
      </c>
      <c r="B4206">
        <v>22</v>
      </c>
      <c r="C4206" t="s">
        <v>18</v>
      </c>
      <c r="D4206" s="1">
        <v>45961</v>
      </c>
      <c r="E4206">
        <v>3209.7</v>
      </c>
      <c r="F4206">
        <v>170.26</v>
      </c>
      <c r="G4206">
        <v>103.26</v>
      </c>
      <c r="H4206">
        <v>288</v>
      </c>
      <c r="I4206" t="s">
        <v>31</v>
      </c>
      <c r="J4206">
        <v>2025</v>
      </c>
      <c r="K4206">
        <f t="shared" si="130"/>
        <v>66.999999999999986</v>
      </c>
      <c r="L4206" t="str">
        <f t="shared" si="131"/>
        <v>Banca Lucana|22|Leasing</v>
      </c>
    </row>
    <row r="4207" spans="1:12" x14ac:dyDescent="0.25">
      <c r="A4207" t="s">
        <v>38</v>
      </c>
      <c r="B4207">
        <v>22</v>
      </c>
      <c r="C4207" t="s">
        <v>19</v>
      </c>
      <c r="D4207" s="1">
        <v>45961</v>
      </c>
      <c r="E4207">
        <v>3679.9</v>
      </c>
      <c r="F4207">
        <v>202.63</v>
      </c>
      <c r="G4207">
        <v>121.88</v>
      </c>
      <c r="H4207">
        <v>352</v>
      </c>
      <c r="I4207" t="s">
        <v>31</v>
      </c>
      <c r="J4207">
        <v>2025</v>
      </c>
      <c r="K4207">
        <f t="shared" si="130"/>
        <v>80.75</v>
      </c>
      <c r="L4207" t="str">
        <f t="shared" si="131"/>
        <v>Banca Lucana|22|Factoring</v>
      </c>
    </row>
    <row r="4208" spans="1:12" x14ac:dyDescent="0.25">
      <c r="A4208" t="s">
        <v>38</v>
      </c>
      <c r="B4208">
        <v>22</v>
      </c>
      <c r="C4208" t="s">
        <v>20</v>
      </c>
      <c r="D4208" s="1">
        <v>45961</v>
      </c>
      <c r="E4208">
        <v>4127.2</v>
      </c>
      <c r="F4208">
        <v>236.12</v>
      </c>
      <c r="G4208">
        <v>140.72</v>
      </c>
      <c r="H4208">
        <v>358</v>
      </c>
      <c r="I4208" t="s">
        <v>31</v>
      </c>
      <c r="J4208">
        <v>2025</v>
      </c>
      <c r="K4208">
        <f t="shared" si="130"/>
        <v>95.4</v>
      </c>
      <c r="L4208" t="str">
        <f t="shared" si="131"/>
        <v>Banca Lucana|22|Risparmio</v>
      </c>
    </row>
    <row r="4209" spans="1:12" x14ac:dyDescent="0.25">
      <c r="A4209" t="s">
        <v>38</v>
      </c>
      <c r="B4209">
        <v>22</v>
      </c>
      <c r="C4209" t="s">
        <v>21</v>
      </c>
      <c r="D4209" s="1">
        <v>45961</v>
      </c>
      <c r="E4209">
        <v>4649.3</v>
      </c>
      <c r="F4209">
        <v>275.02</v>
      </c>
      <c r="G4209">
        <v>162.88999999999999</v>
      </c>
      <c r="H4209">
        <v>433</v>
      </c>
      <c r="I4209" t="s">
        <v>31</v>
      </c>
      <c r="J4209">
        <v>2025</v>
      </c>
      <c r="K4209">
        <f t="shared" si="130"/>
        <v>112.13</v>
      </c>
      <c r="L4209" t="str">
        <f t="shared" si="131"/>
        <v>Banca Lucana|22|Assicurazioni</v>
      </c>
    </row>
    <row r="4210" spans="1:12" x14ac:dyDescent="0.25">
      <c r="A4210" t="s">
        <v>38</v>
      </c>
      <c r="B4210">
        <v>23</v>
      </c>
      <c r="C4210" t="s">
        <v>13</v>
      </c>
      <c r="D4210" s="1">
        <v>45991</v>
      </c>
      <c r="E4210">
        <v>1287.5999999999999</v>
      </c>
      <c r="F4210">
        <v>58.53</v>
      </c>
      <c r="G4210">
        <v>36.81</v>
      </c>
      <c r="H4210">
        <v>130</v>
      </c>
      <c r="I4210" t="s">
        <v>31</v>
      </c>
      <c r="J4210">
        <v>2025</v>
      </c>
      <c r="K4210">
        <f t="shared" si="130"/>
        <v>21.72</v>
      </c>
      <c r="L4210" t="str">
        <f t="shared" si="131"/>
        <v>Banca Lucana|23|Mutui</v>
      </c>
    </row>
    <row r="4211" spans="1:12" x14ac:dyDescent="0.25">
      <c r="A4211" t="s">
        <v>38</v>
      </c>
      <c r="B4211">
        <v>23</v>
      </c>
      <c r="C4211" t="s">
        <v>15</v>
      </c>
      <c r="D4211" s="1">
        <v>45991</v>
      </c>
      <c r="E4211">
        <v>1762.8</v>
      </c>
      <c r="F4211">
        <v>83.69</v>
      </c>
      <c r="G4211">
        <v>52.12</v>
      </c>
      <c r="H4211">
        <v>152</v>
      </c>
      <c r="I4211" t="s">
        <v>31</v>
      </c>
      <c r="J4211">
        <v>2025</v>
      </c>
      <c r="K4211">
        <f t="shared" si="130"/>
        <v>31.57</v>
      </c>
      <c r="L4211" t="str">
        <f t="shared" si="131"/>
        <v>Banca Lucana|23|Prestiti</v>
      </c>
    </row>
    <row r="4212" spans="1:12" x14ac:dyDescent="0.25">
      <c r="A4212" t="s">
        <v>38</v>
      </c>
      <c r="B4212">
        <v>23</v>
      </c>
      <c r="C4212" t="s">
        <v>16</v>
      </c>
      <c r="D4212" s="1">
        <v>45991</v>
      </c>
      <c r="E4212">
        <v>2248.8000000000002</v>
      </c>
      <c r="F4212">
        <v>111.07</v>
      </c>
      <c r="G4212">
        <v>67.64</v>
      </c>
      <c r="H4212">
        <v>204</v>
      </c>
      <c r="I4212" t="s">
        <v>31</v>
      </c>
      <c r="J4212">
        <v>2025</v>
      </c>
      <c r="K4212">
        <f t="shared" si="130"/>
        <v>43.429999999999993</v>
      </c>
      <c r="L4212" t="str">
        <f t="shared" si="131"/>
        <v>Banca Lucana|23|Conti</v>
      </c>
    </row>
    <row r="4213" spans="1:12" x14ac:dyDescent="0.25">
      <c r="A4213" t="s">
        <v>38</v>
      </c>
      <c r="B4213">
        <v>23</v>
      </c>
      <c r="C4213" t="s">
        <v>17</v>
      </c>
      <c r="D4213" s="1">
        <v>45991</v>
      </c>
      <c r="E4213">
        <v>2715.4</v>
      </c>
      <c r="F4213">
        <v>138.97999999999999</v>
      </c>
      <c r="G4213">
        <v>84.94</v>
      </c>
      <c r="H4213">
        <v>248</v>
      </c>
      <c r="I4213" t="s">
        <v>31</v>
      </c>
      <c r="J4213">
        <v>2025</v>
      </c>
      <c r="K4213">
        <f t="shared" si="130"/>
        <v>54.039999999999992</v>
      </c>
      <c r="L4213" t="str">
        <f t="shared" si="131"/>
        <v>Banca Lucana|23|Carte</v>
      </c>
    </row>
    <row r="4214" spans="1:12" x14ac:dyDescent="0.25">
      <c r="A4214" t="s">
        <v>38</v>
      </c>
      <c r="B4214">
        <v>23</v>
      </c>
      <c r="C4214" t="s">
        <v>18</v>
      </c>
      <c r="D4214" s="1">
        <v>45991</v>
      </c>
      <c r="E4214">
        <v>3213.8</v>
      </c>
      <c r="F4214">
        <v>171.33</v>
      </c>
      <c r="G4214">
        <v>103.06</v>
      </c>
      <c r="H4214">
        <v>277</v>
      </c>
      <c r="I4214" t="s">
        <v>31</v>
      </c>
      <c r="J4214">
        <v>2025</v>
      </c>
      <c r="K4214">
        <f t="shared" si="130"/>
        <v>68.27000000000001</v>
      </c>
      <c r="L4214" t="str">
        <f t="shared" si="131"/>
        <v>Banca Lucana|23|Leasing</v>
      </c>
    </row>
    <row r="4215" spans="1:12" x14ac:dyDescent="0.25">
      <c r="A4215" t="s">
        <v>38</v>
      </c>
      <c r="B4215">
        <v>23</v>
      </c>
      <c r="C4215" t="s">
        <v>19</v>
      </c>
      <c r="D4215" s="1">
        <v>45991</v>
      </c>
      <c r="E4215">
        <v>3718.3</v>
      </c>
      <c r="F4215">
        <v>205.44</v>
      </c>
      <c r="G4215">
        <v>123.31</v>
      </c>
      <c r="H4215">
        <v>332</v>
      </c>
      <c r="I4215" t="s">
        <v>31</v>
      </c>
      <c r="J4215">
        <v>2025</v>
      </c>
      <c r="K4215">
        <f t="shared" si="130"/>
        <v>82.13</v>
      </c>
      <c r="L4215" t="str">
        <f t="shared" si="131"/>
        <v>Banca Lucana|23|Factoring</v>
      </c>
    </row>
    <row r="4216" spans="1:12" x14ac:dyDescent="0.25">
      <c r="A4216" t="s">
        <v>38</v>
      </c>
      <c r="B4216">
        <v>23</v>
      </c>
      <c r="C4216" t="s">
        <v>20</v>
      </c>
      <c r="D4216" s="1">
        <v>45991</v>
      </c>
      <c r="E4216">
        <v>4191</v>
      </c>
      <c r="F4216">
        <v>239.78</v>
      </c>
      <c r="G4216">
        <v>143.31</v>
      </c>
      <c r="H4216">
        <v>378</v>
      </c>
      <c r="I4216" t="s">
        <v>31</v>
      </c>
      <c r="J4216">
        <v>2025</v>
      </c>
      <c r="K4216">
        <f t="shared" si="130"/>
        <v>96.47</v>
      </c>
      <c r="L4216" t="str">
        <f t="shared" si="131"/>
        <v>Banca Lucana|23|Risparmio</v>
      </c>
    </row>
    <row r="4217" spans="1:12" x14ac:dyDescent="0.25">
      <c r="A4217" t="s">
        <v>38</v>
      </c>
      <c r="B4217">
        <v>23</v>
      </c>
      <c r="C4217" t="s">
        <v>21</v>
      </c>
      <c r="D4217" s="1">
        <v>45991</v>
      </c>
      <c r="E4217">
        <v>4659</v>
      </c>
      <c r="F4217">
        <v>275.27</v>
      </c>
      <c r="G4217">
        <v>163.08000000000001</v>
      </c>
      <c r="H4217">
        <v>395</v>
      </c>
      <c r="I4217" t="s">
        <v>31</v>
      </c>
      <c r="J4217">
        <v>2025</v>
      </c>
      <c r="K4217">
        <f t="shared" si="130"/>
        <v>112.18999999999997</v>
      </c>
      <c r="L4217" t="str">
        <f t="shared" si="131"/>
        <v>Banca Lucana|23|Assicurazioni</v>
      </c>
    </row>
    <row r="4218" spans="1:12" x14ac:dyDescent="0.25">
      <c r="A4218" t="s">
        <v>38</v>
      </c>
      <c r="B4218">
        <v>24</v>
      </c>
      <c r="C4218" t="s">
        <v>13</v>
      </c>
      <c r="D4218" s="1">
        <v>46022</v>
      </c>
      <c r="E4218">
        <v>1307.2</v>
      </c>
      <c r="F4218">
        <v>59.06</v>
      </c>
      <c r="G4218">
        <v>36.950000000000003</v>
      </c>
      <c r="H4218">
        <v>131</v>
      </c>
      <c r="I4218" t="s">
        <v>31</v>
      </c>
      <c r="J4218">
        <v>2025</v>
      </c>
      <c r="K4218">
        <f t="shared" si="130"/>
        <v>22.11</v>
      </c>
      <c r="L4218" t="str">
        <f t="shared" si="131"/>
        <v>Banca Lucana|24|Mutui</v>
      </c>
    </row>
    <row r="4219" spans="1:12" x14ac:dyDescent="0.25">
      <c r="A4219" t="s">
        <v>38</v>
      </c>
      <c r="B4219">
        <v>24</v>
      </c>
      <c r="C4219" t="s">
        <v>15</v>
      </c>
      <c r="D4219" s="1">
        <v>46022</v>
      </c>
      <c r="E4219">
        <v>1805</v>
      </c>
      <c r="F4219">
        <v>85.53</v>
      </c>
      <c r="G4219">
        <v>52.38</v>
      </c>
      <c r="H4219">
        <v>188</v>
      </c>
      <c r="I4219" t="s">
        <v>31</v>
      </c>
      <c r="J4219">
        <v>2025</v>
      </c>
      <c r="K4219">
        <f t="shared" si="130"/>
        <v>33.15</v>
      </c>
      <c r="L4219" t="str">
        <f t="shared" si="131"/>
        <v>Banca Lucana|24|Prestiti</v>
      </c>
    </row>
    <row r="4220" spans="1:12" x14ac:dyDescent="0.25">
      <c r="A4220" t="s">
        <v>38</v>
      </c>
      <c r="B4220">
        <v>24</v>
      </c>
      <c r="C4220" t="s">
        <v>16</v>
      </c>
      <c r="D4220" s="1">
        <v>46022</v>
      </c>
      <c r="E4220">
        <v>2285</v>
      </c>
      <c r="F4220">
        <v>112.92</v>
      </c>
      <c r="G4220">
        <v>69.28</v>
      </c>
      <c r="H4220">
        <v>212</v>
      </c>
      <c r="I4220" t="s">
        <v>31</v>
      </c>
      <c r="J4220">
        <v>2025</v>
      </c>
      <c r="K4220">
        <f t="shared" si="130"/>
        <v>43.64</v>
      </c>
      <c r="L4220" t="str">
        <f t="shared" si="131"/>
        <v>Banca Lucana|24|Conti</v>
      </c>
    </row>
    <row r="4221" spans="1:12" x14ac:dyDescent="0.25">
      <c r="A4221" t="s">
        <v>38</v>
      </c>
      <c r="B4221">
        <v>24</v>
      </c>
      <c r="C4221" t="s">
        <v>17</v>
      </c>
      <c r="D4221" s="1">
        <v>46022</v>
      </c>
      <c r="E4221">
        <v>2772.2</v>
      </c>
      <c r="F4221">
        <v>141.76</v>
      </c>
      <c r="G4221">
        <v>86.55</v>
      </c>
      <c r="H4221">
        <v>260</v>
      </c>
      <c r="I4221" t="s">
        <v>31</v>
      </c>
      <c r="J4221">
        <v>2025</v>
      </c>
      <c r="K4221">
        <f t="shared" si="130"/>
        <v>55.209999999999994</v>
      </c>
      <c r="L4221" t="str">
        <f t="shared" si="131"/>
        <v>Banca Lucana|24|Carte</v>
      </c>
    </row>
    <row r="4222" spans="1:12" x14ac:dyDescent="0.25">
      <c r="A4222" t="s">
        <v>38</v>
      </c>
      <c r="B4222">
        <v>24</v>
      </c>
      <c r="C4222" t="s">
        <v>18</v>
      </c>
      <c r="D4222" s="1">
        <v>46022</v>
      </c>
      <c r="E4222">
        <v>3263.8</v>
      </c>
      <c r="F4222">
        <v>173.21</v>
      </c>
      <c r="G4222">
        <v>104.96</v>
      </c>
      <c r="H4222">
        <v>290</v>
      </c>
      <c r="I4222" t="s">
        <v>31</v>
      </c>
      <c r="J4222">
        <v>2025</v>
      </c>
      <c r="K4222">
        <f t="shared" si="130"/>
        <v>68.250000000000014</v>
      </c>
      <c r="L4222" t="str">
        <f t="shared" si="131"/>
        <v>Banca Lucana|24|Leasing</v>
      </c>
    </row>
    <row r="4223" spans="1:12" x14ac:dyDescent="0.25">
      <c r="A4223" t="s">
        <v>38</v>
      </c>
      <c r="B4223">
        <v>24</v>
      </c>
      <c r="C4223" t="s">
        <v>19</v>
      </c>
      <c r="D4223" s="1">
        <v>46022</v>
      </c>
      <c r="E4223">
        <v>3752.1</v>
      </c>
      <c r="F4223">
        <v>206.43</v>
      </c>
      <c r="G4223">
        <v>124.37</v>
      </c>
      <c r="H4223">
        <v>352</v>
      </c>
      <c r="I4223" t="s">
        <v>31</v>
      </c>
      <c r="J4223">
        <v>2025</v>
      </c>
      <c r="K4223">
        <f t="shared" si="130"/>
        <v>82.06</v>
      </c>
      <c r="L4223" t="str">
        <f t="shared" si="131"/>
        <v>Banca Lucana|24|Factoring</v>
      </c>
    </row>
    <row r="4224" spans="1:12" x14ac:dyDescent="0.25">
      <c r="A4224" t="s">
        <v>38</v>
      </c>
      <c r="B4224">
        <v>24</v>
      </c>
      <c r="C4224" t="s">
        <v>20</v>
      </c>
      <c r="D4224" s="1">
        <v>46022</v>
      </c>
      <c r="E4224">
        <v>4206.3999999999996</v>
      </c>
      <c r="F4224">
        <v>240.24</v>
      </c>
      <c r="G4224">
        <v>143.75</v>
      </c>
      <c r="H4224">
        <v>382</v>
      </c>
      <c r="I4224" t="s">
        <v>31</v>
      </c>
      <c r="J4224">
        <v>2025</v>
      </c>
      <c r="K4224">
        <f t="shared" si="130"/>
        <v>96.490000000000009</v>
      </c>
      <c r="L4224" t="str">
        <f t="shared" si="131"/>
        <v>Banca Lucana|24|Risparmio</v>
      </c>
    </row>
    <row r="4225" spans="1:12" x14ac:dyDescent="0.25">
      <c r="A4225" t="s">
        <v>38</v>
      </c>
      <c r="B4225">
        <v>24</v>
      </c>
      <c r="C4225" t="s">
        <v>21</v>
      </c>
      <c r="D4225" s="1">
        <v>46022</v>
      </c>
      <c r="E4225">
        <v>4678.3</v>
      </c>
      <c r="F4225">
        <v>276.67</v>
      </c>
      <c r="G4225">
        <v>164.39</v>
      </c>
      <c r="H4225">
        <v>403</v>
      </c>
      <c r="I4225" t="s">
        <v>31</v>
      </c>
      <c r="J4225">
        <v>2025</v>
      </c>
      <c r="K4225">
        <f t="shared" si="130"/>
        <v>112.28000000000003</v>
      </c>
      <c r="L4225" t="str">
        <f t="shared" si="131"/>
        <v>Banca Lucana|24|Assicurazioni</v>
      </c>
    </row>
    <row r="4226" spans="1:12" x14ac:dyDescent="0.25">
      <c r="A4226" t="s">
        <v>38</v>
      </c>
      <c r="B4226">
        <v>25</v>
      </c>
      <c r="C4226" t="s">
        <v>13</v>
      </c>
      <c r="D4226" s="1">
        <v>46053</v>
      </c>
      <c r="E4226">
        <v>1318.4</v>
      </c>
      <c r="F4226">
        <v>60.23</v>
      </c>
      <c r="G4226">
        <v>37.520000000000003</v>
      </c>
      <c r="H4226">
        <v>136</v>
      </c>
      <c r="I4226" t="s">
        <v>31</v>
      </c>
      <c r="J4226">
        <v>2026</v>
      </c>
      <c r="K4226">
        <f t="shared" ref="K4226:K4289" si="132">F4226-G4226</f>
        <v>22.709999999999994</v>
      </c>
      <c r="L4226" t="str">
        <f t="shared" ref="L4226:L4289" si="133">A4226&amp;"|"&amp;B4226&amp;"|"&amp;C4226</f>
        <v>Banca Lucana|25|Mutui</v>
      </c>
    </row>
    <row r="4227" spans="1:12" x14ac:dyDescent="0.25">
      <c r="A4227" t="s">
        <v>38</v>
      </c>
      <c r="B4227">
        <v>25</v>
      </c>
      <c r="C4227" t="s">
        <v>15</v>
      </c>
      <c r="D4227" s="1">
        <v>46053</v>
      </c>
      <c r="E4227">
        <v>1795.4</v>
      </c>
      <c r="F4227">
        <v>84.54</v>
      </c>
      <c r="G4227">
        <v>52.31</v>
      </c>
      <c r="H4227">
        <v>182</v>
      </c>
      <c r="I4227" t="s">
        <v>31</v>
      </c>
      <c r="J4227">
        <v>2026</v>
      </c>
      <c r="K4227">
        <f t="shared" si="132"/>
        <v>32.230000000000004</v>
      </c>
      <c r="L4227" t="str">
        <f t="shared" si="133"/>
        <v>Banca Lucana|25|Prestiti</v>
      </c>
    </row>
    <row r="4228" spans="1:12" x14ac:dyDescent="0.25">
      <c r="A4228" t="s">
        <v>38</v>
      </c>
      <c r="B4228">
        <v>25</v>
      </c>
      <c r="C4228" t="s">
        <v>16</v>
      </c>
      <c r="D4228" s="1">
        <v>46053</v>
      </c>
      <c r="E4228">
        <v>2255.5</v>
      </c>
      <c r="F4228">
        <v>111.29</v>
      </c>
      <c r="G4228">
        <v>67.930000000000007</v>
      </c>
      <c r="H4228">
        <v>195</v>
      </c>
      <c r="I4228" t="s">
        <v>31</v>
      </c>
      <c r="J4228">
        <v>2026</v>
      </c>
      <c r="K4228">
        <f t="shared" si="132"/>
        <v>43.36</v>
      </c>
      <c r="L4228" t="str">
        <f t="shared" si="133"/>
        <v>Banca Lucana|25|Conti</v>
      </c>
    </row>
    <row r="4229" spans="1:12" x14ac:dyDescent="0.25">
      <c r="A4229" t="s">
        <v>38</v>
      </c>
      <c r="B4229">
        <v>25</v>
      </c>
      <c r="C4229" t="s">
        <v>17</v>
      </c>
      <c r="D4229" s="1">
        <v>46053</v>
      </c>
      <c r="E4229">
        <v>2786.4</v>
      </c>
      <c r="F4229">
        <v>142.82</v>
      </c>
      <c r="G4229">
        <v>87.26</v>
      </c>
      <c r="H4229">
        <v>255</v>
      </c>
      <c r="I4229" t="s">
        <v>31</v>
      </c>
      <c r="J4229">
        <v>2026</v>
      </c>
      <c r="K4229">
        <f t="shared" si="132"/>
        <v>55.559999999999988</v>
      </c>
      <c r="L4229" t="str">
        <f t="shared" si="133"/>
        <v>Banca Lucana|25|Carte</v>
      </c>
    </row>
    <row r="4230" spans="1:12" x14ac:dyDescent="0.25">
      <c r="A4230" t="s">
        <v>38</v>
      </c>
      <c r="B4230">
        <v>25</v>
      </c>
      <c r="C4230" t="s">
        <v>18</v>
      </c>
      <c r="D4230" s="1">
        <v>46053</v>
      </c>
      <c r="E4230">
        <v>3270.6</v>
      </c>
      <c r="F4230">
        <v>173.49</v>
      </c>
      <c r="G4230">
        <v>104.71</v>
      </c>
      <c r="H4230">
        <v>295</v>
      </c>
      <c r="I4230" t="s">
        <v>31</v>
      </c>
      <c r="J4230">
        <v>2026</v>
      </c>
      <c r="K4230">
        <f t="shared" si="132"/>
        <v>68.780000000000015</v>
      </c>
      <c r="L4230" t="str">
        <f t="shared" si="133"/>
        <v>Banca Lucana|25|Leasing</v>
      </c>
    </row>
    <row r="4231" spans="1:12" x14ac:dyDescent="0.25">
      <c r="A4231" t="s">
        <v>38</v>
      </c>
      <c r="B4231">
        <v>25</v>
      </c>
      <c r="C4231" t="s">
        <v>19</v>
      </c>
      <c r="D4231" s="1">
        <v>46053</v>
      </c>
      <c r="E4231">
        <v>3733.5</v>
      </c>
      <c r="F4231">
        <v>205.56</v>
      </c>
      <c r="G4231">
        <v>124.2</v>
      </c>
      <c r="H4231">
        <v>328</v>
      </c>
      <c r="I4231" t="s">
        <v>31</v>
      </c>
      <c r="J4231">
        <v>2026</v>
      </c>
      <c r="K4231">
        <f t="shared" si="132"/>
        <v>81.36</v>
      </c>
      <c r="L4231" t="str">
        <f t="shared" si="133"/>
        <v>Banca Lucana|25|Factoring</v>
      </c>
    </row>
    <row r="4232" spans="1:12" x14ac:dyDescent="0.25">
      <c r="A4232" t="s">
        <v>38</v>
      </c>
      <c r="B4232">
        <v>25</v>
      </c>
      <c r="C4232" t="s">
        <v>20</v>
      </c>
      <c r="D4232" s="1">
        <v>46053</v>
      </c>
      <c r="E4232">
        <v>4229.8</v>
      </c>
      <c r="F4232">
        <v>241.82</v>
      </c>
      <c r="G4232">
        <v>144.18</v>
      </c>
      <c r="H4232">
        <v>354</v>
      </c>
      <c r="I4232" t="s">
        <v>31</v>
      </c>
      <c r="J4232">
        <v>2026</v>
      </c>
      <c r="K4232">
        <f t="shared" si="132"/>
        <v>97.639999999999986</v>
      </c>
      <c r="L4232" t="str">
        <f t="shared" si="133"/>
        <v>Banca Lucana|25|Risparmio</v>
      </c>
    </row>
    <row r="4233" spans="1:12" x14ac:dyDescent="0.25">
      <c r="A4233" t="s">
        <v>38</v>
      </c>
      <c r="B4233">
        <v>25</v>
      </c>
      <c r="C4233" t="s">
        <v>21</v>
      </c>
      <c r="D4233" s="1">
        <v>46053</v>
      </c>
      <c r="E4233">
        <v>4705.3999999999996</v>
      </c>
      <c r="F4233">
        <v>278.24</v>
      </c>
      <c r="G4233">
        <v>165.52</v>
      </c>
      <c r="H4233">
        <v>431</v>
      </c>
      <c r="I4233" t="s">
        <v>31</v>
      </c>
      <c r="J4233">
        <v>2026</v>
      </c>
      <c r="K4233">
        <f t="shared" si="132"/>
        <v>112.72</v>
      </c>
      <c r="L4233" t="str">
        <f t="shared" si="133"/>
        <v>Banca Lucana|25|Assicurazioni</v>
      </c>
    </row>
    <row r="4234" spans="1:12" x14ac:dyDescent="0.25">
      <c r="A4234" t="s">
        <v>38</v>
      </c>
      <c r="B4234">
        <v>26</v>
      </c>
      <c r="C4234" t="s">
        <v>13</v>
      </c>
      <c r="D4234" s="1">
        <v>46081</v>
      </c>
      <c r="E4234">
        <v>1307.4000000000001</v>
      </c>
      <c r="F4234">
        <v>59.66</v>
      </c>
      <c r="G4234">
        <v>37.32</v>
      </c>
      <c r="H4234">
        <v>146</v>
      </c>
      <c r="I4234" t="s">
        <v>31</v>
      </c>
      <c r="J4234">
        <v>2026</v>
      </c>
      <c r="K4234">
        <f t="shared" si="132"/>
        <v>22.339999999999996</v>
      </c>
      <c r="L4234" t="str">
        <f t="shared" si="133"/>
        <v>Banca Lucana|26|Mutui</v>
      </c>
    </row>
    <row r="4235" spans="1:12" x14ac:dyDescent="0.25">
      <c r="A4235" t="s">
        <v>38</v>
      </c>
      <c r="B4235">
        <v>26</v>
      </c>
      <c r="C4235" t="s">
        <v>15</v>
      </c>
      <c r="D4235" s="1">
        <v>46081</v>
      </c>
      <c r="E4235">
        <v>1777.6</v>
      </c>
      <c r="F4235">
        <v>83.76</v>
      </c>
      <c r="G4235">
        <v>52.16</v>
      </c>
      <c r="H4235">
        <v>149</v>
      </c>
      <c r="I4235" t="s">
        <v>31</v>
      </c>
      <c r="J4235">
        <v>2026</v>
      </c>
      <c r="K4235">
        <f t="shared" si="132"/>
        <v>31.600000000000009</v>
      </c>
      <c r="L4235" t="str">
        <f t="shared" si="133"/>
        <v>Banca Lucana|26|Prestiti</v>
      </c>
    </row>
    <row r="4236" spans="1:12" x14ac:dyDescent="0.25">
      <c r="A4236" t="s">
        <v>38</v>
      </c>
      <c r="B4236">
        <v>26</v>
      </c>
      <c r="C4236" t="s">
        <v>16</v>
      </c>
      <c r="D4236" s="1">
        <v>46081</v>
      </c>
      <c r="E4236">
        <v>2277.1</v>
      </c>
      <c r="F4236">
        <v>112.35</v>
      </c>
      <c r="G4236">
        <v>68.36</v>
      </c>
      <c r="H4236">
        <v>213</v>
      </c>
      <c r="I4236" t="s">
        <v>31</v>
      </c>
      <c r="J4236">
        <v>2026</v>
      </c>
      <c r="K4236">
        <f t="shared" si="132"/>
        <v>43.989999999999995</v>
      </c>
      <c r="L4236" t="str">
        <f t="shared" si="133"/>
        <v>Banca Lucana|26|Conti</v>
      </c>
    </row>
    <row r="4237" spans="1:12" x14ac:dyDescent="0.25">
      <c r="A4237" t="s">
        <v>38</v>
      </c>
      <c r="B4237">
        <v>26</v>
      </c>
      <c r="C4237" t="s">
        <v>17</v>
      </c>
      <c r="D4237" s="1">
        <v>46081</v>
      </c>
      <c r="E4237">
        <v>2803.5</v>
      </c>
      <c r="F4237">
        <v>143.82</v>
      </c>
      <c r="G4237">
        <v>86.92</v>
      </c>
      <c r="H4237">
        <v>250</v>
      </c>
      <c r="I4237" t="s">
        <v>31</v>
      </c>
      <c r="J4237">
        <v>2026</v>
      </c>
      <c r="K4237">
        <f t="shared" si="132"/>
        <v>56.899999999999991</v>
      </c>
      <c r="L4237" t="str">
        <f t="shared" si="133"/>
        <v>Banca Lucana|26|Carte</v>
      </c>
    </row>
    <row r="4238" spans="1:12" x14ac:dyDescent="0.25">
      <c r="A4238" t="s">
        <v>38</v>
      </c>
      <c r="B4238">
        <v>26</v>
      </c>
      <c r="C4238" t="s">
        <v>18</v>
      </c>
      <c r="D4238" s="1">
        <v>46081</v>
      </c>
      <c r="E4238">
        <v>3306.7</v>
      </c>
      <c r="F4238">
        <v>175.42</v>
      </c>
      <c r="G4238">
        <v>106.66</v>
      </c>
      <c r="H4238">
        <v>292</v>
      </c>
      <c r="I4238" t="s">
        <v>31</v>
      </c>
      <c r="J4238">
        <v>2026</v>
      </c>
      <c r="K4238">
        <f t="shared" si="132"/>
        <v>68.759999999999991</v>
      </c>
      <c r="L4238" t="str">
        <f t="shared" si="133"/>
        <v>Banca Lucana|26|Leasing</v>
      </c>
    </row>
    <row r="4239" spans="1:12" x14ac:dyDescent="0.25">
      <c r="A4239" t="s">
        <v>38</v>
      </c>
      <c r="B4239">
        <v>26</v>
      </c>
      <c r="C4239" t="s">
        <v>19</v>
      </c>
      <c r="D4239" s="1">
        <v>46081</v>
      </c>
      <c r="E4239">
        <v>3766.5</v>
      </c>
      <c r="F4239">
        <v>207.56</v>
      </c>
      <c r="G4239">
        <v>124.53</v>
      </c>
      <c r="H4239">
        <v>313</v>
      </c>
      <c r="I4239" t="s">
        <v>31</v>
      </c>
      <c r="J4239">
        <v>2026</v>
      </c>
      <c r="K4239">
        <f t="shared" si="132"/>
        <v>83.03</v>
      </c>
      <c r="L4239" t="str">
        <f t="shared" si="133"/>
        <v>Banca Lucana|26|Factoring</v>
      </c>
    </row>
    <row r="4240" spans="1:12" x14ac:dyDescent="0.25">
      <c r="A4240" t="s">
        <v>38</v>
      </c>
      <c r="B4240">
        <v>26</v>
      </c>
      <c r="C4240" t="s">
        <v>20</v>
      </c>
      <c r="D4240" s="1">
        <v>46081</v>
      </c>
      <c r="E4240">
        <v>4278.8</v>
      </c>
      <c r="F4240">
        <v>244.77</v>
      </c>
      <c r="G4240">
        <v>146.41999999999999</v>
      </c>
      <c r="H4240">
        <v>361</v>
      </c>
      <c r="I4240" t="s">
        <v>31</v>
      </c>
      <c r="J4240">
        <v>2026</v>
      </c>
      <c r="K4240">
        <f t="shared" si="132"/>
        <v>98.350000000000023</v>
      </c>
      <c r="L4240" t="str">
        <f t="shared" si="133"/>
        <v>Banca Lucana|26|Risparmio</v>
      </c>
    </row>
    <row r="4241" spans="1:12" x14ac:dyDescent="0.25">
      <c r="A4241" t="s">
        <v>38</v>
      </c>
      <c r="B4241">
        <v>26</v>
      </c>
      <c r="C4241" t="s">
        <v>21</v>
      </c>
      <c r="D4241" s="1">
        <v>46081</v>
      </c>
      <c r="E4241">
        <v>4765</v>
      </c>
      <c r="F4241">
        <v>281.57</v>
      </c>
      <c r="G4241">
        <v>166.89</v>
      </c>
      <c r="H4241">
        <v>416</v>
      </c>
      <c r="I4241" t="s">
        <v>31</v>
      </c>
      <c r="J4241">
        <v>2026</v>
      </c>
      <c r="K4241">
        <f t="shared" si="132"/>
        <v>114.68</v>
      </c>
      <c r="L4241" t="str">
        <f t="shared" si="133"/>
        <v>Banca Lucana|26|Assicurazioni</v>
      </c>
    </row>
    <row r="4242" spans="1:12" x14ac:dyDescent="0.25">
      <c r="A4242" t="s">
        <v>38</v>
      </c>
      <c r="B4242">
        <v>27</v>
      </c>
      <c r="C4242" t="s">
        <v>13</v>
      </c>
      <c r="D4242" s="1">
        <v>46112</v>
      </c>
      <c r="E4242">
        <v>1316.4</v>
      </c>
      <c r="F4242">
        <v>59.85</v>
      </c>
      <c r="G4242">
        <v>37.85</v>
      </c>
      <c r="H4242">
        <v>119</v>
      </c>
      <c r="I4242" t="s">
        <v>31</v>
      </c>
      <c r="J4242">
        <v>2026</v>
      </c>
      <c r="K4242">
        <f t="shared" si="132"/>
        <v>22</v>
      </c>
      <c r="L4242" t="str">
        <f t="shared" si="133"/>
        <v>Banca Lucana|27|Mutui</v>
      </c>
    </row>
    <row r="4243" spans="1:12" x14ac:dyDescent="0.25">
      <c r="A4243" t="s">
        <v>38</v>
      </c>
      <c r="B4243">
        <v>27</v>
      </c>
      <c r="C4243" t="s">
        <v>15</v>
      </c>
      <c r="D4243" s="1">
        <v>46112</v>
      </c>
      <c r="E4243">
        <v>1822.7</v>
      </c>
      <c r="F4243">
        <v>86.35</v>
      </c>
      <c r="G4243">
        <v>53.63</v>
      </c>
      <c r="H4243">
        <v>161</v>
      </c>
      <c r="I4243" t="s">
        <v>31</v>
      </c>
      <c r="J4243">
        <v>2026</v>
      </c>
      <c r="K4243">
        <f t="shared" si="132"/>
        <v>32.719999999999992</v>
      </c>
      <c r="L4243" t="str">
        <f t="shared" si="133"/>
        <v>Banca Lucana|27|Prestiti</v>
      </c>
    </row>
    <row r="4244" spans="1:12" x14ac:dyDescent="0.25">
      <c r="A4244" t="s">
        <v>38</v>
      </c>
      <c r="B4244">
        <v>27</v>
      </c>
      <c r="C4244" t="s">
        <v>16</v>
      </c>
      <c r="D4244" s="1">
        <v>46112</v>
      </c>
      <c r="E4244">
        <v>2311.8000000000002</v>
      </c>
      <c r="F4244">
        <v>113.88</v>
      </c>
      <c r="G4244">
        <v>69.7</v>
      </c>
      <c r="H4244">
        <v>191</v>
      </c>
      <c r="I4244" t="s">
        <v>31</v>
      </c>
      <c r="J4244">
        <v>2026</v>
      </c>
      <c r="K4244">
        <f t="shared" si="132"/>
        <v>44.179999999999993</v>
      </c>
      <c r="L4244" t="str">
        <f t="shared" si="133"/>
        <v>Banca Lucana|27|Conti</v>
      </c>
    </row>
    <row r="4245" spans="1:12" x14ac:dyDescent="0.25">
      <c r="A4245" t="s">
        <v>38</v>
      </c>
      <c r="B4245">
        <v>27</v>
      </c>
      <c r="C4245" t="s">
        <v>17</v>
      </c>
      <c r="D4245" s="1">
        <v>46112</v>
      </c>
      <c r="E4245">
        <v>2784.2</v>
      </c>
      <c r="F4245">
        <v>142.97</v>
      </c>
      <c r="G4245">
        <v>86.53</v>
      </c>
      <c r="H4245">
        <v>255</v>
      </c>
      <c r="I4245" t="s">
        <v>31</v>
      </c>
      <c r="J4245">
        <v>2026</v>
      </c>
      <c r="K4245">
        <f t="shared" si="132"/>
        <v>56.44</v>
      </c>
      <c r="L4245" t="str">
        <f t="shared" si="133"/>
        <v>Banca Lucana|27|Carte</v>
      </c>
    </row>
    <row r="4246" spans="1:12" x14ac:dyDescent="0.25">
      <c r="A4246" t="s">
        <v>38</v>
      </c>
      <c r="B4246">
        <v>27</v>
      </c>
      <c r="C4246" t="s">
        <v>18</v>
      </c>
      <c r="D4246" s="1">
        <v>46112</v>
      </c>
      <c r="E4246">
        <v>3297.5</v>
      </c>
      <c r="F4246">
        <v>175.74</v>
      </c>
      <c r="G4246">
        <v>106.11</v>
      </c>
      <c r="H4246">
        <v>285</v>
      </c>
      <c r="I4246" t="s">
        <v>31</v>
      </c>
      <c r="J4246">
        <v>2026</v>
      </c>
      <c r="K4246">
        <f t="shared" si="132"/>
        <v>69.63000000000001</v>
      </c>
      <c r="L4246" t="str">
        <f t="shared" si="133"/>
        <v>Banca Lucana|27|Leasing</v>
      </c>
    </row>
    <row r="4247" spans="1:12" x14ac:dyDescent="0.25">
      <c r="A4247" t="s">
        <v>38</v>
      </c>
      <c r="B4247">
        <v>27</v>
      </c>
      <c r="C4247" t="s">
        <v>19</v>
      </c>
      <c r="D4247" s="1">
        <v>46112</v>
      </c>
      <c r="E4247">
        <v>3815.7</v>
      </c>
      <c r="F4247">
        <v>210.69</v>
      </c>
      <c r="G4247">
        <v>126.75</v>
      </c>
      <c r="H4247">
        <v>313</v>
      </c>
      <c r="I4247" t="s">
        <v>31</v>
      </c>
      <c r="J4247">
        <v>2026</v>
      </c>
      <c r="K4247">
        <f t="shared" si="132"/>
        <v>83.94</v>
      </c>
      <c r="L4247" t="str">
        <f t="shared" si="133"/>
        <v>Banca Lucana|27|Factoring</v>
      </c>
    </row>
    <row r="4248" spans="1:12" x14ac:dyDescent="0.25">
      <c r="A4248" t="s">
        <v>38</v>
      </c>
      <c r="B4248">
        <v>27</v>
      </c>
      <c r="C4248" t="s">
        <v>20</v>
      </c>
      <c r="D4248" s="1">
        <v>46112</v>
      </c>
      <c r="E4248">
        <v>4298.8</v>
      </c>
      <c r="F4248">
        <v>245.76</v>
      </c>
      <c r="G4248">
        <v>146.61000000000001</v>
      </c>
      <c r="H4248">
        <v>356</v>
      </c>
      <c r="I4248" t="s">
        <v>31</v>
      </c>
      <c r="J4248">
        <v>2026</v>
      </c>
      <c r="K4248">
        <f t="shared" si="132"/>
        <v>99.149999999999977</v>
      </c>
      <c r="L4248" t="str">
        <f t="shared" si="133"/>
        <v>Banca Lucana|27|Risparmio</v>
      </c>
    </row>
    <row r="4249" spans="1:12" x14ac:dyDescent="0.25">
      <c r="A4249" t="s">
        <v>38</v>
      </c>
      <c r="B4249">
        <v>27</v>
      </c>
      <c r="C4249" t="s">
        <v>21</v>
      </c>
      <c r="D4249" s="1">
        <v>46112</v>
      </c>
      <c r="E4249">
        <v>4791.1000000000004</v>
      </c>
      <c r="F4249">
        <v>282.83999999999997</v>
      </c>
      <c r="G4249">
        <v>168.29</v>
      </c>
      <c r="H4249">
        <v>431</v>
      </c>
      <c r="I4249" t="s">
        <v>31</v>
      </c>
      <c r="J4249">
        <v>2026</v>
      </c>
      <c r="K4249">
        <f t="shared" si="132"/>
        <v>114.54999999999998</v>
      </c>
      <c r="L4249" t="str">
        <f t="shared" si="133"/>
        <v>Banca Lucana|27|Assicurazioni</v>
      </c>
    </row>
    <row r="4250" spans="1:12" x14ac:dyDescent="0.25">
      <c r="A4250" t="s">
        <v>38</v>
      </c>
      <c r="B4250">
        <v>28</v>
      </c>
      <c r="C4250" t="s">
        <v>13</v>
      </c>
      <c r="D4250" s="1">
        <v>46142</v>
      </c>
      <c r="E4250">
        <v>1325.7</v>
      </c>
      <c r="F4250">
        <v>60.29</v>
      </c>
      <c r="G4250">
        <v>38.04</v>
      </c>
      <c r="H4250">
        <v>131</v>
      </c>
      <c r="I4250" t="s">
        <v>31</v>
      </c>
      <c r="J4250">
        <v>2026</v>
      </c>
      <c r="K4250">
        <f t="shared" si="132"/>
        <v>22.25</v>
      </c>
      <c r="L4250" t="str">
        <f t="shared" si="133"/>
        <v>Banca Lucana|28|Mutui</v>
      </c>
    </row>
    <row r="4251" spans="1:12" x14ac:dyDescent="0.25">
      <c r="A4251" t="s">
        <v>38</v>
      </c>
      <c r="B4251">
        <v>28</v>
      </c>
      <c r="C4251" t="s">
        <v>15</v>
      </c>
      <c r="D4251" s="1">
        <v>46142</v>
      </c>
      <c r="E4251">
        <v>1827.6</v>
      </c>
      <c r="F4251">
        <v>86.43</v>
      </c>
      <c r="G4251">
        <v>53.89</v>
      </c>
      <c r="H4251">
        <v>154</v>
      </c>
      <c r="I4251" t="s">
        <v>31</v>
      </c>
      <c r="J4251">
        <v>2026</v>
      </c>
      <c r="K4251">
        <f t="shared" si="132"/>
        <v>32.540000000000006</v>
      </c>
      <c r="L4251" t="str">
        <f t="shared" si="133"/>
        <v>Banca Lucana|28|Prestiti</v>
      </c>
    </row>
    <row r="4252" spans="1:12" x14ac:dyDescent="0.25">
      <c r="A4252" t="s">
        <v>38</v>
      </c>
      <c r="B4252">
        <v>28</v>
      </c>
      <c r="C4252" t="s">
        <v>16</v>
      </c>
      <c r="D4252" s="1">
        <v>46142</v>
      </c>
      <c r="E4252">
        <v>2338</v>
      </c>
      <c r="F4252">
        <v>114.77</v>
      </c>
      <c r="G4252">
        <v>70.64</v>
      </c>
      <c r="H4252">
        <v>197</v>
      </c>
      <c r="I4252" t="s">
        <v>31</v>
      </c>
      <c r="J4252">
        <v>2026</v>
      </c>
      <c r="K4252">
        <f t="shared" si="132"/>
        <v>44.129999999999995</v>
      </c>
      <c r="L4252" t="str">
        <f t="shared" si="133"/>
        <v>Banca Lucana|28|Conti</v>
      </c>
    </row>
    <row r="4253" spans="1:12" x14ac:dyDescent="0.25">
      <c r="A4253" t="s">
        <v>38</v>
      </c>
      <c r="B4253">
        <v>28</v>
      </c>
      <c r="C4253" t="s">
        <v>17</v>
      </c>
      <c r="D4253" s="1">
        <v>46142</v>
      </c>
      <c r="E4253">
        <v>2798.2</v>
      </c>
      <c r="F4253">
        <v>142.72999999999999</v>
      </c>
      <c r="G4253">
        <v>87.41</v>
      </c>
      <c r="H4253">
        <v>251</v>
      </c>
      <c r="I4253" t="s">
        <v>31</v>
      </c>
      <c r="J4253">
        <v>2026</v>
      </c>
      <c r="K4253">
        <f t="shared" si="132"/>
        <v>55.319999999999993</v>
      </c>
      <c r="L4253" t="str">
        <f t="shared" si="133"/>
        <v>Banca Lucana|28|Carte</v>
      </c>
    </row>
    <row r="4254" spans="1:12" x14ac:dyDescent="0.25">
      <c r="A4254" t="s">
        <v>38</v>
      </c>
      <c r="B4254">
        <v>28</v>
      </c>
      <c r="C4254" t="s">
        <v>18</v>
      </c>
      <c r="D4254" s="1">
        <v>46142</v>
      </c>
      <c r="E4254">
        <v>3337.9</v>
      </c>
      <c r="F4254">
        <v>177.76</v>
      </c>
      <c r="G4254">
        <v>107.58</v>
      </c>
      <c r="H4254">
        <v>302</v>
      </c>
      <c r="I4254" t="s">
        <v>31</v>
      </c>
      <c r="J4254">
        <v>2026</v>
      </c>
      <c r="K4254">
        <f t="shared" si="132"/>
        <v>70.179999999999993</v>
      </c>
      <c r="L4254" t="str">
        <f t="shared" si="133"/>
        <v>Banca Lucana|28|Leasing</v>
      </c>
    </row>
    <row r="4255" spans="1:12" x14ac:dyDescent="0.25">
      <c r="A4255" t="s">
        <v>38</v>
      </c>
      <c r="B4255">
        <v>28</v>
      </c>
      <c r="C4255" t="s">
        <v>19</v>
      </c>
      <c r="D4255" s="1">
        <v>46142</v>
      </c>
      <c r="E4255">
        <v>3811.3</v>
      </c>
      <c r="F4255">
        <v>209.78</v>
      </c>
      <c r="G4255">
        <v>126.04</v>
      </c>
      <c r="H4255">
        <v>335</v>
      </c>
      <c r="I4255" t="s">
        <v>31</v>
      </c>
      <c r="J4255">
        <v>2026</v>
      </c>
      <c r="K4255">
        <f t="shared" si="132"/>
        <v>83.74</v>
      </c>
      <c r="L4255" t="str">
        <f t="shared" si="133"/>
        <v>Banca Lucana|28|Factoring</v>
      </c>
    </row>
    <row r="4256" spans="1:12" x14ac:dyDescent="0.25">
      <c r="A4256" t="s">
        <v>38</v>
      </c>
      <c r="B4256">
        <v>28</v>
      </c>
      <c r="C4256" t="s">
        <v>20</v>
      </c>
      <c r="D4256" s="1">
        <v>46142</v>
      </c>
      <c r="E4256">
        <v>4316.6000000000004</v>
      </c>
      <c r="F4256">
        <v>246.42</v>
      </c>
      <c r="G4256">
        <v>147.05000000000001</v>
      </c>
      <c r="H4256">
        <v>361</v>
      </c>
      <c r="I4256" t="s">
        <v>31</v>
      </c>
      <c r="J4256">
        <v>2026</v>
      </c>
      <c r="K4256">
        <f t="shared" si="132"/>
        <v>99.369999999999976</v>
      </c>
      <c r="L4256" t="str">
        <f t="shared" si="133"/>
        <v>Banca Lucana|28|Risparmio</v>
      </c>
    </row>
    <row r="4257" spans="1:12" x14ac:dyDescent="0.25">
      <c r="A4257" t="s">
        <v>38</v>
      </c>
      <c r="B4257">
        <v>28</v>
      </c>
      <c r="C4257" t="s">
        <v>21</v>
      </c>
      <c r="D4257" s="1">
        <v>46142</v>
      </c>
      <c r="E4257">
        <v>4818.7</v>
      </c>
      <c r="F4257">
        <v>284.35000000000002</v>
      </c>
      <c r="G4257">
        <v>168.69</v>
      </c>
      <c r="H4257">
        <v>428</v>
      </c>
      <c r="I4257" t="s">
        <v>31</v>
      </c>
      <c r="J4257">
        <v>2026</v>
      </c>
      <c r="K4257">
        <f t="shared" si="132"/>
        <v>115.66000000000003</v>
      </c>
      <c r="L4257" t="str">
        <f t="shared" si="133"/>
        <v>Banca Lucana|28|Assicurazioni</v>
      </c>
    </row>
    <row r="4258" spans="1:12" x14ac:dyDescent="0.25">
      <c r="A4258" t="s">
        <v>38</v>
      </c>
      <c r="B4258">
        <v>29</v>
      </c>
      <c r="C4258" t="s">
        <v>13</v>
      </c>
      <c r="D4258" s="1">
        <v>46173</v>
      </c>
      <c r="E4258">
        <v>1365.8</v>
      </c>
      <c r="F4258">
        <v>62.39</v>
      </c>
      <c r="G4258">
        <v>38.950000000000003</v>
      </c>
      <c r="H4258">
        <v>122</v>
      </c>
      <c r="I4258" t="s">
        <v>31</v>
      </c>
      <c r="J4258">
        <v>2026</v>
      </c>
      <c r="K4258">
        <f t="shared" si="132"/>
        <v>23.439999999999998</v>
      </c>
      <c r="L4258" t="str">
        <f t="shared" si="133"/>
        <v>Banca Lucana|29|Mutui</v>
      </c>
    </row>
    <row r="4259" spans="1:12" x14ac:dyDescent="0.25">
      <c r="A4259" t="s">
        <v>38</v>
      </c>
      <c r="B4259">
        <v>29</v>
      </c>
      <c r="C4259" t="s">
        <v>15</v>
      </c>
      <c r="D4259" s="1">
        <v>46173</v>
      </c>
      <c r="E4259">
        <v>1832.7</v>
      </c>
      <c r="F4259">
        <v>86.36</v>
      </c>
      <c r="G4259">
        <v>53.41</v>
      </c>
      <c r="H4259">
        <v>152</v>
      </c>
      <c r="I4259" t="s">
        <v>31</v>
      </c>
      <c r="J4259">
        <v>2026</v>
      </c>
      <c r="K4259">
        <f t="shared" si="132"/>
        <v>32.950000000000003</v>
      </c>
      <c r="L4259" t="str">
        <f t="shared" si="133"/>
        <v>Banca Lucana|29|Prestiti</v>
      </c>
    </row>
    <row r="4260" spans="1:12" x14ac:dyDescent="0.25">
      <c r="A4260" t="s">
        <v>38</v>
      </c>
      <c r="B4260">
        <v>29</v>
      </c>
      <c r="C4260" t="s">
        <v>16</v>
      </c>
      <c r="D4260" s="1">
        <v>46173</v>
      </c>
      <c r="E4260">
        <v>2316.6999999999998</v>
      </c>
      <c r="F4260">
        <v>114.02</v>
      </c>
      <c r="G4260">
        <v>69.59</v>
      </c>
      <c r="H4260">
        <v>199</v>
      </c>
      <c r="I4260" t="s">
        <v>31</v>
      </c>
      <c r="J4260">
        <v>2026</v>
      </c>
      <c r="K4260">
        <f t="shared" si="132"/>
        <v>44.429999999999993</v>
      </c>
      <c r="L4260" t="str">
        <f t="shared" si="133"/>
        <v>Banca Lucana|29|Conti</v>
      </c>
    </row>
    <row r="4261" spans="1:12" x14ac:dyDescent="0.25">
      <c r="A4261" t="s">
        <v>38</v>
      </c>
      <c r="B4261">
        <v>29</v>
      </c>
      <c r="C4261" t="s">
        <v>17</v>
      </c>
      <c r="D4261" s="1">
        <v>46173</v>
      </c>
      <c r="E4261">
        <v>2834.4</v>
      </c>
      <c r="F4261">
        <v>145.41999999999999</v>
      </c>
      <c r="G4261">
        <v>88.02</v>
      </c>
      <c r="H4261">
        <v>242</v>
      </c>
      <c r="I4261" t="s">
        <v>31</v>
      </c>
      <c r="J4261">
        <v>2026</v>
      </c>
      <c r="K4261">
        <f t="shared" si="132"/>
        <v>57.399999999999991</v>
      </c>
      <c r="L4261" t="str">
        <f t="shared" si="133"/>
        <v>Banca Lucana|29|Carte</v>
      </c>
    </row>
    <row r="4262" spans="1:12" x14ac:dyDescent="0.25">
      <c r="A4262" t="s">
        <v>38</v>
      </c>
      <c r="B4262">
        <v>29</v>
      </c>
      <c r="C4262" t="s">
        <v>18</v>
      </c>
      <c r="D4262" s="1">
        <v>46173</v>
      </c>
      <c r="E4262">
        <v>3377.2</v>
      </c>
      <c r="F4262">
        <v>179.26</v>
      </c>
      <c r="G4262">
        <v>108.4</v>
      </c>
      <c r="H4262">
        <v>302</v>
      </c>
      <c r="I4262" t="s">
        <v>31</v>
      </c>
      <c r="J4262">
        <v>2026</v>
      </c>
      <c r="K4262">
        <f t="shared" si="132"/>
        <v>70.859999999999985</v>
      </c>
      <c r="L4262" t="str">
        <f t="shared" si="133"/>
        <v>Banca Lucana|29|Leasing</v>
      </c>
    </row>
    <row r="4263" spans="1:12" x14ac:dyDescent="0.25">
      <c r="A4263" t="s">
        <v>38</v>
      </c>
      <c r="B4263">
        <v>29</v>
      </c>
      <c r="C4263" t="s">
        <v>19</v>
      </c>
      <c r="D4263" s="1">
        <v>46173</v>
      </c>
      <c r="E4263">
        <v>3875.7</v>
      </c>
      <c r="F4263">
        <v>214.09</v>
      </c>
      <c r="G4263">
        <v>128.19999999999999</v>
      </c>
      <c r="H4263">
        <v>344</v>
      </c>
      <c r="I4263" t="s">
        <v>31</v>
      </c>
      <c r="J4263">
        <v>2026</v>
      </c>
      <c r="K4263">
        <f t="shared" si="132"/>
        <v>85.890000000000015</v>
      </c>
      <c r="L4263" t="str">
        <f t="shared" si="133"/>
        <v>Banca Lucana|29|Factoring</v>
      </c>
    </row>
    <row r="4264" spans="1:12" x14ac:dyDescent="0.25">
      <c r="A4264" t="s">
        <v>38</v>
      </c>
      <c r="B4264">
        <v>29</v>
      </c>
      <c r="C4264" t="s">
        <v>20</v>
      </c>
      <c r="D4264" s="1">
        <v>46173</v>
      </c>
      <c r="E4264">
        <v>4337.5</v>
      </c>
      <c r="F4264">
        <v>248.22</v>
      </c>
      <c r="G4264">
        <v>148.28</v>
      </c>
      <c r="H4264">
        <v>375</v>
      </c>
      <c r="I4264" t="s">
        <v>31</v>
      </c>
      <c r="J4264">
        <v>2026</v>
      </c>
      <c r="K4264">
        <f t="shared" si="132"/>
        <v>99.94</v>
      </c>
      <c r="L4264" t="str">
        <f t="shared" si="133"/>
        <v>Banca Lucana|29|Risparmio</v>
      </c>
    </row>
    <row r="4265" spans="1:12" x14ac:dyDescent="0.25">
      <c r="A4265" t="s">
        <v>38</v>
      </c>
      <c r="B4265">
        <v>29</v>
      </c>
      <c r="C4265" t="s">
        <v>21</v>
      </c>
      <c r="D4265" s="1">
        <v>46173</v>
      </c>
      <c r="E4265">
        <v>4845.6000000000004</v>
      </c>
      <c r="F4265">
        <v>286.02999999999997</v>
      </c>
      <c r="G4265">
        <v>170.01</v>
      </c>
      <c r="H4265">
        <v>411</v>
      </c>
      <c r="I4265" t="s">
        <v>31</v>
      </c>
      <c r="J4265">
        <v>2026</v>
      </c>
      <c r="K4265">
        <f t="shared" si="132"/>
        <v>116.01999999999998</v>
      </c>
      <c r="L4265" t="str">
        <f t="shared" si="133"/>
        <v>Banca Lucana|29|Assicurazioni</v>
      </c>
    </row>
    <row r="4266" spans="1:12" x14ac:dyDescent="0.25">
      <c r="A4266" t="s">
        <v>38</v>
      </c>
      <c r="B4266">
        <v>30</v>
      </c>
      <c r="C4266" t="s">
        <v>13</v>
      </c>
      <c r="D4266" s="1">
        <v>46203</v>
      </c>
      <c r="E4266">
        <v>1333.4</v>
      </c>
      <c r="F4266">
        <v>60.89</v>
      </c>
      <c r="G4266">
        <v>37.520000000000003</v>
      </c>
      <c r="H4266">
        <v>129</v>
      </c>
      <c r="I4266" t="s">
        <v>31</v>
      </c>
      <c r="J4266">
        <v>2026</v>
      </c>
      <c r="K4266">
        <f t="shared" si="132"/>
        <v>23.369999999999997</v>
      </c>
      <c r="L4266" t="str">
        <f t="shared" si="133"/>
        <v>Banca Lucana|30|Mutui</v>
      </c>
    </row>
    <row r="4267" spans="1:12" x14ac:dyDescent="0.25">
      <c r="A4267" t="s">
        <v>38</v>
      </c>
      <c r="B4267">
        <v>30</v>
      </c>
      <c r="C4267" t="s">
        <v>15</v>
      </c>
      <c r="D4267" s="1">
        <v>46203</v>
      </c>
      <c r="E4267">
        <v>1862.9</v>
      </c>
      <c r="F4267">
        <v>87.85</v>
      </c>
      <c r="G4267">
        <v>54.07</v>
      </c>
      <c r="H4267">
        <v>185</v>
      </c>
      <c r="I4267" t="s">
        <v>31</v>
      </c>
      <c r="J4267">
        <v>2026</v>
      </c>
      <c r="K4267">
        <f t="shared" si="132"/>
        <v>33.779999999999994</v>
      </c>
      <c r="L4267" t="str">
        <f t="shared" si="133"/>
        <v>Banca Lucana|30|Prestiti</v>
      </c>
    </row>
    <row r="4268" spans="1:12" x14ac:dyDescent="0.25">
      <c r="A4268" t="s">
        <v>38</v>
      </c>
      <c r="B4268">
        <v>30</v>
      </c>
      <c r="C4268" t="s">
        <v>16</v>
      </c>
      <c r="D4268" s="1">
        <v>46203</v>
      </c>
      <c r="E4268">
        <v>2346.1</v>
      </c>
      <c r="F4268">
        <v>115.86</v>
      </c>
      <c r="G4268">
        <v>71.13</v>
      </c>
      <c r="H4268">
        <v>226</v>
      </c>
      <c r="I4268" t="s">
        <v>31</v>
      </c>
      <c r="J4268">
        <v>2026</v>
      </c>
      <c r="K4268">
        <f t="shared" si="132"/>
        <v>44.730000000000004</v>
      </c>
      <c r="L4268" t="str">
        <f t="shared" si="133"/>
        <v>Banca Lucana|30|Conti</v>
      </c>
    </row>
    <row r="4269" spans="1:12" x14ac:dyDescent="0.25">
      <c r="A4269" t="s">
        <v>38</v>
      </c>
      <c r="B4269">
        <v>30</v>
      </c>
      <c r="C4269" t="s">
        <v>17</v>
      </c>
      <c r="D4269" s="1">
        <v>46203</v>
      </c>
      <c r="E4269">
        <v>2851.8</v>
      </c>
      <c r="F4269">
        <v>146.05000000000001</v>
      </c>
      <c r="G4269">
        <v>89.35</v>
      </c>
      <c r="H4269">
        <v>248</v>
      </c>
      <c r="I4269" t="s">
        <v>31</v>
      </c>
      <c r="J4269">
        <v>2026</v>
      </c>
      <c r="K4269">
        <f t="shared" si="132"/>
        <v>56.700000000000017</v>
      </c>
      <c r="L4269" t="str">
        <f t="shared" si="133"/>
        <v>Banca Lucana|30|Carte</v>
      </c>
    </row>
    <row r="4270" spans="1:12" x14ac:dyDescent="0.25">
      <c r="A4270" t="s">
        <v>38</v>
      </c>
      <c r="B4270">
        <v>30</v>
      </c>
      <c r="C4270" t="s">
        <v>18</v>
      </c>
      <c r="D4270" s="1">
        <v>46203</v>
      </c>
      <c r="E4270">
        <v>3370.4</v>
      </c>
      <c r="F4270">
        <v>179.56</v>
      </c>
      <c r="G4270">
        <v>108.34</v>
      </c>
      <c r="H4270">
        <v>305</v>
      </c>
      <c r="I4270" t="s">
        <v>31</v>
      </c>
      <c r="J4270">
        <v>2026</v>
      </c>
      <c r="K4270">
        <f t="shared" si="132"/>
        <v>71.22</v>
      </c>
      <c r="L4270" t="str">
        <f t="shared" si="133"/>
        <v>Banca Lucana|30|Leasing</v>
      </c>
    </row>
    <row r="4271" spans="1:12" x14ac:dyDescent="0.25">
      <c r="A4271" t="s">
        <v>38</v>
      </c>
      <c r="B4271">
        <v>30</v>
      </c>
      <c r="C4271" t="s">
        <v>19</v>
      </c>
      <c r="D4271" s="1">
        <v>46203</v>
      </c>
      <c r="E4271">
        <v>3885.6</v>
      </c>
      <c r="F4271">
        <v>214.41</v>
      </c>
      <c r="G4271">
        <v>128.74</v>
      </c>
      <c r="H4271">
        <v>348</v>
      </c>
      <c r="I4271" t="s">
        <v>31</v>
      </c>
      <c r="J4271">
        <v>2026</v>
      </c>
      <c r="K4271">
        <f t="shared" si="132"/>
        <v>85.669999999999987</v>
      </c>
      <c r="L4271" t="str">
        <f t="shared" si="133"/>
        <v>Banca Lucana|30|Factoring</v>
      </c>
    </row>
    <row r="4272" spans="1:12" x14ac:dyDescent="0.25">
      <c r="A4272" t="s">
        <v>38</v>
      </c>
      <c r="B4272">
        <v>30</v>
      </c>
      <c r="C4272" t="s">
        <v>20</v>
      </c>
      <c r="D4272" s="1">
        <v>46203</v>
      </c>
      <c r="E4272">
        <v>4360.3999999999996</v>
      </c>
      <c r="F4272">
        <v>248.99</v>
      </c>
      <c r="G4272">
        <v>148.97</v>
      </c>
      <c r="H4272">
        <v>354</v>
      </c>
      <c r="I4272" t="s">
        <v>31</v>
      </c>
      <c r="J4272">
        <v>2026</v>
      </c>
      <c r="K4272">
        <f t="shared" si="132"/>
        <v>100.02000000000001</v>
      </c>
      <c r="L4272" t="str">
        <f t="shared" si="133"/>
        <v>Banca Lucana|30|Risparmio</v>
      </c>
    </row>
    <row r="4273" spans="1:12" x14ac:dyDescent="0.25">
      <c r="A4273" t="s">
        <v>38</v>
      </c>
      <c r="B4273">
        <v>30</v>
      </c>
      <c r="C4273" t="s">
        <v>21</v>
      </c>
      <c r="D4273" s="1">
        <v>46203</v>
      </c>
      <c r="E4273">
        <v>4899.7</v>
      </c>
      <c r="F4273">
        <v>289.17</v>
      </c>
      <c r="G4273">
        <v>172.3</v>
      </c>
      <c r="H4273">
        <v>398</v>
      </c>
      <c r="I4273" t="s">
        <v>31</v>
      </c>
      <c r="J4273">
        <v>2026</v>
      </c>
      <c r="K4273">
        <f t="shared" si="132"/>
        <v>116.87</v>
      </c>
      <c r="L4273" t="str">
        <f t="shared" si="133"/>
        <v>Banca Lucana|30|Assicurazioni</v>
      </c>
    </row>
    <row r="4274" spans="1:12" x14ac:dyDescent="0.25">
      <c r="A4274" t="s">
        <v>38</v>
      </c>
      <c r="B4274">
        <v>31</v>
      </c>
      <c r="C4274" t="s">
        <v>13</v>
      </c>
      <c r="D4274" s="1">
        <v>46234</v>
      </c>
      <c r="E4274">
        <v>1366.4</v>
      </c>
      <c r="F4274">
        <v>62.37</v>
      </c>
      <c r="G4274">
        <v>38.659999999999997</v>
      </c>
      <c r="H4274">
        <v>129</v>
      </c>
      <c r="I4274" t="s">
        <v>31</v>
      </c>
      <c r="J4274">
        <v>2026</v>
      </c>
      <c r="K4274">
        <f t="shared" si="132"/>
        <v>23.71</v>
      </c>
      <c r="L4274" t="str">
        <f t="shared" si="133"/>
        <v>Banca Lucana|31|Mutui</v>
      </c>
    </row>
    <row r="4275" spans="1:12" x14ac:dyDescent="0.25">
      <c r="A4275" t="s">
        <v>38</v>
      </c>
      <c r="B4275">
        <v>31</v>
      </c>
      <c r="C4275" t="s">
        <v>15</v>
      </c>
      <c r="D4275" s="1">
        <v>46234</v>
      </c>
      <c r="E4275">
        <v>1856.1</v>
      </c>
      <c r="F4275">
        <v>87.47</v>
      </c>
      <c r="G4275">
        <v>54.73</v>
      </c>
      <c r="H4275">
        <v>160</v>
      </c>
      <c r="I4275" t="s">
        <v>31</v>
      </c>
      <c r="J4275">
        <v>2026</v>
      </c>
      <c r="K4275">
        <f t="shared" si="132"/>
        <v>32.74</v>
      </c>
      <c r="L4275" t="str">
        <f t="shared" si="133"/>
        <v>Banca Lucana|31|Prestiti</v>
      </c>
    </row>
    <row r="4276" spans="1:12" x14ac:dyDescent="0.25">
      <c r="A4276" t="s">
        <v>38</v>
      </c>
      <c r="B4276">
        <v>31</v>
      </c>
      <c r="C4276" t="s">
        <v>16</v>
      </c>
      <c r="D4276" s="1">
        <v>46234</v>
      </c>
      <c r="E4276">
        <v>2361</v>
      </c>
      <c r="F4276">
        <v>115.89</v>
      </c>
      <c r="G4276">
        <v>71.81</v>
      </c>
      <c r="H4276">
        <v>227</v>
      </c>
      <c r="I4276" t="s">
        <v>31</v>
      </c>
      <c r="J4276">
        <v>2026</v>
      </c>
      <c r="K4276">
        <f t="shared" si="132"/>
        <v>44.08</v>
      </c>
      <c r="L4276" t="str">
        <f t="shared" si="133"/>
        <v>Banca Lucana|31|Conti</v>
      </c>
    </row>
    <row r="4277" spans="1:12" x14ac:dyDescent="0.25">
      <c r="A4277" t="s">
        <v>38</v>
      </c>
      <c r="B4277">
        <v>31</v>
      </c>
      <c r="C4277" t="s">
        <v>17</v>
      </c>
      <c r="D4277" s="1">
        <v>46234</v>
      </c>
      <c r="E4277">
        <v>2864.6</v>
      </c>
      <c r="F4277">
        <v>146.5</v>
      </c>
      <c r="G4277">
        <v>89.14</v>
      </c>
      <c r="H4277">
        <v>265</v>
      </c>
      <c r="I4277" t="s">
        <v>31</v>
      </c>
      <c r="J4277">
        <v>2026</v>
      </c>
      <c r="K4277">
        <f t="shared" si="132"/>
        <v>57.36</v>
      </c>
      <c r="L4277" t="str">
        <f t="shared" si="133"/>
        <v>Banca Lucana|31|Carte</v>
      </c>
    </row>
    <row r="4278" spans="1:12" x14ac:dyDescent="0.25">
      <c r="A4278" t="s">
        <v>38</v>
      </c>
      <c r="B4278">
        <v>31</v>
      </c>
      <c r="C4278" t="s">
        <v>18</v>
      </c>
      <c r="D4278" s="1">
        <v>46234</v>
      </c>
      <c r="E4278">
        <v>3418.6</v>
      </c>
      <c r="F4278">
        <v>181.96</v>
      </c>
      <c r="G4278">
        <v>109.55</v>
      </c>
      <c r="H4278">
        <v>302</v>
      </c>
      <c r="I4278" t="s">
        <v>31</v>
      </c>
      <c r="J4278">
        <v>2026</v>
      </c>
      <c r="K4278">
        <f t="shared" si="132"/>
        <v>72.410000000000011</v>
      </c>
      <c r="L4278" t="str">
        <f t="shared" si="133"/>
        <v>Banca Lucana|31|Leasing</v>
      </c>
    </row>
    <row r="4279" spans="1:12" x14ac:dyDescent="0.25">
      <c r="A4279" t="s">
        <v>38</v>
      </c>
      <c r="B4279">
        <v>31</v>
      </c>
      <c r="C4279" t="s">
        <v>19</v>
      </c>
      <c r="D4279" s="1">
        <v>46234</v>
      </c>
      <c r="E4279">
        <v>3888.3</v>
      </c>
      <c r="F4279">
        <v>214.05</v>
      </c>
      <c r="G4279">
        <v>129.02000000000001</v>
      </c>
      <c r="H4279">
        <v>320</v>
      </c>
      <c r="I4279" t="s">
        <v>31</v>
      </c>
      <c r="J4279">
        <v>2026</v>
      </c>
      <c r="K4279">
        <f t="shared" si="132"/>
        <v>85.03</v>
      </c>
      <c r="L4279" t="str">
        <f t="shared" si="133"/>
        <v>Banca Lucana|31|Factoring</v>
      </c>
    </row>
    <row r="4280" spans="1:12" x14ac:dyDescent="0.25">
      <c r="A4280" t="s">
        <v>38</v>
      </c>
      <c r="B4280">
        <v>31</v>
      </c>
      <c r="C4280" t="s">
        <v>20</v>
      </c>
      <c r="D4280" s="1">
        <v>46234</v>
      </c>
      <c r="E4280">
        <v>4411.7</v>
      </c>
      <c r="F4280">
        <v>252.26</v>
      </c>
      <c r="G4280">
        <v>150.83000000000001</v>
      </c>
      <c r="H4280">
        <v>384</v>
      </c>
      <c r="I4280" t="s">
        <v>31</v>
      </c>
      <c r="J4280">
        <v>2026</v>
      </c>
      <c r="K4280">
        <f t="shared" si="132"/>
        <v>101.42999999999998</v>
      </c>
      <c r="L4280" t="str">
        <f t="shared" si="133"/>
        <v>Banca Lucana|31|Risparmio</v>
      </c>
    </row>
    <row r="4281" spans="1:12" x14ac:dyDescent="0.25">
      <c r="A4281" t="s">
        <v>38</v>
      </c>
      <c r="B4281">
        <v>31</v>
      </c>
      <c r="C4281" t="s">
        <v>21</v>
      </c>
      <c r="D4281" s="1">
        <v>46234</v>
      </c>
      <c r="E4281">
        <v>4946.7</v>
      </c>
      <c r="F4281">
        <v>292.38</v>
      </c>
      <c r="G4281">
        <v>174.12</v>
      </c>
      <c r="H4281">
        <v>414</v>
      </c>
      <c r="I4281" t="s">
        <v>31</v>
      </c>
      <c r="J4281">
        <v>2026</v>
      </c>
      <c r="K4281">
        <f t="shared" si="132"/>
        <v>118.25999999999999</v>
      </c>
      <c r="L4281" t="str">
        <f t="shared" si="133"/>
        <v>Banca Lucana|31|Assicurazioni</v>
      </c>
    </row>
    <row r="4282" spans="1:12" x14ac:dyDescent="0.25">
      <c r="A4282" t="s">
        <v>38</v>
      </c>
      <c r="B4282">
        <v>32</v>
      </c>
      <c r="C4282" t="s">
        <v>13</v>
      </c>
      <c r="D4282" s="1">
        <v>46265</v>
      </c>
      <c r="E4282">
        <v>1345</v>
      </c>
      <c r="F4282">
        <v>61.33</v>
      </c>
      <c r="G4282">
        <v>37.89</v>
      </c>
      <c r="H4282">
        <v>133</v>
      </c>
      <c r="I4282" t="s">
        <v>31</v>
      </c>
      <c r="J4282">
        <v>2026</v>
      </c>
      <c r="K4282">
        <f t="shared" si="132"/>
        <v>23.439999999999998</v>
      </c>
      <c r="L4282" t="str">
        <f t="shared" si="133"/>
        <v>Banca Lucana|32|Mutui</v>
      </c>
    </row>
    <row r="4283" spans="1:12" x14ac:dyDescent="0.25">
      <c r="A4283" t="s">
        <v>38</v>
      </c>
      <c r="B4283">
        <v>32</v>
      </c>
      <c r="C4283" t="s">
        <v>15</v>
      </c>
      <c r="D4283" s="1">
        <v>46265</v>
      </c>
      <c r="E4283">
        <v>1882.4</v>
      </c>
      <c r="F4283">
        <v>88.94</v>
      </c>
      <c r="G4283">
        <v>55.38</v>
      </c>
      <c r="H4283">
        <v>183</v>
      </c>
      <c r="I4283" t="s">
        <v>31</v>
      </c>
      <c r="J4283">
        <v>2026</v>
      </c>
      <c r="K4283">
        <f t="shared" si="132"/>
        <v>33.559999999999995</v>
      </c>
      <c r="L4283" t="str">
        <f t="shared" si="133"/>
        <v>Banca Lucana|32|Prestiti</v>
      </c>
    </row>
    <row r="4284" spans="1:12" x14ac:dyDescent="0.25">
      <c r="A4284" t="s">
        <v>38</v>
      </c>
      <c r="B4284">
        <v>32</v>
      </c>
      <c r="C4284" t="s">
        <v>16</v>
      </c>
      <c r="D4284" s="1">
        <v>46265</v>
      </c>
      <c r="E4284">
        <v>2381</v>
      </c>
      <c r="F4284">
        <v>117.42</v>
      </c>
      <c r="G4284">
        <v>72.37</v>
      </c>
      <c r="H4284">
        <v>196</v>
      </c>
      <c r="I4284" t="s">
        <v>31</v>
      </c>
      <c r="J4284">
        <v>2026</v>
      </c>
      <c r="K4284">
        <f t="shared" si="132"/>
        <v>45.05</v>
      </c>
      <c r="L4284" t="str">
        <f t="shared" si="133"/>
        <v>Banca Lucana|32|Conti</v>
      </c>
    </row>
    <row r="4285" spans="1:12" x14ac:dyDescent="0.25">
      <c r="A4285" t="s">
        <v>38</v>
      </c>
      <c r="B4285">
        <v>32</v>
      </c>
      <c r="C4285" t="s">
        <v>17</v>
      </c>
      <c r="D4285" s="1">
        <v>46265</v>
      </c>
      <c r="E4285">
        <v>2878.5</v>
      </c>
      <c r="F4285">
        <v>147.52000000000001</v>
      </c>
      <c r="G4285">
        <v>89.87</v>
      </c>
      <c r="H4285">
        <v>239</v>
      </c>
      <c r="I4285" t="s">
        <v>31</v>
      </c>
      <c r="J4285">
        <v>2026</v>
      </c>
      <c r="K4285">
        <f t="shared" si="132"/>
        <v>57.650000000000006</v>
      </c>
      <c r="L4285" t="str">
        <f t="shared" si="133"/>
        <v>Banca Lucana|32|Carte</v>
      </c>
    </row>
    <row r="4286" spans="1:12" x14ac:dyDescent="0.25">
      <c r="A4286" t="s">
        <v>38</v>
      </c>
      <c r="B4286">
        <v>32</v>
      </c>
      <c r="C4286" t="s">
        <v>18</v>
      </c>
      <c r="D4286" s="1">
        <v>46265</v>
      </c>
      <c r="E4286">
        <v>3436.1</v>
      </c>
      <c r="F4286">
        <v>182.64</v>
      </c>
      <c r="G4286">
        <v>110.65</v>
      </c>
      <c r="H4286">
        <v>302</v>
      </c>
      <c r="I4286" t="s">
        <v>31</v>
      </c>
      <c r="J4286">
        <v>2026</v>
      </c>
      <c r="K4286">
        <f t="shared" si="132"/>
        <v>71.989999999999981</v>
      </c>
      <c r="L4286" t="str">
        <f t="shared" si="133"/>
        <v>Banca Lucana|32|Leasing</v>
      </c>
    </row>
    <row r="4287" spans="1:12" x14ac:dyDescent="0.25">
      <c r="A4287" t="s">
        <v>38</v>
      </c>
      <c r="B4287">
        <v>32</v>
      </c>
      <c r="C4287" t="s">
        <v>19</v>
      </c>
      <c r="D4287" s="1">
        <v>46265</v>
      </c>
      <c r="E4287">
        <v>3913.6</v>
      </c>
      <c r="F4287">
        <v>215.62</v>
      </c>
      <c r="G4287">
        <v>129.35</v>
      </c>
      <c r="H4287">
        <v>351</v>
      </c>
      <c r="I4287" t="s">
        <v>31</v>
      </c>
      <c r="J4287">
        <v>2026</v>
      </c>
      <c r="K4287">
        <f t="shared" si="132"/>
        <v>86.27000000000001</v>
      </c>
      <c r="L4287" t="str">
        <f t="shared" si="133"/>
        <v>Banca Lucana|32|Factoring</v>
      </c>
    </row>
    <row r="4288" spans="1:12" x14ac:dyDescent="0.25">
      <c r="A4288" t="s">
        <v>38</v>
      </c>
      <c r="B4288">
        <v>32</v>
      </c>
      <c r="C4288" t="s">
        <v>20</v>
      </c>
      <c r="D4288" s="1">
        <v>46265</v>
      </c>
      <c r="E4288">
        <v>4467.8</v>
      </c>
      <c r="F4288">
        <v>255.09</v>
      </c>
      <c r="G4288">
        <v>152.72999999999999</v>
      </c>
      <c r="H4288">
        <v>381</v>
      </c>
      <c r="I4288" t="s">
        <v>31</v>
      </c>
      <c r="J4288">
        <v>2026</v>
      </c>
      <c r="K4288">
        <f t="shared" si="132"/>
        <v>102.36000000000001</v>
      </c>
      <c r="L4288" t="str">
        <f t="shared" si="133"/>
        <v>Banca Lucana|32|Risparmio</v>
      </c>
    </row>
    <row r="4289" spans="1:12" x14ac:dyDescent="0.25">
      <c r="A4289" t="s">
        <v>38</v>
      </c>
      <c r="B4289">
        <v>32</v>
      </c>
      <c r="C4289" t="s">
        <v>21</v>
      </c>
      <c r="D4289" s="1">
        <v>46265</v>
      </c>
      <c r="E4289">
        <v>4946.8</v>
      </c>
      <c r="F4289">
        <v>292.39999999999998</v>
      </c>
      <c r="G4289">
        <v>173.68</v>
      </c>
      <c r="H4289">
        <v>401</v>
      </c>
      <c r="I4289" t="s">
        <v>31</v>
      </c>
      <c r="J4289">
        <v>2026</v>
      </c>
      <c r="K4289">
        <f t="shared" si="132"/>
        <v>118.71999999999997</v>
      </c>
      <c r="L4289" t="str">
        <f t="shared" si="133"/>
        <v>Banca Lucana|32|Assicurazioni</v>
      </c>
    </row>
    <row r="4290" spans="1:12" x14ac:dyDescent="0.25">
      <c r="A4290" t="s">
        <v>38</v>
      </c>
      <c r="B4290">
        <v>33</v>
      </c>
      <c r="C4290" t="s">
        <v>13</v>
      </c>
      <c r="D4290" s="1">
        <v>46295</v>
      </c>
      <c r="E4290">
        <v>1374.2</v>
      </c>
      <c r="F4290">
        <v>62.24</v>
      </c>
      <c r="G4290">
        <v>39.33</v>
      </c>
      <c r="H4290">
        <v>142</v>
      </c>
      <c r="I4290" t="s">
        <v>31</v>
      </c>
      <c r="J4290">
        <v>2026</v>
      </c>
      <c r="K4290">
        <f t="shared" ref="K4290:K4353" si="134">F4290-G4290</f>
        <v>22.910000000000004</v>
      </c>
      <c r="L4290" t="str">
        <f t="shared" ref="L4290:L4353" si="135">A4290&amp;"|"&amp;B4290&amp;"|"&amp;C4290</f>
        <v>Banca Lucana|33|Mutui</v>
      </c>
    </row>
    <row r="4291" spans="1:12" x14ac:dyDescent="0.25">
      <c r="A4291" t="s">
        <v>38</v>
      </c>
      <c r="B4291">
        <v>33</v>
      </c>
      <c r="C4291" t="s">
        <v>15</v>
      </c>
      <c r="D4291" s="1">
        <v>46295</v>
      </c>
      <c r="E4291">
        <v>1869.8</v>
      </c>
      <c r="F4291">
        <v>88.73</v>
      </c>
      <c r="G4291">
        <v>54.88</v>
      </c>
      <c r="H4291">
        <v>175</v>
      </c>
      <c r="I4291" t="s">
        <v>31</v>
      </c>
      <c r="J4291">
        <v>2026</v>
      </c>
      <c r="K4291">
        <f t="shared" si="134"/>
        <v>33.85</v>
      </c>
      <c r="L4291" t="str">
        <f t="shared" si="135"/>
        <v>Banca Lucana|33|Prestiti</v>
      </c>
    </row>
    <row r="4292" spans="1:12" x14ac:dyDescent="0.25">
      <c r="A4292" t="s">
        <v>38</v>
      </c>
      <c r="B4292">
        <v>33</v>
      </c>
      <c r="C4292" t="s">
        <v>16</v>
      </c>
      <c r="D4292" s="1">
        <v>46295</v>
      </c>
      <c r="E4292">
        <v>2387.4</v>
      </c>
      <c r="F4292">
        <v>117.87</v>
      </c>
      <c r="G4292">
        <v>72.39</v>
      </c>
      <c r="H4292">
        <v>215</v>
      </c>
      <c r="I4292" t="s">
        <v>31</v>
      </c>
      <c r="J4292">
        <v>2026</v>
      </c>
      <c r="K4292">
        <f t="shared" si="134"/>
        <v>45.480000000000004</v>
      </c>
      <c r="L4292" t="str">
        <f t="shared" si="135"/>
        <v>Banca Lucana|33|Conti</v>
      </c>
    </row>
    <row r="4293" spans="1:12" x14ac:dyDescent="0.25">
      <c r="A4293" t="s">
        <v>38</v>
      </c>
      <c r="B4293">
        <v>33</v>
      </c>
      <c r="C4293" t="s">
        <v>17</v>
      </c>
      <c r="D4293" s="1">
        <v>46295</v>
      </c>
      <c r="E4293">
        <v>2942.2</v>
      </c>
      <c r="F4293">
        <v>150.16</v>
      </c>
      <c r="G4293">
        <v>91.69</v>
      </c>
      <c r="H4293">
        <v>244</v>
      </c>
      <c r="I4293" t="s">
        <v>31</v>
      </c>
      <c r="J4293">
        <v>2026</v>
      </c>
      <c r="K4293">
        <f t="shared" si="134"/>
        <v>58.47</v>
      </c>
      <c r="L4293" t="str">
        <f t="shared" si="135"/>
        <v>Banca Lucana|33|Carte</v>
      </c>
    </row>
    <row r="4294" spans="1:12" x14ac:dyDescent="0.25">
      <c r="A4294" t="s">
        <v>38</v>
      </c>
      <c r="B4294">
        <v>33</v>
      </c>
      <c r="C4294" t="s">
        <v>18</v>
      </c>
      <c r="D4294" s="1">
        <v>46295</v>
      </c>
      <c r="E4294">
        <v>3454</v>
      </c>
      <c r="F4294">
        <v>183.33</v>
      </c>
      <c r="G4294">
        <v>111.36</v>
      </c>
      <c r="H4294">
        <v>306</v>
      </c>
      <c r="I4294" t="s">
        <v>31</v>
      </c>
      <c r="J4294">
        <v>2026</v>
      </c>
      <c r="K4294">
        <f t="shared" si="134"/>
        <v>71.970000000000013</v>
      </c>
      <c r="L4294" t="str">
        <f t="shared" si="135"/>
        <v>Banca Lucana|33|Leasing</v>
      </c>
    </row>
    <row r="4295" spans="1:12" x14ac:dyDescent="0.25">
      <c r="A4295" t="s">
        <v>38</v>
      </c>
      <c r="B4295">
        <v>33</v>
      </c>
      <c r="C4295" t="s">
        <v>19</v>
      </c>
      <c r="D4295" s="1">
        <v>46295</v>
      </c>
      <c r="E4295">
        <v>3953.8</v>
      </c>
      <c r="F4295">
        <v>218.39</v>
      </c>
      <c r="G4295">
        <v>130.72</v>
      </c>
      <c r="H4295">
        <v>342</v>
      </c>
      <c r="I4295" t="s">
        <v>31</v>
      </c>
      <c r="J4295">
        <v>2026</v>
      </c>
      <c r="K4295">
        <f t="shared" si="134"/>
        <v>87.669999999999987</v>
      </c>
      <c r="L4295" t="str">
        <f t="shared" si="135"/>
        <v>Banca Lucana|33|Factoring</v>
      </c>
    </row>
    <row r="4296" spans="1:12" x14ac:dyDescent="0.25">
      <c r="A4296" t="s">
        <v>38</v>
      </c>
      <c r="B4296">
        <v>33</v>
      </c>
      <c r="C4296" t="s">
        <v>20</v>
      </c>
      <c r="D4296" s="1">
        <v>46295</v>
      </c>
      <c r="E4296">
        <v>4458.3999999999996</v>
      </c>
      <c r="F4296">
        <v>254.31</v>
      </c>
      <c r="G4296">
        <v>152.03</v>
      </c>
      <c r="H4296">
        <v>381</v>
      </c>
      <c r="I4296" t="s">
        <v>31</v>
      </c>
      <c r="J4296">
        <v>2026</v>
      </c>
      <c r="K4296">
        <f t="shared" si="134"/>
        <v>102.28</v>
      </c>
      <c r="L4296" t="str">
        <f t="shared" si="135"/>
        <v>Banca Lucana|33|Risparmio</v>
      </c>
    </row>
    <row r="4297" spans="1:12" x14ac:dyDescent="0.25">
      <c r="A4297" t="s">
        <v>38</v>
      </c>
      <c r="B4297">
        <v>33</v>
      </c>
      <c r="C4297" t="s">
        <v>21</v>
      </c>
      <c r="D4297" s="1">
        <v>46295</v>
      </c>
      <c r="E4297">
        <v>5006.5</v>
      </c>
      <c r="F4297">
        <v>296.06</v>
      </c>
      <c r="G4297">
        <v>176.09</v>
      </c>
      <c r="H4297">
        <v>417</v>
      </c>
      <c r="I4297" t="s">
        <v>31</v>
      </c>
      <c r="J4297">
        <v>2026</v>
      </c>
      <c r="K4297">
        <f t="shared" si="134"/>
        <v>119.97</v>
      </c>
      <c r="L4297" t="str">
        <f t="shared" si="135"/>
        <v>Banca Lucana|33|Assicurazioni</v>
      </c>
    </row>
    <row r="4298" spans="1:12" x14ac:dyDescent="0.25">
      <c r="A4298" t="s">
        <v>38</v>
      </c>
      <c r="B4298">
        <v>34</v>
      </c>
      <c r="C4298" t="s">
        <v>13</v>
      </c>
      <c r="D4298" s="1">
        <v>46326</v>
      </c>
      <c r="E4298">
        <v>1355.8</v>
      </c>
      <c r="F4298">
        <v>61.72</v>
      </c>
      <c r="G4298">
        <v>38.5</v>
      </c>
      <c r="H4298">
        <v>138</v>
      </c>
      <c r="I4298" t="s">
        <v>31</v>
      </c>
      <c r="J4298">
        <v>2026</v>
      </c>
      <c r="K4298">
        <f t="shared" si="134"/>
        <v>23.22</v>
      </c>
      <c r="L4298" t="str">
        <f t="shared" si="135"/>
        <v>Banca Lucana|34|Mutui</v>
      </c>
    </row>
    <row r="4299" spans="1:12" x14ac:dyDescent="0.25">
      <c r="A4299" t="s">
        <v>38</v>
      </c>
      <c r="B4299">
        <v>34</v>
      </c>
      <c r="C4299" t="s">
        <v>15</v>
      </c>
      <c r="D4299" s="1">
        <v>46326</v>
      </c>
      <c r="E4299">
        <v>1903.4</v>
      </c>
      <c r="F4299">
        <v>90.12</v>
      </c>
      <c r="G4299">
        <v>55.39</v>
      </c>
      <c r="H4299">
        <v>182</v>
      </c>
      <c r="I4299" t="s">
        <v>31</v>
      </c>
      <c r="J4299">
        <v>2026</v>
      </c>
      <c r="K4299">
        <f t="shared" si="134"/>
        <v>34.730000000000004</v>
      </c>
      <c r="L4299" t="str">
        <f t="shared" si="135"/>
        <v>Banca Lucana|34|Prestiti</v>
      </c>
    </row>
    <row r="4300" spans="1:12" x14ac:dyDescent="0.25">
      <c r="A4300" t="s">
        <v>38</v>
      </c>
      <c r="B4300">
        <v>34</v>
      </c>
      <c r="C4300" t="s">
        <v>16</v>
      </c>
      <c r="D4300" s="1">
        <v>46326</v>
      </c>
      <c r="E4300">
        <v>2419.6999999999998</v>
      </c>
      <c r="F4300">
        <v>118.62</v>
      </c>
      <c r="G4300">
        <v>72.81</v>
      </c>
      <c r="H4300">
        <v>205</v>
      </c>
      <c r="I4300" t="s">
        <v>31</v>
      </c>
      <c r="J4300">
        <v>2026</v>
      </c>
      <c r="K4300">
        <f t="shared" si="134"/>
        <v>45.81</v>
      </c>
      <c r="L4300" t="str">
        <f t="shared" si="135"/>
        <v>Banca Lucana|34|Conti</v>
      </c>
    </row>
    <row r="4301" spans="1:12" x14ac:dyDescent="0.25">
      <c r="A4301" t="s">
        <v>38</v>
      </c>
      <c r="B4301">
        <v>34</v>
      </c>
      <c r="C4301" t="s">
        <v>17</v>
      </c>
      <c r="D4301" s="1">
        <v>46326</v>
      </c>
      <c r="E4301">
        <v>2913.4</v>
      </c>
      <c r="F4301">
        <v>149.15</v>
      </c>
      <c r="G4301">
        <v>91.3</v>
      </c>
      <c r="H4301">
        <v>242</v>
      </c>
      <c r="I4301" t="s">
        <v>31</v>
      </c>
      <c r="J4301">
        <v>2026</v>
      </c>
      <c r="K4301">
        <f t="shared" si="134"/>
        <v>57.850000000000009</v>
      </c>
      <c r="L4301" t="str">
        <f t="shared" si="135"/>
        <v>Banca Lucana|34|Carte</v>
      </c>
    </row>
    <row r="4302" spans="1:12" x14ac:dyDescent="0.25">
      <c r="A4302" t="s">
        <v>38</v>
      </c>
      <c r="B4302">
        <v>34</v>
      </c>
      <c r="C4302" t="s">
        <v>18</v>
      </c>
      <c r="D4302" s="1">
        <v>46326</v>
      </c>
      <c r="E4302">
        <v>3441.6</v>
      </c>
      <c r="F4302">
        <v>183.02</v>
      </c>
      <c r="G4302">
        <v>111.06</v>
      </c>
      <c r="H4302">
        <v>283</v>
      </c>
      <c r="I4302" t="s">
        <v>31</v>
      </c>
      <c r="J4302">
        <v>2026</v>
      </c>
      <c r="K4302">
        <f t="shared" si="134"/>
        <v>71.960000000000008</v>
      </c>
      <c r="L4302" t="str">
        <f t="shared" si="135"/>
        <v>Banca Lucana|34|Leasing</v>
      </c>
    </row>
    <row r="4303" spans="1:12" x14ac:dyDescent="0.25">
      <c r="A4303" t="s">
        <v>38</v>
      </c>
      <c r="B4303">
        <v>34</v>
      </c>
      <c r="C4303" t="s">
        <v>19</v>
      </c>
      <c r="D4303" s="1">
        <v>46326</v>
      </c>
      <c r="E4303">
        <v>4004.2</v>
      </c>
      <c r="F4303">
        <v>220.68</v>
      </c>
      <c r="G4303">
        <v>132.19</v>
      </c>
      <c r="H4303">
        <v>342</v>
      </c>
      <c r="I4303" t="s">
        <v>31</v>
      </c>
      <c r="J4303">
        <v>2026</v>
      </c>
      <c r="K4303">
        <f t="shared" si="134"/>
        <v>88.490000000000009</v>
      </c>
      <c r="L4303" t="str">
        <f t="shared" si="135"/>
        <v>Banca Lucana|34|Factoring</v>
      </c>
    </row>
    <row r="4304" spans="1:12" x14ac:dyDescent="0.25">
      <c r="A4304" t="s">
        <v>38</v>
      </c>
      <c r="B4304">
        <v>34</v>
      </c>
      <c r="C4304" t="s">
        <v>20</v>
      </c>
      <c r="D4304" s="1">
        <v>46326</v>
      </c>
      <c r="E4304">
        <v>4521.8</v>
      </c>
      <c r="F4304">
        <v>257.98</v>
      </c>
      <c r="G4304">
        <v>154.63999999999999</v>
      </c>
      <c r="H4304">
        <v>364</v>
      </c>
      <c r="I4304" t="s">
        <v>31</v>
      </c>
      <c r="J4304">
        <v>2026</v>
      </c>
      <c r="K4304">
        <f t="shared" si="134"/>
        <v>103.34000000000003</v>
      </c>
      <c r="L4304" t="str">
        <f t="shared" si="135"/>
        <v>Banca Lucana|34|Risparmio</v>
      </c>
    </row>
    <row r="4305" spans="1:12" x14ac:dyDescent="0.25">
      <c r="A4305" t="s">
        <v>38</v>
      </c>
      <c r="B4305">
        <v>34</v>
      </c>
      <c r="C4305" t="s">
        <v>21</v>
      </c>
      <c r="D4305" s="1">
        <v>46326</v>
      </c>
      <c r="E4305">
        <v>5036.8</v>
      </c>
      <c r="F4305">
        <v>297.89999999999998</v>
      </c>
      <c r="G4305">
        <v>176.37</v>
      </c>
      <c r="H4305">
        <v>407</v>
      </c>
      <c r="I4305" t="s">
        <v>31</v>
      </c>
      <c r="J4305">
        <v>2026</v>
      </c>
      <c r="K4305">
        <f t="shared" si="134"/>
        <v>121.52999999999997</v>
      </c>
      <c r="L4305" t="str">
        <f t="shared" si="135"/>
        <v>Banca Lucana|34|Assicurazioni</v>
      </c>
    </row>
    <row r="4306" spans="1:12" x14ac:dyDescent="0.25">
      <c r="A4306" t="s">
        <v>38</v>
      </c>
      <c r="B4306">
        <v>35</v>
      </c>
      <c r="C4306" t="s">
        <v>13</v>
      </c>
      <c r="D4306" s="1">
        <v>46356</v>
      </c>
      <c r="E4306">
        <v>1398.9</v>
      </c>
      <c r="F4306">
        <v>63.69</v>
      </c>
      <c r="G4306">
        <v>39.57</v>
      </c>
      <c r="H4306">
        <v>118</v>
      </c>
      <c r="I4306" t="s">
        <v>31</v>
      </c>
      <c r="J4306">
        <v>2026</v>
      </c>
      <c r="K4306">
        <f t="shared" si="134"/>
        <v>24.119999999999997</v>
      </c>
      <c r="L4306" t="str">
        <f t="shared" si="135"/>
        <v>Banca Lucana|35|Mutui</v>
      </c>
    </row>
    <row r="4307" spans="1:12" x14ac:dyDescent="0.25">
      <c r="A4307" t="s">
        <v>38</v>
      </c>
      <c r="B4307">
        <v>35</v>
      </c>
      <c r="C4307" t="s">
        <v>15</v>
      </c>
      <c r="D4307" s="1">
        <v>46356</v>
      </c>
      <c r="E4307">
        <v>1926.6</v>
      </c>
      <c r="F4307">
        <v>91.52</v>
      </c>
      <c r="G4307">
        <v>55.93</v>
      </c>
      <c r="H4307">
        <v>174</v>
      </c>
      <c r="I4307" t="s">
        <v>31</v>
      </c>
      <c r="J4307">
        <v>2026</v>
      </c>
      <c r="K4307">
        <f t="shared" si="134"/>
        <v>35.589999999999996</v>
      </c>
      <c r="L4307" t="str">
        <f t="shared" si="135"/>
        <v>Banca Lucana|35|Prestiti</v>
      </c>
    </row>
    <row r="4308" spans="1:12" x14ac:dyDescent="0.25">
      <c r="A4308" t="s">
        <v>38</v>
      </c>
      <c r="B4308">
        <v>35</v>
      </c>
      <c r="C4308" t="s">
        <v>16</v>
      </c>
      <c r="D4308" s="1">
        <v>46356</v>
      </c>
      <c r="E4308">
        <v>2416.6999999999998</v>
      </c>
      <c r="F4308">
        <v>119.11</v>
      </c>
      <c r="G4308">
        <v>73.069999999999993</v>
      </c>
      <c r="H4308">
        <v>203</v>
      </c>
      <c r="I4308" t="s">
        <v>31</v>
      </c>
      <c r="J4308">
        <v>2026</v>
      </c>
      <c r="K4308">
        <f t="shared" si="134"/>
        <v>46.040000000000006</v>
      </c>
      <c r="L4308" t="str">
        <f t="shared" si="135"/>
        <v>Banca Lucana|35|Conti</v>
      </c>
    </row>
    <row r="4309" spans="1:12" x14ac:dyDescent="0.25">
      <c r="A4309" t="s">
        <v>38</v>
      </c>
      <c r="B4309">
        <v>35</v>
      </c>
      <c r="C4309" t="s">
        <v>17</v>
      </c>
      <c r="D4309" s="1">
        <v>46356</v>
      </c>
      <c r="E4309">
        <v>2971.5</v>
      </c>
      <c r="F4309">
        <v>152.32</v>
      </c>
      <c r="G4309">
        <v>92.36</v>
      </c>
      <c r="H4309">
        <v>261</v>
      </c>
      <c r="I4309" t="s">
        <v>31</v>
      </c>
      <c r="J4309">
        <v>2026</v>
      </c>
      <c r="K4309">
        <f t="shared" si="134"/>
        <v>59.959999999999994</v>
      </c>
      <c r="L4309" t="str">
        <f t="shared" si="135"/>
        <v>Banca Lucana|35|Carte</v>
      </c>
    </row>
    <row r="4310" spans="1:12" x14ac:dyDescent="0.25">
      <c r="A4310" t="s">
        <v>38</v>
      </c>
      <c r="B4310">
        <v>35</v>
      </c>
      <c r="C4310" t="s">
        <v>18</v>
      </c>
      <c r="D4310" s="1">
        <v>46356</v>
      </c>
      <c r="E4310">
        <v>3462.5</v>
      </c>
      <c r="F4310">
        <v>184.12</v>
      </c>
      <c r="G4310">
        <v>111.26</v>
      </c>
      <c r="H4310">
        <v>306</v>
      </c>
      <c r="I4310" t="s">
        <v>31</v>
      </c>
      <c r="J4310">
        <v>2026</v>
      </c>
      <c r="K4310">
        <f t="shared" si="134"/>
        <v>72.86</v>
      </c>
      <c r="L4310" t="str">
        <f t="shared" si="135"/>
        <v>Banca Lucana|35|Leasing</v>
      </c>
    </row>
    <row r="4311" spans="1:12" x14ac:dyDescent="0.25">
      <c r="A4311" t="s">
        <v>38</v>
      </c>
      <c r="B4311">
        <v>35</v>
      </c>
      <c r="C4311" t="s">
        <v>19</v>
      </c>
      <c r="D4311" s="1">
        <v>46356</v>
      </c>
      <c r="E4311">
        <v>3983.3</v>
      </c>
      <c r="F4311">
        <v>219.24</v>
      </c>
      <c r="G4311">
        <v>132.38</v>
      </c>
      <c r="H4311">
        <v>333</v>
      </c>
      <c r="I4311" t="s">
        <v>31</v>
      </c>
      <c r="J4311">
        <v>2026</v>
      </c>
      <c r="K4311">
        <f t="shared" si="134"/>
        <v>86.860000000000014</v>
      </c>
      <c r="L4311" t="str">
        <f t="shared" si="135"/>
        <v>Banca Lucana|35|Factoring</v>
      </c>
    </row>
    <row r="4312" spans="1:12" x14ac:dyDescent="0.25">
      <c r="A4312" t="s">
        <v>38</v>
      </c>
      <c r="B4312">
        <v>35</v>
      </c>
      <c r="C4312" t="s">
        <v>20</v>
      </c>
      <c r="D4312" s="1">
        <v>46356</v>
      </c>
      <c r="E4312">
        <v>4513.7</v>
      </c>
      <c r="F4312">
        <v>257.77</v>
      </c>
      <c r="G4312">
        <v>154.11000000000001</v>
      </c>
      <c r="H4312">
        <v>379</v>
      </c>
      <c r="I4312" t="s">
        <v>31</v>
      </c>
      <c r="J4312">
        <v>2026</v>
      </c>
      <c r="K4312">
        <f t="shared" si="134"/>
        <v>103.65999999999997</v>
      </c>
      <c r="L4312" t="str">
        <f t="shared" si="135"/>
        <v>Banca Lucana|35|Risparmio</v>
      </c>
    </row>
    <row r="4313" spans="1:12" x14ac:dyDescent="0.25">
      <c r="A4313" t="s">
        <v>38</v>
      </c>
      <c r="B4313">
        <v>35</v>
      </c>
      <c r="C4313" t="s">
        <v>21</v>
      </c>
      <c r="D4313" s="1">
        <v>46356</v>
      </c>
      <c r="E4313">
        <v>5072.2</v>
      </c>
      <c r="F4313">
        <v>299.47000000000003</v>
      </c>
      <c r="G4313">
        <v>178.22</v>
      </c>
      <c r="H4313">
        <v>416</v>
      </c>
      <c r="I4313" t="s">
        <v>31</v>
      </c>
      <c r="J4313">
        <v>2026</v>
      </c>
      <c r="K4313">
        <f t="shared" si="134"/>
        <v>121.25000000000003</v>
      </c>
      <c r="L4313" t="str">
        <f t="shared" si="135"/>
        <v>Banca Lucana|35|Assicurazioni</v>
      </c>
    </row>
    <row r="4314" spans="1:12" x14ac:dyDescent="0.25">
      <c r="A4314" t="s">
        <v>38</v>
      </c>
      <c r="B4314">
        <v>36</v>
      </c>
      <c r="C4314" t="s">
        <v>13</v>
      </c>
      <c r="D4314" s="1">
        <v>46387</v>
      </c>
      <c r="E4314">
        <v>1418.6</v>
      </c>
      <c r="F4314">
        <v>64.23</v>
      </c>
      <c r="G4314">
        <v>40.119999999999997</v>
      </c>
      <c r="H4314">
        <v>130</v>
      </c>
      <c r="I4314" t="s">
        <v>31</v>
      </c>
      <c r="J4314">
        <v>2026</v>
      </c>
      <c r="K4314">
        <f t="shared" si="134"/>
        <v>24.110000000000007</v>
      </c>
      <c r="L4314" t="str">
        <f t="shared" si="135"/>
        <v>Banca Lucana|36|Mutui</v>
      </c>
    </row>
    <row r="4315" spans="1:12" x14ac:dyDescent="0.25">
      <c r="A4315" t="s">
        <v>38</v>
      </c>
      <c r="B4315">
        <v>36</v>
      </c>
      <c r="C4315" t="s">
        <v>15</v>
      </c>
      <c r="D4315" s="1">
        <v>46387</v>
      </c>
      <c r="E4315">
        <v>1933</v>
      </c>
      <c r="F4315">
        <v>91.52</v>
      </c>
      <c r="G4315">
        <v>56.61</v>
      </c>
      <c r="H4315">
        <v>170</v>
      </c>
      <c r="I4315" t="s">
        <v>31</v>
      </c>
      <c r="J4315">
        <v>2026</v>
      </c>
      <c r="K4315">
        <f t="shared" si="134"/>
        <v>34.909999999999997</v>
      </c>
      <c r="L4315" t="str">
        <f t="shared" si="135"/>
        <v>Banca Lucana|36|Prestiti</v>
      </c>
    </row>
    <row r="4316" spans="1:12" x14ac:dyDescent="0.25">
      <c r="A4316" t="s">
        <v>38</v>
      </c>
      <c r="B4316">
        <v>36</v>
      </c>
      <c r="C4316" t="s">
        <v>16</v>
      </c>
      <c r="D4316" s="1">
        <v>46387</v>
      </c>
      <c r="E4316">
        <v>2455.5</v>
      </c>
      <c r="F4316">
        <v>120.8</v>
      </c>
      <c r="G4316">
        <v>73.97</v>
      </c>
      <c r="H4316">
        <v>194</v>
      </c>
      <c r="I4316" t="s">
        <v>31</v>
      </c>
      <c r="J4316">
        <v>2026</v>
      </c>
      <c r="K4316">
        <f t="shared" si="134"/>
        <v>46.83</v>
      </c>
      <c r="L4316" t="str">
        <f t="shared" si="135"/>
        <v>Banca Lucana|36|Conti</v>
      </c>
    </row>
    <row r="4317" spans="1:12" x14ac:dyDescent="0.25">
      <c r="A4317" t="s">
        <v>38</v>
      </c>
      <c r="B4317">
        <v>36</v>
      </c>
      <c r="C4317" t="s">
        <v>17</v>
      </c>
      <c r="D4317" s="1">
        <v>46387</v>
      </c>
      <c r="E4317">
        <v>2954.3</v>
      </c>
      <c r="F4317">
        <v>150.94999999999999</v>
      </c>
      <c r="G4317">
        <v>92.11</v>
      </c>
      <c r="H4317">
        <v>231</v>
      </c>
      <c r="I4317" t="s">
        <v>31</v>
      </c>
      <c r="J4317">
        <v>2026</v>
      </c>
      <c r="K4317">
        <f t="shared" si="134"/>
        <v>58.839999999999989</v>
      </c>
      <c r="L4317" t="str">
        <f t="shared" si="135"/>
        <v>Banca Lucana|36|Carte</v>
      </c>
    </row>
    <row r="4318" spans="1:12" x14ac:dyDescent="0.25">
      <c r="A4318" t="s">
        <v>38</v>
      </c>
      <c r="B4318">
        <v>36</v>
      </c>
      <c r="C4318" t="s">
        <v>18</v>
      </c>
      <c r="D4318" s="1">
        <v>46387</v>
      </c>
      <c r="E4318">
        <v>3490.8</v>
      </c>
      <c r="F4318">
        <v>185.05</v>
      </c>
      <c r="G4318">
        <v>112.26</v>
      </c>
      <c r="H4318">
        <v>283</v>
      </c>
      <c r="I4318" t="s">
        <v>31</v>
      </c>
      <c r="J4318">
        <v>2026</v>
      </c>
      <c r="K4318">
        <f t="shared" si="134"/>
        <v>72.790000000000006</v>
      </c>
      <c r="L4318" t="str">
        <f t="shared" si="135"/>
        <v>Banca Lucana|36|Leasing</v>
      </c>
    </row>
    <row r="4319" spans="1:12" x14ac:dyDescent="0.25">
      <c r="A4319" t="s">
        <v>38</v>
      </c>
      <c r="B4319">
        <v>36</v>
      </c>
      <c r="C4319" t="s">
        <v>19</v>
      </c>
      <c r="D4319" s="1">
        <v>46387</v>
      </c>
      <c r="E4319">
        <v>4008.7</v>
      </c>
      <c r="F4319">
        <v>220.53</v>
      </c>
      <c r="G4319">
        <v>133.19999999999999</v>
      </c>
      <c r="H4319">
        <v>328</v>
      </c>
      <c r="I4319" t="s">
        <v>31</v>
      </c>
      <c r="J4319">
        <v>2026</v>
      </c>
      <c r="K4319">
        <f t="shared" si="134"/>
        <v>87.330000000000013</v>
      </c>
      <c r="L4319" t="str">
        <f t="shared" si="135"/>
        <v>Banca Lucana|36|Factoring</v>
      </c>
    </row>
    <row r="4320" spans="1:12" x14ac:dyDescent="0.25">
      <c r="A4320" t="s">
        <v>38</v>
      </c>
      <c r="B4320">
        <v>36</v>
      </c>
      <c r="C4320" t="s">
        <v>20</v>
      </c>
      <c r="D4320" s="1">
        <v>46387</v>
      </c>
      <c r="E4320">
        <v>4531.1000000000004</v>
      </c>
      <c r="F4320">
        <v>258.36</v>
      </c>
      <c r="G4320">
        <v>154.75</v>
      </c>
      <c r="H4320">
        <v>391</v>
      </c>
      <c r="I4320" t="s">
        <v>31</v>
      </c>
      <c r="J4320">
        <v>2026</v>
      </c>
      <c r="K4320">
        <f t="shared" si="134"/>
        <v>103.61000000000001</v>
      </c>
      <c r="L4320" t="str">
        <f t="shared" si="135"/>
        <v>Banca Lucana|36|Risparmio</v>
      </c>
    </row>
    <row r="4321" spans="1:12" x14ac:dyDescent="0.25">
      <c r="A4321" t="s">
        <v>38</v>
      </c>
      <c r="B4321">
        <v>36</v>
      </c>
      <c r="C4321" t="s">
        <v>21</v>
      </c>
      <c r="D4321" s="1">
        <v>46387</v>
      </c>
      <c r="E4321">
        <v>5100.2</v>
      </c>
      <c r="F4321">
        <v>301.12</v>
      </c>
      <c r="G4321">
        <v>179.43</v>
      </c>
      <c r="H4321">
        <v>403</v>
      </c>
      <c r="I4321" t="s">
        <v>31</v>
      </c>
      <c r="J4321">
        <v>2026</v>
      </c>
      <c r="K4321">
        <f t="shared" si="134"/>
        <v>121.69</v>
      </c>
      <c r="L4321" t="str">
        <f t="shared" si="135"/>
        <v>Banca Lucana|36|Assicurazioni</v>
      </c>
    </row>
    <row r="4322" spans="1:12" x14ac:dyDescent="0.25">
      <c r="A4322" t="s">
        <v>39</v>
      </c>
      <c r="B4322">
        <v>1</v>
      </c>
      <c r="C4322" t="s">
        <v>13</v>
      </c>
      <c r="D4322" s="1">
        <v>45322</v>
      </c>
      <c r="E4322">
        <v>1159.9000000000001</v>
      </c>
      <c r="F4322">
        <v>52.8</v>
      </c>
      <c r="G4322">
        <v>32.869999999999997</v>
      </c>
      <c r="H4322">
        <v>150</v>
      </c>
      <c r="I4322" t="s">
        <v>31</v>
      </c>
      <c r="J4322">
        <v>2024</v>
      </c>
      <c r="K4322">
        <f t="shared" si="134"/>
        <v>19.93</v>
      </c>
      <c r="L4322" t="str">
        <f t="shared" si="135"/>
        <v>Banca Calabra|1|Mutui</v>
      </c>
    </row>
    <row r="4323" spans="1:12" x14ac:dyDescent="0.25">
      <c r="A4323" t="s">
        <v>39</v>
      </c>
      <c r="B4323">
        <v>1</v>
      </c>
      <c r="C4323" t="s">
        <v>15</v>
      </c>
      <c r="D4323" s="1">
        <v>45322</v>
      </c>
      <c r="E4323">
        <v>1577.3</v>
      </c>
      <c r="F4323">
        <v>74.31</v>
      </c>
      <c r="G4323">
        <v>46.28</v>
      </c>
      <c r="H4323">
        <v>177</v>
      </c>
      <c r="I4323" t="s">
        <v>31</v>
      </c>
      <c r="J4323">
        <v>2024</v>
      </c>
      <c r="K4323">
        <f t="shared" si="134"/>
        <v>28.03</v>
      </c>
      <c r="L4323" t="str">
        <f t="shared" si="135"/>
        <v>Banca Calabra|1|Prestiti</v>
      </c>
    </row>
    <row r="4324" spans="1:12" x14ac:dyDescent="0.25">
      <c r="A4324" t="s">
        <v>39</v>
      </c>
      <c r="B4324">
        <v>1</v>
      </c>
      <c r="C4324" t="s">
        <v>16</v>
      </c>
      <c r="D4324" s="1">
        <v>45322</v>
      </c>
      <c r="E4324">
        <v>2001.8</v>
      </c>
      <c r="F4324">
        <v>98.77</v>
      </c>
      <c r="G4324">
        <v>60.72</v>
      </c>
      <c r="H4324">
        <v>208</v>
      </c>
      <c r="I4324" t="s">
        <v>31</v>
      </c>
      <c r="J4324">
        <v>2024</v>
      </c>
      <c r="K4324">
        <f t="shared" si="134"/>
        <v>38.049999999999997</v>
      </c>
      <c r="L4324" t="str">
        <f t="shared" si="135"/>
        <v>Banca Calabra|1|Conti</v>
      </c>
    </row>
    <row r="4325" spans="1:12" x14ac:dyDescent="0.25">
      <c r="A4325" t="s">
        <v>39</v>
      </c>
      <c r="B4325">
        <v>1</v>
      </c>
      <c r="C4325" t="s">
        <v>17</v>
      </c>
      <c r="D4325" s="1">
        <v>45322</v>
      </c>
      <c r="E4325">
        <v>2463.5</v>
      </c>
      <c r="F4325">
        <v>126.47</v>
      </c>
      <c r="G4325">
        <v>76.47</v>
      </c>
      <c r="H4325">
        <v>256</v>
      </c>
      <c r="I4325" t="s">
        <v>31</v>
      </c>
      <c r="J4325">
        <v>2024</v>
      </c>
      <c r="K4325">
        <f t="shared" si="134"/>
        <v>50</v>
      </c>
      <c r="L4325" t="str">
        <f t="shared" si="135"/>
        <v>Banca Calabra|1|Carte</v>
      </c>
    </row>
    <row r="4326" spans="1:12" x14ac:dyDescent="0.25">
      <c r="A4326" t="s">
        <v>39</v>
      </c>
      <c r="B4326">
        <v>1</v>
      </c>
      <c r="C4326" t="s">
        <v>18</v>
      </c>
      <c r="D4326" s="1">
        <v>45322</v>
      </c>
      <c r="E4326">
        <v>2895.4</v>
      </c>
      <c r="F4326">
        <v>154.22</v>
      </c>
      <c r="G4326">
        <v>92.82</v>
      </c>
      <c r="H4326">
        <v>300</v>
      </c>
      <c r="I4326" t="s">
        <v>31</v>
      </c>
      <c r="J4326">
        <v>2024</v>
      </c>
      <c r="K4326">
        <f t="shared" si="134"/>
        <v>61.400000000000006</v>
      </c>
      <c r="L4326" t="str">
        <f t="shared" si="135"/>
        <v>Banca Calabra|1|Leasing</v>
      </c>
    </row>
    <row r="4327" spans="1:12" x14ac:dyDescent="0.25">
      <c r="A4327" t="s">
        <v>39</v>
      </c>
      <c r="B4327">
        <v>1</v>
      </c>
      <c r="C4327" t="s">
        <v>19</v>
      </c>
      <c r="D4327" s="1">
        <v>45322</v>
      </c>
      <c r="E4327">
        <v>3309.4</v>
      </c>
      <c r="F4327">
        <v>182.81</v>
      </c>
      <c r="G4327">
        <v>109.54</v>
      </c>
      <c r="H4327">
        <v>336</v>
      </c>
      <c r="I4327" t="s">
        <v>31</v>
      </c>
      <c r="J4327">
        <v>2024</v>
      </c>
      <c r="K4327">
        <f t="shared" si="134"/>
        <v>73.27</v>
      </c>
      <c r="L4327" t="str">
        <f t="shared" si="135"/>
        <v>Banca Calabra|1|Factoring</v>
      </c>
    </row>
    <row r="4328" spans="1:12" x14ac:dyDescent="0.25">
      <c r="A4328" t="s">
        <v>39</v>
      </c>
      <c r="B4328">
        <v>1</v>
      </c>
      <c r="C4328" t="s">
        <v>20</v>
      </c>
      <c r="D4328" s="1">
        <v>45322</v>
      </c>
      <c r="E4328">
        <v>3714.7</v>
      </c>
      <c r="F4328">
        <v>212.1</v>
      </c>
      <c r="G4328">
        <v>126.58</v>
      </c>
      <c r="H4328">
        <v>386</v>
      </c>
      <c r="I4328" t="s">
        <v>31</v>
      </c>
      <c r="J4328">
        <v>2024</v>
      </c>
      <c r="K4328">
        <f t="shared" si="134"/>
        <v>85.52</v>
      </c>
      <c r="L4328" t="str">
        <f t="shared" si="135"/>
        <v>Banca Calabra|1|Risparmio</v>
      </c>
    </row>
    <row r="4329" spans="1:12" x14ac:dyDescent="0.25">
      <c r="A4329" t="s">
        <v>39</v>
      </c>
      <c r="B4329">
        <v>1</v>
      </c>
      <c r="C4329" t="s">
        <v>21</v>
      </c>
      <c r="D4329" s="1">
        <v>45322</v>
      </c>
      <c r="E4329">
        <v>4179.3</v>
      </c>
      <c r="F4329">
        <v>247.22</v>
      </c>
      <c r="G4329">
        <v>146.91</v>
      </c>
      <c r="H4329">
        <v>449</v>
      </c>
      <c r="I4329" t="s">
        <v>31</v>
      </c>
      <c r="J4329">
        <v>2024</v>
      </c>
      <c r="K4329">
        <f t="shared" si="134"/>
        <v>100.31</v>
      </c>
      <c r="L4329" t="str">
        <f t="shared" si="135"/>
        <v>Banca Calabra|1|Assicurazioni</v>
      </c>
    </row>
    <row r="4330" spans="1:12" x14ac:dyDescent="0.25">
      <c r="A4330" t="s">
        <v>39</v>
      </c>
      <c r="B4330">
        <v>2</v>
      </c>
      <c r="C4330" t="s">
        <v>13</v>
      </c>
      <c r="D4330" s="1">
        <v>45351</v>
      </c>
      <c r="E4330">
        <v>1172.9000000000001</v>
      </c>
      <c r="F4330">
        <v>53.3</v>
      </c>
      <c r="G4330">
        <v>33.229999999999997</v>
      </c>
      <c r="H4330">
        <v>118</v>
      </c>
      <c r="I4330" t="s">
        <v>31</v>
      </c>
      <c r="J4330">
        <v>2024</v>
      </c>
      <c r="K4330">
        <f t="shared" si="134"/>
        <v>20.07</v>
      </c>
      <c r="L4330" t="str">
        <f t="shared" si="135"/>
        <v>Banca Calabra|2|Mutui</v>
      </c>
    </row>
    <row r="4331" spans="1:12" x14ac:dyDescent="0.25">
      <c r="A4331" t="s">
        <v>39</v>
      </c>
      <c r="B4331">
        <v>2</v>
      </c>
      <c r="C4331" t="s">
        <v>15</v>
      </c>
      <c r="D4331" s="1">
        <v>45351</v>
      </c>
      <c r="E4331">
        <v>1618.8</v>
      </c>
      <c r="F4331">
        <v>76.5</v>
      </c>
      <c r="G4331">
        <v>47.41</v>
      </c>
      <c r="H4331">
        <v>164</v>
      </c>
      <c r="I4331" t="s">
        <v>31</v>
      </c>
      <c r="J4331">
        <v>2024</v>
      </c>
      <c r="K4331">
        <f t="shared" si="134"/>
        <v>29.090000000000003</v>
      </c>
      <c r="L4331" t="str">
        <f t="shared" si="135"/>
        <v>Banca Calabra|2|Prestiti</v>
      </c>
    </row>
    <row r="4332" spans="1:12" x14ac:dyDescent="0.25">
      <c r="A4332" t="s">
        <v>39</v>
      </c>
      <c r="B4332">
        <v>2</v>
      </c>
      <c r="C4332" t="s">
        <v>16</v>
      </c>
      <c r="D4332" s="1">
        <v>45351</v>
      </c>
      <c r="E4332">
        <v>2036.7</v>
      </c>
      <c r="F4332">
        <v>99.91</v>
      </c>
      <c r="G4332">
        <v>61.69</v>
      </c>
      <c r="H4332">
        <v>218</v>
      </c>
      <c r="I4332" t="s">
        <v>31</v>
      </c>
      <c r="J4332">
        <v>2024</v>
      </c>
      <c r="K4332">
        <f t="shared" si="134"/>
        <v>38.22</v>
      </c>
      <c r="L4332" t="str">
        <f t="shared" si="135"/>
        <v>Banca Calabra|2|Conti</v>
      </c>
    </row>
    <row r="4333" spans="1:12" x14ac:dyDescent="0.25">
      <c r="A4333" t="s">
        <v>39</v>
      </c>
      <c r="B4333">
        <v>2</v>
      </c>
      <c r="C4333" t="s">
        <v>17</v>
      </c>
      <c r="D4333" s="1">
        <v>45351</v>
      </c>
      <c r="E4333">
        <v>2442.5</v>
      </c>
      <c r="F4333">
        <v>125.01</v>
      </c>
      <c r="G4333">
        <v>75.75</v>
      </c>
      <c r="H4333">
        <v>260</v>
      </c>
      <c r="I4333" t="s">
        <v>31</v>
      </c>
      <c r="J4333">
        <v>2024</v>
      </c>
      <c r="K4333">
        <f t="shared" si="134"/>
        <v>49.260000000000005</v>
      </c>
      <c r="L4333" t="str">
        <f t="shared" si="135"/>
        <v>Banca Calabra|2|Carte</v>
      </c>
    </row>
    <row r="4334" spans="1:12" x14ac:dyDescent="0.25">
      <c r="A4334" t="s">
        <v>39</v>
      </c>
      <c r="B4334">
        <v>2</v>
      </c>
      <c r="C4334" t="s">
        <v>18</v>
      </c>
      <c r="D4334" s="1">
        <v>45351</v>
      </c>
      <c r="E4334">
        <v>2903.4</v>
      </c>
      <c r="F4334">
        <v>154.72</v>
      </c>
      <c r="G4334">
        <v>93.24</v>
      </c>
      <c r="H4334">
        <v>304</v>
      </c>
      <c r="I4334" t="s">
        <v>31</v>
      </c>
      <c r="J4334">
        <v>2024</v>
      </c>
      <c r="K4334">
        <f t="shared" si="134"/>
        <v>61.480000000000004</v>
      </c>
      <c r="L4334" t="str">
        <f t="shared" si="135"/>
        <v>Banca Calabra|2|Leasing</v>
      </c>
    </row>
    <row r="4335" spans="1:12" x14ac:dyDescent="0.25">
      <c r="A4335" t="s">
        <v>39</v>
      </c>
      <c r="B4335">
        <v>2</v>
      </c>
      <c r="C4335" t="s">
        <v>19</v>
      </c>
      <c r="D4335" s="1">
        <v>45351</v>
      </c>
      <c r="E4335">
        <v>3355.7</v>
      </c>
      <c r="F4335">
        <v>184.96</v>
      </c>
      <c r="G4335">
        <v>111.02</v>
      </c>
      <c r="H4335">
        <v>352</v>
      </c>
      <c r="I4335" t="s">
        <v>31</v>
      </c>
      <c r="J4335">
        <v>2024</v>
      </c>
      <c r="K4335">
        <f t="shared" si="134"/>
        <v>73.940000000000012</v>
      </c>
      <c r="L4335" t="str">
        <f t="shared" si="135"/>
        <v>Banca Calabra|2|Factoring</v>
      </c>
    </row>
    <row r="4336" spans="1:12" x14ac:dyDescent="0.25">
      <c r="A4336" t="s">
        <v>39</v>
      </c>
      <c r="B4336">
        <v>2</v>
      </c>
      <c r="C4336" t="s">
        <v>20</v>
      </c>
      <c r="D4336" s="1">
        <v>45351</v>
      </c>
      <c r="E4336">
        <v>3763.5</v>
      </c>
      <c r="F4336">
        <v>214.72</v>
      </c>
      <c r="G4336">
        <v>128.16999999999999</v>
      </c>
      <c r="H4336">
        <v>395</v>
      </c>
      <c r="I4336" t="s">
        <v>31</v>
      </c>
      <c r="J4336">
        <v>2024</v>
      </c>
      <c r="K4336">
        <f t="shared" si="134"/>
        <v>86.550000000000011</v>
      </c>
      <c r="L4336" t="str">
        <f t="shared" si="135"/>
        <v>Banca Calabra|2|Risparmio</v>
      </c>
    </row>
    <row r="4337" spans="1:12" x14ac:dyDescent="0.25">
      <c r="A4337" t="s">
        <v>39</v>
      </c>
      <c r="B4337">
        <v>2</v>
      </c>
      <c r="C4337" t="s">
        <v>21</v>
      </c>
      <c r="D4337" s="1">
        <v>45351</v>
      </c>
      <c r="E4337">
        <v>4183</v>
      </c>
      <c r="F4337">
        <v>247.17</v>
      </c>
      <c r="G4337">
        <v>146.47</v>
      </c>
      <c r="H4337">
        <v>432</v>
      </c>
      <c r="I4337" t="s">
        <v>31</v>
      </c>
      <c r="J4337">
        <v>2024</v>
      </c>
      <c r="K4337">
        <f t="shared" si="134"/>
        <v>100.69999999999999</v>
      </c>
      <c r="L4337" t="str">
        <f t="shared" si="135"/>
        <v>Banca Calabra|2|Assicurazioni</v>
      </c>
    </row>
    <row r="4338" spans="1:12" x14ac:dyDescent="0.25">
      <c r="A4338" t="s">
        <v>39</v>
      </c>
      <c r="B4338">
        <v>3</v>
      </c>
      <c r="C4338" t="s">
        <v>13</v>
      </c>
      <c r="D4338" s="1">
        <v>45382</v>
      </c>
      <c r="E4338">
        <v>1143.9000000000001</v>
      </c>
      <c r="F4338">
        <v>51.81</v>
      </c>
      <c r="G4338">
        <v>32.17</v>
      </c>
      <c r="H4338">
        <v>137</v>
      </c>
      <c r="I4338" t="s">
        <v>31</v>
      </c>
      <c r="J4338">
        <v>2024</v>
      </c>
      <c r="K4338">
        <f t="shared" si="134"/>
        <v>19.64</v>
      </c>
      <c r="L4338" t="str">
        <f t="shared" si="135"/>
        <v>Banca Calabra|3|Mutui</v>
      </c>
    </row>
    <row r="4339" spans="1:12" x14ac:dyDescent="0.25">
      <c r="A4339" t="s">
        <v>39</v>
      </c>
      <c r="B4339">
        <v>3</v>
      </c>
      <c r="C4339" t="s">
        <v>15</v>
      </c>
      <c r="D4339" s="1">
        <v>45382</v>
      </c>
      <c r="E4339">
        <v>1626.3</v>
      </c>
      <c r="F4339">
        <v>77.209999999999994</v>
      </c>
      <c r="G4339">
        <v>48</v>
      </c>
      <c r="H4339">
        <v>167</v>
      </c>
      <c r="I4339" t="s">
        <v>31</v>
      </c>
      <c r="J4339">
        <v>2024</v>
      </c>
      <c r="K4339">
        <f t="shared" si="134"/>
        <v>29.209999999999994</v>
      </c>
      <c r="L4339" t="str">
        <f t="shared" si="135"/>
        <v>Banca Calabra|3|Prestiti</v>
      </c>
    </row>
    <row r="4340" spans="1:12" x14ac:dyDescent="0.25">
      <c r="A4340" t="s">
        <v>39</v>
      </c>
      <c r="B4340">
        <v>3</v>
      </c>
      <c r="C4340" t="s">
        <v>16</v>
      </c>
      <c r="D4340" s="1">
        <v>45382</v>
      </c>
      <c r="E4340">
        <v>2055.4</v>
      </c>
      <c r="F4340">
        <v>101.33</v>
      </c>
      <c r="G4340">
        <v>61.86</v>
      </c>
      <c r="H4340">
        <v>214</v>
      </c>
      <c r="I4340" t="s">
        <v>31</v>
      </c>
      <c r="J4340">
        <v>2024</v>
      </c>
      <c r="K4340">
        <f t="shared" si="134"/>
        <v>39.47</v>
      </c>
      <c r="L4340" t="str">
        <f t="shared" si="135"/>
        <v>Banca Calabra|3|Conti</v>
      </c>
    </row>
    <row r="4341" spans="1:12" x14ac:dyDescent="0.25">
      <c r="A4341" t="s">
        <v>39</v>
      </c>
      <c r="B4341">
        <v>3</v>
      </c>
      <c r="C4341" t="s">
        <v>17</v>
      </c>
      <c r="D4341" s="1">
        <v>45382</v>
      </c>
      <c r="E4341">
        <v>2455.8000000000002</v>
      </c>
      <c r="F4341">
        <v>125.43</v>
      </c>
      <c r="G4341">
        <v>77.06</v>
      </c>
      <c r="H4341">
        <v>254</v>
      </c>
      <c r="I4341" t="s">
        <v>31</v>
      </c>
      <c r="J4341">
        <v>2024</v>
      </c>
      <c r="K4341">
        <f t="shared" si="134"/>
        <v>48.370000000000005</v>
      </c>
      <c r="L4341" t="str">
        <f t="shared" si="135"/>
        <v>Banca Calabra|3|Carte</v>
      </c>
    </row>
    <row r="4342" spans="1:12" x14ac:dyDescent="0.25">
      <c r="A4342" t="s">
        <v>39</v>
      </c>
      <c r="B4342">
        <v>3</v>
      </c>
      <c r="C4342" t="s">
        <v>18</v>
      </c>
      <c r="D4342" s="1">
        <v>45382</v>
      </c>
      <c r="E4342">
        <v>2951.5</v>
      </c>
      <c r="F4342">
        <v>156.56</v>
      </c>
      <c r="G4342">
        <v>95.3</v>
      </c>
      <c r="H4342">
        <v>318</v>
      </c>
      <c r="I4342" t="s">
        <v>31</v>
      </c>
      <c r="J4342">
        <v>2024</v>
      </c>
      <c r="K4342">
        <f t="shared" si="134"/>
        <v>61.260000000000005</v>
      </c>
      <c r="L4342" t="str">
        <f t="shared" si="135"/>
        <v>Banca Calabra|3|Leasing</v>
      </c>
    </row>
    <row r="4343" spans="1:12" x14ac:dyDescent="0.25">
      <c r="A4343" t="s">
        <v>39</v>
      </c>
      <c r="B4343">
        <v>3</v>
      </c>
      <c r="C4343" t="s">
        <v>19</v>
      </c>
      <c r="D4343" s="1">
        <v>45382</v>
      </c>
      <c r="E4343">
        <v>3389.1</v>
      </c>
      <c r="F4343">
        <v>187.3</v>
      </c>
      <c r="G4343">
        <v>112.81</v>
      </c>
      <c r="H4343">
        <v>341</v>
      </c>
      <c r="I4343" t="s">
        <v>31</v>
      </c>
      <c r="J4343">
        <v>2024</v>
      </c>
      <c r="K4343">
        <f t="shared" si="134"/>
        <v>74.490000000000009</v>
      </c>
      <c r="L4343" t="str">
        <f t="shared" si="135"/>
        <v>Banca Calabra|3|Factoring</v>
      </c>
    </row>
    <row r="4344" spans="1:12" x14ac:dyDescent="0.25">
      <c r="A4344" t="s">
        <v>39</v>
      </c>
      <c r="B4344">
        <v>3</v>
      </c>
      <c r="C4344" t="s">
        <v>20</v>
      </c>
      <c r="D4344" s="1">
        <v>45382</v>
      </c>
      <c r="E4344">
        <v>3777.2</v>
      </c>
      <c r="F4344">
        <v>215.67</v>
      </c>
      <c r="G4344">
        <v>128.97999999999999</v>
      </c>
      <c r="H4344">
        <v>385</v>
      </c>
      <c r="I4344" t="s">
        <v>31</v>
      </c>
      <c r="J4344">
        <v>2024</v>
      </c>
      <c r="K4344">
        <f t="shared" si="134"/>
        <v>86.69</v>
      </c>
      <c r="L4344" t="str">
        <f t="shared" si="135"/>
        <v>Banca Calabra|3|Risparmio</v>
      </c>
    </row>
    <row r="4345" spans="1:12" x14ac:dyDescent="0.25">
      <c r="A4345" t="s">
        <v>39</v>
      </c>
      <c r="B4345">
        <v>3</v>
      </c>
      <c r="C4345" t="s">
        <v>21</v>
      </c>
      <c r="D4345" s="1">
        <v>45382</v>
      </c>
      <c r="E4345">
        <v>4214.5</v>
      </c>
      <c r="F4345">
        <v>249.35</v>
      </c>
      <c r="G4345">
        <v>148.25</v>
      </c>
      <c r="H4345">
        <v>440</v>
      </c>
      <c r="I4345" t="s">
        <v>31</v>
      </c>
      <c r="J4345">
        <v>2024</v>
      </c>
      <c r="K4345">
        <f t="shared" si="134"/>
        <v>101.1</v>
      </c>
      <c r="L4345" t="str">
        <f t="shared" si="135"/>
        <v>Banca Calabra|3|Assicurazioni</v>
      </c>
    </row>
    <row r="4346" spans="1:12" x14ac:dyDescent="0.25">
      <c r="A4346" t="s">
        <v>39</v>
      </c>
      <c r="B4346">
        <v>4</v>
      </c>
      <c r="C4346" t="s">
        <v>13</v>
      </c>
      <c r="D4346" s="1">
        <v>45412</v>
      </c>
      <c r="E4346">
        <v>1175.7</v>
      </c>
      <c r="F4346">
        <v>53.47</v>
      </c>
      <c r="G4346">
        <v>32.93</v>
      </c>
      <c r="H4346">
        <v>152</v>
      </c>
      <c r="I4346" t="s">
        <v>31</v>
      </c>
      <c r="J4346">
        <v>2024</v>
      </c>
      <c r="K4346">
        <f t="shared" si="134"/>
        <v>20.54</v>
      </c>
      <c r="L4346" t="str">
        <f t="shared" si="135"/>
        <v>Banca Calabra|4|Mutui</v>
      </c>
    </row>
    <row r="4347" spans="1:12" x14ac:dyDescent="0.25">
      <c r="A4347" t="s">
        <v>39</v>
      </c>
      <c r="B4347">
        <v>4</v>
      </c>
      <c r="C4347" t="s">
        <v>15</v>
      </c>
      <c r="D4347" s="1">
        <v>45412</v>
      </c>
      <c r="E4347">
        <v>1614.5</v>
      </c>
      <c r="F4347">
        <v>75.88</v>
      </c>
      <c r="G4347">
        <v>47.67</v>
      </c>
      <c r="H4347">
        <v>180</v>
      </c>
      <c r="I4347" t="s">
        <v>31</v>
      </c>
      <c r="J4347">
        <v>2024</v>
      </c>
      <c r="K4347">
        <f t="shared" si="134"/>
        <v>28.209999999999994</v>
      </c>
      <c r="L4347" t="str">
        <f t="shared" si="135"/>
        <v>Banca Calabra|4|Prestiti</v>
      </c>
    </row>
    <row r="4348" spans="1:12" x14ac:dyDescent="0.25">
      <c r="A4348" t="s">
        <v>39</v>
      </c>
      <c r="B4348">
        <v>4</v>
      </c>
      <c r="C4348" t="s">
        <v>16</v>
      </c>
      <c r="D4348" s="1">
        <v>45412</v>
      </c>
      <c r="E4348">
        <v>2051.3000000000002</v>
      </c>
      <c r="F4348">
        <v>100.96</v>
      </c>
      <c r="G4348">
        <v>62.32</v>
      </c>
      <c r="H4348">
        <v>220</v>
      </c>
      <c r="I4348" t="s">
        <v>31</v>
      </c>
      <c r="J4348">
        <v>2024</v>
      </c>
      <c r="K4348">
        <f t="shared" si="134"/>
        <v>38.639999999999993</v>
      </c>
      <c r="L4348" t="str">
        <f t="shared" si="135"/>
        <v>Banca Calabra|4|Conti</v>
      </c>
    </row>
    <row r="4349" spans="1:12" x14ac:dyDescent="0.25">
      <c r="A4349" t="s">
        <v>39</v>
      </c>
      <c r="B4349">
        <v>4</v>
      </c>
      <c r="C4349" t="s">
        <v>17</v>
      </c>
      <c r="D4349" s="1">
        <v>45412</v>
      </c>
      <c r="E4349">
        <v>2477.6999999999998</v>
      </c>
      <c r="F4349">
        <v>126.84</v>
      </c>
      <c r="G4349">
        <v>77.14</v>
      </c>
      <c r="H4349">
        <v>268</v>
      </c>
      <c r="I4349" t="s">
        <v>31</v>
      </c>
      <c r="J4349">
        <v>2024</v>
      </c>
      <c r="K4349">
        <f t="shared" si="134"/>
        <v>49.7</v>
      </c>
      <c r="L4349" t="str">
        <f t="shared" si="135"/>
        <v>Banca Calabra|4|Carte</v>
      </c>
    </row>
    <row r="4350" spans="1:12" x14ac:dyDescent="0.25">
      <c r="A4350" t="s">
        <v>39</v>
      </c>
      <c r="B4350">
        <v>4</v>
      </c>
      <c r="C4350" t="s">
        <v>18</v>
      </c>
      <c r="D4350" s="1">
        <v>45412</v>
      </c>
      <c r="E4350">
        <v>2960.8</v>
      </c>
      <c r="F4350">
        <v>157.72</v>
      </c>
      <c r="G4350">
        <v>95.25</v>
      </c>
      <c r="H4350">
        <v>292</v>
      </c>
      <c r="I4350" t="s">
        <v>31</v>
      </c>
      <c r="J4350">
        <v>2024</v>
      </c>
      <c r="K4350">
        <f t="shared" si="134"/>
        <v>62.47</v>
      </c>
      <c r="L4350" t="str">
        <f t="shared" si="135"/>
        <v>Banca Calabra|4|Leasing</v>
      </c>
    </row>
    <row r="4351" spans="1:12" x14ac:dyDescent="0.25">
      <c r="A4351" t="s">
        <v>39</v>
      </c>
      <c r="B4351">
        <v>4</v>
      </c>
      <c r="C4351" t="s">
        <v>19</v>
      </c>
      <c r="D4351" s="1">
        <v>45412</v>
      </c>
      <c r="E4351">
        <v>3361.9</v>
      </c>
      <c r="F4351">
        <v>184.96</v>
      </c>
      <c r="G4351">
        <v>111.78</v>
      </c>
      <c r="H4351">
        <v>338</v>
      </c>
      <c r="I4351" t="s">
        <v>31</v>
      </c>
      <c r="J4351">
        <v>2024</v>
      </c>
      <c r="K4351">
        <f t="shared" si="134"/>
        <v>73.180000000000007</v>
      </c>
      <c r="L4351" t="str">
        <f t="shared" si="135"/>
        <v>Banca Calabra|4|Factoring</v>
      </c>
    </row>
    <row r="4352" spans="1:12" x14ac:dyDescent="0.25">
      <c r="A4352" t="s">
        <v>39</v>
      </c>
      <c r="B4352">
        <v>4</v>
      </c>
      <c r="C4352" t="s">
        <v>20</v>
      </c>
      <c r="D4352" s="1">
        <v>45412</v>
      </c>
      <c r="E4352">
        <v>3839.4</v>
      </c>
      <c r="F4352">
        <v>219.28</v>
      </c>
      <c r="G4352">
        <v>130.81</v>
      </c>
      <c r="H4352">
        <v>404</v>
      </c>
      <c r="I4352" t="s">
        <v>31</v>
      </c>
      <c r="J4352">
        <v>2024</v>
      </c>
      <c r="K4352">
        <f t="shared" si="134"/>
        <v>88.47</v>
      </c>
      <c r="L4352" t="str">
        <f t="shared" si="135"/>
        <v>Banca Calabra|4|Risparmio</v>
      </c>
    </row>
    <row r="4353" spans="1:12" x14ac:dyDescent="0.25">
      <c r="A4353" t="s">
        <v>39</v>
      </c>
      <c r="B4353">
        <v>4</v>
      </c>
      <c r="C4353" t="s">
        <v>21</v>
      </c>
      <c r="D4353" s="1">
        <v>45412</v>
      </c>
      <c r="E4353">
        <v>4290.7</v>
      </c>
      <c r="F4353">
        <v>253.27</v>
      </c>
      <c r="G4353">
        <v>151.06</v>
      </c>
      <c r="H4353">
        <v>430</v>
      </c>
      <c r="I4353" t="s">
        <v>31</v>
      </c>
      <c r="J4353">
        <v>2024</v>
      </c>
      <c r="K4353">
        <f t="shared" si="134"/>
        <v>102.21000000000001</v>
      </c>
      <c r="L4353" t="str">
        <f t="shared" si="135"/>
        <v>Banca Calabra|4|Assicurazioni</v>
      </c>
    </row>
    <row r="4354" spans="1:12" x14ac:dyDescent="0.25">
      <c r="A4354" t="s">
        <v>39</v>
      </c>
      <c r="B4354">
        <v>5</v>
      </c>
      <c r="C4354" t="s">
        <v>13</v>
      </c>
      <c r="D4354" s="1">
        <v>45443</v>
      </c>
      <c r="E4354">
        <v>1212.7</v>
      </c>
      <c r="F4354">
        <v>54.62</v>
      </c>
      <c r="G4354">
        <v>34.33</v>
      </c>
      <c r="H4354">
        <v>115</v>
      </c>
      <c r="I4354" t="s">
        <v>31</v>
      </c>
      <c r="J4354">
        <v>2024</v>
      </c>
      <c r="K4354">
        <f t="shared" ref="K4354:K4417" si="136">F4354-G4354</f>
        <v>20.29</v>
      </c>
      <c r="L4354" t="str">
        <f t="shared" ref="L4354:L4417" si="137">A4354&amp;"|"&amp;B4354&amp;"|"&amp;C4354</f>
        <v>Banca Calabra|5|Mutui</v>
      </c>
    </row>
    <row r="4355" spans="1:12" x14ac:dyDescent="0.25">
      <c r="A4355" t="s">
        <v>39</v>
      </c>
      <c r="B4355">
        <v>5</v>
      </c>
      <c r="C4355" t="s">
        <v>15</v>
      </c>
      <c r="D4355" s="1">
        <v>45443</v>
      </c>
      <c r="E4355">
        <v>1619.2</v>
      </c>
      <c r="F4355">
        <v>76.7</v>
      </c>
      <c r="G4355">
        <v>47.01</v>
      </c>
      <c r="H4355">
        <v>169</v>
      </c>
      <c r="I4355" t="s">
        <v>31</v>
      </c>
      <c r="J4355">
        <v>2024</v>
      </c>
      <c r="K4355">
        <f t="shared" si="136"/>
        <v>29.690000000000005</v>
      </c>
      <c r="L4355" t="str">
        <f t="shared" si="137"/>
        <v>Banca Calabra|5|Prestiti</v>
      </c>
    </row>
    <row r="4356" spans="1:12" x14ac:dyDescent="0.25">
      <c r="A4356" t="s">
        <v>39</v>
      </c>
      <c r="B4356">
        <v>5</v>
      </c>
      <c r="C4356" t="s">
        <v>16</v>
      </c>
      <c r="D4356" s="1">
        <v>45443</v>
      </c>
      <c r="E4356">
        <v>2095.3000000000002</v>
      </c>
      <c r="F4356">
        <v>103.04</v>
      </c>
      <c r="G4356">
        <v>62.98</v>
      </c>
      <c r="H4356">
        <v>236</v>
      </c>
      <c r="I4356" t="s">
        <v>31</v>
      </c>
      <c r="J4356">
        <v>2024</v>
      </c>
      <c r="K4356">
        <f t="shared" si="136"/>
        <v>40.060000000000009</v>
      </c>
      <c r="L4356" t="str">
        <f t="shared" si="137"/>
        <v>Banca Calabra|5|Conti</v>
      </c>
    </row>
    <row r="4357" spans="1:12" x14ac:dyDescent="0.25">
      <c r="A4357" t="s">
        <v>39</v>
      </c>
      <c r="B4357">
        <v>5</v>
      </c>
      <c r="C4357" t="s">
        <v>17</v>
      </c>
      <c r="D4357" s="1">
        <v>45443</v>
      </c>
      <c r="E4357">
        <v>2553.1999999999998</v>
      </c>
      <c r="F4357">
        <v>130.28</v>
      </c>
      <c r="G4357">
        <v>80</v>
      </c>
      <c r="H4357">
        <v>279</v>
      </c>
      <c r="I4357" t="s">
        <v>31</v>
      </c>
      <c r="J4357">
        <v>2024</v>
      </c>
      <c r="K4357">
        <f t="shared" si="136"/>
        <v>50.28</v>
      </c>
      <c r="L4357" t="str">
        <f t="shared" si="137"/>
        <v>Banca Calabra|5|Carte</v>
      </c>
    </row>
    <row r="4358" spans="1:12" x14ac:dyDescent="0.25">
      <c r="A4358" t="s">
        <v>39</v>
      </c>
      <c r="B4358">
        <v>5</v>
      </c>
      <c r="C4358" t="s">
        <v>18</v>
      </c>
      <c r="D4358" s="1">
        <v>45443</v>
      </c>
      <c r="E4358">
        <v>2988.2</v>
      </c>
      <c r="F4358">
        <v>158.54</v>
      </c>
      <c r="G4358">
        <v>96.22</v>
      </c>
      <c r="H4358">
        <v>322</v>
      </c>
      <c r="I4358" t="s">
        <v>31</v>
      </c>
      <c r="J4358">
        <v>2024</v>
      </c>
      <c r="K4358">
        <f t="shared" si="136"/>
        <v>62.319999999999993</v>
      </c>
      <c r="L4358" t="str">
        <f t="shared" si="137"/>
        <v>Banca Calabra|5|Leasing</v>
      </c>
    </row>
    <row r="4359" spans="1:12" x14ac:dyDescent="0.25">
      <c r="A4359" t="s">
        <v>39</v>
      </c>
      <c r="B4359">
        <v>5</v>
      </c>
      <c r="C4359" t="s">
        <v>19</v>
      </c>
      <c r="D4359" s="1">
        <v>45443</v>
      </c>
      <c r="E4359">
        <v>3395</v>
      </c>
      <c r="F4359">
        <v>186.9</v>
      </c>
      <c r="G4359">
        <v>112.98</v>
      </c>
      <c r="H4359">
        <v>355</v>
      </c>
      <c r="I4359" t="s">
        <v>31</v>
      </c>
      <c r="J4359">
        <v>2024</v>
      </c>
      <c r="K4359">
        <f t="shared" si="136"/>
        <v>73.92</v>
      </c>
      <c r="L4359" t="str">
        <f t="shared" si="137"/>
        <v>Banca Calabra|5|Factoring</v>
      </c>
    </row>
    <row r="4360" spans="1:12" x14ac:dyDescent="0.25">
      <c r="A4360" t="s">
        <v>39</v>
      </c>
      <c r="B4360">
        <v>5</v>
      </c>
      <c r="C4360" t="s">
        <v>20</v>
      </c>
      <c r="D4360" s="1">
        <v>45443</v>
      </c>
      <c r="E4360">
        <v>3866.2</v>
      </c>
      <c r="F4360">
        <v>220.96</v>
      </c>
      <c r="G4360">
        <v>132.37</v>
      </c>
      <c r="H4360">
        <v>398</v>
      </c>
      <c r="I4360" t="s">
        <v>31</v>
      </c>
      <c r="J4360">
        <v>2024</v>
      </c>
      <c r="K4360">
        <f t="shared" si="136"/>
        <v>88.59</v>
      </c>
      <c r="L4360" t="str">
        <f t="shared" si="137"/>
        <v>Banca Calabra|5|Risparmio</v>
      </c>
    </row>
    <row r="4361" spans="1:12" x14ac:dyDescent="0.25">
      <c r="A4361" t="s">
        <v>39</v>
      </c>
      <c r="B4361">
        <v>5</v>
      </c>
      <c r="C4361" t="s">
        <v>21</v>
      </c>
      <c r="D4361" s="1">
        <v>45443</v>
      </c>
      <c r="E4361">
        <v>4316.8</v>
      </c>
      <c r="F4361">
        <v>255.11</v>
      </c>
      <c r="G4361">
        <v>151.56</v>
      </c>
      <c r="H4361">
        <v>449</v>
      </c>
      <c r="I4361" t="s">
        <v>31</v>
      </c>
      <c r="J4361">
        <v>2024</v>
      </c>
      <c r="K4361">
        <f t="shared" si="136"/>
        <v>103.55000000000001</v>
      </c>
      <c r="L4361" t="str">
        <f t="shared" si="137"/>
        <v>Banca Calabra|5|Assicurazioni</v>
      </c>
    </row>
    <row r="4362" spans="1:12" x14ac:dyDescent="0.25">
      <c r="A4362" t="s">
        <v>39</v>
      </c>
      <c r="B4362">
        <v>6</v>
      </c>
      <c r="C4362" t="s">
        <v>13</v>
      </c>
      <c r="D4362" s="1">
        <v>45473</v>
      </c>
      <c r="E4362">
        <v>1221.8</v>
      </c>
      <c r="F4362">
        <v>54.99</v>
      </c>
      <c r="G4362">
        <v>34.74</v>
      </c>
      <c r="H4362">
        <v>133</v>
      </c>
      <c r="I4362" t="s">
        <v>31</v>
      </c>
      <c r="J4362">
        <v>2024</v>
      </c>
      <c r="K4362">
        <f t="shared" si="136"/>
        <v>20.25</v>
      </c>
      <c r="L4362" t="str">
        <f t="shared" si="137"/>
        <v>Banca Calabra|6|Mutui</v>
      </c>
    </row>
    <row r="4363" spans="1:12" x14ac:dyDescent="0.25">
      <c r="A4363" t="s">
        <v>39</v>
      </c>
      <c r="B4363">
        <v>6</v>
      </c>
      <c r="C4363" t="s">
        <v>15</v>
      </c>
      <c r="D4363" s="1">
        <v>45473</v>
      </c>
      <c r="E4363">
        <v>1661.4</v>
      </c>
      <c r="F4363">
        <v>78.41</v>
      </c>
      <c r="G4363">
        <v>48.54</v>
      </c>
      <c r="H4363">
        <v>190</v>
      </c>
      <c r="I4363" t="s">
        <v>31</v>
      </c>
      <c r="J4363">
        <v>2024</v>
      </c>
      <c r="K4363">
        <f t="shared" si="136"/>
        <v>29.869999999999997</v>
      </c>
      <c r="L4363" t="str">
        <f t="shared" si="137"/>
        <v>Banca Calabra|6|Prestiti</v>
      </c>
    </row>
    <row r="4364" spans="1:12" x14ac:dyDescent="0.25">
      <c r="A4364" t="s">
        <v>39</v>
      </c>
      <c r="B4364">
        <v>6</v>
      </c>
      <c r="C4364" t="s">
        <v>16</v>
      </c>
      <c r="D4364" s="1">
        <v>45473</v>
      </c>
      <c r="E4364">
        <v>2091.8000000000002</v>
      </c>
      <c r="F4364">
        <v>102.77</v>
      </c>
      <c r="G4364">
        <v>63.74</v>
      </c>
      <c r="H4364">
        <v>224</v>
      </c>
      <c r="I4364" t="s">
        <v>31</v>
      </c>
      <c r="J4364">
        <v>2024</v>
      </c>
      <c r="K4364">
        <f t="shared" si="136"/>
        <v>39.029999999999994</v>
      </c>
      <c r="L4364" t="str">
        <f t="shared" si="137"/>
        <v>Banca Calabra|6|Conti</v>
      </c>
    </row>
    <row r="4365" spans="1:12" x14ac:dyDescent="0.25">
      <c r="A4365" t="s">
        <v>39</v>
      </c>
      <c r="B4365">
        <v>6</v>
      </c>
      <c r="C4365" t="s">
        <v>17</v>
      </c>
      <c r="D4365" s="1">
        <v>45473</v>
      </c>
      <c r="E4365">
        <v>2571.1</v>
      </c>
      <c r="F4365">
        <v>131.58000000000001</v>
      </c>
      <c r="G4365">
        <v>80.13</v>
      </c>
      <c r="H4365">
        <v>277</v>
      </c>
      <c r="I4365" t="s">
        <v>31</v>
      </c>
      <c r="J4365">
        <v>2024</v>
      </c>
      <c r="K4365">
        <f t="shared" si="136"/>
        <v>51.450000000000017</v>
      </c>
      <c r="L4365" t="str">
        <f t="shared" si="137"/>
        <v>Banca Calabra|6|Carte</v>
      </c>
    </row>
    <row r="4366" spans="1:12" x14ac:dyDescent="0.25">
      <c r="A4366" t="s">
        <v>39</v>
      </c>
      <c r="B4366">
        <v>6</v>
      </c>
      <c r="C4366" t="s">
        <v>18</v>
      </c>
      <c r="D4366" s="1">
        <v>45473</v>
      </c>
      <c r="E4366">
        <v>3016</v>
      </c>
      <c r="F4366">
        <v>160.5</v>
      </c>
      <c r="G4366">
        <v>96.88</v>
      </c>
      <c r="H4366">
        <v>312</v>
      </c>
      <c r="I4366" t="s">
        <v>31</v>
      </c>
      <c r="J4366">
        <v>2024</v>
      </c>
      <c r="K4366">
        <f t="shared" si="136"/>
        <v>63.620000000000005</v>
      </c>
      <c r="L4366" t="str">
        <f t="shared" si="137"/>
        <v>Banca Calabra|6|Leasing</v>
      </c>
    </row>
    <row r="4367" spans="1:12" x14ac:dyDescent="0.25">
      <c r="A4367" t="s">
        <v>39</v>
      </c>
      <c r="B4367">
        <v>6</v>
      </c>
      <c r="C4367" t="s">
        <v>19</v>
      </c>
      <c r="D4367" s="1">
        <v>45473</v>
      </c>
      <c r="E4367">
        <v>3445.1</v>
      </c>
      <c r="F4367">
        <v>189.93</v>
      </c>
      <c r="G4367">
        <v>114.11</v>
      </c>
      <c r="H4367">
        <v>337</v>
      </c>
      <c r="I4367" t="s">
        <v>31</v>
      </c>
      <c r="J4367">
        <v>2024</v>
      </c>
      <c r="K4367">
        <f t="shared" si="136"/>
        <v>75.820000000000007</v>
      </c>
      <c r="L4367" t="str">
        <f t="shared" si="137"/>
        <v>Banca Calabra|6|Factoring</v>
      </c>
    </row>
    <row r="4368" spans="1:12" x14ac:dyDescent="0.25">
      <c r="A4368" t="s">
        <v>39</v>
      </c>
      <c r="B4368">
        <v>6</v>
      </c>
      <c r="C4368" t="s">
        <v>20</v>
      </c>
      <c r="D4368" s="1">
        <v>45473</v>
      </c>
      <c r="E4368">
        <v>3895.6</v>
      </c>
      <c r="F4368">
        <v>222.64</v>
      </c>
      <c r="G4368">
        <v>133.41</v>
      </c>
      <c r="H4368">
        <v>410</v>
      </c>
      <c r="I4368" t="s">
        <v>31</v>
      </c>
      <c r="J4368">
        <v>2024</v>
      </c>
      <c r="K4368">
        <f t="shared" si="136"/>
        <v>89.22999999999999</v>
      </c>
      <c r="L4368" t="str">
        <f t="shared" si="137"/>
        <v>Banca Calabra|6|Risparmio</v>
      </c>
    </row>
    <row r="4369" spans="1:12" x14ac:dyDescent="0.25">
      <c r="A4369" t="s">
        <v>39</v>
      </c>
      <c r="B4369">
        <v>6</v>
      </c>
      <c r="C4369" t="s">
        <v>21</v>
      </c>
      <c r="D4369" s="1">
        <v>45473</v>
      </c>
      <c r="E4369">
        <v>4357.3999999999996</v>
      </c>
      <c r="F4369">
        <v>257.73</v>
      </c>
      <c r="G4369">
        <v>152.62</v>
      </c>
      <c r="H4369">
        <v>421</v>
      </c>
      <c r="I4369" t="s">
        <v>31</v>
      </c>
      <c r="J4369">
        <v>2024</v>
      </c>
      <c r="K4369">
        <f t="shared" si="136"/>
        <v>105.11000000000001</v>
      </c>
      <c r="L4369" t="str">
        <f t="shared" si="137"/>
        <v>Banca Calabra|6|Assicurazioni</v>
      </c>
    </row>
    <row r="4370" spans="1:12" x14ac:dyDescent="0.25">
      <c r="A4370" t="s">
        <v>39</v>
      </c>
      <c r="B4370">
        <v>7</v>
      </c>
      <c r="C4370" t="s">
        <v>13</v>
      </c>
      <c r="D4370" s="1">
        <v>45504</v>
      </c>
      <c r="E4370">
        <v>1201</v>
      </c>
      <c r="F4370">
        <v>54.87</v>
      </c>
      <c r="G4370">
        <v>33.75</v>
      </c>
      <c r="H4370">
        <v>123</v>
      </c>
      <c r="I4370" t="s">
        <v>31</v>
      </c>
      <c r="J4370">
        <v>2024</v>
      </c>
      <c r="K4370">
        <f t="shared" si="136"/>
        <v>21.119999999999997</v>
      </c>
      <c r="L4370" t="str">
        <f t="shared" si="137"/>
        <v>Banca Calabra|7|Mutui</v>
      </c>
    </row>
    <row r="4371" spans="1:12" x14ac:dyDescent="0.25">
      <c r="A4371" t="s">
        <v>39</v>
      </c>
      <c r="B4371">
        <v>7</v>
      </c>
      <c r="C4371" t="s">
        <v>15</v>
      </c>
      <c r="D4371" s="1">
        <v>45504</v>
      </c>
      <c r="E4371">
        <v>1642.1</v>
      </c>
      <c r="F4371">
        <v>77.78</v>
      </c>
      <c r="G4371">
        <v>47.93</v>
      </c>
      <c r="H4371">
        <v>186</v>
      </c>
      <c r="I4371" t="s">
        <v>31</v>
      </c>
      <c r="J4371">
        <v>2024</v>
      </c>
      <c r="K4371">
        <f t="shared" si="136"/>
        <v>29.85</v>
      </c>
      <c r="L4371" t="str">
        <f t="shared" si="137"/>
        <v>Banca Calabra|7|Prestiti</v>
      </c>
    </row>
    <row r="4372" spans="1:12" x14ac:dyDescent="0.25">
      <c r="A4372" t="s">
        <v>39</v>
      </c>
      <c r="B4372">
        <v>7</v>
      </c>
      <c r="C4372" t="s">
        <v>16</v>
      </c>
      <c r="D4372" s="1">
        <v>45504</v>
      </c>
      <c r="E4372">
        <v>2129.4</v>
      </c>
      <c r="F4372">
        <v>105.34</v>
      </c>
      <c r="G4372">
        <v>64.5</v>
      </c>
      <c r="H4372">
        <v>239</v>
      </c>
      <c r="I4372" t="s">
        <v>31</v>
      </c>
      <c r="J4372">
        <v>2024</v>
      </c>
      <c r="K4372">
        <f t="shared" si="136"/>
        <v>40.840000000000003</v>
      </c>
      <c r="L4372" t="str">
        <f t="shared" si="137"/>
        <v>Banca Calabra|7|Conti</v>
      </c>
    </row>
    <row r="4373" spans="1:12" x14ac:dyDescent="0.25">
      <c r="A4373" t="s">
        <v>39</v>
      </c>
      <c r="B4373">
        <v>7</v>
      </c>
      <c r="C4373" t="s">
        <v>17</v>
      </c>
      <c r="D4373" s="1">
        <v>45504</v>
      </c>
      <c r="E4373">
        <v>2589</v>
      </c>
      <c r="F4373">
        <v>132.68</v>
      </c>
      <c r="G4373">
        <v>81.09</v>
      </c>
      <c r="H4373">
        <v>279</v>
      </c>
      <c r="I4373" t="s">
        <v>31</v>
      </c>
      <c r="J4373">
        <v>2024</v>
      </c>
      <c r="K4373">
        <f t="shared" si="136"/>
        <v>51.59</v>
      </c>
      <c r="L4373" t="str">
        <f t="shared" si="137"/>
        <v>Banca Calabra|7|Carte</v>
      </c>
    </row>
    <row r="4374" spans="1:12" x14ac:dyDescent="0.25">
      <c r="A4374" t="s">
        <v>39</v>
      </c>
      <c r="B4374">
        <v>7</v>
      </c>
      <c r="C4374" t="s">
        <v>18</v>
      </c>
      <c r="D4374" s="1">
        <v>45504</v>
      </c>
      <c r="E4374">
        <v>3012.2</v>
      </c>
      <c r="F4374">
        <v>160.55000000000001</v>
      </c>
      <c r="G4374">
        <v>96.52</v>
      </c>
      <c r="H4374">
        <v>294</v>
      </c>
      <c r="I4374" t="s">
        <v>31</v>
      </c>
      <c r="J4374">
        <v>2024</v>
      </c>
      <c r="K4374">
        <f t="shared" si="136"/>
        <v>64.030000000000015</v>
      </c>
      <c r="L4374" t="str">
        <f t="shared" si="137"/>
        <v>Banca Calabra|7|Leasing</v>
      </c>
    </row>
    <row r="4375" spans="1:12" x14ac:dyDescent="0.25">
      <c r="A4375" t="s">
        <v>39</v>
      </c>
      <c r="B4375">
        <v>7</v>
      </c>
      <c r="C4375" t="s">
        <v>19</v>
      </c>
      <c r="D4375" s="1">
        <v>45504</v>
      </c>
      <c r="E4375">
        <v>3468.9</v>
      </c>
      <c r="F4375">
        <v>191.09</v>
      </c>
      <c r="G4375">
        <v>115.46</v>
      </c>
      <c r="H4375">
        <v>360</v>
      </c>
      <c r="I4375" t="s">
        <v>31</v>
      </c>
      <c r="J4375">
        <v>2024</v>
      </c>
      <c r="K4375">
        <f t="shared" si="136"/>
        <v>75.63000000000001</v>
      </c>
      <c r="L4375" t="str">
        <f t="shared" si="137"/>
        <v>Banca Calabra|7|Factoring</v>
      </c>
    </row>
    <row r="4376" spans="1:12" x14ac:dyDescent="0.25">
      <c r="A4376" t="s">
        <v>39</v>
      </c>
      <c r="B4376">
        <v>7</v>
      </c>
      <c r="C4376" t="s">
        <v>20</v>
      </c>
      <c r="D4376" s="1">
        <v>45504</v>
      </c>
      <c r="E4376">
        <v>3948.6</v>
      </c>
      <c r="F4376">
        <v>225.41</v>
      </c>
      <c r="G4376">
        <v>134.49</v>
      </c>
      <c r="H4376">
        <v>388</v>
      </c>
      <c r="I4376" t="s">
        <v>31</v>
      </c>
      <c r="J4376">
        <v>2024</v>
      </c>
      <c r="K4376">
        <f t="shared" si="136"/>
        <v>90.919999999999987</v>
      </c>
      <c r="L4376" t="str">
        <f t="shared" si="137"/>
        <v>Banca Calabra|7|Risparmio</v>
      </c>
    </row>
    <row r="4377" spans="1:12" x14ac:dyDescent="0.25">
      <c r="A4377" t="s">
        <v>39</v>
      </c>
      <c r="B4377">
        <v>7</v>
      </c>
      <c r="C4377" t="s">
        <v>21</v>
      </c>
      <c r="D4377" s="1">
        <v>45504</v>
      </c>
      <c r="E4377">
        <v>4390.7</v>
      </c>
      <c r="F4377">
        <v>259.58</v>
      </c>
      <c r="G4377">
        <v>153.82</v>
      </c>
      <c r="H4377">
        <v>432</v>
      </c>
      <c r="I4377" t="s">
        <v>31</v>
      </c>
      <c r="J4377">
        <v>2024</v>
      </c>
      <c r="K4377">
        <f t="shared" si="136"/>
        <v>105.75999999999999</v>
      </c>
      <c r="L4377" t="str">
        <f t="shared" si="137"/>
        <v>Banca Calabra|7|Assicurazioni</v>
      </c>
    </row>
    <row r="4378" spans="1:12" x14ac:dyDescent="0.25">
      <c r="A4378" t="s">
        <v>39</v>
      </c>
      <c r="B4378">
        <v>8</v>
      </c>
      <c r="C4378" t="s">
        <v>13</v>
      </c>
      <c r="D4378" s="1">
        <v>45535</v>
      </c>
      <c r="E4378">
        <v>1223.8</v>
      </c>
      <c r="F4378">
        <v>55.21</v>
      </c>
      <c r="G4378">
        <v>34.94</v>
      </c>
      <c r="H4378">
        <v>130</v>
      </c>
      <c r="I4378" t="s">
        <v>31</v>
      </c>
      <c r="J4378">
        <v>2024</v>
      </c>
      <c r="K4378">
        <f t="shared" si="136"/>
        <v>20.270000000000003</v>
      </c>
      <c r="L4378" t="str">
        <f t="shared" si="137"/>
        <v>Banca Calabra|8|Mutui</v>
      </c>
    </row>
    <row r="4379" spans="1:12" x14ac:dyDescent="0.25">
      <c r="A4379" t="s">
        <v>39</v>
      </c>
      <c r="B4379">
        <v>8</v>
      </c>
      <c r="C4379" t="s">
        <v>15</v>
      </c>
      <c r="D4379" s="1">
        <v>45535</v>
      </c>
      <c r="E4379">
        <v>1678.7</v>
      </c>
      <c r="F4379">
        <v>79.87</v>
      </c>
      <c r="G4379">
        <v>49.65</v>
      </c>
      <c r="H4379">
        <v>159</v>
      </c>
      <c r="I4379" t="s">
        <v>31</v>
      </c>
      <c r="J4379">
        <v>2024</v>
      </c>
      <c r="K4379">
        <f t="shared" si="136"/>
        <v>30.220000000000006</v>
      </c>
      <c r="L4379" t="str">
        <f t="shared" si="137"/>
        <v>Banca Calabra|8|Prestiti</v>
      </c>
    </row>
    <row r="4380" spans="1:12" x14ac:dyDescent="0.25">
      <c r="A4380" t="s">
        <v>39</v>
      </c>
      <c r="B4380">
        <v>8</v>
      </c>
      <c r="C4380" t="s">
        <v>16</v>
      </c>
      <c r="D4380" s="1">
        <v>45535</v>
      </c>
      <c r="E4380">
        <v>2123.6999999999998</v>
      </c>
      <c r="F4380">
        <v>104.87</v>
      </c>
      <c r="G4380">
        <v>63.91</v>
      </c>
      <c r="H4380">
        <v>229</v>
      </c>
      <c r="I4380" t="s">
        <v>31</v>
      </c>
      <c r="J4380">
        <v>2024</v>
      </c>
      <c r="K4380">
        <f t="shared" si="136"/>
        <v>40.960000000000008</v>
      </c>
      <c r="L4380" t="str">
        <f t="shared" si="137"/>
        <v>Banca Calabra|8|Conti</v>
      </c>
    </row>
    <row r="4381" spans="1:12" x14ac:dyDescent="0.25">
      <c r="A4381" t="s">
        <v>39</v>
      </c>
      <c r="B4381">
        <v>8</v>
      </c>
      <c r="C4381" t="s">
        <v>17</v>
      </c>
      <c r="D4381" s="1">
        <v>45535</v>
      </c>
      <c r="E4381">
        <v>2558.1999999999998</v>
      </c>
      <c r="F4381">
        <v>131.16</v>
      </c>
      <c r="G4381">
        <v>80.17</v>
      </c>
      <c r="H4381">
        <v>270</v>
      </c>
      <c r="I4381" t="s">
        <v>31</v>
      </c>
      <c r="J4381">
        <v>2024</v>
      </c>
      <c r="K4381">
        <f t="shared" si="136"/>
        <v>50.989999999999995</v>
      </c>
      <c r="L4381" t="str">
        <f t="shared" si="137"/>
        <v>Banca Calabra|8|Carte</v>
      </c>
    </row>
    <row r="4382" spans="1:12" x14ac:dyDescent="0.25">
      <c r="A4382" t="s">
        <v>39</v>
      </c>
      <c r="B4382">
        <v>8</v>
      </c>
      <c r="C4382" t="s">
        <v>18</v>
      </c>
      <c r="D4382" s="1">
        <v>45535</v>
      </c>
      <c r="E4382">
        <v>3034.3</v>
      </c>
      <c r="F4382">
        <v>161.43</v>
      </c>
      <c r="G4382">
        <v>97.61</v>
      </c>
      <c r="H4382">
        <v>316</v>
      </c>
      <c r="I4382" t="s">
        <v>31</v>
      </c>
      <c r="J4382">
        <v>2024</v>
      </c>
      <c r="K4382">
        <f t="shared" si="136"/>
        <v>63.820000000000007</v>
      </c>
      <c r="L4382" t="str">
        <f t="shared" si="137"/>
        <v>Banca Calabra|8|Leasing</v>
      </c>
    </row>
    <row r="4383" spans="1:12" x14ac:dyDescent="0.25">
      <c r="A4383" t="s">
        <v>39</v>
      </c>
      <c r="B4383">
        <v>8</v>
      </c>
      <c r="C4383" t="s">
        <v>19</v>
      </c>
      <c r="D4383" s="1">
        <v>45535</v>
      </c>
      <c r="E4383">
        <v>3497</v>
      </c>
      <c r="F4383">
        <v>193.1</v>
      </c>
      <c r="G4383">
        <v>115.59</v>
      </c>
      <c r="H4383">
        <v>335</v>
      </c>
      <c r="I4383" t="s">
        <v>31</v>
      </c>
      <c r="J4383">
        <v>2024</v>
      </c>
      <c r="K4383">
        <f t="shared" si="136"/>
        <v>77.509999999999991</v>
      </c>
      <c r="L4383" t="str">
        <f t="shared" si="137"/>
        <v>Banca Calabra|8|Factoring</v>
      </c>
    </row>
    <row r="4384" spans="1:12" x14ac:dyDescent="0.25">
      <c r="A4384" t="s">
        <v>39</v>
      </c>
      <c r="B4384">
        <v>8</v>
      </c>
      <c r="C4384" t="s">
        <v>20</v>
      </c>
      <c r="D4384" s="1">
        <v>45535</v>
      </c>
      <c r="E4384">
        <v>3966.9</v>
      </c>
      <c r="F4384">
        <v>226.61</v>
      </c>
      <c r="G4384">
        <v>135.24</v>
      </c>
      <c r="H4384">
        <v>381</v>
      </c>
      <c r="I4384" t="s">
        <v>31</v>
      </c>
      <c r="J4384">
        <v>2024</v>
      </c>
      <c r="K4384">
        <f t="shared" si="136"/>
        <v>91.37</v>
      </c>
      <c r="L4384" t="str">
        <f t="shared" si="137"/>
        <v>Banca Calabra|8|Risparmio</v>
      </c>
    </row>
    <row r="4385" spans="1:12" x14ac:dyDescent="0.25">
      <c r="A4385" t="s">
        <v>39</v>
      </c>
      <c r="B4385">
        <v>8</v>
      </c>
      <c r="C4385" t="s">
        <v>21</v>
      </c>
      <c r="D4385" s="1">
        <v>45535</v>
      </c>
      <c r="E4385">
        <v>4419.8999999999996</v>
      </c>
      <c r="F4385">
        <v>261</v>
      </c>
      <c r="G4385">
        <v>155.4</v>
      </c>
      <c r="H4385">
        <v>439</v>
      </c>
      <c r="I4385" t="s">
        <v>31</v>
      </c>
      <c r="J4385">
        <v>2024</v>
      </c>
      <c r="K4385">
        <f t="shared" si="136"/>
        <v>105.6</v>
      </c>
      <c r="L4385" t="str">
        <f t="shared" si="137"/>
        <v>Banca Calabra|8|Assicurazioni</v>
      </c>
    </row>
    <row r="4386" spans="1:12" x14ac:dyDescent="0.25">
      <c r="A4386" t="s">
        <v>39</v>
      </c>
      <c r="B4386">
        <v>9</v>
      </c>
      <c r="C4386" t="s">
        <v>13</v>
      </c>
      <c r="D4386" s="1">
        <v>45565</v>
      </c>
      <c r="E4386">
        <v>1231</v>
      </c>
      <c r="F4386">
        <v>55.73</v>
      </c>
      <c r="G4386">
        <v>35.409999999999997</v>
      </c>
      <c r="H4386">
        <v>127</v>
      </c>
      <c r="I4386" t="s">
        <v>31</v>
      </c>
      <c r="J4386">
        <v>2024</v>
      </c>
      <c r="K4386">
        <f t="shared" si="136"/>
        <v>20.32</v>
      </c>
      <c r="L4386" t="str">
        <f t="shared" si="137"/>
        <v>Banca Calabra|9|Mutui</v>
      </c>
    </row>
    <row r="4387" spans="1:12" x14ac:dyDescent="0.25">
      <c r="A4387" t="s">
        <v>39</v>
      </c>
      <c r="B4387">
        <v>9</v>
      </c>
      <c r="C4387" t="s">
        <v>15</v>
      </c>
      <c r="D4387" s="1">
        <v>45565</v>
      </c>
      <c r="E4387">
        <v>1692.7</v>
      </c>
      <c r="F4387">
        <v>79.7</v>
      </c>
      <c r="G4387">
        <v>49.6</v>
      </c>
      <c r="H4387">
        <v>169</v>
      </c>
      <c r="I4387" t="s">
        <v>31</v>
      </c>
      <c r="J4387">
        <v>2024</v>
      </c>
      <c r="K4387">
        <f t="shared" si="136"/>
        <v>30.1</v>
      </c>
      <c r="L4387" t="str">
        <f t="shared" si="137"/>
        <v>Banca Calabra|9|Prestiti</v>
      </c>
    </row>
    <row r="4388" spans="1:12" x14ac:dyDescent="0.25">
      <c r="A4388" t="s">
        <v>39</v>
      </c>
      <c r="B4388">
        <v>9</v>
      </c>
      <c r="C4388" t="s">
        <v>16</v>
      </c>
      <c r="D4388" s="1">
        <v>45565</v>
      </c>
      <c r="E4388">
        <v>2151.9</v>
      </c>
      <c r="F4388">
        <v>106.1</v>
      </c>
      <c r="G4388">
        <v>65</v>
      </c>
      <c r="H4388">
        <v>201</v>
      </c>
      <c r="I4388" t="s">
        <v>31</v>
      </c>
      <c r="J4388">
        <v>2024</v>
      </c>
      <c r="K4388">
        <f t="shared" si="136"/>
        <v>41.099999999999994</v>
      </c>
      <c r="L4388" t="str">
        <f t="shared" si="137"/>
        <v>Banca Calabra|9|Conti</v>
      </c>
    </row>
    <row r="4389" spans="1:12" x14ac:dyDescent="0.25">
      <c r="A4389" t="s">
        <v>39</v>
      </c>
      <c r="B4389">
        <v>9</v>
      </c>
      <c r="C4389" t="s">
        <v>17</v>
      </c>
      <c r="D4389" s="1">
        <v>45565</v>
      </c>
      <c r="E4389">
        <v>2571.6</v>
      </c>
      <c r="F4389">
        <v>131.78</v>
      </c>
      <c r="G4389">
        <v>80.64</v>
      </c>
      <c r="H4389">
        <v>277</v>
      </c>
      <c r="I4389" t="s">
        <v>31</v>
      </c>
      <c r="J4389">
        <v>2024</v>
      </c>
      <c r="K4389">
        <f t="shared" si="136"/>
        <v>51.14</v>
      </c>
      <c r="L4389" t="str">
        <f t="shared" si="137"/>
        <v>Banca Calabra|9|Carte</v>
      </c>
    </row>
    <row r="4390" spans="1:12" x14ac:dyDescent="0.25">
      <c r="A4390" t="s">
        <v>39</v>
      </c>
      <c r="B4390">
        <v>9</v>
      </c>
      <c r="C4390" t="s">
        <v>18</v>
      </c>
      <c r="D4390" s="1">
        <v>45565</v>
      </c>
      <c r="E4390">
        <v>3030.7</v>
      </c>
      <c r="F4390">
        <v>161.41</v>
      </c>
      <c r="G4390">
        <v>97.77</v>
      </c>
      <c r="H4390">
        <v>296</v>
      </c>
      <c r="I4390" t="s">
        <v>31</v>
      </c>
      <c r="J4390">
        <v>2024</v>
      </c>
      <c r="K4390">
        <f t="shared" si="136"/>
        <v>63.64</v>
      </c>
      <c r="L4390" t="str">
        <f t="shared" si="137"/>
        <v>Banca Calabra|9|Leasing</v>
      </c>
    </row>
    <row r="4391" spans="1:12" x14ac:dyDescent="0.25">
      <c r="A4391" t="s">
        <v>39</v>
      </c>
      <c r="B4391">
        <v>9</v>
      </c>
      <c r="C4391" t="s">
        <v>19</v>
      </c>
      <c r="D4391" s="1">
        <v>45565</v>
      </c>
      <c r="E4391">
        <v>3528.5</v>
      </c>
      <c r="F4391">
        <v>194.51</v>
      </c>
      <c r="G4391">
        <v>117.36</v>
      </c>
      <c r="H4391">
        <v>366</v>
      </c>
      <c r="I4391" t="s">
        <v>31</v>
      </c>
      <c r="J4391">
        <v>2024</v>
      </c>
      <c r="K4391">
        <f t="shared" si="136"/>
        <v>77.149999999999991</v>
      </c>
      <c r="L4391" t="str">
        <f t="shared" si="137"/>
        <v>Banca Calabra|9|Factoring</v>
      </c>
    </row>
    <row r="4392" spans="1:12" x14ac:dyDescent="0.25">
      <c r="A4392" t="s">
        <v>39</v>
      </c>
      <c r="B4392">
        <v>9</v>
      </c>
      <c r="C4392" t="s">
        <v>20</v>
      </c>
      <c r="D4392" s="1">
        <v>45565</v>
      </c>
      <c r="E4392">
        <v>4005.7</v>
      </c>
      <c r="F4392">
        <v>229.31</v>
      </c>
      <c r="G4392">
        <v>136.44</v>
      </c>
      <c r="H4392">
        <v>374</v>
      </c>
      <c r="I4392" t="s">
        <v>31</v>
      </c>
      <c r="J4392">
        <v>2024</v>
      </c>
      <c r="K4392">
        <f t="shared" si="136"/>
        <v>92.87</v>
      </c>
      <c r="L4392" t="str">
        <f t="shared" si="137"/>
        <v>Banca Calabra|9|Risparmio</v>
      </c>
    </row>
    <row r="4393" spans="1:12" x14ac:dyDescent="0.25">
      <c r="A4393" t="s">
        <v>39</v>
      </c>
      <c r="B4393">
        <v>9</v>
      </c>
      <c r="C4393" t="s">
        <v>21</v>
      </c>
      <c r="D4393" s="1">
        <v>45565</v>
      </c>
      <c r="E4393">
        <v>4444.1000000000004</v>
      </c>
      <c r="F4393">
        <v>262.87</v>
      </c>
      <c r="G4393">
        <v>155.71</v>
      </c>
      <c r="H4393">
        <v>417</v>
      </c>
      <c r="I4393" t="s">
        <v>31</v>
      </c>
      <c r="J4393">
        <v>2024</v>
      </c>
      <c r="K4393">
        <f t="shared" si="136"/>
        <v>107.16</v>
      </c>
      <c r="L4393" t="str">
        <f t="shared" si="137"/>
        <v>Banca Calabra|9|Assicurazioni</v>
      </c>
    </row>
    <row r="4394" spans="1:12" x14ac:dyDescent="0.25">
      <c r="A4394" t="s">
        <v>39</v>
      </c>
      <c r="B4394">
        <v>10</v>
      </c>
      <c r="C4394" t="s">
        <v>13</v>
      </c>
      <c r="D4394" s="1">
        <v>45596</v>
      </c>
      <c r="E4394">
        <v>1210.8</v>
      </c>
      <c r="F4394">
        <v>54.74</v>
      </c>
      <c r="G4394">
        <v>34.78</v>
      </c>
      <c r="H4394">
        <v>135</v>
      </c>
      <c r="I4394" t="s">
        <v>31</v>
      </c>
      <c r="J4394">
        <v>2024</v>
      </c>
      <c r="K4394">
        <f t="shared" si="136"/>
        <v>19.96</v>
      </c>
      <c r="L4394" t="str">
        <f t="shared" si="137"/>
        <v>Banca Calabra|10|Mutui</v>
      </c>
    </row>
    <row r="4395" spans="1:12" x14ac:dyDescent="0.25">
      <c r="A4395" t="s">
        <v>39</v>
      </c>
      <c r="B4395">
        <v>10</v>
      </c>
      <c r="C4395" t="s">
        <v>15</v>
      </c>
      <c r="D4395" s="1">
        <v>45596</v>
      </c>
      <c r="E4395">
        <v>1686</v>
      </c>
      <c r="F4395">
        <v>79.290000000000006</v>
      </c>
      <c r="G4395">
        <v>49.23</v>
      </c>
      <c r="H4395">
        <v>167</v>
      </c>
      <c r="I4395" t="s">
        <v>31</v>
      </c>
      <c r="J4395">
        <v>2024</v>
      </c>
      <c r="K4395">
        <f t="shared" si="136"/>
        <v>30.060000000000009</v>
      </c>
      <c r="L4395" t="str">
        <f t="shared" si="137"/>
        <v>Banca Calabra|10|Prestiti</v>
      </c>
    </row>
    <row r="4396" spans="1:12" x14ac:dyDescent="0.25">
      <c r="A4396" t="s">
        <v>39</v>
      </c>
      <c r="B4396">
        <v>10</v>
      </c>
      <c r="C4396" t="s">
        <v>16</v>
      </c>
      <c r="D4396" s="1">
        <v>45596</v>
      </c>
      <c r="E4396">
        <v>2167.9</v>
      </c>
      <c r="F4396">
        <v>106.54</v>
      </c>
      <c r="G4396">
        <v>65.88</v>
      </c>
      <c r="H4396">
        <v>224</v>
      </c>
      <c r="I4396" t="s">
        <v>31</v>
      </c>
      <c r="J4396">
        <v>2024</v>
      </c>
      <c r="K4396">
        <f t="shared" si="136"/>
        <v>40.660000000000011</v>
      </c>
      <c r="L4396" t="str">
        <f t="shared" si="137"/>
        <v>Banca Calabra|10|Conti</v>
      </c>
    </row>
    <row r="4397" spans="1:12" x14ac:dyDescent="0.25">
      <c r="A4397" t="s">
        <v>39</v>
      </c>
      <c r="B4397">
        <v>10</v>
      </c>
      <c r="C4397" t="s">
        <v>17</v>
      </c>
      <c r="D4397" s="1">
        <v>45596</v>
      </c>
      <c r="E4397">
        <v>2616.9</v>
      </c>
      <c r="F4397">
        <v>134.01</v>
      </c>
      <c r="G4397">
        <v>81.8</v>
      </c>
      <c r="H4397">
        <v>271</v>
      </c>
      <c r="I4397" t="s">
        <v>31</v>
      </c>
      <c r="J4397">
        <v>2024</v>
      </c>
      <c r="K4397">
        <f t="shared" si="136"/>
        <v>52.209999999999994</v>
      </c>
      <c r="L4397" t="str">
        <f t="shared" si="137"/>
        <v>Banca Calabra|10|Carte</v>
      </c>
    </row>
    <row r="4398" spans="1:12" x14ac:dyDescent="0.25">
      <c r="A4398" t="s">
        <v>39</v>
      </c>
      <c r="B4398">
        <v>10</v>
      </c>
      <c r="C4398" t="s">
        <v>18</v>
      </c>
      <c r="D4398" s="1">
        <v>45596</v>
      </c>
      <c r="E4398">
        <v>3103.4</v>
      </c>
      <c r="F4398">
        <v>164.7</v>
      </c>
      <c r="G4398">
        <v>99.84</v>
      </c>
      <c r="H4398">
        <v>300</v>
      </c>
      <c r="I4398" t="s">
        <v>31</v>
      </c>
      <c r="J4398">
        <v>2024</v>
      </c>
      <c r="K4398">
        <f t="shared" si="136"/>
        <v>64.859999999999985</v>
      </c>
      <c r="L4398" t="str">
        <f t="shared" si="137"/>
        <v>Banca Calabra|10|Leasing</v>
      </c>
    </row>
    <row r="4399" spans="1:12" x14ac:dyDescent="0.25">
      <c r="A4399" t="s">
        <v>39</v>
      </c>
      <c r="B4399">
        <v>10</v>
      </c>
      <c r="C4399" t="s">
        <v>19</v>
      </c>
      <c r="D4399" s="1">
        <v>45596</v>
      </c>
      <c r="E4399">
        <v>3558.4</v>
      </c>
      <c r="F4399">
        <v>196.13</v>
      </c>
      <c r="G4399">
        <v>117.79</v>
      </c>
      <c r="H4399">
        <v>344</v>
      </c>
      <c r="I4399" t="s">
        <v>31</v>
      </c>
      <c r="J4399">
        <v>2024</v>
      </c>
      <c r="K4399">
        <f t="shared" si="136"/>
        <v>78.339999999999989</v>
      </c>
      <c r="L4399" t="str">
        <f t="shared" si="137"/>
        <v>Banca Calabra|10|Factoring</v>
      </c>
    </row>
    <row r="4400" spans="1:12" x14ac:dyDescent="0.25">
      <c r="A4400" t="s">
        <v>39</v>
      </c>
      <c r="B4400">
        <v>10</v>
      </c>
      <c r="C4400" t="s">
        <v>20</v>
      </c>
      <c r="D4400" s="1">
        <v>45596</v>
      </c>
      <c r="E4400">
        <v>4021.8</v>
      </c>
      <c r="F4400">
        <v>229.71</v>
      </c>
      <c r="G4400">
        <v>137.57</v>
      </c>
      <c r="H4400">
        <v>401</v>
      </c>
      <c r="I4400" t="s">
        <v>31</v>
      </c>
      <c r="J4400">
        <v>2024</v>
      </c>
      <c r="K4400">
        <f t="shared" si="136"/>
        <v>92.140000000000015</v>
      </c>
      <c r="L4400" t="str">
        <f t="shared" si="137"/>
        <v>Banca Calabra|10|Risparmio</v>
      </c>
    </row>
    <row r="4401" spans="1:12" x14ac:dyDescent="0.25">
      <c r="A4401" t="s">
        <v>39</v>
      </c>
      <c r="B4401">
        <v>10</v>
      </c>
      <c r="C4401" t="s">
        <v>21</v>
      </c>
      <c r="D4401" s="1">
        <v>45596</v>
      </c>
      <c r="E4401">
        <v>4472.8</v>
      </c>
      <c r="F4401">
        <v>264.8</v>
      </c>
      <c r="G4401">
        <v>156.81</v>
      </c>
      <c r="H4401">
        <v>450</v>
      </c>
      <c r="I4401" t="s">
        <v>31</v>
      </c>
      <c r="J4401">
        <v>2024</v>
      </c>
      <c r="K4401">
        <f t="shared" si="136"/>
        <v>107.99000000000001</v>
      </c>
      <c r="L4401" t="str">
        <f t="shared" si="137"/>
        <v>Banca Calabra|10|Assicurazioni</v>
      </c>
    </row>
    <row r="4402" spans="1:12" x14ac:dyDescent="0.25">
      <c r="A4402" t="s">
        <v>39</v>
      </c>
      <c r="B4402">
        <v>11</v>
      </c>
      <c r="C4402" t="s">
        <v>13</v>
      </c>
      <c r="D4402" s="1">
        <v>45626</v>
      </c>
      <c r="E4402">
        <v>1241.3</v>
      </c>
      <c r="F4402">
        <v>55.96</v>
      </c>
      <c r="G4402">
        <v>35.42</v>
      </c>
      <c r="H4402">
        <v>126</v>
      </c>
      <c r="I4402" t="s">
        <v>31</v>
      </c>
      <c r="J4402">
        <v>2024</v>
      </c>
      <c r="K4402">
        <f t="shared" si="136"/>
        <v>20.54</v>
      </c>
      <c r="L4402" t="str">
        <f t="shared" si="137"/>
        <v>Banca Calabra|11|Mutui</v>
      </c>
    </row>
    <row r="4403" spans="1:12" x14ac:dyDescent="0.25">
      <c r="A4403" t="s">
        <v>39</v>
      </c>
      <c r="B4403">
        <v>11</v>
      </c>
      <c r="C4403" t="s">
        <v>15</v>
      </c>
      <c r="D4403" s="1">
        <v>45626</v>
      </c>
      <c r="E4403">
        <v>1703.1</v>
      </c>
      <c r="F4403">
        <v>80.19</v>
      </c>
      <c r="G4403">
        <v>50.01</v>
      </c>
      <c r="H4403">
        <v>183</v>
      </c>
      <c r="I4403" t="s">
        <v>31</v>
      </c>
      <c r="J4403">
        <v>2024</v>
      </c>
      <c r="K4403">
        <f t="shared" si="136"/>
        <v>30.18</v>
      </c>
      <c r="L4403" t="str">
        <f t="shared" si="137"/>
        <v>Banca Calabra|11|Prestiti</v>
      </c>
    </row>
    <row r="4404" spans="1:12" x14ac:dyDescent="0.25">
      <c r="A4404" t="s">
        <v>39</v>
      </c>
      <c r="B4404">
        <v>11</v>
      </c>
      <c r="C4404" t="s">
        <v>16</v>
      </c>
      <c r="D4404" s="1">
        <v>45626</v>
      </c>
      <c r="E4404">
        <v>2179.1</v>
      </c>
      <c r="F4404">
        <v>107.77</v>
      </c>
      <c r="G4404">
        <v>65.84</v>
      </c>
      <c r="H4404">
        <v>210</v>
      </c>
      <c r="I4404" t="s">
        <v>31</v>
      </c>
      <c r="J4404">
        <v>2024</v>
      </c>
      <c r="K4404">
        <f t="shared" si="136"/>
        <v>41.929999999999993</v>
      </c>
      <c r="L4404" t="str">
        <f t="shared" si="137"/>
        <v>Banca Calabra|11|Conti</v>
      </c>
    </row>
    <row r="4405" spans="1:12" x14ac:dyDescent="0.25">
      <c r="A4405" t="s">
        <v>39</v>
      </c>
      <c r="B4405">
        <v>11</v>
      </c>
      <c r="C4405" t="s">
        <v>17</v>
      </c>
      <c r="D4405" s="1">
        <v>45626</v>
      </c>
      <c r="E4405">
        <v>2617.6</v>
      </c>
      <c r="F4405">
        <v>134.22</v>
      </c>
      <c r="G4405">
        <v>81.650000000000006</v>
      </c>
      <c r="H4405">
        <v>275</v>
      </c>
      <c r="I4405" t="s">
        <v>31</v>
      </c>
      <c r="J4405">
        <v>2024</v>
      </c>
      <c r="K4405">
        <f t="shared" si="136"/>
        <v>52.569999999999993</v>
      </c>
      <c r="L4405" t="str">
        <f t="shared" si="137"/>
        <v>Banca Calabra|11|Carte</v>
      </c>
    </row>
    <row r="4406" spans="1:12" x14ac:dyDescent="0.25">
      <c r="A4406" t="s">
        <v>39</v>
      </c>
      <c r="B4406">
        <v>11</v>
      </c>
      <c r="C4406" t="s">
        <v>18</v>
      </c>
      <c r="D4406" s="1">
        <v>45626</v>
      </c>
      <c r="E4406">
        <v>3128</v>
      </c>
      <c r="F4406">
        <v>166.47</v>
      </c>
      <c r="G4406">
        <v>101.02</v>
      </c>
      <c r="H4406">
        <v>306</v>
      </c>
      <c r="I4406" t="s">
        <v>31</v>
      </c>
      <c r="J4406">
        <v>2024</v>
      </c>
      <c r="K4406">
        <f t="shared" si="136"/>
        <v>65.45</v>
      </c>
      <c r="L4406" t="str">
        <f t="shared" si="137"/>
        <v>Banca Calabra|11|Leasing</v>
      </c>
    </row>
    <row r="4407" spans="1:12" x14ac:dyDescent="0.25">
      <c r="A4407" t="s">
        <v>39</v>
      </c>
      <c r="B4407">
        <v>11</v>
      </c>
      <c r="C4407" t="s">
        <v>19</v>
      </c>
      <c r="D4407" s="1">
        <v>45626</v>
      </c>
      <c r="E4407">
        <v>3556.3</v>
      </c>
      <c r="F4407">
        <v>196.08</v>
      </c>
      <c r="G4407">
        <v>117.44</v>
      </c>
      <c r="H4407">
        <v>331</v>
      </c>
      <c r="I4407" t="s">
        <v>31</v>
      </c>
      <c r="J4407">
        <v>2024</v>
      </c>
      <c r="K4407">
        <f t="shared" si="136"/>
        <v>78.640000000000015</v>
      </c>
      <c r="L4407" t="str">
        <f t="shared" si="137"/>
        <v>Banca Calabra|11|Factoring</v>
      </c>
    </row>
    <row r="4408" spans="1:12" x14ac:dyDescent="0.25">
      <c r="A4408" t="s">
        <v>39</v>
      </c>
      <c r="B4408">
        <v>11</v>
      </c>
      <c r="C4408" t="s">
        <v>20</v>
      </c>
      <c r="D4408" s="1">
        <v>45626</v>
      </c>
      <c r="E4408">
        <v>4039.2</v>
      </c>
      <c r="F4408">
        <v>230.52</v>
      </c>
      <c r="G4408">
        <v>138.09</v>
      </c>
      <c r="H4408">
        <v>379</v>
      </c>
      <c r="I4408" t="s">
        <v>31</v>
      </c>
      <c r="J4408">
        <v>2024</v>
      </c>
      <c r="K4408">
        <f t="shared" si="136"/>
        <v>92.43</v>
      </c>
      <c r="L4408" t="str">
        <f t="shared" si="137"/>
        <v>Banca Calabra|11|Risparmio</v>
      </c>
    </row>
    <row r="4409" spans="1:12" x14ac:dyDescent="0.25">
      <c r="A4409" t="s">
        <v>39</v>
      </c>
      <c r="B4409">
        <v>11</v>
      </c>
      <c r="C4409" t="s">
        <v>21</v>
      </c>
      <c r="D4409" s="1">
        <v>45626</v>
      </c>
      <c r="E4409">
        <v>4477.8999999999996</v>
      </c>
      <c r="F4409">
        <v>264.76</v>
      </c>
      <c r="G4409">
        <v>156.94999999999999</v>
      </c>
      <c r="H4409">
        <v>452</v>
      </c>
      <c r="I4409" t="s">
        <v>31</v>
      </c>
      <c r="J4409">
        <v>2024</v>
      </c>
      <c r="K4409">
        <f t="shared" si="136"/>
        <v>107.81</v>
      </c>
      <c r="L4409" t="str">
        <f t="shared" si="137"/>
        <v>Banca Calabra|11|Assicurazioni</v>
      </c>
    </row>
    <row r="4410" spans="1:12" x14ac:dyDescent="0.25">
      <c r="A4410" t="s">
        <v>39</v>
      </c>
      <c r="B4410">
        <v>12</v>
      </c>
      <c r="C4410" t="s">
        <v>13</v>
      </c>
      <c r="D4410" s="1">
        <v>45657</v>
      </c>
      <c r="E4410">
        <v>1227</v>
      </c>
      <c r="F4410">
        <v>56.01</v>
      </c>
      <c r="G4410">
        <v>35.06</v>
      </c>
      <c r="H4410">
        <v>147</v>
      </c>
      <c r="I4410" t="s">
        <v>31</v>
      </c>
      <c r="J4410">
        <v>2024</v>
      </c>
      <c r="K4410">
        <f t="shared" si="136"/>
        <v>20.949999999999996</v>
      </c>
      <c r="L4410" t="str">
        <f t="shared" si="137"/>
        <v>Banca Calabra|12|Mutui</v>
      </c>
    </row>
    <row r="4411" spans="1:12" x14ac:dyDescent="0.25">
      <c r="A4411" t="s">
        <v>39</v>
      </c>
      <c r="B4411">
        <v>12</v>
      </c>
      <c r="C4411" t="s">
        <v>15</v>
      </c>
      <c r="D4411" s="1">
        <v>45657</v>
      </c>
      <c r="E4411">
        <v>1749.4</v>
      </c>
      <c r="F4411">
        <v>82.22</v>
      </c>
      <c r="G4411">
        <v>51.3</v>
      </c>
      <c r="H4411">
        <v>182</v>
      </c>
      <c r="I4411" t="s">
        <v>31</v>
      </c>
      <c r="J4411">
        <v>2024</v>
      </c>
      <c r="K4411">
        <f t="shared" si="136"/>
        <v>30.92</v>
      </c>
      <c r="L4411" t="str">
        <f t="shared" si="137"/>
        <v>Banca Calabra|12|Prestiti</v>
      </c>
    </row>
    <row r="4412" spans="1:12" x14ac:dyDescent="0.25">
      <c r="A4412" t="s">
        <v>39</v>
      </c>
      <c r="B4412">
        <v>12</v>
      </c>
      <c r="C4412" t="s">
        <v>16</v>
      </c>
      <c r="D4412" s="1">
        <v>45657</v>
      </c>
      <c r="E4412">
        <v>2176.5</v>
      </c>
      <c r="F4412">
        <v>107.05</v>
      </c>
      <c r="G4412">
        <v>65.739999999999995</v>
      </c>
      <c r="H4412">
        <v>202</v>
      </c>
      <c r="I4412" t="s">
        <v>31</v>
      </c>
      <c r="J4412">
        <v>2024</v>
      </c>
      <c r="K4412">
        <f t="shared" si="136"/>
        <v>41.31</v>
      </c>
      <c r="L4412" t="str">
        <f t="shared" si="137"/>
        <v>Banca Calabra|12|Conti</v>
      </c>
    </row>
    <row r="4413" spans="1:12" x14ac:dyDescent="0.25">
      <c r="A4413" t="s">
        <v>39</v>
      </c>
      <c r="B4413">
        <v>12</v>
      </c>
      <c r="C4413" t="s">
        <v>17</v>
      </c>
      <c r="D4413" s="1">
        <v>45657</v>
      </c>
      <c r="E4413">
        <v>2673.8</v>
      </c>
      <c r="F4413">
        <v>136.54</v>
      </c>
      <c r="G4413">
        <v>83</v>
      </c>
      <c r="H4413">
        <v>245</v>
      </c>
      <c r="I4413" t="s">
        <v>31</v>
      </c>
      <c r="J4413">
        <v>2024</v>
      </c>
      <c r="K4413">
        <f t="shared" si="136"/>
        <v>53.539999999999992</v>
      </c>
      <c r="L4413" t="str">
        <f t="shared" si="137"/>
        <v>Banca Calabra|12|Carte</v>
      </c>
    </row>
    <row r="4414" spans="1:12" x14ac:dyDescent="0.25">
      <c r="A4414" t="s">
        <v>39</v>
      </c>
      <c r="B4414">
        <v>12</v>
      </c>
      <c r="C4414" t="s">
        <v>18</v>
      </c>
      <c r="D4414" s="1">
        <v>45657</v>
      </c>
      <c r="E4414">
        <v>3119.2</v>
      </c>
      <c r="F4414">
        <v>165.38</v>
      </c>
      <c r="G4414">
        <v>100.34</v>
      </c>
      <c r="H4414">
        <v>290</v>
      </c>
      <c r="I4414" t="s">
        <v>31</v>
      </c>
      <c r="J4414">
        <v>2024</v>
      </c>
      <c r="K4414">
        <f t="shared" si="136"/>
        <v>65.039999999999992</v>
      </c>
      <c r="L4414" t="str">
        <f t="shared" si="137"/>
        <v>Banca Calabra|12|Leasing</v>
      </c>
    </row>
    <row r="4415" spans="1:12" x14ac:dyDescent="0.25">
      <c r="A4415" t="s">
        <v>39</v>
      </c>
      <c r="B4415">
        <v>12</v>
      </c>
      <c r="C4415" t="s">
        <v>19</v>
      </c>
      <c r="D4415" s="1">
        <v>45657</v>
      </c>
      <c r="E4415">
        <v>3594.9</v>
      </c>
      <c r="F4415">
        <v>197.96</v>
      </c>
      <c r="G4415">
        <v>118.87</v>
      </c>
      <c r="H4415">
        <v>336</v>
      </c>
      <c r="I4415" t="s">
        <v>31</v>
      </c>
      <c r="J4415">
        <v>2024</v>
      </c>
      <c r="K4415">
        <f t="shared" si="136"/>
        <v>79.09</v>
      </c>
      <c r="L4415" t="str">
        <f t="shared" si="137"/>
        <v>Banca Calabra|12|Factoring</v>
      </c>
    </row>
    <row r="4416" spans="1:12" x14ac:dyDescent="0.25">
      <c r="A4416" t="s">
        <v>39</v>
      </c>
      <c r="B4416">
        <v>12</v>
      </c>
      <c r="C4416" t="s">
        <v>20</v>
      </c>
      <c r="D4416" s="1">
        <v>45657</v>
      </c>
      <c r="E4416">
        <v>4051.5</v>
      </c>
      <c r="F4416">
        <v>231.44</v>
      </c>
      <c r="G4416">
        <v>138.31</v>
      </c>
      <c r="H4416">
        <v>400</v>
      </c>
      <c r="I4416" t="s">
        <v>31</v>
      </c>
      <c r="J4416">
        <v>2024</v>
      </c>
      <c r="K4416">
        <f t="shared" si="136"/>
        <v>93.13</v>
      </c>
      <c r="L4416" t="str">
        <f t="shared" si="137"/>
        <v>Banca Calabra|12|Risparmio</v>
      </c>
    </row>
    <row r="4417" spans="1:12" x14ac:dyDescent="0.25">
      <c r="A4417" t="s">
        <v>39</v>
      </c>
      <c r="B4417">
        <v>12</v>
      </c>
      <c r="C4417" t="s">
        <v>21</v>
      </c>
      <c r="D4417" s="1">
        <v>45657</v>
      </c>
      <c r="E4417">
        <v>4539.1000000000004</v>
      </c>
      <c r="F4417">
        <v>268.79000000000002</v>
      </c>
      <c r="G4417">
        <v>158.96</v>
      </c>
      <c r="H4417">
        <v>436</v>
      </c>
      <c r="I4417" t="s">
        <v>31</v>
      </c>
      <c r="J4417">
        <v>2024</v>
      </c>
      <c r="K4417">
        <f t="shared" si="136"/>
        <v>109.83000000000001</v>
      </c>
      <c r="L4417" t="str">
        <f t="shared" si="137"/>
        <v>Banca Calabra|12|Assicurazioni</v>
      </c>
    </row>
    <row r="4418" spans="1:12" x14ac:dyDescent="0.25">
      <c r="A4418" t="s">
        <v>39</v>
      </c>
      <c r="B4418">
        <v>13</v>
      </c>
      <c r="C4418" t="s">
        <v>13</v>
      </c>
      <c r="D4418" s="1">
        <v>45688</v>
      </c>
      <c r="E4418">
        <v>1279.8</v>
      </c>
      <c r="F4418">
        <v>58.51</v>
      </c>
      <c r="G4418">
        <v>36.29</v>
      </c>
      <c r="H4418">
        <v>147</v>
      </c>
      <c r="I4418" t="s">
        <v>31</v>
      </c>
      <c r="J4418">
        <v>2025</v>
      </c>
      <c r="K4418">
        <f t="shared" ref="K4418:K4481" si="138">F4418-G4418</f>
        <v>22.22</v>
      </c>
      <c r="L4418" t="str">
        <f t="shared" ref="L4418:L4481" si="139">A4418&amp;"|"&amp;B4418&amp;"|"&amp;C4418</f>
        <v>Banca Calabra|13|Mutui</v>
      </c>
    </row>
    <row r="4419" spans="1:12" x14ac:dyDescent="0.25">
      <c r="A4419" t="s">
        <v>39</v>
      </c>
      <c r="B4419">
        <v>13</v>
      </c>
      <c r="C4419" t="s">
        <v>15</v>
      </c>
      <c r="D4419" s="1">
        <v>45688</v>
      </c>
      <c r="E4419">
        <v>1724.3</v>
      </c>
      <c r="F4419">
        <v>81.88</v>
      </c>
      <c r="G4419">
        <v>50.7</v>
      </c>
      <c r="H4419">
        <v>176</v>
      </c>
      <c r="I4419" t="s">
        <v>31</v>
      </c>
      <c r="J4419">
        <v>2025</v>
      </c>
      <c r="K4419">
        <f t="shared" si="138"/>
        <v>31.179999999999993</v>
      </c>
      <c r="L4419" t="str">
        <f t="shared" si="139"/>
        <v>Banca Calabra|13|Prestiti</v>
      </c>
    </row>
    <row r="4420" spans="1:12" x14ac:dyDescent="0.25">
      <c r="A4420" t="s">
        <v>39</v>
      </c>
      <c r="B4420">
        <v>13</v>
      </c>
      <c r="C4420" t="s">
        <v>16</v>
      </c>
      <c r="D4420" s="1">
        <v>45688</v>
      </c>
      <c r="E4420">
        <v>2234.1</v>
      </c>
      <c r="F4420">
        <v>109.91</v>
      </c>
      <c r="G4420">
        <v>67.180000000000007</v>
      </c>
      <c r="H4420">
        <v>224</v>
      </c>
      <c r="I4420" t="s">
        <v>31</v>
      </c>
      <c r="J4420">
        <v>2025</v>
      </c>
      <c r="K4420">
        <f t="shared" si="138"/>
        <v>42.72999999999999</v>
      </c>
      <c r="L4420" t="str">
        <f t="shared" si="139"/>
        <v>Banca Calabra|13|Conti</v>
      </c>
    </row>
    <row r="4421" spans="1:12" x14ac:dyDescent="0.25">
      <c r="A4421" t="s">
        <v>39</v>
      </c>
      <c r="B4421">
        <v>13</v>
      </c>
      <c r="C4421" t="s">
        <v>17</v>
      </c>
      <c r="D4421" s="1">
        <v>45688</v>
      </c>
      <c r="E4421">
        <v>2705.4</v>
      </c>
      <c r="F4421">
        <v>138.25</v>
      </c>
      <c r="G4421">
        <v>84.45</v>
      </c>
      <c r="H4421">
        <v>258</v>
      </c>
      <c r="I4421" t="s">
        <v>31</v>
      </c>
      <c r="J4421">
        <v>2025</v>
      </c>
      <c r="K4421">
        <f t="shared" si="138"/>
        <v>53.8</v>
      </c>
      <c r="L4421" t="str">
        <f t="shared" si="139"/>
        <v>Banca Calabra|13|Carte</v>
      </c>
    </row>
    <row r="4422" spans="1:12" x14ac:dyDescent="0.25">
      <c r="A4422" t="s">
        <v>39</v>
      </c>
      <c r="B4422">
        <v>13</v>
      </c>
      <c r="C4422" t="s">
        <v>18</v>
      </c>
      <c r="D4422" s="1">
        <v>45688</v>
      </c>
      <c r="E4422">
        <v>3152.1</v>
      </c>
      <c r="F4422">
        <v>167.82</v>
      </c>
      <c r="G4422">
        <v>101.22</v>
      </c>
      <c r="H4422">
        <v>300</v>
      </c>
      <c r="I4422" t="s">
        <v>31</v>
      </c>
      <c r="J4422">
        <v>2025</v>
      </c>
      <c r="K4422">
        <f t="shared" si="138"/>
        <v>66.599999999999994</v>
      </c>
      <c r="L4422" t="str">
        <f t="shared" si="139"/>
        <v>Banca Calabra|13|Leasing</v>
      </c>
    </row>
    <row r="4423" spans="1:12" x14ac:dyDescent="0.25">
      <c r="A4423" t="s">
        <v>39</v>
      </c>
      <c r="B4423">
        <v>13</v>
      </c>
      <c r="C4423" t="s">
        <v>19</v>
      </c>
      <c r="D4423" s="1">
        <v>45688</v>
      </c>
      <c r="E4423">
        <v>3629.4</v>
      </c>
      <c r="F4423">
        <v>200.46</v>
      </c>
      <c r="G4423">
        <v>120.49</v>
      </c>
      <c r="H4423">
        <v>349</v>
      </c>
      <c r="I4423" t="s">
        <v>31</v>
      </c>
      <c r="J4423">
        <v>2025</v>
      </c>
      <c r="K4423">
        <f t="shared" si="138"/>
        <v>79.970000000000013</v>
      </c>
      <c r="L4423" t="str">
        <f t="shared" si="139"/>
        <v>Banca Calabra|13|Factoring</v>
      </c>
    </row>
    <row r="4424" spans="1:12" x14ac:dyDescent="0.25">
      <c r="A4424" t="s">
        <v>39</v>
      </c>
      <c r="B4424">
        <v>13</v>
      </c>
      <c r="C4424" t="s">
        <v>20</v>
      </c>
      <c r="D4424" s="1">
        <v>45688</v>
      </c>
      <c r="E4424">
        <v>4115.6000000000004</v>
      </c>
      <c r="F4424">
        <v>234.68</v>
      </c>
      <c r="G4424">
        <v>140.47</v>
      </c>
      <c r="H4424">
        <v>380</v>
      </c>
      <c r="I4424" t="s">
        <v>31</v>
      </c>
      <c r="J4424">
        <v>2025</v>
      </c>
      <c r="K4424">
        <f t="shared" si="138"/>
        <v>94.210000000000008</v>
      </c>
      <c r="L4424" t="str">
        <f t="shared" si="139"/>
        <v>Banca Calabra|13|Risparmio</v>
      </c>
    </row>
    <row r="4425" spans="1:12" x14ac:dyDescent="0.25">
      <c r="A4425" t="s">
        <v>39</v>
      </c>
      <c r="B4425">
        <v>13</v>
      </c>
      <c r="C4425" t="s">
        <v>21</v>
      </c>
      <c r="D4425" s="1">
        <v>45688</v>
      </c>
      <c r="E4425">
        <v>4555.5</v>
      </c>
      <c r="F4425">
        <v>269.38</v>
      </c>
      <c r="G4425">
        <v>160.13999999999999</v>
      </c>
      <c r="H4425">
        <v>445</v>
      </c>
      <c r="I4425" t="s">
        <v>31</v>
      </c>
      <c r="J4425">
        <v>2025</v>
      </c>
      <c r="K4425">
        <f t="shared" si="138"/>
        <v>109.24000000000001</v>
      </c>
      <c r="L4425" t="str">
        <f t="shared" si="139"/>
        <v>Banca Calabra|13|Assicurazioni</v>
      </c>
    </row>
    <row r="4426" spans="1:12" x14ac:dyDescent="0.25">
      <c r="A4426" t="s">
        <v>39</v>
      </c>
      <c r="B4426">
        <v>14</v>
      </c>
      <c r="C4426" t="s">
        <v>13</v>
      </c>
      <c r="D4426" s="1">
        <v>45716</v>
      </c>
      <c r="E4426">
        <v>1282.5</v>
      </c>
      <c r="F4426">
        <v>58.26</v>
      </c>
      <c r="G4426">
        <v>36.67</v>
      </c>
      <c r="H4426">
        <v>124</v>
      </c>
      <c r="I4426" t="s">
        <v>31</v>
      </c>
      <c r="J4426">
        <v>2025</v>
      </c>
      <c r="K4426">
        <f t="shared" si="138"/>
        <v>21.589999999999996</v>
      </c>
      <c r="L4426" t="str">
        <f t="shared" si="139"/>
        <v>Banca Calabra|14|Mutui</v>
      </c>
    </row>
    <row r="4427" spans="1:12" x14ac:dyDescent="0.25">
      <c r="A4427" t="s">
        <v>39</v>
      </c>
      <c r="B4427">
        <v>14</v>
      </c>
      <c r="C4427" t="s">
        <v>15</v>
      </c>
      <c r="D4427" s="1">
        <v>45716</v>
      </c>
      <c r="E4427">
        <v>1747.4</v>
      </c>
      <c r="F4427">
        <v>82.47</v>
      </c>
      <c r="G4427">
        <v>51.61</v>
      </c>
      <c r="H4427">
        <v>188</v>
      </c>
      <c r="I4427" t="s">
        <v>31</v>
      </c>
      <c r="J4427">
        <v>2025</v>
      </c>
      <c r="K4427">
        <f t="shared" si="138"/>
        <v>30.86</v>
      </c>
      <c r="L4427" t="str">
        <f t="shared" si="139"/>
        <v>Banca Calabra|14|Prestiti</v>
      </c>
    </row>
    <row r="4428" spans="1:12" x14ac:dyDescent="0.25">
      <c r="A4428" t="s">
        <v>39</v>
      </c>
      <c r="B4428">
        <v>14</v>
      </c>
      <c r="C4428" t="s">
        <v>16</v>
      </c>
      <c r="D4428" s="1">
        <v>45716</v>
      </c>
      <c r="E4428">
        <v>2208</v>
      </c>
      <c r="F4428">
        <v>108.58</v>
      </c>
      <c r="G4428">
        <v>66.94</v>
      </c>
      <c r="H4428">
        <v>202</v>
      </c>
      <c r="I4428" t="s">
        <v>31</v>
      </c>
      <c r="J4428">
        <v>2025</v>
      </c>
      <c r="K4428">
        <f t="shared" si="138"/>
        <v>41.64</v>
      </c>
      <c r="L4428" t="str">
        <f t="shared" si="139"/>
        <v>Banca Calabra|14|Conti</v>
      </c>
    </row>
    <row r="4429" spans="1:12" x14ac:dyDescent="0.25">
      <c r="A4429" t="s">
        <v>39</v>
      </c>
      <c r="B4429">
        <v>14</v>
      </c>
      <c r="C4429" t="s">
        <v>17</v>
      </c>
      <c r="D4429" s="1">
        <v>45716</v>
      </c>
      <c r="E4429">
        <v>2705.9</v>
      </c>
      <c r="F4429">
        <v>138.56</v>
      </c>
      <c r="G4429">
        <v>83.94</v>
      </c>
      <c r="H4429">
        <v>253</v>
      </c>
      <c r="I4429" t="s">
        <v>31</v>
      </c>
      <c r="J4429">
        <v>2025</v>
      </c>
      <c r="K4429">
        <f t="shared" si="138"/>
        <v>54.620000000000005</v>
      </c>
      <c r="L4429" t="str">
        <f t="shared" si="139"/>
        <v>Banca Calabra|14|Carte</v>
      </c>
    </row>
    <row r="4430" spans="1:12" x14ac:dyDescent="0.25">
      <c r="A4430" t="s">
        <v>39</v>
      </c>
      <c r="B4430">
        <v>14</v>
      </c>
      <c r="C4430" t="s">
        <v>18</v>
      </c>
      <c r="D4430" s="1">
        <v>45716</v>
      </c>
      <c r="E4430">
        <v>3184.7</v>
      </c>
      <c r="F4430">
        <v>168.91</v>
      </c>
      <c r="G4430">
        <v>102.07</v>
      </c>
      <c r="H4430">
        <v>312</v>
      </c>
      <c r="I4430" t="s">
        <v>31</v>
      </c>
      <c r="J4430">
        <v>2025</v>
      </c>
      <c r="K4430">
        <f t="shared" si="138"/>
        <v>66.84</v>
      </c>
      <c r="L4430" t="str">
        <f t="shared" si="139"/>
        <v>Banca Calabra|14|Leasing</v>
      </c>
    </row>
    <row r="4431" spans="1:12" x14ac:dyDescent="0.25">
      <c r="A4431" t="s">
        <v>39</v>
      </c>
      <c r="B4431">
        <v>14</v>
      </c>
      <c r="C4431" t="s">
        <v>19</v>
      </c>
      <c r="D4431" s="1">
        <v>45716</v>
      </c>
      <c r="E4431">
        <v>3671.6</v>
      </c>
      <c r="F4431">
        <v>202.84</v>
      </c>
      <c r="G4431">
        <v>122.07</v>
      </c>
      <c r="H4431">
        <v>342</v>
      </c>
      <c r="I4431" t="s">
        <v>31</v>
      </c>
      <c r="J4431">
        <v>2025</v>
      </c>
      <c r="K4431">
        <f t="shared" si="138"/>
        <v>80.77000000000001</v>
      </c>
      <c r="L4431" t="str">
        <f t="shared" si="139"/>
        <v>Banca Calabra|14|Factoring</v>
      </c>
    </row>
    <row r="4432" spans="1:12" x14ac:dyDescent="0.25">
      <c r="A4432" t="s">
        <v>39</v>
      </c>
      <c r="B4432">
        <v>14</v>
      </c>
      <c r="C4432" t="s">
        <v>20</v>
      </c>
      <c r="D4432" s="1">
        <v>45716</v>
      </c>
      <c r="E4432">
        <v>4139.8999999999996</v>
      </c>
      <c r="F4432">
        <v>236.55</v>
      </c>
      <c r="G4432">
        <v>141.56</v>
      </c>
      <c r="H4432">
        <v>398</v>
      </c>
      <c r="I4432" t="s">
        <v>31</v>
      </c>
      <c r="J4432">
        <v>2025</v>
      </c>
      <c r="K4432">
        <f t="shared" si="138"/>
        <v>94.990000000000009</v>
      </c>
      <c r="L4432" t="str">
        <f t="shared" si="139"/>
        <v>Banca Calabra|14|Risparmio</v>
      </c>
    </row>
    <row r="4433" spans="1:12" x14ac:dyDescent="0.25">
      <c r="A4433" t="s">
        <v>39</v>
      </c>
      <c r="B4433">
        <v>14</v>
      </c>
      <c r="C4433" t="s">
        <v>21</v>
      </c>
      <c r="D4433" s="1">
        <v>45716</v>
      </c>
      <c r="E4433">
        <v>4627</v>
      </c>
      <c r="F4433">
        <v>273</v>
      </c>
      <c r="G4433">
        <v>162.05000000000001</v>
      </c>
      <c r="H4433">
        <v>449</v>
      </c>
      <c r="I4433" t="s">
        <v>31</v>
      </c>
      <c r="J4433">
        <v>2025</v>
      </c>
      <c r="K4433">
        <f t="shared" si="138"/>
        <v>110.94999999999999</v>
      </c>
      <c r="L4433" t="str">
        <f t="shared" si="139"/>
        <v>Banca Calabra|14|Assicurazioni</v>
      </c>
    </row>
    <row r="4434" spans="1:12" x14ac:dyDescent="0.25">
      <c r="A4434" t="s">
        <v>39</v>
      </c>
      <c r="B4434">
        <v>15</v>
      </c>
      <c r="C4434" t="s">
        <v>13</v>
      </c>
      <c r="D4434" s="1">
        <v>45747</v>
      </c>
      <c r="E4434">
        <v>1268.4000000000001</v>
      </c>
      <c r="F4434">
        <v>57.98</v>
      </c>
      <c r="G4434">
        <v>36.44</v>
      </c>
      <c r="H4434">
        <v>124</v>
      </c>
      <c r="I4434" t="s">
        <v>31</v>
      </c>
      <c r="J4434">
        <v>2025</v>
      </c>
      <c r="K4434">
        <f t="shared" si="138"/>
        <v>21.54</v>
      </c>
      <c r="L4434" t="str">
        <f t="shared" si="139"/>
        <v>Banca Calabra|15|Mutui</v>
      </c>
    </row>
    <row r="4435" spans="1:12" x14ac:dyDescent="0.25">
      <c r="A4435" t="s">
        <v>39</v>
      </c>
      <c r="B4435">
        <v>15</v>
      </c>
      <c r="C4435" t="s">
        <v>15</v>
      </c>
      <c r="D4435" s="1">
        <v>45747</v>
      </c>
      <c r="E4435">
        <v>1737.4</v>
      </c>
      <c r="F4435">
        <v>82.04</v>
      </c>
      <c r="G4435">
        <v>50.86</v>
      </c>
      <c r="H4435">
        <v>181</v>
      </c>
      <c r="I4435" t="s">
        <v>31</v>
      </c>
      <c r="J4435">
        <v>2025</v>
      </c>
      <c r="K4435">
        <f t="shared" si="138"/>
        <v>31.180000000000007</v>
      </c>
      <c r="L4435" t="str">
        <f t="shared" si="139"/>
        <v>Banca Calabra|15|Prestiti</v>
      </c>
    </row>
    <row r="4436" spans="1:12" x14ac:dyDescent="0.25">
      <c r="A4436" t="s">
        <v>39</v>
      </c>
      <c r="B4436">
        <v>15</v>
      </c>
      <c r="C4436" t="s">
        <v>16</v>
      </c>
      <c r="D4436" s="1">
        <v>45747</v>
      </c>
      <c r="E4436">
        <v>2266</v>
      </c>
      <c r="F4436">
        <v>111.57</v>
      </c>
      <c r="G4436">
        <v>68.42</v>
      </c>
      <c r="H4436">
        <v>204</v>
      </c>
      <c r="I4436" t="s">
        <v>31</v>
      </c>
      <c r="J4436">
        <v>2025</v>
      </c>
      <c r="K4436">
        <f t="shared" si="138"/>
        <v>43.149999999999991</v>
      </c>
      <c r="L4436" t="str">
        <f t="shared" si="139"/>
        <v>Banca Calabra|15|Conti</v>
      </c>
    </row>
    <row r="4437" spans="1:12" x14ac:dyDescent="0.25">
      <c r="A4437" t="s">
        <v>39</v>
      </c>
      <c r="B4437">
        <v>15</v>
      </c>
      <c r="C4437" t="s">
        <v>17</v>
      </c>
      <c r="D4437" s="1">
        <v>45747</v>
      </c>
      <c r="E4437">
        <v>2737.5</v>
      </c>
      <c r="F4437">
        <v>140</v>
      </c>
      <c r="G4437">
        <v>84.94</v>
      </c>
      <c r="H4437">
        <v>259</v>
      </c>
      <c r="I4437" t="s">
        <v>31</v>
      </c>
      <c r="J4437">
        <v>2025</v>
      </c>
      <c r="K4437">
        <f t="shared" si="138"/>
        <v>55.06</v>
      </c>
      <c r="L4437" t="str">
        <f t="shared" si="139"/>
        <v>Banca Calabra|15|Carte</v>
      </c>
    </row>
    <row r="4438" spans="1:12" x14ac:dyDescent="0.25">
      <c r="A4438" t="s">
        <v>39</v>
      </c>
      <c r="B4438">
        <v>15</v>
      </c>
      <c r="C4438" t="s">
        <v>18</v>
      </c>
      <c r="D4438" s="1">
        <v>45747</v>
      </c>
      <c r="E4438">
        <v>3220.9</v>
      </c>
      <c r="F4438">
        <v>171.14</v>
      </c>
      <c r="G4438">
        <v>103.66</v>
      </c>
      <c r="H4438">
        <v>288</v>
      </c>
      <c r="I4438" t="s">
        <v>31</v>
      </c>
      <c r="J4438">
        <v>2025</v>
      </c>
      <c r="K4438">
        <f t="shared" si="138"/>
        <v>67.47999999999999</v>
      </c>
      <c r="L4438" t="str">
        <f t="shared" si="139"/>
        <v>Banca Calabra|15|Leasing</v>
      </c>
    </row>
    <row r="4439" spans="1:12" x14ac:dyDescent="0.25">
      <c r="A4439" t="s">
        <v>39</v>
      </c>
      <c r="B4439">
        <v>15</v>
      </c>
      <c r="C4439" t="s">
        <v>19</v>
      </c>
      <c r="D4439" s="1">
        <v>45747</v>
      </c>
      <c r="E4439">
        <v>3682.3</v>
      </c>
      <c r="F4439">
        <v>203.11</v>
      </c>
      <c r="G4439">
        <v>121.54</v>
      </c>
      <c r="H4439">
        <v>334</v>
      </c>
      <c r="I4439" t="s">
        <v>31</v>
      </c>
      <c r="J4439">
        <v>2025</v>
      </c>
      <c r="K4439">
        <f t="shared" si="138"/>
        <v>81.570000000000007</v>
      </c>
      <c r="L4439" t="str">
        <f t="shared" si="139"/>
        <v>Banca Calabra|15|Factoring</v>
      </c>
    </row>
    <row r="4440" spans="1:12" x14ac:dyDescent="0.25">
      <c r="A4440" t="s">
        <v>39</v>
      </c>
      <c r="B4440">
        <v>15</v>
      </c>
      <c r="C4440" t="s">
        <v>20</v>
      </c>
      <c r="D4440" s="1">
        <v>45747</v>
      </c>
      <c r="E4440">
        <v>4185.2</v>
      </c>
      <c r="F4440">
        <v>239.02</v>
      </c>
      <c r="G4440">
        <v>142.47999999999999</v>
      </c>
      <c r="H4440">
        <v>408</v>
      </c>
      <c r="I4440" t="s">
        <v>31</v>
      </c>
      <c r="J4440">
        <v>2025</v>
      </c>
      <c r="K4440">
        <f t="shared" si="138"/>
        <v>96.54000000000002</v>
      </c>
      <c r="L4440" t="str">
        <f t="shared" si="139"/>
        <v>Banca Calabra|15|Risparmio</v>
      </c>
    </row>
    <row r="4441" spans="1:12" x14ac:dyDescent="0.25">
      <c r="A4441" t="s">
        <v>39</v>
      </c>
      <c r="B4441">
        <v>15</v>
      </c>
      <c r="C4441" t="s">
        <v>21</v>
      </c>
      <c r="D4441" s="1">
        <v>45747</v>
      </c>
      <c r="E4441">
        <v>4626.5</v>
      </c>
      <c r="F4441">
        <v>273.16000000000003</v>
      </c>
      <c r="G4441">
        <v>162.82</v>
      </c>
      <c r="H4441">
        <v>435</v>
      </c>
      <c r="I4441" t="s">
        <v>31</v>
      </c>
      <c r="J4441">
        <v>2025</v>
      </c>
      <c r="K4441">
        <f t="shared" si="138"/>
        <v>110.34000000000003</v>
      </c>
      <c r="L4441" t="str">
        <f t="shared" si="139"/>
        <v>Banca Calabra|15|Assicurazioni</v>
      </c>
    </row>
    <row r="4442" spans="1:12" x14ac:dyDescent="0.25">
      <c r="A4442" t="s">
        <v>39</v>
      </c>
      <c r="B4442">
        <v>16</v>
      </c>
      <c r="C4442" t="s">
        <v>13</v>
      </c>
      <c r="D4442" s="1">
        <v>45777</v>
      </c>
      <c r="E4442">
        <v>1265.4000000000001</v>
      </c>
      <c r="F4442">
        <v>57.37</v>
      </c>
      <c r="G4442">
        <v>35.72</v>
      </c>
      <c r="H4442">
        <v>129</v>
      </c>
      <c r="I4442" t="s">
        <v>31</v>
      </c>
      <c r="J4442">
        <v>2025</v>
      </c>
      <c r="K4442">
        <f t="shared" si="138"/>
        <v>21.65</v>
      </c>
      <c r="L4442" t="str">
        <f t="shared" si="139"/>
        <v>Banca Calabra|16|Mutui</v>
      </c>
    </row>
    <row r="4443" spans="1:12" x14ac:dyDescent="0.25">
      <c r="A4443" t="s">
        <v>39</v>
      </c>
      <c r="B4443">
        <v>16</v>
      </c>
      <c r="C4443" t="s">
        <v>15</v>
      </c>
      <c r="D4443" s="1">
        <v>45777</v>
      </c>
      <c r="E4443">
        <v>1743.4</v>
      </c>
      <c r="F4443">
        <v>82.08</v>
      </c>
      <c r="G4443">
        <v>51.25</v>
      </c>
      <c r="H4443">
        <v>191</v>
      </c>
      <c r="I4443" t="s">
        <v>31</v>
      </c>
      <c r="J4443">
        <v>2025</v>
      </c>
      <c r="K4443">
        <f t="shared" si="138"/>
        <v>30.83</v>
      </c>
      <c r="L4443" t="str">
        <f t="shared" si="139"/>
        <v>Banca Calabra|16|Prestiti</v>
      </c>
    </row>
    <row r="4444" spans="1:12" x14ac:dyDescent="0.25">
      <c r="A4444" t="s">
        <v>39</v>
      </c>
      <c r="B4444">
        <v>16</v>
      </c>
      <c r="C4444" t="s">
        <v>16</v>
      </c>
      <c r="D4444" s="1">
        <v>45777</v>
      </c>
      <c r="E4444">
        <v>2247.6</v>
      </c>
      <c r="F4444">
        <v>111.05</v>
      </c>
      <c r="G4444">
        <v>68.12</v>
      </c>
      <c r="H4444">
        <v>239</v>
      </c>
      <c r="I4444" t="s">
        <v>31</v>
      </c>
      <c r="J4444">
        <v>2025</v>
      </c>
      <c r="K4444">
        <f t="shared" si="138"/>
        <v>42.929999999999993</v>
      </c>
      <c r="L4444" t="str">
        <f t="shared" si="139"/>
        <v>Banca Calabra|16|Conti</v>
      </c>
    </row>
    <row r="4445" spans="1:12" x14ac:dyDescent="0.25">
      <c r="A4445" t="s">
        <v>39</v>
      </c>
      <c r="B4445">
        <v>16</v>
      </c>
      <c r="C4445" t="s">
        <v>17</v>
      </c>
      <c r="D4445" s="1">
        <v>45777</v>
      </c>
      <c r="E4445">
        <v>2766.3</v>
      </c>
      <c r="F4445">
        <v>141.38999999999999</v>
      </c>
      <c r="G4445">
        <v>86.61</v>
      </c>
      <c r="H4445">
        <v>269</v>
      </c>
      <c r="I4445" t="s">
        <v>31</v>
      </c>
      <c r="J4445">
        <v>2025</v>
      </c>
      <c r="K4445">
        <f t="shared" si="138"/>
        <v>54.779999999999987</v>
      </c>
      <c r="L4445" t="str">
        <f t="shared" si="139"/>
        <v>Banca Calabra|16|Carte</v>
      </c>
    </row>
    <row r="4446" spans="1:12" x14ac:dyDescent="0.25">
      <c r="A4446" t="s">
        <v>39</v>
      </c>
      <c r="B4446">
        <v>16</v>
      </c>
      <c r="C4446" t="s">
        <v>18</v>
      </c>
      <c r="D4446" s="1">
        <v>45777</v>
      </c>
      <c r="E4446">
        <v>3192.6</v>
      </c>
      <c r="F4446">
        <v>169.57</v>
      </c>
      <c r="G4446">
        <v>102.47</v>
      </c>
      <c r="H4446">
        <v>310</v>
      </c>
      <c r="I4446" t="s">
        <v>31</v>
      </c>
      <c r="J4446">
        <v>2025</v>
      </c>
      <c r="K4446">
        <f t="shared" si="138"/>
        <v>67.099999999999994</v>
      </c>
      <c r="L4446" t="str">
        <f t="shared" si="139"/>
        <v>Banca Calabra|16|Leasing</v>
      </c>
    </row>
    <row r="4447" spans="1:12" x14ac:dyDescent="0.25">
      <c r="A4447" t="s">
        <v>39</v>
      </c>
      <c r="B4447">
        <v>16</v>
      </c>
      <c r="C4447" t="s">
        <v>19</v>
      </c>
      <c r="D4447" s="1">
        <v>45777</v>
      </c>
      <c r="E4447">
        <v>3711.7</v>
      </c>
      <c r="F4447">
        <v>204.5</v>
      </c>
      <c r="G4447">
        <v>122.99</v>
      </c>
      <c r="H4447">
        <v>359</v>
      </c>
      <c r="I4447" t="s">
        <v>31</v>
      </c>
      <c r="J4447">
        <v>2025</v>
      </c>
      <c r="K4447">
        <f t="shared" si="138"/>
        <v>81.510000000000005</v>
      </c>
      <c r="L4447" t="str">
        <f t="shared" si="139"/>
        <v>Banca Calabra|16|Factoring</v>
      </c>
    </row>
    <row r="4448" spans="1:12" x14ac:dyDescent="0.25">
      <c r="A4448" t="s">
        <v>39</v>
      </c>
      <c r="B4448">
        <v>16</v>
      </c>
      <c r="C4448" t="s">
        <v>20</v>
      </c>
      <c r="D4448" s="1">
        <v>45777</v>
      </c>
      <c r="E4448">
        <v>4205.8999999999996</v>
      </c>
      <c r="F4448">
        <v>240.23</v>
      </c>
      <c r="G4448">
        <v>143.54</v>
      </c>
      <c r="H4448">
        <v>382</v>
      </c>
      <c r="I4448" t="s">
        <v>31</v>
      </c>
      <c r="J4448">
        <v>2025</v>
      </c>
      <c r="K4448">
        <f t="shared" si="138"/>
        <v>96.69</v>
      </c>
      <c r="L4448" t="str">
        <f t="shared" si="139"/>
        <v>Banca Calabra|16|Risparmio</v>
      </c>
    </row>
    <row r="4449" spans="1:12" x14ac:dyDescent="0.25">
      <c r="A4449" t="s">
        <v>39</v>
      </c>
      <c r="B4449">
        <v>16</v>
      </c>
      <c r="C4449" t="s">
        <v>21</v>
      </c>
      <c r="D4449" s="1">
        <v>45777</v>
      </c>
      <c r="E4449">
        <v>4679.6000000000004</v>
      </c>
      <c r="F4449">
        <v>276.23</v>
      </c>
      <c r="G4449">
        <v>163.98</v>
      </c>
      <c r="H4449">
        <v>415</v>
      </c>
      <c r="I4449" t="s">
        <v>31</v>
      </c>
      <c r="J4449">
        <v>2025</v>
      </c>
      <c r="K4449">
        <f t="shared" si="138"/>
        <v>112.25000000000003</v>
      </c>
      <c r="L4449" t="str">
        <f t="shared" si="139"/>
        <v>Banca Calabra|16|Assicurazioni</v>
      </c>
    </row>
    <row r="4450" spans="1:12" x14ac:dyDescent="0.25">
      <c r="A4450" t="s">
        <v>39</v>
      </c>
      <c r="B4450">
        <v>17</v>
      </c>
      <c r="C4450" t="s">
        <v>13</v>
      </c>
      <c r="D4450" s="1">
        <v>45808</v>
      </c>
      <c r="E4450">
        <v>1295.3</v>
      </c>
      <c r="F4450">
        <v>59.18</v>
      </c>
      <c r="G4450">
        <v>36.44</v>
      </c>
      <c r="H4450">
        <v>144</v>
      </c>
      <c r="I4450" t="s">
        <v>31</v>
      </c>
      <c r="J4450">
        <v>2025</v>
      </c>
      <c r="K4450">
        <f t="shared" si="138"/>
        <v>22.740000000000002</v>
      </c>
      <c r="L4450" t="str">
        <f t="shared" si="139"/>
        <v>Banca Calabra|17|Mutui</v>
      </c>
    </row>
    <row r="4451" spans="1:12" x14ac:dyDescent="0.25">
      <c r="A4451" t="s">
        <v>39</v>
      </c>
      <c r="B4451">
        <v>17</v>
      </c>
      <c r="C4451" t="s">
        <v>15</v>
      </c>
      <c r="D4451" s="1">
        <v>45808</v>
      </c>
      <c r="E4451">
        <v>1797.2</v>
      </c>
      <c r="F4451">
        <v>85.23</v>
      </c>
      <c r="G4451">
        <v>52.32</v>
      </c>
      <c r="H4451">
        <v>195</v>
      </c>
      <c r="I4451" t="s">
        <v>31</v>
      </c>
      <c r="J4451">
        <v>2025</v>
      </c>
      <c r="K4451">
        <f t="shared" si="138"/>
        <v>32.910000000000004</v>
      </c>
      <c r="L4451" t="str">
        <f t="shared" si="139"/>
        <v>Banca Calabra|17|Prestiti</v>
      </c>
    </row>
    <row r="4452" spans="1:12" x14ac:dyDescent="0.25">
      <c r="A4452" t="s">
        <v>39</v>
      </c>
      <c r="B4452">
        <v>17</v>
      </c>
      <c r="C4452" t="s">
        <v>16</v>
      </c>
      <c r="D4452" s="1">
        <v>45808</v>
      </c>
      <c r="E4452">
        <v>2266</v>
      </c>
      <c r="F4452">
        <v>111.38</v>
      </c>
      <c r="G4452">
        <v>68.2</v>
      </c>
      <c r="H4452">
        <v>219</v>
      </c>
      <c r="I4452" t="s">
        <v>31</v>
      </c>
      <c r="J4452">
        <v>2025</v>
      </c>
      <c r="K4452">
        <f t="shared" si="138"/>
        <v>43.179999999999993</v>
      </c>
      <c r="L4452" t="str">
        <f t="shared" si="139"/>
        <v>Banca Calabra|17|Conti</v>
      </c>
    </row>
    <row r="4453" spans="1:12" x14ac:dyDescent="0.25">
      <c r="A4453" t="s">
        <v>39</v>
      </c>
      <c r="B4453">
        <v>17</v>
      </c>
      <c r="C4453" t="s">
        <v>17</v>
      </c>
      <c r="D4453" s="1">
        <v>45808</v>
      </c>
      <c r="E4453">
        <v>2786.7</v>
      </c>
      <c r="F4453">
        <v>142.22999999999999</v>
      </c>
      <c r="G4453">
        <v>87.04</v>
      </c>
      <c r="H4453">
        <v>272</v>
      </c>
      <c r="I4453" t="s">
        <v>31</v>
      </c>
      <c r="J4453">
        <v>2025</v>
      </c>
      <c r="K4453">
        <f t="shared" si="138"/>
        <v>55.189999999999984</v>
      </c>
      <c r="L4453" t="str">
        <f t="shared" si="139"/>
        <v>Banca Calabra|17|Carte</v>
      </c>
    </row>
    <row r="4454" spans="1:12" x14ac:dyDescent="0.25">
      <c r="A4454" t="s">
        <v>39</v>
      </c>
      <c r="B4454">
        <v>17</v>
      </c>
      <c r="C4454" t="s">
        <v>18</v>
      </c>
      <c r="D4454" s="1">
        <v>45808</v>
      </c>
      <c r="E4454">
        <v>3264.1</v>
      </c>
      <c r="F4454">
        <v>173.62</v>
      </c>
      <c r="G4454">
        <v>105.35</v>
      </c>
      <c r="H4454">
        <v>286</v>
      </c>
      <c r="I4454" t="s">
        <v>31</v>
      </c>
      <c r="J4454">
        <v>2025</v>
      </c>
      <c r="K4454">
        <f t="shared" si="138"/>
        <v>68.27000000000001</v>
      </c>
      <c r="L4454" t="str">
        <f t="shared" si="139"/>
        <v>Banca Calabra|17|Leasing</v>
      </c>
    </row>
    <row r="4455" spans="1:12" x14ac:dyDescent="0.25">
      <c r="A4455" t="s">
        <v>39</v>
      </c>
      <c r="B4455">
        <v>17</v>
      </c>
      <c r="C4455" t="s">
        <v>19</v>
      </c>
      <c r="D4455" s="1">
        <v>45808</v>
      </c>
      <c r="E4455">
        <v>3706.5</v>
      </c>
      <c r="F4455">
        <v>204.25</v>
      </c>
      <c r="G4455">
        <v>122.73</v>
      </c>
      <c r="H4455">
        <v>340</v>
      </c>
      <c r="I4455" t="s">
        <v>31</v>
      </c>
      <c r="J4455">
        <v>2025</v>
      </c>
      <c r="K4455">
        <f t="shared" si="138"/>
        <v>81.52</v>
      </c>
      <c r="L4455" t="str">
        <f t="shared" si="139"/>
        <v>Banca Calabra|17|Factoring</v>
      </c>
    </row>
    <row r="4456" spans="1:12" x14ac:dyDescent="0.25">
      <c r="A4456" t="s">
        <v>39</v>
      </c>
      <c r="B4456">
        <v>17</v>
      </c>
      <c r="C4456" t="s">
        <v>20</v>
      </c>
      <c r="D4456" s="1">
        <v>45808</v>
      </c>
      <c r="E4456">
        <v>4189</v>
      </c>
      <c r="F4456">
        <v>238.9</v>
      </c>
      <c r="G4456">
        <v>143.25</v>
      </c>
      <c r="H4456">
        <v>379</v>
      </c>
      <c r="I4456" t="s">
        <v>31</v>
      </c>
      <c r="J4456">
        <v>2025</v>
      </c>
      <c r="K4456">
        <f t="shared" si="138"/>
        <v>95.65</v>
      </c>
      <c r="L4456" t="str">
        <f t="shared" si="139"/>
        <v>Banca Calabra|17|Risparmio</v>
      </c>
    </row>
    <row r="4457" spans="1:12" x14ac:dyDescent="0.25">
      <c r="A4457" t="s">
        <v>39</v>
      </c>
      <c r="B4457">
        <v>17</v>
      </c>
      <c r="C4457" t="s">
        <v>21</v>
      </c>
      <c r="D4457" s="1">
        <v>45808</v>
      </c>
      <c r="E4457">
        <v>4678</v>
      </c>
      <c r="F4457">
        <v>276.19</v>
      </c>
      <c r="G4457">
        <v>164.27</v>
      </c>
      <c r="H4457">
        <v>450</v>
      </c>
      <c r="I4457" t="s">
        <v>31</v>
      </c>
      <c r="J4457">
        <v>2025</v>
      </c>
      <c r="K4457">
        <f t="shared" si="138"/>
        <v>111.91999999999999</v>
      </c>
      <c r="L4457" t="str">
        <f t="shared" si="139"/>
        <v>Banca Calabra|17|Assicurazioni</v>
      </c>
    </row>
    <row r="4458" spans="1:12" x14ac:dyDescent="0.25">
      <c r="A4458" t="s">
        <v>39</v>
      </c>
      <c r="B4458">
        <v>18</v>
      </c>
      <c r="C4458" t="s">
        <v>13</v>
      </c>
      <c r="D4458" s="1">
        <v>45838</v>
      </c>
      <c r="E4458">
        <v>1291.9000000000001</v>
      </c>
      <c r="F4458">
        <v>58.28</v>
      </c>
      <c r="G4458">
        <v>36.72</v>
      </c>
      <c r="H4458">
        <v>129</v>
      </c>
      <c r="I4458" t="s">
        <v>31</v>
      </c>
      <c r="J4458">
        <v>2025</v>
      </c>
      <c r="K4458">
        <f t="shared" si="138"/>
        <v>21.560000000000002</v>
      </c>
      <c r="L4458" t="str">
        <f t="shared" si="139"/>
        <v>Banca Calabra|18|Mutui</v>
      </c>
    </row>
    <row r="4459" spans="1:12" x14ac:dyDescent="0.25">
      <c r="A4459" t="s">
        <v>39</v>
      </c>
      <c r="B4459">
        <v>18</v>
      </c>
      <c r="C4459" t="s">
        <v>15</v>
      </c>
      <c r="D4459" s="1">
        <v>45838</v>
      </c>
      <c r="E4459">
        <v>1776.3</v>
      </c>
      <c r="F4459">
        <v>83.76</v>
      </c>
      <c r="G4459">
        <v>51.55</v>
      </c>
      <c r="H4459">
        <v>168</v>
      </c>
      <c r="I4459" t="s">
        <v>31</v>
      </c>
      <c r="J4459">
        <v>2025</v>
      </c>
      <c r="K4459">
        <f t="shared" si="138"/>
        <v>32.210000000000008</v>
      </c>
      <c r="L4459" t="str">
        <f t="shared" si="139"/>
        <v>Banca Calabra|18|Prestiti</v>
      </c>
    </row>
    <row r="4460" spans="1:12" x14ac:dyDescent="0.25">
      <c r="A4460" t="s">
        <v>39</v>
      </c>
      <c r="B4460">
        <v>18</v>
      </c>
      <c r="C4460" t="s">
        <v>16</v>
      </c>
      <c r="D4460" s="1">
        <v>45838</v>
      </c>
      <c r="E4460">
        <v>2303.1</v>
      </c>
      <c r="F4460">
        <v>113.34</v>
      </c>
      <c r="G4460">
        <v>69.540000000000006</v>
      </c>
      <c r="H4460">
        <v>207</v>
      </c>
      <c r="I4460" t="s">
        <v>31</v>
      </c>
      <c r="J4460">
        <v>2025</v>
      </c>
      <c r="K4460">
        <f t="shared" si="138"/>
        <v>43.8</v>
      </c>
      <c r="L4460" t="str">
        <f t="shared" si="139"/>
        <v>Banca Calabra|18|Conti</v>
      </c>
    </row>
    <row r="4461" spans="1:12" x14ac:dyDescent="0.25">
      <c r="A4461" t="s">
        <v>39</v>
      </c>
      <c r="B4461">
        <v>18</v>
      </c>
      <c r="C4461" t="s">
        <v>17</v>
      </c>
      <c r="D4461" s="1">
        <v>45838</v>
      </c>
      <c r="E4461">
        <v>2787.5</v>
      </c>
      <c r="F4461">
        <v>142.16</v>
      </c>
      <c r="G4461">
        <v>86.56</v>
      </c>
      <c r="H4461">
        <v>269</v>
      </c>
      <c r="I4461" t="s">
        <v>31</v>
      </c>
      <c r="J4461">
        <v>2025</v>
      </c>
      <c r="K4461">
        <f t="shared" si="138"/>
        <v>55.599999999999994</v>
      </c>
      <c r="L4461" t="str">
        <f t="shared" si="139"/>
        <v>Banca Calabra|18|Carte</v>
      </c>
    </row>
    <row r="4462" spans="1:12" x14ac:dyDescent="0.25">
      <c r="A4462" t="s">
        <v>39</v>
      </c>
      <c r="B4462">
        <v>18</v>
      </c>
      <c r="C4462" t="s">
        <v>18</v>
      </c>
      <c r="D4462" s="1">
        <v>45838</v>
      </c>
      <c r="E4462">
        <v>3294.1</v>
      </c>
      <c r="F4462">
        <v>174.93</v>
      </c>
      <c r="G4462">
        <v>106.3</v>
      </c>
      <c r="H4462">
        <v>322</v>
      </c>
      <c r="I4462" t="s">
        <v>31</v>
      </c>
      <c r="J4462">
        <v>2025</v>
      </c>
      <c r="K4462">
        <f t="shared" si="138"/>
        <v>68.63000000000001</v>
      </c>
      <c r="L4462" t="str">
        <f t="shared" si="139"/>
        <v>Banca Calabra|18|Leasing</v>
      </c>
    </row>
    <row r="4463" spans="1:12" x14ac:dyDescent="0.25">
      <c r="A4463" t="s">
        <v>39</v>
      </c>
      <c r="B4463">
        <v>18</v>
      </c>
      <c r="C4463" t="s">
        <v>19</v>
      </c>
      <c r="D4463" s="1">
        <v>45838</v>
      </c>
      <c r="E4463">
        <v>3765.6</v>
      </c>
      <c r="F4463">
        <v>207.63</v>
      </c>
      <c r="G4463">
        <v>124.27</v>
      </c>
      <c r="H4463">
        <v>344</v>
      </c>
      <c r="I4463" t="s">
        <v>31</v>
      </c>
      <c r="J4463">
        <v>2025</v>
      </c>
      <c r="K4463">
        <f t="shared" si="138"/>
        <v>83.36</v>
      </c>
      <c r="L4463" t="str">
        <f t="shared" si="139"/>
        <v>Banca Calabra|18|Factoring</v>
      </c>
    </row>
    <row r="4464" spans="1:12" x14ac:dyDescent="0.25">
      <c r="A4464" t="s">
        <v>39</v>
      </c>
      <c r="B4464">
        <v>18</v>
      </c>
      <c r="C4464" t="s">
        <v>20</v>
      </c>
      <c r="D4464" s="1">
        <v>45838</v>
      </c>
      <c r="E4464">
        <v>4261.6000000000004</v>
      </c>
      <c r="F4464">
        <v>243.49</v>
      </c>
      <c r="G4464">
        <v>145.63</v>
      </c>
      <c r="H4464">
        <v>390</v>
      </c>
      <c r="I4464" t="s">
        <v>31</v>
      </c>
      <c r="J4464">
        <v>2025</v>
      </c>
      <c r="K4464">
        <f t="shared" si="138"/>
        <v>97.860000000000014</v>
      </c>
      <c r="L4464" t="str">
        <f t="shared" si="139"/>
        <v>Banca Calabra|18|Risparmio</v>
      </c>
    </row>
    <row r="4465" spans="1:12" x14ac:dyDescent="0.25">
      <c r="A4465" t="s">
        <v>39</v>
      </c>
      <c r="B4465">
        <v>18</v>
      </c>
      <c r="C4465" t="s">
        <v>21</v>
      </c>
      <c r="D4465" s="1">
        <v>45838</v>
      </c>
      <c r="E4465">
        <v>4730.5</v>
      </c>
      <c r="F4465">
        <v>279.18</v>
      </c>
      <c r="G4465">
        <v>166.09</v>
      </c>
      <c r="H4465">
        <v>448</v>
      </c>
      <c r="I4465" t="s">
        <v>31</v>
      </c>
      <c r="J4465">
        <v>2025</v>
      </c>
      <c r="K4465">
        <f t="shared" si="138"/>
        <v>113.09</v>
      </c>
      <c r="L4465" t="str">
        <f t="shared" si="139"/>
        <v>Banca Calabra|18|Assicurazioni</v>
      </c>
    </row>
    <row r="4466" spans="1:12" x14ac:dyDescent="0.25">
      <c r="A4466" t="s">
        <v>39</v>
      </c>
      <c r="B4466">
        <v>19</v>
      </c>
      <c r="C4466" t="s">
        <v>13</v>
      </c>
      <c r="D4466" s="1">
        <v>45869</v>
      </c>
      <c r="E4466">
        <v>1295.0999999999999</v>
      </c>
      <c r="F4466">
        <v>58.63</v>
      </c>
      <c r="G4466">
        <v>36.4</v>
      </c>
      <c r="H4466">
        <v>135</v>
      </c>
      <c r="I4466" t="s">
        <v>31</v>
      </c>
      <c r="J4466">
        <v>2025</v>
      </c>
      <c r="K4466">
        <f t="shared" si="138"/>
        <v>22.230000000000004</v>
      </c>
      <c r="L4466" t="str">
        <f t="shared" si="139"/>
        <v>Banca Calabra|19|Mutui</v>
      </c>
    </row>
    <row r="4467" spans="1:12" x14ac:dyDescent="0.25">
      <c r="A4467" t="s">
        <v>39</v>
      </c>
      <c r="B4467">
        <v>19</v>
      </c>
      <c r="C4467" t="s">
        <v>15</v>
      </c>
      <c r="D4467" s="1">
        <v>45869</v>
      </c>
      <c r="E4467">
        <v>1793.2</v>
      </c>
      <c r="F4467">
        <v>84.96</v>
      </c>
      <c r="G4467">
        <v>52.65</v>
      </c>
      <c r="H4467">
        <v>177</v>
      </c>
      <c r="I4467" t="s">
        <v>31</v>
      </c>
      <c r="J4467">
        <v>2025</v>
      </c>
      <c r="K4467">
        <f t="shared" si="138"/>
        <v>32.309999999999995</v>
      </c>
      <c r="L4467" t="str">
        <f t="shared" si="139"/>
        <v>Banca Calabra|19|Prestiti</v>
      </c>
    </row>
    <row r="4468" spans="1:12" x14ac:dyDescent="0.25">
      <c r="A4468" t="s">
        <v>39</v>
      </c>
      <c r="B4468">
        <v>19</v>
      </c>
      <c r="C4468" t="s">
        <v>16</v>
      </c>
      <c r="D4468" s="1">
        <v>45869</v>
      </c>
      <c r="E4468">
        <v>2318.5</v>
      </c>
      <c r="F4468">
        <v>113.64</v>
      </c>
      <c r="G4468">
        <v>70.42</v>
      </c>
      <c r="H4468">
        <v>238</v>
      </c>
      <c r="I4468" t="s">
        <v>31</v>
      </c>
      <c r="J4468">
        <v>2025</v>
      </c>
      <c r="K4468">
        <f t="shared" si="138"/>
        <v>43.22</v>
      </c>
      <c r="L4468" t="str">
        <f t="shared" si="139"/>
        <v>Banca Calabra|19|Conti</v>
      </c>
    </row>
    <row r="4469" spans="1:12" x14ac:dyDescent="0.25">
      <c r="A4469" t="s">
        <v>39</v>
      </c>
      <c r="B4469">
        <v>19</v>
      </c>
      <c r="C4469" t="s">
        <v>17</v>
      </c>
      <c r="D4469" s="1">
        <v>45869</v>
      </c>
      <c r="E4469">
        <v>2780.7</v>
      </c>
      <c r="F4469">
        <v>142.08000000000001</v>
      </c>
      <c r="G4469">
        <v>86.83</v>
      </c>
      <c r="H4469">
        <v>272</v>
      </c>
      <c r="I4469" t="s">
        <v>31</v>
      </c>
      <c r="J4469">
        <v>2025</v>
      </c>
      <c r="K4469">
        <f t="shared" si="138"/>
        <v>55.250000000000014</v>
      </c>
      <c r="L4469" t="str">
        <f t="shared" si="139"/>
        <v>Banca Calabra|19|Carte</v>
      </c>
    </row>
    <row r="4470" spans="1:12" x14ac:dyDescent="0.25">
      <c r="A4470" t="s">
        <v>39</v>
      </c>
      <c r="B4470">
        <v>19</v>
      </c>
      <c r="C4470" t="s">
        <v>18</v>
      </c>
      <c r="D4470" s="1">
        <v>45869</v>
      </c>
      <c r="E4470">
        <v>3295.4</v>
      </c>
      <c r="F4470">
        <v>174.92</v>
      </c>
      <c r="G4470">
        <v>106.09</v>
      </c>
      <c r="H4470">
        <v>306</v>
      </c>
      <c r="I4470" t="s">
        <v>31</v>
      </c>
      <c r="J4470">
        <v>2025</v>
      </c>
      <c r="K4470">
        <f t="shared" si="138"/>
        <v>68.829999999999984</v>
      </c>
      <c r="L4470" t="str">
        <f t="shared" si="139"/>
        <v>Banca Calabra|19|Leasing</v>
      </c>
    </row>
    <row r="4471" spans="1:12" x14ac:dyDescent="0.25">
      <c r="A4471" t="s">
        <v>39</v>
      </c>
      <c r="B4471">
        <v>19</v>
      </c>
      <c r="C4471" t="s">
        <v>19</v>
      </c>
      <c r="D4471" s="1">
        <v>45869</v>
      </c>
      <c r="E4471">
        <v>3757.5</v>
      </c>
      <c r="F4471">
        <v>207.41</v>
      </c>
      <c r="G4471">
        <v>124.96</v>
      </c>
      <c r="H4471">
        <v>359</v>
      </c>
      <c r="I4471" t="s">
        <v>31</v>
      </c>
      <c r="J4471">
        <v>2025</v>
      </c>
      <c r="K4471">
        <f t="shared" si="138"/>
        <v>82.45</v>
      </c>
      <c r="L4471" t="str">
        <f t="shared" si="139"/>
        <v>Banca Calabra|19|Factoring</v>
      </c>
    </row>
    <row r="4472" spans="1:12" x14ac:dyDescent="0.25">
      <c r="A4472" t="s">
        <v>39</v>
      </c>
      <c r="B4472">
        <v>19</v>
      </c>
      <c r="C4472" t="s">
        <v>20</v>
      </c>
      <c r="D4472" s="1">
        <v>45869</v>
      </c>
      <c r="E4472">
        <v>4248.8999999999996</v>
      </c>
      <c r="F4472">
        <v>242.67</v>
      </c>
      <c r="G4472">
        <v>144.75</v>
      </c>
      <c r="H4472">
        <v>391</v>
      </c>
      <c r="I4472" t="s">
        <v>31</v>
      </c>
      <c r="J4472">
        <v>2025</v>
      </c>
      <c r="K4472">
        <f t="shared" si="138"/>
        <v>97.919999999999987</v>
      </c>
      <c r="L4472" t="str">
        <f t="shared" si="139"/>
        <v>Banca Calabra|19|Risparmio</v>
      </c>
    </row>
    <row r="4473" spans="1:12" x14ac:dyDescent="0.25">
      <c r="A4473" t="s">
        <v>39</v>
      </c>
      <c r="B4473">
        <v>19</v>
      </c>
      <c r="C4473" t="s">
        <v>21</v>
      </c>
      <c r="D4473" s="1">
        <v>45869</v>
      </c>
      <c r="E4473">
        <v>4767.6000000000004</v>
      </c>
      <c r="F4473">
        <v>281.5</v>
      </c>
      <c r="G4473">
        <v>167.22</v>
      </c>
      <c r="H4473">
        <v>441</v>
      </c>
      <c r="I4473" t="s">
        <v>31</v>
      </c>
      <c r="J4473">
        <v>2025</v>
      </c>
      <c r="K4473">
        <f t="shared" si="138"/>
        <v>114.28</v>
      </c>
      <c r="L4473" t="str">
        <f t="shared" si="139"/>
        <v>Banca Calabra|19|Assicurazioni</v>
      </c>
    </row>
    <row r="4474" spans="1:12" x14ac:dyDescent="0.25">
      <c r="A4474" t="s">
        <v>39</v>
      </c>
      <c r="B4474">
        <v>20</v>
      </c>
      <c r="C4474" t="s">
        <v>13</v>
      </c>
      <c r="D4474" s="1">
        <v>45900</v>
      </c>
      <c r="E4474">
        <v>1317.6</v>
      </c>
      <c r="F4474">
        <v>60.16</v>
      </c>
      <c r="G4474">
        <v>37.380000000000003</v>
      </c>
      <c r="H4474">
        <v>139</v>
      </c>
      <c r="I4474" t="s">
        <v>31</v>
      </c>
      <c r="J4474">
        <v>2025</v>
      </c>
      <c r="K4474">
        <f t="shared" si="138"/>
        <v>22.779999999999994</v>
      </c>
      <c r="L4474" t="str">
        <f t="shared" si="139"/>
        <v>Banca Calabra|20|Mutui</v>
      </c>
    </row>
    <row r="4475" spans="1:12" x14ac:dyDescent="0.25">
      <c r="A4475" t="s">
        <v>39</v>
      </c>
      <c r="B4475">
        <v>20</v>
      </c>
      <c r="C4475" t="s">
        <v>15</v>
      </c>
      <c r="D4475" s="1">
        <v>45900</v>
      </c>
      <c r="E4475">
        <v>1822.1</v>
      </c>
      <c r="F4475">
        <v>86.35</v>
      </c>
      <c r="G4475">
        <v>53.62</v>
      </c>
      <c r="H4475">
        <v>165</v>
      </c>
      <c r="I4475" t="s">
        <v>31</v>
      </c>
      <c r="J4475">
        <v>2025</v>
      </c>
      <c r="K4475">
        <f t="shared" si="138"/>
        <v>32.729999999999997</v>
      </c>
      <c r="L4475" t="str">
        <f t="shared" si="139"/>
        <v>Banca Calabra|20|Prestiti</v>
      </c>
    </row>
    <row r="4476" spans="1:12" x14ac:dyDescent="0.25">
      <c r="A4476" t="s">
        <v>39</v>
      </c>
      <c r="B4476">
        <v>20</v>
      </c>
      <c r="C4476" t="s">
        <v>16</v>
      </c>
      <c r="D4476" s="1">
        <v>45900</v>
      </c>
      <c r="E4476">
        <v>2306.6</v>
      </c>
      <c r="F4476">
        <v>113.48</v>
      </c>
      <c r="G4476">
        <v>69.989999999999995</v>
      </c>
      <c r="H4476">
        <v>210</v>
      </c>
      <c r="I4476" t="s">
        <v>31</v>
      </c>
      <c r="J4476">
        <v>2025</v>
      </c>
      <c r="K4476">
        <f t="shared" si="138"/>
        <v>43.490000000000009</v>
      </c>
      <c r="L4476" t="str">
        <f t="shared" si="139"/>
        <v>Banca Calabra|20|Conti</v>
      </c>
    </row>
    <row r="4477" spans="1:12" x14ac:dyDescent="0.25">
      <c r="A4477" t="s">
        <v>39</v>
      </c>
      <c r="B4477">
        <v>20</v>
      </c>
      <c r="C4477" t="s">
        <v>17</v>
      </c>
      <c r="D4477" s="1">
        <v>45900</v>
      </c>
      <c r="E4477">
        <v>2828.2</v>
      </c>
      <c r="F4477">
        <v>144.96</v>
      </c>
      <c r="G4477">
        <v>88.28</v>
      </c>
      <c r="H4477">
        <v>260</v>
      </c>
      <c r="I4477" t="s">
        <v>31</v>
      </c>
      <c r="J4477">
        <v>2025</v>
      </c>
      <c r="K4477">
        <f t="shared" si="138"/>
        <v>56.680000000000007</v>
      </c>
      <c r="L4477" t="str">
        <f t="shared" si="139"/>
        <v>Banca Calabra|20|Carte</v>
      </c>
    </row>
    <row r="4478" spans="1:12" x14ac:dyDescent="0.25">
      <c r="A4478" t="s">
        <v>39</v>
      </c>
      <c r="B4478">
        <v>20</v>
      </c>
      <c r="C4478" t="s">
        <v>18</v>
      </c>
      <c r="D4478" s="1">
        <v>45900</v>
      </c>
      <c r="E4478">
        <v>3341.3</v>
      </c>
      <c r="F4478">
        <v>177.81</v>
      </c>
      <c r="G4478">
        <v>107.79</v>
      </c>
      <c r="H4478">
        <v>304</v>
      </c>
      <c r="I4478" t="s">
        <v>31</v>
      </c>
      <c r="J4478">
        <v>2025</v>
      </c>
      <c r="K4478">
        <f t="shared" si="138"/>
        <v>70.02</v>
      </c>
      <c r="L4478" t="str">
        <f t="shared" si="139"/>
        <v>Banca Calabra|20|Leasing</v>
      </c>
    </row>
    <row r="4479" spans="1:12" x14ac:dyDescent="0.25">
      <c r="A4479" t="s">
        <v>39</v>
      </c>
      <c r="B4479">
        <v>20</v>
      </c>
      <c r="C4479" t="s">
        <v>19</v>
      </c>
      <c r="D4479" s="1">
        <v>45900</v>
      </c>
      <c r="E4479">
        <v>3811.3</v>
      </c>
      <c r="F4479">
        <v>210.37</v>
      </c>
      <c r="G4479">
        <v>126.12</v>
      </c>
      <c r="H4479">
        <v>347</v>
      </c>
      <c r="I4479" t="s">
        <v>31</v>
      </c>
      <c r="J4479">
        <v>2025</v>
      </c>
      <c r="K4479">
        <f t="shared" si="138"/>
        <v>84.25</v>
      </c>
      <c r="L4479" t="str">
        <f t="shared" si="139"/>
        <v>Banca Calabra|20|Factoring</v>
      </c>
    </row>
    <row r="4480" spans="1:12" x14ac:dyDescent="0.25">
      <c r="A4480" t="s">
        <v>39</v>
      </c>
      <c r="B4480">
        <v>20</v>
      </c>
      <c r="C4480" t="s">
        <v>20</v>
      </c>
      <c r="D4480" s="1">
        <v>45900</v>
      </c>
      <c r="E4480">
        <v>4312.2</v>
      </c>
      <c r="F4480">
        <v>246.71</v>
      </c>
      <c r="G4480">
        <v>147.56</v>
      </c>
      <c r="H4480">
        <v>385</v>
      </c>
      <c r="I4480" t="s">
        <v>31</v>
      </c>
      <c r="J4480">
        <v>2025</v>
      </c>
      <c r="K4480">
        <f t="shared" si="138"/>
        <v>99.15</v>
      </c>
      <c r="L4480" t="str">
        <f t="shared" si="139"/>
        <v>Banca Calabra|20|Risparmio</v>
      </c>
    </row>
    <row r="4481" spans="1:12" x14ac:dyDescent="0.25">
      <c r="A4481" t="s">
        <v>39</v>
      </c>
      <c r="B4481">
        <v>20</v>
      </c>
      <c r="C4481" t="s">
        <v>21</v>
      </c>
      <c r="D4481" s="1">
        <v>45900</v>
      </c>
      <c r="E4481">
        <v>4816.7</v>
      </c>
      <c r="F4481">
        <v>284.95999999999998</v>
      </c>
      <c r="G4481">
        <v>168.59</v>
      </c>
      <c r="H4481">
        <v>414</v>
      </c>
      <c r="I4481" t="s">
        <v>31</v>
      </c>
      <c r="J4481">
        <v>2025</v>
      </c>
      <c r="K4481">
        <f t="shared" si="138"/>
        <v>116.36999999999998</v>
      </c>
      <c r="L4481" t="str">
        <f t="shared" si="139"/>
        <v>Banca Calabra|20|Assicurazioni</v>
      </c>
    </row>
    <row r="4482" spans="1:12" x14ac:dyDescent="0.25">
      <c r="A4482" t="s">
        <v>39</v>
      </c>
      <c r="B4482">
        <v>21</v>
      </c>
      <c r="C4482" t="s">
        <v>13</v>
      </c>
      <c r="D4482" s="1">
        <v>45930</v>
      </c>
      <c r="E4482">
        <v>1330.4</v>
      </c>
      <c r="F4482">
        <v>60.84</v>
      </c>
      <c r="G4482">
        <v>37.99</v>
      </c>
      <c r="H4482">
        <v>132</v>
      </c>
      <c r="I4482" t="s">
        <v>31</v>
      </c>
      <c r="J4482">
        <v>2025</v>
      </c>
      <c r="K4482">
        <f t="shared" ref="K4482:K4545" si="140">F4482-G4482</f>
        <v>22.85</v>
      </c>
      <c r="L4482" t="str">
        <f t="shared" ref="L4482:L4545" si="141">A4482&amp;"|"&amp;B4482&amp;"|"&amp;C4482</f>
        <v>Banca Calabra|21|Mutui</v>
      </c>
    </row>
    <row r="4483" spans="1:12" x14ac:dyDescent="0.25">
      <c r="A4483" t="s">
        <v>39</v>
      </c>
      <c r="B4483">
        <v>21</v>
      </c>
      <c r="C4483" t="s">
        <v>15</v>
      </c>
      <c r="D4483" s="1">
        <v>45930</v>
      </c>
      <c r="E4483">
        <v>1845.8</v>
      </c>
      <c r="F4483">
        <v>87.44</v>
      </c>
      <c r="G4483">
        <v>53.56</v>
      </c>
      <c r="H4483">
        <v>189</v>
      </c>
      <c r="I4483" t="s">
        <v>31</v>
      </c>
      <c r="J4483">
        <v>2025</v>
      </c>
      <c r="K4483">
        <f t="shared" si="140"/>
        <v>33.879999999999995</v>
      </c>
      <c r="L4483" t="str">
        <f t="shared" si="141"/>
        <v>Banca Calabra|21|Prestiti</v>
      </c>
    </row>
    <row r="4484" spans="1:12" x14ac:dyDescent="0.25">
      <c r="A4484" t="s">
        <v>39</v>
      </c>
      <c r="B4484">
        <v>21</v>
      </c>
      <c r="C4484" t="s">
        <v>16</v>
      </c>
      <c r="D4484" s="1">
        <v>45930</v>
      </c>
      <c r="E4484">
        <v>2320.1999999999998</v>
      </c>
      <c r="F4484">
        <v>114.3</v>
      </c>
      <c r="G4484">
        <v>70.510000000000005</v>
      </c>
      <c r="H4484">
        <v>227</v>
      </c>
      <c r="I4484" t="s">
        <v>31</v>
      </c>
      <c r="J4484">
        <v>2025</v>
      </c>
      <c r="K4484">
        <f t="shared" si="140"/>
        <v>43.789999999999992</v>
      </c>
      <c r="L4484" t="str">
        <f t="shared" si="141"/>
        <v>Banca Calabra|21|Conti</v>
      </c>
    </row>
    <row r="4485" spans="1:12" x14ac:dyDescent="0.25">
      <c r="A4485" t="s">
        <v>39</v>
      </c>
      <c r="B4485">
        <v>21</v>
      </c>
      <c r="C4485" t="s">
        <v>17</v>
      </c>
      <c r="D4485" s="1">
        <v>45930</v>
      </c>
      <c r="E4485">
        <v>2854.6</v>
      </c>
      <c r="F4485">
        <v>145.59</v>
      </c>
      <c r="G4485">
        <v>88.53</v>
      </c>
      <c r="H4485">
        <v>246</v>
      </c>
      <c r="I4485" t="s">
        <v>31</v>
      </c>
      <c r="J4485">
        <v>2025</v>
      </c>
      <c r="K4485">
        <f t="shared" si="140"/>
        <v>57.06</v>
      </c>
      <c r="L4485" t="str">
        <f t="shared" si="141"/>
        <v>Banca Calabra|21|Carte</v>
      </c>
    </row>
    <row r="4486" spans="1:12" x14ac:dyDescent="0.25">
      <c r="A4486" t="s">
        <v>39</v>
      </c>
      <c r="B4486">
        <v>21</v>
      </c>
      <c r="C4486" t="s">
        <v>18</v>
      </c>
      <c r="D4486" s="1">
        <v>45930</v>
      </c>
      <c r="E4486">
        <v>3350.5</v>
      </c>
      <c r="F4486">
        <v>177.94</v>
      </c>
      <c r="G4486">
        <v>107.5</v>
      </c>
      <c r="H4486">
        <v>310</v>
      </c>
      <c r="I4486" t="s">
        <v>31</v>
      </c>
      <c r="J4486">
        <v>2025</v>
      </c>
      <c r="K4486">
        <f t="shared" si="140"/>
        <v>70.44</v>
      </c>
      <c r="L4486" t="str">
        <f t="shared" si="141"/>
        <v>Banca Calabra|21|Leasing</v>
      </c>
    </row>
    <row r="4487" spans="1:12" x14ac:dyDescent="0.25">
      <c r="A4487" t="s">
        <v>39</v>
      </c>
      <c r="B4487">
        <v>21</v>
      </c>
      <c r="C4487" t="s">
        <v>19</v>
      </c>
      <c r="D4487" s="1">
        <v>45930</v>
      </c>
      <c r="E4487">
        <v>3830.3</v>
      </c>
      <c r="F4487">
        <v>211.18</v>
      </c>
      <c r="G4487">
        <v>126.83</v>
      </c>
      <c r="H4487">
        <v>348</v>
      </c>
      <c r="I4487" t="s">
        <v>31</v>
      </c>
      <c r="J4487">
        <v>2025</v>
      </c>
      <c r="K4487">
        <f t="shared" si="140"/>
        <v>84.350000000000009</v>
      </c>
      <c r="L4487" t="str">
        <f t="shared" si="141"/>
        <v>Banca Calabra|21|Factoring</v>
      </c>
    </row>
    <row r="4488" spans="1:12" x14ac:dyDescent="0.25">
      <c r="A4488" t="s">
        <v>39</v>
      </c>
      <c r="B4488">
        <v>21</v>
      </c>
      <c r="C4488" t="s">
        <v>20</v>
      </c>
      <c r="D4488" s="1">
        <v>45930</v>
      </c>
      <c r="E4488">
        <v>4314.5</v>
      </c>
      <c r="F4488">
        <v>246.63</v>
      </c>
      <c r="G4488">
        <v>147.28</v>
      </c>
      <c r="H4488">
        <v>371</v>
      </c>
      <c r="I4488" t="s">
        <v>31</v>
      </c>
      <c r="J4488">
        <v>2025</v>
      </c>
      <c r="K4488">
        <f t="shared" si="140"/>
        <v>99.35</v>
      </c>
      <c r="L4488" t="str">
        <f t="shared" si="141"/>
        <v>Banca Calabra|21|Risparmio</v>
      </c>
    </row>
    <row r="4489" spans="1:12" x14ac:dyDescent="0.25">
      <c r="A4489" t="s">
        <v>39</v>
      </c>
      <c r="B4489">
        <v>21</v>
      </c>
      <c r="C4489" t="s">
        <v>21</v>
      </c>
      <c r="D4489" s="1">
        <v>45930</v>
      </c>
      <c r="E4489">
        <v>4833.8</v>
      </c>
      <c r="F4489">
        <v>286.18</v>
      </c>
      <c r="G4489">
        <v>169.57</v>
      </c>
      <c r="H4489">
        <v>444</v>
      </c>
      <c r="I4489" t="s">
        <v>31</v>
      </c>
      <c r="J4489">
        <v>2025</v>
      </c>
      <c r="K4489">
        <f t="shared" si="140"/>
        <v>116.61000000000001</v>
      </c>
      <c r="L4489" t="str">
        <f t="shared" si="141"/>
        <v>Banca Calabra|21|Assicurazioni</v>
      </c>
    </row>
    <row r="4490" spans="1:12" x14ac:dyDescent="0.25">
      <c r="A4490" t="s">
        <v>39</v>
      </c>
      <c r="B4490">
        <v>22</v>
      </c>
      <c r="C4490" t="s">
        <v>13</v>
      </c>
      <c r="D4490" s="1">
        <v>45961</v>
      </c>
      <c r="E4490">
        <v>1358.1</v>
      </c>
      <c r="F4490">
        <v>61.82</v>
      </c>
      <c r="G4490">
        <v>38.57</v>
      </c>
      <c r="H4490">
        <v>123</v>
      </c>
      <c r="I4490" t="s">
        <v>31</v>
      </c>
      <c r="J4490">
        <v>2025</v>
      </c>
      <c r="K4490">
        <f t="shared" si="140"/>
        <v>23.25</v>
      </c>
      <c r="L4490" t="str">
        <f t="shared" si="141"/>
        <v>Banca Calabra|22|Mutui</v>
      </c>
    </row>
    <row r="4491" spans="1:12" x14ac:dyDescent="0.25">
      <c r="A4491" t="s">
        <v>39</v>
      </c>
      <c r="B4491">
        <v>22</v>
      </c>
      <c r="C4491" t="s">
        <v>15</v>
      </c>
      <c r="D4491" s="1">
        <v>45961</v>
      </c>
      <c r="E4491">
        <v>1856.9</v>
      </c>
      <c r="F4491">
        <v>87.28</v>
      </c>
      <c r="G4491">
        <v>54.11</v>
      </c>
      <c r="H4491">
        <v>178</v>
      </c>
      <c r="I4491" t="s">
        <v>31</v>
      </c>
      <c r="J4491">
        <v>2025</v>
      </c>
      <c r="K4491">
        <f t="shared" si="140"/>
        <v>33.17</v>
      </c>
      <c r="L4491" t="str">
        <f t="shared" si="141"/>
        <v>Banca Calabra|22|Prestiti</v>
      </c>
    </row>
    <row r="4492" spans="1:12" x14ac:dyDescent="0.25">
      <c r="A4492" t="s">
        <v>39</v>
      </c>
      <c r="B4492">
        <v>22</v>
      </c>
      <c r="C4492" t="s">
        <v>16</v>
      </c>
      <c r="D4492" s="1">
        <v>45961</v>
      </c>
      <c r="E4492">
        <v>2354.8000000000002</v>
      </c>
      <c r="F4492">
        <v>116.13</v>
      </c>
      <c r="G4492">
        <v>71.56</v>
      </c>
      <c r="H4492">
        <v>210</v>
      </c>
      <c r="I4492" t="s">
        <v>31</v>
      </c>
      <c r="J4492">
        <v>2025</v>
      </c>
      <c r="K4492">
        <f t="shared" si="140"/>
        <v>44.569999999999993</v>
      </c>
      <c r="L4492" t="str">
        <f t="shared" si="141"/>
        <v>Banca Calabra|22|Conti</v>
      </c>
    </row>
    <row r="4493" spans="1:12" x14ac:dyDescent="0.25">
      <c r="A4493" t="s">
        <v>39</v>
      </c>
      <c r="B4493">
        <v>22</v>
      </c>
      <c r="C4493" t="s">
        <v>17</v>
      </c>
      <c r="D4493" s="1">
        <v>45961</v>
      </c>
      <c r="E4493">
        <v>2855</v>
      </c>
      <c r="F4493">
        <v>146.29</v>
      </c>
      <c r="G4493">
        <v>88.63</v>
      </c>
      <c r="H4493">
        <v>245</v>
      </c>
      <c r="I4493" t="s">
        <v>31</v>
      </c>
      <c r="J4493">
        <v>2025</v>
      </c>
      <c r="K4493">
        <f t="shared" si="140"/>
        <v>57.66</v>
      </c>
      <c r="L4493" t="str">
        <f t="shared" si="141"/>
        <v>Banca Calabra|22|Carte</v>
      </c>
    </row>
    <row r="4494" spans="1:12" x14ac:dyDescent="0.25">
      <c r="A4494" t="s">
        <v>39</v>
      </c>
      <c r="B4494">
        <v>22</v>
      </c>
      <c r="C4494" t="s">
        <v>18</v>
      </c>
      <c r="D4494" s="1">
        <v>45961</v>
      </c>
      <c r="E4494">
        <v>3341.7</v>
      </c>
      <c r="F4494">
        <v>177.37</v>
      </c>
      <c r="G4494">
        <v>107.45</v>
      </c>
      <c r="H4494">
        <v>310</v>
      </c>
      <c r="I4494" t="s">
        <v>31</v>
      </c>
      <c r="J4494">
        <v>2025</v>
      </c>
      <c r="K4494">
        <f t="shared" si="140"/>
        <v>69.92</v>
      </c>
      <c r="L4494" t="str">
        <f t="shared" si="141"/>
        <v>Banca Calabra|22|Leasing</v>
      </c>
    </row>
    <row r="4495" spans="1:12" x14ac:dyDescent="0.25">
      <c r="A4495" t="s">
        <v>39</v>
      </c>
      <c r="B4495">
        <v>22</v>
      </c>
      <c r="C4495" t="s">
        <v>19</v>
      </c>
      <c r="D4495" s="1">
        <v>45961</v>
      </c>
      <c r="E4495">
        <v>3879.3</v>
      </c>
      <c r="F4495">
        <v>213.38</v>
      </c>
      <c r="G4495">
        <v>128.91999999999999</v>
      </c>
      <c r="H4495">
        <v>336</v>
      </c>
      <c r="I4495" t="s">
        <v>31</v>
      </c>
      <c r="J4495">
        <v>2025</v>
      </c>
      <c r="K4495">
        <f t="shared" si="140"/>
        <v>84.460000000000008</v>
      </c>
      <c r="L4495" t="str">
        <f t="shared" si="141"/>
        <v>Banca Calabra|22|Factoring</v>
      </c>
    </row>
    <row r="4496" spans="1:12" x14ac:dyDescent="0.25">
      <c r="A4496" t="s">
        <v>39</v>
      </c>
      <c r="B4496">
        <v>22</v>
      </c>
      <c r="C4496" t="s">
        <v>20</v>
      </c>
      <c r="D4496" s="1">
        <v>45961</v>
      </c>
      <c r="E4496">
        <v>4350.8999999999996</v>
      </c>
      <c r="F4496">
        <v>248.62</v>
      </c>
      <c r="G4496">
        <v>148.19999999999999</v>
      </c>
      <c r="H4496">
        <v>384</v>
      </c>
      <c r="I4496" t="s">
        <v>31</v>
      </c>
      <c r="J4496">
        <v>2025</v>
      </c>
      <c r="K4496">
        <f t="shared" si="140"/>
        <v>100.42000000000002</v>
      </c>
      <c r="L4496" t="str">
        <f t="shared" si="141"/>
        <v>Banca Calabra|22|Risparmio</v>
      </c>
    </row>
    <row r="4497" spans="1:12" x14ac:dyDescent="0.25">
      <c r="A4497" t="s">
        <v>39</v>
      </c>
      <c r="B4497">
        <v>22</v>
      </c>
      <c r="C4497" t="s">
        <v>21</v>
      </c>
      <c r="D4497" s="1">
        <v>45961</v>
      </c>
      <c r="E4497">
        <v>4879.5</v>
      </c>
      <c r="F4497">
        <v>288.70999999999998</v>
      </c>
      <c r="G4497">
        <v>170.83</v>
      </c>
      <c r="H4497">
        <v>451</v>
      </c>
      <c r="I4497" t="s">
        <v>31</v>
      </c>
      <c r="J4497">
        <v>2025</v>
      </c>
      <c r="K4497">
        <f t="shared" si="140"/>
        <v>117.87999999999997</v>
      </c>
      <c r="L4497" t="str">
        <f t="shared" si="141"/>
        <v>Banca Calabra|22|Assicurazioni</v>
      </c>
    </row>
    <row r="4498" spans="1:12" x14ac:dyDescent="0.25">
      <c r="A4498" t="s">
        <v>39</v>
      </c>
      <c r="B4498">
        <v>23</v>
      </c>
      <c r="C4498" t="s">
        <v>13</v>
      </c>
      <c r="D4498" s="1">
        <v>45991</v>
      </c>
      <c r="E4498">
        <v>1330.6</v>
      </c>
      <c r="F4498">
        <v>60.13</v>
      </c>
      <c r="G4498">
        <v>38.159999999999997</v>
      </c>
      <c r="H4498">
        <v>151</v>
      </c>
      <c r="I4498" t="s">
        <v>31</v>
      </c>
      <c r="J4498">
        <v>2025</v>
      </c>
      <c r="K4498">
        <f t="shared" si="140"/>
        <v>21.970000000000006</v>
      </c>
      <c r="L4498" t="str">
        <f t="shared" si="141"/>
        <v>Banca Calabra|23|Mutui</v>
      </c>
    </row>
    <row r="4499" spans="1:12" x14ac:dyDescent="0.25">
      <c r="A4499" t="s">
        <v>39</v>
      </c>
      <c r="B4499">
        <v>23</v>
      </c>
      <c r="C4499" t="s">
        <v>15</v>
      </c>
      <c r="D4499" s="1">
        <v>45991</v>
      </c>
      <c r="E4499">
        <v>1865.9</v>
      </c>
      <c r="F4499">
        <v>88.49</v>
      </c>
      <c r="G4499">
        <v>54.44</v>
      </c>
      <c r="H4499">
        <v>176</v>
      </c>
      <c r="I4499" t="s">
        <v>31</v>
      </c>
      <c r="J4499">
        <v>2025</v>
      </c>
      <c r="K4499">
        <f t="shared" si="140"/>
        <v>34.049999999999997</v>
      </c>
      <c r="L4499" t="str">
        <f t="shared" si="141"/>
        <v>Banca Calabra|23|Prestiti</v>
      </c>
    </row>
    <row r="4500" spans="1:12" x14ac:dyDescent="0.25">
      <c r="A4500" t="s">
        <v>39</v>
      </c>
      <c r="B4500">
        <v>23</v>
      </c>
      <c r="C4500" t="s">
        <v>16</v>
      </c>
      <c r="D4500" s="1">
        <v>45991</v>
      </c>
      <c r="E4500">
        <v>2355.1</v>
      </c>
      <c r="F4500">
        <v>116.26</v>
      </c>
      <c r="G4500">
        <v>70.989999999999995</v>
      </c>
      <c r="H4500">
        <v>220</v>
      </c>
      <c r="I4500" t="s">
        <v>31</v>
      </c>
      <c r="J4500">
        <v>2025</v>
      </c>
      <c r="K4500">
        <f t="shared" si="140"/>
        <v>45.27000000000001</v>
      </c>
      <c r="L4500" t="str">
        <f t="shared" si="141"/>
        <v>Banca Calabra|23|Conti</v>
      </c>
    </row>
    <row r="4501" spans="1:12" x14ac:dyDescent="0.25">
      <c r="A4501" t="s">
        <v>39</v>
      </c>
      <c r="B4501">
        <v>23</v>
      </c>
      <c r="C4501" t="s">
        <v>17</v>
      </c>
      <c r="D4501" s="1">
        <v>45991</v>
      </c>
      <c r="E4501">
        <v>2873.1</v>
      </c>
      <c r="F4501">
        <v>146.72999999999999</v>
      </c>
      <c r="G4501">
        <v>89.96</v>
      </c>
      <c r="H4501">
        <v>260</v>
      </c>
      <c r="I4501" t="s">
        <v>31</v>
      </c>
      <c r="J4501">
        <v>2025</v>
      </c>
      <c r="K4501">
        <f t="shared" si="140"/>
        <v>56.769999999999996</v>
      </c>
      <c r="L4501" t="str">
        <f t="shared" si="141"/>
        <v>Banca Calabra|23|Carte</v>
      </c>
    </row>
    <row r="4502" spans="1:12" x14ac:dyDescent="0.25">
      <c r="A4502" t="s">
        <v>39</v>
      </c>
      <c r="B4502">
        <v>23</v>
      </c>
      <c r="C4502" t="s">
        <v>18</v>
      </c>
      <c r="D4502" s="1">
        <v>45991</v>
      </c>
      <c r="E4502">
        <v>3376.6</v>
      </c>
      <c r="F4502">
        <v>179.07</v>
      </c>
      <c r="G4502">
        <v>108.1</v>
      </c>
      <c r="H4502">
        <v>296</v>
      </c>
      <c r="I4502" t="s">
        <v>31</v>
      </c>
      <c r="J4502">
        <v>2025</v>
      </c>
      <c r="K4502">
        <f t="shared" si="140"/>
        <v>70.97</v>
      </c>
      <c r="L4502" t="str">
        <f t="shared" si="141"/>
        <v>Banca Calabra|23|Leasing</v>
      </c>
    </row>
    <row r="4503" spans="1:12" x14ac:dyDescent="0.25">
      <c r="A4503" t="s">
        <v>39</v>
      </c>
      <c r="B4503">
        <v>23</v>
      </c>
      <c r="C4503" t="s">
        <v>19</v>
      </c>
      <c r="D4503" s="1">
        <v>45991</v>
      </c>
      <c r="E4503">
        <v>3882.3</v>
      </c>
      <c r="F4503">
        <v>213.99</v>
      </c>
      <c r="G4503">
        <v>128.69999999999999</v>
      </c>
      <c r="H4503">
        <v>350</v>
      </c>
      <c r="I4503" t="s">
        <v>31</v>
      </c>
      <c r="J4503">
        <v>2025</v>
      </c>
      <c r="K4503">
        <f t="shared" si="140"/>
        <v>85.29000000000002</v>
      </c>
      <c r="L4503" t="str">
        <f t="shared" si="141"/>
        <v>Banca Calabra|23|Factoring</v>
      </c>
    </row>
    <row r="4504" spans="1:12" x14ac:dyDescent="0.25">
      <c r="A4504" t="s">
        <v>39</v>
      </c>
      <c r="B4504">
        <v>23</v>
      </c>
      <c r="C4504" t="s">
        <v>20</v>
      </c>
      <c r="D4504" s="1">
        <v>45991</v>
      </c>
      <c r="E4504">
        <v>4383.8</v>
      </c>
      <c r="F4504">
        <v>250.51</v>
      </c>
      <c r="G4504">
        <v>149.24</v>
      </c>
      <c r="H4504">
        <v>407</v>
      </c>
      <c r="I4504" t="s">
        <v>31</v>
      </c>
      <c r="J4504">
        <v>2025</v>
      </c>
      <c r="K4504">
        <f t="shared" si="140"/>
        <v>101.26999999999998</v>
      </c>
      <c r="L4504" t="str">
        <f t="shared" si="141"/>
        <v>Banca Calabra|23|Risparmio</v>
      </c>
    </row>
    <row r="4505" spans="1:12" x14ac:dyDescent="0.25">
      <c r="A4505" t="s">
        <v>39</v>
      </c>
      <c r="B4505">
        <v>23</v>
      </c>
      <c r="C4505" t="s">
        <v>21</v>
      </c>
      <c r="D4505" s="1">
        <v>45991</v>
      </c>
      <c r="E4505">
        <v>4918.5</v>
      </c>
      <c r="F4505">
        <v>290.54000000000002</v>
      </c>
      <c r="G4505">
        <v>172.72</v>
      </c>
      <c r="H4505">
        <v>415</v>
      </c>
      <c r="I4505" t="s">
        <v>31</v>
      </c>
      <c r="J4505">
        <v>2025</v>
      </c>
      <c r="K4505">
        <f t="shared" si="140"/>
        <v>117.82000000000002</v>
      </c>
      <c r="L4505" t="str">
        <f t="shared" si="141"/>
        <v>Banca Calabra|23|Assicurazioni</v>
      </c>
    </row>
    <row r="4506" spans="1:12" x14ac:dyDescent="0.25">
      <c r="A4506" t="s">
        <v>39</v>
      </c>
      <c r="B4506">
        <v>24</v>
      </c>
      <c r="C4506" t="s">
        <v>13</v>
      </c>
      <c r="D4506" s="1">
        <v>46022</v>
      </c>
      <c r="E4506">
        <v>1337.7</v>
      </c>
      <c r="F4506">
        <v>60.89</v>
      </c>
      <c r="G4506">
        <v>37.880000000000003</v>
      </c>
      <c r="H4506">
        <v>150</v>
      </c>
      <c r="I4506" t="s">
        <v>31</v>
      </c>
      <c r="J4506">
        <v>2025</v>
      </c>
      <c r="K4506">
        <f t="shared" si="140"/>
        <v>23.009999999999998</v>
      </c>
      <c r="L4506" t="str">
        <f t="shared" si="141"/>
        <v>Banca Calabra|24|Mutui</v>
      </c>
    </row>
    <row r="4507" spans="1:12" x14ac:dyDescent="0.25">
      <c r="A4507" t="s">
        <v>39</v>
      </c>
      <c r="B4507">
        <v>24</v>
      </c>
      <c r="C4507" t="s">
        <v>15</v>
      </c>
      <c r="D4507" s="1">
        <v>46022</v>
      </c>
      <c r="E4507">
        <v>1865</v>
      </c>
      <c r="F4507">
        <v>87.94</v>
      </c>
      <c r="G4507">
        <v>54.84</v>
      </c>
      <c r="H4507">
        <v>190</v>
      </c>
      <c r="I4507" t="s">
        <v>31</v>
      </c>
      <c r="J4507">
        <v>2025</v>
      </c>
      <c r="K4507">
        <f t="shared" si="140"/>
        <v>33.099999999999994</v>
      </c>
      <c r="L4507" t="str">
        <f t="shared" si="141"/>
        <v>Banca Calabra|24|Prestiti</v>
      </c>
    </row>
    <row r="4508" spans="1:12" x14ac:dyDescent="0.25">
      <c r="A4508" t="s">
        <v>39</v>
      </c>
      <c r="B4508">
        <v>24</v>
      </c>
      <c r="C4508" t="s">
        <v>16</v>
      </c>
      <c r="D4508" s="1">
        <v>46022</v>
      </c>
      <c r="E4508">
        <v>2406.1999999999998</v>
      </c>
      <c r="F4508">
        <v>118.82</v>
      </c>
      <c r="G4508">
        <v>72.8</v>
      </c>
      <c r="H4508">
        <v>219</v>
      </c>
      <c r="I4508" t="s">
        <v>31</v>
      </c>
      <c r="J4508">
        <v>2025</v>
      </c>
      <c r="K4508">
        <f t="shared" si="140"/>
        <v>46.019999999999996</v>
      </c>
      <c r="L4508" t="str">
        <f t="shared" si="141"/>
        <v>Banca Calabra|24|Conti</v>
      </c>
    </row>
    <row r="4509" spans="1:12" x14ac:dyDescent="0.25">
      <c r="A4509" t="s">
        <v>39</v>
      </c>
      <c r="B4509">
        <v>24</v>
      </c>
      <c r="C4509" t="s">
        <v>17</v>
      </c>
      <c r="D4509" s="1">
        <v>46022</v>
      </c>
      <c r="E4509">
        <v>2916</v>
      </c>
      <c r="F4509">
        <v>148.91999999999999</v>
      </c>
      <c r="G4509">
        <v>91.05</v>
      </c>
      <c r="H4509">
        <v>264</v>
      </c>
      <c r="I4509" t="s">
        <v>31</v>
      </c>
      <c r="J4509">
        <v>2025</v>
      </c>
      <c r="K4509">
        <f t="shared" si="140"/>
        <v>57.86999999999999</v>
      </c>
      <c r="L4509" t="str">
        <f t="shared" si="141"/>
        <v>Banca Calabra|24|Carte</v>
      </c>
    </row>
    <row r="4510" spans="1:12" x14ac:dyDescent="0.25">
      <c r="A4510" t="s">
        <v>39</v>
      </c>
      <c r="B4510">
        <v>24</v>
      </c>
      <c r="C4510" t="s">
        <v>18</v>
      </c>
      <c r="D4510" s="1">
        <v>46022</v>
      </c>
      <c r="E4510">
        <v>3413.4</v>
      </c>
      <c r="F4510">
        <v>181.12</v>
      </c>
      <c r="G4510">
        <v>110</v>
      </c>
      <c r="H4510">
        <v>290</v>
      </c>
      <c r="I4510" t="s">
        <v>31</v>
      </c>
      <c r="J4510">
        <v>2025</v>
      </c>
      <c r="K4510">
        <f t="shared" si="140"/>
        <v>71.12</v>
      </c>
      <c r="L4510" t="str">
        <f t="shared" si="141"/>
        <v>Banca Calabra|24|Leasing</v>
      </c>
    </row>
    <row r="4511" spans="1:12" x14ac:dyDescent="0.25">
      <c r="A4511" t="s">
        <v>39</v>
      </c>
      <c r="B4511">
        <v>24</v>
      </c>
      <c r="C4511" t="s">
        <v>19</v>
      </c>
      <c r="D4511" s="1">
        <v>46022</v>
      </c>
      <c r="E4511">
        <v>3940.9</v>
      </c>
      <c r="F4511">
        <v>217.42</v>
      </c>
      <c r="G4511">
        <v>130.47</v>
      </c>
      <c r="H4511">
        <v>357</v>
      </c>
      <c r="I4511" t="s">
        <v>31</v>
      </c>
      <c r="J4511">
        <v>2025</v>
      </c>
      <c r="K4511">
        <f t="shared" si="140"/>
        <v>86.949999999999989</v>
      </c>
      <c r="L4511" t="str">
        <f t="shared" si="141"/>
        <v>Banca Calabra|24|Factoring</v>
      </c>
    </row>
    <row r="4512" spans="1:12" x14ac:dyDescent="0.25">
      <c r="A4512" t="s">
        <v>39</v>
      </c>
      <c r="B4512">
        <v>24</v>
      </c>
      <c r="C4512" t="s">
        <v>20</v>
      </c>
      <c r="D4512" s="1">
        <v>46022</v>
      </c>
      <c r="E4512">
        <v>4422.6000000000004</v>
      </c>
      <c r="F4512">
        <v>252.71</v>
      </c>
      <c r="G4512">
        <v>151.22</v>
      </c>
      <c r="H4512">
        <v>383</v>
      </c>
      <c r="I4512" t="s">
        <v>31</v>
      </c>
      <c r="J4512">
        <v>2025</v>
      </c>
      <c r="K4512">
        <f t="shared" si="140"/>
        <v>101.49000000000001</v>
      </c>
      <c r="L4512" t="str">
        <f t="shared" si="141"/>
        <v>Banca Calabra|24|Risparmio</v>
      </c>
    </row>
    <row r="4513" spans="1:12" x14ac:dyDescent="0.25">
      <c r="A4513" t="s">
        <v>39</v>
      </c>
      <c r="B4513">
        <v>24</v>
      </c>
      <c r="C4513" t="s">
        <v>21</v>
      </c>
      <c r="D4513" s="1">
        <v>46022</v>
      </c>
      <c r="E4513">
        <v>4905.1000000000004</v>
      </c>
      <c r="F4513">
        <v>290.08999999999997</v>
      </c>
      <c r="G4513">
        <v>171.83</v>
      </c>
      <c r="H4513">
        <v>448</v>
      </c>
      <c r="I4513" t="s">
        <v>31</v>
      </c>
      <c r="J4513">
        <v>2025</v>
      </c>
      <c r="K4513">
        <f t="shared" si="140"/>
        <v>118.25999999999996</v>
      </c>
      <c r="L4513" t="str">
        <f t="shared" si="141"/>
        <v>Banca Calabra|24|Assicurazioni</v>
      </c>
    </row>
    <row r="4514" spans="1:12" x14ac:dyDescent="0.25">
      <c r="A4514" t="s">
        <v>39</v>
      </c>
      <c r="B4514">
        <v>25</v>
      </c>
      <c r="C4514" t="s">
        <v>13</v>
      </c>
      <c r="D4514" s="1">
        <v>46053</v>
      </c>
      <c r="E4514">
        <v>1347.1</v>
      </c>
      <c r="F4514">
        <v>61.33</v>
      </c>
      <c r="G4514">
        <v>38.46</v>
      </c>
      <c r="H4514">
        <v>141</v>
      </c>
      <c r="I4514" t="s">
        <v>31</v>
      </c>
      <c r="J4514">
        <v>2026</v>
      </c>
      <c r="K4514">
        <f t="shared" si="140"/>
        <v>22.869999999999997</v>
      </c>
      <c r="L4514" t="str">
        <f t="shared" si="141"/>
        <v>Banca Calabra|25|Mutui</v>
      </c>
    </row>
    <row r="4515" spans="1:12" x14ac:dyDescent="0.25">
      <c r="A4515" t="s">
        <v>39</v>
      </c>
      <c r="B4515">
        <v>25</v>
      </c>
      <c r="C4515" t="s">
        <v>15</v>
      </c>
      <c r="D4515" s="1">
        <v>46053</v>
      </c>
      <c r="E4515">
        <v>1874.7</v>
      </c>
      <c r="F4515">
        <v>88.13</v>
      </c>
      <c r="G4515">
        <v>55.07</v>
      </c>
      <c r="H4515">
        <v>158</v>
      </c>
      <c r="I4515" t="s">
        <v>31</v>
      </c>
      <c r="J4515">
        <v>2026</v>
      </c>
      <c r="K4515">
        <f t="shared" si="140"/>
        <v>33.059999999999995</v>
      </c>
      <c r="L4515" t="str">
        <f t="shared" si="141"/>
        <v>Banca Calabra|25|Prestiti</v>
      </c>
    </row>
    <row r="4516" spans="1:12" x14ac:dyDescent="0.25">
      <c r="A4516" t="s">
        <v>39</v>
      </c>
      <c r="B4516">
        <v>25</v>
      </c>
      <c r="C4516" t="s">
        <v>16</v>
      </c>
      <c r="D4516" s="1">
        <v>46053</v>
      </c>
      <c r="E4516">
        <v>2396</v>
      </c>
      <c r="F4516">
        <v>118.11</v>
      </c>
      <c r="G4516">
        <v>71.92</v>
      </c>
      <c r="H4516">
        <v>215</v>
      </c>
      <c r="I4516" t="s">
        <v>31</v>
      </c>
      <c r="J4516">
        <v>2026</v>
      </c>
      <c r="K4516">
        <f t="shared" si="140"/>
        <v>46.19</v>
      </c>
      <c r="L4516" t="str">
        <f t="shared" si="141"/>
        <v>Banca Calabra|25|Conti</v>
      </c>
    </row>
    <row r="4517" spans="1:12" x14ac:dyDescent="0.25">
      <c r="A4517" t="s">
        <v>39</v>
      </c>
      <c r="B4517">
        <v>25</v>
      </c>
      <c r="C4517" t="s">
        <v>17</v>
      </c>
      <c r="D4517" s="1">
        <v>46053</v>
      </c>
      <c r="E4517">
        <v>2934.3</v>
      </c>
      <c r="F4517">
        <v>150.57</v>
      </c>
      <c r="G4517">
        <v>91.24</v>
      </c>
      <c r="H4517">
        <v>280</v>
      </c>
      <c r="I4517" t="s">
        <v>31</v>
      </c>
      <c r="J4517">
        <v>2026</v>
      </c>
      <c r="K4517">
        <f t="shared" si="140"/>
        <v>59.33</v>
      </c>
      <c r="L4517" t="str">
        <f t="shared" si="141"/>
        <v>Banca Calabra|25|Carte</v>
      </c>
    </row>
    <row r="4518" spans="1:12" x14ac:dyDescent="0.25">
      <c r="A4518" t="s">
        <v>39</v>
      </c>
      <c r="B4518">
        <v>25</v>
      </c>
      <c r="C4518" t="s">
        <v>18</v>
      </c>
      <c r="D4518" s="1">
        <v>46053</v>
      </c>
      <c r="E4518">
        <v>3405.6</v>
      </c>
      <c r="F4518">
        <v>181.36</v>
      </c>
      <c r="G4518">
        <v>109.01</v>
      </c>
      <c r="H4518">
        <v>300</v>
      </c>
      <c r="I4518" t="s">
        <v>31</v>
      </c>
      <c r="J4518">
        <v>2026</v>
      </c>
      <c r="K4518">
        <f t="shared" si="140"/>
        <v>72.350000000000009</v>
      </c>
      <c r="L4518" t="str">
        <f t="shared" si="141"/>
        <v>Banca Calabra|25|Leasing</v>
      </c>
    </row>
    <row r="4519" spans="1:12" x14ac:dyDescent="0.25">
      <c r="A4519" t="s">
        <v>39</v>
      </c>
      <c r="B4519">
        <v>25</v>
      </c>
      <c r="C4519" t="s">
        <v>19</v>
      </c>
      <c r="D4519" s="1">
        <v>46053</v>
      </c>
      <c r="E4519">
        <v>3935.3</v>
      </c>
      <c r="F4519">
        <v>216.51</v>
      </c>
      <c r="G4519">
        <v>130.16</v>
      </c>
      <c r="H4519">
        <v>346</v>
      </c>
      <c r="I4519" t="s">
        <v>31</v>
      </c>
      <c r="J4519">
        <v>2026</v>
      </c>
      <c r="K4519">
        <f t="shared" si="140"/>
        <v>86.35</v>
      </c>
      <c r="L4519" t="str">
        <f t="shared" si="141"/>
        <v>Banca Calabra|25|Factoring</v>
      </c>
    </row>
    <row r="4520" spans="1:12" x14ac:dyDescent="0.25">
      <c r="A4520" t="s">
        <v>39</v>
      </c>
      <c r="B4520">
        <v>25</v>
      </c>
      <c r="C4520" t="s">
        <v>20</v>
      </c>
      <c r="D4520" s="1">
        <v>46053</v>
      </c>
      <c r="E4520">
        <v>4443.5</v>
      </c>
      <c r="F4520">
        <v>253.33</v>
      </c>
      <c r="G4520">
        <v>151.87</v>
      </c>
      <c r="H4520">
        <v>388</v>
      </c>
      <c r="I4520" t="s">
        <v>31</v>
      </c>
      <c r="J4520">
        <v>2026</v>
      </c>
      <c r="K4520">
        <f t="shared" si="140"/>
        <v>101.46000000000001</v>
      </c>
      <c r="L4520" t="str">
        <f t="shared" si="141"/>
        <v>Banca Calabra|25|Risparmio</v>
      </c>
    </row>
    <row r="4521" spans="1:12" x14ac:dyDescent="0.25">
      <c r="A4521" t="s">
        <v>39</v>
      </c>
      <c r="B4521">
        <v>25</v>
      </c>
      <c r="C4521" t="s">
        <v>21</v>
      </c>
      <c r="D4521" s="1">
        <v>46053</v>
      </c>
      <c r="E4521">
        <v>4938.2</v>
      </c>
      <c r="F4521">
        <v>291.83</v>
      </c>
      <c r="G4521">
        <v>172.93</v>
      </c>
      <c r="H4521">
        <v>446</v>
      </c>
      <c r="I4521" t="s">
        <v>31</v>
      </c>
      <c r="J4521">
        <v>2026</v>
      </c>
      <c r="K4521">
        <f t="shared" si="140"/>
        <v>118.89999999999998</v>
      </c>
      <c r="L4521" t="str">
        <f t="shared" si="141"/>
        <v>Banca Calabra|25|Assicurazioni</v>
      </c>
    </row>
    <row r="4522" spans="1:12" x14ac:dyDescent="0.25">
      <c r="A4522" t="s">
        <v>39</v>
      </c>
      <c r="B4522">
        <v>26</v>
      </c>
      <c r="C4522" t="s">
        <v>13</v>
      </c>
      <c r="D4522" s="1">
        <v>46081</v>
      </c>
      <c r="E4522">
        <v>1380.8</v>
      </c>
      <c r="F4522">
        <v>63.09</v>
      </c>
      <c r="G4522">
        <v>39.049999999999997</v>
      </c>
      <c r="H4522">
        <v>125</v>
      </c>
      <c r="I4522" t="s">
        <v>31</v>
      </c>
      <c r="J4522">
        <v>2026</v>
      </c>
      <c r="K4522">
        <f t="shared" si="140"/>
        <v>24.040000000000006</v>
      </c>
      <c r="L4522" t="str">
        <f t="shared" si="141"/>
        <v>Banca Calabra|26|Mutui</v>
      </c>
    </row>
    <row r="4523" spans="1:12" x14ac:dyDescent="0.25">
      <c r="A4523" t="s">
        <v>39</v>
      </c>
      <c r="B4523">
        <v>26</v>
      </c>
      <c r="C4523" t="s">
        <v>15</v>
      </c>
      <c r="D4523" s="1">
        <v>46081</v>
      </c>
      <c r="E4523">
        <v>1906.6</v>
      </c>
      <c r="F4523">
        <v>90.2</v>
      </c>
      <c r="G4523">
        <v>55.77</v>
      </c>
      <c r="H4523">
        <v>174</v>
      </c>
      <c r="I4523" t="s">
        <v>31</v>
      </c>
      <c r="J4523">
        <v>2026</v>
      </c>
      <c r="K4523">
        <f t="shared" si="140"/>
        <v>34.43</v>
      </c>
      <c r="L4523" t="str">
        <f t="shared" si="141"/>
        <v>Banca Calabra|26|Prestiti</v>
      </c>
    </row>
    <row r="4524" spans="1:12" x14ac:dyDescent="0.25">
      <c r="A4524" t="s">
        <v>39</v>
      </c>
      <c r="B4524">
        <v>26</v>
      </c>
      <c r="C4524" t="s">
        <v>16</v>
      </c>
      <c r="D4524" s="1">
        <v>46081</v>
      </c>
      <c r="E4524">
        <v>2431.8000000000002</v>
      </c>
      <c r="F4524">
        <v>119.57</v>
      </c>
      <c r="G4524">
        <v>73.16</v>
      </c>
      <c r="H4524">
        <v>228</v>
      </c>
      <c r="I4524" t="s">
        <v>31</v>
      </c>
      <c r="J4524">
        <v>2026</v>
      </c>
      <c r="K4524">
        <f t="shared" si="140"/>
        <v>46.41</v>
      </c>
      <c r="L4524" t="str">
        <f t="shared" si="141"/>
        <v>Banca Calabra|26|Conti</v>
      </c>
    </row>
    <row r="4525" spans="1:12" x14ac:dyDescent="0.25">
      <c r="A4525" t="s">
        <v>39</v>
      </c>
      <c r="B4525">
        <v>26</v>
      </c>
      <c r="C4525" t="s">
        <v>17</v>
      </c>
      <c r="D4525" s="1">
        <v>46081</v>
      </c>
      <c r="E4525">
        <v>2929.3</v>
      </c>
      <c r="F4525">
        <v>150.08000000000001</v>
      </c>
      <c r="G4525">
        <v>91.18</v>
      </c>
      <c r="H4525">
        <v>252</v>
      </c>
      <c r="I4525" t="s">
        <v>31</v>
      </c>
      <c r="J4525">
        <v>2026</v>
      </c>
      <c r="K4525">
        <f t="shared" si="140"/>
        <v>58.900000000000006</v>
      </c>
      <c r="L4525" t="str">
        <f t="shared" si="141"/>
        <v>Banca Calabra|26|Carte</v>
      </c>
    </row>
    <row r="4526" spans="1:12" x14ac:dyDescent="0.25">
      <c r="A4526" t="s">
        <v>39</v>
      </c>
      <c r="B4526">
        <v>26</v>
      </c>
      <c r="C4526" t="s">
        <v>18</v>
      </c>
      <c r="D4526" s="1">
        <v>46081</v>
      </c>
      <c r="E4526">
        <v>3476.2</v>
      </c>
      <c r="F4526">
        <v>184.96</v>
      </c>
      <c r="G4526">
        <v>111.48</v>
      </c>
      <c r="H4526">
        <v>314</v>
      </c>
      <c r="I4526" t="s">
        <v>31</v>
      </c>
      <c r="J4526">
        <v>2026</v>
      </c>
      <c r="K4526">
        <f t="shared" si="140"/>
        <v>73.48</v>
      </c>
      <c r="L4526" t="str">
        <f t="shared" si="141"/>
        <v>Banca Calabra|26|Leasing</v>
      </c>
    </row>
    <row r="4527" spans="1:12" x14ac:dyDescent="0.25">
      <c r="A4527" t="s">
        <v>39</v>
      </c>
      <c r="B4527">
        <v>26</v>
      </c>
      <c r="C4527" t="s">
        <v>19</v>
      </c>
      <c r="D4527" s="1">
        <v>46081</v>
      </c>
      <c r="E4527">
        <v>3983.9</v>
      </c>
      <c r="F4527">
        <v>220.03</v>
      </c>
      <c r="G4527">
        <v>132.08000000000001</v>
      </c>
      <c r="H4527">
        <v>342</v>
      </c>
      <c r="I4527" t="s">
        <v>31</v>
      </c>
      <c r="J4527">
        <v>2026</v>
      </c>
      <c r="K4527">
        <f t="shared" si="140"/>
        <v>87.949999999999989</v>
      </c>
      <c r="L4527" t="str">
        <f t="shared" si="141"/>
        <v>Banca Calabra|26|Factoring</v>
      </c>
    </row>
    <row r="4528" spans="1:12" x14ac:dyDescent="0.25">
      <c r="A4528" t="s">
        <v>39</v>
      </c>
      <c r="B4528">
        <v>26</v>
      </c>
      <c r="C4528" t="s">
        <v>20</v>
      </c>
      <c r="D4528" s="1">
        <v>46081</v>
      </c>
      <c r="E4528">
        <v>4475.2</v>
      </c>
      <c r="F4528">
        <v>255.92</v>
      </c>
      <c r="G4528">
        <v>152.62</v>
      </c>
      <c r="H4528">
        <v>387</v>
      </c>
      <c r="I4528" t="s">
        <v>31</v>
      </c>
      <c r="J4528">
        <v>2026</v>
      </c>
      <c r="K4528">
        <f t="shared" si="140"/>
        <v>103.29999999999998</v>
      </c>
      <c r="L4528" t="str">
        <f t="shared" si="141"/>
        <v>Banca Calabra|26|Risparmio</v>
      </c>
    </row>
    <row r="4529" spans="1:12" x14ac:dyDescent="0.25">
      <c r="A4529" t="s">
        <v>39</v>
      </c>
      <c r="B4529">
        <v>26</v>
      </c>
      <c r="C4529" t="s">
        <v>21</v>
      </c>
      <c r="D4529" s="1">
        <v>46081</v>
      </c>
      <c r="E4529">
        <v>5027.5</v>
      </c>
      <c r="F4529">
        <v>297.08999999999997</v>
      </c>
      <c r="G4529">
        <v>176.71</v>
      </c>
      <c r="H4529">
        <v>442</v>
      </c>
      <c r="I4529" t="s">
        <v>31</v>
      </c>
      <c r="J4529">
        <v>2026</v>
      </c>
      <c r="K4529">
        <f t="shared" si="140"/>
        <v>120.37999999999997</v>
      </c>
      <c r="L4529" t="str">
        <f t="shared" si="141"/>
        <v>Banca Calabra|26|Assicurazioni</v>
      </c>
    </row>
    <row r="4530" spans="1:12" x14ac:dyDescent="0.25">
      <c r="A4530" t="s">
        <v>39</v>
      </c>
      <c r="B4530">
        <v>27</v>
      </c>
      <c r="C4530" t="s">
        <v>13</v>
      </c>
      <c r="D4530" s="1">
        <v>46112</v>
      </c>
      <c r="E4530">
        <v>1399.5</v>
      </c>
      <c r="F4530">
        <v>63.57</v>
      </c>
      <c r="G4530">
        <v>40.04</v>
      </c>
      <c r="H4530">
        <v>141</v>
      </c>
      <c r="I4530" t="s">
        <v>31</v>
      </c>
      <c r="J4530">
        <v>2026</v>
      </c>
      <c r="K4530">
        <f t="shared" si="140"/>
        <v>23.53</v>
      </c>
      <c r="L4530" t="str">
        <f t="shared" si="141"/>
        <v>Banca Calabra|27|Mutui</v>
      </c>
    </row>
    <row r="4531" spans="1:12" x14ac:dyDescent="0.25">
      <c r="A4531" t="s">
        <v>39</v>
      </c>
      <c r="B4531">
        <v>27</v>
      </c>
      <c r="C4531" t="s">
        <v>15</v>
      </c>
      <c r="D4531" s="1">
        <v>46112</v>
      </c>
      <c r="E4531">
        <v>1919.7</v>
      </c>
      <c r="F4531">
        <v>91.08</v>
      </c>
      <c r="G4531">
        <v>55.75</v>
      </c>
      <c r="H4531">
        <v>195</v>
      </c>
      <c r="I4531" t="s">
        <v>31</v>
      </c>
      <c r="J4531">
        <v>2026</v>
      </c>
      <c r="K4531">
        <f t="shared" si="140"/>
        <v>35.33</v>
      </c>
      <c r="L4531" t="str">
        <f t="shared" si="141"/>
        <v>Banca Calabra|27|Prestiti</v>
      </c>
    </row>
    <row r="4532" spans="1:12" x14ac:dyDescent="0.25">
      <c r="A4532" t="s">
        <v>39</v>
      </c>
      <c r="B4532">
        <v>27</v>
      </c>
      <c r="C4532" t="s">
        <v>16</v>
      </c>
      <c r="D4532" s="1">
        <v>46112</v>
      </c>
      <c r="E4532">
        <v>2414</v>
      </c>
      <c r="F4532">
        <v>118.39</v>
      </c>
      <c r="G4532">
        <v>73.27</v>
      </c>
      <c r="H4532">
        <v>233</v>
      </c>
      <c r="I4532" t="s">
        <v>31</v>
      </c>
      <c r="J4532">
        <v>2026</v>
      </c>
      <c r="K4532">
        <f t="shared" si="140"/>
        <v>45.120000000000005</v>
      </c>
      <c r="L4532" t="str">
        <f t="shared" si="141"/>
        <v>Banca Calabra|27|Conti</v>
      </c>
    </row>
    <row r="4533" spans="1:12" x14ac:dyDescent="0.25">
      <c r="A4533" t="s">
        <v>39</v>
      </c>
      <c r="B4533">
        <v>27</v>
      </c>
      <c r="C4533" t="s">
        <v>17</v>
      </c>
      <c r="D4533" s="1">
        <v>46112</v>
      </c>
      <c r="E4533">
        <v>2930.4</v>
      </c>
      <c r="F4533">
        <v>150.16999999999999</v>
      </c>
      <c r="G4533">
        <v>91.53</v>
      </c>
      <c r="H4533">
        <v>262</v>
      </c>
      <c r="I4533" t="s">
        <v>31</v>
      </c>
      <c r="J4533">
        <v>2026</v>
      </c>
      <c r="K4533">
        <f t="shared" si="140"/>
        <v>58.639999999999986</v>
      </c>
      <c r="L4533" t="str">
        <f t="shared" si="141"/>
        <v>Banca Calabra|27|Carte</v>
      </c>
    </row>
    <row r="4534" spans="1:12" x14ac:dyDescent="0.25">
      <c r="A4534" t="s">
        <v>39</v>
      </c>
      <c r="B4534">
        <v>27</v>
      </c>
      <c r="C4534" t="s">
        <v>18</v>
      </c>
      <c r="D4534" s="1">
        <v>46112</v>
      </c>
      <c r="E4534">
        <v>3496.5</v>
      </c>
      <c r="F4534">
        <v>186.29</v>
      </c>
      <c r="G4534">
        <v>112</v>
      </c>
      <c r="H4534">
        <v>288</v>
      </c>
      <c r="I4534" t="s">
        <v>31</v>
      </c>
      <c r="J4534">
        <v>2026</v>
      </c>
      <c r="K4534">
        <f t="shared" si="140"/>
        <v>74.289999999999992</v>
      </c>
      <c r="L4534" t="str">
        <f t="shared" si="141"/>
        <v>Banca Calabra|27|Leasing</v>
      </c>
    </row>
    <row r="4535" spans="1:12" x14ac:dyDescent="0.25">
      <c r="A4535" t="s">
        <v>39</v>
      </c>
      <c r="B4535">
        <v>27</v>
      </c>
      <c r="C4535" t="s">
        <v>19</v>
      </c>
      <c r="D4535" s="1">
        <v>46112</v>
      </c>
      <c r="E4535">
        <v>3965.2</v>
      </c>
      <c r="F4535">
        <v>219.04</v>
      </c>
      <c r="G4535">
        <v>131.63999999999999</v>
      </c>
      <c r="H4535">
        <v>358</v>
      </c>
      <c r="I4535" t="s">
        <v>31</v>
      </c>
      <c r="J4535">
        <v>2026</v>
      </c>
      <c r="K4535">
        <f t="shared" si="140"/>
        <v>87.4</v>
      </c>
      <c r="L4535" t="str">
        <f t="shared" si="141"/>
        <v>Banca Calabra|27|Factoring</v>
      </c>
    </row>
    <row r="4536" spans="1:12" x14ac:dyDescent="0.25">
      <c r="A4536" t="s">
        <v>39</v>
      </c>
      <c r="B4536">
        <v>27</v>
      </c>
      <c r="C4536" t="s">
        <v>20</v>
      </c>
      <c r="D4536" s="1">
        <v>46112</v>
      </c>
      <c r="E4536">
        <v>4529.5</v>
      </c>
      <c r="F4536">
        <v>259.12</v>
      </c>
      <c r="G4536">
        <v>154.66999999999999</v>
      </c>
      <c r="H4536">
        <v>393</v>
      </c>
      <c r="I4536" t="s">
        <v>31</v>
      </c>
      <c r="J4536">
        <v>2026</v>
      </c>
      <c r="K4536">
        <f t="shared" si="140"/>
        <v>104.45000000000002</v>
      </c>
      <c r="L4536" t="str">
        <f t="shared" si="141"/>
        <v>Banca Calabra|27|Risparmio</v>
      </c>
    </row>
    <row r="4537" spans="1:12" x14ac:dyDescent="0.25">
      <c r="A4537" t="s">
        <v>39</v>
      </c>
      <c r="B4537">
        <v>27</v>
      </c>
      <c r="C4537" t="s">
        <v>21</v>
      </c>
      <c r="D4537" s="1">
        <v>46112</v>
      </c>
      <c r="E4537">
        <v>5015.7</v>
      </c>
      <c r="F4537">
        <v>296.8</v>
      </c>
      <c r="G4537">
        <v>176.11</v>
      </c>
      <c r="H4537">
        <v>415</v>
      </c>
      <c r="I4537" t="s">
        <v>31</v>
      </c>
      <c r="J4537">
        <v>2026</v>
      </c>
      <c r="K4537">
        <f t="shared" si="140"/>
        <v>120.69</v>
      </c>
      <c r="L4537" t="str">
        <f t="shared" si="141"/>
        <v>Banca Calabra|27|Assicurazioni</v>
      </c>
    </row>
    <row r="4538" spans="1:12" x14ac:dyDescent="0.25">
      <c r="A4538" t="s">
        <v>39</v>
      </c>
      <c r="B4538">
        <v>28</v>
      </c>
      <c r="C4538" t="s">
        <v>13</v>
      </c>
      <c r="D4538" s="1">
        <v>46142</v>
      </c>
      <c r="E4538">
        <v>1401.7</v>
      </c>
      <c r="F4538">
        <v>63.91</v>
      </c>
      <c r="G4538">
        <v>39.89</v>
      </c>
      <c r="H4538">
        <v>119</v>
      </c>
      <c r="I4538" t="s">
        <v>31</v>
      </c>
      <c r="J4538">
        <v>2026</v>
      </c>
      <c r="K4538">
        <f t="shared" si="140"/>
        <v>24.019999999999996</v>
      </c>
      <c r="L4538" t="str">
        <f t="shared" si="141"/>
        <v>Banca Calabra|28|Mutui</v>
      </c>
    </row>
    <row r="4539" spans="1:12" x14ac:dyDescent="0.25">
      <c r="A4539" t="s">
        <v>39</v>
      </c>
      <c r="B4539">
        <v>28</v>
      </c>
      <c r="C4539" t="s">
        <v>15</v>
      </c>
      <c r="D4539" s="1">
        <v>46142</v>
      </c>
      <c r="E4539">
        <v>1923.6</v>
      </c>
      <c r="F4539">
        <v>91.39</v>
      </c>
      <c r="G4539">
        <v>56.4</v>
      </c>
      <c r="H4539">
        <v>166</v>
      </c>
      <c r="I4539" t="s">
        <v>31</v>
      </c>
      <c r="J4539">
        <v>2026</v>
      </c>
      <c r="K4539">
        <f t="shared" si="140"/>
        <v>34.99</v>
      </c>
      <c r="L4539" t="str">
        <f t="shared" si="141"/>
        <v>Banca Calabra|28|Prestiti</v>
      </c>
    </row>
    <row r="4540" spans="1:12" x14ac:dyDescent="0.25">
      <c r="A4540" t="s">
        <v>39</v>
      </c>
      <c r="B4540">
        <v>28</v>
      </c>
      <c r="C4540" t="s">
        <v>16</v>
      </c>
      <c r="D4540" s="1">
        <v>46142</v>
      </c>
      <c r="E4540">
        <v>2443.1</v>
      </c>
      <c r="F4540">
        <v>120.5</v>
      </c>
      <c r="G4540">
        <v>73.56</v>
      </c>
      <c r="H4540">
        <v>231</v>
      </c>
      <c r="I4540" t="s">
        <v>31</v>
      </c>
      <c r="J4540">
        <v>2026</v>
      </c>
      <c r="K4540">
        <f t="shared" si="140"/>
        <v>46.94</v>
      </c>
      <c r="L4540" t="str">
        <f t="shared" si="141"/>
        <v>Banca Calabra|28|Conti</v>
      </c>
    </row>
    <row r="4541" spans="1:12" x14ac:dyDescent="0.25">
      <c r="A4541" t="s">
        <v>39</v>
      </c>
      <c r="B4541">
        <v>28</v>
      </c>
      <c r="C4541" t="s">
        <v>17</v>
      </c>
      <c r="D4541" s="1">
        <v>46142</v>
      </c>
      <c r="E4541">
        <v>2991.1</v>
      </c>
      <c r="F4541">
        <v>153.03</v>
      </c>
      <c r="G4541">
        <v>93.48</v>
      </c>
      <c r="H4541">
        <v>268</v>
      </c>
      <c r="I4541" t="s">
        <v>31</v>
      </c>
      <c r="J4541">
        <v>2026</v>
      </c>
      <c r="K4541">
        <f t="shared" si="140"/>
        <v>59.55</v>
      </c>
      <c r="L4541" t="str">
        <f t="shared" si="141"/>
        <v>Banca Calabra|28|Carte</v>
      </c>
    </row>
    <row r="4542" spans="1:12" x14ac:dyDescent="0.25">
      <c r="A4542" t="s">
        <v>39</v>
      </c>
      <c r="B4542">
        <v>28</v>
      </c>
      <c r="C4542" t="s">
        <v>18</v>
      </c>
      <c r="D4542" s="1">
        <v>46142</v>
      </c>
      <c r="E4542">
        <v>3515.8</v>
      </c>
      <c r="F4542">
        <v>186.41</v>
      </c>
      <c r="G4542">
        <v>112.81</v>
      </c>
      <c r="H4542">
        <v>292</v>
      </c>
      <c r="I4542" t="s">
        <v>31</v>
      </c>
      <c r="J4542">
        <v>2026</v>
      </c>
      <c r="K4542">
        <f t="shared" si="140"/>
        <v>73.599999999999994</v>
      </c>
      <c r="L4542" t="str">
        <f t="shared" si="141"/>
        <v>Banca Calabra|28|Leasing</v>
      </c>
    </row>
    <row r="4543" spans="1:12" x14ac:dyDescent="0.25">
      <c r="A4543" t="s">
        <v>39</v>
      </c>
      <c r="B4543">
        <v>28</v>
      </c>
      <c r="C4543" t="s">
        <v>19</v>
      </c>
      <c r="D4543" s="1">
        <v>46142</v>
      </c>
      <c r="E4543">
        <v>4043.6</v>
      </c>
      <c r="F4543">
        <v>222.84</v>
      </c>
      <c r="G4543">
        <v>133.72</v>
      </c>
      <c r="H4543">
        <v>354</v>
      </c>
      <c r="I4543" t="s">
        <v>31</v>
      </c>
      <c r="J4543">
        <v>2026</v>
      </c>
      <c r="K4543">
        <f t="shared" si="140"/>
        <v>89.12</v>
      </c>
      <c r="L4543" t="str">
        <f t="shared" si="141"/>
        <v>Banca Calabra|28|Factoring</v>
      </c>
    </row>
    <row r="4544" spans="1:12" x14ac:dyDescent="0.25">
      <c r="A4544" t="s">
        <v>39</v>
      </c>
      <c r="B4544">
        <v>28</v>
      </c>
      <c r="C4544" t="s">
        <v>20</v>
      </c>
      <c r="D4544" s="1">
        <v>46142</v>
      </c>
      <c r="E4544">
        <v>4536.5</v>
      </c>
      <c r="F4544">
        <v>258.74</v>
      </c>
      <c r="G4544">
        <v>154.88999999999999</v>
      </c>
      <c r="H4544">
        <v>408</v>
      </c>
      <c r="I4544" t="s">
        <v>31</v>
      </c>
      <c r="J4544">
        <v>2026</v>
      </c>
      <c r="K4544">
        <f t="shared" si="140"/>
        <v>103.85000000000002</v>
      </c>
      <c r="L4544" t="str">
        <f t="shared" si="141"/>
        <v>Banca Calabra|28|Risparmio</v>
      </c>
    </row>
    <row r="4545" spans="1:12" x14ac:dyDescent="0.25">
      <c r="A4545" t="s">
        <v>39</v>
      </c>
      <c r="B4545">
        <v>28</v>
      </c>
      <c r="C4545" t="s">
        <v>21</v>
      </c>
      <c r="D4545" s="1">
        <v>46142</v>
      </c>
      <c r="E4545">
        <v>5037.1000000000004</v>
      </c>
      <c r="F4545">
        <v>297.52</v>
      </c>
      <c r="G4545">
        <v>177.27</v>
      </c>
      <c r="H4545">
        <v>436</v>
      </c>
      <c r="I4545" t="s">
        <v>31</v>
      </c>
      <c r="J4545">
        <v>2026</v>
      </c>
      <c r="K4545">
        <f t="shared" si="140"/>
        <v>120.24999999999997</v>
      </c>
      <c r="L4545" t="str">
        <f t="shared" si="141"/>
        <v>Banca Calabra|28|Assicurazioni</v>
      </c>
    </row>
    <row r="4546" spans="1:12" x14ac:dyDescent="0.25">
      <c r="A4546" t="s">
        <v>39</v>
      </c>
      <c r="B4546">
        <v>29</v>
      </c>
      <c r="C4546" t="s">
        <v>13</v>
      </c>
      <c r="D4546" s="1">
        <v>46173</v>
      </c>
      <c r="E4546">
        <v>1400.8</v>
      </c>
      <c r="F4546">
        <v>63.37</v>
      </c>
      <c r="G4546">
        <v>39.76</v>
      </c>
      <c r="H4546">
        <v>127</v>
      </c>
      <c r="I4546" t="s">
        <v>31</v>
      </c>
      <c r="J4546">
        <v>2026</v>
      </c>
      <c r="K4546">
        <f t="shared" ref="K4546:K4609" si="142">F4546-G4546</f>
        <v>23.61</v>
      </c>
      <c r="L4546" t="str">
        <f t="shared" ref="L4546:L4609" si="143">A4546&amp;"|"&amp;B4546&amp;"|"&amp;C4546</f>
        <v>Banca Calabra|29|Mutui</v>
      </c>
    </row>
    <row r="4547" spans="1:12" x14ac:dyDescent="0.25">
      <c r="A4547" t="s">
        <v>39</v>
      </c>
      <c r="B4547">
        <v>29</v>
      </c>
      <c r="C4547" t="s">
        <v>15</v>
      </c>
      <c r="D4547" s="1">
        <v>46173</v>
      </c>
      <c r="E4547">
        <v>1954.1</v>
      </c>
      <c r="F4547">
        <v>92.51</v>
      </c>
      <c r="G4547">
        <v>57.53</v>
      </c>
      <c r="H4547">
        <v>186</v>
      </c>
      <c r="I4547" t="s">
        <v>31</v>
      </c>
      <c r="J4547">
        <v>2026</v>
      </c>
      <c r="K4547">
        <f t="shared" si="142"/>
        <v>34.980000000000004</v>
      </c>
      <c r="L4547" t="str">
        <f t="shared" si="143"/>
        <v>Banca Calabra|29|Prestiti</v>
      </c>
    </row>
    <row r="4548" spans="1:12" x14ac:dyDescent="0.25">
      <c r="A4548" t="s">
        <v>39</v>
      </c>
      <c r="B4548">
        <v>29</v>
      </c>
      <c r="C4548" t="s">
        <v>16</v>
      </c>
      <c r="D4548" s="1">
        <v>46173</v>
      </c>
      <c r="E4548">
        <v>2454.4</v>
      </c>
      <c r="F4548">
        <v>120.38</v>
      </c>
      <c r="G4548">
        <v>74.56</v>
      </c>
      <c r="H4548">
        <v>207</v>
      </c>
      <c r="I4548" t="s">
        <v>31</v>
      </c>
      <c r="J4548">
        <v>2026</v>
      </c>
      <c r="K4548">
        <f t="shared" si="142"/>
        <v>45.819999999999993</v>
      </c>
      <c r="L4548" t="str">
        <f t="shared" si="143"/>
        <v>Banca Calabra|29|Conti</v>
      </c>
    </row>
    <row r="4549" spans="1:12" x14ac:dyDescent="0.25">
      <c r="A4549" t="s">
        <v>39</v>
      </c>
      <c r="B4549">
        <v>29</v>
      </c>
      <c r="C4549" t="s">
        <v>17</v>
      </c>
      <c r="D4549" s="1">
        <v>46173</v>
      </c>
      <c r="E4549">
        <v>2975.6</v>
      </c>
      <c r="F4549">
        <v>152.28</v>
      </c>
      <c r="G4549">
        <v>92.69</v>
      </c>
      <c r="H4549">
        <v>252</v>
      </c>
      <c r="I4549" t="s">
        <v>31</v>
      </c>
      <c r="J4549">
        <v>2026</v>
      </c>
      <c r="K4549">
        <f t="shared" si="142"/>
        <v>59.59</v>
      </c>
      <c r="L4549" t="str">
        <f t="shared" si="143"/>
        <v>Banca Calabra|29|Carte</v>
      </c>
    </row>
    <row r="4550" spans="1:12" x14ac:dyDescent="0.25">
      <c r="A4550" t="s">
        <v>39</v>
      </c>
      <c r="B4550">
        <v>29</v>
      </c>
      <c r="C4550" t="s">
        <v>18</v>
      </c>
      <c r="D4550" s="1">
        <v>46173</v>
      </c>
      <c r="E4550">
        <v>3524.6</v>
      </c>
      <c r="F4550">
        <v>187.5</v>
      </c>
      <c r="G4550">
        <v>113.74</v>
      </c>
      <c r="H4550">
        <v>320</v>
      </c>
      <c r="I4550" t="s">
        <v>31</v>
      </c>
      <c r="J4550">
        <v>2026</v>
      </c>
      <c r="K4550">
        <f t="shared" si="142"/>
        <v>73.760000000000005</v>
      </c>
      <c r="L4550" t="str">
        <f t="shared" si="143"/>
        <v>Banca Calabra|29|Leasing</v>
      </c>
    </row>
    <row r="4551" spans="1:12" x14ac:dyDescent="0.25">
      <c r="A4551" t="s">
        <v>39</v>
      </c>
      <c r="B4551">
        <v>29</v>
      </c>
      <c r="C4551" t="s">
        <v>19</v>
      </c>
      <c r="D4551" s="1">
        <v>46173</v>
      </c>
      <c r="E4551">
        <v>4064.8</v>
      </c>
      <c r="F4551">
        <v>223.7</v>
      </c>
      <c r="G4551">
        <v>134.47999999999999</v>
      </c>
      <c r="H4551">
        <v>359</v>
      </c>
      <c r="I4551" t="s">
        <v>31</v>
      </c>
      <c r="J4551">
        <v>2026</v>
      </c>
      <c r="K4551">
        <f t="shared" si="142"/>
        <v>89.22</v>
      </c>
      <c r="L4551" t="str">
        <f t="shared" si="143"/>
        <v>Banca Calabra|29|Factoring</v>
      </c>
    </row>
    <row r="4552" spans="1:12" x14ac:dyDescent="0.25">
      <c r="A4552" t="s">
        <v>39</v>
      </c>
      <c r="B4552">
        <v>29</v>
      </c>
      <c r="C4552" t="s">
        <v>20</v>
      </c>
      <c r="D4552" s="1">
        <v>46173</v>
      </c>
      <c r="E4552">
        <v>4592</v>
      </c>
      <c r="F4552">
        <v>262.25</v>
      </c>
      <c r="G4552">
        <v>156.32</v>
      </c>
      <c r="H4552">
        <v>380</v>
      </c>
      <c r="I4552" t="s">
        <v>31</v>
      </c>
      <c r="J4552">
        <v>2026</v>
      </c>
      <c r="K4552">
        <f t="shared" si="142"/>
        <v>105.93</v>
      </c>
      <c r="L4552" t="str">
        <f t="shared" si="143"/>
        <v>Banca Calabra|29|Risparmio</v>
      </c>
    </row>
    <row r="4553" spans="1:12" x14ac:dyDescent="0.25">
      <c r="A4553" t="s">
        <v>39</v>
      </c>
      <c r="B4553">
        <v>29</v>
      </c>
      <c r="C4553" t="s">
        <v>21</v>
      </c>
      <c r="D4553" s="1">
        <v>46173</v>
      </c>
      <c r="E4553">
        <v>5072.1000000000004</v>
      </c>
      <c r="F4553">
        <v>299.77999999999997</v>
      </c>
      <c r="G4553">
        <v>178.5</v>
      </c>
      <c r="H4553">
        <v>429</v>
      </c>
      <c r="I4553" t="s">
        <v>31</v>
      </c>
      <c r="J4553">
        <v>2026</v>
      </c>
      <c r="K4553">
        <f t="shared" si="142"/>
        <v>121.27999999999997</v>
      </c>
      <c r="L4553" t="str">
        <f t="shared" si="143"/>
        <v>Banca Calabra|29|Assicurazioni</v>
      </c>
    </row>
    <row r="4554" spans="1:12" x14ac:dyDescent="0.25">
      <c r="A4554" t="s">
        <v>39</v>
      </c>
      <c r="B4554">
        <v>30</v>
      </c>
      <c r="C4554" t="s">
        <v>13</v>
      </c>
      <c r="D4554" s="1">
        <v>46203</v>
      </c>
      <c r="E4554">
        <v>1408.3</v>
      </c>
      <c r="F4554">
        <v>63.95</v>
      </c>
      <c r="G4554">
        <v>39.979999999999997</v>
      </c>
      <c r="H4554">
        <v>125</v>
      </c>
      <c r="I4554" t="s">
        <v>31</v>
      </c>
      <c r="J4554">
        <v>2026</v>
      </c>
      <c r="K4554">
        <f t="shared" si="142"/>
        <v>23.970000000000006</v>
      </c>
      <c r="L4554" t="str">
        <f t="shared" si="143"/>
        <v>Banca Calabra|30|Mutui</v>
      </c>
    </row>
    <row r="4555" spans="1:12" x14ac:dyDescent="0.25">
      <c r="A4555" t="s">
        <v>39</v>
      </c>
      <c r="B4555">
        <v>30</v>
      </c>
      <c r="C4555" t="s">
        <v>15</v>
      </c>
      <c r="D4555" s="1">
        <v>46203</v>
      </c>
      <c r="E4555">
        <v>1922.6</v>
      </c>
      <c r="F4555">
        <v>90.6</v>
      </c>
      <c r="G4555">
        <v>56.22</v>
      </c>
      <c r="H4555">
        <v>183</v>
      </c>
      <c r="I4555" t="s">
        <v>31</v>
      </c>
      <c r="J4555">
        <v>2026</v>
      </c>
      <c r="K4555">
        <f t="shared" si="142"/>
        <v>34.379999999999995</v>
      </c>
      <c r="L4555" t="str">
        <f t="shared" si="143"/>
        <v>Banca Calabra|30|Prestiti</v>
      </c>
    </row>
    <row r="4556" spans="1:12" x14ac:dyDescent="0.25">
      <c r="A4556" t="s">
        <v>39</v>
      </c>
      <c r="B4556">
        <v>30</v>
      </c>
      <c r="C4556" t="s">
        <v>16</v>
      </c>
      <c r="D4556" s="1">
        <v>46203</v>
      </c>
      <c r="E4556">
        <v>2458.6</v>
      </c>
      <c r="F4556">
        <v>121.36</v>
      </c>
      <c r="G4556">
        <v>74.5</v>
      </c>
      <c r="H4556">
        <v>237</v>
      </c>
      <c r="I4556" t="s">
        <v>31</v>
      </c>
      <c r="J4556">
        <v>2026</v>
      </c>
      <c r="K4556">
        <f t="shared" si="142"/>
        <v>46.86</v>
      </c>
      <c r="L4556" t="str">
        <f t="shared" si="143"/>
        <v>Banca Calabra|30|Conti</v>
      </c>
    </row>
    <row r="4557" spans="1:12" x14ac:dyDescent="0.25">
      <c r="A4557" t="s">
        <v>39</v>
      </c>
      <c r="B4557">
        <v>30</v>
      </c>
      <c r="C4557" t="s">
        <v>17</v>
      </c>
      <c r="D4557" s="1">
        <v>46203</v>
      </c>
      <c r="E4557">
        <v>2990.3</v>
      </c>
      <c r="F4557">
        <v>152.88999999999999</v>
      </c>
      <c r="G4557">
        <v>93.38</v>
      </c>
      <c r="H4557">
        <v>263</v>
      </c>
      <c r="I4557" t="s">
        <v>31</v>
      </c>
      <c r="J4557">
        <v>2026</v>
      </c>
      <c r="K4557">
        <f t="shared" si="142"/>
        <v>59.509999999999991</v>
      </c>
      <c r="L4557" t="str">
        <f t="shared" si="143"/>
        <v>Banca Calabra|30|Carte</v>
      </c>
    </row>
    <row r="4558" spans="1:12" x14ac:dyDescent="0.25">
      <c r="A4558" t="s">
        <v>39</v>
      </c>
      <c r="B4558">
        <v>30</v>
      </c>
      <c r="C4558" t="s">
        <v>18</v>
      </c>
      <c r="D4558" s="1">
        <v>46203</v>
      </c>
      <c r="E4558">
        <v>3511.6</v>
      </c>
      <c r="F4558">
        <v>186.44</v>
      </c>
      <c r="G4558">
        <v>112.44</v>
      </c>
      <c r="H4558">
        <v>322</v>
      </c>
      <c r="I4558" t="s">
        <v>31</v>
      </c>
      <c r="J4558">
        <v>2026</v>
      </c>
      <c r="K4558">
        <f t="shared" si="142"/>
        <v>74</v>
      </c>
      <c r="L4558" t="str">
        <f t="shared" si="143"/>
        <v>Banca Calabra|30|Leasing</v>
      </c>
    </row>
    <row r="4559" spans="1:12" x14ac:dyDescent="0.25">
      <c r="A4559" t="s">
        <v>39</v>
      </c>
      <c r="B4559">
        <v>30</v>
      </c>
      <c r="C4559" t="s">
        <v>19</v>
      </c>
      <c r="D4559" s="1">
        <v>46203</v>
      </c>
      <c r="E4559">
        <v>4096</v>
      </c>
      <c r="F4559">
        <v>226.21</v>
      </c>
      <c r="G4559">
        <v>135.86000000000001</v>
      </c>
      <c r="H4559">
        <v>334</v>
      </c>
      <c r="I4559" t="s">
        <v>31</v>
      </c>
      <c r="J4559">
        <v>2026</v>
      </c>
      <c r="K4559">
        <f t="shared" si="142"/>
        <v>90.35</v>
      </c>
      <c r="L4559" t="str">
        <f t="shared" si="143"/>
        <v>Banca Calabra|30|Factoring</v>
      </c>
    </row>
    <row r="4560" spans="1:12" x14ac:dyDescent="0.25">
      <c r="A4560" t="s">
        <v>39</v>
      </c>
      <c r="B4560">
        <v>30</v>
      </c>
      <c r="C4560" t="s">
        <v>20</v>
      </c>
      <c r="D4560" s="1">
        <v>46203</v>
      </c>
      <c r="E4560">
        <v>4590.6000000000004</v>
      </c>
      <c r="F4560">
        <v>262.22000000000003</v>
      </c>
      <c r="G4560">
        <v>156.15</v>
      </c>
      <c r="H4560">
        <v>405</v>
      </c>
      <c r="I4560" t="s">
        <v>31</v>
      </c>
      <c r="J4560">
        <v>2026</v>
      </c>
      <c r="K4560">
        <f t="shared" si="142"/>
        <v>106.07000000000002</v>
      </c>
      <c r="L4560" t="str">
        <f t="shared" si="143"/>
        <v>Banca Calabra|30|Risparmio</v>
      </c>
    </row>
    <row r="4561" spans="1:12" x14ac:dyDescent="0.25">
      <c r="A4561" t="s">
        <v>39</v>
      </c>
      <c r="B4561">
        <v>30</v>
      </c>
      <c r="C4561" t="s">
        <v>21</v>
      </c>
      <c r="D4561" s="1">
        <v>46203</v>
      </c>
      <c r="E4561">
        <v>5127.8999999999996</v>
      </c>
      <c r="F4561">
        <v>302.7</v>
      </c>
      <c r="G4561">
        <v>180.15</v>
      </c>
      <c r="H4561">
        <v>444</v>
      </c>
      <c r="I4561" t="s">
        <v>31</v>
      </c>
      <c r="J4561">
        <v>2026</v>
      </c>
      <c r="K4561">
        <f t="shared" si="142"/>
        <v>122.54999999999998</v>
      </c>
      <c r="L4561" t="str">
        <f t="shared" si="143"/>
        <v>Banca Calabra|30|Assicurazioni</v>
      </c>
    </row>
    <row r="4562" spans="1:12" x14ac:dyDescent="0.25">
      <c r="A4562" t="s">
        <v>39</v>
      </c>
      <c r="B4562">
        <v>31</v>
      </c>
      <c r="C4562" t="s">
        <v>13</v>
      </c>
      <c r="D4562" s="1">
        <v>46234</v>
      </c>
      <c r="E4562">
        <v>1413.8</v>
      </c>
      <c r="F4562">
        <v>64.3</v>
      </c>
      <c r="G4562">
        <v>40.270000000000003</v>
      </c>
      <c r="H4562">
        <v>138</v>
      </c>
      <c r="I4562" t="s">
        <v>31</v>
      </c>
      <c r="J4562">
        <v>2026</v>
      </c>
      <c r="K4562">
        <f t="shared" si="142"/>
        <v>24.029999999999994</v>
      </c>
      <c r="L4562" t="str">
        <f t="shared" si="143"/>
        <v>Banca Calabra|31|Mutui</v>
      </c>
    </row>
    <row r="4563" spans="1:12" x14ac:dyDescent="0.25">
      <c r="A4563" t="s">
        <v>39</v>
      </c>
      <c r="B4563">
        <v>31</v>
      </c>
      <c r="C4563" t="s">
        <v>15</v>
      </c>
      <c r="D4563" s="1">
        <v>46234</v>
      </c>
      <c r="E4563">
        <v>1950.2</v>
      </c>
      <c r="F4563">
        <v>92.43</v>
      </c>
      <c r="G4563">
        <v>56.81</v>
      </c>
      <c r="H4563">
        <v>158</v>
      </c>
      <c r="I4563" t="s">
        <v>31</v>
      </c>
      <c r="J4563">
        <v>2026</v>
      </c>
      <c r="K4563">
        <f t="shared" si="142"/>
        <v>35.620000000000005</v>
      </c>
      <c r="L4563" t="str">
        <f t="shared" si="143"/>
        <v>Banca Calabra|31|Prestiti</v>
      </c>
    </row>
    <row r="4564" spans="1:12" x14ac:dyDescent="0.25">
      <c r="A4564" t="s">
        <v>39</v>
      </c>
      <c r="B4564">
        <v>31</v>
      </c>
      <c r="C4564" t="s">
        <v>16</v>
      </c>
      <c r="D4564" s="1">
        <v>46234</v>
      </c>
      <c r="E4564">
        <v>2517.6999999999998</v>
      </c>
      <c r="F4564">
        <v>124.21</v>
      </c>
      <c r="G4564">
        <v>75.989999999999995</v>
      </c>
      <c r="H4564">
        <v>214</v>
      </c>
      <c r="I4564" t="s">
        <v>31</v>
      </c>
      <c r="J4564">
        <v>2026</v>
      </c>
      <c r="K4564">
        <f t="shared" si="142"/>
        <v>48.22</v>
      </c>
      <c r="L4564" t="str">
        <f t="shared" si="143"/>
        <v>Banca Calabra|31|Conti</v>
      </c>
    </row>
    <row r="4565" spans="1:12" x14ac:dyDescent="0.25">
      <c r="A4565" t="s">
        <v>39</v>
      </c>
      <c r="B4565">
        <v>31</v>
      </c>
      <c r="C4565" t="s">
        <v>17</v>
      </c>
      <c r="D4565" s="1">
        <v>46234</v>
      </c>
      <c r="E4565">
        <v>3057.5</v>
      </c>
      <c r="F4565">
        <v>156.44</v>
      </c>
      <c r="G4565">
        <v>95.43</v>
      </c>
      <c r="H4565">
        <v>257</v>
      </c>
      <c r="I4565" t="s">
        <v>31</v>
      </c>
      <c r="J4565">
        <v>2026</v>
      </c>
      <c r="K4565">
        <f t="shared" si="142"/>
        <v>61.009999999999991</v>
      </c>
      <c r="L4565" t="str">
        <f t="shared" si="143"/>
        <v>Banca Calabra|31|Carte</v>
      </c>
    </row>
    <row r="4566" spans="1:12" x14ac:dyDescent="0.25">
      <c r="A4566" t="s">
        <v>39</v>
      </c>
      <c r="B4566">
        <v>31</v>
      </c>
      <c r="C4566" t="s">
        <v>18</v>
      </c>
      <c r="D4566" s="1">
        <v>46234</v>
      </c>
      <c r="E4566">
        <v>3551.6</v>
      </c>
      <c r="F4566">
        <v>188.78</v>
      </c>
      <c r="G4566">
        <v>113.97</v>
      </c>
      <c r="H4566">
        <v>298</v>
      </c>
      <c r="I4566" t="s">
        <v>31</v>
      </c>
      <c r="J4566">
        <v>2026</v>
      </c>
      <c r="K4566">
        <f t="shared" si="142"/>
        <v>74.81</v>
      </c>
      <c r="L4566" t="str">
        <f t="shared" si="143"/>
        <v>Banca Calabra|31|Leasing</v>
      </c>
    </row>
    <row r="4567" spans="1:12" x14ac:dyDescent="0.25">
      <c r="A4567" t="s">
        <v>39</v>
      </c>
      <c r="B4567">
        <v>31</v>
      </c>
      <c r="C4567" t="s">
        <v>19</v>
      </c>
      <c r="D4567" s="1">
        <v>46234</v>
      </c>
      <c r="E4567">
        <v>4120.3999999999996</v>
      </c>
      <c r="F4567">
        <v>227.45</v>
      </c>
      <c r="G4567">
        <v>136.84</v>
      </c>
      <c r="H4567">
        <v>349</v>
      </c>
      <c r="I4567" t="s">
        <v>31</v>
      </c>
      <c r="J4567">
        <v>2026</v>
      </c>
      <c r="K4567">
        <f t="shared" si="142"/>
        <v>90.609999999999985</v>
      </c>
      <c r="L4567" t="str">
        <f t="shared" si="143"/>
        <v>Banca Calabra|31|Factoring</v>
      </c>
    </row>
    <row r="4568" spans="1:12" x14ac:dyDescent="0.25">
      <c r="A4568" t="s">
        <v>39</v>
      </c>
      <c r="B4568">
        <v>31</v>
      </c>
      <c r="C4568" t="s">
        <v>20</v>
      </c>
      <c r="D4568" s="1">
        <v>46234</v>
      </c>
      <c r="E4568">
        <v>4636.8999999999996</v>
      </c>
      <c r="F4568">
        <v>265.02</v>
      </c>
      <c r="G4568">
        <v>158.58000000000001</v>
      </c>
      <c r="H4568">
        <v>378</v>
      </c>
      <c r="I4568" t="s">
        <v>31</v>
      </c>
      <c r="J4568">
        <v>2026</v>
      </c>
      <c r="K4568">
        <f t="shared" si="142"/>
        <v>106.43999999999997</v>
      </c>
      <c r="L4568" t="str">
        <f t="shared" si="143"/>
        <v>Banca Calabra|31|Risparmio</v>
      </c>
    </row>
    <row r="4569" spans="1:12" x14ac:dyDescent="0.25">
      <c r="A4569" t="s">
        <v>39</v>
      </c>
      <c r="B4569">
        <v>31</v>
      </c>
      <c r="C4569" t="s">
        <v>21</v>
      </c>
      <c r="D4569" s="1">
        <v>46234</v>
      </c>
      <c r="E4569">
        <v>5164.1000000000004</v>
      </c>
      <c r="F4569">
        <v>305.33</v>
      </c>
      <c r="G4569">
        <v>181.2</v>
      </c>
      <c r="H4569">
        <v>436</v>
      </c>
      <c r="I4569" t="s">
        <v>31</v>
      </c>
      <c r="J4569">
        <v>2026</v>
      </c>
      <c r="K4569">
        <f t="shared" si="142"/>
        <v>124.13</v>
      </c>
      <c r="L4569" t="str">
        <f t="shared" si="143"/>
        <v>Banca Calabra|31|Assicurazioni</v>
      </c>
    </row>
    <row r="4570" spans="1:12" x14ac:dyDescent="0.25">
      <c r="A4570" t="s">
        <v>39</v>
      </c>
      <c r="B4570">
        <v>32</v>
      </c>
      <c r="C4570" t="s">
        <v>13</v>
      </c>
      <c r="D4570" s="1">
        <v>46265</v>
      </c>
      <c r="E4570">
        <v>1424.4</v>
      </c>
      <c r="F4570">
        <v>64.77</v>
      </c>
      <c r="G4570">
        <v>40.54</v>
      </c>
      <c r="H4570">
        <v>124</v>
      </c>
      <c r="I4570" t="s">
        <v>31</v>
      </c>
      <c r="J4570">
        <v>2026</v>
      </c>
      <c r="K4570">
        <f t="shared" si="142"/>
        <v>24.229999999999997</v>
      </c>
      <c r="L4570" t="str">
        <f t="shared" si="143"/>
        <v>Banca Calabra|32|Mutui</v>
      </c>
    </row>
    <row r="4571" spans="1:12" x14ac:dyDescent="0.25">
      <c r="A4571" t="s">
        <v>39</v>
      </c>
      <c r="B4571">
        <v>32</v>
      </c>
      <c r="C4571" t="s">
        <v>15</v>
      </c>
      <c r="D4571" s="1">
        <v>46265</v>
      </c>
      <c r="E4571">
        <v>1986.7</v>
      </c>
      <c r="F4571">
        <v>93.46</v>
      </c>
      <c r="G4571">
        <v>58.32</v>
      </c>
      <c r="H4571">
        <v>192</v>
      </c>
      <c r="I4571" t="s">
        <v>31</v>
      </c>
      <c r="J4571">
        <v>2026</v>
      </c>
      <c r="K4571">
        <f t="shared" si="142"/>
        <v>35.139999999999993</v>
      </c>
      <c r="L4571" t="str">
        <f t="shared" si="143"/>
        <v>Banca Calabra|32|Prestiti</v>
      </c>
    </row>
    <row r="4572" spans="1:12" x14ac:dyDescent="0.25">
      <c r="A4572" t="s">
        <v>39</v>
      </c>
      <c r="B4572">
        <v>32</v>
      </c>
      <c r="C4572" t="s">
        <v>16</v>
      </c>
      <c r="D4572" s="1">
        <v>46265</v>
      </c>
      <c r="E4572">
        <v>2510.1999999999998</v>
      </c>
      <c r="F4572">
        <v>123.51</v>
      </c>
      <c r="G4572">
        <v>75.599999999999994</v>
      </c>
      <c r="H4572">
        <v>218</v>
      </c>
      <c r="I4572" t="s">
        <v>31</v>
      </c>
      <c r="J4572">
        <v>2026</v>
      </c>
      <c r="K4572">
        <f t="shared" si="142"/>
        <v>47.910000000000011</v>
      </c>
      <c r="L4572" t="str">
        <f t="shared" si="143"/>
        <v>Banca Calabra|32|Conti</v>
      </c>
    </row>
    <row r="4573" spans="1:12" x14ac:dyDescent="0.25">
      <c r="A4573" t="s">
        <v>39</v>
      </c>
      <c r="B4573">
        <v>32</v>
      </c>
      <c r="C4573" t="s">
        <v>17</v>
      </c>
      <c r="D4573" s="1">
        <v>46265</v>
      </c>
      <c r="E4573">
        <v>3061</v>
      </c>
      <c r="F4573">
        <v>156.47</v>
      </c>
      <c r="G4573">
        <v>95.22</v>
      </c>
      <c r="H4573">
        <v>272</v>
      </c>
      <c r="I4573" t="s">
        <v>31</v>
      </c>
      <c r="J4573">
        <v>2026</v>
      </c>
      <c r="K4573">
        <f t="shared" si="142"/>
        <v>61.25</v>
      </c>
      <c r="L4573" t="str">
        <f t="shared" si="143"/>
        <v>Banca Calabra|32|Carte</v>
      </c>
    </row>
    <row r="4574" spans="1:12" x14ac:dyDescent="0.25">
      <c r="A4574" t="s">
        <v>39</v>
      </c>
      <c r="B4574">
        <v>32</v>
      </c>
      <c r="C4574" t="s">
        <v>18</v>
      </c>
      <c r="D4574" s="1">
        <v>46265</v>
      </c>
      <c r="E4574">
        <v>3581.6</v>
      </c>
      <c r="F4574">
        <v>190.73</v>
      </c>
      <c r="G4574">
        <v>115.33</v>
      </c>
      <c r="H4574">
        <v>304</v>
      </c>
      <c r="I4574" t="s">
        <v>31</v>
      </c>
      <c r="J4574">
        <v>2026</v>
      </c>
      <c r="K4574">
        <f t="shared" si="142"/>
        <v>75.399999999999991</v>
      </c>
      <c r="L4574" t="str">
        <f t="shared" si="143"/>
        <v>Banca Calabra|32|Leasing</v>
      </c>
    </row>
    <row r="4575" spans="1:12" x14ac:dyDescent="0.25">
      <c r="A4575" t="s">
        <v>39</v>
      </c>
      <c r="B4575">
        <v>32</v>
      </c>
      <c r="C4575" t="s">
        <v>19</v>
      </c>
      <c r="D4575" s="1">
        <v>46265</v>
      </c>
      <c r="E4575">
        <v>4149.6000000000004</v>
      </c>
      <c r="F4575">
        <v>229.15</v>
      </c>
      <c r="G4575">
        <v>137.19999999999999</v>
      </c>
      <c r="H4575">
        <v>363</v>
      </c>
      <c r="I4575" t="s">
        <v>31</v>
      </c>
      <c r="J4575">
        <v>2026</v>
      </c>
      <c r="K4575">
        <f t="shared" si="142"/>
        <v>91.950000000000017</v>
      </c>
      <c r="L4575" t="str">
        <f t="shared" si="143"/>
        <v>Banca Calabra|32|Factoring</v>
      </c>
    </row>
    <row r="4576" spans="1:12" x14ac:dyDescent="0.25">
      <c r="A4576" t="s">
        <v>39</v>
      </c>
      <c r="B4576">
        <v>32</v>
      </c>
      <c r="C4576" t="s">
        <v>20</v>
      </c>
      <c r="D4576" s="1">
        <v>46265</v>
      </c>
      <c r="E4576">
        <v>4646.8999999999996</v>
      </c>
      <c r="F4576">
        <v>264.92</v>
      </c>
      <c r="G4576">
        <v>158.09</v>
      </c>
      <c r="H4576">
        <v>372</v>
      </c>
      <c r="I4576" t="s">
        <v>31</v>
      </c>
      <c r="J4576">
        <v>2026</v>
      </c>
      <c r="K4576">
        <f t="shared" si="142"/>
        <v>106.83000000000001</v>
      </c>
      <c r="L4576" t="str">
        <f t="shared" si="143"/>
        <v>Banca Calabra|32|Risparmio</v>
      </c>
    </row>
    <row r="4577" spans="1:12" x14ac:dyDescent="0.25">
      <c r="A4577" t="s">
        <v>39</v>
      </c>
      <c r="B4577">
        <v>32</v>
      </c>
      <c r="C4577" t="s">
        <v>21</v>
      </c>
      <c r="D4577" s="1">
        <v>46265</v>
      </c>
      <c r="E4577">
        <v>5186.3999999999996</v>
      </c>
      <c r="F4577">
        <v>306.89</v>
      </c>
      <c r="G4577">
        <v>181.58</v>
      </c>
      <c r="H4577">
        <v>438</v>
      </c>
      <c r="I4577" t="s">
        <v>31</v>
      </c>
      <c r="J4577">
        <v>2026</v>
      </c>
      <c r="K4577">
        <f t="shared" si="142"/>
        <v>125.30999999999997</v>
      </c>
      <c r="L4577" t="str">
        <f t="shared" si="143"/>
        <v>Banca Calabra|32|Assicurazioni</v>
      </c>
    </row>
    <row r="4578" spans="1:12" x14ac:dyDescent="0.25">
      <c r="A4578" t="s">
        <v>39</v>
      </c>
      <c r="B4578">
        <v>33</v>
      </c>
      <c r="C4578" t="s">
        <v>13</v>
      </c>
      <c r="D4578" s="1">
        <v>46295</v>
      </c>
      <c r="E4578">
        <v>1439.3</v>
      </c>
      <c r="F4578">
        <v>64.89</v>
      </c>
      <c r="G4578">
        <v>41.27</v>
      </c>
      <c r="H4578">
        <v>114</v>
      </c>
      <c r="I4578" t="s">
        <v>31</v>
      </c>
      <c r="J4578">
        <v>2026</v>
      </c>
      <c r="K4578">
        <f t="shared" si="142"/>
        <v>23.619999999999997</v>
      </c>
      <c r="L4578" t="str">
        <f t="shared" si="143"/>
        <v>Banca Calabra|33|Mutui</v>
      </c>
    </row>
    <row r="4579" spans="1:12" x14ac:dyDescent="0.25">
      <c r="A4579" t="s">
        <v>39</v>
      </c>
      <c r="B4579">
        <v>33</v>
      </c>
      <c r="C4579" t="s">
        <v>15</v>
      </c>
      <c r="D4579" s="1">
        <v>46295</v>
      </c>
      <c r="E4579">
        <v>1982.3</v>
      </c>
      <c r="F4579">
        <v>93.59</v>
      </c>
      <c r="G4579">
        <v>57.95</v>
      </c>
      <c r="H4579">
        <v>175</v>
      </c>
      <c r="I4579" t="s">
        <v>31</v>
      </c>
      <c r="J4579">
        <v>2026</v>
      </c>
      <c r="K4579">
        <f t="shared" si="142"/>
        <v>35.64</v>
      </c>
      <c r="L4579" t="str">
        <f t="shared" si="143"/>
        <v>Banca Calabra|33|Prestiti</v>
      </c>
    </row>
    <row r="4580" spans="1:12" x14ac:dyDescent="0.25">
      <c r="A4580" t="s">
        <v>39</v>
      </c>
      <c r="B4580">
        <v>33</v>
      </c>
      <c r="C4580" t="s">
        <v>16</v>
      </c>
      <c r="D4580" s="1">
        <v>46295</v>
      </c>
      <c r="E4580">
        <v>2522.5</v>
      </c>
      <c r="F4580">
        <v>123.92</v>
      </c>
      <c r="G4580">
        <v>76.400000000000006</v>
      </c>
      <c r="H4580">
        <v>205</v>
      </c>
      <c r="I4580" t="s">
        <v>31</v>
      </c>
      <c r="J4580">
        <v>2026</v>
      </c>
      <c r="K4580">
        <f t="shared" si="142"/>
        <v>47.519999999999996</v>
      </c>
      <c r="L4580" t="str">
        <f t="shared" si="143"/>
        <v>Banca Calabra|33|Conti</v>
      </c>
    </row>
    <row r="4581" spans="1:12" x14ac:dyDescent="0.25">
      <c r="A4581" t="s">
        <v>39</v>
      </c>
      <c r="B4581">
        <v>33</v>
      </c>
      <c r="C4581" t="s">
        <v>17</v>
      </c>
      <c r="D4581" s="1">
        <v>46295</v>
      </c>
      <c r="E4581">
        <v>3071.5</v>
      </c>
      <c r="F4581">
        <v>157.6</v>
      </c>
      <c r="G4581">
        <v>95.41</v>
      </c>
      <c r="H4581">
        <v>256</v>
      </c>
      <c r="I4581" t="s">
        <v>31</v>
      </c>
      <c r="J4581">
        <v>2026</v>
      </c>
      <c r="K4581">
        <f t="shared" si="142"/>
        <v>62.19</v>
      </c>
      <c r="L4581" t="str">
        <f t="shared" si="143"/>
        <v>Banca Calabra|33|Carte</v>
      </c>
    </row>
    <row r="4582" spans="1:12" x14ac:dyDescent="0.25">
      <c r="A4582" t="s">
        <v>39</v>
      </c>
      <c r="B4582">
        <v>33</v>
      </c>
      <c r="C4582" t="s">
        <v>18</v>
      </c>
      <c r="D4582" s="1">
        <v>46295</v>
      </c>
      <c r="E4582">
        <v>3633.3</v>
      </c>
      <c r="F4582">
        <v>193.39</v>
      </c>
      <c r="G4582">
        <v>117.07</v>
      </c>
      <c r="H4582">
        <v>310</v>
      </c>
      <c r="I4582" t="s">
        <v>31</v>
      </c>
      <c r="J4582">
        <v>2026</v>
      </c>
      <c r="K4582">
        <f t="shared" si="142"/>
        <v>76.319999999999993</v>
      </c>
      <c r="L4582" t="str">
        <f t="shared" si="143"/>
        <v>Banca Calabra|33|Leasing</v>
      </c>
    </row>
    <row r="4583" spans="1:12" x14ac:dyDescent="0.25">
      <c r="A4583" t="s">
        <v>39</v>
      </c>
      <c r="B4583">
        <v>33</v>
      </c>
      <c r="C4583" t="s">
        <v>19</v>
      </c>
      <c r="D4583" s="1">
        <v>46295</v>
      </c>
      <c r="E4583">
        <v>4136.1000000000004</v>
      </c>
      <c r="F4583">
        <v>227.9</v>
      </c>
      <c r="G4583">
        <v>136.75</v>
      </c>
      <c r="H4583">
        <v>334</v>
      </c>
      <c r="I4583" t="s">
        <v>31</v>
      </c>
      <c r="J4583">
        <v>2026</v>
      </c>
      <c r="K4583">
        <f t="shared" si="142"/>
        <v>91.15</v>
      </c>
      <c r="L4583" t="str">
        <f t="shared" si="143"/>
        <v>Banca Calabra|33|Factoring</v>
      </c>
    </row>
    <row r="4584" spans="1:12" x14ac:dyDescent="0.25">
      <c r="A4584" t="s">
        <v>39</v>
      </c>
      <c r="B4584">
        <v>33</v>
      </c>
      <c r="C4584" t="s">
        <v>20</v>
      </c>
      <c r="D4584" s="1">
        <v>46295</v>
      </c>
      <c r="E4584">
        <v>4710.5</v>
      </c>
      <c r="F4584">
        <v>268.8</v>
      </c>
      <c r="G4584">
        <v>160.88999999999999</v>
      </c>
      <c r="H4584">
        <v>383</v>
      </c>
      <c r="I4584" t="s">
        <v>31</v>
      </c>
      <c r="J4584">
        <v>2026</v>
      </c>
      <c r="K4584">
        <f t="shared" si="142"/>
        <v>107.91000000000003</v>
      </c>
      <c r="L4584" t="str">
        <f t="shared" si="143"/>
        <v>Banca Calabra|33|Risparmio</v>
      </c>
    </row>
    <row r="4585" spans="1:12" x14ac:dyDescent="0.25">
      <c r="A4585" t="s">
        <v>39</v>
      </c>
      <c r="B4585">
        <v>33</v>
      </c>
      <c r="C4585" t="s">
        <v>21</v>
      </c>
      <c r="D4585" s="1">
        <v>46295</v>
      </c>
      <c r="E4585">
        <v>5238.3</v>
      </c>
      <c r="F4585">
        <v>309.99</v>
      </c>
      <c r="G4585">
        <v>184.05</v>
      </c>
      <c r="H4585">
        <v>414</v>
      </c>
      <c r="I4585" t="s">
        <v>31</v>
      </c>
      <c r="J4585">
        <v>2026</v>
      </c>
      <c r="K4585">
        <f t="shared" si="142"/>
        <v>125.94</v>
      </c>
      <c r="L4585" t="str">
        <f t="shared" si="143"/>
        <v>Banca Calabra|33|Assicurazioni</v>
      </c>
    </row>
    <row r="4586" spans="1:12" x14ac:dyDescent="0.25">
      <c r="A4586" t="s">
        <v>39</v>
      </c>
      <c r="B4586">
        <v>34</v>
      </c>
      <c r="C4586" t="s">
        <v>13</v>
      </c>
      <c r="D4586" s="1">
        <v>46326</v>
      </c>
      <c r="E4586">
        <v>1449</v>
      </c>
      <c r="F4586">
        <v>65.66</v>
      </c>
      <c r="G4586">
        <v>41.38</v>
      </c>
      <c r="H4586">
        <v>132</v>
      </c>
      <c r="I4586" t="s">
        <v>31</v>
      </c>
      <c r="J4586">
        <v>2026</v>
      </c>
      <c r="K4586">
        <f t="shared" si="142"/>
        <v>24.279999999999994</v>
      </c>
      <c r="L4586" t="str">
        <f t="shared" si="143"/>
        <v>Banca Calabra|34|Mutui</v>
      </c>
    </row>
    <row r="4587" spans="1:12" x14ac:dyDescent="0.25">
      <c r="A4587" t="s">
        <v>39</v>
      </c>
      <c r="B4587">
        <v>34</v>
      </c>
      <c r="C4587" t="s">
        <v>15</v>
      </c>
      <c r="D4587" s="1">
        <v>46326</v>
      </c>
      <c r="E4587">
        <v>2022.3</v>
      </c>
      <c r="F4587">
        <v>95.37</v>
      </c>
      <c r="G4587">
        <v>59.61</v>
      </c>
      <c r="H4587">
        <v>175</v>
      </c>
      <c r="I4587" t="s">
        <v>31</v>
      </c>
      <c r="J4587">
        <v>2026</v>
      </c>
      <c r="K4587">
        <f t="shared" si="142"/>
        <v>35.760000000000005</v>
      </c>
      <c r="L4587" t="str">
        <f t="shared" si="143"/>
        <v>Banca Calabra|34|Prestiti</v>
      </c>
    </row>
    <row r="4588" spans="1:12" x14ac:dyDescent="0.25">
      <c r="A4588" t="s">
        <v>39</v>
      </c>
      <c r="B4588">
        <v>34</v>
      </c>
      <c r="C4588" t="s">
        <v>16</v>
      </c>
      <c r="D4588" s="1">
        <v>46326</v>
      </c>
      <c r="E4588">
        <v>2522</v>
      </c>
      <c r="F4588">
        <v>124.28</v>
      </c>
      <c r="G4588">
        <v>76.38</v>
      </c>
      <c r="H4588">
        <v>227</v>
      </c>
      <c r="I4588" t="s">
        <v>31</v>
      </c>
      <c r="J4588">
        <v>2026</v>
      </c>
      <c r="K4588">
        <f t="shared" si="142"/>
        <v>47.900000000000006</v>
      </c>
      <c r="L4588" t="str">
        <f t="shared" si="143"/>
        <v>Banca Calabra|34|Conti</v>
      </c>
    </row>
    <row r="4589" spans="1:12" x14ac:dyDescent="0.25">
      <c r="A4589" t="s">
        <v>39</v>
      </c>
      <c r="B4589">
        <v>34</v>
      </c>
      <c r="C4589" t="s">
        <v>17</v>
      </c>
      <c r="D4589" s="1">
        <v>46326</v>
      </c>
      <c r="E4589">
        <v>3109.8</v>
      </c>
      <c r="F4589">
        <v>158.91</v>
      </c>
      <c r="G4589">
        <v>96.74</v>
      </c>
      <c r="H4589">
        <v>272</v>
      </c>
      <c r="I4589" t="s">
        <v>31</v>
      </c>
      <c r="J4589">
        <v>2026</v>
      </c>
      <c r="K4589">
        <f t="shared" si="142"/>
        <v>62.17</v>
      </c>
      <c r="L4589" t="str">
        <f t="shared" si="143"/>
        <v>Banca Calabra|34|Carte</v>
      </c>
    </row>
    <row r="4590" spans="1:12" x14ac:dyDescent="0.25">
      <c r="A4590" t="s">
        <v>39</v>
      </c>
      <c r="B4590">
        <v>34</v>
      </c>
      <c r="C4590" t="s">
        <v>18</v>
      </c>
      <c r="D4590" s="1">
        <v>46326</v>
      </c>
      <c r="E4590">
        <v>3624.6</v>
      </c>
      <c r="F4590">
        <v>192.27</v>
      </c>
      <c r="G4590">
        <v>116.28</v>
      </c>
      <c r="H4590">
        <v>310</v>
      </c>
      <c r="I4590" t="s">
        <v>31</v>
      </c>
      <c r="J4590">
        <v>2026</v>
      </c>
      <c r="K4590">
        <f t="shared" si="142"/>
        <v>75.990000000000009</v>
      </c>
      <c r="L4590" t="str">
        <f t="shared" si="143"/>
        <v>Banca Calabra|34|Leasing</v>
      </c>
    </row>
    <row r="4591" spans="1:12" x14ac:dyDescent="0.25">
      <c r="A4591" t="s">
        <v>39</v>
      </c>
      <c r="B4591">
        <v>34</v>
      </c>
      <c r="C4591" t="s">
        <v>19</v>
      </c>
      <c r="D4591" s="1">
        <v>46326</v>
      </c>
      <c r="E4591">
        <v>4164.3</v>
      </c>
      <c r="F4591">
        <v>229.62</v>
      </c>
      <c r="G4591">
        <v>137.83000000000001</v>
      </c>
      <c r="H4591">
        <v>349</v>
      </c>
      <c r="I4591" t="s">
        <v>31</v>
      </c>
      <c r="J4591">
        <v>2026</v>
      </c>
      <c r="K4591">
        <f t="shared" si="142"/>
        <v>91.789999999999992</v>
      </c>
      <c r="L4591" t="str">
        <f t="shared" si="143"/>
        <v>Banca Calabra|34|Factoring</v>
      </c>
    </row>
    <row r="4592" spans="1:12" x14ac:dyDescent="0.25">
      <c r="A4592" t="s">
        <v>39</v>
      </c>
      <c r="B4592">
        <v>34</v>
      </c>
      <c r="C4592" t="s">
        <v>20</v>
      </c>
      <c r="D4592" s="1">
        <v>46326</v>
      </c>
      <c r="E4592">
        <v>4747.2</v>
      </c>
      <c r="F4592">
        <v>270.83999999999997</v>
      </c>
      <c r="G4592">
        <v>161.59</v>
      </c>
      <c r="H4592">
        <v>406</v>
      </c>
      <c r="I4592" t="s">
        <v>31</v>
      </c>
      <c r="J4592">
        <v>2026</v>
      </c>
      <c r="K4592">
        <f t="shared" si="142"/>
        <v>109.24999999999997</v>
      </c>
      <c r="L4592" t="str">
        <f t="shared" si="143"/>
        <v>Banca Calabra|34|Risparmio</v>
      </c>
    </row>
    <row r="4593" spans="1:12" x14ac:dyDescent="0.25">
      <c r="A4593" t="s">
        <v>39</v>
      </c>
      <c r="B4593">
        <v>34</v>
      </c>
      <c r="C4593" t="s">
        <v>21</v>
      </c>
      <c r="D4593" s="1">
        <v>46326</v>
      </c>
      <c r="E4593">
        <v>5263.8</v>
      </c>
      <c r="F4593">
        <v>310.58999999999997</v>
      </c>
      <c r="G4593">
        <v>184.58</v>
      </c>
      <c r="H4593">
        <v>443</v>
      </c>
      <c r="I4593" t="s">
        <v>31</v>
      </c>
      <c r="J4593">
        <v>2026</v>
      </c>
      <c r="K4593">
        <f t="shared" si="142"/>
        <v>126.00999999999996</v>
      </c>
      <c r="L4593" t="str">
        <f t="shared" si="143"/>
        <v>Banca Calabra|34|Assicurazioni</v>
      </c>
    </row>
    <row r="4594" spans="1:12" x14ac:dyDescent="0.25">
      <c r="A4594" t="s">
        <v>39</v>
      </c>
      <c r="B4594">
        <v>35</v>
      </c>
      <c r="C4594" t="s">
        <v>13</v>
      </c>
      <c r="D4594" s="1">
        <v>46356</v>
      </c>
      <c r="E4594">
        <v>1452.5</v>
      </c>
      <c r="F4594">
        <v>65.81</v>
      </c>
      <c r="G4594">
        <v>41.47</v>
      </c>
      <c r="H4594">
        <v>114</v>
      </c>
      <c r="I4594" t="s">
        <v>31</v>
      </c>
      <c r="J4594">
        <v>2026</v>
      </c>
      <c r="K4594">
        <f t="shared" si="142"/>
        <v>24.340000000000003</v>
      </c>
      <c r="L4594" t="str">
        <f t="shared" si="143"/>
        <v>Banca Calabra|35|Mutui</v>
      </c>
    </row>
    <row r="4595" spans="1:12" x14ac:dyDescent="0.25">
      <c r="A4595" t="s">
        <v>39</v>
      </c>
      <c r="B4595">
        <v>35</v>
      </c>
      <c r="C4595" t="s">
        <v>15</v>
      </c>
      <c r="D4595" s="1">
        <v>46356</v>
      </c>
      <c r="E4595">
        <v>2032.3</v>
      </c>
      <c r="F4595">
        <v>96.11</v>
      </c>
      <c r="G4595">
        <v>58.97</v>
      </c>
      <c r="H4595">
        <v>174</v>
      </c>
      <c r="I4595" t="s">
        <v>31</v>
      </c>
      <c r="J4595">
        <v>2026</v>
      </c>
      <c r="K4595">
        <f t="shared" si="142"/>
        <v>37.14</v>
      </c>
      <c r="L4595" t="str">
        <f t="shared" si="143"/>
        <v>Banca Calabra|35|Prestiti</v>
      </c>
    </row>
    <row r="4596" spans="1:12" x14ac:dyDescent="0.25">
      <c r="A4596" t="s">
        <v>39</v>
      </c>
      <c r="B4596">
        <v>35</v>
      </c>
      <c r="C4596" t="s">
        <v>16</v>
      </c>
      <c r="D4596" s="1">
        <v>46356</v>
      </c>
      <c r="E4596">
        <v>2562.4</v>
      </c>
      <c r="F4596">
        <v>126.15</v>
      </c>
      <c r="G4596">
        <v>77.84</v>
      </c>
      <c r="H4596">
        <v>224</v>
      </c>
      <c r="I4596" t="s">
        <v>31</v>
      </c>
      <c r="J4596">
        <v>2026</v>
      </c>
      <c r="K4596">
        <f t="shared" si="142"/>
        <v>48.31</v>
      </c>
      <c r="L4596" t="str">
        <f t="shared" si="143"/>
        <v>Banca Calabra|35|Conti</v>
      </c>
    </row>
    <row r="4597" spans="1:12" x14ac:dyDescent="0.25">
      <c r="A4597" t="s">
        <v>39</v>
      </c>
      <c r="B4597">
        <v>35</v>
      </c>
      <c r="C4597" t="s">
        <v>17</v>
      </c>
      <c r="D4597" s="1">
        <v>46356</v>
      </c>
      <c r="E4597">
        <v>3099.5</v>
      </c>
      <c r="F4597">
        <v>158.24</v>
      </c>
      <c r="G4597">
        <v>96.25</v>
      </c>
      <c r="H4597">
        <v>248</v>
      </c>
      <c r="I4597" t="s">
        <v>31</v>
      </c>
      <c r="J4597">
        <v>2026</v>
      </c>
      <c r="K4597">
        <f t="shared" si="142"/>
        <v>61.990000000000009</v>
      </c>
      <c r="L4597" t="str">
        <f t="shared" si="143"/>
        <v>Banca Calabra|35|Carte</v>
      </c>
    </row>
    <row r="4598" spans="1:12" x14ac:dyDescent="0.25">
      <c r="A4598" t="s">
        <v>39</v>
      </c>
      <c r="B4598">
        <v>35</v>
      </c>
      <c r="C4598" t="s">
        <v>18</v>
      </c>
      <c r="D4598" s="1">
        <v>46356</v>
      </c>
      <c r="E4598">
        <v>3675.7</v>
      </c>
      <c r="F4598">
        <v>195.73</v>
      </c>
      <c r="G4598">
        <v>118.05</v>
      </c>
      <c r="H4598">
        <v>306</v>
      </c>
      <c r="I4598" t="s">
        <v>31</v>
      </c>
      <c r="J4598">
        <v>2026</v>
      </c>
      <c r="K4598">
        <f t="shared" si="142"/>
        <v>77.679999999999993</v>
      </c>
      <c r="L4598" t="str">
        <f t="shared" si="143"/>
        <v>Banca Calabra|35|Leasing</v>
      </c>
    </row>
    <row r="4599" spans="1:12" x14ac:dyDescent="0.25">
      <c r="A4599" t="s">
        <v>39</v>
      </c>
      <c r="B4599">
        <v>35</v>
      </c>
      <c r="C4599" t="s">
        <v>19</v>
      </c>
      <c r="D4599" s="1">
        <v>46356</v>
      </c>
      <c r="E4599">
        <v>4230.3</v>
      </c>
      <c r="F4599">
        <v>233.19</v>
      </c>
      <c r="G4599">
        <v>140.43</v>
      </c>
      <c r="H4599">
        <v>336</v>
      </c>
      <c r="I4599" t="s">
        <v>31</v>
      </c>
      <c r="J4599">
        <v>2026</v>
      </c>
      <c r="K4599">
        <f t="shared" si="142"/>
        <v>92.759999999999991</v>
      </c>
      <c r="L4599" t="str">
        <f t="shared" si="143"/>
        <v>Banca Calabra|35|Factoring</v>
      </c>
    </row>
    <row r="4600" spans="1:12" x14ac:dyDescent="0.25">
      <c r="A4600" t="s">
        <v>39</v>
      </c>
      <c r="B4600">
        <v>35</v>
      </c>
      <c r="C4600" t="s">
        <v>20</v>
      </c>
      <c r="D4600" s="1">
        <v>46356</v>
      </c>
      <c r="E4600">
        <v>4769.7</v>
      </c>
      <c r="F4600">
        <v>272.83</v>
      </c>
      <c r="G4600">
        <v>162.78</v>
      </c>
      <c r="H4600">
        <v>387</v>
      </c>
      <c r="I4600" t="s">
        <v>31</v>
      </c>
      <c r="J4600">
        <v>2026</v>
      </c>
      <c r="K4600">
        <f t="shared" si="142"/>
        <v>110.04999999999998</v>
      </c>
      <c r="L4600" t="str">
        <f t="shared" si="143"/>
        <v>Banca Calabra|35|Risparmio</v>
      </c>
    </row>
    <row r="4601" spans="1:12" x14ac:dyDescent="0.25">
      <c r="A4601" t="s">
        <v>39</v>
      </c>
      <c r="B4601">
        <v>35</v>
      </c>
      <c r="C4601" t="s">
        <v>21</v>
      </c>
      <c r="D4601" s="1">
        <v>46356</v>
      </c>
      <c r="E4601">
        <v>5307.5</v>
      </c>
      <c r="F4601">
        <v>313.5</v>
      </c>
      <c r="G4601">
        <v>186.04</v>
      </c>
      <c r="H4601">
        <v>444</v>
      </c>
      <c r="I4601" t="s">
        <v>31</v>
      </c>
      <c r="J4601">
        <v>2026</v>
      </c>
      <c r="K4601">
        <f t="shared" si="142"/>
        <v>127.46000000000001</v>
      </c>
      <c r="L4601" t="str">
        <f t="shared" si="143"/>
        <v>Banca Calabra|35|Assicurazioni</v>
      </c>
    </row>
    <row r="4602" spans="1:12" x14ac:dyDescent="0.25">
      <c r="A4602" t="s">
        <v>39</v>
      </c>
      <c r="B4602">
        <v>36</v>
      </c>
      <c r="C4602" t="s">
        <v>13</v>
      </c>
      <c r="D4602" s="1">
        <v>46387</v>
      </c>
      <c r="E4602">
        <v>1494.4</v>
      </c>
      <c r="F4602">
        <v>67.8</v>
      </c>
      <c r="G4602">
        <v>42.81</v>
      </c>
      <c r="H4602">
        <v>152</v>
      </c>
      <c r="I4602" t="s">
        <v>31</v>
      </c>
      <c r="J4602">
        <v>2026</v>
      </c>
      <c r="K4602">
        <f t="shared" si="142"/>
        <v>24.989999999999995</v>
      </c>
      <c r="L4602" t="str">
        <f t="shared" si="143"/>
        <v>Banca Calabra|36|Mutui</v>
      </c>
    </row>
    <row r="4603" spans="1:12" x14ac:dyDescent="0.25">
      <c r="A4603" t="s">
        <v>39</v>
      </c>
      <c r="B4603">
        <v>36</v>
      </c>
      <c r="C4603" t="s">
        <v>15</v>
      </c>
      <c r="D4603" s="1">
        <v>46387</v>
      </c>
      <c r="E4603">
        <v>2030.1</v>
      </c>
      <c r="F4603">
        <v>95.7</v>
      </c>
      <c r="G4603">
        <v>59.44</v>
      </c>
      <c r="H4603">
        <v>176</v>
      </c>
      <c r="I4603" t="s">
        <v>31</v>
      </c>
      <c r="J4603">
        <v>2026</v>
      </c>
      <c r="K4603">
        <f t="shared" si="142"/>
        <v>36.260000000000005</v>
      </c>
      <c r="L4603" t="str">
        <f t="shared" si="143"/>
        <v>Banca Calabra|36|Prestiti</v>
      </c>
    </row>
    <row r="4604" spans="1:12" x14ac:dyDescent="0.25">
      <c r="A4604" t="s">
        <v>39</v>
      </c>
      <c r="B4604">
        <v>36</v>
      </c>
      <c r="C4604" t="s">
        <v>16</v>
      </c>
      <c r="D4604" s="1">
        <v>46387</v>
      </c>
      <c r="E4604">
        <v>2558</v>
      </c>
      <c r="F4604">
        <v>126.2</v>
      </c>
      <c r="G4604">
        <v>76.95</v>
      </c>
      <c r="H4604">
        <v>235</v>
      </c>
      <c r="I4604" t="s">
        <v>31</v>
      </c>
      <c r="J4604">
        <v>2026</v>
      </c>
      <c r="K4604">
        <f t="shared" si="142"/>
        <v>49.25</v>
      </c>
      <c r="L4604" t="str">
        <f t="shared" si="143"/>
        <v>Banca Calabra|36|Conti</v>
      </c>
    </row>
    <row r="4605" spans="1:12" x14ac:dyDescent="0.25">
      <c r="A4605" t="s">
        <v>39</v>
      </c>
      <c r="B4605">
        <v>36</v>
      </c>
      <c r="C4605" t="s">
        <v>17</v>
      </c>
      <c r="D4605" s="1">
        <v>46387</v>
      </c>
      <c r="E4605">
        <v>3155.5</v>
      </c>
      <c r="F4605">
        <v>160.96</v>
      </c>
      <c r="G4605">
        <v>98.11</v>
      </c>
      <c r="H4605">
        <v>245</v>
      </c>
      <c r="I4605" t="s">
        <v>31</v>
      </c>
      <c r="J4605">
        <v>2026</v>
      </c>
      <c r="K4605">
        <f t="shared" si="142"/>
        <v>62.850000000000009</v>
      </c>
      <c r="L4605" t="str">
        <f t="shared" si="143"/>
        <v>Banca Calabra|36|Carte</v>
      </c>
    </row>
    <row r="4606" spans="1:12" x14ac:dyDescent="0.25">
      <c r="A4606" t="s">
        <v>39</v>
      </c>
      <c r="B4606">
        <v>36</v>
      </c>
      <c r="C4606" t="s">
        <v>18</v>
      </c>
      <c r="D4606" s="1">
        <v>46387</v>
      </c>
      <c r="E4606">
        <v>3657.1</v>
      </c>
      <c r="F4606">
        <v>194.59</v>
      </c>
      <c r="G4606">
        <v>117.84</v>
      </c>
      <c r="H4606">
        <v>310</v>
      </c>
      <c r="I4606" t="s">
        <v>31</v>
      </c>
      <c r="J4606">
        <v>2026</v>
      </c>
      <c r="K4606">
        <f t="shared" si="142"/>
        <v>76.75</v>
      </c>
      <c r="L4606" t="str">
        <f t="shared" si="143"/>
        <v>Banca Calabra|36|Leasing</v>
      </c>
    </row>
    <row r="4607" spans="1:12" x14ac:dyDescent="0.25">
      <c r="A4607" t="s">
        <v>39</v>
      </c>
      <c r="B4607">
        <v>36</v>
      </c>
      <c r="C4607" t="s">
        <v>19</v>
      </c>
      <c r="D4607" s="1">
        <v>46387</v>
      </c>
      <c r="E4607">
        <v>4233.2</v>
      </c>
      <c r="F4607">
        <v>233.81</v>
      </c>
      <c r="G4607">
        <v>140.25</v>
      </c>
      <c r="H4607">
        <v>366</v>
      </c>
      <c r="I4607" t="s">
        <v>31</v>
      </c>
      <c r="J4607">
        <v>2026</v>
      </c>
      <c r="K4607">
        <f t="shared" si="142"/>
        <v>93.56</v>
      </c>
      <c r="L4607" t="str">
        <f t="shared" si="143"/>
        <v>Banca Calabra|36|Factoring</v>
      </c>
    </row>
    <row r="4608" spans="1:12" x14ac:dyDescent="0.25">
      <c r="A4608" t="s">
        <v>39</v>
      </c>
      <c r="B4608">
        <v>36</v>
      </c>
      <c r="C4608" t="s">
        <v>20</v>
      </c>
      <c r="D4608" s="1">
        <v>46387</v>
      </c>
      <c r="E4608">
        <v>4798.3</v>
      </c>
      <c r="F4608">
        <v>274.39</v>
      </c>
      <c r="G4608">
        <v>163.54</v>
      </c>
      <c r="H4608">
        <v>381</v>
      </c>
      <c r="I4608" t="s">
        <v>31</v>
      </c>
      <c r="J4608">
        <v>2026</v>
      </c>
      <c r="K4608">
        <f t="shared" si="142"/>
        <v>110.85</v>
      </c>
      <c r="L4608" t="str">
        <f t="shared" si="143"/>
        <v>Banca Calabra|36|Risparmio</v>
      </c>
    </row>
    <row r="4609" spans="1:12" x14ac:dyDescent="0.25">
      <c r="A4609" t="s">
        <v>39</v>
      </c>
      <c r="B4609">
        <v>36</v>
      </c>
      <c r="C4609" t="s">
        <v>21</v>
      </c>
      <c r="D4609" s="1">
        <v>46387</v>
      </c>
      <c r="E4609">
        <v>5325.8</v>
      </c>
      <c r="F4609">
        <v>315.17</v>
      </c>
      <c r="G4609">
        <v>186.86</v>
      </c>
      <c r="H4609">
        <v>449</v>
      </c>
      <c r="I4609" t="s">
        <v>31</v>
      </c>
      <c r="J4609">
        <v>2026</v>
      </c>
      <c r="K4609">
        <f t="shared" si="142"/>
        <v>128.31</v>
      </c>
      <c r="L4609" t="str">
        <f t="shared" si="143"/>
        <v>Banca Calabra|36|Assicurazioni</v>
      </c>
    </row>
    <row r="4610" spans="1:12" x14ac:dyDescent="0.25">
      <c r="A4610" t="s">
        <v>40</v>
      </c>
      <c r="B4610">
        <v>1</v>
      </c>
      <c r="C4610" t="s">
        <v>13</v>
      </c>
      <c r="D4610" s="1">
        <v>45322</v>
      </c>
      <c r="E4610">
        <v>1197.8</v>
      </c>
      <c r="F4610">
        <v>54.86</v>
      </c>
      <c r="G4610">
        <v>33.869999999999997</v>
      </c>
      <c r="H4610">
        <v>120</v>
      </c>
      <c r="I4610" t="s">
        <v>41</v>
      </c>
      <c r="J4610">
        <v>2024</v>
      </c>
      <c r="K4610">
        <f t="shared" ref="K4610:K4673" si="144">F4610-G4610</f>
        <v>20.990000000000002</v>
      </c>
      <c r="L4610" t="str">
        <f t="shared" ref="L4610:L4673" si="145">A4610&amp;"|"&amp;B4610&amp;"|"&amp;C4610</f>
        <v>Banca Sicula|1|Mutui</v>
      </c>
    </row>
    <row r="4611" spans="1:12" x14ac:dyDescent="0.25">
      <c r="A4611" t="s">
        <v>40</v>
      </c>
      <c r="B4611">
        <v>1</v>
      </c>
      <c r="C4611" t="s">
        <v>15</v>
      </c>
      <c r="D4611" s="1">
        <v>45322</v>
      </c>
      <c r="E4611">
        <v>1681.9</v>
      </c>
      <c r="F4611">
        <v>79.8</v>
      </c>
      <c r="G4611">
        <v>49.5</v>
      </c>
      <c r="H4611">
        <v>181</v>
      </c>
      <c r="I4611" t="s">
        <v>41</v>
      </c>
      <c r="J4611">
        <v>2024</v>
      </c>
      <c r="K4611">
        <f t="shared" si="144"/>
        <v>30.299999999999997</v>
      </c>
      <c r="L4611" t="str">
        <f t="shared" si="145"/>
        <v>Banca Sicula|1|Prestiti</v>
      </c>
    </row>
    <row r="4612" spans="1:12" x14ac:dyDescent="0.25">
      <c r="A4612" t="s">
        <v>40</v>
      </c>
      <c r="B4612">
        <v>1</v>
      </c>
      <c r="C4612" t="s">
        <v>16</v>
      </c>
      <c r="D4612" s="1">
        <v>45322</v>
      </c>
      <c r="E4612">
        <v>2130.6999999999998</v>
      </c>
      <c r="F4612">
        <v>104.48</v>
      </c>
      <c r="G4612">
        <v>64.14</v>
      </c>
      <c r="H4612">
        <v>233</v>
      </c>
      <c r="I4612" t="s">
        <v>41</v>
      </c>
      <c r="J4612">
        <v>2024</v>
      </c>
      <c r="K4612">
        <f t="shared" si="144"/>
        <v>40.340000000000003</v>
      </c>
      <c r="L4612" t="str">
        <f t="shared" si="145"/>
        <v>Banca Sicula|1|Conti</v>
      </c>
    </row>
    <row r="4613" spans="1:12" x14ac:dyDescent="0.25">
      <c r="A4613" t="s">
        <v>40</v>
      </c>
      <c r="B4613">
        <v>1</v>
      </c>
      <c r="C4613" t="s">
        <v>17</v>
      </c>
      <c r="D4613" s="1">
        <v>45322</v>
      </c>
      <c r="E4613">
        <v>2593.3000000000002</v>
      </c>
      <c r="F4613">
        <v>133</v>
      </c>
      <c r="G4613">
        <v>80.73</v>
      </c>
      <c r="H4613">
        <v>269</v>
      </c>
      <c r="I4613" t="s">
        <v>41</v>
      </c>
      <c r="J4613">
        <v>2024</v>
      </c>
      <c r="K4613">
        <f t="shared" si="144"/>
        <v>52.269999999999996</v>
      </c>
      <c r="L4613" t="str">
        <f t="shared" si="145"/>
        <v>Banca Sicula|1|Carte</v>
      </c>
    </row>
    <row r="4614" spans="1:12" x14ac:dyDescent="0.25">
      <c r="A4614" t="s">
        <v>40</v>
      </c>
      <c r="B4614">
        <v>1</v>
      </c>
      <c r="C4614" t="s">
        <v>18</v>
      </c>
      <c r="D4614" s="1">
        <v>45322</v>
      </c>
      <c r="E4614">
        <v>3001.6</v>
      </c>
      <c r="F4614">
        <v>159.80000000000001</v>
      </c>
      <c r="G4614">
        <v>96.64</v>
      </c>
      <c r="H4614">
        <v>327</v>
      </c>
      <c r="I4614" t="s">
        <v>41</v>
      </c>
      <c r="J4614">
        <v>2024</v>
      </c>
      <c r="K4614">
        <f t="shared" si="144"/>
        <v>63.160000000000011</v>
      </c>
      <c r="L4614" t="str">
        <f t="shared" si="145"/>
        <v>Banca Sicula|1|Leasing</v>
      </c>
    </row>
    <row r="4615" spans="1:12" x14ac:dyDescent="0.25">
      <c r="A4615" t="s">
        <v>40</v>
      </c>
      <c r="B4615">
        <v>1</v>
      </c>
      <c r="C4615" t="s">
        <v>19</v>
      </c>
      <c r="D4615" s="1">
        <v>45322</v>
      </c>
      <c r="E4615">
        <v>3457.4</v>
      </c>
      <c r="F4615">
        <v>190.61</v>
      </c>
      <c r="G4615">
        <v>115.04</v>
      </c>
      <c r="H4615">
        <v>363</v>
      </c>
      <c r="I4615" t="s">
        <v>41</v>
      </c>
      <c r="J4615">
        <v>2024</v>
      </c>
      <c r="K4615">
        <f t="shared" si="144"/>
        <v>75.570000000000007</v>
      </c>
      <c r="L4615" t="str">
        <f t="shared" si="145"/>
        <v>Banca Sicula|1|Factoring</v>
      </c>
    </row>
    <row r="4616" spans="1:12" x14ac:dyDescent="0.25">
      <c r="A4616" t="s">
        <v>40</v>
      </c>
      <c r="B4616">
        <v>1</v>
      </c>
      <c r="C4616" t="s">
        <v>20</v>
      </c>
      <c r="D4616" s="1">
        <v>45322</v>
      </c>
      <c r="E4616">
        <v>3902.6</v>
      </c>
      <c r="F4616">
        <v>223.01</v>
      </c>
      <c r="G4616">
        <v>133.09</v>
      </c>
      <c r="H4616">
        <v>417</v>
      </c>
      <c r="I4616" t="s">
        <v>41</v>
      </c>
      <c r="J4616">
        <v>2024</v>
      </c>
      <c r="K4616">
        <f t="shared" si="144"/>
        <v>89.919999999999987</v>
      </c>
      <c r="L4616" t="str">
        <f t="shared" si="145"/>
        <v>Banca Sicula|1|Risparmio</v>
      </c>
    </row>
    <row r="4617" spans="1:12" x14ac:dyDescent="0.25">
      <c r="A4617" t="s">
        <v>40</v>
      </c>
      <c r="B4617">
        <v>1</v>
      </c>
      <c r="C4617" t="s">
        <v>21</v>
      </c>
      <c r="D4617" s="1">
        <v>45322</v>
      </c>
      <c r="E4617">
        <v>4387.1000000000004</v>
      </c>
      <c r="F4617">
        <v>259.26</v>
      </c>
      <c r="G4617">
        <v>154.35</v>
      </c>
      <c r="H4617">
        <v>463</v>
      </c>
      <c r="I4617" t="s">
        <v>41</v>
      </c>
      <c r="J4617">
        <v>2024</v>
      </c>
      <c r="K4617">
        <f t="shared" si="144"/>
        <v>104.91</v>
      </c>
      <c r="L4617" t="str">
        <f t="shared" si="145"/>
        <v>Banca Sicula|1|Assicurazioni</v>
      </c>
    </row>
    <row r="4618" spans="1:12" x14ac:dyDescent="0.25">
      <c r="A4618" t="s">
        <v>40</v>
      </c>
      <c r="B4618">
        <v>2</v>
      </c>
      <c r="C4618" t="s">
        <v>13</v>
      </c>
      <c r="D4618" s="1">
        <v>45351</v>
      </c>
      <c r="E4618">
        <v>1212.5999999999999</v>
      </c>
      <c r="F4618">
        <v>54.82</v>
      </c>
      <c r="G4618">
        <v>34.1</v>
      </c>
      <c r="H4618">
        <v>126</v>
      </c>
      <c r="I4618" t="s">
        <v>41</v>
      </c>
      <c r="J4618">
        <v>2024</v>
      </c>
      <c r="K4618">
        <f t="shared" si="144"/>
        <v>20.72</v>
      </c>
      <c r="L4618" t="str">
        <f t="shared" si="145"/>
        <v>Banca Sicula|2|Mutui</v>
      </c>
    </row>
    <row r="4619" spans="1:12" x14ac:dyDescent="0.25">
      <c r="A4619" t="s">
        <v>40</v>
      </c>
      <c r="B4619">
        <v>2</v>
      </c>
      <c r="C4619" t="s">
        <v>15</v>
      </c>
      <c r="D4619" s="1">
        <v>45351</v>
      </c>
      <c r="E4619">
        <v>1654.8</v>
      </c>
      <c r="F4619">
        <v>78.45</v>
      </c>
      <c r="G4619">
        <v>48.77</v>
      </c>
      <c r="H4619">
        <v>175</v>
      </c>
      <c r="I4619" t="s">
        <v>41</v>
      </c>
      <c r="J4619">
        <v>2024</v>
      </c>
      <c r="K4619">
        <f t="shared" si="144"/>
        <v>29.68</v>
      </c>
      <c r="L4619" t="str">
        <f t="shared" si="145"/>
        <v>Banca Sicula|2|Prestiti</v>
      </c>
    </row>
    <row r="4620" spans="1:12" x14ac:dyDescent="0.25">
      <c r="A4620" t="s">
        <v>40</v>
      </c>
      <c r="B4620">
        <v>2</v>
      </c>
      <c r="C4620" t="s">
        <v>16</v>
      </c>
      <c r="D4620" s="1">
        <v>45351</v>
      </c>
      <c r="E4620">
        <v>2139</v>
      </c>
      <c r="F4620">
        <v>105.42</v>
      </c>
      <c r="G4620">
        <v>64.25</v>
      </c>
      <c r="H4620">
        <v>234</v>
      </c>
      <c r="I4620" t="s">
        <v>41</v>
      </c>
      <c r="J4620">
        <v>2024</v>
      </c>
      <c r="K4620">
        <f t="shared" si="144"/>
        <v>41.17</v>
      </c>
      <c r="L4620" t="str">
        <f t="shared" si="145"/>
        <v>Banca Sicula|2|Conti</v>
      </c>
    </row>
    <row r="4621" spans="1:12" x14ac:dyDescent="0.25">
      <c r="A4621" t="s">
        <v>40</v>
      </c>
      <c r="B4621">
        <v>2</v>
      </c>
      <c r="C4621" t="s">
        <v>17</v>
      </c>
      <c r="D4621" s="1">
        <v>45351</v>
      </c>
      <c r="E4621">
        <v>2597.6</v>
      </c>
      <c r="F4621">
        <v>132.85</v>
      </c>
      <c r="G4621">
        <v>81.16</v>
      </c>
      <c r="H4621">
        <v>281</v>
      </c>
      <c r="I4621" t="s">
        <v>41</v>
      </c>
      <c r="J4621">
        <v>2024</v>
      </c>
      <c r="K4621">
        <f t="shared" si="144"/>
        <v>51.69</v>
      </c>
      <c r="L4621" t="str">
        <f t="shared" si="145"/>
        <v>Banca Sicula|2|Carte</v>
      </c>
    </row>
    <row r="4622" spans="1:12" x14ac:dyDescent="0.25">
      <c r="A4622" t="s">
        <v>40</v>
      </c>
      <c r="B4622">
        <v>2</v>
      </c>
      <c r="C4622" t="s">
        <v>18</v>
      </c>
      <c r="D4622" s="1">
        <v>45351</v>
      </c>
      <c r="E4622">
        <v>3061.6</v>
      </c>
      <c r="F4622">
        <v>163.07</v>
      </c>
      <c r="G4622">
        <v>98.21</v>
      </c>
      <c r="H4622">
        <v>307</v>
      </c>
      <c r="I4622" t="s">
        <v>41</v>
      </c>
      <c r="J4622">
        <v>2024</v>
      </c>
      <c r="K4622">
        <f t="shared" si="144"/>
        <v>64.86</v>
      </c>
      <c r="L4622" t="str">
        <f t="shared" si="145"/>
        <v>Banca Sicula|2|Leasing</v>
      </c>
    </row>
    <row r="4623" spans="1:12" x14ac:dyDescent="0.25">
      <c r="A4623" t="s">
        <v>40</v>
      </c>
      <c r="B4623">
        <v>2</v>
      </c>
      <c r="C4623" t="s">
        <v>19</v>
      </c>
      <c r="D4623" s="1">
        <v>45351</v>
      </c>
      <c r="E4623">
        <v>3521.9</v>
      </c>
      <c r="F4623">
        <v>194.38</v>
      </c>
      <c r="G4623">
        <v>116.73</v>
      </c>
      <c r="H4623">
        <v>379</v>
      </c>
      <c r="I4623" t="s">
        <v>41</v>
      </c>
      <c r="J4623">
        <v>2024</v>
      </c>
      <c r="K4623">
        <f t="shared" si="144"/>
        <v>77.649999999999991</v>
      </c>
      <c r="L4623" t="str">
        <f t="shared" si="145"/>
        <v>Banca Sicula|2|Factoring</v>
      </c>
    </row>
    <row r="4624" spans="1:12" x14ac:dyDescent="0.25">
      <c r="A4624" t="s">
        <v>40</v>
      </c>
      <c r="B4624">
        <v>2</v>
      </c>
      <c r="C4624" t="s">
        <v>20</v>
      </c>
      <c r="D4624" s="1">
        <v>45351</v>
      </c>
      <c r="E4624">
        <v>3924.1</v>
      </c>
      <c r="F4624">
        <v>224.61</v>
      </c>
      <c r="G4624">
        <v>134.02000000000001</v>
      </c>
      <c r="H4624">
        <v>426</v>
      </c>
      <c r="I4624" t="s">
        <v>41</v>
      </c>
      <c r="J4624">
        <v>2024</v>
      </c>
      <c r="K4624">
        <f t="shared" si="144"/>
        <v>90.59</v>
      </c>
      <c r="L4624" t="str">
        <f t="shared" si="145"/>
        <v>Banca Sicula|2|Risparmio</v>
      </c>
    </row>
    <row r="4625" spans="1:12" x14ac:dyDescent="0.25">
      <c r="A4625" t="s">
        <v>40</v>
      </c>
      <c r="B4625">
        <v>2</v>
      </c>
      <c r="C4625" t="s">
        <v>21</v>
      </c>
      <c r="D4625" s="1">
        <v>45351</v>
      </c>
      <c r="E4625">
        <v>4416.2</v>
      </c>
      <c r="F4625">
        <v>261.13</v>
      </c>
      <c r="G4625">
        <v>155</v>
      </c>
      <c r="H4625">
        <v>453</v>
      </c>
      <c r="I4625" t="s">
        <v>41</v>
      </c>
      <c r="J4625">
        <v>2024</v>
      </c>
      <c r="K4625">
        <f t="shared" si="144"/>
        <v>106.13</v>
      </c>
      <c r="L4625" t="str">
        <f t="shared" si="145"/>
        <v>Banca Sicula|2|Assicurazioni</v>
      </c>
    </row>
    <row r="4626" spans="1:12" x14ac:dyDescent="0.25">
      <c r="A4626" t="s">
        <v>40</v>
      </c>
      <c r="B4626">
        <v>3</v>
      </c>
      <c r="C4626" t="s">
        <v>13</v>
      </c>
      <c r="D4626" s="1">
        <v>45382</v>
      </c>
      <c r="E4626">
        <v>1224.9000000000001</v>
      </c>
      <c r="F4626">
        <v>55.8</v>
      </c>
      <c r="G4626">
        <v>34.979999999999997</v>
      </c>
      <c r="H4626">
        <v>151</v>
      </c>
      <c r="I4626" t="s">
        <v>41</v>
      </c>
      <c r="J4626">
        <v>2024</v>
      </c>
      <c r="K4626">
        <f t="shared" si="144"/>
        <v>20.82</v>
      </c>
      <c r="L4626" t="str">
        <f t="shared" si="145"/>
        <v>Banca Sicula|3|Mutui</v>
      </c>
    </row>
    <row r="4627" spans="1:12" x14ac:dyDescent="0.25">
      <c r="A4627" t="s">
        <v>40</v>
      </c>
      <c r="B4627">
        <v>3</v>
      </c>
      <c r="C4627" t="s">
        <v>15</v>
      </c>
      <c r="D4627" s="1">
        <v>45382</v>
      </c>
      <c r="E4627">
        <v>1664.4</v>
      </c>
      <c r="F4627">
        <v>78.709999999999994</v>
      </c>
      <c r="G4627">
        <v>49.03</v>
      </c>
      <c r="H4627">
        <v>204</v>
      </c>
      <c r="I4627" t="s">
        <v>41</v>
      </c>
      <c r="J4627">
        <v>2024</v>
      </c>
      <c r="K4627">
        <f t="shared" si="144"/>
        <v>29.679999999999993</v>
      </c>
      <c r="L4627" t="str">
        <f t="shared" si="145"/>
        <v>Banca Sicula|3|Prestiti</v>
      </c>
    </row>
    <row r="4628" spans="1:12" x14ac:dyDescent="0.25">
      <c r="A4628" t="s">
        <v>40</v>
      </c>
      <c r="B4628">
        <v>3</v>
      </c>
      <c r="C4628" t="s">
        <v>16</v>
      </c>
      <c r="D4628" s="1">
        <v>45382</v>
      </c>
      <c r="E4628">
        <v>2116.1999999999998</v>
      </c>
      <c r="F4628">
        <v>104.49</v>
      </c>
      <c r="G4628">
        <v>63.61</v>
      </c>
      <c r="H4628">
        <v>244</v>
      </c>
      <c r="I4628" t="s">
        <v>41</v>
      </c>
      <c r="J4628">
        <v>2024</v>
      </c>
      <c r="K4628">
        <f t="shared" si="144"/>
        <v>40.879999999999995</v>
      </c>
      <c r="L4628" t="str">
        <f t="shared" si="145"/>
        <v>Banca Sicula|3|Conti</v>
      </c>
    </row>
    <row r="4629" spans="1:12" x14ac:dyDescent="0.25">
      <c r="A4629" t="s">
        <v>40</v>
      </c>
      <c r="B4629">
        <v>3</v>
      </c>
      <c r="C4629" t="s">
        <v>17</v>
      </c>
      <c r="D4629" s="1">
        <v>45382</v>
      </c>
      <c r="E4629">
        <v>2620</v>
      </c>
      <c r="F4629">
        <v>133.63</v>
      </c>
      <c r="G4629">
        <v>82.15</v>
      </c>
      <c r="H4629">
        <v>262</v>
      </c>
      <c r="I4629" t="s">
        <v>41</v>
      </c>
      <c r="J4629">
        <v>2024</v>
      </c>
      <c r="K4629">
        <f t="shared" si="144"/>
        <v>51.47999999999999</v>
      </c>
      <c r="L4629" t="str">
        <f t="shared" si="145"/>
        <v>Banca Sicula|3|Carte</v>
      </c>
    </row>
    <row r="4630" spans="1:12" x14ac:dyDescent="0.25">
      <c r="A4630" t="s">
        <v>40</v>
      </c>
      <c r="B4630">
        <v>3</v>
      </c>
      <c r="C4630" t="s">
        <v>18</v>
      </c>
      <c r="D4630" s="1">
        <v>45382</v>
      </c>
      <c r="E4630">
        <v>3045</v>
      </c>
      <c r="F4630">
        <v>161.55000000000001</v>
      </c>
      <c r="G4630">
        <v>98.34</v>
      </c>
      <c r="H4630">
        <v>308</v>
      </c>
      <c r="I4630" t="s">
        <v>41</v>
      </c>
      <c r="J4630">
        <v>2024</v>
      </c>
      <c r="K4630">
        <f t="shared" si="144"/>
        <v>63.210000000000008</v>
      </c>
      <c r="L4630" t="str">
        <f t="shared" si="145"/>
        <v>Banca Sicula|3|Leasing</v>
      </c>
    </row>
    <row r="4631" spans="1:12" x14ac:dyDescent="0.25">
      <c r="A4631" t="s">
        <v>40</v>
      </c>
      <c r="B4631">
        <v>3</v>
      </c>
      <c r="C4631" t="s">
        <v>19</v>
      </c>
      <c r="D4631" s="1">
        <v>45382</v>
      </c>
      <c r="E4631">
        <v>3517.5</v>
      </c>
      <c r="F4631">
        <v>193.47</v>
      </c>
      <c r="G4631">
        <v>116.22</v>
      </c>
      <c r="H4631">
        <v>383</v>
      </c>
      <c r="I4631" t="s">
        <v>41</v>
      </c>
      <c r="J4631">
        <v>2024</v>
      </c>
      <c r="K4631">
        <f t="shared" si="144"/>
        <v>77.25</v>
      </c>
      <c r="L4631" t="str">
        <f t="shared" si="145"/>
        <v>Banca Sicula|3|Factoring</v>
      </c>
    </row>
    <row r="4632" spans="1:12" x14ac:dyDescent="0.25">
      <c r="A4632" t="s">
        <v>40</v>
      </c>
      <c r="B4632">
        <v>3</v>
      </c>
      <c r="C4632" t="s">
        <v>20</v>
      </c>
      <c r="D4632" s="1">
        <v>45382</v>
      </c>
      <c r="E4632">
        <v>3974.1</v>
      </c>
      <c r="F4632">
        <v>227.46</v>
      </c>
      <c r="G4632">
        <v>135.25</v>
      </c>
      <c r="H4632">
        <v>396</v>
      </c>
      <c r="I4632" t="s">
        <v>41</v>
      </c>
      <c r="J4632">
        <v>2024</v>
      </c>
      <c r="K4632">
        <f t="shared" si="144"/>
        <v>92.210000000000008</v>
      </c>
      <c r="L4632" t="str">
        <f t="shared" si="145"/>
        <v>Banca Sicula|3|Risparmio</v>
      </c>
    </row>
    <row r="4633" spans="1:12" x14ac:dyDescent="0.25">
      <c r="A4633" t="s">
        <v>40</v>
      </c>
      <c r="B4633">
        <v>3</v>
      </c>
      <c r="C4633" t="s">
        <v>21</v>
      </c>
      <c r="D4633" s="1">
        <v>45382</v>
      </c>
      <c r="E4633">
        <v>4442.5</v>
      </c>
      <c r="F4633">
        <v>262.23</v>
      </c>
      <c r="G4633">
        <v>155.94</v>
      </c>
      <c r="H4633">
        <v>436</v>
      </c>
      <c r="I4633" t="s">
        <v>41</v>
      </c>
      <c r="J4633">
        <v>2024</v>
      </c>
      <c r="K4633">
        <f t="shared" si="144"/>
        <v>106.29000000000002</v>
      </c>
      <c r="L4633" t="str">
        <f t="shared" si="145"/>
        <v>Banca Sicula|3|Assicurazioni</v>
      </c>
    </row>
    <row r="4634" spans="1:12" x14ac:dyDescent="0.25">
      <c r="A4634" t="s">
        <v>40</v>
      </c>
      <c r="B4634">
        <v>4</v>
      </c>
      <c r="C4634" t="s">
        <v>13</v>
      </c>
      <c r="D4634" s="1">
        <v>45412</v>
      </c>
      <c r="E4634">
        <v>1245.5999999999999</v>
      </c>
      <c r="F4634">
        <v>56.96</v>
      </c>
      <c r="G4634">
        <v>35.409999999999997</v>
      </c>
      <c r="H4634">
        <v>154</v>
      </c>
      <c r="I4634" t="s">
        <v>41</v>
      </c>
      <c r="J4634">
        <v>2024</v>
      </c>
      <c r="K4634">
        <f t="shared" si="144"/>
        <v>21.550000000000004</v>
      </c>
      <c r="L4634" t="str">
        <f t="shared" si="145"/>
        <v>Banca Sicula|4|Mutui</v>
      </c>
    </row>
    <row r="4635" spans="1:12" x14ac:dyDescent="0.25">
      <c r="A4635" t="s">
        <v>40</v>
      </c>
      <c r="B4635">
        <v>4</v>
      </c>
      <c r="C4635" t="s">
        <v>15</v>
      </c>
      <c r="D4635" s="1">
        <v>45412</v>
      </c>
      <c r="E4635">
        <v>1695.8</v>
      </c>
      <c r="F4635">
        <v>80.510000000000005</v>
      </c>
      <c r="G4635">
        <v>49.9</v>
      </c>
      <c r="H4635">
        <v>172</v>
      </c>
      <c r="I4635" t="s">
        <v>41</v>
      </c>
      <c r="J4635">
        <v>2024</v>
      </c>
      <c r="K4635">
        <f t="shared" si="144"/>
        <v>30.610000000000007</v>
      </c>
      <c r="L4635" t="str">
        <f t="shared" si="145"/>
        <v>Banca Sicula|4|Prestiti</v>
      </c>
    </row>
    <row r="4636" spans="1:12" x14ac:dyDescent="0.25">
      <c r="A4636" t="s">
        <v>40</v>
      </c>
      <c r="B4636">
        <v>4</v>
      </c>
      <c r="C4636" t="s">
        <v>16</v>
      </c>
      <c r="D4636" s="1">
        <v>45412</v>
      </c>
      <c r="E4636">
        <v>2181.8000000000002</v>
      </c>
      <c r="F4636">
        <v>107.56</v>
      </c>
      <c r="G4636">
        <v>65.680000000000007</v>
      </c>
      <c r="H4636">
        <v>221</v>
      </c>
      <c r="I4636" t="s">
        <v>41</v>
      </c>
      <c r="J4636">
        <v>2024</v>
      </c>
      <c r="K4636">
        <f t="shared" si="144"/>
        <v>41.879999999999995</v>
      </c>
      <c r="L4636" t="str">
        <f t="shared" si="145"/>
        <v>Banca Sicula|4|Conti</v>
      </c>
    </row>
    <row r="4637" spans="1:12" x14ac:dyDescent="0.25">
      <c r="A4637" t="s">
        <v>40</v>
      </c>
      <c r="B4637">
        <v>4</v>
      </c>
      <c r="C4637" t="s">
        <v>17</v>
      </c>
      <c r="D4637" s="1">
        <v>45412</v>
      </c>
      <c r="E4637">
        <v>2614.8000000000002</v>
      </c>
      <c r="F4637">
        <v>134.13</v>
      </c>
      <c r="G4637">
        <v>81.510000000000005</v>
      </c>
      <c r="H4637">
        <v>269</v>
      </c>
      <c r="I4637" t="s">
        <v>41</v>
      </c>
      <c r="J4637">
        <v>2024</v>
      </c>
      <c r="K4637">
        <f t="shared" si="144"/>
        <v>52.61999999999999</v>
      </c>
      <c r="L4637" t="str">
        <f t="shared" si="145"/>
        <v>Banca Sicula|4|Carte</v>
      </c>
    </row>
    <row r="4638" spans="1:12" x14ac:dyDescent="0.25">
      <c r="A4638" t="s">
        <v>40</v>
      </c>
      <c r="B4638">
        <v>4</v>
      </c>
      <c r="C4638" t="s">
        <v>18</v>
      </c>
      <c r="D4638" s="1">
        <v>45412</v>
      </c>
      <c r="E4638">
        <v>3060</v>
      </c>
      <c r="F4638">
        <v>162.53</v>
      </c>
      <c r="G4638">
        <v>98.7</v>
      </c>
      <c r="H4638">
        <v>323</v>
      </c>
      <c r="I4638" t="s">
        <v>41</v>
      </c>
      <c r="J4638">
        <v>2024</v>
      </c>
      <c r="K4638">
        <f t="shared" si="144"/>
        <v>63.83</v>
      </c>
      <c r="L4638" t="str">
        <f t="shared" si="145"/>
        <v>Banca Sicula|4|Leasing</v>
      </c>
    </row>
    <row r="4639" spans="1:12" x14ac:dyDescent="0.25">
      <c r="A4639" t="s">
        <v>40</v>
      </c>
      <c r="B4639">
        <v>4</v>
      </c>
      <c r="C4639" t="s">
        <v>19</v>
      </c>
      <c r="D4639" s="1">
        <v>45412</v>
      </c>
      <c r="E4639">
        <v>3574.6</v>
      </c>
      <c r="F4639">
        <v>197.26</v>
      </c>
      <c r="G4639">
        <v>118.9</v>
      </c>
      <c r="H4639">
        <v>359</v>
      </c>
      <c r="I4639" t="s">
        <v>41</v>
      </c>
      <c r="J4639">
        <v>2024</v>
      </c>
      <c r="K4639">
        <f t="shared" si="144"/>
        <v>78.359999999999985</v>
      </c>
      <c r="L4639" t="str">
        <f t="shared" si="145"/>
        <v>Banca Sicula|4|Factoring</v>
      </c>
    </row>
    <row r="4640" spans="1:12" x14ac:dyDescent="0.25">
      <c r="A4640" t="s">
        <v>40</v>
      </c>
      <c r="B4640">
        <v>4</v>
      </c>
      <c r="C4640" t="s">
        <v>20</v>
      </c>
      <c r="D4640" s="1">
        <v>45412</v>
      </c>
      <c r="E4640">
        <v>4029.8</v>
      </c>
      <c r="F4640">
        <v>230.26</v>
      </c>
      <c r="G4640">
        <v>137.87</v>
      </c>
      <c r="H4640">
        <v>410</v>
      </c>
      <c r="I4640" t="s">
        <v>41</v>
      </c>
      <c r="J4640">
        <v>2024</v>
      </c>
      <c r="K4640">
        <f t="shared" si="144"/>
        <v>92.389999999999986</v>
      </c>
      <c r="L4640" t="str">
        <f t="shared" si="145"/>
        <v>Banca Sicula|4|Risparmio</v>
      </c>
    </row>
    <row r="4641" spans="1:12" x14ac:dyDescent="0.25">
      <c r="A4641" t="s">
        <v>40</v>
      </c>
      <c r="B4641">
        <v>4</v>
      </c>
      <c r="C4641" t="s">
        <v>21</v>
      </c>
      <c r="D4641" s="1">
        <v>45412</v>
      </c>
      <c r="E4641">
        <v>4486.5</v>
      </c>
      <c r="F4641">
        <v>265.33999999999997</v>
      </c>
      <c r="G4641">
        <v>157.07</v>
      </c>
      <c r="H4641">
        <v>464</v>
      </c>
      <c r="I4641" t="s">
        <v>41</v>
      </c>
      <c r="J4641">
        <v>2024</v>
      </c>
      <c r="K4641">
        <f t="shared" si="144"/>
        <v>108.26999999999998</v>
      </c>
      <c r="L4641" t="str">
        <f t="shared" si="145"/>
        <v>Banca Sicula|4|Assicurazioni</v>
      </c>
    </row>
    <row r="4642" spans="1:12" x14ac:dyDescent="0.25">
      <c r="A4642" t="s">
        <v>40</v>
      </c>
      <c r="B4642">
        <v>5</v>
      </c>
      <c r="C4642" t="s">
        <v>13</v>
      </c>
      <c r="D4642" s="1">
        <v>45443</v>
      </c>
      <c r="E4642">
        <v>1269</v>
      </c>
      <c r="F4642">
        <v>57.39</v>
      </c>
      <c r="G4642">
        <v>36.5</v>
      </c>
      <c r="H4642">
        <v>125</v>
      </c>
      <c r="I4642" t="s">
        <v>41</v>
      </c>
      <c r="J4642">
        <v>2024</v>
      </c>
      <c r="K4642">
        <f t="shared" si="144"/>
        <v>20.89</v>
      </c>
      <c r="L4642" t="str">
        <f t="shared" si="145"/>
        <v>Banca Sicula|5|Mutui</v>
      </c>
    </row>
    <row r="4643" spans="1:12" x14ac:dyDescent="0.25">
      <c r="A4643" t="s">
        <v>40</v>
      </c>
      <c r="B4643">
        <v>5</v>
      </c>
      <c r="C4643" t="s">
        <v>15</v>
      </c>
      <c r="D4643" s="1">
        <v>45443</v>
      </c>
      <c r="E4643">
        <v>1740.9</v>
      </c>
      <c r="F4643">
        <v>82.53</v>
      </c>
      <c r="G4643">
        <v>51.31</v>
      </c>
      <c r="H4643">
        <v>198</v>
      </c>
      <c r="I4643" t="s">
        <v>41</v>
      </c>
      <c r="J4643">
        <v>2024</v>
      </c>
      <c r="K4643">
        <f t="shared" si="144"/>
        <v>31.22</v>
      </c>
      <c r="L4643" t="str">
        <f t="shared" si="145"/>
        <v>Banca Sicula|5|Prestiti</v>
      </c>
    </row>
    <row r="4644" spans="1:12" x14ac:dyDescent="0.25">
      <c r="A4644" t="s">
        <v>40</v>
      </c>
      <c r="B4644">
        <v>5</v>
      </c>
      <c r="C4644" t="s">
        <v>16</v>
      </c>
      <c r="D4644" s="1">
        <v>45443</v>
      </c>
      <c r="E4644">
        <v>2166.4</v>
      </c>
      <c r="F4644">
        <v>106.82</v>
      </c>
      <c r="G4644">
        <v>65.05</v>
      </c>
      <c r="H4644">
        <v>209</v>
      </c>
      <c r="I4644" t="s">
        <v>41</v>
      </c>
      <c r="J4644">
        <v>2024</v>
      </c>
      <c r="K4644">
        <f t="shared" si="144"/>
        <v>41.769999999999996</v>
      </c>
      <c r="L4644" t="str">
        <f t="shared" si="145"/>
        <v>Banca Sicula|5|Conti</v>
      </c>
    </row>
    <row r="4645" spans="1:12" x14ac:dyDescent="0.25">
      <c r="A4645" t="s">
        <v>40</v>
      </c>
      <c r="B4645">
        <v>5</v>
      </c>
      <c r="C4645" t="s">
        <v>17</v>
      </c>
      <c r="D4645" s="1">
        <v>45443</v>
      </c>
      <c r="E4645">
        <v>2640.1</v>
      </c>
      <c r="F4645">
        <v>134.78</v>
      </c>
      <c r="G4645">
        <v>82.75</v>
      </c>
      <c r="H4645">
        <v>292</v>
      </c>
      <c r="I4645" t="s">
        <v>41</v>
      </c>
      <c r="J4645">
        <v>2024</v>
      </c>
      <c r="K4645">
        <f t="shared" si="144"/>
        <v>52.03</v>
      </c>
      <c r="L4645" t="str">
        <f t="shared" si="145"/>
        <v>Banca Sicula|5|Carte</v>
      </c>
    </row>
    <row r="4646" spans="1:12" x14ac:dyDescent="0.25">
      <c r="A4646" t="s">
        <v>40</v>
      </c>
      <c r="B4646">
        <v>5</v>
      </c>
      <c r="C4646" t="s">
        <v>18</v>
      </c>
      <c r="D4646" s="1">
        <v>45443</v>
      </c>
      <c r="E4646">
        <v>3130.5</v>
      </c>
      <c r="F4646">
        <v>166.79</v>
      </c>
      <c r="G4646">
        <v>100.52</v>
      </c>
      <c r="H4646">
        <v>315</v>
      </c>
      <c r="I4646" t="s">
        <v>41</v>
      </c>
      <c r="J4646">
        <v>2024</v>
      </c>
      <c r="K4646">
        <f t="shared" si="144"/>
        <v>66.27</v>
      </c>
      <c r="L4646" t="str">
        <f t="shared" si="145"/>
        <v>Banca Sicula|5|Leasing</v>
      </c>
    </row>
    <row r="4647" spans="1:12" x14ac:dyDescent="0.25">
      <c r="A4647" t="s">
        <v>40</v>
      </c>
      <c r="B4647">
        <v>5</v>
      </c>
      <c r="C4647" t="s">
        <v>19</v>
      </c>
      <c r="D4647" s="1">
        <v>45443</v>
      </c>
      <c r="E4647">
        <v>3558.2</v>
      </c>
      <c r="F4647">
        <v>196.49</v>
      </c>
      <c r="G4647">
        <v>118.12</v>
      </c>
      <c r="H4647">
        <v>369</v>
      </c>
      <c r="I4647" t="s">
        <v>41</v>
      </c>
      <c r="J4647">
        <v>2024</v>
      </c>
      <c r="K4647">
        <f t="shared" si="144"/>
        <v>78.37</v>
      </c>
      <c r="L4647" t="str">
        <f t="shared" si="145"/>
        <v>Banca Sicula|5|Factoring</v>
      </c>
    </row>
    <row r="4648" spans="1:12" x14ac:dyDescent="0.25">
      <c r="A4648" t="s">
        <v>40</v>
      </c>
      <c r="B4648">
        <v>5</v>
      </c>
      <c r="C4648" t="s">
        <v>20</v>
      </c>
      <c r="D4648" s="1">
        <v>45443</v>
      </c>
      <c r="E4648">
        <v>4021.7</v>
      </c>
      <c r="F4648">
        <v>229.97</v>
      </c>
      <c r="G4648">
        <v>137.41999999999999</v>
      </c>
      <c r="H4648">
        <v>408</v>
      </c>
      <c r="I4648" t="s">
        <v>41</v>
      </c>
      <c r="J4648">
        <v>2024</v>
      </c>
      <c r="K4648">
        <f t="shared" si="144"/>
        <v>92.550000000000011</v>
      </c>
      <c r="L4648" t="str">
        <f t="shared" si="145"/>
        <v>Banca Sicula|5|Risparmio</v>
      </c>
    </row>
    <row r="4649" spans="1:12" x14ac:dyDescent="0.25">
      <c r="A4649" t="s">
        <v>40</v>
      </c>
      <c r="B4649">
        <v>5</v>
      </c>
      <c r="C4649" t="s">
        <v>21</v>
      </c>
      <c r="D4649" s="1">
        <v>45443</v>
      </c>
      <c r="E4649">
        <v>4526.8999999999996</v>
      </c>
      <c r="F4649">
        <v>267.47000000000003</v>
      </c>
      <c r="G4649">
        <v>159.07</v>
      </c>
      <c r="H4649">
        <v>458</v>
      </c>
      <c r="I4649" t="s">
        <v>41</v>
      </c>
      <c r="J4649">
        <v>2024</v>
      </c>
      <c r="K4649">
        <f t="shared" si="144"/>
        <v>108.40000000000003</v>
      </c>
      <c r="L4649" t="str">
        <f t="shared" si="145"/>
        <v>Banca Sicula|5|Assicurazioni</v>
      </c>
    </row>
    <row r="4650" spans="1:12" x14ac:dyDescent="0.25">
      <c r="A4650" t="s">
        <v>40</v>
      </c>
      <c r="B4650">
        <v>6</v>
      </c>
      <c r="C4650" t="s">
        <v>13</v>
      </c>
      <c r="D4650" s="1">
        <v>45473</v>
      </c>
      <c r="E4650">
        <v>1250.2</v>
      </c>
      <c r="F4650">
        <v>57.09</v>
      </c>
      <c r="G4650">
        <v>35.11</v>
      </c>
      <c r="H4650">
        <v>122</v>
      </c>
      <c r="I4650" t="s">
        <v>41</v>
      </c>
      <c r="J4650">
        <v>2024</v>
      </c>
      <c r="K4650">
        <f t="shared" si="144"/>
        <v>21.980000000000004</v>
      </c>
      <c r="L4650" t="str">
        <f t="shared" si="145"/>
        <v>Banca Sicula|6|Mutui</v>
      </c>
    </row>
    <row r="4651" spans="1:12" x14ac:dyDescent="0.25">
      <c r="A4651" t="s">
        <v>40</v>
      </c>
      <c r="B4651">
        <v>6</v>
      </c>
      <c r="C4651" t="s">
        <v>15</v>
      </c>
      <c r="D4651" s="1">
        <v>45473</v>
      </c>
      <c r="E4651">
        <v>1725.6</v>
      </c>
      <c r="F4651">
        <v>81.61</v>
      </c>
      <c r="G4651">
        <v>50.88</v>
      </c>
      <c r="H4651">
        <v>169</v>
      </c>
      <c r="I4651" t="s">
        <v>41</v>
      </c>
      <c r="J4651">
        <v>2024</v>
      </c>
      <c r="K4651">
        <f t="shared" si="144"/>
        <v>30.729999999999997</v>
      </c>
      <c r="L4651" t="str">
        <f t="shared" si="145"/>
        <v>Banca Sicula|6|Prestiti</v>
      </c>
    </row>
    <row r="4652" spans="1:12" x14ac:dyDescent="0.25">
      <c r="A4652" t="s">
        <v>40</v>
      </c>
      <c r="B4652">
        <v>6</v>
      </c>
      <c r="C4652" t="s">
        <v>16</v>
      </c>
      <c r="D4652" s="1">
        <v>45473</v>
      </c>
      <c r="E4652">
        <v>2193</v>
      </c>
      <c r="F4652">
        <v>108.18</v>
      </c>
      <c r="G4652">
        <v>65.88</v>
      </c>
      <c r="H4652">
        <v>247</v>
      </c>
      <c r="I4652" t="s">
        <v>41</v>
      </c>
      <c r="J4652">
        <v>2024</v>
      </c>
      <c r="K4652">
        <f t="shared" si="144"/>
        <v>42.300000000000011</v>
      </c>
      <c r="L4652" t="str">
        <f t="shared" si="145"/>
        <v>Banca Sicula|6|Conti</v>
      </c>
    </row>
    <row r="4653" spans="1:12" x14ac:dyDescent="0.25">
      <c r="A4653" t="s">
        <v>40</v>
      </c>
      <c r="B4653">
        <v>6</v>
      </c>
      <c r="C4653" t="s">
        <v>17</v>
      </c>
      <c r="D4653" s="1">
        <v>45473</v>
      </c>
      <c r="E4653">
        <v>2639.7</v>
      </c>
      <c r="F4653">
        <v>135.57</v>
      </c>
      <c r="G4653">
        <v>82.38</v>
      </c>
      <c r="H4653">
        <v>293</v>
      </c>
      <c r="I4653" t="s">
        <v>41</v>
      </c>
      <c r="J4653">
        <v>2024</v>
      </c>
      <c r="K4653">
        <f t="shared" si="144"/>
        <v>53.19</v>
      </c>
      <c r="L4653" t="str">
        <f t="shared" si="145"/>
        <v>Banca Sicula|6|Carte</v>
      </c>
    </row>
    <row r="4654" spans="1:12" x14ac:dyDescent="0.25">
      <c r="A4654" t="s">
        <v>40</v>
      </c>
      <c r="B4654">
        <v>6</v>
      </c>
      <c r="C4654" t="s">
        <v>18</v>
      </c>
      <c r="D4654" s="1">
        <v>45473</v>
      </c>
      <c r="E4654">
        <v>3117.3</v>
      </c>
      <c r="F4654">
        <v>165.22</v>
      </c>
      <c r="G4654">
        <v>99.94</v>
      </c>
      <c r="H4654">
        <v>328</v>
      </c>
      <c r="I4654" t="s">
        <v>41</v>
      </c>
      <c r="J4654">
        <v>2024</v>
      </c>
      <c r="K4654">
        <f t="shared" si="144"/>
        <v>65.28</v>
      </c>
      <c r="L4654" t="str">
        <f t="shared" si="145"/>
        <v>Banca Sicula|6|Leasing</v>
      </c>
    </row>
    <row r="4655" spans="1:12" x14ac:dyDescent="0.25">
      <c r="A4655" t="s">
        <v>40</v>
      </c>
      <c r="B4655">
        <v>6</v>
      </c>
      <c r="C4655" t="s">
        <v>19</v>
      </c>
      <c r="D4655" s="1">
        <v>45473</v>
      </c>
      <c r="E4655">
        <v>3621.5</v>
      </c>
      <c r="F4655">
        <v>200.17</v>
      </c>
      <c r="G4655">
        <v>120.08</v>
      </c>
      <c r="H4655">
        <v>355</v>
      </c>
      <c r="I4655" t="s">
        <v>41</v>
      </c>
      <c r="J4655">
        <v>2024</v>
      </c>
      <c r="K4655">
        <f t="shared" si="144"/>
        <v>80.089999999999989</v>
      </c>
      <c r="L4655" t="str">
        <f t="shared" si="145"/>
        <v>Banca Sicula|6|Factoring</v>
      </c>
    </row>
    <row r="4656" spans="1:12" x14ac:dyDescent="0.25">
      <c r="A4656" t="s">
        <v>40</v>
      </c>
      <c r="B4656">
        <v>6</v>
      </c>
      <c r="C4656" t="s">
        <v>20</v>
      </c>
      <c r="D4656" s="1">
        <v>45473</v>
      </c>
      <c r="E4656">
        <v>4074.1</v>
      </c>
      <c r="F4656">
        <v>232.73</v>
      </c>
      <c r="G4656">
        <v>138.81</v>
      </c>
      <c r="H4656">
        <v>410</v>
      </c>
      <c r="I4656" t="s">
        <v>41</v>
      </c>
      <c r="J4656">
        <v>2024</v>
      </c>
      <c r="K4656">
        <f t="shared" si="144"/>
        <v>93.919999999999987</v>
      </c>
      <c r="L4656" t="str">
        <f t="shared" si="145"/>
        <v>Banca Sicula|6|Risparmio</v>
      </c>
    </row>
    <row r="4657" spans="1:12" x14ac:dyDescent="0.25">
      <c r="A4657" t="s">
        <v>40</v>
      </c>
      <c r="B4657">
        <v>6</v>
      </c>
      <c r="C4657" t="s">
        <v>21</v>
      </c>
      <c r="D4657" s="1">
        <v>45473</v>
      </c>
      <c r="E4657">
        <v>4568.6000000000004</v>
      </c>
      <c r="F4657">
        <v>270.31</v>
      </c>
      <c r="G4657">
        <v>160.18</v>
      </c>
      <c r="H4657">
        <v>469</v>
      </c>
      <c r="I4657" t="s">
        <v>41</v>
      </c>
      <c r="J4657">
        <v>2024</v>
      </c>
      <c r="K4657">
        <f t="shared" si="144"/>
        <v>110.13</v>
      </c>
      <c r="L4657" t="str">
        <f t="shared" si="145"/>
        <v>Banca Sicula|6|Assicurazioni</v>
      </c>
    </row>
    <row r="4658" spans="1:12" x14ac:dyDescent="0.25">
      <c r="A4658" t="s">
        <v>40</v>
      </c>
      <c r="B4658">
        <v>7</v>
      </c>
      <c r="C4658" t="s">
        <v>13</v>
      </c>
      <c r="D4658" s="1">
        <v>45504</v>
      </c>
      <c r="E4658">
        <v>1242.0999999999999</v>
      </c>
      <c r="F4658">
        <v>56.85</v>
      </c>
      <c r="G4658">
        <v>35.369999999999997</v>
      </c>
      <c r="H4658">
        <v>126</v>
      </c>
      <c r="I4658" t="s">
        <v>41</v>
      </c>
      <c r="J4658">
        <v>2024</v>
      </c>
      <c r="K4658">
        <f t="shared" si="144"/>
        <v>21.480000000000004</v>
      </c>
      <c r="L4658" t="str">
        <f t="shared" si="145"/>
        <v>Banca Sicula|7|Mutui</v>
      </c>
    </row>
    <row r="4659" spans="1:12" x14ac:dyDescent="0.25">
      <c r="A4659" t="s">
        <v>40</v>
      </c>
      <c r="B4659">
        <v>7</v>
      </c>
      <c r="C4659" t="s">
        <v>15</v>
      </c>
      <c r="D4659" s="1">
        <v>45504</v>
      </c>
      <c r="E4659">
        <v>1708.6</v>
      </c>
      <c r="F4659">
        <v>80.94</v>
      </c>
      <c r="G4659">
        <v>50.27</v>
      </c>
      <c r="H4659">
        <v>181</v>
      </c>
      <c r="I4659" t="s">
        <v>41</v>
      </c>
      <c r="J4659">
        <v>2024</v>
      </c>
      <c r="K4659">
        <f t="shared" si="144"/>
        <v>30.669999999999995</v>
      </c>
      <c r="L4659" t="str">
        <f t="shared" si="145"/>
        <v>Banca Sicula|7|Prestiti</v>
      </c>
    </row>
    <row r="4660" spans="1:12" x14ac:dyDescent="0.25">
      <c r="A4660" t="s">
        <v>40</v>
      </c>
      <c r="B4660">
        <v>7</v>
      </c>
      <c r="C4660" t="s">
        <v>16</v>
      </c>
      <c r="D4660" s="1">
        <v>45504</v>
      </c>
      <c r="E4660">
        <v>2200.6999999999998</v>
      </c>
      <c r="F4660">
        <v>108.67</v>
      </c>
      <c r="G4660">
        <v>66.66</v>
      </c>
      <c r="H4660">
        <v>225</v>
      </c>
      <c r="I4660" t="s">
        <v>41</v>
      </c>
      <c r="J4660">
        <v>2024</v>
      </c>
      <c r="K4660">
        <f t="shared" si="144"/>
        <v>42.010000000000005</v>
      </c>
      <c r="L4660" t="str">
        <f t="shared" si="145"/>
        <v>Banca Sicula|7|Conti</v>
      </c>
    </row>
    <row r="4661" spans="1:12" x14ac:dyDescent="0.25">
      <c r="A4661" t="s">
        <v>40</v>
      </c>
      <c r="B4661">
        <v>7</v>
      </c>
      <c r="C4661" t="s">
        <v>17</v>
      </c>
      <c r="D4661" s="1">
        <v>45504</v>
      </c>
      <c r="E4661">
        <v>2700.6</v>
      </c>
      <c r="F4661">
        <v>138.37</v>
      </c>
      <c r="G4661">
        <v>84.1</v>
      </c>
      <c r="H4661">
        <v>266</v>
      </c>
      <c r="I4661" t="s">
        <v>41</v>
      </c>
      <c r="J4661">
        <v>2024</v>
      </c>
      <c r="K4661">
        <f t="shared" si="144"/>
        <v>54.27000000000001</v>
      </c>
      <c r="L4661" t="str">
        <f t="shared" si="145"/>
        <v>Banca Sicula|7|Carte</v>
      </c>
    </row>
    <row r="4662" spans="1:12" x14ac:dyDescent="0.25">
      <c r="A4662" t="s">
        <v>40</v>
      </c>
      <c r="B4662">
        <v>7</v>
      </c>
      <c r="C4662" t="s">
        <v>18</v>
      </c>
      <c r="D4662" s="1">
        <v>45504</v>
      </c>
      <c r="E4662">
        <v>3130.6</v>
      </c>
      <c r="F4662">
        <v>166.85</v>
      </c>
      <c r="G4662">
        <v>100.74</v>
      </c>
      <c r="H4662">
        <v>324</v>
      </c>
      <c r="I4662" t="s">
        <v>41</v>
      </c>
      <c r="J4662">
        <v>2024</v>
      </c>
      <c r="K4662">
        <f t="shared" si="144"/>
        <v>66.11</v>
      </c>
      <c r="L4662" t="str">
        <f t="shared" si="145"/>
        <v>Banca Sicula|7|Leasing</v>
      </c>
    </row>
    <row r="4663" spans="1:12" x14ac:dyDescent="0.25">
      <c r="A4663" t="s">
        <v>40</v>
      </c>
      <c r="B4663">
        <v>7</v>
      </c>
      <c r="C4663" t="s">
        <v>19</v>
      </c>
      <c r="D4663" s="1">
        <v>45504</v>
      </c>
      <c r="E4663">
        <v>3644.1</v>
      </c>
      <c r="F4663">
        <v>200.86</v>
      </c>
      <c r="G4663">
        <v>120.8</v>
      </c>
      <c r="H4663">
        <v>347</v>
      </c>
      <c r="I4663" t="s">
        <v>41</v>
      </c>
      <c r="J4663">
        <v>2024</v>
      </c>
      <c r="K4663">
        <f t="shared" si="144"/>
        <v>80.060000000000016</v>
      </c>
      <c r="L4663" t="str">
        <f t="shared" si="145"/>
        <v>Banca Sicula|7|Factoring</v>
      </c>
    </row>
    <row r="4664" spans="1:12" x14ac:dyDescent="0.25">
      <c r="A4664" t="s">
        <v>40</v>
      </c>
      <c r="B4664">
        <v>7</v>
      </c>
      <c r="C4664" t="s">
        <v>20</v>
      </c>
      <c r="D4664" s="1">
        <v>45504</v>
      </c>
      <c r="E4664">
        <v>4082.1</v>
      </c>
      <c r="F4664">
        <v>233.34</v>
      </c>
      <c r="G4664">
        <v>139.44999999999999</v>
      </c>
      <c r="H4664">
        <v>423</v>
      </c>
      <c r="I4664" t="s">
        <v>41</v>
      </c>
      <c r="J4664">
        <v>2024</v>
      </c>
      <c r="K4664">
        <f t="shared" si="144"/>
        <v>93.890000000000015</v>
      </c>
      <c r="L4664" t="str">
        <f t="shared" si="145"/>
        <v>Banca Sicula|7|Risparmio</v>
      </c>
    </row>
    <row r="4665" spans="1:12" x14ac:dyDescent="0.25">
      <c r="A4665" t="s">
        <v>40</v>
      </c>
      <c r="B4665">
        <v>7</v>
      </c>
      <c r="C4665" t="s">
        <v>21</v>
      </c>
      <c r="D4665" s="1">
        <v>45504</v>
      </c>
      <c r="E4665">
        <v>4606.1000000000004</v>
      </c>
      <c r="F4665">
        <v>272.17</v>
      </c>
      <c r="G4665">
        <v>161.24</v>
      </c>
      <c r="H4665">
        <v>462</v>
      </c>
      <c r="I4665" t="s">
        <v>41</v>
      </c>
      <c r="J4665">
        <v>2024</v>
      </c>
      <c r="K4665">
        <f t="shared" si="144"/>
        <v>110.93</v>
      </c>
      <c r="L4665" t="str">
        <f t="shared" si="145"/>
        <v>Banca Sicula|7|Assicurazioni</v>
      </c>
    </row>
    <row r="4666" spans="1:12" x14ac:dyDescent="0.25">
      <c r="A4666" t="s">
        <v>40</v>
      </c>
      <c r="B4666">
        <v>8</v>
      </c>
      <c r="C4666" t="s">
        <v>13</v>
      </c>
      <c r="D4666" s="1">
        <v>45535</v>
      </c>
      <c r="E4666">
        <v>1299.3</v>
      </c>
      <c r="F4666">
        <v>58.73</v>
      </c>
      <c r="G4666">
        <v>36.549999999999997</v>
      </c>
      <c r="H4666">
        <v>158</v>
      </c>
      <c r="I4666" t="s">
        <v>41</v>
      </c>
      <c r="J4666">
        <v>2024</v>
      </c>
      <c r="K4666">
        <f t="shared" si="144"/>
        <v>22.18</v>
      </c>
      <c r="L4666" t="str">
        <f t="shared" si="145"/>
        <v>Banca Sicula|8|Mutui</v>
      </c>
    </row>
    <row r="4667" spans="1:12" x14ac:dyDescent="0.25">
      <c r="A4667" t="s">
        <v>40</v>
      </c>
      <c r="B4667">
        <v>8</v>
      </c>
      <c r="C4667" t="s">
        <v>15</v>
      </c>
      <c r="D4667" s="1">
        <v>45535</v>
      </c>
      <c r="E4667">
        <v>1746.9</v>
      </c>
      <c r="F4667">
        <v>82.98</v>
      </c>
      <c r="G4667">
        <v>51.52</v>
      </c>
      <c r="H4667">
        <v>197</v>
      </c>
      <c r="I4667" t="s">
        <v>41</v>
      </c>
      <c r="J4667">
        <v>2024</v>
      </c>
      <c r="K4667">
        <f t="shared" si="144"/>
        <v>31.46</v>
      </c>
      <c r="L4667" t="str">
        <f t="shared" si="145"/>
        <v>Banca Sicula|8|Prestiti</v>
      </c>
    </row>
    <row r="4668" spans="1:12" x14ac:dyDescent="0.25">
      <c r="A4668" t="s">
        <v>40</v>
      </c>
      <c r="B4668">
        <v>8</v>
      </c>
      <c r="C4668" t="s">
        <v>16</v>
      </c>
      <c r="D4668" s="1">
        <v>45535</v>
      </c>
      <c r="E4668">
        <v>2254.8000000000002</v>
      </c>
      <c r="F4668">
        <v>110.87</v>
      </c>
      <c r="G4668">
        <v>68.61</v>
      </c>
      <c r="H4668">
        <v>243</v>
      </c>
      <c r="I4668" t="s">
        <v>41</v>
      </c>
      <c r="J4668">
        <v>2024</v>
      </c>
      <c r="K4668">
        <f t="shared" si="144"/>
        <v>42.260000000000005</v>
      </c>
      <c r="L4668" t="str">
        <f t="shared" si="145"/>
        <v>Banca Sicula|8|Conti</v>
      </c>
    </row>
    <row r="4669" spans="1:12" x14ac:dyDescent="0.25">
      <c r="A4669" t="s">
        <v>40</v>
      </c>
      <c r="B4669">
        <v>8</v>
      </c>
      <c r="C4669" t="s">
        <v>17</v>
      </c>
      <c r="D4669" s="1">
        <v>45535</v>
      </c>
      <c r="E4669">
        <v>2682.3</v>
      </c>
      <c r="F4669">
        <v>137.19</v>
      </c>
      <c r="G4669">
        <v>84.1</v>
      </c>
      <c r="H4669">
        <v>273</v>
      </c>
      <c r="I4669" t="s">
        <v>41</v>
      </c>
      <c r="J4669">
        <v>2024</v>
      </c>
      <c r="K4669">
        <f t="shared" si="144"/>
        <v>53.09</v>
      </c>
      <c r="L4669" t="str">
        <f t="shared" si="145"/>
        <v>Banca Sicula|8|Carte</v>
      </c>
    </row>
    <row r="4670" spans="1:12" x14ac:dyDescent="0.25">
      <c r="A4670" t="s">
        <v>40</v>
      </c>
      <c r="B4670">
        <v>8</v>
      </c>
      <c r="C4670" t="s">
        <v>18</v>
      </c>
      <c r="D4670" s="1">
        <v>45535</v>
      </c>
      <c r="E4670">
        <v>3177.9</v>
      </c>
      <c r="F4670">
        <v>168.52</v>
      </c>
      <c r="G4670">
        <v>102.33</v>
      </c>
      <c r="H4670">
        <v>312</v>
      </c>
      <c r="I4670" t="s">
        <v>41</v>
      </c>
      <c r="J4670">
        <v>2024</v>
      </c>
      <c r="K4670">
        <f t="shared" si="144"/>
        <v>66.190000000000012</v>
      </c>
      <c r="L4670" t="str">
        <f t="shared" si="145"/>
        <v>Banca Sicula|8|Leasing</v>
      </c>
    </row>
    <row r="4671" spans="1:12" x14ac:dyDescent="0.25">
      <c r="A4671" t="s">
        <v>40</v>
      </c>
      <c r="B4671">
        <v>8</v>
      </c>
      <c r="C4671" t="s">
        <v>19</v>
      </c>
      <c r="D4671" s="1">
        <v>45535</v>
      </c>
      <c r="E4671">
        <v>3670.4</v>
      </c>
      <c r="F4671">
        <v>202.05</v>
      </c>
      <c r="G4671">
        <v>121.91</v>
      </c>
      <c r="H4671">
        <v>364</v>
      </c>
      <c r="I4671" t="s">
        <v>41</v>
      </c>
      <c r="J4671">
        <v>2024</v>
      </c>
      <c r="K4671">
        <f t="shared" si="144"/>
        <v>80.140000000000015</v>
      </c>
      <c r="L4671" t="str">
        <f t="shared" si="145"/>
        <v>Banca Sicula|8|Factoring</v>
      </c>
    </row>
    <row r="4672" spans="1:12" x14ac:dyDescent="0.25">
      <c r="A4672" t="s">
        <v>40</v>
      </c>
      <c r="B4672">
        <v>8</v>
      </c>
      <c r="C4672" t="s">
        <v>20</v>
      </c>
      <c r="D4672" s="1">
        <v>45535</v>
      </c>
      <c r="E4672">
        <v>4109.1000000000004</v>
      </c>
      <c r="F4672">
        <v>234.84</v>
      </c>
      <c r="G4672">
        <v>140.37</v>
      </c>
      <c r="H4672">
        <v>404</v>
      </c>
      <c r="I4672" t="s">
        <v>41</v>
      </c>
      <c r="J4672">
        <v>2024</v>
      </c>
      <c r="K4672">
        <f t="shared" si="144"/>
        <v>94.47</v>
      </c>
      <c r="L4672" t="str">
        <f t="shared" si="145"/>
        <v>Banca Sicula|8|Risparmio</v>
      </c>
    </row>
    <row r="4673" spans="1:12" x14ac:dyDescent="0.25">
      <c r="A4673" t="s">
        <v>40</v>
      </c>
      <c r="B4673">
        <v>8</v>
      </c>
      <c r="C4673" t="s">
        <v>21</v>
      </c>
      <c r="D4673" s="1">
        <v>45535</v>
      </c>
      <c r="E4673">
        <v>4595.8</v>
      </c>
      <c r="F4673">
        <v>271.91000000000003</v>
      </c>
      <c r="G4673">
        <v>161.46</v>
      </c>
      <c r="H4673">
        <v>442</v>
      </c>
      <c r="I4673" t="s">
        <v>41</v>
      </c>
      <c r="J4673">
        <v>2024</v>
      </c>
      <c r="K4673">
        <f t="shared" si="144"/>
        <v>110.45000000000002</v>
      </c>
      <c r="L4673" t="str">
        <f t="shared" si="145"/>
        <v>Banca Sicula|8|Assicurazioni</v>
      </c>
    </row>
    <row r="4674" spans="1:12" x14ac:dyDescent="0.25">
      <c r="A4674" t="s">
        <v>40</v>
      </c>
      <c r="B4674">
        <v>9</v>
      </c>
      <c r="C4674" t="s">
        <v>13</v>
      </c>
      <c r="D4674" s="1">
        <v>45565</v>
      </c>
      <c r="E4674">
        <v>1295.7</v>
      </c>
      <c r="F4674">
        <v>58.88</v>
      </c>
      <c r="G4674">
        <v>37.020000000000003</v>
      </c>
      <c r="H4674">
        <v>125</v>
      </c>
      <c r="I4674" t="s">
        <v>41</v>
      </c>
      <c r="J4674">
        <v>2024</v>
      </c>
      <c r="K4674">
        <f t="shared" ref="K4674:K4737" si="146">F4674-G4674</f>
        <v>21.86</v>
      </c>
      <c r="L4674" t="str">
        <f t="shared" ref="L4674:L4737" si="147">A4674&amp;"|"&amp;B4674&amp;"|"&amp;C4674</f>
        <v>Banca Sicula|9|Mutui</v>
      </c>
    </row>
    <row r="4675" spans="1:12" x14ac:dyDescent="0.25">
      <c r="A4675" t="s">
        <v>40</v>
      </c>
      <c r="B4675">
        <v>9</v>
      </c>
      <c r="C4675" t="s">
        <v>15</v>
      </c>
      <c r="D4675" s="1">
        <v>45565</v>
      </c>
      <c r="E4675">
        <v>1777.4</v>
      </c>
      <c r="F4675">
        <v>84.24</v>
      </c>
      <c r="G4675">
        <v>52.34</v>
      </c>
      <c r="H4675">
        <v>194</v>
      </c>
      <c r="I4675" t="s">
        <v>41</v>
      </c>
      <c r="J4675">
        <v>2024</v>
      </c>
      <c r="K4675">
        <f t="shared" si="146"/>
        <v>31.899999999999991</v>
      </c>
      <c r="L4675" t="str">
        <f t="shared" si="147"/>
        <v>Banca Sicula|9|Prestiti</v>
      </c>
    </row>
    <row r="4676" spans="1:12" x14ac:dyDescent="0.25">
      <c r="A4676" t="s">
        <v>40</v>
      </c>
      <c r="B4676">
        <v>9</v>
      </c>
      <c r="C4676" t="s">
        <v>16</v>
      </c>
      <c r="D4676" s="1">
        <v>45565</v>
      </c>
      <c r="E4676">
        <v>2246.5</v>
      </c>
      <c r="F4676">
        <v>110.55</v>
      </c>
      <c r="G4676">
        <v>67.95</v>
      </c>
      <c r="H4676">
        <v>221</v>
      </c>
      <c r="I4676" t="s">
        <v>41</v>
      </c>
      <c r="J4676">
        <v>2024</v>
      </c>
      <c r="K4676">
        <f t="shared" si="146"/>
        <v>42.599999999999994</v>
      </c>
      <c r="L4676" t="str">
        <f t="shared" si="147"/>
        <v>Banca Sicula|9|Conti</v>
      </c>
    </row>
    <row r="4677" spans="1:12" x14ac:dyDescent="0.25">
      <c r="A4677" t="s">
        <v>40</v>
      </c>
      <c r="B4677">
        <v>9</v>
      </c>
      <c r="C4677" t="s">
        <v>17</v>
      </c>
      <c r="D4677" s="1">
        <v>45565</v>
      </c>
      <c r="E4677">
        <v>2728.1</v>
      </c>
      <c r="F4677">
        <v>139.76</v>
      </c>
      <c r="G4677">
        <v>85.41</v>
      </c>
      <c r="H4677">
        <v>265</v>
      </c>
      <c r="I4677" t="s">
        <v>41</v>
      </c>
      <c r="J4677">
        <v>2024</v>
      </c>
      <c r="K4677">
        <f t="shared" si="146"/>
        <v>54.349999999999994</v>
      </c>
      <c r="L4677" t="str">
        <f t="shared" si="147"/>
        <v>Banca Sicula|9|Carte</v>
      </c>
    </row>
    <row r="4678" spans="1:12" x14ac:dyDescent="0.25">
      <c r="A4678" t="s">
        <v>40</v>
      </c>
      <c r="B4678">
        <v>9</v>
      </c>
      <c r="C4678" t="s">
        <v>18</v>
      </c>
      <c r="D4678" s="1">
        <v>45565</v>
      </c>
      <c r="E4678">
        <v>3182.2</v>
      </c>
      <c r="F4678">
        <v>168.75</v>
      </c>
      <c r="G4678">
        <v>102.17</v>
      </c>
      <c r="H4678">
        <v>331</v>
      </c>
      <c r="I4678" t="s">
        <v>41</v>
      </c>
      <c r="J4678">
        <v>2024</v>
      </c>
      <c r="K4678">
        <f t="shared" si="146"/>
        <v>66.58</v>
      </c>
      <c r="L4678" t="str">
        <f t="shared" si="147"/>
        <v>Banca Sicula|9|Leasing</v>
      </c>
    </row>
    <row r="4679" spans="1:12" x14ac:dyDescent="0.25">
      <c r="A4679" t="s">
        <v>40</v>
      </c>
      <c r="B4679">
        <v>9</v>
      </c>
      <c r="C4679" t="s">
        <v>19</v>
      </c>
      <c r="D4679" s="1">
        <v>45565</v>
      </c>
      <c r="E4679">
        <v>3684.3</v>
      </c>
      <c r="F4679">
        <v>203.35</v>
      </c>
      <c r="G4679">
        <v>122.15</v>
      </c>
      <c r="H4679">
        <v>371</v>
      </c>
      <c r="I4679" t="s">
        <v>41</v>
      </c>
      <c r="J4679">
        <v>2024</v>
      </c>
      <c r="K4679">
        <f t="shared" si="146"/>
        <v>81.199999999999989</v>
      </c>
      <c r="L4679" t="str">
        <f t="shared" si="147"/>
        <v>Banca Sicula|9|Factoring</v>
      </c>
    </row>
    <row r="4680" spans="1:12" x14ac:dyDescent="0.25">
      <c r="A4680" t="s">
        <v>40</v>
      </c>
      <c r="B4680">
        <v>9</v>
      </c>
      <c r="C4680" t="s">
        <v>20</v>
      </c>
      <c r="D4680" s="1">
        <v>45565</v>
      </c>
      <c r="E4680">
        <v>4161.3</v>
      </c>
      <c r="F4680">
        <v>237.98</v>
      </c>
      <c r="G4680">
        <v>142.21</v>
      </c>
      <c r="H4680">
        <v>419</v>
      </c>
      <c r="I4680" t="s">
        <v>41</v>
      </c>
      <c r="J4680">
        <v>2024</v>
      </c>
      <c r="K4680">
        <f t="shared" si="146"/>
        <v>95.769999999999982</v>
      </c>
      <c r="L4680" t="str">
        <f t="shared" si="147"/>
        <v>Banca Sicula|9|Risparmio</v>
      </c>
    </row>
    <row r="4681" spans="1:12" x14ac:dyDescent="0.25">
      <c r="A4681" t="s">
        <v>40</v>
      </c>
      <c r="B4681">
        <v>9</v>
      </c>
      <c r="C4681" t="s">
        <v>21</v>
      </c>
      <c r="D4681" s="1">
        <v>45565</v>
      </c>
      <c r="E4681">
        <v>4662.6000000000004</v>
      </c>
      <c r="F4681">
        <v>275.44</v>
      </c>
      <c r="G4681">
        <v>163.69</v>
      </c>
      <c r="H4681">
        <v>458</v>
      </c>
      <c r="I4681" t="s">
        <v>41</v>
      </c>
      <c r="J4681">
        <v>2024</v>
      </c>
      <c r="K4681">
        <f t="shared" si="146"/>
        <v>111.75</v>
      </c>
      <c r="L4681" t="str">
        <f t="shared" si="147"/>
        <v>Banca Sicula|9|Assicurazioni</v>
      </c>
    </row>
    <row r="4682" spans="1:12" x14ac:dyDescent="0.25">
      <c r="A4682" t="s">
        <v>40</v>
      </c>
      <c r="B4682">
        <v>10</v>
      </c>
      <c r="C4682" t="s">
        <v>13</v>
      </c>
      <c r="D4682" s="1">
        <v>45596</v>
      </c>
      <c r="E4682">
        <v>1285.2</v>
      </c>
      <c r="F4682">
        <v>58.22</v>
      </c>
      <c r="G4682">
        <v>36.03</v>
      </c>
      <c r="H4682">
        <v>159</v>
      </c>
      <c r="I4682" t="s">
        <v>41</v>
      </c>
      <c r="J4682">
        <v>2024</v>
      </c>
      <c r="K4682">
        <f t="shared" si="146"/>
        <v>22.189999999999998</v>
      </c>
      <c r="L4682" t="str">
        <f t="shared" si="147"/>
        <v>Banca Sicula|10|Mutui</v>
      </c>
    </row>
    <row r="4683" spans="1:12" x14ac:dyDescent="0.25">
      <c r="A4683" t="s">
        <v>40</v>
      </c>
      <c r="B4683">
        <v>10</v>
      </c>
      <c r="C4683" t="s">
        <v>15</v>
      </c>
      <c r="D4683" s="1">
        <v>45596</v>
      </c>
      <c r="E4683">
        <v>1786.3</v>
      </c>
      <c r="F4683">
        <v>84.03</v>
      </c>
      <c r="G4683">
        <v>52.15</v>
      </c>
      <c r="H4683">
        <v>199</v>
      </c>
      <c r="I4683" t="s">
        <v>41</v>
      </c>
      <c r="J4683">
        <v>2024</v>
      </c>
      <c r="K4683">
        <f t="shared" si="146"/>
        <v>31.880000000000003</v>
      </c>
      <c r="L4683" t="str">
        <f t="shared" si="147"/>
        <v>Banca Sicula|10|Prestiti</v>
      </c>
    </row>
    <row r="4684" spans="1:12" x14ac:dyDescent="0.25">
      <c r="A4684" t="s">
        <v>40</v>
      </c>
      <c r="B4684">
        <v>10</v>
      </c>
      <c r="C4684" t="s">
        <v>16</v>
      </c>
      <c r="D4684" s="1">
        <v>45596</v>
      </c>
      <c r="E4684">
        <v>2255.1</v>
      </c>
      <c r="F4684">
        <v>111.42</v>
      </c>
      <c r="G4684">
        <v>67.97</v>
      </c>
      <c r="H4684">
        <v>215</v>
      </c>
      <c r="I4684" t="s">
        <v>41</v>
      </c>
      <c r="J4684">
        <v>2024</v>
      </c>
      <c r="K4684">
        <f t="shared" si="146"/>
        <v>43.45</v>
      </c>
      <c r="L4684" t="str">
        <f t="shared" si="147"/>
        <v>Banca Sicula|10|Conti</v>
      </c>
    </row>
    <row r="4685" spans="1:12" x14ac:dyDescent="0.25">
      <c r="A4685" t="s">
        <v>40</v>
      </c>
      <c r="B4685">
        <v>10</v>
      </c>
      <c r="C4685" t="s">
        <v>17</v>
      </c>
      <c r="D4685" s="1">
        <v>45596</v>
      </c>
      <c r="E4685">
        <v>2772.3</v>
      </c>
      <c r="F4685">
        <v>141.62</v>
      </c>
      <c r="G4685">
        <v>86.88</v>
      </c>
      <c r="H4685">
        <v>282</v>
      </c>
      <c r="I4685" t="s">
        <v>41</v>
      </c>
      <c r="J4685">
        <v>2024</v>
      </c>
      <c r="K4685">
        <f t="shared" si="146"/>
        <v>54.740000000000009</v>
      </c>
      <c r="L4685" t="str">
        <f t="shared" si="147"/>
        <v>Banca Sicula|10|Carte</v>
      </c>
    </row>
    <row r="4686" spans="1:12" x14ac:dyDescent="0.25">
      <c r="A4686" t="s">
        <v>40</v>
      </c>
      <c r="B4686">
        <v>10</v>
      </c>
      <c r="C4686" t="s">
        <v>18</v>
      </c>
      <c r="D4686" s="1">
        <v>45596</v>
      </c>
      <c r="E4686">
        <v>3260.9</v>
      </c>
      <c r="F4686">
        <v>172.96</v>
      </c>
      <c r="G4686">
        <v>104.45</v>
      </c>
      <c r="H4686">
        <v>314</v>
      </c>
      <c r="I4686" t="s">
        <v>41</v>
      </c>
      <c r="J4686">
        <v>2024</v>
      </c>
      <c r="K4686">
        <f t="shared" si="146"/>
        <v>68.510000000000005</v>
      </c>
      <c r="L4686" t="str">
        <f t="shared" si="147"/>
        <v>Banca Sicula|10|Leasing</v>
      </c>
    </row>
    <row r="4687" spans="1:12" x14ac:dyDescent="0.25">
      <c r="A4687" t="s">
        <v>40</v>
      </c>
      <c r="B4687">
        <v>10</v>
      </c>
      <c r="C4687" t="s">
        <v>19</v>
      </c>
      <c r="D4687" s="1">
        <v>45596</v>
      </c>
      <c r="E4687">
        <v>3741.6</v>
      </c>
      <c r="F4687">
        <v>206.53</v>
      </c>
      <c r="G4687">
        <v>124.26</v>
      </c>
      <c r="H4687">
        <v>369</v>
      </c>
      <c r="I4687" t="s">
        <v>41</v>
      </c>
      <c r="J4687">
        <v>2024</v>
      </c>
      <c r="K4687">
        <f t="shared" si="146"/>
        <v>82.27</v>
      </c>
      <c r="L4687" t="str">
        <f t="shared" si="147"/>
        <v>Banca Sicula|10|Factoring</v>
      </c>
    </row>
    <row r="4688" spans="1:12" x14ac:dyDescent="0.25">
      <c r="A4688" t="s">
        <v>40</v>
      </c>
      <c r="B4688">
        <v>10</v>
      </c>
      <c r="C4688" t="s">
        <v>20</v>
      </c>
      <c r="D4688" s="1">
        <v>45596</v>
      </c>
      <c r="E4688">
        <v>4213.2</v>
      </c>
      <c r="F4688">
        <v>240.28</v>
      </c>
      <c r="G4688">
        <v>143.47999999999999</v>
      </c>
      <c r="H4688">
        <v>425</v>
      </c>
      <c r="I4688" t="s">
        <v>41</v>
      </c>
      <c r="J4688">
        <v>2024</v>
      </c>
      <c r="K4688">
        <f t="shared" si="146"/>
        <v>96.800000000000011</v>
      </c>
      <c r="L4688" t="str">
        <f t="shared" si="147"/>
        <v>Banca Sicula|10|Risparmio</v>
      </c>
    </row>
    <row r="4689" spans="1:12" x14ac:dyDescent="0.25">
      <c r="A4689" t="s">
        <v>40</v>
      </c>
      <c r="B4689">
        <v>10</v>
      </c>
      <c r="C4689" t="s">
        <v>21</v>
      </c>
      <c r="D4689" s="1">
        <v>45596</v>
      </c>
      <c r="E4689">
        <v>4679.8999999999996</v>
      </c>
      <c r="F4689">
        <v>276.16000000000003</v>
      </c>
      <c r="G4689">
        <v>164.15</v>
      </c>
      <c r="H4689">
        <v>439</v>
      </c>
      <c r="I4689" t="s">
        <v>41</v>
      </c>
      <c r="J4689">
        <v>2024</v>
      </c>
      <c r="K4689">
        <f t="shared" si="146"/>
        <v>112.01000000000002</v>
      </c>
      <c r="L4689" t="str">
        <f t="shared" si="147"/>
        <v>Banca Sicula|10|Assicurazioni</v>
      </c>
    </row>
    <row r="4690" spans="1:12" x14ac:dyDescent="0.25">
      <c r="A4690" t="s">
        <v>40</v>
      </c>
      <c r="B4690">
        <v>11</v>
      </c>
      <c r="C4690" t="s">
        <v>13</v>
      </c>
      <c r="D4690" s="1">
        <v>45626</v>
      </c>
      <c r="E4690">
        <v>1294.8</v>
      </c>
      <c r="F4690">
        <v>58.63</v>
      </c>
      <c r="G4690">
        <v>36.96</v>
      </c>
      <c r="H4690">
        <v>131</v>
      </c>
      <c r="I4690" t="s">
        <v>41</v>
      </c>
      <c r="J4690">
        <v>2024</v>
      </c>
      <c r="K4690">
        <f t="shared" si="146"/>
        <v>21.67</v>
      </c>
      <c r="L4690" t="str">
        <f t="shared" si="147"/>
        <v>Banca Sicula|11|Mutui</v>
      </c>
    </row>
    <row r="4691" spans="1:12" x14ac:dyDescent="0.25">
      <c r="A4691" t="s">
        <v>40</v>
      </c>
      <c r="B4691">
        <v>11</v>
      </c>
      <c r="C4691" t="s">
        <v>15</v>
      </c>
      <c r="D4691" s="1">
        <v>45626</v>
      </c>
      <c r="E4691">
        <v>1774.1</v>
      </c>
      <c r="F4691">
        <v>83.85</v>
      </c>
      <c r="G4691">
        <v>52.02</v>
      </c>
      <c r="H4691">
        <v>198</v>
      </c>
      <c r="I4691" t="s">
        <v>41</v>
      </c>
      <c r="J4691">
        <v>2024</v>
      </c>
      <c r="K4691">
        <f t="shared" si="146"/>
        <v>31.829999999999991</v>
      </c>
      <c r="L4691" t="str">
        <f t="shared" si="147"/>
        <v>Banca Sicula|11|Prestiti</v>
      </c>
    </row>
    <row r="4692" spans="1:12" x14ac:dyDescent="0.25">
      <c r="A4692" t="s">
        <v>40</v>
      </c>
      <c r="B4692">
        <v>11</v>
      </c>
      <c r="C4692" t="s">
        <v>16</v>
      </c>
      <c r="D4692" s="1">
        <v>45626</v>
      </c>
      <c r="E4692">
        <v>2251.3000000000002</v>
      </c>
      <c r="F4692">
        <v>110.73</v>
      </c>
      <c r="G4692">
        <v>68.319999999999993</v>
      </c>
      <c r="H4692">
        <v>234</v>
      </c>
      <c r="I4692" t="s">
        <v>41</v>
      </c>
      <c r="J4692">
        <v>2024</v>
      </c>
      <c r="K4692">
        <f t="shared" si="146"/>
        <v>42.410000000000011</v>
      </c>
      <c r="L4692" t="str">
        <f t="shared" si="147"/>
        <v>Banca Sicula|11|Conti</v>
      </c>
    </row>
    <row r="4693" spans="1:12" x14ac:dyDescent="0.25">
      <c r="A4693" t="s">
        <v>40</v>
      </c>
      <c r="B4693">
        <v>11</v>
      </c>
      <c r="C4693" t="s">
        <v>17</v>
      </c>
      <c r="D4693" s="1">
        <v>45626</v>
      </c>
      <c r="E4693">
        <v>2785.5</v>
      </c>
      <c r="F4693">
        <v>142.34</v>
      </c>
      <c r="G4693">
        <v>87.01</v>
      </c>
      <c r="H4693">
        <v>256</v>
      </c>
      <c r="I4693" t="s">
        <v>41</v>
      </c>
      <c r="J4693">
        <v>2024</v>
      </c>
      <c r="K4693">
        <f t="shared" si="146"/>
        <v>55.33</v>
      </c>
      <c r="L4693" t="str">
        <f t="shared" si="147"/>
        <v>Banca Sicula|11|Carte</v>
      </c>
    </row>
    <row r="4694" spans="1:12" x14ac:dyDescent="0.25">
      <c r="A4694" t="s">
        <v>40</v>
      </c>
      <c r="B4694">
        <v>11</v>
      </c>
      <c r="C4694" t="s">
        <v>18</v>
      </c>
      <c r="D4694" s="1">
        <v>45626</v>
      </c>
      <c r="E4694">
        <v>3231.6</v>
      </c>
      <c r="F4694">
        <v>171.56</v>
      </c>
      <c r="G4694">
        <v>104.13</v>
      </c>
      <c r="H4694">
        <v>305</v>
      </c>
      <c r="I4694" t="s">
        <v>41</v>
      </c>
      <c r="J4694">
        <v>2024</v>
      </c>
      <c r="K4694">
        <f t="shared" si="146"/>
        <v>67.430000000000007</v>
      </c>
      <c r="L4694" t="str">
        <f t="shared" si="147"/>
        <v>Banca Sicula|11|Leasing</v>
      </c>
    </row>
    <row r="4695" spans="1:12" x14ac:dyDescent="0.25">
      <c r="A4695" t="s">
        <v>40</v>
      </c>
      <c r="B4695">
        <v>11</v>
      </c>
      <c r="C4695" t="s">
        <v>19</v>
      </c>
      <c r="D4695" s="1">
        <v>45626</v>
      </c>
      <c r="E4695">
        <v>3771.6</v>
      </c>
      <c r="F4695">
        <v>208.13</v>
      </c>
      <c r="G4695">
        <v>124.87</v>
      </c>
      <c r="H4695">
        <v>373</v>
      </c>
      <c r="I4695" t="s">
        <v>41</v>
      </c>
      <c r="J4695">
        <v>2024</v>
      </c>
      <c r="K4695">
        <f t="shared" si="146"/>
        <v>83.259999999999991</v>
      </c>
      <c r="L4695" t="str">
        <f t="shared" si="147"/>
        <v>Banca Sicula|11|Factoring</v>
      </c>
    </row>
    <row r="4696" spans="1:12" x14ac:dyDescent="0.25">
      <c r="A4696" t="s">
        <v>40</v>
      </c>
      <c r="B4696">
        <v>11</v>
      </c>
      <c r="C4696" t="s">
        <v>20</v>
      </c>
      <c r="D4696" s="1">
        <v>45626</v>
      </c>
      <c r="E4696">
        <v>4233.5</v>
      </c>
      <c r="F4696">
        <v>242.19</v>
      </c>
      <c r="G4696">
        <v>144.72999999999999</v>
      </c>
      <c r="H4696">
        <v>402</v>
      </c>
      <c r="I4696" t="s">
        <v>41</v>
      </c>
      <c r="J4696">
        <v>2024</v>
      </c>
      <c r="K4696">
        <f t="shared" si="146"/>
        <v>97.460000000000008</v>
      </c>
      <c r="L4696" t="str">
        <f t="shared" si="147"/>
        <v>Banca Sicula|11|Risparmio</v>
      </c>
    </row>
    <row r="4697" spans="1:12" x14ac:dyDescent="0.25">
      <c r="A4697" t="s">
        <v>40</v>
      </c>
      <c r="B4697">
        <v>11</v>
      </c>
      <c r="C4697" t="s">
        <v>21</v>
      </c>
      <c r="D4697" s="1">
        <v>45626</v>
      </c>
      <c r="E4697">
        <v>4709.3999999999996</v>
      </c>
      <c r="F4697">
        <v>278.29000000000002</v>
      </c>
      <c r="G4697">
        <v>165.63</v>
      </c>
      <c r="H4697">
        <v>440</v>
      </c>
      <c r="I4697" t="s">
        <v>41</v>
      </c>
      <c r="J4697">
        <v>2024</v>
      </c>
      <c r="K4697">
        <f t="shared" si="146"/>
        <v>112.66000000000003</v>
      </c>
      <c r="L4697" t="str">
        <f t="shared" si="147"/>
        <v>Banca Sicula|11|Assicurazioni</v>
      </c>
    </row>
    <row r="4698" spans="1:12" x14ac:dyDescent="0.25">
      <c r="A4698" t="s">
        <v>40</v>
      </c>
      <c r="B4698">
        <v>12</v>
      </c>
      <c r="C4698" t="s">
        <v>13</v>
      </c>
      <c r="D4698" s="1">
        <v>45657</v>
      </c>
      <c r="E4698">
        <v>1294.8</v>
      </c>
      <c r="F4698">
        <v>58.44</v>
      </c>
      <c r="G4698">
        <v>37.21</v>
      </c>
      <c r="H4698">
        <v>143</v>
      </c>
      <c r="I4698" t="s">
        <v>41</v>
      </c>
      <c r="J4698">
        <v>2024</v>
      </c>
      <c r="K4698">
        <f t="shared" si="146"/>
        <v>21.229999999999997</v>
      </c>
      <c r="L4698" t="str">
        <f t="shared" si="147"/>
        <v>Banca Sicula|12|Mutui</v>
      </c>
    </row>
    <row r="4699" spans="1:12" x14ac:dyDescent="0.25">
      <c r="A4699" t="s">
        <v>40</v>
      </c>
      <c r="B4699">
        <v>12</v>
      </c>
      <c r="C4699" t="s">
        <v>15</v>
      </c>
      <c r="D4699" s="1">
        <v>45657</v>
      </c>
      <c r="E4699">
        <v>1780.6</v>
      </c>
      <c r="F4699">
        <v>84.03</v>
      </c>
      <c r="G4699">
        <v>52.24</v>
      </c>
      <c r="H4699">
        <v>168</v>
      </c>
      <c r="I4699" t="s">
        <v>41</v>
      </c>
      <c r="J4699">
        <v>2024</v>
      </c>
      <c r="K4699">
        <f t="shared" si="146"/>
        <v>31.79</v>
      </c>
      <c r="L4699" t="str">
        <f t="shared" si="147"/>
        <v>Banca Sicula|12|Prestiti</v>
      </c>
    </row>
    <row r="4700" spans="1:12" x14ac:dyDescent="0.25">
      <c r="A4700" t="s">
        <v>40</v>
      </c>
      <c r="B4700">
        <v>12</v>
      </c>
      <c r="C4700" t="s">
        <v>16</v>
      </c>
      <c r="D4700" s="1">
        <v>45657</v>
      </c>
      <c r="E4700">
        <v>2318.6</v>
      </c>
      <c r="F4700">
        <v>113.99</v>
      </c>
      <c r="G4700">
        <v>69.84</v>
      </c>
      <c r="H4700">
        <v>210</v>
      </c>
      <c r="I4700" t="s">
        <v>41</v>
      </c>
      <c r="J4700">
        <v>2024</v>
      </c>
      <c r="K4700">
        <f t="shared" si="146"/>
        <v>44.149999999999991</v>
      </c>
      <c r="L4700" t="str">
        <f t="shared" si="147"/>
        <v>Banca Sicula|12|Conti</v>
      </c>
    </row>
    <row r="4701" spans="1:12" x14ac:dyDescent="0.25">
      <c r="A4701" t="s">
        <v>40</v>
      </c>
      <c r="B4701">
        <v>12</v>
      </c>
      <c r="C4701" t="s">
        <v>17</v>
      </c>
      <c r="D4701" s="1">
        <v>45657</v>
      </c>
      <c r="E4701">
        <v>2761.7</v>
      </c>
      <c r="F4701">
        <v>141.49</v>
      </c>
      <c r="G4701">
        <v>86.16</v>
      </c>
      <c r="H4701">
        <v>266</v>
      </c>
      <c r="I4701" t="s">
        <v>41</v>
      </c>
      <c r="J4701">
        <v>2024</v>
      </c>
      <c r="K4701">
        <f t="shared" si="146"/>
        <v>55.330000000000013</v>
      </c>
      <c r="L4701" t="str">
        <f t="shared" si="147"/>
        <v>Banca Sicula|12|Carte</v>
      </c>
    </row>
    <row r="4702" spans="1:12" x14ac:dyDescent="0.25">
      <c r="A4702" t="s">
        <v>40</v>
      </c>
      <c r="B4702">
        <v>12</v>
      </c>
      <c r="C4702" t="s">
        <v>18</v>
      </c>
      <c r="D4702" s="1">
        <v>45657</v>
      </c>
      <c r="E4702">
        <v>3262.2</v>
      </c>
      <c r="F4702">
        <v>172.96</v>
      </c>
      <c r="G4702">
        <v>105.23</v>
      </c>
      <c r="H4702">
        <v>311</v>
      </c>
      <c r="I4702" t="s">
        <v>41</v>
      </c>
      <c r="J4702">
        <v>2024</v>
      </c>
      <c r="K4702">
        <f t="shared" si="146"/>
        <v>67.73</v>
      </c>
      <c r="L4702" t="str">
        <f t="shared" si="147"/>
        <v>Banca Sicula|12|Leasing</v>
      </c>
    </row>
    <row r="4703" spans="1:12" x14ac:dyDescent="0.25">
      <c r="A4703" t="s">
        <v>40</v>
      </c>
      <c r="B4703">
        <v>12</v>
      </c>
      <c r="C4703" t="s">
        <v>19</v>
      </c>
      <c r="D4703" s="1">
        <v>45657</v>
      </c>
      <c r="E4703">
        <v>3768.8</v>
      </c>
      <c r="F4703">
        <v>207.91</v>
      </c>
      <c r="G4703">
        <v>124.81</v>
      </c>
      <c r="H4703">
        <v>356</v>
      </c>
      <c r="I4703" t="s">
        <v>41</v>
      </c>
      <c r="J4703">
        <v>2024</v>
      </c>
      <c r="K4703">
        <f t="shared" si="146"/>
        <v>83.1</v>
      </c>
      <c r="L4703" t="str">
        <f t="shared" si="147"/>
        <v>Banca Sicula|12|Factoring</v>
      </c>
    </row>
    <row r="4704" spans="1:12" x14ac:dyDescent="0.25">
      <c r="A4704" t="s">
        <v>40</v>
      </c>
      <c r="B4704">
        <v>12</v>
      </c>
      <c r="C4704" t="s">
        <v>20</v>
      </c>
      <c r="D4704" s="1">
        <v>45657</v>
      </c>
      <c r="E4704">
        <v>4270.1000000000004</v>
      </c>
      <c r="F4704">
        <v>243.88</v>
      </c>
      <c r="G4704">
        <v>145.68</v>
      </c>
      <c r="H4704">
        <v>423</v>
      </c>
      <c r="I4704" t="s">
        <v>41</v>
      </c>
      <c r="J4704">
        <v>2024</v>
      </c>
      <c r="K4704">
        <f t="shared" si="146"/>
        <v>98.199999999999989</v>
      </c>
      <c r="L4704" t="str">
        <f t="shared" si="147"/>
        <v>Banca Sicula|12|Risparmio</v>
      </c>
    </row>
    <row r="4705" spans="1:12" x14ac:dyDescent="0.25">
      <c r="A4705" t="s">
        <v>40</v>
      </c>
      <c r="B4705">
        <v>12</v>
      </c>
      <c r="C4705" t="s">
        <v>21</v>
      </c>
      <c r="D4705" s="1">
        <v>45657</v>
      </c>
      <c r="E4705">
        <v>4726</v>
      </c>
      <c r="F4705">
        <v>279.16000000000003</v>
      </c>
      <c r="G4705">
        <v>165.55</v>
      </c>
      <c r="H4705">
        <v>435</v>
      </c>
      <c r="I4705" t="s">
        <v>41</v>
      </c>
      <c r="J4705">
        <v>2024</v>
      </c>
      <c r="K4705">
        <f t="shared" si="146"/>
        <v>113.61000000000001</v>
      </c>
      <c r="L4705" t="str">
        <f t="shared" si="147"/>
        <v>Banca Sicula|12|Assicurazioni</v>
      </c>
    </row>
    <row r="4706" spans="1:12" x14ac:dyDescent="0.25">
      <c r="A4706" t="s">
        <v>40</v>
      </c>
      <c r="B4706">
        <v>13</v>
      </c>
      <c r="C4706" t="s">
        <v>13</v>
      </c>
      <c r="D4706" s="1">
        <v>45688</v>
      </c>
      <c r="E4706">
        <v>1349.9</v>
      </c>
      <c r="F4706">
        <v>60.84</v>
      </c>
      <c r="G4706">
        <v>38.11</v>
      </c>
      <c r="H4706">
        <v>153</v>
      </c>
      <c r="I4706" t="s">
        <v>41</v>
      </c>
      <c r="J4706">
        <v>2025</v>
      </c>
      <c r="K4706">
        <f t="shared" si="146"/>
        <v>22.730000000000004</v>
      </c>
      <c r="L4706" t="str">
        <f t="shared" si="147"/>
        <v>Banca Sicula|13|Mutui</v>
      </c>
    </row>
    <row r="4707" spans="1:12" x14ac:dyDescent="0.25">
      <c r="A4707" t="s">
        <v>40</v>
      </c>
      <c r="B4707">
        <v>13</v>
      </c>
      <c r="C4707" t="s">
        <v>15</v>
      </c>
      <c r="D4707" s="1">
        <v>45688</v>
      </c>
      <c r="E4707">
        <v>1810.9</v>
      </c>
      <c r="F4707">
        <v>85.71</v>
      </c>
      <c r="G4707">
        <v>53.28</v>
      </c>
      <c r="H4707">
        <v>175</v>
      </c>
      <c r="I4707" t="s">
        <v>41</v>
      </c>
      <c r="J4707">
        <v>2025</v>
      </c>
      <c r="K4707">
        <f t="shared" si="146"/>
        <v>32.429999999999993</v>
      </c>
      <c r="L4707" t="str">
        <f t="shared" si="147"/>
        <v>Banca Sicula|13|Prestiti</v>
      </c>
    </row>
    <row r="4708" spans="1:12" x14ac:dyDescent="0.25">
      <c r="A4708" t="s">
        <v>40</v>
      </c>
      <c r="B4708">
        <v>13</v>
      </c>
      <c r="C4708" t="s">
        <v>16</v>
      </c>
      <c r="D4708" s="1">
        <v>45688</v>
      </c>
      <c r="E4708">
        <v>2338.8000000000002</v>
      </c>
      <c r="F4708">
        <v>115.49</v>
      </c>
      <c r="G4708">
        <v>70.64</v>
      </c>
      <c r="H4708">
        <v>246</v>
      </c>
      <c r="I4708" t="s">
        <v>41</v>
      </c>
      <c r="J4708">
        <v>2025</v>
      </c>
      <c r="K4708">
        <f t="shared" si="146"/>
        <v>44.849999999999994</v>
      </c>
      <c r="L4708" t="str">
        <f t="shared" si="147"/>
        <v>Banca Sicula|13|Conti</v>
      </c>
    </row>
    <row r="4709" spans="1:12" x14ac:dyDescent="0.25">
      <c r="A4709" t="s">
        <v>40</v>
      </c>
      <c r="B4709">
        <v>13</v>
      </c>
      <c r="C4709" t="s">
        <v>17</v>
      </c>
      <c r="D4709" s="1">
        <v>45688</v>
      </c>
      <c r="E4709">
        <v>2789.7</v>
      </c>
      <c r="F4709">
        <v>142.61000000000001</v>
      </c>
      <c r="G4709">
        <v>87.13</v>
      </c>
      <c r="H4709">
        <v>258</v>
      </c>
      <c r="I4709" t="s">
        <v>41</v>
      </c>
      <c r="J4709">
        <v>2025</v>
      </c>
      <c r="K4709">
        <f t="shared" si="146"/>
        <v>55.480000000000018</v>
      </c>
      <c r="L4709" t="str">
        <f t="shared" si="147"/>
        <v>Banca Sicula|13|Carte</v>
      </c>
    </row>
    <row r="4710" spans="1:12" x14ac:dyDescent="0.25">
      <c r="A4710" t="s">
        <v>40</v>
      </c>
      <c r="B4710">
        <v>13</v>
      </c>
      <c r="C4710" t="s">
        <v>18</v>
      </c>
      <c r="D4710" s="1">
        <v>45688</v>
      </c>
      <c r="E4710">
        <v>3297.5</v>
      </c>
      <c r="F4710">
        <v>175.68</v>
      </c>
      <c r="G4710">
        <v>105.81</v>
      </c>
      <c r="H4710">
        <v>317</v>
      </c>
      <c r="I4710" t="s">
        <v>41</v>
      </c>
      <c r="J4710">
        <v>2025</v>
      </c>
      <c r="K4710">
        <f t="shared" si="146"/>
        <v>69.87</v>
      </c>
      <c r="L4710" t="str">
        <f t="shared" si="147"/>
        <v>Banca Sicula|13|Leasing</v>
      </c>
    </row>
    <row r="4711" spans="1:12" x14ac:dyDescent="0.25">
      <c r="A4711" t="s">
        <v>40</v>
      </c>
      <c r="B4711">
        <v>13</v>
      </c>
      <c r="C4711" t="s">
        <v>19</v>
      </c>
      <c r="D4711" s="1">
        <v>45688</v>
      </c>
      <c r="E4711">
        <v>3817.3</v>
      </c>
      <c r="F4711">
        <v>210.84</v>
      </c>
      <c r="G4711">
        <v>126.4</v>
      </c>
      <c r="H4711">
        <v>344</v>
      </c>
      <c r="I4711" t="s">
        <v>41</v>
      </c>
      <c r="J4711">
        <v>2025</v>
      </c>
      <c r="K4711">
        <f t="shared" si="146"/>
        <v>84.44</v>
      </c>
      <c r="L4711" t="str">
        <f t="shared" si="147"/>
        <v>Banca Sicula|13|Factoring</v>
      </c>
    </row>
    <row r="4712" spans="1:12" x14ac:dyDescent="0.25">
      <c r="A4712" t="s">
        <v>40</v>
      </c>
      <c r="B4712">
        <v>13</v>
      </c>
      <c r="C4712" t="s">
        <v>20</v>
      </c>
      <c r="D4712" s="1">
        <v>45688</v>
      </c>
      <c r="E4712">
        <v>4320.2</v>
      </c>
      <c r="F4712">
        <v>246.75</v>
      </c>
      <c r="G4712">
        <v>147.38999999999999</v>
      </c>
      <c r="H4712">
        <v>402</v>
      </c>
      <c r="I4712" t="s">
        <v>41</v>
      </c>
      <c r="J4712">
        <v>2025</v>
      </c>
      <c r="K4712">
        <f t="shared" si="146"/>
        <v>99.360000000000014</v>
      </c>
      <c r="L4712" t="str">
        <f t="shared" si="147"/>
        <v>Banca Sicula|13|Risparmio</v>
      </c>
    </row>
    <row r="4713" spans="1:12" x14ac:dyDescent="0.25">
      <c r="A4713" t="s">
        <v>40</v>
      </c>
      <c r="B4713">
        <v>13</v>
      </c>
      <c r="C4713" t="s">
        <v>21</v>
      </c>
      <c r="D4713" s="1">
        <v>45688</v>
      </c>
      <c r="E4713">
        <v>4793.5</v>
      </c>
      <c r="F4713">
        <v>283.57</v>
      </c>
      <c r="G4713">
        <v>168.76</v>
      </c>
      <c r="H4713">
        <v>470</v>
      </c>
      <c r="I4713" t="s">
        <v>41</v>
      </c>
      <c r="J4713">
        <v>2025</v>
      </c>
      <c r="K4713">
        <f t="shared" si="146"/>
        <v>114.81</v>
      </c>
      <c r="L4713" t="str">
        <f t="shared" si="147"/>
        <v>Banca Sicula|13|Assicurazioni</v>
      </c>
    </row>
    <row r="4714" spans="1:12" x14ac:dyDescent="0.25">
      <c r="A4714" t="s">
        <v>40</v>
      </c>
      <c r="B4714">
        <v>14</v>
      </c>
      <c r="C4714" t="s">
        <v>13</v>
      </c>
      <c r="D4714" s="1">
        <v>45716</v>
      </c>
      <c r="E4714">
        <v>1316</v>
      </c>
      <c r="F4714">
        <v>60.08</v>
      </c>
      <c r="G4714">
        <v>37.01</v>
      </c>
      <c r="H4714">
        <v>135</v>
      </c>
      <c r="I4714" t="s">
        <v>41</v>
      </c>
      <c r="J4714">
        <v>2025</v>
      </c>
      <c r="K4714">
        <f t="shared" si="146"/>
        <v>23.07</v>
      </c>
      <c r="L4714" t="str">
        <f t="shared" si="147"/>
        <v>Banca Sicula|14|Mutui</v>
      </c>
    </row>
    <row r="4715" spans="1:12" x14ac:dyDescent="0.25">
      <c r="A4715" t="s">
        <v>40</v>
      </c>
      <c r="B4715">
        <v>14</v>
      </c>
      <c r="C4715" t="s">
        <v>15</v>
      </c>
      <c r="D4715" s="1">
        <v>45716</v>
      </c>
      <c r="E4715">
        <v>1804.1</v>
      </c>
      <c r="F4715">
        <v>85.79</v>
      </c>
      <c r="G4715">
        <v>52.88</v>
      </c>
      <c r="H4715">
        <v>190</v>
      </c>
      <c r="I4715" t="s">
        <v>41</v>
      </c>
      <c r="J4715">
        <v>2025</v>
      </c>
      <c r="K4715">
        <f t="shared" si="146"/>
        <v>32.910000000000004</v>
      </c>
      <c r="L4715" t="str">
        <f t="shared" si="147"/>
        <v>Banca Sicula|14|Prestiti</v>
      </c>
    </row>
    <row r="4716" spans="1:12" x14ac:dyDescent="0.25">
      <c r="A4716" t="s">
        <v>40</v>
      </c>
      <c r="B4716">
        <v>14</v>
      </c>
      <c r="C4716" t="s">
        <v>16</v>
      </c>
      <c r="D4716" s="1">
        <v>45716</v>
      </c>
      <c r="E4716">
        <v>2299.8000000000002</v>
      </c>
      <c r="F4716">
        <v>113.36</v>
      </c>
      <c r="G4716">
        <v>69.010000000000005</v>
      </c>
      <c r="H4716">
        <v>234</v>
      </c>
      <c r="I4716" t="s">
        <v>41</v>
      </c>
      <c r="J4716">
        <v>2025</v>
      </c>
      <c r="K4716">
        <f t="shared" si="146"/>
        <v>44.349999999999994</v>
      </c>
      <c r="L4716" t="str">
        <f t="shared" si="147"/>
        <v>Banca Sicula|14|Conti</v>
      </c>
    </row>
    <row r="4717" spans="1:12" x14ac:dyDescent="0.25">
      <c r="A4717" t="s">
        <v>40</v>
      </c>
      <c r="B4717">
        <v>14</v>
      </c>
      <c r="C4717" t="s">
        <v>17</v>
      </c>
      <c r="D4717" s="1">
        <v>45716</v>
      </c>
      <c r="E4717">
        <v>2834.8</v>
      </c>
      <c r="F4717">
        <v>145.38</v>
      </c>
      <c r="G4717">
        <v>88.71</v>
      </c>
      <c r="H4717">
        <v>255</v>
      </c>
      <c r="I4717" t="s">
        <v>41</v>
      </c>
      <c r="J4717">
        <v>2025</v>
      </c>
      <c r="K4717">
        <f t="shared" si="146"/>
        <v>56.67</v>
      </c>
      <c r="L4717" t="str">
        <f t="shared" si="147"/>
        <v>Banca Sicula|14|Carte</v>
      </c>
    </row>
    <row r="4718" spans="1:12" x14ac:dyDescent="0.25">
      <c r="A4718" t="s">
        <v>40</v>
      </c>
      <c r="B4718">
        <v>14</v>
      </c>
      <c r="C4718" t="s">
        <v>18</v>
      </c>
      <c r="D4718" s="1">
        <v>45716</v>
      </c>
      <c r="E4718">
        <v>3342.4</v>
      </c>
      <c r="F4718">
        <v>177.31</v>
      </c>
      <c r="G4718">
        <v>107.7</v>
      </c>
      <c r="H4718">
        <v>312</v>
      </c>
      <c r="I4718" t="s">
        <v>41</v>
      </c>
      <c r="J4718">
        <v>2025</v>
      </c>
      <c r="K4718">
        <f t="shared" si="146"/>
        <v>69.61</v>
      </c>
      <c r="L4718" t="str">
        <f t="shared" si="147"/>
        <v>Banca Sicula|14|Leasing</v>
      </c>
    </row>
    <row r="4719" spans="1:12" x14ac:dyDescent="0.25">
      <c r="A4719" t="s">
        <v>40</v>
      </c>
      <c r="B4719">
        <v>14</v>
      </c>
      <c r="C4719" t="s">
        <v>19</v>
      </c>
      <c r="D4719" s="1">
        <v>45716</v>
      </c>
      <c r="E4719">
        <v>3848.2</v>
      </c>
      <c r="F4719">
        <v>212.03</v>
      </c>
      <c r="G4719">
        <v>127.13</v>
      </c>
      <c r="H4719">
        <v>359</v>
      </c>
      <c r="I4719" t="s">
        <v>41</v>
      </c>
      <c r="J4719">
        <v>2025</v>
      </c>
      <c r="K4719">
        <f t="shared" si="146"/>
        <v>84.9</v>
      </c>
      <c r="L4719" t="str">
        <f t="shared" si="147"/>
        <v>Banca Sicula|14|Factoring</v>
      </c>
    </row>
    <row r="4720" spans="1:12" x14ac:dyDescent="0.25">
      <c r="A4720" t="s">
        <v>40</v>
      </c>
      <c r="B4720">
        <v>14</v>
      </c>
      <c r="C4720" t="s">
        <v>20</v>
      </c>
      <c r="D4720" s="1">
        <v>45716</v>
      </c>
      <c r="E4720">
        <v>4313.5</v>
      </c>
      <c r="F4720">
        <v>246.22</v>
      </c>
      <c r="G4720">
        <v>147.4</v>
      </c>
      <c r="H4720">
        <v>423</v>
      </c>
      <c r="I4720" t="s">
        <v>41</v>
      </c>
      <c r="J4720">
        <v>2025</v>
      </c>
      <c r="K4720">
        <f t="shared" si="146"/>
        <v>98.82</v>
      </c>
      <c r="L4720" t="str">
        <f t="shared" si="147"/>
        <v>Banca Sicula|14|Risparmio</v>
      </c>
    </row>
    <row r="4721" spans="1:12" x14ac:dyDescent="0.25">
      <c r="A4721" t="s">
        <v>40</v>
      </c>
      <c r="B4721">
        <v>14</v>
      </c>
      <c r="C4721" t="s">
        <v>21</v>
      </c>
      <c r="D4721" s="1">
        <v>45716</v>
      </c>
      <c r="E4721">
        <v>4811.8</v>
      </c>
      <c r="F4721">
        <v>284.64</v>
      </c>
      <c r="G4721">
        <v>169.33</v>
      </c>
      <c r="H4721">
        <v>450</v>
      </c>
      <c r="I4721" t="s">
        <v>41</v>
      </c>
      <c r="J4721">
        <v>2025</v>
      </c>
      <c r="K4721">
        <f t="shared" si="146"/>
        <v>115.30999999999997</v>
      </c>
      <c r="L4721" t="str">
        <f t="shared" si="147"/>
        <v>Banca Sicula|14|Assicurazioni</v>
      </c>
    </row>
    <row r="4722" spans="1:12" x14ac:dyDescent="0.25">
      <c r="A4722" t="s">
        <v>40</v>
      </c>
      <c r="B4722">
        <v>15</v>
      </c>
      <c r="C4722" t="s">
        <v>13</v>
      </c>
      <c r="D4722" s="1">
        <v>45747</v>
      </c>
      <c r="E4722">
        <v>1347.1</v>
      </c>
      <c r="F4722">
        <v>60.94</v>
      </c>
      <c r="G4722">
        <v>38.51</v>
      </c>
      <c r="H4722">
        <v>120</v>
      </c>
      <c r="I4722" t="s">
        <v>41</v>
      </c>
      <c r="J4722">
        <v>2025</v>
      </c>
      <c r="K4722">
        <f t="shared" si="146"/>
        <v>22.43</v>
      </c>
      <c r="L4722" t="str">
        <f t="shared" si="147"/>
        <v>Banca Sicula|15|Mutui</v>
      </c>
    </row>
    <row r="4723" spans="1:12" x14ac:dyDescent="0.25">
      <c r="A4723" t="s">
        <v>40</v>
      </c>
      <c r="B4723">
        <v>15</v>
      </c>
      <c r="C4723" t="s">
        <v>15</v>
      </c>
      <c r="D4723" s="1">
        <v>45747</v>
      </c>
      <c r="E4723">
        <v>1821.5</v>
      </c>
      <c r="F4723">
        <v>86.09</v>
      </c>
      <c r="G4723">
        <v>53.71</v>
      </c>
      <c r="H4723">
        <v>194</v>
      </c>
      <c r="I4723" t="s">
        <v>41</v>
      </c>
      <c r="J4723">
        <v>2025</v>
      </c>
      <c r="K4723">
        <f t="shared" si="146"/>
        <v>32.380000000000003</v>
      </c>
      <c r="L4723" t="str">
        <f t="shared" si="147"/>
        <v>Banca Sicula|15|Prestiti</v>
      </c>
    </row>
    <row r="4724" spans="1:12" x14ac:dyDescent="0.25">
      <c r="A4724" t="s">
        <v>40</v>
      </c>
      <c r="B4724">
        <v>15</v>
      </c>
      <c r="C4724" t="s">
        <v>16</v>
      </c>
      <c r="D4724" s="1">
        <v>45747</v>
      </c>
      <c r="E4724">
        <v>2363.8000000000002</v>
      </c>
      <c r="F4724">
        <v>116.75</v>
      </c>
      <c r="G4724">
        <v>71.86</v>
      </c>
      <c r="H4724">
        <v>214</v>
      </c>
      <c r="I4724" t="s">
        <v>41</v>
      </c>
      <c r="J4724">
        <v>2025</v>
      </c>
      <c r="K4724">
        <f t="shared" si="146"/>
        <v>44.89</v>
      </c>
      <c r="L4724" t="str">
        <f t="shared" si="147"/>
        <v>Banca Sicula|15|Conti</v>
      </c>
    </row>
    <row r="4725" spans="1:12" x14ac:dyDescent="0.25">
      <c r="A4725" t="s">
        <v>40</v>
      </c>
      <c r="B4725">
        <v>15</v>
      </c>
      <c r="C4725" t="s">
        <v>17</v>
      </c>
      <c r="D4725" s="1">
        <v>45747</v>
      </c>
      <c r="E4725">
        <v>2874.3</v>
      </c>
      <c r="F4725">
        <v>146.71</v>
      </c>
      <c r="G4725">
        <v>89.93</v>
      </c>
      <c r="H4725">
        <v>273</v>
      </c>
      <c r="I4725" t="s">
        <v>41</v>
      </c>
      <c r="J4725">
        <v>2025</v>
      </c>
      <c r="K4725">
        <f t="shared" si="146"/>
        <v>56.78</v>
      </c>
      <c r="L4725" t="str">
        <f t="shared" si="147"/>
        <v>Banca Sicula|15|Carte</v>
      </c>
    </row>
    <row r="4726" spans="1:12" x14ac:dyDescent="0.25">
      <c r="A4726" t="s">
        <v>40</v>
      </c>
      <c r="B4726">
        <v>15</v>
      </c>
      <c r="C4726" t="s">
        <v>18</v>
      </c>
      <c r="D4726" s="1">
        <v>45747</v>
      </c>
      <c r="E4726">
        <v>3322.9</v>
      </c>
      <c r="F4726">
        <v>176.97</v>
      </c>
      <c r="G4726">
        <v>106.51</v>
      </c>
      <c r="H4726">
        <v>312</v>
      </c>
      <c r="I4726" t="s">
        <v>41</v>
      </c>
      <c r="J4726">
        <v>2025</v>
      </c>
      <c r="K4726">
        <f t="shared" si="146"/>
        <v>70.459999999999994</v>
      </c>
      <c r="L4726" t="str">
        <f t="shared" si="147"/>
        <v>Banca Sicula|15|Leasing</v>
      </c>
    </row>
    <row r="4727" spans="1:12" x14ac:dyDescent="0.25">
      <c r="A4727" t="s">
        <v>40</v>
      </c>
      <c r="B4727">
        <v>15</v>
      </c>
      <c r="C4727" t="s">
        <v>19</v>
      </c>
      <c r="D4727" s="1">
        <v>45747</v>
      </c>
      <c r="E4727">
        <v>3868.1</v>
      </c>
      <c r="F4727">
        <v>213.68</v>
      </c>
      <c r="G4727">
        <v>127.8</v>
      </c>
      <c r="H4727">
        <v>357</v>
      </c>
      <c r="I4727" t="s">
        <v>41</v>
      </c>
      <c r="J4727">
        <v>2025</v>
      </c>
      <c r="K4727">
        <f t="shared" si="146"/>
        <v>85.88000000000001</v>
      </c>
      <c r="L4727" t="str">
        <f t="shared" si="147"/>
        <v>Banca Sicula|15|Factoring</v>
      </c>
    </row>
    <row r="4728" spans="1:12" x14ac:dyDescent="0.25">
      <c r="A4728" t="s">
        <v>40</v>
      </c>
      <c r="B4728">
        <v>15</v>
      </c>
      <c r="C4728" t="s">
        <v>20</v>
      </c>
      <c r="D4728" s="1">
        <v>45747</v>
      </c>
      <c r="E4728">
        <v>4331.3999999999996</v>
      </c>
      <c r="F4728">
        <v>247.78</v>
      </c>
      <c r="G4728">
        <v>147.69999999999999</v>
      </c>
      <c r="H4728">
        <v>406</v>
      </c>
      <c r="I4728" t="s">
        <v>41</v>
      </c>
      <c r="J4728">
        <v>2025</v>
      </c>
      <c r="K4728">
        <f t="shared" si="146"/>
        <v>100.08000000000001</v>
      </c>
      <c r="L4728" t="str">
        <f t="shared" si="147"/>
        <v>Banca Sicula|15|Risparmio</v>
      </c>
    </row>
    <row r="4729" spans="1:12" x14ac:dyDescent="0.25">
      <c r="A4729" t="s">
        <v>40</v>
      </c>
      <c r="B4729">
        <v>15</v>
      </c>
      <c r="C4729" t="s">
        <v>21</v>
      </c>
      <c r="D4729" s="1">
        <v>45747</v>
      </c>
      <c r="E4729">
        <v>4836</v>
      </c>
      <c r="F4729">
        <v>285.7</v>
      </c>
      <c r="G4729">
        <v>170</v>
      </c>
      <c r="H4729">
        <v>442</v>
      </c>
      <c r="I4729" t="s">
        <v>41</v>
      </c>
      <c r="J4729">
        <v>2025</v>
      </c>
      <c r="K4729">
        <f t="shared" si="146"/>
        <v>115.69999999999999</v>
      </c>
      <c r="L4729" t="str">
        <f t="shared" si="147"/>
        <v>Banca Sicula|15|Assicurazioni</v>
      </c>
    </row>
    <row r="4730" spans="1:12" x14ac:dyDescent="0.25">
      <c r="A4730" t="s">
        <v>40</v>
      </c>
      <c r="B4730">
        <v>16</v>
      </c>
      <c r="C4730" t="s">
        <v>13</v>
      </c>
      <c r="D4730" s="1">
        <v>45777</v>
      </c>
      <c r="E4730">
        <v>1349.6</v>
      </c>
      <c r="F4730">
        <v>61.23</v>
      </c>
      <c r="G4730">
        <v>38.19</v>
      </c>
      <c r="H4730">
        <v>142</v>
      </c>
      <c r="I4730" t="s">
        <v>41</v>
      </c>
      <c r="J4730">
        <v>2025</v>
      </c>
      <c r="K4730">
        <f t="shared" si="146"/>
        <v>23.04</v>
      </c>
      <c r="L4730" t="str">
        <f t="shared" si="147"/>
        <v>Banca Sicula|16|Mutui</v>
      </c>
    </row>
    <row r="4731" spans="1:12" x14ac:dyDescent="0.25">
      <c r="A4731" t="s">
        <v>40</v>
      </c>
      <c r="B4731">
        <v>16</v>
      </c>
      <c r="C4731" t="s">
        <v>15</v>
      </c>
      <c r="D4731" s="1">
        <v>45777</v>
      </c>
      <c r="E4731">
        <v>1837.6</v>
      </c>
      <c r="F4731">
        <v>86.77</v>
      </c>
      <c r="G4731">
        <v>53.88</v>
      </c>
      <c r="H4731">
        <v>202</v>
      </c>
      <c r="I4731" t="s">
        <v>41</v>
      </c>
      <c r="J4731">
        <v>2025</v>
      </c>
      <c r="K4731">
        <f t="shared" si="146"/>
        <v>32.889999999999993</v>
      </c>
      <c r="L4731" t="str">
        <f t="shared" si="147"/>
        <v>Banca Sicula|16|Prestiti</v>
      </c>
    </row>
    <row r="4732" spans="1:12" x14ac:dyDescent="0.25">
      <c r="A4732" t="s">
        <v>40</v>
      </c>
      <c r="B4732">
        <v>16</v>
      </c>
      <c r="C4732" t="s">
        <v>16</v>
      </c>
      <c r="D4732" s="1">
        <v>45777</v>
      </c>
      <c r="E4732">
        <v>2352.9</v>
      </c>
      <c r="F4732">
        <v>116.21</v>
      </c>
      <c r="G4732">
        <v>71</v>
      </c>
      <c r="H4732">
        <v>224</v>
      </c>
      <c r="I4732" t="s">
        <v>41</v>
      </c>
      <c r="J4732">
        <v>2025</v>
      </c>
      <c r="K4732">
        <f t="shared" si="146"/>
        <v>45.209999999999994</v>
      </c>
      <c r="L4732" t="str">
        <f t="shared" si="147"/>
        <v>Banca Sicula|16|Conti</v>
      </c>
    </row>
    <row r="4733" spans="1:12" x14ac:dyDescent="0.25">
      <c r="A4733" t="s">
        <v>40</v>
      </c>
      <c r="B4733">
        <v>16</v>
      </c>
      <c r="C4733" t="s">
        <v>17</v>
      </c>
      <c r="D4733" s="1">
        <v>45777</v>
      </c>
      <c r="E4733">
        <v>2886.5</v>
      </c>
      <c r="F4733">
        <v>147.36000000000001</v>
      </c>
      <c r="G4733">
        <v>89.94</v>
      </c>
      <c r="H4733">
        <v>264</v>
      </c>
      <c r="I4733" t="s">
        <v>41</v>
      </c>
      <c r="J4733">
        <v>2025</v>
      </c>
      <c r="K4733">
        <f t="shared" si="146"/>
        <v>57.420000000000016</v>
      </c>
      <c r="L4733" t="str">
        <f t="shared" si="147"/>
        <v>Banca Sicula|16|Carte</v>
      </c>
    </row>
    <row r="4734" spans="1:12" x14ac:dyDescent="0.25">
      <c r="A4734" t="s">
        <v>40</v>
      </c>
      <c r="B4734">
        <v>16</v>
      </c>
      <c r="C4734" t="s">
        <v>18</v>
      </c>
      <c r="D4734" s="1">
        <v>45777</v>
      </c>
      <c r="E4734">
        <v>3386.4</v>
      </c>
      <c r="F4734">
        <v>179.81</v>
      </c>
      <c r="G4734">
        <v>108.92</v>
      </c>
      <c r="H4734">
        <v>324</v>
      </c>
      <c r="I4734" t="s">
        <v>41</v>
      </c>
      <c r="J4734">
        <v>2025</v>
      </c>
      <c r="K4734">
        <f t="shared" si="146"/>
        <v>70.89</v>
      </c>
      <c r="L4734" t="str">
        <f t="shared" si="147"/>
        <v>Banca Sicula|16|Leasing</v>
      </c>
    </row>
    <row r="4735" spans="1:12" x14ac:dyDescent="0.25">
      <c r="A4735" t="s">
        <v>40</v>
      </c>
      <c r="B4735">
        <v>16</v>
      </c>
      <c r="C4735" t="s">
        <v>19</v>
      </c>
      <c r="D4735" s="1">
        <v>45777</v>
      </c>
      <c r="E4735">
        <v>3899.4</v>
      </c>
      <c r="F4735">
        <v>214.96</v>
      </c>
      <c r="G4735">
        <v>129.19</v>
      </c>
      <c r="H4735">
        <v>345</v>
      </c>
      <c r="I4735" t="s">
        <v>41</v>
      </c>
      <c r="J4735">
        <v>2025</v>
      </c>
      <c r="K4735">
        <f t="shared" si="146"/>
        <v>85.77000000000001</v>
      </c>
      <c r="L4735" t="str">
        <f t="shared" si="147"/>
        <v>Banca Sicula|16|Factoring</v>
      </c>
    </row>
    <row r="4736" spans="1:12" x14ac:dyDescent="0.25">
      <c r="A4736" t="s">
        <v>40</v>
      </c>
      <c r="B4736">
        <v>16</v>
      </c>
      <c r="C4736" t="s">
        <v>20</v>
      </c>
      <c r="D4736" s="1">
        <v>45777</v>
      </c>
      <c r="E4736">
        <v>4413</v>
      </c>
      <c r="F4736">
        <v>251.92</v>
      </c>
      <c r="G4736">
        <v>150.66999999999999</v>
      </c>
      <c r="H4736">
        <v>389</v>
      </c>
      <c r="I4736" t="s">
        <v>41</v>
      </c>
      <c r="J4736">
        <v>2025</v>
      </c>
      <c r="K4736">
        <f t="shared" si="146"/>
        <v>101.25</v>
      </c>
      <c r="L4736" t="str">
        <f t="shared" si="147"/>
        <v>Banca Sicula|16|Risparmio</v>
      </c>
    </row>
    <row r="4737" spans="1:12" x14ac:dyDescent="0.25">
      <c r="A4737" t="s">
        <v>40</v>
      </c>
      <c r="B4737">
        <v>16</v>
      </c>
      <c r="C4737" t="s">
        <v>21</v>
      </c>
      <c r="D4737" s="1">
        <v>45777</v>
      </c>
      <c r="E4737">
        <v>4891</v>
      </c>
      <c r="F4737">
        <v>289.02</v>
      </c>
      <c r="G4737">
        <v>171.8</v>
      </c>
      <c r="H4737">
        <v>439</v>
      </c>
      <c r="I4737" t="s">
        <v>41</v>
      </c>
      <c r="J4737">
        <v>2025</v>
      </c>
      <c r="K4737">
        <f t="shared" si="146"/>
        <v>117.21999999999997</v>
      </c>
      <c r="L4737" t="str">
        <f t="shared" si="147"/>
        <v>Banca Sicula|16|Assicurazioni</v>
      </c>
    </row>
    <row r="4738" spans="1:12" x14ac:dyDescent="0.25">
      <c r="A4738" t="s">
        <v>40</v>
      </c>
      <c r="B4738">
        <v>17</v>
      </c>
      <c r="C4738" t="s">
        <v>13</v>
      </c>
      <c r="D4738" s="1">
        <v>45808</v>
      </c>
      <c r="E4738">
        <v>1352.6</v>
      </c>
      <c r="F4738">
        <v>61.21</v>
      </c>
      <c r="G4738">
        <v>38.08</v>
      </c>
      <c r="H4738">
        <v>159</v>
      </c>
      <c r="I4738" t="s">
        <v>41</v>
      </c>
      <c r="J4738">
        <v>2025</v>
      </c>
      <c r="K4738">
        <f t="shared" ref="K4738:K4801" si="148">F4738-G4738</f>
        <v>23.130000000000003</v>
      </c>
      <c r="L4738" t="str">
        <f t="shared" ref="L4738:L4801" si="149">A4738&amp;"|"&amp;B4738&amp;"|"&amp;C4738</f>
        <v>Banca Sicula|17|Mutui</v>
      </c>
    </row>
    <row r="4739" spans="1:12" x14ac:dyDescent="0.25">
      <c r="A4739" t="s">
        <v>40</v>
      </c>
      <c r="B4739">
        <v>17</v>
      </c>
      <c r="C4739" t="s">
        <v>15</v>
      </c>
      <c r="D4739" s="1">
        <v>45808</v>
      </c>
      <c r="E4739">
        <v>1880.5</v>
      </c>
      <c r="F4739">
        <v>88.86</v>
      </c>
      <c r="G4739">
        <v>54.58</v>
      </c>
      <c r="H4739">
        <v>191</v>
      </c>
      <c r="I4739" t="s">
        <v>41</v>
      </c>
      <c r="J4739">
        <v>2025</v>
      </c>
      <c r="K4739">
        <f t="shared" si="148"/>
        <v>34.28</v>
      </c>
      <c r="L4739" t="str">
        <f t="shared" si="149"/>
        <v>Banca Sicula|17|Prestiti</v>
      </c>
    </row>
    <row r="4740" spans="1:12" x14ac:dyDescent="0.25">
      <c r="A4740" t="s">
        <v>40</v>
      </c>
      <c r="B4740">
        <v>17</v>
      </c>
      <c r="C4740" t="s">
        <v>16</v>
      </c>
      <c r="D4740" s="1">
        <v>45808</v>
      </c>
      <c r="E4740">
        <v>2369.1</v>
      </c>
      <c r="F4740">
        <v>117</v>
      </c>
      <c r="G4740">
        <v>71.540000000000006</v>
      </c>
      <c r="H4740">
        <v>229</v>
      </c>
      <c r="I4740" t="s">
        <v>41</v>
      </c>
      <c r="J4740">
        <v>2025</v>
      </c>
      <c r="K4740">
        <f t="shared" si="148"/>
        <v>45.459999999999994</v>
      </c>
      <c r="L4740" t="str">
        <f t="shared" si="149"/>
        <v>Banca Sicula|17|Conti</v>
      </c>
    </row>
    <row r="4741" spans="1:12" x14ac:dyDescent="0.25">
      <c r="A4741" t="s">
        <v>40</v>
      </c>
      <c r="B4741">
        <v>17</v>
      </c>
      <c r="C4741" t="s">
        <v>17</v>
      </c>
      <c r="D4741" s="1">
        <v>45808</v>
      </c>
      <c r="E4741">
        <v>2861.3</v>
      </c>
      <c r="F4741">
        <v>146.87</v>
      </c>
      <c r="G4741">
        <v>89.46</v>
      </c>
      <c r="H4741">
        <v>284</v>
      </c>
      <c r="I4741" t="s">
        <v>41</v>
      </c>
      <c r="J4741">
        <v>2025</v>
      </c>
      <c r="K4741">
        <f t="shared" si="148"/>
        <v>57.410000000000011</v>
      </c>
      <c r="L4741" t="str">
        <f t="shared" si="149"/>
        <v>Banca Sicula|17|Carte</v>
      </c>
    </row>
    <row r="4742" spans="1:12" x14ac:dyDescent="0.25">
      <c r="A4742" t="s">
        <v>40</v>
      </c>
      <c r="B4742">
        <v>17</v>
      </c>
      <c r="C4742" t="s">
        <v>18</v>
      </c>
      <c r="D4742" s="1">
        <v>45808</v>
      </c>
      <c r="E4742">
        <v>3427.8</v>
      </c>
      <c r="F4742">
        <v>182.56</v>
      </c>
      <c r="G4742">
        <v>110.25</v>
      </c>
      <c r="H4742">
        <v>299</v>
      </c>
      <c r="I4742" t="s">
        <v>41</v>
      </c>
      <c r="J4742">
        <v>2025</v>
      </c>
      <c r="K4742">
        <f t="shared" si="148"/>
        <v>72.31</v>
      </c>
      <c r="L4742" t="str">
        <f t="shared" si="149"/>
        <v>Banca Sicula|17|Leasing</v>
      </c>
    </row>
    <row r="4743" spans="1:12" x14ac:dyDescent="0.25">
      <c r="A4743" t="s">
        <v>40</v>
      </c>
      <c r="B4743">
        <v>17</v>
      </c>
      <c r="C4743" t="s">
        <v>19</v>
      </c>
      <c r="D4743" s="1">
        <v>45808</v>
      </c>
      <c r="E4743">
        <v>3924.8</v>
      </c>
      <c r="F4743">
        <v>216.16</v>
      </c>
      <c r="G4743">
        <v>129.91999999999999</v>
      </c>
      <c r="H4743">
        <v>381</v>
      </c>
      <c r="I4743" t="s">
        <v>41</v>
      </c>
      <c r="J4743">
        <v>2025</v>
      </c>
      <c r="K4743">
        <f t="shared" si="148"/>
        <v>86.240000000000009</v>
      </c>
      <c r="L4743" t="str">
        <f t="shared" si="149"/>
        <v>Banca Sicula|17|Factoring</v>
      </c>
    </row>
    <row r="4744" spans="1:12" x14ac:dyDescent="0.25">
      <c r="A4744" t="s">
        <v>40</v>
      </c>
      <c r="B4744">
        <v>17</v>
      </c>
      <c r="C4744" t="s">
        <v>20</v>
      </c>
      <c r="D4744" s="1">
        <v>45808</v>
      </c>
      <c r="E4744">
        <v>4415.8999999999996</v>
      </c>
      <c r="F4744">
        <v>252.24</v>
      </c>
      <c r="G4744">
        <v>150.44999999999999</v>
      </c>
      <c r="H4744">
        <v>423</v>
      </c>
      <c r="I4744" t="s">
        <v>41</v>
      </c>
      <c r="J4744">
        <v>2025</v>
      </c>
      <c r="K4744">
        <f t="shared" si="148"/>
        <v>101.79000000000002</v>
      </c>
      <c r="L4744" t="str">
        <f t="shared" si="149"/>
        <v>Banca Sicula|17|Risparmio</v>
      </c>
    </row>
    <row r="4745" spans="1:12" x14ac:dyDescent="0.25">
      <c r="A4745" t="s">
        <v>40</v>
      </c>
      <c r="B4745">
        <v>17</v>
      </c>
      <c r="C4745" t="s">
        <v>21</v>
      </c>
      <c r="D4745" s="1">
        <v>45808</v>
      </c>
      <c r="E4745">
        <v>4936.5</v>
      </c>
      <c r="F4745">
        <v>291.38</v>
      </c>
      <c r="G4745">
        <v>173.35</v>
      </c>
      <c r="H4745">
        <v>471</v>
      </c>
      <c r="I4745" t="s">
        <v>41</v>
      </c>
      <c r="J4745">
        <v>2025</v>
      </c>
      <c r="K4745">
        <f t="shared" si="148"/>
        <v>118.03</v>
      </c>
      <c r="L4745" t="str">
        <f t="shared" si="149"/>
        <v>Banca Sicula|17|Assicurazioni</v>
      </c>
    </row>
    <row r="4746" spans="1:12" x14ac:dyDescent="0.25">
      <c r="A4746" t="s">
        <v>40</v>
      </c>
      <c r="B4746">
        <v>18</v>
      </c>
      <c r="C4746" t="s">
        <v>13</v>
      </c>
      <c r="D4746" s="1">
        <v>45838</v>
      </c>
      <c r="E4746">
        <v>1381.9</v>
      </c>
      <c r="F4746">
        <v>62.63</v>
      </c>
      <c r="G4746">
        <v>39.549999999999997</v>
      </c>
      <c r="H4746">
        <v>148</v>
      </c>
      <c r="I4746" t="s">
        <v>41</v>
      </c>
      <c r="J4746">
        <v>2025</v>
      </c>
      <c r="K4746">
        <f t="shared" si="148"/>
        <v>23.080000000000005</v>
      </c>
      <c r="L4746" t="str">
        <f t="shared" si="149"/>
        <v>Banca Sicula|18|Mutui</v>
      </c>
    </row>
    <row r="4747" spans="1:12" x14ac:dyDescent="0.25">
      <c r="A4747" t="s">
        <v>40</v>
      </c>
      <c r="B4747">
        <v>18</v>
      </c>
      <c r="C4747" t="s">
        <v>15</v>
      </c>
      <c r="D4747" s="1">
        <v>45838</v>
      </c>
      <c r="E4747">
        <v>1857.2</v>
      </c>
      <c r="F4747">
        <v>88.2</v>
      </c>
      <c r="G4747">
        <v>53.97</v>
      </c>
      <c r="H4747">
        <v>203</v>
      </c>
      <c r="I4747" t="s">
        <v>41</v>
      </c>
      <c r="J4747">
        <v>2025</v>
      </c>
      <c r="K4747">
        <f t="shared" si="148"/>
        <v>34.230000000000004</v>
      </c>
      <c r="L4747" t="str">
        <f t="shared" si="149"/>
        <v>Banca Sicula|18|Prestiti</v>
      </c>
    </row>
    <row r="4748" spans="1:12" x14ac:dyDescent="0.25">
      <c r="A4748" t="s">
        <v>40</v>
      </c>
      <c r="B4748">
        <v>18</v>
      </c>
      <c r="C4748" t="s">
        <v>16</v>
      </c>
      <c r="D4748" s="1">
        <v>45838</v>
      </c>
      <c r="E4748">
        <v>2378.4</v>
      </c>
      <c r="F4748">
        <v>117.23</v>
      </c>
      <c r="G4748">
        <v>72.2</v>
      </c>
      <c r="H4748">
        <v>216</v>
      </c>
      <c r="I4748" t="s">
        <v>41</v>
      </c>
      <c r="J4748">
        <v>2025</v>
      </c>
      <c r="K4748">
        <f t="shared" si="148"/>
        <v>45.03</v>
      </c>
      <c r="L4748" t="str">
        <f t="shared" si="149"/>
        <v>Banca Sicula|18|Conti</v>
      </c>
    </row>
    <row r="4749" spans="1:12" x14ac:dyDescent="0.25">
      <c r="A4749" t="s">
        <v>40</v>
      </c>
      <c r="B4749">
        <v>18</v>
      </c>
      <c r="C4749" t="s">
        <v>17</v>
      </c>
      <c r="D4749" s="1">
        <v>45838</v>
      </c>
      <c r="E4749">
        <v>2912.6</v>
      </c>
      <c r="F4749">
        <v>149.32</v>
      </c>
      <c r="G4749">
        <v>90.48</v>
      </c>
      <c r="H4749">
        <v>262</v>
      </c>
      <c r="I4749" t="s">
        <v>41</v>
      </c>
      <c r="J4749">
        <v>2025</v>
      </c>
      <c r="K4749">
        <f t="shared" si="148"/>
        <v>58.839999999999989</v>
      </c>
      <c r="L4749" t="str">
        <f t="shared" si="149"/>
        <v>Banca Sicula|18|Carte</v>
      </c>
    </row>
    <row r="4750" spans="1:12" x14ac:dyDescent="0.25">
      <c r="A4750" t="s">
        <v>40</v>
      </c>
      <c r="B4750">
        <v>18</v>
      </c>
      <c r="C4750" t="s">
        <v>18</v>
      </c>
      <c r="D4750" s="1">
        <v>45838</v>
      </c>
      <c r="E4750">
        <v>3434.6</v>
      </c>
      <c r="F4750">
        <v>182.11</v>
      </c>
      <c r="G4750">
        <v>110.03</v>
      </c>
      <c r="H4750">
        <v>306</v>
      </c>
      <c r="I4750" t="s">
        <v>41</v>
      </c>
      <c r="J4750">
        <v>2025</v>
      </c>
      <c r="K4750">
        <f t="shared" si="148"/>
        <v>72.080000000000013</v>
      </c>
      <c r="L4750" t="str">
        <f t="shared" si="149"/>
        <v>Banca Sicula|18|Leasing</v>
      </c>
    </row>
    <row r="4751" spans="1:12" x14ac:dyDescent="0.25">
      <c r="A4751" t="s">
        <v>40</v>
      </c>
      <c r="B4751">
        <v>18</v>
      </c>
      <c r="C4751" t="s">
        <v>19</v>
      </c>
      <c r="D4751" s="1">
        <v>45838</v>
      </c>
      <c r="E4751">
        <v>3965.6</v>
      </c>
      <c r="F4751">
        <v>218.71</v>
      </c>
      <c r="G4751">
        <v>131.46</v>
      </c>
      <c r="H4751">
        <v>378</v>
      </c>
      <c r="I4751" t="s">
        <v>41</v>
      </c>
      <c r="J4751">
        <v>2025</v>
      </c>
      <c r="K4751">
        <f t="shared" si="148"/>
        <v>87.25</v>
      </c>
      <c r="L4751" t="str">
        <f t="shared" si="149"/>
        <v>Banca Sicula|18|Factoring</v>
      </c>
    </row>
    <row r="4752" spans="1:12" x14ac:dyDescent="0.25">
      <c r="A4752" t="s">
        <v>40</v>
      </c>
      <c r="B4752">
        <v>18</v>
      </c>
      <c r="C4752" t="s">
        <v>20</v>
      </c>
      <c r="D4752" s="1">
        <v>45838</v>
      </c>
      <c r="E4752">
        <v>4474.8</v>
      </c>
      <c r="F4752">
        <v>255.43</v>
      </c>
      <c r="G4752">
        <v>152.96</v>
      </c>
      <c r="H4752">
        <v>390</v>
      </c>
      <c r="I4752" t="s">
        <v>41</v>
      </c>
      <c r="J4752">
        <v>2025</v>
      </c>
      <c r="K4752">
        <f t="shared" si="148"/>
        <v>102.47</v>
      </c>
      <c r="L4752" t="str">
        <f t="shared" si="149"/>
        <v>Banca Sicula|18|Risparmio</v>
      </c>
    </row>
    <row r="4753" spans="1:12" x14ac:dyDescent="0.25">
      <c r="A4753" t="s">
        <v>40</v>
      </c>
      <c r="B4753">
        <v>18</v>
      </c>
      <c r="C4753" t="s">
        <v>21</v>
      </c>
      <c r="D4753" s="1">
        <v>45838</v>
      </c>
      <c r="E4753">
        <v>4946.5</v>
      </c>
      <c r="F4753">
        <v>291.87</v>
      </c>
      <c r="G4753">
        <v>173.98</v>
      </c>
      <c r="H4753">
        <v>471</v>
      </c>
      <c r="I4753" t="s">
        <v>41</v>
      </c>
      <c r="J4753">
        <v>2025</v>
      </c>
      <c r="K4753">
        <f t="shared" si="148"/>
        <v>117.89000000000001</v>
      </c>
      <c r="L4753" t="str">
        <f t="shared" si="149"/>
        <v>Banca Sicula|18|Assicurazioni</v>
      </c>
    </row>
    <row r="4754" spans="1:12" x14ac:dyDescent="0.25">
      <c r="A4754" t="s">
        <v>40</v>
      </c>
      <c r="B4754">
        <v>19</v>
      </c>
      <c r="C4754" t="s">
        <v>13</v>
      </c>
      <c r="D4754" s="1">
        <v>45869</v>
      </c>
      <c r="E4754">
        <v>1354.8</v>
      </c>
      <c r="F4754">
        <v>61.15</v>
      </c>
      <c r="G4754">
        <v>38.369999999999997</v>
      </c>
      <c r="H4754">
        <v>148</v>
      </c>
      <c r="I4754" t="s">
        <v>41</v>
      </c>
      <c r="J4754">
        <v>2025</v>
      </c>
      <c r="K4754">
        <f t="shared" si="148"/>
        <v>22.78</v>
      </c>
      <c r="L4754" t="str">
        <f t="shared" si="149"/>
        <v>Banca Sicula|19|Mutui</v>
      </c>
    </row>
    <row r="4755" spans="1:12" x14ac:dyDescent="0.25">
      <c r="A4755" t="s">
        <v>40</v>
      </c>
      <c r="B4755">
        <v>19</v>
      </c>
      <c r="C4755" t="s">
        <v>15</v>
      </c>
      <c r="D4755" s="1">
        <v>45869</v>
      </c>
      <c r="E4755">
        <v>1870.4</v>
      </c>
      <c r="F4755">
        <v>88.59</v>
      </c>
      <c r="G4755">
        <v>54.37</v>
      </c>
      <c r="H4755">
        <v>177</v>
      </c>
      <c r="I4755" t="s">
        <v>41</v>
      </c>
      <c r="J4755">
        <v>2025</v>
      </c>
      <c r="K4755">
        <f t="shared" si="148"/>
        <v>34.220000000000006</v>
      </c>
      <c r="L4755" t="str">
        <f t="shared" si="149"/>
        <v>Banca Sicula|19|Prestiti</v>
      </c>
    </row>
    <row r="4756" spans="1:12" x14ac:dyDescent="0.25">
      <c r="A4756" t="s">
        <v>40</v>
      </c>
      <c r="B4756">
        <v>19</v>
      </c>
      <c r="C4756" t="s">
        <v>16</v>
      </c>
      <c r="D4756" s="1">
        <v>45869</v>
      </c>
      <c r="E4756">
        <v>2411.1</v>
      </c>
      <c r="F4756">
        <v>119.08</v>
      </c>
      <c r="G4756">
        <v>72.69</v>
      </c>
      <c r="H4756">
        <v>219</v>
      </c>
      <c r="I4756" t="s">
        <v>41</v>
      </c>
      <c r="J4756">
        <v>2025</v>
      </c>
      <c r="K4756">
        <f t="shared" si="148"/>
        <v>46.39</v>
      </c>
      <c r="L4756" t="str">
        <f t="shared" si="149"/>
        <v>Banca Sicula|19|Conti</v>
      </c>
    </row>
    <row r="4757" spans="1:12" x14ac:dyDescent="0.25">
      <c r="A4757" t="s">
        <v>40</v>
      </c>
      <c r="B4757">
        <v>19</v>
      </c>
      <c r="C4757" t="s">
        <v>17</v>
      </c>
      <c r="D4757" s="1">
        <v>45869</v>
      </c>
      <c r="E4757">
        <v>2955.4</v>
      </c>
      <c r="F4757">
        <v>151.05000000000001</v>
      </c>
      <c r="G4757">
        <v>92.29</v>
      </c>
      <c r="H4757">
        <v>282</v>
      </c>
      <c r="I4757" t="s">
        <v>41</v>
      </c>
      <c r="J4757">
        <v>2025</v>
      </c>
      <c r="K4757">
        <f t="shared" si="148"/>
        <v>58.760000000000005</v>
      </c>
      <c r="L4757" t="str">
        <f t="shared" si="149"/>
        <v>Banca Sicula|19|Carte</v>
      </c>
    </row>
    <row r="4758" spans="1:12" x14ac:dyDescent="0.25">
      <c r="A4758" t="s">
        <v>40</v>
      </c>
      <c r="B4758">
        <v>19</v>
      </c>
      <c r="C4758" t="s">
        <v>18</v>
      </c>
      <c r="D4758" s="1">
        <v>45869</v>
      </c>
      <c r="E4758">
        <v>3461.8</v>
      </c>
      <c r="F4758">
        <v>183.8</v>
      </c>
      <c r="G4758">
        <v>111.02</v>
      </c>
      <c r="H4758">
        <v>300</v>
      </c>
      <c r="I4758" t="s">
        <v>41</v>
      </c>
      <c r="J4758">
        <v>2025</v>
      </c>
      <c r="K4758">
        <f t="shared" si="148"/>
        <v>72.780000000000015</v>
      </c>
      <c r="L4758" t="str">
        <f t="shared" si="149"/>
        <v>Banca Sicula|19|Leasing</v>
      </c>
    </row>
    <row r="4759" spans="1:12" x14ac:dyDescent="0.25">
      <c r="A4759" t="s">
        <v>40</v>
      </c>
      <c r="B4759">
        <v>19</v>
      </c>
      <c r="C4759" t="s">
        <v>19</v>
      </c>
      <c r="D4759" s="1">
        <v>45869</v>
      </c>
      <c r="E4759">
        <v>3939.8</v>
      </c>
      <c r="F4759">
        <v>217.56</v>
      </c>
      <c r="G4759">
        <v>130.82</v>
      </c>
      <c r="H4759">
        <v>382</v>
      </c>
      <c r="I4759" t="s">
        <v>41</v>
      </c>
      <c r="J4759">
        <v>2025</v>
      </c>
      <c r="K4759">
        <f t="shared" si="148"/>
        <v>86.740000000000009</v>
      </c>
      <c r="L4759" t="str">
        <f t="shared" si="149"/>
        <v>Banca Sicula|19|Factoring</v>
      </c>
    </row>
    <row r="4760" spans="1:12" x14ac:dyDescent="0.25">
      <c r="A4760" t="s">
        <v>40</v>
      </c>
      <c r="B4760">
        <v>19</v>
      </c>
      <c r="C4760" t="s">
        <v>20</v>
      </c>
      <c r="D4760" s="1">
        <v>45869</v>
      </c>
      <c r="E4760">
        <v>4459</v>
      </c>
      <c r="F4760">
        <v>255.09</v>
      </c>
      <c r="G4760">
        <v>151.86000000000001</v>
      </c>
      <c r="H4760">
        <v>393</v>
      </c>
      <c r="I4760" t="s">
        <v>41</v>
      </c>
      <c r="J4760">
        <v>2025</v>
      </c>
      <c r="K4760">
        <f t="shared" si="148"/>
        <v>103.22999999999999</v>
      </c>
      <c r="L4760" t="str">
        <f t="shared" si="149"/>
        <v>Banca Sicula|19|Risparmio</v>
      </c>
    </row>
    <row r="4761" spans="1:12" x14ac:dyDescent="0.25">
      <c r="A4761" t="s">
        <v>40</v>
      </c>
      <c r="B4761">
        <v>19</v>
      </c>
      <c r="C4761" t="s">
        <v>21</v>
      </c>
      <c r="D4761" s="1">
        <v>45869</v>
      </c>
      <c r="E4761">
        <v>5002.5</v>
      </c>
      <c r="F4761">
        <v>295.77999999999997</v>
      </c>
      <c r="G4761">
        <v>175.49</v>
      </c>
      <c r="H4761">
        <v>438</v>
      </c>
      <c r="I4761" t="s">
        <v>41</v>
      </c>
      <c r="J4761">
        <v>2025</v>
      </c>
      <c r="K4761">
        <f t="shared" si="148"/>
        <v>120.28999999999996</v>
      </c>
      <c r="L4761" t="str">
        <f t="shared" si="149"/>
        <v>Banca Sicula|19|Assicurazioni</v>
      </c>
    </row>
    <row r="4762" spans="1:12" x14ac:dyDescent="0.25">
      <c r="A4762" t="s">
        <v>40</v>
      </c>
      <c r="B4762">
        <v>20</v>
      </c>
      <c r="C4762" t="s">
        <v>13</v>
      </c>
      <c r="D4762" s="1">
        <v>45900</v>
      </c>
      <c r="E4762">
        <v>1377.9</v>
      </c>
      <c r="F4762">
        <v>62.48</v>
      </c>
      <c r="G4762">
        <v>38.85</v>
      </c>
      <c r="H4762">
        <v>135</v>
      </c>
      <c r="I4762" t="s">
        <v>41</v>
      </c>
      <c r="J4762">
        <v>2025</v>
      </c>
      <c r="K4762">
        <f t="shared" si="148"/>
        <v>23.629999999999995</v>
      </c>
      <c r="L4762" t="str">
        <f t="shared" si="149"/>
        <v>Banca Sicula|20|Mutui</v>
      </c>
    </row>
    <row r="4763" spans="1:12" x14ac:dyDescent="0.25">
      <c r="A4763" t="s">
        <v>40</v>
      </c>
      <c r="B4763">
        <v>20</v>
      </c>
      <c r="C4763" t="s">
        <v>15</v>
      </c>
      <c r="D4763" s="1">
        <v>45900</v>
      </c>
      <c r="E4763">
        <v>1914.1</v>
      </c>
      <c r="F4763">
        <v>89.97</v>
      </c>
      <c r="G4763">
        <v>56.06</v>
      </c>
      <c r="H4763">
        <v>170</v>
      </c>
      <c r="I4763" t="s">
        <v>41</v>
      </c>
      <c r="J4763">
        <v>2025</v>
      </c>
      <c r="K4763">
        <f t="shared" si="148"/>
        <v>33.909999999999997</v>
      </c>
      <c r="L4763" t="str">
        <f t="shared" si="149"/>
        <v>Banca Sicula|20|Prestiti</v>
      </c>
    </row>
    <row r="4764" spans="1:12" x14ac:dyDescent="0.25">
      <c r="A4764" t="s">
        <v>40</v>
      </c>
      <c r="B4764">
        <v>20</v>
      </c>
      <c r="C4764" t="s">
        <v>16</v>
      </c>
      <c r="D4764" s="1">
        <v>45900</v>
      </c>
      <c r="E4764">
        <v>2432.6</v>
      </c>
      <c r="F4764">
        <v>119.55</v>
      </c>
      <c r="G4764">
        <v>73.11</v>
      </c>
      <c r="H4764">
        <v>216</v>
      </c>
      <c r="I4764" t="s">
        <v>41</v>
      </c>
      <c r="J4764">
        <v>2025</v>
      </c>
      <c r="K4764">
        <f t="shared" si="148"/>
        <v>46.44</v>
      </c>
      <c r="L4764" t="str">
        <f t="shared" si="149"/>
        <v>Banca Sicula|20|Conti</v>
      </c>
    </row>
    <row r="4765" spans="1:12" x14ac:dyDescent="0.25">
      <c r="A4765" t="s">
        <v>40</v>
      </c>
      <c r="B4765">
        <v>20</v>
      </c>
      <c r="C4765" t="s">
        <v>17</v>
      </c>
      <c r="D4765" s="1">
        <v>45900</v>
      </c>
      <c r="E4765">
        <v>2923.9</v>
      </c>
      <c r="F4765">
        <v>150.05000000000001</v>
      </c>
      <c r="G4765">
        <v>91.04</v>
      </c>
      <c r="H4765">
        <v>278</v>
      </c>
      <c r="I4765" t="s">
        <v>41</v>
      </c>
      <c r="J4765">
        <v>2025</v>
      </c>
      <c r="K4765">
        <f t="shared" si="148"/>
        <v>59.010000000000005</v>
      </c>
      <c r="L4765" t="str">
        <f t="shared" si="149"/>
        <v>Banca Sicula|20|Carte</v>
      </c>
    </row>
    <row r="4766" spans="1:12" x14ac:dyDescent="0.25">
      <c r="A4766" t="s">
        <v>40</v>
      </c>
      <c r="B4766">
        <v>20</v>
      </c>
      <c r="C4766" t="s">
        <v>18</v>
      </c>
      <c r="D4766" s="1">
        <v>45900</v>
      </c>
      <c r="E4766">
        <v>3445.5</v>
      </c>
      <c r="F4766">
        <v>183.49</v>
      </c>
      <c r="G4766">
        <v>110.44</v>
      </c>
      <c r="H4766">
        <v>306</v>
      </c>
      <c r="I4766" t="s">
        <v>41</v>
      </c>
      <c r="J4766">
        <v>2025</v>
      </c>
      <c r="K4766">
        <f t="shared" si="148"/>
        <v>73.050000000000011</v>
      </c>
      <c r="L4766" t="str">
        <f t="shared" si="149"/>
        <v>Banca Sicula|20|Leasing</v>
      </c>
    </row>
    <row r="4767" spans="1:12" x14ac:dyDescent="0.25">
      <c r="A4767" t="s">
        <v>40</v>
      </c>
      <c r="B4767">
        <v>20</v>
      </c>
      <c r="C4767" t="s">
        <v>19</v>
      </c>
      <c r="D4767" s="1">
        <v>45900</v>
      </c>
      <c r="E4767">
        <v>3981.7</v>
      </c>
      <c r="F4767">
        <v>219.68</v>
      </c>
      <c r="G4767">
        <v>131.66</v>
      </c>
      <c r="H4767">
        <v>371</v>
      </c>
      <c r="I4767" t="s">
        <v>41</v>
      </c>
      <c r="J4767">
        <v>2025</v>
      </c>
      <c r="K4767">
        <f t="shared" si="148"/>
        <v>88.02000000000001</v>
      </c>
      <c r="L4767" t="str">
        <f t="shared" si="149"/>
        <v>Banca Sicula|20|Factoring</v>
      </c>
    </row>
    <row r="4768" spans="1:12" x14ac:dyDescent="0.25">
      <c r="A4768" t="s">
        <v>40</v>
      </c>
      <c r="B4768">
        <v>20</v>
      </c>
      <c r="C4768" t="s">
        <v>20</v>
      </c>
      <c r="D4768" s="1">
        <v>45900</v>
      </c>
      <c r="E4768">
        <v>4500</v>
      </c>
      <c r="F4768">
        <v>257.42</v>
      </c>
      <c r="G4768">
        <v>153.56</v>
      </c>
      <c r="H4768">
        <v>404</v>
      </c>
      <c r="I4768" t="s">
        <v>41</v>
      </c>
      <c r="J4768">
        <v>2025</v>
      </c>
      <c r="K4768">
        <f t="shared" si="148"/>
        <v>103.86000000000001</v>
      </c>
      <c r="L4768" t="str">
        <f t="shared" si="149"/>
        <v>Banca Sicula|20|Risparmio</v>
      </c>
    </row>
    <row r="4769" spans="1:12" x14ac:dyDescent="0.25">
      <c r="A4769" t="s">
        <v>40</v>
      </c>
      <c r="B4769">
        <v>20</v>
      </c>
      <c r="C4769" t="s">
        <v>21</v>
      </c>
      <c r="D4769" s="1">
        <v>45900</v>
      </c>
      <c r="E4769">
        <v>5010.1000000000004</v>
      </c>
      <c r="F4769">
        <v>295.64999999999998</v>
      </c>
      <c r="G4769">
        <v>176.21</v>
      </c>
      <c r="H4769">
        <v>451</v>
      </c>
      <c r="I4769" t="s">
        <v>41</v>
      </c>
      <c r="J4769">
        <v>2025</v>
      </c>
      <c r="K4769">
        <f t="shared" si="148"/>
        <v>119.43999999999997</v>
      </c>
      <c r="L4769" t="str">
        <f t="shared" si="149"/>
        <v>Banca Sicula|20|Assicurazioni</v>
      </c>
    </row>
    <row r="4770" spans="1:12" x14ac:dyDescent="0.25">
      <c r="A4770" t="s">
        <v>40</v>
      </c>
      <c r="B4770">
        <v>21</v>
      </c>
      <c r="C4770" t="s">
        <v>13</v>
      </c>
      <c r="D4770" s="1">
        <v>45930</v>
      </c>
      <c r="E4770">
        <v>1423.9</v>
      </c>
      <c r="F4770">
        <v>64.39</v>
      </c>
      <c r="G4770">
        <v>40.54</v>
      </c>
      <c r="H4770">
        <v>135</v>
      </c>
      <c r="I4770" t="s">
        <v>41</v>
      </c>
      <c r="J4770">
        <v>2025</v>
      </c>
      <c r="K4770">
        <f t="shared" si="148"/>
        <v>23.85</v>
      </c>
      <c r="L4770" t="str">
        <f t="shared" si="149"/>
        <v>Banca Sicula|21|Mutui</v>
      </c>
    </row>
    <row r="4771" spans="1:12" x14ac:dyDescent="0.25">
      <c r="A4771" t="s">
        <v>40</v>
      </c>
      <c r="B4771">
        <v>21</v>
      </c>
      <c r="C4771" t="s">
        <v>15</v>
      </c>
      <c r="D4771" s="1">
        <v>45930</v>
      </c>
      <c r="E4771">
        <v>1896.8</v>
      </c>
      <c r="F4771">
        <v>89.95</v>
      </c>
      <c r="G4771">
        <v>55.09</v>
      </c>
      <c r="H4771">
        <v>166</v>
      </c>
      <c r="I4771" t="s">
        <v>41</v>
      </c>
      <c r="J4771">
        <v>2025</v>
      </c>
      <c r="K4771">
        <f t="shared" si="148"/>
        <v>34.86</v>
      </c>
      <c r="L4771" t="str">
        <f t="shared" si="149"/>
        <v>Banca Sicula|21|Prestiti</v>
      </c>
    </row>
    <row r="4772" spans="1:12" x14ac:dyDescent="0.25">
      <c r="A4772" t="s">
        <v>40</v>
      </c>
      <c r="B4772">
        <v>21</v>
      </c>
      <c r="C4772" t="s">
        <v>16</v>
      </c>
      <c r="D4772" s="1">
        <v>45930</v>
      </c>
      <c r="E4772">
        <v>2464.9</v>
      </c>
      <c r="F4772">
        <v>121.02</v>
      </c>
      <c r="G4772">
        <v>74.75</v>
      </c>
      <c r="H4772">
        <v>210</v>
      </c>
      <c r="I4772" t="s">
        <v>41</v>
      </c>
      <c r="J4772">
        <v>2025</v>
      </c>
      <c r="K4772">
        <f t="shared" si="148"/>
        <v>46.269999999999996</v>
      </c>
      <c r="L4772" t="str">
        <f t="shared" si="149"/>
        <v>Banca Sicula|21|Conti</v>
      </c>
    </row>
    <row r="4773" spans="1:12" x14ac:dyDescent="0.25">
      <c r="A4773" t="s">
        <v>40</v>
      </c>
      <c r="B4773">
        <v>21</v>
      </c>
      <c r="C4773" t="s">
        <v>17</v>
      </c>
      <c r="D4773" s="1">
        <v>45930</v>
      </c>
      <c r="E4773">
        <v>2973.2</v>
      </c>
      <c r="F4773">
        <v>151.91999999999999</v>
      </c>
      <c r="G4773">
        <v>92.26</v>
      </c>
      <c r="H4773">
        <v>255</v>
      </c>
      <c r="I4773" t="s">
        <v>41</v>
      </c>
      <c r="J4773">
        <v>2025</v>
      </c>
      <c r="K4773">
        <f t="shared" si="148"/>
        <v>59.659999999999982</v>
      </c>
      <c r="L4773" t="str">
        <f t="shared" si="149"/>
        <v>Banca Sicula|21|Carte</v>
      </c>
    </row>
    <row r="4774" spans="1:12" x14ac:dyDescent="0.25">
      <c r="A4774" t="s">
        <v>40</v>
      </c>
      <c r="B4774">
        <v>21</v>
      </c>
      <c r="C4774" t="s">
        <v>18</v>
      </c>
      <c r="D4774" s="1">
        <v>45930</v>
      </c>
      <c r="E4774">
        <v>3475.1</v>
      </c>
      <c r="F4774">
        <v>184.93</v>
      </c>
      <c r="G4774">
        <v>112.08</v>
      </c>
      <c r="H4774">
        <v>332</v>
      </c>
      <c r="I4774" t="s">
        <v>41</v>
      </c>
      <c r="J4774">
        <v>2025</v>
      </c>
      <c r="K4774">
        <f t="shared" si="148"/>
        <v>72.850000000000009</v>
      </c>
      <c r="L4774" t="str">
        <f t="shared" si="149"/>
        <v>Banca Sicula|21|Leasing</v>
      </c>
    </row>
    <row r="4775" spans="1:12" x14ac:dyDescent="0.25">
      <c r="A4775" t="s">
        <v>40</v>
      </c>
      <c r="B4775">
        <v>21</v>
      </c>
      <c r="C4775" t="s">
        <v>19</v>
      </c>
      <c r="D4775" s="1">
        <v>45930</v>
      </c>
      <c r="E4775">
        <v>4020</v>
      </c>
      <c r="F4775">
        <v>221.9</v>
      </c>
      <c r="G4775">
        <v>133.4</v>
      </c>
      <c r="H4775">
        <v>346</v>
      </c>
      <c r="I4775" t="s">
        <v>41</v>
      </c>
      <c r="J4775">
        <v>2025</v>
      </c>
      <c r="K4775">
        <f t="shared" si="148"/>
        <v>88.5</v>
      </c>
      <c r="L4775" t="str">
        <f t="shared" si="149"/>
        <v>Banca Sicula|21|Factoring</v>
      </c>
    </row>
    <row r="4776" spans="1:12" x14ac:dyDescent="0.25">
      <c r="A4776" t="s">
        <v>40</v>
      </c>
      <c r="B4776">
        <v>21</v>
      </c>
      <c r="C4776" t="s">
        <v>20</v>
      </c>
      <c r="D4776" s="1">
        <v>45930</v>
      </c>
      <c r="E4776">
        <v>4541.8</v>
      </c>
      <c r="F4776">
        <v>258.95999999999998</v>
      </c>
      <c r="G4776">
        <v>155.37</v>
      </c>
      <c r="H4776">
        <v>415</v>
      </c>
      <c r="I4776" t="s">
        <v>41</v>
      </c>
      <c r="J4776">
        <v>2025</v>
      </c>
      <c r="K4776">
        <f t="shared" si="148"/>
        <v>103.58999999999997</v>
      </c>
      <c r="L4776" t="str">
        <f t="shared" si="149"/>
        <v>Banca Sicula|21|Risparmio</v>
      </c>
    </row>
    <row r="4777" spans="1:12" x14ac:dyDescent="0.25">
      <c r="A4777" t="s">
        <v>40</v>
      </c>
      <c r="B4777">
        <v>21</v>
      </c>
      <c r="C4777" t="s">
        <v>21</v>
      </c>
      <c r="D4777" s="1">
        <v>45930</v>
      </c>
      <c r="E4777">
        <v>5041.7</v>
      </c>
      <c r="F4777">
        <v>297.67</v>
      </c>
      <c r="G4777">
        <v>177.25</v>
      </c>
      <c r="H4777">
        <v>438</v>
      </c>
      <c r="I4777" t="s">
        <v>41</v>
      </c>
      <c r="J4777">
        <v>2025</v>
      </c>
      <c r="K4777">
        <f t="shared" si="148"/>
        <v>120.42000000000002</v>
      </c>
      <c r="L4777" t="str">
        <f t="shared" si="149"/>
        <v>Banca Sicula|21|Assicurazioni</v>
      </c>
    </row>
    <row r="4778" spans="1:12" x14ac:dyDescent="0.25">
      <c r="A4778" t="s">
        <v>40</v>
      </c>
      <c r="B4778">
        <v>22</v>
      </c>
      <c r="C4778" t="s">
        <v>13</v>
      </c>
      <c r="D4778" s="1">
        <v>45961</v>
      </c>
      <c r="E4778">
        <v>1412.1</v>
      </c>
      <c r="F4778">
        <v>64.150000000000006</v>
      </c>
      <c r="G4778">
        <v>39.76</v>
      </c>
      <c r="H4778">
        <v>155</v>
      </c>
      <c r="I4778" t="s">
        <v>41</v>
      </c>
      <c r="J4778">
        <v>2025</v>
      </c>
      <c r="K4778">
        <f t="shared" si="148"/>
        <v>24.390000000000008</v>
      </c>
      <c r="L4778" t="str">
        <f t="shared" si="149"/>
        <v>Banca Sicula|22|Mutui</v>
      </c>
    </row>
    <row r="4779" spans="1:12" x14ac:dyDescent="0.25">
      <c r="A4779" t="s">
        <v>40</v>
      </c>
      <c r="B4779">
        <v>22</v>
      </c>
      <c r="C4779" t="s">
        <v>15</v>
      </c>
      <c r="D4779" s="1">
        <v>45961</v>
      </c>
      <c r="E4779">
        <v>1943</v>
      </c>
      <c r="F4779">
        <v>91.44</v>
      </c>
      <c r="G4779">
        <v>56.86</v>
      </c>
      <c r="H4779">
        <v>198</v>
      </c>
      <c r="I4779" t="s">
        <v>41</v>
      </c>
      <c r="J4779">
        <v>2025</v>
      </c>
      <c r="K4779">
        <f t="shared" si="148"/>
        <v>34.58</v>
      </c>
      <c r="L4779" t="str">
        <f t="shared" si="149"/>
        <v>Banca Sicula|22|Prestiti</v>
      </c>
    </row>
    <row r="4780" spans="1:12" x14ac:dyDescent="0.25">
      <c r="A4780" t="s">
        <v>40</v>
      </c>
      <c r="B4780">
        <v>22</v>
      </c>
      <c r="C4780" t="s">
        <v>16</v>
      </c>
      <c r="D4780" s="1">
        <v>45961</v>
      </c>
      <c r="E4780">
        <v>2454.3000000000002</v>
      </c>
      <c r="F4780">
        <v>121.22</v>
      </c>
      <c r="G4780">
        <v>74.44</v>
      </c>
      <c r="H4780">
        <v>219</v>
      </c>
      <c r="I4780" t="s">
        <v>41</v>
      </c>
      <c r="J4780">
        <v>2025</v>
      </c>
      <c r="K4780">
        <f t="shared" si="148"/>
        <v>46.78</v>
      </c>
      <c r="L4780" t="str">
        <f t="shared" si="149"/>
        <v>Banca Sicula|22|Conti</v>
      </c>
    </row>
    <row r="4781" spans="1:12" x14ac:dyDescent="0.25">
      <c r="A4781" t="s">
        <v>40</v>
      </c>
      <c r="B4781">
        <v>22</v>
      </c>
      <c r="C4781" t="s">
        <v>17</v>
      </c>
      <c r="D4781" s="1">
        <v>45961</v>
      </c>
      <c r="E4781">
        <v>2988.1</v>
      </c>
      <c r="F4781">
        <v>152.83000000000001</v>
      </c>
      <c r="G4781">
        <v>93.48</v>
      </c>
      <c r="H4781">
        <v>288</v>
      </c>
      <c r="I4781" t="s">
        <v>41</v>
      </c>
      <c r="J4781">
        <v>2025</v>
      </c>
      <c r="K4781">
        <f t="shared" si="148"/>
        <v>59.350000000000009</v>
      </c>
      <c r="L4781" t="str">
        <f t="shared" si="149"/>
        <v>Banca Sicula|22|Carte</v>
      </c>
    </row>
    <row r="4782" spans="1:12" x14ac:dyDescent="0.25">
      <c r="A4782" t="s">
        <v>40</v>
      </c>
      <c r="B4782">
        <v>22</v>
      </c>
      <c r="C4782" t="s">
        <v>18</v>
      </c>
      <c r="D4782" s="1">
        <v>45961</v>
      </c>
      <c r="E4782">
        <v>3544.6</v>
      </c>
      <c r="F4782">
        <v>187.92</v>
      </c>
      <c r="G4782">
        <v>113.45</v>
      </c>
      <c r="H4782">
        <v>321</v>
      </c>
      <c r="I4782" t="s">
        <v>41</v>
      </c>
      <c r="J4782">
        <v>2025</v>
      </c>
      <c r="K4782">
        <f t="shared" si="148"/>
        <v>74.469999999999985</v>
      </c>
      <c r="L4782" t="str">
        <f t="shared" si="149"/>
        <v>Banca Sicula|22|Leasing</v>
      </c>
    </row>
    <row r="4783" spans="1:12" x14ac:dyDescent="0.25">
      <c r="A4783" t="s">
        <v>40</v>
      </c>
      <c r="B4783">
        <v>22</v>
      </c>
      <c r="C4783" t="s">
        <v>19</v>
      </c>
      <c r="D4783" s="1">
        <v>45961</v>
      </c>
      <c r="E4783">
        <v>4021</v>
      </c>
      <c r="F4783">
        <v>221.44</v>
      </c>
      <c r="G4783">
        <v>132.83000000000001</v>
      </c>
      <c r="H4783">
        <v>383</v>
      </c>
      <c r="I4783" t="s">
        <v>41</v>
      </c>
      <c r="J4783">
        <v>2025</v>
      </c>
      <c r="K4783">
        <f t="shared" si="148"/>
        <v>88.609999999999985</v>
      </c>
      <c r="L4783" t="str">
        <f t="shared" si="149"/>
        <v>Banca Sicula|22|Factoring</v>
      </c>
    </row>
    <row r="4784" spans="1:12" x14ac:dyDescent="0.25">
      <c r="A4784" t="s">
        <v>40</v>
      </c>
      <c r="B4784">
        <v>22</v>
      </c>
      <c r="C4784" t="s">
        <v>20</v>
      </c>
      <c r="D4784" s="1">
        <v>45961</v>
      </c>
      <c r="E4784">
        <v>4548.7</v>
      </c>
      <c r="F4784">
        <v>259.77999999999997</v>
      </c>
      <c r="G4784">
        <v>155.65</v>
      </c>
      <c r="H4784">
        <v>407</v>
      </c>
      <c r="I4784" t="s">
        <v>41</v>
      </c>
      <c r="J4784">
        <v>2025</v>
      </c>
      <c r="K4784">
        <f t="shared" si="148"/>
        <v>104.12999999999997</v>
      </c>
      <c r="L4784" t="str">
        <f t="shared" si="149"/>
        <v>Banca Sicula|22|Risparmio</v>
      </c>
    </row>
    <row r="4785" spans="1:12" x14ac:dyDescent="0.25">
      <c r="A4785" t="s">
        <v>40</v>
      </c>
      <c r="B4785">
        <v>22</v>
      </c>
      <c r="C4785" t="s">
        <v>21</v>
      </c>
      <c r="D4785" s="1">
        <v>45961</v>
      </c>
      <c r="E4785">
        <v>5106.8</v>
      </c>
      <c r="F4785">
        <v>301.83999999999997</v>
      </c>
      <c r="G4785">
        <v>179.74</v>
      </c>
      <c r="H4785">
        <v>442</v>
      </c>
      <c r="I4785" t="s">
        <v>41</v>
      </c>
      <c r="J4785">
        <v>2025</v>
      </c>
      <c r="K4785">
        <f t="shared" si="148"/>
        <v>122.09999999999997</v>
      </c>
      <c r="L4785" t="str">
        <f t="shared" si="149"/>
        <v>Banca Sicula|22|Assicurazioni</v>
      </c>
    </row>
    <row r="4786" spans="1:12" x14ac:dyDescent="0.25">
      <c r="A4786" t="s">
        <v>40</v>
      </c>
      <c r="B4786">
        <v>23</v>
      </c>
      <c r="C4786" t="s">
        <v>13</v>
      </c>
      <c r="D4786" s="1">
        <v>45991</v>
      </c>
      <c r="E4786">
        <v>1430</v>
      </c>
      <c r="F4786">
        <v>64.64</v>
      </c>
      <c r="G4786">
        <v>40.94</v>
      </c>
      <c r="H4786">
        <v>147</v>
      </c>
      <c r="I4786" t="s">
        <v>41</v>
      </c>
      <c r="J4786">
        <v>2025</v>
      </c>
      <c r="K4786">
        <f t="shared" si="148"/>
        <v>23.700000000000003</v>
      </c>
      <c r="L4786" t="str">
        <f t="shared" si="149"/>
        <v>Banca Sicula|23|Mutui</v>
      </c>
    </row>
    <row r="4787" spans="1:12" x14ac:dyDescent="0.25">
      <c r="A4787" t="s">
        <v>40</v>
      </c>
      <c r="B4787">
        <v>23</v>
      </c>
      <c r="C4787" t="s">
        <v>15</v>
      </c>
      <c r="D4787" s="1">
        <v>45991</v>
      </c>
      <c r="E4787">
        <v>1930.2</v>
      </c>
      <c r="F4787">
        <v>90.98</v>
      </c>
      <c r="G4787">
        <v>56.66</v>
      </c>
      <c r="H4787">
        <v>172</v>
      </c>
      <c r="I4787" t="s">
        <v>41</v>
      </c>
      <c r="J4787">
        <v>2025</v>
      </c>
      <c r="K4787">
        <f t="shared" si="148"/>
        <v>34.320000000000007</v>
      </c>
      <c r="L4787" t="str">
        <f t="shared" si="149"/>
        <v>Banca Sicula|23|Prestiti</v>
      </c>
    </row>
    <row r="4788" spans="1:12" x14ac:dyDescent="0.25">
      <c r="A4788" t="s">
        <v>40</v>
      </c>
      <c r="B4788">
        <v>23</v>
      </c>
      <c r="C4788" t="s">
        <v>16</v>
      </c>
      <c r="D4788" s="1">
        <v>45991</v>
      </c>
      <c r="E4788">
        <v>2498.8000000000002</v>
      </c>
      <c r="F4788">
        <v>122.8</v>
      </c>
      <c r="G4788">
        <v>75.88</v>
      </c>
      <c r="H4788">
        <v>216</v>
      </c>
      <c r="I4788" t="s">
        <v>41</v>
      </c>
      <c r="J4788">
        <v>2025</v>
      </c>
      <c r="K4788">
        <f t="shared" si="148"/>
        <v>46.92</v>
      </c>
      <c r="L4788" t="str">
        <f t="shared" si="149"/>
        <v>Banca Sicula|23|Conti</v>
      </c>
    </row>
    <row r="4789" spans="1:12" x14ac:dyDescent="0.25">
      <c r="A4789" t="s">
        <v>40</v>
      </c>
      <c r="B4789">
        <v>23</v>
      </c>
      <c r="C4789" t="s">
        <v>17</v>
      </c>
      <c r="D4789" s="1">
        <v>45991</v>
      </c>
      <c r="E4789">
        <v>3016.7</v>
      </c>
      <c r="F4789">
        <v>154.44</v>
      </c>
      <c r="G4789">
        <v>94.17</v>
      </c>
      <c r="H4789">
        <v>285</v>
      </c>
      <c r="I4789" t="s">
        <v>41</v>
      </c>
      <c r="J4789">
        <v>2025</v>
      </c>
      <c r="K4789">
        <f t="shared" si="148"/>
        <v>60.269999999999996</v>
      </c>
      <c r="L4789" t="str">
        <f t="shared" si="149"/>
        <v>Banca Sicula|23|Carte</v>
      </c>
    </row>
    <row r="4790" spans="1:12" x14ac:dyDescent="0.25">
      <c r="A4790" t="s">
        <v>40</v>
      </c>
      <c r="B4790">
        <v>23</v>
      </c>
      <c r="C4790" t="s">
        <v>18</v>
      </c>
      <c r="D4790" s="1">
        <v>45991</v>
      </c>
      <c r="E4790">
        <v>3513</v>
      </c>
      <c r="F4790">
        <v>187.17</v>
      </c>
      <c r="G4790">
        <v>112.96</v>
      </c>
      <c r="H4790">
        <v>329</v>
      </c>
      <c r="I4790" t="s">
        <v>41</v>
      </c>
      <c r="J4790">
        <v>2025</v>
      </c>
      <c r="K4790">
        <f t="shared" si="148"/>
        <v>74.209999999999994</v>
      </c>
      <c r="L4790" t="str">
        <f t="shared" si="149"/>
        <v>Banca Sicula|23|Leasing</v>
      </c>
    </row>
    <row r="4791" spans="1:12" x14ac:dyDescent="0.25">
      <c r="A4791" t="s">
        <v>40</v>
      </c>
      <c r="B4791">
        <v>23</v>
      </c>
      <c r="C4791" t="s">
        <v>19</v>
      </c>
      <c r="D4791" s="1">
        <v>45991</v>
      </c>
      <c r="E4791">
        <v>4092.7</v>
      </c>
      <c r="F4791">
        <v>226.07</v>
      </c>
      <c r="G4791">
        <v>135.4</v>
      </c>
      <c r="H4791">
        <v>371</v>
      </c>
      <c r="I4791" t="s">
        <v>41</v>
      </c>
      <c r="J4791">
        <v>2025</v>
      </c>
      <c r="K4791">
        <f t="shared" si="148"/>
        <v>90.669999999999987</v>
      </c>
      <c r="L4791" t="str">
        <f t="shared" si="149"/>
        <v>Banca Sicula|23|Factoring</v>
      </c>
    </row>
    <row r="4792" spans="1:12" x14ac:dyDescent="0.25">
      <c r="A4792" t="s">
        <v>40</v>
      </c>
      <c r="B4792">
        <v>23</v>
      </c>
      <c r="C4792" t="s">
        <v>20</v>
      </c>
      <c r="D4792" s="1">
        <v>45991</v>
      </c>
      <c r="E4792">
        <v>4611</v>
      </c>
      <c r="F4792">
        <v>263.27</v>
      </c>
      <c r="G4792">
        <v>157.41</v>
      </c>
      <c r="H4792">
        <v>394</v>
      </c>
      <c r="I4792" t="s">
        <v>41</v>
      </c>
      <c r="J4792">
        <v>2025</v>
      </c>
      <c r="K4792">
        <f t="shared" si="148"/>
        <v>105.85999999999999</v>
      </c>
      <c r="L4792" t="str">
        <f t="shared" si="149"/>
        <v>Banca Sicula|23|Risparmio</v>
      </c>
    </row>
    <row r="4793" spans="1:12" x14ac:dyDescent="0.25">
      <c r="A4793" t="s">
        <v>40</v>
      </c>
      <c r="B4793">
        <v>23</v>
      </c>
      <c r="C4793" t="s">
        <v>21</v>
      </c>
      <c r="D4793" s="1">
        <v>45991</v>
      </c>
      <c r="E4793">
        <v>5159.3999999999996</v>
      </c>
      <c r="F4793">
        <v>304.56</v>
      </c>
      <c r="G4793">
        <v>180.91</v>
      </c>
      <c r="H4793">
        <v>448</v>
      </c>
      <c r="I4793" t="s">
        <v>41</v>
      </c>
      <c r="J4793">
        <v>2025</v>
      </c>
      <c r="K4793">
        <f t="shared" si="148"/>
        <v>123.65</v>
      </c>
      <c r="L4793" t="str">
        <f t="shared" si="149"/>
        <v>Banca Sicula|23|Assicurazioni</v>
      </c>
    </row>
    <row r="4794" spans="1:12" x14ac:dyDescent="0.25">
      <c r="A4794" t="s">
        <v>40</v>
      </c>
      <c r="B4794">
        <v>24</v>
      </c>
      <c r="C4794" t="s">
        <v>13</v>
      </c>
      <c r="D4794" s="1">
        <v>46022</v>
      </c>
      <c r="E4794">
        <v>1414.9</v>
      </c>
      <c r="F4794">
        <v>64.28</v>
      </c>
      <c r="G4794">
        <v>40.56</v>
      </c>
      <c r="H4794">
        <v>126</v>
      </c>
      <c r="I4794" t="s">
        <v>41</v>
      </c>
      <c r="J4794">
        <v>2025</v>
      </c>
      <c r="K4794">
        <f t="shared" si="148"/>
        <v>23.72</v>
      </c>
      <c r="L4794" t="str">
        <f t="shared" si="149"/>
        <v>Banca Sicula|24|Mutui</v>
      </c>
    </row>
    <row r="4795" spans="1:12" x14ac:dyDescent="0.25">
      <c r="A4795" t="s">
        <v>40</v>
      </c>
      <c r="B4795">
        <v>24</v>
      </c>
      <c r="C4795" t="s">
        <v>15</v>
      </c>
      <c r="D4795" s="1">
        <v>46022</v>
      </c>
      <c r="E4795">
        <v>1933.8</v>
      </c>
      <c r="F4795">
        <v>91.47</v>
      </c>
      <c r="G4795">
        <v>56.88</v>
      </c>
      <c r="H4795">
        <v>200</v>
      </c>
      <c r="I4795" t="s">
        <v>41</v>
      </c>
      <c r="J4795">
        <v>2025</v>
      </c>
      <c r="K4795">
        <f t="shared" si="148"/>
        <v>34.589999999999996</v>
      </c>
      <c r="L4795" t="str">
        <f t="shared" si="149"/>
        <v>Banca Sicula|24|Prestiti</v>
      </c>
    </row>
    <row r="4796" spans="1:12" x14ac:dyDescent="0.25">
      <c r="A4796" t="s">
        <v>40</v>
      </c>
      <c r="B4796">
        <v>24</v>
      </c>
      <c r="C4796" t="s">
        <v>16</v>
      </c>
      <c r="D4796" s="1">
        <v>46022</v>
      </c>
      <c r="E4796">
        <v>2466.8000000000002</v>
      </c>
      <c r="F4796">
        <v>121.75</v>
      </c>
      <c r="G4796">
        <v>74.2</v>
      </c>
      <c r="H4796">
        <v>216</v>
      </c>
      <c r="I4796" t="s">
        <v>41</v>
      </c>
      <c r="J4796">
        <v>2025</v>
      </c>
      <c r="K4796">
        <f t="shared" si="148"/>
        <v>47.55</v>
      </c>
      <c r="L4796" t="str">
        <f t="shared" si="149"/>
        <v>Banca Sicula|24|Conti</v>
      </c>
    </row>
    <row r="4797" spans="1:12" x14ac:dyDescent="0.25">
      <c r="A4797" t="s">
        <v>40</v>
      </c>
      <c r="B4797">
        <v>24</v>
      </c>
      <c r="C4797" t="s">
        <v>17</v>
      </c>
      <c r="D4797" s="1">
        <v>46022</v>
      </c>
      <c r="E4797">
        <v>3013.6</v>
      </c>
      <c r="F4797">
        <v>154.44</v>
      </c>
      <c r="G4797">
        <v>93.55</v>
      </c>
      <c r="H4797">
        <v>289</v>
      </c>
      <c r="I4797" t="s">
        <v>41</v>
      </c>
      <c r="J4797">
        <v>2025</v>
      </c>
      <c r="K4797">
        <f t="shared" si="148"/>
        <v>60.89</v>
      </c>
      <c r="L4797" t="str">
        <f t="shared" si="149"/>
        <v>Banca Sicula|24|Carte</v>
      </c>
    </row>
    <row r="4798" spans="1:12" x14ac:dyDescent="0.25">
      <c r="A4798" t="s">
        <v>40</v>
      </c>
      <c r="B4798">
        <v>24</v>
      </c>
      <c r="C4798" t="s">
        <v>18</v>
      </c>
      <c r="D4798" s="1">
        <v>46022</v>
      </c>
      <c r="E4798">
        <v>3561.3</v>
      </c>
      <c r="F4798">
        <v>189.67</v>
      </c>
      <c r="G4798">
        <v>114.95</v>
      </c>
      <c r="H4798">
        <v>323</v>
      </c>
      <c r="I4798" t="s">
        <v>41</v>
      </c>
      <c r="J4798">
        <v>2025</v>
      </c>
      <c r="K4798">
        <f t="shared" si="148"/>
        <v>74.719999999999985</v>
      </c>
      <c r="L4798" t="str">
        <f t="shared" si="149"/>
        <v>Banca Sicula|24|Leasing</v>
      </c>
    </row>
    <row r="4799" spans="1:12" x14ac:dyDescent="0.25">
      <c r="A4799" t="s">
        <v>40</v>
      </c>
      <c r="B4799">
        <v>24</v>
      </c>
      <c r="C4799" t="s">
        <v>19</v>
      </c>
      <c r="D4799" s="1">
        <v>46022</v>
      </c>
      <c r="E4799">
        <v>4077</v>
      </c>
      <c r="F4799">
        <v>224.96</v>
      </c>
      <c r="G4799">
        <v>135.31</v>
      </c>
      <c r="H4799">
        <v>356</v>
      </c>
      <c r="I4799" t="s">
        <v>41</v>
      </c>
      <c r="J4799">
        <v>2025</v>
      </c>
      <c r="K4799">
        <f t="shared" si="148"/>
        <v>89.65</v>
      </c>
      <c r="L4799" t="str">
        <f t="shared" si="149"/>
        <v>Banca Sicula|24|Factoring</v>
      </c>
    </row>
    <row r="4800" spans="1:12" x14ac:dyDescent="0.25">
      <c r="A4800" t="s">
        <v>40</v>
      </c>
      <c r="B4800">
        <v>24</v>
      </c>
      <c r="C4800" t="s">
        <v>20</v>
      </c>
      <c r="D4800" s="1">
        <v>46022</v>
      </c>
      <c r="E4800">
        <v>4660.8</v>
      </c>
      <c r="F4800">
        <v>265.92</v>
      </c>
      <c r="G4800">
        <v>158.75</v>
      </c>
      <c r="H4800">
        <v>408</v>
      </c>
      <c r="I4800" t="s">
        <v>41</v>
      </c>
      <c r="J4800">
        <v>2025</v>
      </c>
      <c r="K4800">
        <f t="shared" si="148"/>
        <v>107.17000000000002</v>
      </c>
      <c r="L4800" t="str">
        <f t="shared" si="149"/>
        <v>Banca Sicula|24|Risparmio</v>
      </c>
    </row>
    <row r="4801" spans="1:12" x14ac:dyDescent="0.25">
      <c r="A4801" t="s">
        <v>40</v>
      </c>
      <c r="B4801">
        <v>24</v>
      </c>
      <c r="C4801" t="s">
        <v>21</v>
      </c>
      <c r="D4801" s="1">
        <v>46022</v>
      </c>
      <c r="E4801">
        <v>5182.3</v>
      </c>
      <c r="F4801">
        <v>305.79000000000002</v>
      </c>
      <c r="G4801">
        <v>181.76</v>
      </c>
      <c r="H4801">
        <v>463</v>
      </c>
      <c r="I4801" t="s">
        <v>41</v>
      </c>
      <c r="J4801">
        <v>2025</v>
      </c>
      <c r="K4801">
        <f t="shared" si="148"/>
        <v>124.03000000000003</v>
      </c>
      <c r="L4801" t="str">
        <f t="shared" si="149"/>
        <v>Banca Sicula|24|Assicurazioni</v>
      </c>
    </row>
    <row r="4802" spans="1:12" x14ac:dyDescent="0.25">
      <c r="A4802" t="s">
        <v>40</v>
      </c>
      <c r="B4802">
        <v>25</v>
      </c>
      <c r="C4802" t="s">
        <v>13</v>
      </c>
      <c r="D4802" s="1">
        <v>46053</v>
      </c>
      <c r="E4802">
        <v>1442.4</v>
      </c>
      <c r="F4802">
        <v>65.069999999999993</v>
      </c>
      <c r="G4802">
        <v>40.840000000000003</v>
      </c>
      <c r="H4802">
        <v>147</v>
      </c>
      <c r="I4802" t="s">
        <v>41</v>
      </c>
      <c r="J4802">
        <v>2026</v>
      </c>
      <c r="K4802">
        <f t="shared" ref="K4802:K4865" si="150">F4802-G4802</f>
        <v>24.22999999999999</v>
      </c>
      <c r="L4802" t="str">
        <f t="shared" ref="L4802:L4865" si="151">A4802&amp;"|"&amp;B4802&amp;"|"&amp;C4802</f>
        <v>Banca Sicula|25|Mutui</v>
      </c>
    </row>
    <row r="4803" spans="1:12" x14ac:dyDescent="0.25">
      <c r="A4803" t="s">
        <v>40</v>
      </c>
      <c r="B4803">
        <v>25</v>
      </c>
      <c r="C4803" t="s">
        <v>15</v>
      </c>
      <c r="D4803" s="1">
        <v>46053</v>
      </c>
      <c r="E4803">
        <v>1963.6</v>
      </c>
      <c r="F4803">
        <v>92.53</v>
      </c>
      <c r="G4803">
        <v>57.39</v>
      </c>
      <c r="H4803">
        <v>202</v>
      </c>
      <c r="I4803" t="s">
        <v>41</v>
      </c>
      <c r="J4803">
        <v>2026</v>
      </c>
      <c r="K4803">
        <f t="shared" si="150"/>
        <v>35.14</v>
      </c>
      <c r="L4803" t="str">
        <f t="shared" si="151"/>
        <v>Banca Sicula|25|Prestiti</v>
      </c>
    </row>
    <row r="4804" spans="1:12" x14ac:dyDescent="0.25">
      <c r="A4804" t="s">
        <v>40</v>
      </c>
      <c r="B4804">
        <v>25</v>
      </c>
      <c r="C4804" t="s">
        <v>16</v>
      </c>
      <c r="D4804" s="1">
        <v>46053</v>
      </c>
      <c r="E4804">
        <v>2533.1999999999998</v>
      </c>
      <c r="F4804">
        <v>124.16</v>
      </c>
      <c r="G4804">
        <v>76.44</v>
      </c>
      <c r="H4804">
        <v>247</v>
      </c>
      <c r="I4804" t="s">
        <v>41</v>
      </c>
      <c r="J4804">
        <v>2026</v>
      </c>
      <c r="K4804">
        <f t="shared" si="150"/>
        <v>47.72</v>
      </c>
      <c r="L4804" t="str">
        <f t="shared" si="151"/>
        <v>Banca Sicula|25|Conti</v>
      </c>
    </row>
    <row r="4805" spans="1:12" x14ac:dyDescent="0.25">
      <c r="A4805" t="s">
        <v>40</v>
      </c>
      <c r="B4805">
        <v>25</v>
      </c>
      <c r="C4805" t="s">
        <v>17</v>
      </c>
      <c r="D4805" s="1">
        <v>46053</v>
      </c>
      <c r="E4805">
        <v>3052.3</v>
      </c>
      <c r="F4805">
        <v>156.28</v>
      </c>
      <c r="G4805">
        <v>94.96</v>
      </c>
      <c r="H4805">
        <v>256</v>
      </c>
      <c r="I4805" t="s">
        <v>41</v>
      </c>
      <c r="J4805">
        <v>2026</v>
      </c>
      <c r="K4805">
        <f t="shared" si="150"/>
        <v>61.320000000000007</v>
      </c>
      <c r="L4805" t="str">
        <f t="shared" si="151"/>
        <v>Banca Sicula|25|Carte</v>
      </c>
    </row>
    <row r="4806" spans="1:12" x14ac:dyDescent="0.25">
      <c r="A4806" t="s">
        <v>40</v>
      </c>
      <c r="B4806">
        <v>25</v>
      </c>
      <c r="C4806" t="s">
        <v>18</v>
      </c>
      <c r="D4806" s="1">
        <v>46053</v>
      </c>
      <c r="E4806">
        <v>3587.9</v>
      </c>
      <c r="F4806">
        <v>190.97</v>
      </c>
      <c r="G4806">
        <v>115.31</v>
      </c>
      <c r="H4806">
        <v>338</v>
      </c>
      <c r="I4806" t="s">
        <v>41</v>
      </c>
      <c r="J4806">
        <v>2026</v>
      </c>
      <c r="K4806">
        <f t="shared" si="150"/>
        <v>75.66</v>
      </c>
      <c r="L4806" t="str">
        <f t="shared" si="151"/>
        <v>Banca Sicula|25|Leasing</v>
      </c>
    </row>
    <row r="4807" spans="1:12" x14ac:dyDescent="0.25">
      <c r="A4807" t="s">
        <v>40</v>
      </c>
      <c r="B4807">
        <v>25</v>
      </c>
      <c r="C4807" t="s">
        <v>19</v>
      </c>
      <c r="D4807" s="1">
        <v>46053</v>
      </c>
      <c r="E4807">
        <v>4135</v>
      </c>
      <c r="F4807">
        <v>228.02</v>
      </c>
      <c r="G4807">
        <v>137.16999999999999</v>
      </c>
      <c r="H4807">
        <v>364</v>
      </c>
      <c r="I4807" t="s">
        <v>41</v>
      </c>
      <c r="J4807">
        <v>2026</v>
      </c>
      <c r="K4807">
        <f t="shared" si="150"/>
        <v>90.850000000000023</v>
      </c>
      <c r="L4807" t="str">
        <f t="shared" si="151"/>
        <v>Banca Sicula|25|Factoring</v>
      </c>
    </row>
    <row r="4808" spans="1:12" x14ac:dyDescent="0.25">
      <c r="A4808" t="s">
        <v>40</v>
      </c>
      <c r="B4808">
        <v>25</v>
      </c>
      <c r="C4808" t="s">
        <v>20</v>
      </c>
      <c r="D4808" s="1">
        <v>46053</v>
      </c>
      <c r="E4808">
        <v>4655.6000000000004</v>
      </c>
      <c r="F4808">
        <v>265.74</v>
      </c>
      <c r="G4808">
        <v>158.69</v>
      </c>
      <c r="H4808">
        <v>400</v>
      </c>
      <c r="I4808" t="s">
        <v>41</v>
      </c>
      <c r="J4808">
        <v>2026</v>
      </c>
      <c r="K4808">
        <f t="shared" si="150"/>
        <v>107.05000000000001</v>
      </c>
      <c r="L4808" t="str">
        <f t="shared" si="151"/>
        <v>Banca Sicula|25|Risparmio</v>
      </c>
    </row>
    <row r="4809" spans="1:12" x14ac:dyDescent="0.25">
      <c r="A4809" t="s">
        <v>40</v>
      </c>
      <c r="B4809">
        <v>25</v>
      </c>
      <c r="C4809" t="s">
        <v>21</v>
      </c>
      <c r="D4809" s="1">
        <v>46053</v>
      </c>
      <c r="E4809">
        <v>5188.7</v>
      </c>
      <c r="F4809">
        <v>306.60000000000002</v>
      </c>
      <c r="G4809">
        <v>181.91</v>
      </c>
      <c r="H4809">
        <v>445</v>
      </c>
      <c r="I4809" t="s">
        <v>41</v>
      </c>
      <c r="J4809">
        <v>2026</v>
      </c>
      <c r="K4809">
        <f t="shared" si="150"/>
        <v>124.69000000000003</v>
      </c>
      <c r="L4809" t="str">
        <f t="shared" si="151"/>
        <v>Banca Sicula|25|Assicurazioni</v>
      </c>
    </row>
    <row r="4810" spans="1:12" x14ac:dyDescent="0.25">
      <c r="A4810" t="s">
        <v>40</v>
      </c>
      <c r="B4810">
        <v>26</v>
      </c>
      <c r="C4810" t="s">
        <v>13</v>
      </c>
      <c r="D4810" s="1">
        <v>46081</v>
      </c>
      <c r="E4810">
        <v>1431.1</v>
      </c>
      <c r="F4810">
        <v>64.67</v>
      </c>
      <c r="G4810">
        <v>40.909999999999997</v>
      </c>
      <c r="H4810">
        <v>139</v>
      </c>
      <c r="I4810" t="s">
        <v>41</v>
      </c>
      <c r="J4810">
        <v>2026</v>
      </c>
      <c r="K4810">
        <f t="shared" si="150"/>
        <v>23.760000000000005</v>
      </c>
      <c r="L4810" t="str">
        <f t="shared" si="151"/>
        <v>Banca Sicula|26|Mutui</v>
      </c>
    </row>
    <row r="4811" spans="1:12" x14ac:dyDescent="0.25">
      <c r="A4811" t="s">
        <v>40</v>
      </c>
      <c r="B4811">
        <v>26</v>
      </c>
      <c r="C4811" t="s">
        <v>15</v>
      </c>
      <c r="D4811" s="1">
        <v>46081</v>
      </c>
      <c r="E4811">
        <v>2016.3</v>
      </c>
      <c r="F4811">
        <v>95.57</v>
      </c>
      <c r="G4811">
        <v>58.79</v>
      </c>
      <c r="H4811">
        <v>204</v>
      </c>
      <c r="I4811" t="s">
        <v>41</v>
      </c>
      <c r="J4811">
        <v>2026</v>
      </c>
      <c r="K4811">
        <f t="shared" si="150"/>
        <v>36.779999999999994</v>
      </c>
      <c r="L4811" t="str">
        <f t="shared" si="151"/>
        <v>Banca Sicula|26|Prestiti</v>
      </c>
    </row>
    <row r="4812" spans="1:12" x14ac:dyDescent="0.25">
      <c r="A4812" t="s">
        <v>40</v>
      </c>
      <c r="B4812">
        <v>26</v>
      </c>
      <c r="C4812" t="s">
        <v>16</v>
      </c>
      <c r="D4812" s="1">
        <v>46081</v>
      </c>
      <c r="E4812">
        <v>2514.3000000000002</v>
      </c>
      <c r="F4812">
        <v>123.89</v>
      </c>
      <c r="G4812">
        <v>75.75</v>
      </c>
      <c r="H4812">
        <v>219</v>
      </c>
      <c r="I4812" t="s">
        <v>41</v>
      </c>
      <c r="J4812">
        <v>2026</v>
      </c>
      <c r="K4812">
        <f t="shared" si="150"/>
        <v>48.14</v>
      </c>
      <c r="L4812" t="str">
        <f t="shared" si="151"/>
        <v>Banca Sicula|26|Conti</v>
      </c>
    </row>
    <row r="4813" spans="1:12" x14ac:dyDescent="0.25">
      <c r="A4813" t="s">
        <v>40</v>
      </c>
      <c r="B4813">
        <v>26</v>
      </c>
      <c r="C4813" t="s">
        <v>17</v>
      </c>
      <c r="D4813" s="1">
        <v>46081</v>
      </c>
      <c r="E4813">
        <v>3049.6</v>
      </c>
      <c r="F4813">
        <v>156.19</v>
      </c>
      <c r="G4813">
        <v>95.02</v>
      </c>
      <c r="H4813">
        <v>256</v>
      </c>
      <c r="I4813" t="s">
        <v>41</v>
      </c>
      <c r="J4813">
        <v>2026</v>
      </c>
      <c r="K4813">
        <f t="shared" si="150"/>
        <v>61.17</v>
      </c>
      <c r="L4813" t="str">
        <f t="shared" si="151"/>
        <v>Banca Sicula|26|Carte</v>
      </c>
    </row>
    <row r="4814" spans="1:12" x14ac:dyDescent="0.25">
      <c r="A4814" t="s">
        <v>40</v>
      </c>
      <c r="B4814">
        <v>26</v>
      </c>
      <c r="C4814" t="s">
        <v>18</v>
      </c>
      <c r="D4814" s="1">
        <v>46081</v>
      </c>
      <c r="E4814">
        <v>3600.6</v>
      </c>
      <c r="F4814">
        <v>191.36</v>
      </c>
      <c r="G4814">
        <v>116.14</v>
      </c>
      <c r="H4814">
        <v>324</v>
      </c>
      <c r="I4814" t="s">
        <v>41</v>
      </c>
      <c r="J4814">
        <v>2026</v>
      </c>
      <c r="K4814">
        <f t="shared" si="150"/>
        <v>75.220000000000013</v>
      </c>
      <c r="L4814" t="str">
        <f t="shared" si="151"/>
        <v>Banca Sicula|26|Leasing</v>
      </c>
    </row>
    <row r="4815" spans="1:12" x14ac:dyDescent="0.25">
      <c r="A4815" t="s">
        <v>40</v>
      </c>
      <c r="B4815">
        <v>26</v>
      </c>
      <c r="C4815" t="s">
        <v>19</v>
      </c>
      <c r="D4815" s="1">
        <v>46081</v>
      </c>
      <c r="E4815">
        <v>4174.1000000000004</v>
      </c>
      <c r="F4815">
        <v>230.21</v>
      </c>
      <c r="G4815">
        <v>137.9</v>
      </c>
      <c r="H4815">
        <v>374</v>
      </c>
      <c r="I4815" t="s">
        <v>41</v>
      </c>
      <c r="J4815">
        <v>2026</v>
      </c>
      <c r="K4815">
        <f t="shared" si="150"/>
        <v>92.31</v>
      </c>
      <c r="L4815" t="str">
        <f t="shared" si="151"/>
        <v>Banca Sicula|26|Factoring</v>
      </c>
    </row>
    <row r="4816" spans="1:12" x14ac:dyDescent="0.25">
      <c r="A4816" t="s">
        <v>40</v>
      </c>
      <c r="B4816">
        <v>26</v>
      </c>
      <c r="C4816" t="s">
        <v>20</v>
      </c>
      <c r="D4816" s="1">
        <v>46081</v>
      </c>
      <c r="E4816">
        <v>4721.6000000000004</v>
      </c>
      <c r="F4816">
        <v>269.45</v>
      </c>
      <c r="G4816">
        <v>160.58000000000001</v>
      </c>
      <c r="H4816">
        <v>420</v>
      </c>
      <c r="I4816" t="s">
        <v>41</v>
      </c>
      <c r="J4816">
        <v>2026</v>
      </c>
      <c r="K4816">
        <f t="shared" si="150"/>
        <v>108.86999999999998</v>
      </c>
      <c r="L4816" t="str">
        <f t="shared" si="151"/>
        <v>Banca Sicula|26|Risparmio</v>
      </c>
    </row>
    <row r="4817" spans="1:12" x14ac:dyDescent="0.25">
      <c r="A4817" t="s">
        <v>40</v>
      </c>
      <c r="B4817">
        <v>26</v>
      </c>
      <c r="C4817" t="s">
        <v>21</v>
      </c>
      <c r="D4817" s="1">
        <v>46081</v>
      </c>
      <c r="E4817">
        <v>5217</v>
      </c>
      <c r="F4817">
        <v>308.77999999999997</v>
      </c>
      <c r="G4817">
        <v>182.6</v>
      </c>
      <c r="H4817">
        <v>434</v>
      </c>
      <c r="I4817" t="s">
        <v>41</v>
      </c>
      <c r="J4817">
        <v>2026</v>
      </c>
      <c r="K4817">
        <f t="shared" si="150"/>
        <v>126.17999999999998</v>
      </c>
      <c r="L4817" t="str">
        <f t="shared" si="151"/>
        <v>Banca Sicula|26|Assicurazioni</v>
      </c>
    </row>
    <row r="4818" spans="1:12" x14ac:dyDescent="0.25">
      <c r="A4818" t="s">
        <v>40</v>
      </c>
      <c r="B4818">
        <v>27</v>
      </c>
      <c r="C4818" t="s">
        <v>13</v>
      </c>
      <c r="D4818" s="1">
        <v>46112</v>
      </c>
      <c r="E4818">
        <v>1439.5</v>
      </c>
      <c r="F4818">
        <v>65.06</v>
      </c>
      <c r="G4818">
        <v>41.03</v>
      </c>
      <c r="H4818">
        <v>131</v>
      </c>
      <c r="I4818" t="s">
        <v>41</v>
      </c>
      <c r="J4818">
        <v>2026</v>
      </c>
      <c r="K4818">
        <f t="shared" si="150"/>
        <v>24.03</v>
      </c>
      <c r="L4818" t="str">
        <f t="shared" si="151"/>
        <v>Banca Sicula|27|Mutui</v>
      </c>
    </row>
    <row r="4819" spans="1:12" x14ac:dyDescent="0.25">
      <c r="A4819" t="s">
        <v>40</v>
      </c>
      <c r="B4819">
        <v>27</v>
      </c>
      <c r="C4819" t="s">
        <v>15</v>
      </c>
      <c r="D4819" s="1">
        <v>46112</v>
      </c>
      <c r="E4819">
        <v>1971.4</v>
      </c>
      <c r="F4819">
        <v>92.7</v>
      </c>
      <c r="G4819">
        <v>57.29</v>
      </c>
      <c r="H4819">
        <v>171</v>
      </c>
      <c r="I4819" t="s">
        <v>41</v>
      </c>
      <c r="J4819">
        <v>2026</v>
      </c>
      <c r="K4819">
        <f t="shared" si="150"/>
        <v>35.410000000000004</v>
      </c>
      <c r="L4819" t="str">
        <f t="shared" si="151"/>
        <v>Banca Sicula|27|Prestiti</v>
      </c>
    </row>
    <row r="4820" spans="1:12" x14ac:dyDescent="0.25">
      <c r="A4820" t="s">
        <v>40</v>
      </c>
      <c r="B4820">
        <v>27</v>
      </c>
      <c r="C4820" t="s">
        <v>16</v>
      </c>
      <c r="D4820" s="1">
        <v>46112</v>
      </c>
      <c r="E4820">
        <v>2565.8000000000002</v>
      </c>
      <c r="F4820">
        <v>126.7</v>
      </c>
      <c r="G4820">
        <v>77.2</v>
      </c>
      <c r="H4820">
        <v>209</v>
      </c>
      <c r="I4820" t="s">
        <v>41</v>
      </c>
      <c r="J4820">
        <v>2026</v>
      </c>
      <c r="K4820">
        <f t="shared" si="150"/>
        <v>49.5</v>
      </c>
      <c r="L4820" t="str">
        <f t="shared" si="151"/>
        <v>Banca Sicula|27|Conti</v>
      </c>
    </row>
    <row r="4821" spans="1:12" x14ac:dyDescent="0.25">
      <c r="A4821" t="s">
        <v>40</v>
      </c>
      <c r="B4821">
        <v>27</v>
      </c>
      <c r="C4821" t="s">
        <v>17</v>
      </c>
      <c r="D4821" s="1">
        <v>46112</v>
      </c>
      <c r="E4821">
        <v>3063.3</v>
      </c>
      <c r="F4821">
        <v>156.58000000000001</v>
      </c>
      <c r="G4821">
        <v>95.17</v>
      </c>
      <c r="H4821">
        <v>282</v>
      </c>
      <c r="I4821" t="s">
        <v>41</v>
      </c>
      <c r="J4821">
        <v>2026</v>
      </c>
      <c r="K4821">
        <f t="shared" si="150"/>
        <v>61.410000000000011</v>
      </c>
      <c r="L4821" t="str">
        <f t="shared" si="151"/>
        <v>Banca Sicula|27|Carte</v>
      </c>
    </row>
    <row r="4822" spans="1:12" x14ac:dyDescent="0.25">
      <c r="A4822" t="s">
        <v>40</v>
      </c>
      <c r="B4822">
        <v>27</v>
      </c>
      <c r="C4822" t="s">
        <v>18</v>
      </c>
      <c r="D4822" s="1">
        <v>46112</v>
      </c>
      <c r="E4822">
        <v>3632</v>
      </c>
      <c r="F4822">
        <v>193.15</v>
      </c>
      <c r="G4822">
        <v>116.77</v>
      </c>
      <c r="H4822">
        <v>303</v>
      </c>
      <c r="I4822" t="s">
        <v>41</v>
      </c>
      <c r="J4822">
        <v>2026</v>
      </c>
      <c r="K4822">
        <f t="shared" si="150"/>
        <v>76.38000000000001</v>
      </c>
      <c r="L4822" t="str">
        <f t="shared" si="151"/>
        <v>Banca Sicula|27|Leasing</v>
      </c>
    </row>
    <row r="4823" spans="1:12" x14ac:dyDescent="0.25">
      <c r="A4823" t="s">
        <v>40</v>
      </c>
      <c r="B4823">
        <v>27</v>
      </c>
      <c r="C4823" t="s">
        <v>19</v>
      </c>
      <c r="D4823" s="1">
        <v>46112</v>
      </c>
      <c r="E4823">
        <v>4171</v>
      </c>
      <c r="F4823">
        <v>230.04</v>
      </c>
      <c r="G4823">
        <v>138.16</v>
      </c>
      <c r="H4823">
        <v>350</v>
      </c>
      <c r="I4823" t="s">
        <v>41</v>
      </c>
      <c r="J4823">
        <v>2026</v>
      </c>
      <c r="K4823">
        <f t="shared" si="150"/>
        <v>91.88</v>
      </c>
      <c r="L4823" t="str">
        <f t="shared" si="151"/>
        <v>Banca Sicula|27|Factoring</v>
      </c>
    </row>
    <row r="4824" spans="1:12" x14ac:dyDescent="0.25">
      <c r="A4824" t="s">
        <v>40</v>
      </c>
      <c r="B4824">
        <v>27</v>
      </c>
      <c r="C4824" t="s">
        <v>20</v>
      </c>
      <c r="D4824" s="1">
        <v>46112</v>
      </c>
      <c r="E4824">
        <v>4755.2</v>
      </c>
      <c r="F4824">
        <v>271.7</v>
      </c>
      <c r="G4824">
        <v>162.13999999999999</v>
      </c>
      <c r="H4824">
        <v>422</v>
      </c>
      <c r="I4824" t="s">
        <v>41</v>
      </c>
      <c r="J4824">
        <v>2026</v>
      </c>
      <c r="K4824">
        <f t="shared" si="150"/>
        <v>109.56</v>
      </c>
      <c r="L4824" t="str">
        <f t="shared" si="151"/>
        <v>Banca Sicula|27|Risparmio</v>
      </c>
    </row>
    <row r="4825" spans="1:12" x14ac:dyDescent="0.25">
      <c r="A4825" t="s">
        <v>40</v>
      </c>
      <c r="B4825">
        <v>27</v>
      </c>
      <c r="C4825" t="s">
        <v>21</v>
      </c>
      <c r="D4825" s="1">
        <v>46112</v>
      </c>
      <c r="E4825">
        <v>5249.5</v>
      </c>
      <c r="F4825">
        <v>310.52</v>
      </c>
      <c r="G4825">
        <v>184.38</v>
      </c>
      <c r="H4825">
        <v>458</v>
      </c>
      <c r="I4825" t="s">
        <v>41</v>
      </c>
      <c r="J4825">
        <v>2026</v>
      </c>
      <c r="K4825">
        <f t="shared" si="150"/>
        <v>126.13999999999999</v>
      </c>
      <c r="L4825" t="str">
        <f t="shared" si="151"/>
        <v>Banca Sicula|27|Assicurazioni</v>
      </c>
    </row>
    <row r="4826" spans="1:12" x14ac:dyDescent="0.25">
      <c r="A4826" t="s">
        <v>40</v>
      </c>
      <c r="B4826">
        <v>28</v>
      </c>
      <c r="C4826" t="s">
        <v>13</v>
      </c>
      <c r="D4826" s="1">
        <v>46142</v>
      </c>
      <c r="E4826">
        <v>1461.4</v>
      </c>
      <c r="F4826">
        <v>66.27</v>
      </c>
      <c r="G4826">
        <v>41.92</v>
      </c>
      <c r="H4826">
        <v>158</v>
      </c>
      <c r="I4826" t="s">
        <v>41</v>
      </c>
      <c r="J4826">
        <v>2026</v>
      </c>
      <c r="K4826">
        <f t="shared" si="150"/>
        <v>24.349999999999994</v>
      </c>
      <c r="L4826" t="str">
        <f t="shared" si="151"/>
        <v>Banca Sicula|28|Mutui</v>
      </c>
    </row>
    <row r="4827" spans="1:12" x14ac:dyDescent="0.25">
      <c r="A4827" t="s">
        <v>40</v>
      </c>
      <c r="B4827">
        <v>28</v>
      </c>
      <c r="C4827" t="s">
        <v>15</v>
      </c>
      <c r="D4827" s="1">
        <v>46142</v>
      </c>
      <c r="E4827">
        <v>2038.2</v>
      </c>
      <c r="F4827">
        <v>95.88</v>
      </c>
      <c r="G4827">
        <v>59.14</v>
      </c>
      <c r="H4827">
        <v>196</v>
      </c>
      <c r="I4827" t="s">
        <v>41</v>
      </c>
      <c r="J4827">
        <v>2026</v>
      </c>
      <c r="K4827">
        <f t="shared" si="150"/>
        <v>36.739999999999995</v>
      </c>
      <c r="L4827" t="str">
        <f t="shared" si="151"/>
        <v>Banca Sicula|28|Prestiti</v>
      </c>
    </row>
    <row r="4828" spans="1:12" x14ac:dyDescent="0.25">
      <c r="A4828" t="s">
        <v>40</v>
      </c>
      <c r="B4828">
        <v>28</v>
      </c>
      <c r="C4828" t="s">
        <v>16</v>
      </c>
      <c r="D4828" s="1">
        <v>46142</v>
      </c>
      <c r="E4828">
        <v>2551.4</v>
      </c>
      <c r="F4828">
        <v>125.79</v>
      </c>
      <c r="G4828">
        <v>76.849999999999994</v>
      </c>
      <c r="H4828">
        <v>233</v>
      </c>
      <c r="I4828" t="s">
        <v>41</v>
      </c>
      <c r="J4828">
        <v>2026</v>
      </c>
      <c r="K4828">
        <f t="shared" si="150"/>
        <v>48.940000000000012</v>
      </c>
      <c r="L4828" t="str">
        <f t="shared" si="151"/>
        <v>Banca Sicula|28|Conti</v>
      </c>
    </row>
    <row r="4829" spans="1:12" x14ac:dyDescent="0.25">
      <c r="A4829" t="s">
        <v>40</v>
      </c>
      <c r="B4829">
        <v>28</v>
      </c>
      <c r="C4829" t="s">
        <v>17</v>
      </c>
      <c r="D4829" s="1">
        <v>46142</v>
      </c>
      <c r="E4829">
        <v>3113.4</v>
      </c>
      <c r="F4829">
        <v>159.51</v>
      </c>
      <c r="G4829">
        <v>97.13</v>
      </c>
      <c r="H4829">
        <v>254</v>
      </c>
      <c r="I4829" t="s">
        <v>41</v>
      </c>
      <c r="J4829">
        <v>2026</v>
      </c>
      <c r="K4829">
        <f t="shared" si="150"/>
        <v>62.379999999999995</v>
      </c>
      <c r="L4829" t="str">
        <f t="shared" si="151"/>
        <v>Banca Sicula|28|Carte</v>
      </c>
    </row>
    <row r="4830" spans="1:12" x14ac:dyDescent="0.25">
      <c r="A4830" t="s">
        <v>40</v>
      </c>
      <c r="B4830">
        <v>28</v>
      </c>
      <c r="C4830" t="s">
        <v>18</v>
      </c>
      <c r="D4830" s="1">
        <v>46142</v>
      </c>
      <c r="E4830">
        <v>3634.9</v>
      </c>
      <c r="F4830">
        <v>193.18</v>
      </c>
      <c r="G4830">
        <v>117.27</v>
      </c>
      <c r="H4830">
        <v>308</v>
      </c>
      <c r="I4830" t="s">
        <v>41</v>
      </c>
      <c r="J4830">
        <v>2026</v>
      </c>
      <c r="K4830">
        <f t="shared" si="150"/>
        <v>75.910000000000011</v>
      </c>
      <c r="L4830" t="str">
        <f t="shared" si="151"/>
        <v>Banca Sicula|28|Leasing</v>
      </c>
    </row>
    <row r="4831" spans="1:12" x14ac:dyDescent="0.25">
      <c r="A4831" t="s">
        <v>40</v>
      </c>
      <c r="B4831">
        <v>28</v>
      </c>
      <c r="C4831" t="s">
        <v>19</v>
      </c>
      <c r="D4831" s="1">
        <v>46142</v>
      </c>
      <c r="E4831">
        <v>4205.8999999999996</v>
      </c>
      <c r="F4831">
        <v>231.83</v>
      </c>
      <c r="G4831">
        <v>139.19</v>
      </c>
      <c r="H4831">
        <v>382</v>
      </c>
      <c r="I4831" t="s">
        <v>41</v>
      </c>
      <c r="J4831">
        <v>2026</v>
      </c>
      <c r="K4831">
        <f t="shared" si="150"/>
        <v>92.640000000000015</v>
      </c>
      <c r="L4831" t="str">
        <f t="shared" si="151"/>
        <v>Banca Sicula|28|Factoring</v>
      </c>
    </row>
    <row r="4832" spans="1:12" x14ac:dyDescent="0.25">
      <c r="A4832" t="s">
        <v>40</v>
      </c>
      <c r="B4832">
        <v>28</v>
      </c>
      <c r="C4832" t="s">
        <v>20</v>
      </c>
      <c r="D4832" s="1">
        <v>46142</v>
      </c>
      <c r="E4832">
        <v>4732.8999999999996</v>
      </c>
      <c r="F4832">
        <v>270.48</v>
      </c>
      <c r="G4832">
        <v>161.52000000000001</v>
      </c>
      <c r="H4832">
        <v>399</v>
      </c>
      <c r="I4832" t="s">
        <v>41</v>
      </c>
      <c r="J4832">
        <v>2026</v>
      </c>
      <c r="K4832">
        <f t="shared" si="150"/>
        <v>108.96000000000001</v>
      </c>
      <c r="L4832" t="str">
        <f t="shared" si="151"/>
        <v>Banca Sicula|28|Risparmio</v>
      </c>
    </row>
    <row r="4833" spans="1:12" x14ac:dyDescent="0.25">
      <c r="A4833" t="s">
        <v>40</v>
      </c>
      <c r="B4833">
        <v>28</v>
      </c>
      <c r="C4833" t="s">
        <v>21</v>
      </c>
      <c r="D4833" s="1">
        <v>46142</v>
      </c>
      <c r="E4833">
        <v>5332.4</v>
      </c>
      <c r="F4833">
        <v>315.27</v>
      </c>
      <c r="G4833">
        <v>187.23</v>
      </c>
      <c r="H4833">
        <v>442</v>
      </c>
      <c r="I4833" t="s">
        <v>41</v>
      </c>
      <c r="J4833">
        <v>2026</v>
      </c>
      <c r="K4833">
        <f t="shared" si="150"/>
        <v>128.04</v>
      </c>
      <c r="L4833" t="str">
        <f t="shared" si="151"/>
        <v>Banca Sicula|28|Assicurazioni</v>
      </c>
    </row>
    <row r="4834" spans="1:12" x14ac:dyDescent="0.25">
      <c r="A4834" t="s">
        <v>40</v>
      </c>
      <c r="B4834">
        <v>29</v>
      </c>
      <c r="C4834" t="s">
        <v>13</v>
      </c>
      <c r="D4834" s="1">
        <v>46173</v>
      </c>
      <c r="E4834">
        <v>1462.3</v>
      </c>
      <c r="F4834">
        <v>66.41</v>
      </c>
      <c r="G4834">
        <v>41.68</v>
      </c>
      <c r="H4834">
        <v>155</v>
      </c>
      <c r="I4834" t="s">
        <v>41</v>
      </c>
      <c r="J4834">
        <v>2026</v>
      </c>
      <c r="K4834">
        <f t="shared" si="150"/>
        <v>24.729999999999997</v>
      </c>
      <c r="L4834" t="str">
        <f t="shared" si="151"/>
        <v>Banca Sicula|29|Mutui</v>
      </c>
    </row>
    <row r="4835" spans="1:12" x14ac:dyDescent="0.25">
      <c r="A4835" t="s">
        <v>40</v>
      </c>
      <c r="B4835">
        <v>29</v>
      </c>
      <c r="C4835" t="s">
        <v>15</v>
      </c>
      <c r="D4835" s="1">
        <v>46173</v>
      </c>
      <c r="E4835">
        <v>2001</v>
      </c>
      <c r="F4835">
        <v>94.39</v>
      </c>
      <c r="G4835">
        <v>58.89</v>
      </c>
      <c r="H4835">
        <v>177</v>
      </c>
      <c r="I4835" t="s">
        <v>41</v>
      </c>
      <c r="J4835">
        <v>2026</v>
      </c>
      <c r="K4835">
        <f t="shared" si="150"/>
        <v>35.5</v>
      </c>
      <c r="L4835" t="str">
        <f t="shared" si="151"/>
        <v>Banca Sicula|29|Prestiti</v>
      </c>
    </row>
    <row r="4836" spans="1:12" x14ac:dyDescent="0.25">
      <c r="A4836" t="s">
        <v>40</v>
      </c>
      <c r="B4836">
        <v>29</v>
      </c>
      <c r="C4836" t="s">
        <v>16</v>
      </c>
      <c r="D4836" s="1">
        <v>46173</v>
      </c>
      <c r="E4836">
        <v>2579.5</v>
      </c>
      <c r="F4836">
        <v>126.59</v>
      </c>
      <c r="G4836">
        <v>78.03</v>
      </c>
      <c r="H4836">
        <v>231</v>
      </c>
      <c r="I4836" t="s">
        <v>41</v>
      </c>
      <c r="J4836">
        <v>2026</v>
      </c>
      <c r="K4836">
        <f t="shared" si="150"/>
        <v>48.56</v>
      </c>
      <c r="L4836" t="str">
        <f t="shared" si="151"/>
        <v>Banca Sicula|29|Conti</v>
      </c>
    </row>
    <row r="4837" spans="1:12" x14ac:dyDescent="0.25">
      <c r="A4837" t="s">
        <v>40</v>
      </c>
      <c r="B4837">
        <v>29</v>
      </c>
      <c r="C4837" t="s">
        <v>17</v>
      </c>
      <c r="D4837" s="1">
        <v>46173</v>
      </c>
      <c r="E4837">
        <v>3148.2</v>
      </c>
      <c r="F4837">
        <v>161.11000000000001</v>
      </c>
      <c r="G4837">
        <v>98.35</v>
      </c>
      <c r="H4837">
        <v>275</v>
      </c>
      <c r="I4837" t="s">
        <v>41</v>
      </c>
      <c r="J4837">
        <v>2026</v>
      </c>
      <c r="K4837">
        <f t="shared" si="150"/>
        <v>62.760000000000019</v>
      </c>
      <c r="L4837" t="str">
        <f t="shared" si="151"/>
        <v>Banca Sicula|29|Carte</v>
      </c>
    </row>
    <row r="4838" spans="1:12" x14ac:dyDescent="0.25">
      <c r="A4838" t="s">
        <v>40</v>
      </c>
      <c r="B4838">
        <v>29</v>
      </c>
      <c r="C4838" t="s">
        <v>18</v>
      </c>
      <c r="D4838" s="1">
        <v>46173</v>
      </c>
      <c r="E4838">
        <v>3690.6</v>
      </c>
      <c r="F4838">
        <v>196.29</v>
      </c>
      <c r="G4838">
        <v>118.18</v>
      </c>
      <c r="H4838">
        <v>329</v>
      </c>
      <c r="I4838" t="s">
        <v>41</v>
      </c>
      <c r="J4838">
        <v>2026</v>
      </c>
      <c r="K4838">
        <f t="shared" si="150"/>
        <v>78.109999999999985</v>
      </c>
      <c r="L4838" t="str">
        <f t="shared" si="151"/>
        <v>Banca Sicula|29|Leasing</v>
      </c>
    </row>
    <row r="4839" spans="1:12" x14ac:dyDescent="0.25">
      <c r="A4839" t="s">
        <v>40</v>
      </c>
      <c r="B4839">
        <v>29</v>
      </c>
      <c r="C4839" t="s">
        <v>19</v>
      </c>
      <c r="D4839" s="1">
        <v>46173</v>
      </c>
      <c r="E4839">
        <v>4225.2</v>
      </c>
      <c r="F4839">
        <v>232.56</v>
      </c>
      <c r="G4839">
        <v>139.47999999999999</v>
      </c>
      <c r="H4839">
        <v>373</v>
      </c>
      <c r="I4839" t="s">
        <v>41</v>
      </c>
      <c r="J4839">
        <v>2026</v>
      </c>
      <c r="K4839">
        <f t="shared" si="150"/>
        <v>93.080000000000013</v>
      </c>
      <c r="L4839" t="str">
        <f t="shared" si="151"/>
        <v>Banca Sicula|29|Factoring</v>
      </c>
    </row>
    <row r="4840" spans="1:12" x14ac:dyDescent="0.25">
      <c r="A4840" t="s">
        <v>40</v>
      </c>
      <c r="B4840">
        <v>29</v>
      </c>
      <c r="C4840" t="s">
        <v>20</v>
      </c>
      <c r="D4840" s="1">
        <v>46173</v>
      </c>
      <c r="E4840">
        <v>4779.8999999999996</v>
      </c>
      <c r="F4840">
        <v>272.58999999999997</v>
      </c>
      <c r="G4840">
        <v>162.91</v>
      </c>
      <c r="H4840">
        <v>417</v>
      </c>
      <c r="I4840" t="s">
        <v>41</v>
      </c>
      <c r="J4840">
        <v>2026</v>
      </c>
      <c r="K4840">
        <f t="shared" si="150"/>
        <v>109.67999999999998</v>
      </c>
      <c r="L4840" t="str">
        <f t="shared" si="151"/>
        <v>Banca Sicula|29|Risparmio</v>
      </c>
    </row>
    <row r="4841" spans="1:12" x14ac:dyDescent="0.25">
      <c r="A4841" t="s">
        <v>40</v>
      </c>
      <c r="B4841">
        <v>29</v>
      </c>
      <c r="C4841" t="s">
        <v>21</v>
      </c>
      <c r="D4841" s="1">
        <v>46173</v>
      </c>
      <c r="E4841">
        <v>5324</v>
      </c>
      <c r="F4841">
        <v>314.91000000000003</v>
      </c>
      <c r="G4841">
        <v>186.41</v>
      </c>
      <c r="H4841">
        <v>441</v>
      </c>
      <c r="I4841" t="s">
        <v>41</v>
      </c>
      <c r="J4841">
        <v>2026</v>
      </c>
      <c r="K4841">
        <f t="shared" si="150"/>
        <v>128.50000000000003</v>
      </c>
      <c r="L4841" t="str">
        <f t="shared" si="151"/>
        <v>Banca Sicula|29|Assicurazioni</v>
      </c>
    </row>
    <row r="4842" spans="1:12" x14ac:dyDescent="0.25">
      <c r="A4842" t="s">
        <v>40</v>
      </c>
      <c r="B4842">
        <v>30</v>
      </c>
      <c r="C4842" t="s">
        <v>13</v>
      </c>
      <c r="D4842" s="1">
        <v>46203</v>
      </c>
      <c r="E4842">
        <v>1501</v>
      </c>
      <c r="F4842">
        <v>68.2</v>
      </c>
      <c r="G4842">
        <v>42.11</v>
      </c>
      <c r="H4842">
        <v>138</v>
      </c>
      <c r="I4842" t="s">
        <v>41</v>
      </c>
      <c r="J4842">
        <v>2026</v>
      </c>
      <c r="K4842">
        <f t="shared" si="150"/>
        <v>26.090000000000003</v>
      </c>
      <c r="L4842" t="str">
        <f t="shared" si="151"/>
        <v>Banca Sicula|30|Mutui</v>
      </c>
    </row>
    <row r="4843" spans="1:12" x14ac:dyDescent="0.25">
      <c r="A4843" t="s">
        <v>40</v>
      </c>
      <c r="B4843">
        <v>30</v>
      </c>
      <c r="C4843" t="s">
        <v>15</v>
      </c>
      <c r="D4843" s="1">
        <v>46203</v>
      </c>
      <c r="E4843">
        <v>2058.4</v>
      </c>
      <c r="F4843">
        <v>96.8</v>
      </c>
      <c r="G4843">
        <v>59.72</v>
      </c>
      <c r="H4843">
        <v>185</v>
      </c>
      <c r="I4843" t="s">
        <v>41</v>
      </c>
      <c r="J4843">
        <v>2026</v>
      </c>
      <c r="K4843">
        <f t="shared" si="150"/>
        <v>37.08</v>
      </c>
      <c r="L4843" t="str">
        <f t="shared" si="151"/>
        <v>Banca Sicula|30|Prestiti</v>
      </c>
    </row>
    <row r="4844" spans="1:12" x14ac:dyDescent="0.25">
      <c r="A4844" t="s">
        <v>40</v>
      </c>
      <c r="B4844">
        <v>30</v>
      </c>
      <c r="C4844" t="s">
        <v>16</v>
      </c>
      <c r="D4844" s="1">
        <v>46203</v>
      </c>
      <c r="E4844">
        <v>2620.6999999999998</v>
      </c>
      <c r="F4844">
        <v>129.31</v>
      </c>
      <c r="G4844">
        <v>78.67</v>
      </c>
      <c r="H4844">
        <v>235</v>
      </c>
      <c r="I4844" t="s">
        <v>41</v>
      </c>
      <c r="J4844">
        <v>2026</v>
      </c>
      <c r="K4844">
        <f t="shared" si="150"/>
        <v>50.64</v>
      </c>
      <c r="L4844" t="str">
        <f t="shared" si="151"/>
        <v>Banca Sicula|30|Conti</v>
      </c>
    </row>
    <row r="4845" spans="1:12" x14ac:dyDescent="0.25">
      <c r="A4845" t="s">
        <v>40</v>
      </c>
      <c r="B4845">
        <v>30</v>
      </c>
      <c r="C4845" t="s">
        <v>17</v>
      </c>
      <c r="D4845" s="1">
        <v>46203</v>
      </c>
      <c r="E4845">
        <v>3172.8</v>
      </c>
      <c r="F4845">
        <v>162.33000000000001</v>
      </c>
      <c r="G4845">
        <v>99.33</v>
      </c>
      <c r="H4845">
        <v>278</v>
      </c>
      <c r="I4845" t="s">
        <v>41</v>
      </c>
      <c r="J4845">
        <v>2026</v>
      </c>
      <c r="K4845">
        <f t="shared" si="150"/>
        <v>63.000000000000014</v>
      </c>
      <c r="L4845" t="str">
        <f t="shared" si="151"/>
        <v>Banca Sicula|30|Carte</v>
      </c>
    </row>
    <row r="4846" spans="1:12" x14ac:dyDescent="0.25">
      <c r="A4846" t="s">
        <v>40</v>
      </c>
      <c r="B4846">
        <v>30</v>
      </c>
      <c r="C4846" t="s">
        <v>18</v>
      </c>
      <c r="D4846" s="1">
        <v>46203</v>
      </c>
      <c r="E4846">
        <v>3734.5</v>
      </c>
      <c r="F4846">
        <v>198.22</v>
      </c>
      <c r="G4846">
        <v>119.63</v>
      </c>
      <c r="H4846">
        <v>299</v>
      </c>
      <c r="I4846" t="s">
        <v>41</v>
      </c>
      <c r="J4846">
        <v>2026</v>
      </c>
      <c r="K4846">
        <f t="shared" si="150"/>
        <v>78.59</v>
      </c>
      <c r="L4846" t="str">
        <f t="shared" si="151"/>
        <v>Banca Sicula|30|Leasing</v>
      </c>
    </row>
    <row r="4847" spans="1:12" x14ac:dyDescent="0.25">
      <c r="A4847" t="s">
        <v>40</v>
      </c>
      <c r="B4847">
        <v>30</v>
      </c>
      <c r="C4847" t="s">
        <v>19</v>
      </c>
      <c r="D4847" s="1">
        <v>46203</v>
      </c>
      <c r="E4847">
        <v>4270.7</v>
      </c>
      <c r="F4847">
        <v>235.69</v>
      </c>
      <c r="G4847">
        <v>141.87</v>
      </c>
      <c r="H4847">
        <v>360</v>
      </c>
      <c r="I4847" t="s">
        <v>41</v>
      </c>
      <c r="J4847">
        <v>2026</v>
      </c>
      <c r="K4847">
        <f t="shared" si="150"/>
        <v>93.82</v>
      </c>
      <c r="L4847" t="str">
        <f t="shared" si="151"/>
        <v>Banca Sicula|30|Factoring</v>
      </c>
    </row>
    <row r="4848" spans="1:12" x14ac:dyDescent="0.25">
      <c r="A4848" t="s">
        <v>40</v>
      </c>
      <c r="B4848">
        <v>30</v>
      </c>
      <c r="C4848" t="s">
        <v>20</v>
      </c>
      <c r="D4848" s="1">
        <v>46203</v>
      </c>
      <c r="E4848">
        <v>4831.3</v>
      </c>
      <c r="F4848">
        <v>275.87</v>
      </c>
      <c r="G4848">
        <v>164.84</v>
      </c>
      <c r="H4848">
        <v>420</v>
      </c>
      <c r="I4848" t="s">
        <v>41</v>
      </c>
      <c r="J4848">
        <v>2026</v>
      </c>
      <c r="K4848">
        <f t="shared" si="150"/>
        <v>111.03</v>
      </c>
      <c r="L4848" t="str">
        <f t="shared" si="151"/>
        <v>Banca Sicula|30|Risparmio</v>
      </c>
    </row>
    <row r="4849" spans="1:12" x14ac:dyDescent="0.25">
      <c r="A4849" t="s">
        <v>40</v>
      </c>
      <c r="B4849">
        <v>30</v>
      </c>
      <c r="C4849" t="s">
        <v>21</v>
      </c>
      <c r="D4849" s="1">
        <v>46203</v>
      </c>
      <c r="E4849">
        <v>5385.4</v>
      </c>
      <c r="F4849">
        <v>318.35000000000002</v>
      </c>
      <c r="G4849">
        <v>189.1</v>
      </c>
      <c r="H4849">
        <v>472</v>
      </c>
      <c r="I4849" t="s">
        <v>41</v>
      </c>
      <c r="J4849">
        <v>2026</v>
      </c>
      <c r="K4849">
        <f t="shared" si="150"/>
        <v>129.25000000000003</v>
      </c>
      <c r="L4849" t="str">
        <f t="shared" si="151"/>
        <v>Banca Sicula|30|Assicurazioni</v>
      </c>
    </row>
    <row r="4850" spans="1:12" x14ac:dyDescent="0.25">
      <c r="A4850" t="s">
        <v>40</v>
      </c>
      <c r="B4850">
        <v>31</v>
      </c>
      <c r="C4850" t="s">
        <v>13</v>
      </c>
      <c r="D4850" s="1">
        <v>46234</v>
      </c>
      <c r="E4850">
        <v>1489.7</v>
      </c>
      <c r="F4850">
        <v>67.180000000000007</v>
      </c>
      <c r="G4850">
        <v>42.25</v>
      </c>
      <c r="H4850">
        <v>153</v>
      </c>
      <c r="I4850" t="s">
        <v>41</v>
      </c>
      <c r="J4850">
        <v>2026</v>
      </c>
      <c r="K4850">
        <f t="shared" si="150"/>
        <v>24.930000000000007</v>
      </c>
      <c r="L4850" t="str">
        <f t="shared" si="151"/>
        <v>Banca Sicula|31|Mutui</v>
      </c>
    </row>
    <row r="4851" spans="1:12" x14ac:dyDescent="0.25">
      <c r="A4851" t="s">
        <v>40</v>
      </c>
      <c r="B4851">
        <v>31</v>
      </c>
      <c r="C4851" t="s">
        <v>15</v>
      </c>
      <c r="D4851" s="1">
        <v>46234</v>
      </c>
      <c r="E4851">
        <v>2060.6999999999998</v>
      </c>
      <c r="F4851">
        <v>96.94</v>
      </c>
      <c r="G4851">
        <v>60.49</v>
      </c>
      <c r="H4851">
        <v>200</v>
      </c>
      <c r="I4851" t="s">
        <v>41</v>
      </c>
      <c r="J4851">
        <v>2026</v>
      </c>
      <c r="K4851">
        <f t="shared" si="150"/>
        <v>36.449999999999996</v>
      </c>
      <c r="L4851" t="str">
        <f t="shared" si="151"/>
        <v>Banca Sicula|31|Prestiti</v>
      </c>
    </row>
    <row r="4852" spans="1:12" x14ac:dyDescent="0.25">
      <c r="A4852" t="s">
        <v>40</v>
      </c>
      <c r="B4852">
        <v>31</v>
      </c>
      <c r="C4852" t="s">
        <v>16</v>
      </c>
      <c r="D4852" s="1">
        <v>46234</v>
      </c>
      <c r="E4852">
        <v>2641.4</v>
      </c>
      <c r="F4852">
        <v>130.25</v>
      </c>
      <c r="G4852">
        <v>79.7</v>
      </c>
      <c r="H4852">
        <v>220</v>
      </c>
      <c r="I4852" t="s">
        <v>41</v>
      </c>
      <c r="J4852">
        <v>2026</v>
      </c>
      <c r="K4852">
        <f t="shared" si="150"/>
        <v>50.55</v>
      </c>
      <c r="L4852" t="str">
        <f t="shared" si="151"/>
        <v>Banca Sicula|31|Conti</v>
      </c>
    </row>
    <row r="4853" spans="1:12" x14ac:dyDescent="0.25">
      <c r="A4853" t="s">
        <v>40</v>
      </c>
      <c r="B4853">
        <v>31</v>
      </c>
      <c r="C4853" t="s">
        <v>17</v>
      </c>
      <c r="D4853" s="1">
        <v>46234</v>
      </c>
      <c r="E4853">
        <v>3161.6</v>
      </c>
      <c r="F4853">
        <v>161.77000000000001</v>
      </c>
      <c r="G4853">
        <v>98.07</v>
      </c>
      <c r="H4853">
        <v>289</v>
      </c>
      <c r="I4853" t="s">
        <v>41</v>
      </c>
      <c r="J4853">
        <v>2026</v>
      </c>
      <c r="K4853">
        <f t="shared" si="150"/>
        <v>63.700000000000017</v>
      </c>
      <c r="L4853" t="str">
        <f t="shared" si="151"/>
        <v>Banca Sicula|31|Carte</v>
      </c>
    </row>
    <row r="4854" spans="1:12" x14ac:dyDescent="0.25">
      <c r="A4854" t="s">
        <v>40</v>
      </c>
      <c r="B4854">
        <v>31</v>
      </c>
      <c r="C4854" t="s">
        <v>18</v>
      </c>
      <c r="D4854" s="1">
        <v>46234</v>
      </c>
      <c r="E4854">
        <v>3744</v>
      </c>
      <c r="F4854">
        <v>198.56</v>
      </c>
      <c r="G4854">
        <v>120.42</v>
      </c>
      <c r="H4854">
        <v>334</v>
      </c>
      <c r="I4854" t="s">
        <v>41</v>
      </c>
      <c r="J4854">
        <v>2026</v>
      </c>
      <c r="K4854">
        <f t="shared" si="150"/>
        <v>78.14</v>
      </c>
      <c r="L4854" t="str">
        <f t="shared" si="151"/>
        <v>Banca Sicula|31|Leasing</v>
      </c>
    </row>
    <row r="4855" spans="1:12" x14ac:dyDescent="0.25">
      <c r="A4855" t="s">
        <v>40</v>
      </c>
      <c r="B4855">
        <v>31</v>
      </c>
      <c r="C4855" t="s">
        <v>19</v>
      </c>
      <c r="D4855" s="1">
        <v>46234</v>
      </c>
      <c r="E4855">
        <v>4305.3</v>
      </c>
      <c r="F4855">
        <v>237.11</v>
      </c>
      <c r="G4855">
        <v>142.34</v>
      </c>
      <c r="H4855">
        <v>346</v>
      </c>
      <c r="I4855" t="s">
        <v>41</v>
      </c>
      <c r="J4855">
        <v>2026</v>
      </c>
      <c r="K4855">
        <f t="shared" si="150"/>
        <v>94.77000000000001</v>
      </c>
      <c r="L4855" t="str">
        <f t="shared" si="151"/>
        <v>Banca Sicula|31|Factoring</v>
      </c>
    </row>
    <row r="4856" spans="1:12" x14ac:dyDescent="0.25">
      <c r="A4856" t="s">
        <v>40</v>
      </c>
      <c r="B4856">
        <v>31</v>
      </c>
      <c r="C4856" t="s">
        <v>20</v>
      </c>
      <c r="D4856" s="1">
        <v>46234</v>
      </c>
      <c r="E4856">
        <v>4824.8</v>
      </c>
      <c r="F4856">
        <v>275.93</v>
      </c>
      <c r="G4856">
        <v>164.05</v>
      </c>
      <c r="H4856">
        <v>395</v>
      </c>
      <c r="I4856" t="s">
        <v>41</v>
      </c>
      <c r="J4856">
        <v>2026</v>
      </c>
      <c r="K4856">
        <f t="shared" si="150"/>
        <v>111.88</v>
      </c>
      <c r="L4856" t="str">
        <f t="shared" si="151"/>
        <v>Banca Sicula|31|Risparmio</v>
      </c>
    </row>
    <row r="4857" spans="1:12" x14ac:dyDescent="0.25">
      <c r="A4857" t="s">
        <v>40</v>
      </c>
      <c r="B4857">
        <v>31</v>
      </c>
      <c r="C4857" t="s">
        <v>21</v>
      </c>
      <c r="D4857" s="1">
        <v>46234</v>
      </c>
      <c r="E4857">
        <v>5432.6</v>
      </c>
      <c r="F4857">
        <v>321.27999999999997</v>
      </c>
      <c r="G4857">
        <v>190.43</v>
      </c>
      <c r="H4857">
        <v>450</v>
      </c>
      <c r="I4857" t="s">
        <v>41</v>
      </c>
      <c r="J4857">
        <v>2026</v>
      </c>
      <c r="K4857">
        <f t="shared" si="150"/>
        <v>130.84999999999997</v>
      </c>
      <c r="L4857" t="str">
        <f t="shared" si="151"/>
        <v>Banca Sicula|31|Assicurazioni</v>
      </c>
    </row>
    <row r="4858" spans="1:12" x14ac:dyDescent="0.25">
      <c r="A4858" t="s">
        <v>40</v>
      </c>
      <c r="B4858">
        <v>32</v>
      </c>
      <c r="C4858" t="s">
        <v>13</v>
      </c>
      <c r="D4858" s="1">
        <v>46265</v>
      </c>
      <c r="E4858">
        <v>1506.2</v>
      </c>
      <c r="F4858">
        <v>67.849999999999994</v>
      </c>
      <c r="G4858">
        <v>42.23</v>
      </c>
      <c r="H4858">
        <v>138</v>
      </c>
      <c r="I4858" t="s">
        <v>41</v>
      </c>
      <c r="J4858">
        <v>2026</v>
      </c>
      <c r="K4858">
        <f t="shared" si="150"/>
        <v>25.619999999999997</v>
      </c>
      <c r="L4858" t="str">
        <f t="shared" si="151"/>
        <v>Banca Sicula|32|Mutui</v>
      </c>
    </row>
    <row r="4859" spans="1:12" x14ac:dyDescent="0.25">
      <c r="A4859" t="s">
        <v>40</v>
      </c>
      <c r="B4859">
        <v>32</v>
      </c>
      <c r="C4859" t="s">
        <v>15</v>
      </c>
      <c r="D4859" s="1">
        <v>46265</v>
      </c>
      <c r="E4859">
        <v>2040.3</v>
      </c>
      <c r="F4859">
        <v>95.91</v>
      </c>
      <c r="G4859">
        <v>59.47</v>
      </c>
      <c r="H4859">
        <v>184</v>
      </c>
      <c r="I4859" t="s">
        <v>41</v>
      </c>
      <c r="J4859">
        <v>2026</v>
      </c>
      <c r="K4859">
        <f t="shared" si="150"/>
        <v>36.44</v>
      </c>
      <c r="L4859" t="str">
        <f t="shared" si="151"/>
        <v>Banca Sicula|32|Prestiti</v>
      </c>
    </row>
    <row r="4860" spans="1:12" x14ac:dyDescent="0.25">
      <c r="A4860" t="s">
        <v>40</v>
      </c>
      <c r="B4860">
        <v>32</v>
      </c>
      <c r="C4860" t="s">
        <v>16</v>
      </c>
      <c r="D4860" s="1">
        <v>46265</v>
      </c>
      <c r="E4860">
        <v>2654.9</v>
      </c>
      <c r="F4860">
        <v>130.63999999999999</v>
      </c>
      <c r="G4860">
        <v>80.37</v>
      </c>
      <c r="H4860">
        <v>220</v>
      </c>
      <c r="I4860" t="s">
        <v>41</v>
      </c>
      <c r="J4860">
        <v>2026</v>
      </c>
      <c r="K4860">
        <f t="shared" si="150"/>
        <v>50.269999999999982</v>
      </c>
      <c r="L4860" t="str">
        <f t="shared" si="151"/>
        <v>Banca Sicula|32|Conti</v>
      </c>
    </row>
    <row r="4861" spans="1:12" x14ac:dyDescent="0.25">
      <c r="A4861" t="s">
        <v>40</v>
      </c>
      <c r="B4861">
        <v>32</v>
      </c>
      <c r="C4861" t="s">
        <v>17</v>
      </c>
      <c r="D4861" s="1">
        <v>46265</v>
      </c>
      <c r="E4861">
        <v>3190.2</v>
      </c>
      <c r="F4861">
        <v>163.22999999999999</v>
      </c>
      <c r="G4861">
        <v>99.56</v>
      </c>
      <c r="H4861">
        <v>260</v>
      </c>
      <c r="I4861" t="s">
        <v>41</v>
      </c>
      <c r="J4861">
        <v>2026</v>
      </c>
      <c r="K4861">
        <f t="shared" si="150"/>
        <v>63.669999999999987</v>
      </c>
      <c r="L4861" t="str">
        <f t="shared" si="151"/>
        <v>Banca Sicula|32|Carte</v>
      </c>
    </row>
    <row r="4862" spans="1:12" x14ac:dyDescent="0.25">
      <c r="A4862" t="s">
        <v>40</v>
      </c>
      <c r="B4862">
        <v>32</v>
      </c>
      <c r="C4862" t="s">
        <v>18</v>
      </c>
      <c r="D4862" s="1">
        <v>46265</v>
      </c>
      <c r="E4862">
        <v>3754.7</v>
      </c>
      <c r="F4862">
        <v>199.82</v>
      </c>
      <c r="G4862">
        <v>120.82</v>
      </c>
      <c r="H4862">
        <v>334</v>
      </c>
      <c r="I4862" t="s">
        <v>41</v>
      </c>
      <c r="J4862">
        <v>2026</v>
      </c>
      <c r="K4862">
        <f t="shared" si="150"/>
        <v>79</v>
      </c>
      <c r="L4862" t="str">
        <f t="shared" si="151"/>
        <v>Banca Sicula|32|Leasing</v>
      </c>
    </row>
    <row r="4863" spans="1:12" x14ac:dyDescent="0.25">
      <c r="A4863" t="s">
        <v>40</v>
      </c>
      <c r="B4863">
        <v>32</v>
      </c>
      <c r="C4863" t="s">
        <v>19</v>
      </c>
      <c r="D4863" s="1">
        <v>46265</v>
      </c>
      <c r="E4863">
        <v>4313.3</v>
      </c>
      <c r="F4863">
        <v>238.05</v>
      </c>
      <c r="G4863">
        <v>142.63999999999999</v>
      </c>
      <c r="H4863">
        <v>362</v>
      </c>
      <c r="I4863" t="s">
        <v>41</v>
      </c>
      <c r="J4863">
        <v>2026</v>
      </c>
      <c r="K4863">
        <f t="shared" si="150"/>
        <v>95.410000000000025</v>
      </c>
      <c r="L4863" t="str">
        <f t="shared" si="151"/>
        <v>Banca Sicula|32|Factoring</v>
      </c>
    </row>
    <row r="4864" spans="1:12" x14ac:dyDescent="0.25">
      <c r="A4864" t="s">
        <v>40</v>
      </c>
      <c r="B4864">
        <v>32</v>
      </c>
      <c r="C4864" t="s">
        <v>20</v>
      </c>
      <c r="D4864" s="1">
        <v>46265</v>
      </c>
      <c r="E4864">
        <v>4914.3</v>
      </c>
      <c r="F4864">
        <v>280.36</v>
      </c>
      <c r="G4864">
        <v>167.74</v>
      </c>
      <c r="H4864">
        <v>402</v>
      </c>
      <c r="I4864" t="s">
        <v>41</v>
      </c>
      <c r="J4864">
        <v>2026</v>
      </c>
      <c r="K4864">
        <f t="shared" si="150"/>
        <v>112.62</v>
      </c>
      <c r="L4864" t="str">
        <f t="shared" si="151"/>
        <v>Banca Sicula|32|Risparmio</v>
      </c>
    </row>
    <row r="4865" spans="1:12" x14ac:dyDescent="0.25">
      <c r="A4865" t="s">
        <v>40</v>
      </c>
      <c r="B4865">
        <v>32</v>
      </c>
      <c r="C4865" t="s">
        <v>21</v>
      </c>
      <c r="D4865" s="1">
        <v>46265</v>
      </c>
      <c r="E4865">
        <v>5459</v>
      </c>
      <c r="F4865">
        <v>322.14999999999998</v>
      </c>
      <c r="G4865">
        <v>191.21</v>
      </c>
      <c r="H4865">
        <v>466</v>
      </c>
      <c r="I4865" t="s">
        <v>41</v>
      </c>
      <c r="J4865">
        <v>2026</v>
      </c>
      <c r="K4865">
        <f t="shared" si="150"/>
        <v>130.93999999999997</v>
      </c>
      <c r="L4865" t="str">
        <f t="shared" si="151"/>
        <v>Banca Sicula|32|Assicurazioni</v>
      </c>
    </row>
    <row r="4866" spans="1:12" x14ac:dyDescent="0.25">
      <c r="A4866" t="s">
        <v>40</v>
      </c>
      <c r="B4866">
        <v>33</v>
      </c>
      <c r="C4866" t="s">
        <v>13</v>
      </c>
      <c r="D4866" s="1">
        <v>46295</v>
      </c>
      <c r="E4866">
        <v>1500.9</v>
      </c>
      <c r="F4866">
        <v>67.56</v>
      </c>
      <c r="G4866">
        <v>42.81</v>
      </c>
      <c r="H4866">
        <v>126</v>
      </c>
      <c r="I4866" t="s">
        <v>41</v>
      </c>
      <c r="J4866">
        <v>2026</v>
      </c>
      <c r="K4866">
        <f t="shared" ref="K4866:K4929" si="152">F4866-G4866</f>
        <v>24.75</v>
      </c>
      <c r="L4866" t="str">
        <f t="shared" ref="L4866:L4929" si="153">A4866&amp;"|"&amp;B4866&amp;"|"&amp;C4866</f>
        <v>Banca Sicula|33|Mutui</v>
      </c>
    </row>
    <row r="4867" spans="1:12" x14ac:dyDescent="0.25">
      <c r="A4867" t="s">
        <v>40</v>
      </c>
      <c r="B4867">
        <v>33</v>
      </c>
      <c r="C4867" t="s">
        <v>15</v>
      </c>
      <c r="D4867" s="1">
        <v>46295</v>
      </c>
      <c r="E4867">
        <v>2092.1</v>
      </c>
      <c r="F4867">
        <v>98.52</v>
      </c>
      <c r="G4867">
        <v>61.39</v>
      </c>
      <c r="H4867">
        <v>194</v>
      </c>
      <c r="I4867" t="s">
        <v>41</v>
      </c>
      <c r="J4867">
        <v>2026</v>
      </c>
      <c r="K4867">
        <f t="shared" si="152"/>
        <v>37.129999999999995</v>
      </c>
      <c r="L4867" t="str">
        <f t="shared" si="153"/>
        <v>Banca Sicula|33|Prestiti</v>
      </c>
    </row>
    <row r="4868" spans="1:12" x14ac:dyDescent="0.25">
      <c r="A4868" t="s">
        <v>40</v>
      </c>
      <c r="B4868">
        <v>33</v>
      </c>
      <c r="C4868" t="s">
        <v>16</v>
      </c>
      <c r="D4868" s="1">
        <v>46295</v>
      </c>
      <c r="E4868">
        <v>2668.1</v>
      </c>
      <c r="F4868">
        <v>130.83000000000001</v>
      </c>
      <c r="G4868">
        <v>80.17</v>
      </c>
      <c r="H4868">
        <v>247</v>
      </c>
      <c r="I4868" t="s">
        <v>41</v>
      </c>
      <c r="J4868">
        <v>2026</v>
      </c>
      <c r="K4868">
        <f t="shared" si="152"/>
        <v>50.660000000000011</v>
      </c>
      <c r="L4868" t="str">
        <f t="shared" si="153"/>
        <v>Banca Sicula|33|Conti</v>
      </c>
    </row>
    <row r="4869" spans="1:12" x14ac:dyDescent="0.25">
      <c r="A4869" t="s">
        <v>40</v>
      </c>
      <c r="B4869">
        <v>33</v>
      </c>
      <c r="C4869" t="s">
        <v>17</v>
      </c>
      <c r="D4869" s="1">
        <v>46295</v>
      </c>
      <c r="E4869">
        <v>3234.8</v>
      </c>
      <c r="F4869">
        <v>165.38</v>
      </c>
      <c r="G4869">
        <v>100.45</v>
      </c>
      <c r="H4869">
        <v>257</v>
      </c>
      <c r="I4869" t="s">
        <v>41</v>
      </c>
      <c r="J4869">
        <v>2026</v>
      </c>
      <c r="K4869">
        <f t="shared" si="152"/>
        <v>64.929999999999993</v>
      </c>
      <c r="L4869" t="str">
        <f t="shared" si="153"/>
        <v>Banca Sicula|33|Carte</v>
      </c>
    </row>
    <row r="4870" spans="1:12" x14ac:dyDescent="0.25">
      <c r="A4870" t="s">
        <v>40</v>
      </c>
      <c r="B4870">
        <v>33</v>
      </c>
      <c r="C4870" t="s">
        <v>18</v>
      </c>
      <c r="D4870" s="1">
        <v>46295</v>
      </c>
      <c r="E4870">
        <v>3775.5</v>
      </c>
      <c r="F4870">
        <v>200.82</v>
      </c>
      <c r="G4870">
        <v>121.64</v>
      </c>
      <c r="H4870">
        <v>319</v>
      </c>
      <c r="I4870" t="s">
        <v>41</v>
      </c>
      <c r="J4870">
        <v>2026</v>
      </c>
      <c r="K4870">
        <f t="shared" si="152"/>
        <v>79.179999999999993</v>
      </c>
      <c r="L4870" t="str">
        <f t="shared" si="153"/>
        <v>Banca Sicula|33|Leasing</v>
      </c>
    </row>
    <row r="4871" spans="1:12" x14ac:dyDescent="0.25">
      <c r="A4871" t="s">
        <v>40</v>
      </c>
      <c r="B4871">
        <v>33</v>
      </c>
      <c r="C4871" t="s">
        <v>19</v>
      </c>
      <c r="D4871" s="1">
        <v>46295</v>
      </c>
      <c r="E4871">
        <v>4377.2</v>
      </c>
      <c r="F4871">
        <v>241.64</v>
      </c>
      <c r="G4871">
        <v>144.83000000000001</v>
      </c>
      <c r="H4871">
        <v>369</v>
      </c>
      <c r="I4871" t="s">
        <v>41</v>
      </c>
      <c r="J4871">
        <v>2026</v>
      </c>
      <c r="K4871">
        <f t="shared" si="152"/>
        <v>96.809999999999974</v>
      </c>
      <c r="L4871" t="str">
        <f t="shared" si="153"/>
        <v>Banca Sicula|33|Factoring</v>
      </c>
    </row>
    <row r="4872" spans="1:12" x14ac:dyDescent="0.25">
      <c r="A4872" t="s">
        <v>40</v>
      </c>
      <c r="B4872">
        <v>33</v>
      </c>
      <c r="C4872" t="s">
        <v>20</v>
      </c>
      <c r="D4872" s="1">
        <v>46295</v>
      </c>
      <c r="E4872">
        <v>4915.3999999999996</v>
      </c>
      <c r="F4872">
        <v>280.56</v>
      </c>
      <c r="G4872">
        <v>167.97</v>
      </c>
      <c r="H4872">
        <v>422</v>
      </c>
      <c r="I4872" t="s">
        <v>41</v>
      </c>
      <c r="J4872">
        <v>2026</v>
      </c>
      <c r="K4872">
        <f t="shared" si="152"/>
        <v>112.59</v>
      </c>
      <c r="L4872" t="str">
        <f t="shared" si="153"/>
        <v>Banca Sicula|33|Risparmio</v>
      </c>
    </row>
    <row r="4873" spans="1:12" x14ac:dyDescent="0.25">
      <c r="A4873" t="s">
        <v>40</v>
      </c>
      <c r="B4873">
        <v>33</v>
      </c>
      <c r="C4873" t="s">
        <v>21</v>
      </c>
      <c r="D4873" s="1">
        <v>46295</v>
      </c>
      <c r="E4873">
        <v>5470.4</v>
      </c>
      <c r="F4873">
        <v>322.8</v>
      </c>
      <c r="G4873">
        <v>191.97</v>
      </c>
      <c r="H4873">
        <v>440</v>
      </c>
      <c r="I4873" t="s">
        <v>41</v>
      </c>
      <c r="J4873">
        <v>2026</v>
      </c>
      <c r="K4873">
        <f t="shared" si="152"/>
        <v>130.83000000000001</v>
      </c>
      <c r="L4873" t="str">
        <f t="shared" si="153"/>
        <v>Banca Sicula|33|Assicurazioni</v>
      </c>
    </row>
    <row r="4874" spans="1:12" x14ac:dyDescent="0.25">
      <c r="A4874" t="s">
        <v>40</v>
      </c>
      <c r="B4874">
        <v>34</v>
      </c>
      <c r="C4874" t="s">
        <v>13</v>
      </c>
      <c r="D4874" s="1">
        <v>46326</v>
      </c>
      <c r="E4874">
        <v>1511.8</v>
      </c>
      <c r="F4874">
        <v>68.13</v>
      </c>
      <c r="G4874">
        <v>42.9</v>
      </c>
      <c r="H4874">
        <v>145</v>
      </c>
      <c r="I4874" t="s">
        <v>41</v>
      </c>
      <c r="J4874">
        <v>2026</v>
      </c>
      <c r="K4874">
        <f t="shared" si="152"/>
        <v>25.229999999999997</v>
      </c>
      <c r="L4874" t="str">
        <f t="shared" si="153"/>
        <v>Banca Sicula|34|Mutui</v>
      </c>
    </row>
    <row r="4875" spans="1:12" x14ac:dyDescent="0.25">
      <c r="A4875" t="s">
        <v>40</v>
      </c>
      <c r="B4875">
        <v>34</v>
      </c>
      <c r="C4875" t="s">
        <v>15</v>
      </c>
      <c r="D4875" s="1">
        <v>46326</v>
      </c>
      <c r="E4875">
        <v>2074</v>
      </c>
      <c r="F4875">
        <v>97.6</v>
      </c>
      <c r="G4875">
        <v>60.84</v>
      </c>
      <c r="H4875">
        <v>184</v>
      </c>
      <c r="I4875" t="s">
        <v>41</v>
      </c>
      <c r="J4875">
        <v>2026</v>
      </c>
      <c r="K4875">
        <f t="shared" si="152"/>
        <v>36.759999999999991</v>
      </c>
      <c r="L4875" t="str">
        <f t="shared" si="153"/>
        <v>Banca Sicula|34|Prestiti</v>
      </c>
    </row>
    <row r="4876" spans="1:12" x14ac:dyDescent="0.25">
      <c r="A4876" t="s">
        <v>40</v>
      </c>
      <c r="B4876">
        <v>34</v>
      </c>
      <c r="C4876" t="s">
        <v>16</v>
      </c>
      <c r="D4876" s="1">
        <v>46326</v>
      </c>
      <c r="E4876">
        <v>2662.6</v>
      </c>
      <c r="F4876">
        <v>131.37</v>
      </c>
      <c r="G4876">
        <v>79.930000000000007</v>
      </c>
      <c r="H4876">
        <v>225</v>
      </c>
      <c r="I4876" t="s">
        <v>41</v>
      </c>
      <c r="J4876">
        <v>2026</v>
      </c>
      <c r="K4876">
        <f t="shared" si="152"/>
        <v>51.44</v>
      </c>
      <c r="L4876" t="str">
        <f t="shared" si="153"/>
        <v>Banca Sicula|34|Conti</v>
      </c>
    </row>
    <row r="4877" spans="1:12" x14ac:dyDescent="0.25">
      <c r="A4877" t="s">
        <v>40</v>
      </c>
      <c r="B4877">
        <v>34</v>
      </c>
      <c r="C4877" t="s">
        <v>17</v>
      </c>
      <c r="D4877" s="1">
        <v>46326</v>
      </c>
      <c r="E4877">
        <v>3249.4</v>
      </c>
      <c r="F4877">
        <v>165.91</v>
      </c>
      <c r="G4877">
        <v>101</v>
      </c>
      <c r="H4877">
        <v>261</v>
      </c>
      <c r="I4877" t="s">
        <v>41</v>
      </c>
      <c r="J4877">
        <v>2026</v>
      </c>
      <c r="K4877">
        <f t="shared" si="152"/>
        <v>64.91</v>
      </c>
      <c r="L4877" t="str">
        <f t="shared" si="153"/>
        <v>Banca Sicula|34|Carte</v>
      </c>
    </row>
    <row r="4878" spans="1:12" x14ac:dyDescent="0.25">
      <c r="A4878" t="s">
        <v>40</v>
      </c>
      <c r="B4878">
        <v>34</v>
      </c>
      <c r="C4878" t="s">
        <v>18</v>
      </c>
      <c r="D4878" s="1">
        <v>46326</v>
      </c>
      <c r="E4878">
        <v>3815</v>
      </c>
      <c r="F4878">
        <v>203</v>
      </c>
      <c r="G4878">
        <v>122.17</v>
      </c>
      <c r="H4878">
        <v>309</v>
      </c>
      <c r="I4878" t="s">
        <v>41</v>
      </c>
      <c r="J4878">
        <v>2026</v>
      </c>
      <c r="K4878">
        <f t="shared" si="152"/>
        <v>80.83</v>
      </c>
      <c r="L4878" t="str">
        <f t="shared" si="153"/>
        <v>Banca Sicula|34|Leasing</v>
      </c>
    </row>
    <row r="4879" spans="1:12" x14ac:dyDescent="0.25">
      <c r="A4879" t="s">
        <v>40</v>
      </c>
      <c r="B4879">
        <v>34</v>
      </c>
      <c r="C4879" t="s">
        <v>19</v>
      </c>
      <c r="D4879" s="1">
        <v>46326</v>
      </c>
      <c r="E4879">
        <v>4403.1000000000004</v>
      </c>
      <c r="F4879">
        <v>242.42</v>
      </c>
      <c r="G4879">
        <v>145.58000000000001</v>
      </c>
      <c r="H4879">
        <v>371</v>
      </c>
      <c r="I4879" t="s">
        <v>41</v>
      </c>
      <c r="J4879">
        <v>2026</v>
      </c>
      <c r="K4879">
        <f t="shared" si="152"/>
        <v>96.839999999999975</v>
      </c>
      <c r="L4879" t="str">
        <f t="shared" si="153"/>
        <v>Banca Sicula|34|Factoring</v>
      </c>
    </row>
    <row r="4880" spans="1:12" x14ac:dyDescent="0.25">
      <c r="A4880" t="s">
        <v>40</v>
      </c>
      <c r="B4880">
        <v>34</v>
      </c>
      <c r="C4880" t="s">
        <v>20</v>
      </c>
      <c r="D4880" s="1">
        <v>46326</v>
      </c>
      <c r="E4880">
        <v>4926.7</v>
      </c>
      <c r="F4880">
        <v>281.72000000000003</v>
      </c>
      <c r="G4880">
        <v>167.52</v>
      </c>
      <c r="H4880">
        <v>419</v>
      </c>
      <c r="I4880" t="s">
        <v>41</v>
      </c>
      <c r="J4880">
        <v>2026</v>
      </c>
      <c r="K4880">
        <f t="shared" si="152"/>
        <v>114.20000000000002</v>
      </c>
      <c r="L4880" t="str">
        <f t="shared" si="153"/>
        <v>Banca Sicula|34|Risparmio</v>
      </c>
    </row>
    <row r="4881" spans="1:12" x14ac:dyDescent="0.25">
      <c r="A4881" t="s">
        <v>40</v>
      </c>
      <c r="B4881">
        <v>34</v>
      </c>
      <c r="C4881" t="s">
        <v>21</v>
      </c>
      <c r="D4881" s="1">
        <v>46326</v>
      </c>
      <c r="E4881">
        <v>5543.9</v>
      </c>
      <c r="F4881">
        <v>327.24</v>
      </c>
      <c r="G4881">
        <v>194.23</v>
      </c>
      <c r="H4881">
        <v>447</v>
      </c>
      <c r="I4881" t="s">
        <v>41</v>
      </c>
      <c r="J4881">
        <v>2026</v>
      </c>
      <c r="K4881">
        <f t="shared" si="152"/>
        <v>133.01000000000002</v>
      </c>
      <c r="L4881" t="str">
        <f t="shared" si="153"/>
        <v>Banca Sicula|34|Assicurazioni</v>
      </c>
    </row>
    <row r="4882" spans="1:12" x14ac:dyDescent="0.25">
      <c r="A4882" t="s">
        <v>40</v>
      </c>
      <c r="B4882">
        <v>35</v>
      </c>
      <c r="C4882" t="s">
        <v>13</v>
      </c>
      <c r="D4882" s="1">
        <v>46356</v>
      </c>
      <c r="E4882">
        <v>1510.8</v>
      </c>
      <c r="F4882">
        <v>68.180000000000007</v>
      </c>
      <c r="G4882">
        <v>43.2</v>
      </c>
      <c r="H4882">
        <v>126</v>
      </c>
      <c r="I4882" t="s">
        <v>41</v>
      </c>
      <c r="J4882">
        <v>2026</v>
      </c>
      <c r="K4882">
        <f t="shared" si="152"/>
        <v>24.980000000000004</v>
      </c>
      <c r="L4882" t="str">
        <f t="shared" si="153"/>
        <v>Banca Sicula|35|Mutui</v>
      </c>
    </row>
    <row r="4883" spans="1:12" x14ac:dyDescent="0.25">
      <c r="A4883" t="s">
        <v>40</v>
      </c>
      <c r="B4883">
        <v>35</v>
      </c>
      <c r="C4883" t="s">
        <v>15</v>
      </c>
      <c r="D4883" s="1">
        <v>46356</v>
      </c>
      <c r="E4883">
        <v>2131.4</v>
      </c>
      <c r="F4883">
        <v>100.51</v>
      </c>
      <c r="G4883">
        <v>62.24</v>
      </c>
      <c r="H4883">
        <v>168</v>
      </c>
      <c r="I4883" t="s">
        <v>41</v>
      </c>
      <c r="J4883">
        <v>2026</v>
      </c>
      <c r="K4883">
        <f t="shared" si="152"/>
        <v>38.270000000000003</v>
      </c>
      <c r="L4883" t="str">
        <f t="shared" si="153"/>
        <v>Banca Sicula|35|Prestiti</v>
      </c>
    </row>
    <row r="4884" spans="1:12" x14ac:dyDescent="0.25">
      <c r="A4884" t="s">
        <v>40</v>
      </c>
      <c r="B4884">
        <v>35</v>
      </c>
      <c r="C4884" t="s">
        <v>16</v>
      </c>
      <c r="D4884" s="1">
        <v>46356</v>
      </c>
      <c r="E4884">
        <v>2701.3</v>
      </c>
      <c r="F4884">
        <v>133.13999999999999</v>
      </c>
      <c r="G4884">
        <v>81.36</v>
      </c>
      <c r="H4884">
        <v>228</v>
      </c>
      <c r="I4884" t="s">
        <v>41</v>
      </c>
      <c r="J4884">
        <v>2026</v>
      </c>
      <c r="K4884">
        <f t="shared" si="152"/>
        <v>51.779999999999987</v>
      </c>
      <c r="L4884" t="str">
        <f t="shared" si="153"/>
        <v>Banca Sicula|35|Conti</v>
      </c>
    </row>
    <row r="4885" spans="1:12" x14ac:dyDescent="0.25">
      <c r="A4885" t="s">
        <v>40</v>
      </c>
      <c r="B4885">
        <v>35</v>
      </c>
      <c r="C4885" t="s">
        <v>17</v>
      </c>
      <c r="D4885" s="1">
        <v>46356</v>
      </c>
      <c r="E4885">
        <v>3236</v>
      </c>
      <c r="F4885">
        <v>165.04</v>
      </c>
      <c r="G4885">
        <v>100.63</v>
      </c>
      <c r="H4885">
        <v>282</v>
      </c>
      <c r="I4885" t="s">
        <v>41</v>
      </c>
      <c r="J4885">
        <v>2026</v>
      </c>
      <c r="K4885">
        <f t="shared" si="152"/>
        <v>64.41</v>
      </c>
      <c r="L4885" t="str">
        <f t="shared" si="153"/>
        <v>Banca Sicula|35|Carte</v>
      </c>
    </row>
    <row r="4886" spans="1:12" x14ac:dyDescent="0.25">
      <c r="A4886" t="s">
        <v>40</v>
      </c>
      <c r="B4886">
        <v>35</v>
      </c>
      <c r="C4886" t="s">
        <v>18</v>
      </c>
      <c r="D4886" s="1">
        <v>46356</v>
      </c>
      <c r="E4886">
        <v>3845.3</v>
      </c>
      <c r="F4886">
        <v>204.64</v>
      </c>
      <c r="G4886">
        <v>123.07</v>
      </c>
      <c r="H4886">
        <v>312</v>
      </c>
      <c r="I4886" t="s">
        <v>41</v>
      </c>
      <c r="J4886">
        <v>2026</v>
      </c>
      <c r="K4886">
        <f t="shared" si="152"/>
        <v>81.569999999999993</v>
      </c>
      <c r="L4886" t="str">
        <f t="shared" si="153"/>
        <v>Banca Sicula|35|Leasing</v>
      </c>
    </row>
    <row r="4887" spans="1:12" x14ac:dyDescent="0.25">
      <c r="A4887" t="s">
        <v>40</v>
      </c>
      <c r="B4887">
        <v>35</v>
      </c>
      <c r="C4887" t="s">
        <v>19</v>
      </c>
      <c r="D4887" s="1">
        <v>46356</v>
      </c>
      <c r="E4887">
        <v>4393.8999999999996</v>
      </c>
      <c r="F4887">
        <v>242.55</v>
      </c>
      <c r="G4887">
        <v>145.28</v>
      </c>
      <c r="H4887">
        <v>363</v>
      </c>
      <c r="I4887" t="s">
        <v>41</v>
      </c>
      <c r="J4887">
        <v>2026</v>
      </c>
      <c r="K4887">
        <f t="shared" si="152"/>
        <v>97.27000000000001</v>
      </c>
      <c r="L4887" t="str">
        <f t="shared" si="153"/>
        <v>Banca Sicula|35|Factoring</v>
      </c>
    </row>
    <row r="4888" spans="1:12" x14ac:dyDescent="0.25">
      <c r="A4888" t="s">
        <v>40</v>
      </c>
      <c r="B4888">
        <v>35</v>
      </c>
      <c r="C4888" t="s">
        <v>20</v>
      </c>
      <c r="D4888" s="1">
        <v>46356</v>
      </c>
      <c r="E4888">
        <v>4965</v>
      </c>
      <c r="F4888">
        <v>284</v>
      </c>
      <c r="G4888">
        <v>169.74</v>
      </c>
      <c r="H4888">
        <v>390</v>
      </c>
      <c r="I4888" t="s">
        <v>41</v>
      </c>
      <c r="J4888">
        <v>2026</v>
      </c>
      <c r="K4888">
        <f t="shared" si="152"/>
        <v>114.25999999999999</v>
      </c>
      <c r="L4888" t="str">
        <f t="shared" si="153"/>
        <v>Banca Sicula|35|Risparmio</v>
      </c>
    </row>
    <row r="4889" spans="1:12" x14ac:dyDescent="0.25">
      <c r="A4889" t="s">
        <v>40</v>
      </c>
      <c r="B4889">
        <v>35</v>
      </c>
      <c r="C4889" t="s">
        <v>21</v>
      </c>
      <c r="D4889" s="1">
        <v>46356</v>
      </c>
      <c r="E4889">
        <v>5568.1</v>
      </c>
      <c r="F4889">
        <v>329.43</v>
      </c>
      <c r="G4889">
        <v>195.81</v>
      </c>
      <c r="H4889">
        <v>447</v>
      </c>
      <c r="I4889" t="s">
        <v>41</v>
      </c>
      <c r="J4889">
        <v>2026</v>
      </c>
      <c r="K4889">
        <f t="shared" si="152"/>
        <v>133.62</v>
      </c>
      <c r="L4889" t="str">
        <f t="shared" si="153"/>
        <v>Banca Sicula|35|Assicurazioni</v>
      </c>
    </row>
    <row r="4890" spans="1:12" x14ac:dyDescent="0.25">
      <c r="A4890" t="s">
        <v>40</v>
      </c>
      <c r="B4890">
        <v>36</v>
      </c>
      <c r="C4890" t="s">
        <v>13</v>
      </c>
      <c r="D4890" s="1">
        <v>46387</v>
      </c>
      <c r="E4890">
        <v>1567.6</v>
      </c>
      <c r="F4890">
        <v>71.36</v>
      </c>
      <c r="G4890">
        <v>44.07</v>
      </c>
      <c r="H4890">
        <v>153</v>
      </c>
      <c r="I4890" t="s">
        <v>41</v>
      </c>
      <c r="J4890">
        <v>2026</v>
      </c>
      <c r="K4890">
        <f t="shared" si="152"/>
        <v>27.29</v>
      </c>
      <c r="L4890" t="str">
        <f t="shared" si="153"/>
        <v>Banca Sicula|36|Mutui</v>
      </c>
    </row>
    <row r="4891" spans="1:12" x14ac:dyDescent="0.25">
      <c r="A4891" t="s">
        <v>40</v>
      </c>
      <c r="B4891">
        <v>36</v>
      </c>
      <c r="C4891" t="s">
        <v>15</v>
      </c>
      <c r="D4891" s="1">
        <v>46387</v>
      </c>
      <c r="E4891">
        <v>2128.9</v>
      </c>
      <c r="F4891">
        <v>100.63</v>
      </c>
      <c r="G4891">
        <v>62.25</v>
      </c>
      <c r="H4891">
        <v>188</v>
      </c>
      <c r="I4891" t="s">
        <v>41</v>
      </c>
      <c r="J4891">
        <v>2026</v>
      </c>
      <c r="K4891">
        <f t="shared" si="152"/>
        <v>38.379999999999995</v>
      </c>
      <c r="L4891" t="str">
        <f t="shared" si="153"/>
        <v>Banca Sicula|36|Prestiti</v>
      </c>
    </row>
    <row r="4892" spans="1:12" x14ac:dyDescent="0.25">
      <c r="A4892" t="s">
        <v>40</v>
      </c>
      <c r="B4892">
        <v>36</v>
      </c>
      <c r="C4892" t="s">
        <v>16</v>
      </c>
      <c r="D4892" s="1">
        <v>46387</v>
      </c>
      <c r="E4892">
        <v>2683.1</v>
      </c>
      <c r="F4892">
        <v>132.30000000000001</v>
      </c>
      <c r="G4892">
        <v>80.98</v>
      </c>
      <c r="H4892">
        <v>231</v>
      </c>
      <c r="I4892" t="s">
        <v>41</v>
      </c>
      <c r="J4892">
        <v>2026</v>
      </c>
      <c r="K4892">
        <f t="shared" si="152"/>
        <v>51.320000000000007</v>
      </c>
      <c r="L4892" t="str">
        <f t="shared" si="153"/>
        <v>Banca Sicula|36|Conti</v>
      </c>
    </row>
    <row r="4893" spans="1:12" x14ac:dyDescent="0.25">
      <c r="A4893" t="s">
        <v>40</v>
      </c>
      <c r="B4893">
        <v>36</v>
      </c>
      <c r="C4893" t="s">
        <v>17</v>
      </c>
      <c r="D4893" s="1">
        <v>46387</v>
      </c>
      <c r="E4893">
        <v>3278.7</v>
      </c>
      <c r="F4893">
        <v>167.4</v>
      </c>
      <c r="G4893">
        <v>102.2</v>
      </c>
      <c r="H4893">
        <v>287</v>
      </c>
      <c r="I4893" t="s">
        <v>41</v>
      </c>
      <c r="J4893">
        <v>2026</v>
      </c>
      <c r="K4893">
        <f t="shared" si="152"/>
        <v>65.2</v>
      </c>
      <c r="L4893" t="str">
        <f t="shared" si="153"/>
        <v>Banca Sicula|36|Carte</v>
      </c>
    </row>
    <row r="4894" spans="1:12" x14ac:dyDescent="0.25">
      <c r="A4894" t="s">
        <v>40</v>
      </c>
      <c r="B4894">
        <v>36</v>
      </c>
      <c r="C4894" t="s">
        <v>18</v>
      </c>
      <c r="D4894" s="1">
        <v>46387</v>
      </c>
      <c r="E4894">
        <v>3839.8</v>
      </c>
      <c r="F4894">
        <v>203.57</v>
      </c>
      <c r="G4894">
        <v>123.8</v>
      </c>
      <c r="H4894">
        <v>331</v>
      </c>
      <c r="I4894" t="s">
        <v>41</v>
      </c>
      <c r="J4894">
        <v>2026</v>
      </c>
      <c r="K4894">
        <f t="shared" si="152"/>
        <v>79.77</v>
      </c>
      <c r="L4894" t="str">
        <f t="shared" si="153"/>
        <v>Banca Sicula|36|Leasing</v>
      </c>
    </row>
    <row r="4895" spans="1:12" x14ac:dyDescent="0.25">
      <c r="A4895" t="s">
        <v>40</v>
      </c>
      <c r="B4895">
        <v>36</v>
      </c>
      <c r="C4895" t="s">
        <v>19</v>
      </c>
      <c r="D4895" s="1">
        <v>46387</v>
      </c>
      <c r="E4895">
        <v>4434.3</v>
      </c>
      <c r="F4895">
        <v>244.73</v>
      </c>
      <c r="G4895">
        <v>146.62</v>
      </c>
      <c r="H4895">
        <v>374</v>
      </c>
      <c r="I4895" t="s">
        <v>41</v>
      </c>
      <c r="J4895">
        <v>2026</v>
      </c>
      <c r="K4895">
        <f t="shared" si="152"/>
        <v>98.109999999999985</v>
      </c>
      <c r="L4895" t="str">
        <f t="shared" si="153"/>
        <v>Banca Sicula|36|Factoring</v>
      </c>
    </row>
    <row r="4896" spans="1:12" x14ac:dyDescent="0.25">
      <c r="A4896" t="s">
        <v>40</v>
      </c>
      <c r="B4896">
        <v>36</v>
      </c>
      <c r="C4896" t="s">
        <v>20</v>
      </c>
      <c r="D4896" s="1">
        <v>46387</v>
      </c>
      <c r="E4896">
        <v>4993.6000000000004</v>
      </c>
      <c r="F4896">
        <v>284.70999999999998</v>
      </c>
      <c r="G4896">
        <v>170.77</v>
      </c>
      <c r="H4896">
        <v>419</v>
      </c>
      <c r="I4896" t="s">
        <v>41</v>
      </c>
      <c r="J4896">
        <v>2026</v>
      </c>
      <c r="K4896">
        <f t="shared" si="152"/>
        <v>113.93999999999997</v>
      </c>
      <c r="L4896" t="str">
        <f t="shared" si="153"/>
        <v>Banca Sicula|36|Risparmio</v>
      </c>
    </row>
    <row r="4897" spans="1:12" x14ac:dyDescent="0.25">
      <c r="A4897" t="s">
        <v>40</v>
      </c>
      <c r="B4897">
        <v>36</v>
      </c>
      <c r="C4897" t="s">
        <v>21</v>
      </c>
      <c r="D4897" s="1">
        <v>46387</v>
      </c>
      <c r="E4897">
        <v>5599.6</v>
      </c>
      <c r="F4897">
        <v>331.03</v>
      </c>
      <c r="G4897">
        <v>196.15</v>
      </c>
      <c r="H4897">
        <v>461</v>
      </c>
      <c r="I4897" t="s">
        <v>41</v>
      </c>
      <c r="J4897">
        <v>2026</v>
      </c>
      <c r="K4897">
        <f t="shared" si="152"/>
        <v>134.87999999999997</v>
      </c>
      <c r="L4897" t="str">
        <f t="shared" si="153"/>
        <v>Banca Sicula|36|Assicurazioni</v>
      </c>
    </row>
    <row r="4898" spans="1:12" x14ac:dyDescent="0.25">
      <c r="A4898" t="s">
        <v>42</v>
      </c>
      <c r="B4898">
        <v>1</v>
      </c>
      <c r="C4898" t="s">
        <v>13</v>
      </c>
      <c r="D4898" s="1">
        <v>45322</v>
      </c>
      <c r="E4898">
        <v>1288.7</v>
      </c>
      <c r="F4898">
        <v>58.37</v>
      </c>
      <c r="G4898">
        <v>36.770000000000003</v>
      </c>
      <c r="H4898">
        <v>134</v>
      </c>
      <c r="I4898" t="s">
        <v>41</v>
      </c>
      <c r="J4898">
        <v>2024</v>
      </c>
      <c r="K4898">
        <f t="shared" si="152"/>
        <v>21.599999999999994</v>
      </c>
      <c r="L4898" t="str">
        <f t="shared" si="153"/>
        <v>Banca Sarda|1|Mutui</v>
      </c>
    </row>
    <row r="4899" spans="1:12" x14ac:dyDescent="0.25">
      <c r="A4899" t="s">
        <v>42</v>
      </c>
      <c r="B4899">
        <v>1</v>
      </c>
      <c r="C4899" t="s">
        <v>15</v>
      </c>
      <c r="D4899" s="1">
        <v>45322</v>
      </c>
      <c r="E4899">
        <v>1753.2</v>
      </c>
      <c r="F4899">
        <v>82.91</v>
      </c>
      <c r="G4899">
        <v>51.21</v>
      </c>
      <c r="H4899">
        <v>190</v>
      </c>
      <c r="I4899" t="s">
        <v>41</v>
      </c>
      <c r="J4899">
        <v>2024</v>
      </c>
      <c r="K4899">
        <f t="shared" si="152"/>
        <v>31.699999999999996</v>
      </c>
      <c r="L4899" t="str">
        <f t="shared" si="153"/>
        <v>Banca Sarda|1|Prestiti</v>
      </c>
    </row>
    <row r="4900" spans="1:12" x14ac:dyDescent="0.25">
      <c r="A4900" t="s">
        <v>42</v>
      </c>
      <c r="B4900">
        <v>1</v>
      </c>
      <c r="C4900" t="s">
        <v>16</v>
      </c>
      <c r="D4900" s="1">
        <v>45322</v>
      </c>
      <c r="E4900">
        <v>2216.6</v>
      </c>
      <c r="F4900">
        <v>108.96</v>
      </c>
      <c r="G4900">
        <v>66.59</v>
      </c>
      <c r="H4900">
        <v>221</v>
      </c>
      <c r="I4900" t="s">
        <v>41</v>
      </c>
      <c r="J4900">
        <v>2024</v>
      </c>
      <c r="K4900">
        <f t="shared" si="152"/>
        <v>42.36999999999999</v>
      </c>
      <c r="L4900" t="str">
        <f t="shared" si="153"/>
        <v>Banca Sarda|1|Conti</v>
      </c>
    </row>
    <row r="4901" spans="1:12" x14ac:dyDescent="0.25">
      <c r="A4901" t="s">
        <v>42</v>
      </c>
      <c r="B4901">
        <v>1</v>
      </c>
      <c r="C4901" t="s">
        <v>17</v>
      </c>
      <c r="D4901" s="1">
        <v>45322</v>
      </c>
      <c r="E4901">
        <v>2699.9</v>
      </c>
      <c r="F4901">
        <v>138.59</v>
      </c>
      <c r="G4901">
        <v>84.06</v>
      </c>
      <c r="H4901">
        <v>278</v>
      </c>
      <c r="I4901" t="s">
        <v>41</v>
      </c>
      <c r="J4901">
        <v>2024</v>
      </c>
      <c r="K4901">
        <f t="shared" si="152"/>
        <v>54.53</v>
      </c>
      <c r="L4901" t="str">
        <f t="shared" si="153"/>
        <v>Banca Sarda|1|Carte</v>
      </c>
    </row>
    <row r="4902" spans="1:12" x14ac:dyDescent="0.25">
      <c r="A4902" t="s">
        <v>42</v>
      </c>
      <c r="B4902">
        <v>1</v>
      </c>
      <c r="C4902" t="s">
        <v>18</v>
      </c>
      <c r="D4902" s="1">
        <v>45322</v>
      </c>
      <c r="E4902">
        <v>3132.6</v>
      </c>
      <c r="F4902">
        <v>166.31</v>
      </c>
      <c r="G4902">
        <v>100.99</v>
      </c>
      <c r="H4902">
        <v>327</v>
      </c>
      <c r="I4902" t="s">
        <v>41</v>
      </c>
      <c r="J4902">
        <v>2024</v>
      </c>
      <c r="K4902">
        <f t="shared" si="152"/>
        <v>65.320000000000007</v>
      </c>
      <c r="L4902" t="str">
        <f t="shared" si="153"/>
        <v>Banca Sarda|1|Leasing</v>
      </c>
    </row>
    <row r="4903" spans="1:12" x14ac:dyDescent="0.25">
      <c r="A4903" t="s">
        <v>42</v>
      </c>
      <c r="B4903">
        <v>1</v>
      </c>
      <c r="C4903" t="s">
        <v>19</v>
      </c>
      <c r="D4903" s="1">
        <v>45322</v>
      </c>
      <c r="E4903">
        <v>3626.5</v>
      </c>
      <c r="F4903">
        <v>200.3</v>
      </c>
      <c r="G4903">
        <v>120.39</v>
      </c>
      <c r="H4903">
        <v>395</v>
      </c>
      <c r="I4903" t="s">
        <v>41</v>
      </c>
      <c r="J4903">
        <v>2024</v>
      </c>
      <c r="K4903">
        <f t="shared" si="152"/>
        <v>79.910000000000011</v>
      </c>
      <c r="L4903" t="str">
        <f t="shared" si="153"/>
        <v>Banca Sarda|1|Factoring</v>
      </c>
    </row>
    <row r="4904" spans="1:12" x14ac:dyDescent="0.25">
      <c r="A4904" t="s">
        <v>42</v>
      </c>
      <c r="B4904">
        <v>1</v>
      </c>
      <c r="C4904" t="s">
        <v>20</v>
      </c>
      <c r="D4904" s="1">
        <v>45322</v>
      </c>
      <c r="E4904">
        <v>4118.7</v>
      </c>
      <c r="F4904">
        <v>234.78</v>
      </c>
      <c r="G4904">
        <v>140.91999999999999</v>
      </c>
      <c r="H4904">
        <v>442</v>
      </c>
      <c r="I4904" t="s">
        <v>41</v>
      </c>
      <c r="J4904">
        <v>2024</v>
      </c>
      <c r="K4904">
        <f t="shared" si="152"/>
        <v>93.860000000000014</v>
      </c>
      <c r="L4904" t="str">
        <f t="shared" si="153"/>
        <v>Banca Sarda|1|Risparmio</v>
      </c>
    </row>
    <row r="4905" spans="1:12" x14ac:dyDescent="0.25">
      <c r="A4905" t="s">
        <v>42</v>
      </c>
      <c r="B4905">
        <v>1</v>
      </c>
      <c r="C4905" t="s">
        <v>21</v>
      </c>
      <c r="D4905" s="1">
        <v>45322</v>
      </c>
      <c r="E4905">
        <v>4555.1000000000004</v>
      </c>
      <c r="F4905">
        <v>269.12</v>
      </c>
      <c r="G4905">
        <v>160.11000000000001</v>
      </c>
      <c r="H4905">
        <v>454</v>
      </c>
      <c r="I4905" t="s">
        <v>41</v>
      </c>
      <c r="J4905">
        <v>2024</v>
      </c>
      <c r="K4905">
        <f t="shared" si="152"/>
        <v>109.00999999999999</v>
      </c>
      <c r="L4905" t="str">
        <f t="shared" si="153"/>
        <v>Banca Sarda|1|Assicurazioni</v>
      </c>
    </row>
    <row r="4906" spans="1:12" x14ac:dyDescent="0.25">
      <c r="A4906" t="s">
        <v>42</v>
      </c>
      <c r="B4906">
        <v>2</v>
      </c>
      <c r="C4906" t="s">
        <v>13</v>
      </c>
      <c r="D4906" s="1">
        <v>45351</v>
      </c>
      <c r="E4906">
        <v>1246.5999999999999</v>
      </c>
      <c r="F4906">
        <v>56.58</v>
      </c>
      <c r="G4906">
        <v>35.72</v>
      </c>
      <c r="H4906">
        <v>129</v>
      </c>
      <c r="I4906" t="s">
        <v>41</v>
      </c>
      <c r="J4906">
        <v>2024</v>
      </c>
      <c r="K4906">
        <f t="shared" si="152"/>
        <v>20.86</v>
      </c>
      <c r="L4906" t="str">
        <f t="shared" si="153"/>
        <v>Banca Sarda|2|Mutui</v>
      </c>
    </row>
    <row r="4907" spans="1:12" x14ac:dyDescent="0.25">
      <c r="A4907" t="s">
        <v>42</v>
      </c>
      <c r="B4907">
        <v>2</v>
      </c>
      <c r="C4907" t="s">
        <v>15</v>
      </c>
      <c r="D4907" s="1">
        <v>45351</v>
      </c>
      <c r="E4907">
        <v>1745.9</v>
      </c>
      <c r="F4907">
        <v>83.05</v>
      </c>
      <c r="G4907">
        <v>51.57</v>
      </c>
      <c r="H4907">
        <v>209</v>
      </c>
      <c r="I4907" t="s">
        <v>41</v>
      </c>
      <c r="J4907">
        <v>2024</v>
      </c>
      <c r="K4907">
        <f t="shared" si="152"/>
        <v>31.479999999999997</v>
      </c>
      <c r="L4907" t="str">
        <f t="shared" si="153"/>
        <v>Banca Sarda|2|Prestiti</v>
      </c>
    </row>
    <row r="4908" spans="1:12" x14ac:dyDescent="0.25">
      <c r="A4908" t="s">
        <v>42</v>
      </c>
      <c r="B4908">
        <v>2</v>
      </c>
      <c r="C4908" t="s">
        <v>16</v>
      </c>
      <c r="D4908" s="1">
        <v>45351</v>
      </c>
      <c r="E4908">
        <v>2235.1999999999998</v>
      </c>
      <c r="F4908">
        <v>109.82</v>
      </c>
      <c r="G4908">
        <v>67.91</v>
      </c>
      <c r="H4908">
        <v>240</v>
      </c>
      <c r="I4908" t="s">
        <v>41</v>
      </c>
      <c r="J4908">
        <v>2024</v>
      </c>
      <c r="K4908">
        <f t="shared" si="152"/>
        <v>41.91</v>
      </c>
      <c r="L4908" t="str">
        <f t="shared" si="153"/>
        <v>Banca Sarda|2|Conti</v>
      </c>
    </row>
    <row r="4909" spans="1:12" x14ac:dyDescent="0.25">
      <c r="A4909" t="s">
        <v>42</v>
      </c>
      <c r="B4909">
        <v>2</v>
      </c>
      <c r="C4909" t="s">
        <v>17</v>
      </c>
      <c r="D4909" s="1">
        <v>45351</v>
      </c>
      <c r="E4909">
        <v>2699</v>
      </c>
      <c r="F4909">
        <v>138.28</v>
      </c>
      <c r="G4909">
        <v>84</v>
      </c>
      <c r="H4909">
        <v>296</v>
      </c>
      <c r="I4909" t="s">
        <v>41</v>
      </c>
      <c r="J4909">
        <v>2024</v>
      </c>
      <c r="K4909">
        <f t="shared" si="152"/>
        <v>54.28</v>
      </c>
      <c r="L4909" t="str">
        <f t="shared" si="153"/>
        <v>Banca Sarda|2|Carte</v>
      </c>
    </row>
    <row r="4910" spans="1:12" x14ac:dyDescent="0.25">
      <c r="A4910" t="s">
        <v>42</v>
      </c>
      <c r="B4910">
        <v>2</v>
      </c>
      <c r="C4910" t="s">
        <v>18</v>
      </c>
      <c r="D4910" s="1">
        <v>45351</v>
      </c>
      <c r="E4910">
        <v>3174.7</v>
      </c>
      <c r="F4910">
        <v>169.06</v>
      </c>
      <c r="G4910">
        <v>102.07</v>
      </c>
      <c r="H4910">
        <v>339</v>
      </c>
      <c r="I4910" t="s">
        <v>41</v>
      </c>
      <c r="J4910">
        <v>2024</v>
      </c>
      <c r="K4910">
        <f t="shared" si="152"/>
        <v>66.990000000000009</v>
      </c>
      <c r="L4910" t="str">
        <f t="shared" si="153"/>
        <v>Banca Sarda|2|Leasing</v>
      </c>
    </row>
    <row r="4911" spans="1:12" x14ac:dyDescent="0.25">
      <c r="A4911" t="s">
        <v>42</v>
      </c>
      <c r="B4911">
        <v>2</v>
      </c>
      <c r="C4911" t="s">
        <v>19</v>
      </c>
      <c r="D4911" s="1">
        <v>45351</v>
      </c>
      <c r="E4911">
        <v>3638.7</v>
      </c>
      <c r="F4911">
        <v>200.6</v>
      </c>
      <c r="G4911">
        <v>120.28</v>
      </c>
      <c r="H4911">
        <v>394</v>
      </c>
      <c r="I4911" t="s">
        <v>41</v>
      </c>
      <c r="J4911">
        <v>2024</v>
      </c>
      <c r="K4911">
        <f t="shared" si="152"/>
        <v>80.319999999999993</v>
      </c>
      <c r="L4911" t="str">
        <f t="shared" si="153"/>
        <v>Banca Sarda|2|Factoring</v>
      </c>
    </row>
    <row r="4912" spans="1:12" x14ac:dyDescent="0.25">
      <c r="A4912" t="s">
        <v>42</v>
      </c>
      <c r="B4912">
        <v>2</v>
      </c>
      <c r="C4912" t="s">
        <v>20</v>
      </c>
      <c r="D4912" s="1">
        <v>45351</v>
      </c>
      <c r="E4912">
        <v>4108.3999999999996</v>
      </c>
      <c r="F4912">
        <v>234.39</v>
      </c>
      <c r="G4912">
        <v>140.04</v>
      </c>
      <c r="H4912">
        <v>416</v>
      </c>
      <c r="I4912" t="s">
        <v>41</v>
      </c>
      <c r="J4912">
        <v>2024</v>
      </c>
      <c r="K4912">
        <f t="shared" si="152"/>
        <v>94.35</v>
      </c>
      <c r="L4912" t="str">
        <f t="shared" si="153"/>
        <v>Banca Sarda|2|Risparmio</v>
      </c>
    </row>
    <row r="4913" spans="1:12" x14ac:dyDescent="0.25">
      <c r="A4913" t="s">
        <v>42</v>
      </c>
      <c r="B4913">
        <v>2</v>
      </c>
      <c r="C4913" t="s">
        <v>21</v>
      </c>
      <c r="D4913" s="1">
        <v>45351</v>
      </c>
      <c r="E4913">
        <v>4587.7</v>
      </c>
      <c r="F4913">
        <v>271.14</v>
      </c>
      <c r="G4913">
        <v>161.19999999999999</v>
      </c>
      <c r="H4913">
        <v>489</v>
      </c>
      <c r="I4913" t="s">
        <v>41</v>
      </c>
      <c r="J4913">
        <v>2024</v>
      </c>
      <c r="K4913">
        <f t="shared" si="152"/>
        <v>109.94</v>
      </c>
      <c r="L4913" t="str">
        <f t="shared" si="153"/>
        <v>Banca Sarda|2|Assicurazioni</v>
      </c>
    </row>
    <row r="4914" spans="1:12" x14ac:dyDescent="0.25">
      <c r="A4914" t="s">
        <v>42</v>
      </c>
      <c r="B4914">
        <v>3</v>
      </c>
      <c r="C4914" t="s">
        <v>13</v>
      </c>
      <c r="D4914" s="1">
        <v>45382</v>
      </c>
      <c r="E4914">
        <v>1257</v>
      </c>
      <c r="F4914">
        <v>57.47</v>
      </c>
      <c r="G4914">
        <v>35.96</v>
      </c>
      <c r="H4914">
        <v>133</v>
      </c>
      <c r="I4914" t="s">
        <v>41</v>
      </c>
      <c r="J4914">
        <v>2024</v>
      </c>
      <c r="K4914">
        <f t="shared" si="152"/>
        <v>21.509999999999998</v>
      </c>
      <c r="L4914" t="str">
        <f t="shared" si="153"/>
        <v>Banca Sarda|3|Mutui</v>
      </c>
    </row>
    <row r="4915" spans="1:12" x14ac:dyDescent="0.25">
      <c r="A4915" t="s">
        <v>42</v>
      </c>
      <c r="B4915">
        <v>3</v>
      </c>
      <c r="C4915" t="s">
        <v>15</v>
      </c>
      <c r="D4915" s="1">
        <v>45382</v>
      </c>
      <c r="E4915">
        <v>1787.4</v>
      </c>
      <c r="F4915">
        <v>84.16</v>
      </c>
      <c r="G4915">
        <v>52.18</v>
      </c>
      <c r="H4915">
        <v>189</v>
      </c>
      <c r="I4915" t="s">
        <v>41</v>
      </c>
      <c r="J4915">
        <v>2024</v>
      </c>
      <c r="K4915">
        <f t="shared" si="152"/>
        <v>31.979999999999997</v>
      </c>
      <c r="L4915" t="str">
        <f t="shared" si="153"/>
        <v>Banca Sarda|3|Prestiti</v>
      </c>
    </row>
    <row r="4916" spans="1:12" x14ac:dyDescent="0.25">
      <c r="A4916" t="s">
        <v>42</v>
      </c>
      <c r="B4916">
        <v>3</v>
      </c>
      <c r="C4916" t="s">
        <v>16</v>
      </c>
      <c r="D4916" s="1">
        <v>45382</v>
      </c>
      <c r="E4916">
        <v>2236</v>
      </c>
      <c r="F4916">
        <v>109.59</v>
      </c>
      <c r="G4916">
        <v>68.010000000000005</v>
      </c>
      <c r="H4916">
        <v>242</v>
      </c>
      <c r="I4916" t="s">
        <v>41</v>
      </c>
      <c r="J4916">
        <v>2024</v>
      </c>
      <c r="K4916">
        <f t="shared" si="152"/>
        <v>41.58</v>
      </c>
      <c r="L4916" t="str">
        <f t="shared" si="153"/>
        <v>Banca Sarda|3|Conti</v>
      </c>
    </row>
    <row r="4917" spans="1:12" x14ac:dyDescent="0.25">
      <c r="A4917" t="s">
        <v>42</v>
      </c>
      <c r="B4917">
        <v>3</v>
      </c>
      <c r="C4917" t="s">
        <v>17</v>
      </c>
      <c r="D4917" s="1">
        <v>45382</v>
      </c>
      <c r="E4917">
        <v>2720.7</v>
      </c>
      <c r="F4917">
        <v>138.76</v>
      </c>
      <c r="G4917">
        <v>84.49</v>
      </c>
      <c r="H4917">
        <v>302</v>
      </c>
      <c r="I4917" t="s">
        <v>41</v>
      </c>
      <c r="J4917">
        <v>2024</v>
      </c>
      <c r="K4917">
        <f t="shared" si="152"/>
        <v>54.269999999999996</v>
      </c>
      <c r="L4917" t="str">
        <f t="shared" si="153"/>
        <v>Banca Sarda|3|Carte</v>
      </c>
    </row>
    <row r="4918" spans="1:12" x14ac:dyDescent="0.25">
      <c r="A4918" t="s">
        <v>42</v>
      </c>
      <c r="B4918">
        <v>3</v>
      </c>
      <c r="C4918" t="s">
        <v>18</v>
      </c>
      <c r="D4918" s="1">
        <v>45382</v>
      </c>
      <c r="E4918">
        <v>3217</v>
      </c>
      <c r="F4918">
        <v>171.29</v>
      </c>
      <c r="G4918">
        <v>103.03</v>
      </c>
      <c r="H4918">
        <v>347</v>
      </c>
      <c r="I4918" t="s">
        <v>41</v>
      </c>
      <c r="J4918">
        <v>2024</v>
      </c>
      <c r="K4918">
        <f t="shared" si="152"/>
        <v>68.259999999999991</v>
      </c>
      <c r="L4918" t="str">
        <f t="shared" si="153"/>
        <v>Banca Sarda|3|Leasing</v>
      </c>
    </row>
    <row r="4919" spans="1:12" x14ac:dyDescent="0.25">
      <c r="A4919" t="s">
        <v>42</v>
      </c>
      <c r="B4919">
        <v>3</v>
      </c>
      <c r="C4919" t="s">
        <v>19</v>
      </c>
      <c r="D4919" s="1">
        <v>45382</v>
      </c>
      <c r="E4919">
        <v>3655.4</v>
      </c>
      <c r="F4919">
        <v>201.99</v>
      </c>
      <c r="G4919">
        <v>121.26</v>
      </c>
      <c r="H4919">
        <v>375</v>
      </c>
      <c r="I4919" t="s">
        <v>41</v>
      </c>
      <c r="J4919">
        <v>2024</v>
      </c>
      <c r="K4919">
        <f t="shared" si="152"/>
        <v>80.73</v>
      </c>
      <c r="L4919" t="str">
        <f t="shared" si="153"/>
        <v>Banca Sarda|3|Factoring</v>
      </c>
    </row>
    <row r="4920" spans="1:12" x14ac:dyDescent="0.25">
      <c r="A4920" t="s">
        <v>42</v>
      </c>
      <c r="B4920">
        <v>3</v>
      </c>
      <c r="C4920" t="s">
        <v>20</v>
      </c>
      <c r="D4920" s="1">
        <v>45382</v>
      </c>
      <c r="E4920">
        <v>4158.7</v>
      </c>
      <c r="F4920">
        <v>238.04</v>
      </c>
      <c r="G4920">
        <v>141.83000000000001</v>
      </c>
      <c r="H4920">
        <v>433</v>
      </c>
      <c r="I4920" t="s">
        <v>41</v>
      </c>
      <c r="J4920">
        <v>2024</v>
      </c>
      <c r="K4920">
        <f t="shared" si="152"/>
        <v>96.20999999999998</v>
      </c>
      <c r="L4920" t="str">
        <f t="shared" si="153"/>
        <v>Banca Sarda|3|Risparmio</v>
      </c>
    </row>
    <row r="4921" spans="1:12" x14ac:dyDescent="0.25">
      <c r="A4921" t="s">
        <v>42</v>
      </c>
      <c r="B4921">
        <v>3</v>
      </c>
      <c r="C4921" t="s">
        <v>21</v>
      </c>
      <c r="D4921" s="1">
        <v>45382</v>
      </c>
      <c r="E4921">
        <v>4617.7</v>
      </c>
      <c r="F4921">
        <v>272.48</v>
      </c>
      <c r="G4921">
        <v>161.87</v>
      </c>
      <c r="H4921">
        <v>483</v>
      </c>
      <c r="I4921" t="s">
        <v>41</v>
      </c>
      <c r="J4921">
        <v>2024</v>
      </c>
      <c r="K4921">
        <f t="shared" si="152"/>
        <v>110.61000000000001</v>
      </c>
      <c r="L4921" t="str">
        <f t="shared" si="153"/>
        <v>Banca Sarda|3|Assicurazioni</v>
      </c>
    </row>
    <row r="4922" spans="1:12" x14ac:dyDescent="0.25">
      <c r="A4922" t="s">
        <v>42</v>
      </c>
      <c r="B4922">
        <v>4</v>
      </c>
      <c r="C4922" t="s">
        <v>13</v>
      </c>
      <c r="D4922" s="1">
        <v>45412</v>
      </c>
      <c r="E4922">
        <v>1266.3</v>
      </c>
      <c r="F4922">
        <v>57.11</v>
      </c>
      <c r="G4922">
        <v>36.22</v>
      </c>
      <c r="H4922">
        <v>143</v>
      </c>
      <c r="I4922" t="s">
        <v>41</v>
      </c>
      <c r="J4922">
        <v>2024</v>
      </c>
      <c r="K4922">
        <f t="shared" si="152"/>
        <v>20.89</v>
      </c>
      <c r="L4922" t="str">
        <f t="shared" si="153"/>
        <v>Banca Sarda|4|Mutui</v>
      </c>
    </row>
    <row r="4923" spans="1:12" x14ac:dyDescent="0.25">
      <c r="A4923" t="s">
        <v>42</v>
      </c>
      <c r="B4923">
        <v>4</v>
      </c>
      <c r="C4923" t="s">
        <v>15</v>
      </c>
      <c r="D4923" s="1">
        <v>45412</v>
      </c>
      <c r="E4923">
        <v>1804.6</v>
      </c>
      <c r="F4923">
        <v>85.09</v>
      </c>
      <c r="G4923">
        <v>53.11</v>
      </c>
      <c r="H4923">
        <v>202</v>
      </c>
      <c r="I4923" t="s">
        <v>41</v>
      </c>
      <c r="J4923">
        <v>2024</v>
      </c>
      <c r="K4923">
        <f t="shared" si="152"/>
        <v>31.980000000000004</v>
      </c>
      <c r="L4923" t="str">
        <f t="shared" si="153"/>
        <v>Banca Sarda|4|Prestiti</v>
      </c>
    </row>
    <row r="4924" spans="1:12" x14ac:dyDescent="0.25">
      <c r="A4924" t="s">
        <v>42</v>
      </c>
      <c r="B4924">
        <v>4</v>
      </c>
      <c r="C4924" t="s">
        <v>16</v>
      </c>
      <c r="D4924" s="1">
        <v>45412</v>
      </c>
      <c r="E4924">
        <v>2287.4</v>
      </c>
      <c r="F4924">
        <v>112.4</v>
      </c>
      <c r="G4924">
        <v>69.349999999999994</v>
      </c>
      <c r="H4924">
        <v>226</v>
      </c>
      <c r="I4924" t="s">
        <v>41</v>
      </c>
      <c r="J4924">
        <v>2024</v>
      </c>
      <c r="K4924">
        <f t="shared" si="152"/>
        <v>43.050000000000011</v>
      </c>
      <c r="L4924" t="str">
        <f t="shared" si="153"/>
        <v>Banca Sarda|4|Conti</v>
      </c>
    </row>
    <row r="4925" spans="1:12" x14ac:dyDescent="0.25">
      <c r="A4925" t="s">
        <v>42</v>
      </c>
      <c r="B4925">
        <v>4</v>
      </c>
      <c r="C4925" t="s">
        <v>17</v>
      </c>
      <c r="D4925" s="1">
        <v>45412</v>
      </c>
      <c r="E4925">
        <v>2724.4</v>
      </c>
      <c r="F4925">
        <v>139.76</v>
      </c>
      <c r="G4925">
        <v>85.35</v>
      </c>
      <c r="H4925">
        <v>274</v>
      </c>
      <c r="I4925" t="s">
        <v>41</v>
      </c>
      <c r="J4925">
        <v>2024</v>
      </c>
      <c r="K4925">
        <f t="shared" si="152"/>
        <v>54.41</v>
      </c>
      <c r="L4925" t="str">
        <f t="shared" si="153"/>
        <v>Banca Sarda|4|Carte</v>
      </c>
    </row>
    <row r="4926" spans="1:12" x14ac:dyDescent="0.25">
      <c r="A4926" t="s">
        <v>42</v>
      </c>
      <c r="B4926">
        <v>4</v>
      </c>
      <c r="C4926" t="s">
        <v>18</v>
      </c>
      <c r="D4926" s="1">
        <v>45412</v>
      </c>
      <c r="E4926">
        <v>3214.3</v>
      </c>
      <c r="F4926">
        <v>170.88</v>
      </c>
      <c r="G4926">
        <v>103.81</v>
      </c>
      <c r="H4926">
        <v>314</v>
      </c>
      <c r="I4926" t="s">
        <v>41</v>
      </c>
      <c r="J4926">
        <v>2024</v>
      </c>
      <c r="K4926">
        <f t="shared" si="152"/>
        <v>67.069999999999993</v>
      </c>
      <c r="L4926" t="str">
        <f t="shared" si="153"/>
        <v>Banca Sarda|4|Leasing</v>
      </c>
    </row>
    <row r="4927" spans="1:12" x14ac:dyDescent="0.25">
      <c r="A4927" t="s">
        <v>42</v>
      </c>
      <c r="B4927">
        <v>4</v>
      </c>
      <c r="C4927" t="s">
        <v>19</v>
      </c>
      <c r="D4927" s="1">
        <v>45412</v>
      </c>
      <c r="E4927">
        <v>3686.6</v>
      </c>
      <c r="F4927">
        <v>203.36</v>
      </c>
      <c r="G4927">
        <v>121.93</v>
      </c>
      <c r="H4927">
        <v>381</v>
      </c>
      <c r="I4927" t="s">
        <v>41</v>
      </c>
      <c r="J4927">
        <v>2024</v>
      </c>
      <c r="K4927">
        <f t="shared" si="152"/>
        <v>81.430000000000007</v>
      </c>
      <c r="L4927" t="str">
        <f t="shared" si="153"/>
        <v>Banca Sarda|4|Factoring</v>
      </c>
    </row>
    <row r="4928" spans="1:12" x14ac:dyDescent="0.25">
      <c r="A4928" t="s">
        <v>42</v>
      </c>
      <c r="B4928">
        <v>4</v>
      </c>
      <c r="C4928" t="s">
        <v>20</v>
      </c>
      <c r="D4928" s="1">
        <v>45412</v>
      </c>
      <c r="E4928">
        <v>4212</v>
      </c>
      <c r="F4928">
        <v>240.83</v>
      </c>
      <c r="G4928">
        <v>143.61000000000001</v>
      </c>
      <c r="H4928">
        <v>440</v>
      </c>
      <c r="I4928" t="s">
        <v>41</v>
      </c>
      <c r="J4928">
        <v>2024</v>
      </c>
      <c r="K4928">
        <f t="shared" si="152"/>
        <v>97.22</v>
      </c>
      <c r="L4928" t="str">
        <f t="shared" si="153"/>
        <v>Banca Sarda|4|Risparmio</v>
      </c>
    </row>
    <row r="4929" spans="1:12" x14ac:dyDescent="0.25">
      <c r="A4929" t="s">
        <v>42</v>
      </c>
      <c r="B4929">
        <v>4</v>
      </c>
      <c r="C4929" t="s">
        <v>21</v>
      </c>
      <c r="D4929" s="1">
        <v>45412</v>
      </c>
      <c r="E4929">
        <v>4659</v>
      </c>
      <c r="F4929">
        <v>274.89999999999998</v>
      </c>
      <c r="G4929">
        <v>163.68</v>
      </c>
      <c r="H4929">
        <v>489</v>
      </c>
      <c r="I4929" t="s">
        <v>41</v>
      </c>
      <c r="J4929">
        <v>2024</v>
      </c>
      <c r="K4929">
        <f t="shared" si="152"/>
        <v>111.21999999999997</v>
      </c>
      <c r="L4929" t="str">
        <f t="shared" si="153"/>
        <v>Banca Sarda|4|Assicurazioni</v>
      </c>
    </row>
    <row r="4930" spans="1:12" x14ac:dyDescent="0.25">
      <c r="A4930" t="s">
        <v>42</v>
      </c>
      <c r="B4930">
        <v>5</v>
      </c>
      <c r="C4930" t="s">
        <v>13</v>
      </c>
      <c r="D4930" s="1">
        <v>45443</v>
      </c>
      <c r="E4930">
        <v>1294.0999999999999</v>
      </c>
      <c r="F4930">
        <v>58.4</v>
      </c>
      <c r="G4930">
        <v>37.1</v>
      </c>
      <c r="H4930">
        <v>142</v>
      </c>
      <c r="I4930" t="s">
        <v>41</v>
      </c>
      <c r="J4930">
        <v>2024</v>
      </c>
      <c r="K4930">
        <f t="shared" ref="K4930:K4993" si="154">F4930-G4930</f>
        <v>21.299999999999997</v>
      </c>
      <c r="L4930" t="str">
        <f t="shared" ref="L4930:L4993" si="155">A4930&amp;"|"&amp;B4930&amp;"|"&amp;C4930</f>
        <v>Banca Sarda|5|Mutui</v>
      </c>
    </row>
    <row r="4931" spans="1:12" x14ac:dyDescent="0.25">
      <c r="A4931" t="s">
        <v>42</v>
      </c>
      <c r="B4931">
        <v>5</v>
      </c>
      <c r="C4931" t="s">
        <v>15</v>
      </c>
      <c r="D4931" s="1">
        <v>45443</v>
      </c>
      <c r="E4931">
        <v>1780.8</v>
      </c>
      <c r="F4931">
        <v>83.97</v>
      </c>
      <c r="G4931">
        <v>51.89</v>
      </c>
      <c r="H4931">
        <v>191</v>
      </c>
      <c r="I4931" t="s">
        <v>41</v>
      </c>
      <c r="J4931">
        <v>2024</v>
      </c>
      <c r="K4931">
        <f t="shared" si="154"/>
        <v>32.08</v>
      </c>
      <c r="L4931" t="str">
        <f t="shared" si="155"/>
        <v>Banca Sarda|5|Prestiti</v>
      </c>
    </row>
    <row r="4932" spans="1:12" x14ac:dyDescent="0.25">
      <c r="A4932" t="s">
        <v>42</v>
      </c>
      <c r="B4932">
        <v>5</v>
      </c>
      <c r="C4932" t="s">
        <v>16</v>
      </c>
      <c r="D4932" s="1">
        <v>45443</v>
      </c>
      <c r="E4932">
        <v>2273.8000000000002</v>
      </c>
      <c r="F4932">
        <v>111.55</v>
      </c>
      <c r="G4932">
        <v>68.25</v>
      </c>
      <c r="H4932">
        <v>238</v>
      </c>
      <c r="I4932" t="s">
        <v>41</v>
      </c>
      <c r="J4932">
        <v>2024</v>
      </c>
      <c r="K4932">
        <f t="shared" si="154"/>
        <v>43.3</v>
      </c>
      <c r="L4932" t="str">
        <f t="shared" si="155"/>
        <v>Banca Sarda|5|Conti</v>
      </c>
    </row>
    <row r="4933" spans="1:12" x14ac:dyDescent="0.25">
      <c r="A4933" t="s">
        <v>42</v>
      </c>
      <c r="B4933">
        <v>5</v>
      </c>
      <c r="C4933" t="s">
        <v>17</v>
      </c>
      <c r="D4933" s="1">
        <v>45443</v>
      </c>
      <c r="E4933">
        <v>2788.1</v>
      </c>
      <c r="F4933">
        <v>142.37</v>
      </c>
      <c r="G4933">
        <v>87.15</v>
      </c>
      <c r="H4933">
        <v>282</v>
      </c>
      <c r="I4933" t="s">
        <v>41</v>
      </c>
      <c r="J4933">
        <v>2024</v>
      </c>
      <c r="K4933">
        <f t="shared" si="154"/>
        <v>55.22</v>
      </c>
      <c r="L4933" t="str">
        <f t="shared" si="155"/>
        <v>Banca Sarda|5|Carte</v>
      </c>
    </row>
    <row r="4934" spans="1:12" x14ac:dyDescent="0.25">
      <c r="A4934" t="s">
        <v>42</v>
      </c>
      <c r="B4934">
        <v>5</v>
      </c>
      <c r="C4934" t="s">
        <v>18</v>
      </c>
      <c r="D4934" s="1">
        <v>45443</v>
      </c>
      <c r="E4934">
        <v>3275.2</v>
      </c>
      <c r="F4934">
        <v>174.58</v>
      </c>
      <c r="G4934">
        <v>105.03</v>
      </c>
      <c r="H4934">
        <v>313</v>
      </c>
      <c r="I4934" t="s">
        <v>41</v>
      </c>
      <c r="J4934">
        <v>2024</v>
      </c>
      <c r="K4934">
        <f t="shared" si="154"/>
        <v>69.550000000000011</v>
      </c>
      <c r="L4934" t="str">
        <f t="shared" si="155"/>
        <v>Banca Sarda|5|Leasing</v>
      </c>
    </row>
    <row r="4935" spans="1:12" x14ac:dyDescent="0.25">
      <c r="A4935" t="s">
        <v>42</v>
      </c>
      <c r="B4935">
        <v>5</v>
      </c>
      <c r="C4935" t="s">
        <v>19</v>
      </c>
      <c r="D4935" s="1">
        <v>45443</v>
      </c>
      <c r="E4935">
        <v>3759.6</v>
      </c>
      <c r="F4935">
        <v>207.69</v>
      </c>
      <c r="G4935">
        <v>124.95</v>
      </c>
      <c r="H4935">
        <v>363</v>
      </c>
      <c r="I4935" t="s">
        <v>41</v>
      </c>
      <c r="J4935">
        <v>2024</v>
      </c>
      <c r="K4935">
        <f t="shared" si="154"/>
        <v>82.74</v>
      </c>
      <c r="L4935" t="str">
        <f t="shared" si="155"/>
        <v>Banca Sarda|5|Factoring</v>
      </c>
    </row>
    <row r="4936" spans="1:12" x14ac:dyDescent="0.25">
      <c r="A4936" t="s">
        <v>42</v>
      </c>
      <c r="B4936">
        <v>5</v>
      </c>
      <c r="C4936" t="s">
        <v>20</v>
      </c>
      <c r="D4936" s="1">
        <v>45443</v>
      </c>
      <c r="E4936">
        <v>4222</v>
      </c>
      <c r="F4936">
        <v>240.86</v>
      </c>
      <c r="G4936">
        <v>143.56</v>
      </c>
      <c r="H4936">
        <v>440</v>
      </c>
      <c r="I4936" t="s">
        <v>41</v>
      </c>
      <c r="J4936">
        <v>2024</v>
      </c>
      <c r="K4936">
        <f t="shared" si="154"/>
        <v>97.300000000000011</v>
      </c>
      <c r="L4936" t="str">
        <f t="shared" si="155"/>
        <v>Banca Sarda|5|Risparmio</v>
      </c>
    </row>
    <row r="4937" spans="1:12" x14ac:dyDescent="0.25">
      <c r="A4937" t="s">
        <v>42</v>
      </c>
      <c r="B4937">
        <v>5</v>
      </c>
      <c r="C4937" t="s">
        <v>21</v>
      </c>
      <c r="D4937" s="1">
        <v>45443</v>
      </c>
      <c r="E4937">
        <v>4739.6000000000004</v>
      </c>
      <c r="F4937">
        <v>280.3</v>
      </c>
      <c r="G4937">
        <v>166.4</v>
      </c>
      <c r="H4937">
        <v>481</v>
      </c>
      <c r="I4937" t="s">
        <v>41</v>
      </c>
      <c r="J4937">
        <v>2024</v>
      </c>
      <c r="K4937">
        <f t="shared" si="154"/>
        <v>113.9</v>
      </c>
      <c r="L4937" t="str">
        <f t="shared" si="155"/>
        <v>Banca Sarda|5|Assicurazioni</v>
      </c>
    </row>
    <row r="4938" spans="1:12" x14ac:dyDescent="0.25">
      <c r="A4938" t="s">
        <v>42</v>
      </c>
      <c r="B4938">
        <v>6</v>
      </c>
      <c r="C4938" t="s">
        <v>13</v>
      </c>
      <c r="D4938" s="1">
        <v>45473</v>
      </c>
      <c r="E4938">
        <v>1285.5</v>
      </c>
      <c r="F4938">
        <v>58.19</v>
      </c>
      <c r="G4938">
        <v>36.770000000000003</v>
      </c>
      <c r="H4938">
        <v>130</v>
      </c>
      <c r="I4938" t="s">
        <v>41</v>
      </c>
      <c r="J4938">
        <v>2024</v>
      </c>
      <c r="K4938">
        <f t="shared" si="154"/>
        <v>21.419999999999995</v>
      </c>
      <c r="L4938" t="str">
        <f t="shared" si="155"/>
        <v>Banca Sarda|6|Mutui</v>
      </c>
    </row>
    <row r="4939" spans="1:12" x14ac:dyDescent="0.25">
      <c r="A4939" t="s">
        <v>42</v>
      </c>
      <c r="B4939">
        <v>6</v>
      </c>
      <c r="C4939" t="s">
        <v>15</v>
      </c>
      <c r="D4939" s="1">
        <v>45473</v>
      </c>
      <c r="E4939">
        <v>1824.6</v>
      </c>
      <c r="F4939">
        <v>86.46</v>
      </c>
      <c r="G4939">
        <v>53.83</v>
      </c>
      <c r="H4939">
        <v>210</v>
      </c>
      <c r="I4939" t="s">
        <v>41</v>
      </c>
      <c r="J4939">
        <v>2024</v>
      </c>
      <c r="K4939">
        <f t="shared" si="154"/>
        <v>32.629999999999995</v>
      </c>
      <c r="L4939" t="str">
        <f t="shared" si="155"/>
        <v>Banca Sarda|6|Prestiti</v>
      </c>
    </row>
    <row r="4940" spans="1:12" x14ac:dyDescent="0.25">
      <c r="A4940" t="s">
        <v>42</v>
      </c>
      <c r="B4940">
        <v>6</v>
      </c>
      <c r="C4940" t="s">
        <v>16</v>
      </c>
      <c r="D4940" s="1">
        <v>45473</v>
      </c>
      <c r="E4940">
        <v>2267.1</v>
      </c>
      <c r="F4940">
        <v>111.38</v>
      </c>
      <c r="G4940">
        <v>68.23</v>
      </c>
      <c r="H4940">
        <v>220</v>
      </c>
      <c r="I4940" t="s">
        <v>41</v>
      </c>
      <c r="J4940">
        <v>2024</v>
      </c>
      <c r="K4940">
        <f t="shared" si="154"/>
        <v>43.149999999999991</v>
      </c>
      <c r="L4940" t="str">
        <f t="shared" si="155"/>
        <v>Banca Sarda|6|Conti</v>
      </c>
    </row>
    <row r="4941" spans="1:12" x14ac:dyDescent="0.25">
      <c r="A4941" t="s">
        <v>42</v>
      </c>
      <c r="B4941">
        <v>6</v>
      </c>
      <c r="C4941" t="s">
        <v>17</v>
      </c>
      <c r="D4941" s="1">
        <v>45473</v>
      </c>
      <c r="E4941">
        <v>2777.7</v>
      </c>
      <c r="F4941">
        <v>142.61000000000001</v>
      </c>
      <c r="G4941">
        <v>86.95</v>
      </c>
      <c r="H4941">
        <v>291</v>
      </c>
      <c r="I4941" t="s">
        <v>41</v>
      </c>
      <c r="J4941">
        <v>2024</v>
      </c>
      <c r="K4941">
        <f t="shared" si="154"/>
        <v>55.660000000000011</v>
      </c>
      <c r="L4941" t="str">
        <f t="shared" si="155"/>
        <v>Banca Sarda|6|Carte</v>
      </c>
    </row>
    <row r="4942" spans="1:12" x14ac:dyDescent="0.25">
      <c r="A4942" t="s">
        <v>42</v>
      </c>
      <c r="B4942">
        <v>6</v>
      </c>
      <c r="C4942" t="s">
        <v>18</v>
      </c>
      <c r="D4942" s="1">
        <v>45473</v>
      </c>
      <c r="E4942">
        <v>3252.3</v>
      </c>
      <c r="F4942">
        <v>172.76</v>
      </c>
      <c r="G4942">
        <v>104.23</v>
      </c>
      <c r="H4942">
        <v>318</v>
      </c>
      <c r="I4942" t="s">
        <v>41</v>
      </c>
      <c r="J4942">
        <v>2024</v>
      </c>
      <c r="K4942">
        <f t="shared" si="154"/>
        <v>68.529999999999987</v>
      </c>
      <c r="L4942" t="str">
        <f t="shared" si="155"/>
        <v>Banca Sarda|6|Leasing</v>
      </c>
    </row>
    <row r="4943" spans="1:12" x14ac:dyDescent="0.25">
      <c r="A4943" t="s">
        <v>42</v>
      </c>
      <c r="B4943">
        <v>6</v>
      </c>
      <c r="C4943" t="s">
        <v>19</v>
      </c>
      <c r="D4943" s="1">
        <v>45473</v>
      </c>
      <c r="E4943">
        <v>3790.8</v>
      </c>
      <c r="F4943">
        <v>208.62</v>
      </c>
      <c r="G4943">
        <v>125.3</v>
      </c>
      <c r="H4943">
        <v>385</v>
      </c>
      <c r="I4943" t="s">
        <v>41</v>
      </c>
      <c r="J4943">
        <v>2024</v>
      </c>
      <c r="K4943">
        <f t="shared" si="154"/>
        <v>83.320000000000007</v>
      </c>
      <c r="L4943" t="str">
        <f t="shared" si="155"/>
        <v>Banca Sarda|6|Factoring</v>
      </c>
    </row>
    <row r="4944" spans="1:12" x14ac:dyDescent="0.25">
      <c r="A4944" t="s">
        <v>42</v>
      </c>
      <c r="B4944">
        <v>6</v>
      </c>
      <c r="C4944" t="s">
        <v>20</v>
      </c>
      <c r="D4944" s="1">
        <v>45473</v>
      </c>
      <c r="E4944">
        <v>4283.3999999999996</v>
      </c>
      <c r="F4944">
        <v>244.82</v>
      </c>
      <c r="G4944">
        <v>145.66999999999999</v>
      </c>
      <c r="H4944">
        <v>420</v>
      </c>
      <c r="I4944" t="s">
        <v>41</v>
      </c>
      <c r="J4944">
        <v>2024</v>
      </c>
      <c r="K4944">
        <f t="shared" si="154"/>
        <v>99.15</v>
      </c>
      <c r="L4944" t="str">
        <f t="shared" si="155"/>
        <v>Banca Sarda|6|Risparmio</v>
      </c>
    </row>
    <row r="4945" spans="1:12" x14ac:dyDescent="0.25">
      <c r="A4945" t="s">
        <v>42</v>
      </c>
      <c r="B4945">
        <v>6</v>
      </c>
      <c r="C4945" t="s">
        <v>21</v>
      </c>
      <c r="D4945" s="1">
        <v>45473</v>
      </c>
      <c r="E4945">
        <v>4725.5</v>
      </c>
      <c r="F4945">
        <v>279.02</v>
      </c>
      <c r="G4945">
        <v>165.49</v>
      </c>
      <c r="H4945">
        <v>460</v>
      </c>
      <c r="I4945" t="s">
        <v>41</v>
      </c>
      <c r="J4945">
        <v>2024</v>
      </c>
      <c r="K4945">
        <f t="shared" si="154"/>
        <v>113.52999999999997</v>
      </c>
      <c r="L4945" t="str">
        <f t="shared" si="155"/>
        <v>Banca Sarda|6|Assicurazioni</v>
      </c>
    </row>
    <row r="4946" spans="1:12" x14ac:dyDescent="0.25">
      <c r="A4946" t="s">
        <v>42</v>
      </c>
      <c r="B4946">
        <v>7</v>
      </c>
      <c r="C4946" t="s">
        <v>13</v>
      </c>
      <c r="D4946" s="1">
        <v>45504</v>
      </c>
      <c r="E4946">
        <v>1338.3</v>
      </c>
      <c r="F4946">
        <v>61.22</v>
      </c>
      <c r="G4946">
        <v>38.380000000000003</v>
      </c>
      <c r="H4946">
        <v>127</v>
      </c>
      <c r="I4946" t="s">
        <v>41</v>
      </c>
      <c r="J4946">
        <v>2024</v>
      </c>
      <c r="K4946">
        <f t="shared" si="154"/>
        <v>22.839999999999996</v>
      </c>
      <c r="L4946" t="str">
        <f t="shared" si="155"/>
        <v>Banca Sarda|7|Mutui</v>
      </c>
    </row>
    <row r="4947" spans="1:12" x14ac:dyDescent="0.25">
      <c r="A4947" t="s">
        <v>42</v>
      </c>
      <c r="B4947">
        <v>7</v>
      </c>
      <c r="C4947" t="s">
        <v>15</v>
      </c>
      <c r="D4947" s="1">
        <v>45504</v>
      </c>
      <c r="E4947">
        <v>1831.6</v>
      </c>
      <c r="F4947">
        <v>87.08</v>
      </c>
      <c r="G4947">
        <v>54.09</v>
      </c>
      <c r="H4947">
        <v>191</v>
      </c>
      <c r="I4947" t="s">
        <v>41</v>
      </c>
      <c r="J4947">
        <v>2024</v>
      </c>
      <c r="K4947">
        <f t="shared" si="154"/>
        <v>32.989999999999995</v>
      </c>
      <c r="L4947" t="str">
        <f t="shared" si="155"/>
        <v>Banca Sarda|7|Prestiti</v>
      </c>
    </row>
    <row r="4948" spans="1:12" x14ac:dyDescent="0.25">
      <c r="A4948" t="s">
        <v>42</v>
      </c>
      <c r="B4948">
        <v>7</v>
      </c>
      <c r="C4948" t="s">
        <v>16</v>
      </c>
      <c r="D4948" s="1">
        <v>45504</v>
      </c>
      <c r="E4948">
        <v>2310</v>
      </c>
      <c r="F4948">
        <v>114.01</v>
      </c>
      <c r="G4948">
        <v>70.16</v>
      </c>
      <c r="H4948">
        <v>243</v>
      </c>
      <c r="I4948" t="s">
        <v>41</v>
      </c>
      <c r="J4948">
        <v>2024</v>
      </c>
      <c r="K4948">
        <f t="shared" si="154"/>
        <v>43.850000000000009</v>
      </c>
      <c r="L4948" t="str">
        <f t="shared" si="155"/>
        <v>Banca Sarda|7|Conti</v>
      </c>
    </row>
    <row r="4949" spans="1:12" x14ac:dyDescent="0.25">
      <c r="A4949" t="s">
        <v>42</v>
      </c>
      <c r="B4949">
        <v>7</v>
      </c>
      <c r="C4949" t="s">
        <v>17</v>
      </c>
      <c r="D4949" s="1">
        <v>45504</v>
      </c>
      <c r="E4949">
        <v>2836</v>
      </c>
      <c r="F4949">
        <v>144.82</v>
      </c>
      <c r="G4949">
        <v>88.56</v>
      </c>
      <c r="H4949">
        <v>278</v>
      </c>
      <c r="I4949" t="s">
        <v>41</v>
      </c>
      <c r="J4949">
        <v>2024</v>
      </c>
      <c r="K4949">
        <f t="shared" si="154"/>
        <v>56.259999999999991</v>
      </c>
      <c r="L4949" t="str">
        <f t="shared" si="155"/>
        <v>Banca Sarda|7|Carte</v>
      </c>
    </row>
    <row r="4950" spans="1:12" x14ac:dyDescent="0.25">
      <c r="A4950" t="s">
        <v>42</v>
      </c>
      <c r="B4950">
        <v>7</v>
      </c>
      <c r="C4950" t="s">
        <v>18</v>
      </c>
      <c r="D4950" s="1">
        <v>45504</v>
      </c>
      <c r="E4950">
        <v>3284.1</v>
      </c>
      <c r="F4950">
        <v>174.56</v>
      </c>
      <c r="G4950">
        <v>105.38</v>
      </c>
      <c r="H4950">
        <v>318</v>
      </c>
      <c r="I4950" t="s">
        <v>41</v>
      </c>
      <c r="J4950">
        <v>2024</v>
      </c>
      <c r="K4950">
        <f t="shared" si="154"/>
        <v>69.180000000000007</v>
      </c>
      <c r="L4950" t="str">
        <f t="shared" si="155"/>
        <v>Banca Sarda|7|Leasing</v>
      </c>
    </row>
    <row r="4951" spans="1:12" x14ac:dyDescent="0.25">
      <c r="A4951" t="s">
        <v>42</v>
      </c>
      <c r="B4951">
        <v>7</v>
      </c>
      <c r="C4951" t="s">
        <v>19</v>
      </c>
      <c r="D4951" s="1">
        <v>45504</v>
      </c>
      <c r="E4951">
        <v>3806.8</v>
      </c>
      <c r="F4951">
        <v>209.63</v>
      </c>
      <c r="G4951">
        <v>126.49</v>
      </c>
      <c r="H4951">
        <v>360</v>
      </c>
      <c r="I4951" t="s">
        <v>41</v>
      </c>
      <c r="J4951">
        <v>2024</v>
      </c>
      <c r="K4951">
        <f t="shared" si="154"/>
        <v>83.14</v>
      </c>
      <c r="L4951" t="str">
        <f t="shared" si="155"/>
        <v>Banca Sarda|7|Factoring</v>
      </c>
    </row>
    <row r="4952" spans="1:12" x14ac:dyDescent="0.25">
      <c r="A4952" t="s">
        <v>42</v>
      </c>
      <c r="B4952">
        <v>7</v>
      </c>
      <c r="C4952" t="s">
        <v>20</v>
      </c>
      <c r="D4952" s="1">
        <v>45504</v>
      </c>
      <c r="E4952">
        <v>4304.7</v>
      </c>
      <c r="F4952">
        <v>246.22</v>
      </c>
      <c r="G4952">
        <v>147.03</v>
      </c>
      <c r="H4952">
        <v>442</v>
      </c>
      <c r="I4952" t="s">
        <v>41</v>
      </c>
      <c r="J4952">
        <v>2024</v>
      </c>
      <c r="K4952">
        <f t="shared" si="154"/>
        <v>99.19</v>
      </c>
      <c r="L4952" t="str">
        <f t="shared" si="155"/>
        <v>Banca Sarda|7|Risparmio</v>
      </c>
    </row>
    <row r="4953" spans="1:12" x14ac:dyDescent="0.25">
      <c r="A4953" t="s">
        <v>42</v>
      </c>
      <c r="B4953">
        <v>7</v>
      </c>
      <c r="C4953" t="s">
        <v>21</v>
      </c>
      <c r="D4953" s="1">
        <v>45504</v>
      </c>
      <c r="E4953">
        <v>4789.2</v>
      </c>
      <c r="F4953">
        <v>283.04000000000002</v>
      </c>
      <c r="G4953">
        <v>167.72</v>
      </c>
      <c r="H4953">
        <v>470</v>
      </c>
      <c r="I4953" t="s">
        <v>41</v>
      </c>
      <c r="J4953">
        <v>2024</v>
      </c>
      <c r="K4953">
        <f t="shared" si="154"/>
        <v>115.32000000000002</v>
      </c>
      <c r="L4953" t="str">
        <f t="shared" si="155"/>
        <v>Banca Sarda|7|Assicurazioni</v>
      </c>
    </row>
    <row r="4954" spans="1:12" x14ac:dyDescent="0.25">
      <c r="A4954" t="s">
        <v>42</v>
      </c>
      <c r="B4954">
        <v>8</v>
      </c>
      <c r="C4954" t="s">
        <v>13</v>
      </c>
      <c r="D4954" s="1">
        <v>45535</v>
      </c>
      <c r="E4954">
        <v>1333.4</v>
      </c>
      <c r="F4954">
        <v>60.16</v>
      </c>
      <c r="G4954">
        <v>38.06</v>
      </c>
      <c r="H4954">
        <v>131</v>
      </c>
      <c r="I4954" t="s">
        <v>41</v>
      </c>
      <c r="J4954">
        <v>2024</v>
      </c>
      <c r="K4954">
        <f t="shared" si="154"/>
        <v>22.099999999999994</v>
      </c>
      <c r="L4954" t="str">
        <f t="shared" si="155"/>
        <v>Banca Sarda|8|Mutui</v>
      </c>
    </row>
    <row r="4955" spans="1:12" x14ac:dyDescent="0.25">
      <c r="A4955" t="s">
        <v>42</v>
      </c>
      <c r="B4955">
        <v>8</v>
      </c>
      <c r="C4955" t="s">
        <v>15</v>
      </c>
      <c r="D4955" s="1">
        <v>45535</v>
      </c>
      <c r="E4955">
        <v>1846.7</v>
      </c>
      <c r="F4955">
        <v>87.6</v>
      </c>
      <c r="G4955">
        <v>53.97</v>
      </c>
      <c r="H4955">
        <v>187</v>
      </c>
      <c r="I4955" t="s">
        <v>41</v>
      </c>
      <c r="J4955">
        <v>2024</v>
      </c>
      <c r="K4955">
        <f t="shared" si="154"/>
        <v>33.629999999999995</v>
      </c>
      <c r="L4955" t="str">
        <f t="shared" si="155"/>
        <v>Banca Sarda|8|Prestiti</v>
      </c>
    </row>
    <row r="4956" spans="1:12" x14ac:dyDescent="0.25">
      <c r="A4956" t="s">
        <v>42</v>
      </c>
      <c r="B4956">
        <v>8</v>
      </c>
      <c r="C4956" t="s">
        <v>16</v>
      </c>
      <c r="D4956" s="1">
        <v>45535</v>
      </c>
      <c r="E4956">
        <v>2334</v>
      </c>
      <c r="F4956">
        <v>114.94</v>
      </c>
      <c r="G4956">
        <v>70.8</v>
      </c>
      <c r="H4956">
        <v>219</v>
      </c>
      <c r="I4956" t="s">
        <v>41</v>
      </c>
      <c r="J4956">
        <v>2024</v>
      </c>
      <c r="K4956">
        <f t="shared" si="154"/>
        <v>44.14</v>
      </c>
      <c r="L4956" t="str">
        <f t="shared" si="155"/>
        <v>Banca Sarda|8|Conti</v>
      </c>
    </row>
    <row r="4957" spans="1:12" x14ac:dyDescent="0.25">
      <c r="A4957" t="s">
        <v>42</v>
      </c>
      <c r="B4957">
        <v>8</v>
      </c>
      <c r="C4957" t="s">
        <v>17</v>
      </c>
      <c r="D4957" s="1">
        <v>45535</v>
      </c>
      <c r="E4957">
        <v>2852</v>
      </c>
      <c r="F4957">
        <v>146.16</v>
      </c>
      <c r="G4957">
        <v>89.2</v>
      </c>
      <c r="H4957">
        <v>283</v>
      </c>
      <c r="I4957" t="s">
        <v>41</v>
      </c>
      <c r="J4957">
        <v>2024</v>
      </c>
      <c r="K4957">
        <f t="shared" si="154"/>
        <v>56.959999999999994</v>
      </c>
      <c r="L4957" t="str">
        <f t="shared" si="155"/>
        <v>Banca Sarda|8|Carte</v>
      </c>
    </row>
    <row r="4958" spans="1:12" x14ac:dyDescent="0.25">
      <c r="A4958" t="s">
        <v>42</v>
      </c>
      <c r="B4958">
        <v>8</v>
      </c>
      <c r="C4958" t="s">
        <v>18</v>
      </c>
      <c r="D4958" s="1">
        <v>45535</v>
      </c>
      <c r="E4958">
        <v>3345.3</v>
      </c>
      <c r="F4958">
        <v>177.42</v>
      </c>
      <c r="G4958">
        <v>108.01</v>
      </c>
      <c r="H4958">
        <v>346</v>
      </c>
      <c r="I4958" t="s">
        <v>41</v>
      </c>
      <c r="J4958">
        <v>2024</v>
      </c>
      <c r="K4958">
        <f t="shared" si="154"/>
        <v>69.409999999999982</v>
      </c>
      <c r="L4958" t="str">
        <f t="shared" si="155"/>
        <v>Banca Sarda|8|Leasing</v>
      </c>
    </row>
    <row r="4959" spans="1:12" x14ac:dyDescent="0.25">
      <c r="A4959" t="s">
        <v>42</v>
      </c>
      <c r="B4959">
        <v>8</v>
      </c>
      <c r="C4959" t="s">
        <v>19</v>
      </c>
      <c r="D4959" s="1">
        <v>45535</v>
      </c>
      <c r="E4959">
        <v>3814.9</v>
      </c>
      <c r="F4959">
        <v>209.96</v>
      </c>
      <c r="G4959">
        <v>126.87</v>
      </c>
      <c r="H4959">
        <v>365</v>
      </c>
      <c r="I4959" t="s">
        <v>41</v>
      </c>
      <c r="J4959">
        <v>2024</v>
      </c>
      <c r="K4959">
        <f t="shared" si="154"/>
        <v>83.09</v>
      </c>
      <c r="L4959" t="str">
        <f t="shared" si="155"/>
        <v>Banca Sarda|8|Factoring</v>
      </c>
    </row>
    <row r="4960" spans="1:12" x14ac:dyDescent="0.25">
      <c r="A4960" t="s">
        <v>42</v>
      </c>
      <c r="B4960">
        <v>8</v>
      </c>
      <c r="C4960" t="s">
        <v>20</v>
      </c>
      <c r="D4960" s="1">
        <v>45535</v>
      </c>
      <c r="E4960">
        <v>4350</v>
      </c>
      <c r="F4960">
        <v>248.04</v>
      </c>
      <c r="G4960">
        <v>148.13999999999999</v>
      </c>
      <c r="H4960">
        <v>438</v>
      </c>
      <c r="I4960" t="s">
        <v>41</v>
      </c>
      <c r="J4960">
        <v>2024</v>
      </c>
      <c r="K4960">
        <f t="shared" si="154"/>
        <v>99.9</v>
      </c>
      <c r="L4960" t="str">
        <f t="shared" si="155"/>
        <v>Banca Sarda|8|Risparmio</v>
      </c>
    </row>
    <row r="4961" spans="1:12" x14ac:dyDescent="0.25">
      <c r="A4961" t="s">
        <v>42</v>
      </c>
      <c r="B4961">
        <v>8</v>
      </c>
      <c r="C4961" t="s">
        <v>21</v>
      </c>
      <c r="D4961" s="1">
        <v>45535</v>
      </c>
      <c r="E4961">
        <v>4825.2</v>
      </c>
      <c r="F4961">
        <v>285.45999999999998</v>
      </c>
      <c r="G4961">
        <v>169</v>
      </c>
      <c r="H4961">
        <v>468</v>
      </c>
      <c r="I4961" t="s">
        <v>41</v>
      </c>
      <c r="J4961">
        <v>2024</v>
      </c>
      <c r="K4961">
        <f t="shared" si="154"/>
        <v>116.45999999999998</v>
      </c>
      <c r="L4961" t="str">
        <f t="shared" si="155"/>
        <v>Banca Sarda|8|Assicurazioni</v>
      </c>
    </row>
    <row r="4962" spans="1:12" x14ac:dyDescent="0.25">
      <c r="A4962" t="s">
        <v>42</v>
      </c>
      <c r="B4962">
        <v>9</v>
      </c>
      <c r="C4962" t="s">
        <v>13</v>
      </c>
      <c r="D4962" s="1">
        <v>45565</v>
      </c>
      <c r="E4962">
        <v>1312.9</v>
      </c>
      <c r="F4962">
        <v>59.92</v>
      </c>
      <c r="G4962">
        <v>37.24</v>
      </c>
      <c r="H4962">
        <v>143</v>
      </c>
      <c r="I4962" t="s">
        <v>41</v>
      </c>
      <c r="J4962">
        <v>2024</v>
      </c>
      <c r="K4962">
        <f t="shared" si="154"/>
        <v>22.68</v>
      </c>
      <c r="L4962" t="str">
        <f t="shared" si="155"/>
        <v>Banca Sarda|9|Mutui</v>
      </c>
    </row>
    <row r="4963" spans="1:12" x14ac:dyDescent="0.25">
      <c r="A4963" t="s">
        <v>42</v>
      </c>
      <c r="B4963">
        <v>9</v>
      </c>
      <c r="C4963" t="s">
        <v>15</v>
      </c>
      <c r="D4963" s="1">
        <v>45565</v>
      </c>
      <c r="E4963">
        <v>1824.5</v>
      </c>
      <c r="F4963">
        <v>85.82</v>
      </c>
      <c r="G4963">
        <v>53.58</v>
      </c>
      <c r="H4963">
        <v>172</v>
      </c>
      <c r="I4963" t="s">
        <v>41</v>
      </c>
      <c r="J4963">
        <v>2024</v>
      </c>
      <c r="K4963">
        <f t="shared" si="154"/>
        <v>32.239999999999995</v>
      </c>
      <c r="L4963" t="str">
        <f t="shared" si="155"/>
        <v>Banca Sarda|9|Prestiti</v>
      </c>
    </row>
    <row r="4964" spans="1:12" x14ac:dyDescent="0.25">
      <c r="A4964" t="s">
        <v>42</v>
      </c>
      <c r="B4964">
        <v>9</v>
      </c>
      <c r="C4964" t="s">
        <v>16</v>
      </c>
      <c r="D4964" s="1">
        <v>45565</v>
      </c>
      <c r="E4964">
        <v>2341.4</v>
      </c>
      <c r="F4964">
        <v>115.42</v>
      </c>
      <c r="G4964">
        <v>70.89</v>
      </c>
      <c r="H4964">
        <v>244</v>
      </c>
      <c r="I4964" t="s">
        <v>41</v>
      </c>
      <c r="J4964">
        <v>2024</v>
      </c>
      <c r="K4964">
        <f t="shared" si="154"/>
        <v>44.53</v>
      </c>
      <c r="L4964" t="str">
        <f t="shared" si="155"/>
        <v>Banca Sarda|9|Conti</v>
      </c>
    </row>
    <row r="4965" spans="1:12" x14ac:dyDescent="0.25">
      <c r="A4965" t="s">
        <v>42</v>
      </c>
      <c r="B4965">
        <v>9</v>
      </c>
      <c r="C4965" t="s">
        <v>17</v>
      </c>
      <c r="D4965" s="1">
        <v>45565</v>
      </c>
      <c r="E4965">
        <v>2850.7</v>
      </c>
      <c r="F4965">
        <v>145.58000000000001</v>
      </c>
      <c r="G4965">
        <v>89.27</v>
      </c>
      <c r="H4965">
        <v>301</v>
      </c>
      <c r="I4965" t="s">
        <v>41</v>
      </c>
      <c r="J4965">
        <v>2024</v>
      </c>
      <c r="K4965">
        <f t="shared" si="154"/>
        <v>56.310000000000016</v>
      </c>
      <c r="L4965" t="str">
        <f t="shared" si="155"/>
        <v>Banca Sarda|9|Carte</v>
      </c>
    </row>
    <row r="4966" spans="1:12" x14ac:dyDescent="0.25">
      <c r="A4966" t="s">
        <v>42</v>
      </c>
      <c r="B4966">
        <v>9</v>
      </c>
      <c r="C4966" t="s">
        <v>18</v>
      </c>
      <c r="D4966" s="1">
        <v>45565</v>
      </c>
      <c r="E4966">
        <v>3355.7</v>
      </c>
      <c r="F4966">
        <v>178.68</v>
      </c>
      <c r="G4966">
        <v>107.66</v>
      </c>
      <c r="H4966">
        <v>334</v>
      </c>
      <c r="I4966" t="s">
        <v>41</v>
      </c>
      <c r="J4966">
        <v>2024</v>
      </c>
      <c r="K4966">
        <f t="shared" si="154"/>
        <v>71.02000000000001</v>
      </c>
      <c r="L4966" t="str">
        <f t="shared" si="155"/>
        <v>Banca Sarda|9|Leasing</v>
      </c>
    </row>
    <row r="4967" spans="1:12" x14ac:dyDescent="0.25">
      <c r="A4967" t="s">
        <v>42</v>
      </c>
      <c r="B4967">
        <v>9</v>
      </c>
      <c r="C4967" t="s">
        <v>19</v>
      </c>
      <c r="D4967" s="1">
        <v>45565</v>
      </c>
      <c r="E4967">
        <v>3861.8</v>
      </c>
      <c r="F4967">
        <v>212.74</v>
      </c>
      <c r="G4967">
        <v>128.44</v>
      </c>
      <c r="H4967">
        <v>381</v>
      </c>
      <c r="I4967" t="s">
        <v>41</v>
      </c>
      <c r="J4967">
        <v>2024</v>
      </c>
      <c r="K4967">
        <f t="shared" si="154"/>
        <v>84.300000000000011</v>
      </c>
      <c r="L4967" t="str">
        <f t="shared" si="155"/>
        <v>Banca Sarda|9|Factoring</v>
      </c>
    </row>
    <row r="4968" spans="1:12" x14ac:dyDescent="0.25">
      <c r="A4968" t="s">
        <v>42</v>
      </c>
      <c r="B4968">
        <v>9</v>
      </c>
      <c r="C4968" t="s">
        <v>20</v>
      </c>
      <c r="D4968" s="1">
        <v>45565</v>
      </c>
      <c r="E4968">
        <v>4337.8999999999996</v>
      </c>
      <c r="F4968">
        <v>247.84</v>
      </c>
      <c r="G4968">
        <v>147.91</v>
      </c>
      <c r="H4968">
        <v>424</v>
      </c>
      <c r="I4968" t="s">
        <v>41</v>
      </c>
      <c r="J4968">
        <v>2024</v>
      </c>
      <c r="K4968">
        <f t="shared" si="154"/>
        <v>99.93</v>
      </c>
      <c r="L4968" t="str">
        <f t="shared" si="155"/>
        <v>Banca Sarda|9|Risparmio</v>
      </c>
    </row>
    <row r="4969" spans="1:12" x14ac:dyDescent="0.25">
      <c r="A4969" t="s">
        <v>42</v>
      </c>
      <c r="B4969">
        <v>9</v>
      </c>
      <c r="C4969" t="s">
        <v>21</v>
      </c>
      <c r="D4969" s="1">
        <v>45565</v>
      </c>
      <c r="E4969">
        <v>4870.8999999999996</v>
      </c>
      <c r="F4969">
        <v>288.02999999999997</v>
      </c>
      <c r="G4969">
        <v>170.98</v>
      </c>
      <c r="H4969">
        <v>480</v>
      </c>
      <c r="I4969" t="s">
        <v>41</v>
      </c>
      <c r="J4969">
        <v>2024</v>
      </c>
      <c r="K4969">
        <f t="shared" si="154"/>
        <v>117.04999999999998</v>
      </c>
      <c r="L4969" t="str">
        <f t="shared" si="155"/>
        <v>Banca Sarda|9|Assicurazioni</v>
      </c>
    </row>
    <row r="4970" spans="1:12" x14ac:dyDescent="0.25">
      <c r="A4970" t="s">
        <v>42</v>
      </c>
      <c r="B4970">
        <v>10</v>
      </c>
      <c r="C4970" t="s">
        <v>13</v>
      </c>
      <c r="D4970" s="1">
        <v>45596</v>
      </c>
      <c r="E4970">
        <v>1360.9</v>
      </c>
      <c r="F4970">
        <v>61.71</v>
      </c>
      <c r="G4970">
        <v>39.08</v>
      </c>
      <c r="H4970">
        <v>155</v>
      </c>
      <c r="I4970" t="s">
        <v>41</v>
      </c>
      <c r="J4970">
        <v>2024</v>
      </c>
      <c r="K4970">
        <f t="shared" si="154"/>
        <v>22.630000000000003</v>
      </c>
      <c r="L4970" t="str">
        <f t="shared" si="155"/>
        <v>Banca Sarda|10|Mutui</v>
      </c>
    </row>
    <row r="4971" spans="1:12" x14ac:dyDescent="0.25">
      <c r="A4971" t="s">
        <v>42</v>
      </c>
      <c r="B4971">
        <v>10</v>
      </c>
      <c r="C4971" t="s">
        <v>15</v>
      </c>
      <c r="D4971" s="1">
        <v>45596</v>
      </c>
      <c r="E4971">
        <v>1856.9</v>
      </c>
      <c r="F4971">
        <v>87.71</v>
      </c>
      <c r="G4971">
        <v>54.46</v>
      </c>
      <c r="H4971">
        <v>184</v>
      </c>
      <c r="I4971" t="s">
        <v>41</v>
      </c>
      <c r="J4971">
        <v>2024</v>
      </c>
      <c r="K4971">
        <f t="shared" si="154"/>
        <v>33.249999999999993</v>
      </c>
      <c r="L4971" t="str">
        <f t="shared" si="155"/>
        <v>Banca Sarda|10|Prestiti</v>
      </c>
    </row>
    <row r="4972" spans="1:12" x14ac:dyDescent="0.25">
      <c r="A4972" t="s">
        <v>42</v>
      </c>
      <c r="B4972">
        <v>10</v>
      </c>
      <c r="C4972" t="s">
        <v>16</v>
      </c>
      <c r="D4972" s="1">
        <v>45596</v>
      </c>
      <c r="E4972">
        <v>2389.1</v>
      </c>
      <c r="F4972">
        <v>117.95</v>
      </c>
      <c r="G4972">
        <v>71.900000000000006</v>
      </c>
      <c r="H4972">
        <v>252</v>
      </c>
      <c r="I4972" t="s">
        <v>41</v>
      </c>
      <c r="J4972">
        <v>2024</v>
      </c>
      <c r="K4972">
        <f t="shared" si="154"/>
        <v>46.05</v>
      </c>
      <c r="L4972" t="str">
        <f t="shared" si="155"/>
        <v>Banca Sarda|10|Conti</v>
      </c>
    </row>
    <row r="4973" spans="1:12" x14ac:dyDescent="0.25">
      <c r="A4973" t="s">
        <v>42</v>
      </c>
      <c r="B4973">
        <v>10</v>
      </c>
      <c r="C4973" t="s">
        <v>17</v>
      </c>
      <c r="D4973" s="1">
        <v>45596</v>
      </c>
      <c r="E4973">
        <v>2875.7</v>
      </c>
      <c r="F4973">
        <v>147.22999999999999</v>
      </c>
      <c r="G4973">
        <v>90.1</v>
      </c>
      <c r="H4973">
        <v>301</v>
      </c>
      <c r="I4973" t="s">
        <v>41</v>
      </c>
      <c r="J4973">
        <v>2024</v>
      </c>
      <c r="K4973">
        <f t="shared" si="154"/>
        <v>57.129999999999995</v>
      </c>
      <c r="L4973" t="str">
        <f t="shared" si="155"/>
        <v>Banca Sarda|10|Carte</v>
      </c>
    </row>
    <row r="4974" spans="1:12" x14ac:dyDescent="0.25">
      <c r="A4974" t="s">
        <v>42</v>
      </c>
      <c r="B4974">
        <v>10</v>
      </c>
      <c r="C4974" t="s">
        <v>18</v>
      </c>
      <c r="D4974" s="1">
        <v>45596</v>
      </c>
      <c r="E4974">
        <v>3393.6</v>
      </c>
      <c r="F4974">
        <v>179.94</v>
      </c>
      <c r="G4974">
        <v>108.72</v>
      </c>
      <c r="H4974">
        <v>348</v>
      </c>
      <c r="I4974" t="s">
        <v>41</v>
      </c>
      <c r="J4974">
        <v>2024</v>
      </c>
      <c r="K4974">
        <f t="shared" si="154"/>
        <v>71.22</v>
      </c>
      <c r="L4974" t="str">
        <f t="shared" si="155"/>
        <v>Banca Sarda|10|Leasing</v>
      </c>
    </row>
    <row r="4975" spans="1:12" x14ac:dyDescent="0.25">
      <c r="A4975" t="s">
        <v>42</v>
      </c>
      <c r="B4975">
        <v>10</v>
      </c>
      <c r="C4975" t="s">
        <v>19</v>
      </c>
      <c r="D4975" s="1">
        <v>45596</v>
      </c>
      <c r="E4975">
        <v>3861</v>
      </c>
      <c r="F4975">
        <v>212.62</v>
      </c>
      <c r="G4975">
        <v>127.64</v>
      </c>
      <c r="H4975">
        <v>360</v>
      </c>
      <c r="I4975" t="s">
        <v>41</v>
      </c>
      <c r="J4975">
        <v>2024</v>
      </c>
      <c r="K4975">
        <f t="shared" si="154"/>
        <v>84.98</v>
      </c>
      <c r="L4975" t="str">
        <f t="shared" si="155"/>
        <v>Banca Sarda|10|Factoring</v>
      </c>
    </row>
    <row r="4976" spans="1:12" x14ac:dyDescent="0.25">
      <c r="A4976" t="s">
        <v>42</v>
      </c>
      <c r="B4976">
        <v>10</v>
      </c>
      <c r="C4976" t="s">
        <v>20</v>
      </c>
      <c r="D4976" s="1">
        <v>45596</v>
      </c>
      <c r="E4976">
        <v>4381</v>
      </c>
      <c r="F4976">
        <v>250.42</v>
      </c>
      <c r="G4976">
        <v>149.18</v>
      </c>
      <c r="H4976">
        <v>416</v>
      </c>
      <c r="I4976" t="s">
        <v>41</v>
      </c>
      <c r="J4976">
        <v>2024</v>
      </c>
      <c r="K4976">
        <f t="shared" si="154"/>
        <v>101.23999999999998</v>
      </c>
      <c r="L4976" t="str">
        <f t="shared" si="155"/>
        <v>Banca Sarda|10|Risparmio</v>
      </c>
    </row>
    <row r="4977" spans="1:12" x14ac:dyDescent="0.25">
      <c r="A4977" t="s">
        <v>42</v>
      </c>
      <c r="B4977">
        <v>10</v>
      </c>
      <c r="C4977" t="s">
        <v>21</v>
      </c>
      <c r="D4977" s="1">
        <v>45596</v>
      </c>
      <c r="E4977">
        <v>4893</v>
      </c>
      <c r="F4977">
        <v>289.54000000000002</v>
      </c>
      <c r="G4977">
        <v>171.77</v>
      </c>
      <c r="H4977">
        <v>456</v>
      </c>
      <c r="I4977" t="s">
        <v>41</v>
      </c>
      <c r="J4977">
        <v>2024</v>
      </c>
      <c r="K4977">
        <f t="shared" si="154"/>
        <v>117.77000000000001</v>
      </c>
      <c r="L4977" t="str">
        <f t="shared" si="155"/>
        <v>Banca Sarda|10|Assicurazioni</v>
      </c>
    </row>
    <row r="4978" spans="1:12" x14ac:dyDescent="0.25">
      <c r="A4978" t="s">
        <v>42</v>
      </c>
      <c r="B4978">
        <v>11</v>
      </c>
      <c r="C4978" t="s">
        <v>13</v>
      </c>
      <c r="D4978" s="1">
        <v>45626</v>
      </c>
      <c r="E4978">
        <v>1349.7</v>
      </c>
      <c r="F4978">
        <v>61.46</v>
      </c>
      <c r="G4978">
        <v>38.479999999999997</v>
      </c>
      <c r="H4978">
        <v>151</v>
      </c>
      <c r="I4978" t="s">
        <v>41</v>
      </c>
      <c r="J4978">
        <v>2024</v>
      </c>
      <c r="K4978">
        <f t="shared" si="154"/>
        <v>22.980000000000004</v>
      </c>
      <c r="L4978" t="str">
        <f t="shared" si="155"/>
        <v>Banca Sarda|11|Mutui</v>
      </c>
    </row>
    <row r="4979" spans="1:12" x14ac:dyDescent="0.25">
      <c r="A4979" t="s">
        <v>42</v>
      </c>
      <c r="B4979">
        <v>11</v>
      </c>
      <c r="C4979" t="s">
        <v>15</v>
      </c>
      <c r="D4979" s="1">
        <v>45626</v>
      </c>
      <c r="E4979">
        <v>1876.8</v>
      </c>
      <c r="F4979">
        <v>88.56</v>
      </c>
      <c r="G4979">
        <v>55.02</v>
      </c>
      <c r="H4979">
        <v>206</v>
      </c>
      <c r="I4979" t="s">
        <v>41</v>
      </c>
      <c r="J4979">
        <v>2024</v>
      </c>
      <c r="K4979">
        <f t="shared" si="154"/>
        <v>33.54</v>
      </c>
      <c r="L4979" t="str">
        <f t="shared" si="155"/>
        <v>Banca Sarda|11|Prestiti</v>
      </c>
    </row>
    <row r="4980" spans="1:12" x14ac:dyDescent="0.25">
      <c r="A4980" t="s">
        <v>42</v>
      </c>
      <c r="B4980">
        <v>11</v>
      </c>
      <c r="C4980" t="s">
        <v>16</v>
      </c>
      <c r="D4980" s="1">
        <v>45626</v>
      </c>
      <c r="E4980">
        <v>2370.6999999999998</v>
      </c>
      <c r="F4980">
        <v>116.86</v>
      </c>
      <c r="G4980">
        <v>71.739999999999995</v>
      </c>
      <c r="H4980">
        <v>255</v>
      </c>
      <c r="I4980" t="s">
        <v>41</v>
      </c>
      <c r="J4980">
        <v>2024</v>
      </c>
      <c r="K4980">
        <f t="shared" si="154"/>
        <v>45.120000000000005</v>
      </c>
      <c r="L4980" t="str">
        <f t="shared" si="155"/>
        <v>Banca Sarda|11|Conti</v>
      </c>
    </row>
    <row r="4981" spans="1:12" x14ac:dyDescent="0.25">
      <c r="A4981" t="s">
        <v>42</v>
      </c>
      <c r="B4981">
        <v>11</v>
      </c>
      <c r="C4981" t="s">
        <v>17</v>
      </c>
      <c r="D4981" s="1">
        <v>45626</v>
      </c>
      <c r="E4981">
        <v>2886.8</v>
      </c>
      <c r="F4981">
        <v>147.57</v>
      </c>
      <c r="G4981">
        <v>89.58</v>
      </c>
      <c r="H4981">
        <v>293</v>
      </c>
      <c r="I4981" t="s">
        <v>41</v>
      </c>
      <c r="J4981">
        <v>2024</v>
      </c>
      <c r="K4981">
        <f t="shared" si="154"/>
        <v>57.989999999999995</v>
      </c>
      <c r="L4981" t="str">
        <f t="shared" si="155"/>
        <v>Banca Sarda|11|Carte</v>
      </c>
    </row>
    <row r="4982" spans="1:12" x14ac:dyDescent="0.25">
      <c r="A4982" t="s">
        <v>42</v>
      </c>
      <c r="B4982">
        <v>11</v>
      </c>
      <c r="C4982" t="s">
        <v>18</v>
      </c>
      <c r="D4982" s="1">
        <v>45626</v>
      </c>
      <c r="E4982">
        <v>3413.4</v>
      </c>
      <c r="F4982">
        <v>181.13</v>
      </c>
      <c r="G4982">
        <v>109.83</v>
      </c>
      <c r="H4982">
        <v>313</v>
      </c>
      <c r="I4982" t="s">
        <v>41</v>
      </c>
      <c r="J4982">
        <v>2024</v>
      </c>
      <c r="K4982">
        <f t="shared" si="154"/>
        <v>71.3</v>
      </c>
      <c r="L4982" t="str">
        <f t="shared" si="155"/>
        <v>Banca Sarda|11|Leasing</v>
      </c>
    </row>
    <row r="4983" spans="1:12" x14ac:dyDescent="0.25">
      <c r="A4983" t="s">
        <v>42</v>
      </c>
      <c r="B4983">
        <v>11</v>
      </c>
      <c r="C4983" t="s">
        <v>19</v>
      </c>
      <c r="D4983" s="1">
        <v>45626</v>
      </c>
      <c r="E4983">
        <v>3942.9</v>
      </c>
      <c r="F4983">
        <v>217.51</v>
      </c>
      <c r="G4983">
        <v>131.11000000000001</v>
      </c>
      <c r="H4983">
        <v>378</v>
      </c>
      <c r="I4983" t="s">
        <v>41</v>
      </c>
      <c r="J4983">
        <v>2024</v>
      </c>
      <c r="K4983">
        <f t="shared" si="154"/>
        <v>86.399999999999977</v>
      </c>
      <c r="L4983" t="str">
        <f t="shared" si="155"/>
        <v>Banca Sarda|11|Factoring</v>
      </c>
    </row>
    <row r="4984" spans="1:12" x14ac:dyDescent="0.25">
      <c r="A4984" t="s">
        <v>42</v>
      </c>
      <c r="B4984">
        <v>11</v>
      </c>
      <c r="C4984" t="s">
        <v>20</v>
      </c>
      <c r="D4984" s="1">
        <v>45626</v>
      </c>
      <c r="E4984">
        <v>4431.1000000000004</v>
      </c>
      <c r="F4984">
        <v>252.62</v>
      </c>
      <c r="G4984">
        <v>151.55000000000001</v>
      </c>
      <c r="H4984">
        <v>430</v>
      </c>
      <c r="I4984" t="s">
        <v>41</v>
      </c>
      <c r="J4984">
        <v>2024</v>
      </c>
      <c r="K4984">
        <f t="shared" si="154"/>
        <v>101.07</v>
      </c>
      <c r="L4984" t="str">
        <f t="shared" si="155"/>
        <v>Banca Sarda|11|Risparmio</v>
      </c>
    </row>
    <row r="4985" spans="1:12" x14ac:dyDescent="0.25">
      <c r="A4985" t="s">
        <v>42</v>
      </c>
      <c r="B4985">
        <v>11</v>
      </c>
      <c r="C4985" t="s">
        <v>21</v>
      </c>
      <c r="D4985" s="1">
        <v>45626</v>
      </c>
      <c r="E4985">
        <v>4952.8999999999996</v>
      </c>
      <c r="F4985">
        <v>292.60000000000002</v>
      </c>
      <c r="G4985">
        <v>173.82</v>
      </c>
      <c r="H4985">
        <v>465</v>
      </c>
      <c r="I4985" t="s">
        <v>41</v>
      </c>
      <c r="J4985">
        <v>2024</v>
      </c>
      <c r="K4985">
        <f t="shared" si="154"/>
        <v>118.78000000000003</v>
      </c>
      <c r="L4985" t="str">
        <f t="shared" si="155"/>
        <v>Banca Sarda|11|Assicurazioni</v>
      </c>
    </row>
    <row r="4986" spans="1:12" x14ac:dyDescent="0.25">
      <c r="A4986" t="s">
        <v>42</v>
      </c>
      <c r="B4986">
        <v>12</v>
      </c>
      <c r="C4986" t="s">
        <v>13</v>
      </c>
      <c r="D4986" s="1">
        <v>45657</v>
      </c>
      <c r="E4986">
        <v>1380.2</v>
      </c>
      <c r="F4986">
        <v>62.79</v>
      </c>
      <c r="G4986">
        <v>39</v>
      </c>
      <c r="H4986">
        <v>153</v>
      </c>
      <c r="I4986" t="s">
        <v>41</v>
      </c>
      <c r="J4986">
        <v>2024</v>
      </c>
      <c r="K4986">
        <f t="shared" si="154"/>
        <v>23.79</v>
      </c>
      <c r="L4986" t="str">
        <f t="shared" si="155"/>
        <v>Banca Sarda|12|Mutui</v>
      </c>
    </row>
    <row r="4987" spans="1:12" x14ac:dyDescent="0.25">
      <c r="A4987" t="s">
        <v>42</v>
      </c>
      <c r="B4987">
        <v>12</v>
      </c>
      <c r="C4987" t="s">
        <v>15</v>
      </c>
      <c r="D4987" s="1">
        <v>45657</v>
      </c>
      <c r="E4987">
        <v>1895.4</v>
      </c>
      <c r="F4987">
        <v>89.17</v>
      </c>
      <c r="G4987">
        <v>55.27</v>
      </c>
      <c r="H4987">
        <v>205</v>
      </c>
      <c r="I4987" t="s">
        <v>41</v>
      </c>
      <c r="J4987">
        <v>2024</v>
      </c>
      <c r="K4987">
        <f t="shared" si="154"/>
        <v>33.9</v>
      </c>
      <c r="L4987" t="str">
        <f t="shared" si="155"/>
        <v>Banca Sarda|12|Prestiti</v>
      </c>
    </row>
    <row r="4988" spans="1:12" x14ac:dyDescent="0.25">
      <c r="A4988" t="s">
        <v>42</v>
      </c>
      <c r="B4988">
        <v>12</v>
      </c>
      <c r="C4988" t="s">
        <v>16</v>
      </c>
      <c r="D4988" s="1">
        <v>45657</v>
      </c>
      <c r="E4988">
        <v>2388.1999999999998</v>
      </c>
      <c r="F4988">
        <v>117.79</v>
      </c>
      <c r="G4988">
        <v>72.48</v>
      </c>
      <c r="H4988">
        <v>234</v>
      </c>
      <c r="I4988" t="s">
        <v>41</v>
      </c>
      <c r="J4988">
        <v>2024</v>
      </c>
      <c r="K4988">
        <f t="shared" si="154"/>
        <v>45.31</v>
      </c>
      <c r="L4988" t="str">
        <f t="shared" si="155"/>
        <v>Banca Sarda|12|Conti</v>
      </c>
    </row>
    <row r="4989" spans="1:12" x14ac:dyDescent="0.25">
      <c r="A4989" t="s">
        <v>42</v>
      </c>
      <c r="B4989">
        <v>12</v>
      </c>
      <c r="C4989" t="s">
        <v>17</v>
      </c>
      <c r="D4989" s="1">
        <v>45657</v>
      </c>
      <c r="E4989">
        <v>2900.7</v>
      </c>
      <c r="F4989">
        <v>148.06</v>
      </c>
      <c r="G4989">
        <v>90.6</v>
      </c>
      <c r="H4989">
        <v>294</v>
      </c>
      <c r="I4989" t="s">
        <v>41</v>
      </c>
      <c r="J4989">
        <v>2024</v>
      </c>
      <c r="K4989">
        <f t="shared" si="154"/>
        <v>57.460000000000008</v>
      </c>
      <c r="L4989" t="str">
        <f t="shared" si="155"/>
        <v>Banca Sarda|12|Carte</v>
      </c>
    </row>
    <row r="4990" spans="1:12" x14ac:dyDescent="0.25">
      <c r="A4990" t="s">
        <v>42</v>
      </c>
      <c r="B4990">
        <v>12</v>
      </c>
      <c r="C4990" t="s">
        <v>18</v>
      </c>
      <c r="D4990" s="1">
        <v>45657</v>
      </c>
      <c r="E4990">
        <v>3443.2</v>
      </c>
      <c r="F4990">
        <v>182.85</v>
      </c>
      <c r="G4990">
        <v>110.31</v>
      </c>
      <c r="H4990">
        <v>324</v>
      </c>
      <c r="I4990" t="s">
        <v>41</v>
      </c>
      <c r="J4990">
        <v>2024</v>
      </c>
      <c r="K4990">
        <f t="shared" si="154"/>
        <v>72.539999999999992</v>
      </c>
      <c r="L4990" t="str">
        <f t="shared" si="155"/>
        <v>Banca Sarda|12|Leasing</v>
      </c>
    </row>
    <row r="4991" spans="1:12" x14ac:dyDescent="0.25">
      <c r="A4991" t="s">
        <v>42</v>
      </c>
      <c r="B4991">
        <v>12</v>
      </c>
      <c r="C4991" t="s">
        <v>19</v>
      </c>
      <c r="D4991" s="1">
        <v>45657</v>
      </c>
      <c r="E4991">
        <v>3963.4</v>
      </c>
      <c r="F4991">
        <v>218.8</v>
      </c>
      <c r="G4991">
        <v>130.81</v>
      </c>
      <c r="H4991">
        <v>366</v>
      </c>
      <c r="I4991" t="s">
        <v>41</v>
      </c>
      <c r="J4991">
        <v>2024</v>
      </c>
      <c r="K4991">
        <f t="shared" si="154"/>
        <v>87.990000000000009</v>
      </c>
      <c r="L4991" t="str">
        <f t="shared" si="155"/>
        <v>Banca Sarda|12|Factoring</v>
      </c>
    </row>
    <row r="4992" spans="1:12" x14ac:dyDescent="0.25">
      <c r="A4992" t="s">
        <v>42</v>
      </c>
      <c r="B4992">
        <v>12</v>
      </c>
      <c r="C4992" t="s">
        <v>20</v>
      </c>
      <c r="D4992" s="1">
        <v>45657</v>
      </c>
      <c r="E4992">
        <v>4478.8999999999996</v>
      </c>
      <c r="F4992">
        <v>256.17</v>
      </c>
      <c r="G4992">
        <v>153.07</v>
      </c>
      <c r="H4992">
        <v>408</v>
      </c>
      <c r="I4992" t="s">
        <v>41</v>
      </c>
      <c r="J4992">
        <v>2024</v>
      </c>
      <c r="K4992">
        <f t="shared" si="154"/>
        <v>103.10000000000002</v>
      </c>
      <c r="L4992" t="str">
        <f t="shared" si="155"/>
        <v>Banca Sarda|12|Risparmio</v>
      </c>
    </row>
    <row r="4993" spans="1:12" x14ac:dyDescent="0.25">
      <c r="A4993" t="s">
        <v>42</v>
      </c>
      <c r="B4993">
        <v>12</v>
      </c>
      <c r="C4993" t="s">
        <v>21</v>
      </c>
      <c r="D4993" s="1">
        <v>45657</v>
      </c>
      <c r="E4993">
        <v>4955</v>
      </c>
      <c r="F4993">
        <v>293.2</v>
      </c>
      <c r="G4993">
        <v>174.32</v>
      </c>
      <c r="H4993">
        <v>468</v>
      </c>
      <c r="I4993" t="s">
        <v>41</v>
      </c>
      <c r="J4993">
        <v>2024</v>
      </c>
      <c r="K4993">
        <f t="shared" si="154"/>
        <v>118.88</v>
      </c>
      <c r="L4993" t="str">
        <f t="shared" si="155"/>
        <v>Banca Sarda|12|Assicurazioni</v>
      </c>
    </row>
    <row r="4994" spans="1:12" x14ac:dyDescent="0.25">
      <c r="A4994" t="s">
        <v>42</v>
      </c>
      <c r="B4994">
        <v>13</v>
      </c>
      <c r="C4994" t="s">
        <v>13</v>
      </c>
      <c r="D4994" s="1">
        <v>45688</v>
      </c>
      <c r="E4994">
        <v>1395.5</v>
      </c>
      <c r="F4994">
        <v>63.16</v>
      </c>
      <c r="G4994">
        <v>39.22</v>
      </c>
      <c r="H4994">
        <v>131</v>
      </c>
      <c r="I4994" t="s">
        <v>41</v>
      </c>
      <c r="J4994">
        <v>2025</v>
      </c>
      <c r="K4994">
        <f t="shared" ref="K4994:K5057" si="156">F4994-G4994</f>
        <v>23.939999999999998</v>
      </c>
      <c r="L4994" t="str">
        <f t="shared" ref="L4994:L5057" si="157">A4994&amp;"|"&amp;B4994&amp;"|"&amp;C4994</f>
        <v>Banca Sarda|13|Mutui</v>
      </c>
    </row>
    <row r="4995" spans="1:12" x14ac:dyDescent="0.25">
      <c r="A4995" t="s">
        <v>42</v>
      </c>
      <c r="B4995">
        <v>13</v>
      </c>
      <c r="C4995" t="s">
        <v>15</v>
      </c>
      <c r="D4995" s="1">
        <v>45688</v>
      </c>
      <c r="E4995">
        <v>1926.6</v>
      </c>
      <c r="F4995">
        <v>90.77</v>
      </c>
      <c r="G4995">
        <v>56.36</v>
      </c>
      <c r="H4995">
        <v>185</v>
      </c>
      <c r="I4995" t="s">
        <v>41</v>
      </c>
      <c r="J4995">
        <v>2025</v>
      </c>
      <c r="K4995">
        <f t="shared" si="156"/>
        <v>34.409999999999997</v>
      </c>
      <c r="L4995" t="str">
        <f t="shared" si="157"/>
        <v>Banca Sarda|13|Prestiti</v>
      </c>
    </row>
    <row r="4996" spans="1:12" x14ac:dyDescent="0.25">
      <c r="A4996" t="s">
        <v>42</v>
      </c>
      <c r="B4996">
        <v>13</v>
      </c>
      <c r="C4996" t="s">
        <v>16</v>
      </c>
      <c r="D4996" s="1">
        <v>45688</v>
      </c>
      <c r="E4996">
        <v>2388.5</v>
      </c>
      <c r="F4996">
        <v>117.74</v>
      </c>
      <c r="G4996">
        <v>72.430000000000007</v>
      </c>
      <c r="H4996">
        <v>241</v>
      </c>
      <c r="I4996" t="s">
        <v>41</v>
      </c>
      <c r="J4996">
        <v>2025</v>
      </c>
      <c r="K4996">
        <f t="shared" si="156"/>
        <v>45.309999999999988</v>
      </c>
      <c r="L4996" t="str">
        <f t="shared" si="157"/>
        <v>Banca Sarda|13|Conti</v>
      </c>
    </row>
    <row r="4997" spans="1:12" x14ac:dyDescent="0.25">
      <c r="A4997" t="s">
        <v>42</v>
      </c>
      <c r="B4997">
        <v>13</v>
      </c>
      <c r="C4997" t="s">
        <v>17</v>
      </c>
      <c r="D4997" s="1">
        <v>45688</v>
      </c>
      <c r="E4997">
        <v>2957.4</v>
      </c>
      <c r="F4997">
        <v>151.37</v>
      </c>
      <c r="G4997">
        <v>91.75</v>
      </c>
      <c r="H4997">
        <v>301</v>
      </c>
      <c r="I4997" t="s">
        <v>41</v>
      </c>
      <c r="J4997">
        <v>2025</v>
      </c>
      <c r="K4997">
        <f t="shared" si="156"/>
        <v>59.620000000000005</v>
      </c>
      <c r="L4997" t="str">
        <f t="shared" si="157"/>
        <v>Banca Sarda|13|Carte</v>
      </c>
    </row>
    <row r="4998" spans="1:12" x14ac:dyDescent="0.25">
      <c r="A4998" t="s">
        <v>42</v>
      </c>
      <c r="B4998">
        <v>13</v>
      </c>
      <c r="C4998" t="s">
        <v>18</v>
      </c>
      <c r="D4998" s="1">
        <v>45688</v>
      </c>
      <c r="E4998">
        <v>3427.8</v>
      </c>
      <c r="F4998">
        <v>181.74</v>
      </c>
      <c r="G4998">
        <v>109.84</v>
      </c>
      <c r="H4998">
        <v>313</v>
      </c>
      <c r="I4998" t="s">
        <v>41</v>
      </c>
      <c r="J4998">
        <v>2025</v>
      </c>
      <c r="K4998">
        <f t="shared" si="156"/>
        <v>71.900000000000006</v>
      </c>
      <c r="L4998" t="str">
        <f t="shared" si="157"/>
        <v>Banca Sarda|13|Leasing</v>
      </c>
    </row>
    <row r="4999" spans="1:12" x14ac:dyDescent="0.25">
      <c r="A4999" t="s">
        <v>42</v>
      </c>
      <c r="B4999">
        <v>13</v>
      </c>
      <c r="C4999" t="s">
        <v>19</v>
      </c>
      <c r="D4999" s="1">
        <v>45688</v>
      </c>
      <c r="E4999">
        <v>3978.3</v>
      </c>
      <c r="F4999">
        <v>219.78</v>
      </c>
      <c r="G4999">
        <v>132.07</v>
      </c>
      <c r="H4999">
        <v>367</v>
      </c>
      <c r="I4999" t="s">
        <v>41</v>
      </c>
      <c r="J4999">
        <v>2025</v>
      </c>
      <c r="K4999">
        <f t="shared" si="156"/>
        <v>87.710000000000008</v>
      </c>
      <c r="L4999" t="str">
        <f t="shared" si="157"/>
        <v>Banca Sarda|13|Factoring</v>
      </c>
    </row>
    <row r="5000" spans="1:12" x14ac:dyDescent="0.25">
      <c r="A5000" t="s">
        <v>42</v>
      </c>
      <c r="B5000">
        <v>13</v>
      </c>
      <c r="C5000" t="s">
        <v>20</v>
      </c>
      <c r="D5000" s="1">
        <v>45688</v>
      </c>
      <c r="E5000">
        <v>4516.6000000000004</v>
      </c>
      <c r="F5000">
        <v>257.67</v>
      </c>
      <c r="G5000">
        <v>153.88</v>
      </c>
      <c r="H5000">
        <v>446</v>
      </c>
      <c r="I5000" t="s">
        <v>41</v>
      </c>
      <c r="J5000">
        <v>2025</v>
      </c>
      <c r="K5000">
        <f t="shared" si="156"/>
        <v>103.79000000000002</v>
      </c>
      <c r="L5000" t="str">
        <f t="shared" si="157"/>
        <v>Banca Sarda|13|Risparmio</v>
      </c>
    </row>
    <row r="5001" spans="1:12" x14ac:dyDescent="0.25">
      <c r="A5001" t="s">
        <v>42</v>
      </c>
      <c r="B5001">
        <v>13</v>
      </c>
      <c r="C5001" t="s">
        <v>21</v>
      </c>
      <c r="D5001" s="1">
        <v>45688</v>
      </c>
      <c r="E5001">
        <v>5036.3</v>
      </c>
      <c r="F5001">
        <v>297.35000000000002</v>
      </c>
      <c r="G5001">
        <v>177.24</v>
      </c>
      <c r="H5001">
        <v>467</v>
      </c>
      <c r="I5001" t="s">
        <v>41</v>
      </c>
      <c r="J5001">
        <v>2025</v>
      </c>
      <c r="K5001">
        <f t="shared" si="156"/>
        <v>120.11000000000001</v>
      </c>
      <c r="L5001" t="str">
        <f t="shared" si="157"/>
        <v>Banca Sarda|13|Assicurazioni</v>
      </c>
    </row>
    <row r="5002" spans="1:12" x14ac:dyDescent="0.25">
      <c r="A5002" t="s">
        <v>42</v>
      </c>
      <c r="B5002">
        <v>14</v>
      </c>
      <c r="C5002" t="s">
        <v>13</v>
      </c>
      <c r="D5002" s="1">
        <v>45716</v>
      </c>
      <c r="E5002">
        <v>1369.2</v>
      </c>
      <c r="F5002">
        <v>61.93</v>
      </c>
      <c r="G5002">
        <v>39.03</v>
      </c>
      <c r="H5002">
        <v>130</v>
      </c>
      <c r="I5002" t="s">
        <v>41</v>
      </c>
      <c r="J5002">
        <v>2025</v>
      </c>
      <c r="K5002">
        <f t="shared" si="156"/>
        <v>22.9</v>
      </c>
      <c r="L5002" t="str">
        <f t="shared" si="157"/>
        <v>Banca Sarda|14|Mutui</v>
      </c>
    </row>
    <row r="5003" spans="1:12" x14ac:dyDescent="0.25">
      <c r="A5003" t="s">
        <v>42</v>
      </c>
      <c r="B5003">
        <v>14</v>
      </c>
      <c r="C5003" t="s">
        <v>15</v>
      </c>
      <c r="D5003" s="1">
        <v>45716</v>
      </c>
      <c r="E5003">
        <v>1909.7</v>
      </c>
      <c r="F5003">
        <v>89.85</v>
      </c>
      <c r="G5003">
        <v>55.6</v>
      </c>
      <c r="H5003">
        <v>179</v>
      </c>
      <c r="I5003" t="s">
        <v>41</v>
      </c>
      <c r="J5003">
        <v>2025</v>
      </c>
      <c r="K5003">
        <f t="shared" si="156"/>
        <v>34.249999999999993</v>
      </c>
      <c r="L5003" t="str">
        <f t="shared" si="157"/>
        <v>Banca Sarda|14|Prestiti</v>
      </c>
    </row>
    <row r="5004" spans="1:12" x14ac:dyDescent="0.25">
      <c r="A5004" t="s">
        <v>42</v>
      </c>
      <c r="B5004">
        <v>14</v>
      </c>
      <c r="C5004" t="s">
        <v>16</v>
      </c>
      <c r="D5004" s="1">
        <v>45716</v>
      </c>
      <c r="E5004">
        <v>2412.4</v>
      </c>
      <c r="F5004">
        <v>118.99</v>
      </c>
      <c r="G5004">
        <v>72.39</v>
      </c>
      <c r="H5004">
        <v>231</v>
      </c>
      <c r="I5004" t="s">
        <v>41</v>
      </c>
      <c r="J5004">
        <v>2025</v>
      </c>
      <c r="K5004">
        <f t="shared" si="156"/>
        <v>46.599999999999994</v>
      </c>
      <c r="L5004" t="str">
        <f t="shared" si="157"/>
        <v>Banca Sarda|14|Conti</v>
      </c>
    </row>
    <row r="5005" spans="1:12" x14ac:dyDescent="0.25">
      <c r="A5005" t="s">
        <v>42</v>
      </c>
      <c r="B5005">
        <v>14</v>
      </c>
      <c r="C5005" t="s">
        <v>17</v>
      </c>
      <c r="D5005" s="1">
        <v>45716</v>
      </c>
      <c r="E5005">
        <v>2945.2</v>
      </c>
      <c r="F5005">
        <v>150.41999999999999</v>
      </c>
      <c r="G5005">
        <v>91.45</v>
      </c>
      <c r="H5005">
        <v>288</v>
      </c>
      <c r="I5005" t="s">
        <v>41</v>
      </c>
      <c r="J5005">
        <v>2025</v>
      </c>
      <c r="K5005">
        <f t="shared" si="156"/>
        <v>58.969999999999985</v>
      </c>
      <c r="L5005" t="str">
        <f t="shared" si="157"/>
        <v>Banca Sarda|14|Carte</v>
      </c>
    </row>
    <row r="5006" spans="1:12" x14ac:dyDescent="0.25">
      <c r="A5006" t="s">
        <v>42</v>
      </c>
      <c r="B5006">
        <v>14</v>
      </c>
      <c r="C5006" t="s">
        <v>18</v>
      </c>
      <c r="D5006" s="1">
        <v>45716</v>
      </c>
      <c r="E5006">
        <v>3460.2</v>
      </c>
      <c r="F5006">
        <v>183.82</v>
      </c>
      <c r="G5006">
        <v>111.02</v>
      </c>
      <c r="H5006">
        <v>329</v>
      </c>
      <c r="I5006" t="s">
        <v>41</v>
      </c>
      <c r="J5006">
        <v>2025</v>
      </c>
      <c r="K5006">
        <f t="shared" si="156"/>
        <v>72.8</v>
      </c>
      <c r="L5006" t="str">
        <f t="shared" si="157"/>
        <v>Banca Sarda|14|Leasing</v>
      </c>
    </row>
    <row r="5007" spans="1:12" x14ac:dyDescent="0.25">
      <c r="A5007" t="s">
        <v>42</v>
      </c>
      <c r="B5007">
        <v>14</v>
      </c>
      <c r="C5007" t="s">
        <v>19</v>
      </c>
      <c r="D5007" s="1">
        <v>45716</v>
      </c>
      <c r="E5007">
        <v>3977.6</v>
      </c>
      <c r="F5007">
        <v>219.16</v>
      </c>
      <c r="G5007">
        <v>132.05000000000001</v>
      </c>
      <c r="H5007">
        <v>384</v>
      </c>
      <c r="I5007" t="s">
        <v>41</v>
      </c>
      <c r="J5007">
        <v>2025</v>
      </c>
      <c r="K5007">
        <f t="shared" si="156"/>
        <v>87.109999999999985</v>
      </c>
      <c r="L5007" t="str">
        <f t="shared" si="157"/>
        <v>Banca Sarda|14|Factoring</v>
      </c>
    </row>
    <row r="5008" spans="1:12" x14ac:dyDescent="0.25">
      <c r="A5008" t="s">
        <v>42</v>
      </c>
      <c r="B5008">
        <v>14</v>
      </c>
      <c r="C5008" t="s">
        <v>20</v>
      </c>
      <c r="D5008" s="1">
        <v>45716</v>
      </c>
      <c r="E5008">
        <v>4520.2</v>
      </c>
      <c r="F5008">
        <v>258.23</v>
      </c>
      <c r="G5008">
        <v>154.43</v>
      </c>
      <c r="H5008">
        <v>437</v>
      </c>
      <c r="I5008" t="s">
        <v>41</v>
      </c>
      <c r="J5008">
        <v>2025</v>
      </c>
      <c r="K5008">
        <f t="shared" si="156"/>
        <v>103.80000000000001</v>
      </c>
      <c r="L5008" t="str">
        <f t="shared" si="157"/>
        <v>Banca Sarda|14|Risparmio</v>
      </c>
    </row>
    <row r="5009" spans="1:12" x14ac:dyDescent="0.25">
      <c r="A5009" t="s">
        <v>42</v>
      </c>
      <c r="B5009">
        <v>14</v>
      </c>
      <c r="C5009" t="s">
        <v>21</v>
      </c>
      <c r="D5009" s="1">
        <v>45716</v>
      </c>
      <c r="E5009">
        <v>5056.3</v>
      </c>
      <c r="F5009">
        <v>298.69</v>
      </c>
      <c r="G5009">
        <v>177.97</v>
      </c>
      <c r="H5009">
        <v>477</v>
      </c>
      <c r="I5009" t="s">
        <v>41</v>
      </c>
      <c r="J5009">
        <v>2025</v>
      </c>
      <c r="K5009">
        <f t="shared" si="156"/>
        <v>120.72</v>
      </c>
      <c r="L5009" t="str">
        <f t="shared" si="157"/>
        <v>Banca Sarda|14|Assicurazioni</v>
      </c>
    </row>
    <row r="5010" spans="1:12" x14ac:dyDescent="0.25">
      <c r="A5010" t="s">
        <v>42</v>
      </c>
      <c r="B5010">
        <v>15</v>
      </c>
      <c r="C5010" t="s">
        <v>13</v>
      </c>
      <c r="D5010" s="1">
        <v>45747</v>
      </c>
      <c r="E5010">
        <v>1408.5</v>
      </c>
      <c r="F5010">
        <v>64.13</v>
      </c>
      <c r="G5010">
        <v>40.03</v>
      </c>
      <c r="H5010">
        <v>128</v>
      </c>
      <c r="I5010" t="s">
        <v>41</v>
      </c>
      <c r="J5010">
        <v>2025</v>
      </c>
      <c r="K5010">
        <f t="shared" si="156"/>
        <v>24.099999999999994</v>
      </c>
      <c r="L5010" t="str">
        <f t="shared" si="157"/>
        <v>Banca Sarda|15|Mutui</v>
      </c>
    </row>
    <row r="5011" spans="1:12" x14ac:dyDescent="0.25">
      <c r="A5011" t="s">
        <v>42</v>
      </c>
      <c r="B5011">
        <v>15</v>
      </c>
      <c r="C5011" t="s">
        <v>15</v>
      </c>
      <c r="D5011" s="1">
        <v>45747</v>
      </c>
      <c r="E5011">
        <v>1904.6</v>
      </c>
      <c r="F5011">
        <v>89.72</v>
      </c>
      <c r="G5011">
        <v>55.24</v>
      </c>
      <c r="H5011">
        <v>199</v>
      </c>
      <c r="I5011" t="s">
        <v>41</v>
      </c>
      <c r="J5011">
        <v>2025</v>
      </c>
      <c r="K5011">
        <f t="shared" si="156"/>
        <v>34.479999999999997</v>
      </c>
      <c r="L5011" t="str">
        <f t="shared" si="157"/>
        <v>Banca Sarda|15|Prestiti</v>
      </c>
    </row>
    <row r="5012" spans="1:12" x14ac:dyDescent="0.25">
      <c r="A5012" t="s">
        <v>42</v>
      </c>
      <c r="B5012">
        <v>15</v>
      </c>
      <c r="C5012" t="s">
        <v>16</v>
      </c>
      <c r="D5012" s="1">
        <v>45747</v>
      </c>
      <c r="E5012">
        <v>2438.3000000000002</v>
      </c>
      <c r="F5012">
        <v>119.54</v>
      </c>
      <c r="G5012">
        <v>73.55</v>
      </c>
      <c r="H5012">
        <v>225</v>
      </c>
      <c r="I5012" t="s">
        <v>41</v>
      </c>
      <c r="J5012">
        <v>2025</v>
      </c>
      <c r="K5012">
        <f t="shared" si="156"/>
        <v>45.990000000000009</v>
      </c>
      <c r="L5012" t="str">
        <f t="shared" si="157"/>
        <v>Banca Sarda|15|Conti</v>
      </c>
    </row>
    <row r="5013" spans="1:12" x14ac:dyDescent="0.25">
      <c r="A5013" t="s">
        <v>42</v>
      </c>
      <c r="B5013">
        <v>15</v>
      </c>
      <c r="C5013" t="s">
        <v>17</v>
      </c>
      <c r="D5013" s="1">
        <v>45747</v>
      </c>
      <c r="E5013">
        <v>2972.7</v>
      </c>
      <c r="F5013">
        <v>151.63999999999999</v>
      </c>
      <c r="G5013">
        <v>92.44</v>
      </c>
      <c r="H5013">
        <v>267</v>
      </c>
      <c r="I5013" t="s">
        <v>41</v>
      </c>
      <c r="J5013">
        <v>2025</v>
      </c>
      <c r="K5013">
        <f t="shared" si="156"/>
        <v>59.199999999999989</v>
      </c>
      <c r="L5013" t="str">
        <f t="shared" si="157"/>
        <v>Banca Sarda|15|Carte</v>
      </c>
    </row>
    <row r="5014" spans="1:12" x14ac:dyDescent="0.25">
      <c r="A5014" t="s">
        <v>42</v>
      </c>
      <c r="B5014">
        <v>15</v>
      </c>
      <c r="C5014" t="s">
        <v>18</v>
      </c>
      <c r="D5014" s="1">
        <v>45747</v>
      </c>
      <c r="E5014">
        <v>3487.1</v>
      </c>
      <c r="F5014">
        <v>185.12</v>
      </c>
      <c r="G5014">
        <v>112.2</v>
      </c>
      <c r="H5014">
        <v>342</v>
      </c>
      <c r="I5014" t="s">
        <v>41</v>
      </c>
      <c r="J5014">
        <v>2025</v>
      </c>
      <c r="K5014">
        <f t="shared" si="156"/>
        <v>72.92</v>
      </c>
      <c r="L5014" t="str">
        <f t="shared" si="157"/>
        <v>Banca Sarda|15|Leasing</v>
      </c>
    </row>
    <row r="5015" spans="1:12" x14ac:dyDescent="0.25">
      <c r="A5015" t="s">
        <v>42</v>
      </c>
      <c r="B5015">
        <v>15</v>
      </c>
      <c r="C5015" t="s">
        <v>19</v>
      </c>
      <c r="D5015" s="1">
        <v>45747</v>
      </c>
      <c r="E5015">
        <v>4012.4</v>
      </c>
      <c r="F5015">
        <v>220.72</v>
      </c>
      <c r="G5015">
        <v>132.66999999999999</v>
      </c>
      <c r="H5015">
        <v>384</v>
      </c>
      <c r="I5015" t="s">
        <v>41</v>
      </c>
      <c r="J5015">
        <v>2025</v>
      </c>
      <c r="K5015">
        <f t="shared" si="156"/>
        <v>88.050000000000011</v>
      </c>
      <c r="L5015" t="str">
        <f t="shared" si="157"/>
        <v>Banca Sarda|15|Factoring</v>
      </c>
    </row>
    <row r="5016" spans="1:12" x14ac:dyDescent="0.25">
      <c r="A5016" t="s">
        <v>42</v>
      </c>
      <c r="B5016">
        <v>15</v>
      </c>
      <c r="C5016" t="s">
        <v>20</v>
      </c>
      <c r="D5016" s="1">
        <v>45747</v>
      </c>
      <c r="E5016">
        <v>4537.2</v>
      </c>
      <c r="F5016">
        <v>258.83</v>
      </c>
      <c r="G5016">
        <v>154.83000000000001</v>
      </c>
      <c r="H5016">
        <v>445</v>
      </c>
      <c r="I5016" t="s">
        <v>41</v>
      </c>
      <c r="J5016">
        <v>2025</v>
      </c>
      <c r="K5016">
        <f t="shared" si="156"/>
        <v>103.99999999999997</v>
      </c>
      <c r="L5016" t="str">
        <f t="shared" si="157"/>
        <v>Banca Sarda|15|Risparmio</v>
      </c>
    </row>
    <row r="5017" spans="1:12" x14ac:dyDescent="0.25">
      <c r="A5017" t="s">
        <v>42</v>
      </c>
      <c r="B5017">
        <v>15</v>
      </c>
      <c r="C5017" t="s">
        <v>21</v>
      </c>
      <c r="D5017" s="1">
        <v>45747</v>
      </c>
      <c r="E5017">
        <v>5082.5</v>
      </c>
      <c r="F5017">
        <v>300.7</v>
      </c>
      <c r="G5017">
        <v>178.09</v>
      </c>
      <c r="H5017">
        <v>465</v>
      </c>
      <c r="I5017" t="s">
        <v>41</v>
      </c>
      <c r="J5017">
        <v>2025</v>
      </c>
      <c r="K5017">
        <f t="shared" si="156"/>
        <v>122.60999999999999</v>
      </c>
      <c r="L5017" t="str">
        <f t="shared" si="157"/>
        <v>Banca Sarda|15|Assicurazioni</v>
      </c>
    </row>
    <row r="5018" spans="1:12" x14ac:dyDescent="0.25">
      <c r="A5018" t="s">
        <v>42</v>
      </c>
      <c r="B5018">
        <v>16</v>
      </c>
      <c r="C5018" t="s">
        <v>13</v>
      </c>
      <c r="D5018" s="1">
        <v>45777</v>
      </c>
      <c r="E5018">
        <v>1440.8</v>
      </c>
      <c r="F5018">
        <v>65.22</v>
      </c>
      <c r="G5018">
        <v>40.450000000000003</v>
      </c>
      <c r="H5018">
        <v>139</v>
      </c>
      <c r="I5018" t="s">
        <v>41</v>
      </c>
      <c r="J5018">
        <v>2025</v>
      </c>
      <c r="K5018">
        <f t="shared" si="156"/>
        <v>24.769999999999996</v>
      </c>
      <c r="L5018" t="str">
        <f t="shared" si="157"/>
        <v>Banca Sarda|16|Mutui</v>
      </c>
    </row>
    <row r="5019" spans="1:12" x14ac:dyDescent="0.25">
      <c r="A5019" t="s">
        <v>42</v>
      </c>
      <c r="B5019">
        <v>16</v>
      </c>
      <c r="C5019" t="s">
        <v>15</v>
      </c>
      <c r="D5019" s="1">
        <v>45777</v>
      </c>
      <c r="E5019">
        <v>1926.1</v>
      </c>
      <c r="F5019">
        <v>90.71</v>
      </c>
      <c r="G5019">
        <v>56.44</v>
      </c>
      <c r="H5019">
        <v>186</v>
      </c>
      <c r="I5019" t="s">
        <v>41</v>
      </c>
      <c r="J5019">
        <v>2025</v>
      </c>
      <c r="K5019">
        <f t="shared" si="156"/>
        <v>34.269999999999996</v>
      </c>
      <c r="L5019" t="str">
        <f t="shared" si="157"/>
        <v>Banca Sarda|16|Prestiti</v>
      </c>
    </row>
    <row r="5020" spans="1:12" x14ac:dyDescent="0.25">
      <c r="A5020" t="s">
        <v>42</v>
      </c>
      <c r="B5020">
        <v>16</v>
      </c>
      <c r="C5020" t="s">
        <v>16</v>
      </c>
      <c r="D5020" s="1">
        <v>45777</v>
      </c>
      <c r="E5020">
        <v>2484.6999999999998</v>
      </c>
      <c r="F5020">
        <v>121.84</v>
      </c>
      <c r="G5020">
        <v>75.510000000000005</v>
      </c>
      <c r="H5020">
        <v>233</v>
      </c>
      <c r="I5020" t="s">
        <v>41</v>
      </c>
      <c r="J5020">
        <v>2025</v>
      </c>
      <c r="K5020">
        <f t="shared" si="156"/>
        <v>46.33</v>
      </c>
      <c r="L5020" t="str">
        <f t="shared" si="157"/>
        <v>Banca Sarda|16|Conti</v>
      </c>
    </row>
    <row r="5021" spans="1:12" x14ac:dyDescent="0.25">
      <c r="A5021" t="s">
        <v>42</v>
      </c>
      <c r="B5021">
        <v>16</v>
      </c>
      <c r="C5021" t="s">
        <v>17</v>
      </c>
      <c r="D5021" s="1">
        <v>45777</v>
      </c>
      <c r="E5021">
        <v>2970.4</v>
      </c>
      <c r="F5021">
        <v>151.63</v>
      </c>
      <c r="G5021">
        <v>92.94</v>
      </c>
      <c r="H5021">
        <v>301</v>
      </c>
      <c r="I5021" t="s">
        <v>41</v>
      </c>
      <c r="J5021">
        <v>2025</v>
      </c>
      <c r="K5021">
        <f t="shared" si="156"/>
        <v>58.69</v>
      </c>
      <c r="L5021" t="str">
        <f t="shared" si="157"/>
        <v>Banca Sarda|16|Carte</v>
      </c>
    </row>
    <row r="5022" spans="1:12" x14ac:dyDescent="0.25">
      <c r="A5022" t="s">
        <v>42</v>
      </c>
      <c r="B5022">
        <v>16</v>
      </c>
      <c r="C5022" t="s">
        <v>18</v>
      </c>
      <c r="D5022" s="1">
        <v>45777</v>
      </c>
      <c r="E5022">
        <v>3553.6</v>
      </c>
      <c r="F5022">
        <v>189.28</v>
      </c>
      <c r="G5022">
        <v>114.11</v>
      </c>
      <c r="H5022">
        <v>332</v>
      </c>
      <c r="I5022" t="s">
        <v>41</v>
      </c>
      <c r="J5022">
        <v>2025</v>
      </c>
      <c r="K5022">
        <f t="shared" si="156"/>
        <v>75.17</v>
      </c>
      <c r="L5022" t="str">
        <f t="shared" si="157"/>
        <v>Banca Sarda|16|Leasing</v>
      </c>
    </row>
    <row r="5023" spans="1:12" x14ac:dyDescent="0.25">
      <c r="A5023" t="s">
        <v>42</v>
      </c>
      <c r="B5023">
        <v>16</v>
      </c>
      <c r="C5023" t="s">
        <v>19</v>
      </c>
      <c r="D5023" s="1">
        <v>45777</v>
      </c>
      <c r="E5023">
        <v>4084.9</v>
      </c>
      <c r="F5023">
        <v>225.17</v>
      </c>
      <c r="G5023">
        <v>135.22999999999999</v>
      </c>
      <c r="H5023">
        <v>385</v>
      </c>
      <c r="I5023" t="s">
        <v>41</v>
      </c>
      <c r="J5023">
        <v>2025</v>
      </c>
      <c r="K5023">
        <f t="shared" si="156"/>
        <v>89.94</v>
      </c>
      <c r="L5023" t="str">
        <f t="shared" si="157"/>
        <v>Banca Sarda|16|Factoring</v>
      </c>
    </row>
    <row r="5024" spans="1:12" x14ac:dyDescent="0.25">
      <c r="A5024" t="s">
        <v>42</v>
      </c>
      <c r="B5024">
        <v>16</v>
      </c>
      <c r="C5024" t="s">
        <v>20</v>
      </c>
      <c r="D5024" s="1">
        <v>45777</v>
      </c>
      <c r="E5024">
        <v>4582.5</v>
      </c>
      <c r="F5024">
        <v>262.02</v>
      </c>
      <c r="G5024">
        <v>156.80000000000001</v>
      </c>
      <c r="H5024">
        <v>408</v>
      </c>
      <c r="I5024" t="s">
        <v>41</v>
      </c>
      <c r="J5024">
        <v>2025</v>
      </c>
      <c r="K5024">
        <f t="shared" si="156"/>
        <v>105.21999999999997</v>
      </c>
      <c r="L5024" t="str">
        <f t="shared" si="157"/>
        <v>Banca Sarda|16|Risparmio</v>
      </c>
    </row>
    <row r="5025" spans="1:12" x14ac:dyDescent="0.25">
      <c r="A5025" t="s">
        <v>42</v>
      </c>
      <c r="B5025">
        <v>16</v>
      </c>
      <c r="C5025" t="s">
        <v>21</v>
      </c>
      <c r="D5025" s="1">
        <v>45777</v>
      </c>
      <c r="E5025">
        <v>5100</v>
      </c>
      <c r="F5025">
        <v>301.10000000000002</v>
      </c>
      <c r="G5025">
        <v>178.76</v>
      </c>
      <c r="H5025">
        <v>473</v>
      </c>
      <c r="I5025" t="s">
        <v>41</v>
      </c>
      <c r="J5025">
        <v>2025</v>
      </c>
      <c r="K5025">
        <f t="shared" si="156"/>
        <v>122.34000000000003</v>
      </c>
      <c r="L5025" t="str">
        <f t="shared" si="157"/>
        <v>Banca Sarda|16|Assicurazioni</v>
      </c>
    </row>
    <row r="5026" spans="1:12" x14ac:dyDescent="0.25">
      <c r="A5026" t="s">
        <v>42</v>
      </c>
      <c r="B5026">
        <v>17</v>
      </c>
      <c r="C5026" t="s">
        <v>13</v>
      </c>
      <c r="D5026" s="1">
        <v>45808</v>
      </c>
      <c r="E5026">
        <v>1413.9</v>
      </c>
      <c r="F5026">
        <v>64.08</v>
      </c>
      <c r="G5026">
        <v>40.479999999999997</v>
      </c>
      <c r="H5026">
        <v>159</v>
      </c>
      <c r="I5026" t="s">
        <v>41</v>
      </c>
      <c r="J5026">
        <v>2025</v>
      </c>
      <c r="K5026">
        <f t="shared" si="156"/>
        <v>23.6</v>
      </c>
      <c r="L5026" t="str">
        <f t="shared" si="157"/>
        <v>Banca Sarda|17|Mutui</v>
      </c>
    </row>
    <row r="5027" spans="1:12" x14ac:dyDescent="0.25">
      <c r="A5027" t="s">
        <v>42</v>
      </c>
      <c r="B5027">
        <v>17</v>
      </c>
      <c r="C5027" t="s">
        <v>15</v>
      </c>
      <c r="D5027" s="1">
        <v>45808</v>
      </c>
      <c r="E5027">
        <v>1932.2</v>
      </c>
      <c r="F5027">
        <v>91.06</v>
      </c>
      <c r="G5027">
        <v>56.23</v>
      </c>
      <c r="H5027">
        <v>210</v>
      </c>
      <c r="I5027" t="s">
        <v>41</v>
      </c>
      <c r="J5027">
        <v>2025</v>
      </c>
      <c r="K5027">
        <f t="shared" si="156"/>
        <v>34.830000000000005</v>
      </c>
      <c r="L5027" t="str">
        <f t="shared" si="157"/>
        <v>Banca Sarda|17|Prestiti</v>
      </c>
    </row>
    <row r="5028" spans="1:12" x14ac:dyDescent="0.25">
      <c r="A5028" t="s">
        <v>42</v>
      </c>
      <c r="B5028">
        <v>17</v>
      </c>
      <c r="C5028" t="s">
        <v>16</v>
      </c>
      <c r="D5028" s="1">
        <v>45808</v>
      </c>
      <c r="E5028">
        <v>2467</v>
      </c>
      <c r="F5028">
        <v>121.87</v>
      </c>
      <c r="G5028">
        <v>74.33</v>
      </c>
      <c r="H5028">
        <v>234</v>
      </c>
      <c r="I5028" t="s">
        <v>41</v>
      </c>
      <c r="J5028">
        <v>2025</v>
      </c>
      <c r="K5028">
        <f t="shared" si="156"/>
        <v>47.540000000000006</v>
      </c>
      <c r="L5028" t="str">
        <f t="shared" si="157"/>
        <v>Banca Sarda|17|Conti</v>
      </c>
    </row>
    <row r="5029" spans="1:12" x14ac:dyDescent="0.25">
      <c r="A5029" t="s">
        <v>42</v>
      </c>
      <c r="B5029">
        <v>17</v>
      </c>
      <c r="C5029" t="s">
        <v>17</v>
      </c>
      <c r="D5029" s="1">
        <v>45808</v>
      </c>
      <c r="E5029">
        <v>3045.4</v>
      </c>
      <c r="F5029">
        <v>156.31</v>
      </c>
      <c r="G5029">
        <v>95.03</v>
      </c>
      <c r="H5029">
        <v>283</v>
      </c>
      <c r="I5029" t="s">
        <v>41</v>
      </c>
      <c r="J5029">
        <v>2025</v>
      </c>
      <c r="K5029">
        <f t="shared" si="156"/>
        <v>61.28</v>
      </c>
      <c r="L5029" t="str">
        <f t="shared" si="157"/>
        <v>Banca Sarda|17|Carte</v>
      </c>
    </row>
    <row r="5030" spans="1:12" x14ac:dyDescent="0.25">
      <c r="A5030" t="s">
        <v>42</v>
      </c>
      <c r="B5030">
        <v>17</v>
      </c>
      <c r="C5030" t="s">
        <v>18</v>
      </c>
      <c r="D5030" s="1">
        <v>45808</v>
      </c>
      <c r="E5030">
        <v>3538.9</v>
      </c>
      <c r="F5030">
        <v>188.31</v>
      </c>
      <c r="G5030">
        <v>114.18</v>
      </c>
      <c r="H5030">
        <v>351</v>
      </c>
      <c r="I5030" t="s">
        <v>41</v>
      </c>
      <c r="J5030">
        <v>2025</v>
      </c>
      <c r="K5030">
        <f t="shared" si="156"/>
        <v>74.13</v>
      </c>
      <c r="L5030" t="str">
        <f t="shared" si="157"/>
        <v>Banca Sarda|17|Leasing</v>
      </c>
    </row>
    <row r="5031" spans="1:12" x14ac:dyDescent="0.25">
      <c r="A5031" t="s">
        <v>42</v>
      </c>
      <c r="B5031">
        <v>17</v>
      </c>
      <c r="C5031" t="s">
        <v>19</v>
      </c>
      <c r="D5031" s="1">
        <v>45808</v>
      </c>
      <c r="E5031">
        <v>4096</v>
      </c>
      <c r="F5031">
        <v>225.37</v>
      </c>
      <c r="G5031">
        <v>136.09</v>
      </c>
      <c r="H5031">
        <v>366</v>
      </c>
      <c r="I5031" t="s">
        <v>41</v>
      </c>
      <c r="J5031">
        <v>2025</v>
      </c>
      <c r="K5031">
        <f t="shared" si="156"/>
        <v>89.28</v>
      </c>
      <c r="L5031" t="str">
        <f t="shared" si="157"/>
        <v>Banca Sarda|17|Factoring</v>
      </c>
    </row>
    <row r="5032" spans="1:12" x14ac:dyDescent="0.25">
      <c r="A5032" t="s">
        <v>42</v>
      </c>
      <c r="B5032">
        <v>17</v>
      </c>
      <c r="C5032" t="s">
        <v>20</v>
      </c>
      <c r="D5032" s="1">
        <v>45808</v>
      </c>
      <c r="E5032">
        <v>4638.1000000000004</v>
      </c>
      <c r="F5032">
        <v>265.25</v>
      </c>
      <c r="G5032">
        <v>158.05000000000001</v>
      </c>
      <c r="H5032">
        <v>426</v>
      </c>
      <c r="I5032" t="s">
        <v>41</v>
      </c>
      <c r="J5032">
        <v>2025</v>
      </c>
      <c r="K5032">
        <f t="shared" si="156"/>
        <v>107.19999999999999</v>
      </c>
      <c r="L5032" t="str">
        <f t="shared" si="157"/>
        <v>Banca Sarda|17|Risparmio</v>
      </c>
    </row>
    <row r="5033" spans="1:12" x14ac:dyDescent="0.25">
      <c r="A5033" t="s">
        <v>42</v>
      </c>
      <c r="B5033">
        <v>17</v>
      </c>
      <c r="C5033" t="s">
        <v>21</v>
      </c>
      <c r="D5033" s="1">
        <v>45808</v>
      </c>
      <c r="E5033">
        <v>5175.7</v>
      </c>
      <c r="F5033">
        <v>305.41000000000003</v>
      </c>
      <c r="G5033">
        <v>181.68</v>
      </c>
      <c r="H5033">
        <v>468</v>
      </c>
      <c r="I5033" t="s">
        <v>41</v>
      </c>
      <c r="J5033">
        <v>2025</v>
      </c>
      <c r="K5033">
        <f t="shared" si="156"/>
        <v>123.73000000000002</v>
      </c>
      <c r="L5033" t="str">
        <f t="shared" si="157"/>
        <v>Banca Sarda|17|Assicurazioni</v>
      </c>
    </row>
    <row r="5034" spans="1:12" x14ac:dyDescent="0.25">
      <c r="A5034" t="s">
        <v>42</v>
      </c>
      <c r="B5034">
        <v>18</v>
      </c>
      <c r="C5034" t="s">
        <v>13</v>
      </c>
      <c r="D5034" s="1">
        <v>45838</v>
      </c>
      <c r="E5034">
        <v>1442.6</v>
      </c>
      <c r="F5034">
        <v>65.22</v>
      </c>
      <c r="G5034">
        <v>40.86</v>
      </c>
      <c r="H5034">
        <v>144</v>
      </c>
      <c r="I5034" t="s">
        <v>41</v>
      </c>
      <c r="J5034">
        <v>2025</v>
      </c>
      <c r="K5034">
        <f t="shared" si="156"/>
        <v>24.36</v>
      </c>
      <c r="L5034" t="str">
        <f t="shared" si="157"/>
        <v>Banca Sarda|18|Mutui</v>
      </c>
    </row>
    <row r="5035" spans="1:12" x14ac:dyDescent="0.25">
      <c r="A5035" t="s">
        <v>42</v>
      </c>
      <c r="B5035">
        <v>18</v>
      </c>
      <c r="C5035" t="s">
        <v>15</v>
      </c>
      <c r="D5035" s="1">
        <v>45838</v>
      </c>
      <c r="E5035">
        <v>1971.9</v>
      </c>
      <c r="F5035">
        <v>93.18</v>
      </c>
      <c r="G5035">
        <v>57.79</v>
      </c>
      <c r="H5035">
        <v>177</v>
      </c>
      <c r="I5035" t="s">
        <v>41</v>
      </c>
      <c r="J5035">
        <v>2025</v>
      </c>
      <c r="K5035">
        <f t="shared" si="156"/>
        <v>35.390000000000008</v>
      </c>
      <c r="L5035" t="str">
        <f t="shared" si="157"/>
        <v>Banca Sarda|18|Prestiti</v>
      </c>
    </row>
    <row r="5036" spans="1:12" x14ac:dyDescent="0.25">
      <c r="A5036" t="s">
        <v>42</v>
      </c>
      <c r="B5036">
        <v>18</v>
      </c>
      <c r="C5036" t="s">
        <v>16</v>
      </c>
      <c r="D5036" s="1">
        <v>45838</v>
      </c>
      <c r="E5036">
        <v>2483.9</v>
      </c>
      <c r="F5036">
        <v>122.29</v>
      </c>
      <c r="G5036">
        <v>75.34</v>
      </c>
      <c r="H5036">
        <v>228</v>
      </c>
      <c r="I5036" t="s">
        <v>41</v>
      </c>
      <c r="J5036">
        <v>2025</v>
      </c>
      <c r="K5036">
        <f t="shared" si="156"/>
        <v>46.95</v>
      </c>
      <c r="L5036" t="str">
        <f t="shared" si="157"/>
        <v>Banca Sarda|18|Conti</v>
      </c>
    </row>
    <row r="5037" spans="1:12" x14ac:dyDescent="0.25">
      <c r="A5037" t="s">
        <v>42</v>
      </c>
      <c r="B5037">
        <v>18</v>
      </c>
      <c r="C5037" t="s">
        <v>17</v>
      </c>
      <c r="D5037" s="1">
        <v>45838</v>
      </c>
      <c r="E5037">
        <v>3015.9</v>
      </c>
      <c r="F5037">
        <v>154.33000000000001</v>
      </c>
      <c r="G5037">
        <v>94.43</v>
      </c>
      <c r="H5037">
        <v>274</v>
      </c>
      <c r="I5037" t="s">
        <v>41</v>
      </c>
      <c r="J5037">
        <v>2025</v>
      </c>
      <c r="K5037">
        <f t="shared" si="156"/>
        <v>59.900000000000006</v>
      </c>
      <c r="L5037" t="str">
        <f t="shared" si="157"/>
        <v>Banca Sarda|18|Carte</v>
      </c>
    </row>
    <row r="5038" spans="1:12" x14ac:dyDescent="0.25">
      <c r="A5038" t="s">
        <v>42</v>
      </c>
      <c r="B5038">
        <v>18</v>
      </c>
      <c r="C5038" t="s">
        <v>18</v>
      </c>
      <c r="D5038" s="1">
        <v>45838</v>
      </c>
      <c r="E5038">
        <v>3600.7</v>
      </c>
      <c r="F5038">
        <v>191.17</v>
      </c>
      <c r="G5038">
        <v>115.26</v>
      </c>
      <c r="H5038">
        <v>319</v>
      </c>
      <c r="I5038" t="s">
        <v>41</v>
      </c>
      <c r="J5038">
        <v>2025</v>
      </c>
      <c r="K5038">
        <f t="shared" si="156"/>
        <v>75.909999999999982</v>
      </c>
      <c r="L5038" t="str">
        <f t="shared" si="157"/>
        <v>Banca Sarda|18|Leasing</v>
      </c>
    </row>
    <row r="5039" spans="1:12" x14ac:dyDescent="0.25">
      <c r="A5039" t="s">
        <v>42</v>
      </c>
      <c r="B5039">
        <v>18</v>
      </c>
      <c r="C5039" t="s">
        <v>19</v>
      </c>
      <c r="D5039" s="1">
        <v>45838</v>
      </c>
      <c r="E5039">
        <v>4146.5</v>
      </c>
      <c r="F5039">
        <v>228.68</v>
      </c>
      <c r="G5039">
        <v>137.66</v>
      </c>
      <c r="H5039">
        <v>380</v>
      </c>
      <c r="I5039" t="s">
        <v>41</v>
      </c>
      <c r="J5039">
        <v>2025</v>
      </c>
      <c r="K5039">
        <f t="shared" si="156"/>
        <v>91.02000000000001</v>
      </c>
      <c r="L5039" t="str">
        <f t="shared" si="157"/>
        <v>Banca Sarda|18|Factoring</v>
      </c>
    </row>
    <row r="5040" spans="1:12" x14ac:dyDescent="0.25">
      <c r="A5040" t="s">
        <v>42</v>
      </c>
      <c r="B5040">
        <v>18</v>
      </c>
      <c r="C5040" t="s">
        <v>20</v>
      </c>
      <c r="D5040" s="1">
        <v>45838</v>
      </c>
      <c r="E5040">
        <v>4640.5</v>
      </c>
      <c r="F5040">
        <v>264.97000000000003</v>
      </c>
      <c r="G5040">
        <v>158.02000000000001</v>
      </c>
      <c r="H5040">
        <v>437</v>
      </c>
      <c r="I5040" t="s">
        <v>41</v>
      </c>
      <c r="J5040">
        <v>2025</v>
      </c>
      <c r="K5040">
        <f t="shared" si="156"/>
        <v>106.95000000000002</v>
      </c>
      <c r="L5040" t="str">
        <f t="shared" si="157"/>
        <v>Banca Sarda|18|Risparmio</v>
      </c>
    </row>
    <row r="5041" spans="1:12" x14ac:dyDescent="0.25">
      <c r="A5041" t="s">
        <v>42</v>
      </c>
      <c r="B5041">
        <v>18</v>
      </c>
      <c r="C5041" t="s">
        <v>21</v>
      </c>
      <c r="D5041" s="1">
        <v>45838</v>
      </c>
      <c r="E5041">
        <v>5190.3999999999996</v>
      </c>
      <c r="F5041">
        <v>306.51</v>
      </c>
      <c r="G5041">
        <v>182.1</v>
      </c>
      <c r="H5041">
        <v>469</v>
      </c>
      <c r="I5041" t="s">
        <v>41</v>
      </c>
      <c r="J5041">
        <v>2025</v>
      </c>
      <c r="K5041">
        <f t="shared" si="156"/>
        <v>124.41</v>
      </c>
      <c r="L5041" t="str">
        <f t="shared" si="157"/>
        <v>Banca Sarda|18|Assicurazioni</v>
      </c>
    </row>
    <row r="5042" spans="1:12" x14ac:dyDescent="0.25">
      <c r="A5042" t="s">
        <v>42</v>
      </c>
      <c r="B5042">
        <v>19</v>
      </c>
      <c r="C5042" t="s">
        <v>13</v>
      </c>
      <c r="D5042" s="1">
        <v>45869</v>
      </c>
      <c r="E5042">
        <v>1443.6</v>
      </c>
      <c r="F5042">
        <v>65.45</v>
      </c>
      <c r="G5042">
        <v>41.21</v>
      </c>
      <c r="H5042">
        <v>125</v>
      </c>
      <c r="I5042" t="s">
        <v>41</v>
      </c>
      <c r="J5042">
        <v>2025</v>
      </c>
      <c r="K5042">
        <f t="shared" si="156"/>
        <v>24.240000000000002</v>
      </c>
      <c r="L5042" t="str">
        <f t="shared" si="157"/>
        <v>Banca Sarda|19|Mutui</v>
      </c>
    </row>
    <row r="5043" spans="1:12" x14ac:dyDescent="0.25">
      <c r="A5043" t="s">
        <v>42</v>
      </c>
      <c r="B5043">
        <v>19</v>
      </c>
      <c r="C5043" t="s">
        <v>15</v>
      </c>
      <c r="D5043" s="1">
        <v>45869</v>
      </c>
      <c r="E5043">
        <v>1988.1</v>
      </c>
      <c r="F5043">
        <v>93.5</v>
      </c>
      <c r="G5043">
        <v>57.77</v>
      </c>
      <c r="H5043">
        <v>189</v>
      </c>
      <c r="I5043" t="s">
        <v>41</v>
      </c>
      <c r="J5043">
        <v>2025</v>
      </c>
      <c r="K5043">
        <f t="shared" si="156"/>
        <v>35.729999999999997</v>
      </c>
      <c r="L5043" t="str">
        <f t="shared" si="157"/>
        <v>Banca Sarda|19|Prestiti</v>
      </c>
    </row>
    <row r="5044" spans="1:12" x14ac:dyDescent="0.25">
      <c r="A5044" t="s">
        <v>42</v>
      </c>
      <c r="B5044">
        <v>19</v>
      </c>
      <c r="C5044" t="s">
        <v>16</v>
      </c>
      <c r="D5044" s="1">
        <v>45869</v>
      </c>
      <c r="E5044">
        <v>2527.3000000000002</v>
      </c>
      <c r="F5044">
        <v>123.95</v>
      </c>
      <c r="G5044">
        <v>76.12</v>
      </c>
      <c r="H5044">
        <v>239</v>
      </c>
      <c r="I5044" t="s">
        <v>41</v>
      </c>
      <c r="J5044">
        <v>2025</v>
      </c>
      <c r="K5044">
        <f t="shared" si="156"/>
        <v>47.83</v>
      </c>
      <c r="L5044" t="str">
        <f t="shared" si="157"/>
        <v>Banca Sarda|19|Conti</v>
      </c>
    </row>
    <row r="5045" spans="1:12" x14ac:dyDescent="0.25">
      <c r="A5045" t="s">
        <v>42</v>
      </c>
      <c r="B5045">
        <v>19</v>
      </c>
      <c r="C5045" t="s">
        <v>17</v>
      </c>
      <c r="D5045" s="1">
        <v>45869</v>
      </c>
      <c r="E5045">
        <v>3065.3</v>
      </c>
      <c r="F5045">
        <v>156.61000000000001</v>
      </c>
      <c r="G5045">
        <v>95.34</v>
      </c>
      <c r="H5045">
        <v>286</v>
      </c>
      <c r="I5045" t="s">
        <v>41</v>
      </c>
      <c r="J5045">
        <v>2025</v>
      </c>
      <c r="K5045">
        <f t="shared" si="156"/>
        <v>61.27000000000001</v>
      </c>
      <c r="L5045" t="str">
        <f t="shared" si="157"/>
        <v>Banca Sarda|19|Carte</v>
      </c>
    </row>
    <row r="5046" spans="1:12" x14ac:dyDescent="0.25">
      <c r="A5046" t="s">
        <v>42</v>
      </c>
      <c r="B5046">
        <v>19</v>
      </c>
      <c r="C5046" t="s">
        <v>18</v>
      </c>
      <c r="D5046" s="1">
        <v>45869</v>
      </c>
      <c r="E5046">
        <v>3611.1</v>
      </c>
      <c r="F5046">
        <v>192.06</v>
      </c>
      <c r="G5046">
        <v>115.64</v>
      </c>
      <c r="H5046">
        <v>346</v>
      </c>
      <c r="I5046" t="s">
        <v>41</v>
      </c>
      <c r="J5046">
        <v>2025</v>
      </c>
      <c r="K5046">
        <f t="shared" si="156"/>
        <v>76.42</v>
      </c>
      <c r="L5046" t="str">
        <f t="shared" si="157"/>
        <v>Banca Sarda|19|Leasing</v>
      </c>
    </row>
    <row r="5047" spans="1:12" x14ac:dyDescent="0.25">
      <c r="A5047" t="s">
        <v>42</v>
      </c>
      <c r="B5047">
        <v>19</v>
      </c>
      <c r="C5047" t="s">
        <v>19</v>
      </c>
      <c r="D5047" s="1">
        <v>45869</v>
      </c>
      <c r="E5047">
        <v>4122</v>
      </c>
      <c r="F5047">
        <v>227.05</v>
      </c>
      <c r="G5047">
        <v>136.08000000000001</v>
      </c>
      <c r="H5047">
        <v>389</v>
      </c>
      <c r="I5047" t="s">
        <v>41</v>
      </c>
      <c r="J5047">
        <v>2025</v>
      </c>
      <c r="K5047">
        <f t="shared" si="156"/>
        <v>90.97</v>
      </c>
      <c r="L5047" t="str">
        <f t="shared" si="157"/>
        <v>Banca Sarda|19|Factoring</v>
      </c>
    </row>
    <row r="5048" spans="1:12" x14ac:dyDescent="0.25">
      <c r="A5048" t="s">
        <v>42</v>
      </c>
      <c r="B5048">
        <v>19</v>
      </c>
      <c r="C5048" t="s">
        <v>20</v>
      </c>
      <c r="D5048" s="1">
        <v>45869</v>
      </c>
      <c r="E5048">
        <v>4657</v>
      </c>
      <c r="F5048">
        <v>265.52999999999997</v>
      </c>
      <c r="G5048">
        <v>158.87</v>
      </c>
      <c r="H5048">
        <v>434</v>
      </c>
      <c r="I5048" t="s">
        <v>41</v>
      </c>
      <c r="J5048">
        <v>2025</v>
      </c>
      <c r="K5048">
        <f t="shared" si="156"/>
        <v>106.65999999999997</v>
      </c>
      <c r="L5048" t="str">
        <f t="shared" si="157"/>
        <v>Banca Sarda|19|Risparmio</v>
      </c>
    </row>
    <row r="5049" spans="1:12" x14ac:dyDescent="0.25">
      <c r="A5049" t="s">
        <v>42</v>
      </c>
      <c r="B5049">
        <v>19</v>
      </c>
      <c r="C5049" t="s">
        <v>21</v>
      </c>
      <c r="D5049" s="1">
        <v>45869</v>
      </c>
      <c r="E5049">
        <v>5203.3999999999996</v>
      </c>
      <c r="F5049">
        <v>307.52999999999997</v>
      </c>
      <c r="G5049">
        <v>182.13</v>
      </c>
      <c r="H5049">
        <v>476</v>
      </c>
      <c r="I5049" t="s">
        <v>41</v>
      </c>
      <c r="J5049">
        <v>2025</v>
      </c>
      <c r="K5049">
        <f t="shared" si="156"/>
        <v>125.39999999999998</v>
      </c>
      <c r="L5049" t="str">
        <f t="shared" si="157"/>
        <v>Banca Sarda|19|Assicurazioni</v>
      </c>
    </row>
    <row r="5050" spans="1:12" x14ac:dyDescent="0.25">
      <c r="A5050" t="s">
        <v>42</v>
      </c>
      <c r="B5050">
        <v>20</v>
      </c>
      <c r="C5050" t="s">
        <v>13</v>
      </c>
      <c r="D5050" s="1">
        <v>45900</v>
      </c>
      <c r="E5050">
        <v>1446.8</v>
      </c>
      <c r="F5050">
        <v>65.62</v>
      </c>
      <c r="G5050">
        <v>40.89</v>
      </c>
      <c r="H5050">
        <v>162</v>
      </c>
      <c r="I5050" t="s">
        <v>41</v>
      </c>
      <c r="J5050">
        <v>2025</v>
      </c>
      <c r="K5050">
        <f t="shared" si="156"/>
        <v>24.730000000000004</v>
      </c>
      <c r="L5050" t="str">
        <f t="shared" si="157"/>
        <v>Banca Sarda|20|Mutui</v>
      </c>
    </row>
    <row r="5051" spans="1:12" x14ac:dyDescent="0.25">
      <c r="A5051" t="s">
        <v>42</v>
      </c>
      <c r="B5051">
        <v>20</v>
      </c>
      <c r="C5051" t="s">
        <v>15</v>
      </c>
      <c r="D5051" s="1">
        <v>45900</v>
      </c>
      <c r="E5051">
        <v>1978.2</v>
      </c>
      <c r="F5051">
        <v>93.14</v>
      </c>
      <c r="G5051">
        <v>58.11</v>
      </c>
      <c r="H5051">
        <v>181</v>
      </c>
      <c r="I5051" t="s">
        <v>41</v>
      </c>
      <c r="J5051">
        <v>2025</v>
      </c>
      <c r="K5051">
        <f t="shared" si="156"/>
        <v>35.03</v>
      </c>
      <c r="L5051" t="str">
        <f t="shared" si="157"/>
        <v>Banca Sarda|20|Prestiti</v>
      </c>
    </row>
    <row r="5052" spans="1:12" x14ac:dyDescent="0.25">
      <c r="A5052" t="s">
        <v>42</v>
      </c>
      <c r="B5052">
        <v>20</v>
      </c>
      <c r="C5052" t="s">
        <v>16</v>
      </c>
      <c r="D5052" s="1">
        <v>45900</v>
      </c>
      <c r="E5052">
        <v>2516.5</v>
      </c>
      <c r="F5052">
        <v>124.27</v>
      </c>
      <c r="G5052">
        <v>76.42</v>
      </c>
      <c r="H5052">
        <v>250</v>
      </c>
      <c r="I5052" t="s">
        <v>41</v>
      </c>
      <c r="J5052">
        <v>2025</v>
      </c>
      <c r="K5052">
        <f t="shared" si="156"/>
        <v>47.849999999999994</v>
      </c>
      <c r="L5052" t="str">
        <f t="shared" si="157"/>
        <v>Banca Sarda|20|Conti</v>
      </c>
    </row>
    <row r="5053" spans="1:12" x14ac:dyDescent="0.25">
      <c r="A5053" t="s">
        <v>42</v>
      </c>
      <c r="B5053">
        <v>20</v>
      </c>
      <c r="C5053" t="s">
        <v>17</v>
      </c>
      <c r="D5053" s="1">
        <v>45900</v>
      </c>
      <c r="E5053">
        <v>3056.3</v>
      </c>
      <c r="F5053">
        <v>156.27000000000001</v>
      </c>
      <c r="G5053">
        <v>95.7</v>
      </c>
      <c r="H5053">
        <v>302</v>
      </c>
      <c r="I5053" t="s">
        <v>41</v>
      </c>
      <c r="J5053">
        <v>2025</v>
      </c>
      <c r="K5053">
        <f t="shared" si="156"/>
        <v>60.570000000000007</v>
      </c>
      <c r="L5053" t="str">
        <f t="shared" si="157"/>
        <v>Banca Sarda|20|Carte</v>
      </c>
    </row>
    <row r="5054" spans="1:12" x14ac:dyDescent="0.25">
      <c r="A5054" t="s">
        <v>42</v>
      </c>
      <c r="B5054">
        <v>20</v>
      </c>
      <c r="C5054" t="s">
        <v>18</v>
      </c>
      <c r="D5054" s="1">
        <v>45900</v>
      </c>
      <c r="E5054">
        <v>3649.9</v>
      </c>
      <c r="F5054">
        <v>193.45</v>
      </c>
      <c r="G5054">
        <v>117.16</v>
      </c>
      <c r="H5054">
        <v>329</v>
      </c>
      <c r="I5054" t="s">
        <v>41</v>
      </c>
      <c r="J5054">
        <v>2025</v>
      </c>
      <c r="K5054">
        <f t="shared" si="156"/>
        <v>76.289999999999992</v>
      </c>
      <c r="L5054" t="str">
        <f t="shared" si="157"/>
        <v>Banca Sarda|20|Leasing</v>
      </c>
    </row>
    <row r="5055" spans="1:12" x14ac:dyDescent="0.25">
      <c r="A5055" t="s">
        <v>42</v>
      </c>
      <c r="B5055">
        <v>20</v>
      </c>
      <c r="C5055" t="s">
        <v>19</v>
      </c>
      <c r="D5055" s="1">
        <v>45900</v>
      </c>
      <c r="E5055">
        <v>4178.1000000000004</v>
      </c>
      <c r="F5055">
        <v>230.37</v>
      </c>
      <c r="G5055">
        <v>138.47999999999999</v>
      </c>
      <c r="H5055">
        <v>375</v>
      </c>
      <c r="I5055" t="s">
        <v>41</v>
      </c>
      <c r="J5055">
        <v>2025</v>
      </c>
      <c r="K5055">
        <f t="shared" si="156"/>
        <v>91.890000000000015</v>
      </c>
      <c r="L5055" t="str">
        <f t="shared" si="157"/>
        <v>Banca Sarda|20|Factoring</v>
      </c>
    </row>
    <row r="5056" spans="1:12" x14ac:dyDescent="0.25">
      <c r="A5056" t="s">
        <v>42</v>
      </c>
      <c r="B5056">
        <v>20</v>
      </c>
      <c r="C5056" t="s">
        <v>20</v>
      </c>
      <c r="D5056" s="1">
        <v>45900</v>
      </c>
      <c r="E5056">
        <v>4739.3999999999996</v>
      </c>
      <c r="F5056">
        <v>270.41000000000003</v>
      </c>
      <c r="G5056">
        <v>161.88</v>
      </c>
      <c r="H5056">
        <v>410</v>
      </c>
      <c r="I5056" t="s">
        <v>41</v>
      </c>
      <c r="J5056">
        <v>2025</v>
      </c>
      <c r="K5056">
        <f t="shared" si="156"/>
        <v>108.53000000000003</v>
      </c>
      <c r="L5056" t="str">
        <f t="shared" si="157"/>
        <v>Banca Sarda|20|Risparmio</v>
      </c>
    </row>
    <row r="5057" spans="1:12" x14ac:dyDescent="0.25">
      <c r="A5057" t="s">
        <v>42</v>
      </c>
      <c r="B5057">
        <v>20</v>
      </c>
      <c r="C5057" t="s">
        <v>21</v>
      </c>
      <c r="D5057" s="1">
        <v>45900</v>
      </c>
      <c r="E5057">
        <v>5275</v>
      </c>
      <c r="F5057">
        <v>311.52</v>
      </c>
      <c r="G5057">
        <v>184.76</v>
      </c>
      <c r="H5057">
        <v>479</v>
      </c>
      <c r="I5057" t="s">
        <v>41</v>
      </c>
      <c r="J5057">
        <v>2025</v>
      </c>
      <c r="K5057">
        <f t="shared" si="156"/>
        <v>126.75999999999999</v>
      </c>
      <c r="L5057" t="str">
        <f t="shared" si="157"/>
        <v>Banca Sarda|20|Assicurazioni</v>
      </c>
    </row>
    <row r="5058" spans="1:12" x14ac:dyDescent="0.25">
      <c r="A5058" t="s">
        <v>42</v>
      </c>
      <c r="B5058">
        <v>21</v>
      </c>
      <c r="C5058" t="s">
        <v>13</v>
      </c>
      <c r="D5058" s="1">
        <v>45930</v>
      </c>
      <c r="E5058">
        <v>1443.5</v>
      </c>
      <c r="F5058">
        <v>65.55</v>
      </c>
      <c r="G5058">
        <v>41.22</v>
      </c>
      <c r="H5058">
        <v>151</v>
      </c>
      <c r="I5058" t="s">
        <v>41</v>
      </c>
      <c r="J5058">
        <v>2025</v>
      </c>
      <c r="K5058">
        <f t="shared" ref="K5058:K5121" si="158">F5058-G5058</f>
        <v>24.33</v>
      </c>
      <c r="L5058" t="str">
        <f t="shared" ref="L5058:L5121" si="159">A5058&amp;"|"&amp;B5058&amp;"|"&amp;C5058</f>
        <v>Banca Sarda|21|Mutui</v>
      </c>
    </row>
    <row r="5059" spans="1:12" x14ac:dyDescent="0.25">
      <c r="A5059" t="s">
        <v>42</v>
      </c>
      <c r="B5059">
        <v>21</v>
      </c>
      <c r="C5059" t="s">
        <v>15</v>
      </c>
      <c r="D5059" s="1">
        <v>45930</v>
      </c>
      <c r="E5059">
        <v>1996.1</v>
      </c>
      <c r="F5059">
        <v>93.97</v>
      </c>
      <c r="G5059">
        <v>58.62</v>
      </c>
      <c r="H5059">
        <v>198</v>
      </c>
      <c r="I5059" t="s">
        <v>41</v>
      </c>
      <c r="J5059">
        <v>2025</v>
      </c>
      <c r="K5059">
        <f t="shared" si="158"/>
        <v>35.35</v>
      </c>
      <c r="L5059" t="str">
        <f t="shared" si="159"/>
        <v>Banca Sarda|21|Prestiti</v>
      </c>
    </row>
    <row r="5060" spans="1:12" x14ac:dyDescent="0.25">
      <c r="A5060" t="s">
        <v>42</v>
      </c>
      <c r="B5060">
        <v>21</v>
      </c>
      <c r="C5060" t="s">
        <v>16</v>
      </c>
      <c r="D5060" s="1">
        <v>45930</v>
      </c>
      <c r="E5060">
        <v>2530.5</v>
      </c>
      <c r="F5060">
        <v>124.57</v>
      </c>
      <c r="G5060">
        <v>76.03</v>
      </c>
      <c r="H5060">
        <v>248</v>
      </c>
      <c r="I5060" t="s">
        <v>41</v>
      </c>
      <c r="J5060">
        <v>2025</v>
      </c>
      <c r="K5060">
        <f t="shared" si="158"/>
        <v>48.539999999999992</v>
      </c>
      <c r="L5060" t="str">
        <f t="shared" si="159"/>
        <v>Banca Sarda|21|Conti</v>
      </c>
    </row>
    <row r="5061" spans="1:12" x14ac:dyDescent="0.25">
      <c r="A5061" t="s">
        <v>42</v>
      </c>
      <c r="B5061">
        <v>21</v>
      </c>
      <c r="C5061" t="s">
        <v>17</v>
      </c>
      <c r="D5061" s="1">
        <v>45930</v>
      </c>
      <c r="E5061">
        <v>3086.4</v>
      </c>
      <c r="F5061">
        <v>157.55000000000001</v>
      </c>
      <c r="G5061">
        <v>96.64</v>
      </c>
      <c r="H5061">
        <v>281</v>
      </c>
      <c r="I5061" t="s">
        <v>41</v>
      </c>
      <c r="J5061">
        <v>2025</v>
      </c>
      <c r="K5061">
        <f t="shared" si="158"/>
        <v>60.910000000000011</v>
      </c>
      <c r="L5061" t="str">
        <f t="shared" si="159"/>
        <v>Banca Sarda|21|Carte</v>
      </c>
    </row>
    <row r="5062" spans="1:12" x14ac:dyDescent="0.25">
      <c r="A5062" t="s">
        <v>42</v>
      </c>
      <c r="B5062">
        <v>21</v>
      </c>
      <c r="C5062" t="s">
        <v>18</v>
      </c>
      <c r="D5062" s="1">
        <v>45930</v>
      </c>
      <c r="E5062">
        <v>3634</v>
      </c>
      <c r="F5062">
        <v>193.16</v>
      </c>
      <c r="G5062">
        <v>116.63</v>
      </c>
      <c r="H5062">
        <v>329</v>
      </c>
      <c r="I5062" t="s">
        <v>41</v>
      </c>
      <c r="J5062">
        <v>2025</v>
      </c>
      <c r="K5062">
        <f t="shared" si="158"/>
        <v>76.53</v>
      </c>
      <c r="L5062" t="str">
        <f t="shared" si="159"/>
        <v>Banca Sarda|21|Leasing</v>
      </c>
    </row>
    <row r="5063" spans="1:12" x14ac:dyDescent="0.25">
      <c r="A5063" t="s">
        <v>42</v>
      </c>
      <c r="B5063">
        <v>21</v>
      </c>
      <c r="C5063" t="s">
        <v>19</v>
      </c>
      <c r="D5063" s="1">
        <v>45930</v>
      </c>
      <c r="E5063">
        <v>4185.3999999999996</v>
      </c>
      <c r="F5063">
        <v>230.42</v>
      </c>
      <c r="G5063">
        <v>138.94999999999999</v>
      </c>
      <c r="H5063">
        <v>364</v>
      </c>
      <c r="I5063" t="s">
        <v>41</v>
      </c>
      <c r="J5063">
        <v>2025</v>
      </c>
      <c r="K5063">
        <f t="shared" si="158"/>
        <v>91.47</v>
      </c>
      <c r="L5063" t="str">
        <f t="shared" si="159"/>
        <v>Banca Sarda|21|Factoring</v>
      </c>
    </row>
    <row r="5064" spans="1:12" x14ac:dyDescent="0.25">
      <c r="A5064" t="s">
        <v>42</v>
      </c>
      <c r="B5064">
        <v>21</v>
      </c>
      <c r="C5064" t="s">
        <v>20</v>
      </c>
      <c r="D5064" s="1">
        <v>45930</v>
      </c>
      <c r="E5064">
        <v>4723.8999999999996</v>
      </c>
      <c r="F5064">
        <v>269.52</v>
      </c>
      <c r="G5064">
        <v>160.93</v>
      </c>
      <c r="H5064">
        <v>435</v>
      </c>
      <c r="I5064" t="s">
        <v>41</v>
      </c>
      <c r="J5064">
        <v>2025</v>
      </c>
      <c r="K5064">
        <f t="shared" si="158"/>
        <v>108.58999999999997</v>
      </c>
      <c r="L5064" t="str">
        <f t="shared" si="159"/>
        <v>Banca Sarda|21|Risparmio</v>
      </c>
    </row>
    <row r="5065" spans="1:12" x14ac:dyDescent="0.25">
      <c r="A5065" t="s">
        <v>42</v>
      </c>
      <c r="B5065">
        <v>21</v>
      </c>
      <c r="C5065" t="s">
        <v>21</v>
      </c>
      <c r="D5065" s="1">
        <v>45930</v>
      </c>
      <c r="E5065">
        <v>5283.9</v>
      </c>
      <c r="F5065">
        <v>311.95</v>
      </c>
      <c r="G5065">
        <v>185.65</v>
      </c>
      <c r="H5065">
        <v>460</v>
      </c>
      <c r="I5065" t="s">
        <v>41</v>
      </c>
      <c r="J5065">
        <v>2025</v>
      </c>
      <c r="K5065">
        <f t="shared" si="158"/>
        <v>126.29999999999998</v>
      </c>
      <c r="L5065" t="str">
        <f t="shared" si="159"/>
        <v>Banca Sarda|21|Assicurazioni</v>
      </c>
    </row>
    <row r="5066" spans="1:12" x14ac:dyDescent="0.25">
      <c r="A5066" t="s">
        <v>42</v>
      </c>
      <c r="B5066">
        <v>22</v>
      </c>
      <c r="C5066" t="s">
        <v>13</v>
      </c>
      <c r="D5066" s="1">
        <v>45961</v>
      </c>
      <c r="E5066">
        <v>1473.8</v>
      </c>
      <c r="F5066">
        <v>67.16</v>
      </c>
      <c r="G5066">
        <v>42.2</v>
      </c>
      <c r="H5066">
        <v>139</v>
      </c>
      <c r="I5066" t="s">
        <v>41</v>
      </c>
      <c r="J5066">
        <v>2025</v>
      </c>
      <c r="K5066">
        <f t="shared" si="158"/>
        <v>24.959999999999994</v>
      </c>
      <c r="L5066" t="str">
        <f t="shared" si="159"/>
        <v>Banca Sarda|22|Mutui</v>
      </c>
    </row>
    <row r="5067" spans="1:12" x14ac:dyDescent="0.25">
      <c r="A5067" t="s">
        <v>42</v>
      </c>
      <c r="B5067">
        <v>22</v>
      </c>
      <c r="C5067" t="s">
        <v>15</v>
      </c>
      <c r="D5067" s="1">
        <v>45961</v>
      </c>
      <c r="E5067">
        <v>2028.1</v>
      </c>
      <c r="F5067">
        <v>95.47</v>
      </c>
      <c r="G5067">
        <v>58.82</v>
      </c>
      <c r="H5067">
        <v>209</v>
      </c>
      <c r="I5067" t="s">
        <v>41</v>
      </c>
      <c r="J5067">
        <v>2025</v>
      </c>
      <c r="K5067">
        <f t="shared" si="158"/>
        <v>36.65</v>
      </c>
      <c r="L5067" t="str">
        <f t="shared" si="159"/>
        <v>Banca Sarda|22|Prestiti</v>
      </c>
    </row>
    <row r="5068" spans="1:12" x14ac:dyDescent="0.25">
      <c r="A5068" t="s">
        <v>42</v>
      </c>
      <c r="B5068">
        <v>22</v>
      </c>
      <c r="C5068" t="s">
        <v>16</v>
      </c>
      <c r="D5068" s="1">
        <v>45961</v>
      </c>
      <c r="E5068">
        <v>2593.6</v>
      </c>
      <c r="F5068">
        <v>127.43</v>
      </c>
      <c r="G5068">
        <v>78.569999999999993</v>
      </c>
      <c r="H5068">
        <v>238</v>
      </c>
      <c r="I5068" t="s">
        <v>41</v>
      </c>
      <c r="J5068">
        <v>2025</v>
      </c>
      <c r="K5068">
        <f t="shared" si="158"/>
        <v>48.860000000000014</v>
      </c>
      <c r="L5068" t="str">
        <f t="shared" si="159"/>
        <v>Banca Sarda|22|Conti</v>
      </c>
    </row>
    <row r="5069" spans="1:12" x14ac:dyDescent="0.25">
      <c r="A5069" t="s">
        <v>42</v>
      </c>
      <c r="B5069">
        <v>22</v>
      </c>
      <c r="C5069" t="s">
        <v>17</v>
      </c>
      <c r="D5069" s="1">
        <v>45961</v>
      </c>
      <c r="E5069">
        <v>3148.8</v>
      </c>
      <c r="F5069">
        <v>160.83000000000001</v>
      </c>
      <c r="G5069">
        <v>98.02</v>
      </c>
      <c r="H5069">
        <v>283</v>
      </c>
      <c r="I5069" t="s">
        <v>41</v>
      </c>
      <c r="J5069">
        <v>2025</v>
      </c>
      <c r="K5069">
        <f t="shared" si="158"/>
        <v>62.810000000000016</v>
      </c>
      <c r="L5069" t="str">
        <f t="shared" si="159"/>
        <v>Banca Sarda|22|Carte</v>
      </c>
    </row>
    <row r="5070" spans="1:12" x14ac:dyDescent="0.25">
      <c r="A5070" t="s">
        <v>42</v>
      </c>
      <c r="B5070">
        <v>22</v>
      </c>
      <c r="C5070" t="s">
        <v>18</v>
      </c>
      <c r="D5070" s="1">
        <v>45961</v>
      </c>
      <c r="E5070">
        <v>3696.5</v>
      </c>
      <c r="F5070">
        <v>196.24</v>
      </c>
      <c r="G5070">
        <v>118.92</v>
      </c>
      <c r="H5070">
        <v>337</v>
      </c>
      <c r="I5070" t="s">
        <v>41</v>
      </c>
      <c r="J5070">
        <v>2025</v>
      </c>
      <c r="K5070">
        <f t="shared" si="158"/>
        <v>77.320000000000007</v>
      </c>
      <c r="L5070" t="str">
        <f t="shared" si="159"/>
        <v>Banca Sarda|22|Leasing</v>
      </c>
    </row>
    <row r="5071" spans="1:12" x14ac:dyDescent="0.25">
      <c r="A5071" t="s">
        <v>42</v>
      </c>
      <c r="B5071">
        <v>22</v>
      </c>
      <c r="C5071" t="s">
        <v>19</v>
      </c>
      <c r="D5071" s="1">
        <v>45961</v>
      </c>
      <c r="E5071">
        <v>4216.7</v>
      </c>
      <c r="F5071">
        <v>232.18</v>
      </c>
      <c r="G5071">
        <v>139.56</v>
      </c>
      <c r="H5071">
        <v>379</v>
      </c>
      <c r="I5071" t="s">
        <v>41</v>
      </c>
      <c r="J5071">
        <v>2025</v>
      </c>
      <c r="K5071">
        <f t="shared" si="158"/>
        <v>92.62</v>
      </c>
      <c r="L5071" t="str">
        <f t="shared" si="159"/>
        <v>Banca Sarda|22|Factoring</v>
      </c>
    </row>
    <row r="5072" spans="1:12" x14ac:dyDescent="0.25">
      <c r="A5072" t="s">
        <v>42</v>
      </c>
      <c r="B5072">
        <v>22</v>
      </c>
      <c r="C5072" t="s">
        <v>20</v>
      </c>
      <c r="D5072" s="1">
        <v>45961</v>
      </c>
      <c r="E5072">
        <v>4784.3</v>
      </c>
      <c r="F5072">
        <v>273.14</v>
      </c>
      <c r="G5072">
        <v>163.47</v>
      </c>
      <c r="H5072">
        <v>441</v>
      </c>
      <c r="I5072" t="s">
        <v>41</v>
      </c>
      <c r="J5072">
        <v>2025</v>
      </c>
      <c r="K5072">
        <f t="shared" si="158"/>
        <v>109.66999999999999</v>
      </c>
      <c r="L5072" t="str">
        <f t="shared" si="159"/>
        <v>Banca Sarda|22|Risparmio</v>
      </c>
    </row>
    <row r="5073" spans="1:12" x14ac:dyDescent="0.25">
      <c r="A5073" t="s">
        <v>42</v>
      </c>
      <c r="B5073">
        <v>22</v>
      </c>
      <c r="C5073" t="s">
        <v>21</v>
      </c>
      <c r="D5073" s="1">
        <v>45961</v>
      </c>
      <c r="E5073">
        <v>5323.1</v>
      </c>
      <c r="F5073">
        <v>314.68</v>
      </c>
      <c r="G5073">
        <v>187.29</v>
      </c>
      <c r="H5073">
        <v>487</v>
      </c>
      <c r="I5073" t="s">
        <v>41</v>
      </c>
      <c r="J5073">
        <v>2025</v>
      </c>
      <c r="K5073">
        <f t="shared" si="158"/>
        <v>127.39000000000001</v>
      </c>
      <c r="L5073" t="str">
        <f t="shared" si="159"/>
        <v>Banca Sarda|22|Assicurazioni</v>
      </c>
    </row>
    <row r="5074" spans="1:12" x14ac:dyDescent="0.25">
      <c r="A5074" t="s">
        <v>42</v>
      </c>
      <c r="B5074">
        <v>23</v>
      </c>
      <c r="C5074" t="s">
        <v>13</v>
      </c>
      <c r="D5074" s="1">
        <v>45991</v>
      </c>
      <c r="E5074">
        <v>1506.2</v>
      </c>
      <c r="F5074">
        <v>68</v>
      </c>
      <c r="G5074">
        <v>43.07</v>
      </c>
      <c r="H5074">
        <v>137</v>
      </c>
      <c r="I5074" t="s">
        <v>41</v>
      </c>
      <c r="J5074">
        <v>2025</v>
      </c>
      <c r="K5074">
        <f t="shared" si="158"/>
        <v>24.93</v>
      </c>
      <c r="L5074" t="str">
        <f t="shared" si="159"/>
        <v>Banca Sarda|23|Mutui</v>
      </c>
    </row>
    <row r="5075" spans="1:12" x14ac:dyDescent="0.25">
      <c r="A5075" t="s">
        <v>42</v>
      </c>
      <c r="B5075">
        <v>23</v>
      </c>
      <c r="C5075" t="s">
        <v>15</v>
      </c>
      <c r="D5075" s="1">
        <v>45991</v>
      </c>
      <c r="E5075">
        <v>2020</v>
      </c>
      <c r="F5075">
        <v>95.44</v>
      </c>
      <c r="G5075">
        <v>59.42</v>
      </c>
      <c r="H5075">
        <v>205</v>
      </c>
      <c r="I5075" t="s">
        <v>41</v>
      </c>
      <c r="J5075">
        <v>2025</v>
      </c>
      <c r="K5075">
        <f t="shared" si="158"/>
        <v>36.019999999999996</v>
      </c>
      <c r="L5075" t="str">
        <f t="shared" si="159"/>
        <v>Banca Sarda|23|Prestiti</v>
      </c>
    </row>
    <row r="5076" spans="1:12" x14ac:dyDescent="0.25">
      <c r="A5076" t="s">
        <v>42</v>
      </c>
      <c r="B5076">
        <v>23</v>
      </c>
      <c r="C5076" t="s">
        <v>16</v>
      </c>
      <c r="D5076" s="1">
        <v>45991</v>
      </c>
      <c r="E5076">
        <v>2576.6999999999998</v>
      </c>
      <c r="F5076">
        <v>127.05</v>
      </c>
      <c r="G5076">
        <v>77.56</v>
      </c>
      <c r="H5076">
        <v>234</v>
      </c>
      <c r="I5076" t="s">
        <v>41</v>
      </c>
      <c r="J5076">
        <v>2025</v>
      </c>
      <c r="K5076">
        <f t="shared" si="158"/>
        <v>49.489999999999995</v>
      </c>
      <c r="L5076" t="str">
        <f t="shared" si="159"/>
        <v>Banca Sarda|23|Conti</v>
      </c>
    </row>
    <row r="5077" spans="1:12" x14ac:dyDescent="0.25">
      <c r="A5077" t="s">
        <v>42</v>
      </c>
      <c r="B5077">
        <v>23</v>
      </c>
      <c r="C5077" t="s">
        <v>17</v>
      </c>
      <c r="D5077" s="1">
        <v>45991</v>
      </c>
      <c r="E5077">
        <v>3161.6</v>
      </c>
      <c r="F5077">
        <v>161.44999999999999</v>
      </c>
      <c r="G5077">
        <v>98.32</v>
      </c>
      <c r="H5077">
        <v>270</v>
      </c>
      <c r="I5077" t="s">
        <v>41</v>
      </c>
      <c r="J5077">
        <v>2025</v>
      </c>
      <c r="K5077">
        <f t="shared" si="158"/>
        <v>63.129999999999995</v>
      </c>
      <c r="L5077" t="str">
        <f t="shared" si="159"/>
        <v>Banca Sarda|23|Carte</v>
      </c>
    </row>
    <row r="5078" spans="1:12" x14ac:dyDescent="0.25">
      <c r="A5078" t="s">
        <v>42</v>
      </c>
      <c r="B5078">
        <v>23</v>
      </c>
      <c r="C5078" t="s">
        <v>18</v>
      </c>
      <c r="D5078" s="1">
        <v>45991</v>
      </c>
      <c r="E5078">
        <v>3707.8</v>
      </c>
      <c r="F5078">
        <v>197.26</v>
      </c>
      <c r="G5078">
        <v>119.16</v>
      </c>
      <c r="H5078">
        <v>329</v>
      </c>
      <c r="I5078" t="s">
        <v>41</v>
      </c>
      <c r="J5078">
        <v>2025</v>
      </c>
      <c r="K5078">
        <f t="shared" si="158"/>
        <v>78.099999999999994</v>
      </c>
      <c r="L5078" t="str">
        <f t="shared" si="159"/>
        <v>Banca Sarda|23|Leasing</v>
      </c>
    </row>
    <row r="5079" spans="1:12" x14ac:dyDescent="0.25">
      <c r="A5079" t="s">
        <v>42</v>
      </c>
      <c r="B5079">
        <v>23</v>
      </c>
      <c r="C5079" t="s">
        <v>19</v>
      </c>
      <c r="D5079" s="1">
        <v>45991</v>
      </c>
      <c r="E5079">
        <v>4235.8</v>
      </c>
      <c r="F5079">
        <v>233.5</v>
      </c>
      <c r="G5079">
        <v>140.68</v>
      </c>
      <c r="H5079">
        <v>367</v>
      </c>
      <c r="I5079" t="s">
        <v>41</v>
      </c>
      <c r="J5079">
        <v>2025</v>
      </c>
      <c r="K5079">
        <f t="shared" si="158"/>
        <v>92.82</v>
      </c>
      <c r="L5079" t="str">
        <f t="shared" si="159"/>
        <v>Banca Sarda|23|Factoring</v>
      </c>
    </row>
    <row r="5080" spans="1:12" x14ac:dyDescent="0.25">
      <c r="A5080" t="s">
        <v>42</v>
      </c>
      <c r="B5080">
        <v>23</v>
      </c>
      <c r="C5080" t="s">
        <v>20</v>
      </c>
      <c r="D5080" s="1">
        <v>45991</v>
      </c>
      <c r="E5080">
        <v>4807.6000000000004</v>
      </c>
      <c r="F5080">
        <v>274.29000000000002</v>
      </c>
      <c r="G5080">
        <v>164.03</v>
      </c>
      <c r="H5080">
        <v>428</v>
      </c>
      <c r="I5080" t="s">
        <v>41</v>
      </c>
      <c r="J5080">
        <v>2025</v>
      </c>
      <c r="K5080">
        <f t="shared" si="158"/>
        <v>110.26000000000002</v>
      </c>
      <c r="L5080" t="str">
        <f t="shared" si="159"/>
        <v>Banca Sarda|23|Risparmio</v>
      </c>
    </row>
    <row r="5081" spans="1:12" x14ac:dyDescent="0.25">
      <c r="A5081" t="s">
        <v>42</v>
      </c>
      <c r="B5081">
        <v>23</v>
      </c>
      <c r="C5081" t="s">
        <v>21</v>
      </c>
      <c r="D5081" s="1">
        <v>45991</v>
      </c>
      <c r="E5081">
        <v>5368.5</v>
      </c>
      <c r="F5081">
        <v>317.16000000000003</v>
      </c>
      <c r="G5081">
        <v>188.22</v>
      </c>
      <c r="H5081">
        <v>470</v>
      </c>
      <c r="I5081" t="s">
        <v>41</v>
      </c>
      <c r="J5081">
        <v>2025</v>
      </c>
      <c r="K5081">
        <f t="shared" si="158"/>
        <v>128.94000000000003</v>
      </c>
      <c r="L5081" t="str">
        <f t="shared" si="159"/>
        <v>Banca Sarda|23|Assicurazioni</v>
      </c>
    </row>
    <row r="5082" spans="1:12" x14ac:dyDescent="0.25">
      <c r="A5082" t="s">
        <v>42</v>
      </c>
      <c r="B5082">
        <v>24</v>
      </c>
      <c r="C5082" t="s">
        <v>13</v>
      </c>
      <c r="D5082" s="1">
        <v>46022</v>
      </c>
      <c r="E5082">
        <v>1510.4</v>
      </c>
      <c r="F5082">
        <v>68.39</v>
      </c>
      <c r="G5082">
        <v>42.86</v>
      </c>
      <c r="H5082">
        <v>135</v>
      </c>
      <c r="I5082" t="s">
        <v>41</v>
      </c>
      <c r="J5082">
        <v>2025</v>
      </c>
      <c r="K5082">
        <f t="shared" si="158"/>
        <v>25.53</v>
      </c>
      <c r="L5082" t="str">
        <f t="shared" si="159"/>
        <v>Banca Sarda|24|Mutui</v>
      </c>
    </row>
    <row r="5083" spans="1:12" x14ac:dyDescent="0.25">
      <c r="A5083" t="s">
        <v>42</v>
      </c>
      <c r="B5083">
        <v>24</v>
      </c>
      <c r="C5083" t="s">
        <v>15</v>
      </c>
      <c r="D5083" s="1">
        <v>46022</v>
      </c>
      <c r="E5083">
        <v>2028.3</v>
      </c>
      <c r="F5083">
        <v>95.51</v>
      </c>
      <c r="G5083">
        <v>59.25</v>
      </c>
      <c r="H5083">
        <v>178</v>
      </c>
      <c r="I5083" t="s">
        <v>41</v>
      </c>
      <c r="J5083">
        <v>2025</v>
      </c>
      <c r="K5083">
        <f t="shared" si="158"/>
        <v>36.260000000000005</v>
      </c>
      <c r="L5083" t="str">
        <f t="shared" si="159"/>
        <v>Banca Sarda|24|Prestiti</v>
      </c>
    </row>
    <row r="5084" spans="1:12" x14ac:dyDescent="0.25">
      <c r="A5084" t="s">
        <v>42</v>
      </c>
      <c r="B5084">
        <v>24</v>
      </c>
      <c r="C5084" t="s">
        <v>16</v>
      </c>
      <c r="D5084" s="1">
        <v>46022</v>
      </c>
      <c r="E5084">
        <v>2624.1</v>
      </c>
      <c r="F5084">
        <v>128.88999999999999</v>
      </c>
      <c r="G5084">
        <v>79.599999999999994</v>
      </c>
      <c r="H5084">
        <v>229</v>
      </c>
      <c r="I5084" t="s">
        <v>41</v>
      </c>
      <c r="J5084">
        <v>2025</v>
      </c>
      <c r="K5084">
        <f t="shared" si="158"/>
        <v>49.289999999999992</v>
      </c>
      <c r="L5084" t="str">
        <f t="shared" si="159"/>
        <v>Banca Sarda|24|Conti</v>
      </c>
    </row>
    <row r="5085" spans="1:12" x14ac:dyDescent="0.25">
      <c r="A5085" t="s">
        <v>42</v>
      </c>
      <c r="B5085">
        <v>24</v>
      </c>
      <c r="C5085" t="s">
        <v>17</v>
      </c>
      <c r="D5085" s="1">
        <v>46022</v>
      </c>
      <c r="E5085">
        <v>3191.9</v>
      </c>
      <c r="F5085">
        <v>163.5</v>
      </c>
      <c r="G5085">
        <v>99.42</v>
      </c>
      <c r="H5085">
        <v>275</v>
      </c>
      <c r="I5085" t="s">
        <v>41</v>
      </c>
      <c r="J5085">
        <v>2025</v>
      </c>
      <c r="K5085">
        <f t="shared" si="158"/>
        <v>64.08</v>
      </c>
      <c r="L5085" t="str">
        <f t="shared" si="159"/>
        <v>Banca Sarda|24|Carte</v>
      </c>
    </row>
    <row r="5086" spans="1:12" x14ac:dyDescent="0.25">
      <c r="A5086" t="s">
        <v>42</v>
      </c>
      <c r="B5086">
        <v>24</v>
      </c>
      <c r="C5086" t="s">
        <v>18</v>
      </c>
      <c r="D5086" s="1">
        <v>46022</v>
      </c>
      <c r="E5086">
        <v>3748.7</v>
      </c>
      <c r="F5086">
        <v>199.28</v>
      </c>
      <c r="G5086">
        <v>120.6</v>
      </c>
      <c r="H5086">
        <v>332</v>
      </c>
      <c r="I5086" t="s">
        <v>41</v>
      </c>
      <c r="J5086">
        <v>2025</v>
      </c>
      <c r="K5086">
        <f t="shared" si="158"/>
        <v>78.680000000000007</v>
      </c>
      <c r="L5086" t="str">
        <f t="shared" si="159"/>
        <v>Banca Sarda|24|Leasing</v>
      </c>
    </row>
    <row r="5087" spans="1:12" x14ac:dyDescent="0.25">
      <c r="A5087" t="s">
        <v>42</v>
      </c>
      <c r="B5087">
        <v>24</v>
      </c>
      <c r="C5087" t="s">
        <v>19</v>
      </c>
      <c r="D5087" s="1">
        <v>46022</v>
      </c>
      <c r="E5087">
        <v>4307.3999999999996</v>
      </c>
      <c r="F5087">
        <v>237.13</v>
      </c>
      <c r="G5087">
        <v>142.86000000000001</v>
      </c>
      <c r="H5087">
        <v>397</v>
      </c>
      <c r="I5087" t="s">
        <v>41</v>
      </c>
      <c r="J5087">
        <v>2025</v>
      </c>
      <c r="K5087">
        <f t="shared" si="158"/>
        <v>94.269999999999982</v>
      </c>
      <c r="L5087" t="str">
        <f t="shared" si="159"/>
        <v>Banca Sarda|24|Factoring</v>
      </c>
    </row>
    <row r="5088" spans="1:12" x14ac:dyDescent="0.25">
      <c r="A5088" t="s">
        <v>42</v>
      </c>
      <c r="B5088">
        <v>24</v>
      </c>
      <c r="C5088" t="s">
        <v>20</v>
      </c>
      <c r="D5088" s="1">
        <v>46022</v>
      </c>
      <c r="E5088">
        <v>4824.8</v>
      </c>
      <c r="F5088">
        <v>275.89999999999998</v>
      </c>
      <c r="G5088">
        <v>164.94</v>
      </c>
      <c r="H5088">
        <v>418</v>
      </c>
      <c r="I5088" t="s">
        <v>41</v>
      </c>
      <c r="J5088">
        <v>2025</v>
      </c>
      <c r="K5088">
        <f t="shared" si="158"/>
        <v>110.95999999999998</v>
      </c>
      <c r="L5088" t="str">
        <f t="shared" si="159"/>
        <v>Banca Sarda|24|Risparmio</v>
      </c>
    </row>
    <row r="5089" spans="1:12" x14ac:dyDescent="0.25">
      <c r="A5089" t="s">
        <v>42</v>
      </c>
      <c r="B5089">
        <v>24</v>
      </c>
      <c r="C5089" t="s">
        <v>21</v>
      </c>
      <c r="D5089" s="1">
        <v>46022</v>
      </c>
      <c r="E5089">
        <v>5380.8</v>
      </c>
      <c r="F5089">
        <v>317.64999999999998</v>
      </c>
      <c r="G5089">
        <v>188.56</v>
      </c>
      <c r="H5089">
        <v>466</v>
      </c>
      <c r="I5089" t="s">
        <v>41</v>
      </c>
      <c r="J5089">
        <v>2025</v>
      </c>
      <c r="K5089">
        <f t="shared" si="158"/>
        <v>129.08999999999997</v>
      </c>
      <c r="L5089" t="str">
        <f t="shared" si="159"/>
        <v>Banca Sarda|24|Assicurazioni</v>
      </c>
    </row>
    <row r="5090" spans="1:12" x14ac:dyDescent="0.25">
      <c r="A5090" t="s">
        <v>42</v>
      </c>
      <c r="B5090">
        <v>25</v>
      </c>
      <c r="C5090" t="s">
        <v>13</v>
      </c>
      <c r="D5090" s="1">
        <v>46053</v>
      </c>
      <c r="E5090">
        <v>1482.1</v>
      </c>
      <c r="F5090">
        <v>66.8</v>
      </c>
      <c r="G5090">
        <v>42.25</v>
      </c>
      <c r="H5090">
        <v>143</v>
      </c>
      <c r="I5090" t="s">
        <v>41</v>
      </c>
      <c r="J5090">
        <v>2026</v>
      </c>
      <c r="K5090">
        <f t="shared" si="158"/>
        <v>24.549999999999997</v>
      </c>
      <c r="L5090" t="str">
        <f t="shared" si="159"/>
        <v>Banca Sarda|25|Mutui</v>
      </c>
    </row>
    <row r="5091" spans="1:12" x14ac:dyDescent="0.25">
      <c r="A5091" t="s">
        <v>42</v>
      </c>
      <c r="B5091">
        <v>25</v>
      </c>
      <c r="C5091" t="s">
        <v>15</v>
      </c>
      <c r="D5091" s="1">
        <v>46053</v>
      </c>
      <c r="E5091">
        <v>2039.2</v>
      </c>
      <c r="F5091">
        <v>96.23</v>
      </c>
      <c r="G5091">
        <v>59.44</v>
      </c>
      <c r="H5091">
        <v>199</v>
      </c>
      <c r="I5091" t="s">
        <v>41</v>
      </c>
      <c r="J5091">
        <v>2026</v>
      </c>
      <c r="K5091">
        <f t="shared" si="158"/>
        <v>36.790000000000006</v>
      </c>
      <c r="L5091" t="str">
        <f t="shared" si="159"/>
        <v>Banca Sarda|25|Prestiti</v>
      </c>
    </row>
    <row r="5092" spans="1:12" x14ac:dyDescent="0.25">
      <c r="A5092" t="s">
        <v>42</v>
      </c>
      <c r="B5092">
        <v>25</v>
      </c>
      <c r="C5092" t="s">
        <v>16</v>
      </c>
      <c r="D5092" s="1">
        <v>46053</v>
      </c>
      <c r="E5092">
        <v>2649.2</v>
      </c>
      <c r="F5092">
        <v>130.76</v>
      </c>
      <c r="G5092">
        <v>79.569999999999993</v>
      </c>
      <c r="H5092">
        <v>243</v>
      </c>
      <c r="I5092" t="s">
        <v>41</v>
      </c>
      <c r="J5092">
        <v>2026</v>
      </c>
      <c r="K5092">
        <f t="shared" si="158"/>
        <v>51.19</v>
      </c>
      <c r="L5092" t="str">
        <f t="shared" si="159"/>
        <v>Banca Sarda|25|Conti</v>
      </c>
    </row>
    <row r="5093" spans="1:12" x14ac:dyDescent="0.25">
      <c r="A5093" t="s">
        <v>42</v>
      </c>
      <c r="B5093">
        <v>25</v>
      </c>
      <c r="C5093" t="s">
        <v>17</v>
      </c>
      <c r="D5093" s="1">
        <v>46053</v>
      </c>
      <c r="E5093">
        <v>3215.5</v>
      </c>
      <c r="F5093">
        <v>164.78</v>
      </c>
      <c r="G5093">
        <v>99.76</v>
      </c>
      <c r="H5093">
        <v>284</v>
      </c>
      <c r="I5093" t="s">
        <v>41</v>
      </c>
      <c r="J5093">
        <v>2026</v>
      </c>
      <c r="K5093">
        <f t="shared" si="158"/>
        <v>65.02</v>
      </c>
      <c r="L5093" t="str">
        <f t="shared" si="159"/>
        <v>Banca Sarda|25|Carte</v>
      </c>
    </row>
    <row r="5094" spans="1:12" x14ac:dyDescent="0.25">
      <c r="A5094" t="s">
        <v>42</v>
      </c>
      <c r="B5094">
        <v>25</v>
      </c>
      <c r="C5094" t="s">
        <v>18</v>
      </c>
      <c r="D5094" s="1">
        <v>46053</v>
      </c>
      <c r="E5094">
        <v>3782.5</v>
      </c>
      <c r="F5094">
        <v>200.94</v>
      </c>
      <c r="G5094">
        <v>121.53</v>
      </c>
      <c r="H5094">
        <v>315</v>
      </c>
      <c r="I5094" t="s">
        <v>41</v>
      </c>
      <c r="J5094">
        <v>2026</v>
      </c>
      <c r="K5094">
        <f t="shared" si="158"/>
        <v>79.41</v>
      </c>
      <c r="L5094" t="str">
        <f t="shared" si="159"/>
        <v>Banca Sarda|25|Leasing</v>
      </c>
    </row>
    <row r="5095" spans="1:12" x14ac:dyDescent="0.25">
      <c r="A5095" t="s">
        <v>42</v>
      </c>
      <c r="B5095">
        <v>25</v>
      </c>
      <c r="C5095" t="s">
        <v>19</v>
      </c>
      <c r="D5095" s="1">
        <v>46053</v>
      </c>
      <c r="E5095">
        <v>4323.3999999999996</v>
      </c>
      <c r="F5095">
        <v>238.19</v>
      </c>
      <c r="G5095">
        <v>143.25</v>
      </c>
      <c r="H5095">
        <v>369</v>
      </c>
      <c r="I5095" t="s">
        <v>41</v>
      </c>
      <c r="J5095">
        <v>2026</v>
      </c>
      <c r="K5095">
        <f t="shared" si="158"/>
        <v>94.94</v>
      </c>
      <c r="L5095" t="str">
        <f t="shared" si="159"/>
        <v>Banca Sarda|25|Factoring</v>
      </c>
    </row>
    <row r="5096" spans="1:12" x14ac:dyDescent="0.25">
      <c r="A5096" t="s">
        <v>42</v>
      </c>
      <c r="B5096">
        <v>25</v>
      </c>
      <c r="C5096" t="s">
        <v>20</v>
      </c>
      <c r="D5096" s="1">
        <v>46053</v>
      </c>
      <c r="E5096">
        <v>4865.7</v>
      </c>
      <c r="F5096">
        <v>277.82</v>
      </c>
      <c r="G5096">
        <v>165.59</v>
      </c>
      <c r="H5096">
        <v>409</v>
      </c>
      <c r="I5096" t="s">
        <v>41</v>
      </c>
      <c r="J5096">
        <v>2026</v>
      </c>
      <c r="K5096">
        <f t="shared" si="158"/>
        <v>112.22999999999999</v>
      </c>
      <c r="L5096" t="str">
        <f t="shared" si="159"/>
        <v>Banca Sarda|25|Risparmio</v>
      </c>
    </row>
    <row r="5097" spans="1:12" x14ac:dyDescent="0.25">
      <c r="A5097" t="s">
        <v>42</v>
      </c>
      <c r="B5097">
        <v>25</v>
      </c>
      <c r="C5097" t="s">
        <v>21</v>
      </c>
      <c r="D5097" s="1">
        <v>46053</v>
      </c>
      <c r="E5097">
        <v>5450.3</v>
      </c>
      <c r="F5097">
        <v>322.42</v>
      </c>
      <c r="G5097">
        <v>190.93</v>
      </c>
      <c r="H5097">
        <v>470</v>
      </c>
      <c r="I5097" t="s">
        <v>41</v>
      </c>
      <c r="J5097">
        <v>2026</v>
      </c>
      <c r="K5097">
        <f t="shared" si="158"/>
        <v>131.49</v>
      </c>
      <c r="L5097" t="str">
        <f t="shared" si="159"/>
        <v>Banca Sarda|25|Assicurazioni</v>
      </c>
    </row>
    <row r="5098" spans="1:12" x14ac:dyDescent="0.25">
      <c r="A5098" t="s">
        <v>42</v>
      </c>
      <c r="B5098">
        <v>26</v>
      </c>
      <c r="C5098" t="s">
        <v>13</v>
      </c>
      <c r="D5098" s="1">
        <v>46081</v>
      </c>
      <c r="E5098">
        <v>1523.7</v>
      </c>
      <c r="F5098">
        <v>69.489999999999995</v>
      </c>
      <c r="G5098">
        <v>42.69</v>
      </c>
      <c r="H5098">
        <v>129</v>
      </c>
      <c r="I5098" t="s">
        <v>41</v>
      </c>
      <c r="J5098">
        <v>2026</v>
      </c>
      <c r="K5098">
        <f t="shared" si="158"/>
        <v>26.799999999999997</v>
      </c>
      <c r="L5098" t="str">
        <f t="shared" si="159"/>
        <v>Banca Sarda|26|Mutui</v>
      </c>
    </row>
    <row r="5099" spans="1:12" x14ac:dyDescent="0.25">
      <c r="A5099" t="s">
        <v>42</v>
      </c>
      <c r="B5099">
        <v>26</v>
      </c>
      <c r="C5099" t="s">
        <v>15</v>
      </c>
      <c r="D5099" s="1">
        <v>46081</v>
      </c>
      <c r="E5099">
        <v>2062.1</v>
      </c>
      <c r="F5099">
        <v>97.72</v>
      </c>
      <c r="G5099">
        <v>60.09</v>
      </c>
      <c r="H5099">
        <v>188</v>
      </c>
      <c r="I5099" t="s">
        <v>41</v>
      </c>
      <c r="J5099">
        <v>2026</v>
      </c>
      <c r="K5099">
        <f t="shared" si="158"/>
        <v>37.629999999999995</v>
      </c>
      <c r="L5099" t="str">
        <f t="shared" si="159"/>
        <v>Banca Sarda|26|Prestiti</v>
      </c>
    </row>
    <row r="5100" spans="1:12" x14ac:dyDescent="0.25">
      <c r="A5100" t="s">
        <v>42</v>
      </c>
      <c r="B5100">
        <v>26</v>
      </c>
      <c r="C5100" t="s">
        <v>16</v>
      </c>
      <c r="D5100" s="1">
        <v>46081</v>
      </c>
      <c r="E5100">
        <v>2623.7</v>
      </c>
      <c r="F5100">
        <v>128.66</v>
      </c>
      <c r="G5100">
        <v>79.48</v>
      </c>
      <c r="H5100">
        <v>233</v>
      </c>
      <c r="I5100" t="s">
        <v>41</v>
      </c>
      <c r="J5100">
        <v>2026</v>
      </c>
      <c r="K5100">
        <f t="shared" si="158"/>
        <v>49.179999999999993</v>
      </c>
      <c r="L5100" t="str">
        <f t="shared" si="159"/>
        <v>Banca Sarda|26|Conti</v>
      </c>
    </row>
    <row r="5101" spans="1:12" x14ac:dyDescent="0.25">
      <c r="A5101" t="s">
        <v>42</v>
      </c>
      <c r="B5101">
        <v>26</v>
      </c>
      <c r="C5101" t="s">
        <v>17</v>
      </c>
      <c r="D5101" s="1">
        <v>46081</v>
      </c>
      <c r="E5101">
        <v>3211.6</v>
      </c>
      <c r="F5101">
        <v>164.41</v>
      </c>
      <c r="G5101">
        <v>100.26</v>
      </c>
      <c r="H5101">
        <v>301</v>
      </c>
      <c r="I5101" t="s">
        <v>41</v>
      </c>
      <c r="J5101">
        <v>2026</v>
      </c>
      <c r="K5101">
        <f t="shared" si="158"/>
        <v>64.149999999999991</v>
      </c>
      <c r="L5101" t="str">
        <f t="shared" si="159"/>
        <v>Banca Sarda|26|Carte</v>
      </c>
    </row>
    <row r="5102" spans="1:12" x14ac:dyDescent="0.25">
      <c r="A5102" t="s">
        <v>42</v>
      </c>
      <c r="B5102">
        <v>26</v>
      </c>
      <c r="C5102" t="s">
        <v>18</v>
      </c>
      <c r="D5102" s="1">
        <v>46081</v>
      </c>
      <c r="E5102">
        <v>3790.5</v>
      </c>
      <c r="F5102">
        <v>201.71</v>
      </c>
      <c r="G5102">
        <v>121.37</v>
      </c>
      <c r="H5102">
        <v>331</v>
      </c>
      <c r="I5102" t="s">
        <v>41</v>
      </c>
      <c r="J5102">
        <v>2026</v>
      </c>
      <c r="K5102">
        <f t="shared" si="158"/>
        <v>80.34</v>
      </c>
      <c r="L5102" t="str">
        <f t="shared" si="159"/>
        <v>Banca Sarda|26|Leasing</v>
      </c>
    </row>
    <row r="5103" spans="1:12" x14ac:dyDescent="0.25">
      <c r="A5103" t="s">
        <v>42</v>
      </c>
      <c r="B5103">
        <v>26</v>
      </c>
      <c r="C5103" t="s">
        <v>19</v>
      </c>
      <c r="D5103" s="1">
        <v>46081</v>
      </c>
      <c r="E5103">
        <v>4342.2</v>
      </c>
      <c r="F5103">
        <v>239.61</v>
      </c>
      <c r="G5103">
        <v>143.32</v>
      </c>
      <c r="H5103">
        <v>360</v>
      </c>
      <c r="I5103" t="s">
        <v>41</v>
      </c>
      <c r="J5103">
        <v>2026</v>
      </c>
      <c r="K5103">
        <f t="shared" si="158"/>
        <v>96.29000000000002</v>
      </c>
      <c r="L5103" t="str">
        <f t="shared" si="159"/>
        <v>Banca Sarda|26|Factoring</v>
      </c>
    </row>
    <row r="5104" spans="1:12" x14ac:dyDescent="0.25">
      <c r="A5104" t="s">
        <v>42</v>
      </c>
      <c r="B5104">
        <v>26</v>
      </c>
      <c r="C5104" t="s">
        <v>20</v>
      </c>
      <c r="D5104" s="1">
        <v>46081</v>
      </c>
      <c r="E5104">
        <v>4888.8</v>
      </c>
      <c r="F5104">
        <v>279.27999999999997</v>
      </c>
      <c r="G5104">
        <v>166.89</v>
      </c>
      <c r="H5104">
        <v>437</v>
      </c>
      <c r="I5104" t="s">
        <v>41</v>
      </c>
      <c r="J5104">
        <v>2026</v>
      </c>
      <c r="K5104">
        <f t="shared" si="158"/>
        <v>112.38999999999999</v>
      </c>
      <c r="L5104" t="str">
        <f t="shared" si="159"/>
        <v>Banca Sarda|26|Risparmio</v>
      </c>
    </row>
    <row r="5105" spans="1:12" x14ac:dyDescent="0.25">
      <c r="A5105" t="s">
        <v>42</v>
      </c>
      <c r="B5105">
        <v>26</v>
      </c>
      <c r="C5105" t="s">
        <v>21</v>
      </c>
      <c r="D5105" s="1">
        <v>46081</v>
      </c>
      <c r="E5105">
        <v>5463.5</v>
      </c>
      <c r="F5105">
        <v>322.79000000000002</v>
      </c>
      <c r="G5105">
        <v>191.61</v>
      </c>
      <c r="H5105">
        <v>487</v>
      </c>
      <c r="I5105" t="s">
        <v>41</v>
      </c>
      <c r="J5105">
        <v>2026</v>
      </c>
      <c r="K5105">
        <f t="shared" si="158"/>
        <v>131.18</v>
      </c>
      <c r="L5105" t="str">
        <f t="shared" si="159"/>
        <v>Banca Sarda|26|Assicurazioni</v>
      </c>
    </row>
    <row r="5106" spans="1:12" x14ac:dyDescent="0.25">
      <c r="A5106" t="s">
        <v>42</v>
      </c>
      <c r="B5106">
        <v>27</v>
      </c>
      <c r="C5106" t="s">
        <v>13</v>
      </c>
      <c r="D5106" s="1">
        <v>46112</v>
      </c>
      <c r="E5106">
        <v>1516.5</v>
      </c>
      <c r="F5106">
        <v>68.36</v>
      </c>
      <c r="G5106">
        <v>42.64</v>
      </c>
      <c r="H5106">
        <v>129</v>
      </c>
      <c r="I5106" t="s">
        <v>41</v>
      </c>
      <c r="J5106">
        <v>2026</v>
      </c>
      <c r="K5106">
        <f t="shared" si="158"/>
        <v>25.72</v>
      </c>
      <c r="L5106" t="str">
        <f t="shared" si="159"/>
        <v>Banca Sarda|27|Mutui</v>
      </c>
    </row>
    <row r="5107" spans="1:12" x14ac:dyDescent="0.25">
      <c r="A5107" t="s">
        <v>42</v>
      </c>
      <c r="B5107">
        <v>27</v>
      </c>
      <c r="C5107" t="s">
        <v>15</v>
      </c>
      <c r="D5107" s="1">
        <v>46112</v>
      </c>
      <c r="E5107">
        <v>2087</v>
      </c>
      <c r="F5107">
        <v>98.8</v>
      </c>
      <c r="G5107">
        <v>61.33</v>
      </c>
      <c r="H5107">
        <v>195</v>
      </c>
      <c r="I5107" t="s">
        <v>41</v>
      </c>
      <c r="J5107">
        <v>2026</v>
      </c>
      <c r="K5107">
        <f t="shared" si="158"/>
        <v>37.47</v>
      </c>
      <c r="L5107" t="str">
        <f t="shared" si="159"/>
        <v>Banca Sarda|27|Prestiti</v>
      </c>
    </row>
    <row r="5108" spans="1:12" x14ac:dyDescent="0.25">
      <c r="A5108" t="s">
        <v>42</v>
      </c>
      <c r="B5108">
        <v>27</v>
      </c>
      <c r="C5108" t="s">
        <v>16</v>
      </c>
      <c r="D5108" s="1">
        <v>46112</v>
      </c>
      <c r="E5108">
        <v>2682.6</v>
      </c>
      <c r="F5108">
        <v>131.6</v>
      </c>
      <c r="G5108">
        <v>80.77</v>
      </c>
      <c r="H5108">
        <v>248</v>
      </c>
      <c r="I5108" t="s">
        <v>41</v>
      </c>
      <c r="J5108">
        <v>2026</v>
      </c>
      <c r="K5108">
        <f t="shared" si="158"/>
        <v>50.83</v>
      </c>
      <c r="L5108" t="str">
        <f t="shared" si="159"/>
        <v>Banca Sarda|27|Conti</v>
      </c>
    </row>
    <row r="5109" spans="1:12" x14ac:dyDescent="0.25">
      <c r="A5109" t="s">
        <v>42</v>
      </c>
      <c r="B5109">
        <v>27</v>
      </c>
      <c r="C5109" t="s">
        <v>17</v>
      </c>
      <c r="D5109" s="1">
        <v>46112</v>
      </c>
      <c r="E5109">
        <v>3264.1</v>
      </c>
      <c r="F5109">
        <v>167.32</v>
      </c>
      <c r="G5109">
        <v>101.76</v>
      </c>
      <c r="H5109">
        <v>293</v>
      </c>
      <c r="I5109" t="s">
        <v>41</v>
      </c>
      <c r="J5109">
        <v>2026</v>
      </c>
      <c r="K5109">
        <f t="shared" si="158"/>
        <v>65.559999999999988</v>
      </c>
      <c r="L5109" t="str">
        <f t="shared" si="159"/>
        <v>Banca Sarda|27|Carte</v>
      </c>
    </row>
    <row r="5110" spans="1:12" x14ac:dyDescent="0.25">
      <c r="A5110" t="s">
        <v>42</v>
      </c>
      <c r="B5110">
        <v>27</v>
      </c>
      <c r="C5110" t="s">
        <v>18</v>
      </c>
      <c r="D5110" s="1">
        <v>46112</v>
      </c>
      <c r="E5110">
        <v>3823.3</v>
      </c>
      <c r="F5110">
        <v>203.4</v>
      </c>
      <c r="G5110">
        <v>122.61</v>
      </c>
      <c r="H5110">
        <v>325</v>
      </c>
      <c r="I5110" t="s">
        <v>41</v>
      </c>
      <c r="J5110">
        <v>2026</v>
      </c>
      <c r="K5110">
        <f t="shared" si="158"/>
        <v>80.790000000000006</v>
      </c>
      <c r="L5110" t="str">
        <f t="shared" si="159"/>
        <v>Banca Sarda|27|Leasing</v>
      </c>
    </row>
    <row r="5111" spans="1:12" x14ac:dyDescent="0.25">
      <c r="A5111" t="s">
        <v>42</v>
      </c>
      <c r="B5111">
        <v>27</v>
      </c>
      <c r="C5111" t="s">
        <v>19</v>
      </c>
      <c r="D5111" s="1">
        <v>46112</v>
      </c>
      <c r="E5111">
        <v>4348.8</v>
      </c>
      <c r="F5111">
        <v>239.61</v>
      </c>
      <c r="G5111">
        <v>144.5</v>
      </c>
      <c r="H5111">
        <v>365</v>
      </c>
      <c r="I5111" t="s">
        <v>41</v>
      </c>
      <c r="J5111">
        <v>2026</v>
      </c>
      <c r="K5111">
        <f t="shared" si="158"/>
        <v>95.110000000000014</v>
      </c>
      <c r="L5111" t="str">
        <f t="shared" si="159"/>
        <v>Banca Sarda|27|Factoring</v>
      </c>
    </row>
    <row r="5112" spans="1:12" x14ac:dyDescent="0.25">
      <c r="A5112" t="s">
        <v>42</v>
      </c>
      <c r="B5112">
        <v>27</v>
      </c>
      <c r="C5112" t="s">
        <v>20</v>
      </c>
      <c r="D5112" s="1">
        <v>46112</v>
      </c>
      <c r="E5112">
        <v>4958.6000000000004</v>
      </c>
      <c r="F5112">
        <v>282.87</v>
      </c>
      <c r="G5112">
        <v>169.46</v>
      </c>
      <c r="H5112">
        <v>425</v>
      </c>
      <c r="I5112" t="s">
        <v>41</v>
      </c>
      <c r="J5112">
        <v>2026</v>
      </c>
      <c r="K5112">
        <f t="shared" si="158"/>
        <v>113.41</v>
      </c>
      <c r="L5112" t="str">
        <f t="shared" si="159"/>
        <v>Banca Sarda|27|Risparmio</v>
      </c>
    </row>
    <row r="5113" spans="1:12" x14ac:dyDescent="0.25">
      <c r="A5113" t="s">
        <v>42</v>
      </c>
      <c r="B5113">
        <v>27</v>
      </c>
      <c r="C5113" t="s">
        <v>21</v>
      </c>
      <c r="D5113" s="1">
        <v>46112</v>
      </c>
      <c r="E5113">
        <v>5491.6</v>
      </c>
      <c r="F5113">
        <v>324.64</v>
      </c>
      <c r="G5113">
        <v>193.17</v>
      </c>
      <c r="H5113">
        <v>455</v>
      </c>
      <c r="I5113" t="s">
        <v>41</v>
      </c>
      <c r="J5113">
        <v>2026</v>
      </c>
      <c r="K5113">
        <f t="shared" si="158"/>
        <v>131.47</v>
      </c>
      <c r="L5113" t="str">
        <f t="shared" si="159"/>
        <v>Banca Sarda|27|Assicurazioni</v>
      </c>
    </row>
    <row r="5114" spans="1:12" x14ac:dyDescent="0.25">
      <c r="A5114" t="s">
        <v>42</v>
      </c>
      <c r="B5114">
        <v>28</v>
      </c>
      <c r="C5114" t="s">
        <v>13</v>
      </c>
      <c r="D5114" s="1">
        <v>46142</v>
      </c>
      <c r="E5114">
        <v>1507.6</v>
      </c>
      <c r="F5114">
        <v>68.83</v>
      </c>
      <c r="G5114">
        <v>42.66</v>
      </c>
      <c r="H5114">
        <v>132</v>
      </c>
      <c r="I5114" t="s">
        <v>41</v>
      </c>
      <c r="J5114">
        <v>2026</v>
      </c>
      <c r="K5114">
        <f t="shared" si="158"/>
        <v>26.17</v>
      </c>
      <c r="L5114" t="str">
        <f t="shared" si="159"/>
        <v>Banca Sarda|28|Mutui</v>
      </c>
    </row>
    <row r="5115" spans="1:12" x14ac:dyDescent="0.25">
      <c r="A5115" t="s">
        <v>42</v>
      </c>
      <c r="B5115">
        <v>28</v>
      </c>
      <c r="C5115" t="s">
        <v>15</v>
      </c>
      <c r="D5115" s="1">
        <v>46142</v>
      </c>
      <c r="E5115">
        <v>2130.4</v>
      </c>
      <c r="F5115">
        <v>100.45</v>
      </c>
      <c r="G5115">
        <v>62.71</v>
      </c>
      <c r="H5115">
        <v>203</v>
      </c>
      <c r="I5115" t="s">
        <v>41</v>
      </c>
      <c r="J5115">
        <v>2026</v>
      </c>
      <c r="K5115">
        <f t="shared" si="158"/>
        <v>37.74</v>
      </c>
      <c r="L5115" t="str">
        <f t="shared" si="159"/>
        <v>Banca Sarda|28|Prestiti</v>
      </c>
    </row>
    <row r="5116" spans="1:12" x14ac:dyDescent="0.25">
      <c r="A5116" t="s">
        <v>42</v>
      </c>
      <c r="B5116">
        <v>28</v>
      </c>
      <c r="C5116" t="s">
        <v>16</v>
      </c>
      <c r="D5116" s="1">
        <v>46142</v>
      </c>
      <c r="E5116">
        <v>2666.8</v>
      </c>
      <c r="F5116">
        <v>131.54</v>
      </c>
      <c r="G5116">
        <v>80.7</v>
      </c>
      <c r="H5116">
        <v>219</v>
      </c>
      <c r="I5116" t="s">
        <v>41</v>
      </c>
      <c r="J5116">
        <v>2026</v>
      </c>
      <c r="K5116">
        <f t="shared" si="158"/>
        <v>50.839999999999989</v>
      </c>
      <c r="L5116" t="str">
        <f t="shared" si="159"/>
        <v>Banca Sarda|28|Conti</v>
      </c>
    </row>
    <row r="5117" spans="1:12" x14ac:dyDescent="0.25">
      <c r="A5117" t="s">
        <v>42</v>
      </c>
      <c r="B5117">
        <v>28</v>
      </c>
      <c r="C5117" t="s">
        <v>17</v>
      </c>
      <c r="D5117" s="1">
        <v>46142</v>
      </c>
      <c r="E5117">
        <v>3227.2</v>
      </c>
      <c r="F5117">
        <v>165.43</v>
      </c>
      <c r="G5117">
        <v>100.91</v>
      </c>
      <c r="H5117">
        <v>267</v>
      </c>
      <c r="I5117" t="s">
        <v>41</v>
      </c>
      <c r="J5117">
        <v>2026</v>
      </c>
      <c r="K5117">
        <f t="shared" si="158"/>
        <v>64.52000000000001</v>
      </c>
      <c r="L5117" t="str">
        <f t="shared" si="159"/>
        <v>Banca Sarda|28|Carte</v>
      </c>
    </row>
    <row r="5118" spans="1:12" x14ac:dyDescent="0.25">
      <c r="A5118" t="s">
        <v>42</v>
      </c>
      <c r="B5118">
        <v>28</v>
      </c>
      <c r="C5118" t="s">
        <v>18</v>
      </c>
      <c r="D5118" s="1">
        <v>46142</v>
      </c>
      <c r="E5118">
        <v>3811.8</v>
      </c>
      <c r="F5118">
        <v>202.75</v>
      </c>
      <c r="G5118">
        <v>122.64</v>
      </c>
      <c r="H5118">
        <v>348</v>
      </c>
      <c r="I5118" t="s">
        <v>41</v>
      </c>
      <c r="J5118">
        <v>2026</v>
      </c>
      <c r="K5118">
        <f t="shared" si="158"/>
        <v>80.11</v>
      </c>
      <c r="L5118" t="str">
        <f t="shared" si="159"/>
        <v>Banca Sarda|28|Leasing</v>
      </c>
    </row>
    <row r="5119" spans="1:12" x14ac:dyDescent="0.25">
      <c r="A5119" t="s">
        <v>42</v>
      </c>
      <c r="B5119">
        <v>28</v>
      </c>
      <c r="C5119" t="s">
        <v>19</v>
      </c>
      <c r="D5119" s="1">
        <v>46142</v>
      </c>
      <c r="E5119">
        <v>4405.3</v>
      </c>
      <c r="F5119">
        <v>242.58</v>
      </c>
      <c r="G5119">
        <v>146.21</v>
      </c>
      <c r="H5119">
        <v>386</v>
      </c>
      <c r="I5119" t="s">
        <v>41</v>
      </c>
      <c r="J5119">
        <v>2026</v>
      </c>
      <c r="K5119">
        <f t="shared" si="158"/>
        <v>96.37</v>
      </c>
      <c r="L5119" t="str">
        <f t="shared" si="159"/>
        <v>Banca Sarda|28|Factoring</v>
      </c>
    </row>
    <row r="5120" spans="1:12" x14ac:dyDescent="0.25">
      <c r="A5120" t="s">
        <v>42</v>
      </c>
      <c r="B5120">
        <v>28</v>
      </c>
      <c r="C5120" t="s">
        <v>20</v>
      </c>
      <c r="D5120" s="1">
        <v>46142</v>
      </c>
      <c r="E5120">
        <v>4972.2</v>
      </c>
      <c r="F5120">
        <v>284.31</v>
      </c>
      <c r="G5120">
        <v>169.58</v>
      </c>
      <c r="H5120">
        <v>430</v>
      </c>
      <c r="I5120" t="s">
        <v>41</v>
      </c>
      <c r="J5120">
        <v>2026</v>
      </c>
      <c r="K5120">
        <f t="shared" si="158"/>
        <v>114.72999999999999</v>
      </c>
      <c r="L5120" t="str">
        <f t="shared" si="159"/>
        <v>Banca Sarda|28|Risparmio</v>
      </c>
    </row>
    <row r="5121" spans="1:12" x14ac:dyDescent="0.25">
      <c r="A5121" t="s">
        <v>42</v>
      </c>
      <c r="B5121">
        <v>28</v>
      </c>
      <c r="C5121" t="s">
        <v>21</v>
      </c>
      <c r="D5121" s="1">
        <v>46142</v>
      </c>
      <c r="E5121">
        <v>5530.8</v>
      </c>
      <c r="F5121">
        <v>326.64</v>
      </c>
      <c r="G5121">
        <v>193.65</v>
      </c>
      <c r="H5121">
        <v>470</v>
      </c>
      <c r="I5121" t="s">
        <v>41</v>
      </c>
      <c r="J5121">
        <v>2026</v>
      </c>
      <c r="K5121">
        <f t="shared" si="158"/>
        <v>132.98999999999998</v>
      </c>
      <c r="L5121" t="str">
        <f t="shared" si="159"/>
        <v>Banca Sarda|28|Assicurazioni</v>
      </c>
    </row>
    <row r="5122" spans="1:12" x14ac:dyDescent="0.25">
      <c r="A5122" t="s">
        <v>42</v>
      </c>
      <c r="B5122">
        <v>29</v>
      </c>
      <c r="C5122" t="s">
        <v>13</v>
      </c>
      <c r="D5122" s="1">
        <v>46173</v>
      </c>
      <c r="E5122">
        <v>1521.9</v>
      </c>
      <c r="F5122">
        <v>68.98</v>
      </c>
      <c r="G5122">
        <v>42.82</v>
      </c>
      <c r="H5122">
        <v>160</v>
      </c>
      <c r="I5122" t="s">
        <v>41</v>
      </c>
      <c r="J5122">
        <v>2026</v>
      </c>
      <c r="K5122">
        <f t="shared" ref="K5122:K5185" si="160">F5122-G5122</f>
        <v>26.160000000000004</v>
      </c>
      <c r="L5122" t="str">
        <f t="shared" ref="L5122:L5185" si="161">A5122&amp;"|"&amp;B5122&amp;"|"&amp;C5122</f>
        <v>Banca Sarda|29|Mutui</v>
      </c>
    </row>
    <row r="5123" spans="1:12" x14ac:dyDescent="0.25">
      <c r="A5123" t="s">
        <v>42</v>
      </c>
      <c r="B5123">
        <v>29</v>
      </c>
      <c r="C5123" t="s">
        <v>15</v>
      </c>
      <c r="D5123" s="1">
        <v>46173</v>
      </c>
      <c r="E5123">
        <v>2137.6999999999998</v>
      </c>
      <c r="F5123">
        <v>101</v>
      </c>
      <c r="G5123">
        <v>62.84</v>
      </c>
      <c r="H5123">
        <v>189</v>
      </c>
      <c r="I5123" t="s">
        <v>41</v>
      </c>
      <c r="J5123">
        <v>2026</v>
      </c>
      <c r="K5123">
        <f t="shared" si="160"/>
        <v>38.159999999999997</v>
      </c>
      <c r="L5123" t="str">
        <f t="shared" si="161"/>
        <v>Banca Sarda|29|Prestiti</v>
      </c>
    </row>
    <row r="5124" spans="1:12" x14ac:dyDescent="0.25">
      <c r="A5124" t="s">
        <v>42</v>
      </c>
      <c r="B5124">
        <v>29</v>
      </c>
      <c r="C5124" t="s">
        <v>16</v>
      </c>
      <c r="D5124" s="1">
        <v>46173</v>
      </c>
      <c r="E5124">
        <v>2683.2</v>
      </c>
      <c r="F5124">
        <v>132.25</v>
      </c>
      <c r="G5124">
        <v>81.41</v>
      </c>
      <c r="H5124">
        <v>253</v>
      </c>
      <c r="I5124" t="s">
        <v>41</v>
      </c>
      <c r="J5124">
        <v>2026</v>
      </c>
      <c r="K5124">
        <f t="shared" si="160"/>
        <v>50.84</v>
      </c>
      <c r="L5124" t="str">
        <f t="shared" si="161"/>
        <v>Banca Sarda|29|Conti</v>
      </c>
    </row>
    <row r="5125" spans="1:12" x14ac:dyDescent="0.25">
      <c r="A5125" t="s">
        <v>42</v>
      </c>
      <c r="B5125">
        <v>29</v>
      </c>
      <c r="C5125" t="s">
        <v>17</v>
      </c>
      <c r="D5125" s="1">
        <v>46173</v>
      </c>
      <c r="E5125">
        <v>3259.7</v>
      </c>
      <c r="F5125">
        <v>166.57</v>
      </c>
      <c r="G5125">
        <v>101.62</v>
      </c>
      <c r="H5125">
        <v>293</v>
      </c>
      <c r="I5125" t="s">
        <v>41</v>
      </c>
      <c r="J5125">
        <v>2026</v>
      </c>
      <c r="K5125">
        <f t="shared" si="160"/>
        <v>64.949999999999989</v>
      </c>
      <c r="L5125" t="str">
        <f t="shared" si="161"/>
        <v>Banca Sarda|29|Carte</v>
      </c>
    </row>
    <row r="5126" spans="1:12" x14ac:dyDescent="0.25">
      <c r="A5126" t="s">
        <v>42</v>
      </c>
      <c r="B5126">
        <v>29</v>
      </c>
      <c r="C5126" t="s">
        <v>18</v>
      </c>
      <c r="D5126" s="1">
        <v>46173</v>
      </c>
      <c r="E5126">
        <v>3880.5</v>
      </c>
      <c r="F5126">
        <v>206.16</v>
      </c>
      <c r="G5126">
        <v>124.43</v>
      </c>
      <c r="H5126">
        <v>328</v>
      </c>
      <c r="I5126" t="s">
        <v>41</v>
      </c>
      <c r="J5126">
        <v>2026</v>
      </c>
      <c r="K5126">
        <f t="shared" si="160"/>
        <v>81.72999999999999</v>
      </c>
      <c r="L5126" t="str">
        <f t="shared" si="161"/>
        <v>Banca Sarda|29|Leasing</v>
      </c>
    </row>
    <row r="5127" spans="1:12" x14ac:dyDescent="0.25">
      <c r="A5127" t="s">
        <v>42</v>
      </c>
      <c r="B5127">
        <v>29</v>
      </c>
      <c r="C5127" t="s">
        <v>19</v>
      </c>
      <c r="D5127" s="1">
        <v>46173</v>
      </c>
      <c r="E5127">
        <v>4459.2</v>
      </c>
      <c r="F5127">
        <v>245.59</v>
      </c>
      <c r="G5127">
        <v>147.26</v>
      </c>
      <c r="H5127">
        <v>395</v>
      </c>
      <c r="I5127" t="s">
        <v>41</v>
      </c>
      <c r="J5127">
        <v>2026</v>
      </c>
      <c r="K5127">
        <f t="shared" si="160"/>
        <v>98.330000000000013</v>
      </c>
      <c r="L5127" t="str">
        <f t="shared" si="161"/>
        <v>Banca Sarda|29|Factoring</v>
      </c>
    </row>
    <row r="5128" spans="1:12" x14ac:dyDescent="0.25">
      <c r="A5128" t="s">
        <v>42</v>
      </c>
      <c r="B5128">
        <v>29</v>
      </c>
      <c r="C5128" t="s">
        <v>20</v>
      </c>
      <c r="D5128" s="1">
        <v>46173</v>
      </c>
      <c r="E5128">
        <v>5018.8999999999996</v>
      </c>
      <c r="F5128">
        <v>286.83999999999997</v>
      </c>
      <c r="G5128">
        <v>171.1</v>
      </c>
      <c r="H5128">
        <v>442</v>
      </c>
      <c r="I5128" t="s">
        <v>41</v>
      </c>
      <c r="J5128">
        <v>2026</v>
      </c>
      <c r="K5128">
        <f t="shared" si="160"/>
        <v>115.73999999999998</v>
      </c>
      <c r="L5128" t="str">
        <f t="shared" si="161"/>
        <v>Banca Sarda|29|Risparmio</v>
      </c>
    </row>
    <row r="5129" spans="1:12" x14ac:dyDescent="0.25">
      <c r="A5129" t="s">
        <v>42</v>
      </c>
      <c r="B5129">
        <v>29</v>
      </c>
      <c r="C5129" t="s">
        <v>21</v>
      </c>
      <c r="D5129" s="1">
        <v>46173</v>
      </c>
      <c r="E5129">
        <v>5577</v>
      </c>
      <c r="F5129">
        <v>329.56</v>
      </c>
      <c r="G5129">
        <v>195.97</v>
      </c>
      <c r="H5129">
        <v>457</v>
      </c>
      <c r="I5129" t="s">
        <v>41</v>
      </c>
      <c r="J5129">
        <v>2026</v>
      </c>
      <c r="K5129">
        <f t="shared" si="160"/>
        <v>133.59</v>
      </c>
      <c r="L5129" t="str">
        <f t="shared" si="161"/>
        <v>Banca Sarda|29|Assicurazioni</v>
      </c>
    </row>
    <row r="5130" spans="1:12" x14ac:dyDescent="0.25">
      <c r="A5130" t="s">
        <v>42</v>
      </c>
      <c r="B5130">
        <v>30</v>
      </c>
      <c r="C5130" t="s">
        <v>13</v>
      </c>
      <c r="D5130" s="1">
        <v>46203</v>
      </c>
      <c r="E5130">
        <v>1524.4</v>
      </c>
      <c r="F5130">
        <v>69.040000000000006</v>
      </c>
      <c r="G5130">
        <v>43.07</v>
      </c>
      <c r="H5130">
        <v>142</v>
      </c>
      <c r="I5130" t="s">
        <v>41</v>
      </c>
      <c r="J5130">
        <v>2026</v>
      </c>
      <c r="K5130">
        <f t="shared" si="160"/>
        <v>25.970000000000006</v>
      </c>
      <c r="L5130" t="str">
        <f t="shared" si="161"/>
        <v>Banca Sarda|30|Mutui</v>
      </c>
    </row>
    <row r="5131" spans="1:12" x14ac:dyDescent="0.25">
      <c r="A5131" t="s">
        <v>42</v>
      </c>
      <c r="B5131">
        <v>30</v>
      </c>
      <c r="C5131" t="s">
        <v>15</v>
      </c>
      <c r="D5131" s="1">
        <v>46203</v>
      </c>
      <c r="E5131">
        <v>2142.5</v>
      </c>
      <c r="F5131">
        <v>101.67</v>
      </c>
      <c r="G5131">
        <v>62.79</v>
      </c>
      <c r="H5131">
        <v>187</v>
      </c>
      <c r="I5131" t="s">
        <v>41</v>
      </c>
      <c r="J5131">
        <v>2026</v>
      </c>
      <c r="K5131">
        <f t="shared" si="160"/>
        <v>38.880000000000003</v>
      </c>
      <c r="L5131" t="str">
        <f t="shared" si="161"/>
        <v>Banca Sarda|30|Prestiti</v>
      </c>
    </row>
    <row r="5132" spans="1:12" x14ac:dyDescent="0.25">
      <c r="A5132" t="s">
        <v>42</v>
      </c>
      <c r="B5132">
        <v>30</v>
      </c>
      <c r="C5132" t="s">
        <v>16</v>
      </c>
      <c r="D5132" s="1">
        <v>46203</v>
      </c>
      <c r="E5132">
        <v>2695.1</v>
      </c>
      <c r="F5132">
        <v>132.81</v>
      </c>
      <c r="G5132">
        <v>81.239999999999995</v>
      </c>
      <c r="H5132">
        <v>238</v>
      </c>
      <c r="I5132" t="s">
        <v>41</v>
      </c>
      <c r="J5132">
        <v>2026</v>
      </c>
      <c r="K5132">
        <f t="shared" si="160"/>
        <v>51.570000000000007</v>
      </c>
      <c r="L5132" t="str">
        <f t="shared" si="161"/>
        <v>Banca Sarda|30|Conti</v>
      </c>
    </row>
    <row r="5133" spans="1:12" x14ac:dyDescent="0.25">
      <c r="A5133" t="s">
        <v>42</v>
      </c>
      <c r="B5133">
        <v>30</v>
      </c>
      <c r="C5133" t="s">
        <v>17</v>
      </c>
      <c r="D5133" s="1">
        <v>46203</v>
      </c>
      <c r="E5133">
        <v>3300.4</v>
      </c>
      <c r="F5133">
        <v>168.56</v>
      </c>
      <c r="G5133">
        <v>103.13</v>
      </c>
      <c r="H5133">
        <v>303</v>
      </c>
      <c r="I5133" t="s">
        <v>41</v>
      </c>
      <c r="J5133">
        <v>2026</v>
      </c>
      <c r="K5133">
        <f t="shared" si="160"/>
        <v>65.430000000000007</v>
      </c>
      <c r="L5133" t="str">
        <f t="shared" si="161"/>
        <v>Banca Sarda|30|Carte</v>
      </c>
    </row>
    <row r="5134" spans="1:12" x14ac:dyDescent="0.25">
      <c r="A5134" t="s">
        <v>42</v>
      </c>
      <c r="B5134">
        <v>30</v>
      </c>
      <c r="C5134" t="s">
        <v>18</v>
      </c>
      <c r="D5134" s="1">
        <v>46203</v>
      </c>
      <c r="E5134">
        <v>3895.1</v>
      </c>
      <c r="F5134">
        <v>206.86</v>
      </c>
      <c r="G5134">
        <v>125.6</v>
      </c>
      <c r="H5134">
        <v>345</v>
      </c>
      <c r="I5134" t="s">
        <v>41</v>
      </c>
      <c r="J5134">
        <v>2026</v>
      </c>
      <c r="K5134">
        <f t="shared" si="160"/>
        <v>81.260000000000019</v>
      </c>
      <c r="L5134" t="str">
        <f t="shared" si="161"/>
        <v>Banca Sarda|30|Leasing</v>
      </c>
    </row>
    <row r="5135" spans="1:12" x14ac:dyDescent="0.25">
      <c r="A5135" t="s">
        <v>42</v>
      </c>
      <c r="B5135">
        <v>30</v>
      </c>
      <c r="C5135" t="s">
        <v>19</v>
      </c>
      <c r="D5135" s="1">
        <v>46203</v>
      </c>
      <c r="E5135">
        <v>4475.8999999999996</v>
      </c>
      <c r="F5135">
        <v>246.49</v>
      </c>
      <c r="G5135">
        <v>147.72999999999999</v>
      </c>
      <c r="H5135">
        <v>382</v>
      </c>
      <c r="I5135" t="s">
        <v>41</v>
      </c>
      <c r="J5135">
        <v>2026</v>
      </c>
      <c r="K5135">
        <f t="shared" si="160"/>
        <v>98.760000000000019</v>
      </c>
      <c r="L5135" t="str">
        <f t="shared" si="161"/>
        <v>Banca Sarda|30|Factoring</v>
      </c>
    </row>
    <row r="5136" spans="1:12" x14ac:dyDescent="0.25">
      <c r="A5136" t="s">
        <v>42</v>
      </c>
      <c r="B5136">
        <v>30</v>
      </c>
      <c r="C5136" t="s">
        <v>20</v>
      </c>
      <c r="D5136" s="1">
        <v>46203</v>
      </c>
      <c r="E5136">
        <v>5062.3999999999996</v>
      </c>
      <c r="F5136">
        <v>289.11</v>
      </c>
      <c r="G5136">
        <v>172.6</v>
      </c>
      <c r="H5136">
        <v>432</v>
      </c>
      <c r="I5136" t="s">
        <v>41</v>
      </c>
      <c r="J5136">
        <v>2026</v>
      </c>
      <c r="K5136">
        <f t="shared" si="160"/>
        <v>116.51000000000002</v>
      </c>
      <c r="L5136" t="str">
        <f t="shared" si="161"/>
        <v>Banca Sarda|30|Risparmio</v>
      </c>
    </row>
    <row r="5137" spans="1:12" x14ac:dyDescent="0.25">
      <c r="A5137" t="s">
        <v>42</v>
      </c>
      <c r="B5137">
        <v>30</v>
      </c>
      <c r="C5137" t="s">
        <v>21</v>
      </c>
      <c r="D5137" s="1">
        <v>46203</v>
      </c>
      <c r="E5137">
        <v>5625.1</v>
      </c>
      <c r="F5137">
        <v>331.99</v>
      </c>
      <c r="G5137">
        <v>197.7</v>
      </c>
      <c r="H5137">
        <v>483</v>
      </c>
      <c r="I5137" t="s">
        <v>41</v>
      </c>
      <c r="J5137">
        <v>2026</v>
      </c>
      <c r="K5137">
        <f t="shared" si="160"/>
        <v>134.29000000000002</v>
      </c>
      <c r="L5137" t="str">
        <f t="shared" si="161"/>
        <v>Banca Sarda|30|Assicurazioni</v>
      </c>
    </row>
    <row r="5138" spans="1:12" x14ac:dyDescent="0.25">
      <c r="A5138" t="s">
        <v>42</v>
      </c>
      <c r="B5138">
        <v>31</v>
      </c>
      <c r="C5138" t="s">
        <v>13</v>
      </c>
      <c r="D5138" s="1">
        <v>46234</v>
      </c>
      <c r="E5138">
        <v>1555</v>
      </c>
      <c r="F5138">
        <v>70.650000000000006</v>
      </c>
      <c r="G5138">
        <v>44.27</v>
      </c>
      <c r="H5138">
        <v>154</v>
      </c>
      <c r="I5138" t="s">
        <v>41</v>
      </c>
      <c r="J5138">
        <v>2026</v>
      </c>
      <c r="K5138">
        <f t="shared" si="160"/>
        <v>26.380000000000003</v>
      </c>
      <c r="L5138" t="str">
        <f t="shared" si="161"/>
        <v>Banca Sarda|31|Mutui</v>
      </c>
    </row>
    <row r="5139" spans="1:12" x14ac:dyDescent="0.25">
      <c r="A5139" t="s">
        <v>42</v>
      </c>
      <c r="B5139">
        <v>31</v>
      </c>
      <c r="C5139" t="s">
        <v>15</v>
      </c>
      <c r="D5139" s="1">
        <v>46234</v>
      </c>
      <c r="E5139">
        <v>2150.5</v>
      </c>
      <c r="F5139">
        <v>101.45</v>
      </c>
      <c r="G5139">
        <v>63.34</v>
      </c>
      <c r="H5139">
        <v>186</v>
      </c>
      <c r="I5139" t="s">
        <v>41</v>
      </c>
      <c r="J5139">
        <v>2026</v>
      </c>
      <c r="K5139">
        <f t="shared" si="160"/>
        <v>38.11</v>
      </c>
      <c r="L5139" t="str">
        <f t="shared" si="161"/>
        <v>Banca Sarda|31|Prestiti</v>
      </c>
    </row>
    <row r="5140" spans="1:12" x14ac:dyDescent="0.25">
      <c r="A5140" t="s">
        <v>42</v>
      </c>
      <c r="B5140">
        <v>31</v>
      </c>
      <c r="C5140" t="s">
        <v>16</v>
      </c>
      <c r="D5140" s="1">
        <v>46234</v>
      </c>
      <c r="E5140">
        <v>2756.6</v>
      </c>
      <c r="F5140">
        <v>135.77000000000001</v>
      </c>
      <c r="G5140">
        <v>83.52</v>
      </c>
      <c r="H5140">
        <v>232</v>
      </c>
      <c r="I5140" t="s">
        <v>41</v>
      </c>
      <c r="J5140">
        <v>2026</v>
      </c>
      <c r="K5140">
        <f t="shared" si="160"/>
        <v>52.250000000000014</v>
      </c>
      <c r="L5140" t="str">
        <f t="shared" si="161"/>
        <v>Banca Sarda|31|Conti</v>
      </c>
    </row>
    <row r="5141" spans="1:12" x14ac:dyDescent="0.25">
      <c r="A5141" t="s">
        <v>42</v>
      </c>
      <c r="B5141">
        <v>31</v>
      </c>
      <c r="C5141" t="s">
        <v>17</v>
      </c>
      <c r="D5141" s="1">
        <v>46234</v>
      </c>
      <c r="E5141">
        <v>3344.3</v>
      </c>
      <c r="F5141">
        <v>171.04</v>
      </c>
      <c r="G5141">
        <v>104.24</v>
      </c>
      <c r="H5141">
        <v>294</v>
      </c>
      <c r="I5141" t="s">
        <v>41</v>
      </c>
      <c r="J5141">
        <v>2026</v>
      </c>
      <c r="K5141">
        <f t="shared" si="160"/>
        <v>66.8</v>
      </c>
      <c r="L5141" t="str">
        <f t="shared" si="161"/>
        <v>Banca Sarda|31|Carte</v>
      </c>
    </row>
    <row r="5142" spans="1:12" x14ac:dyDescent="0.25">
      <c r="A5142" t="s">
        <v>42</v>
      </c>
      <c r="B5142">
        <v>31</v>
      </c>
      <c r="C5142" t="s">
        <v>18</v>
      </c>
      <c r="D5142" s="1">
        <v>46234</v>
      </c>
      <c r="E5142">
        <v>3914.2</v>
      </c>
      <c r="F5142">
        <v>208.41</v>
      </c>
      <c r="G5142">
        <v>125.35</v>
      </c>
      <c r="H5142">
        <v>335</v>
      </c>
      <c r="I5142" t="s">
        <v>41</v>
      </c>
      <c r="J5142">
        <v>2026</v>
      </c>
      <c r="K5142">
        <f t="shared" si="160"/>
        <v>83.06</v>
      </c>
      <c r="L5142" t="str">
        <f t="shared" si="161"/>
        <v>Banca Sarda|31|Leasing</v>
      </c>
    </row>
    <row r="5143" spans="1:12" x14ac:dyDescent="0.25">
      <c r="A5143" t="s">
        <v>42</v>
      </c>
      <c r="B5143">
        <v>31</v>
      </c>
      <c r="C5143" t="s">
        <v>19</v>
      </c>
      <c r="D5143" s="1">
        <v>46234</v>
      </c>
      <c r="E5143">
        <v>4503.3</v>
      </c>
      <c r="F5143">
        <v>247.96</v>
      </c>
      <c r="G5143">
        <v>149.36000000000001</v>
      </c>
      <c r="H5143">
        <v>399</v>
      </c>
      <c r="I5143" t="s">
        <v>41</v>
      </c>
      <c r="J5143">
        <v>2026</v>
      </c>
      <c r="K5143">
        <f t="shared" si="160"/>
        <v>98.6</v>
      </c>
      <c r="L5143" t="str">
        <f t="shared" si="161"/>
        <v>Banca Sarda|31|Factoring</v>
      </c>
    </row>
    <row r="5144" spans="1:12" x14ac:dyDescent="0.25">
      <c r="A5144" t="s">
        <v>42</v>
      </c>
      <c r="B5144">
        <v>31</v>
      </c>
      <c r="C5144" t="s">
        <v>20</v>
      </c>
      <c r="D5144" s="1">
        <v>46234</v>
      </c>
      <c r="E5144">
        <v>5067.8</v>
      </c>
      <c r="F5144">
        <v>289.27999999999997</v>
      </c>
      <c r="G5144">
        <v>172.38</v>
      </c>
      <c r="H5144">
        <v>428</v>
      </c>
      <c r="I5144" t="s">
        <v>41</v>
      </c>
      <c r="J5144">
        <v>2026</v>
      </c>
      <c r="K5144">
        <f t="shared" si="160"/>
        <v>116.89999999999998</v>
      </c>
      <c r="L5144" t="str">
        <f t="shared" si="161"/>
        <v>Banca Sarda|31|Risparmio</v>
      </c>
    </row>
    <row r="5145" spans="1:12" x14ac:dyDescent="0.25">
      <c r="A5145" t="s">
        <v>42</v>
      </c>
      <c r="B5145">
        <v>31</v>
      </c>
      <c r="C5145" t="s">
        <v>21</v>
      </c>
      <c r="D5145" s="1">
        <v>46234</v>
      </c>
      <c r="E5145">
        <v>5674.7</v>
      </c>
      <c r="F5145">
        <v>335.5</v>
      </c>
      <c r="G5145">
        <v>198.85</v>
      </c>
      <c r="H5145">
        <v>465</v>
      </c>
      <c r="I5145" t="s">
        <v>41</v>
      </c>
      <c r="J5145">
        <v>2026</v>
      </c>
      <c r="K5145">
        <f t="shared" si="160"/>
        <v>136.65</v>
      </c>
      <c r="L5145" t="str">
        <f t="shared" si="161"/>
        <v>Banca Sarda|31|Assicurazioni</v>
      </c>
    </row>
    <row r="5146" spans="1:12" x14ac:dyDescent="0.25">
      <c r="A5146" t="s">
        <v>42</v>
      </c>
      <c r="B5146">
        <v>32</v>
      </c>
      <c r="C5146" t="s">
        <v>13</v>
      </c>
      <c r="D5146" s="1">
        <v>46265</v>
      </c>
      <c r="E5146">
        <v>1600.6</v>
      </c>
      <c r="F5146">
        <v>72.37</v>
      </c>
      <c r="G5146">
        <v>45.48</v>
      </c>
      <c r="H5146">
        <v>151</v>
      </c>
      <c r="I5146" t="s">
        <v>41</v>
      </c>
      <c r="J5146">
        <v>2026</v>
      </c>
      <c r="K5146">
        <f t="shared" si="160"/>
        <v>26.890000000000008</v>
      </c>
      <c r="L5146" t="str">
        <f t="shared" si="161"/>
        <v>Banca Sarda|32|Mutui</v>
      </c>
    </row>
    <row r="5147" spans="1:12" x14ac:dyDescent="0.25">
      <c r="A5147" t="s">
        <v>42</v>
      </c>
      <c r="B5147">
        <v>32</v>
      </c>
      <c r="C5147" t="s">
        <v>15</v>
      </c>
      <c r="D5147" s="1">
        <v>46265</v>
      </c>
      <c r="E5147">
        <v>2171.3000000000002</v>
      </c>
      <c r="F5147">
        <v>102.78</v>
      </c>
      <c r="G5147">
        <v>63.11</v>
      </c>
      <c r="H5147">
        <v>200</v>
      </c>
      <c r="I5147" t="s">
        <v>41</v>
      </c>
      <c r="J5147">
        <v>2026</v>
      </c>
      <c r="K5147">
        <f t="shared" si="160"/>
        <v>39.67</v>
      </c>
      <c r="L5147" t="str">
        <f t="shared" si="161"/>
        <v>Banca Sarda|32|Prestiti</v>
      </c>
    </row>
    <row r="5148" spans="1:12" x14ac:dyDescent="0.25">
      <c r="A5148" t="s">
        <v>42</v>
      </c>
      <c r="B5148">
        <v>32</v>
      </c>
      <c r="C5148" t="s">
        <v>16</v>
      </c>
      <c r="D5148" s="1">
        <v>46265</v>
      </c>
      <c r="E5148">
        <v>2749.7</v>
      </c>
      <c r="F5148">
        <v>135.27000000000001</v>
      </c>
      <c r="G5148">
        <v>82.61</v>
      </c>
      <c r="H5148">
        <v>222</v>
      </c>
      <c r="I5148" t="s">
        <v>41</v>
      </c>
      <c r="J5148">
        <v>2026</v>
      </c>
      <c r="K5148">
        <f t="shared" si="160"/>
        <v>52.660000000000011</v>
      </c>
      <c r="L5148" t="str">
        <f t="shared" si="161"/>
        <v>Banca Sarda|32|Conti</v>
      </c>
    </row>
    <row r="5149" spans="1:12" x14ac:dyDescent="0.25">
      <c r="A5149" t="s">
        <v>42</v>
      </c>
      <c r="B5149">
        <v>32</v>
      </c>
      <c r="C5149" t="s">
        <v>17</v>
      </c>
      <c r="D5149" s="1">
        <v>46265</v>
      </c>
      <c r="E5149">
        <v>3320.6</v>
      </c>
      <c r="F5149">
        <v>169.93</v>
      </c>
      <c r="G5149">
        <v>103.1</v>
      </c>
      <c r="H5149">
        <v>266</v>
      </c>
      <c r="I5149" t="s">
        <v>41</v>
      </c>
      <c r="J5149">
        <v>2026</v>
      </c>
      <c r="K5149">
        <f t="shared" si="160"/>
        <v>66.830000000000013</v>
      </c>
      <c r="L5149" t="str">
        <f t="shared" si="161"/>
        <v>Banca Sarda|32|Carte</v>
      </c>
    </row>
    <row r="5150" spans="1:12" x14ac:dyDescent="0.25">
      <c r="A5150" t="s">
        <v>42</v>
      </c>
      <c r="B5150">
        <v>32</v>
      </c>
      <c r="C5150" t="s">
        <v>18</v>
      </c>
      <c r="D5150" s="1">
        <v>46265</v>
      </c>
      <c r="E5150">
        <v>3900.5</v>
      </c>
      <c r="F5150">
        <v>207.35</v>
      </c>
      <c r="G5150">
        <v>125.81</v>
      </c>
      <c r="H5150">
        <v>313</v>
      </c>
      <c r="I5150" t="s">
        <v>41</v>
      </c>
      <c r="J5150">
        <v>2026</v>
      </c>
      <c r="K5150">
        <f t="shared" si="160"/>
        <v>81.539999999999992</v>
      </c>
      <c r="L5150" t="str">
        <f t="shared" si="161"/>
        <v>Banca Sarda|32|Leasing</v>
      </c>
    </row>
    <row r="5151" spans="1:12" x14ac:dyDescent="0.25">
      <c r="A5151" t="s">
        <v>42</v>
      </c>
      <c r="B5151">
        <v>32</v>
      </c>
      <c r="C5151" t="s">
        <v>19</v>
      </c>
      <c r="D5151" s="1">
        <v>46265</v>
      </c>
      <c r="E5151">
        <v>4526.3</v>
      </c>
      <c r="F5151">
        <v>249.57</v>
      </c>
      <c r="G5151">
        <v>149.63999999999999</v>
      </c>
      <c r="H5151">
        <v>384</v>
      </c>
      <c r="I5151" t="s">
        <v>41</v>
      </c>
      <c r="J5151">
        <v>2026</v>
      </c>
      <c r="K5151">
        <f t="shared" si="160"/>
        <v>99.93</v>
      </c>
      <c r="L5151" t="str">
        <f t="shared" si="161"/>
        <v>Banca Sarda|32|Factoring</v>
      </c>
    </row>
    <row r="5152" spans="1:12" x14ac:dyDescent="0.25">
      <c r="A5152" t="s">
        <v>42</v>
      </c>
      <c r="B5152">
        <v>32</v>
      </c>
      <c r="C5152" t="s">
        <v>20</v>
      </c>
      <c r="D5152" s="1">
        <v>46265</v>
      </c>
      <c r="E5152">
        <v>5107.3999999999996</v>
      </c>
      <c r="F5152">
        <v>291.37</v>
      </c>
      <c r="G5152">
        <v>173.93</v>
      </c>
      <c r="H5152">
        <v>435</v>
      </c>
      <c r="I5152" t="s">
        <v>41</v>
      </c>
      <c r="J5152">
        <v>2026</v>
      </c>
      <c r="K5152">
        <f t="shared" si="160"/>
        <v>117.44</v>
      </c>
      <c r="L5152" t="str">
        <f t="shared" si="161"/>
        <v>Banca Sarda|32|Risparmio</v>
      </c>
    </row>
    <row r="5153" spans="1:12" x14ac:dyDescent="0.25">
      <c r="A5153" t="s">
        <v>42</v>
      </c>
      <c r="B5153">
        <v>32</v>
      </c>
      <c r="C5153" t="s">
        <v>21</v>
      </c>
      <c r="D5153" s="1">
        <v>46265</v>
      </c>
      <c r="E5153">
        <v>5671.4</v>
      </c>
      <c r="F5153">
        <v>334.9</v>
      </c>
      <c r="G5153">
        <v>198.92</v>
      </c>
      <c r="H5153">
        <v>490</v>
      </c>
      <c r="I5153" t="s">
        <v>41</v>
      </c>
      <c r="J5153">
        <v>2026</v>
      </c>
      <c r="K5153">
        <f t="shared" si="160"/>
        <v>135.97999999999999</v>
      </c>
      <c r="L5153" t="str">
        <f t="shared" si="161"/>
        <v>Banca Sarda|32|Assicurazioni</v>
      </c>
    </row>
    <row r="5154" spans="1:12" x14ac:dyDescent="0.25">
      <c r="A5154" t="s">
        <v>42</v>
      </c>
      <c r="B5154">
        <v>33</v>
      </c>
      <c r="C5154" t="s">
        <v>13</v>
      </c>
      <c r="D5154" s="1">
        <v>46295</v>
      </c>
      <c r="E5154">
        <v>1609.8</v>
      </c>
      <c r="F5154">
        <v>72.58</v>
      </c>
      <c r="G5154">
        <v>45.11</v>
      </c>
      <c r="H5154">
        <v>145</v>
      </c>
      <c r="I5154" t="s">
        <v>41</v>
      </c>
      <c r="J5154">
        <v>2026</v>
      </c>
      <c r="K5154">
        <f t="shared" si="160"/>
        <v>27.47</v>
      </c>
      <c r="L5154" t="str">
        <f t="shared" si="161"/>
        <v>Banca Sarda|33|Mutui</v>
      </c>
    </row>
    <row r="5155" spans="1:12" x14ac:dyDescent="0.25">
      <c r="A5155" t="s">
        <v>42</v>
      </c>
      <c r="B5155">
        <v>33</v>
      </c>
      <c r="C5155" t="s">
        <v>15</v>
      </c>
      <c r="D5155" s="1">
        <v>46295</v>
      </c>
      <c r="E5155">
        <v>2185</v>
      </c>
      <c r="F5155">
        <v>103</v>
      </c>
      <c r="G5155">
        <v>64.349999999999994</v>
      </c>
      <c r="H5155">
        <v>187</v>
      </c>
      <c r="I5155" t="s">
        <v>41</v>
      </c>
      <c r="J5155">
        <v>2026</v>
      </c>
      <c r="K5155">
        <f t="shared" si="160"/>
        <v>38.650000000000006</v>
      </c>
      <c r="L5155" t="str">
        <f t="shared" si="161"/>
        <v>Banca Sarda|33|Prestiti</v>
      </c>
    </row>
    <row r="5156" spans="1:12" x14ac:dyDescent="0.25">
      <c r="A5156" t="s">
        <v>42</v>
      </c>
      <c r="B5156">
        <v>33</v>
      </c>
      <c r="C5156" t="s">
        <v>16</v>
      </c>
      <c r="D5156" s="1">
        <v>46295</v>
      </c>
      <c r="E5156">
        <v>2775.4</v>
      </c>
      <c r="F5156">
        <v>136.53</v>
      </c>
      <c r="G5156">
        <v>83.48</v>
      </c>
      <c r="H5156">
        <v>230</v>
      </c>
      <c r="I5156" t="s">
        <v>41</v>
      </c>
      <c r="J5156">
        <v>2026</v>
      </c>
      <c r="K5156">
        <f t="shared" si="160"/>
        <v>53.05</v>
      </c>
      <c r="L5156" t="str">
        <f t="shared" si="161"/>
        <v>Banca Sarda|33|Conti</v>
      </c>
    </row>
    <row r="5157" spans="1:12" x14ac:dyDescent="0.25">
      <c r="A5157" t="s">
        <v>42</v>
      </c>
      <c r="B5157">
        <v>33</v>
      </c>
      <c r="C5157" t="s">
        <v>17</v>
      </c>
      <c r="D5157" s="1">
        <v>46295</v>
      </c>
      <c r="E5157">
        <v>3362.8</v>
      </c>
      <c r="F5157">
        <v>171.85</v>
      </c>
      <c r="G5157">
        <v>104.91</v>
      </c>
      <c r="H5157">
        <v>268</v>
      </c>
      <c r="I5157" t="s">
        <v>41</v>
      </c>
      <c r="J5157">
        <v>2026</v>
      </c>
      <c r="K5157">
        <f t="shared" si="160"/>
        <v>66.94</v>
      </c>
      <c r="L5157" t="str">
        <f t="shared" si="161"/>
        <v>Banca Sarda|33|Carte</v>
      </c>
    </row>
    <row r="5158" spans="1:12" x14ac:dyDescent="0.25">
      <c r="A5158" t="s">
        <v>42</v>
      </c>
      <c r="B5158">
        <v>33</v>
      </c>
      <c r="C5158" t="s">
        <v>18</v>
      </c>
      <c r="D5158" s="1">
        <v>46295</v>
      </c>
      <c r="E5158">
        <v>3980.2</v>
      </c>
      <c r="F5158">
        <v>211.41</v>
      </c>
      <c r="G5158">
        <v>127.89</v>
      </c>
      <c r="H5158">
        <v>322</v>
      </c>
      <c r="I5158" t="s">
        <v>41</v>
      </c>
      <c r="J5158">
        <v>2026</v>
      </c>
      <c r="K5158">
        <f t="shared" si="160"/>
        <v>83.52</v>
      </c>
      <c r="L5158" t="str">
        <f t="shared" si="161"/>
        <v>Banca Sarda|33|Leasing</v>
      </c>
    </row>
    <row r="5159" spans="1:12" x14ac:dyDescent="0.25">
      <c r="A5159" t="s">
        <v>42</v>
      </c>
      <c r="B5159">
        <v>33</v>
      </c>
      <c r="C5159" t="s">
        <v>19</v>
      </c>
      <c r="D5159" s="1">
        <v>46295</v>
      </c>
      <c r="E5159">
        <v>4527.8</v>
      </c>
      <c r="F5159">
        <v>249.29</v>
      </c>
      <c r="G5159">
        <v>149.81</v>
      </c>
      <c r="H5159">
        <v>361</v>
      </c>
      <c r="I5159" t="s">
        <v>41</v>
      </c>
      <c r="J5159">
        <v>2026</v>
      </c>
      <c r="K5159">
        <f t="shared" si="160"/>
        <v>99.47999999999999</v>
      </c>
      <c r="L5159" t="str">
        <f t="shared" si="161"/>
        <v>Banca Sarda|33|Factoring</v>
      </c>
    </row>
    <row r="5160" spans="1:12" x14ac:dyDescent="0.25">
      <c r="A5160" t="s">
        <v>42</v>
      </c>
      <c r="B5160">
        <v>33</v>
      </c>
      <c r="C5160" t="s">
        <v>20</v>
      </c>
      <c r="D5160" s="1">
        <v>46295</v>
      </c>
      <c r="E5160">
        <v>5128.3999999999996</v>
      </c>
      <c r="F5160">
        <v>292.48</v>
      </c>
      <c r="G5160">
        <v>174.61</v>
      </c>
      <c r="H5160">
        <v>409</v>
      </c>
      <c r="I5160" t="s">
        <v>41</v>
      </c>
      <c r="J5160">
        <v>2026</v>
      </c>
      <c r="K5160">
        <f t="shared" si="160"/>
        <v>117.87</v>
      </c>
      <c r="L5160" t="str">
        <f t="shared" si="161"/>
        <v>Banca Sarda|33|Risparmio</v>
      </c>
    </row>
    <row r="5161" spans="1:12" x14ac:dyDescent="0.25">
      <c r="A5161" t="s">
        <v>42</v>
      </c>
      <c r="B5161">
        <v>33</v>
      </c>
      <c r="C5161" t="s">
        <v>21</v>
      </c>
      <c r="D5161" s="1">
        <v>46295</v>
      </c>
      <c r="E5161">
        <v>5717.2</v>
      </c>
      <c r="F5161">
        <v>337.9</v>
      </c>
      <c r="G5161">
        <v>200.59</v>
      </c>
      <c r="H5161">
        <v>467</v>
      </c>
      <c r="I5161" t="s">
        <v>41</v>
      </c>
      <c r="J5161">
        <v>2026</v>
      </c>
      <c r="K5161">
        <f t="shared" si="160"/>
        <v>137.30999999999997</v>
      </c>
      <c r="L5161" t="str">
        <f t="shared" si="161"/>
        <v>Banca Sarda|33|Assicurazioni</v>
      </c>
    </row>
    <row r="5162" spans="1:12" x14ac:dyDescent="0.25">
      <c r="A5162" t="s">
        <v>42</v>
      </c>
      <c r="B5162">
        <v>34</v>
      </c>
      <c r="C5162" t="s">
        <v>13</v>
      </c>
      <c r="D5162" s="1">
        <v>46326</v>
      </c>
      <c r="E5162">
        <v>1613.5</v>
      </c>
      <c r="F5162">
        <v>73.239999999999995</v>
      </c>
      <c r="G5162">
        <v>46.06</v>
      </c>
      <c r="H5162">
        <v>125</v>
      </c>
      <c r="I5162" t="s">
        <v>41</v>
      </c>
      <c r="J5162">
        <v>2026</v>
      </c>
      <c r="K5162">
        <f t="shared" si="160"/>
        <v>27.179999999999993</v>
      </c>
      <c r="L5162" t="str">
        <f t="shared" si="161"/>
        <v>Banca Sarda|34|Mutui</v>
      </c>
    </row>
    <row r="5163" spans="1:12" x14ac:dyDescent="0.25">
      <c r="A5163" t="s">
        <v>42</v>
      </c>
      <c r="B5163">
        <v>34</v>
      </c>
      <c r="C5163" t="s">
        <v>15</v>
      </c>
      <c r="D5163" s="1">
        <v>46326</v>
      </c>
      <c r="E5163">
        <v>2195.8000000000002</v>
      </c>
      <c r="F5163">
        <v>103.24</v>
      </c>
      <c r="G5163">
        <v>64.67</v>
      </c>
      <c r="H5163">
        <v>180</v>
      </c>
      <c r="I5163" t="s">
        <v>41</v>
      </c>
      <c r="J5163">
        <v>2026</v>
      </c>
      <c r="K5163">
        <f t="shared" si="160"/>
        <v>38.569999999999993</v>
      </c>
      <c r="L5163" t="str">
        <f t="shared" si="161"/>
        <v>Banca Sarda|34|Prestiti</v>
      </c>
    </row>
    <row r="5164" spans="1:12" x14ac:dyDescent="0.25">
      <c r="A5164" t="s">
        <v>42</v>
      </c>
      <c r="B5164">
        <v>34</v>
      </c>
      <c r="C5164" t="s">
        <v>16</v>
      </c>
      <c r="D5164" s="1">
        <v>46326</v>
      </c>
      <c r="E5164">
        <v>2759.6</v>
      </c>
      <c r="F5164">
        <v>135.85</v>
      </c>
      <c r="G5164">
        <v>83.14</v>
      </c>
      <c r="H5164">
        <v>258</v>
      </c>
      <c r="I5164" t="s">
        <v>41</v>
      </c>
      <c r="J5164">
        <v>2026</v>
      </c>
      <c r="K5164">
        <f t="shared" si="160"/>
        <v>52.709999999999994</v>
      </c>
      <c r="L5164" t="str">
        <f t="shared" si="161"/>
        <v>Banca Sarda|34|Conti</v>
      </c>
    </row>
    <row r="5165" spans="1:12" x14ac:dyDescent="0.25">
      <c r="A5165" t="s">
        <v>42</v>
      </c>
      <c r="B5165">
        <v>34</v>
      </c>
      <c r="C5165" t="s">
        <v>17</v>
      </c>
      <c r="D5165" s="1">
        <v>46326</v>
      </c>
      <c r="E5165">
        <v>3403.4</v>
      </c>
      <c r="F5165">
        <v>174.18</v>
      </c>
      <c r="G5165">
        <v>106.3</v>
      </c>
      <c r="H5165">
        <v>279</v>
      </c>
      <c r="I5165" t="s">
        <v>41</v>
      </c>
      <c r="J5165">
        <v>2026</v>
      </c>
      <c r="K5165">
        <f t="shared" si="160"/>
        <v>67.88000000000001</v>
      </c>
      <c r="L5165" t="str">
        <f t="shared" si="161"/>
        <v>Banca Sarda|34|Carte</v>
      </c>
    </row>
    <row r="5166" spans="1:12" x14ac:dyDescent="0.25">
      <c r="A5166" t="s">
        <v>42</v>
      </c>
      <c r="B5166">
        <v>34</v>
      </c>
      <c r="C5166" t="s">
        <v>18</v>
      </c>
      <c r="D5166" s="1">
        <v>46326</v>
      </c>
      <c r="E5166">
        <v>3962.6</v>
      </c>
      <c r="F5166">
        <v>210.93</v>
      </c>
      <c r="G5166">
        <v>127.75</v>
      </c>
      <c r="H5166">
        <v>317</v>
      </c>
      <c r="I5166" t="s">
        <v>41</v>
      </c>
      <c r="J5166">
        <v>2026</v>
      </c>
      <c r="K5166">
        <f t="shared" si="160"/>
        <v>83.18</v>
      </c>
      <c r="L5166" t="str">
        <f t="shared" si="161"/>
        <v>Banca Sarda|34|Leasing</v>
      </c>
    </row>
    <row r="5167" spans="1:12" x14ac:dyDescent="0.25">
      <c r="A5167" t="s">
        <v>42</v>
      </c>
      <c r="B5167">
        <v>34</v>
      </c>
      <c r="C5167" t="s">
        <v>19</v>
      </c>
      <c r="D5167" s="1">
        <v>46326</v>
      </c>
      <c r="E5167">
        <v>4595.8</v>
      </c>
      <c r="F5167">
        <v>253.06</v>
      </c>
      <c r="G5167">
        <v>151.82</v>
      </c>
      <c r="H5167">
        <v>363</v>
      </c>
      <c r="I5167" t="s">
        <v>41</v>
      </c>
      <c r="J5167">
        <v>2026</v>
      </c>
      <c r="K5167">
        <f t="shared" si="160"/>
        <v>101.24000000000001</v>
      </c>
      <c r="L5167" t="str">
        <f t="shared" si="161"/>
        <v>Banca Sarda|34|Factoring</v>
      </c>
    </row>
    <row r="5168" spans="1:12" x14ac:dyDescent="0.25">
      <c r="A5168" t="s">
        <v>42</v>
      </c>
      <c r="B5168">
        <v>34</v>
      </c>
      <c r="C5168" t="s">
        <v>20</v>
      </c>
      <c r="D5168" s="1">
        <v>46326</v>
      </c>
      <c r="E5168">
        <v>5154.5</v>
      </c>
      <c r="F5168">
        <v>294.66000000000003</v>
      </c>
      <c r="G5168">
        <v>175.57</v>
      </c>
      <c r="H5168">
        <v>415</v>
      </c>
      <c r="I5168" t="s">
        <v>41</v>
      </c>
      <c r="J5168">
        <v>2026</v>
      </c>
      <c r="K5168">
        <f t="shared" si="160"/>
        <v>119.09000000000003</v>
      </c>
      <c r="L5168" t="str">
        <f t="shared" si="161"/>
        <v>Banca Sarda|34|Risparmio</v>
      </c>
    </row>
    <row r="5169" spans="1:12" x14ac:dyDescent="0.25">
      <c r="A5169" t="s">
        <v>42</v>
      </c>
      <c r="B5169">
        <v>34</v>
      </c>
      <c r="C5169" t="s">
        <v>21</v>
      </c>
      <c r="D5169" s="1">
        <v>46326</v>
      </c>
      <c r="E5169">
        <v>5771.6</v>
      </c>
      <c r="F5169">
        <v>341.1</v>
      </c>
      <c r="G5169">
        <v>202.53</v>
      </c>
      <c r="H5169">
        <v>479</v>
      </c>
      <c r="I5169" t="s">
        <v>41</v>
      </c>
      <c r="J5169">
        <v>2026</v>
      </c>
      <c r="K5169">
        <f t="shared" si="160"/>
        <v>138.57000000000002</v>
      </c>
      <c r="L5169" t="str">
        <f t="shared" si="161"/>
        <v>Banca Sarda|34|Assicurazioni</v>
      </c>
    </row>
    <row r="5170" spans="1:12" x14ac:dyDescent="0.25">
      <c r="A5170" t="s">
        <v>42</v>
      </c>
      <c r="B5170">
        <v>35</v>
      </c>
      <c r="C5170" t="s">
        <v>13</v>
      </c>
      <c r="D5170" s="1">
        <v>46356</v>
      </c>
      <c r="E5170">
        <v>1593.5</v>
      </c>
      <c r="F5170">
        <v>71.97</v>
      </c>
      <c r="G5170">
        <v>44.8</v>
      </c>
      <c r="H5170">
        <v>164</v>
      </c>
      <c r="I5170" t="s">
        <v>41</v>
      </c>
      <c r="J5170">
        <v>2026</v>
      </c>
      <c r="K5170">
        <f t="shared" si="160"/>
        <v>27.17</v>
      </c>
      <c r="L5170" t="str">
        <f t="shared" si="161"/>
        <v>Banca Sarda|35|Mutui</v>
      </c>
    </row>
    <row r="5171" spans="1:12" x14ac:dyDescent="0.25">
      <c r="A5171" t="s">
        <v>42</v>
      </c>
      <c r="B5171">
        <v>35</v>
      </c>
      <c r="C5171" t="s">
        <v>15</v>
      </c>
      <c r="D5171" s="1">
        <v>46356</v>
      </c>
      <c r="E5171">
        <v>2216</v>
      </c>
      <c r="F5171">
        <v>104.96</v>
      </c>
      <c r="G5171">
        <v>64.53</v>
      </c>
      <c r="H5171">
        <v>180</v>
      </c>
      <c r="I5171" t="s">
        <v>41</v>
      </c>
      <c r="J5171">
        <v>2026</v>
      </c>
      <c r="K5171">
        <f t="shared" si="160"/>
        <v>40.429999999999993</v>
      </c>
      <c r="L5171" t="str">
        <f t="shared" si="161"/>
        <v>Banca Sarda|35|Prestiti</v>
      </c>
    </row>
    <row r="5172" spans="1:12" x14ac:dyDescent="0.25">
      <c r="A5172" t="s">
        <v>42</v>
      </c>
      <c r="B5172">
        <v>35</v>
      </c>
      <c r="C5172" t="s">
        <v>16</v>
      </c>
      <c r="D5172" s="1">
        <v>46356</v>
      </c>
      <c r="E5172">
        <v>2826.3</v>
      </c>
      <c r="F5172">
        <v>139.28</v>
      </c>
      <c r="G5172">
        <v>84.93</v>
      </c>
      <c r="H5172">
        <v>224</v>
      </c>
      <c r="I5172" t="s">
        <v>41</v>
      </c>
      <c r="J5172">
        <v>2026</v>
      </c>
      <c r="K5172">
        <f t="shared" si="160"/>
        <v>54.349999999999994</v>
      </c>
      <c r="L5172" t="str">
        <f t="shared" si="161"/>
        <v>Banca Sarda|35|Conti</v>
      </c>
    </row>
    <row r="5173" spans="1:12" x14ac:dyDescent="0.25">
      <c r="A5173" t="s">
        <v>42</v>
      </c>
      <c r="B5173">
        <v>35</v>
      </c>
      <c r="C5173" t="s">
        <v>17</v>
      </c>
      <c r="D5173" s="1">
        <v>46356</v>
      </c>
      <c r="E5173">
        <v>3395.9</v>
      </c>
      <c r="F5173">
        <v>173.88</v>
      </c>
      <c r="G5173">
        <v>106.05</v>
      </c>
      <c r="H5173">
        <v>273</v>
      </c>
      <c r="I5173" t="s">
        <v>41</v>
      </c>
      <c r="J5173">
        <v>2026</v>
      </c>
      <c r="K5173">
        <f t="shared" si="160"/>
        <v>67.83</v>
      </c>
      <c r="L5173" t="str">
        <f t="shared" si="161"/>
        <v>Banca Sarda|35|Carte</v>
      </c>
    </row>
    <row r="5174" spans="1:12" x14ac:dyDescent="0.25">
      <c r="A5174" t="s">
        <v>42</v>
      </c>
      <c r="B5174">
        <v>35</v>
      </c>
      <c r="C5174" t="s">
        <v>18</v>
      </c>
      <c r="D5174" s="1">
        <v>46356</v>
      </c>
      <c r="E5174">
        <v>4029.6</v>
      </c>
      <c r="F5174">
        <v>214.44</v>
      </c>
      <c r="G5174">
        <v>129.86000000000001</v>
      </c>
      <c r="H5174">
        <v>314</v>
      </c>
      <c r="I5174" t="s">
        <v>41</v>
      </c>
      <c r="J5174">
        <v>2026</v>
      </c>
      <c r="K5174">
        <f t="shared" si="160"/>
        <v>84.579999999999984</v>
      </c>
      <c r="L5174" t="str">
        <f t="shared" si="161"/>
        <v>Banca Sarda|35|Leasing</v>
      </c>
    </row>
    <row r="5175" spans="1:12" x14ac:dyDescent="0.25">
      <c r="A5175" t="s">
        <v>42</v>
      </c>
      <c r="B5175">
        <v>35</v>
      </c>
      <c r="C5175" t="s">
        <v>19</v>
      </c>
      <c r="D5175" s="1">
        <v>46356</v>
      </c>
      <c r="E5175">
        <v>4614.6000000000004</v>
      </c>
      <c r="F5175">
        <v>254.11</v>
      </c>
      <c r="G5175">
        <v>152.41999999999999</v>
      </c>
      <c r="H5175">
        <v>379</v>
      </c>
      <c r="I5175" t="s">
        <v>41</v>
      </c>
      <c r="J5175">
        <v>2026</v>
      </c>
      <c r="K5175">
        <f t="shared" si="160"/>
        <v>101.69000000000003</v>
      </c>
      <c r="L5175" t="str">
        <f t="shared" si="161"/>
        <v>Banca Sarda|35|Factoring</v>
      </c>
    </row>
    <row r="5176" spans="1:12" x14ac:dyDescent="0.25">
      <c r="A5176" t="s">
        <v>42</v>
      </c>
      <c r="B5176">
        <v>35</v>
      </c>
      <c r="C5176" t="s">
        <v>20</v>
      </c>
      <c r="D5176" s="1">
        <v>46356</v>
      </c>
      <c r="E5176">
        <v>5197.3999999999996</v>
      </c>
      <c r="F5176">
        <v>296.33</v>
      </c>
      <c r="G5176">
        <v>176.88</v>
      </c>
      <c r="H5176">
        <v>446</v>
      </c>
      <c r="I5176" t="s">
        <v>41</v>
      </c>
      <c r="J5176">
        <v>2026</v>
      </c>
      <c r="K5176">
        <f t="shared" si="160"/>
        <v>119.44999999999999</v>
      </c>
      <c r="L5176" t="str">
        <f t="shared" si="161"/>
        <v>Banca Sarda|35|Risparmio</v>
      </c>
    </row>
    <row r="5177" spans="1:12" x14ac:dyDescent="0.25">
      <c r="A5177" t="s">
        <v>42</v>
      </c>
      <c r="B5177">
        <v>35</v>
      </c>
      <c r="C5177" t="s">
        <v>21</v>
      </c>
      <c r="D5177" s="1">
        <v>46356</v>
      </c>
      <c r="E5177">
        <v>5825.7</v>
      </c>
      <c r="F5177">
        <v>344.45</v>
      </c>
      <c r="G5177">
        <v>204.85</v>
      </c>
      <c r="H5177">
        <v>469</v>
      </c>
      <c r="I5177" t="s">
        <v>41</v>
      </c>
      <c r="J5177">
        <v>2026</v>
      </c>
      <c r="K5177">
        <f t="shared" si="160"/>
        <v>139.6</v>
      </c>
      <c r="L5177" t="str">
        <f t="shared" si="161"/>
        <v>Banca Sarda|35|Assicurazioni</v>
      </c>
    </row>
    <row r="5178" spans="1:12" x14ac:dyDescent="0.25">
      <c r="A5178" t="s">
        <v>42</v>
      </c>
      <c r="B5178">
        <v>36</v>
      </c>
      <c r="C5178" t="s">
        <v>13</v>
      </c>
      <c r="D5178" s="1">
        <v>46387</v>
      </c>
      <c r="E5178">
        <v>1619.9</v>
      </c>
      <c r="F5178">
        <v>72.930000000000007</v>
      </c>
      <c r="G5178">
        <v>46.3</v>
      </c>
      <c r="H5178">
        <v>132</v>
      </c>
      <c r="I5178" t="s">
        <v>41</v>
      </c>
      <c r="J5178">
        <v>2026</v>
      </c>
      <c r="K5178">
        <f t="shared" si="160"/>
        <v>26.63000000000001</v>
      </c>
      <c r="L5178" t="str">
        <f t="shared" si="161"/>
        <v>Banca Sarda|36|Mutui</v>
      </c>
    </row>
    <row r="5179" spans="1:12" x14ac:dyDescent="0.25">
      <c r="A5179" t="s">
        <v>42</v>
      </c>
      <c r="B5179">
        <v>36</v>
      </c>
      <c r="C5179" t="s">
        <v>15</v>
      </c>
      <c r="D5179" s="1">
        <v>46387</v>
      </c>
      <c r="E5179">
        <v>2214.1999999999998</v>
      </c>
      <c r="F5179">
        <v>104.78</v>
      </c>
      <c r="G5179">
        <v>64.400000000000006</v>
      </c>
      <c r="H5179">
        <v>206</v>
      </c>
      <c r="I5179" t="s">
        <v>41</v>
      </c>
      <c r="J5179">
        <v>2026</v>
      </c>
      <c r="K5179">
        <f t="shared" si="160"/>
        <v>40.379999999999995</v>
      </c>
      <c r="L5179" t="str">
        <f t="shared" si="161"/>
        <v>Banca Sarda|36|Prestiti</v>
      </c>
    </row>
    <row r="5180" spans="1:12" x14ac:dyDescent="0.25">
      <c r="A5180" t="s">
        <v>42</v>
      </c>
      <c r="B5180">
        <v>36</v>
      </c>
      <c r="C5180" t="s">
        <v>16</v>
      </c>
      <c r="D5180" s="1">
        <v>46387</v>
      </c>
      <c r="E5180">
        <v>2850.9</v>
      </c>
      <c r="F5180">
        <v>140.49</v>
      </c>
      <c r="G5180">
        <v>85.85</v>
      </c>
      <c r="H5180">
        <v>247</v>
      </c>
      <c r="I5180" t="s">
        <v>41</v>
      </c>
      <c r="J5180">
        <v>2026</v>
      </c>
      <c r="K5180">
        <f t="shared" si="160"/>
        <v>54.640000000000015</v>
      </c>
      <c r="L5180" t="str">
        <f t="shared" si="161"/>
        <v>Banca Sarda|36|Conti</v>
      </c>
    </row>
    <row r="5181" spans="1:12" x14ac:dyDescent="0.25">
      <c r="A5181" t="s">
        <v>42</v>
      </c>
      <c r="B5181">
        <v>36</v>
      </c>
      <c r="C5181" t="s">
        <v>17</v>
      </c>
      <c r="D5181" s="1">
        <v>46387</v>
      </c>
      <c r="E5181">
        <v>3447.2</v>
      </c>
      <c r="F5181">
        <v>176.16</v>
      </c>
      <c r="G5181">
        <v>107.01</v>
      </c>
      <c r="H5181">
        <v>279</v>
      </c>
      <c r="I5181" t="s">
        <v>41</v>
      </c>
      <c r="J5181">
        <v>2026</v>
      </c>
      <c r="K5181">
        <f t="shared" si="160"/>
        <v>69.149999999999991</v>
      </c>
      <c r="L5181" t="str">
        <f t="shared" si="161"/>
        <v>Banca Sarda|36|Carte</v>
      </c>
    </row>
    <row r="5182" spans="1:12" x14ac:dyDescent="0.25">
      <c r="A5182" t="s">
        <v>42</v>
      </c>
      <c r="B5182">
        <v>36</v>
      </c>
      <c r="C5182" t="s">
        <v>18</v>
      </c>
      <c r="D5182" s="1">
        <v>46387</v>
      </c>
      <c r="E5182">
        <v>4002</v>
      </c>
      <c r="F5182">
        <v>212.78</v>
      </c>
      <c r="G5182">
        <v>128.84</v>
      </c>
      <c r="H5182">
        <v>348</v>
      </c>
      <c r="I5182" t="s">
        <v>41</v>
      </c>
      <c r="J5182">
        <v>2026</v>
      </c>
      <c r="K5182">
        <f t="shared" si="160"/>
        <v>83.94</v>
      </c>
      <c r="L5182" t="str">
        <f t="shared" si="161"/>
        <v>Banca Sarda|36|Leasing</v>
      </c>
    </row>
    <row r="5183" spans="1:12" x14ac:dyDescent="0.25">
      <c r="A5183" t="s">
        <v>42</v>
      </c>
      <c r="B5183">
        <v>36</v>
      </c>
      <c r="C5183" t="s">
        <v>19</v>
      </c>
      <c r="D5183" s="1">
        <v>46387</v>
      </c>
      <c r="E5183">
        <v>4612.3</v>
      </c>
      <c r="F5183">
        <v>254.3</v>
      </c>
      <c r="G5183">
        <v>152.36000000000001</v>
      </c>
      <c r="H5183">
        <v>373</v>
      </c>
      <c r="I5183" t="s">
        <v>41</v>
      </c>
      <c r="J5183">
        <v>2026</v>
      </c>
      <c r="K5183">
        <f t="shared" si="160"/>
        <v>101.94</v>
      </c>
      <c r="L5183" t="str">
        <f t="shared" si="161"/>
        <v>Banca Sarda|36|Factoring</v>
      </c>
    </row>
    <row r="5184" spans="1:12" x14ac:dyDescent="0.25">
      <c r="A5184" t="s">
        <v>42</v>
      </c>
      <c r="B5184">
        <v>36</v>
      </c>
      <c r="C5184" t="s">
        <v>20</v>
      </c>
      <c r="D5184" s="1">
        <v>46387</v>
      </c>
      <c r="E5184">
        <v>5217</v>
      </c>
      <c r="F5184">
        <v>298.11</v>
      </c>
      <c r="G5184">
        <v>177.76</v>
      </c>
      <c r="H5184">
        <v>430</v>
      </c>
      <c r="I5184" t="s">
        <v>41</v>
      </c>
      <c r="J5184">
        <v>2026</v>
      </c>
      <c r="K5184">
        <f t="shared" si="160"/>
        <v>120.35000000000002</v>
      </c>
      <c r="L5184" t="str">
        <f t="shared" si="161"/>
        <v>Banca Sarda|36|Risparmio</v>
      </c>
    </row>
    <row r="5185" spans="1:12" x14ac:dyDescent="0.25">
      <c r="A5185" t="s">
        <v>42</v>
      </c>
      <c r="B5185">
        <v>36</v>
      </c>
      <c r="C5185" t="s">
        <v>21</v>
      </c>
      <c r="D5185" s="1">
        <v>46387</v>
      </c>
      <c r="E5185">
        <v>5815.2</v>
      </c>
      <c r="F5185">
        <v>344.02</v>
      </c>
      <c r="G5185">
        <v>204.25</v>
      </c>
      <c r="H5185">
        <v>477</v>
      </c>
      <c r="I5185" t="s">
        <v>41</v>
      </c>
      <c r="J5185">
        <v>2026</v>
      </c>
      <c r="K5185">
        <f t="shared" si="160"/>
        <v>139.76999999999998</v>
      </c>
      <c r="L5185" t="str">
        <f t="shared" si="161"/>
        <v>Banca Sarda|36|Assicurazioni</v>
      </c>
    </row>
    <row r="5186" spans="1:12" x14ac:dyDescent="0.25">
      <c r="A5186" t="s">
        <v>43</v>
      </c>
      <c r="B5186">
        <v>1</v>
      </c>
      <c r="C5186" t="s">
        <v>13</v>
      </c>
      <c r="D5186" s="1">
        <v>45322</v>
      </c>
      <c r="E5186">
        <v>1289.8</v>
      </c>
      <c r="F5186">
        <v>58.16</v>
      </c>
      <c r="G5186">
        <v>36.39</v>
      </c>
      <c r="H5186">
        <v>150</v>
      </c>
      <c r="I5186" t="s">
        <v>23</v>
      </c>
      <c r="J5186">
        <v>2024</v>
      </c>
      <c r="K5186">
        <f t="shared" ref="K5186:K5249" si="162">F5186-G5186</f>
        <v>21.769999999999996</v>
      </c>
      <c r="L5186" t="str">
        <f t="shared" ref="L5186:L5249" si="163">A5186&amp;"|"&amp;B5186&amp;"|"&amp;C5186</f>
        <v>Banca Romagnola|1|Mutui</v>
      </c>
    </row>
    <row r="5187" spans="1:12" x14ac:dyDescent="0.25">
      <c r="A5187" t="s">
        <v>43</v>
      </c>
      <c r="B5187">
        <v>1</v>
      </c>
      <c r="C5187" t="s">
        <v>15</v>
      </c>
      <c r="D5187" s="1">
        <v>45322</v>
      </c>
      <c r="E5187">
        <v>1813.6</v>
      </c>
      <c r="F5187">
        <v>86</v>
      </c>
      <c r="G5187">
        <v>53.05</v>
      </c>
      <c r="H5187">
        <v>185</v>
      </c>
      <c r="I5187" t="s">
        <v>23</v>
      </c>
      <c r="J5187">
        <v>2024</v>
      </c>
      <c r="K5187">
        <f t="shared" si="162"/>
        <v>32.950000000000003</v>
      </c>
      <c r="L5187" t="str">
        <f t="shared" si="163"/>
        <v>Banca Romagnola|1|Prestiti</v>
      </c>
    </row>
    <row r="5188" spans="1:12" x14ac:dyDescent="0.25">
      <c r="A5188" t="s">
        <v>43</v>
      </c>
      <c r="B5188">
        <v>1</v>
      </c>
      <c r="C5188" t="s">
        <v>16</v>
      </c>
      <c r="D5188" s="1">
        <v>45322</v>
      </c>
      <c r="E5188">
        <v>2290.4</v>
      </c>
      <c r="F5188">
        <v>112.81</v>
      </c>
      <c r="G5188">
        <v>69.31</v>
      </c>
      <c r="H5188">
        <v>243</v>
      </c>
      <c r="I5188" t="s">
        <v>23</v>
      </c>
      <c r="J5188">
        <v>2024</v>
      </c>
      <c r="K5188">
        <f t="shared" si="162"/>
        <v>43.5</v>
      </c>
      <c r="L5188" t="str">
        <f t="shared" si="163"/>
        <v>Banca Romagnola|1|Conti</v>
      </c>
    </row>
    <row r="5189" spans="1:12" x14ac:dyDescent="0.25">
      <c r="A5189" t="s">
        <v>43</v>
      </c>
      <c r="B5189">
        <v>1</v>
      </c>
      <c r="C5189" t="s">
        <v>17</v>
      </c>
      <c r="D5189" s="1">
        <v>45322</v>
      </c>
      <c r="E5189">
        <v>2812.5</v>
      </c>
      <c r="F5189">
        <v>143.69</v>
      </c>
      <c r="G5189">
        <v>87.25</v>
      </c>
      <c r="H5189">
        <v>281</v>
      </c>
      <c r="I5189" t="s">
        <v>23</v>
      </c>
      <c r="J5189">
        <v>2024</v>
      </c>
      <c r="K5189">
        <f t="shared" si="162"/>
        <v>56.44</v>
      </c>
      <c r="L5189" t="str">
        <f t="shared" si="163"/>
        <v>Banca Romagnola|1|Carte</v>
      </c>
    </row>
    <row r="5190" spans="1:12" x14ac:dyDescent="0.25">
      <c r="A5190" t="s">
        <v>43</v>
      </c>
      <c r="B5190">
        <v>1</v>
      </c>
      <c r="C5190" t="s">
        <v>18</v>
      </c>
      <c r="D5190" s="1">
        <v>45322</v>
      </c>
      <c r="E5190">
        <v>3311.1</v>
      </c>
      <c r="F5190">
        <v>176.05</v>
      </c>
      <c r="G5190">
        <v>106.82</v>
      </c>
      <c r="H5190">
        <v>356</v>
      </c>
      <c r="I5190" t="s">
        <v>23</v>
      </c>
      <c r="J5190">
        <v>2024</v>
      </c>
      <c r="K5190">
        <f t="shared" si="162"/>
        <v>69.230000000000018</v>
      </c>
      <c r="L5190" t="str">
        <f t="shared" si="163"/>
        <v>Banca Romagnola|1|Leasing</v>
      </c>
    </row>
    <row r="5191" spans="1:12" x14ac:dyDescent="0.25">
      <c r="A5191" t="s">
        <v>43</v>
      </c>
      <c r="B5191">
        <v>1</v>
      </c>
      <c r="C5191" t="s">
        <v>19</v>
      </c>
      <c r="D5191" s="1">
        <v>45322</v>
      </c>
      <c r="E5191">
        <v>3768</v>
      </c>
      <c r="F5191">
        <v>207.65</v>
      </c>
      <c r="G5191">
        <v>125.09</v>
      </c>
      <c r="H5191">
        <v>403</v>
      </c>
      <c r="I5191" t="s">
        <v>23</v>
      </c>
      <c r="J5191">
        <v>2024</v>
      </c>
      <c r="K5191">
        <f t="shared" si="162"/>
        <v>82.56</v>
      </c>
      <c r="L5191" t="str">
        <f t="shared" si="163"/>
        <v>Banca Romagnola|1|Factoring</v>
      </c>
    </row>
    <row r="5192" spans="1:12" x14ac:dyDescent="0.25">
      <c r="A5192" t="s">
        <v>43</v>
      </c>
      <c r="B5192">
        <v>1</v>
      </c>
      <c r="C5192" t="s">
        <v>20</v>
      </c>
      <c r="D5192" s="1">
        <v>45322</v>
      </c>
      <c r="E5192">
        <v>4273.3999999999996</v>
      </c>
      <c r="F5192">
        <v>244.21</v>
      </c>
      <c r="G5192">
        <v>145.87</v>
      </c>
      <c r="H5192">
        <v>437</v>
      </c>
      <c r="I5192" t="s">
        <v>23</v>
      </c>
      <c r="J5192">
        <v>2024</v>
      </c>
      <c r="K5192">
        <f t="shared" si="162"/>
        <v>98.34</v>
      </c>
      <c r="L5192" t="str">
        <f t="shared" si="163"/>
        <v>Banca Romagnola|1|Risparmio</v>
      </c>
    </row>
    <row r="5193" spans="1:12" x14ac:dyDescent="0.25">
      <c r="A5193" t="s">
        <v>43</v>
      </c>
      <c r="B5193">
        <v>1</v>
      </c>
      <c r="C5193" t="s">
        <v>21</v>
      </c>
      <c r="D5193" s="1">
        <v>45322</v>
      </c>
      <c r="E5193">
        <v>4746.3</v>
      </c>
      <c r="F5193">
        <v>280.43</v>
      </c>
      <c r="G5193">
        <v>166.4</v>
      </c>
      <c r="H5193">
        <v>487</v>
      </c>
      <c r="I5193" t="s">
        <v>23</v>
      </c>
      <c r="J5193">
        <v>2024</v>
      </c>
      <c r="K5193">
        <f t="shared" si="162"/>
        <v>114.03</v>
      </c>
      <c r="L5193" t="str">
        <f t="shared" si="163"/>
        <v>Banca Romagnola|1|Assicurazioni</v>
      </c>
    </row>
    <row r="5194" spans="1:12" x14ac:dyDescent="0.25">
      <c r="A5194" t="s">
        <v>43</v>
      </c>
      <c r="B5194">
        <v>2</v>
      </c>
      <c r="C5194" t="s">
        <v>13</v>
      </c>
      <c r="D5194" s="1">
        <v>45351</v>
      </c>
      <c r="E5194">
        <v>1307.2</v>
      </c>
      <c r="F5194">
        <v>58.98</v>
      </c>
      <c r="G5194">
        <v>36.630000000000003</v>
      </c>
      <c r="H5194">
        <v>133</v>
      </c>
      <c r="I5194" t="s">
        <v>23</v>
      </c>
      <c r="J5194">
        <v>2024</v>
      </c>
      <c r="K5194">
        <f t="shared" si="162"/>
        <v>22.349999999999994</v>
      </c>
      <c r="L5194" t="str">
        <f t="shared" si="163"/>
        <v>Banca Romagnola|2|Mutui</v>
      </c>
    </row>
    <row r="5195" spans="1:12" x14ac:dyDescent="0.25">
      <c r="A5195" t="s">
        <v>43</v>
      </c>
      <c r="B5195">
        <v>2</v>
      </c>
      <c r="C5195" t="s">
        <v>15</v>
      </c>
      <c r="D5195" s="1">
        <v>45351</v>
      </c>
      <c r="E5195">
        <v>1810.2</v>
      </c>
      <c r="F5195">
        <v>85.22</v>
      </c>
      <c r="G5195">
        <v>52.52</v>
      </c>
      <c r="H5195">
        <v>213</v>
      </c>
      <c r="I5195" t="s">
        <v>23</v>
      </c>
      <c r="J5195">
        <v>2024</v>
      </c>
      <c r="K5195">
        <f t="shared" si="162"/>
        <v>32.699999999999996</v>
      </c>
      <c r="L5195" t="str">
        <f t="shared" si="163"/>
        <v>Banca Romagnola|2|Prestiti</v>
      </c>
    </row>
    <row r="5196" spans="1:12" x14ac:dyDescent="0.25">
      <c r="A5196" t="s">
        <v>43</v>
      </c>
      <c r="B5196">
        <v>2</v>
      </c>
      <c r="C5196" t="s">
        <v>16</v>
      </c>
      <c r="D5196" s="1">
        <v>45351</v>
      </c>
      <c r="E5196">
        <v>2342</v>
      </c>
      <c r="F5196">
        <v>115.62</v>
      </c>
      <c r="G5196">
        <v>70.900000000000006</v>
      </c>
      <c r="H5196">
        <v>259</v>
      </c>
      <c r="I5196" t="s">
        <v>23</v>
      </c>
      <c r="J5196">
        <v>2024</v>
      </c>
      <c r="K5196">
        <f t="shared" si="162"/>
        <v>44.72</v>
      </c>
      <c r="L5196" t="str">
        <f t="shared" si="163"/>
        <v>Banca Romagnola|2|Conti</v>
      </c>
    </row>
    <row r="5197" spans="1:12" x14ac:dyDescent="0.25">
      <c r="A5197" t="s">
        <v>43</v>
      </c>
      <c r="B5197">
        <v>2</v>
      </c>
      <c r="C5197" t="s">
        <v>17</v>
      </c>
      <c r="D5197" s="1">
        <v>45351</v>
      </c>
      <c r="E5197">
        <v>2792.9</v>
      </c>
      <c r="F5197">
        <v>142.69</v>
      </c>
      <c r="G5197">
        <v>87.13</v>
      </c>
      <c r="H5197">
        <v>289</v>
      </c>
      <c r="I5197" t="s">
        <v>23</v>
      </c>
      <c r="J5197">
        <v>2024</v>
      </c>
      <c r="K5197">
        <f t="shared" si="162"/>
        <v>55.56</v>
      </c>
      <c r="L5197" t="str">
        <f t="shared" si="163"/>
        <v>Banca Romagnola|2|Carte</v>
      </c>
    </row>
    <row r="5198" spans="1:12" x14ac:dyDescent="0.25">
      <c r="A5198" t="s">
        <v>43</v>
      </c>
      <c r="B5198">
        <v>2</v>
      </c>
      <c r="C5198" t="s">
        <v>18</v>
      </c>
      <c r="D5198" s="1">
        <v>45351</v>
      </c>
      <c r="E5198">
        <v>3316.8</v>
      </c>
      <c r="F5198">
        <v>175.8</v>
      </c>
      <c r="G5198">
        <v>106.91</v>
      </c>
      <c r="H5198">
        <v>356</v>
      </c>
      <c r="I5198" t="s">
        <v>23</v>
      </c>
      <c r="J5198">
        <v>2024</v>
      </c>
      <c r="K5198">
        <f t="shared" si="162"/>
        <v>68.890000000000015</v>
      </c>
      <c r="L5198" t="str">
        <f t="shared" si="163"/>
        <v>Banca Romagnola|2|Leasing</v>
      </c>
    </row>
    <row r="5199" spans="1:12" x14ac:dyDescent="0.25">
      <c r="A5199" t="s">
        <v>43</v>
      </c>
      <c r="B5199">
        <v>2</v>
      </c>
      <c r="C5199" t="s">
        <v>19</v>
      </c>
      <c r="D5199" s="1">
        <v>45351</v>
      </c>
      <c r="E5199">
        <v>3824.2</v>
      </c>
      <c r="F5199">
        <v>210.35</v>
      </c>
      <c r="G5199">
        <v>126.49</v>
      </c>
      <c r="H5199">
        <v>388</v>
      </c>
      <c r="I5199" t="s">
        <v>23</v>
      </c>
      <c r="J5199">
        <v>2024</v>
      </c>
      <c r="K5199">
        <f t="shared" si="162"/>
        <v>83.86</v>
      </c>
      <c r="L5199" t="str">
        <f t="shared" si="163"/>
        <v>Banca Romagnola|2|Factoring</v>
      </c>
    </row>
    <row r="5200" spans="1:12" x14ac:dyDescent="0.25">
      <c r="A5200" t="s">
        <v>43</v>
      </c>
      <c r="B5200">
        <v>2</v>
      </c>
      <c r="C5200" t="s">
        <v>20</v>
      </c>
      <c r="D5200" s="1">
        <v>45351</v>
      </c>
      <c r="E5200">
        <v>4343.5</v>
      </c>
      <c r="F5200">
        <v>248.55</v>
      </c>
      <c r="G5200">
        <v>148.4</v>
      </c>
      <c r="H5200">
        <v>461</v>
      </c>
      <c r="I5200" t="s">
        <v>23</v>
      </c>
      <c r="J5200">
        <v>2024</v>
      </c>
      <c r="K5200">
        <f t="shared" si="162"/>
        <v>100.15</v>
      </c>
      <c r="L5200" t="str">
        <f t="shared" si="163"/>
        <v>Banca Romagnola|2|Risparmio</v>
      </c>
    </row>
    <row r="5201" spans="1:12" x14ac:dyDescent="0.25">
      <c r="A5201" t="s">
        <v>43</v>
      </c>
      <c r="B5201">
        <v>2</v>
      </c>
      <c r="C5201" t="s">
        <v>21</v>
      </c>
      <c r="D5201" s="1">
        <v>45351</v>
      </c>
      <c r="E5201">
        <v>4837.3</v>
      </c>
      <c r="F5201">
        <v>285.93</v>
      </c>
      <c r="G5201">
        <v>170.1</v>
      </c>
      <c r="H5201">
        <v>492</v>
      </c>
      <c r="I5201" t="s">
        <v>23</v>
      </c>
      <c r="J5201">
        <v>2024</v>
      </c>
      <c r="K5201">
        <f t="shared" si="162"/>
        <v>115.83000000000001</v>
      </c>
      <c r="L5201" t="str">
        <f t="shared" si="163"/>
        <v>Banca Romagnola|2|Assicurazioni</v>
      </c>
    </row>
    <row r="5202" spans="1:12" x14ac:dyDescent="0.25">
      <c r="A5202" t="s">
        <v>43</v>
      </c>
      <c r="B5202">
        <v>3</v>
      </c>
      <c r="C5202" t="s">
        <v>13</v>
      </c>
      <c r="D5202" s="1">
        <v>45382</v>
      </c>
      <c r="E5202">
        <v>1308.7</v>
      </c>
      <c r="F5202">
        <v>59.28</v>
      </c>
      <c r="G5202">
        <v>37.56</v>
      </c>
      <c r="H5202">
        <v>165</v>
      </c>
      <c r="I5202" t="s">
        <v>23</v>
      </c>
      <c r="J5202">
        <v>2024</v>
      </c>
      <c r="K5202">
        <f t="shared" si="162"/>
        <v>21.72</v>
      </c>
      <c r="L5202" t="str">
        <f t="shared" si="163"/>
        <v>Banca Romagnola|3|Mutui</v>
      </c>
    </row>
    <row r="5203" spans="1:12" x14ac:dyDescent="0.25">
      <c r="A5203" t="s">
        <v>43</v>
      </c>
      <c r="B5203">
        <v>3</v>
      </c>
      <c r="C5203" t="s">
        <v>15</v>
      </c>
      <c r="D5203" s="1">
        <v>45382</v>
      </c>
      <c r="E5203">
        <v>1819.2</v>
      </c>
      <c r="F5203">
        <v>86.49</v>
      </c>
      <c r="G5203">
        <v>53.56</v>
      </c>
      <c r="H5203">
        <v>190</v>
      </c>
      <c r="I5203" t="s">
        <v>23</v>
      </c>
      <c r="J5203">
        <v>2024</v>
      </c>
      <c r="K5203">
        <f t="shared" si="162"/>
        <v>32.929999999999993</v>
      </c>
      <c r="L5203" t="str">
        <f t="shared" si="163"/>
        <v>Banca Romagnola|3|Prestiti</v>
      </c>
    </row>
    <row r="5204" spans="1:12" x14ac:dyDescent="0.25">
      <c r="A5204" t="s">
        <v>43</v>
      </c>
      <c r="B5204">
        <v>3</v>
      </c>
      <c r="C5204" t="s">
        <v>16</v>
      </c>
      <c r="D5204" s="1">
        <v>45382</v>
      </c>
      <c r="E5204">
        <v>2347.6</v>
      </c>
      <c r="F5204">
        <v>115.88</v>
      </c>
      <c r="G5204">
        <v>71.41</v>
      </c>
      <c r="H5204">
        <v>263</v>
      </c>
      <c r="I5204" t="s">
        <v>23</v>
      </c>
      <c r="J5204">
        <v>2024</v>
      </c>
      <c r="K5204">
        <f t="shared" si="162"/>
        <v>44.47</v>
      </c>
      <c r="L5204" t="str">
        <f t="shared" si="163"/>
        <v>Banca Romagnola|3|Conti</v>
      </c>
    </row>
    <row r="5205" spans="1:12" x14ac:dyDescent="0.25">
      <c r="A5205" t="s">
        <v>43</v>
      </c>
      <c r="B5205">
        <v>3</v>
      </c>
      <c r="C5205" t="s">
        <v>17</v>
      </c>
      <c r="D5205" s="1">
        <v>45382</v>
      </c>
      <c r="E5205">
        <v>2850.6</v>
      </c>
      <c r="F5205">
        <v>145.77000000000001</v>
      </c>
      <c r="G5205">
        <v>88.66</v>
      </c>
      <c r="H5205">
        <v>294</v>
      </c>
      <c r="I5205" t="s">
        <v>23</v>
      </c>
      <c r="J5205">
        <v>2024</v>
      </c>
      <c r="K5205">
        <f t="shared" si="162"/>
        <v>57.110000000000014</v>
      </c>
      <c r="L5205" t="str">
        <f t="shared" si="163"/>
        <v>Banca Romagnola|3|Carte</v>
      </c>
    </row>
    <row r="5206" spans="1:12" x14ac:dyDescent="0.25">
      <c r="A5206" t="s">
        <v>43</v>
      </c>
      <c r="B5206">
        <v>3</v>
      </c>
      <c r="C5206" t="s">
        <v>18</v>
      </c>
      <c r="D5206" s="1">
        <v>45382</v>
      </c>
      <c r="E5206">
        <v>3314.6</v>
      </c>
      <c r="F5206">
        <v>176.53</v>
      </c>
      <c r="G5206">
        <v>106.77</v>
      </c>
      <c r="H5206">
        <v>360</v>
      </c>
      <c r="I5206" t="s">
        <v>23</v>
      </c>
      <c r="J5206">
        <v>2024</v>
      </c>
      <c r="K5206">
        <f t="shared" si="162"/>
        <v>69.760000000000005</v>
      </c>
      <c r="L5206" t="str">
        <f t="shared" si="163"/>
        <v>Banca Romagnola|3|Leasing</v>
      </c>
    </row>
    <row r="5207" spans="1:12" x14ac:dyDescent="0.25">
      <c r="A5207" t="s">
        <v>43</v>
      </c>
      <c r="B5207">
        <v>3</v>
      </c>
      <c r="C5207" t="s">
        <v>19</v>
      </c>
      <c r="D5207" s="1">
        <v>45382</v>
      </c>
      <c r="E5207">
        <v>3816.3</v>
      </c>
      <c r="F5207">
        <v>210.04</v>
      </c>
      <c r="G5207">
        <v>126.67</v>
      </c>
      <c r="H5207">
        <v>409</v>
      </c>
      <c r="I5207" t="s">
        <v>23</v>
      </c>
      <c r="J5207">
        <v>2024</v>
      </c>
      <c r="K5207">
        <f t="shared" si="162"/>
        <v>83.36999999999999</v>
      </c>
      <c r="L5207" t="str">
        <f t="shared" si="163"/>
        <v>Banca Romagnola|3|Factoring</v>
      </c>
    </row>
    <row r="5208" spans="1:12" x14ac:dyDescent="0.25">
      <c r="A5208" t="s">
        <v>43</v>
      </c>
      <c r="B5208">
        <v>3</v>
      </c>
      <c r="C5208" t="s">
        <v>20</v>
      </c>
      <c r="D5208" s="1">
        <v>45382</v>
      </c>
      <c r="E5208">
        <v>4330.6000000000004</v>
      </c>
      <c r="F5208">
        <v>247.3</v>
      </c>
      <c r="G5208">
        <v>147.32</v>
      </c>
      <c r="H5208">
        <v>436</v>
      </c>
      <c r="I5208" t="s">
        <v>23</v>
      </c>
      <c r="J5208">
        <v>2024</v>
      </c>
      <c r="K5208">
        <f t="shared" si="162"/>
        <v>99.980000000000018</v>
      </c>
      <c r="L5208" t="str">
        <f t="shared" si="163"/>
        <v>Banca Romagnola|3|Risparmio</v>
      </c>
    </row>
    <row r="5209" spans="1:12" x14ac:dyDescent="0.25">
      <c r="A5209" t="s">
        <v>43</v>
      </c>
      <c r="B5209">
        <v>3</v>
      </c>
      <c r="C5209" t="s">
        <v>21</v>
      </c>
      <c r="D5209" s="1">
        <v>45382</v>
      </c>
      <c r="E5209">
        <v>4852.5</v>
      </c>
      <c r="F5209">
        <v>286.39</v>
      </c>
      <c r="G5209">
        <v>170.75</v>
      </c>
      <c r="H5209">
        <v>497</v>
      </c>
      <c r="I5209" t="s">
        <v>23</v>
      </c>
      <c r="J5209">
        <v>2024</v>
      </c>
      <c r="K5209">
        <f t="shared" si="162"/>
        <v>115.63999999999999</v>
      </c>
      <c r="L5209" t="str">
        <f t="shared" si="163"/>
        <v>Banca Romagnola|3|Assicurazioni</v>
      </c>
    </row>
    <row r="5210" spans="1:12" x14ac:dyDescent="0.25">
      <c r="A5210" t="s">
        <v>43</v>
      </c>
      <c r="B5210">
        <v>4</v>
      </c>
      <c r="C5210" t="s">
        <v>13</v>
      </c>
      <c r="D5210" s="1">
        <v>45412</v>
      </c>
      <c r="E5210">
        <v>1371.5</v>
      </c>
      <c r="F5210">
        <v>61.93</v>
      </c>
      <c r="G5210">
        <v>38.43</v>
      </c>
      <c r="H5210">
        <v>159</v>
      </c>
      <c r="I5210" t="s">
        <v>23</v>
      </c>
      <c r="J5210">
        <v>2024</v>
      </c>
      <c r="K5210">
        <f t="shared" si="162"/>
        <v>23.5</v>
      </c>
      <c r="L5210" t="str">
        <f t="shared" si="163"/>
        <v>Banca Romagnola|4|Mutui</v>
      </c>
    </row>
    <row r="5211" spans="1:12" x14ac:dyDescent="0.25">
      <c r="A5211" t="s">
        <v>43</v>
      </c>
      <c r="B5211">
        <v>4</v>
      </c>
      <c r="C5211" t="s">
        <v>15</v>
      </c>
      <c r="D5211" s="1">
        <v>45412</v>
      </c>
      <c r="E5211">
        <v>1853.7</v>
      </c>
      <c r="F5211">
        <v>88.11</v>
      </c>
      <c r="G5211">
        <v>54.61</v>
      </c>
      <c r="H5211">
        <v>191</v>
      </c>
      <c r="I5211" t="s">
        <v>23</v>
      </c>
      <c r="J5211">
        <v>2024</v>
      </c>
      <c r="K5211">
        <f t="shared" si="162"/>
        <v>33.5</v>
      </c>
      <c r="L5211" t="str">
        <f t="shared" si="163"/>
        <v>Banca Romagnola|4|Prestiti</v>
      </c>
    </row>
    <row r="5212" spans="1:12" x14ac:dyDescent="0.25">
      <c r="A5212" t="s">
        <v>43</v>
      </c>
      <c r="B5212">
        <v>4</v>
      </c>
      <c r="C5212" t="s">
        <v>16</v>
      </c>
      <c r="D5212" s="1">
        <v>45412</v>
      </c>
      <c r="E5212">
        <v>2331.8000000000002</v>
      </c>
      <c r="F5212">
        <v>114.5</v>
      </c>
      <c r="G5212">
        <v>70.33</v>
      </c>
      <c r="H5212">
        <v>247</v>
      </c>
      <c r="I5212" t="s">
        <v>23</v>
      </c>
      <c r="J5212">
        <v>2024</v>
      </c>
      <c r="K5212">
        <f t="shared" si="162"/>
        <v>44.17</v>
      </c>
      <c r="L5212" t="str">
        <f t="shared" si="163"/>
        <v>Banca Romagnola|4|Conti</v>
      </c>
    </row>
    <row r="5213" spans="1:12" x14ac:dyDescent="0.25">
      <c r="A5213" t="s">
        <v>43</v>
      </c>
      <c r="B5213">
        <v>4</v>
      </c>
      <c r="C5213" t="s">
        <v>17</v>
      </c>
      <c r="D5213" s="1">
        <v>45412</v>
      </c>
      <c r="E5213">
        <v>2883</v>
      </c>
      <c r="F5213">
        <v>147.72</v>
      </c>
      <c r="G5213">
        <v>89.46</v>
      </c>
      <c r="H5213">
        <v>312</v>
      </c>
      <c r="I5213" t="s">
        <v>23</v>
      </c>
      <c r="J5213">
        <v>2024</v>
      </c>
      <c r="K5213">
        <f t="shared" si="162"/>
        <v>58.260000000000005</v>
      </c>
      <c r="L5213" t="str">
        <f t="shared" si="163"/>
        <v>Banca Romagnola|4|Carte</v>
      </c>
    </row>
    <row r="5214" spans="1:12" x14ac:dyDescent="0.25">
      <c r="A5214" t="s">
        <v>43</v>
      </c>
      <c r="B5214">
        <v>4</v>
      </c>
      <c r="C5214" t="s">
        <v>18</v>
      </c>
      <c r="D5214" s="1">
        <v>45412</v>
      </c>
      <c r="E5214">
        <v>3395.1</v>
      </c>
      <c r="F5214">
        <v>180.2</v>
      </c>
      <c r="G5214">
        <v>109.6</v>
      </c>
      <c r="H5214">
        <v>329</v>
      </c>
      <c r="I5214" t="s">
        <v>23</v>
      </c>
      <c r="J5214">
        <v>2024</v>
      </c>
      <c r="K5214">
        <f t="shared" si="162"/>
        <v>70.599999999999994</v>
      </c>
      <c r="L5214" t="str">
        <f t="shared" si="163"/>
        <v>Banca Romagnola|4|Leasing</v>
      </c>
    </row>
    <row r="5215" spans="1:12" x14ac:dyDescent="0.25">
      <c r="A5215" t="s">
        <v>43</v>
      </c>
      <c r="B5215">
        <v>4</v>
      </c>
      <c r="C5215" t="s">
        <v>19</v>
      </c>
      <c r="D5215" s="1">
        <v>45412</v>
      </c>
      <c r="E5215">
        <v>3888.1</v>
      </c>
      <c r="F5215">
        <v>214.61</v>
      </c>
      <c r="G5215">
        <v>129</v>
      </c>
      <c r="H5215">
        <v>388</v>
      </c>
      <c r="I5215" t="s">
        <v>23</v>
      </c>
      <c r="J5215">
        <v>2024</v>
      </c>
      <c r="K5215">
        <f t="shared" si="162"/>
        <v>85.610000000000014</v>
      </c>
      <c r="L5215" t="str">
        <f t="shared" si="163"/>
        <v>Banca Romagnola|4|Factoring</v>
      </c>
    </row>
    <row r="5216" spans="1:12" x14ac:dyDescent="0.25">
      <c r="A5216" t="s">
        <v>43</v>
      </c>
      <c r="B5216">
        <v>4</v>
      </c>
      <c r="C5216" t="s">
        <v>20</v>
      </c>
      <c r="D5216" s="1">
        <v>45412</v>
      </c>
      <c r="E5216">
        <v>4380.5</v>
      </c>
      <c r="F5216">
        <v>250.16</v>
      </c>
      <c r="G5216">
        <v>149.65</v>
      </c>
      <c r="H5216">
        <v>446</v>
      </c>
      <c r="I5216" t="s">
        <v>23</v>
      </c>
      <c r="J5216">
        <v>2024</v>
      </c>
      <c r="K5216">
        <f t="shared" si="162"/>
        <v>100.50999999999999</v>
      </c>
      <c r="L5216" t="str">
        <f t="shared" si="163"/>
        <v>Banca Romagnola|4|Risparmio</v>
      </c>
    </row>
    <row r="5217" spans="1:12" x14ac:dyDescent="0.25">
      <c r="A5217" t="s">
        <v>43</v>
      </c>
      <c r="B5217">
        <v>4</v>
      </c>
      <c r="C5217" t="s">
        <v>21</v>
      </c>
      <c r="D5217" s="1">
        <v>45412</v>
      </c>
      <c r="E5217">
        <v>4903.2</v>
      </c>
      <c r="F5217">
        <v>290.12</v>
      </c>
      <c r="G5217">
        <v>172.61</v>
      </c>
      <c r="H5217">
        <v>487</v>
      </c>
      <c r="I5217" t="s">
        <v>23</v>
      </c>
      <c r="J5217">
        <v>2024</v>
      </c>
      <c r="K5217">
        <f t="shared" si="162"/>
        <v>117.50999999999999</v>
      </c>
      <c r="L5217" t="str">
        <f t="shared" si="163"/>
        <v>Banca Romagnola|4|Assicurazioni</v>
      </c>
    </row>
    <row r="5218" spans="1:12" x14ac:dyDescent="0.25">
      <c r="A5218" t="s">
        <v>43</v>
      </c>
      <c r="B5218">
        <v>5</v>
      </c>
      <c r="C5218" t="s">
        <v>13</v>
      </c>
      <c r="D5218" s="1">
        <v>45443</v>
      </c>
      <c r="E5218">
        <v>1330.9</v>
      </c>
      <c r="F5218">
        <v>60.18</v>
      </c>
      <c r="G5218">
        <v>37.71</v>
      </c>
      <c r="H5218">
        <v>162</v>
      </c>
      <c r="I5218" t="s">
        <v>23</v>
      </c>
      <c r="J5218">
        <v>2024</v>
      </c>
      <c r="K5218">
        <f t="shared" si="162"/>
        <v>22.47</v>
      </c>
      <c r="L5218" t="str">
        <f t="shared" si="163"/>
        <v>Banca Romagnola|5|Mutui</v>
      </c>
    </row>
    <row r="5219" spans="1:12" x14ac:dyDescent="0.25">
      <c r="A5219" t="s">
        <v>43</v>
      </c>
      <c r="B5219">
        <v>5</v>
      </c>
      <c r="C5219" t="s">
        <v>15</v>
      </c>
      <c r="D5219" s="1">
        <v>45443</v>
      </c>
      <c r="E5219">
        <v>1884.8</v>
      </c>
      <c r="F5219">
        <v>88.66</v>
      </c>
      <c r="G5219">
        <v>55.27</v>
      </c>
      <c r="H5219">
        <v>199</v>
      </c>
      <c r="I5219" t="s">
        <v>23</v>
      </c>
      <c r="J5219">
        <v>2024</v>
      </c>
      <c r="K5219">
        <f t="shared" si="162"/>
        <v>33.389999999999993</v>
      </c>
      <c r="L5219" t="str">
        <f t="shared" si="163"/>
        <v>Banca Romagnola|5|Prestiti</v>
      </c>
    </row>
    <row r="5220" spans="1:12" x14ac:dyDescent="0.25">
      <c r="A5220" t="s">
        <v>43</v>
      </c>
      <c r="B5220">
        <v>5</v>
      </c>
      <c r="C5220" t="s">
        <v>16</v>
      </c>
      <c r="D5220" s="1">
        <v>45443</v>
      </c>
      <c r="E5220">
        <v>2377.1</v>
      </c>
      <c r="F5220">
        <v>116.49</v>
      </c>
      <c r="G5220">
        <v>71.36</v>
      </c>
      <c r="H5220">
        <v>256</v>
      </c>
      <c r="I5220" t="s">
        <v>23</v>
      </c>
      <c r="J5220">
        <v>2024</v>
      </c>
      <c r="K5220">
        <f t="shared" si="162"/>
        <v>45.129999999999995</v>
      </c>
      <c r="L5220" t="str">
        <f t="shared" si="163"/>
        <v>Banca Romagnola|5|Conti</v>
      </c>
    </row>
    <row r="5221" spans="1:12" x14ac:dyDescent="0.25">
      <c r="A5221" t="s">
        <v>43</v>
      </c>
      <c r="B5221">
        <v>5</v>
      </c>
      <c r="C5221" t="s">
        <v>17</v>
      </c>
      <c r="D5221" s="1">
        <v>45443</v>
      </c>
      <c r="E5221">
        <v>2875.1</v>
      </c>
      <c r="F5221">
        <v>146.88</v>
      </c>
      <c r="G5221">
        <v>90.1</v>
      </c>
      <c r="H5221">
        <v>317</v>
      </c>
      <c r="I5221" t="s">
        <v>23</v>
      </c>
      <c r="J5221">
        <v>2024</v>
      </c>
      <c r="K5221">
        <f t="shared" si="162"/>
        <v>56.78</v>
      </c>
      <c r="L5221" t="str">
        <f t="shared" si="163"/>
        <v>Banca Romagnola|5|Carte</v>
      </c>
    </row>
    <row r="5222" spans="1:12" x14ac:dyDescent="0.25">
      <c r="A5222" t="s">
        <v>43</v>
      </c>
      <c r="B5222">
        <v>5</v>
      </c>
      <c r="C5222" t="s">
        <v>18</v>
      </c>
      <c r="D5222" s="1">
        <v>45443</v>
      </c>
      <c r="E5222">
        <v>3391.8</v>
      </c>
      <c r="F5222">
        <v>180.06</v>
      </c>
      <c r="G5222">
        <v>109.09</v>
      </c>
      <c r="H5222">
        <v>359</v>
      </c>
      <c r="I5222" t="s">
        <v>23</v>
      </c>
      <c r="J5222">
        <v>2024</v>
      </c>
      <c r="K5222">
        <f t="shared" si="162"/>
        <v>70.97</v>
      </c>
      <c r="L5222" t="str">
        <f t="shared" si="163"/>
        <v>Banca Romagnola|5|Leasing</v>
      </c>
    </row>
    <row r="5223" spans="1:12" x14ac:dyDescent="0.25">
      <c r="A5223" t="s">
        <v>43</v>
      </c>
      <c r="B5223">
        <v>5</v>
      </c>
      <c r="C5223" t="s">
        <v>19</v>
      </c>
      <c r="D5223" s="1">
        <v>45443</v>
      </c>
      <c r="E5223">
        <v>3892.1</v>
      </c>
      <c r="F5223">
        <v>214.59</v>
      </c>
      <c r="G5223">
        <v>129.29</v>
      </c>
      <c r="H5223">
        <v>404</v>
      </c>
      <c r="I5223" t="s">
        <v>23</v>
      </c>
      <c r="J5223">
        <v>2024</v>
      </c>
      <c r="K5223">
        <f t="shared" si="162"/>
        <v>85.300000000000011</v>
      </c>
      <c r="L5223" t="str">
        <f t="shared" si="163"/>
        <v>Banca Romagnola|5|Factoring</v>
      </c>
    </row>
    <row r="5224" spans="1:12" x14ac:dyDescent="0.25">
      <c r="A5224" t="s">
        <v>43</v>
      </c>
      <c r="B5224">
        <v>5</v>
      </c>
      <c r="C5224" t="s">
        <v>20</v>
      </c>
      <c r="D5224" s="1">
        <v>45443</v>
      </c>
      <c r="E5224">
        <v>4435.8999999999996</v>
      </c>
      <c r="F5224">
        <v>253.53</v>
      </c>
      <c r="G5224">
        <v>151.55000000000001</v>
      </c>
      <c r="H5224">
        <v>457</v>
      </c>
      <c r="I5224" t="s">
        <v>23</v>
      </c>
      <c r="J5224">
        <v>2024</v>
      </c>
      <c r="K5224">
        <f t="shared" si="162"/>
        <v>101.97999999999999</v>
      </c>
      <c r="L5224" t="str">
        <f t="shared" si="163"/>
        <v>Banca Romagnola|5|Risparmio</v>
      </c>
    </row>
    <row r="5225" spans="1:12" x14ac:dyDescent="0.25">
      <c r="A5225" t="s">
        <v>43</v>
      </c>
      <c r="B5225">
        <v>5</v>
      </c>
      <c r="C5225" t="s">
        <v>21</v>
      </c>
      <c r="D5225" s="1">
        <v>45443</v>
      </c>
      <c r="E5225">
        <v>4932.3999999999996</v>
      </c>
      <c r="F5225">
        <v>291.83</v>
      </c>
      <c r="G5225">
        <v>172.8</v>
      </c>
      <c r="H5225">
        <v>485</v>
      </c>
      <c r="I5225" t="s">
        <v>23</v>
      </c>
      <c r="J5225">
        <v>2024</v>
      </c>
      <c r="K5225">
        <f t="shared" si="162"/>
        <v>119.02999999999997</v>
      </c>
      <c r="L5225" t="str">
        <f t="shared" si="163"/>
        <v>Banca Romagnola|5|Assicurazioni</v>
      </c>
    </row>
    <row r="5226" spans="1:12" x14ac:dyDescent="0.25">
      <c r="A5226" t="s">
        <v>43</v>
      </c>
      <c r="B5226">
        <v>6</v>
      </c>
      <c r="C5226" t="s">
        <v>13</v>
      </c>
      <c r="D5226" s="1">
        <v>45473</v>
      </c>
      <c r="E5226">
        <v>1343.1</v>
      </c>
      <c r="F5226">
        <v>60.59</v>
      </c>
      <c r="G5226">
        <v>37.82</v>
      </c>
      <c r="H5226">
        <v>163</v>
      </c>
      <c r="I5226" t="s">
        <v>23</v>
      </c>
      <c r="J5226">
        <v>2024</v>
      </c>
      <c r="K5226">
        <f t="shared" si="162"/>
        <v>22.770000000000003</v>
      </c>
      <c r="L5226" t="str">
        <f t="shared" si="163"/>
        <v>Banca Romagnola|6|Mutui</v>
      </c>
    </row>
    <row r="5227" spans="1:12" x14ac:dyDescent="0.25">
      <c r="A5227" t="s">
        <v>43</v>
      </c>
      <c r="B5227">
        <v>6</v>
      </c>
      <c r="C5227" t="s">
        <v>15</v>
      </c>
      <c r="D5227" s="1">
        <v>45473</v>
      </c>
      <c r="E5227">
        <v>1912.3</v>
      </c>
      <c r="F5227">
        <v>90.31</v>
      </c>
      <c r="G5227">
        <v>55.49</v>
      </c>
      <c r="H5227">
        <v>189</v>
      </c>
      <c r="I5227" t="s">
        <v>23</v>
      </c>
      <c r="J5227">
        <v>2024</v>
      </c>
      <c r="K5227">
        <f t="shared" si="162"/>
        <v>34.82</v>
      </c>
      <c r="L5227" t="str">
        <f t="shared" si="163"/>
        <v>Banca Romagnola|6|Prestiti</v>
      </c>
    </row>
    <row r="5228" spans="1:12" x14ac:dyDescent="0.25">
      <c r="A5228" t="s">
        <v>43</v>
      </c>
      <c r="B5228">
        <v>6</v>
      </c>
      <c r="C5228" t="s">
        <v>16</v>
      </c>
      <c r="D5228" s="1">
        <v>45473</v>
      </c>
      <c r="E5228">
        <v>2411.6999999999998</v>
      </c>
      <c r="F5228">
        <v>119.03</v>
      </c>
      <c r="G5228">
        <v>72.36</v>
      </c>
      <c r="H5228">
        <v>265</v>
      </c>
      <c r="I5228" t="s">
        <v>23</v>
      </c>
      <c r="J5228">
        <v>2024</v>
      </c>
      <c r="K5228">
        <f t="shared" si="162"/>
        <v>46.67</v>
      </c>
      <c r="L5228" t="str">
        <f t="shared" si="163"/>
        <v>Banca Romagnola|6|Conti</v>
      </c>
    </row>
    <row r="5229" spans="1:12" x14ac:dyDescent="0.25">
      <c r="A5229" t="s">
        <v>43</v>
      </c>
      <c r="B5229">
        <v>6</v>
      </c>
      <c r="C5229" t="s">
        <v>17</v>
      </c>
      <c r="D5229" s="1">
        <v>45473</v>
      </c>
      <c r="E5229">
        <v>2930.3</v>
      </c>
      <c r="F5229">
        <v>150.19</v>
      </c>
      <c r="G5229">
        <v>91.46</v>
      </c>
      <c r="H5229">
        <v>299</v>
      </c>
      <c r="I5229" t="s">
        <v>23</v>
      </c>
      <c r="J5229">
        <v>2024</v>
      </c>
      <c r="K5229">
        <f t="shared" si="162"/>
        <v>58.730000000000004</v>
      </c>
      <c r="L5229" t="str">
        <f t="shared" si="163"/>
        <v>Banca Romagnola|6|Carte</v>
      </c>
    </row>
    <row r="5230" spans="1:12" x14ac:dyDescent="0.25">
      <c r="A5230" t="s">
        <v>43</v>
      </c>
      <c r="B5230">
        <v>6</v>
      </c>
      <c r="C5230" t="s">
        <v>18</v>
      </c>
      <c r="D5230" s="1">
        <v>45473</v>
      </c>
      <c r="E5230">
        <v>3439.9</v>
      </c>
      <c r="F5230">
        <v>182.54</v>
      </c>
      <c r="G5230">
        <v>110.98</v>
      </c>
      <c r="H5230">
        <v>352</v>
      </c>
      <c r="I5230" t="s">
        <v>23</v>
      </c>
      <c r="J5230">
        <v>2024</v>
      </c>
      <c r="K5230">
        <f t="shared" si="162"/>
        <v>71.559999999999988</v>
      </c>
      <c r="L5230" t="str">
        <f t="shared" si="163"/>
        <v>Banca Romagnola|6|Leasing</v>
      </c>
    </row>
    <row r="5231" spans="1:12" x14ac:dyDescent="0.25">
      <c r="A5231" t="s">
        <v>43</v>
      </c>
      <c r="B5231">
        <v>6</v>
      </c>
      <c r="C5231" t="s">
        <v>19</v>
      </c>
      <c r="D5231" s="1">
        <v>45473</v>
      </c>
      <c r="E5231">
        <v>3922</v>
      </c>
      <c r="F5231">
        <v>215.98</v>
      </c>
      <c r="G5231">
        <v>129.65</v>
      </c>
      <c r="H5231">
        <v>377</v>
      </c>
      <c r="I5231" t="s">
        <v>23</v>
      </c>
      <c r="J5231">
        <v>2024</v>
      </c>
      <c r="K5231">
        <f t="shared" si="162"/>
        <v>86.329999999999984</v>
      </c>
      <c r="L5231" t="str">
        <f t="shared" si="163"/>
        <v>Banca Romagnola|6|Factoring</v>
      </c>
    </row>
    <row r="5232" spans="1:12" x14ac:dyDescent="0.25">
      <c r="A5232" t="s">
        <v>43</v>
      </c>
      <c r="B5232">
        <v>6</v>
      </c>
      <c r="C5232" t="s">
        <v>20</v>
      </c>
      <c r="D5232" s="1">
        <v>45473</v>
      </c>
      <c r="E5232">
        <v>4476.8</v>
      </c>
      <c r="F5232">
        <v>255.26</v>
      </c>
      <c r="G5232">
        <v>152.9</v>
      </c>
      <c r="H5232">
        <v>462</v>
      </c>
      <c r="I5232" t="s">
        <v>23</v>
      </c>
      <c r="J5232">
        <v>2024</v>
      </c>
      <c r="K5232">
        <f t="shared" si="162"/>
        <v>102.35999999999999</v>
      </c>
      <c r="L5232" t="str">
        <f t="shared" si="163"/>
        <v>Banca Romagnola|6|Risparmio</v>
      </c>
    </row>
    <row r="5233" spans="1:12" x14ac:dyDescent="0.25">
      <c r="A5233" t="s">
        <v>43</v>
      </c>
      <c r="B5233">
        <v>6</v>
      </c>
      <c r="C5233" t="s">
        <v>21</v>
      </c>
      <c r="D5233" s="1">
        <v>45473</v>
      </c>
      <c r="E5233">
        <v>4960.1000000000004</v>
      </c>
      <c r="F5233">
        <v>292.72000000000003</v>
      </c>
      <c r="G5233">
        <v>174.34</v>
      </c>
      <c r="H5233">
        <v>507</v>
      </c>
      <c r="I5233" t="s">
        <v>23</v>
      </c>
      <c r="J5233">
        <v>2024</v>
      </c>
      <c r="K5233">
        <f t="shared" si="162"/>
        <v>118.38000000000002</v>
      </c>
      <c r="L5233" t="str">
        <f t="shared" si="163"/>
        <v>Banca Romagnola|6|Assicurazioni</v>
      </c>
    </row>
    <row r="5234" spans="1:12" x14ac:dyDescent="0.25">
      <c r="A5234" t="s">
        <v>43</v>
      </c>
      <c r="B5234">
        <v>7</v>
      </c>
      <c r="C5234" t="s">
        <v>13</v>
      </c>
      <c r="D5234" s="1">
        <v>45504</v>
      </c>
      <c r="E5234">
        <v>1379.1</v>
      </c>
      <c r="F5234">
        <v>62.55</v>
      </c>
      <c r="G5234">
        <v>39.22</v>
      </c>
      <c r="H5234">
        <v>168</v>
      </c>
      <c r="I5234" t="s">
        <v>23</v>
      </c>
      <c r="J5234">
        <v>2024</v>
      </c>
      <c r="K5234">
        <f t="shared" si="162"/>
        <v>23.33</v>
      </c>
      <c r="L5234" t="str">
        <f t="shared" si="163"/>
        <v>Banca Romagnola|7|Mutui</v>
      </c>
    </row>
    <row r="5235" spans="1:12" x14ac:dyDescent="0.25">
      <c r="A5235" t="s">
        <v>43</v>
      </c>
      <c r="B5235">
        <v>7</v>
      </c>
      <c r="C5235" t="s">
        <v>15</v>
      </c>
      <c r="D5235" s="1">
        <v>45504</v>
      </c>
      <c r="E5235">
        <v>1873.3</v>
      </c>
      <c r="F5235">
        <v>88.72</v>
      </c>
      <c r="G5235">
        <v>55.14</v>
      </c>
      <c r="H5235">
        <v>219</v>
      </c>
      <c r="I5235" t="s">
        <v>23</v>
      </c>
      <c r="J5235">
        <v>2024</v>
      </c>
      <c r="K5235">
        <f t="shared" si="162"/>
        <v>33.58</v>
      </c>
      <c r="L5235" t="str">
        <f t="shared" si="163"/>
        <v>Banca Romagnola|7|Prestiti</v>
      </c>
    </row>
    <row r="5236" spans="1:12" x14ac:dyDescent="0.25">
      <c r="A5236" t="s">
        <v>43</v>
      </c>
      <c r="B5236">
        <v>7</v>
      </c>
      <c r="C5236" t="s">
        <v>16</v>
      </c>
      <c r="D5236" s="1">
        <v>45504</v>
      </c>
      <c r="E5236">
        <v>2422.8000000000002</v>
      </c>
      <c r="F5236">
        <v>118.92</v>
      </c>
      <c r="G5236">
        <v>73.319999999999993</v>
      </c>
      <c r="H5236">
        <v>248</v>
      </c>
      <c r="I5236" t="s">
        <v>23</v>
      </c>
      <c r="J5236">
        <v>2024</v>
      </c>
      <c r="K5236">
        <f t="shared" si="162"/>
        <v>45.600000000000009</v>
      </c>
      <c r="L5236" t="str">
        <f t="shared" si="163"/>
        <v>Banca Romagnola|7|Conti</v>
      </c>
    </row>
    <row r="5237" spans="1:12" x14ac:dyDescent="0.25">
      <c r="A5237" t="s">
        <v>43</v>
      </c>
      <c r="B5237">
        <v>7</v>
      </c>
      <c r="C5237" t="s">
        <v>17</v>
      </c>
      <c r="D5237" s="1">
        <v>45504</v>
      </c>
      <c r="E5237">
        <v>2957.3</v>
      </c>
      <c r="F5237">
        <v>151.07</v>
      </c>
      <c r="G5237">
        <v>92.26</v>
      </c>
      <c r="H5237">
        <v>299</v>
      </c>
      <c r="I5237" t="s">
        <v>23</v>
      </c>
      <c r="J5237">
        <v>2024</v>
      </c>
      <c r="K5237">
        <f t="shared" si="162"/>
        <v>58.809999999999988</v>
      </c>
      <c r="L5237" t="str">
        <f t="shared" si="163"/>
        <v>Banca Romagnola|7|Carte</v>
      </c>
    </row>
    <row r="5238" spans="1:12" x14ac:dyDescent="0.25">
      <c r="A5238" t="s">
        <v>43</v>
      </c>
      <c r="B5238">
        <v>7</v>
      </c>
      <c r="C5238" t="s">
        <v>18</v>
      </c>
      <c r="D5238" s="1">
        <v>45504</v>
      </c>
      <c r="E5238">
        <v>3431.4</v>
      </c>
      <c r="F5238">
        <v>182.08</v>
      </c>
      <c r="G5238">
        <v>110.79</v>
      </c>
      <c r="H5238">
        <v>337</v>
      </c>
      <c r="I5238" t="s">
        <v>23</v>
      </c>
      <c r="J5238">
        <v>2024</v>
      </c>
      <c r="K5238">
        <f t="shared" si="162"/>
        <v>71.290000000000006</v>
      </c>
      <c r="L5238" t="str">
        <f t="shared" si="163"/>
        <v>Banca Romagnola|7|Leasing</v>
      </c>
    </row>
    <row r="5239" spans="1:12" x14ac:dyDescent="0.25">
      <c r="A5239" t="s">
        <v>43</v>
      </c>
      <c r="B5239">
        <v>7</v>
      </c>
      <c r="C5239" t="s">
        <v>19</v>
      </c>
      <c r="D5239" s="1">
        <v>45504</v>
      </c>
      <c r="E5239">
        <v>3971.9</v>
      </c>
      <c r="F5239">
        <v>218.62</v>
      </c>
      <c r="G5239">
        <v>131.13999999999999</v>
      </c>
      <c r="H5239">
        <v>394</v>
      </c>
      <c r="I5239" t="s">
        <v>23</v>
      </c>
      <c r="J5239">
        <v>2024</v>
      </c>
      <c r="K5239">
        <f t="shared" si="162"/>
        <v>87.480000000000018</v>
      </c>
      <c r="L5239" t="str">
        <f t="shared" si="163"/>
        <v>Banca Romagnola|7|Factoring</v>
      </c>
    </row>
    <row r="5240" spans="1:12" x14ac:dyDescent="0.25">
      <c r="A5240" t="s">
        <v>43</v>
      </c>
      <c r="B5240">
        <v>7</v>
      </c>
      <c r="C5240" t="s">
        <v>20</v>
      </c>
      <c r="D5240" s="1">
        <v>45504</v>
      </c>
      <c r="E5240">
        <v>4501.5</v>
      </c>
      <c r="F5240">
        <v>256.58999999999997</v>
      </c>
      <c r="G5240">
        <v>153.84</v>
      </c>
      <c r="H5240">
        <v>426</v>
      </c>
      <c r="I5240" t="s">
        <v>23</v>
      </c>
      <c r="J5240">
        <v>2024</v>
      </c>
      <c r="K5240">
        <f t="shared" si="162"/>
        <v>102.74999999999997</v>
      </c>
      <c r="L5240" t="str">
        <f t="shared" si="163"/>
        <v>Banca Romagnola|7|Risparmio</v>
      </c>
    </row>
    <row r="5241" spans="1:12" x14ac:dyDescent="0.25">
      <c r="A5241" t="s">
        <v>43</v>
      </c>
      <c r="B5241">
        <v>7</v>
      </c>
      <c r="C5241" t="s">
        <v>21</v>
      </c>
      <c r="D5241" s="1">
        <v>45504</v>
      </c>
      <c r="E5241">
        <v>4986.5</v>
      </c>
      <c r="F5241">
        <v>294.83</v>
      </c>
      <c r="G5241">
        <v>175.49</v>
      </c>
      <c r="H5241">
        <v>494</v>
      </c>
      <c r="I5241" t="s">
        <v>23</v>
      </c>
      <c r="J5241">
        <v>2024</v>
      </c>
      <c r="K5241">
        <f t="shared" si="162"/>
        <v>119.33999999999997</v>
      </c>
      <c r="L5241" t="str">
        <f t="shared" si="163"/>
        <v>Banca Romagnola|7|Assicurazioni</v>
      </c>
    </row>
    <row r="5242" spans="1:12" x14ac:dyDescent="0.25">
      <c r="A5242" t="s">
        <v>43</v>
      </c>
      <c r="B5242">
        <v>8</v>
      </c>
      <c r="C5242" t="s">
        <v>13</v>
      </c>
      <c r="D5242" s="1">
        <v>45535</v>
      </c>
      <c r="E5242">
        <v>1413.1</v>
      </c>
      <c r="F5242">
        <v>64.05</v>
      </c>
      <c r="G5242">
        <v>39.799999999999997</v>
      </c>
      <c r="H5242">
        <v>147</v>
      </c>
      <c r="I5242" t="s">
        <v>23</v>
      </c>
      <c r="J5242">
        <v>2024</v>
      </c>
      <c r="K5242">
        <f t="shared" si="162"/>
        <v>24.25</v>
      </c>
      <c r="L5242" t="str">
        <f t="shared" si="163"/>
        <v>Banca Romagnola|8|Mutui</v>
      </c>
    </row>
    <row r="5243" spans="1:12" x14ac:dyDescent="0.25">
      <c r="A5243" t="s">
        <v>43</v>
      </c>
      <c r="B5243">
        <v>8</v>
      </c>
      <c r="C5243" t="s">
        <v>15</v>
      </c>
      <c r="D5243" s="1">
        <v>45535</v>
      </c>
      <c r="E5243">
        <v>1905.2</v>
      </c>
      <c r="F5243">
        <v>89.99</v>
      </c>
      <c r="G5243">
        <v>55.46</v>
      </c>
      <c r="H5243">
        <v>180</v>
      </c>
      <c r="I5243" t="s">
        <v>23</v>
      </c>
      <c r="J5243">
        <v>2024</v>
      </c>
      <c r="K5243">
        <f t="shared" si="162"/>
        <v>34.529999999999994</v>
      </c>
      <c r="L5243" t="str">
        <f t="shared" si="163"/>
        <v>Banca Romagnola|8|Prestiti</v>
      </c>
    </row>
    <row r="5244" spans="1:12" x14ac:dyDescent="0.25">
      <c r="A5244" t="s">
        <v>43</v>
      </c>
      <c r="B5244">
        <v>8</v>
      </c>
      <c r="C5244" t="s">
        <v>16</v>
      </c>
      <c r="D5244" s="1">
        <v>45535</v>
      </c>
      <c r="E5244">
        <v>2445.3000000000002</v>
      </c>
      <c r="F5244">
        <v>120.31</v>
      </c>
      <c r="G5244">
        <v>73.55</v>
      </c>
      <c r="H5244">
        <v>253</v>
      </c>
      <c r="I5244" t="s">
        <v>23</v>
      </c>
      <c r="J5244">
        <v>2024</v>
      </c>
      <c r="K5244">
        <f t="shared" si="162"/>
        <v>46.760000000000005</v>
      </c>
      <c r="L5244" t="str">
        <f t="shared" si="163"/>
        <v>Banca Romagnola|8|Conti</v>
      </c>
    </row>
    <row r="5245" spans="1:12" x14ac:dyDescent="0.25">
      <c r="A5245" t="s">
        <v>43</v>
      </c>
      <c r="B5245">
        <v>8</v>
      </c>
      <c r="C5245" t="s">
        <v>17</v>
      </c>
      <c r="D5245" s="1">
        <v>45535</v>
      </c>
      <c r="E5245">
        <v>2982.1</v>
      </c>
      <c r="F5245">
        <v>152.59</v>
      </c>
      <c r="G5245">
        <v>92.78</v>
      </c>
      <c r="H5245">
        <v>292</v>
      </c>
      <c r="I5245" t="s">
        <v>23</v>
      </c>
      <c r="J5245">
        <v>2024</v>
      </c>
      <c r="K5245">
        <f t="shared" si="162"/>
        <v>59.81</v>
      </c>
      <c r="L5245" t="str">
        <f t="shared" si="163"/>
        <v>Banca Romagnola|8|Carte</v>
      </c>
    </row>
    <row r="5246" spans="1:12" x14ac:dyDescent="0.25">
      <c r="A5246" t="s">
        <v>43</v>
      </c>
      <c r="B5246">
        <v>8</v>
      </c>
      <c r="C5246" t="s">
        <v>18</v>
      </c>
      <c r="D5246" s="1">
        <v>45535</v>
      </c>
      <c r="E5246">
        <v>3473.2</v>
      </c>
      <c r="F5246">
        <v>184.69</v>
      </c>
      <c r="G5246">
        <v>111.5</v>
      </c>
      <c r="H5246">
        <v>335</v>
      </c>
      <c r="I5246" t="s">
        <v>23</v>
      </c>
      <c r="J5246">
        <v>2024</v>
      </c>
      <c r="K5246">
        <f t="shared" si="162"/>
        <v>73.19</v>
      </c>
      <c r="L5246" t="str">
        <f t="shared" si="163"/>
        <v>Banca Romagnola|8|Leasing</v>
      </c>
    </row>
    <row r="5247" spans="1:12" x14ac:dyDescent="0.25">
      <c r="A5247" t="s">
        <v>43</v>
      </c>
      <c r="B5247">
        <v>8</v>
      </c>
      <c r="C5247" t="s">
        <v>19</v>
      </c>
      <c r="D5247" s="1">
        <v>45535</v>
      </c>
      <c r="E5247">
        <v>4009.9</v>
      </c>
      <c r="F5247">
        <v>220.95</v>
      </c>
      <c r="G5247">
        <v>132.93</v>
      </c>
      <c r="H5247">
        <v>384</v>
      </c>
      <c r="I5247" t="s">
        <v>23</v>
      </c>
      <c r="J5247">
        <v>2024</v>
      </c>
      <c r="K5247">
        <f t="shared" si="162"/>
        <v>88.019999999999982</v>
      </c>
      <c r="L5247" t="str">
        <f t="shared" si="163"/>
        <v>Banca Romagnola|8|Factoring</v>
      </c>
    </row>
    <row r="5248" spans="1:12" x14ac:dyDescent="0.25">
      <c r="A5248" t="s">
        <v>43</v>
      </c>
      <c r="B5248">
        <v>8</v>
      </c>
      <c r="C5248" t="s">
        <v>20</v>
      </c>
      <c r="D5248" s="1">
        <v>45535</v>
      </c>
      <c r="E5248">
        <v>4503.7</v>
      </c>
      <c r="F5248">
        <v>257</v>
      </c>
      <c r="G5248">
        <v>153.18</v>
      </c>
      <c r="H5248">
        <v>451</v>
      </c>
      <c r="I5248" t="s">
        <v>23</v>
      </c>
      <c r="J5248">
        <v>2024</v>
      </c>
      <c r="K5248">
        <f t="shared" si="162"/>
        <v>103.82</v>
      </c>
      <c r="L5248" t="str">
        <f t="shared" si="163"/>
        <v>Banca Romagnola|8|Risparmio</v>
      </c>
    </row>
    <row r="5249" spans="1:12" x14ac:dyDescent="0.25">
      <c r="A5249" t="s">
        <v>43</v>
      </c>
      <c r="B5249">
        <v>8</v>
      </c>
      <c r="C5249" t="s">
        <v>21</v>
      </c>
      <c r="D5249" s="1">
        <v>45535</v>
      </c>
      <c r="E5249">
        <v>5014.8</v>
      </c>
      <c r="F5249">
        <v>296.85000000000002</v>
      </c>
      <c r="G5249">
        <v>176.1</v>
      </c>
      <c r="H5249">
        <v>509</v>
      </c>
      <c r="I5249" t="s">
        <v>23</v>
      </c>
      <c r="J5249">
        <v>2024</v>
      </c>
      <c r="K5249">
        <f t="shared" si="162"/>
        <v>120.75000000000003</v>
      </c>
      <c r="L5249" t="str">
        <f t="shared" si="163"/>
        <v>Banca Romagnola|8|Assicurazioni</v>
      </c>
    </row>
    <row r="5250" spans="1:12" x14ac:dyDescent="0.25">
      <c r="A5250" t="s">
        <v>43</v>
      </c>
      <c r="B5250">
        <v>9</v>
      </c>
      <c r="C5250" t="s">
        <v>13</v>
      </c>
      <c r="D5250" s="1">
        <v>45565</v>
      </c>
      <c r="E5250">
        <v>1407.7</v>
      </c>
      <c r="F5250">
        <v>64.31</v>
      </c>
      <c r="G5250">
        <v>39.47</v>
      </c>
      <c r="H5250">
        <v>161</v>
      </c>
      <c r="I5250" t="s">
        <v>23</v>
      </c>
      <c r="J5250">
        <v>2024</v>
      </c>
      <c r="K5250">
        <f t="shared" ref="K5250:K5313" si="164">F5250-G5250</f>
        <v>24.840000000000003</v>
      </c>
      <c r="L5250" t="str">
        <f t="shared" ref="L5250:L5313" si="165">A5250&amp;"|"&amp;B5250&amp;"|"&amp;C5250</f>
        <v>Banca Romagnola|9|Mutui</v>
      </c>
    </row>
    <row r="5251" spans="1:12" x14ac:dyDescent="0.25">
      <c r="A5251" t="s">
        <v>43</v>
      </c>
      <c r="B5251">
        <v>9</v>
      </c>
      <c r="C5251" t="s">
        <v>15</v>
      </c>
      <c r="D5251" s="1">
        <v>45565</v>
      </c>
      <c r="E5251">
        <v>1955.1</v>
      </c>
      <c r="F5251">
        <v>92.7</v>
      </c>
      <c r="G5251">
        <v>56.87</v>
      </c>
      <c r="H5251">
        <v>182</v>
      </c>
      <c r="I5251" t="s">
        <v>23</v>
      </c>
      <c r="J5251">
        <v>2024</v>
      </c>
      <c r="K5251">
        <f t="shared" si="164"/>
        <v>35.830000000000005</v>
      </c>
      <c r="L5251" t="str">
        <f t="shared" si="165"/>
        <v>Banca Romagnola|9|Prestiti</v>
      </c>
    </row>
    <row r="5252" spans="1:12" x14ac:dyDescent="0.25">
      <c r="A5252" t="s">
        <v>43</v>
      </c>
      <c r="B5252">
        <v>9</v>
      </c>
      <c r="C5252" t="s">
        <v>16</v>
      </c>
      <c r="D5252" s="1">
        <v>45565</v>
      </c>
      <c r="E5252">
        <v>2476.9</v>
      </c>
      <c r="F5252">
        <v>121.66</v>
      </c>
      <c r="G5252">
        <v>74.91</v>
      </c>
      <c r="H5252">
        <v>231</v>
      </c>
      <c r="I5252" t="s">
        <v>23</v>
      </c>
      <c r="J5252">
        <v>2024</v>
      </c>
      <c r="K5252">
        <f t="shared" si="164"/>
        <v>46.75</v>
      </c>
      <c r="L5252" t="str">
        <f t="shared" si="165"/>
        <v>Banca Romagnola|9|Conti</v>
      </c>
    </row>
    <row r="5253" spans="1:12" x14ac:dyDescent="0.25">
      <c r="A5253" t="s">
        <v>43</v>
      </c>
      <c r="B5253">
        <v>9</v>
      </c>
      <c r="C5253" t="s">
        <v>17</v>
      </c>
      <c r="D5253" s="1">
        <v>45565</v>
      </c>
      <c r="E5253">
        <v>2986.5</v>
      </c>
      <c r="F5253">
        <v>152.41</v>
      </c>
      <c r="G5253">
        <v>92.61</v>
      </c>
      <c r="H5253">
        <v>305</v>
      </c>
      <c r="I5253" t="s">
        <v>23</v>
      </c>
      <c r="J5253">
        <v>2024</v>
      </c>
      <c r="K5253">
        <f t="shared" si="164"/>
        <v>59.8</v>
      </c>
      <c r="L5253" t="str">
        <f t="shared" si="165"/>
        <v>Banca Romagnola|9|Carte</v>
      </c>
    </row>
    <row r="5254" spans="1:12" x14ac:dyDescent="0.25">
      <c r="A5254" t="s">
        <v>43</v>
      </c>
      <c r="B5254">
        <v>9</v>
      </c>
      <c r="C5254" t="s">
        <v>18</v>
      </c>
      <c r="D5254" s="1">
        <v>45565</v>
      </c>
      <c r="E5254">
        <v>3519.7</v>
      </c>
      <c r="F5254">
        <v>187.39</v>
      </c>
      <c r="G5254">
        <v>113.61</v>
      </c>
      <c r="H5254">
        <v>356</v>
      </c>
      <c r="I5254" t="s">
        <v>23</v>
      </c>
      <c r="J5254">
        <v>2024</v>
      </c>
      <c r="K5254">
        <f t="shared" si="164"/>
        <v>73.779999999999987</v>
      </c>
      <c r="L5254" t="str">
        <f t="shared" si="165"/>
        <v>Banca Romagnola|9|Leasing</v>
      </c>
    </row>
    <row r="5255" spans="1:12" x14ac:dyDescent="0.25">
      <c r="A5255" t="s">
        <v>43</v>
      </c>
      <c r="B5255">
        <v>9</v>
      </c>
      <c r="C5255" t="s">
        <v>19</v>
      </c>
      <c r="D5255" s="1">
        <v>45565</v>
      </c>
      <c r="E5255">
        <v>4030.8</v>
      </c>
      <c r="F5255">
        <v>222.13</v>
      </c>
      <c r="G5255">
        <v>133.54</v>
      </c>
      <c r="H5255">
        <v>396</v>
      </c>
      <c r="I5255" t="s">
        <v>23</v>
      </c>
      <c r="J5255">
        <v>2024</v>
      </c>
      <c r="K5255">
        <f t="shared" si="164"/>
        <v>88.59</v>
      </c>
      <c r="L5255" t="str">
        <f t="shared" si="165"/>
        <v>Banca Romagnola|9|Factoring</v>
      </c>
    </row>
    <row r="5256" spans="1:12" x14ac:dyDescent="0.25">
      <c r="A5256" t="s">
        <v>43</v>
      </c>
      <c r="B5256">
        <v>9</v>
      </c>
      <c r="C5256" t="s">
        <v>20</v>
      </c>
      <c r="D5256" s="1">
        <v>45565</v>
      </c>
      <c r="E5256">
        <v>4577.8</v>
      </c>
      <c r="F5256">
        <v>261.86</v>
      </c>
      <c r="G5256">
        <v>156.09</v>
      </c>
      <c r="H5256">
        <v>454</v>
      </c>
      <c r="I5256" t="s">
        <v>23</v>
      </c>
      <c r="J5256">
        <v>2024</v>
      </c>
      <c r="K5256">
        <f t="shared" si="164"/>
        <v>105.77000000000001</v>
      </c>
      <c r="L5256" t="str">
        <f t="shared" si="165"/>
        <v>Banca Romagnola|9|Risparmio</v>
      </c>
    </row>
    <row r="5257" spans="1:12" x14ac:dyDescent="0.25">
      <c r="A5257" t="s">
        <v>43</v>
      </c>
      <c r="B5257">
        <v>9</v>
      </c>
      <c r="C5257" t="s">
        <v>21</v>
      </c>
      <c r="D5257" s="1">
        <v>45565</v>
      </c>
      <c r="E5257">
        <v>5062.8999999999996</v>
      </c>
      <c r="F5257">
        <v>299.27</v>
      </c>
      <c r="G5257">
        <v>177.8</v>
      </c>
      <c r="H5257">
        <v>482</v>
      </c>
      <c r="I5257" t="s">
        <v>23</v>
      </c>
      <c r="J5257">
        <v>2024</v>
      </c>
      <c r="K5257">
        <f t="shared" si="164"/>
        <v>121.46999999999997</v>
      </c>
      <c r="L5257" t="str">
        <f t="shared" si="165"/>
        <v>Banca Romagnola|9|Assicurazioni</v>
      </c>
    </row>
    <row r="5258" spans="1:12" x14ac:dyDescent="0.25">
      <c r="A5258" t="s">
        <v>43</v>
      </c>
      <c r="B5258">
        <v>10</v>
      </c>
      <c r="C5258" t="s">
        <v>13</v>
      </c>
      <c r="D5258" s="1">
        <v>45596</v>
      </c>
      <c r="E5258">
        <v>1399.7</v>
      </c>
      <c r="F5258">
        <v>63.22</v>
      </c>
      <c r="G5258">
        <v>39.74</v>
      </c>
      <c r="H5258">
        <v>142</v>
      </c>
      <c r="I5258" t="s">
        <v>23</v>
      </c>
      <c r="J5258">
        <v>2024</v>
      </c>
      <c r="K5258">
        <f t="shared" si="164"/>
        <v>23.479999999999997</v>
      </c>
      <c r="L5258" t="str">
        <f t="shared" si="165"/>
        <v>Banca Romagnola|10|Mutui</v>
      </c>
    </row>
    <row r="5259" spans="1:12" x14ac:dyDescent="0.25">
      <c r="A5259" t="s">
        <v>43</v>
      </c>
      <c r="B5259">
        <v>10</v>
      </c>
      <c r="C5259" t="s">
        <v>15</v>
      </c>
      <c r="D5259" s="1">
        <v>45596</v>
      </c>
      <c r="E5259">
        <v>1918.8</v>
      </c>
      <c r="F5259">
        <v>90.88</v>
      </c>
      <c r="G5259">
        <v>55.65</v>
      </c>
      <c r="H5259">
        <v>219</v>
      </c>
      <c r="I5259" t="s">
        <v>23</v>
      </c>
      <c r="J5259">
        <v>2024</v>
      </c>
      <c r="K5259">
        <f t="shared" si="164"/>
        <v>35.229999999999997</v>
      </c>
      <c r="L5259" t="str">
        <f t="shared" si="165"/>
        <v>Banca Romagnola|10|Prestiti</v>
      </c>
    </row>
    <row r="5260" spans="1:12" x14ac:dyDescent="0.25">
      <c r="A5260" t="s">
        <v>43</v>
      </c>
      <c r="B5260">
        <v>10</v>
      </c>
      <c r="C5260" t="s">
        <v>16</v>
      </c>
      <c r="D5260" s="1">
        <v>45596</v>
      </c>
      <c r="E5260">
        <v>2476</v>
      </c>
      <c r="F5260">
        <v>122.27</v>
      </c>
      <c r="G5260">
        <v>75.180000000000007</v>
      </c>
      <c r="H5260">
        <v>232</v>
      </c>
      <c r="I5260" t="s">
        <v>23</v>
      </c>
      <c r="J5260">
        <v>2024</v>
      </c>
      <c r="K5260">
        <f t="shared" si="164"/>
        <v>47.089999999999989</v>
      </c>
      <c r="L5260" t="str">
        <f t="shared" si="165"/>
        <v>Banca Romagnola|10|Conti</v>
      </c>
    </row>
    <row r="5261" spans="1:12" x14ac:dyDescent="0.25">
      <c r="A5261" t="s">
        <v>43</v>
      </c>
      <c r="B5261">
        <v>10</v>
      </c>
      <c r="C5261" t="s">
        <v>17</v>
      </c>
      <c r="D5261" s="1">
        <v>45596</v>
      </c>
      <c r="E5261">
        <v>2971.5</v>
      </c>
      <c r="F5261">
        <v>152.53</v>
      </c>
      <c r="G5261">
        <v>92.43</v>
      </c>
      <c r="H5261">
        <v>285</v>
      </c>
      <c r="I5261" t="s">
        <v>23</v>
      </c>
      <c r="J5261">
        <v>2024</v>
      </c>
      <c r="K5261">
        <f t="shared" si="164"/>
        <v>60.099999999999994</v>
      </c>
      <c r="L5261" t="str">
        <f t="shared" si="165"/>
        <v>Banca Romagnola|10|Carte</v>
      </c>
    </row>
    <row r="5262" spans="1:12" x14ac:dyDescent="0.25">
      <c r="A5262" t="s">
        <v>43</v>
      </c>
      <c r="B5262">
        <v>10</v>
      </c>
      <c r="C5262" t="s">
        <v>18</v>
      </c>
      <c r="D5262" s="1">
        <v>45596</v>
      </c>
      <c r="E5262">
        <v>3526.3</v>
      </c>
      <c r="F5262">
        <v>187.18</v>
      </c>
      <c r="G5262">
        <v>113.51</v>
      </c>
      <c r="H5262">
        <v>331</v>
      </c>
      <c r="I5262" t="s">
        <v>23</v>
      </c>
      <c r="J5262">
        <v>2024</v>
      </c>
      <c r="K5262">
        <f t="shared" si="164"/>
        <v>73.67</v>
      </c>
      <c r="L5262" t="str">
        <f t="shared" si="165"/>
        <v>Banca Romagnola|10|Leasing</v>
      </c>
    </row>
    <row r="5263" spans="1:12" x14ac:dyDescent="0.25">
      <c r="A5263" t="s">
        <v>43</v>
      </c>
      <c r="B5263">
        <v>10</v>
      </c>
      <c r="C5263" t="s">
        <v>19</v>
      </c>
      <c r="D5263" s="1">
        <v>45596</v>
      </c>
      <c r="E5263">
        <v>4061.6</v>
      </c>
      <c r="F5263">
        <v>224.23</v>
      </c>
      <c r="G5263">
        <v>134.9</v>
      </c>
      <c r="H5263">
        <v>407</v>
      </c>
      <c r="I5263" t="s">
        <v>23</v>
      </c>
      <c r="J5263">
        <v>2024</v>
      </c>
      <c r="K5263">
        <f t="shared" si="164"/>
        <v>89.329999999999984</v>
      </c>
      <c r="L5263" t="str">
        <f t="shared" si="165"/>
        <v>Banca Romagnola|10|Factoring</v>
      </c>
    </row>
    <row r="5264" spans="1:12" x14ac:dyDescent="0.25">
      <c r="A5264" t="s">
        <v>43</v>
      </c>
      <c r="B5264">
        <v>10</v>
      </c>
      <c r="C5264" t="s">
        <v>20</v>
      </c>
      <c r="D5264" s="1">
        <v>45596</v>
      </c>
      <c r="E5264">
        <v>4581.3999999999996</v>
      </c>
      <c r="F5264">
        <v>261.64999999999998</v>
      </c>
      <c r="G5264">
        <v>156.58000000000001</v>
      </c>
      <c r="H5264">
        <v>440</v>
      </c>
      <c r="I5264" t="s">
        <v>23</v>
      </c>
      <c r="J5264">
        <v>2024</v>
      </c>
      <c r="K5264">
        <f t="shared" si="164"/>
        <v>105.06999999999996</v>
      </c>
      <c r="L5264" t="str">
        <f t="shared" si="165"/>
        <v>Banca Romagnola|10|Risparmio</v>
      </c>
    </row>
    <row r="5265" spans="1:12" x14ac:dyDescent="0.25">
      <c r="A5265" t="s">
        <v>43</v>
      </c>
      <c r="B5265">
        <v>10</v>
      </c>
      <c r="C5265" t="s">
        <v>21</v>
      </c>
      <c r="D5265" s="1">
        <v>45596</v>
      </c>
      <c r="E5265">
        <v>5086.8999999999996</v>
      </c>
      <c r="F5265">
        <v>300.42</v>
      </c>
      <c r="G5265">
        <v>178.73</v>
      </c>
      <c r="H5265">
        <v>497</v>
      </c>
      <c r="I5265" t="s">
        <v>23</v>
      </c>
      <c r="J5265">
        <v>2024</v>
      </c>
      <c r="K5265">
        <f t="shared" si="164"/>
        <v>121.69000000000003</v>
      </c>
      <c r="L5265" t="str">
        <f t="shared" si="165"/>
        <v>Banca Romagnola|10|Assicurazioni</v>
      </c>
    </row>
    <row r="5266" spans="1:12" x14ac:dyDescent="0.25">
      <c r="A5266" t="s">
        <v>43</v>
      </c>
      <c r="B5266">
        <v>11</v>
      </c>
      <c r="C5266" t="s">
        <v>13</v>
      </c>
      <c r="D5266" s="1">
        <v>45626</v>
      </c>
      <c r="E5266">
        <v>1436.2</v>
      </c>
      <c r="F5266">
        <v>65.06</v>
      </c>
      <c r="G5266">
        <v>40.75</v>
      </c>
      <c r="H5266">
        <v>166</v>
      </c>
      <c r="I5266" t="s">
        <v>23</v>
      </c>
      <c r="J5266">
        <v>2024</v>
      </c>
      <c r="K5266">
        <f t="shared" si="164"/>
        <v>24.310000000000002</v>
      </c>
      <c r="L5266" t="str">
        <f t="shared" si="165"/>
        <v>Banca Romagnola|11|Mutui</v>
      </c>
    </row>
    <row r="5267" spans="1:12" x14ac:dyDescent="0.25">
      <c r="A5267" t="s">
        <v>43</v>
      </c>
      <c r="B5267">
        <v>11</v>
      </c>
      <c r="C5267" t="s">
        <v>15</v>
      </c>
      <c r="D5267" s="1">
        <v>45626</v>
      </c>
      <c r="E5267">
        <v>1983.8</v>
      </c>
      <c r="F5267">
        <v>93.26</v>
      </c>
      <c r="G5267">
        <v>57.89</v>
      </c>
      <c r="H5267">
        <v>207</v>
      </c>
      <c r="I5267" t="s">
        <v>23</v>
      </c>
      <c r="J5267">
        <v>2024</v>
      </c>
      <c r="K5267">
        <f t="shared" si="164"/>
        <v>35.370000000000005</v>
      </c>
      <c r="L5267" t="str">
        <f t="shared" si="165"/>
        <v>Banca Romagnola|11|Prestiti</v>
      </c>
    </row>
    <row r="5268" spans="1:12" x14ac:dyDescent="0.25">
      <c r="A5268" t="s">
        <v>43</v>
      </c>
      <c r="B5268">
        <v>11</v>
      </c>
      <c r="C5268" t="s">
        <v>16</v>
      </c>
      <c r="D5268" s="1">
        <v>45626</v>
      </c>
      <c r="E5268">
        <v>2511.6</v>
      </c>
      <c r="F5268">
        <v>123.31</v>
      </c>
      <c r="G5268">
        <v>75.760000000000005</v>
      </c>
      <c r="H5268">
        <v>258</v>
      </c>
      <c r="I5268" t="s">
        <v>23</v>
      </c>
      <c r="J5268">
        <v>2024</v>
      </c>
      <c r="K5268">
        <f t="shared" si="164"/>
        <v>47.55</v>
      </c>
      <c r="L5268" t="str">
        <f t="shared" si="165"/>
        <v>Banca Romagnola|11|Conti</v>
      </c>
    </row>
    <row r="5269" spans="1:12" x14ac:dyDescent="0.25">
      <c r="A5269" t="s">
        <v>43</v>
      </c>
      <c r="B5269">
        <v>11</v>
      </c>
      <c r="C5269" t="s">
        <v>17</v>
      </c>
      <c r="D5269" s="1">
        <v>45626</v>
      </c>
      <c r="E5269">
        <v>3008.9</v>
      </c>
      <c r="F5269">
        <v>154.01</v>
      </c>
      <c r="G5269">
        <v>93.7</v>
      </c>
      <c r="H5269">
        <v>306</v>
      </c>
      <c r="I5269" t="s">
        <v>23</v>
      </c>
      <c r="J5269">
        <v>2024</v>
      </c>
      <c r="K5269">
        <f t="shared" si="164"/>
        <v>60.309999999999988</v>
      </c>
      <c r="L5269" t="str">
        <f t="shared" si="165"/>
        <v>Banca Romagnola|11|Carte</v>
      </c>
    </row>
    <row r="5270" spans="1:12" x14ac:dyDescent="0.25">
      <c r="A5270" t="s">
        <v>43</v>
      </c>
      <c r="B5270">
        <v>11</v>
      </c>
      <c r="C5270" t="s">
        <v>18</v>
      </c>
      <c r="D5270" s="1">
        <v>45626</v>
      </c>
      <c r="E5270">
        <v>3580.4</v>
      </c>
      <c r="F5270">
        <v>190.59</v>
      </c>
      <c r="G5270">
        <v>114.79</v>
      </c>
      <c r="H5270">
        <v>349</v>
      </c>
      <c r="I5270" t="s">
        <v>23</v>
      </c>
      <c r="J5270">
        <v>2024</v>
      </c>
      <c r="K5270">
        <f t="shared" si="164"/>
        <v>75.8</v>
      </c>
      <c r="L5270" t="str">
        <f t="shared" si="165"/>
        <v>Banca Romagnola|11|Leasing</v>
      </c>
    </row>
    <row r="5271" spans="1:12" x14ac:dyDescent="0.25">
      <c r="A5271" t="s">
        <v>43</v>
      </c>
      <c r="B5271">
        <v>11</v>
      </c>
      <c r="C5271" t="s">
        <v>19</v>
      </c>
      <c r="D5271" s="1">
        <v>45626</v>
      </c>
      <c r="E5271">
        <v>4096.8999999999996</v>
      </c>
      <c r="F5271">
        <v>225.46</v>
      </c>
      <c r="G5271">
        <v>135.72</v>
      </c>
      <c r="H5271">
        <v>377</v>
      </c>
      <c r="I5271" t="s">
        <v>23</v>
      </c>
      <c r="J5271">
        <v>2024</v>
      </c>
      <c r="K5271">
        <f t="shared" si="164"/>
        <v>89.740000000000009</v>
      </c>
      <c r="L5271" t="str">
        <f t="shared" si="165"/>
        <v>Banca Romagnola|11|Factoring</v>
      </c>
    </row>
    <row r="5272" spans="1:12" x14ac:dyDescent="0.25">
      <c r="A5272" t="s">
        <v>43</v>
      </c>
      <c r="B5272">
        <v>11</v>
      </c>
      <c r="C5272" t="s">
        <v>20</v>
      </c>
      <c r="D5272" s="1">
        <v>45626</v>
      </c>
      <c r="E5272">
        <v>4632.5</v>
      </c>
      <c r="F5272">
        <v>264.33999999999997</v>
      </c>
      <c r="G5272">
        <v>158.22999999999999</v>
      </c>
      <c r="H5272">
        <v>442</v>
      </c>
      <c r="I5272" t="s">
        <v>23</v>
      </c>
      <c r="J5272">
        <v>2024</v>
      </c>
      <c r="K5272">
        <f t="shared" si="164"/>
        <v>106.10999999999999</v>
      </c>
      <c r="L5272" t="str">
        <f t="shared" si="165"/>
        <v>Banca Romagnola|11|Risparmio</v>
      </c>
    </row>
    <row r="5273" spans="1:12" x14ac:dyDescent="0.25">
      <c r="A5273" t="s">
        <v>43</v>
      </c>
      <c r="B5273">
        <v>11</v>
      </c>
      <c r="C5273" t="s">
        <v>21</v>
      </c>
      <c r="D5273" s="1">
        <v>45626</v>
      </c>
      <c r="E5273">
        <v>5162</v>
      </c>
      <c r="F5273">
        <v>305.31</v>
      </c>
      <c r="G5273">
        <v>181.45</v>
      </c>
      <c r="H5273">
        <v>479</v>
      </c>
      <c r="I5273" t="s">
        <v>23</v>
      </c>
      <c r="J5273">
        <v>2024</v>
      </c>
      <c r="K5273">
        <f t="shared" si="164"/>
        <v>123.86000000000001</v>
      </c>
      <c r="L5273" t="str">
        <f t="shared" si="165"/>
        <v>Banca Romagnola|11|Assicurazioni</v>
      </c>
    </row>
    <row r="5274" spans="1:12" x14ac:dyDescent="0.25">
      <c r="A5274" t="s">
        <v>43</v>
      </c>
      <c r="B5274">
        <v>12</v>
      </c>
      <c r="C5274" t="s">
        <v>13</v>
      </c>
      <c r="D5274" s="1">
        <v>45657</v>
      </c>
      <c r="E5274">
        <v>1413</v>
      </c>
      <c r="F5274">
        <v>64.069999999999993</v>
      </c>
      <c r="G5274">
        <v>39.75</v>
      </c>
      <c r="H5274">
        <v>166</v>
      </c>
      <c r="I5274" t="s">
        <v>23</v>
      </c>
      <c r="J5274">
        <v>2024</v>
      </c>
      <c r="K5274">
        <f t="shared" si="164"/>
        <v>24.319999999999993</v>
      </c>
      <c r="L5274" t="str">
        <f t="shared" si="165"/>
        <v>Banca Romagnola|12|Mutui</v>
      </c>
    </row>
    <row r="5275" spans="1:12" x14ac:dyDescent="0.25">
      <c r="A5275" t="s">
        <v>43</v>
      </c>
      <c r="B5275">
        <v>12</v>
      </c>
      <c r="C5275" t="s">
        <v>15</v>
      </c>
      <c r="D5275" s="1">
        <v>45657</v>
      </c>
      <c r="E5275">
        <v>1948.4</v>
      </c>
      <c r="F5275">
        <v>91.67</v>
      </c>
      <c r="G5275">
        <v>56.58</v>
      </c>
      <c r="H5275">
        <v>182</v>
      </c>
      <c r="I5275" t="s">
        <v>23</v>
      </c>
      <c r="J5275">
        <v>2024</v>
      </c>
      <c r="K5275">
        <f t="shared" si="164"/>
        <v>35.090000000000003</v>
      </c>
      <c r="L5275" t="str">
        <f t="shared" si="165"/>
        <v>Banca Romagnola|12|Prestiti</v>
      </c>
    </row>
    <row r="5276" spans="1:12" x14ac:dyDescent="0.25">
      <c r="A5276" t="s">
        <v>43</v>
      </c>
      <c r="B5276">
        <v>12</v>
      </c>
      <c r="C5276" t="s">
        <v>16</v>
      </c>
      <c r="D5276" s="1">
        <v>45657</v>
      </c>
      <c r="E5276">
        <v>2510.4</v>
      </c>
      <c r="F5276">
        <v>123.89</v>
      </c>
      <c r="G5276">
        <v>76.31</v>
      </c>
      <c r="H5276">
        <v>255</v>
      </c>
      <c r="I5276" t="s">
        <v>23</v>
      </c>
      <c r="J5276">
        <v>2024</v>
      </c>
      <c r="K5276">
        <f t="shared" si="164"/>
        <v>47.58</v>
      </c>
      <c r="L5276" t="str">
        <f t="shared" si="165"/>
        <v>Banca Romagnola|12|Conti</v>
      </c>
    </row>
    <row r="5277" spans="1:12" x14ac:dyDescent="0.25">
      <c r="A5277" t="s">
        <v>43</v>
      </c>
      <c r="B5277">
        <v>12</v>
      </c>
      <c r="C5277" t="s">
        <v>17</v>
      </c>
      <c r="D5277" s="1">
        <v>45657</v>
      </c>
      <c r="E5277">
        <v>3057.6</v>
      </c>
      <c r="F5277">
        <v>156.15</v>
      </c>
      <c r="G5277">
        <v>95.76</v>
      </c>
      <c r="H5277">
        <v>286</v>
      </c>
      <c r="I5277" t="s">
        <v>23</v>
      </c>
      <c r="J5277">
        <v>2024</v>
      </c>
      <c r="K5277">
        <f t="shared" si="164"/>
        <v>60.39</v>
      </c>
      <c r="L5277" t="str">
        <f t="shared" si="165"/>
        <v>Banca Romagnola|12|Carte</v>
      </c>
    </row>
    <row r="5278" spans="1:12" x14ac:dyDescent="0.25">
      <c r="A5278" t="s">
        <v>43</v>
      </c>
      <c r="B5278">
        <v>12</v>
      </c>
      <c r="C5278" t="s">
        <v>18</v>
      </c>
      <c r="D5278" s="1">
        <v>45657</v>
      </c>
      <c r="E5278">
        <v>3582.8</v>
      </c>
      <c r="F5278">
        <v>190.39</v>
      </c>
      <c r="G5278">
        <v>114.98</v>
      </c>
      <c r="H5278">
        <v>365</v>
      </c>
      <c r="I5278" t="s">
        <v>23</v>
      </c>
      <c r="J5278">
        <v>2024</v>
      </c>
      <c r="K5278">
        <f t="shared" si="164"/>
        <v>75.409999999999982</v>
      </c>
      <c r="L5278" t="str">
        <f t="shared" si="165"/>
        <v>Banca Romagnola|12|Leasing</v>
      </c>
    </row>
    <row r="5279" spans="1:12" x14ac:dyDescent="0.25">
      <c r="A5279" t="s">
        <v>43</v>
      </c>
      <c r="B5279">
        <v>12</v>
      </c>
      <c r="C5279" t="s">
        <v>19</v>
      </c>
      <c r="D5279" s="1">
        <v>45657</v>
      </c>
      <c r="E5279">
        <v>4137.3999999999996</v>
      </c>
      <c r="F5279">
        <v>228.08</v>
      </c>
      <c r="G5279">
        <v>137.51</v>
      </c>
      <c r="H5279">
        <v>379</v>
      </c>
      <c r="I5279" t="s">
        <v>23</v>
      </c>
      <c r="J5279">
        <v>2024</v>
      </c>
      <c r="K5279">
        <f t="shared" si="164"/>
        <v>90.570000000000022</v>
      </c>
      <c r="L5279" t="str">
        <f t="shared" si="165"/>
        <v>Banca Romagnola|12|Factoring</v>
      </c>
    </row>
    <row r="5280" spans="1:12" x14ac:dyDescent="0.25">
      <c r="A5280" t="s">
        <v>43</v>
      </c>
      <c r="B5280">
        <v>12</v>
      </c>
      <c r="C5280" t="s">
        <v>20</v>
      </c>
      <c r="D5280" s="1">
        <v>45657</v>
      </c>
      <c r="E5280">
        <v>4669.1000000000004</v>
      </c>
      <c r="F5280">
        <v>266.92</v>
      </c>
      <c r="G5280">
        <v>159.04</v>
      </c>
      <c r="H5280">
        <v>445</v>
      </c>
      <c r="I5280" t="s">
        <v>23</v>
      </c>
      <c r="J5280">
        <v>2024</v>
      </c>
      <c r="K5280">
        <f t="shared" si="164"/>
        <v>107.88000000000002</v>
      </c>
      <c r="L5280" t="str">
        <f t="shared" si="165"/>
        <v>Banca Romagnola|12|Risparmio</v>
      </c>
    </row>
    <row r="5281" spans="1:12" x14ac:dyDescent="0.25">
      <c r="A5281" t="s">
        <v>43</v>
      </c>
      <c r="B5281">
        <v>12</v>
      </c>
      <c r="C5281" t="s">
        <v>21</v>
      </c>
      <c r="D5281" s="1">
        <v>45657</v>
      </c>
      <c r="E5281">
        <v>5205.8</v>
      </c>
      <c r="F5281">
        <v>307.79000000000002</v>
      </c>
      <c r="G5281">
        <v>182.54</v>
      </c>
      <c r="H5281">
        <v>490</v>
      </c>
      <c r="I5281" t="s">
        <v>23</v>
      </c>
      <c r="J5281">
        <v>2024</v>
      </c>
      <c r="K5281">
        <f t="shared" si="164"/>
        <v>125.25000000000003</v>
      </c>
      <c r="L5281" t="str">
        <f t="shared" si="165"/>
        <v>Banca Romagnola|12|Assicurazioni</v>
      </c>
    </row>
    <row r="5282" spans="1:12" x14ac:dyDescent="0.25">
      <c r="A5282" t="s">
        <v>43</v>
      </c>
      <c r="B5282">
        <v>13</v>
      </c>
      <c r="C5282" t="s">
        <v>13</v>
      </c>
      <c r="D5282" s="1">
        <v>45688</v>
      </c>
      <c r="E5282">
        <v>1471.6</v>
      </c>
      <c r="F5282">
        <v>66.28</v>
      </c>
      <c r="G5282">
        <v>41.66</v>
      </c>
      <c r="H5282">
        <v>149</v>
      </c>
      <c r="I5282" t="s">
        <v>23</v>
      </c>
      <c r="J5282">
        <v>2025</v>
      </c>
      <c r="K5282">
        <f t="shared" si="164"/>
        <v>24.620000000000005</v>
      </c>
      <c r="L5282" t="str">
        <f t="shared" si="165"/>
        <v>Banca Romagnola|13|Mutui</v>
      </c>
    </row>
    <row r="5283" spans="1:12" x14ac:dyDescent="0.25">
      <c r="A5283" t="s">
        <v>43</v>
      </c>
      <c r="B5283">
        <v>13</v>
      </c>
      <c r="C5283" t="s">
        <v>15</v>
      </c>
      <c r="D5283" s="1">
        <v>45688</v>
      </c>
      <c r="E5283">
        <v>2010.3</v>
      </c>
      <c r="F5283">
        <v>94.78</v>
      </c>
      <c r="G5283">
        <v>58.37</v>
      </c>
      <c r="H5283">
        <v>207</v>
      </c>
      <c r="I5283" t="s">
        <v>23</v>
      </c>
      <c r="J5283">
        <v>2025</v>
      </c>
      <c r="K5283">
        <f t="shared" si="164"/>
        <v>36.410000000000004</v>
      </c>
      <c r="L5283" t="str">
        <f t="shared" si="165"/>
        <v>Banca Romagnola|13|Prestiti</v>
      </c>
    </row>
    <row r="5284" spans="1:12" x14ac:dyDescent="0.25">
      <c r="A5284" t="s">
        <v>43</v>
      </c>
      <c r="B5284">
        <v>13</v>
      </c>
      <c r="C5284" t="s">
        <v>16</v>
      </c>
      <c r="D5284" s="1">
        <v>45688</v>
      </c>
      <c r="E5284">
        <v>2533.3000000000002</v>
      </c>
      <c r="F5284">
        <v>124.91</v>
      </c>
      <c r="G5284">
        <v>76.569999999999993</v>
      </c>
      <c r="H5284">
        <v>251</v>
      </c>
      <c r="I5284" t="s">
        <v>23</v>
      </c>
      <c r="J5284">
        <v>2025</v>
      </c>
      <c r="K5284">
        <f t="shared" si="164"/>
        <v>48.34</v>
      </c>
      <c r="L5284" t="str">
        <f t="shared" si="165"/>
        <v>Banca Romagnola|13|Conti</v>
      </c>
    </row>
    <row r="5285" spans="1:12" x14ac:dyDescent="0.25">
      <c r="A5285" t="s">
        <v>43</v>
      </c>
      <c r="B5285">
        <v>13</v>
      </c>
      <c r="C5285" t="s">
        <v>17</v>
      </c>
      <c r="D5285" s="1">
        <v>45688</v>
      </c>
      <c r="E5285">
        <v>3089.5</v>
      </c>
      <c r="F5285">
        <v>157.72</v>
      </c>
      <c r="G5285">
        <v>96.01</v>
      </c>
      <c r="H5285">
        <v>279</v>
      </c>
      <c r="I5285" t="s">
        <v>23</v>
      </c>
      <c r="J5285">
        <v>2025</v>
      </c>
      <c r="K5285">
        <f t="shared" si="164"/>
        <v>61.709999999999994</v>
      </c>
      <c r="L5285" t="str">
        <f t="shared" si="165"/>
        <v>Banca Romagnola|13|Carte</v>
      </c>
    </row>
    <row r="5286" spans="1:12" x14ac:dyDescent="0.25">
      <c r="A5286" t="s">
        <v>43</v>
      </c>
      <c r="B5286">
        <v>13</v>
      </c>
      <c r="C5286" t="s">
        <v>18</v>
      </c>
      <c r="D5286" s="1">
        <v>45688</v>
      </c>
      <c r="E5286">
        <v>3586.8</v>
      </c>
      <c r="F5286">
        <v>190.23</v>
      </c>
      <c r="G5286">
        <v>115.76</v>
      </c>
      <c r="H5286">
        <v>339</v>
      </c>
      <c r="I5286" t="s">
        <v>23</v>
      </c>
      <c r="J5286">
        <v>2025</v>
      </c>
      <c r="K5286">
        <f t="shared" si="164"/>
        <v>74.469999999999985</v>
      </c>
      <c r="L5286" t="str">
        <f t="shared" si="165"/>
        <v>Banca Romagnola|13|Leasing</v>
      </c>
    </row>
    <row r="5287" spans="1:12" x14ac:dyDescent="0.25">
      <c r="A5287" t="s">
        <v>43</v>
      </c>
      <c r="B5287">
        <v>13</v>
      </c>
      <c r="C5287" t="s">
        <v>19</v>
      </c>
      <c r="D5287" s="1">
        <v>45688</v>
      </c>
      <c r="E5287">
        <v>4167.5</v>
      </c>
      <c r="F5287">
        <v>229.79</v>
      </c>
      <c r="G5287">
        <v>138</v>
      </c>
      <c r="H5287">
        <v>412</v>
      </c>
      <c r="I5287" t="s">
        <v>23</v>
      </c>
      <c r="J5287">
        <v>2025</v>
      </c>
      <c r="K5287">
        <f t="shared" si="164"/>
        <v>91.789999999999992</v>
      </c>
      <c r="L5287" t="str">
        <f t="shared" si="165"/>
        <v>Banca Romagnola|13|Factoring</v>
      </c>
    </row>
    <row r="5288" spans="1:12" x14ac:dyDescent="0.25">
      <c r="A5288" t="s">
        <v>43</v>
      </c>
      <c r="B5288">
        <v>13</v>
      </c>
      <c r="C5288" t="s">
        <v>20</v>
      </c>
      <c r="D5288" s="1">
        <v>45688</v>
      </c>
      <c r="E5288">
        <v>4670.7</v>
      </c>
      <c r="F5288">
        <v>267.10000000000002</v>
      </c>
      <c r="G5288">
        <v>159.38</v>
      </c>
      <c r="H5288">
        <v>433</v>
      </c>
      <c r="I5288" t="s">
        <v>23</v>
      </c>
      <c r="J5288">
        <v>2025</v>
      </c>
      <c r="K5288">
        <f t="shared" si="164"/>
        <v>107.72000000000003</v>
      </c>
      <c r="L5288" t="str">
        <f t="shared" si="165"/>
        <v>Banca Romagnola|13|Risparmio</v>
      </c>
    </row>
    <row r="5289" spans="1:12" x14ac:dyDescent="0.25">
      <c r="A5289" t="s">
        <v>43</v>
      </c>
      <c r="B5289">
        <v>13</v>
      </c>
      <c r="C5289" t="s">
        <v>21</v>
      </c>
      <c r="D5289" s="1">
        <v>45688</v>
      </c>
      <c r="E5289">
        <v>5211.3999999999996</v>
      </c>
      <c r="F5289">
        <v>307.52</v>
      </c>
      <c r="G5289">
        <v>183.26</v>
      </c>
      <c r="H5289">
        <v>513</v>
      </c>
      <c r="I5289" t="s">
        <v>23</v>
      </c>
      <c r="J5289">
        <v>2025</v>
      </c>
      <c r="K5289">
        <f t="shared" si="164"/>
        <v>124.25999999999999</v>
      </c>
      <c r="L5289" t="str">
        <f t="shared" si="165"/>
        <v>Banca Romagnola|13|Assicurazioni</v>
      </c>
    </row>
    <row r="5290" spans="1:12" x14ac:dyDescent="0.25">
      <c r="A5290" t="s">
        <v>43</v>
      </c>
      <c r="B5290">
        <v>14</v>
      </c>
      <c r="C5290" t="s">
        <v>13</v>
      </c>
      <c r="D5290" s="1">
        <v>45716</v>
      </c>
      <c r="E5290">
        <v>1462.4</v>
      </c>
      <c r="F5290">
        <v>66.25</v>
      </c>
      <c r="G5290">
        <v>41.22</v>
      </c>
      <c r="H5290">
        <v>148</v>
      </c>
      <c r="I5290" t="s">
        <v>23</v>
      </c>
      <c r="J5290">
        <v>2025</v>
      </c>
      <c r="K5290">
        <f t="shared" si="164"/>
        <v>25.03</v>
      </c>
      <c r="L5290" t="str">
        <f t="shared" si="165"/>
        <v>Banca Romagnola|14|Mutui</v>
      </c>
    </row>
    <row r="5291" spans="1:12" x14ac:dyDescent="0.25">
      <c r="A5291" t="s">
        <v>43</v>
      </c>
      <c r="B5291">
        <v>14</v>
      </c>
      <c r="C5291" t="s">
        <v>15</v>
      </c>
      <c r="D5291" s="1">
        <v>45716</v>
      </c>
      <c r="E5291">
        <v>1992.4</v>
      </c>
      <c r="F5291">
        <v>93.85</v>
      </c>
      <c r="G5291">
        <v>58.5</v>
      </c>
      <c r="H5291">
        <v>204</v>
      </c>
      <c r="I5291" t="s">
        <v>23</v>
      </c>
      <c r="J5291">
        <v>2025</v>
      </c>
      <c r="K5291">
        <f t="shared" si="164"/>
        <v>35.349999999999994</v>
      </c>
      <c r="L5291" t="str">
        <f t="shared" si="165"/>
        <v>Banca Romagnola|14|Prestiti</v>
      </c>
    </row>
    <row r="5292" spans="1:12" x14ac:dyDescent="0.25">
      <c r="A5292" t="s">
        <v>43</v>
      </c>
      <c r="B5292">
        <v>14</v>
      </c>
      <c r="C5292" t="s">
        <v>16</v>
      </c>
      <c r="D5292" s="1">
        <v>45716</v>
      </c>
      <c r="E5292">
        <v>2516.6</v>
      </c>
      <c r="F5292">
        <v>123.72</v>
      </c>
      <c r="G5292">
        <v>75.8</v>
      </c>
      <c r="H5292">
        <v>237</v>
      </c>
      <c r="I5292" t="s">
        <v>23</v>
      </c>
      <c r="J5292">
        <v>2025</v>
      </c>
      <c r="K5292">
        <f t="shared" si="164"/>
        <v>47.92</v>
      </c>
      <c r="L5292" t="str">
        <f t="shared" si="165"/>
        <v>Banca Romagnola|14|Conti</v>
      </c>
    </row>
    <row r="5293" spans="1:12" x14ac:dyDescent="0.25">
      <c r="A5293" t="s">
        <v>43</v>
      </c>
      <c r="B5293">
        <v>14</v>
      </c>
      <c r="C5293" t="s">
        <v>17</v>
      </c>
      <c r="D5293" s="1">
        <v>45716</v>
      </c>
      <c r="E5293">
        <v>3105.2</v>
      </c>
      <c r="F5293">
        <v>158.44999999999999</v>
      </c>
      <c r="G5293">
        <v>96.41</v>
      </c>
      <c r="H5293">
        <v>302</v>
      </c>
      <c r="I5293" t="s">
        <v>23</v>
      </c>
      <c r="J5293">
        <v>2025</v>
      </c>
      <c r="K5293">
        <f t="shared" si="164"/>
        <v>62.039999999999992</v>
      </c>
      <c r="L5293" t="str">
        <f t="shared" si="165"/>
        <v>Banca Romagnola|14|Carte</v>
      </c>
    </row>
    <row r="5294" spans="1:12" x14ac:dyDescent="0.25">
      <c r="A5294" t="s">
        <v>43</v>
      </c>
      <c r="B5294">
        <v>14</v>
      </c>
      <c r="C5294" t="s">
        <v>18</v>
      </c>
      <c r="D5294" s="1">
        <v>45716</v>
      </c>
      <c r="E5294">
        <v>3659.4</v>
      </c>
      <c r="F5294">
        <v>194.77</v>
      </c>
      <c r="G5294">
        <v>117.27</v>
      </c>
      <c r="H5294">
        <v>345</v>
      </c>
      <c r="I5294" t="s">
        <v>23</v>
      </c>
      <c r="J5294">
        <v>2025</v>
      </c>
      <c r="K5294">
        <f t="shared" si="164"/>
        <v>77.500000000000014</v>
      </c>
      <c r="L5294" t="str">
        <f t="shared" si="165"/>
        <v>Banca Romagnola|14|Leasing</v>
      </c>
    </row>
    <row r="5295" spans="1:12" x14ac:dyDescent="0.25">
      <c r="A5295" t="s">
        <v>43</v>
      </c>
      <c r="B5295">
        <v>14</v>
      </c>
      <c r="C5295" t="s">
        <v>19</v>
      </c>
      <c r="D5295" s="1">
        <v>45716</v>
      </c>
      <c r="E5295">
        <v>4165</v>
      </c>
      <c r="F5295">
        <v>229.29</v>
      </c>
      <c r="G5295">
        <v>137.80000000000001</v>
      </c>
      <c r="H5295">
        <v>389</v>
      </c>
      <c r="I5295" t="s">
        <v>23</v>
      </c>
      <c r="J5295">
        <v>2025</v>
      </c>
      <c r="K5295">
        <f t="shared" si="164"/>
        <v>91.489999999999981</v>
      </c>
      <c r="L5295" t="str">
        <f t="shared" si="165"/>
        <v>Banca Romagnola|14|Factoring</v>
      </c>
    </row>
    <row r="5296" spans="1:12" x14ac:dyDescent="0.25">
      <c r="A5296" t="s">
        <v>43</v>
      </c>
      <c r="B5296">
        <v>14</v>
      </c>
      <c r="C5296" t="s">
        <v>20</v>
      </c>
      <c r="D5296" s="1">
        <v>45716</v>
      </c>
      <c r="E5296">
        <v>4733</v>
      </c>
      <c r="F5296">
        <v>270.08</v>
      </c>
      <c r="G5296">
        <v>161.16</v>
      </c>
      <c r="H5296">
        <v>440</v>
      </c>
      <c r="I5296" t="s">
        <v>23</v>
      </c>
      <c r="J5296">
        <v>2025</v>
      </c>
      <c r="K5296">
        <f t="shared" si="164"/>
        <v>108.91999999999999</v>
      </c>
      <c r="L5296" t="str">
        <f t="shared" si="165"/>
        <v>Banca Romagnola|14|Risparmio</v>
      </c>
    </row>
    <row r="5297" spans="1:12" x14ac:dyDescent="0.25">
      <c r="A5297" t="s">
        <v>43</v>
      </c>
      <c r="B5297">
        <v>14</v>
      </c>
      <c r="C5297" t="s">
        <v>21</v>
      </c>
      <c r="D5297" s="1">
        <v>45716</v>
      </c>
      <c r="E5297">
        <v>5266.8</v>
      </c>
      <c r="F5297">
        <v>311.60000000000002</v>
      </c>
      <c r="G5297">
        <v>184.89</v>
      </c>
      <c r="H5297">
        <v>510</v>
      </c>
      <c r="I5297" t="s">
        <v>23</v>
      </c>
      <c r="J5297">
        <v>2025</v>
      </c>
      <c r="K5297">
        <f t="shared" si="164"/>
        <v>126.71000000000004</v>
      </c>
      <c r="L5297" t="str">
        <f t="shared" si="165"/>
        <v>Banca Romagnola|14|Assicurazioni</v>
      </c>
    </row>
    <row r="5298" spans="1:12" x14ac:dyDescent="0.25">
      <c r="A5298" t="s">
        <v>43</v>
      </c>
      <c r="B5298">
        <v>15</v>
      </c>
      <c r="C5298" t="s">
        <v>13</v>
      </c>
      <c r="D5298" s="1">
        <v>45747</v>
      </c>
      <c r="E5298">
        <v>1487.9</v>
      </c>
      <c r="F5298">
        <v>67.81</v>
      </c>
      <c r="G5298">
        <v>42.53</v>
      </c>
      <c r="H5298">
        <v>164</v>
      </c>
      <c r="I5298" t="s">
        <v>23</v>
      </c>
      <c r="J5298">
        <v>2025</v>
      </c>
      <c r="K5298">
        <f t="shared" si="164"/>
        <v>25.28</v>
      </c>
      <c r="L5298" t="str">
        <f t="shared" si="165"/>
        <v>Banca Romagnola|15|Mutui</v>
      </c>
    </row>
    <row r="5299" spans="1:12" x14ac:dyDescent="0.25">
      <c r="A5299" t="s">
        <v>43</v>
      </c>
      <c r="B5299">
        <v>15</v>
      </c>
      <c r="C5299" t="s">
        <v>15</v>
      </c>
      <c r="D5299" s="1">
        <v>45747</v>
      </c>
      <c r="E5299">
        <v>2034.8</v>
      </c>
      <c r="F5299">
        <v>96.21</v>
      </c>
      <c r="G5299">
        <v>59.37</v>
      </c>
      <c r="H5299">
        <v>196</v>
      </c>
      <c r="I5299" t="s">
        <v>23</v>
      </c>
      <c r="J5299">
        <v>2025</v>
      </c>
      <c r="K5299">
        <f t="shared" si="164"/>
        <v>36.839999999999996</v>
      </c>
      <c r="L5299" t="str">
        <f t="shared" si="165"/>
        <v>Banca Romagnola|15|Prestiti</v>
      </c>
    </row>
    <row r="5300" spans="1:12" x14ac:dyDescent="0.25">
      <c r="A5300" t="s">
        <v>43</v>
      </c>
      <c r="B5300">
        <v>15</v>
      </c>
      <c r="C5300" t="s">
        <v>16</v>
      </c>
      <c r="D5300" s="1">
        <v>45747</v>
      </c>
      <c r="E5300">
        <v>2531.6999999999998</v>
      </c>
      <c r="F5300">
        <v>124.95</v>
      </c>
      <c r="G5300">
        <v>76.19</v>
      </c>
      <c r="H5300">
        <v>230</v>
      </c>
      <c r="I5300" t="s">
        <v>23</v>
      </c>
      <c r="J5300">
        <v>2025</v>
      </c>
      <c r="K5300">
        <f t="shared" si="164"/>
        <v>48.760000000000005</v>
      </c>
      <c r="L5300" t="str">
        <f t="shared" si="165"/>
        <v>Banca Romagnola|15|Conti</v>
      </c>
    </row>
    <row r="5301" spans="1:12" x14ac:dyDescent="0.25">
      <c r="A5301" t="s">
        <v>43</v>
      </c>
      <c r="B5301">
        <v>15</v>
      </c>
      <c r="C5301" t="s">
        <v>17</v>
      </c>
      <c r="D5301" s="1">
        <v>45747</v>
      </c>
      <c r="E5301">
        <v>3082.1</v>
      </c>
      <c r="F5301">
        <v>157.47</v>
      </c>
      <c r="G5301">
        <v>96.35</v>
      </c>
      <c r="H5301">
        <v>282</v>
      </c>
      <c r="I5301" t="s">
        <v>23</v>
      </c>
      <c r="J5301">
        <v>2025</v>
      </c>
      <c r="K5301">
        <f t="shared" si="164"/>
        <v>61.120000000000005</v>
      </c>
      <c r="L5301" t="str">
        <f t="shared" si="165"/>
        <v>Banca Romagnola|15|Carte</v>
      </c>
    </row>
    <row r="5302" spans="1:12" x14ac:dyDescent="0.25">
      <c r="A5302" t="s">
        <v>43</v>
      </c>
      <c r="B5302">
        <v>15</v>
      </c>
      <c r="C5302" t="s">
        <v>18</v>
      </c>
      <c r="D5302" s="1">
        <v>45747</v>
      </c>
      <c r="E5302">
        <v>3683.7</v>
      </c>
      <c r="F5302">
        <v>196.09</v>
      </c>
      <c r="G5302">
        <v>118.26</v>
      </c>
      <c r="H5302">
        <v>363</v>
      </c>
      <c r="I5302" t="s">
        <v>23</v>
      </c>
      <c r="J5302">
        <v>2025</v>
      </c>
      <c r="K5302">
        <f t="shared" si="164"/>
        <v>77.83</v>
      </c>
      <c r="L5302" t="str">
        <f t="shared" si="165"/>
        <v>Banca Romagnola|15|Leasing</v>
      </c>
    </row>
    <row r="5303" spans="1:12" x14ac:dyDescent="0.25">
      <c r="A5303" t="s">
        <v>43</v>
      </c>
      <c r="B5303">
        <v>15</v>
      </c>
      <c r="C5303" t="s">
        <v>19</v>
      </c>
      <c r="D5303" s="1">
        <v>45747</v>
      </c>
      <c r="E5303">
        <v>4201.7</v>
      </c>
      <c r="F5303">
        <v>231.26</v>
      </c>
      <c r="G5303">
        <v>139.57</v>
      </c>
      <c r="H5303">
        <v>403</v>
      </c>
      <c r="I5303" t="s">
        <v>23</v>
      </c>
      <c r="J5303">
        <v>2025</v>
      </c>
      <c r="K5303">
        <f t="shared" si="164"/>
        <v>91.69</v>
      </c>
      <c r="L5303" t="str">
        <f t="shared" si="165"/>
        <v>Banca Romagnola|15|Factoring</v>
      </c>
    </row>
    <row r="5304" spans="1:12" x14ac:dyDescent="0.25">
      <c r="A5304" t="s">
        <v>43</v>
      </c>
      <c r="B5304">
        <v>15</v>
      </c>
      <c r="C5304" t="s">
        <v>20</v>
      </c>
      <c r="D5304" s="1">
        <v>45747</v>
      </c>
      <c r="E5304">
        <v>4730.6000000000004</v>
      </c>
      <c r="F5304">
        <v>270.18</v>
      </c>
      <c r="G5304">
        <v>161.07</v>
      </c>
      <c r="H5304">
        <v>453</v>
      </c>
      <c r="I5304" t="s">
        <v>23</v>
      </c>
      <c r="J5304">
        <v>2025</v>
      </c>
      <c r="K5304">
        <f t="shared" si="164"/>
        <v>109.11000000000001</v>
      </c>
      <c r="L5304" t="str">
        <f t="shared" si="165"/>
        <v>Banca Romagnola|15|Risparmio</v>
      </c>
    </row>
    <row r="5305" spans="1:12" x14ac:dyDescent="0.25">
      <c r="A5305" t="s">
        <v>43</v>
      </c>
      <c r="B5305">
        <v>15</v>
      </c>
      <c r="C5305" t="s">
        <v>21</v>
      </c>
      <c r="D5305" s="1">
        <v>45747</v>
      </c>
      <c r="E5305">
        <v>5285.7</v>
      </c>
      <c r="F5305">
        <v>312.81</v>
      </c>
      <c r="G5305">
        <v>185.33</v>
      </c>
      <c r="H5305">
        <v>497</v>
      </c>
      <c r="I5305" t="s">
        <v>23</v>
      </c>
      <c r="J5305">
        <v>2025</v>
      </c>
      <c r="K5305">
        <f t="shared" si="164"/>
        <v>127.47999999999999</v>
      </c>
      <c r="L5305" t="str">
        <f t="shared" si="165"/>
        <v>Banca Romagnola|15|Assicurazioni</v>
      </c>
    </row>
    <row r="5306" spans="1:12" x14ac:dyDescent="0.25">
      <c r="A5306" t="s">
        <v>43</v>
      </c>
      <c r="B5306">
        <v>16</v>
      </c>
      <c r="C5306" t="s">
        <v>13</v>
      </c>
      <c r="D5306" s="1">
        <v>45777</v>
      </c>
      <c r="E5306">
        <v>1466.5</v>
      </c>
      <c r="F5306">
        <v>66.84</v>
      </c>
      <c r="G5306">
        <v>42.01</v>
      </c>
      <c r="H5306">
        <v>144</v>
      </c>
      <c r="I5306" t="s">
        <v>23</v>
      </c>
      <c r="J5306">
        <v>2025</v>
      </c>
      <c r="K5306">
        <f t="shared" si="164"/>
        <v>24.830000000000005</v>
      </c>
      <c r="L5306" t="str">
        <f t="shared" si="165"/>
        <v>Banca Romagnola|16|Mutui</v>
      </c>
    </row>
    <row r="5307" spans="1:12" x14ac:dyDescent="0.25">
      <c r="A5307" t="s">
        <v>43</v>
      </c>
      <c r="B5307">
        <v>16</v>
      </c>
      <c r="C5307" t="s">
        <v>15</v>
      </c>
      <c r="D5307" s="1">
        <v>45777</v>
      </c>
      <c r="E5307">
        <v>2030</v>
      </c>
      <c r="F5307">
        <v>95.47</v>
      </c>
      <c r="G5307">
        <v>59.08</v>
      </c>
      <c r="H5307">
        <v>193</v>
      </c>
      <c r="I5307" t="s">
        <v>23</v>
      </c>
      <c r="J5307">
        <v>2025</v>
      </c>
      <c r="K5307">
        <f t="shared" si="164"/>
        <v>36.39</v>
      </c>
      <c r="L5307" t="str">
        <f t="shared" si="165"/>
        <v>Banca Romagnola|16|Prestiti</v>
      </c>
    </row>
    <row r="5308" spans="1:12" x14ac:dyDescent="0.25">
      <c r="A5308" t="s">
        <v>43</v>
      </c>
      <c r="B5308">
        <v>16</v>
      </c>
      <c r="C5308" t="s">
        <v>16</v>
      </c>
      <c r="D5308" s="1">
        <v>45777</v>
      </c>
      <c r="E5308">
        <v>2588.3000000000002</v>
      </c>
      <c r="F5308">
        <v>126.88</v>
      </c>
      <c r="G5308">
        <v>78.08</v>
      </c>
      <c r="H5308">
        <v>268</v>
      </c>
      <c r="I5308" t="s">
        <v>23</v>
      </c>
      <c r="J5308">
        <v>2025</v>
      </c>
      <c r="K5308">
        <f t="shared" si="164"/>
        <v>48.8</v>
      </c>
      <c r="L5308" t="str">
        <f t="shared" si="165"/>
        <v>Banca Romagnola|16|Conti</v>
      </c>
    </row>
    <row r="5309" spans="1:12" x14ac:dyDescent="0.25">
      <c r="A5309" t="s">
        <v>43</v>
      </c>
      <c r="B5309">
        <v>16</v>
      </c>
      <c r="C5309" t="s">
        <v>17</v>
      </c>
      <c r="D5309" s="1">
        <v>45777</v>
      </c>
      <c r="E5309">
        <v>3112.4</v>
      </c>
      <c r="F5309">
        <v>159.21</v>
      </c>
      <c r="G5309">
        <v>97.44</v>
      </c>
      <c r="H5309">
        <v>294</v>
      </c>
      <c r="I5309" t="s">
        <v>23</v>
      </c>
      <c r="J5309">
        <v>2025</v>
      </c>
      <c r="K5309">
        <f t="shared" si="164"/>
        <v>61.77000000000001</v>
      </c>
      <c r="L5309" t="str">
        <f t="shared" si="165"/>
        <v>Banca Romagnola|16|Carte</v>
      </c>
    </row>
    <row r="5310" spans="1:12" x14ac:dyDescent="0.25">
      <c r="A5310" t="s">
        <v>43</v>
      </c>
      <c r="B5310">
        <v>16</v>
      </c>
      <c r="C5310" t="s">
        <v>18</v>
      </c>
      <c r="D5310" s="1">
        <v>45777</v>
      </c>
      <c r="E5310">
        <v>3702.8</v>
      </c>
      <c r="F5310">
        <v>196.9</v>
      </c>
      <c r="G5310">
        <v>119.15</v>
      </c>
      <c r="H5310">
        <v>339</v>
      </c>
      <c r="I5310" t="s">
        <v>23</v>
      </c>
      <c r="J5310">
        <v>2025</v>
      </c>
      <c r="K5310">
        <f t="shared" si="164"/>
        <v>77.75</v>
      </c>
      <c r="L5310" t="str">
        <f t="shared" si="165"/>
        <v>Banca Romagnola|16|Leasing</v>
      </c>
    </row>
    <row r="5311" spans="1:12" x14ac:dyDescent="0.25">
      <c r="A5311" t="s">
        <v>43</v>
      </c>
      <c r="B5311">
        <v>16</v>
      </c>
      <c r="C5311" t="s">
        <v>19</v>
      </c>
      <c r="D5311" s="1">
        <v>45777</v>
      </c>
      <c r="E5311">
        <v>4247.3</v>
      </c>
      <c r="F5311">
        <v>234.26</v>
      </c>
      <c r="G5311">
        <v>140.68</v>
      </c>
      <c r="H5311">
        <v>409</v>
      </c>
      <c r="I5311" t="s">
        <v>23</v>
      </c>
      <c r="J5311">
        <v>2025</v>
      </c>
      <c r="K5311">
        <f t="shared" si="164"/>
        <v>93.579999999999984</v>
      </c>
      <c r="L5311" t="str">
        <f t="shared" si="165"/>
        <v>Banca Romagnola|16|Factoring</v>
      </c>
    </row>
    <row r="5312" spans="1:12" x14ac:dyDescent="0.25">
      <c r="A5312" t="s">
        <v>43</v>
      </c>
      <c r="B5312">
        <v>16</v>
      </c>
      <c r="C5312" t="s">
        <v>20</v>
      </c>
      <c r="D5312" s="1">
        <v>45777</v>
      </c>
      <c r="E5312">
        <v>4777.2</v>
      </c>
      <c r="F5312">
        <v>273.25</v>
      </c>
      <c r="G5312">
        <v>162.63</v>
      </c>
      <c r="H5312">
        <v>454</v>
      </c>
      <c r="I5312" t="s">
        <v>23</v>
      </c>
      <c r="J5312">
        <v>2025</v>
      </c>
      <c r="K5312">
        <f t="shared" si="164"/>
        <v>110.62</v>
      </c>
      <c r="L5312" t="str">
        <f t="shared" si="165"/>
        <v>Banca Romagnola|16|Risparmio</v>
      </c>
    </row>
    <row r="5313" spans="1:12" x14ac:dyDescent="0.25">
      <c r="A5313" t="s">
        <v>43</v>
      </c>
      <c r="B5313">
        <v>16</v>
      </c>
      <c r="C5313" t="s">
        <v>21</v>
      </c>
      <c r="D5313" s="1">
        <v>45777</v>
      </c>
      <c r="E5313">
        <v>5313.8</v>
      </c>
      <c r="F5313">
        <v>314.41000000000003</v>
      </c>
      <c r="G5313">
        <v>186.03</v>
      </c>
      <c r="H5313">
        <v>488</v>
      </c>
      <c r="I5313" t="s">
        <v>23</v>
      </c>
      <c r="J5313">
        <v>2025</v>
      </c>
      <c r="K5313">
        <f t="shared" si="164"/>
        <v>128.38000000000002</v>
      </c>
      <c r="L5313" t="str">
        <f t="shared" si="165"/>
        <v>Banca Romagnola|16|Assicurazioni</v>
      </c>
    </row>
    <row r="5314" spans="1:12" x14ac:dyDescent="0.25">
      <c r="A5314" t="s">
        <v>43</v>
      </c>
      <c r="B5314">
        <v>17</v>
      </c>
      <c r="C5314" t="s">
        <v>13</v>
      </c>
      <c r="D5314" s="1">
        <v>45808</v>
      </c>
      <c r="E5314">
        <v>1494.1</v>
      </c>
      <c r="F5314">
        <v>68.2</v>
      </c>
      <c r="G5314">
        <v>42.41</v>
      </c>
      <c r="H5314">
        <v>132</v>
      </c>
      <c r="I5314" t="s">
        <v>23</v>
      </c>
      <c r="J5314">
        <v>2025</v>
      </c>
      <c r="K5314">
        <f t="shared" ref="K5314:K5377" si="166">F5314-G5314</f>
        <v>25.790000000000006</v>
      </c>
      <c r="L5314" t="str">
        <f t="shared" ref="L5314:L5377" si="167">A5314&amp;"|"&amp;B5314&amp;"|"&amp;C5314</f>
        <v>Banca Romagnola|17|Mutui</v>
      </c>
    </row>
    <row r="5315" spans="1:12" x14ac:dyDescent="0.25">
      <c r="A5315" t="s">
        <v>43</v>
      </c>
      <c r="B5315">
        <v>17</v>
      </c>
      <c r="C5315" t="s">
        <v>15</v>
      </c>
      <c r="D5315" s="1">
        <v>45808</v>
      </c>
      <c r="E5315">
        <v>2048.9</v>
      </c>
      <c r="F5315">
        <v>96.39</v>
      </c>
      <c r="G5315">
        <v>59.67</v>
      </c>
      <c r="H5315">
        <v>201</v>
      </c>
      <c r="I5315" t="s">
        <v>23</v>
      </c>
      <c r="J5315">
        <v>2025</v>
      </c>
      <c r="K5315">
        <f t="shared" si="166"/>
        <v>36.72</v>
      </c>
      <c r="L5315" t="str">
        <f t="shared" si="167"/>
        <v>Banca Romagnola|17|Prestiti</v>
      </c>
    </row>
    <row r="5316" spans="1:12" x14ac:dyDescent="0.25">
      <c r="A5316" t="s">
        <v>43</v>
      </c>
      <c r="B5316">
        <v>17</v>
      </c>
      <c r="C5316" t="s">
        <v>16</v>
      </c>
      <c r="D5316" s="1">
        <v>45808</v>
      </c>
      <c r="E5316">
        <v>2582.4</v>
      </c>
      <c r="F5316">
        <v>126.54</v>
      </c>
      <c r="G5316">
        <v>78.39</v>
      </c>
      <c r="H5316">
        <v>260</v>
      </c>
      <c r="I5316" t="s">
        <v>23</v>
      </c>
      <c r="J5316">
        <v>2025</v>
      </c>
      <c r="K5316">
        <f t="shared" si="166"/>
        <v>48.150000000000006</v>
      </c>
      <c r="L5316" t="str">
        <f t="shared" si="167"/>
        <v>Banca Romagnola|17|Conti</v>
      </c>
    </row>
    <row r="5317" spans="1:12" x14ac:dyDescent="0.25">
      <c r="A5317" t="s">
        <v>43</v>
      </c>
      <c r="B5317">
        <v>17</v>
      </c>
      <c r="C5317" t="s">
        <v>17</v>
      </c>
      <c r="D5317" s="1">
        <v>45808</v>
      </c>
      <c r="E5317">
        <v>3159.9</v>
      </c>
      <c r="F5317">
        <v>161.34</v>
      </c>
      <c r="G5317">
        <v>98.59</v>
      </c>
      <c r="H5317">
        <v>304</v>
      </c>
      <c r="I5317" t="s">
        <v>23</v>
      </c>
      <c r="J5317">
        <v>2025</v>
      </c>
      <c r="K5317">
        <f t="shared" si="166"/>
        <v>62.75</v>
      </c>
      <c r="L5317" t="str">
        <f t="shared" si="167"/>
        <v>Banca Romagnola|17|Carte</v>
      </c>
    </row>
    <row r="5318" spans="1:12" x14ac:dyDescent="0.25">
      <c r="A5318" t="s">
        <v>43</v>
      </c>
      <c r="B5318">
        <v>17</v>
      </c>
      <c r="C5318" t="s">
        <v>18</v>
      </c>
      <c r="D5318" s="1">
        <v>45808</v>
      </c>
      <c r="E5318">
        <v>3736.3</v>
      </c>
      <c r="F5318">
        <v>198.56</v>
      </c>
      <c r="G5318">
        <v>119.92</v>
      </c>
      <c r="H5318">
        <v>329</v>
      </c>
      <c r="I5318" t="s">
        <v>23</v>
      </c>
      <c r="J5318">
        <v>2025</v>
      </c>
      <c r="K5318">
        <f t="shared" si="166"/>
        <v>78.64</v>
      </c>
      <c r="L5318" t="str">
        <f t="shared" si="167"/>
        <v>Banca Romagnola|17|Leasing</v>
      </c>
    </row>
    <row r="5319" spans="1:12" x14ac:dyDescent="0.25">
      <c r="A5319" t="s">
        <v>43</v>
      </c>
      <c r="B5319">
        <v>17</v>
      </c>
      <c r="C5319" t="s">
        <v>19</v>
      </c>
      <c r="D5319" s="1">
        <v>45808</v>
      </c>
      <c r="E5319">
        <v>4282.2</v>
      </c>
      <c r="F5319">
        <v>236.37</v>
      </c>
      <c r="G5319">
        <v>142.01</v>
      </c>
      <c r="H5319">
        <v>414</v>
      </c>
      <c r="I5319" t="s">
        <v>23</v>
      </c>
      <c r="J5319">
        <v>2025</v>
      </c>
      <c r="K5319">
        <f t="shared" si="166"/>
        <v>94.360000000000014</v>
      </c>
      <c r="L5319" t="str">
        <f t="shared" si="167"/>
        <v>Banca Romagnola|17|Factoring</v>
      </c>
    </row>
    <row r="5320" spans="1:12" x14ac:dyDescent="0.25">
      <c r="A5320" t="s">
        <v>43</v>
      </c>
      <c r="B5320">
        <v>17</v>
      </c>
      <c r="C5320" t="s">
        <v>20</v>
      </c>
      <c r="D5320" s="1">
        <v>45808</v>
      </c>
      <c r="E5320">
        <v>4810.3</v>
      </c>
      <c r="F5320">
        <v>274.61</v>
      </c>
      <c r="G5320">
        <v>164.14</v>
      </c>
      <c r="H5320">
        <v>454</v>
      </c>
      <c r="I5320" t="s">
        <v>23</v>
      </c>
      <c r="J5320">
        <v>2025</v>
      </c>
      <c r="K5320">
        <f t="shared" si="166"/>
        <v>110.47000000000003</v>
      </c>
      <c r="L5320" t="str">
        <f t="shared" si="167"/>
        <v>Banca Romagnola|17|Risparmio</v>
      </c>
    </row>
    <row r="5321" spans="1:12" x14ac:dyDescent="0.25">
      <c r="A5321" t="s">
        <v>43</v>
      </c>
      <c r="B5321">
        <v>17</v>
      </c>
      <c r="C5321" t="s">
        <v>21</v>
      </c>
      <c r="D5321" s="1">
        <v>45808</v>
      </c>
      <c r="E5321">
        <v>5398.6</v>
      </c>
      <c r="F5321">
        <v>318.58999999999997</v>
      </c>
      <c r="G5321">
        <v>189.58</v>
      </c>
      <c r="H5321">
        <v>500</v>
      </c>
      <c r="I5321" t="s">
        <v>23</v>
      </c>
      <c r="J5321">
        <v>2025</v>
      </c>
      <c r="K5321">
        <f t="shared" si="166"/>
        <v>129.00999999999996</v>
      </c>
      <c r="L5321" t="str">
        <f t="shared" si="167"/>
        <v>Banca Romagnola|17|Assicurazioni</v>
      </c>
    </row>
    <row r="5322" spans="1:12" x14ac:dyDescent="0.25">
      <c r="A5322" t="s">
        <v>43</v>
      </c>
      <c r="B5322">
        <v>18</v>
      </c>
      <c r="C5322" t="s">
        <v>13</v>
      </c>
      <c r="D5322" s="1">
        <v>45838</v>
      </c>
      <c r="E5322">
        <v>1487</v>
      </c>
      <c r="F5322">
        <v>67.33</v>
      </c>
      <c r="G5322">
        <v>42.61</v>
      </c>
      <c r="H5322">
        <v>154</v>
      </c>
      <c r="I5322" t="s">
        <v>23</v>
      </c>
      <c r="J5322">
        <v>2025</v>
      </c>
      <c r="K5322">
        <f t="shared" si="166"/>
        <v>24.72</v>
      </c>
      <c r="L5322" t="str">
        <f t="shared" si="167"/>
        <v>Banca Romagnola|18|Mutui</v>
      </c>
    </row>
    <row r="5323" spans="1:12" x14ac:dyDescent="0.25">
      <c r="A5323" t="s">
        <v>43</v>
      </c>
      <c r="B5323">
        <v>18</v>
      </c>
      <c r="C5323" t="s">
        <v>15</v>
      </c>
      <c r="D5323" s="1">
        <v>45838</v>
      </c>
      <c r="E5323">
        <v>2025.9</v>
      </c>
      <c r="F5323">
        <v>95.25</v>
      </c>
      <c r="G5323">
        <v>59.17</v>
      </c>
      <c r="H5323">
        <v>185</v>
      </c>
      <c r="I5323" t="s">
        <v>23</v>
      </c>
      <c r="J5323">
        <v>2025</v>
      </c>
      <c r="K5323">
        <f t="shared" si="166"/>
        <v>36.08</v>
      </c>
      <c r="L5323" t="str">
        <f t="shared" si="167"/>
        <v>Banca Romagnola|18|Prestiti</v>
      </c>
    </row>
    <row r="5324" spans="1:12" x14ac:dyDescent="0.25">
      <c r="A5324" t="s">
        <v>43</v>
      </c>
      <c r="B5324">
        <v>18</v>
      </c>
      <c r="C5324" t="s">
        <v>16</v>
      </c>
      <c r="D5324" s="1">
        <v>45838</v>
      </c>
      <c r="E5324">
        <v>2632.1</v>
      </c>
      <c r="F5324">
        <v>129.24</v>
      </c>
      <c r="G5324">
        <v>79.36</v>
      </c>
      <c r="H5324">
        <v>245</v>
      </c>
      <c r="I5324" t="s">
        <v>23</v>
      </c>
      <c r="J5324">
        <v>2025</v>
      </c>
      <c r="K5324">
        <f t="shared" si="166"/>
        <v>49.88000000000001</v>
      </c>
      <c r="L5324" t="str">
        <f t="shared" si="167"/>
        <v>Banca Romagnola|18|Conti</v>
      </c>
    </row>
    <row r="5325" spans="1:12" x14ac:dyDescent="0.25">
      <c r="A5325" t="s">
        <v>43</v>
      </c>
      <c r="B5325">
        <v>18</v>
      </c>
      <c r="C5325" t="s">
        <v>17</v>
      </c>
      <c r="D5325" s="1">
        <v>45838</v>
      </c>
      <c r="E5325">
        <v>3181.3</v>
      </c>
      <c r="F5325">
        <v>162.86000000000001</v>
      </c>
      <c r="G5325">
        <v>99.14</v>
      </c>
      <c r="H5325">
        <v>288</v>
      </c>
      <c r="I5325" t="s">
        <v>23</v>
      </c>
      <c r="J5325">
        <v>2025</v>
      </c>
      <c r="K5325">
        <f t="shared" si="166"/>
        <v>63.720000000000013</v>
      </c>
      <c r="L5325" t="str">
        <f t="shared" si="167"/>
        <v>Banca Romagnola|18|Carte</v>
      </c>
    </row>
    <row r="5326" spans="1:12" x14ac:dyDescent="0.25">
      <c r="A5326" t="s">
        <v>43</v>
      </c>
      <c r="B5326">
        <v>18</v>
      </c>
      <c r="C5326" t="s">
        <v>18</v>
      </c>
      <c r="D5326" s="1">
        <v>45838</v>
      </c>
      <c r="E5326">
        <v>3714.7</v>
      </c>
      <c r="F5326">
        <v>197.28</v>
      </c>
      <c r="G5326">
        <v>119.17</v>
      </c>
      <c r="H5326">
        <v>337</v>
      </c>
      <c r="I5326" t="s">
        <v>23</v>
      </c>
      <c r="J5326">
        <v>2025</v>
      </c>
      <c r="K5326">
        <f t="shared" si="166"/>
        <v>78.11</v>
      </c>
      <c r="L5326" t="str">
        <f t="shared" si="167"/>
        <v>Banca Romagnola|18|Leasing</v>
      </c>
    </row>
    <row r="5327" spans="1:12" x14ac:dyDescent="0.25">
      <c r="A5327" t="s">
        <v>43</v>
      </c>
      <c r="B5327">
        <v>18</v>
      </c>
      <c r="C5327" t="s">
        <v>19</v>
      </c>
      <c r="D5327" s="1">
        <v>45838</v>
      </c>
      <c r="E5327">
        <v>4281.6000000000004</v>
      </c>
      <c r="F5327">
        <v>235.89</v>
      </c>
      <c r="G5327">
        <v>141.47</v>
      </c>
      <c r="H5327">
        <v>415</v>
      </c>
      <c r="I5327" t="s">
        <v>23</v>
      </c>
      <c r="J5327">
        <v>2025</v>
      </c>
      <c r="K5327">
        <f t="shared" si="166"/>
        <v>94.419999999999987</v>
      </c>
      <c r="L5327" t="str">
        <f t="shared" si="167"/>
        <v>Banca Romagnola|18|Factoring</v>
      </c>
    </row>
    <row r="5328" spans="1:12" x14ac:dyDescent="0.25">
      <c r="A5328" t="s">
        <v>43</v>
      </c>
      <c r="B5328">
        <v>18</v>
      </c>
      <c r="C5328" t="s">
        <v>20</v>
      </c>
      <c r="D5328" s="1">
        <v>45838</v>
      </c>
      <c r="E5328">
        <v>4875.3999999999996</v>
      </c>
      <c r="F5328">
        <v>278.45</v>
      </c>
      <c r="G5328">
        <v>166.73</v>
      </c>
      <c r="H5328">
        <v>435</v>
      </c>
      <c r="I5328" t="s">
        <v>23</v>
      </c>
      <c r="J5328">
        <v>2025</v>
      </c>
      <c r="K5328">
        <f t="shared" si="166"/>
        <v>111.72</v>
      </c>
      <c r="L5328" t="str">
        <f t="shared" si="167"/>
        <v>Banca Romagnola|18|Risparmio</v>
      </c>
    </row>
    <row r="5329" spans="1:12" x14ac:dyDescent="0.25">
      <c r="A5329" t="s">
        <v>43</v>
      </c>
      <c r="B5329">
        <v>18</v>
      </c>
      <c r="C5329" t="s">
        <v>21</v>
      </c>
      <c r="D5329" s="1">
        <v>45838</v>
      </c>
      <c r="E5329">
        <v>5414.3</v>
      </c>
      <c r="F5329">
        <v>320.01</v>
      </c>
      <c r="G5329">
        <v>190.27</v>
      </c>
      <c r="H5329">
        <v>476</v>
      </c>
      <c r="I5329" t="s">
        <v>23</v>
      </c>
      <c r="J5329">
        <v>2025</v>
      </c>
      <c r="K5329">
        <f t="shared" si="166"/>
        <v>129.73999999999998</v>
      </c>
      <c r="L5329" t="str">
        <f t="shared" si="167"/>
        <v>Banca Romagnola|18|Assicurazioni</v>
      </c>
    </row>
    <row r="5330" spans="1:12" x14ac:dyDescent="0.25">
      <c r="A5330" t="s">
        <v>43</v>
      </c>
      <c r="B5330">
        <v>19</v>
      </c>
      <c r="C5330" t="s">
        <v>13</v>
      </c>
      <c r="D5330" s="1">
        <v>45869</v>
      </c>
      <c r="E5330">
        <v>1526.4</v>
      </c>
      <c r="F5330">
        <v>69.12</v>
      </c>
      <c r="G5330">
        <v>43.31</v>
      </c>
      <c r="H5330">
        <v>138</v>
      </c>
      <c r="I5330" t="s">
        <v>23</v>
      </c>
      <c r="J5330">
        <v>2025</v>
      </c>
      <c r="K5330">
        <f t="shared" si="166"/>
        <v>25.810000000000002</v>
      </c>
      <c r="L5330" t="str">
        <f t="shared" si="167"/>
        <v>Banca Romagnola|19|Mutui</v>
      </c>
    </row>
    <row r="5331" spans="1:12" x14ac:dyDescent="0.25">
      <c r="A5331" t="s">
        <v>43</v>
      </c>
      <c r="B5331">
        <v>19</v>
      </c>
      <c r="C5331" t="s">
        <v>15</v>
      </c>
      <c r="D5331" s="1">
        <v>45869</v>
      </c>
      <c r="E5331">
        <v>2075.1</v>
      </c>
      <c r="F5331">
        <v>97.55</v>
      </c>
      <c r="G5331">
        <v>60.37</v>
      </c>
      <c r="H5331">
        <v>185</v>
      </c>
      <c r="I5331" t="s">
        <v>23</v>
      </c>
      <c r="J5331">
        <v>2025</v>
      </c>
      <c r="K5331">
        <f t="shared" si="166"/>
        <v>37.18</v>
      </c>
      <c r="L5331" t="str">
        <f t="shared" si="167"/>
        <v>Banca Romagnola|19|Prestiti</v>
      </c>
    </row>
    <row r="5332" spans="1:12" x14ac:dyDescent="0.25">
      <c r="A5332" t="s">
        <v>43</v>
      </c>
      <c r="B5332">
        <v>19</v>
      </c>
      <c r="C5332" t="s">
        <v>16</v>
      </c>
      <c r="D5332" s="1">
        <v>45869</v>
      </c>
      <c r="E5332">
        <v>2623.9</v>
      </c>
      <c r="F5332">
        <v>129.13</v>
      </c>
      <c r="G5332">
        <v>79.069999999999993</v>
      </c>
      <c r="H5332">
        <v>250</v>
      </c>
      <c r="I5332" t="s">
        <v>23</v>
      </c>
      <c r="J5332">
        <v>2025</v>
      </c>
      <c r="K5332">
        <f t="shared" si="166"/>
        <v>50.06</v>
      </c>
      <c r="L5332" t="str">
        <f t="shared" si="167"/>
        <v>Banca Romagnola|19|Conti</v>
      </c>
    </row>
    <row r="5333" spans="1:12" x14ac:dyDescent="0.25">
      <c r="A5333" t="s">
        <v>43</v>
      </c>
      <c r="B5333">
        <v>19</v>
      </c>
      <c r="C5333" t="s">
        <v>17</v>
      </c>
      <c r="D5333" s="1">
        <v>45869</v>
      </c>
      <c r="E5333">
        <v>3224.2</v>
      </c>
      <c r="F5333">
        <v>164.55</v>
      </c>
      <c r="G5333">
        <v>100.66</v>
      </c>
      <c r="H5333">
        <v>292</v>
      </c>
      <c r="I5333" t="s">
        <v>23</v>
      </c>
      <c r="J5333">
        <v>2025</v>
      </c>
      <c r="K5333">
        <f t="shared" si="166"/>
        <v>63.890000000000015</v>
      </c>
      <c r="L5333" t="str">
        <f t="shared" si="167"/>
        <v>Banca Romagnola|19|Carte</v>
      </c>
    </row>
    <row r="5334" spans="1:12" x14ac:dyDescent="0.25">
      <c r="A5334" t="s">
        <v>43</v>
      </c>
      <c r="B5334">
        <v>19</v>
      </c>
      <c r="C5334" t="s">
        <v>18</v>
      </c>
      <c r="D5334" s="1">
        <v>45869</v>
      </c>
      <c r="E5334">
        <v>3741.9</v>
      </c>
      <c r="F5334">
        <v>199.19</v>
      </c>
      <c r="G5334">
        <v>120.18</v>
      </c>
      <c r="H5334">
        <v>339</v>
      </c>
      <c r="I5334" t="s">
        <v>23</v>
      </c>
      <c r="J5334">
        <v>2025</v>
      </c>
      <c r="K5334">
        <f t="shared" si="166"/>
        <v>79.009999999999991</v>
      </c>
      <c r="L5334" t="str">
        <f t="shared" si="167"/>
        <v>Banca Romagnola|19|Leasing</v>
      </c>
    </row>
    <row r="5335" spans="1:12" x14ac:dyDescent="0.25">
      <c r="A5335" t="s">
        <v>43</v>
      </c>
      <c r="B5335">
        <v>19</v>
      </c>
      <c r="C5335" t="s">
        <v>19</v>
      </c>
      <c r="D5335" s="1">
        <v>45869</v>
      </c>
      <c r="E5335">
        <v>4332.8999999999996</v>
      </c>
      <c r="F5335">
        <v>238.61</v>
      </c>
      <c r="G5335">
        <v>143.11000000000001</v>
      </c>
      <c r="H5335">
        <v>414</v>
      </c>
      <c r="I5335" t="s">
        <v>23</v>
      </c>
      <c r="J5335">
        <v>2025</v>
      </c>
      <c r="K5335">
        <f t="shared" si="166"/>
        <v>95.5</v>
      </c>
      <c r="L5335" t="str">
        <f t="shared" si="167"/>
        <v>Banca Romagnola|19|Factoring</v>
      </c>
    </row>
    <row r="5336" spans="1:12" x14ac:dyDescent="0.25">
      <c r="A5336" t="s">
        <v>43</v>
      </c>
      <c r="B5336">
        <v>19</v>
      </c>
      <c r="C5336" t="s">
        <v>20</v>
      </c>
      <c r="D5336" s="1">
        <v>45869</v>
      </c>
      <c r="E5336">
        <v>4917.1000000000004</v>
      </c>
      <c r="F5336">
        <v>281.11</v>
      </c>
      <c r="G5336">
        <v>167.65</v>
      </c>
      <c r="H5336">
        <v>441</v>
      </c>
      <c r="I5336" t="s">
        <v>23</v>
      </c>
      <c r="J5336">
        <v>2025</v>
      </c>
      <c r="K5336">
        <f t="shared" si="166"/>
        <v>113.46000000000001</v>
      </c>
      <c r="L5336" t="str">
        <f t="shared" si="167"/>
        <v>Banca Romagnola|19|Risparmio</v>
      </c>
    </row>
    <row r="5337" spans="1:12" x14ac:dyDescent="0.25">
      <c r="A5337" t="s">
        <v>43</v>
      </c>
      <c r="B5337">
        <v>19</v>
      </c>
      <c r="C5337" t="s">
        <v>21</v>
      </c>
      <c r="D5337" s="1">
        <v>45869</v>
      </c>
      <c r="E5337">
        <v>5466.5</v>
      </c>
      <c r="F5337">
        <v>323.36</v>
      </c>
      <c r="G5337">
        <v>191.45</v>
      </c>
      <c r="H5337">
        <v>500</v>
      </c>
      <c r="I5337" t="s">
        <v>23</v>
      </c>
      <c r="J5337">
        <v>2025</v>
      </c>
      <c r="K5337">
        <f t="shared" si="166"/>
        <v>131.91000000000003</v>
      </c>
      <c r="L5337" t="str">
        <f t="shared" si="167"/>
        <v>Banca Romagnola|19|Assicurazioni</v>
      </c>
    </row>
    <row r="5338" spans="1:12" x14ac:dyDescent="0.25">
      <c r="A5338" t="s">
        <v>43</v>
      </c>
      <c r="B5338">
        <v>20</v>
      </c>
      <c r="C5338" t="s">
        <v>13</v>
      </c>
      <c r="D5338" s="1">
        <v>45900</v>
      </c>
      <c r="E5338">
        <v>1514.3</v>
      </c>
      <c r="F5338">
        <v>68.36</v>
      </c>
      <c r="G5338">
        <v>42.43</v>
      </c>
      <c r="H5338">
        <v>156</v>
      </c>
      <c r="I5338" t="s">
        <v>23</v>
      </c>
      <c r="J5338">
        <v>2025</v>
      </c>
      <c r="K5338">
        <f t="shared" si="166"/>
        <v>25.93</v>
      </c>
      <c r="L5338" t="str">
        <f t="shared" si="167"/>
        <v>Banca Romagnola|20|Mutui</v>
      </c>
    </row>
    <row r="5339" spans="1:12" x14ac:dyDescent="0.25">
      <c r="A5339" t="s">
        <v>43</v>
      </c>
      <c r="B5339">
        <v>20</v>
      </c>
      <c r="C5339" t="s">
        <v>15</v>
      </c>
      <c r="D5339" s="1">
        <v>45900</v>
      </c>
      <c r="E5339">
        <v>2091.3000000000002</v>
      </c>
      <c r="F5339">
        <v>98.5</v>
      </c>
      <c r="G5339">
        <v>61.08</v>
      </c>
      <c r="H5339">
        <v>193</v>
      </c>
      <c r="I5339" t="s">
        <v>23</v>
      </c>
      <c r="J5339">
        <v>2025</v>
      </c>
      <c r="K5339">
        <f t="shared" si="166"/>
        <v>37.42</v>
      </c>
      <c r="L5339" t="str">
        <f t="shared" si="167"/>
        <v>Banca Romagnola|20|Prestiti</v>
      </c>
    </row>
    <row r="5340" spans="1:12" x14ac:dyDescent="0.25">
      <c r="A5340" t="s">
        <v>43</v>
      </c>
      <c r="B5340">
        <v>20</v>
      </c>
      <c r="C5340" t="s">
        <v>16</v>
      </c>
      <c r="D5340" s="1">
        <v>45900</v>
      </c>
      <c r="E5340">
        <v>2641.5</v>
      </c>
      <c r="F5340">
        <v>130.29</v>
      </c>
      <c r="G5340">
        <v>79.66</v>
      </c>
      <c r="H5340">
        <v>264</v>
      </c>
      <c r="I5340" t="s">
        <v>23</v>
      </c>
      <c r="J5340">
        <v>2025</v>
      </c>
      <c r="K5340">
        <f t="shared" si="166"/>
        <v>50.629999999999995</v>
      </c>
      <c r="L5340" t="str">
        <f t="shared" si="167"/>
        <v>Banca Romagnola|20|Conti</v>
      </c>
    </row>
    <row r="5341" spans="1:12" x14ac:dyDescent="0.25">
      <c r="A5341" t="s">
        <v>43</v>
      </c>
      <c r="B5341">
        <v>20</v>
      </c>
      <c r="C5341" t="s">
        <v>17</v>
      </c>
      <c r="D5341" s="1">
        <v>45900</v>
      </c>
      <c r="E5341">
        <v>3212.9</v>
      </c>
      <c r="F5341">
        <v>164.84</v>
      </c>
      <c r="G5341">
        <v>99.85</v>
      </c>
      <c r="H5341">
        <v>300</v>
      </c>
      <c r="I5341" t="s">
        <v>23</v>
      </c>
      <c r="J5341">
        <v>2025</v>
      </c>
      <c r="K5341">
        <f t="shared" si="166"/>
        <v>64.990000000000009</v>
      </c>
      <c r="L5341" t="str">
        <f t="shared" si="167"/>
        <v>Banca Romagnola|20|Carte</v>
      </c>
    </row>
    <row r="5342" spans="1:12" x14ac:dyDescent="0.25">
      <c r="A5342" t="s">
        <v>43</v>
      </c>
      <c r="B5342">
        <v>20</v>
      </c>
      <c r="C5342" t="s">
        <v>18</v>
      </c>
      <c r="D5342" s="1">
        <v>45900</v>
      </c>
      <c r="E5342">
        <v>3785</v>
      </c>
      <c r="F5342">
        <v>201.5</v>
      </c>
      <c r="G5342">
        <v>121.34</v>
      </c>
      <c r="H5342">
        <v>335</v>
      </c>
      <c r="I5342" t="s">
        <v>23</v>
      </c>
      <c r="J5342">
        <v>2025</v>
      </c>
      <c r="K5342">
        <f t="shared" si="166"/>
        <v>80.16</v>
      </c>
      <c r="L5342" t="str">
        <f t="shared" si="167"/>
        <v>Banca Romagnola|20|Leasing</v>
      </c>
    </row>
    <row r="5343" spans="1:12" x14ac:dyDescent="0.25">
      <c r="A5343" t="s">
        <v>43</v>
      </c>
      <c r="B5343">
        <v>20</v>
      </c>
      <c r="C5343" t="s">
        <v>19</v>
      </c>
      <c r="D5343" s="1">
        <v>45900</v>
      </c>
      <c r="E5343">
        <v>4353.2</v>
      </c>
      <c r="F5343">
        <v>239.52</v>
      </c>
      <c r="G5343">
        <v>144.6</v>
      </c>
      <c r="H5343">
        <v>409</v>
      </c>
      <c r="I5343" t="s">
        <v>23</v>
      </c>
      <c r="J5343">
        <v>2025</v>
      </c>
      <c r="K5343">
        <f t="shared" si="166"/>
        <v>94.920000000000016</v>
      </c>
      <c r="L5343" t="str">
        <f t="shared" si="167"/>
        <v>Banca Romagnola|20|Factoring</v>
      </c>
    </row>
    <row r="5344" spans="1:12" x14ac:dyDescent="0.25">
      <c r="A5344" t="s">
        <v>43</v>
      </c>
      <c r="B5344">
        <v>20</v>
      </c>
      <c r="C5344" t="s">
        <v>20</v>
      </c>
      <c r="D5344" s="1">
        <v>45900</v>
      </c>
      <c r="E5344">
        <v>4950.3999999999996</v>
      </c>
      <c r="F5344">
        <v>282.18</v>
      </c>
      <c r="G5344">
        <v>168.35</v>
      </c>
      <c r="H5344">
        <v>460</v>
      </c>
      <c r="I5344" t="s">
        <v>23</v>
      </c>
      <c r="J5344">
        <v>2025</v>
      </c>
      <c r="K5344">
        <f t="shared" si="166"/>
        <v>113.83000000000001</v>
      </c>
      <c r="L5344" t="str">
        <f t="shared" si="167"/>
        <v>Banca Romagnola|20|Risparmio</v>
      </c>
    </row>
    <row r="5345" spans="1:12" x14ac:dyDescent="0.25">
      <c r="A5345" t="s">
        <v>43</v>
      </c>
      <c r="B5345">
        <v>20</v>
      </c>
      <c r="C5345" t="s">
        <v>21</v>
      </c>
      <c r="D5345" s="1">
        <v>45900</v>
      </c>
      <c r="E5345">
        <v>5482.7</v>
      </c>
      <c r="F5345">
        <v>324.31</v>
      </c>
      <c r="G5345">
        <v>192.69</v>
      </c>
      <c r="H5345">
        <v>501</v>
      </c>
      <c r="I5345" t="s">
        <v>23</v>
      </c>
      <c r="J5345">
        <v>2025</v>
      </c>
      <c r="K5345">
        <f t="shared" si="166"/>
        <v>131.62</v>
      </c>
      <c r="L5345" t="str">
        <f t="shared" si="167"/>
        <v>Banca Romagnola|20|Assicurazioni</v>
      </c>
    </row>
    <row r="5346" spans="1:12" x14ac:dyDescent="0.25">
      <c r="A5346" t="s">
        <v>43</v>
      </c>
      <c r="B5346">
        <v>21</v>
      </c>
      <c r="C5346" t="s">
        <v>13</v>
      </c>
      <c r="D5346" s="1">
        <v>45930</v>
      </c>
      <c r="E5346">
        <v>1496.8</v>
      </c>
      <c r="F5346">
        <v>68.22</v>
      </c>
      <c r="G5346">
        <v>42.7</v>
      </c>
      <c r="H5346">
        <v>156</v>
      </c>
      <c r="I5346" t="s">
        <v>23</v>
      </c>
      <c r="J5346">
        <v>2025</v>
      </c>
      <c r="K5346">
        <f t="shared" si="166"/>
        <v>25.519999999999996</v>
      </c>
      <c r="L5346" t="str">
        <f t="shared" si="167"/>
        <v>Banca Romagnola|21|Mutui</v>
      </c>
    </row>
    <row r="5347" spans="1:12" x14ac:dyDescent="0.25">
      <c r="A5347" t="s">
        <v>43</v>
      </c>
      <c r="B5347">
        <v>21</v>
      </c>
      <c r="C5347" t="s">
        <v>15</v>
      </c>
      <c r="D5347" s="1">
        <v>45930</v>
      </c>
      <c r="E5347">
        <v>2090.1</v>
      </c>
      <c r="F5347">
        <v>98.66</v>
      </c>
      <c r="G5347">
        <v>61.18</v>
      </c>
      <c r="H5347">
        <v>181</v>
      </c>
      <c r="I5347" t="s">
        <v>23</v>
      </c>
      <c r="J5347">
        <v>2025</v>
      </c>
      <c r="K5347">
        <f t="shared" si="166"/>
        <v>37.479999999999997</v>
      </c>
      <c r="L5347" t="str">
        <f t="shared" si="167"/>
        <v>Banca Romagnola|21|Prestiti</v>
      </c>
    </row>
    <row r="5348" spans="1:12" x14ac:dyDescent="0.25">
      <c r="A5348" t="s">
        <v>43</v>
      </c>
      <c r="B5348">
        <v>21</v>
      </c>
      <c r="C5348" t="s">
        <v>16</v>
      </c>
      <c r="D5348" s="1">
        <v>45930</v>
      </c>
      <c r="E5348">
        <v>2646.3</v>
      </c>
      <c r="F5348">
        <v>130.25</v>
      </c>
      <c r="G5348">
        <v>79.94</v>
      </c>
      <c r="H5348">
        <v>238</v>
      </c>
      <c r="I5348" t="s">
        <v>23</v>
      </c>
      <c r="J5348">
        <v>2025</v>
      </c>
      <c r="K5348">
        <f t="shared" si="166"/>
        <v>50.31</v>
      </c>
      <c r="L5348" t="str">
        <f t="shared" si="167"/>
        <v>Banca Romagnola|21|Conti</v>
      </c>
    </row>
    <row r="5349" spans="1:12" x14ac:dyDescent="0.25">
      <c r="A5349" t="s">
        <v>43</v>
      </c>
      <c r="B5349">
        <v>21</v>
      </c>
      <c r="C5349" t="s">
        <v>17</v>
      </c>
      <c r="D5349" s="1">
        <v>45930</v>
      </c>
      <c r="E5349">
        <v>3214.4</v>
      </c>
      <c r="F5349">
        <v>163.94</v>
      </c>
      <c r="G5349">
        <v>100.46</v>
      </c>
      <c r="H5349">
        <v>285</v>
      </c>
      <c r="I5349" t="s">
        <v>23</v>
      </c>
      <c r="J5349">
        <v>2025</v>
      </c>
      <c r="K5349">
        <f t="shared" si="166"/>
        <v>63.480000000000004</v>
      </c>
      <c r="L5349" t="str">
        <f t="shared" si="167"/>
        <v>Banca Romagnola|21|Carte</v>
      </c>
    </row>
    <row r="5350" spans="1:12" x14ac:dyDescent="0.25">
      <c r="A5350" t="s">
        <v>43</v>
      </c>
      <c r="B5350">
        <v>21</v>
      </c>
      <c r="C5350" t="s">
        <v>18</v>
      </c>
      <c r="D5350" s="1">
        <v>45930</v>
      </c>
      <c r="E5350">
        <v>3801.2</v>
      </c>
      <c r="F5350">
        <v>201.73</v>
      </c>
      <c r="G5350">
        <v>122.24</v>
      </c>
      <c r="H5350">
        <v>343</v>
      </c>
      <c r="I5350" t="s">
        <v>23</v>
      </c>
      <c r="J5350">
        <v>2025</v>
      </c>
      <c r="K5350">
        <f t="shared" si="166"/>
        <v>79.489999999999995</v>
      </c>
      <c r="L5350" t="str">
        <f t="shared" si="167"/>
        <v>Banca Romagnola|21|Leasing</v>
      </c>
    </row>
    <row r="5351" spans="1:12" x14ac:dyDescent="0.25">
      <c r="A5351" t="s">
        <v>43</v>
      </c>
      <c r="B5351">
        <v>21</v>
      </c>
      <c r="C5351" t="s">
        <v>19</v>
      </c>
      <c r="D5351" s="1">
        <v>45930</v>
      </c>
      <c r="E5351">
        <v>4359.3999999999996</v>
      </c>
      <c r="F5351">
        <v>240.58</v>
      </c>
      <c r="G5351">
        <v>144.38999999999999</v>
      </c>
      <c r="H5351">
        <v>399</v>
      </c>
      <c r="I5351" t="s">
        <v>23</v>
      </c>
      <c r="J5351">
        <v>2025</v>
      </c>
      <c r="K5351">
        <f t="shared" si="166"/>
        <v>96.190000000000026</v>
      </c>
      <c r="L5351" t="str">
        <f t="shared" si="167"/>
        <v>Banca Romagnola|21|Factoring</v>
      </c>
    </row>
    <row r="5352" spans="1:12" x14ac:dyDescent="0.25">
      <c r="A5352" t="s">
        <v>43</v>
      </c>
      <c r="B5352">
        <v>21</v>
      </c>
      <c r="C5352" t="s">
        <v>20</v>
      </c>
      <c r="D5352" s="1">
        <v>45930</v>
      </c>
      <c r="E5352">
        <v>4934.8999999999996</v>
      </c>
      <c r="F5352">
        <v>281.48</v>
      </c>
      <c r="G5352">
        <v>168.35</v>
      </c>
      <c r="H5352">
        <v>447</v>
      </c>
      <c r="I5352" t="s">
        <v>23</v>
      </c>
      <c r="J5352">
        <v>2025</v>
      </c>
      <c r="K5352">
        <f t="shared" si="166"/>
        <v>113.13000000000002</v>
      </c>
      <c r="L5352" t="str">
        <f t="shared" si="167"/>
        <v>Banca Romagnola|21|Risparmio</v>
      </c>
    </row>
    <row r="5353" spans="1:12" x14ac:dyDescent="0.25">
      <c r="A5353" t="s">
        <v>43</v>
      </c>
      <c r="B5353">
        <v>21</v>
      </c>
      <c r="C5353" t="s">
        <v>21</v>
      </c>
      <c r="D5353" s="1">
        <v>45930</v>
      </c>
      <c r="E5353">
        <v>5531.9</v>
      </c>
      <c r="F5353">
        <v>326.49</v>
      </c>
      <c r="G5353">
        <v>194.18</v>
      </c>
      <c r="H5353">
        <v>507</v>
      </c>
      <c r="I5353" t="s">
        <v>23</v>
      </c>
      <c r="J5353">
        <v>2025</v>
      </c>
      <c r="K5353">
        <f t="shared" si="166"/>
        <v>132.31</v>
      </c>
      <c r="L5353" t="str">
        <f t="shared" si="167"/>
        <v>Banca Romagnola|21|Assicurazioni</v>
      </c>
    </row>
    <row r="5354" spans="1:12" x14ac:dyDescent="0.25">
      <c r="A5354" t="s">
        <v>43</v>
      </c>
      <c r="B5354">
        <v>22</v>
      </c>
      <c r="C5354" t="s">
        <v>13</v>
      </c>
      <c r="D5354" s="1">
        <v>45961</v>
      </c>
      <c r="E5354">
        <v>1530.3</v>
      </c>
      <c r="F5354">
        <v>69.39</v>
      </c>
      <c r="G5354">
        <v>43.75</v>
      </c>
      <c r="H5354">
        <v>160</v>
      </c>
      <c r="I5354" t="s">
        <v>23</v>
      </c>
      <c r="J5354">
        <v>2025</v>
      </c>
      <c r="K5354">
        <f t="shared" si="166"/>
        <v>25.64</v>
      </c>
      <c r="L5354" t="str">
        <f t="shared" si="167"/>
        <v>Banca Romagnola|22|Mutui</v>
      </c>
    </row>
    <row r="5355" spans="1:12" x14ac:dyDescent="0.25">
      <c r="A5355" t="s">
        <v>43</v>
      </c>
      <c r="B5355">
        <v>22</v>
      </c>
      <c r="C5355" t="s">
        <v>15</v>
      </c>
      <c r="D5355" s="1">
        <v>45961</v>
      </c>
      <c r="E5355">
        <v>2136.1999999999998</v>
      </c>
      <c r="F5355">
        <v>100.86</v>
      </c>
      <c r="G5355">
        <v>62.76</v>
      </c>
      <c r="H5355">
        <v>214</v>
      </c>
      <c r="I5355" t="s">
        <v>23</v>
      </c>
      <c r="J5355">
        <v>2025</v>
      </c>
      <c r="K5355">
        <f t="shared" si="166"/>
        <v>38.1</v>
      </c>
      <c r="L5355" t="str">
        <f t="shared" si="167"/>
        <v>Banca Romagnola|22|Prestiti</v>
      </c>
    </row>
    <row r="5356" spans="1:12" x14ac:dyDescent="0.25">
      <c r="A5356" t="s">
        <v>43</v>
      </c>
      <c r="B5356">
        <v>22</v>
      </c>
      <c r="C5356" t="s">
        <v>16</v>
      </c>
      <c r="D5356" s="1">
        <v>45961</v>
      </c>
      <c r="E5356">
        <v>2681.8</v>
      </c>
      <c r="F5356">
        <v>131.43</v>
      </c>
      <c r="G5356">
        <v>81.06</v>
      </c>
      <c r="H5356">
        <v>245</v>
      </c>
      <c r="I5356" t="s">
        <v>23</v>
      </c>
      <c r="J5356">
        <v>2025</v>
      </c>
      <c r="K5356">
        <f t="shared" si="166"/>
        <v>50.370000000000005</v>
      </c>
      <c r="L5356" t="str">
        <f t="shared" si="167"/>
        <v>Banca Romagnola|22|Conti</v>
      </c>
    </row>
    <row r="5357" spans="1:12" x14ac:dyDescent="0.25">
      <c r="A5357" t="s">
        <v>43</v>
      </c>
      <c r="B5357">
        <v>22</v>
      </c>
      <c r="C5357" t="s">
        <v>17</v>
      </c>
      <c r="D5357" s="1">
        <v>45961</v>
      </c>
      <c r="E5357">
        <v>3264.4</v>
      </c>
      <c r="F5357">
        <v>166.74</v>
      </c>
      <c r="G5357">
        <v>101.56</v>
      </c>
      <c r="H5357">
        <v>302</v>
      </c>
      <c r="I5357" t="s">
        <v>23</v>
      </c>
      <c r="J5357">
        <v>2025</v>
      </c>
      <c r="K5357">
        <f t="shared" si="166"/>
        <v>65.180000000000007</v>
      </c>
      <c r="L5357" t="str">
        <f t="shared" si="167"/>
        <v>Banca Romagnola|22|Carte</v>
      </c>
    </row>
    <row r="5358" spans="1:12" x14ac:dyDescent="0.25">
      <c r="A5358" t="s">
        <v>43</v>
      </c>
      <c r="B5358">
        <v>22</v>
      </c>
      <c r="C5358" t="s">
        <v>18</v>
      </c>
      <c r="D5358" s="1">
        <v>45961</v>
      </c>
      <c r="E5358">
        <v>3861</v>
      </c>
      <c r="F5358">
        <v>205.53</v>
      </c>
      <c r="G5358">
        <v>124.54</v>
      </c>
      <c r="H5358">
        <v>364</v>
      </c>
      <c r="I5358" t="s">
        <v>23</v>
      </c>
      <c r="J5358">
        <v>2025</v>
      </c>
      <c r="K5358">
        <f t="shared" si="166"/>
        <v>80.989999999999995</v>
      </c>
      <c r="L5358" t="str">
        <f t="shared" si="167"/>
        <v>Banca Romagnola|22|Leasing</v>
      </c>
    </row>
    <row r="5359" spans="1:12" x14ac:dyDescent="0.25">
      <c r="A5359" t="s">
        <v>43</v>
      </c>
      <c r="B5359">
        <v>22</v>
      </c>
      <c r="C5359" t="s">
        <v>19</v>
      </c>
      <c r="D5359" s="1">
        <v>45961</v>
      </c>
      <c r="E5359">
        <v>4407.8</v>
      </c>
      <c r="F5359">
        <v>242.44</v>
      </c>
      <c r="G5359">
        <v>146.44</v>
      </c>
      <c r="H5359">
        <v>404</v>
      </c>
      <c r="I5359" t="s">
        <v>23</v>
      </c>
      <c r="J5359">
        <v>2025</v>
      </c>
      <c r="K5359">
        <f t="shared" si="166"/>
        <v>96</v>
      </c>
      <c r="L5359" t="str">
        <f t="shared" si="167"/>
        <v>Banca Romagnola|22|Factoring</v>
      </c>
    </row>
    <row r="5360" spans="1:12" x14ac:dyDescent="0.25">
      <c r="A5360" t="s">
        <v>43</v>
      </c>
      <c r="B5360">
        <v>22</v>
      </c>
      <c r="C5360" t="s">
        <v>20</v>
      </c>
      <c r="D5360" s="1">
        <v>45961</v>
      </c>
      <c r="E5360">
        <v>4988.8999999999996</v>
      </c>
      <c r="F5360">
        <v>284.8</v>
      </c>
      <c r="G5360">
        <v>170.59</v>
      </c>
      <c r="H5360">
        <v>456</v>
      </c>
      <c r="I5360" t="s">
        <v>23</v>
      </c>
      <c r="J5360">
        <v>2025</v>
      </c>
      <c r="K5360">
        <f t="shared" si="166"/>
        <v>114.21000000000001</v>
      </c>
      <c r="L5360" t="str">
        <f t="shared" si="167"/>
        <v>Banca Romagnola|22|Risparmio</v>
      </c>
    </row>
    <row r="5361" spans="1:12" x14ac:dyDescent="0.25">
      <c r="A5361" t="s">
        <v>43</v>
      </c>
      <c r="B5361">
        <v>22</v>
      </c>
      <c r="C5361" t="s">
        <v>21</v>
      </c>
      <c r="D5361" s="1">
        <v>45961</v>
      </c>
      <c r="E5361">
        <v>5560.2</v>
      </c>
      <c r="F5361">
        <v>328.41</v>
      </c>
      <c r="G5361">
        <v>195.48</v>
      </c>
      <c r="H5361">
        <v>495</v>
      </c>
      <c r="I5361" t="s">
        <v>23</v>
      </c>
      <c r="J5361">
        <v>2025</v>
      </c>
      <c r="K5361">
        <f t="shared" si="166"/>
        <v>132.93000000000004</v>
      </c>
      <c r="L5361" t="str">
        <f t="shared" si="167"/>
        <v>Banca Romagnola|22|Assicurazioni</v>
      </c>
    </row>
    <row r="5362" spans="1:12" x14ac:dyDescent="0.25">
      <c r="A5362" t="s">
        <v>43</v>
      </c>
      <c r="B5362">
        <v>23</v>
      </c>
      <c r="C5362" t="s">
        <v>13</v>
      </c>
      <c r="D5362" s="1">
        <v>45991</v>
      </c>
      <c r="E5362">
        <v>1536.9</v>
      </c>
      <c r="F5362">
        <v>69.16</v>
      </c>
      <c r="G5362">
        <v>43.71</v>
      </c>
      <c r="H5362">
        <v>138</v>
      </c>
      <c r="I5362" t="s">
        <v>23</v>
      </c>
      <c r="J5362">
        <v>2025</v>
      </c>
      <c r="K5362">
        <f t="shared" si="166"/>
        <v>25.449999999999996</v>
      </c>
      <c r="L5362" t="str">
        <f t="shared" si="167"/>
        <v>Banca Romagnola|23|Mutui</v>
      </c>
    </row>
    <row r="5363" spans="1:12" x14ac:dyDescent="0.25">
      <c r="A5363" t="s">
        <v>43</v>
      </c>
      <c r="B5363">
        <v>23</v>
      </c>
      <c r="C5363" t="s">
        <v>15</v>
      </c>
      <c r="D5363" s="1">
        <v>45991</v>
      </c>
      <c r="E5363">
        <v>2146.6</v>
      </c>
      <c r="F5363">
        <v>101.48</v>
      </c>
      <c r="G5363">
        <v>62.4</v>
      </c>
      <c r="H5363">
        <v>182</v>
      </c>
      <c r="I5363" t="s">
        <v>23</v>
      </c>
      <c r="J5363">
        <v>2025</v>
      </c>
      <c r="K5363">
        <f t="shared" si="166"/>
        <v>39.080000000000005</v>
      </c>
      <c r="L5363" t="str">
        <f t="shared" si="167"/>
        <v>Banca Romagnola|23|Prestiti</v>
      </c>
    </row>
    <row r="5364" spans="1:12" x14ac:dyDescent="0.25">
      <c r="A5364" t="s">
        <v>43</v>
      </c>
      <c r="B5364">
        <v>23</v>
      </c>
      <c r="C5364" t="s">
        <v>16</v>
      </c>
      <c r="D5364" s="1">
        <v>45991</v>
      </c>
      <c r="E5364">
        <v>2727.2</v>
      </c>
      <c r="F5364">
        <v>134.38</v>
      </c>
      <c r="G5364">
        <v>82.78</v>
      </c>
      <c r="H5364">
        <v>229</v>
      </c>
      <c r="I5364" t="s">
        <v>23</v>
      </c>
      <c r="J5364">
        <v>2025</v>
      </c>
      <c r="K5364">
        <f t="shared" si="166"/>
        <v>51.599999999999994</v>
      </c>
      <c r="L5364" t="str">
        <f t="shared" si="167"/>
        <v>Banca Romagnola|23|Conti</v>
      </c>
    </row>
    <row r="5365" spans="1:12" x14ac:dyDescent="0.25">
      <c r="A5365" t="s">
        <v>43</v>
      </c>
      <c r="B5365">
        <v>23</v>
      </c>
      <c r="C5365" t="s">
        <v>17</v>
      </c>
      <c r="D5365" s="1">
        <v>45991</v>
      </c>
      <c r="E5365">
        <v>3266.9</v>
      </c>
      <c r="F5365">
        <v>167.16</v>
      </c>
      <c r="G5365">
        <v>102.24</v>
      </c>
      <c r="H5365">
        <v>293</v>
      </c>
      <c r="I5365" t="s">
        <v>23</v>
      </c>
      <c r="J5365">
        <v>2025</v>
      </c>
      <c r="K5365">
        <f t="shared" si="166"/>
        <v>64.92</v>
      </c>
      <c r="L5365" t="str">
        <f t="shared" si="167"/>
        <v>Banca Romagnola|23|Carte</v>
      </c>
    </row>
    <row r="5366" spans="1:12" x14ac:dyDescent="0.25">
      <c r="A5366" t="s">
        <v>43</v>
      </c>
      <c r="B5366">
        <v>23</v>
      </c>
      <c r="C5366" t="s">
        <v>18</v>
      </c>
      <c r="D5366" s="1">
        <v>45991</v>
      </c>
      <c r="E5366">
        <v>3840.6</v>
      </c>
      <c r="F5366">
        <v>204.02</v>
      </c>
      <c r="G5366">
        <v>122.99</v>
      </c>
      <c r="H5366">
        <v>343</v>
      </c>
      <c r="I5366" t="s">
        <v>23</v>
      </c>
      <c r="J5366">
        <v>2025</v>
      </c>
      <c r="K5366">
        <f t="shared" si="166"/>
        <v>81.030000000000015</v>
      </c>
      <c r="L5366" t="str">
        <f t="shared" si="167"/>
        <v>Banca Romagnola|23|Leasing</v>
      </c>
    </row>
    <row r="5367" spans="1:12" x14ac:dyDescent="0.25">
      <c r="A5367" t="s">
        <v>43</v>
      </c>
      <c r="B5367">
        <v>23</v>
      </c>
      <c r="C5367" t="s">
        <v>19</v>
      </c>
      <c r="D5367" s="1">
        <v>45991</v>
      </c>
      <c r="E5367">
        <v>4451.8</v>
      </c>
      <c r="F5367">
        <v>244.91</v>
      </c>
      <c r="G5367">
        <v>147.71</v>
      </c>
      <c r="H5367">
        <v>378</v>
      </c>
      <c r="I5367" t="s">
        <v>23</v>
      </c>
      <c r="J5367">
        <v>2025</v>
      </c>
      <c r="K5367">
        <f t="shared" si="166"/>
        <v>97.199999999999989</v>
      </c>
      <c r="L5367" t="str">
        <f t="shared" si="167"/>
        <v>Banca Romagnola|23|Factoring</v>
      </c>
    </row>
    <row r="5368" spans="1:12" x14ac:dyDescent="0.25">
      <c r="A5368" t="s">
        <v>43</v>
      </c>
      <c r="B5368">
        <v>23</v>
      </c>
      <c r="C5368" t="s">
        <v>20</v>
      </c>
      <c r="D5368" s="1">
        <v>45991</v>
      </c>
      <c r="E5368">
        <v>5028.3</v>
      </c>
      <c r="F5368">
        <v>287</v>
      </c>
      <c r="G5368">
        <v>171.8</v>
      </c>
      <c r="H5368">
        <v>435</v>
      </c>
      <c r="I5368" t="s">
        <v>23</v>
      </c>
      <c r="J5368">
        <v>2025</v>
      </c>
      <c r="K5368">
        <f t="shared" si="166"/>
        <v>115.19999999999999</v>
      </c>
      <c r="L5368" t="str">
        <f t="shared" si="167"/>
        <v>Banca Romagnola|23|Risparmio</v>
      </c>
    </row>
    <row r="5369" spans="1:12" x14ac:dyDescent="0.25">
      <c r="A5369" t="s">
        <v>43</v>
      </c>
      <c r="B5369">
        <v>23</v>
      </c>
      <c r="C5369" t="s">
        <v>21</v>
      </c>
      <c r="D5369" s="1">
        <v>45991</v>
      </c>
      <c r="E5369">
        <v>5622.3</v>
      </c>
      <c r="F5369">
        <v>331.93</v>
      </c>
      <c r="G5369">
        <v>197.58</v>
      </c>
      <c r="H5369">
        <v>478</v>
      </c>
      <c r="I5369" t="s">
        <v>23</v>
      </c>
      <c r="J5369">
        <v>2025</v>
      </c>
      <c r="K5369">
        <f t="shared" si="166"/>
        <v>134.35</v>
      </c>
      <c r="L5369" t="str">
        <f t="shared" si="167"/>
        <v>Banca Romagnola|23|Assicurazioni</v>
      </c>
    </row>
    <row r="5370" spans="1:12" x14ac:dyDescent="0.25">
      <c r="A5370" t="s">
        <v>43</v>
      </c>
      <c r="B5370">
        <v>24</v>
      </c>
      <c r="C5370" t="s">
        <v>13</v>
      </c>
      <c r="D5370" s="1">
        <v>46022</v>
      </c>
      <c r="E5370">
        <v>1563.5</v>
      </c>
      <c r="F5370">
        <v>71.22</v>
      </c>
      <c r="G5370">
        <v>44.7</v>
      </c>
      <c r="H5370">
        <v>166</v>
      </c>
      <c r="I5370" t="s">
        <v>23</v>
      </c>
      <c r="J5370">
        <v>2025</v>
      </c>
      <c r="K5370">
        <f t="shared" si="166"/>
        <v>26.519999999999996</v>
      </c>
      <c r="L5370" t="str">
        <f t="shared" si="167"/>
        <v>Banca Romagnola|24|Mutui</v>
      </c>
    </row>
    <row r="5371" spans="1:12" x14ac:dyDescent="0.25">
      <c r="A5371" t="s">
        <v>43</v>
      </c>
      <c r="B5371">
        <v>24</v>
      </c>
      <c r="C5371" t="s">
        <v>15</v>
      </c>
      <c r="D5371" s="1">
        <v>46022</v>
      </c>
      <c r="E5371">
        <v>2117.3000000000002</v>
      </c>
      <c r="F5371">
        <v>99.98</v>
      </c>
      <c r="G5371">
        <v>62.37</v>
      </c>
      <c r="H5371">
        <v>205</v>
      </c>
      <c r="I5371" t="s">
        <v>23</v>
      </c>
      <c r="J5371">
        <v>2025</v>
      </c>
      <c r="K5371">
        <f t="shared" si="166"/>
        <v>37.610000000000007</v>
      </c>
      <c r="L5371" t="str">
        <f t="shared" si="167"/>
        <v>Banca Romagnola|24|Prestiti</v>
      </c>
    </row>
    <row r="5372" spans="1:12" x14ac:dyDescent="0.25">
      <c r="A5372" t="s">
        <v>43</v>
      </c>
      <c r="B5372">
        <v>24</v>
      </c>
      <c r="C5372" t="s">
        <v>16</v>
      </c>
      <c r="D5372" s="1">
        <v>46022</v>
      </c>
      <c r="E5372">
        <v>2714.6</v>
      </c>
      <c r="F5372">
        <v>133.41</v>
      </c>
      <c r="G5372">
        <v>81.92</v>
      </c>
      <c r="H5372">
        <v>247</v>
      </c>
      <c r="I5372" t="s">
        <v>23</v>
      </c>
      <c r="J5372">
        <v>2025</v>
      </c>
      <c r="K5372">
        <f t="shared" si="166"/>
        <v>51.489999999999995</v>
      </c>
      <c r="L5372" t="str">
        <f t="shared" si="167"/>
        <v>Banca Romagnola|24|Conti</v>
      </c>
    </row>
    <row r="5373" spans="1:12" x14ac:dyDescent="0.25">
      <c r="A5373" t="s">
        <v>43</v>
      </c>
      <c r="B5373">
        <v>24</v>
      </c>
      <c r="C5373" t="s">
        <v>17</v>
      </c>
      <c r="D5373" s="1">
        <v>46022</v>
      </c>
      <c r="E5373">
        <v>3317.7</v>
      </c>
      <c r="F5373">
        <v>170.11</v>
      </c>
      <c r="G5373">
        <v>103.1</v>
      </c>
      <c r="H5373">
        <v>302</v>
      </c>
      <c r="I5373" t="s">
        <v>23</v>
      </c>
      <c r="J5373">
        <v>2025</v>
      </c>
      <c r="K5373">
        <f t="shared" si="166"/>
        <v>67.010000000000019</v>
      </c>
      <c r="L5373" t="str">
        <f t="shared" si="167"/>
        <v>Banca Romagnola|24|Carte</v>
      </c>
    </row>
    <row r="5374" spans="1:12" x14ac:dyDescent="0.25">
      <c r="A5374" t="s">
        <v>43</v>
      </c>
      <c r="B5374">
        <v>24</v>
      </c>
      <c r="C5374" t="s">
        <v>18</v>
      </c>
      <c r="D5374" s="1">
        <v>46022</v>
      </c>
      <c r="E5374">
        <v>3921.8</v>
      </c>
      <c r="F5374">
        <v>208.64</v>
      </c>
      <c r="G5374">
        <v>125.57</v>
      </c>
      <c r="H5374">
        <v>348</v>
      </c>
      <c r="I5374" t="s">
        <v>23</v>
      </c>
      <c r="J5374">
        <v>2025</v>
      </c>
      <c r="K5374">
        <f t="shared" si="166"/>
        <v>83.07</v>
      </c>
      <c r="L5374" t="str">
        <f t="shared" si="167"/>
        <v>Banca Romagnola|24|Leasing</v>
      </c>
    </row>
    <row r="5375" spans="1:12" x14ac:dyDescent="0.25">
      <c r="A5375" t="s">
        <v>43</v>
      </c>
      <c r="B5375">
        <v>24</v>
      </c>
      <c r="C5375" t="s">
        <v>19</v>
      </c>
      <c r="D5375" s="1">
        <v>46022</v>
      </c>
      <c r="E5375">
        <v>4479</v>
      </c>
      <c r="F5375">
        <v>247.25</v>
      </c>
      <c r="G5375">
        <v>148.5</v>
      </c>
      <c r="H5375">
        <v>385</v>
      </c>
      <c r="I5375" t="s">
        <v>23</v>
      </c>
      <c r="J5375">
        <v>2025</v>
      </c>
      <c r="K5375">
        <f t="shared" si="166"/>
        <v>98.75</v>
      </c>
      <c r="L5375" t="str">
        <f t="shared" si="167"/>
        <v>Banca Romagnola|24|Factoring</v>
      </c>
    </row>
    <row r="5376" spans="1:12" x14ac:dyDescent="0.25">
      <c r="A5376" t="s">
        <v>43</v>
      </c>
      <c r="B5376">
        <v>24</v>
      </c>
      <c r="C5376" t="s">
        <v>20</v>
      </c>
      <c r="D5376" s="1">
        <v>46022</v>
      </c>
      <c r="E5376">
        <v>5087.8</v>
      </c>
      <c r="F5376">
        <v>290.75</v>
      </c>
      <c r="G5376">
        <v>173.83</v>
      </c>
      <c r="H5376">
        <v>456</v>
      </c>
      <c r="I5376" t="s">
        <v>23</v>
      </c>
      <c r="J5376">
        <v>2025</v>
      </c>
      <c r="K5376">
        <f t="shared" si="166"/>
        <v>116.91999999999999</v>
      </c>
      <c r="L5376" t="str">
        <f t="shared" si="167"/>
        <v>Banca Romagnola|24|Risparmio</v>
      </c>
    </row>
    <row r="5377" spans="1:12" x14ac:dyDescent="0.25">
      <c r="A5377" t="s">
        <v>43</v>
      </c>
      <c r="B5377">
        <v>24</v>
      </c>
      <c r="C5377" t="s">
        <v>21</v>
      </c>
      <c r="D5377" s="1">
        <v>46022</v>
      </c>
      <c r="E5377">
        <v>5663.8</v>
      </c>
      <c r="F5377">
        <v>334.71</v>
      </c>
      <c r="G5377">
        <v>198.45</v>
      </c>
      <c r="H5377">
        <v>486</v>
      </c>
      <c r="I5377" t="s">
        <v>23</v>
      </c>
      <c r="J5377">
        <v>2025</v>
      </c>
      <c r="K5377">
        <f t="shared" si="166"/>
        <v>136.26</v>
      </c>
      <c r="L5377" t="str">
        <f t="shared" si="167"/>
        <v>Banca Romagnola|24|Assicurazioni</v>
      </c>
    </row>
    <row r="5378" spans="1:12" x14ac:dyDescent="0.25">
      <c r="A5378" t="s">
        <v>43</v>
      </c>
      <c r="B5378">
        <v>25</v>
      </c>
      <c r="C5378" t="s">
        <v>13</v>
      </c>
      <c r="D5378" s="1">
        <v>46053</v>
      </c>
      <c r="E5378">
        <v>1567.1</v>
      </c>
      <c r="F5378">
        <v>70.61</v>
      </c>
      <c r="G5378">
        <v>44.05</v>
      </c>
      <c r="H5378">
        <v>161</v>
      </c>
      <c r="I5378" t="s">
        <v>23</v>
      </c>
      <c r="J5378">
        <v>2026</v>
      </c>
      <c r="K5378">
        <f t="shared" ref="K5378:K5441" si="168">F5378-G5378</f>
        <v>26.560000000000002</v>
      </c>
      <c r="L5378" t="str">
        <f t="shared" ref="L5378:L5441" si="169">A5378&amp;"|"&amp;B5378&amp;"|"&amp;C5378</f>
        <v>Banca Romagnola|25|Mutui</v>
      </c>
    </row>
    <row r="5379" spans="1:12" x14ac:dyDescent="0.25">
      <c r="A5379" t="s">
        <v>43</v>
      </c>
      <c r="B5379">
        <v>25</v>
      </c>
      <c r="C5379" t="s">
        <v>15</v>
      </c>
      <c r="D5379" s="1">
        <v>46053</v>
      </c>
      <c r="E5379">
        <v>2131.5</v>
      </c>
      <c r="F5379">
        <v>101.08</v>
      </c>
      <c r="G5379">
        <v>62.18</v>
      </c>
      <c r="H5379">
        <v>205</v>
      </c>
      <c r="I5379" t="s">
        <v>23</v>
      </c>
      <c r="J5379">
        <v>2026</v>
      </c>
      <c r="K5379">
        <f t="shared" si="168"/>
        <v>38.9</v>
      </c>
      <c r="L5379" t="str">
        <f t="shared" si="169"/>
        <v>Banca Romagnola|25|Prestiti</v>
      </c>
    </row>
    <row r="5380" spans="1:12" x14ac:dyDescent="0.25">
      <c r="A5380" t="s">
        <v>43</v>
      </c>
      <c r="B5380">
        <v>25</v>
      </c>
      <c r="C5380" t="s">
        <v>16</v>
      </c>
      <c r="D5380" s="1">
        <v>46053</v>
      </c>
      <c r="E5380">
        <v>2721.8</v>
      </c>
      <c r="F5380">
        <v>134.33000000000001</v>
      </c>
      <c r="G5380">
        <v>81.83</v>
      </c>
      <c r="H5380">
        <v>234</v>
      </c>
      <c r="I5380" t="s">
        <v>23</v>
      </c>
      <c r="J5380">
        <v>2026</v>
      </c>
      <c r="K5380">
        <f t="shared" si="168"/>
        <v>52.500000000000014</v>
      </c>
      <c r="L5380" t="str">
        <f t="shared" si="169"/>
        <v>Banca Romagnola|25|Conti</v>
      </c>
    </row>
    <row r="5381" spans="1:12" x14ac:dyDescent="0.25">
      <c r="A5381" t="s">
        <v>43</v>
      </c>
      <c r="B5381">
        <v>25</v>
      </c>
      <c r="C5381" t="s">
        <v>17</v>
      </c>
      <c r="D5381" s="1">
        <v>46053</v>
      </c>
      <c r="E5381">
        <v>3356.8</v>
      </c>
      <c r="F5381">
        <v>171.98</v>
      </c>
      <c r="G5381">
        <v>104.44</v>
      </c>
      <c r="H5381">
        <v>292</v>
      </c>
      <c r="I5381" t="s">
        <v>23</v>
      </c>
      <c r="J5381">
        <v>2026</v>
      </c>
      <c r="K5381">
        <f t="shared" si="168"/>
        <v>67.539999999999992</v>
      </c>
      <c r="L5381" t="str">
        <f t="shared" si="169"/>
        <v>Banca Romagnola|25|Carte</v>
      </c>
    </row>
    <row r="5382" spans="1:12" x14ac:dyDescent="0.25">
      <c r="A5382" t="s">
        <v>43</v>
      </c>
      <c r="B5382">
        <v>25</v>
      </c>
      <c r="C5382" t="s">
        <v>18</v>
      </c>
      <c r="D5382" s="1">
        <v>46053</v>
      </c>
      <c r="E5382">
        <v>3899.4</v>
      </c>
      <c r="F5382">
        <v>207.45</v>
      </c>
      <c r="G5382">
        <v>125.5</v>
      </c>
      <c r="H5382">
        <v>354</v>
      </c>
      <c r="I5382" t="s">
        <v>23</v>
      </c>
      <c r="J5382">
        <v>2026</v>
      </c>
      <c r="K5382">
        <f t="shared" si="168"/>
        <v>81.949999999999989</v>
      </c>
      <c r="L5382" t="str">
        <f t="shared" si="169"/>
        <v>Banca Romagnola|25|Leasing</v>
      </c>
    </row>
    <row r="5383" spans="1:12" x14ac:dyDescent="0.25">
      <c r="A5383" t="s">
        <v>43</v>
      </c>
      <c r="B5383">
        <v>25</v>
      </c>
      <c r="C5383" t="s">
        <v>19</v>
      </c>
      <c r="D5383" s="1">
        <v>46053</v>
      </c>
      <c r="E5383">
        <v>4507.8</v>
      </c>
      <c r="F5383">
        <v>248.47</v>
      </c>
      <c r="G5383">
        <v>149.46</v>
      </c>
      <c r="H5383">
        <v>402</v>
      </c>
      <c r="I5383" t="s">
        <v>23</v>
      </c>
      <c r="J5383">
        <v>2026</v>
      </c>
      <c r="K5383">
        <f t="shared" si="168"/>
        <v>99.009999999999991</v>
      </c>
      <c r="L5383" t="str">
        <f t="shared" si="169"/>
        <v>Banca Romagnola|25|Factoring</v>
      </c>
    </row>
    <row r="5384" spans="1:12" x14ac:dyDescent="0.25">
      <c r="A5384" t="s">
        <v>43</v>
      </c>
      <c r="B5384">
        <v>25</v>
      </c>
      <c r="C5384" t="s">
        <v>20</v>
      </c>
      <c r="D5384" s="1">
        <v>46053</v>
      </c>
      <c r="E5384">
        <v>5113</v>
      </c>
      <c r="F5384">
        <v>292.14</v>
      </c>
      <c r="G5384">
        <v>174.78</v>
      </c>
      <c r="H5384">
        <v>429</v>
      </c>
      <c r="I5384" t="s">
        <v>23</v>
      </c>
      <c r="J5384">
        <v>2026</v>
      </c>
      <c r="K5384">
        <f t="shared" si="168"/>
        <v>117.35999999999999</v>
      </c>
      <c r="L5384" t="str">
        <f t="shared" si="169"/>
        <v>Banca Romagnola|25|Risparmio</v>
      </c>
    </row>
    <row r="5385" spans="1:12" x14ac:dyDescent="0.25">
      <c r="A5385" t="s">
        <v>43</v>
      </c>
      <c r="B5385">
        <v>25</v>
      </c>
      <c r="C5385" t="s">
        <v>21</v>
      </c>
      <c r="D5385" s="1">
        <v>46053</v>
      </c>
      <c r="E5385">
        <v>5689.4</v>
      </c>
      <c r="F5385">
        <v>336.29</v>
      </c>
      <c r="G5385">
        <v>199.46</v>
      </c>
      <c r="H5385">
        <v>492</v>
      </c>
      <c r="I5385" t="s">
        <v>23</v>
      </c>
      <c r="J5385">
        <v>2026</v>
      </c>
      <c r="K5385">
        <f t="shared" si="168"/>
        <v>136.83000000000001</v>
      </c>
      <c r="L5385" t="str">
        <f t="shared" si="169"/>
        <v>Banca Romagnola|25|Assicurazioni</v>
      </c>
    </row>
    <row r="5386" spans="1:12" x14ac:dyDescent="0.25">
      <c r="A5386" t="s">
        <v>43</v>
      </c>
      <c r="B5386">
        <v>26</v>
      </c>
      <c r="C5386" t="s">
        <v>13</v>
      </c>
      <c r="D5386" s="1">
        <v>46081</v>
      </c>
      <c r="E5386">
        <v>1584.2</v>
      </c>
      <c r="F5386">
        <v>71.83</v>
      </c>
      <c r="G5386">
        <v>44.42</v>
      </c>
      <c r="H5386">
        <v>135</v>
      </c>
      <c r="I5386" t="s">
        <v>23</v>
      </c>
      <c r="J5386">
        <v>2026</v>
      </c>
      <c r="K5386">
        <f t="shared" si="168"/>
        <v>27.409999999999997</v>
      </c>
      <c r="L5386" t="str">
        <f t="shared" si="169"/>
        <v>Banca Romagnola|26|Mutui</v>
      </c>
    </row>
    <row r="5387" spans="1:12" x14ac:dyDescent="0.25">
      <c r="A5387" t="s">
        <v>43</v>
      </c>
      <c r="B5387">
        <v>26</v>
      </c>
      <c r="C5387" t="s">
        <v>15</v>
      </c>
      <c r="D5387" s="1">
        <v>46081</v>
      </c>
      <c r="E5387">
        <v>2177.8000000000002</v>
      </c>
      <c r="F5387">
        <v>102.93</v>
      </c>
      <c r="G5387">
        <v>63.86</v>
      </c>
      <c r="H5387">
        <v>213</v>
      </c>
      <c r="I5387" t="s">
        <v>23</v>
      </c>
      <c r="J5387">
        <v>2026</v>
      </c>
      <c r="K5387">
        <f t="shared" si="168"/>
        <v>39.070000000000007</v>
      </c>
      <c r="L5387" t="str">
        <f t="shared" si="169"/>
        <v>Banca Romagnola|26|Prestiti</v>
      </c>
    </row>
    <row r="5388" spans="1:12" x14ac:dyDescent="0.25">
      <c r="A5388" t="s">
        <v>43</v>
      </c>
      <c r="B5388">
        <v>26</v>
      </c>
      <c r="C5388" t="s">
        <v>16</v>
      </c>
      <c r="D5388" s="1">
        <v>46081</v>
      </c>
      <c r="E5388">
        <v>2751.8</v>
      </c>
      <c r="F5388">
        <v>135.01</v>
      </c>
      <c r="G5388">
        <v>83.41</v>
      </c>
      <c r="H5388">
        <v>235</v>
      </c>
      <c r="I5388" t="s">
        <v>23</v>
      </c>
      <c r="J5388">
        <v>2026</v>
      </c>
      <c r="K5388">
        <f t="shared" si="168"/>
        <v>51.599999999999994</v>
      </c>
      <c r="L5388" t="str">
        <f t="shared" si="169"/>
        <v>Banca Romagnola|26|Conti</v>
      </c>
    </row>
    <row r="5389" spans="1:12" x14ac:dyDescent="0.25">
      <c r="A5389" t="s">
        <v>43</v>
      </c>
      <c r="B5389">
        <v>26</v>
      </c>
      <c r="C5389" t="s">
        <v>17</v>
      </c>
      <c r="D5389" s="1">
        <v>46081</v>
      </c>
      <c r="E5389">
        <v>3344.1</v>
      </c>
      <c r="F5389">
        <v>170.92</v>
      </c>
      <c r="G5389">
        <v>104.15</v>
      </c>
      <c r="H5389">
        <v>287</v>
      </c>
      <c r="I5389" t="s">
        <v>23</v>
      </c>
      <c r="J5389">
        <v>2026</v>
      </c>
      <c r="K5389">
        <f t="shared" si="168"/>
        <v>66.769999999999982</v>
      </c>
      <c r="L5389" t="str">
        <f t="shared" si="169"/>
        <v>Banca Romagnola|26|Carte</v>
      </c>
    </row>
    <row r="5390" spans="1:12" x14ac:dyDescent="0.25">
      <c r="A5390" t="s">
        <v>43</v>
      </c>
      <c r="B5390">
        <v>26</v>
      </c>
      <c r="C5390" t="s">
        <v>18</v>
      </c>
      <c r="D5390" s="1">
        <v>46081</v>
      </c>
      <c r="E5390">
        <v>3939.7</v>
      </c>
      <c r="F5390">
        <v>209</v>
      </c>
      <c r="G5390">
        <v>126.76</v>
      </c>
      <c r="H5390">
        <v>359</v>
      </c>
      <c r="I5390" t="s">
        <v>23</v>
      </c>
      <c r="J5390">
        <v>2026</v>
      </c>
      <c r="K5390">
        <f t="shared" si="168"/>
        <v>82.24</v>
      </c>
      <c r="L5390" t="str">
        <f t="shared" si="169"/>
        <v>Banca Romagnola|26|Leasing</v>
      </c>
    </row>
    <row r="5391" spans="1:12" x14ac:dyDescent="0.25">
      <c r="A5391" t="s">
        <v>43</v>
      </c>
      <c r="B5391">
        <v>26</v>
      </c>
      <c r="C5391" t="s">
        <v>19</v>
      </c>
      <c r="D5391" s="1">
        <v>46081</v>
      </c>
      <c r="E5391">
        <v>4511.8</v>
      </c>
      <c r="F5391">
        <v>248.18</v>
      </c>
      <c r="G5391">
        <v>148.94999999999999</v>
      </c>
      <c r="H5391">
        <v>397</v>
      </c>
      <c r="I5391" t="s">
        <v>23</v>
      </c>
      <c r="J5391">
        <v>2026</v>
      </c>
      <c r="K5391">
        <f t="shared" si="168"/>
        <v>99.230000000000018</v>
      </c>
      <c r="L5391" t="str">
        <f t="shared" si="169"/>
        <v>Banca Romagnola|26|Factoring</v>
      </c>
    </row>
    <row r="5392" spans="1:12" x14ac:dyDescent="0.25">
      <c r="A5392" t="s">
        <v>43</v>
      </c>
      <c r="B5392">
        <v>26</v>
      </c>
      <c r="C5392" t="s">
        <v>20</v>
      </c>
      <c r="D5392" s="1">
        <v>46081</v>
      </c>
      <c r="E5392">
        <v>5119.8</v>
      </c>
      <c r="F5392">
        <v>292.29000000000002</v>
      </c>
      <c r="G5392">
        <v>174.99</v>
      </c>
      <c r="H5392">
        <v>454</v>
      </c>
      <c r="I5392" t="s">
        <v>23</v>
      </c>
      <c r="J5392">
        <v>2026</v>
      </c>
      <c r="K5392">
        <f t="shared" si="168"/>
        <v>117.30000000000001</v>
      </c>
      <c r="L5392" t="str">
        <f t="shared" si="169"/>
        <v>Banca Romagnola|26|Risparmio</v>
      </c>
    </row>
    <row r="5393" spans="1:12" x14ac:dyDescent="0.25">
      <c r="A5393" t="s">
        <v>43</v>
      </c>
      <c r="B5393">
        <v>26</v>
      </c>
      <c r="C5393" t="s">
        <v>21</v>
      </c>
      <c r="D5393" s="1">
        <v>46081</v>
      </c>
      <c r="E5393">
        <v>5698.3</v>
      </c>
      <c r="F5393">
        <v>336.92</v>
      </c>
      <c r="G5393">
        <v>200.05</v>
      </c>
      <c r="H5393">
        <v>476</v>
      </c>
      <c r="I5393" t="s">
        <v>23</v>
      </c>
      <c r="J5393">
        <v>2026</v>
      </c>
      <c r="K5393">
        <f t="shared" si="168"/>
        <v>136.87</v>
      </c>
      <c r="L5393" t="str">
        <f t="shared" si="169"/>
        <v>Banca Romagnola|26|Assicurazioni</v>
      </c>
    </row>
    <row r="5394" spans="1:12" x14ac:dyDescent="0.25">
      <c r="A5394" t="s">
        <v>43</v>
      </c>
      <c r="B5394">
        <v>27</v>
      </c>
      <c r="C5394" t="s">
        <v>13</v>
      </c>
      <c r="D5394" s="1">
        <v>46112</v>
      </c>
      <c r="E5394">
        <v>1597.7</v>
      </c>
      <c r="F5394">
        <v>72.739999999999995</v>
      </c>
      <c r="G5394">
        <v>45.6</v>
      </c>
      <c r="H5394">
        <v>144</v>
      </c>
      <c r="I5394" t="s">
        <v>23</v>
      </c>
      <c r="J5394">
        <v>2026</v>
      </c>
      <c r="K5394">
        <f t="shared" si="168"/>
        <v>27.139999999999993</v>
      </c>
      <c r="L5394" t="str">
        <f t="shared" si="169"/>
        <v>Banca Romagnola|27|Mutui</v>
      </c>
    </row>
    <row r="5395" spans="1:12" x14ac:dyDescent="0.25">
      <c r="A5395" t="s">
        <v>43</v>
      </c>
      <c r="B5395">
        <v>27</v>
      </c>
      <c r="C5395" t="s">
        <v>15</v>
      </c>
      <c r="D5395" s="1">
        <v>46112</v>
      </c>
      <c r="E5395">
        <v>2201.1999999999998</v>
      </c>
      <c r="F5395">
        <v>104.29</v>
      </c>
      <c r="G5395">
        <v>64.62</v>
      </c>
      <c r="H5395">
        <v>211</v>
      </c>
      <c r="I5395" t="s">
        <v>23</v>
      </c>
      <c r="J5395">
        <v>2026</v>
      </c>
      <c r="K5395">
        <f t="shared" si="168"/>
        <v>39.67</v>
      </c>
      <c r="L5395" t="str">
        <f t="shared" si="169"/>
        <v>Banca Romagnola|27|Prestiti</v>
      </c>
    </row>
    <row r="5396" spans="1:12" x14ac:dyDescent="0.25">
      <c r="A5396" t="s">
        <v>43</v>
      </c>
      <c r="B5396">
        <v>27</v>
      </c>
      <c r="C5396" t="s">
        <v>16</v>
      </c>
      <c r="D5396" s="1">
        <v>46112</v>
      </c>
      <c r="E5396">
        <v>2751.2</v>
      </c>
      <c r="F5396">
        <v>134.94999999999999</v>
      </c>
      <c r="G5396">
        <v>82.62</v>
      </c>
      <c r="H5396">
        <v>230</v>
      </c>
      <c r="I5396" t="s">
        <v>23</v>
      </c>
      <c r="J5396">
        <v>2026</v>
      </c>
      <c r="K5396">
        <f t="shared" si="168"/>
        <v>52.329999999999984</v>
      </c>
      <c r="L5396" t="str">
        <f t="shared" si="169"/>
        <v>Banca Romagnola|27|Conti</v>
      </c>
    </row>
    <row r="5397" spans="1:12" x14ac:dyDescent="0.25">
      <c r="A5397" t="s">
        <v>43</v>
      </c>
      <c r="B5397">
        <v>27</v>
      </c>
      <c r="C5397" t="s">
        <v>17</v>
      </c>
      <c r="D5397" s="1">
        <v>46112</v>
      </c>
      <c r="E5397">
        <v>3359.6</v>
      </c>
      <c r="F5397">
        <v>172.19</v>
      </c>
      <c r="G5397">
        <v>104.39</v>
      </c>
      <c r="H5397">
        <v>279</v>
      </c>
      <c r="I5397" t="s">
        <v>23</v>
      </c>
      <c r="J5397">
        <v>2026</v>
      </c>
      <c r="K5397">
        <f t="shared" si="168"/>
        <v>67.8</v>
      </c>
      <c r="L5397" t="str">
        <f t="shared" si="169"/>
        <v>Banca Romagnola|27|Carte</v>
      </c>
    </row>
    <row r="5398" spans="1:12" x14ac:dyDescent="0.25">
      <c r="A5398" t="s">
        <v>43</v>
      </c>
      <c r="B5398">
        <v>27</v>
      </c>
      <c r="C5398" t="s">
        <v>18</v>
      </c>
      <c r="D5398" s="1">
        <v>46112</v>
      </c>
      <c r="E5398">
        <v>3942.3</v>
      </c>
      <c r="F5398">
        <v>209.45</v>
      </c>
      <c r="G5398">
        <v>126.33</v>
      </c>
      <c r="H5398">
        <v>347</v>
      </c>
      <c r="I5398" t="s">
        <v>23</v>
      </c>
      <c r="J5398">
        <v>2026</v>
      </c>
      <c r="K5398">
        <f t="shared" si="168"/>
        <v>83.11999999999999</v>
      </c>
      <c r="L5398" t="str">
        <f t="shared" si="169"/>
        <v>Banca Romagnola|27|Leasing</v>
      </c>
    </row>
    <row r="5399" spans="1:12" x14ac:dyDescent="0.25">
      <c r="A5399" t="s">
        <v>43</v>
      </c>
      <c r="B5399">
        <v>27</v>
      </c>
      <c r="C5399" t="s">
        <v>19</v>
      </c>
      <c r="D5399" s="1">
        <v>46112</v>
      </c>
      <c r="E5399">
        <v>4566.8</v>
      </c>
      <c r="F5399">
        <v>251.42</v>
      </c>
      <c r="G5399">
        <v>150.81</v>
      </c>
      <c r="H5399">
        <v>376</v>
      </c>
      <c r="I5399" t="s">
        <v>23</v>
      </c>
      <c r="J5399">
        <v>2026</v>
      </c>
      <c r="K5399">
        <f t="shared" si="168"/>
        <v>100.60999999999999</v>
      </c>
      <c r="L5399" t="str">
        <f t="shared" si="169"/>
        <v>Banca Romagnola|27|Factoring</v>
      </c>
    </row>
    <row r="5400" spans="1:12" x14ac:dyDescent="0.25">
      <c r="A5400" t="s">
        <v>43</v>
      </c>
      <c r="B5400">
        <v>27</v>
      </c>
      <c r="C5400" t="s">
        <v>20</v>
      </c>
      <c r="D5400" s="1">
        <v>46112</v>
      </c>
      <c r="E5400">
        <v>5176.8</v>
      </c>
      <c r="F5400">
        <v>295.83</v>
      </c>
      <c r="G5400">
        <v>176.43</v>
      </c>
      <c r="H5400">
        <v>448</v>
      </c>
      <c r="I5400" t="s">
        <v>23</v>
      </c>
      <c r="J5400">
        <v>2026</v>
      </c>
      <c r="K5400">
        <f t="shared" si="168"/>
        <v>119.39999999999998</v>
      </c>
      <c r="L5400" t="str">
        <f t="shared" si="169"/>
        <v>Banca Romagnola|27|Risparmio</v>
      </c>
    </row>
    <row r="5401" spans="1:12" x14ac:dyDescent="0.25">
      <c r="A5401" t="s">
        <v>43</v>
      </c>
      <c r="B5401">
        <v>27</v>
      </c>
      <c r="C5401" t="s">
        <v>21</v>
      </c>
      <c r="D5401" s="1">
        <v>46112</v>
      </c>
      <c r="E5401">
        <v>5746.1</v>
      </c>
      <c r="F5401">
        <v>339.36</v>
      </c>
      <c r="G5401">
        <v>201.48</v>
      </c>
      <c r="H5401">
        <v>476</v>
      </c>
      <c r="I5401" t="s">
        <v>23</v>
      </c>
      <c r="J5401">
        <v>2026</v>
      </c>
      <c r="K5401">
        <f t="shared" si="168"/>
        <v>137.88000000000002</v>
      </c>
      <c r="L5401" t="str">
        <f t="shared" si="169"/>
        <v>Banca Romagnola|27|Assicurazioni</v>
      </c>
    </row>
    <row r="5402" spans="1:12" x14ac:dyDescent="0.25">
      <c r="A5402" t="s">
        <v>43</v>
      </c>
      <c r="B5402">
        <v>28</v>
      </c>
      <c r="C5402" t="s">
        <v>13</v>
      </c>
      <c r="D5402" s="1">
        <v>46142</v>
      </c>
      <c r="E5402">
        <v>1579.8</v>
      </c>
      <c r="F5402">
        <v>71.34</v>
      </c>
      <c r="G5402">
        <v>44.51</v>
      </c>
      <c r="H5402">
        <v>151</v>
      </c>
      <c r="I5402" t="s">
        <v>23</v>
      </c>
      <c r="J5402">
        <v>2026</v>
      </c>
      <c r="K5402">
        <f t="shared" si="168"/>
        <v>26.830000000000005</v>
      </c>
      <c r="L5402" t="str">
        <f t="shared" si="169"/>
        <v>Banca Romagnola|28|Mutui</v>
      </c>
    </row>
    <row r="5403" spans="1:12" x14ac:dyDescent="0.25">
      <c r="A5403" t="s">
        <v>43</v>
      </c>
      <c r="B5403">
        <v>28</v>
      </c>
      <c r="C5403" t="s">
        <v>15</v>
      </c>
      <c r="D5403" s="1">
        <v>46142</v>
      </c>
      <c r="E5403">
        <v>2176.4</v>
      </c>
      <c r="F5403">
        <v>102.67</v>
      </c>
      <c r="G5403">
        <v>63.99</v>
      </c>
      <c r="H5403">
        <v>200</v>
      </c>
      <c r="I5403" t="s">
        <v>23</v>
      </c>
      <c r="J5403">
        <v>2026</v>
      </c>
      <c r="K5403">
        <f t="shared" si="168"/>
        <v>38.68</v>
      </c>
      <c r="L5403" t="str">
        <f t="shared" si="169"/>
        <v>Banca Romagnola|28|Prestiti</v>
      </c>
    </row>
    <row r="5404" spans="1:12" x14ac:dyDescent="0.25">
      <c r="A5404" t="s">
        <v>43</v>
      </c>
      <c r="B5404">
        <v>28</v>
      </c>
      <c r="C5404" t="s">
        <v>16</v>
      </c>
      <c r="D5404" s="1">
        <v>46142</v>
      </c>
      <c r="E5404">
        <v>2786.1</v>
      </c>
      <c r="F5404">
        <v>137</v>
      </c>
      <c r="G5404">
        <v>84.16</v>
      </c>
      <c r="H5404">
        <v>231</v>
      </c>
      <c r="I5404" t="s">
        <v>23</v>
      </c>
      <c r="J5404">
        <v>2026</v>
      </c>
      <c r="K5404">
        <f t="shared" si="168"/>
        <v>52.84</v>
      </c>
      <c r="L5404" t="str">
        <f t="shared" si="169"/>
        <v>Banca Romagnola|28|Conti</v>
      </c>
    </row>
    <row r="5405" spans="1:12" x14ac:dyDescent="0.25">
      <c r="A5405" t="s">
        <v>43</v>
      </c>
      <c r="B5405">
        <v>28</v>
      </c>
      <c r="C5405" t="s">
        <v>17</v>
      </c>
      <c r="D5405" s="1">
        <v>46142</v>
      </c>
      <c r="E5405">
        <v>3418.5</v>
      </c>
      <c r="F5405">
        <v>175.01</v>
      </c>
      <c r="G5405">
        <v>106.33</v>
      </c>
      <c r="H5405">
        <v>311</v>
      </c>
      <c r="I5405" t="s">
        <v>23</v>
      </c>
      <c r="J5405">
        <v>2026</v>
      </c>
      <c r="K5405">
        <f t="shared" si="168"/>
        <v>68.679999999999993</v>
      </c>
      <c r="L5405" t="str">
        <f t="shared" si="169"/>
        <v>Banca Romagnola|28|Carte</v>
      </c>
    </row>
    <row r="5406" spans="1:12" x14ac:dyDescent="0.25">
      <c r="A5406" t="s">
        <v>43</v>
      </c>
      <c r="B5406">
        <v>28</v>
      </c>
      <c r="C5406" t="s">
        <v>18</v>
      </c>
      <c r="D5406" s="1">
        <v>46142</v>
      </c>
      <c r="E5406">
        <v>3979.2</v>
      </c>
      <c r="F5406">
        <v>211.62</v>
      </c>
      <c r="G5406">
        <v>128.1</v>
      </c>
      <c r="H5406">
        <v>329</v>
      </c>
      <c r="I5406" t="s">
        <v>23</v>
      </c>
      <c r="J5406">
        <v>2026</v>
      </c>
      <c r="K5406">
        <f t="shared" si="168"/>
        <v>83.52000000000001</v>
      </c>
      <c r="L5406" t="str">
        <f t="shared" si="169"/>
        <v>Banca Romagnola|28|Leasing</v>
      </c>
    </row>
    <row r="5407" spans="1:12" x14ac:dyDescent="0.25">
      <c r="A5407" t="s">
        <v>43</v>
      </c>
      <c r="B5407">
        <v>28</v>
      </c>
      <c r="C5407" t="s">
        <v>19</v>
      </c>
      <c r="D5407" s="1">
        <v>46142</v>
      </c>
      <c r="E5407">
        <v>4575.7</v>
      </c>
      <c r="F5407">
        <v>252.38</v>
      </c>
      <c r="G5407">
        <v>151.49</v>
      </c>
      <c r="H5407">
        <v>406</v>
      </c>
      <c r="I5407" t="s">
        <v>23</v>
      </c>
      <c r="J5407">
        <v>2026</v>
      </c>
      <c r="K5407">
        <f t="shared" si="168"/>
        <v>100.88999999999999</v>
      </c>
      <c r="L5407" t="str">
        <f t="shared" si="169"/>
        <v>Banca Romagnola|28|Factoring</v>
      </c>
    </row>
    <row r="5408" spans="1:12" x14ac:dyDescent="0.25">
      <c r="A5408" t="s">
        <v>43</v>
      </c>
      <c r="B5408">
        <v>28</v>
      </c>
      <c r="C5408" t="s">
        <v>20</v>
      </c>
      <c r="D5408" s="1">
        <v>46142</v>
      </c>
      <c r="E5408">
        <v>5208.3999999999996</v>
      </c>
      <c r="F5408">
        <v>297.36</v>
      </c>
      <c r="G5408">
        <v>177.27</v>
      </c>
      <c r="H5408">
        <v>459</v>
      </c>
      <c r="I5408" t="s">
        <v>23</v>
      </c>
      <c r="J5408">
        <v>2026</v>
      </c>
      <c r="K5408">
        <f t="shared" si="168"/>
        <v>120.09</v>
      </c>
      <c r="L5408" t="str">
        <f t="shared" si="169"/>
        <v>Banca Romagnola|28|Risparmio</v>
      </c>
    </row>
    <row r="5409" spans="1:12" x14ac:dyDescent="0.25">
      <c r="A5409" t="s">
        <v>43</v>
      </c>
      <c r="B5409">
        <v>28</v>
      </c>
      <c r="C5409" t="s">
        <v>21</v>
      </c>
      <c r="D5409" s="1">
        <v>46142</v>
      </c>
      <c r="E5409">
        <v>5779.1</v>
      </c>
      <c r="F5409">
        <v>341.2</v>
      </c>
      <c r="G5409">
        <v>202.93</v>
      </c>
      <c r="H5409">
        <v>489</v>
      </c>
      <c r="I5409" t="s">
        <v>23</v>
      </c>
      <c r="J5409">
        <v>2026</v>
      </c>
      <c r="K5409">
        <f t="shared" si="168"/>
        <v>138.26999999999998</v>
      </c>
      <c r="L5409" t="str">
        <f t="shared" si="169"/>
        <v>Banca Romagnola|28|Assicurazioni</v>
      </c>
    </row>
    <row r="5410" spans="1:12" x14ac:dyDescent="0.25">
      <c r="A5410" t="s">
        <v>43</v>
      </c>
      <c r="B5410">
        <v>29</v>
      </c>
      <c r="C5410" t="s">
        <v>13</v>
      </c>
      <c r="D5410" s="1">
        <v>46173</v>
      </c>
      <c r="E5410">
        <v>1626.7</v>
      </c>
      <c r="F5410">
        <v>73.58</v>
      </c>
      <c r="G5410">
        <v>46.14</v>
      </c>
      <c r="H5410">
        <v>159</v>
      </c>
      <c r="I5410" t="s">
        <v>23</v>
      </c>
      <c r="J5410">
        <v>2026</v>
      </c>
      <c r="K5410">
        <f t="shared" si="168"/>
        <v>27.439999999999998</v>
      </c>
      <c r="L5410" t="str">
        <f t="shared" si="169"/>
        <v>Banca Romagnola|29|Mutui</v>
      </c>
    </row>
    <row r="5411" spans="1:12" x14ac:dyDescent="0.25">
      <c r="A5411" t="s">
        <v>43</v>
      </c>
      <c r="B5411">
        <v>29</v>
      </c>
      <c r="C5411" t="s">
        <v>15</v>
      </c>
      <c r="D5411" s="1">
        <v>46173</v>
      </c>
      <c r="E5411">
        <v>2239.4</v>
      </c>
      <c r="F5411">
        <v>105.43</v>
      </c>
      <c r="G5411">
        <v>65.3</v>
      </c>
      <c r="H5411">
        <v>209</v>
      </c>
      <c r="I5411" t="s">
        <v>23</v>
      </c>
      <c r="J5411">
        <v>2026</v>
      </c>
      <c r="K5411">
        <f t="shared" si="168"/>
        <v>40.13000000000001</v>
      </c>
      <c r="L5411" t="str">
        <f t="shared" si="169"/>
        <v>Banca Romagnola|29|Prestiti</v>
      </c>
    </row>
    <row r="5412" spans="1:12" x14ac:dyDescent="0.25">
      <c r="A5412" t="s">
        <v>43</v>
      </c>
      <c r="B5412">
        <v>29</v>
      </c>
      <c r="C5412" t="s">
        <v>16</v>
      </c>
      <c r="D5412" s="1">
        <v>46173</v>
      </c>
      <c r="E5412">
        <v>2828.5</v>
      </c>
      <c r="F5412">
        <v>139.58000000000001</v>
      </c>
      <c r="G5412">
        <v>85.38</v>
      </c>
      <c r="H5412">
        <v>263</v>
      </c>
      <c r="I5412" t="s">
        <v>23</v>
      </c>
      <c r="J5412">
        <v>2026</v>
      </c>
      <c r="K5412">
        <f t="shared" si="168"/>
        <v>54.200000000000017</v>
      </c>
      <c r="L5412" t="str">
        <f t="shared" si="169"/>
        <v>Banca Romagnola|29|Conti</v>
      </c>
    </row>
    <row r="5413" spans="1:12" x14ac:dyDescent="0.25">
      <c r="A5413" t="s">
        <v>43</v>
      </c>
      <c r="B5413">
        <v>29</v>
      </c>
      <c r="C5413" t="s">
        <v>17</v>
      </c>
      <c r="D5413" s="1">
        <v>46173</v>
      </c>
      <c r="E5413">
        <v>3421.2</v>
      </c>
      <c r="F5413">
        <v>174.97</v>
      </c>
      <c r="G5413">
        <v>106.27</v>
      </c>
      <c r="H5413">
        <v>292</v>
      </c>
      <c r="I5413" t="s">
        <v>23</v>
      </c>
      <c r="J5413">
        <v>2026</v>
      </c>
      <c r="K5413">
        <f t="shared" si="168"/>
        <v>68.7</v>
      </c>
      <c r="L5413" t="str">
        <f t="shared" si="169"/>
        <v>Banca Romagnola|29|Carte</v>
      </c>
    </row>
    <row r="5414" spans="1:12" x14ac:dyDescent="0.25">
      <c r="A5414" t="s">
        <v>43</v>
      </c>
      <c r="B5414">
        <v>29</v>
      </c>
      <c r="C5414" t="s">
        <v>18</v>
      </c>
      <c r="D5414" s="1">
        <v>46173</v>
      </c>
      <c r="E5414">
        <v>4033.7</v>
      </c>
      <c r="F5414">
        <v>214.68</v>
      </c>
      <c r="G5414">
        <v>129.19</v>
      </c>
      <c r="H5414">
        <v>359</v>
      </c>
      <c r="I5414" t="s">
        <v>23</v>
      </c>
      <c r="J5414">
        <v>2026</v>
      </c>
      <c r="K5414">
        <f t="shared" si="168"/>
        <v>85.490000000000009</v>
      </c>
      <c r="L5414" t="str">
        <f t="shared" si="169"/>
        <v>Banca Romagnola|29|Leasing</v>
      </c>
    </row>
    <row r="5415" spans="1:12" x14ac:dyDescent="0.25">
      <c r="A5415" t="s">
        <v>43</v>
      </c>
      <c r="B5415">
        <v>29</v>
      </c>
      <c r="C5415" t="s">
        <v>19</v>
      </c>
      <c r="D5415" s="1">
        <v>46173</v>
      </c>
      <c r="E5415">
        <v>4644.6000000000004</v>
      </c>
      <c r="F5415">
        <v>255.74</v>
      </c>
      <c r="G5415">
        <v>153.99</v>
      </c>
      <c r="H5415">
        <v>409</v>
      </c>
      <c r="I5415" t="s">
        <v>23</v>
      </c>
      <c r="J5415">
        <v>2026</v>
      </c>
      <c r="K5415">
        <f t="shared" si="168"/>
        <v>101.75</v>
      </c>
      <c r="L5415" t="str">
        <f t="shared" si="169"/>
        <v>Banca Romagnola|29|Factoring</v>
      </c>
    </row>
    <row r="5416" spans="1:12" x14ac:dyDescent="0.25">
      <c r="A5416" t="s">
        <v>43</v>
      </c>
      <c r="B5416">
        <v>29</v>
      </c>
      <c r="C5416" t="s">
        <v>20</v>
      </c>
      <c r="D5416" s="1">
        <v>46173</v>
      </c>
      <c r="E5416">
        <v>5217.2</v>
      </c>
      <c r="F5416">
        <v>298.38</v>
      </c>
      <c r="G5416">
        <v>178.35</v>
      </c>
      <c r="H5416">
        <v>426</v>
      </c>
      <c r="I5416" t="s">
        <v>23</v>
      </c>
      <c r="J5416">
        <v>2026</v>
      </c>
      <c r="K5416">
        <f t="shared" si="168"/>
        <v>120.03</v>
      </c>
      <c r="L5416" t="str">
        <f t="shared" si="169"/>
        <v>Banca Romagnola|29|Risparmio</v>
      </c>
    </row>
    <row r="5417" spans="1:12" x14ac:dyDescent="0.25">
      <c r="A5417" t="s">
        <v>43</v>
      </c>
      <c r="B5417">
        <v>29</v>
      </c>
      <c r="C5417" t="s">
        <v>21</v>
      </c>
      <c r="D5417" s="1">
        <v>46173</v>
      </c>
      <c r="E5417">
        <v>5863.6</v>
      </c>
      <c r="F5417">
        <v>346.09</v>
      </c>
      <c r="G5417">
        <v>205.27</v>
      </c>
      <c r="H5417">
        <v>478</v>
      </c>
      <c r="I5417" t="s">
        <v>23</v>
      </c>
      <c r="J5417">
        <v>2026</v>
      </c>
      <c r="K5417">
        <f t="shared" si="168"/>
        <v>140.81999999999996</v>
      </c>
      <c r="L5417" t="str">
        <f t="shared" si="169"/>
        <v>Banca Romagnola|29|Assicurazioni</v>
      </c>
    </row>
    <row r="5418" spans="1:12" x14ac:dyDescent="0.25">
      <c r="A5418" t="s">
        <v>43</v>
      </c>
      <c r="B5418">
        <v>30</v>
      </c>
      <c r="C5418" t="s">
        <v>13</v>
      </c>
      <c r="D5418" s="1">
        <v>46203</v>
      </c>
      <c r="E5418">
        <v>1635.2</v>
      </c>
      <c r="F5418">
        <v>73.95</v>
      </c>
      <c r="G5418">
        <v>46.52</v>
      </c>
      <c r="H5418">
        <v>133</v>
      </c>
      <c r="I5418" t="s">
        <v>23</v>
      </c>
      <c r="J5418">
        <v>2026</v>
      </c>
      <c r="K5418">
        <f t="shared" si="168"/>
        <v>27.43</v>
      </c>
      <c r="L5418" t="str">
        <f t="shared" si="169"/>
        <v>Banca Romagnola|30|Mutui</v>
      </c>
    </row>
    <row r="5419" spans="1:12" x14ac:dyDescent="0.25">
      <c r="A5419" t="s">
        <v>43</v>
      </c>
      <c r="B5419">
        <v>30</v>
      </c>
      <c r="C5419" t="s">
        <v>15</v>
      </c>
      <c r="D5419" s="1">
        <v>46203</v>
      </c>
      <c r="E5419">
        <v>2246.9</v>
      </c>
      <c r="F5419">
        <v>106.56</v>
      </c>
      <c r="G5419">
        <v>65.489999999999995</v>
      </c>
      <c r="H5419">
        <v>193</v>
      </c>
      <c r="I5419" t="s">
        <v>23</v>
      </c>
      <c r="J5419">
        <v>2026</v>
      </c>
      <c r="K5419">
        <f t="shared" si="168"/>
        <v>41.070000000000007</v>
      </c>
      <c r="L5419" t="str">
        <f t="shared" si="169"/>
        <v>Banca Romagnola|30|Prestiti</v>
      </c>
    </row>
    <row r="5420" spans="1:12" x14ac:dyDescent="0.25">
      <c r="A5420" t="s">
        <v>43</v>
      </c>
      <c r="B5420">
        <v>30</v>
      </c>
      <c r="C5420" t="s">
        <v>16</v>
      </c>
      <c r="D5420" s="1">
        <v>46203</v>
      </c>
      <c r="E5420">
        <v>2814</v>
      </c>
      <c r="F5420">
        <v>137.91</v>
      </c>
      <c r="G5420">
        <v>84.72</v>
      </c>
      <c r="H5420">
        <v>258</v>
      </c>
      <c r="I5420" t="s">
        <v>23</v>
      </c>
      <c r="J5420">
        <v>2026</v>
      </c>
      <c r="K5420">
        <f t="shared" si="168"/>
        <v>53.19</v>
      </c>
      <c r="L5420" t="str">
        <f t="shared" si="169"/>
        <v>Banca Romagnola|30|Conti</v>
      </c>
    </row>
    <row r="5421" spans="1:12" x14ac:dyDescent="0.25">
      <c r="A5421" t="s">
        <v>43</v>
      </c>
      <c r="B5421">
        <v>30</v>
      </c>
      <c r="C5421" t="s">
        <v>17</v>
      </c>
      <c r="D5421" s="1">
        <v>46203</v>
      </c>
      <c r="E5421">
        <v>3459.7</v>
      </c>
      <c r="F5421">
        <v>176.71</v>
      </c>
      <c r="G5421">
        <v>108.02</v>
      </c>
      <c r="H5421">
        <v>315</v>
      </c>
      <c r="I5421" t="s">
        <v>23</v>
      </c>
      <c r="J5421">
        <v>2026</v>
      </c>
      <c r="K5421">
        <f t="shared" si="168"/>
        <v>68.690000000000012</v>
      </c>
      <c r="L5421" t="str">
        <f t="shared" si="169"/>
        <v>Banca Romagnola|30|Carte</v>
      </c>
    </row>
    <row r="5422" spans="1:12" x14ac:dyDescent="0.25">
      <c r="A5422" t="s">
        <v>43</v>
      </c>
      <c r="B5422">
        <v>30</v>
      </c>
      <c r="C5422" t="s">
        <v>18</v>
      </c>
      <c r="D5422" s="1">
        <v>46203</v>
      </c>
      <c r="E5422">
        <v>4059.9</v>
      </c>
      <c r="F5422">
        <v>215.63</v>
      </c>
      <c r="G5422">
        <v>130.41999999999999</v>
      </c>
      <c r="H5422">
        <v>346</v>
      </c>
      <c r="I5422" t="s">
        <v>23</v>
      </c>
      <c r="J5422">
        <v>2026</v>
      </c>
      <c r="K5422">
        <f t="shared" si="168"/>
        <v>85.210000000000008</v>
      </c>
      <c r="L5422" t="str">
        <f t="shared" si="169"/>
        <v>Banca Romagnola|30|Leasing</v>
      </c>
    </row>
    <row r="5423" spans="1:12" x14ac:dyDescent="0.25">
      <c r="A5423" t="s">
        <v>43</v>
      </c>
      <c r="B5423">
        <v>30</v>
      </c>
      <c r="C5423" t="s">
        <v>19</v>
      </c>
      <c r="D5423" s="1">
        <v>46203</v>
      </c>
      <c r="E5423">
        <v>4647.2</v>
      </c>
      <c r="F5423">
        <v>255.61</v>
      </c>
      <c r="G5423">
        <v>153.84</v>
      </c>
      <c r="H5423">
        <v>410</v>
      </c>
      <c r="I5423" t="s">
        <v>23</v>
      </c>
      <c r="J5423">
        <v>2026</v>
      </c>
      <c r="K5423">
        <f t="shared" si="168"/>
        <v>101.77000000000001</v>
      </c>
      <c r="L5423" t="str">
        <f t="shared" si="169"/>
        <v>Banca Romagnola|30|Factoring</v>
      </c>
    </row>
    <row r="5424" spans="1:12" x14ac:dyDescent="0.25">
      <c r="A5424" t="s">
        <v>43</v>
      </c>
      <c r="B5424">
        <v>30</v>
      </c>
      <c r="C5424" t="s">
        <v>20</v>
      </c>
      <c r="D5424" s="1">
        <v>46203</v>
      </c>
      <c r="E5424">
        <v>5251.7</v>
      </c>
      <c r="F5424">
        <v>299.79000000000002</v>
      </c>
      <c r="G5424">
        <v>178.65</v>
      </c>
      <c r="H5424">
        <v>449</v>
      </c>
      <c r="I5424" t="s">
        <v>23</v>
      </c>
      <c r="J5424">
        <v>2026</v>
      </c>
      <c r="K5424">
        <f t="shared" si="168"/>
        <v>121.14000000000001</v>
      </c>
      <c r="L5424" t="str">
        <f t="shared" si="169"/>
        <v>Banca Romagnola|30|Risparmio</v>
      </c>
    </row>
    <row r="5425" spans="1:12" x14ac:dyDescent="0.25">
      <c r="A5425" t="s">
        <v>43</v>
      </c>
      <c r="B5425">
        <v>30</v>
      </c>
      <c r="C5425" t="s">
        <v>21</v>
      </c>
      <c r="D5425" s="1">
        <v>46203</v>
      </c>
      <c r="E5425">
        <v>5864.9</v>
      </c>
      <c r="F5425">
        <v>346.19</v>
      </c>
      <c r="G5425">
        <v>205.32</v>
      </c>
      <c r="H5425">
        <v>513</v>
      </c>
      <c r="I5425" t="s">
        <v>23</v>
      </c>
      <c r="J5425">
        <v>2026</v>
      </c>
      <c r="K5425">
        <f t="shared" si="168"/>
        <v>140.87</v>
      </c>
      <c r="L5425" t="str">
        <f t="shared" si="169"/>
        <v>Banca Romagnola|30|Assicurazioni</v>
      </c>
    </row>
    <row r="5426" spans="1:12" x14ac:dyDescent="0.25">
      <c r="A5426" t="s">
        <v>43</v>
      </c>
      <c r="B5426">
        <v>31</v>
      </c>
      <c r="C5426" t="s">
        <v>13</v>
      </c>
      <c r="D5426" s="1">
        <v>46234</v>
      </c>
      <c r="E5426">
        <v>1616.7</v>
      </c>
      <c r="F5426">
        <v>73.72</v>
      </c>
      <c r="G5426">
        <v>45.67</v>
      </c>
      <c r="H5426">
        <v>158</v>
      </c>
      <c r="I5426" t="s">
        <v>23</v>
      </c>
      <c r="J5426">
        <v>2026</v>
      </c>
      <c r="K5426">
        <f t="shared" si="168"/>
        <v>28.049999999999997</v>
      </c>
      <c r="L5426" t="str">
        <f t="shared" si="169"/>
        <v>Banca Romagnola|31|Mutui</v>
      </c>
    </row>
    <row r="5427" spans="1:12" x14ac:dyDescent="0.25">
      <c r="A5427" t="s">
        <v>43</v>
      </c>
      <c r="B5427">
        <v>31</v>
      </c>
      <c r="C5427" t="s">
        <v>15</v>
      </c>
      <c r="D5427" s="1">
        <v>46234</v>
      </c>
      <c r="E5427">
        <v>2223.1</v>
      </c>
      <c r="F5427">
        <v>105.19</v>
      </c>
      <c r="G5427">
        <v>64.709999999999994</v>
      </c>
      <c r="H5427">
        <v>190</v>
      </c>
      <c r="I5427" t="s">
        <v>23</v>
      </c>
      <c r="J5427">
        <v>2026</v>
      </c>
      <c r="K5427">
        <f t="shared" si="168"/>
        <v>40.480000000000004</v>
      </c>
      <c r="L5427" t="str">
        <f t="shared" si="169"/>
        <v>Banca Romagnola|31|Prestiti</v>
      </c>
    </row>
    <row r="5428" spans="1:12" x14ac:dyDescent="0.25">
      <c r="A5428" t="s">
        <v>43</v>
      </c>
      <c r="B5428">
        <v>31</v>
      </c>
      <c r="C5428" t="s">
        <v>16</v>
      </c>
      <c r="D5428" s="1">
        <v>46234</v>
      </c>
      <c r="E5428">
        <v>2865.2</v>
      </c>
      <c r="F5428">
        <v>140.76</v>
      </c>
      <c r="G5428">
        <v>86.07</v>
      </c>
      <c r="H5428">
        <v>246</v>
      </c>
      <c r="I5428" t="s">
        <v>23</v>
      </c>
      <c r="J5428">
        <v>2026</v>
      </c>
      <c r="K5428">
        <f t="shared" si="168"/>
        <v>54.69</v>
      </c>
      <c r="L5428" t="str">
        <f t="shared" si="169"/>
        <v>Banca Romagnola|31|Conti</v>
      </c>
    </row>
    <row r="5429" spans="1:12" x14ac:dyDescent="0.25">
      <c r="A5429" t="s">
        <v>43</v>
      </c>
      <c r="B5429">
        <v>31</v>
      </c>
      <c r="C5429" t="s">
        <v>17</v>
      </c>
      <c r="D5429" s="1">
        <v>46234</v>
      </c>
      <c r="E5429">
        <v>3474.4</v>
      </c>
      <c r="F5429">
        <v>178.06</v>
      </c>
      <c r="G5429">
        <v>107.97</v>
      </c>
      <c r="H5429">
        <v>307</v>
      </c>
      <c r="I5429" t="s">
        <v>23</v>
      </c>
      <c r="J5429">
        <v>2026</v>
      </c>
      <c r="K5429">
        <f t="shared" si="168"/>
        <v>70.09</v>
      </c>
      <c r="L5429" t="str">
        <f t="shared" si="169"/>
        <v>Banca Romagnola|31|Carte</v>
      </c>
    </row>
    <row r="5430" spans="1:12" x14ac:dyDescent="0.25">
      <c r="A5430" t="s">
        <v>43</v>
      </c>
      <c r="B5430">
        <v>31</v>
      </c>
      <c r="C5430" t="s">
        <v>18</v>
      </c>
      <c r="D5430" s="1">
        <v>46234</v>
      </c>
      <c r="E5430">
        <v>4103.5</v>
      </c>
      <c r="F5430">
        <v>217.96</v>
      </c>
      <c r="G5430">
        <v>131.77000000000001</v>
      </c>
      <c r="H5430">
        <v>329</v>
      </c>
      <c r="I5430" t="s">
        <v>23</v>
      </c>
      <c r="J5430">
        <v>2026</v>
      </c>
      <c r="K5430">
        <f t="shared" si="168"/>
        <v>86.19</v>
      </c>
      <c r="L5430" t="str">
        <f t="shared" si="169"/>
        <v>Banca Romagnola|31|Leasing</v>
      </c>
    </row>
    <row r="5431" spans="1:12" x14ac:dyDescent="0.25">
      <c r="A5431" t="s">
        <v>43</v>
      </c>
      <c r="B5431">
        <v>31</v>
      </c>
      <c r="C5431" t="s">
        <v>19</v>
      </c>
      <c r="D5431" s="1">
        <v>46234</v>
      </c>
      <c r="E5431">
        <v>4671</v>
      </c>
      <c r="F5431">
        <v>257.83999999999997</v>
      </c>
      <c r="G5431">
        <v>154.84</v>
      </c>
      <c r="H5431">
        <v>390</v>
      </c>
      <c r="I5431" t="s">
        <v>23</v>
      </c>
      <c r="J5431">
        <v>2026</v>
      </c>
      <c r="K5431">
        <f t="shared" si="168"/>
        <v>102.99999999999997</v>
      </c>
      <c r="L5431" t="str">
        <f t="shared" si="169"/>
        <v>Banca Romagnola|31|Factoring</v>
      </c>
    </row>
    <row r="5432" spans="1:12" x14ac:dyDescent="0.25">
      <c r="A5432" t="s">
        <v>43</v>
      </c>
      <c r="B5432">
        <v>31</v>
      </c>
      <c r="C5432" t="s">
        <v>20</v>
      </c>
      <c r="D5432" s="1">
        <v>46234</v>
      </c>
      <c r="E5432">
        <v>5278.9</v>
      </c>
      <c r="F5432">
        <v>301.12</v>
      </c>
      <c r="G5432">
        <v>180.26</v>
      </c>
      <c r="H5432">
        <v>450</v>
      </c>
      <c r="I5432" t="s">
        <v>23</v>
      </c>
      <c r="J5432">
        <v>2026</v>
      </c>
      <c r="K5432">
        <f t="shared" si="168"/>
        <v>120.86000000000001</v>
      </c>
      <c r="L5432" t="str">
        <f t="shared" si="169"/>
        <v>Banca Romagnola|31|Risparmio</v>
      </c>
    </row>
    <row r="5433" spans="1:12" x14ac:dyDescent="0.25">
      <c r="A5433" t="s">
        <v>43</v>
      </c>
      <c r="B5433">
        <v>31</v>
      </c>
      <c r="C5433" t="s">
        <v>21</v>
      </c>
      <c r="D5433" s="1">
        <v>46234</v>
      </c>
      <c r="E5433">
        <v>5900.3</v>
      </c>
      <c r="F5433">
        <v>348.17</v>
      </c>
      <c r="G5433">
        <v>207.31</v>
      </c>
      <c r="H5433">
        <v>485</v>
      </c>
      <c r="I5433" t="s">
        <v>23</v>
      </c>
      <c r="J5433">
        <v>2026</v>
      </c>
      <c r="K5433">
        <f t="shared" si="168"/>
        <v>140.86000000000001</v>
      </c>
      <c r="L5433" t="str">
        <f t="shared" si="169"/>
        <v>Banca Romagnola|31|Assicurazioni</v>
      </c>
    </row>
    <row r="5434" spans="1:12" x14ac:dyDescent="0.25">
      <c r="A5434" t="s">
        <v>43</v>
      </c>
      <c r="B5434">
        <v>32</v>
      </c>
      <c r="C5434" t="s">
        <v>13</v>
      </c>
      <c r="D5434" s="1">
        <v>46265</v>
      </c>
      <c r="E5434">
        <v>1669</v>
      </c>
      <c r="F5434">
        <v>75.89</v>
      </c>
      <c r="G5434">
        <v>46.96</v>
      </c>
      <c r="H5434">
        <v>138</v>
      </c>
      <c r="I5434" t="s">
        <v>23</v>
      </c>
      <c r="J5434">
        <v>2026</v>
      </c>
      <c r="K5434">
        <f t="shared" si="168"/>
        <v>28.93</v>
      </c>
      <c r="L5434" t="str">
        <f t="shared" si="169"/>
        <v>Banca Romagnola|32|Mutui</v>
      </c>
    </row>
    <row r="5435" spans="1:12" x14ac:dyDescent="0.25">
      <c r="A5435" t="s">
        <v>43</v>
      </c>
      <c r="B5435">
        <v>32</v>
      </c>
      <c r="C5435" t="s">
        <v>15</v>
      </c>
      <c r="D5435" s="1">
        <v>46265</v>
      </c>
      <c r="E5435">
        <v>2242.6999999999998</v>
      </c>
      <c r="F5435">
        <v>105.74</v>
      </c>
      <c r="G5435">
        <v>65.680000000000007</v>
      </c>
      <c r="H5435">
        <v>217</v>
      </c>
      <c r="I5435" t="s">
        <v>23</v>
      </c>
      <c r="J5435">
        <v>2026</v>
      </c>
      <c r="K5435">
        <f t="shared" si="168"/>
        <v>40.059999999999988</v>
      </c>
      <c r="L5435" t="str">
        <f t="shared" si="169"/>
        <v>Banca Romagnola|32|Prestiti</v>
      </c>
    </row>
    <row r="5436" spans="1:12" x14ac:dyDescent="0.25">
      <c r="A5436" t="s">
        <v>43</v>
      </c>
      <c r="B5436">
        <v>32</v>
      </c>
      <c r="C5436" t="s">
        <v>16</v>
      </c>
      <c r="D5436" s="1">
        <v>46265</v>
      </c>
      <c r="E5436">
        <v>2874.2</v>
      </c>
      <c r="F5436">
        <v>141.72999999999999</v>
      </c>
      <c r="G5436">
        <v>86.53</v>
      </c>
      <c r="H5436">
        <v>230</v>
      </c>
      <c r="I5436" t="s">
        <v>23</v>
      </c>
      <c r="J5436">
        <v>2026</v>
      </c>
      <c r="K5436">
        <f t="shared" si="168"/>
        <v>55.199999999999989</v>
      </c>
      <c r="L5436" t="str">
        <f t="shared" si="169"/>
        <v>Banca Romagnola|32|Conti</v>
      </c>
    </row>
    <row r="5437" spans="1:12" x14ac:dyDescent="0.25">
      <c r="A5437" t="s">
        <v>43</v>
      </c>
      <c r="B5437">
        <v>32</v>
      </c>
      <c r="C5437" t="s">
        <v>17</v>
      </c>
      <c r="D5437" s="1">
        <v>46265</v>
      </c>
      <c r="E5437">
        <v>3504.6</v>
      </c>
      <c r="F5437">
        <v>179.24</v>
      </c>
      <c r="G5437">
        <v>108.98</v>
      </c>
      <c r="H5437">
        <v>297</v>
      </c>
      <c r="I5437" t="s">
        <v>23</v>
      </c>
      <c r="J5437">
        <v>2026</v>
      </c>
      <c r="K5437">
        <f t="shared" si="168"/>
        <v>70.260000000000005</v>
      </c>
      <c r="L5437" t="str">
        <f t="shared" si="169"/>
        <v>Banca Romagnola|32|Carte</v>
      </c>
    </row>
    <row r="5438" spans="1:12" x14ac:dyDescent="0.25">
      <c r="A5438" t="s">
        <v>43</v>
      </c>
      <c r="B5438">
        <v>32</v>
      </c>
      <c r="C5438" t="s">
        <v>18</v>
      </c>
      <c r="D5438" s="1">
        <v>46265</v>
      </c>
      <c r="E5438">
        <v>4104.5</v>
      </c>
      <c r="F5438">
        <v>217.55</v>
      </c>
      <c r="G5438">
        <v>132.22</v>
      </c>
      <c r="H5438">
        <v>330</v>
      </c>
      <c r="I5438" t="s">
        <v>23</v>
      </c>
      <c r="J5438">
        <v>2026</v>
      </c>
      <c r="K5438">
        <f t="shared" si="168"/>
        <v>85.330000000000013</v>
      </c>
      <c r="L5438" t="str">
        <f t="shared" si="169"/>
        <v>Banca Romagnola|32|Leasing</v>
      </c>
    </row>
    <row r="5439" spans="1:12" x14ac:dyDescent="0.25">
      <c r="A5439" t="s">
        <v>43</v>
      </c>
      <c r="B5439">
        <v>32</v>
      </c>
      <c r="C5439" t="s">
        <v>19</v>
      </c>
      <c r="D5439" s="1">
        <v>46265</v>
      </c>
      <c r="E5439">
        <v>4720.2</v>
      </c>
      <c r="F5439">
        <v>260.19</v>
      </c>
      <c r="G5439">
        <v>156.22999999999999</v>
      </c>
      <c r="H5439">
        <v>380</v>
      </c>
      <c r="I5439" t="s">
        <v>23</v>
      </c>
      <c r="J5439">
        <v>2026</v>
      </c>
      <c r="K5439">
        <f t="shared" si="168"/>
        <v>103.96000000000001</v>
      </c>
      <c r="L5439" t="str">
        <f t="shared" si="169"/>
        <v>Banca Romagnola|32|Factoring</v>
      </c>
    </row>
    <row r="5440" spans="1:12" x14ac:dyDescent="0.25">
      <c r="A5440" t="s">
        <v>43</v>
      </c>
      <c r="B5440">
        <v>32</v>
      </c>
      <c r="C5440" t="s">
        <v>20</v>
      </c>
      <c r="D5440" s="1">
        <v>46265</v>
      </c>
      <c r="E5440">
        <v>5334.5</v>
      </c>
      <c r="F5440">
        <v>304.13</v>
      </c>
      <c r="G5440">
        <v>182.34</v>
      </c>
      <c r="H5440">
        <v>455</v>
      </c>
      <c r="I5440" t="s">
        <v>23</v>
      </c>
      <c r="J5440">
        <v>2026</v>
      </c>
      <c r="K5440">
        <f t="shared" si="168"/>
        <v>121.78999999999999</v>
      </c>
      <c r="L5440" t="str">
        <f t="shared" si="169"/>
        <v>Banca Romagnola|32|Risparmio</v>
      </c>
    </row>
    <row r="5441" spans="1:12" x14ac:dyDescent="0.25">
      <c r="A5441" t="s">
        <v>43</v>
      </c>
      <c r="B5441">
        <v>32</v>
      </c>
      <c r="C5441" t="s">
        <v>21</v>
      </c>
      <c r="D5441" s="1">
        <v>46265</v>
      </c>
      <c r="E5441">
        <v>5965.8</v>
      </c>
      <c r="F5441">
        <v>352.23</v>
      </c>
      <c r="G5441">
        <v>209.08</v>
      </c>
      <c r="H5441">
        <v>505</v>
      </c>
      <c r="I5441" t="s">
        <v>23</v>
      </c>
      <c r="J5441">
        <v>2026</v>
      </c>
      <c r="K5441">
        <f t="shared" si="168"/>
        <v>143.15</v>
      </c>
      <c r="L5441" t="str">
        <f t="shared" si="169"/>
        <v>Banca Romagnola|32|Assicurazioni</v>
      </c>
    </row>
    <row r="5442" spans="1:12" x14ac:dyDescent="0.25">
      <c r="A5442" t="s">
        <v>43</v>
      </c>
      <c r="B5442">
        <v>33</v>
      </c>
      <c r="C5442" t="s">
        <v>13</v>
      </c>
      <c r="D5442" s="1">
        <v>46295</v>
      </c>
      <c r="E5442">
        <v>1660.6</v>
      </c>
      <c r="F5442">
        <v>75.02</v>
      </c>
      <c r="G5442">
        <v>47.24</v>
      </c>
      <c r="H5442">
        <v>163</v>
      </c>
      <c r="I5442" t="s">
        <v>23</v>
      </c>
      <c r="J5442">
        <v>2026</v>
      </c>
      <c r="K5442">
        <f t="shared" ref="K5442:K5505" si="170">F5442-G5442</f>
        <v>27.779999999999994</v>
      </c>
      <c r="L5442" t="str">
        <f t="shared" ref="L5442:L5505" si="171">A5442&amp;"|"&amp;B5442&amp;"|"&amp;C5442</f>
        <v>Banca Romagnola|33|Mutui</v>
      </c>
    </row>
    <row r="5443" spans="1:12" x14ac:dyDescent="0.25">
      <c r="A5443" t="s">
        <v>43</v>
      </c>
      <c r="B5443">
        <v>33</v>
      </c>
      <c r="C5443" t="s">
        <v>15</v>
      </c>
      <c r="D5443" s="1">
        <v>46295</v>
      </c>
      <c r="E5443">
        <v>2264.8000000000002</v>
      </c>
      <c r="F5443">
        <v>107.36</v>
      </c>
      <c r="G5443">
        <v>66.42</v>
      </c>
      <c r="H5443">
        <v>214</v>
      </c>
      <c r="I5443" t="s">
        <v>23</v>
      </c>
      <c r="J5443">
        <v>2026</v>
      </c>
      <c r="K5443">
        <f t="shared" si="170"/>
        <v>40.94</v>
      </c>
      <c r="L5443" t="str">
        <f t="shared" si="171"/>
        <v>Banca Romagnola|33|Prestiti</v>
      </c>
    </row>
    <row r="5444" spans="1:12" x14ac:dyDescent="0.25">
      <c r="A5444" t="s">
        <v>43</v>
      </c>
      <c r="B5444">
        <v>33</v>
      </c>
      <c r="C5444" t="s">
        <v>16</v>
      </c>
      <c r="D5444" s="1">
        <v>46295</v>
      </c>
      <c r="E5444">
        <v>2889.4</v>
      </c>
      <c r="F5444">
        <v>142.30000000000001</v>
      </c>
      <c r="G5444">
        <v>87.01</v>
      </c>
      <c r="H5444">
        <v>258</v>
      </c>
      <c r="I5444" t="s">
        <v>23</v>
      </c>
      <c r="J5444">
        <v>2026</v>
      </c>
      <c r="K5444">
        <f t="shared" si="170"/>
        <v>55.290000000000006</v>
      </c>
      <c r="L5444" t="str">
        <f t="shared" si="171"/>
        <v>Banca Romagnola|33|Conti</v>
      </c>
    </row>
    <row r="5445" spans="1:12" x14ac:dyDescent="0.25">
      <c r="A5445" t="s">
        <v>43</v>
      </c>
      <c r="B5445">
        <v>33</v>
      </c>
      <c r="C5445" t="s">
        <v>17</v>
      </c>
      <c r="D5445" s="1">
        <v>46295</v>
      </c>
      <c r="E5445">
        <v>3513.2</v>
      </c>
      <c r="F5445">
        <v>180.07</v>
      </c>
      <c r="G5445">
        <v>109.05</v>
      </c>
      <c r="H5445">
        <v>303</v>
      </c>
      <c r="I5445" t="s">
        <v>23</v>
      </c>
      <c r="J5445">
        <v>2026</v>
      </c>
      <c r="K5445">
        <f t="shared" si="170"/>
        <v>71.02</v>
      </c>
      <c r="L5445" t="str">
        <f t="shared" si="171"/>
        <v>Banca Romagnola|33|Carte</v>
      </c>
    </row>
    <row r="5446" spans="1:12" x14ac:dyDescent="0.25">
      <c r="A5446" t="s">
        <v>43</v>
      </c>
      <c r="B5446">
        <v>33</v>
      </c>
      <c r="C5446" t="s">
        <v>18</v>
      </c>
      <c r="D5446" s="1">
        <v>46295</v>
      </c>
      <c r="E5446">
        <v>4128.2</v>
      </c>
      <c r="F5446">
        <v>219.66</v>
      </c>
      <c r="G5446">
        <v>132.63999999999999</v>
      </c>
      <c r="H5446">
        <v>344</v>
      </c>
      <c r="I5446" t="s">
        <v>23</v>
      </c>
      <c r="J5446">
        <v>2026</v>
      </c>
      <c r="K5446">
        <f t="shared" si="170"/>
        <v>87.02000000000001</v>
      </c>
      <c r="L5446" t="str">
        <f t="shared" si="171"/>
        <v>Banca Romagnola|33|Leasing</v>
      </c>
    </row>
    <row r="5447" spans="1:12" x14ac:dyDescent="0.25">
      <c r="A5447" t="s">
        <v>43</v>
      </c>
      <c r="B5447">
        <v>33</v>
      </c>
      <c r="C5447" t="s">
        <v>19</v>
      </c>
      <c r="D5447" s="1">
        <v>46295</v>
      </c>
      <c r="E5447">
        <v>4764.2</v>
      </c>
      <c r="F5447">
        <v>262.95999999999998</v>
      </c>
      <c r="G5447">
        <v>157.76</v>
      </c>
      <c r="H5447">
        <v>385</v>
      </c>
      <c r="I5447" t="s">
        <v>23</v>
      </c>
      <c r="J5447">
        <v>2026</v>
      </c>
      <c r="K5447">
        <f t="shared" si="170"/>
        <v>105.19999999999999</v>
      </c>
      <c r="L5447" t="str">
        <f t="shared" si="171"/>
        <v>Banca Romagnola|33|Factoring</v>
      </c>
    </row>
    <row r="5448" spans="1:12" x14ac:dyDescent="0.25">
      <c r="A5448" t="s">
        <v>43</v>
      </c>
      <c r="B5448">
        <v>33</v>
      </c>
      <c r="C5448" t="s">
        <v>20</v>
      </c>
      <c r="D5448" s="1">
        <v>46295</v>
      </c>
      <c r="E5448">
        <v>5341.3</v>
      </c>
      <c r="F5448">
        <v>304.68</v>
      </c>
      <c r="G5448">
        <v>182.16</v>
      </c>
      <c r="H5448">
        <v>457</v>
      </c>
      <c r="I5448" t="s">
        <v>23</v>
      </c>
      <c r="J5448">
        <v>2026</v>
      </c>
      <c r="K5448">
        <f t="shared" si="170"/>
        <v>122.52000000000001</v>
      </c>
      <c r="L5448" t="str">
        <f t="shared" si="171"/>
        <v>Banca Romagnola|33|Risparmio</v>
      </c>
    </row>
    <row r="5449" spans="1:12" x14ac:dyDescent="0.25">
      <c r="A5449" t="s">
        <v>43</v>
      </c>
      <c r="B5449">
        <v>33</v>
      </c>
      <c r="C5449" t="s">
        <v>21</v>
      </c>
      <c r="D5449" s="1">
        <v>46295</v>
      </c>
      <c r="E5449">
        <v>5969</v>
      </c>
      <c r="F5449">
        <v>352.44</v>
      </c>
      <c r="G5449">
        <v>208.98</v>
      </c>
      <c r="H5449">
        <v>500</v>
      </c>
      <c r="I5449" t="s">
        <v>23</v>
      </c>
      <c r="J5449">
        <v>2026</v>
      </c>
      <c r="K5449">
        <f t="shared" si="170"/>
        <v>143.46</v>
      </c>
      <c r="L5449" t="str">
        <f t="shared" si="171"/>
        <v>Banca Romagnola|33|Assicurazioni</v>
      </c>
    </row>
    <row r="5450" spans="1:12" x14ac:dyDescent="0.25">
      <c r="A5450" t="s">
        <v>43</v>
      </c>
      <c r="B5450">
        <v>34</v>
      </c>
      <c r="C5450" t="s">
        <v>13</v>
      </c>
      <c r="D5450" s="1">
        <v>46326</v>
      </c>
      <c r="E5450">
        <v>1650.6</v>
      </c>
      <c r="F5450">
        <v>75.12</v>
      </c>
      <c r="G5450">
        <v>46.82</v>
      </c>
      <c r="H5450">
        <v>155</v>
      </c>
      <c r="I5450" t="s">
        <v>23</v>
      </c>
      <c r="J5450">
        <v>2026</v>
      </c>
      <c r="K5450">
        <f t="shared" si="170"/>
        <v>28.300000000000004</v>
      </c>
      <c r="L5450" t="str">
        <f t="shared" si="171"/>
        <v>Banca Romagnola|34|Mutui</v>
      </c>
    </row>
    <row r="5451" spans="1:12" x14ac:dyDescent="0.25">
      <c r="A5451" t="s">
        <v>43</v>
      </c>
      <c r="B5451">
        <v>34</v>
      </c>
      <c r="C5451" t="s">
        <v>15</v>
      </c>
      <c r="D5451" s="1">
        <v>46326</v>
      </c>
      <c r="E5451">
        <v>2307.9</v>
      </c>
      <c r="F5451">
        <v>109.21</v>
      </c>
      <c r="G5451">
        <v>67.150000000000006</v>
      </c>
      <c r="H5451">
        <v>187</v>
      </c>
      <c r="I5451" t="s">
        <v>23</v>
      </c>
      <c r="J5451">
        <v>2026</v>
      </c>
      <c r="K5451">
        <f t="shared" si="170"/>
        <v>42.059999999999988</v>
      </c>
      <c r="L5451" t="str">
        <f t="shared" si="171"/>
        <v>Banca Romagnola|34|Prestiti</v>
      </c>
    </row>
    <row r="5452" spans="1:12" x14ac:dyDescent="0.25">
      <c r="A5452" t="s">
        <v>43</v>
      </c>
      <c r="B5452">
        <v>34</v>
      </c>
      <c r="C5452" t="s">
        <v>16</v>
      </c>
      <c r="D5452" s="1">
        <v>46326</v>
      </c>
      <c r="E5452">
        <v>2915.9</v>
      </c>
      <c r="F5452">
        <v>142.99</v>
      </c>
      <c r="G5452">
        <v>88.13</v>
      </c>
      <c r="H5452">
        <v>240</v>
      </c>
      <c r="I5452" t="s">
        <v>23</v>
      </c>
      <c r="J5452">
        <v>2026</v>
      </c>
      <c r="K5452">
        <f t="shared" si="170"/>
        <v>54.860000000000014</v>
      </c>
      <c r="L5452" t="str">
        <f t="shared" si="171"/>
        <v>Banca Romagnola|34|Conti</v>
      </c>
    </row>
    <row r="5453" spans="1:12" x14ac:dyDescent="0.25">
      <c r="A5453" t="s">
        <v>43</v>
      </c>
      <c r="B5453">
        <v>34</v>
      </c>
      <c r="C5453" t="s">
        <v>17</v>
      </c>
      <c r="D5453" s="1">
        <v>46326</v>
      </c>
      <c r="E5453">
        <v>3541.7</v>
      </c>
      <c r="F5453">
        <v>181.38</v>
      </c>
      <c r="G5453">
        <v>110.11</v>
      </c>
      <c r="H5453">
        <v>279</v>
      </c>
      <c r="I5453" t="s">
        <v>23</v>
      </c>
      <c r="J5453">
        <v>2026</v>
      </c>
      <c r="K5453">
        <f t="shared" si="170"/>
        <v>71.27</v>
      </c>
      <c r="L5453" t="str">
        <f t="shared" si="171"/>
        <v>Banca Romagnola|34|Carte</v>
      </c>
    </row>
    <row r="5454" spans="1:12" x14ac:dyDescent="0.25">
      <c r="A5454" t="s">
        <v>43</v>
      </c>
      <c r="B5454">
        <v>34</v>
      </c>
      <c r="C5454" t="s">
        <v>18</v>
      </c>
      <c r="D5454" s="1">
        <v>46326</v>
      </c>
      <c r="E5454">
        <v>4166.7</v>
      </c>
      <c r="F5454">
        <v>221.22</v>
      </c>
      <c r="G5454">
        <v>133.83000000000001</v>
      </c>
      <c r="H5454">
        <v>358</v>
      </c>
      <c r="I5454" t="s">
        <v>23</v>
      </c>
      <c r="J5454">
        <v>2026</v>
      </c>
      <c r="K5454">
        <f t="shared" si="170"/>
        <v>87.389999999999986</v>
      </c>
      <c r="L5454" t="str">
        <f t="shared" si="171"/>
        <v>Banca Romagnola|34|Leasing</v>
      </c>
    </row>
    <row r="5455" spans="1:12" x14ac:dyDescent="0.25">
      <c r="A5455" t="s">
        <v>43</v>
      </c>
      <c r="B5455">
        <v>34</v>
      </c>
      <c r="C5455" t="s">
        <v>19</v>
      </c>
      <c r="D5455" s="1">
        <v>46326</v>
      </c>
      <c r="E5455">
        <v>4801.8999999999996</v>
      </c>
      <c r="F5455">
        <v>264.27</v>
      </c>
      <c r="G5455">
        <v>158.97</v>
      </c>
      <c r="H5455">
        <v>396</v>
      </c>
      <c r="I5455" t="s">
        <v>23</v>
      </c>
      <c r="J5455">
        <v>2026</v>
      </c>
      <c r="K5455">
        <f t="shared" si="170"/>
        <v>105.29999999999998</v>
      </c>
      <c r="L5455" t="str">
        <f t="shared" si="171"/>
        <v>Banca Romagnola|34|Factoring</v>
      </c>
    </row>
    <row r="5456" spans="1:12" x14ac:dyDescent="0.25">
      <c r="A5456" t="s">
        <v>43</v>
      </c>
      <c r="B5456">
        <v>34</v>
      </c>
      <c r="C5456" t="s">
        <v>20</v>
      </c>
      <c r="D5456" s="1">
        <v>46326</v>
      </c>
      <c r="E5456">
        <v>5398.6</v>
      </c>
      <c r="F5456">
        <v>308.56</v>
      </c>
      <c r="G5456">
        <v>184.02</v>
      </c>
      <c r="H5456">
        <v>437</v>
      </c>
      <c r="I5456" t="s">
        <v>23</v>
      </c>
      <c r="J5456">
        <v>2026</v>
      </c>
      <c r="K5456">
        <f t="shared" si="170"/>
        <v>124.53999999999999</v>
      </c>
      <c r="L5456" t="str">
        <f t="shared" si="171"/>
        <v>Banca Romagnola|34|Risparmio</v>
      </c>
    </row>
    <row r="5457" spans="1:12" x14ac:dyDescent="0.25">
      <c r="A5457" t="s">
        <v>43</v>
      </c>
      <c r="B5457">
        <v>34</v>
      </c>
      <c r="C5457" t="s">
        <v>21</v>
      </c>
      <c r="D5457" s="1">
        <v>46326</v>
      </c>
      <c r="E5457">
        <v>6032</v>
      </c>
      <c r="F5457">
        <v>356.14</v>
      </c>
      <c r="G5457">
        <v>212.05</v>
      </c>
      <c r="H5457">
        <v>495</v>
      </c>
      <c r="I5457" t="s">
        <v>23</v>
      </c>
      <c r="J5457">
        <v>2026</v>
      </c>
      <c r="K5457">
        <f t="shared" si="170"/>
        <v>144.08999999999997</v>
      </c>
      <c r="L5457" t="str">
        <f t="shared" si="171"/>
        <v>Banca Romagnola|34|Assicurazioni</v>
      </c>
    </row>
    <row r="5458" spans="1:12" x14ac:dyDescent="0.25">
      <c r="A5458" t="s">
        <v>43</v>
      </c>
      <c r="B5458">
        <v>35</v>
      </c>
      <c r="C5458" t="s">
        <v>13</v>
      </c>
      <c r="D5458" s="1">
        <v>46356</v>
      </c>
      <c r="E5458">
        <v>1685.2</v>
      </c>
      <c r="F5458">
        <v>76.540000000000006</v>
      </c>
      <c r="G5458">
        <v>47.53</v>
      </c>
      <c r="H5458">
        <v>155</v>
      </c>
      <c r="I5458" t="s">
        <v>23</v>
      </c>
      <c r="J5458">
        <v>2026</v>
      </c>
      <c r="K5458">
        <f t="shared" si="170"/>
        <v>29.010000000000005</v>
      </c>
      <c r="L5458" t="str">
        <f t="shared" si="171"/>
        <v>Banca Romagnola|35|Mutui</v>
      </c>
    </row>
    <row r="5459" spans="1:12" x14ac:dyDescent="0.25">
      <c r="A5459" t="s">
        <v>43</v>
      </c>
      <c r="B5459">
        <v>35</v>
      </c>
      <c r="C5459" t="s">
        <v>15</v>
      </c>
      <c r="D5459" s="1">
        <v>46356</v>
      </c>
      <c r="E5459">
        <v>2284.6999999999998</v>
      </c>
      <c r="F5459">
        <v>107.96</v>
      </c>
      <c r="G5459">
        <v>66.52</v>
      </c>
      <c r="H5459">
        <v>186</v>
      </c>
      <c r="I5459" t="s">
        <v>23</v>
      </c>
      <c r="J5459">
        <v>2026</v>
      </c>
      <c r="K5459">
        <f t="shared" si="170"/>
        <v>41.44</v>
      </c>
      <c r="L5459" t="str">
        <f t="shared" si="171"/>
        <v>Banca Romagnola|35|Prestiti</v>
      </c>
    </row>
    <row r="5460" spans="1:12" x14ac:dyDescent="0.25">
      <c r="A5460" t="s">
        <v>43</v>
      </c>
      <c r="B5460">
        <v>35</v>
      </c>
      <c r="C5460" t="s">
        <v>16</v>
      </c>
      <c r="D5460" s="1">
        <v>46356</v>
      </c>
      <c r="E5460">
        <v>2942.7</v>
      </c>
      <c r="F5460">
        <v>145.13</v>
      </c>
      <c r="G5460">
        <v>88.3</v>
      </c>
      <c r="H5460">
        <v>267</v>
      </c>
      <c r="I5460" t="s">
        <v>23</v>
      </c>
      <c r="J5460">
        <v>2026</v>
      </c>
      <c r="K5460">
        <f t="shared" si="170"/>
        <v>56.83</v>
      </c>
      <c r="L5460" t="str">
        <f t="shared" si="171"/>
        <v>Banca Romagnola|35|Conti</v>
      </c>
    </row>
    <row r="5461" spans="1:12" x14ac:dyDescent="0.25">
      <c r="A5461" t="s">
        <v>43</v>
      </c>
      <c r="B5461">
        <v>35</v>
      </c>
      <c r="C5461" t="s">
        <v>17</v>
      </c>
      <c r="D5461" s="1">
        <v>46356</v>
      </c>
      <c r="E5461">
        <v>3582.9</v>
      </c>
      <c r="F5461">
        <v>183.07</v>
      </c>
      <c r="G5461">
        <v>111.88</v>
      </c>
      <c r="H5461">
        <v>306</v>
      </c>
      <c r="I5461" t="s">
        <v>23</v>
      </c>
      <c r="J5461">
        <v>2026</v>
      </c>
      <c r="K5461">
        <f t="shared" si="170"/>
        <v>71.19</v>
      </c>
      <c r="L5461" t="str">
        <f t="shared" si="171"/>
        <v>Banca Romagnola|35|Carte</v>
      </c>
    </row>
    <row r="5462" spans="1:12" x14ac:dyDescent="0.25">
      <c r="A5462" t="s">
        <v>43</v>
      </c>
      <c r="B5462">
        <v>35</v>
      </c>
      <c r="C5462" t="s">
        <v>18</v>
      </c>
      <c r="D5462" s="1">
        <v>46356</v>
      </c>
      <c r="E5462">
        <v>4180.3999999999996</v>
      </c>
      <c r="F5462">
        <v>221.79</v>
      </c>
      <c r="G5462">
        <v>134.47999999999999</v>
      </c>
      <c r="H5462">
        <v>356</v>
      </c>
      <c r="I5462" t="s">
        <v>23</v>
      </c>
      <c r="J5462">
        <v>2026</v>
      </c>
      <c r="K5462">
        <f t="shared" si="170"/>
        <v>87.31</v>
      </c>
      <c r="L5462" t="str">
        <f t="shared" si="171"/>
        <v>Banca Romagnola|35|Leasing</v>
      </c>
    </row>
    <row r="5463" spans="1:12" x14ac:dyDescent="0.25">
      <c r="A5463" t="s">
        <v>43</v>
      </c>
      <c r="B5463">
        <v>35</v>
      </c>
      <c r="C5463" t="s">
        <v>19</v>
      </c>
      <c r="D5463" s="1">
        <v>46356</v>
      </c>
      <c r="E5463">
        <v>4821.5</v>
      </c>
      <c r="F5463">
        <v>265.82</v>
      </c>
      <c r="G5463">
        <v>159.44</v>
      </c>
      <c r="H5463">
        <v>401</v>
      </c>
      <c r="I5463" t="s">
        <v>23</v>
      </c>
      <c r="J5463">
        <v>2026</v>
      </c>
      <c r="K5463">
        <f t="shared" si="170"/>
        <v>106.38</v>
      </c>
      <c r="L5463" t="str">
        <f t="shared" si="171"/>
        <v>Banca Romagnola|35|Factoring</v>
      </c>
    </row>
    <row r="5464" spans="1:12" x14ac:dyDescent="0.25">
      <c r="A5464" t="s">
        <v>43</v>
      </c>
      <c r="B5464">
        <v>35</v>
      </c>
      <c r="C5464" t="s">
        <v>20</v>
      </c>
      <c r="D5464" s="1">
        <v>46356</v>
      </c>
      <c r="E5464">
        <v>5435.8</v>
      </c>
      <c r="F5464">
        <v>310.67</v>
      </c>
      <c r="G5464">
        <v>185.61</v>
      </c>
      <c r="H5464">
        <v>438</v>
      </c>
      <c r="I5464" t="s">
        <v>23</v>
      </c>
      <c r="J5464">
        <v>2026</v>
      </c>
      <c r="K5464">
        <f t="shared" si="170"/>
        <v>125.06</v>
      </c>
      <c r="L5464" t="str">
        <f t="shared" si="171"/>
        <v>Banca Romagnola|35|Risparmio</v>
      </c>
    </row>
    <row r="5465" spans="1:12" x14ac:dyDescent="0.25">
      <c r="A5465" t="s">
        <v>43</v>
      </c>
      <c r="B5465">
        <v>35</v>
      </c>
      <c r="C5465" t="s">
        <v>21</v>
      </c>
      <c r="D5465" s="1">
        <v>46356</v>
      </c>
      <c r="E5465">
        <v>6076.3</v>
      </c>
      <c r="F5465">
        <v>358.54</v>
      </c>
      <c r="G5465">
        <v>213.54</v>
      </c>
      <c r="H5465">
        <v>495</v>
      </c>
      <c r="I5465" t="s">
        <v>23</v>
      </c>
      <c r="J5465">
        <v>2026</v>
      </c>
      <c r="K5465">
        <f t="shared" si="170"/>
        <v>145.00000000000003</v>
      </c>
      <c r="L5465" t="str">
        <f t="shared" si="171"/>
        <v>Banca Romagnola|35|Assicurazioni</v>
      </c>
    </row>
    <row r="5466" spans="1:12" x14ac:dyDescent="0.25">
      <c r="A5466" t="s">
        <v>43</v>
      </c>
      <c r="B5466">
        <v>36</v>
      </c>
      <c r="C5466" t="s">
        <v>13</v>
      </c>
      <c r="D5466" s="1">
        <v>46387</v>
      </c>
      <c r="E5466">
        <v>1678.5</v>
      </c>
      <c r="F5466">
        <v>76.44</v>
      </c>
      <c r="G5466">
        <v>47.34</v>
      </c>
      <c r="H5466">
        <v>160</v>
      </c>
      <c r="I5466" t="s">
        <v>23</v>
      </c>
      <c r="J5466">
        <v>2026</v>
      </c>
      <c r="K5466">
        <f t="shared" si="170"/>
        <v>29.099999999999994</v>
      </c>
      <c r="L5466" t="str">
        <f t="shared" si="171"/>
        <v>Banca Romagnola|36|Mutui</v>
      </c>
    </row>
    <row r="5467" spans="1:12" x14ac:dyDescent="0.25">
      <c r="A5467" t="s">
        <v>43</v>
      </c>
      <c r="B5467">
        <v>36</v>
      </c>
      <c r="C5467" t="s">
        <v>15</v>
      </c>
      <c r="D5467" s="1">
        <v>46387</v>
      </c>
      <c r="E5467">
        <v>2289.6</v>
      </c>
      <c r="F5467">
        <v>108.44</v>
      </c>
      <c r="G5467">
        <v>66.900000000000006</v>
      </c>
      <c r="H5467">
        <v>193</v>
      </c>
      <c r="I5467" t="s">
        <v>23</v>
      </c>
      <c r="J5467">
        <v>2026</v>
      </c>
      <c r="K5467">
        <f t="shared" si="170"/>
        <v>41.539999999999992</v>
      </c>
      <c r="L5467" t="str">
        <f t="shared" si="171"/>
        <v>Banca Romagnola|36|Prestiti</v>
      </c>
    </row>
    <row r="5468" spans="1:12" x14ac:dyDescent="0.25">
      <c r="A5468" t="s">
        <v>43</v>
      </c>
      <c r="B5468">
        <v>36</v>
      </c>
      <c r="C5468" t="s">
        <v>16</v>
      </c>
      <c r="D5468" s="1">
        <v>46387</v>
      </c>
      <c r="E5468">
        <v>2925.4</v>
      </c>
      <c r="F5468">
        <v>143.79</v>
      </c>
      <c r="G5468">
        <v>87.98</v>
      </c>
      <c r="H5468">
        <v>230</v>
      </c>
      <c r="I5468" t="s">
        <v>23</v>
      </c>
      <c r="J5468">
        <v>2026</v>
      </c>
      <c r="K5468">
        <f t="shared" si="170"/>
        <v>55.809999999999988</v>
      </c>
      <c r="L5468" t="str">
        <f t="shared" si="171"/>
        <v>Banca Romagnola|36|Conti</v>
      </c>
    </row>
    <row r="5469" spans="1:12" x14ac:dyDescent="0.25">
      <c r="A5469" t="s">
        <v>43</v>
      </c>
      <c r="B5469">
        <v>36</v>
      </c>
      <c r="C5469" t="s">
        <v>17</v>
      </c>
      <c r="D5469" s="1">
        <v>46387</v>
      </c>
      <c r="E5469">
        <v>3595.4</v>
      </c>
      <c r="F5469">
        <v>184.36</v>
      </c>
      <c r="G5469">
        <v>112.07</v>
      </c>
      <c r="H5469">
        <v>313</v>
      </c>
      <c r="I5469" t="s">
        <v>23</v>
      </c>
      <c r="J5469">
        <v>2026</v>
      </c>
      <c r="K5469">
        <f t="shared" si="170"/>
        <v>72.29000000000002</v>
      </c>
      <c r="L5469" t="str">
        <f t="shared" si="171"/>
        <v>Banca Romagnola|36|Carte</v>
      </c>
    </row>
    <row r="5470" spans="1:12" x14ac:dyDescent="0.25">
      <c r="A5470" t="s">
        <v>43</v>
      </c>
      <c r="B5470">
        <v>36</v>
      </c>
      <c r="C5470" t="s">
        <v>18</v>
      </c>
      <c r="D5470" s="1">
        <v>46387</v>
      </c>
      <c r="E5470">
        <v>4194.5</v>
      </c>
      <c r="F5470">
        <v>222.55</v>
      </c>
      <c r="G5470">
        <v>134.84</v>
      </c>
      <c r="H5470">
        <v>352</v>
      </c>
      <c r="I5470" t="s">
        <v>23</v>
      </c>
      <c r="J5470">
        <v>2026</v>
      </c>
      <c r="K5470">
        <f t="shared" si="170"/>
        <v>87.710000000000008</v>
      </c>
      <c r="L5470" t="str">
        <f t="shared" si="171"/>
        <v>Banca Romagnola|36|Leasing</v>
      </c>
    </row>
    <row r="5471" spans="1:12" x14ac:dyDescent="0.25">
      <c r="A5471" t="s">
        <v>43</v>
      </c>
      <c r="B5471">
        <v>36</v>
      </c>
      <c r="C5471" t="s">
        <v>19</v>
      </c>
      <c r="D5471" s="1">
        <v>46387</v>
      </c>
      <c r="E5471">
        <v>4842.1000000000004</v>
      </c>
      <c r="F5471">
        <v>266.47000000000003</v>
      </c>
      <c r="G5471">
        <v>160.47</v>
      </c>
      <c r="H5471">
        <v>384</v>
      </c>
      <c r="I5471" t="s">
        <v>23</v>
      </c>
      <c r="J5471">
        <v>2026</v>
      </c>
      <c r="K5471">
        <f t="shared" si="170"/>
        <v>106.00000000000003</v>
      </c>
      <c r="L5471" t="str">
        <f t="shared" si="171"/>
        <v>Banca Romagnola|36|Factoring</v>
      </c>
    </row>
    <row r="5472" spans="1:12" x14ac:dyDescent="0.25">
      <c r="A5472" t="s">
        <v>43</v>
      </c>
      <c r="B5472">
        <v>36</v>
      </c>
      <c r="C5472" t="s">
        <v>20</v>
      </c>
      <c r="D5472" s="1">
        <v>46387</v>
      </c>
      <c r="E5472">
        <v>5461</v>
      </c>
      <c r="F5472">
        <v>311.75</v>
      </c>
      <c r="G5472">
        <v>185.95</v>
      </c>
      <c r="H5472">
        <v>436</v>
      </c>
      <c r="I5472" t="s">
        <v>23</v>
      </c>
      <c r="J5472">
        <v>2026</v>
      </c>
      <c r="K5472">
        <f t="shared" si="170"/>
        <v>125.80000000000001</v>
      </c>
      <c r="L5472" t="str">
        <f t="shared" si="171"/>
        <v>Banca Romagnola|36|Risparmio</v>
      </c>
    </row>
    <row r="5473" spans="1:12" x14ac:dyDescent="0.25">
      <c r="A5473" t="s">
        <v>43</v>
      </c>
      <c r="B5473">
        <v>36</v>
      </c>
      <c r="C5473" t="s">
        <v>21</v>
      </c>
      <c r="D5473" s="1">
        <v>46387</v>
      </c>
      <c r="E5473">
        <v>6109.6</v>
      </c>
      <c r="F5473">
        <v>361.35</v>
      </c>
      <c r="G5473">
        <v>214.81</v>
      </c>
      <c r="H5473">
        <v>499</v>
      </c>
      <c r="I5473" t="s">
        <v>23</v>
      </c>
      <c r="J5473">
        <v>2026</v>
      </c>
      <c r="K5473">
        <f t="shared" si="170"/>
        <v>146.54000000000002</v>
      </c>
      <c r="L5473" t="str">
        <f t="shared" si="171"/>
        <v>Banca Romagnola|36|Assicurazioni</v>
      </c>
    </row>
    <row r="5474" spans="1:12" x14ac:dyDescent="0.25">
      <c r="A5474" t="s">
        <v>44</v>
      </c>
      <c r="B5474">
        <v>1</v>
      </c>
      <c r="C5474" t="s">
        <v>13</v>
      </c>
      <c r="D5474" s="1">
        <v>45322</v>
      </c>
      <c r="E5474">
        <v>1388.2</v>
      </c>
      <c r="F5474">
        <v>62.6</v>
      </c>
      <c r="G5474">
        <v>39.86</v>
      </c>
      <c r="H5474">
        <v>155</v>
      </c>
      <c r="I5474" t="s">
        <v>25</v>
      </c>
      <c r="J5474">
        <v>2024</v>
      </c>
      <c r="K5474">
        <f t="shared" si="170"/>
        <v>22.740000000000002</v>
      </c>
      <c r="L5474" t="str">
        <f t="shared" si="171"/>
        <v>Banca Città|1|Mutui</v>
      </c>
    </row>
    <row r="5475" spans="1:12" x14ac:dyDescent="0.25">
      <c r="A5475" t="s">
        <v>44</v>
      </c>
      <c r="B5475">
        <v>1</v>
      </c>
      <c r="C5475" t="s">
        <v>15</v>
      </c>
      <c r="D5475" s="1">
        <v>45322</v>
      </c>
      <c r="E5475">
        <v>1900.4</v>
      </c>
      <c r="F5475">
        <v>89.92</v>
      </c>
      <c r="G5475">
        <v>55.85</v>
      </c>
      <c r="H5475">
        <v>207</v>
      </c>
      <c r="I5475" t="s">
        <v>25</v>
      </c>
      <c r="J5475">
        <v>2024</v>
      </c>
      <c r="K5475">
        <f t="shared" si="170"/>
        <v>34.07</v>
      </c>
      <c r="L5475" t="str">
        <f t="shared" si="171"/>
        <v>Banca Città|1|Prestiti</v>
      </c>
    </row>
    <row r="5476" spans="1:12" x14ac:dyDescent="0.25">
      <c r="A5476" t="s">
        <v>44</v>
      </c>
      <c r="B5476">
        <v>1</v>
      </c>
      <c r="C5476" t="s">
        <v>16</v>
      </c>
      <c r="D5476" s="1">
        <v>45322</v>
      </c>
      <c r="E5476">
        <v>2430.8000000000002</v>
      </c>
      <c r="F5476">
        <v>119.53</v>
      </c>
      <c r="G5476">
        <v>73.900000000000006</v>
      </c>
      <c r="H5476">
        <v>247</v>
      </c>
      <c r="I5476" t="s">
        <v>25</v>
      </c>
      <c r="J5476">
        <v>2024</v>
      </c>
      <c r="K5476">
        <f t="shared" si="170"/>
        <v>45.629999999999995</v>
      </c>
      <c r="L5476" t="str">
        <f t="shared" si="171"/>
        <v>Banca Città|1|Conti</v>
      </c>
    </row>
    <row r="5477" spans="1:12" x14ac:dyDescent="0.25">
      <c r="A5477" t="s">
        <v>44</v>
      </c>
      <c r="B5477">
        <v>1</v>
      </c>
      <c r="C5477" t="s">
        <v>17</v>
      </c>
      <c r="D5477" s="1">
        <v>45322</v>
      </c>
      <c r="E5477">
        <v>2920.3</v>
      </c>
      <c r="F5477">
        <v>149.22999999999999</v>
      </c>
      <c r="G5477">
        <v>91.24</v>
      </c>
      <c r="H5477">
        <v>295</v>
      </c>
      <c r="I5477" t="s">
        <v>25</v>
      </c>
      <c r="J5477">
        <v>2024</v>
      </c>
      <c r="K5477">
        <f t="shared" si="170"/>
        <v>57.989999999999995</v>
      </c>
      <c r="L5477" t="str">
        <f t="shared" si="171"/>
        <v>Banca Città|1|Carte</v>
      </c>
    </row>
    <row r="5478" spans="1:12" x14ac:dyDescent="0.25">
      <c r="A5478" t="s">
        <v>44</v>
      </c>
      <c r="B5478">
        <v>1</v>
      </c>
      <c r="C5478" t="s">
        <v>18</v>
      </c>
      <c r="D5478" s="1">
        <v>45322</v>
      </c>
      <c r="E5478">
        <v>3434</v>
      </c>
      <c r="F5478">
        <v>182.15</v>
      </c>
      <c r="G5478">
        <v>110.17</v>
      </c>
      <c r="H5478">
        <v>378</v>
      </c>
      <c r="I5478" t="s">
        <v>25</v>
      </c>
      <c r="J5478">
        <v>2024</v>
      </c>
      <c r="K5478">
        <f t="shared" si="170"/>
        <v>71.98</v>
      </c>
      <c r="L5478" t="str">
        <f t="shared" si="171"/>
        <v>Banca Città|1|Leasing</v>
      </c>
    </row>
    <row r="5479" spans="1:12" x14ac:dyDescent="0.25">
      <c r="A5479" t="s">
        <v>44</v>
      </c>
      <c r="B5479">
        <v>1</v>
      </c>
      <c r="C5479" t="s">
        <v>19</v>
      </c>
      <c r="D5479" s="1">
        <v>45322</v>
      </c>
      <c r="E5479">
        <v>3958.1</v>
      </c>
      <c r="F5479">
        <v>217.87</v>
      </c>
      <c r="G5479">
        <v>131.55000000000001</v>
      </c>
      <c r="H5479">
        <v>406</v>
      </c>
      <c r="I5479" t="s">
        <v>25</v>
      </c>
      <c r="J5479">
        <v>2024</v>
      </c>
      <c r="K5479">
        <f t="shared" si="170"/>
        <v>86.32</v>
      </c>
      <c r="L5479" t="str">
        <f t="shared" si="171"/>
        <v>Banca Città|1|Factoring</v>
      </c>
    </row>
    <row r="5480" spans="1:12" x14ac:dyDescent="0.25">
      <c r="A5480" t="s">
        <v>44</v>
      </c>
      <c r="B5480">
        <v>1</v>
      </c>
      <c r="C5480" t="s">
        <v>20</v>
      </c>
      <c r="D5480" s="1">
        <v>45322</v>
      </c>
      <c r="E5480">
        <v>4480.1000000000004</v>
      </c>
      <c r="F5480">
        <v>255.39</v>
      </c>
      <c r="G5480">
        <v>153.29</v>
      </c>
      <c r="H5480">
        <v>447</v>
      </c>
      <c r="I5480" t="s">
        <v>25</v>
      </c>
      <c r="J5480">
        <v>2024</v>
      </c>
      <c r="K5480">
        <f t="shared" si="170"/>
        <v>102.1</v>
      </c>
      <c r="L5480" t="str">
        <f t="shared" si="171"/>
        <v>Banca Città|1|Risparmio</v>
      </c>
    </row>
    <row r="5481" spans="1:12" x14ac:dyDescent="0.25">
      <c r="A5481" t="s">
        <v>44</v>
      </c>
      <c r="B5481">
        <v>1</v>
      </c>
      <c r="C5481" t="s">
        <v>21</v>
      </c>
      <c r="D5481" s="1">
        <v>45322</v>
      </c>
      <c r="E5481">
        <v>4952.5</v>
      </c>
      <c r="F5481">
        <v>292.45</v>
      </c>
      <c r="G5481">
        <v>173.47</v>
      </c>
      <c r="H5481">
        <v>529</v>
      </c>
      <c r="I5481" t="s">
        <v>25</v>
      </c>
      <c r="J5481">
        <v>2024</v>
      </c>
      <c r="K5481">
        <f t="shared" si="170"/>
        <v>118.97999999999999</v>
      </c>
      <c r="L5481" t="str">
        <f t="shared" si="171"/>
        <v>Banca Città|1|Assicurazioni</v>
      </c>
    </row>
    <row r="5482" spans="1:12" x14ac:dyDescent="0.25">
      <c r="A5482" t="s">
        <v>44</v>
      </c>
      <c r="B5482">
        <v>2</v>
      </c>
      <c r="C5482" t="s">
        <v>13</v>
      </c>
      <c r="D5482" s="1">
        <v>45351</v>
      </c>
      <c r="E5482">
        <v>1403.9</v>
      </c>
      <c r="F5482">
        <v>63.59</v>
      </c>
      <c r="G5482">
        <v>39.479999999999997</v>
      </c>
      <c r="H5482">
        <v>144</v>
      </c>
      <c r="I5482" t="s">
        <v>25</v>
      </c>
      <c r="J5482">
        <v>2024</v>
      </c>
      <c r="K5482">
        <f t="shared" si="170"/>
        <v>24.110000000000007</v>
      </c>
      <c r="L5482" t="str">
        <f t="shared" si="171"/>
        <v>Banca Città|2|Mutui</v>
      </c>
    </row>
    <row r="5483" spans="1:12" x14ac:dyDescent="0.25">
      <c r="A5483" t="s">
        <v>44</v>
      </c>
      <c r="B5483">
        <v>2</v>
      </c>
      <c r="C5483" t="s">
        <v>15</v>
      </c>
      <c r="D5483" s="1">
        <v>45351</v>
      </c>
      <c r="E5483">
        <v>1916.6</v>
      </c>
      <c r="F5483">
        <v>90.58</v>
      </c>
      <c r="G5483">
        <v>55.61</v>
      </c>
      <c r="H5483">
        <v>215</v>
      </c>
      <c r="I5483" t="s">
        <v>25</v>
      </c>
      <c r="J5483">
        <v>2024</v>
      </c>
      <c r="K5483">
        <f t="shared" si="170"/>
        <v>34.97</v>
      </c>
      <c r="L5483" t="str">
        <f t="shared" si="171"/>
        <v>Banca Città|2|Prestiti</v>
      </c>
    </row>
    <row r="5484" spans="1:12" x14ac:dyDescent="0.25">
      <c r="A5484" t="s">
        <v>44</v>
      </c>
      <c r="B5484">
        <v>2</v>
      </c>
      <c r="C5484" t="s">
        <v>16</v>
      </c>
      <c r="D5484" s="1">
        <v>45351</v>
      </c>
      <c r="E5484">
        <v>2394.9</v>
      </c>
      <c r="F5484">
        <v>117.52</v>
      </c>
      <c r="G5484">
        <v>72.67</v>
      </c>
      <c r="H5484">
        <v>241</v>
      </c>
      <c r="I5484" t="s">
        <v>25</v>
      </c>
      <c r="J5484">
        <v>2024</v>
      </c>
      <c r="K5484">
        <f t="shared" si="170"/>
        <v>44.849999999999994</v>
      </c>
      <c r="L5484" t="str">
        <f t="shared" si="171"/>
        <v>Banca Città|2|Conti</v>
      </c>
    </row>
    <row r="5485" spans="1:12" x14ac:dyDescent="0.25">
      <c r="A5485" t="s">
        <v>44</v>
      </c>
      <c r="B5485">
        <v>2</v>
      </c>
      <c r="C5485" t="s">
        <v>17</v>
      </c>
      <c r="D5485" s="1">
        <v>45351</v>
      </c>
      <c r="E5485">
        <v>2966.8</v>
      </c>
      <c r="F5485">
        <v>152.16</v>
      </c>
      <c r="G5485">
        <v>92</v>
      </c>
      <c r="H5485">
        <v>318</v>
      </c>
      <c r="I5485" t="s">
        <v>25</v>
      </c>
      <c r="J5485">
        <v>2024</v>
      </c>
      <c r="K5485">
        <f t="shared" si="170"/>
        <v>60.16</v>
      </c>
      <c r="L5485" t="str">
        <f t="shared" si="171"/>
        <v>Banca Città|2|Carte</v>
      </c>
    </row>
    <row r="5486" spans="1:12" x14ac:dyDescent="0.25">
      <c r="A5486" t="s">
        <v>44</v>
      </c>
      <c r="B5486">
        <v>2</v>
      </c>
      <c r="C5486" t="s">
        <v>18</v>
      </c>
      <c r="D5486" s="1">
        <v>45351</v>
      </c>
      <c r="E5486">
        <v>3452</v>
      </c>
      <c r="F5486">
        <v>183.63</v>
      </c>
      <c r="G5486">
        <v>110.82</v>
      </c>
      <c r="H5486">
        <v>367</v>
      </c>
      <c r="I5486" t="s">
        <v>25</v>
      </c>
      <c r="J5486">
        <v>2024</v>
      </c>
      <c r="K5486">
        <f t="shared" si="170"/>
        <v>72.81</v>
      </c>
      <c r="L5486" t="str">
        <f t="shared" si="171"/>
        <v>Banca Città|2|Leasing</v>
      </c>
    </row>
    <row r="5487" spans="1:12" x14ac:dyDescent="0.25">
      <c r="A5487" t="s">
        <v>44</v>
      </c>
      <c r="B5487">
        <v>2</v>
      </c>
      <c r="C5487" t="s">
        <v>19</v>
      </c>
      <c r="D5487" s="1">
        <v>45351</v>
      </c>
      <c r="E5487">
        <v>3954.7</v>
      </c>
      <c r="F5487">
        <v>217.96</v>
      </c>
      <c r="G5487">
        <v>131.35</v>
      </c>
      <c r="H5487">
        <v>394</v>
      </c>
      <c r="I5487" t="s">
        <v>25</v>
      </c>
      <c r="J5487">
        <v>2024</v>
      </c>
      <c r="K5487">
        <f t="shared" si="170"/>
        <v>86.610000000000014</v>
      </c>
      <c r="L5487" t="str">
        <f t="shared" si="171"/>
        <v>Banca Città|2|Factoring</v>
      </c>
    </row>
    <row r="5488" spans="1:12" x14ac:dyDescent="0.25">
      <c r="A5488" t="s">
        <v>44</v>
      </c>
      <c r="B5488">
        <v>2</v>
      </c>
      <c r="C5488" t="s">
        <v>20</v>
      </c>
      <c r="D5488" s="1">
        <v>45351</v>
      </c>
      <c r="E5488">
        <v>4516</v>
      </c>
      <c r="F5488">
        <v>257.57</v>
      </c>
      <c r="G5488">
        <v>154.36000000000001</v>
      </c>
      <c r="H5488">
        <v>454</v>
      </c>
      <c r="I5488" t="s">
        <v>25</v>
      </c>
      <c r="J5488">
        <v>2024</v>
      </c>
      <c r="K5488">
        <f t="shared" si="170"/>
        <v>103.20999999999998</v>
      </c>
      <c r="L5488" t="str">
        <f t="shared" si="171"/>
        <v>Banca Città|2|Risparmio</v>
      </c>
    </row>
    <row r="5489" spans="1:12" x14ac:dyDescent="0.25">
      <c r="A5489" t="s">
        <v>44</v>
      </c>
      <c r="B5489">
        <v>2</v>
      </c>
      <c r="C5489" t="s">
        <v>21</v>
      </c>
      <c r="D5489" s="1">
        <v>45351</v>
      </c>
      <c r="E5489">
        <v>5020.7</v>
      </c>
      <c r="F5489">
        <v>297.2</v>
      </c>
      <c r="G5489">
        <v>175.78</v>
      </c>
      <c r="H5489">
        <v>501</v>
      </c>
      <c r="I5489" t="s">
        <v>25</v>
      </c>
      <c r="J5489">
        <v>2024</v>
      </c>
      <c r="K5489">
        <f t="shared" si="170"/>
        <v>121.41999999999999</v>
      </c>
      <c r="L5489" t="str">
        <f t="shared" si="171"/>
        <v>Banca Città|2|Assicurazioni</v>
      </c>
    </row>
    <row r="5490" spans="1:12" x14ac:dyDescent="0.25">
      <c r="A5490" t="s">
        <v>44</v>
      </c>
      <c r="B5490">
        <v>3</v>
      </c>
      <c r="C5490" t="s">
        <v>13</v>
      </c>
      <c r="D5490" s="1">
        <v>45382</v>
      </c>
      <c r="E5490">
        <v>1406.7</v>
      </c>
      <c r="F5490">
        <v>63.45</v>
      </c>
      <c r="G5490">
        <v>39.6</v>
      </c>
      <c r="H5490">
        <v>148</v>
      </c>
      <c r="I5490" t="s">
        <v>25</v>
      </c>
      <c r="J5490">
        <v>2024</v>
      </c>
      <c r="K5490">
        <f t="shared" si="170"/>
        <v>23.85</v>
      </c>
      <c r="L5490" t="str">
        <f t="shared" si="171"/>
        <v>Banca Città|3|Mutui</v>
      </c>
    </row>
    <row r="5491" spans="1:12" x14ac:dyDescent="0.25">
      <c r="A5491" t="s">
        <v>44</v>
      </c>
      <c r="B5491">
        <v>3</v>
      </c>
      <c r="C5491" t="s">
        <v>15</v>
      </c>
      <c r="D5491" s="1">
        <v>45382</v>
      </c>
      <c r="E5491">
        <v>1895.3</v>
      </c>
      <c r="F5491">
        <v>89.28</v>
      </c>
      <c r="G5491">
        <v>55.83</v>
      </c>
      <c r="H5491">
        <v>193</v>
      </c>
      <c r="I5491" t="s">
        <v>25</v>
      </c>
      <c r="J5491">
        <v>2024</v>
      </c>
      <c r="K5491">
        <f t="shared" si="170"/>
        <v>33.450000000000003</v>
      </c>
      <c r="L5491" t="str">
        <f t="shared" si="171"/>
        <v>Banca Città|3|Prestiti</v>
      </c>
    </row>
    <row r="5492" spans="1:12" x14ac:dyDescent="0.25">
      <c r="A5492" t="s">
        <v>44</v>
      </c>
      <c r="B5492">
        <v>3</v>
      </c>
      <c r="C5492" t="s">
        <v>16</v>
      </c>
      <c r="D5492" s="1">
        <v>45382</v>
      </c>
      <c r="E5492">
        <v>2419.1</v>
      </c>
      <c r="F5492">
        <v>118.77</v>
      </c>
      <c r="G5492">
        <v>72.959999999999994</v>
      </c>
      <c r="H5492">
        <v>257</v>
      </c>
      <c r="I5492" t="s">
        <v>25</v>
      </c>
      <c r="J5492">
        <v>2024</v>
      </c>
      <c r="K5492">
        <f t="shared" si="170"/>
        <v>45.81</v>
      </c>
      <c r="L5492" t="str">
        <f t="shared" si="171"/>
        <v>Banca Città|3|Conti</v>
      </c>
    </row>
    <row r="5493" spans="1:12" x14ac:dyDescent="0.25">
      <c r="A5493" t="s">
        <v>44</v>
      </c>
      <c r="B5493">
        <v>3</v>
      </c>
      <c r="C5493" t="s">
        <v>17</v>
      </c>
      <c r="D5493" s="1">
        <v>45382</v>
      </c>
      <c r="E5493">
        <v>2947.2</v>
      </c>
      <c r="F5493">
        <v>150.36000000000001</v>
      </c>
      <c r="G5493">
        <v>91.86</v>
      </c>
      <c r="H5493">
        <v>292</v>
      </c>
      <c r="I5493" t="s">
        <v>25</v>
      </c>
      <c r="J5493">
        <v>2024</v>
      </c>
      <c r="K5493">
        <f t="shared" si="170"/>
        <v>58.500000000000014</v>
      </c>
      <c r="L5493" t="str">
        <f t="shared" si="171"/>
        <v>Banca Città|3|Carte</v>
      </c>
    </row>
    <row r="5494" spans="1:12" x14ac:dyDescent="0.25">
      <c r="A5494" t="s">
        <v>44</v>
      </c>
      <c r="B5494">
        <v>3</v>
      </c>
      <c r="C5494" t="s">
        <v>18</v>
      </c>
      <c r="D5494" s="1">
        <v>45382</v>
      </c>
      <c r="E5494">
        <v>3464.2</v>
      </c>
      <c r="F5494">
        <v>184.26</v>
      </c>
      <c r="G5494">
        <v>111.79</v>
      </c>
      <c r="H5494">
        <v>374</v>
      </c>
      <c r="I5494" t="s">
        <v>25</v>
      </c>
      <c r="J5494">
        <v>2024</v>
      </c>
      <c r="K5494">
        <f t="shared" si="170"/>
        <v>72.469999999999985</v>
      </c>
      <c r="L5494" t="str">
        <f t="shared" si="171"/>
        <v>Banca Città|3|Leasing</v>
      </c>
    </row>
    <row r="5495" spans="1:12" x14ac:dyDescent="0.25">
      <c r="A5495" t="s">
        <v>44</v>
      </c>
      <c r="B5495">
        <v>3</v>
      </c>
      <c r="C5495" t="s">
        <v>19</v>
      </c>
      <c r="D5495" s="1">
        <v>45382</v>
      </c>
      <c r="E5495">
        <v>4021.9</v>
      </c>
      <c r="F5495">
        <v>221.56</v>
      </c>
      <c r="G5495">
        <v>133.22999999999999</v>
      </c>
      <c r="H5495">
        <v>409</v>
      </c>
      <c r="I5495" t="s">
        <v>25</v>
      </c>
      <c r="J5495">
        <v>2024</v>
      </c>
      <c r="K5495">
        <f t="shared" si="170"/>
        <v>88.330000000000013</v>
      </c>
      <c r="L5495" t="str">
        <f t="shared" si="171"/>
        <v>Banca Città|3|Factoring</v>
      </c>
    </row>
    <row r="5496" spans="1:12" x14ac:dyDescent="0.25">
      <c r="A5496" t="s">
        <v>44</v>
      </c>
      <c r="B5496">
        <v>3</v>
      </c>
      <c r="C5496" t="s">
        <v>20</v>
      </c>
      <c r="D5496" s="1">
        <v>45382</v>
      </c>
      <c r="E5496">
        <v>4534.1000000000004</v>
      </c>
      <c r="F5496">
        <v>259.24</v>
      </c>
      <c r="G5496">
        <v>154.97</v>
      </c>
      <c r="H5496">
        <v>443</v>
      </c>
      <c r="I5496" t="s">
        <v>25</v>
      </c>
      <c r="J5496">
        <v>2024</v>
      </c>
      <c r="K5496">
        <f t="shared" si="170"/>
        <v>104.27000000000001</v>
      </c>
      <c r="L5496" t="str">
        <f t="shared" si="171"/>
        <v>Banca Città|3|Risparmio</v>
      </c>
    </row>
    <row r="5497" spans="1:12" x14ac:dyDescent="0.25">
      <c r="A5497" t="s">
        <v>44</v>
      </c>
      <c r="B5497">
        <v>3</v>
      </c>
      <c r="C5497" t="s">
        <v>21</v>
      </c>
      <c r="D5497" s="1">
        <v>45382</v>
      </c>
      <c r="E5497">
        <v>5058.2</v>
      </c>
      <c r="F5497">
        <v>298.89999999999998</v>
      </c>
      <c r="G5497">
        <v>177.08</v>
      </c>
      <c r="H5497">
        <v>514</v>
      </c>
      <c r="I5497" t="s">
        <v>25</v>
      </c>
      <c r="J5497">
        <v>2024</v>
      </c>
      <c r="K5497">
        <f t="shared" si="170"/>
        <v>121.81999999999996</v>
      </c>
      <c r="L5497" t="str">
        <f t="shared" si="171"/>
        <v>Banca Città|3|Assicurazioni</v>
      </c>
    </row>
    <row r="5498" spans="1:12" x14ac:dyDescent="0.25">
      <c r="A5498" t="s">
        <v>44</v>
      </c>
      <c r="B5498">
        <v>4</v>
      </c>
      <c r="C5498" t="s">
        <v>13</v>
      </c>
      <c r="D5498" s="1">
        <v>45412</v>
      </c>
      <c r="E5498">
        <v>1402.1</v>
      </c>
      <c r="F5498">
        <v>63.68</v>
      </c>
      <c r="G5498">
        <v>39.950000000000003</v>
      </c>
      <c r="H5498">
        <v>173</v>
      </c>
      <c r="I5498" t="s">
        <v>25</v>
      </c>
      <c r="J5498">
        <v>2024</v>
      </c>
      <c r="K5498">
        <f t="shared" si="170"/>
        <v>23.729999999999997</v>
      </c>
      <c r="L5498" t="str">
        <f t="shared" si="171"/>
        <v>Banca Città|4|Mutui</v>
      </c>
    </row>
    <row r="5499" spans="1:12" x14ac:dyDescent="0.25">
      <c r="A5499" t="s">
        <v>44</v>
      </c>
      <c r="B5499">
        <v>4</v>
      </c>
      <c r="C5499" t="s">
        <v>15</v>
      </c>
      <c r="D5499" s="1">
        <v>45412</v>
      </c>
      <c r="E5499">
        <v>1960.6</v>
      </c>
      <c r="F5499">
        <v>92.93</v>
      </c>
      <c r="G5499">
        <v>57.18</v>
      </c>
      <c r="H5499">
        <v>189</v>
      </c>
      <c r="I5499" t="s">
        <v>25</v>
      </c>
      <c r="J5499">
        <v>2024</v>
      </c>
      <c r="K5499">
        <f t="shared" si="170"/>
        <v>35.750000000000007</v>
      </c>
      <c r="L5499" t="str">
        <f t="shared" si="171"/>
        <v>Banca Città|4|Prestiti</v>
      </c>
    </row>
    <row r="5500" spans="1:12" x14ac:dyDescent="0.25">
      <c r="A5500" t="s">
        <v>44</v>
      </c>
      <c r="B5500">
        <v>4</v>
      </c>
      <c r="C5500" t="s">
        <v>16</v>
      </c>
      <c r="D5500" s="1">
        <v>45412</v>
      </c>
      <c r="E5500">
        <v>2449.6999999999998</v>
      </c>
      <c r="F5500">
        <v>120.52</v>
      </c>
      <c r="G5500">
        <v>74.47</v>
      </c>
      <c r="H5500">
        <v>239</v>
      </c>
      <c r="I5500" t="s">
        <v>25</v>
      </c>
      <c r="J5500">
        <v>2024</v>
      </c>
      <c r="K5500">
        <f t="shared" si="170"/>
        <v>46.05</v>
      </c>
      <c r="L5500" t="str">
        <f t="shared" si="171"/>
        <v>Banca Città|4|Conti</v>
      </c>
    </row>
    <row r="5501" spans="1:12" x14ac:dyDescent="0.25">
      <c r="A5501" t="s">
        <v>44</v>
      </c>
      <c r="B5501">
        <v>4</v>
      </c>
      <c r="C5501" t="s">
        <v>17</v>
      </c>
      <c r="D5501" s="1">
        <v>45412</v>
      </c>
      <c r="E5501">
        <v>2963.3</v>
      </c>
      <c r="F5501">
        <v>151.34</v>
      </c>
      <c r="G5501">
        <v>92.21</v>
      </c>
      <c r="H5501">
        <v>311</v>
      </c>
      <c r="I5501" t="s">
        <v>25</v>
      </c>
      <c r="J5501">
        <v>2024</v>
      </c>
      <c r="K5501">
        <f t="shared" si="170"/>
        <v>59.13000000000001</v>
      </c>
      <c r="L5501" t="str">
        <f t="shared" si="171"/>
        <v>Banca Città|4|Carte</v>
      </c>
    </row>
    <row r="5502" spans="1:12" x14ac:dyDescent="0.25">
      <c r="A5502" t="s">
        <v>44</v>
      </c>
      <c r="B5502">
        <v>4</v>
      </c>
      <c r="C5502" t="s">
        <v>18</v>
      </c>
      <c r="D5502" s="1">
        <v>45412</v>
      </c>
      <c r="E5502">
        <v>3518.2</v>
      </c>
      <c r="F5502">
        <v>187.17</v>
      </c>
      <c r="G5502">
        <v>112.98</v>
      </c>
      <c r="H5502">
        <v>363</v>
      </c>
      <c r="I5502" t="s">
        <v>25</v>
      </c>
      <c r="J5502">
        <v>2024</v>
      </c>
      <c r="K5502">
        <f t="shared" si="170"/>
        <v>74.189999999999984</v>
      </c>
      <c r="L5502" t="str">
        <f t="shared" si="171"/>
        <v>Banca Città|4|Leasing</v>
      </c>
    </row>
    <row r="5503" spans="1:12" x14ac:dyDescent="0.25">
      <c r="A5503" t="s">
        <v>44</v>
      </c>
      <c r="B5503">
        <v>4</v>
      </c>
      <c r="C5503" t="s">
        <v>19</v>
      </c>
      <c r="D5503" s="1">
        <v>45412</v>
      </c>
      <c r="E5503">
        <v>4016.8</v>
      </c>
      <c r="F5503">
        <v>221.34</v>
      </c>
      <c r="G5503">
        <v>132.9</v>
      </c>
      <c r="H5503">
        <v>427</v>
      </c>
      <c r="I5503" t="s">
        <v>25</v>
      </c>
      <c r="J5503">
        <v>2024</v>
      </c>
      <c r="K5503">
        <f t="shared" si="170"/>
        <v>88.44</v>
      </c>
      <c r="L5503" t="str">
        <f t="shared" si="171"/>
        <v>Banca Città|4|Factoring</v>
      </c>
    </row>
    <row r="5504" spans="1:12" x14ac:dyDescent="0.25">
      <c r="A5504" t="s">
        <v>44</v>
      </c>
      <c r="B5504">
        <v>4</v>
      </c>
      <c r="C5504" t="s">
        <v>20</v>
      </c>
      <c r="D5504" s="1">
        <v>45412</v>
      </c>
      <c r="E5504">
        <v>4585.3</v>
      </c>
      <c r="F5504">
        <v>261.37</v>
      </c>
      <c r="G5504">
        <v>156.86000000000001</v>
      </c>
      <c r="H5504">
        <v>467</v>
      </c>
      <c r="I5504" t="s">
        <v>25</v>
      </c>
      <c r="J5504">
        <v>2024</v>
      </c>
      <c r="K5504">
        <f t="shared" si="170"/>
        <v>104.50999999999999</v>
      </c>
      <c r="L5504" t="str">
        <f t="shared" si="171"/>
        <v>Banca Città|4|Risparmio</v>
      </c>
    </row>
    <row r="5505" spans="1:12" x14ac:dyDescent="0.25">
      <c r="A5505" t="s">
        <v>44</v>
      </c>
      <c r="B5505">
        <v>4</v>
      </c>
      <c r="C5505" t="s">
        <v>21</v>
      </c>
      <c r="D5505" s="1">
        <v>45412</v>
      </c>
      <c r="E5505">
        <v>5109.2</v>
      </c>
      <c r="F5505">
        <v>302.41000000000003</v>
      </c>
      <c r="G5505">
        <v>179.81</v>
      </c>
      <c r="H5505">
        <v>528</v>
      </c>
      <c r="I5505" t="s">
        <v>25</v>
      </c>
      <c r="J5505">
        <v>2024</v>
      </c>
      <c r="K5505">
        <f t="shared" si="170"/>
        <v>122.60000000000002</v>
      </c>
      <c r="L5505" t="str">
        <f t="shared" si="171"/>
        <v>Banca Città|4|Assicurazioni</v>
      </c>
    </row>
    <row r="5506" spans="1:12" x14ac:dyDescent="0.25">
      <c r="A5506" t="s">
        <v>44</v>
      </c>
      <c r="B5506">
        <v>5</v>
      </c>
      <c r="C5506" t="s">
        <v>13</v>
      </c>
      <c r="D5506" s="1">
        <v>45443</v>
      </c>
      <c r="E5506">
        <v>1424.4</v>
      </c>
      <c r="F5506">
        <v>64.13</v>
      </c>
      <c r="G5506">
        <v>40.33</v>
      </c>
      <c r="H5506">
        <v>140</v>
      </c>
      <c r="I5506" t="s">
        <v>25</v>
      </c>
      <c r="J5506">
        <v>2024</v>
      </c>
      <c r="K5506">
        <f t="shared" ref="K5506:K5569" si="172">F5506-G5506</f>
        <v>23.799999999999997</v>
      </c>
      <c r="L5506" t="str">
        <f t="shared" ref="L5506:L5569" si="173">A5506&amp;"|"&amp;B5506&amp;"|"&amp;C5506</f>
        <v>Banca Città|5|Mutui</v>
      </c>
    </row>
    <row r="5507" spans="1:12" x14ac:dyDescent="0.25">
      <c r="A5507" t="s">
        <v>44</v>
      </c>
      <c r="B5507">
        <v>5</v>
      </c>
      <c r="C5507" t="s">
        <v>15</v>
      </c>
      <c r="D5507" s="1">
        <v>45443</v>
      </c>
      <c r="E5507">
        <v>1930</v>
      </c>
      <c r="F5507">
        <v>91.53</v>
      </c>
      <c r="G5507">
        <v>56.74</v>
      </c>
      <c r="H5507">
        <v>222</v>
      </c>
      <c r="I5507" t="s">
        <v>25</v>
      </c>
      <c r="J5507">
        <v>2024</v>
      </c>
      <c r="K5507">
        <f t="shared" si="172"/>
        <v>34.79</v>
      </c>
      <c r="L5507" t="str">
        <f t="shared" si="173"/>
        <v>Banca Città|5|Prestiti</v>
      </c>
    </row>
    <row r="5508" spans="1:12" x14ac:dyDescent="0.25">
      <c r="A5508" t="s">
        <v>44</v>
      </c>
      <c r="B5508">
        <v>5</v>
      </c>
      <c r="C5508" t="s">
        <v>16</v>
      </c>
      <c r="D5508" s="1">
        <v>45443</v>
      </c>
      <c r="E5508">
        <v>2472.6</v>
      </c>
      <c r="F5508">
        <v>121.28</v>
      </c>
      <c r="G5508">
        <v>74.650000000000006</v>
      </c>
      <c r="H5508">
        <v>275</v>
      </c>
      <c r="I5508" t="s">
        <v>25</v>
      </c>
      <c r="J5508">
        <v>2024</v>
      </c>
      <c r="K5508">
        <f t="shared" si="172"/>
        <v>46.629999999999995</v>
      </c>
      <c r="L5508" t="str">
        <f t="shared" si="173"/>
        <v>Banca Città|5|Conti</v>
      </c>
    </row>
    <row r="5509" spans="1:12" x14ac:dyDescent="0.25">
      <c r="A5509" t="s">
        <v>44</v>
      </c>
      <c r="B5509">
        <v>5</v>
      </c>
      <c r="C5509" t="s">
        <v>17</v>
      </c>
      <c r="D5509" s="1">
        <v>45443</v>
      </c>
      <c r="E5509">
        <v>2985.9</v>
      </c>
      <c r="F5509">
        <v>152.47</v>
      </c>
      <c r="G5509">
        <v>92.66</v>
      </c>
      <c r="H5509">
        <v>321</v>
      </c>
      <c r="I5509" t="s">
        <v>25</v>
      </c>
      <c r="J5509">
        <v>2024</v>
      </c>
      <c r="K5509">
        <f t="shared" si="172"/>
        <v>59.81</v>
      </c>
      <c r="L5509" t="str">
        <f t="shared" si="173"/>
        <v>Banca Città|5|Carte</v>
      </c>
    </row>
    <row r="5510" spans="1:12" x14ac:dyDescent="0.25">
      <c r="A5510" t="s">
        <v>44</v>
      </c>
      <c r="B5510">
        <v>5</v>
      </c>
      <c r="C5510" t="s">
        <v>18</v>
      </c>
      <c r="D5510" s="1">
        <v>45443</v>
      </c>
      <c r="E5510">
        <v>3564.8</v>
      </c>
      <c r="F5510">
        <v>189.36</v>
      </c>
      <c r="G5510">
        <v>114.49</v>
      </c>
      <c r="H5510">
        <v>348</v>
      </c>
      <c r="I5510" t="s">
        <v>25</v>
      </c>
      <c r="J5510">
        <v>2024</v>
      </c>
      <c r="K5510">
        <f t="shared" si="172"/>
        <v>74.870000000000019</v>
      </c>
      <c r="L5510" t="str">
        <f t="shared" si="173"/>
        <v>Banca Città|5|Leasing</v>
      </c>
    </row>
    <row r="5511" spans="1:12" x14ac:dyDescent="0.25">
      <c r="A5511" t="s">
        <v>44</v>
      </c>
      <c r="B5511">
        <v>5</v>
      </c>
      <c r="C5511" t="s">
        <v>19</v>
      </c>
      <c r="D5511" s="1">
        <v>45443</v>
      </c>
      <c r="E5511">
        <v>4074.3</v>
      </c>
      <c r="F5511">
        <v>224.62</v>
      </c>
      <c r="G5511">
        <v>134.80000000000001</v>
      </c>
      <c r="H5511">
        <v>402</v>
      </c>
      <c r="I5511" t="s">
        <v>25</v>
      </c>
      <c r="J5511">
        <v>2024</v>
      </c>
      <c r="K5511">
        <f t="shared" si="172"/>
        <v>89.82</v>
      </c>
      <c r="L5511" t="str">
        <f t="shared" si="173"/>
        <v>Banca Città|5|Factoring</v>
      </c>
    </row>
    <row r="5512" spans="1:12" x14ac:dyDescent="0.25">
      <c r="A5512" t="s">
        <v>44</v>
      </c>
      <c r="B5512">
        <v>5</v>
      </c>
      <c r="C5512" t="s">
        <v>20</v>
      </c>
      <c r="D5512" s="1">
        <v>45443</v>
      </c>
      <c r="E5512">
        <v>4581.1000000000004</v>
      </c>
      <c r="F5512">
        <v>261.35000000000002</v>
      </c>
      <c r="G5512">
        <v>156.22999999999999</v>
      </c>
      <c r="H5512">
        <v>479</v>
      </c>
      <c r="I5512" t="s">
        <v>25</v>
      </c>
      <c r="J5512">
        <v>2024</v>
      </c>
      <c r="K5512">
        <f t="shared" si="172"/>
        <v>105.12000000000003</v>
      </c>
      <c r="L5512" t="str">
        <f t="shared" si="173"/>
        <v>Banca Città|5|Risparmio</v>
      </c>
    </row>
    <row r="5513" spans="1:12" x14ac:dyDescent="0.25">
      <c r="A5513" t="s">
        <v>44</v>
      </c>
      <c r="B5513">
        <v>5</v>
      </c>
      <c r="C5513" t="s">
        <v>21</v>
      </c>
      <c r="D5513" s="1">
        <v>45443</v>
      </c>
      <c r="E5513">
        <v>5152</v>
      </c>
      <c r="F5513">
        <v>304.22000000000003</v>
      </c>
      <c r="G5513">
        <v>180.61</v>
      </c>
      <c r="H5513">
        <v>507</v>
      </c>
      <c r="I5513" t="s">
        <v>25</v>
      </c>
      <c r="J5513">
        <v>2024</v>
      </c>
      <c r="K5513">
        <f t="shared" si="172"/>
        <v>123.61000000000001</v>
      </c>
      <c r="L5513" t="str">
        <f t="shared" si="173"/>
        <v>Banca Città|5|Assicurazioni</v>
      </c>
    </row>
    <row r="5514" spans="1:12" x14ac:dyDescent="0.25">
      <c r="A5514" t="s">
        <v>44</v>
      </c>
      <c r="B5514">
        <v>6</v>
      </c>
      <c r="C5514" t="s">
        <v>13</v>
      </c>
      <c r="D5514" s="1">
        <v>45473</v>
      </c>
      <c r="E5514">
        <v>1432.8</v>
      </c>
      <c r="F5514">
        <v>65.13</v>
      </c>
      <c r="G5514">
        <v>40.58</v>
      </c>
      <c r="H5514">
        <v>155</v>
      </c>
      <c r="I5514" t="s">
        <v>25</v>
      </c>
      <c r="J5514">
        <v>2024</v>
      </c>
      <c r="K5514">
        <f t="shared" si="172"/>
        <v>24.549999999999997</v>
      </c>
      <c r="L5514" t="str">
        <f t="shared" si="173"/>
        <v>Banca Città|6|Mutui</v>
      </c>
    </row>
    <row r="5515" spans="1:12" x14ac:dyDescent="0.25">
      <c r="A5515" t="s">
        <v>44</v>
      </c>
      <c r="B5515">
        <v>6</v>
      </c>
      <c r="C5515" t="s">
        <v>15</v>
      </c>
      <c r="D5515" s="1">
        <v>45473</v>
      </c>
      <c r="E5515">
        <v>1969.2</v>
      </c>
      <c r="F5515">
        <v>93.08</v>
      </c>
      <c r="G5515">
        <v>57.14</v>
      </c>
      <c r="H5515">
        <v>207</v>
      </c>
      <c r="I5515" t="s">
        <v>25</v>
      </c>
      <c r="J5515">
        <v>2024</v>
      </c>
      <c r="K5515">
        <f t="shared" si="172"/>
        <v>35.94</v>
      </c>
      <c r="L5515" t="str">
        <f t="shared" si="173"/>
        <v>Banca Città|6|Prestiti</v>
      </c>
    </row>
    <row r="5516" spans="1:12" x14ac:dyDescent="0.25">
      <c r="A5516" t="s">
        <v>44</v>
      </c>
      <c r="B5516">
        <v>6</v>
      </c>
      <c r="C5516" t="s">
        <v>16</v>
      </c>
      <c r="D5516" s="1">
        <v>45473</v>
      </c>
      <c r="E5516">
        <v>2471.1999999999998</v>
      </c>
      <c r="F5516">
        <v>121.97</v>
      </c>
      <c r="G5516">
        <v>74.31</v>
      </c>
      <c r="H5516">
        <v>276</v>
      </c>
      <c r="I5516" t="s">
        <v>25</v>
      </c>
      <c r="J5516">
        <v>2024</v>
      </c>
      <c r="K5516">
        <f t="shared" si="172"/>
        <v>47.66</v>
      </c>
      <c r="L5516" t="str">
        <f t="shared" si="173"/>
        <v>Banca Città|6|Conti</v>
      </c>
    </row>
    <row r="5517" spans="1:12" x14ac:dyDescent="0.25">
      <c r="A5517" t="s">
        <v>44</v>
      </c>
      <c r="B5517">
        <v>6</v>
      </c>
      <c r="C5517" t="s">
        <v>17</v>
      </c>
      <c r="D5517" s="1">
        <v>45473</v>
      </c>
      <c r="E5517">
        <v>3058.7</v>
      </c>
      <c r="F5517">
        <v>156.62</v>
      </c>
      <c r="G5517">
        <v>95.04</v>
      </c>
      <c r="H5517">
        <v>310</v>
      </c>
      <c r="I5517" t="s">
        <v>25</v>
      </c>
      <c r="J5517">
        <v>2024</v>
      </c>
      <c r="K5517">
        <f t="shared" si="172"/>
        <v>61.58</v>
      </c>
      <c r="L5517" t="str">
        <f t="shared" si="173"/>
        <v>Banca Città|6|Carte</v>
      </c>
    </row>
    <row r="5518" spans="1:12" x14ac:dyDescent="0.25">
      <c r="A5518" t="s">
        <v>44</v>
      </c>
      <c r="B5518">
        <v>6</v>
      </c>
      <c r="C5518" t="s">
        <v>18</v>
      </c>
      <c r="D5518" s="1">
        <v>45473</v>
      </c>
      <c r="E5518">
        <v>3590.3</v>
      </c>
      <c r="F5518">
        <v>190.75</v>
      </c>
      <c r="G5518">
        <v>115.38</v>
      </c>
      <c r="H5518">
        <v>368</v>
      </c>
      <c r="I5518" t="s">
        <v>25</v>
      </c>
      <c r="J5518">
        <v>2024</v>
      </c>
      <c r="K5518">
        <f t="shared" si="172"/>
        <v>75.37</v>
      </c>
      <c r="L5518" t="str">
        <f t="shared" si="173"/>
        <v>Banca Città|6|Leasing</v>
      </c>
    </row>
    <row r="5519" spans="1:12" x14ac:dyDescent="0.25">
      <c r="A5519" t="s">
        <v>44</v>
      </c>
      <c r="B5519">
        <v>6</v>
      </c>
      <c r="C5519" t="s">
        <v>19</v>
      </c>
      <c r="D5519" s="1">
        <v>45473</v>
      </c>
      <c r="E5519">
        <v>4084.3</v>
      </c>
      <c r="F5519">
        <v>225.28</v>
      </c>
      <c r="G5519">
        <v>135.33000000000001</v>
      </c>
      <c r="H5519">
        <v>394</v>
      </c>
      <c r="I5519" t="s">
        <v>25</v>
      </c>
      <c r="J5519">
        <v>2024</v>
      </c>
      <c r="K5519">
        <f t="shared" si="172"/>
        <v>89.949999999999989</v>
      </c>
      <c r="L5519" t="str">
        <f t="shared" si="173"/>
        <v>Banca Città|6|Factoring</v>
      </c>
    </row>
    <row r="5520" spans="1:12" x14ac:dyDescent="0.25">
      <c r="A5520" t="s">
        <v>44</v>
      </c>
      <c r="B5520">
        <v>6</v>
      </c>
      <c r="C5520" t="s">
        <v>20</v>
      </c>
      <c r="D5520" s="1">
        <v>45473</v>
      </c>
      <c r="E5520">
        <v>4655.7</v>
      </c>
      <c r="F5520">
        <v>266.27</v>
      </c>
      <c r="G5520">
        <v>159.02000000000001</v>
      </c>
      <c r="H5520">
        <v>449</v>
      </c>
      <c r="I5520" t="s">
        <v>25</v>
      </c>
      <c r="J5520">
        <v>2024</v>
      </c>
      <c r="K5520">
        <f t="shared" si="172"/>
        <v>107.24999999999997</v>
      </c>
      <c r="L5520" t="str">
        <f t="shared" si="173"/>
        <v>Banca Città|6|Risparmio</v>
      </c>
    </row>
    <row r="5521" spans="1:12" x14ac:dyDescent="0.25">
      <c r="A5521" t="s">
        <v>44</v>
      </c>
      <c r="B5521">
        <v>6</v>
      </c>
      <c r="C5521" t="s">
        <v>21</v>
      </c>
      <c r="D5521" s="1">
        <v>45473</v>
      </c>
      <c r="E5521">
        <v>5180.2</v>
      </c>
      <c r="F5521">
        <v>306.61</v>
      </c>
      <c r="G5521">
        <v>182.23</v>
      </c>
      <c r="H5521">
        <v>517</v>
      </c>
      <c r="I5521" t="s">
        <v>25</v>
      </c>
      <c r="J5521">
        <v>2024</v>
      </c>
      <c r="K5521">
        <f t="shared" si="172"/>
        <v>124.38000000000002</v>
      </c>
      <c r="L5521" t="str">
        <f t="shared" si="173"/>
        <v>Banca Città|6|Assicurazioni</v>
      </c>
    </row>
    <row r="5522" spans="1:12" x14ac:dyDescent="0.25">
      <c r="A5522" t="s">
        <v>44</v>
      </c>
      <c r="B5522">
        <v>7</v>
      </c>
      <c r="C5522" t="s">
        <v>13</v>
      </c>
      <c r="D5522" s="1">
        <v>45504</v>
      </c>
      <c r="E5522">
        <v>1461.2</v>
      </c>
      <c r="F5522">
        <v>66.25</v>
      </c>
      <c r="G5522">
        <v>41.76</v>
      </c>
      <c r="H5522">
        <v>143</v>
      </c>
      <c r="I5522" t="s">
        <v>25</v>
      </c>
      <c r="J5522">
        <v>2024</v>
      </c>
      <c r="K5522">
        <f t="shared" si="172"/>
        <v>24.490000000000002</v>
      </c>
      <c r="L5522" t="str">
        <f t="shared" si="173"/>
        <v>Banca Città|7|Mutui</v>
      </c>
    </row>
    <row r="5523" spans="1:12" x14ac:dyDescent="0.25">
      <c r="A5523" t="s">
        <v>44</v>
      </c>
      <c r="B5523">
        <v>7</v>
      </c>
      <c r="C5523" t="s">
        <v>15</v>
      </c>
      <c r="D5523" s="1">
        <v>45504</v>
      </c>
      <c r="E5523">
        <v>1968.8</v>
      </c>
      <c r="F5523">
        <v>92.59</v>
      </c>
      <c r="G5523">
        <v>57.61</v>
      </c>
      <c r="H5523">
        <v>225</v>
      </c>
      <c r="I5523" t="s">
        <v>25</v>
      </c>
      <c r="J5523">
        <v>2024</v>
      </c>
      <c r="K5523">
        <f t="shared" si="172"/>
        <v>34.980000000000004</v>
      </c>
      <c r="L5523" t="str">
        <f t="shared" si="173"/>
        <v>Banca Città|7|Prestiti</v>
      </c>
    </row>
    <row r="5524" spans="1:12" x14ac:dyDescent="0.25">
      <c r="A5524" t="s">
        <v>44</v>
      </c>
      <c r="B5524">
        <v>7</v>
      </c>
      <c r="C5524" t="s">
        <v>16</v>
      </c>
      <c r="D5524" s="1">
        <v>45504</v>
      </c>
      <c r="E5524">
        <v>2516.1999999999998</v>
      </c>
      <c r="F5524">
        <v>123.32</v>
      </c>
      <c r="G5524">
        <v>76.239999999999995</v>
      </c>
      <c r="H5524">
        <v>256</v>
      </c>
      <c r="I5524" t="s">
        <v>25</v>
      </c>
      <c r="J5524">
        <v>2024</v>
      </c>
      <c r="K5524">
        <f t="shared" si="172"/>
        <v>47.08</v>
      </c>
      <c r="L5524" t="str">
        <f t="shared" si="173"/>
        <v>Banca Città|7|Conti</v>
      </c>
    </row>
    <row r="5525" spans="1:12" x14ac:dyDescent="0.25">
      <c r="A5525" t="s">
        <v>44</v>
      </c>
      <c r="B5525">
        <v>7</v>
      </c>
      <c r="C5525" t="s">
        <v>17</v>
      </c>
      <c r="D5525" s="1">
        <v>45504</v>
      </c>
      <c r="E5525">
        <v>3061.3</v>
      </c>
      <c r="F5525">
        <v>156.29</v>
      </c>
      <c r="G5525">
        <v>95.64</v>
      </c>
      <c r="H5525">
        <v>299</v>
      </c>
      <c r="I5525" t="s">
        <v>25</v>
      </c>
      <c r="J5525">
        <v>2024</v>
      </c>
      <c r="K5525">
        <f t="shared" si="172"/>
        <v>60.649999999999991</v>
      </c>
      <c r="L5525" t="str">
        <f t="shared" si="173"/>
        <v>Banca Città|7|Carte</v>
      </c>
    </row>
    <row r="5526" spans="1:12" x14ac:dyDescent="0.25">
      <c r="A5526" t="s">
        <v>44</v>
      </c>
      <c r="B5526">
        <v>7</v>
      </c>
      <c r="C5526" t="s">
        <v>18</v>
      </c>
      <c r="D5526" s="1">
        <v>45504</v>
      </c>
      <c r="E5526">
        <v>3601.6</v>
      </c>
      <c r="F5526">
        <v>191.87</v>
      </c>
      <c r="G5526">
        <v>116.2</v>
      </c>
      <c r="H5526">
        <v>367</v>
      </c>
      <c r="I5526" t="s">
        <v>25</v>
      </c>
      <c r="J5526">
        <v>2024</v>
      </c>
      <c r="K5526">
        <f t="shared" si="172"/>
        <v>75.67</v>
      </c>
      <c r="L5526" t="str">
        <f t="shared" si="173"/>
        <v>Banca Città|7|Leasing</v>
      </c>
    </row>
    <row r="5527" spans="1:12" x14ac:dyDescent="0.25">
      <c r="A5527" t="s">
        <v>44</v>
      </c>
      <c r="B5527">
        <v>7</v>
      </c>
      <c r="C5527" t="s">
        <v>19</v>
      </c>
      <c r="D5527" s="1">
        <v>45504</v>
      </c>
      <c r="E5527">
        <v>4141.5</v>
      </c>
      <c r="F5527">
        <v>227.93</v>
      </c>
      <c r="G5527">
        <v>137.65</v>
      </c>
      <c r="H5527">
        <v>402</v>
      </c>
      <c r="I5527" t="s">
        <v>25</v>
      </c>
      <c r="J5527">
        <v>2024</v>
      </c>
      <c r="K5527">
        <f t="shared" si="172"/>
        <v>90.28</v>
      </c>
      <c r="L5527" t="str">
        <f t="shared" si="173"/>
        <v>Banca Città|7|Factoring</v>
      </c>
    </row>
    <row r="5528" spans="1:12" x14ac:dyDescent="0.25">
      <c r="A5528" t="s">
        <v>44</v>
      </c>
      <c r="B5528">
        <v>7</v>
      </c>
      <c r="C5528" t="s">
        <v>20</v>
      </c>
      <c r="D5528" s="1">
        <v>45504</v>
      </c>
      <c r="E5528">
        <v>4697</v>
      </c>
      <c r="F5528">
        <v>268.43</v>
      </c>
      <c r="G5528">
        <v>160.31</v>
      </c>
      <c r="H5528">
        <v>467</v>
      </c>
      <c r="I5528" t="s">
        <v>25</v>
      </c>
      <c r="J5528">
        <v>2024</v>
      </c>
      <c r="K5528">
        <f t="shared" si="172"/>
        <v>108.12</v>
      </c>
      <c r="L5528" t="str">
        <f t="shared" si="173"/>
        <v>Banca Città|7|Risparmio</v>
      </c>
    </row>
    <row r="5529" spans="1:12" x14ac:dyDescent="0.25">
      <c r="A5529" t="s">
        <v>44</v>
      </c>
      <c r="B5529">
        <v>7</v>
      </c>
      <c r="C5529" t="s">
        <v>21</v>
      </c>
      <c r="D5529" s="1">
        <v>45504</v>
      </c>
      <c r="E5529">
        <v>5186.2</v>
      </c>
      <c r="F5529">
        <v>306.61</v>
      </c>
      <c r="G5529">
        <v>181.8</v>
      </c>
      <c r="H5529">
        <v>506</v>
      </c>
      <c r="I5529" t="s">
        <v>25</v>
      </c>
      <c r="J5529">
        <v>2024</v>
      </c>
      <c r="K5529">
        <f t="shared" si="172"/>
        <v>124.81</v>
      </c>
      <c r="L5529" t="str">
        <f t="shared" si="173"/>
        <v>Banca Città|7|Assicurazioni</v>
      </c>
    </row>
    <row r="5530" spans="1:12" x14ac:dyDescent="0.25">
      <c r="A5530" t="s">
        <v>44</v>
      </c>
      <c r="B5530">
        <v>8</v>
      </c>
      <c r="C5530" t="s">
        <v>13</v>
      </c>
      <c r="D5530" s="1">
        <v>45535</v>
      </c>
      <c r="E5530">
        <v>1472.2</v>
      </c>
      <c r="F5530">
        <v>66.38</v>
      </c>
      <c r="G5530">
        <v>41.8</v>
      </c>
      <c r="H5530">
        <v>158</v>
      </c>
      <c r="I5530" t="s">
        <v>25</v>
      </c>
      <c r="J5530">
        <v>2024</v>
      </c>
      <c r="K5530">
        <f t="shared" si="172"/>
        <v>24.58</v>
      </c>
      <c r="L5530" t="str">
        <f t="shared" si="173"/>
        <v>Banca Città|8|Mutui</v>
      </c>
    </row>
    <row r="5531" spans="1:12" x14ac:dyDescent="0.25">
      <c r="A5531" t="s">
        <v>44</v>
      </c>
      <c r="B5531">
        <v>8</v>
      </c>
      <c r="C5531" t="s">
        <v>15</v>
      </c>
      <c r="D5531" s="1">
        <v>45535</v>
      </c>
      <c r="E5531">
        <v>1969.8</v>
      </c>
      <c r="F5531">
        <v>92.72</v>
      </c>
      <c r="G5531">
        <v>57.38</v>
      </c>
      <c r="H5531">
        <v>210</v>
      </c>
      <c r="I5531" t="s">
        <v>25</v>
      </c>
      <c r="J5531">
        <v>2024</v>
      </c>
      <c r="K5531">
        <f t="shared" si="172"/>
        <v>35.339999999999996</v>
      </c>
      <c r="L5531" t="str">
        <f t="shared" si="173"/>
        <v>Banca Città|8|Prestiti</v>
      </c>
    </row>
    <row r="5532" spans="1:12" x14ac:dyDescent="0.25">
      <c r="A5532" t="s">
        <v>44</v>
      </c>
      <c r="B5532">
        <v>8</v>
      </c>
      <c r="C5532" t="s">
        <v>16</v>
      </c>
      <c r="D5532" s="1">
        <v>45535</v>
      </c>
      <c r="E5532">
        <v>2557.4</v>
      </c>
      <c r="F5532">
        <v>125.55</v>
      </c>
      <c r="G5532">
        <v>77.38</v>
      </c>
      <c r="H5532">
        <v>276</v>
      </c>
      <c r="I5532" t="s">
        <v>25</v>
      </c>
      <c r="J5532">
        <v>2024</v>
      </c>
      <c r="K5532">
        <f t="shared" si="172"/>
        <v>48.17</v>
      </c>
      <c r="L5532" t="str">
        <f t="shared" si="173"/>
        <v>Banca Città|8|Conti</v>
      </c>
    </row>
    <row r="5533" spans="1:12" x14ac:dyDescent="0.25">
      <c r="A5533" t="s">
        <v>44</v>
      </c>
      <c r="B5533">
        <v>8</v>
      </c>
      <c r="C5533" t="s">
        <v>17</v>
      </c>
      <c r="D5533" s="1">
        <v>45535</v>
      </c>
      <c r="E5533">
        <v>3100.5</v>
      </c>
      <c r="F5533">
        <v>158.66999999999999</v>
      </c>
      <c r="G5533">
        <v>96.27</v>
      </c>
      <c r="H5533">
        <v>311</v>
      </c>
      <c r="I5533" t="s">
        <v>25</v>
      </c>
      <c r="J5533">
        <v>2024</v>
      </c>
      <c r="K5533">
        <f t="shared" si="172"/>
        <v>62.399999999999991</v>
      </c>
      <c r="L5533" t="str">
        <f t="shared" si="173"/>
        <v>Banca Città|8|Carte</v>
      </c>
    </row>
    <row r="5534" spans="1:12" x14ac:dyDescent="0.25">
      <c r="A5534" t="s">
        <v>44</v>
      </c>
      <c r="B5534">
        <v>8</v>
      </c>
      <c r="C5534" t="s">
        <v>18</v>
      </c>
      <c r="D5534" s="1">
        <v>45535</v>
      </c>
      <c r="E5534">
        <v>3619</v>
      </c>
      <c r="F5534">
        <v>191.88</v>
      </c>
      <c r="G5534">
        <v>116.02</v>
      </c>
      <c r="H5534">
        <v>342</v>
      </c>
      <c r="I5534" t="s">
        <v>25</v>
      </c>
      <c r="J5534">
        <v>2024</v>
      </c>
      <c r="K5534">
        <f t="shared" si="172"/>
        <v>75.86</v>
      </c>
      <c r="L5534" t="str">
        <f t="shared" si="173"/>
        <v>Banca Città|8|Leasing</v>
      </c>
    </row>
    <row r="5535" spans="1:12" x14ac:dyDescent="0.25">
      <c r="A5535" t="s">
        <v>44</v>
      </c>
      <c r="B5535">
        <v>8</v>
      </c>
      <c r="C5535" t="s">
        <v>19</v>
      </c>
      <c r="D5535" s="1">
        <v>45535</v>
      </c>
      <c r="E5535">
        <v>4143.8999999999996</v>
      </c>
      <c r="F5535">
        <v>228.33</v>
      </c>
      <c r="G5535">
        <v>136.86000000000001</v>
      </c>
      <c r="H5535">
        <v>406</v>
      </c>
      <c r="I5535" t="s">
        <v>25</v>
      </c>
      <c r="J5535">
        <v>2024</v>
      </c>
      <c r="K5535">
        <f t="shared" si="172"/>
        <v>91.47</v>
      </c>
      <c r="L5535" t="str">
        <f t="shared" si="173"/>
        <v>Banca Città|8|Factoring</v>
      </c>
    </row>
    <row r="5536" spans="1:12" x14ac:dyDescent="0.25">
      <c r="A5536" t="s">
        <v>44</v>
      </c>
      <c r="B5536">
        <v>8</v>
      </c>
      <c r="C5536" t="s">
        <v>20</v>
      </c>
      <c r="D5536" s="1">
        <v>45535</v>
      </c>
      <c r="E5536">
        <v>4683.2</v>
      </c>
      <c r="F5536">
        <v>267.82</v>
      </c>
      <c r="G5536">
        <v>159.62</v>
      </c>
      <c r="H5536">
        <v>457</v>
      </c>
      <c r="I5536" t="s">
        <v>25</v>
      </c>
      <c r="J5536">
        <v>2024</v>
      </c>
      <c r="K5536">
        <f t="shared" si="172"/>
        <v>108.19999999999999</v>
      </c>
      <c r="L5536" t="str">
        <f t="shared" si="173"/>
        <v>Banca Città|8|Risparmio</v>
      </c>
    </row>
    <row r="5537" spans="1:12" x14ac:dyDescent="0.25">
      <c r="A5537" t="s">
        <v>44</v>
      </c>
      <c r="B5537">
        <v>8</v>
      </c>
      <c r="C5537" t="s">
        <v>21</v>
      </c>
      <c r="D5537" s="1">
        <v>45535</v>
      </c>
      <c r="E5537">
        <v>5263</v>
      </c>
      <c r="F5537">
        <v>310.92</v>
      </c>
      <c r="G5537">
        <v>184.58</v>
      </c>
      <c r="H5537">
        <v>514</v>
      </c>
      <c r="I5537" t="s">
        <v>25</v>
      </c>
      <c r="J5537">
        <v>2024</v>
      </c>
      <c r="K5537">
        <f t="shared" si="172"/>
        <v>126.34</v>
      </c>
      <c r="L5537" t="str">
        <f t="shared" si="173"/>
        <v>Banca Città|8|Assicurazioni</v>
      </c>
    </row>
    <row r="5538" spans="1:12" x14ac:dyDescent="0.25">
      <c r="A5538" t="s">
        <v>44</v>
      </c>
      <c r="B5538">
        <v>9</v>
      </c>
      <c r="C5538" t="s">
        <v>13</v>
      </c>
      <c r="D5538" s="1">
        <v>45565</v>
      </c>
      <c r="E5538">
        <v>1443</v>
      </c>
      <c r="F5538">
        <v>65.83</v>
      </c>
      <c r="G5538">
        <v>40.799999999999997</v>
      </c>
      <c r="H5538">
        <v>153</v>
      </c>
      <c r="I5538" t="s">
        <v>25</v>
      </c>
      <c r="J5538">
        <v>2024</v>
      </c>
      <c r="K5538">
        <f t="shared" si="172"/>
        <v>25.03</v>
      </c>
      <c r="L5538" t="str">
        <f t="shared" si="173"/>
        <v>Banca Città|9|Mutui</v>
      </c>
    </row>
    <row r="5539" spans="1:12" x14ac:dyDescent="0.25">
      <c r="A5539" t="s">
        <v>44</v>
      </c>
      <c r="B5539">
        <v>9</v>
      </c>
      <c r="C5539" t="s">
        <v>15</v>
      </c>
      <c r="D5539" s="1">
        <v>45565</v>
      </c>
      <c r="E5539">
        <v>1978.5</v>
      </c>
      <c r="F5539">
        <v>93.04</v>
      </c>
      <c r="G5539">
        <v>58.02</v>
      </c>
      <c r="H5539">
        <v>217</v>
      </c>
      <c r="I5539" t="s">
        <v>25</v>
      </c>
      <c r="J5539">
        <v>2024</v>
      </c>
      <c r="K5539">
        <f t="shared" si="172"/>
        <v>35.020000000000003</v>
      </c>
      <c r="L5539" t="str">
        <f t="shared" si="173"/>
        <v>Banca Città|9|Prestiti</v>
      </c>
    </row>
    <row r="5540" spans="1:12" x14ac:dyDescent="0.25">
      <c r="A5540" t="s">
        <v>44</v>
      </c>
      <c r="B5540">
        <v>9</v>
      </c>
      <c r="C5540" t="s">
        <v>16</v>
      </c>
      <c r="D5540" s="1">
        <v>45565</v>
      </c>
      <c r="E5540">
        <v>2540.6</v>
      </c>
      <c r="F5540">
        <v>124.95</v>
      </c>
      <c r="G5540">
        <v>76.94</v>
      </c>
      <c r="H5540">
        <v>272</v>
      </c>
      <c r="I5540" t="s">
        <v>25</v>
      </c>
      <c r="J5540">
        <v>2024</v>
      </c>
      <c r="K5540">
        <f t="shared" si="172"/>
        <v>48.010000000000005</v>
      </c>
      <c r="L5540" t="str">
        <f t="shared" si="173"/>
        <v>Banca Città|9|Conti</v>
      </c>
    </row>
    <row r="5541" spans="1:12" x14ac:dyDescent="0.25">
      <c r="A5541" t="s">
        <v>44</v>
      </c>
      <c r="B5541">
        <v>9</v>
      </c>
      <c r="C5541" t="s">
        <v>17</v>
      </c>
      <c r="D5541" s="1">
        <v>45565</v>
      </c>
      <c r="E5541">
        <v>3113.7</v>
      </c>
      <c r="F5541">
        <v>159.72</v>
      </c>
      <c r="G5541">
        <v>97.05</v>
      </c>
      <c r="H5541">
        <v>305</v>
      </c>
      <c r="I5541" t="s">
        <v>25</v>
      </c>
      <c r="J5541">
        <v>2024</v>
      </c>
      <c r="K5541">
        <f t="shared" si="172"/>
        <v>62.67</v>
      </c>
      <c r="L5541" t="str">
        <f t="shared" si="173"/>
        <v>Banca Città|9|Carte</v>
      </c>
    </row>
    <row r="5542" spans="1:12" x14ac:dyDescent="0.25">
      <c r="A5542" t="s">
        <v>44</v>
      </c>
      <c r="B5542">
        <v>9</v>
      </c>
      <c r="C5542" t="s">
        <v>18</v>
      </c>
      <c r="D5542" s="1">
        <v>45565</v>
      </c>
      <c r="E5542">
        <v>3629</v>
      </c>
      <c r="F5542">
        <v>192.36</v>
      </c>
      <c r="G5542">
        <v>117</v>
      </c>
      <c r="H5542">
        <v>358</v>
      </c>
      <c r="I5542" t="s">
        <v>25</v>
      </c>
      <c r="J5542">
        <v>2024</v>
      </c>
      <c r="K5542">
        <f t="shared" si="172"/>
        <v>75.360000000000014</v>
      </c>
      <c r="L5542" t="str">
        <f t="shared" si="173"/>
        <v>Banca Città|9|Leasing</v>
      </c>
    </row>
    <row r="5543" spans="1:12" x14ac:dyDescent="0.25">
      <c r="A5543" t="s">
        <v>44</v>
      </c>
      <c r="B5543">
        <v>9</v>
      </c>
      <c r="C5543" t="s">
        <v>19</v>
      </c>
      <c r="D5543" s="1">
        <v>45565</v>
      </c>
      <c r="E5543">
        <v>4207.2</v>
      </c>
      <c r="F5543">
        <v>232.24</v>
      </c>
      <c r="G5543">
        <v>139.11000000000001</v>
      </c>
      <c r="H5543">
        <v>401</v>
      </c>
      <c r="I5543" t="s">
        <v>25</v>
      </c>
      <c r="J5543">
        <v>2024</v>
      </c>
      <c r="K5543">
        <f t="shared" si="172"/>
        <v>93.13</v>
      </c>
      <c r="L5543" t="str">
        <f t="shared" si="173"/>
        <v>Banca Città|9|Factoring</v>
      </c>
    </row>
    <row r="5544" spans="1:12" x14ac:dyDescent="0.25">
      <c r="A5544" t="s">
        <v>44</v>
      </c>
      <c r="B5544">
        <v>9</v>
      </c>
      <c r="C5544" t="s">
        <v>20</v>
      </c>
      <c r="D5544" s="1">
        <v>45565</v>
      </c>
      <c r="E5544">
        <v>4770.8</v>
      </c>
      <c r="F5544">
        <v>272.11</v>
      </c>
      <c r="G5544">
        <v>162.83000000000001</v>
      </c>
      <c r="H5544">
        <v>455</v>
      </c>
      <c r="I5544" t="s">
        <v>25</v>
      </c>
      <c r="J5544">
        <v>2024</v>
      </c>
      <c r="K5544">
        <f t="shared" si="172"/>
        <v>109.28</v>
      </c>
      <c r="L5544" t="str">
        <f t="shared" si="173"/>
        <v>Banca Città|9|Risparmio</v>
      </c>
    </row>
    <row r="5545" spans="1:12" x14ac:dyDescent="0.25">
      <c r="A5545" t="s">
        <v>44</v>
      </c>
      <c r="B5545">
        <v>9</v>
      </c>
      <c r="C5545" t="s">
        <v>21</v>
      </c>
      <c r="D5545" s="1">
        <v>45565</v>
      </c>
      <c r="E5545">
        <v>5301.9</v>
      </c>
      <c r="F5545">
        <v>313.49</v>
      </c>
      <c r="G5545">
        <v>186.35</v>
      </c>
      <c r="H5545">
        <v>493</v>
      </c>
      <c r="I5545" t="s">
        <v>25</v>
      </c>
      <c r="J5545">
        <v>2024</v>
      </c>
      <c r="K5545">
        <f t="shared" si="172"/>
        <v>127.14000000000001</v>
      </c>
      <c r="L5545" t="str">
        <f t="shared" si="173"/>
        <v>Banca Città|9|Assicurazioni</v>
      </c>
    </row>
    <row r="5546" spans="1:12" x14ac:dyDescent="0.25">
      <c r="A5546" t="s">
        <v>44</v>
      </c>
      <c r="B5546">
        <v>10</v>
      </c>
      <c r="C5546" t="s">
        <v>13</v>
      </c>
      <c r="D5546" s="1">
        <v>45596</v>
      </c>
      <c r="E5546">
        <v>1442</v>
      </c>
      <c r="F5546">
        <v>65.66</v>
      </c>
      <c r="G5546">
        <v>40.72</v>
      </c>
      <c r="H5546">
        <v>140</v>
      </c>
      <c r="I5546" t="s">
        <v>25</v>
      </c>
      <c r="J5546">
        <v>2024</v>
      </c>
      <c r="K5546">
        <f t="shared" si="172"/>
        <v>24.939999999999998</v>
      </c>
      <c r="L5546" t="str">
        <f t="shared" si="173"/>
        <v>Banca Città|10|Mutui</v>
      </c>
    </row>
    <row r="5547" spans="1:12" x14ac:dyDescent="0.25">
      <c r="A5547" t="s">
        <v>44</v>
      </c>
      <c r="B5547">
        <v>10</v>
      </c>
      <c r="C5547" t="s">
        <v>15</v>
      </c>
      <c r="D5547" s="1">
        <v>45596</v>
      </c>
      <c r="E5547">
        <v>2001.1</v>
      </c>
      <c r="F5547">
        <v>94.2</v>
      </c>
      <c r="G5547">
        <v>58.56</v>
      </c>
      <c r="H5547">
        <v>213</v>
      </c>
      <c r="I5547" t="s">
        <v>25</v>
      </c>
      <c r="J5547">
        <v>2024</v>
      </c>
      <c r="K5547">
        <f t="shared" si="172"/>
        <v>35.64</v>
      </c>
      <c r="L5547" t="str">
        <f t="shared" si="173"/>
        <v>Banca Città|10|Prestiti</v>
      </c>
    </row>
    <row r="5548" spans="1:12" x14ac:dyDescent="0.25">
      <c r="A5548" t="s">
        <v>44</v>
      </c>
      <c r="B5548">
        <v>10</v>
      </c>
      <c r="C5548" t="s">
        <v>16</v>
      </c>
      <c r="D5548" s="1">
        <v>45596</v>
      </c>
      <c r="E5548">
        <v>2593.6</v>
      </c>
      <c r="F5548">
        <v>127.97</v>
      </c>
      <c r="G5548">
        <v>78.77</v>
      </c>
      <c r="H5548">
        <v>252</v>
      </c>
      <c r="I5548" t="s">
        <v>25</v>
      </c>
      <c r="J5548">
        <v>2024</v>
      </c>
      <c r="K5548">
        <f t="shared" si="172"/>
        <v>49.2</v>
      </c>
      <c r="L5548" t="str">
        <f t="shared" si="173"/>
        <v>Banca Città|10|Conti</v>
      </c>
    </row>
    <row r="5549" spans="1:12" x14ac:dyDescent="0.25">
      <c r="A5549" t="s">
        <v>44</v>
      </c>
      <c r="B5549">
        <v>10</v>
      </c>
      <c r="C5549" t="s">
        <v>17</v>
      </c>
      <c r="D5549" s="1">
        <v>45596</v>
      </c>
      <c r="E5549">
        <v>3107.7</v>
      </c>
      <c r="F5549">
        <v>158.52000000000001</v>
      </c>
      <c r="G5549">
        <v>97.27</v>
      </c>
      <c r="H5549">
        <v>318</v>
      </c>
      <c r="I5549" t="s">
        <v>25</v>
      </c>
      <c r="J5549">
        <v>2024</v>
      </c>
      <c r="K5549">
        <f t="shared" si="172"/>
        <v>61.250000000000014</v>
      </c>
      <c r="L5549" t="str">
        <f t="shared" si="173"/>
        <v>Banca Città|10|Carte</v>
      </c>
    </row>
    <row r="5550" spans="1:12" x14ac:dyDescent="0.25">
      <c r="A5550" t="s">
        <v>44</v>
      </c>
      <c r="B5550">
        <v>10</v>
      </c>
      <c r="C5550" t="s">
        <v>18</v>
      </c>
      <c r="D5550" s="1">
        <v>45596</v>
      </c>
      <c r="E5550">
        <v>3647.5</v>
      </c>
      <c r="F5550">
        <v>194.09</v>
      </c>
      <c r="G5550">
        <v>117.09</v>
      </c>
      <c r="H5550">
        <v>371</v>
      </c>
      <c r="I5550" t="s">
        <v>25</v>
      </c>
      <c r="J5550">
        <v>2024</v>
      </c>
      <c r="K5550">
        <f t="shared" si="172"/>
        <v>77</v>
      </c>
      <c r="L5550" t="str">
        <f t="shared" si="173"/>
        <v>Banca Città|10|Leasing</v>
      </c>
    </row>
    <row r="5551" spans="1:12" x14ac:dyDescent="0.25">
      <c r="A5551" t="s">
        <v>44</v>
      </c>
      <c r="B5551">
        <v>10</v>
      </c>
      <c r="C5551" t="s">
        <v>19</v>
      </c>
      <c r="D5551" s="1">
        <v>45596</v>
      </c>
      <c r="E5551">
        <v>4248.3</v>
      </c>
      <c r="F5551">
        <v>234.5</v>
      </c>
      <c r="G5551">
        <v>140.59</v>
      </c>
      <c r="H5551">
        <v>397</v>
      </c>
      <c r="I5551" t="s">
        <v>25</v>
      </c>
      <c r="J5551">
        <v>2024</v>
      </c>
      <c r="K5551">
        <f t="shared" si="172"/>
        <v>93.91</v>
      </c>
      <c r="L5551" t="str">
        <f t="shared" si="173"/>
        <v>Banca Città|10|Factoring</v>
      </c>
    </row>
    <row r="5552" spans="1:12" x14ac:dyDescent="0.25">
      <c r="A5552" t="s">
        <v>44</v>
      </c>
      <c r="B5552">
        <v>10</v>
      </c>
      <c r="C5552" t="s">
        <v>20</v>
      </c>
      <c r="D5552" s="1">
        <v>45596</v>
      </c>
      <c r="E5552">
        <v>4774</v>
      </c>
      <c r="F5552">
        <v>272.25</v>
      </c>
      <c r="G5552">
        <v>162.83000000000001</v>
      </c>
      <c r="H5552">
        <v>457</v>
      </c>
      <c r="I5552" t="s">
        <v>25</v>
      </c>
      <c r="J5552">
        <v>2024</v>
      </c>
      <c r="K5552">
        <f t="shared" si="172"/>
        <v>109.41999999999999</v>
      </c>
      <c r="L5552" t="str">
        <f t="shared" si="173"/>
        <v>Banca Città|10|Risparmio</v>
      </c>
    </row>
    <row r="5553" spans="1:12" x14ac:dyDescent="0.25">
      <c r="A5553" t="s">
        <v>44</v>
      </c>
      <c r="B5553">
        <v>10</v>
      </c>
      <c r="C5553" t="s">
        <v>21</v>
      </c>
      <c r="D5553" s="1">
        <v>45596</v>
      </c>
      <c r="E5553">
        <v>5313.3</v>
      </c>
      <c r="F5553">
        <v>314.17</v>
      </c>
      <c r="G5553">
        <v>186.74</v>
      </c>
      <c r="H5553">
        <v>505</v>
      </c>
      <c r="I5553" t="s">
        <v>25</v>
      </c>
      <c r="J5553">
        <v>2024</v>
      </c>
      <c r="K5553">
        <f t="shared" si="172"/>
        <v>127.43</v>
      </c>
      <c r="L5553" t="str">
        <f t="shared" si="173"/>
        <v>Banca Città|10|Assicurazioni</v>
      </c>
    </row>
    <row r="5554" spans="1:12" x14ac:dyDescent="0.25">
      <c r="A5554" t="s">
        <v>44</v>
      </c>
      <c r="B5554">
        <v>11</v>
      </c>
      <c r="C5554" t="s">
        <v>13</v>
      </c>
      <c r="D5554" s="1">
        <v>45626</v>
      </c>
      <c r="E5554">
        <v>1451.8</v>
      </c>
      <c r="F5554">
        <v>65.650000000000006</v>
      </c>
      <c r="G5554">
        <v>41.25</v>
      </c>
      <c r="H5554">
        <v>153</v>
      </c>
      <c r="I5554" t="s">
        <v>25</v>
      </c>
      <c r="J5554">
        <v>2024</v>
      </c>
      <c r="K5554">
        <f t="shared" si="172"/>
        <v>24.400000000000006</v>
      </c>
      <c r="L5554" t="str">
        <f t="shared" si="173"/>
        <v>Banca Città|11|Mutui</v>
      </c>
    </row>
    <row r="5555" spans="1:12" x14ac:dyDescent="0.25">
      <c r="A5555" t="s">
        <v>44</v>
      </c>
      <c r="B5555">
        <v>11</v>
      </c>
      <c r="C5555" t="s">
        <v>15</v>
      </c>
      <c r="D5555" s="1">
        <v>45626</v>
      </c>
      <c r="E5555">
        <v>2065.9</v>
      </c>
      <c r="F5555">
        <v>97.31</v>
      </c>
      <c r="G5555">
        <v>60.17</v>
      </c>
      <c r="H5555">
        <v>190</v>
      </c>
      <c r="I5555" t="s">
        <v>25</v>
      </c>
      <c r="J5555">
        <v>2024</v>
      </c>
      <c r="K5555">
        <f t="shared" si="172"/>
        <v>37.14</v>
      </c>
      <c r="L5555" t="str">
        <f t="shared" si="173"/>
        <v>Banca Città|11|Prestiti</v>
      </c>
    </row>
    <row r="5556" spans="1:12" x14ac:dyDescent="0.25">
      <c r="A5556" t="s">
        <v>44</v>
      </c>
      <c r="B5556">
        <v>11</v>
      </c>
      <c r="C5556" t="s">
        <v>16</v>
      </c>
      <c r="D5556" s="1">
        <v>45626</v>
      </c>
      <c r="E5556">
        <v>2620</v>
      </c>
      <c r="F5556">
        <v>129.13</v>
      </c>
      <c r="G5556">
        <v>78.66</v>
      </c>
      <c r="H5556">
        <v>276</v>
      </c>
      <c r="I5556" t="s">
        <v>25</v>
      </c>
      <c r="J5556">
        <v>2024</v>
      </c>
      <c r="K5556">
        <f t="shared" si="172"/>
        <v>50.47</v>
      </c>
      <c r="L5556" t="str">
        <f t="shared" si="173"/>
        <v>Banca Città|11|Conti</v>
      </c>
    </row>
    <row r="5557" spans="1:12" x14ac:dyDescent="0.25">
      <c r="A5557" t="s">
        <v>44</v>
      </c>
      <c r="B5557">
        <v>11</v>
      </c>
      <c r="C5557" t="s">
        <v>17</v>
      </c>
      <c r="D5557" s="1">
        <v>45626</v>
      </c>
      <c r="E5557">
        <v>3161.3</v>
      </c>
      <c r="F5557">
        <v>161.62</v>
      </c>
      <c r="G5557">
        <v>98.55</v>
      </c>
      <c r="H5557">
        <v>298</v>
      </c>
      <c r="I5557" t="s">
        <v>25</v>
      </c>
      <c r="J5557">
        <v>2024</v>
      </c>
      <c r="K5557">
        <f t="shared" si="172"/>
        <v>63.070000000000007</v>
      </c>
      <c r="L5557" t="str">
        <f t="shared" si="173"/>
        <v>Banca Città|11|Carte</v>
      </c>
    </row>
    <row r="5558" spans="1:12" x14ac:dyDescent="0.25">
      <c r="A5558" t="s">
        <v>44</v>
      </c>
      <c r="B5558">
        <v>11</v>
      </c>
      <c r="C5558" t="s">
        <v>18</v>
      </c>
      <c r="D5558" s="1">
        <v>45626</v>
      </c>
      <c r="E5558">
        <v>3696.3</v>
      </c>
      <c r="F5558">
        <v>196.65</v>
      </c>
      <c r="G5558">
        <v>118.65</v>
      </c>
      <c r="H5558">
        <v>349</v>
      </c>
      <c r="I5558" t="s">
        <v>25</v>
      </c>
      <c r="J5558">
        <v>2024</v>
      </c>
      <c r="K5558">
        <f t="shared" si="172"/>
        <v>78</v>
      </c>
      <c r="L5558" t="str">
        <f t="shared" si="173"/>
        <v>Banca Città|11|Leasing</v>
      </c>
    </row>
    <row r="5559" spans="1:12" x14ac:dyDescent="0.25">
      <c r="A5559" t="s">
        <v>44</v>
      </c>
      <c r="B5559">
        <v>11</v>
      </c>
      <c r="C5559" t="s">
        <v>19</v>
      </c>
      <c r="D5559" s="1">
        <v>45626</v>
      </c>
      <c r="E5559">
        <v>4267.7</v>
      </c>
      <c r="F5559">
        <v>235.09</v>
      </c>
      <c r="G5559">
        <v>141.4</v>
      </c>
      <c r="H5559">
        <v>395</v>
      </c>
      <c r="I5559" t="s">
        <v>25</v>
      </c>
      <c r="J5559">
        <v>2024</v>
      </c>
      <c r="K5559">
        <f t="shared" si="172"/>
        <v>93.69</v>
      </c>
      <c r="L5559" t="str">
        <f t="shared" si="173"/>
        <v>Banca Città|11|Factoring</v>
      </c>
    </row>
    <row r="5560" spans="1:12" x14ac:dyDescent="0.25">
      <c r="A5560" t="s">
        <v>44</v>
      </c>
      <c r="B5560">
        <v>11</v>
      </c>
      <c r="C5560" t="s">
        <v>20</v>
      </c>
      <c r="D5560" s="1">
        <v>45626</v>
      </c>
      <c r="E5560">
        <v>4783.3</v>
      </c>
      <c r="F5560">
        <v>272.89999999999998</v>
      </c>
      <c r="G5560">
        <v>163.26</v>
      </c>
      <c r="H5560">
        <v>470</v>
      </c>
      <c r="I5560" t="s">
        <v>25</v>
      </c>
      <c r="J5560">
        <v>2024</v>
      </c>
      <c r="K5560">
        <f t="shared" si="172"/>
        <v>109.63999999999999</v>
      </c>
      <c r="L5560" t="str">
        <f t="shared" si="173"/>
        <v>Banca Città|11|Risparmio</v>
      </c>
    </row>
    <row r="5561" spans="1:12" x14ac:dyDescent="0.25">
      <c r="A5561" t="s">
        <v>44</v>
      </c>
      <c r="B5561">
        <v>11</v>
      </c>
      <c r="C5561" t="s">
        <v>21</v>
      </c>
      <c r="D5561" s="1">
        <v>45626</v>
      </c>
      <c r="E5561">
        <v>5350.5</v>
      </c>
      <c r="F5561">
        <v>315.86</v>
      </c>
      <c r="G5561">
        <v>188.21</v>
      </c>
      <c r="H5561">
        <v>524</v>
      </c>
      <c r="I5561" t="s">
        <v>25</v>
      </c>
      <c r="J5561">
        <v>2024</v>
      </c>
      <c r="K5561">
        <f t="shared" si="172"/>
        <v>127.65</v>
      </c>
      <c r="L5561" t="str">
        <f t="shared" si="173"/>
        <v>Banca Città|11|Assicurazioni</v>
      </c>
    </row>
    <row r="5562" spans="1:12" x14ac:dyDescent="0.25">
      <c r="A5562" t="s">
        <v>44</v>
      </c>
      <c r="B5562">
        <v>12</v>
      </c>
      <c r="C5562" t="s">
        <v>13</v>
      </c>
      <c r="D5562" s="1">
        <v>45657</v>
      </c>
      <c r="E5562">
        <v>1481.4</v>
      </c>
      <c r="F5562">
        <v>67.25</v>
      </c>
      <c r="G5562">
        <v>41.78</v>
      </c>
      <c r="H5562">
        <v>143</v>
      </c>
      <c r="I5562" t="s">
        <v>25</v>
      </c>
      <c r="J5562">
        <v>2024</v>
      </c>
      <c r="K5562">
        <f t="shared" si="172"/>
        <v>25.47</v>
      </c>
      <c r="L5562" t="str">
        <f t="shared" si="173"/>
        <v>Banca Città|12|Mutui</v>
      </c>
    </row>
    <row r="5563" spans="1:12" x14ac:dyDescent="0.25">
      <c r="A5563" t="s">
        <v>44</v>
      </c>
      <c r="B5563">
        <v>12</v>
      </c>
      <c r="C5563" t="s">
        <v>15</v>
      </c>
      <c r="D5563" s="1">
        <v>45657</v>
      </c>
      <c r="E5563">
        <v>2031.8</v>
      </c>
      <c r="F5563">
        <v>95.56</v>
      </c>
      <c r="G5563">
        <v>59.47</v>
      </c>
      <c r="H5563">
        <v>213</v>
      </c>
      <c r="I5563" t="s">
        <v>25</v>
      </c>
      <c r="J5563">
        <v>2024</v>
      </c>
      <c r="K5563">
        <f t="shared" si="172"/>
        <v>36.090000000000003</v>
      </c>
      <c r="L5563" t="str">
        <f t="shared" si="173"/>
        <v>Banca Città|12|Prestiti</v>
      </c>
    </row>
    <row r="5564" spans="1:12" x14ac:dyDescent="0.25">
      <c r="A5564" t="s">
        <v>44</v>
      </c>
      <c r="B5564">
        <v>12</v>
      </c>
      <c r="C5564" t="s">
        <v>16</v>
      </c>
      <c r="D5564" s="1">
        <v>45657</v>
      </c>
      <c r="E5564">
        <v>2586.6</v>
      </c>
      <c r="F5564">
        <v>126.88</v>
      </c>
      <c r="G5564">
        <v>78.13</v>
      </c>
      <c r="H5564">
        <v>274</v>
      </c>
      <c r="I5564" t="s">
        <v>25</v>
      </c>
      <c r="J5564">
        <v>2024</v>
      </c>
      <c r="K5564">
        <f t="shared" si="172"/>
        <v>48.75</v>
      </c>
      <c r="L5564" t="str">
        <f t="shared" si="173"/>
        <v>Banca Città|12|Conti</v>
      </c>
    </row>
    <row r="5565" spans="1:12" x14ac:dyDescent="0.25">
      <c r="A5565" t="s">
        <v>44</v>
      </c>
      <c r="B5565">
        <v>12</v>
      </c>
      <c r="C5565" t="s">
        <v>17</v>
      </c>
      <c r="D5565" s="1">
        <v>45657</v>
      </c>
      <c r="E5565">
        <v>3148.3</v>
      </c>
      <c r="F5565">
        <v>161.51</v>
      </c>
      <c r="G5565">
        <v>97.96</v>
      </c>
      <c r="H5565">
        <v>319</v>
      </c>
      <c r="I5565" t="s">
        <v>25</v>
      </c>
      <c r="J5565">
        <v>2024</v>
      </c>
      <c r="K5565">
        <f t="shared" si="172"/>
        <v>63.55</v>
      </c>
      <c r="L5565" t="str">
        <f t="shared" si="173"/>
        <v>Banca Città|12|Carte</v>
      </c>
    </row>
    <row r="5566" spans="1:12" x14ac:dyDescent="0.25">
      <c r="A5566" t="s">
        <v>44</v>
      </c>
      <c r="B5566">
        <v>12</v>
      </c>
      <c r="C5566" t="s">
        <v>18</v>
      </c>
      <c r="D5566" s="1">
        <v>45657</v>
      </c>
      <c r="E5566">
        <v>3708.9</v>
      </c>
      <c r="F5566">
        <v>197.22</v>
      </c>
      <c r="G5566">
        <v>118.82</v>
      </c>
      <c r="H5566">
        <v>343</v>
      </c>
      <c r="I5566" t="s">
        <v>25</v>
      </c>
      <c r="J5566">
        <v>2024</v>
      </c>
      <c r="K5566">
        <f t="shared" si="172"/>
        <v>78.400000000000006</v>
      </c>
      <c r="L5566" t="str">
        <f t="shared" si="173"/>
        <v>Banca Città|12|Leasing</v>
      </c>
    </row>
    <row r="5567" spans="1:12" x14ac:dyDescent="0.25">
      <c r="A5567" t="s">
        <v>44</v>
      </c>
      <c r="B5567">
        <v>12</v>
      </c>
      <c r="C5567" t="s">
        <v>19</v>
      </c>
      <c r="D5567" s="1">
        <v>45657</v>
      </c>
      <c r="E5567">
        <v>4315.1000000000004</v>
      </c>
      <c r="F5567">
        <v>237.45</v>
      </c>
      <c r="G5567">
        <v>142.74</v>
      </c>
      <c r="H5567">
        <v>422</v>
      </c>
      <c r="I5567" t="s">
        <v>25</v>
      </c>
      <c r="J5567">
        <v>2024</v>
      </c>
      <c r="K5567">
        <f t="shared" si="172"/>
        <v>94.70999999999998</v>
      </c>
      <c r="L5567" t="str">
        <f t="shared" si="173"/>
        <v>Banca Città|12|Factoring</v>
      </c>
    </row>
    <row r="5568" spans="1:12" x14ac:dyDescent="0.25">
      <c r="A5568" t="s">
        <v>44</v>
      </c>
      <c r="B5568">
        <v>12</v>
      </c>
      <c r="C5568" t="s">
        <v>20</v>
      </c>
      <c r="D5568" s="1">
        <v>45657</v>
      </c>
      <c r="E5568">
        <v>4865.6000000000004</v>
      </c>
      <c r="F5568">
        <v>277.79000000000002</v>
      </c>
      <c r="G5568">
        <v>166.18</v>
      </c>
      <c r="H5568">
        <v>478</v>
      </c>
      <c r="I5568" t="s">
        <v>25</v>
      </c>
      <c r="J5568">
        <v>2024</v>
      </c>
      <c r="K5568">
        <f t="shared" si="172"/>
        <v>111.61000000000001</v>
      </c>
      <c r="L5568" t="str">
        <f t="shared" si="173"/>
        <v>Banca Città|12|Risparmio</v>
      </c>
    </row>
    <row r="5569" spans="1:12" x14ac:dyDescent="0.25">
      <c r="A5569" t="s">
        <v>44</v>
      </c>
      <c r="B5569">
        <v>12</v>
      </c>
      <c r="C5569" t="s">
        <v>21</v>
      </c>
      <c r="D5569" s="1">
        <v>45657</v>
      </c>
      <c r="E5569">
        <v>5427.3</v>
      </c>
      <c r="F5569">
        <v>320.67</v>
      </c>
      <c r="G5569">
        <v>190.14</v>
      </c>
      <c r="H5569">
        <v>495</v>
      </c>
      <c r="I5569" t="s">
        <v>25</v>
      </c>
      <c r="J5569">
        <v>2024</v>
      </c>
      <c r="K5569">
        <f t="shared" si="172"/>
        <v>130.53000000000003</v>
      </c>
      <c r="L5569" t="str">
        <f t="shared" si="173"/>
        <v>Banca Città|12|Assicurazioni</v>
      </c>
    </row>
    <row r="5570" spans="1:12" x14ac:dyDescent="0.25">
      <c r="A5570" t="s">
        <v>44</v>
      </c>
      <c r="B5570">
        <v>13</v>
      </c>
      <c r="C5570" t="s">
        <v>13</v>
      </c>
      <c r="D5570" s="1">
        <v>45688</v>
      </c>
      <c r="E5570">
        <v>1487.5</v>
      </c>
      <c r="F5570">
        <v>67.760000000000005</v>
      </c>
      <c r="G5570">
        <v>42.56</v>
      </c>
      <c r="H5570">
        <v>137</v>
      </c>
      <c r="I5570" t="s">
        <v>25</v>
      </c>
      <c r="J5570">
        <v>2025</v>
      </c>
      <c r="K5570">
        <f t="shared" ref="K5570:K5633" si="174">F5570-G5570</f>
        <v>25.200000000000003</v>
      </c>
      <c r="L5570" t="str">
        <f t="shared" ref="L5570:L5633" si="175">A5570&amp;"|"&amp;B5570&amp;"|"&amp;C5570</f>
        <v>Banca Città|13|Mutui</v>
      </c>
    </row>
    <row r="5571" spans="1:12" x14ac:dyDescent="0.25">
      <c r="A5571" t="s">
        <v>44</v>
      </c>
      <c r="B5571">
        <v>13</v>
      </c>
      <c r="C5571" t="s">
        <v>15</v>
      </c>
      <c r="D5571" s="1">
        <v>45688</v>
      </c>
      <c r="E5571">
        <v>2047.2</v>
      </c>
      <c r="F5571">
        <v>96.94</v>
      </c>
      <c r="G5571">
        <v>60.09</v>
      </c>
      <c r="H5571">
        <v>210</v>
      </c>
      <c r="I5571" t="s">
        <v>25</v>
      </c>
      <c r="J5571">
        <v>2025</v>
      </c>
      <c r="K5571">
        <f t="shared" si="174"/>
        <v>36.849999999999994</v>
      </c>
      <c r="L5571" t="str">
        <f t="shared" si="175"/>
        <v>Banca Città|13|Prestiti</v>
      </c>
    </row>
    <row r="5572" spans="1:12" x14ac:dyDescent="0.25">
      <c r="A5572" t="s">
        <v>44</v>
      </c>
      <c r="B5572">
        <v>13</v>
      </c>
      <c r="C5572" t="s">
        <v>16</v>
      </c>
      <c r="D5572" s="1">
        <v>45688</v>
      </c>
      <c r="E5572">
        <v>2603.9</v>
      </c>
      <c r="F5572">
        <v>128.4</v>
      </c>
      <c r="G5572">
        <v>78.3</v>
      </c>
      <c r="H5572">
        <v>263</v>
      </c>
      <c r="I5572" t="s">
        <v>25</v>
      </c>
      <c r="J5572">
        <v>2025</v>
      </c>
      <c r="K5572">
        <f t="shared" si="174"/>
        <v>50.100000000000009</v>
      </c>
      <c r="L5572" t="str">
        <f t="shared" si="175"/>
        <v>Banca Città|13|Conti</v>
      </c>
    </row>
    <row r="5573" spans="1:12" x14ac:dyDescent="0.25">
      <c r="A5573" t="s">
        <v>44</v>
      </c>
      <c r="B5573">
        <v>13</v>
      </c>
      <c r="C5573" t="s">
        <v>17</v>
      </c>
      <c r="D5573" s="1">
        <v>45688</v>
      </c>
      <c r="E5573">
        <v>3173.3</v>
      </c>
      <c r="F5573">
        <v>162.29</v>
      </c>
      <c r="G5573">
        <v>98.58</v>
      </c>
      <c r="H5573">
        <v>299</v>
      </c>
      <c r="I5573" t="s">
        <v>25</v>
      </c>
      <c r="J5573">
        <v>2025</v>
      </c>
      <c r="K5573">
        <f t="shared" si="174"/>
        <v>63.709999999999994</v>
      </c>
      <c r="L5573" t="str">
        <f t="shared" si="175"/>
        <v>Banca Città|13|Carte</v>
      </c>
    </row>
    <row r="5574" spans="1:12" x14ac:dyDescent="0.25">
      <c r="A5574" t="s">
        <v>44</v>
      </c>
      <c r="B5574">
        <v>13</v>
      </c>
      <c r="C5574" t="s">
        <v>18</v>
      </c>
      <c r="D5574" s="1">
        <v>45688</v>
      </c>
      <c r="E5574">
        <v>3737.2</v>
      </c>
      <c r="F5574">
        <v>198.8</v>
      </c>
      <c r="G5574">
        <v>120.35</v>
      </c>
      <c r="H5574">
        <v>375</v>
      </c>
      <c r="I5574" t="s">
        <v>25</v>
      </c>
      <c r="J5574">
        <v>2025</v>
      </c>
      <c r="K5574">
        <f t="shared" si="174"/>
        <v>78.450000000000017</v>
      </c>
      <c r="L5574" t="str">
        <f t="shared" si="175"/>
        <v>Banca Città|13|Leasing</v>
      </c>
    </row>
    <row r="5575" spans="1:12" x14ac:dyDescent="0.25">
      <c r="A5575" t="s">
        <v>44</v>
      </c>
      <c r="B5575">
        <v>13</v>
      </c>
      <c r="C5575" t="s">
        <v>19</v>
      </c>
      <c r="D5575" s="1">
        <v>45688</v>
      </c>
      <c r="E5575">
        <v>4296.8</v>
      </c>
      <c r="F5575">
        <v>236.71</v>
      </c>
      <c r="G5575">
        <v>142.41999999999999</v>
      </c>
      <c r="H5575">
        <v>394</v>
      </c>
      <c r="I5575" t="s">
        <v>25</v>
      </c>
      <c r="J5575">
        <v>2025</v>
      </c>
      <c r="K5575">
        <f t="shared" si="174"/>
        <v>94.29000000000002</v>
      </c>
      <c r="L5575" t="str">
        <f t="shared" si="175"/>
        <v>Banca Città|13|Factoring</v>
      </c>
    </row>
    <row r="5576" spans="1:12" x14ac:dyDescent="0.25">
      <c r="A5576" t="s">
        <v>44</v>
      </c>
      <c r="B5576">
        <v>13</v>
      </c>
      <c r="C5576" t="s">
        <v>20</v>
      </c>
      <c r="D5576" s="1">
        <v>45688</v>
      </c>
      <c r="E5576">
        <v>4906.6000000000004</v>
      </c>
      <c r="F5576">
        <v>280.45</v>
      </c>
      <c r="G5576">
        <v>167.13</v>
      </c>
      <c r="H5576">
        <v>463</v>
      </c>
      <c r="I5576" t="s">
        <v>25</v>
      </c>
      <c r="J5576">
        <v>2025</v>
      </c>
      <c r="K5576">
        <f t="shared" si="174"/>
        <v>113.32</v>
      </c>
      <c r="L5576" t="str">
        <f t="shared" si="175"/>
        <v>Banca Città|13|Risparmio</v>
      </c>
    </row>
    <row r="5577" spans="1:12" x14ac:dyDescent="0.25">
      <c r="A5577" t="s">
        <v>44</v>
      </c>
      <c r="B5577">
        <v>13</v>
      </c>
      <c r="C5577" t="s">
        <v>21</v>
      </c>
      <c r="D5577" s="1">
        <v>45688</v>
      </c>
      <c r="E5577">
        <v>5439.9</v>
      </c>
      <c r="F5577">
        <v>321.69</v>
      </c>
      <c r="G5577">
        <v>190.5</v>
      </c>
      <c r="H5577">
        <v>529</v>
      </c>
      <c r="I5577" t="s">
        <v>25</v>
      </c>
      <c r="J5577">
        <v>2025</v>
      </c>
      <c r="K5577">
        <f t="shared" si="174"/>
        <v>131.19</v>
      </c>
      <c r="L5577" t="str">
        <f t="shared" si="175"/>
        <v>Banca Città|13|Assicurazioni</v>
      </c>
    </row>
    <row r="5578" spans="1:12" x14ac:dyDescent="0.25">
      <c r="A5578" t="s">
        <v>44</v>
      </c>
      <c r="B5578">
        <v>14</v>
      </c>
      <c r="C5578" t="s">
        <v>13</v>
      </c>
      <c r="D5578" s="1">
        <v>45716</v>
      </c>
      <c r="E5578">
        <v>1483.9</v>
      </c>
      <c r="F5578">
        <v>67.180000000000007</v>
      </c>
      <c r="G5578">
        <v>42.31</v>
      </c>
      <c r="H5578">
        <v>164</v>
      </c>
      <c r="I5578" t="s">
        <v>25</v>
      </c>
      <c r="J5578">
        <v>2025</v>
      </c>
      <c r="K5578">
        <f t="shared" si="174"/>
        <v>24.870000000000005</v>
      </c>
      <c r="L5578" t="str">
        <f t="shared" si="175"/>
        <v>Banca Città|14|Mutui</v>
      </c>
    </row>
    <row r="5579" spans="1:12" x14ac:dyDescent="0.25">
      <c r="A5579" t="s">
        <v>44</v>
      </c>
      <c r="B5579">
        <v>14</v>
      </c>
      <c r="C5579" t="s">
        <v>15</v>
      </c>
      <c r="D5579" s="1">
        <v>45716</v>
      </c>
      <c r="E5579">
        <v>2095.4</v>
      </c>
      <c r="F5579">
        <v>98.76</v>
      </c>
      <c r="G5579">
        <v>60.87</v>
      </c>
      <c r="H5579">
        <v>216</v>
      </c>
      <c r="I5579" t="s">
        <v>25</v>
      </c>
      <c r="J5579">
        <v>2025</v>
      </c>
      <c r="K5579">
        <f t="shared" si="174"/>
        <v>37.890000000000008</v>
      </c>
      <c r="L5579" t="str">
        <f t="shared" si="175"/>
        <v>Banca Città|14|Prestiti</v>
      </c>
    </row>
    <row r="5580" spans="1:12" x14ac:dyDescent="0.25">
      <c r="A5580" t="s">
        <v>44</v>
      </c>
      <c r="B5580">
        <v>14</v>
      </c>
      <c r="C5580" t="s">
        <v>16</v>
      </c>
      <c r="D5580" s="1">
        <v>45716</v>
      </c>
      <c r="E5580">
        <v>2673.7</v>
      </c>
      <c r="F5580">
        <v>131.26</v>
      </c>
      <c r="G5580">
        <v>81.13</v>
      </c>
      <c r="H5580">
        <v>272</v>
      </c>
      <c r="I5580" t="s">
        <v>25</v>
      </c>
      <c r="J5580">
        <v>2025</v>
      </c>
      <c r="K5580">
        <f t="shared" si="174"/>
        <v>50.129999999999995</v>
      </c>
      <c r="L5580" t="str">
        <f t="shared" si="175"/>
        <v>Banca Città|14|Conti</v>
      </c>
    </row>
    <row r="5581" spans="1:12" x14ac:dyDescent="0.25">
      <c r="A5581" t="s">
        <v>44</v>
      </c>
      <c r="B5581">
        <v>14</v>
      </c>
      <c r="C5581" t="s">
        <v>17</v>
      </c>
      <c r="D5581" s="1">
        <v>45716</v>
      </c>
      <c r="E5581">
        <v>3241.6</v>
      </c>
      <c r="F5581">
        <v>165.38</v>
      </c>
      <c r="G5581">
        <v>100.52</v>
      </c>
      <c r="H5581">
        <v>326</v>
      </c>
      <c r="I5581" t="s">
        <v>25</v>
      </c>
      <c r="J5581">
        <v>2025</v>
      </c>
      <c r="K5581">
        <f t="shared" si="174"/>
        <v>64.86</v>
      </c>
      <c r="L5581" t="str">
        <f t="shared" si="175"/>
        <v>Banca Città|14|Carte</v>
      </c>
    </row>
    <row r="5582" spans="1:12" x14ac:dyDescent="0.25">
      <c r="A5582" t="s">
        <v>44</v>
      </c>
      <c r="B5582">
        <v>14</v>
      </c>
      <c r="C5582" t="s">
        <v>18</v>
      </c>
      <c r="D5582" s="1">
        <v>45716</v>
      </c>
      <c r="E5582">
        <v>3802.7</v>
      </c>
      <c r="F5582">
        <v>201.63</v>
      </c>
      <c r="G5582">
        <v>122.31</v>
      </c>
      <c r="H5582">
        <v>367</v>
      </c>
      <c r="I5582" t="s">
        <v>25</v>
      </c>
      <c r="J5582">
        <v>2025</v>
      </c>
      <c r="K5582">
        <f t="shared" si="174"/>
        <v>79.319999999999993</v>
      </c>
      <c r="L5582" t="str">
        <f t="shared" si="175"/>
        <v>Banca Città|14|Leasing</v>
      </c>
    </row>
    <row r="5583" spans="1:12" x14ac:dyDescent="0.25">
      <c r="A5583" t="s">
        <v>44</v>
      </c>
      <c r="B5583">
        <v>14</v>
      </c>
      <c r="C5583" t="s">
        <v>19</v>
      </c>
      <c r="D5583" s="1">
        <v>45716</v>
      </c>
      <c r="E5583">
        <v>4347</v>
      </c>
      <c r="F5583">
        <v>239.6</v>
      </c>
      <c r="G5583">
        <v>144.11000000000001</v>
      </c>
      <c r="H5583">
        <v>401</v>
      </c>
      <c r="I5583" t="s">
        <v>25</v>
      </c>
      <c r="J5583">
        <v>2025</v>
      </c>
      <c r="K5583">
        <f t="shared" si="174"/>
        <v>95.489999999999981</v>
      </c>
      <c r="L5583" t="str">
        <f t="shared" si="175"/>
        <v>Banca Città|14|Factoring</v>
      </c>
    </row>
    <row r="5584" spans="1:12" x14ac:dyDescent="0.25">
      <c r="A5584" t="s">
        <v>44</v>
      </c>
      <c r="B5584">
        <v>14</v>
      </c>
      <c r="C5584" t="s">
        <v>20</v>
      </c>
      <c r="D5584" s="1">
        <v>45716</v>
      </c>
      <c r="E5584">
        <v>4938.6000000000004</v>
      </c>
      <c r="F5584">
        <v>281.85000000000002</v>
      </c>
      <c r="G5584">
        <v>168.2</v>
      </c>
      <c r="H5584">
        <v>452</v>
      </c>
      <c r="I5584" t="s">
        <v>25</v>
      </c>
      <c r="J5584">
        <v>2025</v>
      </c>
      <c r="K5584">
        <f t="shared" si="174"/>
        <v>113.65000000000003</v>
      </c>
      <c r="L5584" t="str">
        <f t="shared" si="175"/>
        <v>Banca Città|14|Risparmio</v>
      </c>
    </row>
    <row r="5585" spans="1:12" x14ac:dyDescent="0.25">
      <c r="A5585" t="s">
        <v>44</v>
      </c>
      <c r="B5585">
        <v>14</v>
      </c>
      <c r="C5585" t="s">
        <v>21</v>
      </c>
      <c r="D5585" s="1">
        <v>45716</v>
      </c>
      <c r="E5585">
        <v>5511.9</v>
      </c>
      <c r="F5585">
        <v>326.16000000000003</v>
      </c>
      <c r="G5585">
        <v>192.98</v>
      </c>
      <c r="H5585">
        <v>498</v>
      </c>
      <c r="I5585" t="s">
        <v>25</v>
      </c>
      <c r="J5585">
        <v>2025</v>
      </c>
      <c r="K5585">
        <f t="shared" si="174"/>
        <v>133.18000000000004</v>
      </c>
      <c r="L5585" t="str">
        <f t="shared" si="175"/>
        <v>Banca Città|14|Assicurazioni</v>
      </c>
    </row>
    <row r="5586" spans="1:12" x14ac:dyDescent="0.25">
      <c r="A5586" t="s">
        <v>44</v>
      </c>
      <c r="B5586">
        <v>15</v>
      </c>
      <c r="C5586" t="s">
        <v>13</v>
      </c>
      <c r="D5586" s="1">
        <v>45747</v>
      </c>
      <c r="E5586">
        <v>1550.6</v>
      </c>
      <c r="F5586">
        <v>70.06</v>
      </c>
      <c r="G5586">
        <v>44.31</v>
      </c>
      <c r="H5586">
        <v>143</v>
      </c>
      <c r="I5586" t="s">
        <v>25</v>
      </c>
      <c r="J5586">
        <v>2025</v>
      </c>
      <c r="K5586">
        <f t="shared" si="174"/>
        <v>25.75</v>
      </c>
      <c r="L5586" t="str">
        <f t="shared" si="175"/>
        <v>Banca Città|15|Mutui</v>
      </c>
    </row>
    <row r="5587" spans="1:12" x14ac:dyDescent="0.25">
      <c r="A5587" t="s">
        <v>44</v>
      </c>
      <c r="B5587">
        <v>15</v>
      </c>
      <c r="C5587" t="s">
        <v>15</v>
      </c>
      <c r="D5587" s="1">
        <v>45747</v>
      </c>
      <c r="E5587">
        <v>2070.6</v>
      </c>
      <c r="F5587">
        <v>98.17</v>
      </c>
      <c r="G5587">
        <v>60.48</v>
      </c>
      <c r="H5587">
        <v>211</v>
      </c>
      <c r="I5587" t="s">
        <v>25</v>
      </c>
      <c r="J5587">
        <v>2025</v>
      </c>
      <c r="K5587">
        <f t="shared" si="174"/>
        <v>37.690000000000005</v>
      </c>
      <c r="L5587" t="str">
        <f t="shared" si="175"/>
        <v>Banca Città|15|Prestiti</v>
      </c>
    </row>
    <row r="5588" spans="1:12" x14ac:dyDescent="0.25">
      <c r="A5588" t="s">
        <v>44</v>
      </c>
      <c r="B5588">
        <v>15</v>
      </c>
      <c r="C5588" t="s">
        <v>16</v>
      </c>
      <c r="D5588" s="1">
        <v>45747</v>
      </c>
      <c r="E5588">
        <v>2657.2</v>
      </c>
      <c r="F5588">
        <v>130.91</v>
      </c>
      <c r="G5588">
        <v>79.89</v>
      </c>
      <c r="H5588">
        <v>242</v>
      </c>
      <c r="I5588" t="s">
        <v>25</v>
      </c>
      <c r="J5588">
        <v>2025</v>
      </c>
      <c r="K5588">
        <f t="shared" si="174"/>
        <v>51.019999999999996</v>
      </c>
      <c r="L5588" t="str">
        <f t="shared" si="175"/>
        <v>Banca Città|15|Conti</v>
      </c>
    </row>
    <row r="5589" spans="1:12" x14ac:dyDescent="0.25">
      <c r="A5589" t="s">
        <v>44</v>
      </c>
      <c r="B5589">
        <v>15</v>
      </c>
      <c r="C5589" t="s">
        <v>17</v>
      </c>
      <c r="D5589" s="1">
        <v>45747</v>
      </c>
      <c r="E5589">
        <v>3237.9</v>
      </c>
      <c r="F5589">
        <v>165.91</v>
      </c>
      <c r="G5589">
        <v>100.44</v>
      </c>
      <c r="H5589">
        <v>299</v>
      </c>
      <c r="I5589" t="s">
        <v>25</v>
      </c>
      <c r="J5589">
        <v>2025</v>
      </c>
      <c r="K5589">
        <f t="shared" si="174"/>
        <v>65.47</v>
      </c>
      <c r="L5589" t="str">
        <f t="shared" si="175"/>
        <v>Banca Città|15|Carte</v>
      </c>
    </row>
    <row r="5590" spans="1:12" x14ac:dyDescent="0.25">
      <c r="A5590" t="s">
        <v>44</v>
      </c>
      <c r="B5590">
        <v>15</v>
      </c>
      <c r="C5590" t="s">
        <v>18</v>
      </c>
      <c r="D5590" s="1">
        <v>45747</v>
      </c>
      <c r="E5590">
        <v>3811</v>
      </c>
      <c r="F5590">
        <v>202.6</v>
      </c>
      <c r="G5590">
        <v>122.78</v>
      </c>
      <c r="H5590">
        <v>376</v>
      </c>
      <c r="I5590" t="s">
        <v>25</v>
      </c>
      <c r="J5590">
        <v>2025</v>
      </c>
      <c r="K5590">
        <f t="shared" si="174"/>
        <v>79.819999999999993</v>
      </c>
      <c r="L5590" t="str">
        <f t="shared" si="175"/>
        <v>Banca Città|15|Leasing</v>
      </c>
    </row>
    <row r="5591" spans="1:12" x14ac:dyDescent="0.25">
      <c r="A5591" t="s">
        <v>44</v>
      </c>
      <c r="B5591">
        <v>15</v>
      </c>
      <c r="C5591" t="s">
        <v>19</v>
      </c>
      <c r="D5591" s="1">
        <v>45747</v>
      </c>
      <c r="E5591">
        <v>4396.5</v>
      </c>
      <c r="F5591">
        <v>242.77</v>
      </c>
      <c r="G5591">
        <v>145.74</v>
      </c>
      <c r="H5591">
        <v>429</v>
      </c>
      <c r="I5591" t="s">
        <v>25</v>
      </c>
      <c r="J5591">
        <v>2025</v>
      </c>
      <c r="K5591">
        <f t="shared" si="174"/>
        <v>97.03</v>
      </c>
      <c r="L5591" t="str">
        <f t="shared" si="175"/>
        <v>Banca Città|15|Factoring</v>
      </c>
    </row>
    <row r="5592" spans="1:12" x14ac:dyDescent="0.25">
      <c r="A5592" t="s">
        <v>44</v>
      </c>
      <c r="B5592">
        <v>15</v>
      </c>
      <c r="C5592" t="s">
        <v>20</v>
      </c>
      <c r="D5592" s="1">
        <v>45747</v>
      </c>
      <c r="E5592">
        <v>4924.8999999999996</v>
      </c>
      <c r="F5592">
        <v>281.70999999999998</v>
      </c>
      <c r="G5592">
        <v>168.34</v>
      </c>
      <c r="H5592">
        <v>481</v>
      </c>
      <c r="I5592" t="s">
        <v>25</v>
      </c>
      <c r="J5592">
        <v>2025</v>
      </c>
      <c r="K5592">
        <f t="shared" si="174"/>
        <v>113.36999999999998</v>
      </c>
      <c r="L5592" t="str">
        <f t="shared" si="175"/>
        <v>Banca Città|15|Risparmio</v>
      </c>
    </row>
    <row r="5593" spans="1:12" x14ac:dyDescent="0.25">
      <c r="A5593" t="s">
        <v>44</v>
      </c>
      <c r="B5593">
        <v>15</v>
      </c>
      <c r="C5593" t="s">
        <v>21</v>
      </c>
      <c r="D5593" s="1">
        <v>45747</v>
      </c>
      <c r="E5593">
        <v>5538.7</v>
      </c>
      <c r="F5593">
        <v>326.98</v>
      </c>
      <c r="G5593">
        <v>194.3</v>
      </c>
      <c r="H5593">
        <v>517</v>
      </c>
      <c r="I5593" t="s">
        <v>25</v>
      </c>
      <c r="J5593">
        <v>2025</v>
      </c>
      <c r="K5593">
        <f t="shared" si="174"/>
        <v>132.68</v>
      </c>
      <c r="L5593" t="str">
        <f t="shared" si="175"/>
        <v>Banca Città|15|Assicurazioni</v>
      </c>
    </row>
    <row r="5594" spans="1:12" x14ac:dyDescent="0.25">
      <c r="A5594" t="s">
        <v>44</v>
      </c>
      <c r="B5594">
        <v>16</v>
      </c>
      <c r="C5594" t="s">
        <v>13</v>
      </c>
      <c r="D5594" s="1">
        <v>45777</v>
      </c>
      <c r="E5594">
        <v>1506.8</v>
      </c>
      <c r="F5594">
        <v>67.89</v>
      </c>
      <c r="G5594">
        <v>42.24</v>
      </c>
      <c r="H5594">
        <v>174</v>
      </c>
      <c r="I5594" t="s">
        <v>25</v>
      </c>
      <c r="J5594">
        <v>2025</v>
      </c>
      <c r="K5594">
        <f t="shared" si="174"/>
        <v>25.65</v>
      </c>
      <c r="L5594" t="str">
        <f t="shared" si="175"/>
        <v>Banca Città|16|Mutui</v>
      </c>
    </row>
    <row r="5595" spans="1:12" x14ac:dyDescent="0.25">
      <c r="A5595" t="s">
        <v>44</v>
      </c>
      <c r="B5595">
        <v>16</v>
      </c>
      <c r="C5595" t="s">
        <v>15</v>
      </c>
      <c r="D5595" s="1">
        <v>45777</v>
      </c>
      <c r="E5595">
        <v>2112.6999999999998</v>
      </c>
      <c r="F5595">
        <v>99.48</v>
      </c>
      <c r="G5595">
        <v>61.45</v>
      </c>
      <c r="H5595">
        <v>218</v>
      </c>
      <c r="I5595" t="s">
        <v>25</v>
      </c>
      <c r="J5595">
        <v>2025</v>
      </c>
      <c r="K5595">
        <f t="shared" si="174"/>
        <v>38.03</v>
      </c>
      <c r="L5595" t="str">
        <f t="shared" si="175"/>
        <v>Banca Città|16|Prestiti</v>
      </c>
    </row>
    <row r="5596" spans="1:12" x14ac:dyDescent="0.25">
      <c r="A5596" t="s">
        <v>44</v>
      </c>
      <c r="B5596">
        <v>16</v>
      </c>
      <c r="C5596" t="s">
        <v>16</v>
      </c>
      <c r="D5596" s="1">
        <v>45777</v>
      </c>
      <c r="E5596">
        <v>2699.1</v>
      </c>
      <c r="F5596">
        <v>133.15</v>
      </c>
      <c r="G5596">
        <v>81.77</v>
      </c>
      <c r="H5596">
        <v>263</v>
      </c>
      <c r="I5596" t="s">
        <v>25</v>
      </c>
      <c r="J5596">
        <v>2025</v>
      </c>
      <c r="K5596">
        <f t="shared" si="174"/>
        <v>51.38000000000001</v>
      </c>
      <c r="L5596" t="str">
        <f t="shared" si="175"/>
        <v>Banca Città|16|Conti</v>
      </c>
    </row>
    <row r="5597" spans="1:12" x14ac:dyDescent="0.25">
      <c r="A5597" t="s">
        <v>44</v>
      </c>
      <c r="B5597">
        <v>16</v>
      </c>
      <c r="C5597" t="s">
        <v>17</v>
      </c>
      <c r="D5597" s="1">
        <v>45777</v>
      </c>
      <c r="E5597">
        <v>3249.3</v>
      </c>
      <c r="F5597">
        <v>166.17</v>
      </c>
      <c r="G5597">
        <v>101.69</v>
      </c>
      <c r="H5597">
        <v>307</v>
      </c>
      <c r="I5597" t="s">
        <v>25</v>
      </c>
      <c r="J5597">
        <v>2025</v>
      </c>
      <c r="K5597">
        <f t="shared" si="174"/>
        <v>64.47999999999999</v>
      </c>
      <c r="L5597" t="str">
        <f t="shared" si="175"/>
        <v>Banca Città|16|Carte</v>
      </c>
    </row>
    <row r="5598" spans="1:12" x14ac:dyDescent="0.25">
      <c r="A5598" t="s">
        <v>44</v>
      </c>
      <c r="B5598">
        <v>16</v>
      </c>
      <c r="C5598" t="s">
        <v>18</v>
      </c>
      <c r="D5598" s="1">
        <v>45777</v>
      </c>
      <c r="E5598">
        <v>3845</v>
      </c>
      <c r="F5598">
        <v>203.98</v>
      </c>
      <c r="G5598">
        <v>123.5</v>
      </c>
      <c r="H5598">
        <v>363</v>
      </c>
      <c r="I5598" t="s">
        <v>25</v>
      </c>
      <c r="J5598">
        <v>2025</v>
      </c>
      <c r="K5598">
        <f t="shared" si="174"/>
        <v>80.47999999999999</v>
      </c>
      <c r="L5598" t="str">
        <f t="shared" si="175"/>
        <v>Banca Città|16|Leasing</v>
      </c>
    </row>
    <row r="5599" spans="1:12" x14ac:dyDescent="0.25">
      <c r="A5599" t="s">
        <v>44</v>
      </c>
      <c r="B5599">
        <v>16</v>
      </c>
      <c r="C5599" t="s">
        <v>19</v>
      </c>
      <c r="D5599" s="1">
        <v>45777</v>
      </c>
      <c r="E5599">
        <v>4397.7</v>
      </c>
      <c r="F5599">
        <v>242.68</v>
      </c>
      <c r="G5599">
        <v>145.30000000000001</v>
      </c>
      <c r="H5599">
        <v>406</v>
      </c>
      <c r="I5599" t="s">
        <v>25</v>
      </c>
      <c r="J5599">
        <v>2025</v>
      </c>
      <c r="K5599">
        <f t="shared" si="174"/>
        <v>97.38</v>
      </c>
      <c r="L5599" t="str">
        <f t="shared" si="175"/>
        <v>Banca Città|16|Factoring</v>
      </c>
    </row>
    <row r="5600" spans="1:12" x14ac:dyDescent="0.25">
      <c r="A5600" t="s">
        <v>44</v>
      </c>
      <c r="B5600">
        <v>16</v>
      </c>
      <c r="C5600" t="s">
        <v>20</v>
      </c>
      <c r="D5600" s="1">
        <v>45777</v>
      </c>
      <c r="E5600">
        <v>4974.2</v>
      </c>
      <c r="F5600">
        <v>283.86</v>
      </c>
      <c r="G5600">
        <v>169.57</v>
      </c>
      <c r="H5600">
        <v>451</v>
      </c>
      <c r="I5600" t="s">
        <v>25</v>
      </c>
      <c r="J5600">
        <v>2025</v>
      </c>
      <c r="K5600">
        <f t="shared" si="174"/>
        <v>114.29000000000002</v>
      </c>
      <c r="L5600" t="str">
        <f t="shared" si="175"/>
        <v>Banca Città|16|Risparmio</v>
      </c>
    </row>
    <row r="5601" spans="1:12" x14ac:dyDescent="0.25">
      <c r="A5601" t="s">
        <v>44</v>
      </c>
      <c r="B5601">
        <v>16</v>
      </c>
      <c r="C5601" t="s">
        <v>21</v>
      </c>
      <c r="D5601" s="1">
        <v>45777</v>
      </c>
      <c r="E5601">
        <v>5541.5</v>
      </c>
      <c r="F5601">
        <v>327.52</v>
      </c>
      <c r="G5601">
        <v>194.83</v>
      </c>
      <c r="H5601">
        <v>508</v>
      </c>
      <c r="I5601" t="s">
        <v>25</v>
      </c>
      <c r="J5601">
        <v>2025</v>
      </c>
      <c r="K5601">
        <f t="shared" si="174"/>
        <v>132.68999999999997</v>
      </c>
      <c r="L5601" t="str">
        <f t="shared" si="175"/>
        <v>Banca Città|16|Assicurazioni</v>
      </c>
    </row>
    <row r="5602" spans="1:12" x14ac:dyDescent="0.25">
      <c r="A5602" t="s">
        <v>44</v>
      </c>
      <c r="B5602">
        <v>17</v>
      </c>
      <c r="C5602" t="s">
        <v>13</v>
      </c>
      <c r="D5602" s="1">
        <v>45808</v>
      </c>
      <c r="E5602">
        <v>1531.6</v>
      </c>
      <c r="F5602">
        <v>69.7</v>
      </c>
      <c r="G5602">
        <v>43.76</v>
      </c>
      <c r="H5602">
        <v>146</v>
      </c>
      <c r="I5602" t="s">
        <v>25</v>
      </c>
      <c r="J5602">
        <v>2025</v>
      </c>
      <c r="K5602">
        <f t="shared" si="174"/>
        <v>25.940000000000005</v>
      </c>
      <c r="L5602" t="str">
        <f t="shared" si="175"/>
        <v>Banca Città|17|Mutui</v>
      </c>
    </row>
    <row r="5603" spans="1:12" x14ac:dyDescent="0.25">
      <c r="A5603" t="s">
        <v>44</v>
      </c>
      <c r="B5603">
        <v>17</v>
      </c>
      <c r="C5603" t="s">
        <v>15</v>
      </c>
      <c r="D5603" s="1">
        <v>45808</v>
      </c>
      <c r="E5603">
        <v>2149.4</v>
      </c>
      <c r="F5603">
        <v>101.23</v>
      </c>
      <c r="G5603">
        <v>62.58</v>
      </c>
      <c r="H5603">
        <v>215</v>
      </c>
      <c r="I5603" t="s">
        <v>25</v>
      </c>
      <c r="J5603">
        <v>2025</v>
      </c>
      <c r="K5603">
        <f t="shared" si="174"/>
        <v>38.650000000000006</v>
      </c>
      <c r="L5603" t="str">
        <f t="shared" si="175"/>
        <v>Banca Città|17|Prestiti</v>
      </c>
    </row>
    <row r="5604" spans="1:12" x14ac:dyDescent="0.25">
      <c r="A5604" t="s">
        <v>44</v>
      </c>
      <c r="B5604">
        <v>17</v>
      </c>
      <c r="C5604" t="s">
        <v>16</v>
      </c>
      <c r="D5604" s="1">
        <v>45808</v>
      </c>
      <c r="E5604">
        <v>2689.9</v>
      </c>
      <c r="F5604">
        <v>132.04</v>
      </c>
      <c r="G5604">
        <v>81.680000000000007</v>
      </c>
      <c r="H5604">
        <v>238</v>
      </c>
      <c r="I5604" t="s">
        <v>25</v>
      </c>
      <c r="J5604">
        <v>2025</v>
      </c>
      <c r="K5604">
        <f t="shared" si="174"/>
        <v>50.359999999999985</v>
      </c>
      <c r="L5604" t="str">
        <f t="shared" si="175"/>
        <v>Banca Città|17|Conti</v>
      </c>
    </row>
    <row r="5605" spans="1:12" x14ac:dyDescent="0.25">
      <c r="A5605" t="s">
        <v>44</v>
      </c>
      <c r="B5605">
        <v>17</v>
      </c>
      <c r="C5605" t="s">
        <v>17</v>
      </c>
      <c r="D5605" s="1">
        <v>45808</v>
      </c>
      <c r="E5605">
        <v>3291.1</v>
      </c>
      <c r="F5605">
        <v>168.47</v>
      </c>
      <c r="G5605">
        <v>102.48</v>
      </c>
      <c r="H5605">
        <v>318</v>
      </c>
      <c r="I5605" t="s">
        <v>25</v>
      </c>
      <c r="J5605">
        <v>2025</v>
      </c>
      <c r="K5605">
        <f t="shared" si="174"/>
        <v>65.989999999999995</v>
      </c>
      <c r="L5605" t="str">
        <f t="shared" si="175"/>
        <v>Banca Città|17|Carte</v>
      </c>
    </row>
    <row r="5606" spans="1:12" x14ac:dyDescent="0.25">
      <c r="A5606" t="s">
        <v>44</v>
      </c>
      <c r="B5606">
        <v>17</v>
      </c>
      <c r="C5606" t="s">
        <v>18</v>
      </c>
      <c r="D5606" s="1">
        <v>45808</v>
      </c>
      <c r="E5606">
        <v>3850.5</v>
      </c>
      <c r="F5606">
        <v>204.08</v>
      </c>
      <c r="G5606">
        <v>124</v>
      </c>
      <c r="H5606">
        <v>362</v>
      </c>
      <c r="I5606" t="s">
        <v>25</v>
      </c>
      <c r="J5606">
        <v>2025</v>
      </c>
      <c r="K5606">
        <f t="shared" si="174"/>
        <v>80.080000000000013</v>
      </c>
      <c r="L5606" t="str">
        <f t="shared" si="175"/>
        <v>Banca Città|17|Leasing</v>
      </c>
    </row>
    <row r="5607" spans="1:12" x14ac:dyDescent="0.25">
      <c r="A5607" t="s">
        <v>44</v>
      </c>
      <c r="B5607">
        <v>17</v>
      </c>
      <c r="C5607" t="s">
        <v>19</v>
      </c>
      <c r="D5607" s="1">
        <v>45808</v>
      </c>
      <c r="E5607">
        <v>4458.5</v>
      </c>
      <c r="F5607">
        <v>245.66</v>
      </c>
      <c r="G5607">
        <v>147.68</v>
      </c>
      <c r="H5607">
        <v>413</v>
      </c>
      <c r="I5607" t="s">
        <v>25</v>
      </c>
      <c r="J5607">
        <v>2025</v>
      </c>
      <c r="K5607">
        <f t="shared" si="174"/>
        <v>97.97999999999999</v>
      </c>
      <c r="L5607" t="str">
        <f t="shared" si="175"/>
        <v>Banca Città|17|Factoring</v>
      </c>
    </row>
    <row r="5608" spans="1:12" x14ac:dyDescent="0.25">
      <c r="A5608" t="s">
        <v>44</v>
      </c>
      <c r="B5608">
        <v>17</v>
      </c>
      <c r="C5608" t="s">
        <v>20</v>
      </c>
      <c r="D5608" s="1">
        <v>45808</v>
      </c>
      <c r="E5608">
        <v>5037.5</v>
      </c>
      <c r="F5608">
        <v>287.72000000000003</v>
      </c>
      <c r="G5608">
        <v>171.84</v>
      </c>
      <c r="H5608">
        <v>450</v>
      </c>
      <c r="I5608" t="s">
        <v>25</v>
      </c>
      <c r="J5608">
        <v>2025</v>
      </c>
      <c r="K5608">
        <f t="shared" si="174"/>
        <v>115.88000000000002</v>
      </c>
      <c r="L5608" t="str">
        <f t="shared" si="175"/>
        <v>Banca Città|17|Risparmio</v>
      </c>
    </row>
    <row r="5609" spans="1:12" x14ac:dyDescent="0.25">
      <c r="A5609" t="s">
        <v>44</v>
      </c>
      <c r="B5609">
        <v>17</v>
      </c>
      <c r="C5609" t="s">
        <v>21</v>
      </c>
      <c r="D5609" s="1">
        <v>45808</v>
      </c>
      <c r="E5609">
        <v>5596.1</v>
      </c>
      <c r="F5609">
        <v>330.49</v>
      </c>
      <c r="G5609">
        <v>196.05</v>
      </c>
      <c r="H5609">
        <v>521</v>
      </c>
      <c r="I5609" t="s">
        <v>25</v>
      </c>
      <c r="J5609">
        <v>2025</v>
      </c>
      <c r="K5609">
        <f t="shared" si="174"/>
        <v>134.44</v>
      </c>
      <c r="L5609" t="str">
        <f t="shared" si="175"/>
        <v>Banca Città|17|Assicurazioni</v>
      </c>
    </row>
    <row r="5610" spans="1:12" x14ac:dyDescent="0.25">
      <c r="A5610" t="s">
        <v>44</v>
      </c>
      <c r="B5610">
        <v>18</v>
      </c>
      <c r="C5610" t="s">
        <v>13</v>
      </c>
      <c r="D5610" s="1">
        <v>45838</v>
      </c>
      <c r="E5610">
        <v>1528.3</v>
      </c>
      <c r="F5610">
        <v>69.34</v>
      </c>
      <c r="G5610">
        <v>43.25</v>
      </c>
      <c r="H5610">
        <v>143</v>
      </c>
      <c r="I5610" t="s">
        <v>25</v>
      </c>
      <c r="J5610">
        <v>2025</v>
      </c>
      <c r="K5610">
        <f t="shared" si="174"/>
        <v>26.090000000000003</v>
      </c>
      <c r="L5610" t="str">
        <f t="shared" si="175"/>
        <v>Banca Città|18|Mutui</v>
      </c>
    </row>
    <row r="5611" spans="1:12" x14ac:dyDescent="0.25">
      <c r="A5611" t="s">
        <v>44</v>
      </c>
      <c r="B5611">
        <v>18</v>
      </c>
      <c r="C5611" t="s">
        <v>15</v>
      </c>
      <c r="D5611" s="1">
        <v>45838</v>
      </c>
      <c r="E5611">
        <v>2137.9</v>
      </c>
      <c r="F5611">
        <v>100.84</v>
      </c>
      <c r="G5611">
        <v>62.44</v>
      </c>
      <c r="H5611">
        <v>213</v>
      </c>
      <c r="I5611" t="s">
        <v>25</v>
      </c>
      <c r="J5611">
        <v>2025</v>
      </c>
      <c r="K5611">
        <f t="shared" si="174"/>
        <v>38.400000000000006</v>
      </c>
      <c r="L5611" t="str">
        <f t="shared" si="175"/>
        <v>Banca Città|18|Prestiti</v>
      </c>
    </row>
    <row r="5612" spans="1:12" x14ac:dyDescent="0.25">
      <c r="A5612" t="s">
        <v>44</v>
      </c>
      <c r="B5612">
        <v>18</v>
      </c>
      <c r="C5612" t="s">
        <v>16</v>
      </c>
      <c r="D5612" s="1">
        <v>45838</v>
      </c>
      <c r="E5612">
        <v>2748.1</v>
      </c>
      <c r="F5612">
        <v>134.77000000000001</v>
      </c>
      <c r="G5612">
        <v>82.59</v>
      </c>
      <c r="H5612">
        <v>244</v>
      </c>
      <c r="I5612" t="s">
        <v>25</v>
      </c>
      <c r="J5612">
        <v>2025</v>
      </c>
      <c r="K5612">
        <f t="shared" si="174"/>
        <v>52.180000000000007</v>
      </c>
      <c r="L5612" t="str">
        <f t="shared" si="175"/>
        <v>Banca Città|18|Conti</v>
      </c>
    </row>
    <row r="5613" spans="1:12" x14ac:dyDescent="0.25">
      <c r="A5613" t="s">
        <v>44</v>
      </c>
      <c r="B5613">
        <v>18</v>
      </c>
      <c r="C5613" t="s">
        <v>17</v>
      </c>
      <c r="D5613" s="1">
        <v>45838</v>
      </c>
      <c r="E5613">
        <v>3314.3</v>
      </c>
      <c r="F5613">
        <v>170.02</v>
      </c>
      <c r="G5613">
        <v>103.07</v>
      </c>
      <c r="H5613">
        <v>311</v>
      </c>
      <c r="I5613" t="s">
        <v>25</v>
      </c>
      <c r="J5613">
        <v>2025</v>
      </c>
      <c r="K5613">
        <f t="shared" si="174"/>
        <v>66.950000000000017</v>
      </c>
      <c r="L5613" t="str">
        <f t="shared" si="175"/>
        <v>Banca Città|18|Carte</v>
      </c>
    </row>
    <row r="5614" spans="1:12" x14ac:dyDescent="0.25">
      <c r="A5614" t="s">
        <v>44</v>
      </c>
      <c r="B5614">
        <v>18</v>
      </c>
      <c r="C5614" t="s">
        <v>18</v>
      </c>
      <c r="D5614" s="1">
        <v>45838</v>
      </c>
      <c r="E5614">
        <v>3868.8</v>
      </c>
      <c r="F5614">
        <v>205.7</v>
      </c>
      <c r="G5614">
        <v>124.5</v>
      </c>
      <c r="H5614">
        <v>340</v>
      </c>
      <c r="I5614" t="s">
        <v>25</v>
      </c>
      <c r="J5614">
        <v>2025</v>
      </c>
      <c r="K5614">
        <f t="shared" si="174"/>
        <v>81.199999999999989</v>
      </c>
      <c r="L5614" t="str">
        <f t="shared" si="175"/>
        <v>Banca Città|18|Leasing</v>
      </c>
    </row>
    <row r="5615" spans="1:12" x14ac:dyDescent="0.25">
      <c r="A5615" t="s">
        <v>44</v>
      </c>
      <c r="B5615">
        <v>18</v>
      </c>
      <c r="C5615" t="s">
        <v>19</v>
      </c>
      <c r="D5615" s="1">
        <v>45838</v>
      </c>
      <c r="E5615">
        <v>4465.2</v>
      </c>
      <c r="F5615">
        <v>246.25</v>
      </c>
      <c r="G5615">
        <v>148.13</v>
      </c>
      <c r="H5615">
        <v>418</v>
      </c>
      <c r="I5615" t="s">
        <v>25</v>
      </c>
      <c r="J5615">
        <v>2025</v>
      </c>
      <c r="K5615">
        <f t="shared" si="174"/>
        <v>98.12</v>
      </c>
      <c r="L5615" t="str">
        <f t="shared" si="175"/>
        <v>Banca Città|18|Factoring</v>
      </c>
    </row>
    <row r="5616" spans="1:12" x14ac:dyDescent="0.25">
      <c r="A5616" t="s">
        <v>44</v>
      </c>
      <c r="B5616">
        <v>18</v>
      </c>
      <c r="C5616" t="s">
        <v>20</v>
      </c>
      <c r="D5616" s="1">
        <v>45838</v>
      </c>
      <c r="E5616">
        <v>5086.8</v>
      </c>
      <c r="F5616">
        <v>290.38</v>
      </c>
      <c r="G5616">
        <v>173.7</v>
      </c>
      <c r="H5616">
        <v>470</v>
      </c>
      <c r="I5616" t="s">
        <v>25</v>
      </c>
      <c r="J5616">
        <v>2025</v>
      </c>
      <c r="K5616">
        <f t="shared" si="174"/>
        <v>116.68</v>
      </c>
      <c r="L5616" t="str">
        <f t="shared" si="175"/>
        <v>Banca Città|18|Risparmio</v>
      </c>
    </row>
    <row r="5617" spans="1:12" x14ac:dyDescent="0.25">
      <c r="A5617" t="s">
        <v>44</v>
      </c>
      <c r="B5617">
        <v>18</v>
      </c>
      <c r="C5617" t="s">
        <v>21</v>
      </c>
      <c r="D5617" s="1">
        <v>45838</v>
      </c>
      <c r="E5617">
        <v>5623</v>
      </c>
      <c r="F5617">
        <v>332.31</v>
      </c>
      <c r="G5617">
        <v>197.42</v>
      </c>
      <c r="H5617">
        <v>497</v>
      </c>
      <c r="I5617" t="s">
        <v>25</v>
      </c>
      <c r="J5617">
        <v>2025</v>
      </c>
      <c r="K5617">
        <f t="shared" si="174"/>
        <v>134.89000000000001</v>
      </c>
      <c r="L5617" t="str">
        <f t="shared" si="175"/>
        <v>Banca Città|18|Assicurazioni</v>
      </c>
    </row>
    <row r="5618" spans="1:12" x14ac:dyDescent="0.25">
      <c r="A5618" t="s">
        <v>44</v>
      </c>
      <c r="B5618">
        <v>19</v>
      </c>
      <c r="C5618" t="s">
        <v>13</v>
      </c>
      <c r="D5618" s="1">
        <v>45869</v>
      </c>
      <c r="E5618">
        <v>1594.5</v>
      </c>
      <c r="F5618">
        <v>71.75</v>
      </c>
      <c r="G5618">
        <v>45.54</v>
      </c>
      <c r="H5618">
        <v>162</v>
      </c>
      <c r="I5618" t="s">
        <v>25</v>
      </c>
      <c r="J5618">
        <v>2025</v>
      </c>
      <c r="K5618">
        <f t="shared" si="174"/>
        <v>26.21</v>
      </c>
      <c r="L5618" t="str">
        <f t="shared" si="175"/>
        <v>Banca Città|19|Mutui</v>
      </c>
    </row>
    <row r="5619" spans="1:12" x14ac:dyDescent="0.25">
      <c r="A5619" t="s">
        <v>44</v>
      </c>
      <c r="B5619">
        <v>19</v>
      </c>
      <c r="C5619" t="s">
        <v>15</v>
      </c>
      <c r="D5619" s="1">
        <v>45869</v>
      </c>
      <c r="E5619">
        <v>2170.9</v>
      </c>
      <c r="F5619">
        <v>102.47</v>
      </c>
      <c r="G5619">
        <v>63.37</v>
      </c>
      <c r="H5619">
        <v>211</v>
      </c>
      <c r="I5619" t="s">
        <v>25</v>
      </c>
      <c r="J5619">
        <v>2025</v>
      </c>
      <c r="K5619">
        <f t="shared" si="174"/>
        <v>39.1</v>
      </c>
      <c r="L5619" t="str">
        <f t="shared" si="175"/>
        <v>Banca Città|19|Prestiti</v>
      </c>
    </row>
    <row r="5620" spans="1:12" x14ac:dyDescent="0.25">
      <c r="A5620" t="s">
        <v>44</v>
      </c>
      <c r="B5620">
        <v>19</v>
      </c>
      <c r="C5620" t="s">
        <v>16</v>
      </c>
      <c r="D5620" s="1">
        <v>45869</v>
      </c>
      <c r="E5620">
        <v>2717.9</v>
      </c>
      <c r="F5620">
        <v>134.16999999999999</v>
      </c>
      <c r="G5620">
        <v>82.16</v>
      </c>
      <c r="H5620">
        <v>262</v>
      </c>
      <c r="I5620" t="s">
        <v>25</v>
      </c>
      <c r="J5620">
        <v>2025</v>
      </c>
      <c r="K5620">
        <f t="shared" si="174"/>
        <v>52.009999999999991</v>
      </c>
      <c r="L5620" t="str">
        <f t="shared" si="175"/>
        <v>Banca Città|19|Conti</v>
      </c>
    </row>
    <row r="5621" spans="1:12" x14ac:dyDescent="0.25">
      <c r="A5621" t="s">
        <v>44</v>
      </c>
      <c r="B5621">
        <v>19</v>
      </c>
      <c r="C5621" t="s">
        <v>17</v>
      </c>
      <c r="D5621" s="1">
        <v>45869</v>
      </c>
      <c r="E5621">
        <v>3318.6</v>
      </c>
      <c r="F5621">
        <v>170.11</v>
      </c>
      <c r="G5621">
        <v>103.31</v>
      </c>
      <c r="H5621">
        <v>323</v>
      </c>
      <c r="I5621" t="s">
        <v>25</v>
      </c>
      <c r="J5621">
        <v>2025</v>
      </c>
      <c r="K5621">
        <f t="shared" si="174"/>
        <v>66.800000000000011</v>
      </c>
      <c r="L5621" t="str">
        <f t="shared" si="175"/>
        <v>Banca Città|19|Carte</v>
      </c>
    </row>
    <row r="5622" spans="1:12" x14ac:dyDescent="0.25">
      <c r="A5622" t="s">
        <v>44</v>
      </c>
      <c r="B5622">
        <v>19</v>
      </c>
      <c r="C5622" t="s">
        <v>18</v>
      </c>
      <c r="D5622" s="1">
        <v>45869</v>
      </c>
      <c r="E5622">
        <v>3904.3</v>
      </c>
      <c r="F5622">
        <v>207.51</v>
      </c>
      <c r="G5622">
        <v>125.7</v>
      </c>
      <c r="H5622">
        <v>369</v>
      </c>
      <c r="I5622" t="s">
        <v>25</v>
      </c>
      <c r="J5622">
        <v>2025</v>
      </c>
      <c r="K5622">
        <f t="shared" si="174"/>
        <v>81.809999999999988</v>
      </c>
      <c r="L5622" t="str">
        <f t="shared" si="175"/>
        <v>Banca Città|19|Leasing</v>
      </c>
    </row>
    <row r="5623" spans="1:12" x14ac:dyDescent="0.25">
      <c r="A5623" t="s">
        <v>44</v>
      </c>
      <c r="B5623">
        <v>19</v>
      </c>
      <c r="C5623" t="s">
        <v>19</v>
      </c>
      <c r="D5623" s="1">
        <v>45869</v>
      </c>
      <c r="E5623">
        <v>4537.8</v>
      </c>
      <c r="F5623">
        <v>249.94</v>
      </c>
      <c r="G5623">
        <v>150.19</v>
      </c>
      <c r="H5623">
        <v>391</v>
      </c>
      <c r="I5623" t="s">
        <v>25</v>
      </c>
      <c r="J5623">
        <v>2025</v>
      </c>
      <c r="K5623">
        <f t="shared" si="174"/>
        <v>99.75</v>
      </c>
      <c r="L5623" t="str">
        <f t="shared" si="175"/>
        <v>Banca Città|19|Factoring</v>
      </c>
    </row>
    <row r="5624" spans="1:12" x14ac:dyDescent="0.25">
      <c r="A5624" t="s">
        <v>44</v>
      </c>
      <c r="B5624">
        <v>19</v>
      </c>
      <c r="C5624" t="s">
        <v>20</v>
      </c>
      <c r="D5624" s="1">
        <v>45869</v>
      </c>
      <c r="E5624">
        <v>5096</v>
      </c>
      <c r="F5624">
        <v>290.85000000000002</v>
      </c>
      <c r="G5624">
        <v>173.48</v>
      </c>
      <c r="H5624">
        <v>466</v>
      </c>
      <c r="I5624" t="s">
        <v>25</v>
      </c>
      <c r="J5624">
        <v>2025</v>
      </c>
      <c r="K5624">
        <f t="shared" si="174"/>
        <v>117.37000000000003</v>
      </c>
      <c r="L5624" t="str">
        <f t="shared" si="175"/>
        <v>Banca Città|19|Risparmio</v>
      </c>
    </row>
    <row r="5625" spans="1:12" x14ac:dyDescent="0.25">
      <c r="A5625" t="s">
        <v>44</v>
      </c>
      <c r="B5625">
        <v>19</v>
      </c>
      <c r="C5625" t="s">
        <v>21</v>
      </c>
      <c r="D5625" s="1">
        <v>45869</v>
      </c>
      <c r="E5625">
        <v>5694.1</v>
      </c>
      <c r="F5625">
        <v>336.72</v>
      </c>
      <c r="G5625">
        <v>199.32</v>
      </c>
      <c r="H5625">
        <v>504</v>
      </c>
      <c r="I5625" t="s">
        <v>25</v>
      </c>
      <c r="J5625">
        <v>2025</v>
      </c>
      <c r="K5625">
        <f t="shared" si="174"/>
        <v>137.40000000000003</v>
      </c>
      <c r="L5625" t="str">
        <f t="shared" si="175"/>
        <v>Banca Città|19|Assicurazioni</v>
      </c>
    </row>
    <row r="5626" spans="1:12" x14ac:dyDescent="0.25">
      <c r="A5626" t="s">
        <v>44</v>
      </c>
      <c r="B5626">
        <v>20</v>
      </c>
      <c r="C5626" t="s">
        <v>13</v>
      </c>
      <c r="D5626" s="1">
        <v>45900</v>
      </c>
      <c r="E5626">
        <v>1578.8</v>
      </c>
      <c r="F5626">
        <v>71.3</v>
      </c>
      <c r="G5626">
        <v>44.37</v>
      </c>
      <c r="H5626">
        <v>160</v>
      </c>
      <c r="I5626" t="s">
        <v>25</v>
      </c>
      <c r="J5626">
        <v>2025</v>
      </c>
      <c r="K5626">
        <f t="shared" si="174"/>
        <v>26.93</v>
      </c>
      <c r="L5626" t="str">
        <f t="shared" si="175"/>
        <v>Banca Città|20|Mutui</v>
      </c>
    </row>
    <row r="5627" spans="1:12" x14ac:dyDescent="0.25">
      <c r="A5627" t="s">
        <v>44</v>
      </c>
      <c r="B5627">
        <v>20</v>
      </c>
      <c r="C5627" t="s">
        <v>15</v>
      </c>
      <c r="D5627" s="1">
        <v>45900</v>
      </c>
      <c r="E5627">
        <v>2156</v>
      </c>
      <c r="F5627">
        <v>102.14</v>
      </c>
      <c r="G5627">
        <v>62.66</v>
      </c>
      <c r="H5627">
        <v>204</v>
      </c>
      <c r="I5627" t="s">
        <v>25</v>
      </c>
      <c r="J5627">
        <v>2025</v>
      </c>
      <c r="K5627">
        <f t="shared" si="174"/>
        <v>39.480000000000004</v>
      </c>
      <c r="L5627" t="str">
        <f t="shared" si="175"/>
        <v>Banca Città|20|Prestiti</v>
      </c>
    </row>
    <row r="5628" spans="1:12" x14ac:dyDescent="0.25">
      <c r="A5628" t="s">
        <v>44</v>
      </c>
      <c r="B5628">
        <v>20</v>
      </c>
      <c r="C5628" t="s">
        <v>16</v>
      </c>
      <c r="D5628" s="1">
        <v>45900</v>
      </c>
      <c r="E5628">
        <v>2776.5</v>
      </c>
      <c r="F5628">
        <v>136.16999999999999</v>
      </c>
      <c r="G5628">
        <v>84.03</v>
      </c>
      <c r="H5628">
        <v>272</v>
      </c>
      <c r="I5628" t="s">
        <v>25</v>
      </c>
      <c r="J5628">
        <v>2025</v>
      </c>
      <c r="K5628">
        <f t="shared" si="174"/>
        <v>52.139999999999986</v>
      </c>
      <c r="L5628" t="str">
        <f t="shared" si="175"/>
        <v>Banca Città|20|Conti</v>
      </c>
    </row>
    <row r="5629" spans="1:12" x14ac:dyDescent="0.25">
      <c r="A5629" t="s">
        <v>44</v>
      </c>
      <c r="B5629">
        <v>20</v>
      </c>
      <c r="C5629" t="s">
        <v>17</v>
      </c>
      <c r="D5629" s="1">
        <v>45900</v>
      </c>
      <c r="E5629">
        <v>3377.2</v>
      </c>
      <c r="F5629">
        <v>172.47</v>
      </c>
      <c r="G5629">
        <v>104.85</v>
      </c>
      <c r="H5629">
        <v>315</v>
      </c>
      <c r="I5629" t="s">
        <v>25</v>
      </c>
      <c r="J5629">
        <v>2025</v>
      </c>
      <c r="K5629">
        <f t="shared" si="174"/>
        <v>67.62</v>
      </c>
      <c r="L5629" t="str">
        <f t="shared" si="175"/>
        <v>Banca Città|20|Carte</v>
      </c>
    </row>
    <row r="5630" spans="1:12" x14ac:dyDescent="0.25">
      <c r="A5630" t="s">
        <v>44</v>
      </c>
      <c r="B5630">
        <v>20</v>
      </c>
      <c r="C5630" t="s">
        <v>18</v>
      </c>
      <c r="D5630" s="1">
        <v>45900</v>
      </c>
      <c r="E5630">
        <v>3929.9</v>
      </c>
      <c r="F5630">
        <v>209.28</v>
      </c>
      <c r="G5630">
        <v>126.16</v>
      </c>
      <c r="H5630">
        <v>344</v>
      </c>
      <c r="I5630" t="s">
        <v>25</v>
      </c>
      <c r="J5630">
        <v>2025</v>
      </c>
      <c r="K5630">
        <f t="shared" si="174"/>
        <v>83.12</v>
      </c>
      <c r="L5630" t="str">
        <f t="shared" si="175"/>
        <v>Banca Città|20|Leasing</v>
      </c>
    </row>
    <row r="5631" spans="1:12" x14ac:dyDescent="0.25">
      <c r="A5631" t="s">
        <v>44</v>
      </c>
      <c r="B5631">
        <v>20</v>
      </c>
      <c r="C5631" t="s">
        <v>19</v>
      </c>
      <c r="D5631" s="1">
        <v>45900</v>
      </c>
      <c r="E5631">
        <v>4529.8999999999996</v>
      </c>
      <c r="F5631">
        <v>249.93</v>
      </c>
      <c r="G5631">
        <v>149.5</v>
      </c>
      <c r="H5631">
        <v>429</v>
      </c>
      <c r="I5631" t="s">
        <v>25</v>
      </c>
      <c r="J5631">
        <v>2025</v>
      </c>
      <c r="K5631">
        <f t="shared" si="174"/>
        <v>100.43</v>
      </c>
      <c r="L5631" t="str">
        <f t="shared" si="175"/>
        <v>Banca Città|20|Factoring</v>
      </c>
    </row>
    <row r="5632" spans="1:12" x14ac:dyDescent="0.25">
      <c r="A5632" t="s">
        <v>44</v>
      </c>
      <c r="B5632">
        <v>20</v>
      </c>
      <c r="C5632" t="s">
        <v>20</v>
      </c>
      <c r="D5632" s="1">
        <v>45900</v>
      </c>
      <c r="E5632">
        <v>5132.3999999999996</v>
      </c>
      <c r="F5632">
        <v>293.38</v>
      </c>
      <c r="G5632">
        <v>174.64</v>
      </c>
      <c r="H5632">
        <v>457</v>
      </c>
      <c r="I5632" t="s">
        <v>25</v>
      </c>
      <c r="J5632">
        <v>2025</v>
      </c>
      <c r="K5632">
        <f t="shared" si="174"/>
        <v>118.74000000000001</v>
      </c>
      <c r="L5632" t="str">
        <f t="shared" si="175"/>
        <v>Banca Città|20|Risparmio</v>
      </c>
    </row>
    <row r="5633" spans="1:12" x14ac:dyDescent="0.25">
      <c r="A5633" t="s">
        <v>44</v>
      </c>
      <c r="B5633">
        <v>20</v>
      </c>
      <c r="C5633" t="s">
        <v>21</v>
      </c>
      <c r="D5633" s="1">
        <v>45900</v>
      </c>
      <c r="E5633">
        <v>5722.7</v>
      </c>
      <c r="F5633">
        <v>338.05</v>
      </c>
      <c r="G5633">
        <v>200.45</v>
      </c>
      <c r="H5633">
        <v>513</v>
      </c>
      <c r="I5633" t="s">
        <v>25</v>
      </c>
      <c r="J5633">
        <v>2025</v>
      </c>
      <c r="K5633">
        <f t="shared" si="174"/>
        <v>137.60000000000002</v>
      </c>
      <c r="L5633" t="str">
        <f t="shared" si="175"/>
        <v>Banca Città|20|Assicurazioni</v>
      </c>
    </row>
    <row r="5634" spans="1:12" x14ac:dyDescent="0.25">
      <c r="A5634" t="s">
        <v>44</v>
      </c>
      <c r="B5634">
        <v>21</v>
      </c>
      <c r="C5634" t="s">
        <v>13</v>
      </c>
      <c r="D5634" s="1">
        <v>45930</v>
      </c>
      <c r="E5634">
        <v>1566.6</v>
      </c>
      <c r="F5634">
        <v>70.72</v>
      </c>
      <c r="G5634">
        <v>43.87</v>
      </c>
      <c r="H5634">
        <v>147</v>
      </c>
      <c r="I5634" t="s">
        <v>25</v>
      </c>
      <c r="J5634">
        <v>2025</v>
      </c>
      <c r="K5634">
        <f t="shared" ref="K5634:K5697" si="176">F5634-G5634</f>
        <v>26.85</v>
      </c>
      <c r="L5634" t="str">
        <f t="shared" ref="L5634:L5697" si="177">A5634&amp;"|"&amp;B5634&amp;"|"&amp;C5634</f>
        <v>Banca Città|21|Mutui</v>
      </c>
    </row>
    <row r="5635" spans="1:12" x14ac:dyDescent="0.25">
      <c r="A5635" t="s">
        <v>44</v>
      </c>
      <c r="B5635">
        <v>21</v>
      </c>
      <c r="C5635" t="s">
        <v>15</v>
      </c>
      <c r="D5635" s="1">
        <v>45930</v>
      </c>
      <c r="E5635">
        <v>2171.6999999999998</v>
      </c>
      <c r="F5635">
        <v>102.7</v>
      </c>
      <c r="G5635">
        <v>63.33</v>
      </c>
      <c r="H5635">
        <v>217</v>
      </c>
      <c r="I5635" t="s">
        <v>25</v>
      </c>
      <c r="J5635">
        <v>2025</v>
      </c>
      <c r="K5635">
        <f t="shared" si="176"/>
        <v>39.370000000000005</v>
      </c>
      <c r="L5635" t="str">
        <f t="shared" si="177"/>
        <v>Banca Città|21|Prestiti</v>
      </c>
    </row>
    <row r="5636" spans="1:12" x14ac:dyDescent="0.25">
      <c r="A5636" t="s">
        <v>44</v>
      </c>
      <c r="B5636">
        <v>21</v>
      </c>
      <c r="C5636" t="s">
        <v>16</v>
      </c>
      <c r="D5636" s="1">
        <v>45930</v>
      </c>
      <c r="E5636">
        <v>2799.8</v>
      </c>
      <c r="F5636">
        <v>137.81</v>
      </c>
      <c r="G5636">
        <v>84.35</v>
      </c>
      <c r="H5636">
        <v>241</v>
      </c>
      <c r="I5636" t="s">
        <v>25</v>
      </c>
      <c r="J5636">
        <v>2025</v>
      </c>
      <c r="K5636">
        <f t="shared" si="176"/>
        <v>53.460000000000008</v>
      </c>
      <c r="L5636" t="str">
        <f t="shared" si="177"/>
        <v>Banca Città|21|Conti</v>
      </c>
    </row>
    <row r="5637" spans="1:12" x14ac:dyDescent="0.25">
      <c r="A5637" t="s">
        <v>44</v>
      </c>
      <c r="B5637">
        <v>21</v>
      </c>
      <c r="C5637" t="s">
        <v>17</v>
      </c>
      <c r="D5637" s="1">
        <v>45930</v>
      </c>
      <c r="E5637">
        <v>3351.3</v>
      </c>
      <c r="F5637">
        <v>171.77</v>
      </c>
      <c r="G5637">
        <v>103.93</v>
      </c>
      <c r="H5637">
        <v>299</v>
      </c>
      <c r="I5637" t="s">
        <v>25</v>
      </c>
      <c r="J5637">
        <v>2025</v>
      </c>
      <c r="K5637">
        <f t="shared" si="176"/>
        <v>67.84</v>
      </c>
      <c r="L5637" t="str">
        <f t="shared" si="177"/>
        <v>Banca Città|21|Carte</v>
      </c>
    </row>
    <row r="5638" spans="1:12" x14ac:dyDescent="0.25">
      <c r="A5638" t="s">
        <v>44</v>
      </c>
      <c r="B5638">
        <v>21</v>
      </c>
      <c r="C5638" t="s">
        <v>18</v>
      </c>
      <c r="D5638" s="1">
        <v>45930</v>
      </c>
      <c r="E5638">
        <v>3999.8</v>
      </c>
      <c r="F5638">
        <v>212.79</v>
      </c>
      <c r="G5638">
        <v>128.16999999999999</v>
      </c>
      <c r="H5638">
        <v>377</v>
      </c>
      <c r="I5638" t="s">
        <v>25</v>
      </c>
      <c r="J5638">
        <v>2025</v>
      </c>
      <c r="K5638">
        <f t="shared" si="176"/>
        <v>84.62</v>
      </c>
      <c r="L5638" t="str">
        <f t="shared" si="177"/>
        <v>Banca Città|21|Leasing</v>
      </c>
    </row>
    <row r="5639" spans="1:12" x14ac:dyDescent="0.25">
      <c r="A5639" t="s">
        <v>44</v>
      </c>
      <c r="B5639">
        <v>21</v>
      </c>
      <c r="C5639" t="s">
        <v>19</v>
      </c>
      <c r="D5639" s="1">
        <v>45930</v>
      </c>
      <c r="E5639">
        <v>4544.3</v>
      </c>
      <c r="F5639">
        <v>250.92</v>
      </c>
      <c r="G5639">
        <v>150.33000000000001</v>
      </c>
      <c r="H5639">
        <v>406</v>
      </c>
      <c r="I5639" t="s">
        <v>25</v>
      </c>
      <c r="J5639">
        <v>2025</v>
      </c>
      <c r="K5639">
        <f t="shared" si="176"/>
        <v>100.58999999999997</v>
      </c>
      <c r="L5639" t="str">
        <f t="shared" si="177"/>
        <v>Banca Città|21|Factoring</v>
      </c>
    </row>
    <row r="5640" spans="1:12" x14ac:dyDescent="0.25">
      <c r="A5640" t="s">
        <v>44</v>
      </c>
      <c r="B5640">
        <v>21</v>
      </c>
      <c r="C5640" t="s">
        <v>20</v>
      </c>
      <c r="D5640" s="1">
        <v>45930</v>
      </c>
      <c r="E5640">
        <v>5138.6000000000004</v>
      </c>
      <c r="F5640">
        <v>292.98</v>
      </c>
      <c r="G5640">
        <v>175.36</v>
      </c>
      <c r="H5640">
        <v>464</v>
      </c>
      <c r="I5640" t="s">
        <v>25</v>
      </c>
      <c r="J5640">
        <v>2025</v>
      </c>
      <c r="K5640">
        <f t="shared" si="176"/>
        <v>117.62</v>
      </c>
      <c r="L5640" t="str">
        <f t="shared" si="177"/>
        <v>Banca Città|21|Risparmio</v>
      </c>
    </row>
    <row r="5641" spans="1:12" x14ac:dyDescent="0.25">
      <c r="A5641" t="s">
        <v>44</v>
      </c>
      <c r="B5641">
        <v>21</v>
      </c>
      <c r="C5641" t="s">
        <v>21</v>
      </c>
      <c r="D5641" s="1">
        <v>45930</v>
      </c>
      <c r="E5641">
        <v>5762.6</v>
      </c>
      <c r="F5641">
        <v>340.98</v>
      </c>
      <c r="G5641">
        <v>201.8</v>
      </c>
      <c r="H5641">
        <v>527</v>
      </c>
      <c r="I5641" t="s">
        <v>25</v>
      </c>
      <c r="J5641">
        <v>2025</v>
      </c>
      <c r="K5641">
        <f t="shared" si="176"/>
        <v>139.18</v>
      </c>
      <c r="L5641" t="str">
        <f t="shared" si="177"/>
        <v>Banca Città|21|Assicurazioni</v>
      </c>
    </row>
    <row r="5642" spans="1:12" x14ac:dyDescent="0.25">
      <c r="A5642" t="s">
        <v>44</v>
      </c>
      <c r="B5642">
        <v>22</v>
      </c>
      <c r="C5642" t="s">
        <v>13</v>
      </c>
      <c r="D5642" s="1">
        <v>45961</v>
      </c>
      <c r="E5642">
        <v>1616.4</v>
      </c>
      <c r="F5642">
        <v>73.17</v>
      </c>
      <c r="G5642">
        <v>45.51</v>
      </c>
      <c r="H5642">
        <v>143</v>
      </c>
      <c r="I5642" t="s">
        <v>25</v>
      </c>
      <c r="J5642">
        <v>2025</v>
      </c>
      <c r="K5642">
        <f t="shared" si="176"/>
        <v>27.660000000000004</v>
      </c>
      <c r="L5642" t="str">
        <f t="shared" si="177"/>
        <v>Banca Città|22|Mutui</v>
      </c>
    </row>
    <row r="5643" spans="1:12" x14ac:dyDescent="0.25">
      <c r="A5643" t="s">
        <v>44</v>
      </c>
      <c r="B5643">
        <v>22</v>
      </c>
      <c r="C5643" t="s">
        <v>15</v>
      </c>
      <c r="D5643" s="1">
        <v>45961</v>
      </c>
      <c r="E5643">
        <v>2230.1</v>
      </c>
      <c r="F5643">
        <v>105.29</v>
      </c>
      <c r="G5643">
        <v>64.73</v>
      </c>
      <c r="H5643">
        <v>200</v>
      </c>
      <c r="I5643" t="s">
        <v>25</v>
      </c>
      <c r="J5643">
        <v>2025</v>
      </c>
      <c r="K5643">
        <f t="shared" si="176"/>
        <v>40.56</v>
      </c>
      <c r="L5643" t="str">
        <f t="shared" si="177"/>
        <v>Banca Città|22|Prestiti</v>
      </c>
    </row>
    <row r="5644" spans="1:12" x14ac:dyDescent="0.25">
      <c r="A5644" t="s">
        <v>44</v>
      </c>
      <c r="B5644">
        <v>22</v>
      </c>
      <c r="C5644" t="s">
        <v>16</v>
      </c>
      <c r="D5644" s="1">
        <v>45961</v>
      </c>
      <c r="E5644">
        <v>2814.3</v>
      </c>
      <c r="F5644">
        <v>138.28</v>
      </c>
      <c r="G5644">
        <v>85.32</v>
      </c>
      <c r="H5644">
        <v>261</v>
      </c>
      <c r="I5644" t="s">
        <v>25</v>
      </c>
      <c r="J5644">
        <v>2025</v>
      </c>
      <c r="K5644">
        <f t="shared" si="176"/>
        <v>52.960000000000008</v>
      </c>
      <c r="L5644" t="str">
        <f t="shared" si="177"/>
        <v>Banca Città|22|Conti</v>
      </c>
    </row>
    <row r="5645" spans="1:12" x14ac:dyDescent="0.25">
      <c r="A5645" t="s">
        <v>44</v>
      </c>
      <c r="B5645">
        <v>22</v>
      </c>
      <c r="C5645" t="s">
        <v>17</v>
      </c>
      <c r="D5645" s="1">
        <v>45961</v>
      </c>
      <c r="E5645">
        <v>3372.6</v>
      </c>
      <c r="F5645">
        <v>172.04</v>
      </c>
      <c r="G5645">
        <v>104.63</v>
      </c>
      <c r="H5645">
        <v>298</v>
      </c>
      <c r="I5645" t="s">
        <v>25</v>
      </c>
      <c r="J5645">
        <v>2025</v>
      </c>
      <c r="K5645">
        <f t="shared" si="176"/>
        <v>67.41</v>
      </c>
      <c r="L5645" t="str">
        <f t="shared" si="177"/>
        <v>Banca Città|22|Carte</v>
      </c>
    </row>
    <row r="5646" spans="1:12" x14ac:dyDescent="0.25">
      <c r="A5646" t="s">
        <v>44</v>
      </c>
      <c r="B5646">
        <v>22</v>
      </c>
      <c r="C5646" t="s">
        <v>18</v>
      </c>
      <c r="D5646" s="1">
        <v>45961</v>
      </c>
      <c r="E5646">
        <v>4023.5</v>
      </c>
      <c r="F5646">
        <v>213.51</v>
      </c>
      <c r="G5646">
        <v>129.71</v>
      </c>
      <c r="H5646">
        <v>369</v>
      </c>
      <c r="I5646" t="s">
        <v>25</v>
      </c>
      <c r="J5646">
        <v>2025</v>
      </c>
      <c r="K5646">
        <f t="shared" si="176"/>
        <v>83.799999999999983</v>
      </c>
      <c r="L5646" t="str">
        <f t="shared" si="177"/>
        <v>Banca Città|22|Leasing</v>
      </c>
    </row>
    <row r="5647" spans="1:12" x14ac:dyDescent="0.25">
      <c r="A5647" t="s">
        <v>44</v>
      </c>
      <c r="B5647">
        <v>22</v>
      </c>
      <c r="C5647" t="s">
        <v>19</v>
      </c>
      <c r="D5647" s="1">
        <v>45961</v>
      </c>
      <c r="E5647">
        <v>4592.7</v>
      </c>
      <c r="F5647">
        <v>253.56</v>
      </c>
      <c r="G5647">
        <v>152.35</v>
      </c>
      <c r="H5647">
        <v>414</v>
      </c>
      <c r="I5647" t="s">
        <v>25</v>
      </c>
      <c r="J5647">
        <v>2025</v>
      </c>
      <c r="K5647">
        <f t="shared" si="176"/>
        <v>101.21000000000001</v>
      </c>
      <c r="L5647" t="str">
        <f t="shared" si="177"/>
        <v>Banca Città|22|Factoring</v>
      </c>
    </row>
    <row r="5648" spans="1:12" x14ac:dyDescent="0.25">
      <c r="A5648" t="s">
        <v>44</v>
      </c>
      <c r="B5648">
        <v>22</v>
      </c>
      <c r="C5648" t="s">
        <v>20</v>
      </c>
      <c r="D5648" s="1">
        <v>45961</v>
      </c>
      <c r="E5648">
        <v>5221.3</v>
      </c>
      <c r="F5648">
        <v>298.36</v>
      </c>
      <c r="G5648">
        <v>177.69</v>
      </c>
      <c r="H5648">
        <v>462</v>
      </c>
      <c r="I5648" t="s">
        <v>25</v>
      </c>
      <c r="J5648">
        <v>2025</v>
      </c>
      <c r="K5648">
        <f t="shared" si="176"/>
        <v>120.67000000000002</v>
      </c>
      <c r="L5648" t="str">
        <f t="shared" si="177"/>
        <v>Banca Città|22|Risparmio</v>
      </c>
    </row>
    <row r="5649" spans="1:12" x14ac:dyDescent="0.25">
      <c r="A5649" t="s">
        <v>44</v>
      </c>
      <c r="B5649">
        <v>22</v>
      </c>
      <c r="C5649" t="s">
        <v>21</v>
      </c>
      <c r="D5649" s="1">
        <v>45961</v>
      </c>
      <c r="E5649">
        <v>5788.5</v>
      </c>
      <c r="F5649">
        <v>342.07</v>
      </c>
      <c r="G5649">
        <v>203.59</v>
      </c>
      <c r="H5649">
        <v>530</v>
      </c>
      <c r="I5649" t="s">
        <v>25</v>
      </c>
      <c r="J5649">
        <v>2025</v>
      </c>
      <c r="K5649">
        <f t="shared" si="176"/>
        <v>138.47999999999999</v>
      </c>
      <c r="L5649" t="str">
        <f t="shared" si="177"/>
        <v>Banca Città|22|Assicurazioni</v>
      </c>
    </row>
    <row r="5650" spans="1:12" x14ac:dyDescent="0.25">
      <c r="A5650" t="s">
        <v>44</v>
      </c>
      <c r="B5650">
        <v>23</v>
      </c>
      <c r="C5650" t="s">
        <v>13</v>
      </c>
      <c r="D5650" s="1">
        <v>45991</v>
      </c>
      <c r="E5650">
        <v>1582.6</v>
      </c>
      <c r="F5650">
        <v>72.150000000000006</v>
      </c>
      <c r="G5650">
        <v>44.35</v>
      </c>
      <c r="H5650">
        <v>163</v>
      </c>
      <c r="I5650" t="s">
        <v>25</v>
      </c>
      <c r="J5650">
        <v>2025</v>
      </c>
      <c r="K5650">
        <f t="shared" si="176"/>
        <v>27.800000000000004</v>
      </c>
      <c r="L5650" t="str">
        <f t="shared" si="177"/>
        <v>Banca Città|23|Mutui</v>
      </c>
    </row>
    <row r="5651" spans="1:12" x14ac:dyDescent="0.25">
      <c r="A5651" t="s">
        <v>44</v>
      </c>
      <c r="B5651">
        <v>23</v>
      </c>
      <c r="C5651" t="s">
        <v>15</v>
      </c>
      <c r="D5651" s="1">
        <v>45991</v>
      </c>
      <c r="E5651">
        <v>2188.1</v>
      </c>
      <c r="F5651">
        <v>103.03</v>
      </c>
      <c r="G5651">
        <v>63.53</v>
      </c>
      <c r="H5651">
        <v>209</v>
      </c>
      <c r="I5651" t="s">
        <v>25</v>
      </c>
      <c r="J5651">
        <v>2025</v>
      </c>
      <c r="K5651">
        <f t="shared" si="176"/>
        <v>39.5</v>
      </c>
      <c r="L5651" t="str">
        <f t="shared" si="177"/>
        <v>Banca Città|23|Prestiti</v>
      </c>
    </row>
    <row r="5652" spans="1:12" x14ac:dyDescent="0.25">
      <c r="A5652" t="s">
        <v>44</v>
      </c>
      <c r="B5652">
        <v>23</v>
      </c>
      <c r="C5652" t="s">
        <v>16</v>
      </c>
      <c r="D5652" s="1">
        <v>45991</v>
      </c>
      <c r="E5652">
        <v>2823.6</v>
      </c>
      <c r="F5652">
        <v>139.27000000000001</v>
      </c>
      <c r="G5652">
        <v>85.59</v>
      </c>
      <c r="H5652">
        <v>238</v>
      </c>
      <c r="I5652" t="s">
        <v>25</v>
      </c>
      <c r="J5652">
        <v>2025</v>
      </c>
      <c r="K5652">
        <f t="shared" si="176"/>
        <v>53.680000000000007</v>
      </c>
      <c r="L5652" t="str">
        <f t="shared" si="177"/>
        <v>Banca Città|23|Conti</v>
      </c>
    </row>
    <row r="5653" spans="1:12" x14ac:dyDescent="0.25">
      <c r="A5653" t="s">
        <v>44</v>
      </c>
      <c r="B5653">
        <v>23</v>
      </c>
      <c r="C5653" t="s">
        <v>17</v>
      </c>
      <c r="D5653" s="1">
        <v>45991</v>
      </c>
      <c r="E5653">
        <v>3404.2</v>
      </c>
      <c r="F5653">
        <v>174.09</v>
      </c>
      <c r="G5653">
        <v>106.04</v>
      </c>
      <c r="H5653">
        <v>322</v>
      </c>
      <c r="I5653" t="s">
        <v>25</v>
      </c>
      <c r="J5653">
        <v>2025</v>
      </c>
      <c r="K5653">
        <f t="shared" si="176"/>
        <v>68.05</v>
      </c>
      <c r="L5653" t="str">
        <f t="shared" si="177"/>
        <v>Banca Città|23|Carte</v>
      </c>
    </row>
    <row r="5654" spans="1:12" x14ac:dyDescent="0.25">
      <c r="A5654" t="s">
        <v>44</v>
      </c>
      <c r="B5654">
        <v>23</v>
      </c>
      <c r="C5654" t="s">
        <v>18</v>
      </c>
      <c r="D5654" s="1">
        <v>45991</v>
      </c>
      <c r="E5654">
        <v>4031.2</v>
      </c>
      <c r="F5654">
        <v>214.34</v>
      </c>
      <c r="G5654">
        <v>129.46</v>
      </c>
      <c r="H5654">
        <v>360</v>
      </c>
      <c r="I5654" t="s">
        <v>25</v>
      </c>
      <c r="J5654">
        <v>2025</v>
      </c>
      <c r="K5654">
        <f t="shared" si="176"/>
        <v>84.88</v>
      </c>
      <c r="L5654" t="str">
        <f t="shared" si="177"/>
        <v>Banca Città|23|Leasing</v>
      </c>
    </row>
    <row r="5655" spans="1:12" x14ac:dyDescent="0.25">
      <c r="A5655" t="s">
        <v>44</v>
      </c>
      <c r="B5655">
        <v>23</v>
      </c>
      <c r="C5655" t="s">
        <v>19</v>
      </c>
      <c r="D5655" s="1">
        <v>45991</v>
      </c>
      <c r="E5655">
        <v>4658.8</v>
      </c>
      <c r="F5655">
        <v>256.44</v>
      </c>
      <c r="G5655">
        <v>154.13</v>
      </c>
      <c r="H5655">
        <v>404</v>
      </c>
      <c r="I5655" t="s">
        <v>25</v>
      </c>
      <c r="J5655">
        <v>2025</v>
      </c>
      <c r="K5655">
        <f t="shared" si="176"/>
        <v>102.31</v>
      </c>
      <c r="L5655" t="str">
        <f t="shared" si="177"/>
        <v>Banca Città|23|Factoring</v>
      </c>
    </row>
    <row r="5656" spans="1:12" x14ac:dyDescent="0.25">
      <c r="A5656" t="s">
        <v>44</v>
      </c>
      <c r="B5656">
        <v>23</v>
      </c>
      <c r="C5656" t="s">
        <v>20</v>
      </c>
      <c r="D5656" s="1">
        <v>45991</v>
      </c>
      <c r="E5656">
        <v>5227.3</v>
      </c>
      <c r="F5656">
        <v>298</v>
      </c>
      <c r="G5656">
        <v>177.86</v>
      </c>
      <c r="H5656">
        <v>451</v>
      </c>
      <c r="I5656" t="s">
        <v>25</v>
      </c>
      <c r="J5656">
        <v>2025</v>
      </c>
      <c r="K5656">
        <f t="shared" si="176"/>
        <v>120.13999999999999</v>
      </c>
      <c r="L5656" t="str">
        <f t="shared" si="177"/>
        <v>Banca Città|23|Risparmio</v>
      </c>
    </row>
    <row r="5657" spans="1:12" x14ac:dyDescent="0.25">
      <c r="A5657" t="s">
        <v>44</v>
      </c>
      <c r="B5657">
        <v>23</v>
      </c>
      <c r="C5657" t="s">
        <v>21</v>
      </c>
      <c r="D5657" s="1">
        <v>45991</v>
      </c>
      <c r="E5657">
        <v>5867.9</v>
      </c>
      <c r="F5657">
        <v>346.44</v>
      </c>
      <c r="G5657">
        <v>205.65</v>
      </c>
      <c r="H5657">
        <v>520</v>
      </c>
      <c r="I5657" t="s">
        <v>25</v>
      </c>
      <c r="J5657">
        <v>2025</v>
      </c>
      <c r="K5657">
        <f t="shared" si="176"/>
        <v>140.79</v>
      </c>
      <c r="L5657" t="str">
        <f t="shared" si="177"/>
        <v>Banca Città|23|Assicurazioni</v>
      </c>
    </row>
    <row r="5658" spans="1:12" x14ac:dyDescent="0.25">
      <c r="A5658" t="s">
        <v>44</v>
      </c>
      <c r="B5658">
        <v>24</v>
      </c>
      <c r="C5658" t="s">
        <v>13</v>
      </c>
      <c r="D5658" s="1">
        <v>46022</v>
      </c>
      <c r="E5658">
        <v>1607.8</v>
      </c>
      <c r="F5658">
        <v>73.25</v>
      </c>
      <c r="G5658">
        <v>45.25</v>
      </c>
      <c r="H5658">
        <v>137</v>
      </c>
      <c r="I5658" t="s">
        <v>25</v>
      </c>
      <c r="J5658">
        <v>2025</v>
      </c>
      <c r="K5658">
        <f t="shared" si="176"/>
        <v>28</v>
      </c>
      <c r="L5658" t="str">
        <f t="shared" si="177"/>
        <v>Banca Città|24|Mutui</v>
      </c>
    </row>
    <row r="5659" spans="1:12" x14ac:dyDescent="0.25">
      <c r="A5659" t="s">
        <v>44</v>
      </c>
      <c r="B5659">
        <v>24</v>
      </c>
      <c r="C5659" t="s">
        <v>15</v>
      </c>
      <c r="D5659" s="1">
        <v>46022</v>
      </c>
      <c r="E5659">
        <v>2238.9</v>
      </c>
      <c r="F5659">
        <v>106.09</v>
      </c>
      <c r="G5659">
        <v>65.08</v>
      </c>
      <c r="H5659">
        <v>200</v>
      </c>
      <c r="I5659" t="s">
        <v>25</v>
      </c>
      <c r="J5659">
        <v>2025</v>
      </c>
      <c r="K5659">
        <f t="shared" si="176"/>
        <v>41.010000000000005</v>
      </c>
      <c r="L5659" t="str">
        <f t="shared" si="177"/>
        <v>Banca Città|24|Prestiti</v>
      </c>
    </row>
    <row r="5660" spans="1:12" x14ac:dyDescent="0.25">
      <c r="A5660" t="s">
        <v>44</v>
      </c>
      <c r="B5660">
        <v>24</v>
      </c>
      <c r="C5660" t="s">
        <v>16</v>
      </c>
      <c r="D5660" s="1">
        <v>46022</v>
      </c>
      <c r="E5660">
        <v>2859.7</v>
      </c>
      <c r="F5660">
        <v>140.16999999999999</v>
      </c>
      <c r="G5660">
        <v>85.95</v>
      </c>
      <c r="H5660">
        <v>254</v>
      </c>
      <c r="I5660" t="s">
        <v>25</v>
      </c>
      <c r="J5660">
        <v>2025</v>
      </c>
      <c r="K5660">
        <f t="shared" si="176"/>
        <v>54.219999999999985</v>
      </c>
      <c r="L5660" t="str">
        <f t="shared" si="177"/>
        <v>Banca Città|24|Conti</v>
      </c>
    </row>
    <row r="5661" spans="1:12" x14ac:dyDescent="0.25">
      <c r="A5661" t="s">
        <v>44</v>
      </c>
      <c r="B5661">
        <v>24</v>
      </c>
      <c r="C5661" t="s">
        <v>17</v>
      </c>
      <c r="D5661" s="1">
        <v>46022</v>
      </c>
      <c r="E5661">
        <v>3473.2</v>
      </c>
      <c r="F5661">
        <v>177.6</v>
      </c>
      <c r="G5661">
        <v>108.18</v>
      </c>
      <c r="H5661">
        <v>319</v>
      </c>
      <c r="I5661" t="s">
        <v>25</v>
      </c>
      <c r="J5661">
        <v>2025</v>
      </c>
      <c r="K5661">
        <f t="shared" si="176"/>
        <v>69.419999999999987</v>
      </c>
      <c r="L5661" t="str">
        <f t="shared" si="177"/>
        <v>Banca Città|24|Carte</v>
      </c>
    </row>
    <row r="5662" spans="1:12" x14ac:dyDescent="0.25">
      <c r="A5662" t="s">
        <v>44</v>
      </c>
      <c r="B5662">
        <v>24</v>
      </c>
      <c r="C5662" t="s">
        <v>18</v>
      </c>
      <c r="D5662" s="1">
        <v>46022</v>
      </c>
      <c r="E5662">
        <v>4075.2</v>
      </c>
      <c r="F5662">
        <v>216.79</v>
      </c>
      <c r="G5662">
        <v>131.15</v>
      </c>
      <c r="H5662">
        <v>349</v>
      </c>
      <c r="I5662" t="s">
        <v>25</v>
      </c>
      <c r="J5662">
        <v>2025</v>
      </c>
      <c r="K5662">
        <f t="shared" si="176"/>
        <v>85.639999999999986</v>
      </c>
      <c r="L5662" t="str">
        <f t="shared" si="177"/>
        <v>Banca Città|24|Leasing</v>
      </c>
    </row>
    <row r="5663" spans="1:12" x14ac:dyDescent="0.25">
      <c r="A5663" t="s">
        <v>44</v>
      </c>
      <c r="B5663">
        <v>24</v>
      </c>
      <c r="C5663" t="s">
        <v>19</v>
      </c>
      <c r="D5663" s="1">
        <v>46022</v>
      </c>
      <c r="E5663">
        <v>4645</v>
      </c>
      <c r="F5663">
        <v>256.25</v>
      </c>
      <c r="G5663">
        <v>153.94</v>
      </c>
      <c r="H5663">
        <v>394</v>
      </c>
      <c r="I5663" t="s">
        <v>25</v>
      </c>
      <c r="J5663">
        <v>2025</v>
      </c>
      <c r="K5663">
        <f t="shared" si="176"/>
        <v>102.31</v>
      </c>
      <c r="L5663" t="str">
        <f t="shared" si="177"/>
        <v>Banca Città|24|Factoring</v>
      </c>
    </row>
    <row r="5664" spans="1:12" x14ac:dyDescent="0.25">
      <c r="A5664" t="s">
        <v>44</v>
      </c>
      <c r="B5664">
        <v>24</v>
      </c>
      <c r="C5664" t="s">
        <v>20</v>
      </c>
      <c r="D5664" s="1">
        <v>46022</v>
      </c>
      <c r="E5664">
        <v>5272.5</v>
      </c>
      <c r="F5664">
        <v>300.73</v>
      </c>
      <c r="G5664">
        <v>180.08</v>
      </c>
      <c r="H5664">
        <v>465</v>
      </c>
      <c r="I5664" t="s">
        <v>25</v>
      </c>
      <c r="J5664">
        <v>2025</v>
      </c>
      <c r="K5664">
        <f t="shared" si="176"/>
        <v>120.65</v>
      </c>
      <c r="L5664" t="str">
        <f t="shared" si="177"/>
        <v>Banca Città|24|Risparmio</v>
      </c>
    </row>
    <row r="5665" spans="1:12" x14ac:dyDescent="0.25">
      <c r="A5665" t="s">
        <v>44</v>
      </c>
      <c r="B5665">
        <v>24</v>
      </c>
      <c r="C5665" t="s">
        <v>21</v>
      </c>
      <c r="D5665" s="1">
        <v>46022</v>
      </c>
      <c r="E5665">
        <v>5868.9</v>
      </c>
      <c r="F5665">
        <v>346.72</v>
      </c>
      <c r="G5665">
        <v>205.83</v>
      </c>
      <c r="H5665">
        <v>528</v>
      </c>
      <c r="I5665" t="s">
        <v>25</v>
      </c>
      <c r="J5665">
        <v>2025</v>
      </c>
      <c r="K5665">
        <f t="shared" si="176"/>
        <v>140.89000000000001</v>
      </c>
      <c r="L5665" t="str">
        <f t="shared" si="177"/>
        <v>Banca Città|24|Assicurazioni</v>
      </c>
    </row>
    <row r="5666" spans="1:12" x14ac:dyDescent="0.25">
      <c r="A5666" t="s">
        <v>44</v>
      </c>
      <c r="B5666">
        <v>25</v>
      </c>
      <c r="C5666" t="s">
        <v>13</v>
      </c>
      <c r="D5666" s="1">
        <v>46053</v>
      </c>
      <c r="E5666">
        <v>1606.8</v>
      </c>
      <c r="F5666">
        <v>72.36</v>
      </c>
      <c r="G5666">
        <v>45.03</v>
      </c>
      <c r="H5666">
        <v>155</v>
      </c>
      <c r="I5666" t="s">
        <v>25</v>
      </c>
      <c r="J5666">
        <v>2026</v>
      </c>
      <c r="K5666">
        <f t="shared" si="176"/>
        <v>27.33</v>
      </c>
      <c r="L5666" t="str">
        <f t="shared" si="177"/>
        <v>Banca Città|25|Mutui</v>
      </c>
    </row>
    <row r="5667" spans="1:12" x14ac:dyDescent="0.25">
      <c r="A5667" t="s">
        <v>44</v>
      </c>
      <c r="B5667">
        <v>25</v>
      </c>
      <c r="C5667" t="s">
        <v>15</v>
      </c>
      <c r="D5667" s="1">
        <v>46053</v>
      </c>
      <c r="E5667">
        <v>2224.3000000000002</v>
      </c>
      <c r="F5667">
        <v>105.43</v>
      </c>
      <c r="G5667">
        <v>65.239999999999995</v>
      </c>
      <c r="H5667">
        <v>199</v>
      </c>
      <c r="I5667" t="s">
        <v>25</v>
      </c>
      <c r="J5667">
        <v>2026</v>
      </c>
      <c r="K5667">
        <f t="shared" si="176"/>
        <v>40.190000000000012</v>
      </c>
      <c r="L5667" t="str">
        <f t="shared" si="177"/>
        <v>Banca Città|25|Prestiti</v>
      </c>
    </row>
    <row r="5668" spans="1:12" x14ac:dyDescent="0.25">
      <c r="A5668" t="s">
        <v>44</v>
      </c>
      <c r="B5668">
        <v>25</v>
      </c>
      <c r="C5668" t="s">
        <v>16</v>
      </c>
      <c r="D5668" s="1">
        <v>46053</v>
      </c>
      <c r="E5668">
        <v>2868.7</v>
      </c>
      <c r="F5668">
        <v>141.29</v>
      </c>
      <c r="G5668">
        <v>86.57</v>
      </c>
      <c r="H5668">
        <v>273</v>
      </c>
      <c r="I5668" t="s">
        <v>25</v>
      </c>
      <c r="J5668">
        <v>2026</v>
      </c>
      <c r="K5668">
        <f t="shared" si="176"/>
        <v>54.72</v>
      </c>
      <c r="L5668" t="str">
        <f t="shared" si="177"/>
        <v>Banca Città|25|Conti</v>
      </c>
    </row>
    <row r="5669" spans="1:12" x14ac:dyDescent="0.25">
      <c r="A5669" t="s">
        <v>44</v>
      </c>
      <c r="B5669">
        <v>25</v>
      </c>
      <c r="C5669" t="s">
        <v>17</v>
      </c>
      <c r="D5669" s="1">
        <v>46053</v>
      </c>
      <c r="E5669">
        <v>3464.5</v>
      </c>
      <c r="F5669">
        <v>176.84</v>
      </c>
      <c r="G5669">
        <v>107.41</v>
      </c>
      <c r="H5669">
        <v>323</v>
      </c>
      <c r="I5669" t="s">
        <v>25</v>
      </c>
      <c r="J5669">
        <v>2026</v>
      </c>
      <c r="K5669">
        <f t="shared" si="176"/>
        <v>69.430000000000007</v>
      </c>
      <c r="L5669" t="str">
        <f t="shared" si="177"/>
        <v>Banca Città|25|Carte</v>
      </c>
    </row>
    <row r="5670" spans="1:12" x14ac:dyDescent="0.25">
      <c r="A5670" t="s">
        <v>44</v>
      </c>
      <c r="B5670">
        <v>25</v>
      </c>
      <c r="C5670" t="s">
        <v>18</v>
      </c>
      <c r="D5670" s="1">
        <v>46053</v>
      </c>
      <c r="E5670">
        <v>4081.7</v>
      </c>
      <c r="F5670">
        <v>216.54</v>
      </c>
      <c r="G5670">
        <v>130.68</v>
      </c>
      <c r="H5670">
        <v>374</v>
      </c>
      <c r="I5670" t="s">
        <v>25</v>
      </c>
      <c r="J5670">
        <v>2026</v>
      </c>
      <c r="K5670">
        <f t="shared" si="176"/>
        <v>85.859999999999985</v>
      </c>
      <c r="L5670" t="str">
        <f t="shared" si="177"/>
        <v>Banca Città|25|Leasing</v>
      </c>
    </row>
    <row r="5671" spans="1:12" x14ac:dyDescent="0.25">
      <c r="A5671" t="s">
        <v>44</v>
      </c>
      <c r="B5671">
        <v>25</v>
      </c>
      <c r="C5671" t="s">
        <v>19</v>
      </c>
      <c r="D5671" s="1">
        <v>46053</v>
      </c>
      <c r="E5671">
        <v>4706.1000000000004</v>
      </c>
      <c r="F5671">
        <v>259.07</v>
      </c>
      <c r="G5671">
        <v>155.87</v>
      </c>
      <c r="H5671">
        <v>395</v>
      </c>
      <c r="I5671" t="s">
        <v>25</v>
      </c>
      <c r="J5671">
        <v>2026</v>
      </c>
      <c r="K5671">
        <f t="shared" si="176"/>
        <v>103.19999999999999</v>
      </c>
      <c r="L5671" t="str">
        <f t="shared" si="177"/>
        <v>Banca Città|25|Factoring</v>
      </c>
    </row>
    <row r="5672" spans="1:12" x14ac:dyDescent="0.25">
      <c r="A5672" t="s">
        <v>44</v>
      </c>
      <c r="B5672">
        <v>25</v>
      </c>
      <c r="C5672" t="s">
        <v>20</v>
      </c>
      <c r="D5672" s="1">
        <v>46053</v>
      </c>
      <c r="E5672">
        <v>5323.5</v>
      </c>
      <c r="F5672">
        <v>303.49</v>
      </c>
      <c r="G5672">
        <v>181.62</v>
      </c>
      <c r="H5672">
        <v>470</v>
      </c>
      <c r="I5672" t="s">
        <v>25</v>
      </c>
      <c r="J5672">
        <v>2026</v>
      </c>
      <c r="K5672">
        <f t="shared" si="176"/>
        <v>121.87</v>
      </c>
      <c r="L5672" t="str">
        <f t="shared" si="177"/>
        <v>Banca Città|25|Risparmio</v>
      </c>
    </row>
    <row r="5673" spans="1:12" x14ac:dyDescent="0.25">
      <c r="A5673" t="s">
        <v>44</v>
      </c>
      <c r="B5673">
        <v>25</v>
      </c>
      <c r="C5673" t="s">
        <v>21</v>
      </c>
      <c r="D5673" s="1">
        <v>46053</v>
      </c>
      <c r="E5673">
        <v>5918</v>
      </c>
      <c r="F5673">
        <v>349.93</v>
      </c>
      <c r="G5673">
        <v>207.39</v>
      </c>
      <c r="H5673">
        <v>496</v>
      </c>
      <c r="I5673" t="s">
        <v>25</v>
      </c>
      <c r="J5673">
        <v>2026</v>
      </c>
      <c r="K5673">
        <f t="shared" si="176"/>
        <v>142.54000000000002</v>
      </c>
      <c r="L5673" t="str">
        <f t="shared" si="177"/>
        <v>Banca Città|25|Assicurazioni</v>
      </c>
    </row>
    <row r="5674" spans="1:12" x14ac:dyDescent="0.25">
      <c r="A5674" t="s">
        <v>44</v>
      </c>
      <c r="B5674">
        <v>26</v>
      </c>
      <c r="C5674" t="s">
        <v>13</v>
      </c>
      <c r="D5674" s="1">
        <v>46081</v>
      </c>
      <c r="E5674">
        <v>1664.6</v>
      </c>
      <c r="F5674">
        <v>74.95</v>
      </c>
      <c r="G5674">
        <v>46.96</v>
      </c>
      <c r="H5674">
        <v>152</v>
      </c>
      <c r="I5674" t="s">
        <v>25</v>
      </c>
      <c r="J5674">
        <v>2026</v>
      </c>
      <c r="K5674">
        <f t="shared" si="176"/>
        <v>27.990000000000002</v>
      </c>
      <c r="L5674" t="str">
        <f t="shared" si="177"/>
        <v>Banca Città|26|Mutui</v>
      </c>
    </row>
    <row r="5675" spans="1:12" x14ac:dyDescent="0.25">
      <c r="A5675" t="s">
        <v>44</v>
      </c>
      <c r="B5675">
        <v>26</v>
      </c>
      <c r="C5675" t="s">
        <v>15</v>
      </c>
      <c r="D5675" s="1">
        <v>46081</v>
      </c>
      <c r="E5675">
        <v>2247.4</v>
      </c>
      <c r="F5675">
        <v>106.32</v>
      </c>
      <c r="G5675">
        <v>66.099999999999994</v>
      </c>
      <c r="H5675">
        <v>194</v>
      </c>
      <c r="I5675" t="s">
        <v>25</v>
      </c>
      <c r="J5675">
        <v>2026</v>
      </c>
      <c r="K5675">
        <f t="shared" si="176"/>
        <v>40.22</v>
      </c>
      <c r="L5675" t="str">
        <f t="shared" si="177"/>
        <v>Banca Città|26|Prestiti</v>
      </c>
    </row>
    <row r="5676" spans="1:12" x14ac:dyDescent="0.25">
      <c r="A5676" t="s">
        <v>44</v>
      </c>
      <c r="B5676">
        <v>26</v>
      </c>
      <c r="C5676" t="s">
        <v>16</v>
      </c>
      <c r="D5676" s="1">
        <v>46081</v>
      </c>
      <c r="E5676">
        <v>2897.6</v>
      </c>
      <c r="F5676">
        <v>142.43</v>
      </c>
      <c r="G5676">
        <v>87.49</v>
      </c>
      <c r="H5676">
        <v>254</v>
      </c>
      <c r="I5676" t="s">
        <v>25</v>
      </c>
      <c r="J5676">
        <v>2026</v>
      </c>
      <c r="K5676">
        <f t="shared" si="176"/>
        <v>54.940000000000012</v>
      </c>
      <c r="L5676" t="str">
        <f t="shared" si="177"/>
        <v>Banca Città|26|Conti</v>
      </c>
    </row>
    <row r="5677" spans="1:12" x14ac:dyDescent="0.25">
      <c r="A5677" t="s">
        <v>44</v>
      </c>
      <c r="B5677">
        <v>26</v>
      </c>
      <c r="C5677" t="s">
        <v>17</v>
      </c>
      <c r="D5677" s="1">
        <v>46081</v>
      </c>
      <c r="E5677">
        <v>3521.4</v>
      </c>
      <c r="F5677">
        <v>180.58</v>
      </c>
      <c r="G5677">
        <v>109.34</v>
      </c>
      <c r="H5677">
        <v>321</v>
      </c>
      <c r="I5677" t="s">
        <v>25</v>
      </c>
      <c r="J5677">
        <v>2026</v>
      </c>
      <c r="K5677">
        <f t="shared" si="176"/>
        <v>71.240000000000009</v>
      </c>
      <c r="L5677" t="str">
        <f t="shared" si="177"/>
        <v>Banca Città|26|Carte</v>
      </c>
    </row>
    <row r="5678" spans="1:12" x14ac:dyDescent="0.25">
      <c r="A5678" t="s">
        <v>44</v>
      </c>
      <c r="B5678">
        <v>26</v>
      </c>
      <c r="C5678" t="s">
        <v>18</v>
      </c>
      <c r="D5678" s="1">
        <v>46081</v>
      </c>
      <c r="E5678">
        <v>4088.9</v>
      </c>
      <c r="F5678">
        <v>217.03</v>
      </c>
      <c r="G5678">
        <v>131.46</v>
      </c>
      <c r="H5678">
        <v>362</v>
      </c>
      <c r="I5678" t="s">
        <v>25</v>
      </c>
      <c r="J5678">
        <v>2026</v>
      </c>
      <c r="K5678">
        <f t="shared" si="176"/>
        <v>85.57</v>
      </c>
      <c r="L5678" t="str">
        <f t="shared" si="177"/>
        <v>Banca Città|26|Leasing</v>
      </c>
    </row>
    <row r="5679" spans="1:12" x14ac:dyDescent="0.25">
      <c r="A5679" t="s">
        <v>44</v>
      </c>
      <c r="B5679">
        <v>26</v>
      </c>
      <c r="C5679" t="s">
        <v>19</v>
      </c>
      <c r="D5679" s="1">
        <v>46081</v>
      </c>
      <c r="E5679">
        <v>4749.6000000000004</v>
      </c>
      <c r="F5679">
        <v>261.33</v>
      </c>
      <c r="G5679">
        <v>157.53</v>
      </c>
      <c r="H5679">
        <v>408</v>
      </c>
      <c r="I5679" t="s">
        <v>25</v>
      </c>
      <c r="J5679">
        <v>2026</v>
      </c>
      <c r="K5679">
        <f t="shared" si="176"/>
        <v>103.79999999999998</v>
      </c>
      <c r="L5679" t="str">
        <f t="shared" si="177"/>
        <v>Banca Città|26|Factoring</v>
      </c>
    </row>
    <row r="5680" spans="1:12" x14ac:dyDescent="0.25">
      <c r="A5680" t="s">
        <v>44</v>
      </c>
      <c r="B5680">
        <v>26</v>
      </c>
      <c r="C5680" t="s">
        <v>20</v>
      </c>
      <c r="D5680" s="1">
        <v>46081</v>
      </c>
      <c r="E5680">
        <v>5348.8</v>
      </c>
      <c r="F5680">
        <v>305.77</v>
      </c>
      <c r="G5680">
        <v>182.77</v>
      </c>
      <c r="H5680">
        <v>442</v>
      </c>
      <c r="I5680" t="s">
        <v>25</v>
      </c>
      <c r="J5680">
        <v>2026</v>
      </c>
      <c r="K5680">
        <f t="shared" si="176"/>
        <v>122.99999999999997</v>
      </c>
      <c r="L5680" t="str">
        <f t="shared" si="177"/>
        <v>Banca Città|26|Risparmio</v>
      </c>
    </row>
    <row r="5681" spans="1:12" x14ac:dyDescent="0.25">
      <c r="A5681" t="s">
        <v>44</v>
      </c>
      <c r="B5681">
        <v>26</v>
      </c>
      <c r="C5681" t="s">
        <v>21</v>
      </c>
      <c r="D5681" s="1">
        <v>46081</v>
      </c>
      <c r="E5681">
        <v>5943.8</v>
      </c>
      <c r="F5681">
        <v>351.55</v>
      </c>
      <c r="G5681">
        <v>208.68</v>
      </c>
      <c r="H5681">
        <v>516</v>
      </c>
      <c r="I5681" t="s">
        <v>25</v>
      </c>
      <c r="J5681">
        <v>2026</v>
      </c>
      <c r="K5681">
        <f t="shared" si="176"/>
        <v>142.87</v>
      </c>
      <c r="L5681" t="str">
        <f t="shared" si="177"/>
        <v>Banca Città|26|Assicurazioni</v>
      </c>
    </row>
    <row r="5682" spans="1:12" x14ac:dyDescent="0.25">
      <c r="A5682" t="s">
        <v>44</v>
      </c>
      <c r="B5682">
        <v>27</v>
      </c>
      <c r="C5682" t="s">
        <v>13</v>
      </c>
      <c r="D5682" s="1">
        <v>46112</v>
      </c>
      <c r="E5682">
        <v>1637.5</v>
      </c>
      <c r="F5682">
        <v>73.989999999999995</v>
      </c>
      <c r="G5682">
        <v>46.23</v>
      </c>
      <c r="H5682">
        <v>147</v>
      </c>
      <c r="I5682" t="s">
        <v>25</v>
      </c>
      <c r="J5682">
        <v>2026</v>
      </c>
      <c r="K5682">
        <f t="shared" si="176"/>
        <v>27.759999999999998</v>
      </c>
      <c r="L5682" t="str">
        <f t="shared" si="177"/>
        <v>Banca Città|27|Mutui</v>
      </c>
    </row>
    <row r="5683" spans="1:12" x14ac:dyDescent="0.25">
      <c r="A5683" t="s">
        <v>44</v>
      </c>
      <c r="B5683">
        <v>27</v>
      </c>
      <c r="C5683" t="s">
        <v>15</v>
      </c>
      <c r="D5683" s="1">
        <v>46112</v>
      </c>
      <c r="E5683">
        <v>2287.3000000000002</v>
      </c>
      <c r="F5683">
        <v>107.99</v>
      </c>
      <c r="G5683">
        <v>66.540000000000006</v>
      </c>
      <c r="H5683">
        <v>217</v>
      </c>
      <c r="I5683" t="s">
        <v>25</v>
      </c>
      <c r="J5683">
        <v>2026</v>
      </c>
      <c r="K5683">
        <f t="shared" si="176"/>
        <v>41.449999999999989</v>
      </c>
      <c r="L5683" t="str">
        <f t="shared" si="177"/>
        <v>Banca Città|27|Prestiti</v>
      </c>
    </row>
    <row r="5684" spans="1:12" x14ac:dyDescent="0.25">
      <c r="A5684" t="s">
        <v>44</v>
      </c>
      <c r="B5684">
        <v>27</v>
      </c>
      <c r="C5684" t="s">
        <v>16</v>
      </c>
      <c r="D5684" s="1">
        <v>46112</v>
      </c>
      <c r="E5684">
        <v>2883.5</v>
      </c>
      <c r="F5684">
        <v>141.88</v>
      </c>
      <c r="G5684">
        <v>86.94</v>
      </c>
      <c r="H5684">
        <v>276</v>
      </c>
      <c r="I5684" t="s">
        <v>25</v>
      </c>
      <c r="J5684">
        <v>2026</v>
      </c>
      <c r="K5684">
        <f t="shared" si="176"/>
        <v>54.94</v>
      </c>
      <c r="L5684" t="str">
        <f t="shared" si="177"/>
        <v>Banca Città|27|Conti</v>
      </c>
    </row>
    <row r="5685" spans="1:12" x14ac:dyDescent="0.25">
      <c r="A5685" t="s">
        <v>44</v>
      </c>
      <c r="B5685">
        <v>27</v>
      </c>
      <c r="C5685" t="s">
        <v>17</v>
      </c>
      <c r="D5685" s="1">
        <v>46112</v>
      </c>
      <c r="E5685">
        <v>3532.3</v>
      </c>
      <c r="F5685">
        <v>180.57</v>
      </c>
      <c r="G5685">
        <v>110.28</v>
      </c>
      <c r="H5685">
        <v>310</v>
      </c>
      <c r="I5685" t="s">
        <v>25</v>
      </c>
      <c r="J5685">
        <v>2026</v>
      </c>
      <c r="K5685">
        <f t="shared" si="176"/>
        <v>70.289999999999992</v>
      </c>
      <c r="L5685" t="str">
        <f t="shared" si="177"/>
        <v>Banca Città|27|Carte</v>
      </c>
    </row>
    <row r="5686" spans="1:12" x14ac:dyDescent="0.25">
      <c r="A5686" t="s">
        <v>44</v>
      </c>
      <c r="B5686">
        <v>27</v>
      </c>
      <c r="C5686" t="s">
        <v>18</v>
      </c>
      <c r="D5686" s="1">
        <v>46112</v>
      </c>
      <c r="E5686">
        <v>4115.3999999999996</v>
      </c>
      <c r="F5686">
        <v>219.02</v>
      </c>
      <c r="G5686">
        <v>132.18</v>
      </c>
      <c r="H5686">
        <v>365</v>
      </c>
      <c r="I5686" t="s">
        <v>25</v>
      </c>
      <c r="J5686">
        <v>2026</v>
      </c>
      <c r="K5686">
        <f t="shared" si="176"/>
        <v>86.84</v>
      </c>
      <c r="L5686" t="str">
        <f t="shared" si="177"/>
        <v>Banca Città|27|Leasing</v>
      </c>
    </row>
    <row r="5687" spans="1:12" x14ac:dyDescent="0.25">
      <c r="A5687" t="s">
        <v>44</v>
      </c>
      <c r="B5687">
        <v>27</v>
      </c>
      <c r="C5687" t="s">
        <v>19</v>
      </c>
      <c r="D5687" s="1">
        <v>46112</v>
      </c>
      <c r="E5687">
        <v>4737.8999999999996</v>
      </c>
      <c r="F5687">
        <v>261.11</v>
      </c>
      <c r="G5687">
        <v>156.9</v>
      </c>
      <c r="H5687">
        <v>398</v>
      </c>
      <c r="I5687" t="s">
        <v>25</v>
      </c>
      <c r="J5687">
        <v>2026</v>
      </c>
      <c r="K5687">
        <f t="shared" si="176"/>
        <v>104.21000000000001</v>
      </c>
      <c r="L5687" t="str">
        <f t="shared" si="177"/>
        <v>Banca Città|27|Factoring</v>
      </c>
    </row>
    <row r="5688" spans="1:12" x14ac:dyDescent="0.25">
      <c r="A5688" t="s">
        <v>44</v>
      </c>
      <c r="B5688">
        <v>27</v>
      </c>
      <c r="C5688" t="s">
        <v>20</v>
      </c>
      <c r="D5688" s="1">
        <v>46112</v>
      </c>
      <c r="E5688">
        <v>5402.8</v>
      </c>
      <c r="F5688">
        <v>308.3</v>
      </c>
      <c r="G5688">
        <v>184.29</v>
      </c>
      <c r="H5688">
        <v>466</v>
      </c>
      <c r="I5688" t="s">
        <v>25</v>
      </c>
      <c r="J5688">
        <v>2026</v>
      </c>
      <c r="K5688">
        <f t="shared" si="176"/>
        <v>124.01000000000002</v>
      </c>
      <c r="L5688" t="str">
        <f t="shared" si="177"/>
        <v>Banca Città|27|Risparmio</v>
      </c>
    </row>
    <row r="5689" spans="1:12" x14ac:dyDescent="0.25">
      <c r="A5689" t="s">
        <v>44</v>
      </c>
      <c r="B5689">
        <v>27</v>
      </c>
      <c r="C5689" t="s">
        <v>21</v>
      </c>
      <c r="D5689" s="1">
        <v>46112</v>
      </c>
      <c r="E5689">
        <v>6021</v>
      </c>
      <c r="F5689">
        <v>356.18</v>
      </c>
      <c r="G5689">
        <v>211.07</v>
      </c>
      <c r="H5689">
        <v>527</v>
      </c>
      <c r="I5689" t="s">
        <v>25</v>
      </c>
      <c r="J5689">
        <v>2026</v>
      </c>
      <c r="K5689">
        <f t="shared" si="176"/>
        <v>145.11000000000001</v>
      </c>
      <c r="L5689" t="str">
        <f t="shared" si="177"/>
        <v>Banca Città|27|Assicurazioni</v>
      </c>
    </row>
    <row r="5690" spans="1:12" x14ac:dyDescent="0.25">
      <c r="A5690" t="s">
        <v>44</v>
      </c>
      <c r="B5690">
        <v>28</v>
      </c>
      <c r="C5690" t="s">
        <v>13</v>
      </c>
      <c r="D5690" s="1">
        <v>46142</v>
      </c>
      <c r="E5690">
        <v>1667.8</v>
      </c>
      <c r="F5690">
        <v>75.94</v>
      </c>
      <c r="G5690">
        <v>46.72</v>
      </c>
      <c r="H5690">
        <v>142</v>
      </c>
      <c r="I5690" t="s">
        <v>25</v>
      </c>
      <c r="J5690">
        <v>2026</v>
      </c>
      <c r="K5690">
        <f t="shared" si="176"/>
        <v>29.22</v>
      </c>
      <c r="L5690" t="str">
        <f t="shared" si="177"/>
        <v>Banca Città|28|Mutui</v>
      </c>
    </row>
    <row r="5691" spans="1:12" x14ac:dyDescent="0.25">
      <c r="A5691" t="s">
        <v>44</v>
      </c>
      <c r="B5691">
        <v>28</v>
      </c>
      <c r="C5691" t="s">
        <v>15</v>
      </c>
      <c r="D5691" s="1">
        <v>46142</v>
      </c>
      <c r="E5691">
        <v>2305</v>
      </c>
      <c r="F5691">
        <v>108.79</v>
      </c>
      <c r="G5691">
        <v>67.8</v>
      </c>
      <c r="H5691">
        <v>197</v>
      </c>
      <c r="I5691" t="s">
        <v>25</v>
      </c>
      <c r="J5691">
        <v>2026</v>
      </c>
      <c r="K5691">
        <f t="shared" si="176"/>
        <v>40.990000000000009</v>
      </c>
      <c r="L5691" t="str">
        <f t="shared" si="177"/>
        <v>Banca Città|28|Prestiti</v>
      </c>
    </row>
    <row r="5692" spans="1:12" x14ac:dyDescent="0.25">
      <c r="A5692" t="s">
        <v>44</v>
      </c>
      <c r="B5692">
        <v>28</v>
      </c>
      <c r="C5692" t="s">
        <v>16</v>
      </c>
      <c r="D5692" s="1">
        <v>46142</v>
      </c>
      <c r="E5692">
        <v>2903.3</v>
      </c>
      <c r="F5692">
        <v>142.35</v>
      </c>
      <c r="G5692">
        <v>87.21</v>
      </c>
      <c r="H5692">
        <v>255</v>
      </c>
      <c r="I5692" t="s">
        <v>25</v>
      </c>
      <c r="J5692">
        <v>2026</v>
      </c>
      <c r="K5692">
        <f t="shared" si="176"/>
        <v>55.14</v>
      </c>
      <c r="L5692" t="str">
        <f t="shared" si="177"/>
        <v>Banca Città|28|Conti</v>
      </c>
    </row>
    <row r="5693" spans="1:12" x14ac:dyDescent="0.25">
      <c r="A5693" t="s">
        <v>44</v>
      </c>
      <c r="B5693">
        <v>28</v>
      </c>
      <c r="C5693" t="s">
        <v>17</v>
      </c>
      <c r="D5693" s="1">
        <v>46142</v>
      </c>
      <c r="E5693">
        <v>3560.9</v>
      </c>
      <c r="F5693">
        <v>182.43</v>
      </c>
      <c r="G5693">
        <v>111.14</v>
      </c>
      <c r="H5693">
        <v>294</v>
      </c>
      <c r="I5693" t="s">
        <v>25</v>
      </c>
      <c r="J5693">
        <v>2026</v>
      </c>
      <c r="K5693">
        <f t="shared" si="176"/>
        <v>71.290000000000006</v>
      </c>
      <c r="L5693" t="str">
        <f t="shared" si="177"/>
        <v>Banca Città|28|Carte</v>
      </c>
    </row>
    <row r="5694" spans="1:12" x14ac:dyDescent="0.25">
      <c r="A5694" t="s">
        <v>44</v>
      </c>
      <c r="B5694">
        <v>28</v>
      </c>
      <c r="C5694" t="s">
        <v>18</v>
      </c>
      <c r="D5694" s="1">
        <v>46142</v>
      </c>
      <c r="E5694">
        <v>4169.1000000000004</v>
      </c>
      <c r="F5694">
        <v>221.91</v>
      </c>
      <c r="G5694">
        <v>133.44</v>
      </c>
      <c r="H5694">
        <v>374</v>
      </c>
      <c r="I5694" t="s">
        <v>25</v>
      </c>
      <c r="J5694">
        <v>2026</v>
      </c>
      <c r="K5694">
        <f t="shared" si="176"/>
        <v>88.47</v>
      </c>
      <c r="L5694" t="str">
        <f t="shared" si="177"/>
        <v>Banca Città|28|Leasing</v>
      </c>
    </row>
    <row r="5695" spans="1:12" x14ac:dyDescent="0.25">
      <c r="A5695" t="s">
        <v>44</v>
      </c>
      <c r="B5695">
        <v>28</v>
      </c>
      <c r="C5695" t="s">
        <v>19</v>
      </c>
      <c r="D5695" s="1">
        <v>46142</v>
      </c>
      <c r="E5695">
        <v>4818.5</v>
      </c>
      <c r="F5695">
        <v>266.01</v>
      </c>
      <c r="G5695">
        <v>159.84</v>
      </c>
      <c r="H5695">
        <v>395</v>
      </c>
      <c r="I5695" t="s">
        <v>25</v>
      </c>
      <c r="J5695">
        <v>2026</v>
      </c>
      <c r="K5695">
        <f t="shared" si="176"/>
        <v>106.16999999999999</v>
      </c>
      <c r="L5695" t="str">
        <f t="shared" si="177"/>
        <v>Banca Città|28|Factoring</v>
      </c>
    </row>
    <row r="5696" spans="1:12" x14ac:dyDescent="0.25">
      <c r="A5696" t="s">
        <v>44</v>
      </c>
      <c r="B5696">
        <v>28</v>
      </c>
      <c r="C5696" t="s">
        <v>20</v>
      </c>
      <c r="D5696" s="1">
        <v>46142</v>
      </c>
      <c r="E5696">
        <v>5441.8</v>
      </c>
      <c r="F5696">
        <v>310.27</v>
      </c>
      <c r="G5696">
        <v>185.93</v>
      </c>
      <c r="H5696">
        <v>442</v>
      </c>
      <c r="I5696" t="s">
        <v>25</v>
      </c>
      <c r="J5696">
        <v>2026</v>
      </c>
      <c r="K5696">
        <f t="shared" si="176"/>
        <v>124.33999999999997</v>
      </c>
      <c r="L5696" t="str">
        <f t="shared" si="177"/>
        <v>Banca Città|28|Risparmio</v>
      </c>
    </row>
    <row r="5697" spans="1:12" x14ac:dyDescent="0.25">
      <c r="A5697" t="s">
        <v>44</v>
      </c>
      <c r="B5697">
        <v>28</v>
      </c>
      <c r="C5697" t="s">
        <v>21</v>
      </c>
      <c r="D5697" s="1">
        <v>46142</v>
      </c>
      <c r="E5697">
        <v>6038.1</v>
      </c>
      <c r="F5697">
        <v>357.13</v>
      </c>
      <c r="G5697">
        <v>211.65</v>
      </c>
      <c r="H5697">
        <v>528</v>
      </c>
      <c r="I5697" t="s">
        <v>25</v>
      </c>
      <c r="J5697">
        <v>2026</v>
      </c>
      <c r="K5697">
        <f t="shared" si="176"/>
        <v>145.47999999999999</v>
      </c>
      <c r="L5697" t="str">
        <f t="shared" si="177"/>
        <v>Banca Città|28|Assicurazioni</v>
      </c>
    </row>
    <row r="5698" spans="1:12" x14ac:dyDescent="0.25">
      <c r="A5698" t="s">
        <v>44</v>
      </c>
      <c r="B5698">
        <v>29</v>
      </c>
      <c r="C5698" t="s">
        <v>13</v>
      </c>
      <c r="D5698" s="1">
        <v>46173</v>
      </c>
      <c r="E5698">
        <v>1650.7</v>
      </c>
      <c r="F5698">
        <v>74.86</v>
      </c>
      <c r="G5698">
        <v>46.49</v>
      </c>
      <c r="H5698">
        <v>171</v>
      </c>
      <c r="I5698" t="s">
        <v>25</v>
      </c>
      <c r="J5698">
        <v>2026</v>
      </c>
      <c r="K5698">
        <f t="shared" ref="K5698:K5761" si="178">F5698-G5698</f>
        <v>28.369999999999997</v>
      </c>
      <c r="L5698" t="str">
        <f t="shared" ref="L5698:L5761" si="179">A5698&amp;"|"&amp;B5698&amp;"|"&amp;C5698</f>
        <v>Banca Città|29|Mutui</v>
      </c>
    </row>
    <row r="5699" spans="1:12" x14ac:dyDescent="0.25">
      <c r="A5699" t="s">
        <v>44</v>
      </c>
      <c r="B5699">
        <v>29</v>
      </c>
      <c r="C5699" t="s">
        <v>15</v>
      </c>
      <c r="D5699" s="1">
        <v>46173</v>
      </c>
      <c r="E5699">
        <v>2291.1</v>
      </c>
      <c r="F5699">
        <v>107.92</v>
      </c>
      <c r="G5699">
        <v>66.59</v>
      </c>
      <c r="H5699">
        <v>217</v>
      </c>
      <c r="I5699" t="s">
        <v>25</v>
      </c>
      <c r="J5699">
        <v>2026</v>
      </c>
      <c r="K5699">
        <f t="shared" si="178"/>
        <v>41.33</v>
      </c>
      <c r="L5699" t="str">
        <f t="shared" si="179"/>
        <v>Banca Città|29|Prestiti</v>
      </c>
    </row>
    <row r="5700" spans="1:12" x14ac:dyDescent="0.25">
      <c r="A5700" t="s">
        <v>44</v>
      </c>
      <c r="B5700">
        <v>29</v>
      </c>
      <c r="C5700" t="s">
        <v>16</v>
      </c>
      <c r="D5700" s="1">
        <v>46173</v>
      </c>
      <c r="E5700">
        <v>2931.7</v>
      </c>
      <c r="F5700">
        <v>143.85</v>
      </c>
      <c r="G5700">
        <v>88.17</v>
      </c>
      <c r="H5700">
        <v>250</v>
      </c>
      <c r="I5700" t="s">
        <v>25</v>
      </c>
      <c r="J5700">
        <v>2026</v>
      </c>
      <c r="K5700">
        <f t="shared" si="178"/>
        <v>55.679999999999993</v>
      </c>
      <c r="L5700" t="str">
        <f t="shared" si="179"/>
        <v>Banca Città|29|Conti</v>
      </c>
    </row>
    <row r="5701" spans="1:12" x14ac:dyDescent="0.25">
      <c r="A5701" t="s">
        <v>44</v>
      </c>
      <c r="B5701">
        <v>29</v>
      </c>
      <c r="C5701" t="s">
        <v>17</v>
      </c>
      <c r="D5701" s="1">
        <v>46173</v>
      </c>
      <c r="E5701">
        <v>3575.3</v>
      </c>
      <c r="F5701">
        <v>183.21</v>
      </c>
      <c r="G5701">
        <v>110.99</v>
      </c>
      <c r="H5701">
        <v>296</v>
      </c>
      <c r="I5701" t="s">
        <v>25</v>
      </c>
      <c r="J5701">
        <v>2026</v>
      </c>
      <c r="K5701">
        <f t="shared" si="178"/>
        <v>72.220000000000013</v>
      </c>
      <c r="L5701" t="str">
        <f t="shared" si="179"/>
        <v>Banca Città|29|Carte</v>
      </c>
    </row>
    <row r="5702" spans="1:12" x14ac:dyDescent="0.25">
      <c r="A5702" t="s">
        <v>44</v>
      </c>
      <c r="B5702">
        <v>29</v>
      </c>
      <c r="C5702" t="s">
        <v>18</v>
      </c>
      <c r="D5702" s="1">
        <v>46173</v>
      </c>
      <c r="E5702">
        <v>4177.6000000000004</v>
      </c>
      <c r="F5702">
        <v>222.03</v>
      </c>
      <c r="G5702">
        <v>134.52000000000001</v>
      </c>
      <c r="H5702">
        <v>353</v>
      </c>
      <c r="I5702" t="s">
        <v>25</v>
      </c>
      <c r="J5702">
        <v>2026</v>
      </c>
      <c r="K5702">
        <f t="shared" si="178"/>
        <v>87.509999999999991</v>
      </c>
      <c r="L5702" t="str">
        <f t="shared" si="179"/>
        <v>Banca Città|29|Leasing</v>
      </c>
    </row>
    <row r="5703" spans="1:12" x14ac:dyDescent="0.25">
      <c r="A5703" t="s">
        <v>44</v>
      </c>
      <c r="B5703">
        <v>29</v>
      </c>
      <c r="C5703" t="s">
        <v>19</v>
      </c>
      <c r="D5703" s="1">
        <v>46173</v>
      </c>
      <c r="E5703">
        <v>4809.8999999999996</v>
      </c>
      <c r="F5703">
        <v>264.72000000000003</v>
      </c>
      <c r="G5703">
        <v>158.83000000000001</v>
      </c>
      <c r="H5703">
        <v>429</v>
      </c>
      <c r="I5703" t="s">
        <v>25</v>
      </c>
      <c r="J5703">
        <v>2026</v>
      </c>
      <c r="K5703">
        <f t="shared" si="178"/>
        <v>105.89000000000001</v>
      </c>
      <c r="L5703" t="str">
        <f t="shared" si="179"/>
        <v>Banca Città|29|Factoring</v>
      </c>
    </row>
    <row r="5704" spans="1:12" x14ac:dyDescent="0.25">
      <c r="A5704" t="s">
        <v>44</v>
      </c>
      <c r="B5704">
        <v>29</v>
      </c>
      <c r="C5704" t="s">
        <v>20</v>
      </c>
      <c r="D5704" s="1">
        <v>46173</v>
      </c>
      <c r="E5704">
        <v>5442.8</v>
      </c>
      <c r="F5704">
        <v>310.74</v>
      </c>
      <c r="G5704">
        <v>185.92</v>
      </c>
      <c r="H5704">
        <v>444</v>
      </c>
      <c r="I5704" t="s">
        <v>25</v>
      </c>
      <c r="J5704">
        <v>2026</v>
      </c>
      <c r="K5704">
        <f t="shared" si="178"/>
        <v>124.82000000000002</v>
      </c>
      <c r="L5704" t="str">
        <f t="shared" si="179"/>
        <v>Banca Città|29|Risparmio</v>
      </c>
    </row>
    <row r="5705" spans="1:12" x14ac:dyDescent="0.25">
      <c r="A5705" t="s">
        <v>44</v>
      </c>
      <c r="B5705">
        <v>29</v>
      </c>
      <c r="C5705" t="s">
        <v>21</v>
      </c>
      <c r="D5705" s="1">
        <v>46173</v>
      </c>
      <c r="E5705">
        <v>6100.4</v>
      </c>
      <c r="F5705">
        <v>360.6</v>
      </c>
      <c r="G5705">
        <v>213.65</v>
      </c>
      <c r="H5705">
        <v>517</v>
      </c>
      <c r="I5705" t="s">
        <v>25</v>
      </c>
      <c r="J5705">
        <v>2026</v>
      </c>
      <c r="K5705">
        <f t="shared" si="178"/>
        <v>146.95000000000002</v>
      </c>
      <c r="L5705" t="str">
        <f t="shared" si="179"/>
        <v>Banca Città|29|Assicurazioni</v>
      </c>
    </row>
    <row r="5706" spans="1:12" x14ac:dyDescent="0.25">
      <c r="A5706" t="s">
        <v>44</v>
      </c>
      <c r="B5706">
        <v>30</v>
      </c>
      <c r="C5706" t="s">
        <v>13</v>
      </c>
      <c r="D5706" s="1">
        <v>46203</v>
      </c>
      <c r="E5706">
        <v>1704.1</v>
      </c>
      <c r="F5706">
        <v>77.53</v>
      </c>
      <c r="G5706">
        <v>47.78</v>
      </c>
      <c r="H5706">
        <v>163</v>
      </c>
      <c r="I5706" t="s">
        <v>25</v>
      </c>
      <c r="J5706">
        <v>2026</v>
      </c>
      <c r="K5706">
        <f t="shared" si="178"/>
        <v>29.75</v>
      </c>
      <c r="L5706" t="str">
        <f t="shared" si="179"/>
        <v>Banca Città|30|Mutui</v>
      </c>
    </row>
    <row r="5707" spans="1:12" x14ac:dyDescent="0.25">
      <c r="A5707" t="s">
        <v>44</v>
      </c>
      <c r="B5707">
        <v>30</v>
      </c>
      <c r="C5707" t="s">
        <v>15</v>
      </c>
      <c r="D5707" s="1">
        <v>46203</v>
      </c>
      <c r="E5707">
        <v>2348.6</v>
      </c>
      <c r="F5707">
        <v>111.25</v>
      </c>
      <c r="G5707">
        <v>68.7</v>
      </c>
      <c r="H5707">
        <v>199</v>
      </c>
      <c r="I5707" t="s">
        <v>25</v>
      </c>
      <c r="J5707">
        <v>2026</v>
      </c>
      <c r="K5707">
        <f t="shared" si="178"/>
        <v>42.55</v>
      </c>
      <c r="L5707" t="str">
        <f t="shared" si="179"/>
        <v>Banca Città|30|Prestiti</v>
      </c>
    </row>
    <row r="5708" spans="1:12" x14ac:dyDescent="0.25">
      <c r="A5708" t="s">
        <v>44</v>
      </c>
      <c r="B5708">
        <v>30</v>
      </c>
      <c r="C5708" t="s">
        <v>16</v>
      </c>
      <c r="D5708" s="1">
        <v>46203</v>
      </c>
      <c r="E5708">
        <v>2969.4</v>
      </c>
      <c r="F5708">
        <v>146.22999999999999</v>
      </c>
      <c r="G5708">
        <v>89.21</v>
      </c>
      <c r="H5708">
        <v>262</v>
      </c>
      <c r="I5708" t="s">
        <v>25</v>
      </c>
      <c r="J5708">
        <v>2026</v>
      </c>
      <c r="K5708">
        <f t="shared" si="178"/>
        <v>57.019999999999996</v>
      </c>
      <c r="L5708" t="str">
        <f t="shared" si="179"/>
        <v>Banca Città|30|Conti</v>
      </c>
    </row>
    <row r="5709" spans="1:12" x14ac:dyDescent="0.25">
      <c r="A5709" t="s">
        <v>44</v>
      </c>
      <c r="B5709">
        <v>30</v>
      </c>
      <c r="C5709" t="s">
        <v>17</v>
      </c>
      <c r="D5709" s="1">
        <v>46203</v>
      </c>
      <c r="E5709">
        <v>3612.8</v>
      </c>
      <c r="F5709">
        <v>184.99</v>
      </c>
      <c r="G5709">
        <v>112.94</v>
      </c>
      <c r="H5709">
        <v>311</v>
      </c>
      <c r="I5709" t="s">
        <v>25</v>
      </c>
      <c r="J5709">
        <v>2026</v>
      </c>
      <c r="K5709">
        <f t="shared" si="178"/>
        <v>72.050000000000011</v>
      </c>
      <c r="L5709" t="str">
        <f t="shared" si="179"/>
        <v>Banca Città|30|Carte</v>
      </c>
    </row>
    <row r="5710" spans="1:12" x14ac:dyDescent="0.25">
      <c r="A5710" t="s">
        <v>44</v>
      </c>
      <c r="B5710">
        <v>30</v>
      </c>
      <c r="C5710" t="s">
        <v>18</v>
      </c>
      <c r="D5710" s="1">
        <v>46203</v>
      </c>
      <c r="E5710">
        <v>4230.8</v>
      </c>
      <c r="F5710">
        <v>224.37</v>
      </c>
      <c r="G5710">
        <v>135.56</v>
      </c>
      <c r="H5710">
        <v>355</v>
      </c>
      <c r="I5710" t="s">
        <v>25</v>
      </c>
      <c r="J5710">
        <v>2026</v>
      </c>
      <c r="K5710">
        <f t="shared" si="178"/>
        <v>88.81</v>
      </c>
      <c r="L5710" t="str">
        <f t="shared" si="179"/>
        <v>Banca Città|30|Leasing</v>
      </c>
    </row>
    <row r="5711" spans="1:12" x14ac:dyDescent="0.25">
      <c r="A5711" t="s">
        <v>44</v>
      </c>
      <c r="B5711">
        <v>30</v>
      </c>
      <c r="C5711" t="s">
        <v>19</v>
      </c>
      <c r="D5711" s="1">
        <v>46203</v>
      </c>
      <c r="E5711">
        <v>4878.2</v>
      </c>
      <c r="F5711">
        <v>268.62</v>
      </c>
      <c r="G5711">
        <v>161.12</v>
      </c>
      <c r="H5711">
        <v>409</v>
      </c>
      <c r="I5711" t="s">
        <v>25</v>
      </c>
      <c r="J5711">
        <v>2026</v>
      </c>
      <c r="K5711">
        <f t="shared" si="178"/>
        <v>107.5</v>
      </c>
      <c r="L5711" t="str">
        <f t="shared" si="179"/>
        <v>Banca Città|30|Factoring</v>
      </c>
    </row>
    <row r="5712" spans="1:12" x14ac:dyDescent="0.25">
      <c r="A5712" t="s">
        <v>44</v>
      </c>
      <c r="B5712">
        <v>30</v>
      </c>
      <c r="C5712" t="s">
        <v>20</v>
      </c>
      <c r="D5712" s="1">
        <v>46203</v>
      </c>
      <c r="E5712">
        <v>5481.7</v>
      </c>
      <c r="F5712">
        <v>313.18</v>
      </c>
      <c r="G5712">
        <v>186.91</v>
      </c>
      <c r="H5712">
        <v>458</v>
      </c>
      <c r="I5712" t="s">
        <v>25</v>
      </c>
      <c r="J5712">
        <v>2026</v>
      </c>
      <c r="K5712">
        <f t="shared" si="178"/>
        <v>126.27000000000001</v>
      </c>
      <c r="L5712" t="str">
        <f t="shared" si="179"/>
        <v>Banca Città|30|Risparmio</v>
      </c>
    </row>
    <row r="5713" spans="1:12" x14ac:dyDescent="0.25">
      <c r="A5713" t="s">
        <v>44</v>
      </c>
      <c r="B5713">
        <v>30</v>
      </c>
      <c r="C5713" t="s">
        <v>21</v>
      </c>
      <c r="D5713" s="1">
        <v>46203</v>
      </c>
      <c r="E5713">
        <v>6088.9</v>
      </c>
      <c r="F5713">
        <v>359.8</v>
      </c>
      <c r="G5713">
        <v>213.27</v>
      </c>
      <c r="H5713">
        <v>507</v>
      </c>
      <c r="I5713" t="s">
        <v>25</v>
      </c>
      <c r="J5713">
        <v>2026</v>
      </c>
      <c r="K5713">
        <f t="shared" si="178"/>
        <v>146.53</v>
      </c>
      <c r="L5713" t="str">
        <f t="shared" si="179"/>
        <v>Banca Città|30|Assicurazioni</v>
      </c>
    </row>
    <row r="5714" spans="1:12" x14ac:dyDescent="0.25">
      <c r="A5714" t="s">
        <v>44</v>
      </c>
      <c r="B5714">
        <v>31</v>
      </c>
      <c r="C5714" t="s">
        <v>13</v>
      </c>
      <c r="D5714" s="1">
        <v>46234</v>
      </c>
      <c r="E5714">
        <v>1699.5</v>
      </c>
      <c r="F5714">
        <v>77.06</v>
      </c>
      <c r="G5714">
        <v>48.37</v>
      </c>
      <c r="H5714">
        <v>144</v>
      </c>
      <c r="I5714" t="s">
        <v>25</v>
      </c>
      <c r="J5714">
        <v>2026</v>
      </c>
      <c r="K5714">
        <f t="shared" si="178"/>
        <v>28.690000000000005</v>
      </c>
      <c r="L5714" t="str">
        <f t="shared" si="179"/>
        <v>Banca Città|31|Mutui</v>
      </c>
    </row>
    <row r="5715" spans="1:12" x14ac:dyDescent="0.25">
      <c r="A5715" t="s">
        <v>44</v>
      </c>
      <c r="B5715">
        <v>31</v>
      </c>
      <c r="C5715" t="s">
        <v>15</v>
      </c>
      <c r="D5715" s="1">
        <v>46234</v>
      </c>
      <c r="E5715">
        <v>2352.6</v>
      </c>
      <c r="F5715">
        <v>110.95</v>
      </c>
      <c r="G5715">
        <v>68.47</v>
      </c>
      <c r="H5715">
        <v>191</v>
      </c>
      <c r="I5715" t="s">
        <v>25</v>
      </c>
      <c r="J5715">
        <v>2026</v>
      </c>
      <c r="K5715">
        <f t="shared" si="178"/>
        <v>42.480000000000004</v>
      </c>
      <c r="L5715" t="str">
        <f t="shared" si="179"/>
        <v>Banca Città|31|Prestiti</v>
      </c>
    </row>
    <row r="5716" spans="1:12" x14ac:dyDescent="0.25">
      <c r="A5716" t="s">
        <v>44</v>
      </c>
      <c r="B5716">
        <v>31</v>
      </c>
      <c r="C5716" t="s">
        <v>16</v>
      </c>
      <c r="D5716" s="1">
        <v>46234</v>
      </c>
      <c r="E5716">
        <v>2989.4</v>
      </c>
      <c r="F5716">
        <v>147.21</v>
      </c>
      <c r="G5716">
        <v>90.25</v>
      </c>
      <c r="H5716">
        <v>275</v>
      </c>
      <c r="I5716" t="s">
        <v>25</v>
      </c>
      <c r="J5716">
        <v>2026</v>
      </c>
      <c r="K5716">
        <f t="shared" si="178"/>
        <v>56.960000000000008</v>
      </c>
      <c r="L5716" t="str">
        <f t="shared" si="179"/>
        <v>Banca Città|31|Conti</v>
      </c>
    </row>
    <row r="5717" spans="1:12" x14ac:dyDescent="0.25">
      <c r="A5717" t="s">
        <v>44</v>
      </c>
      <c r="B5717">
        <v>31</v>
      </c>
      <c r="C5717" t="s">
        <v>17</v>
      </c>
      <c r="D5717" s="1">
        <v>46234</v>
      </c>
      <c r="E5717">
        <v>3624</v>
      </c>
      <c r="F5717">
        <v>185.49</v>
      </c>
      <c r="G5717">
        <v>113.03</v>
      </c>
      <c r="H5717">
        <v>319</v>
      </c>
      <c r="I5717" t="s">
        <v>25</v>
      </c>
      <c r="J5717">
        <v>2026</v>
      </c>
      <c r="K5717">
        <f t="shared" si="178"/>
        <v>72.460000000000008</v>
      </c>
      <c r="L5717" t="str">
        <f t="shared" si="179"/>
        <v>Banca Città|31|Carte</v>
      </c>
    </row>
    <row r="5718" spans="1:12" x14ac:dyDescent="0.25">
      <c r="A5718" t="s">
        <v>44</v>
      </c>
      <c r="B5718">
        <v>31</v>
      </c>
      <c r="C5718" t="s">
        <v>18</v>
      </c>
      <c r="D5718" s="1">
        <v>46234</v>
      </c>
      <c r="E5718">
        <v>4246.3999999999996</v>
      </c>
      <c r="F5718">
        <v>225.78</v>
      </c>
      <c r="G5718">
        <v>136.02000000000001</v>
      </c>
      <c r="H5718">
        <v>374</v>
      </c>
      <c r="I5718" t="s">
        <v>25</v>
      </c>
      <c r="J5718">
        <v>2026</v>
      </c>
      <c r="K5718">
        <f t="shared" si="178"/>
        <v>89.759999999999991</v>
      </c>
      <c r="L5718" t="str">
        <f t="shared" si="179"/>
        <v>Banca Città|31|Leasing</v>
      </c>
    </row>
    <row r="5719" spans="1:12" x14ac:dyDescent="0.25">
      <c r="A5719" t="s">
        <v>44</v>
      </c>
      <c r="B5719">
        <v>31</v>
      </c>
      <c r="C5719" t="s">
        <v>19</v>
      </c>
      <c r="D5719" s="1">
        <v>46234</v>
      </c>
      <c r="E5719">
        <v>4897.8999999999996</v>
      </c>
      <c r="F5719">
        <v>269.58</v>
      </c>
      <c r="G5719">
        <v>162.35</v>
      </c>
      <c r="H5719">
        <v>415</v>
      </c>
      <c r="I5719" t="s">
        <v>25</v>
      </c>
      <c r="J5719">
        <v>2026</v>
      </c>
      <c r="K5719">
        <f t="shared" si="178"/>
        <v>107.22999999999999</v>
      </c>
      <c r="L5719" t="str">
        <f t="shared" si="179"/>
        <v>Banca Città|31|Factoring</v>
      </c>
    </row>
    <row r="5720" spans="1:12" x14ac:dyDescent="0.25">
      <c r="A5720" t="s">
        <v>44</v>
      </c>
      <c r="B5720">
        <v>31</v>
      </c>
      <c r="C5720" t="s">
        <v>20</v>
      </c>
      <c r="D5720" s="1">
        <v>46234</v>
      </c>
      <c r="E5720">
        <v>5532.5</v>
      </c>
      <c r="F5720">
        <v>315.94</v>
      </c>
      <c r="G5720">
        <v>188.68</v>
      </c>
      <c r="H5720">
        <v>444</v>
      </c>
      <c r="I5720" t="s">
        <v>25</v>
      </c>
      <c r="J5720">
        <v>2026</v>
      </c>
      <c r="K5720">
        <f t="shared" si="178"/>
        <v>127.25999999999999</v>
      </c>
      <c r="L5720" t="str">
        <f t="shared" si="179"/>
        <v>Banca Città|31|Risparmio</v>
      </c>
    </row>
    <row r="5721" spans="1:12" x14ac:dyDescent="0.25">
      <c r="A5721" t="s">
        <v>44</v>
      </c>
      <c r="B5721">
        <v>31</v>
      </c>
      <c r="C5721" t="s">
        <v>21</v>
      </c>
      <c r="D5721" s="1">
        <v>46234</v>
      </c>
      <c r="E5721">
        <v>6187.5</v>
      </c>
      <c r="F5721">
        <v>365.42</v>
      </c>
      <c r="G5721">
        <v>217.52</v>
      </c>
      <c r="H5721">
        <v>517</v>
      </c>
      <c r="I5721" t="s">
        <v>25</v>
      </c>
      <c r="J5721">
        <v>2026</v>
      </c>
      <c r="K5721">
        <f t="shared" si="178"/>
        <v>147.9</v>
      </c>
      <c r="L5721" t="str">
        <f t="shared" si="179"/>
        <v>Banca Città|31|Assicurazioni</v>
      </c>
    </row>
    <row r="5722" spans="1:12" x14ac:dyDescent="0.25">
      <c r="A5722" t="s">
        <v>44</v>
      </c>
      <c r="B5722">
        <v>32</v>
      </c>
      <c r="C5722" t="s">
        <v>13</v>
      </c>
      <c r="D5722" s="1">
        <v>46265</v>
      </c>
      <c r="E5722">
        <v>1687.8</v>
      </c>
      <c r="F5722">
        <v>76.03</v>
      </c>
      <c r="G5722">
        <v>47.28</v>
      </c>
      <c r="H5722">
        <v>163</v>
      </c>
      <c r="I5722" t="s">
        <v>25</v>
      </c>
      <c r="J5722">
        <v>2026</v>
      </c>
      <c r="K5722">
        <f t="shared" si="178"/>
        <v>28.75</v>
      </c>
      <c r="L5722" t="str">
        <f t="shared" si="179"/>
        <v>Banca Città|32|Mutui</v>
      </c>
    </row>
    <row r="5723" spans="1:12" x14ac:dyDescent="0.25">
      <c r="A5723" t="s">
        <v>44</v>
      </c>
      <c r="B5723">
        <v>32</v>
      </c>
      <c r="C5723" t="s">
        <v>15</v>
      </c>
      <c r="D5723" s="1">
        <v>46265</v>
      </c>
      <c r="E5723">
        <v>2376.1</v>
      </c>
      <c r="F5723">
        <v>111.83</v>
      </c>
      <c r="G5723">
        <v>69.510000000000005</v>
      </c>
      <c r="H5723">
        <v>214</v>
      </c>
      <c r="I5723" t="s">
        <v>25</v>
      </c>
      <c r="J5723">
        <v>2026</v>
      </c>
      <c r="K5723">
        <f t="shared" si="178"/>
        <v>42.319999999999993</v>
      </c>
      <c r="L5723" t="str">
        <f t="shared" si="179"/>
        <v>Banca Città|32|Prestiti</v>
      </c>
    </row>
    <row r="5724" spans="1:12" x14ac:dyDescent="0.25">
      <c r="A5724" t="s">
        <v>44</v>
      </c>
      <c r="B5724">
        <v>32</v>
      </c>
      <c r="C5724" t="s">
        <v>16</v>
      </c>
      <c r="D5724" s="1">
        <v>46265</v>
      </c>
      <c r="E5724">
        <v>3016.5</v>
      </c>
      <c r="F5724">
        <v>148.68</v>
      </c>
      <c r="G5724">
        <v>90.9</v>
      </c>
      <c r="H5724">
        <v>273</v>
      </c>
      <c r="I5724" t="s">
        <v>25</v>
      </c>
      <c r="J5724">
        <v>2026</v>
      </c>
      <c r="K5724">
        <f t="shared" si="178"/>
        <v>57.78</v>
      </c>
      <c r="L5724" t="str">
        <f t="shared" si="179"/>
        <v>Banca Città|32|Conti</v>
      </c>
    </row>
    <row r="5725" spans="1:12" x14ac:dyDescent="0.25">
      <c r="A5725" t="s">
        <v>44</v>
      </c>
      <c r="B5725">
        <v>32</v>
      </c>
      <c r="C5725" t="s">
        <v>17</v>
      </c>
      <c r="D5725" s="1">
        <v>46265</v>
      </c>
      <c r="E5725">
        <v>3606</v>
      </c>
      <c r="F5725">
        <v>184.36</v>
      </c>
      <c r="G5725">
        <v>112.7</v>
      </c>
      <c r="H5725">
        <v>308</v>
      </c>
      <c r="I5725" t="s">
        <v>25</v>
      </c>
      <c r="J5725">
        <v>2026</v>
      </c>
      <c r="K5725">
        <f t="shared" si="178"/>
        <v>71.660000000000011</v>
      </c>
      <c r="L5725" t="str">
        <f t="shared" si="179"/>
        <v>Banca Città|32|Carte</v>
      </c>
    </row>
    <row r="5726" spans="1:12" x14ac:dyDescent="0.25">
      <c r="A5726" t="s">
        <v>44</v>
      </c>
      <c r="B5726">
        <v>32</v>
      </c>
      <c r="C5726" t="s">
        <v>18</v>
      </c>
      <c r="D5726" s="1">
        <v>46265</v>
      </c>
      <c r="E5726">
        <v>4298.8</v>
      </c>
      <c r="F5726">
        <v>228.49</v>
      </c>
      <c r="G5726">
        <v>138.19999999999999</v>
      </c>
      <c r="H5726">
        <v>357</v>
      </c>
      <c r="I5726" t="s">
        <v>25</v>
      </c>
      <c r="J5726">
        <v>2026</v>
      </c>
      <c r="K5726">
        <f t="shared" si="178"/>
        <v>90.29000000000002</v>
      </c>
      <c r="L5726" t="str">
        <f t="shared" si="179"/>
        <v>Banca Città|32|Leasing</v>
      </c>
    </row>
    <row r="5727" spans="1:12" x14ac:dyDescent="0.25">
      <c r="A5727" t="s">
        <v>44</v>
      </c>
      <c r="B5727">
        <v>32</v>
      </c>
      <c r="C5727" t="s">
        <v>19</v>
      </c>
      <c r="D5727" s="1">
        <v>46265</v>
      </c>
      <c r="E5727">
        <v>4901.2</v>
      </c>
      <c r="F5727">
        <v>269.73</v>
      </c>
      <c r="G5727">
        <v>162.25</v>
      </c>
      <c r="H5727">
        <v>428</v>
      </c>
      <c r="I5727" t="s">
        <v>25</v>
      </c>
      <c r="J5727">
        <v>2026</v>
      </c>
      <c r="K5727">
        <f t="shared" si="178"/>
        <v>107.48000000000002</v>
      </c>
      <c r="L5727" t="str">
        <f t="shared" si="179"/>
        <v>Banca Città|32|Factoring</v>
      </c>
    </row>
    <row r="5728" spans="1:12" x14ac:dyDescent="0.25">
      <c r="A5728" t="s">
        <v>44</v>
      </c>
      <c r="B5728">
        <v>32</v>
      </c>
      <c r="C5728" t="s">
        <v>20</v>
      </c>
      <c r="D5728" s="1">
        <v>46265</v>
      </c>
      <c r="E5728">
        <v>5544.2</v>
      </c>
      <c r="F5728">
        <v>316.73</v>
      </c>
      <c r="G5728">
        <v>188.58</v>
      </c>
      <c r="H5728">
        <v>466</v>
      </c>
      <c r="I5728" t="s">
        <v>25</v>
      </c>
      <c r="J5728">
        <v>2026</v>
      </c>
      <c r="K5728">
        <f t="shared" si="178"/>
        <v>128.15</v>
      </c>
      <c r="L5728" t="str">
        <f t="shared" si="179"/>
        <v>Banca Città|32|Risparmio</v>
      </c>
    </row>
    <row r="5729" spans="1:12" x14ac:dyDescent="0.25">
      <c r="A5729" t="s">
        <v>44</v>
      </c>
      <c r="B5729">
        <v>32</v>
      </c>
      <c r="C5729" t="s">
        <v>21</v>
      </c>
      <c r="D5729" s="1">
        <v>46265</v>
      </c>
      <c r="E5729">
        <v>6190.9</v>
      </c>
      <c r="F5729">
        <v>365.97</v>
      </c>
      <c r="G5729">
        <v>217.14</v>
      </c>
      <c r="H5729">
        <v>530</v>
      </c>
      <c r="I5729" t="s">
        <v>25</v>
      </c>
      <c r="J5729">
        <v>2026</v>
      </c>
      <c r="K5729">
        <f t="shared" si="178"/>
        <v>148.83000000000004</v>
      </c>
      <c r="L5729" t="str">
        <f t="shared" si="179"/>
        <v>Banca Città|32|Assicurazioni</v>
      </c>
    </row>
    <row r="5730" spans="1:12" x14ac:dyDescent="0.25">
      <c r="A5730" t="s">
        <v>44</v>
      </c>
      <c r="B5730">
        <v>33</v>
      </c>
      <c r="C5730" t="s">
        <v>13</v>
      </c>
      <c r="D5730" s="1">
        <v>46295</v>
      </c>
      <c r="E5730">
        <v>1716.3</v>
      </c>
      <c r="F5730">
        <v>77.83</v>
      </c>
      <c r="G5730">
        <v>48.09</v>
      </c>
      <c r="H5730">
        <v>163</v>
      </c>
      <c r="I5730" t="s">
        <v>25</v>
      </c>
      <c r="J5730">
        <v>2026</v>
      </c>
      <c r="K5730">
        <f t="shared" si="178"/>
        <v>29.739999999999995</v>
      </c>
      <c r="L5730" t="str">
        <f t="shared" si="179"/>
        <v>Banca Città|33|Mutui</v>
      </c>
    </row>
    <row r="5731" spans="1:12" x14ac:dyDescent="0.25">
      <c r="A5731" t="s">
        <v>44</v>
      </c>
      <c r="B5731">
        <v>33</v>
      </c>
      <c r="C5731" t="s">
        <v>15</v>
      </c>
      <c r="D5731" s="1">
        <v>46295</v>
      </c>
      <c r="E5731">
        <v>2341.4</v>
      </c>
      <c r="F5731">
        <v>110.23</v>
      </c>
      <c r="G5731">
        <v>68.59</v>
      </c>
      <c r="H5731">
        <v>187</v>
      </c>
      <c r="I5731" t="s">
        <v>25</v>
      </c>
      <c r="J5731">
        <v>2026</v>
      </c>
      <c r="K5731">
        <f t="shared" si="178"/>
        <v>41.64</v>
      </c>
      <c r="L5731" t="str">
        <f t="shared" si="179"/>
        <v>Banca Città|33|Prestiti</v>
      </c>
    </row>
    <row r="5732" spans="1:12" x14ac:dyDescent="0.25">
      <c r="A5732" t="s">
        <v>44</v>
      </c>
      <c r="B5732">
        <v>33</v>
      </c>
      <c r="C5732" t="s">
        <v>16</v>
      </c>
      <c r="D5732" s="1">
        <v>46295</v>
      </c>
      <c r="E5732">
        <v>2983</v>
      </c>
      <c r="F5732">
        <v>146.61000000000001</v>
      </c>
      <c r="G5732">
        <v>89.96</v>
      </c>
      <c r="H5732">
        <v>266</v>
      </c>
      <c r="I5732" t="s">
        <v>25</v>
      </c>
      <c r="J5732">
        <v>2026</v>
      </c>
      <c r="K5732">
        <f t="shared" si="178"/>
        <v>56.65000000000002</v>
      </c>
      <c r="L5732" t="str">
        <f t="shared" si="179"/>
        <v>Banca Città|33|Conti</v>
      </c>
    </row>
    <row r="5733" spans="1:12" x14ac:dyDescent="0.25">
      <c r="A5733" t="s">
        <v>44</v>
      </c>
      <c r="B5733">
        <v>33</v>
      </c>
      <c r="C5733" t="s">
        <v>17</v>
      </c>
      <c r="D5733" s="1">
        <v>46295</v>
      </c>
      <c r="E5733">
        <v>3659.6</v>
      </c>
      <c r="F5733">
        <v>187.08</v>
      </c>
      <c r="G5733">
        <v>114.03</v>
      </c>
      <c r="H5733">
        <v>305</v>
      </c>
      <c r="I5733" t="s">
        <v>25</v>
      </c>
      <c r="J5733">
        <v>2026</v>
      </c>
      <c r="K5733">
        <f t="shared" si="178"/>
        <v>73.050000000000011</v>
      </c>
      <c r="L5733" t="str">
        <f t="shared" si="179"/>
        <v>Banca Città|33|Carte</v>
      </c>
    </row>
    <row r="5734" spans="1:12" x14ac:dyDescent="0.25">
      <c r="A5734" t="s">
        <v>44</v>
      </c>
      <c r="B5734">
        <v>33</v>
      </c>
      <c r="C5734" t="s">
        <v>18</v>
      </c>
      <c r="D5734" s="1">
        <v>46295</v>
      </c>
      <c r="E5734">
        <v>4271.5</v>
      </c>
      <c r="F5734">
        <v>227.04</v>
      </c>
      <c r="G5734">
        <v>137.36000000000001</v>
      </c>
      <c r="H5734">
        <v>355</v>
      </c>
      <c r="I5734" t="s">
        <v>25</v>
      </c>
      <c r="J5734">
        <v>2026</v>
      </c>
      <c r="K5734">
        <f t="shared" si="178"/>
        <v>89.679999999999978</v>
      </c>
      <c r="L5734" t="str">
        <f t="shared" si="179"/>
        <v>Banca Città|33|Leasing</v>
      </c>
    </row>
    <row r="5735" spans="1:12" x14ac:dyDescent="0.25">
      <c r="A5735" t="s">
        <v>44</v>
      </c>
      <c r="B5735">
        <v>33</v>
      </c>
      <c r="C5735" t="s">
        <v>19</v>
      </c>
      <c r="D5735" s="1">
        <v>46295</v>
      </c>
      <c r="E5735">
        <v>4925.5</v>
      </c>
      <c r="F5735">
        <v>271.69</v>
      </c>
      <c r="G5735">
        <v>163.33000000000001</v>
      </c>
      <c r="H5735">
        <v>410</v>
      </c>
      <c r="I5735" t="s">
        <v>25</v>
      </c>
      <c r="J5735">
        <v>2026</v>
      </c>
      <c r="K5735">
        <f t="shared" si="178"/>
        <v>108.35999999999999</v>
      </c>
      <c r="L5735" t="str">
        <f t="shared" si="179"/>
        <v>Banca Città|33|Factoring</v>
      </c>
    </row>
    <row r="5736" spans="1:12" x14ac:dyDescent="0.25">
      <c r="A5736" t="s">
        <v>44</v>
      </c>
      <c r="B5736">
        <v>33</v>
      </c>
      <c r="C5736" t="s">
        <v>20</v>
      </c>
      <c r="D5736" s="1">
        <v>46295</v>
      </c>
      <c r="E5736">
        <v>5601.1</v>
      </c>
      <c r="F5736">
        <v>320.26</v>
      </c>
      <c r="G5736">
        <v>191.41</v>
      </c>
      <c r="H5736">
        <v>444</v>
      </c>
      <c r="I5736" t="s">
        <v>25</v>
      </c>
      <c r="J5736">
        <v>2026</v>
      </c>
      <c r="K5736">
        <f t="shared" si="178"/>
        <v>128.85</v>
      </c>
      <c r="L5736" t="str">
        <f t="shared" si="179"/>
        <v>Banca Città|33|Risparmio</v>
      </c>
    </row>
    <row r="5737" spans="1:12" x14ac:dyDescent="0.25">
      <c r="A5737" t="s">
        <v>44</v>
      </c>
      <c r="B5737">
        <v>33</v>
      </c>
      <c r="C5737" t="s">
        <v>21</v>
      </c>
      <c r="D5737" s="1">
        <v>46295</v>
      </c>
      <c r="E5737">
        <v>6218</v>
      </c>
      <c r="F5737">
        <v>367.48</v>
      </c>
      <c r="G5737">
        <v>218.57</v>
      </c>
      <c r="H5737">
        <v>506</v>
      </c>
      <c r="I5737" t="s">
        <v>25</v>
      </c>
      <c r="J5737">
        <v>2026</v>
      </c>
      <c r="K5737">
        <f t="shared" si="178"/>
        <v>148.91000000000003</v>
      </c>
      <c r="L5737" t="str">
        <f t="shared" si="179"/>
        <v>Banca Città|33|Assicurazioni</v>
      </c>
    </row>
    <row r="5738" spans="1:12" x14ac:dyDescent="0.25">
      <c r="A5738" t="s">
        <v>44</v>
      </c>
      <c r="B5738">
        <v>34</v>
      </c>
      <c r="C5738" t="s">
        <v>13</v>
      </c>
      <c r="D5738" s="1">
        <v>46326</v>
      </c>
      <c r="E5738">
        <v>1738.2</v>
      </c>
      <c r="F5738">
        <v>78.69</v>
      </c>
      <c r="G5738">
        <v>49.17</v>
      </c>
      <c r="H5738">
        <v>171</v>
      </c>
      <c r="I5738" t="s">
        <v>25</v>
      </c>
      <c r="J5738">
        <v>2026</v>
      </c>
      <c r="K5738">
        <f t="shared" si="178"/>
        <v>29.519999999999996</v>
      </c>
      <c r="L5738" t="str">
        <f t="shared" si="179"/>
        <v>Banca Città|34|Mutui</v>
      </c>
    </row>
    <row r="5739" spans="1:12" x14ac:dyDescent="0.25">
      <c r="A5739" t="s">
        <v>44</v>
      </c>
      <c r="B5739">
        <v>34</v>
      </c>
      <c r="C5739" t="s">
        <v>15</v>
      </c>
      <c r="D5739" s="1">
        <v>46326</v>
      </c>
      <c r="E5739">
        <v>2368.1</v>
      </c>
      <c r="F5739">
        <v>111.54</v>
      </c>
      <c r="G5739">
        <v>69.05</v>
      </c>
      <c r="H5739">
        <v>189</v>
      </c>
      <c r="I5739" t="s">
        <v>25</v>
      </c>
      <c r="J5739">
        <v>2026</v>
      </c>
      <c r="K5739">
        <f t="shared" si="178"/>
        <v>42.490000000000009</v>
      </c>
      <c r="L5739" t="str">
        <f t="shared" si="179"/>
        <v>Banca Città|34|Prestiti</v>
      </c>
    </row>
    <row r="5740" spans="1:12" x14ac:dyDescent="0.25">
      <c r="A5740" t="s">
        <v>44</v>
      </c>
      <c r="B5740">
        <v>34</v>
      </c>
      <c r="C5740" t="s">
        <v>16</v>
      </c>
      <c r="D5740" s="1">
        <v>46326</v>
      </c>
      <c r="E5740">
        <v>3057</v>
      </c>
      <c r="F5740">
        <v>149.91999999999999</v>
      </c>
      <c r="G5740">
        <v>91.75</v>
      </c>
      <c r="H5740">
        <v>275</v>
      </c>
      <c r="I5740" t="s">
        <v>25</v>
      </c>
      <c r="J5740">
        <v>2026</v>
      </c>
      <c r="K5740">
        <f t="shared" si="178"/>
        <v>58.169999999999987</v>
      </c>
      <c r="L5740" t="str">
        <f t="shared" si="179"/>
        <v>Banca Città|34|Conti</v>
      </c>
    </row>
    <row r="5741" spans="1:12" x14ac:dyDescent="0.25">
      <c r="A5741" t="s">
        <v>44</v>
      </c>
      <c r="B5741">
        <v>34</v>
      </c>
      <c r="C5741" t="s">
        <v>17</v>
      </c>
      <c r="D5741" s="1">
        <v>46326</v>
      </c>
      <c r="E5741">
        <v>3665.4</v>
      </c>
      <c r="F5741">
        <v>187.86</v>
      </c>
      <c r="G5741">
        <v>114.27</v>
      </c>
      <c r="H5741">
        <v>311</v>
      </c>
      <c r="I5741" t="s">
        <v>25</v>
      </c>
      <c r="J5741">
        <v>2026</v>
      </c>
      <c r="K5741">
        <f t="shared" si="178"/>
        <v>73.590000000000018</v>
      </c>
      <c r="L5741" t="str">
        <f t="shared" si="179"/>
        <v>Banca Città|34|Carte</v>
      </c>
    </row>
    <row r="5742" spans="1:12" x14ac:dyDescent="0.25">
      <c r="A5742" t="s">
        <v>44</v>
      </c>
      <c r="B5742">
        <v>34</v>
      </c>
      <c r="C5742" t="s">
        <v>18</v>
      </c>
      <c r="D5742" s="1">
        <v>46326</v>
      </c>
      <c r="E5742">
        <v>4311.5</v>
      </c>
      <c r="F5742">
        <v>228.9</v>
      </c>
      <c r="G5742">
        <v>138.16</v>
      </c>
      <c r="H5742">
        <v>354</v>
      </c>
      <c r="I5742" t="s">
        <v>25</v>
      </c>
      <c r="J5742">
        <v>2026</v>
      </c>
      <c r="K5742">
        <f t="shared" si="178"/>
        <v>90.740000000000009</v>
      </c>
      <c r="L5742" t="str">
        <f t="shared" si="179"/>
        <v>Banca Città|34|Leasing</v>
      </c>
    </row>
    <row r="5743" spans="1:12" x14ac:dyDescent="0.25">
      <c r="A5743" t="s">
        <v>44</v>
      </c>
      <c r="B5743">
        <v>34</v>
      </c>
      <c r="C5743" t="s">
        <v>19</v>
      </c>
      <c r="D5743" s="1">
        <v>46326</v>
      </c>
      <c r="E5743">
        <v>4993.8999999999996</v>
      </c>
      <c r="F5743">
        <v>275.13</v>
      </c>
      <c r="G5743">
        <v>165.2</v>
      </c>
      <c r="H5743">
        <v>411</v>
      </c>
      <c r="I5743" t="s">
        <v>25</v>
      </c>
      <c r="J5743">
        <v>2026</v>
      </c>
      <c r="K5743">
        <f t="shared" si="178"/>
        <v>109.93</v>
      </c>
      <c r="L5743" t="str">
        <f t="shared" si="179"/>
        <v>Banca Città|34|Factoring</v>
      </c>
    </row>
    <row r="5744" spans="1:12" x14ac:dyDescent="0.25">
      <c r="A5744" t="s">
        <v>44</v>
      </c>
      <c r="B5744">
        <v>34</v>
      </c>
      <c r="C5744" t="s">
        <v>20</v>
      </c>
      <c r="D5744" s="1">
        <v>46326</v>
      </c>
      <c r="E5744">
        <v>5631</v>
      </c>
      <c r="F5744">
        <v>321.45999999999998</v>
      </c>
      <c r="G5744">
        <v>191.69</v>
      </c>
      <c r="H5744">
        <v>474</v>
      </c>
      <c r="I5744" t="s">
        <v>25</v>
      </c>
      <c r="J5744">
        <v>2026</v>
      </c>
      <c r="K5744">
        <f t="shared" si="178"/>
        <v>129.76999999999998</v>
      </c>
      <c r="L5744" t="str">
        <f t="shared" si="179"/>
        <v>Banca Città|34|Risparmio</v>
      </c>
    </row>
    <row r="5745" spans="1:12" x14ac:dyDescent="0.25">
      <c r="A5745" t="s">
        <v>44</v>
      </c>
      <c r="B5745">
        <v>34</v>
      </c>
      <c r="C5745" t="s">
        <v>21</v>
      </c>
      <c r="D5745" s="1">
        <v>46326</v>
      </c>
      <c r="E5745">
        <v>6262.2</v>
      </c>
      <c r="F5745">
        <v>369.62</v>
      </c>
      <c r="G5745">
        <v>219.95</v>
      </c>
      <c r="H5745">
        <v>497</v>
      </c>
      <c r="I5745" t="s">
        <v>25</v>
      </c>
      <c r="J5745">
        <v>2026</v>
      </c>
      <c r="K5745">
        <f t="shared" si="178"/>
        <v>149.67000000000002</v>
      </c>
      <c r="L5745" t="str">
        <f t="shared" si="179"/>
        <v>Banca Città|34|Assicurazioni</v>
      </c>
    </row>
    <row r="5746" spans="1:12" x14ac:dyDescent="0.25">
      <c r="A5746" t="s">
        <v>44</v>
      </c>
      <c r="B5746">
        <v>35</v>
      </c>
      <c r="C5746" t="s">
        <v>13</v>
      </c>
      <c r="D5746" s="1">
        <v>46356</v>
      </c>
      <c r="E5746">
        <v>1762</v>
      </c>
      <c r="F5746">
        <v>79.7</v>
      </c>
      <c r="G5746">
        <v>50.07</v>
      </c>
      <c r="H5746">
        <v>158</v>
      </c>
      <c r="I5746" t="s">
        <v>25</v>
      </c>
      <c r="J5746">
        <v>2026</v>
      </c>
      <c r="K5746">
        <f t="shared" si="178"/>
        <v>29.630000000000003</v>
      </c>
      <c r="L5746" t="str">
        <f t="shared" si="179"/>
        <v>Banca Città|35|Mutui</v>
      </c>
    </row>
    <row r="5747" spans="1:12" x14ac:dyDescent="0.25">
      <c r="A5747" t="s">
        <v>44</v>
      </c>
      <c r="B5747">
        <v>35</v>
      </c>
      <c r="C5747" t="s">
        <v>15</v>
      </c>
      <c r="D5747" s="1">
        <v>46356</v>
      </c>
      <c r="E5747">
        <v>2407.8000000000002</v>
      </c>
      <c r="F5747">
        <v>114.13</v>
      </c>
      <c r="G5747">
        <v>69.87</v>
      </c>
      <c r="H5747">
        <v>218</v>
      </c>
      <c r="I5747" t="s">
        <v>25</v>
      </c>
      <c r="J5747">
        <v>2026</v>
      </c>
      <c r="K5747">
        <f t="shared" si="178"/>
        <v>44.259999999999991</v>
      </c>
      <c r="L5747" t="str">
        <f t="shared" si="179"/>
        <v>Banca Città|35|Prestiti</v>
      </c>
    </row>
    <row r="5748" spans="1:12" x14ac:dyDescent="0.25">
      <c r="A5748" t="s">
        <v>44</v>
      </c>
      <c r="B5748">
        <v>35</v>
      </c>
      <c r="C5748" t="s">
        <v>16</v>
      </c>
      <c r="D5748" s="1">
        <v>46356</v>
      </c>
      <c r="E5748">
        <v>3025.2</v>
      </c>
      <c r="F5748">
        <v>149.19999999999999</v>
      </c>
      <c r="G5748">
        <v>91.15</v>
      </c>
      <c r="H5748">
        <v>243</v>
      </c>
      <c r="I5748" t="s">
        <v>25</v>
      </c>
      <c r="J5748">
        <v>2026</v>
      </c>
      <c r="K5748">
        <f t="shared" si="178"/>
        <v>58.049999999999983</v>
      </c>
      <c r="L5748" t="str">
        <f t="shared" si="179"/>
        <v>Banca Città|35|Conti</v>
      </c>
    </row>
    <row r="5749" spans="1:12" x14ac:dyDescent="0.25">
      <c r="A5749" t="s">
        <v>44</v>
      </c>
      <c r="B5749">
        <v>35</v>
      </c>
      <c r="C5749" t="s">
        <v>17</v>
      </c>
      <c r="D5749" s="1">
        <v>46356</v>
      </c>
      <c r="E5749">
        <v>3716.8</v>
      </c>
      <c r="F5749">
        <v>189.84</v>
      </c>
      <c r="G5749">
        <v>115.37</v>
      </c>
      <c r="H5749">
        <v>294</v>
      </c>
      <c r="I5749" t="s">
        <v>25</v>
      </c>
      <c r="J5749">
        <v>2026</v>
      </c>
      <c r="K5749">
        <f t="shared" si="178"/>
        <v>74.47</v>
      </c>
      <c r="L5749" t="str">
        <f t="shared" si="179"/>
        <v>Banca Città|35|Carte</v>
      </c>
    </row>
    <row r="5750" spans="1:12" x14ac:dyDescent="0.25">
      <c r="A5750" t="s">
        <v>44</v>
      </c>
      <c r="B5750">
        <v>35</v>
      </c>
      <c r="C5750" t="s">
        <v>18</v>
      </c>
      <c r="D5750" s="1">
        <v>46356</v>
      </c>
      <c r="E5750">
        <v>4343.7</v>
      </c>
      <c r="F5750">
        <v>231.05</v>
      </c>
      <c r="G5750">
        <v>139.86000000000001</v>
      </c>
      <c r="H5750">
        <v>360</v>
      </c>
      <c r="I5750" t="s">
        <v>25</v>
      </c>
      <c r="J5750">
        <v>2026</v>
      </c>
      <c r="K5750">
        <f t="shared" si="178"/>
        <v>91.19</v>
      </c>
      <c r="L5750" t="str">
        <f t="shared" si="179"/>
        <v>Banca Città|35|Leasing</v>
      </c>
    </row>
    <row r="5751" spans="1:12" x14ac:dyDescent="0.25">
      <c r="A5751" t="s">
        <v>44</v>
      </c>
      <c r="B5751">
        <v>35</v>
      </c>
      <c r="C5751" t="s">
        <v>19</v>
      </c>
      <c r="D5751" s="1">
        <v>46356</v>
      </c>
      <c r="E5751">
        <v>4985.7</v>
      </c>
      <c r="F5751">
        <v>275.11</v>
      </c>
      <c r="G5751">
        <v>164.76</v>
      </c>
      <c r="H5751">
        <v>417</v>
      </c>
      <c r="I5751" t="s">
        <v>25</v>
      </c>
      <c r="J5751">
        <v>2026</v>
      </c>
      <c r="K5751">
        <f t="shared" si="178"/>
        <v>110.35000000000002</v>
      </c>
      <c r="L5751" t="str">
        <f t="shared" si="179"/>
        <v>Banca Città|35|Factoring</v>
      </c>
    </row>
    <row r="5752" spans="1:12" x14ac:dyDescent="0.25">
      <c r="A5752" t="s">
        <v>44</v>
      </c>
      <c r="B5752">
        <v>35</v>
      </c>
      <c r="C5752" t="s">
        <v>20</v>
      </c>
      <c r="D5752" s="1">
        <v>46356</v>
      </c>
      <c r="E5752">
        <v>5669.5</v>
      </c>
      <c r="F5752">
        <v>323.32</v>
      </c>
      <c r="G5752">
        <v>193.31</v>
      </c>
      <c r="H5752">
        <v>470</v>
      </c>
      <c r="I5752" t="s">
        <v>25</v>
      </c>
      <c r="J5752">
        <v>2026</v>
      </c>
      <c r="K5752">
        <f t="shared" si="178"/>
        <v>130.01</v>
      </c>
      <c r="L5752" t="str">
        <f t="shared" si="179"/>
        <v>Banca Città|35|Risparmio</v>
      </c>
    </row>
    <row r="5753" spans="1:12" x14ac:dyDescent="0.25">
      <c r="A5753" t="s">
        <v>44</v>
      </c>
      <c r="B5753">
        <v>35</v>
      </c>
      <c r="C5753" t="s">
        <v>21</v>
      </c>
      <c r="D5753" s="1">
        <v>46356</v>
      </c>
      <c r="E5753">
        <v>6319.4</v>
      </c>
      <c r="F5753">
        <v>373.5</v>
      </c>
      <c r="G5753">
        <v>221.81</v>
      </c>
      <c r="H5753">
        <v>519</v>
      </c>
      <c r="I5753" t="s">
        <v>25</v>
      </c>
      <c r="J5753">
        <v>2026</v>
      </c>
      <c r="K5753">
        <f t="shared" si="178"/>
        <v>151.69</v>
      </c>
      <c r="L5753" t="str">
        <f t="shared" si="179"/>
        <v>Banca Città|35|Assicurazioni</v>
      </c>
    </row>
    <row r="5754" spans="1:12" x14ac:dyDescent="0.25">
      <c r="A5754" t="s">
        <v>44</v>
      </c>
      <c r="B5754">
        <v>36</v>
      </c>
      <c r="C5754" t="s">
        <v>13</v>
      </c>
      <c r="D5754" s="1">
        <v>46387</v>
      </c>
      <c r="E5754">
        <v>1761.3</v>
      </c>
      <c r="F5754">
        <v>79.680000000000007</v>
      </c>
      <c r="G5754">
        <v>49.93</v>
      </c>
      <c r="H5754">
        <v>152</v>
      </c>
      <c r="I5754" t="s">
        <v>25</v>
      </c>
      <c r="J5754">
        <v>2026</v>
      </c>
      <c r="K5754">
        <f t="shared" si="178"/>
        <v>29.750000000000007</v>
      </c>
      <c r="L5754" t="str">
        <f t="shared" si="179"/>
        <v>Banca Città|36|Mutui</v>
      </c>
    </row>
    <row r="5755" spans="1:12" x14ac:dyDescent="0.25">
      <c r="A5755" t="s">
        <v>44</v>
      </c>
      <c r="B5755">
        <v>36</v>
      </c>
      <c r="C5755" t="s">
        <v>15</v>
      </c>
      <c r="D5755" s="1">
        <v>46387</v>
      </c>
      <c r="E5755">
        <v>2410.5</v>
      </c>
      <c r="F5755">
        <v>113.39</v>
      </c>
      <c r="G5755">
        <v>70</v>
      </c>
      <c r="H5755">
        <v>189</v>
      </c>
      <c r="I5755" t="s">
        <v>25</v>
      </c>
      <c r="J5755">
        <v>2026</v>
      </c>
      <c r="K5755">
        <f t="shared" si="178"/>
        <v>43.39</v>
      </c>
      <c r="L5755" t="str">
        <f t="shared" si="179"/>
        <v>Banca Città|36|Prestiti</v>
      </c>
    </row>
    <row r="5756" spans="1:12" x14ac:dyDescent="0.25">
      <c r="A5756" t="s">
        <v>44</v>
      </c>
      <c r="B5756">
        <v>36</v>
      </c>
      <c r="C5756" t="s">
        <v>16</v>
      </c>
      <c r="D5756" s="1">
        <v>46387</v>
      </c>
      <c r="E5756">
        <v>3091.5</v>
      </c>
      <c r="F5756">
        <v>151.49</v>
      </c>
      <c r="G5756">
        <v>93.39</v>
      </c>
      <c r="H5756">
        <v>270</v>
      </c>
      <c r="I5756" t="s">
        <v>25</v>
      </c>
      <c r="J5756">
        <v>2026</v>
      </c>
      <c r="K5756">
        <f t="shared" si="178"/>
        <v>58.100000000000009</v>
      </c>
      <c r="L5756" t="str">
        <f t="shared" si="179"/>
        <v>Banca Città|36|Conti</v>
      </c>
    </row>
    <row r="5757" spans="1:12" x14ac:dyDescent="0.25">
      <c r="A5757" t="s">
        <v>44</v>
      </c>
      <c r="B5757">
        <v>36</v>
      </c>
      <c r="C5757" t="s">
        <v>17</v>
      </c>
      <c r="D5757" s="1">
        <v>46387</v>
      </c>
      <c r="E5757">
        <v>3755.4</v>
      </c>
      <c r="F5757">
        <v>192.07</v>
      </c>
      <c r="G5757">
        <v>116.65</v>
      </c>
      <c r="H5757">
        <v>306</v>
      </c>
      <c r="I5757" t="s">
        <v>25</v>
      </c>
      <c r="J5757">
        <v>2026</v>
      </c>
      <c r="K5757">
        <f t="shared" si="178"/>
        <v>75.419999999999987</v>
      </c>
      <c r="L5757" t="str">
        <f t="shared" si="179"/>
        <v>Banca Città|36|Carte</v>
      </c>
    </row>
    <row r="5758" spans="1:12" x14ac:dyDescent="0.25">
      <c r="A5758" t="s">
        <v>44</v>
      </c>
      <c r="B5758">
        <v>36</v>
      </c>
      <c r="C5758" t="s">
        <v>18</v>
      </c>
      <c r="D5758" s="1">
        <v>46387</v>
      </c>
      <c r="E5758">
        <v>4367.3</v>
      </c>
      <c r="F5758">
        <v>232.19</v>
      </c>
      <c r="G5758">
        <v>140.12</v>
      </c>
      <c r="H5758">
        <v>347</v>
      </c>
      <c r="I5758" t="s">
        <v>25</v>
      </c>
      <c r="J5758">
        <v>2026</v>
      </c>
      <c r="K5758">
        <f t="shared" si="178"/>
        <v>92.07</v>
      </c>
      <c r="L5758" t="str">
        <f t="shared" si="179"/>
        <v>Banca Città|36|Leasing</v>
      </c>
    </row>
    <row r="5759" spans="1:12" x14ac:dyDescent="0.25">
      <c r="A5759" t="s">
        <v>44</v>
      </c>
      <c r="B5759">
        <v>36</v>
      </c>
      <c r="C5759" t="s">
        <v>19</v>
      </c>
      <c r="D5759" s="1">
        <v>46387</v>
      </c>
      <c r="E5759">
        <v>5022.3999999999996</v>
      </c>
      <c r="F5759">
        <v>276.66000000000003</v>
      </c>
      <c r="G5759">
        <v>166.41</v>
      </c>
      <c r="H5759">
        <v>414</v>
      </c>
      <c r="I5759" t="s">
        <v>25</v>
      </c>
      <c r="J5759">
        <v>2026</v>
      </c>
      <c r="K5759">
        <f t="shared" si="178"/>
        <v>110.25000000000003</v>
      </c>
      <c r="L5759" t="str">
        <f t="shared" si="179"/>
        <v>Banca Città|36|Factoring</v>
      </c>
    </row>
    <row r="5760" spans="1:12" x14ac:dyDescent="0.25">
      <c r="A5760" t="s">
        <v>44</v>
      </c>
      <c r="B5760">
        <v>36</v>
      </c>
      <c r="C5760" t="s">
        <v>20</v>
      </c>
      <c r="D5760" s="1">
        <v>46387</v>
      </c>
      <c r="E5760">
        <v>5685.7</v>
      </c>
      <c r="F5760">
        <v>324.74</v>
      </c>
      <c r="G5760">
        <v>193.81</v>
      </c>
      <c r="H5760">
        <v>461</v>
      </c>
      <c r="I5760" t="s">
        <v>25</v>
      </c>
      <c r="J5760">
        <v>2026</v>
      </c>
      <c r="K5760">
        <f t="shared" si="178"/>
        <v>130.93</v>
      </c>
      <c r="L5760" t="str">
        <f t="shared" si="179"/>
        <v>Banca Città|36|Risparmio</v>
      </c>
    </row>
    <row r="5761" spans="1:12" x14ac:dyDescent="0.25">
      <c r="A5761" t="s">
        <v>44</v>
      </c>
      <c r="B5761">
        <v>36</v>
      </c>
      <c r="C5761" t="s">
        <v>21</v>
      </c>
      <c r="D5761" s="1">
        <v>46387</v>
      </c>
      <c r="E5761">
        <v>6339.9</v>
      </c>
      <c r="F5761">
        <v>374.28</v>
      </c>
      <c r="G5761">
        <v>222.35</v>
      </c>
      <c r="H5761">
        <v>493</v>
      </c>
      <c r="I5761" t="s">
        <v>25</v>
      </c>
      <c r="J5761">
        <v>2026</v>
      </c>
      <c r="K5761">
        <f t="shared" si="178"/>
        <v>151.92999999999998</v>
      </c>
      <c r="L5761" t="str">
        <f t="shared" si="179"/>
        <v>Banca Città|36|Assicurazioni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CBA9D-170C-441F-A34D-3C6B8DB5E54A}">
  <dimension ref="A1:H21"/>
  <sheetViews>
    <sheetView workbookViewId="0"/>
  </sheetViews>
  <sheetFormatPr defaultRowHeight="12.5" x14ac:dyDescent="0.25"/>
  <sheetData>
    <row r="1" spans="1:8" x14ac:dyDescent="0.25">
      <c r="A1" t="s">
        <v>0</v>
      </c>
      <c r="B1" t="s">
        <v>45</v>
      </c>
      <c r="C1" t="s">
        <v>8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</row>
    <row r="2" spans="1:8" x14ac:dyDescent="0.25">
      <c r="A2" t="s">
        <v>12</v>
      </c>
      <c r="B2" t="s">
        <v>51</v>
      </c>
      <c r="C2" t="s">
        <v>14</v>
      </c>
      <c r="D2" t="s">
        <v>52</v>
      </c>
      <c r="E2" t="s">
        <v>53</v>
      </c>
      <c r="F2">
        <v>1850</v>
      </c>
      <c r="G2">
        <v>4480</v>
      </c>
      <c r="H2">
        <v>0.02</v>
      </c>
    </row>
    <row r="3" spans="1:8" x14ac:dyDescent="0.25">
      <c r="A3" t="s">
        <v>22</v>
      </c>
      <c r="B3" t="s">
        <v>54</v>
      </c>
      <c r="C3" t="s">
        <v>23</v>
      </c>
      <c r="D3" t="s">
        <v>55</v>
      </c>
      <c r="E3" t="s">
        <v>56</v>
      </c>
      <c r="F3">
        <v>1857</v>
      </c>
      <c r="G3">
        <v>5247</v>
      </c>
      <c r="H3">
        <v>2.3E-2</v>
      </c>
    </row>
    <row r="4" spans="1:8" x14ac:dyDescent="0.25">
      <c r="A4" t="s">
        <v>24</v>
      </c>
      <c r="B4" t="s">
        <v>57</v>
      </c>
      <c r="C4" t="s">
        <v>25</v>
      </c>
      <c r="D4" t="s">
        <v>58</v>
      </c>
      <c r="E4" t="s">
        <v>53</v>
      </c>
      <c r="F4">
        <v>1864</v>
      </c>
      <c r="G4">
        <v>6014</v>
      </c>
      <c r="H4">
        <v>2.5999999999999999E-2</v>
      </c>
    </row>
    <row r="5" spans="1:8" x14ac:dyDescent="0.25">
      <c r="A5" t="s">
        <v>26</v>
      </c>
      <c r="B5" t="s">
        <v>59</v>
      </c>
      <c r="C5" t="s">
        <v>14</v>
      </c>
      <c r="D5" t="s">
        <v>60</v>
      </c>
      <c r="E5" t="s">
        <v>53</v>
      </c>
      <c r="F5">
        <v>1871</v>
      </c>
      <c r="G5">
        <v>6782</v>
      </c>
      <c r="H5">
        <v>2.9000000000000001E-2</v>
      </c>
    </row>
    <row r="6" spans="1:8" x14ac:dyDescent="0.25">
      <c r="A6" t="s">
        <v>27</v>
      </c>
      <c r="B6" t="s">
        <v>61</v>
      </c>
      <c r="C6" t="s">
        <v>25</v>
      </c>
      <c r="D6" t="s">
        <v>62</v>
      </c>
      <c r="E6" t="s">
        <v>56</v>
      </c>
      <c r="F6">
        <v>1878</v>
      </c>
      <c r="G6">
        <v>7549</v>
      </c>
      <c r="H6">
        <v>3.2000000000000001E-2</v>
      </c>
    </row>
    <row r="7" spans="1:8" x14ac:dyDescent="0.25">
      <c r="A7" t="s">
        <v>28</v>
      </c>
      <c r="B7" t="s">
        <v>63</v>
      </c>
      <c r="C7" t="s">
        <v>14</v>
      </c>
      <c r="D7" t="s">
        <v>64</v>
      </c>
      <c r="E7" t="s">
        <v>65</v>
      </c>
      <c r="F7">
        <v>1885</v>
      </c>
      <c r="G7">
        <v>8316</v>
      </c>
      <c r="H7">
        <v>3.5000000000000003E-2</v>
      </c>
    </row>
    <row r="8" spans="1:8" x14ac:dyDescent="0.25">
      <c r="A8" t="s">
        <v>29</v>
      </c>
      <c r="B8" t="s">
        <v>66</v>
      </c>
      <c r="C8" t="s">
        <v>25</v>
      </c>
      <c r="D8" t="s">
        <v>67</v>
      </c>
      <c r="E8" t="s">
        <v>65</v>
      </c>
      <c r="F8">
        <v>1892</v>
      </c>
      <c r="G8">
        <v>9083</v>
      </c>
      <c r="H8">
        <v>3.7999999999999999E-2</v>
      </c>
    </row>
    <row r="9" spans="1:8" x14ac:dyDescent="0.25">
      <c r="A9" t="s">
        <v>30</v>
      </c>
      <c r="B9" t="s">
        <v>68</v>
      </c>
      <c r="C9" t="s">
        <v>31</v>
      </c>
      <c r="D9" t="s">
        <v>69</v>
      </c>
      <c r="E9" t="s">
        <v>65</v>
      </c>
      <c r="F9">
        <v>1899</v>
      </c>
      <c r="G9">
        <v>9850</v>
      </c>
      <c r="H9">
        <v>4.1000000000000002E-2</v>
      </c>
    </row>
    <row r="10" spans="1:8" x14ac:dyDescent="0.25">
      <c r="A10" t="s">
        <v>32</v>
      </c>
      <c r="B10" t="s">
        <v>70</v>
      </c>
      <c r="C10" t="s">
        <v>31</v>
      </c>
      <c r="D10" t="s">
        <v>71</v>
      </c>
      <c r="E10" t="s">
        <v>56</v>
      </c>
      <c r="F10">
        <v>1906</v>
      </c>
      <c r="G10">
        <v>10618</v>
      </c>
      <c r="H10">
        <v>4.3999999999999997E-2</v>
      </c>
    </row>
    <row r="11" spans="1:8" x14ac:dyDescent="0.25">
      <c r="A11" t="s">
        <v>33</v>
      </c>
      <c r="B11" t="s">
        <v>72</v>
      </c>
      <c r="C11" t="s">
        <v>14</v>
      </c>
      <c r="D11" t="s">
        <v>73</v>
      </c>
      <c r="E11" t="s">
        <v>56</v>
      </c>
      <c r="F11">
        <v>1913</v>
      </c>
      <c r="G11">
        <v>11385</v>
      </c>
      <c r="H11">
        <v>4.7E-2</v>
      </c>
    </row>
    <row r="12" spans="1:8" x14ac:dyDescent="0.25">
      <c r="A12" t="s">
        <v>34</v>
      </c>
      <c r="B12" t="s">
        <v>74</v>
      </c>
      <c r="C12" t="s">
        <v>23</v>
      </c>
      <c r="D12" t="s">
        <v>75</v>
      </c>
      <c r="E12" t="s">
        <v>53</v>
      </c>
      <c r="F12">
        <v>1920</v>
      </c>
      <c r="G12">
        <v>12152</v>
      </c>
      <c r="H12">
        <v>0.05</v>
      </c>
    </row>
    <row r="13" spans="1:8" x14ac:dyDescent="0.25">
      <c r="A13" t="s">
        <v>35</v>
      </c>
      <c r="B13" t="s">
        <v>76</v>
      </c>
      <c r="C13" t="s">
        <v>23</v>
      </c>
      <c r="D13" t="s">
        <v>77</v>
      </c>
      <c r="E13" t="s">
        <v>56</v>
      </c>
      <c r="F13">
        <v>1927</v>
      </c>
      <c r="G13">
        <v>12919</v>
      </c>
      <c r="H13">
        <v>5.2999999999999999E-2</v>
      </c>
    </row>
    <row r="14" spans="1:8" x14ac:dyDescent="0.25">
      <c r="A14" t="s">
        <v>36</v>
      </c>
      <c r="B14" t="s">
        <v>78</v>
      </c>
      <c r="C14" t="s">
        <v>25</v>
      </c>
      <c r="D14" t="s">
        <v>79</v>
      </c>
      <c r="E14" t="s">
        <v>65</v>
      </c>
      <c r="F14">
        <v>1934</v>
      </c>
      <c r="G14">
        <v>13686</v>
      </c>
      <c r="H14">
        <v>5.6000000000000001E-2</v>
      </c>
    </row>
    <row r="15" spans="1:8" x14ac:dyDescent="0.25">
      <c r="A15" t="s">
        <v>37</v>
      </c>
      <c r="B15" t="s">
        <v>80</v>
      </c>
      <c r="C15" t="s">
        <v>25</v>
      </c>
      <c r="D15" t="s">
        <v>81</v>
      </c>
      <c r="E15" t="s">
        <v>56</v>
      </c>
      <c r="F15">
        <v>1941</v>
      </c>
      <c r="G15">
        <v>14454</v>
      </c>
      <c r="H15">
        <v>5.8999999999999997E-2</v>
      </c>
    </row>
    <row r="16" spans="1:8" x14ac:dyDescent="0.25">
      <c r="A16" t="s">
        <v>38</v>
      </c>
      <c r="B16" t="s">
        <v>82</v>
      </c>
      <c r="C16" t="s">
        <v>31</v>
      </c>
      <c r="D16" t="s">
        <v>83</v>
      </c>
      <c r="E16" t="s">
        <v>65</v>
      </c>
      <c r="F16">
        <v>1948</v>
      </c>
      <c r="G16">
        <v>15221</v>
      </c>
      <c r="H16">
        <v>6.2E-2</v>
      </c>
    </row>
    <row r="17" spans="1:8" x14ac:dyDescent="0.25">
      <c r="A17" t="s">
        <v>39</v>
      </c>
      <c r="B17" t="s">
        <v>84</v>
      </c>
      <c r="C17" t="s">
        <v>31</v>
      </c>
      <c r="D17" t="s">
        <v>85</v>
      </c>
      <c r="E17" t="s">
        <v>65</v>
      </c>
      <c r="F17">
        <v>1955</v>
      </c>
      <c r="G17">
        <v>15988</v>
      </c>
      <c r="H17">
        <v>6.5000000000000002E-2</v>
      </c>
    </row>
    <row r="18" spans="1:8" x14ac:dyDescent="0.25">
      <c r="A18" t="s">
        <v>40</v>
      </c>
      <c r="B18" t="s">
        <v>86</v>
      </c>
      <c r="C18" t="s">
        <v>41</v>
      </c>
      <c r="D18" t="s">
        <v>87</v>
      </c>
      <c r="E18" t="s">
        <v>53</v>
      </c>
      <c r="F18">
        <v>1962</v>
      </c>
      <c r="G18">
        <v>16755</v>
      </c>
      <c r="H18">
        <v>6.8000000000000005E-2</v>
      </c>
    </row>
    <row r="19" spans="1:8" x14ac:dyDescent="0.25">
      <c r="A19" t="s">
        <v>42</v>
      </c>
      <c r="B19" t="s">
        <v>88</v>
      </c>
      <c r="C19" t="s">
        <v>41</v>
      </c>
      <c r="D19" t="s">
        <v>89</v>
      </c>
      <c r="E19" t="s">
        <v>56</v>
      </c>
      <c r="F19">
        <v>1969</v>
      </c>
      <c r="G19">
        <v>17522</v>
      </c>
      <c r="H19">
        <v>7.0999999999999994E-2</v>
      </c>
    </row>
    <row r="20" spans="1:8" x14ac:dyDescent="0.25">
      <c r="A20" t="s">
        <v>43</v>
      </c>
      <c r="B20" t="s">
        <v>90</v>
      </c>
      <c r="C20" t="s">
        <v>23</v>
      </c>
      <c r="D20" t="s">
        <v>91</v>
      </c>
      <c r="E20" t="s">
        <v>56</v>
      </c>
      <c r="F20">
        <v>1976</v>
      </c>
      <c r="G20">
        <v>18290</v>
      </c>
      <c r="H20">
        <v>7.3999999999999996E-2</v>
      </c>
    </row>
    <row r="21" spans="1:8" x14ac:dyDescent="0.25">
      <c r="A21" t="s">
        <v>44</v>
      </c>
      <c r="B21" t="s">
        <v>92</v>
      </c>
      <c r="C21" t="s">
        <v>25</v>
      </c>
      <c r="D21" t="s">
        <v>93</v>
      </c>
      <c r="E21" t="s">
        <v>53</v>
      </c>
      <c r="F21">
        <v>1983</v>
      </c>
      <c r="G21">
        <v>19057</v>
      </c>
      <c r="H21">
        <v>7.6999999999999999E-2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D233F-11B6-478D-89ED-1097298AFF42}">
  <dimension ref="A1:AK43"/>
  <sheetViews>
    <sheetView workbookViewId="0"/>
  </sheetViews>
  <sheetFormatPr defaultRowHeight="12.5" x14ac:dyDescent="0.25"/>
  <cols>
    <col min="2" max="2" width="10.453125" bestFit="1" customWidth="1"/>
  </cols>
  <sheetData>
    <row r="1" spans="1:5" x14ac:dyDescent="0.25">
      <c r="A1" t="s">
        <v>1</v>
      </c>
      <c r="B1" t="s">
        <v>3</v>
      </c>
      <c r="C1" t="s">
        <v>94</v>
      </c>
      <c r="D1" t="s">
        <v>95</v>
      </c>
      <c r="E1" t="s">
        <v>96</v>
      </c>
    </row>
    <row r="2" spans="1:5" x14ac:dyDescent="0.25">
      <c r="A2">
        <v>1</v>
      </c>
      <c r="B2" s="1">
        <v>45322</v>
      </c>
      <c r="C2">
        <v>1.0580000000000001</v>
      </c>
      <c r="D2">
        <v>0.85970000000000002</v>
      </c>
      <c r="E2">
        <v>0.94799999999999995</v>
      </c>
    </row>
    <row r="3" spans="1:5" x14ac:dyDescent="0.25">
      <c r="A3">
        <v>2</v>
      </c>
      <c r="B3" s="1">
        <v>45351</v>
      </c>
      <c r="C3">
        <v>1.0658000000000001</v>
      </c>
      <c r="D3">
        <v>0.85880000000000001</v>
      </c>
      <c r="E3">
        <v>0.94599999999999995</v>
      </c>
    </row>
    <row r="4" spans="1:5" x14ac:dyDescent="0.25">
      <c r="A4">
        <v>3</v>
      </c>
      <c r="B4" s="1">
        <v>45382</v>
      </c>
      <c r="C4">
        <v>1.0729</v>
      </c>
      <c r="D4">
        <v>0.85729999999999995</v>
      </c>
      <c r="E4">
        <v>0.94399999999999995</v>
      </c>
    </row>
    <row r="5" spans="1:5" x14ac:dyDescent="0.25">
      <c r="A5">
        <v>4</v>
      </c>
      <c r="B5" s="1">
        <v>45412</v>
      </c>
      <c r="C5">
        <v>1.0790999999999999</v>
      </c>
      <c r="D5">
        <v>0.85540000000000005</v>
      </c>
      <c r="E5">
        <v>0.94199999999999995</v>
      </c>
    </row>
    <row r="6" spans="1:5" x14ac:dyDescent="0.25">
      <c r="A6">
        <v>5</v>
      </c>
      <c r="B6" s="1">
        <v>45443</v>
      </c>
      <c r="C6">
        <v>1.0842000000000001</v>
      </c>
      <c r="D6">
        <v>0.85319999999999996</v>
      </c>
      <c r="E6">
        <v>0.94</v>
      </c>
    </row>
    <row r="7" spans="1:5" x14ac:dyDescent="0.25">
      <c r="A7">
        <v>6</v>
      </c>
      <c r="B7" s="1">
        <v>45473</v>
      </c>
      <c r="C7">
        <v>1.0879000000000001</v>
      </c>
      <c r="D7">
        <v>0.85070000000000001</v>
      </c>
      <c r="E7">
        <v>0.93799999999999994</v>
      </c>
    </row>
    <row r="8" spans="1:5" x14ac:dyDescent="0.25">
      <c r="A8">
        <v>7</v>
      </c>
      <c r="B8" s="1">
        <v>45504</v>
      </c>
      <c r="C8">
        <v>1.0901000000000001</v>
      </c>
      <c r="D8">
        <v>0.84819999999999995</v>
      </c>
      <c r="E8">
        <v>0.93600000000000005</v>
      </c>
    </row>
    <row r="9" spans="1:5" x14ac:dyDescent="0.25">
      <c r="A9">
        <v>8</v>
      </c>
      <c r="B9" s="1">
        <v>45535</v>
      </c>
      <c r="C9">
        <v>1.0908</v>
      </c>
      <c r="D9">
        <v>0.8458</v>
      </c>
      <c r="E9">
        <v>0.93400000000000005</v>
      </c>
    </row>
    <row r="10" spans="1:5" x14ac:dyDescent="0.25">
      <c r="A10">
        <v>9</v>
      </c>
      <c r="B10" s="1">
        <v>45565</v>
      </c>
      <c r="C10">
        <v>1.0899000000000001</v>
      </c>
      <c r="D10">
        <v>0.84370000000000001</v>
      </c>
      <c r="E10">
        <v>0.93200000000000005</v>
      </c>
    </row>
    <row r="11" spans="1:5" x14ac:dyDescent="0.25">
      <c r="A11">
        <v>10</v>
      </c>
      <c r="B11" s="1">
        <v>45596</v>
      </c>
      <c r="C11">
        <v>1.0873999999999999</v>
      </c>
      <c r="D11">
        <v>0.84199999999999997</v>
      </c>
      <c r="E11">
        <v>0.93</v>
      </c>
    </row>
    <row r="12" spans="1:5" x14ac:dyDescent="0.25">
      <c r="A12">
        <v>11</v>
      </c>
      <c r="B12" s="1">
        <v>45626</v>
      </c>
      <c r="C12">
        <v>1.0833999999999999</v>
      </c>
      <c r="D12">
        <v>0.84079999999999999</v>
      </c>
      <c r="E12">
        <v>0.92800000000000005</v>
      </c>
    </row>
    <row r="13" spans="1:5" x14ac:dyDescent="0.25">
      <c r="A13">
        <v>12</v>
      </c>
      <c r="B13" s="1">
        <v>45657</v>
      </c>
      <c r="C13">
        <v>1.0782</v>
      </c>
      <c r="D13">
        <v>0.84009999999999996</v>
      </c>
      <c r="E13">
        <v>0.92600000000000005</v>
      </c>
    </row>
    <row r="14" spans="1:5" x14ac:dyDescent="0.25">
      <c r="A14">
        <v>13</v>
      </c>
      <c r="B14" s="1">
        <v>45688</v>
      </c>
      <c r="C14">
        <v>1.0719000000000001</v>
      </c>
      <c r="D14">
        <v>0.84009999999999996</v>
      </c>
      <c r="E14">
        <v>0.92400000000000004</v>
      </c>
    </row>
    <row r="15" spans="1:5" x14ac:dyDescent="0.25">
      <c r="A15">
        <v>14</v>
      </c>
      <c r="B15" s="1">
        <v>45716</v>
      </c>
      <c r="C15">
        <v>1.0648</v>
      </c>
      <c r="D15">
        <v>0.84060000000000001</v>
      </c>
      <c r="E15">
        <v>0.92200000000000004</v>
      </c>
    </row>
    <row r="16" spans="1:5" x14ac:dyDescent="0.25">
      <c r="A16">
        <v>15</v>
      </c>
      <c r="B16" s="1">
        <v>45747</v>
      </c>
      <c r="C16">
        <v>1.0570999999999999</v>
      </c>
      <c r="D16">
        <v>0.84179999999999999</v>
      </c>
      <c r="E16">
        <v>0.92</v>
      </c>
    </row>
    <row r="17" spans="1:5" x14ac:dyDescent="0.25">
      <c r="A17">
        <v>16</v>
      </c>
      <c r="B17" s="1">
        <v>45777</v>
      </c>
      <c r="C17">
        <v>1.0492999999999999</v>
      </c>
      <c r="D17">
        <v>0.84350000000000003</v>
      </c>
      <c r="E17">
        <v>0.91800000000000004</v>
      </c>
    </row>
    <row r="18" spans="1:5" x14ac:dyDescent="0.25">
      <c r="A18">
        <v>17</v>
      </c>
      <c r="B18" s="1">
        <v>45808</v>
      </c>
      <c r="C18">
        <v>1.0415000000000001</v>
      </c>
      <c r="D18">
        <v>0.84550000000000003</v>
      </c>
      <c r="E18">
        <v>0.91600000000000004</v>
      </c>
    </row>
    <row r="19" spans="1:5" x14ac:dyDescent="0.25">
      <c r="A19">
        <v>18</v>
      </c>
      <c r="B19" s="1">
        <v>45838</v>
      </c>
      <c r="C19">
        <v>1.0341</v>
      </c>
      <c r="D19">
        <v>0.84789999999999999</v>
      </c>
      <c r="E19">
        <v>0.91400000000000003</v>
      </c>
    </row>
    <row r="20" spans="1:5" x14ac:dyDescent="0.25">
      <c r="A20">
        <v>19</v>
      </c>
      <c r="B20" s="1">
        <v>45869</v>
      </c>
      <c r="C20">
        <v>1.0274000000000001</v>
      </c>
      <c r="D20">
        <v>0.85040000000000004</v>
      </c>
      <c r="E20">
        <v>0.91200000000000003</v>
      </c>
    </row>
    <row r="21" spans="1:5" x14ac:dyDescent="0.25">
      <c r="A21">
        <v>20</v>
      </c>
      <c r="B21" s="1">
        <v>45900</v>
      </c>
      <c r="C21">
        <v>1.0217000000000001</v>
      </c>
      <c r="D21">
        <v>0.8528</v>
      </c>
      <c r="E21">
        <v>0.91</v>
      </c>
    </row>
    <row r="22" spans="1:5" x14ac:dyDescent="0.25">
      <c r="A22">
        <v>21</v>
      </c>
      <c r="B22" s="1">
        <v>45930</v>
      </c>
      <c r="C22">
        <v>1.0172000000000001</v>
      </c>
      <c r="D22">
        <v>0.85509999999999997</v>
      </c>
      <c r="E22">
        <v>0.90800000000000003</v>
      </c>
    </row>
    <row r="23" spans="1:5" x14ac:dyDescent="0.25">
      <c r="A23">
        <v>22</v>
      </c>
      <c r="B23" s="1">
        <v>45961</v>
      </c>
      <c r="C23">
        <v>1.0141</v>
      </c>
      <c r="D23">
        <v>0.85709999999999997</v>
      </c>
      <c r="E23">
        <v>0.90600000000000003</v>
      </c>
    </row>
    <row r="24" spans="1:5" x14ac:dyDescent="0.25">
      <c r="A24">
        <v>23</v>
      </c>
      <c r="B24" s="1">
        <v>45991</v>
      </c>
      <c r="C24">
        <v>1.0125999999999999</v>
      </c>
      <c r="D24">
        <v>0.85860000000000003</v>
      </c>
      <c r="E24">
        <v>0.90400000000000003</v>
      </c>
    </row>
    <row r="25" spans="1:5" x14ac:dyDescent="0.25">
      <c r="A25">
        <v>24</v>
      </c>
      <c r="B25" s="1">
        <v>46022</v>
      </c>
      <c r="C25">
        <v>1.0125999999999999</v>
      </c>
      <c r="D25">
        <v>0.85960000000000003</v>
      </c>
      <c r="E25">
        <v>0.90200000000000002</v>
      </c>
    </row>
    <row r="26" spans="1:5" x14ac:dyDescent="0.25">
      <c r="A26">
        <v>25</v>
      </c>
      <c r="B26" s="1">
        <v>46053</v>
      </c>
      <c r="C26">
        <v>1.0141</v>
      </c>
      <c r="D26">
        <v>0.86</v>
      </c>
      <c r="E26">
        <v>0.9</v>
      </c>
    </row>
    <row r="27" spans="1:5" x14ac:dyDescent="0.25">
      <c r="A27">
        <v>26</v>
      </c>
      <c r="B27" s="1">
        <v>46081</v>
      </c>
      <c r="C27">
        <v>1.0173000000000001</v>
      </c>
      <c r="D27">
        <v>0.85980000000000001</v>
      </c>
      <c r="E27">
        <v>0.89800000000000002</v>
      </c>
    </row>
    <row r="28" spans="1:5" x14ac:dyDescent="0.25">
      <c r="A28">
        <v>27</v>
      </c>
      <c r="B28" s="1">
        <v>46112</v>
      </c>
      <c r="C28">
        <v>1.0218</v>
      </c>
      <c r="D28">
        <v>0.8589</v>
      </c>
      <c r="E28">
        <v>0.89600000000000002</v>
      </c>
    </row>
    <row r="29" spans="1:5" x14ac:dyDescent="0.25">
      <c r="A29">
        <v>28</v>
      </c>
      <c r="B29" s="1">
        <v>46142</v>
      </c>
      <c r="C29">
        <v>1.0275000000000001</v>
      </c>
      <c r="D29">
        <v>0.85750000000000004</v>
      </c>
      <c r="E29">
        <v>0.89400000000000002</v>
      </c>
    </row>
    <row r="30" spans="1:5" x14ac:dyDescent="0.25">
      <c r="A30">
        <v>29</v>
      </c>
      <c r="B30" s="1">
        <v>46173</v>
      </c>
      <c r="C30">
        <v>1.0343</v>
      </c>
      <c r="D30">
        <v>0.85570000000000002</v>
      </c>
      <c r="E30">
        <v>0.89200000000000002</v>
      </c>
    </row>
    <row r="31" spans="1:5" x14ac:dyDescent="0.25">
      <c r="A31">
        <v>30</v>
      </c>
      <c r="B31" s="1">
        <v>46203</v>
      </c>
      <c r="C31">
        <v>1.0418000000000001</v>
      </c>
      <c r="D31">
        <v>0.85350000000000004</v>
      </c>
      <c r="E31">
        <v>0.89</v>
      </c>
    </row>
    <row r="32" spans="1:5" x14ac:dyDescent="0.25">
      <c r="A32">
        <v>31</v>
      </c>
      <c r="B32" s="1">
        <v>46234</v>
      </c>
      <c r="C32">
        <v>1.0498000000000001</v>
      </c>
      <c r="D32">
        <v>0.85099999999999998</v>
      </c>
      <c r="E32">
        <v>0.88800000000000001</v>
      </c>
    </row>
    <row r="33" spans="1:37" x14ac:dyDescent="0.25">
      <c r="A33">
        <v>32</v>
      </c>
      <c r="B33" s="1">
        <v>46265</v>
      </c>
      <c r="C33">
        <v>1.0579000000000001</v>
      </c>
      <c r="D33">
        <v>0.84850000000000003</v>
      </c>
      <c r="E33">
        <v>0.88600000000000001</v>
      </c>
    </row>
    <row r="34" spans="1:37" x14ac:dyDescent="0.25">
      <c r="A34">
        <v>33</v>
      </c>
      <c r="B34" s="1">
        <v>46295</v>
      </c>
      <c r="C34">
        <v>1.0658000000000001</v>
      </c>
      <c r="D34">
        <v>0.84609999999999996</v>
      </c>
      <c r="E34">
        <v>0.88400000000000001</v>
      </c>
    </row>
    <row r="35" spans="1:37" x14ac:dyDescent="0.25">
      <c r="A35">
        <v>34</v>
      </c>
      <c r="B35" s="1">
        <v>46326</v>
      </c>
      <c r="C35">
        <v>1.0731999999999999</v>
      </c>
      <c r="D35">
        <v>0.84399999999999997</v>
      </c>
      <c r="E35">
        <v>0.88200000000000001</v>
      </c>
    </row>
    <row r="36" spans="1:37" x14ac:dyDescent="0.25">
      <c r="A36">
        <v>35</v>
      </c>
      <c r="B36" s="1">
        <v>46356</v>
      </c>
      <c r="C36">
        <v>1.0798000000000001</v>
      </c>
      <c r="D36">
        <v>0.84219999999999995</v>
      </c>
      <c r="E36">
        <v>0.88</v>
      </c>
    </row>
    <row r="37" spans="1:37" x14ac:dyDescent="0.25">
      <c r="A37">
        <v>36</v>
      </c>
      <c r="B37" s="1">
        <v>46387</v>
      </c>
      <c r="C37">
        <v>1.0852999999999999</v>
      </c>
      <c r="D37">
        <v>0.84089999999999998</v>
      </c>
      <c r="E37">
        <v>0.878</v>
      </c>
    </row>
    <row r="40" spans="1:37" x14ac:dyDescent="0.25">
      <c r="A40" t="s">
        <v>1</v>
      </c>
      <c r="B40">
        <v>1</v>
      </c>
      <c r="C40">
        <v>2</v>
      </c>
      <c r="D40">
        <v>3</v>
      </c>
      <c r="E40">
        <v>4</v>
      </c>
      <c r="F40">
        <v>5</v>
      </c>
      <c r="G40">
        <v>6</v>
      </c>
      <c r="H40">
        <v>7</v>
      </c>
      <c r="I40">
        <v>8</v>
      </c>
      <c r="J40">
        <v>9</v>
      </c>
      <c r="K40">
        <v>10</v>
      </c>
      <c r="L40">
        <v>11</v>
      </c>
      <c r="M40">
        <v>12</v>
      </c>
      <c r="N40">
        <v>13</v>
      </c>
      <c r="O40">
        <v>14</v>
      </c>
      <c r="P40">
        <v>15</v>
      </c>
      <c r="Q40">
        <v>16</v>
      </c>
      <c r="R40">
        <v>17</v>
      </c>
      <c r="S40">
        <v>18</v>
      </c>
      <c r="T40">
        <v>19</v>
      </c>
      <c r="U40">
        <v>20</v>
      </c>
      <c r="V40">
        <v>21</v>
      </c>
      <c r="W40">
        <v>22</v>
      </c>
      <c r="X40">
        <v>23</v>
      </c>
      <c r="Y40">
        <v>24</v>
      </c>
      <c r="Z40">
        <v>25</v>
      </c>
      <c r="AA40">
        <v>26</v>
      </c>
      <c r="AB40">
        <v>27</v>
      </c>
      <c r="AC40">
        <v>28</v>
      </c>
      <c r="AD40">
        <v>29</v>
      </c>
      <c r="AE40">
        <v>30</v>
      </c>
      <c r="AF40">
        <v>31</v>
      </c>
      <c r="AG40">
        <v>32</v>
      </c>
      <c r="AH40">
        <v>33</v>
      </c>
      <c r="AI40">
        <v>34</v>
      </c>
      <c r="AJ40">
        <v>35</v>
      </c>
      <c r="AK40">
        <v>36</v>
      </c>
    </row>
    <row r="41" spans="1:37" x14ac:dyDescent="0.25">
      <c r="A41" t="s">
        <v>94</v>
      </c>
      <c r="B41">
        <v>1.0580000000000001</v>
      </c>
      <c r="C41">
        <v>1.0658000000000001</v>
      </c>
      <c r="D41">
        <v>1.0729</v>
      </c>
      <c r="E41">
        <v>1.0790999999999999</v>
      </c>
      <c r="F41">
        <v>1.0842000000000001</v>
      </c>
      <c r="G41">
        <v>1.0879000000000001</v>
      </c>
      <c r="H41">
        <v>1.0901000000000001</v>
      </c>
      <c r="I41">
        <v>1.0908</v>
      </c>
      <c r="J41">
        <v>1.0899000000000001</v>
      </c>
      <c r="K41">
        <v>1.0873999999999999</v>
      </c>
      <c r="L41">
        <v>1.0833999999999999</v>
      </c>
      <c r="M41">
        <v>1.0782</v>
      </c>
      <c r="N41">
        <v>1.0719000000000001</v>
      </c>
      <c r="O41">
        <v>1.0648</v>
      </c>
      <c r="P41">
        <v>1.0570999999999999</v>
      </c>
      <c r="Q41">
        <v>1.0492999999999999</v>
      </c>
      <c r="R41">
        <v>1.0415000000000001</v>
      </c>
      <c r="S41">
        <v>1.0341</v>
      </c>
      <c r="T41">
        <v>1.0274000000000001</v>
      </c>
      <c r="U41">
        <v>1.0217000000000001</v>
      </c>
      <c r="V41">
        <v>1.0172000000000001</v>
      </c>
      <c r="W41">
        <v>1.0141</v>
      </c>
      <c r="X41">
        <v>1.0125999999999999</v>
      </c>
      <c r="Y41">
        <v>1.0125999999999999</v>
      </c>
      <c r="Z41">
        <v>1.0141</v>
      </c>
      <c r="AA41">
        <v>1.0173000000000001</v>
      </c>
      <c r="AB41">
        <v>1.0218</v>
      </c>
      <c r="AC41">
        <v>1.0275000000000001</v>
      </c>
      <c r="AD41">
        <v>1.0343</v>
      </c>
      <c r="AE41">
        <v>1.0418000000000001</v>
      </c>
      <c r="AF41">
        <v>1.0498000000000001</v>
      </c>
      <c r="AG41">
        <v>1.0579000000000001</v>
      </c>
      <c r="AH41">
        <v>1.0658000000000001</v>
      </c>
      <c r="AI41">
        <v>1.0731999999999999</v>
      </c>
      <c r="AJ41">
        <v>1.0798000000000001</v>
      </c>
      <c r="AK41">
        <v>1.0852999999999999</v>
      </c>
    </row>
    <row r="42" spans="1:37" x14ac:dyDescent="0.25">
      <c r="A42" t="s">
        <v>95</v>
      </c>
      <c r="B42">
        <v>0.85970000000000002</v>
      </c>
      <c r="C42">
        <v>0.85880000000000001</v>
      </c>
      <c r="D42">
        <v>0.85729999999999995</v>
      </c>
      <c r="E42">
        <v>0.85540000000000005</v>
      </c>
      <c r="F42">
        <v>0.85319999999999996</v>
      </c>
      <c r="G42">
        <v>0.85070000000000001</v>
      </c>
      <c r="H42">
        <v>0.84819999999999995</v>
      </c>
      <c r="I42">
        <v>0.8458</v>
      </c>
      <c r="J42">
        <v>0.84370000000000001</v>
      </c>
      <c r="K42">
        <v>0.84199999999999997</v>
      </c>
      <c r="L42">
        <v>0.84079999999999999</v>
      </c>
      <c r="M42">
        <v>0.84009999999999996</v>
      </c>
      <c r="N42">
        <v>0.84009999999999996</v>
      </c>
      <c r="O42">
        <v>0.84060000000000001</v>
      </c>
      <c r="P42">
        <v>0.84179999999999999</v>
      </c>
      <c r="Q42">
        <v>0.84350000000000003</v>
      </c>
      <c r="R42">
        <v>0.84550000000000003</v>
      </c>
      <c r="S42">
        <v>0.84789999999999999</v>
      </c>
      <c r="T42">
        <v>0.85040000000000004</v>
      </c>
      <c r="U42">
        <v>0.8528</v>
      </c>
      <c r="V42">
        <v>0.85509999999999997</v>
      </c>
      <c r="W42">
        <v>0.85709999999999997</v>
      </c>
      <c r="X42">
        <v>0.85860000000000003</v>
      </c>
      <c r="Y42">
        <v>0.85960000000000003</v>
      </c>
      <c r="Z42">
        <v>0.86</v>
      </c>
      <c r="AA42">
        <v>0.85980000000000001</v>
      </c>
      <c r="AB42">
        <v>0.8589</v>
      </c>
      <c r="AC42">
        <v>0.85750000000000004</v>
      </c>
      <c r="AD42">
        <v>0.85570000000000002</v>
      </c>
      <c r="AE42">
        <v>0.85350000000000004</v>
      </c>
      <c r="AF42">
        <v>0.85099999999999998</v>
      </c>
      <c r="AG42">
        <v>0.84850000000000003</v>
      </c>
      <c r="AH42">
        <v>0.84609999999999996</v>
      </c>
      <c r="AI42">
        <v>0.84399999999999997</v>
      </c>
      <c r="AJ42">
        <v>0.84219999999999995</v>
      </c>
      <c r="AK42">
        <v>0.84089999999999998</v>
      </c>
    </row>
    <row r="43" spans="1:37" x14ac:dyDescent="0.25">
      <c r="A43" t="s">
        <v>96</v>
      </c>
      <c r="B43">
        <v>0.94799999999999995</v>
      </c>
      <c r="C43">
        <v>0.94599999999999995</v>
      </c>
      <c r="D43">
        <v>0.94399999999999995</v>
      </c>
      <c r="E43">
        <v>0.94199999999999995</v>
      </c>
      <c r="F43">
        <v>0.94</v>
      </c>
      <c r="G43">
        <v>0.93799999999999994</v>
      </c>
      <c r="H43">
        <v>0.93600000000000005</v>
      </c>
      <c r="I43">
        <v>0.93400000000000005</v>
      </c>
      <c r="J43">
        <v>0.93200000000000005</v>
      </c>
      <c r="K43">
        <v>0.93</v>
      </c>
      <c r="L43">
        <v>0.92800000000000005</v>
      </c>
      <c r="M43">
        <v>0.92600000000000005</v>
      </c>
      <c r="N43">
        <v>0.92400000000000004</v>
      </c>
      <c r="O43">
        <v>0.92200000000000004</v>
      </c>
      <c r="P43">
        <v>0.92</v>
      </c>
      <c r="Q43">
        <v>0.91800000000000004</v>
      </c>
      <c r="R43">
        <v>0.91600000000000004</v>
      </c>
      <c r="S43">
        <v>0.91400000000000003</v>
      </c>
      <c r="T43">
        <v>0.91200000000000003</v>
      </c>
      <c r="U43">
        <v>0.91</v>
      </c>
      <c r="V43">
        <v>0.90800000000000003</v>
      </c>
      <c r="W43">
        <v>0.90600000000000003</v>
      </c>
      <c r="X43">
        <v>0.90400000000000003</v>
      </c>
      <c r="Y43">
        <v>0.90200000000000002</v>
      </c>
      <c r="Z43">
        <v>0.9</v>
      </c>
      <c r="AA43">
        <v>0.89800000000000002</v>
      </c>
      <c r="AB43">
        <v>0.89600000000000002</v>
      </c>
      <c r="AC43">
        <v>0.89400000000000002</v>
      </c>
      <c r="AD43">
        <v>0.89200000000000002</v>
      </c>
      <c r="AE43">
        <v>0.89</v>
      </c>
      <c r="AF43">
        <v>0.88800000000000001</v>
      </c>
      <c r="AG43">
        <v>0.88600000000000001</v>
      </c>
      <c r="AH43">
        <v>0.88400000000000001</v>
      </c>
      <c r="AI43">
        <v>0.88200000000000001</v>
      </c>
      <c r="AJ43">
        <v>0.88</v>
      </c>
      <c r="AK43">
        <v>0.878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C9697-F41A-4E1C-B5C3-6EC63D700044}">
  <dimension ref="A1:AK44"/>
  <sheetViews>
    <sheetView workbookViewId="0"/>
  </sheetViews>
  <sheetFormatPr defaultRowHeight="12.5" x14ac:dyDescent="0.25"/>
  <sheetData>
    <row r="1" spans="1:37" x14ac:dyDescent="0.25">
      <c r="A1" t="s">
        <v>97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</row>
    <row r="2" spans="1:37" x14ac:dyDescent="0.25">
      <c r="A2" t="s">
        <v>12</v>
      </c>
      <c r="B2">
        <v>5973</v>
      </c>
      <c r="C2">
        <v>6027</v>
      </c>
      <c r="D2">
        <v>6080</v>
      </c>
      <c r="E2">
        <v>6133</v>
      </c>
      <c r="F2">
        <v>6186</v>
      </c>
      <c r="G2">
        <v>6240</v>
      </c>
      <c r="H2">
        <v>6293</v>
      </c>
      <c r="I2">
        <v>6346</v>
      </c>
      <c r="J2">
        <v>6400</v>
      </c>
      <c r="K2">
        <v>6453</v>
      </c>
      <c r="L2">
        <v>6506</v>
      </c>
      <c r="M2">
        <v>6559</v>
      </c>
      <c r="N2">
        <v>6613</v>
      </c>
      <c r="O2">
        <v>6666</v>
      </c>
      <c r="P2">
        <v>6719</v>
      </c>
      <c r="Q2">
        <v>6772</v>
      </c>
      <c r="R2">
        <v>6826</v>
      </c>
      <c r="S2">
        <v>6879</v>
      </c>
      <c r="T2">
        <v>6932</v>
      </c>
      <c r="U2">
        <v>6986</v>
      </c>
      <c r="V2">
        <v>7039</v>
      </c>
      <c r="W2">
        <v>7092</v>
      </c>
      <c r="X2">
        <v>7145</v>
      </c>
      <c r="Y2">
        <v>7199</v>
      </c>
      <c r="Z2">
        <v>7252</v>
      </c>
      <c r="AA2">
        <v>7305</v>
      </c>
      <c r="AB2">
        <v>7359</v>
      </c>
      <c r="AC2">
        <v>7412</v>
      </c>
      <c r="AD2">
        <v>7465</v>
      </c>
      <c r="AE2">
        <v>7518</v>
      </c>
      <c r="AF2">
        <v>7572</v>
      </c>
      <c r="AG2">
        <v>7625</v>
      </c>
      <c r="AH2">
        <v>7678</v>
      </c>
      <c r="AI2">
        <v>7732</v>
      </c>
      <c r="AJ2">
        <v>7785</v>
      </c>
      <c r="AK2">
        <v>7838</v>
      </c>
    </row>
    <row r="3" spans="1:37" x14ac:dyDescent="0.25">
      <c r="A3" t="s">
        <v>22</v>
      </c>
      <c r="B3">
        <v>6996</v>
      </c>
      <c r="C3">
        <v>7059</v>
      </c>
      <c r="D3">
        <v>7121</v>
      </c>
      <c r="E3">
        <v>7183</v>
      </c>
      <c r="F3">
        <v>7246</v>
      </c>
      <c r="G3">
        <v>7308</v>
      </c>
      <c r="H3">
        <v>7371</v>
      </c>
      <c r="I3">
        <v>7433</v>
      </c>
      <c r="J3">
        <v>7495</v>
      </c>
      <c r="K3">
        <v>7558</v>
      </c>
      <c r="L3">
        <v>7620</v>
      </c>
      <c r="M3">
        <v>7683</v>
      </c>
      <c r="N3">
        <v>7745</v>
      </c>
      <c r="O3">
        <v>7807</v>
      </c>
      <c r="P3">
        <v>7870</v>
      </c>
      <c r="Q3">
        <v>7932</v>
      </c>
      <c r="R3">
        <v>7995</v>
      </c>
      <c r="S3">
        <v>8057</v>
      </c>
      <c r="T3">
        <v>8119</v>
      </c>
      <c r="U3">
        <v>8182</v>
      </c>
      <c r="V3">
        <v>8244</v>
      </c>
      <c r="W3">
        <v>8307</v>
      </c>
      <c r="X3">
        <v>8369</v>
      </c>
      <c r="Y3">
        <v>8432</v>
      </c>
      <c r="Z3">
        <v>8494</v>
      </c>
      <c r="AA3">
        <v>8556</v>
      </c>
      <c r="AB3">
        <v>8619</v>
      </c>
      <c r="AC3">
        <v>8681</v>
      </c>
      <c r="AD3">
        <v>8744</v>
      </c>
      <c r="AE3">
        <v>8806</v>
      </c>
      <c r="AF3">
        <v>8868</v>
      </c>
      <c r="AG3">
        <v>8931</v>
      </c>
      <c r="AH3">
        <v>8993</v>
      </c>
      <c r="AI3">
        <v>9056</v>
      </c>
      <c r="AJ3">
        <v>9118</v>
      </c>
      <c r="AK3">
        <v>9180</v>
      </c>
    </row>
    <row r="4" spans="1:37" x14ac:dyDescent="0.25">
      <c r="A4" t="s">
        <v>24</v>
      </c>
      <c r="B4">
        <v>8019</v>
      </c>
      <c r="C4">
        <v>8091</v>
      </c>
      <c r="D4">
        <v>8162</v>
      </c>
      <c r="E4">
        <v>8234</v>
      </c>
      <c r="F4">
        <v>8305</v>
      </c>
      <c r="G4">
        <v>8377</v>
      </c>
      <c r="H4">
        <v>8448</v>
      </c>
      <c r="I4">
        <v>8520</v>
      </c>
      <c r="J4">
        <v>8591</v>
      </c>
      <c r="K4">
        <v>8663</v>
      </c>
      <c r="L4">
        <v>8734</v>
      </c>
      <c r="M4">
        <v>8806</v>
      </c>
      <c r="N4">
        <v>8877</v>
      </c>
      <c r="O4">
        <v>8949</v>
      </c>
      <c r="P4">
        <v>9021</v>
      </c>
      <c r="Q4">
        <v>9092</v>
      </c>
      <c r="R4">
        <v>9164</v>
      </c>
      <c r="S4">
        <v>9235</v>
      </c>
      <c r="T4">
        <v>9307</v>
      </c>
      <c r="U4">
        <v>9378</v>
      </c>
      <c r="V4">
        <v>9450</v>
      </c>
      <c r="W4">
        <v>9521</v>
      </c>
      <c r="X4">
        <v>9593</v>
      </c>
      <c r="Y4">
        <v>9664</v>
      </c>
      <c r="Z4">
        <v>9736</v>
      </c>
      <c r="AA4">
        <v>9807</v>
      </c>
      <c r="AB4">
        <v>9879</v>
      </c>
      <c r="AC4">
        <v>9950</v>
      </c>
      <c r="AD4">
        <v>10022</v>
      </c>
      <c r="AE4">
        <v>10093</v>
      </c>
      <c r="AF4">
        <v>10165</v>
      </c>
      <c r="AG4">
        <v>10237</v>
      </c>
      <c r="AH4">
        <v>10308</v>
      </c>
      <c r="AI4">
        <v>10380</v>
      </c>
      <c r="AJ4">
        <v>10451</v>
      </c>
      <c r="AK4">
        <v>10523</v>
      </c>
    </row>
    <row r="5" spans="1:37" x14ac:dyDescent="0.25">
      <c r="A5" t="s">
        <v>26</v>
      </c>
      <c r="B5">
        <v>9042</v>
      </c>
      <c r="C5">
        <v>9123</v>
      </c>
      <c r="D5">
        <v>9203</v>
      </c>
      <c r="E5">
        <v>9284</v>
      </c>
      <c r="F5">
        <v>9365</v>
      </c>
      <c r="G5">
        <v>9445</v>
      </c>
      <c r="H5">
        <v>9526</v>
      </c>
      <c r="I5">
        <v>9607</v>
      </c>
      <c r="J5">
        <v>9687</v>
      </c>
      <c r="K5">
        <v>9768</v>
      </c>
      <c r="L5">
        <v>9849</v>
      </c>
      <c r="M5">
        <v>9929</v>
      </c>
      <c r="N5">
        <v>10010</v>
      </c>
      <c r="O5">
        <v>10091</v>
      </c>
      <c r="P5">
        <v>10171</v>
      </c>
      <c r="Q5">
        <v>10252</v>
      </c>
      <c r="R5">
        <v>10332</v>
      </c>
      <c r="S5">
        <v>10413</v>
      </c>
      <c r="T5">
        <v>10494</v>
      </c>
      <c r="U5">
        <v>10574</v>
      </c>
      <c r="V5">
        <v>10655</v>
      </c>
      <c r="W5">
        <v>10736</v>
      </c>
      <c r="X5">
        <v>10816</v>
      </c>
      <c r="Y5">
        <v>10897</v>
      </c>
      <c r="Z5">
        <v>10978</v>
      </c>
      <c r="AA5">
        <v>11058</v>
      </c>
      <c r="AB5">
        <v>11139</v>
      </c>
      <c r="AC5">
        <v>11220</v>
      </c>
      <c r="AD5">
        <v>11300</v>
      </c>
      <c r="AE5">
        <v>11381</v>
      </c>
      <c r="AF5">
        <v>11462</v>
      </c>
      <c r="AG5">
        <v>11542</v>
      </c>
      <c r="AH5">
        <v>11623</v>
      </c>
      <c r="AI5">
        <v>11704</v>
      </c>
      <c r="AJ5">
        <v>11784</v>
      </c>
      <c r="AK5">
        <v>11865</v>
      </c>
    </row>
    <row r="6" spans="1:37" x14ac:dyDescent="0.25">
      <c r="A6" t="s">
        <v>27</v>
      </c>
      <c r="B6">
        <v>10065</v>
      </c>
      <c r="C6">
        <v>10155</v>
      </c>
      <c r="D6">
        <v>10245</v>
      </c>
      <c r="E6">
        <v>10334</v>
      </c>
      <c r="F6">
        <v>10424</v>
      </c>
      <c r="G6">
        <v>10514</v>
      </c>
      <c r="H6">
        <v>10604</v>
      </c>
      <c r="I6">
        <v>10693</v>
      </c>
      <c r="J6">
        <v>10783</v>
      </c>
      <c r="K6">
        <v>10873</v>
      </c>
      <c r="L6">
        <v>10963</v>
      </c>
      <c r="M6">
        <v>11053</v>
      </c>
      <c r="N6">
        <v>11142</v>
      </c>
      <c r="O6">
        <v>11232</v>
      </c>
      <c r="P6">
        <v>11322</v>
      </c>
      <c r="Q6">
        <v>11412</v>
      </c>
      <c r="R6">
        <v>11501</v>
      </c>
      <c r="S6">
        <v>11591</v>
      </c>
      <c r="T6">
        <v>11681</v>
      </c>
      <c r="U6">
        <v>11771</v>
      </c>
      <c r="V6">
        <v>11861</v>
      </c>
      <c r="W6">
        <v>11950</v>
      </c>
      <c r="X6">
        <v>12040</v>
      </c>
      <c r="Y6">
        <v>12130</v>
      </c>
      <c r="Z6">
        <v>12220</v>
      </c>
      <c r="AA6">
        <v>12309</v>
      </c>
      <c r="AB6">
        <v>12399</v>
      </c>
      <c r="AC6">
        <v>12489</v>
      </c>
      <c r="AD6">
        <v>12579</v>
      </c>
      <c r="AE6">
        <v>12669</v>
      </c>
      <c r="AF6">
        <v>12758</v>
      </c>
      <c r="AG6">
        <v>12848</v>
      </c>
      <c r="AH6">
        <v>12938</v>
      </c>
      <c r="AI6">
        <v>13028</v>
      </c>
      <c r="AJ6">
        <v>13117</v>
      </c>
      <c r="AK6">
        <v>13207</v>
      </c>
    </row>
    <row r="7" spans="1:37" x14ac:dyDescent="0.25">
      <c r="A7" t="s">
        <v>28</v>
      </c>
      <c r="B7">
        <v>11088</v>
      </c>
      <c r="C7">
        <v>11187</v>
      </c>
      <c r="D7">
        <v>11286</v>
      </c>
      <c r="E7">
        <v>11385</v>
      </c>
      <c r="F7">
        <v>11484</v>
      </c>
      <c r="G7">
        <v>11582</v>
      </c>
      <c r="H7">
        <v>11681</v>
      </c>
      <c r="I7">
        <v>11780</v>
      </c>
      <c r="J7">
        <v>11879</v>
      </c>
      <c r="K7">
        <v>11978</v>
      </c>
      <c r="L7">
        <v>12077</v>
      </c>
      <c r="M7">
        <v>12176</v>
      </c>
      <c r="N7">
        <v>12275</v>
      </c>
      <c r="O7">
        <v>12374</v>
      </c>
      <c r="P7">
        <v>12473</v>
      </c>
      <c r="Q7">
        <v>12571</v>
      </c>
      <c r="R7">
        <v>12670</v>
      </c>
      <c r="S7">
        <v>12769</v>
      </c>
      <c r="T7">
        <v>12868</v>
      </c>
      <c r="U7">
        <v>12967</v>
      </c>
      <c r="V7">
        <v>13066</v>
      </c>
      <c r="W7">
        <v>13165</v>
      </c>
      <c r="X7">
        <v>13264</v>
      </c>
      <c r="Y7">
        <v>13363</v>
      </c>
      <c r="Z7">
        <v>13462</v>
      </c>
      <c r="AA7">
        <v>13560</v>
      </c>
      <c r="AB7">
        <v>13659</v>
      </c>
      <c r="AC7">
        <v>13758</v>
      </c>
      <c r="AD7">
        <v>13857</v>
      </c>
      <c r="AE7">
        <v>13956</v>
      </c>
      <c r="AF7">
        <v>14055</v>
      </c>
      <c r="AG7">
        <v>14154</v>
      </c>
      <c r="AH7">
        <v>14253</v>
      </c>
      <c r="AI7">
        <v>14352</v>
      </c>
      <c r="AJ7">
        <v>14451</v>
      </c>
      <c r="AK7">
        <v>14549</v>
      </c>
    </row>
    <row r="8" spans="1:37" x14ac:dyDescent="0.25">
      <c r="A8" t="s">
        <v>29</v>
      </c>
      <c r="B8">
        <v>12111</v>
      </c>
      <c r="C8">
        <v>12219</v>
      </c>
      <c r="D8">
        <v>12327</v>
      </c>
      <c r="E8">
        <v>12435</v>
      </c>
      <c r="F8">
        <v>12543</v>
      </c>
      <c r="G8">
        <v>12651</v>
      </c>
      <c r="H8">
        <v>12759</v>
      </c>
      <c r="I8">
        <v>12867</v>
      </c>
      <c r="J8">
        <v>12975</v>
      </c>
      <c r="K8">
        <v>13083</v>
      </c>
      <c r="L8">
        <v>13191</v>
      </c>
      <c r="M8">
        <v>13299</v>
      </c>
      <c r="N8">
        <v>13407</v>
      </c>
      <c r="O8">
        <v>13515</v>
      </c>
      <c r="P8">
        <v>13623</v>
      </c>
      <c r="Q8">
        <v>13731</v>
      </c>
      <c r="R8">
        <v>13839</v>
      </c>
      <c r="S8">
        <v>13947</v>
      </c>
      <c r="T8">
        <v>14055</v>
      </c>
      <c r="U8">
        <v>14163</v>
      </c>
      <c r="V8">
        <v>14271</v>
      </c>
      <c r="W8">
        <v>14379</v>
      </c>
      <c r="X8">
        <v>14487</v>
      </c>
      <c r="Y8">
        <v>14595</v>
      </c>
      <c r="Z8">
        <v>14703</v>
      </c>
      <c r="AA8">
        <v>14811</v>
      </c>
      <c r="AB8">
        <v>14919</v>
      </c>
      <c r="AC8">
        <v>15028</v>
      </c>
      <c r="AD8">
        <v>15136</v>
      </c>
      <c r="AE8">
        <v>15244</v>
      </c>
      <c r="AF8">
        <v>15352</v>
      </c>
      <c r="AG8">
        <v>15460</v>
      </c>
      <c r="AH8">
        <v>15568</v>
      </c>
      <c r="AI8">
        <v>15676</v>
      </c>
      <c r="AJ8">
        <v>15784</v>
      </c>
      <c r="AK8">
        <v>15892</v>
      </c>
    </row>
    <row r="9" spans="1:37" x14ac:dyDescent="0.25">
      <c r="A9" t="s">
        <v>30</v>
      </c>
      <c r="B9">
        <v>13134</v>
      </c>
      <c r="C9">
        <v>13251</v>
      </c>
      <c r="D9">
        <v>13368</v>
      </c>
      <c r="E9">
        <v>13485</v>
      </c>
      <c r="F9">
        <v>13602</v>
      </c>
      <c r="G9">
        <v>13719</v>
      </c>
      <c r="H9">
        <v>13837</v>
      </c>
      <c r="I9">
        <v>13954</v>
      </c>
      <c r="J9">
        <v>14071</v>
      </c>
      <c r="K9">
        <v>14188</v>
      </c>
      <c r="L9">
        <v>14305</v>
      </c>
      <c r="M9">
        <v>14422</v>
      </c>
      <c r="N9">
        <v>14540</v>
      </c>
      <c r="O9">
        <v>14657</v>
      </c>
      <c r="P9">
        <v>14774</v>
      </c>
      <c r="Q9">
        <v>14891</v>
      </c>
      <c r="R9">
        <v>15008</v>
      </c>
      <c r="S9">
        <v>15125</v>
      </c>
      <c r="T9">
        <v>15242</v>
      </c>
      <c r="U9">
        <v>15360</v>
      </c>
      <c r="V9">
        <v>15477</v>
      </c>
      <c r="W9">
        <v>15594</v>
      </c>
      <c r="X9">
        <v>15711</v>
      </c>
      <c r="Y9">
        <v>15828</v>
      </c>
      <c r="Z9">
        <v>15945</v>
      </c>
      <c r="AA9">
        <v>16062</v>
      </c>
      <c r="AB9">
        <v>16180</v>
      </c>
      <c r="AC9">
        <v>16297</v>
      </c>
      <c r="AD9">
        <v>16414</v>
      </c>
      <c r="AE9">
        <v>16531</v>
      </c>
      <c r="AF9">
        <v>16648</v>
      </c>
      <c r="AG9">
        <v>16765</v>
      </c>
      <c r="AH9">
        <v>16883</v>
      </c>
      <c r="AI9">
        <v>17000</v>
      </c>
      <c r="AJ9">
        <v>17117</v>
      </c>
      <c r="AK9">
        <v>17234</v>
      </c>
    </row>
    <row r="10" spans="1:37" x14ac:dyDescent="0.25">
      <c r="A10" t="s">
        <v>32</v>
      </c>
      <c r="B10">
        <v>14157</v>
      </c>
      <c r="C10">
        <v>14283</v>
      </c>
      <c r="D10">
        <v>14409</v>
      </c>
      <c r="E10">
        <v>14535</v>
      </c>
      <c r="F10">
        <v>14662</v>
      </c>
      <c r="G10">
        <v>14788</v>
      </c>
      <c r="H10">
        <v>14914</v>
      </c>
      <c r="I10">
        <v>15041</v>
      </c>
      <c r="J10">
        <v>15167</v>
      </c>
      <c r="K10">
        <v>15293</v>
      </c>
      <c r="L10">
        <v>15419</v>
      </c>
      <c r="M10">
        <v>15546</v>
      </c>
      <c r="N10">
        <v>15672</v>
      </c>
      <c r="O10">
        <v>15798</v>
      </c>
      <c r="P10">
        <v>15925</v>
      </c>
      <c r="Q10">
        <v>16051</v>
      </c>
      <c r="R10">
        <v>16177</v>
      </c>
      <c r="S10">
        <v>16303</v>
      </c>
      <c r="T10">
        <v>16430</v>
      </c>
      <c r="U10">
        <v>16556</v>
      </c>
      <c r="V10">
        <v>16682</v>
      </c>
      <c r="W10">
        <v>16808</v>
      </c>
      <c r="X10">
        <v>16935</v>
      </c>
      <c r="Y10">
        <v>17061</v>
      </c>
      <c r="Z10">
        <v>17187</v>
      </c>
      <c r="AA10">
        <v>17314</v>
      </c>
      <c r="AB10">
        <v>17440</v>
      </c>
      <c r="AC10">
        <v>17566</v>
      </c>
      <c r="AD10">
        <v>17692</v>
      </c>
      <c r="AE10">
        <v>17819</v>
      </c>
      <c r="AF10">
        <v>17945</v>
      </c>
      <c r="AG10">
        <v>18071</v>
      </c>
      <c r="AH10">
        <v>18197</v>
      </c>
      <c r="AI10">
        <v>18324</v>
      </c>
      <c r="AJ10">
        <v>18450</v>
      </c>
      <c r="AK10">
        <v>18576</v>
      </c>
    </row>
    <row r="11" spans="1:37" x14ac:dyDescent="0.25">
      <c r="A11" t="s">
        <v>33</v>
      </c>
      <c r="B11">
        <v>15180</v>
      </c>
      <c r="C11">
        <v>15315</v>
      </c>
      <c r="D11">
        <v>15450</v>
      </c>
      <c r="E11">
        <v>15586</v>
      </c>
      <c r="F11">
        <v>15721</v>
      </c>
      <c r="G11">
        <v>15857</v>
      </c>
      <c r="H11">
        <v>15992</v>
      </c>
      <c r="I11">
        <v>16127</v>
      </c>
      <c r="J11">
        <v>16263</v>
      </c>
      <c r="K11">
        <v>16398</v>
      </c>
      <c r="L11">
        <v>16534</v>
      </c>
      <c r="M11">
        <v>16669</v>
      </c>
      <c r="N11">
        <v>16804</v>
      </c>
      <c r="O11">
        <v>16940</v>
      </c>
      <c r="P11">
        <v>17075</v>
      </c>
      <c r="Q11">
        <v>17211</v>
      </c>
      <c r="R11">
        <v>17346</v>
      </c>
      <c r="S11">
        <v>17481</v>
      </c>
      <c r="T11">
        <v>17617</v>
      </c>
      <c r="U11">
        <v>17752</v>
      </c>
      <c r="V11">
        <v>17888</v>
      </c>
      <c r="W11">
        <v>18023</v>
      </c>
      <c r="X11">
        <v>18158</v>
      </c>
      <c r="Y11">
        <v>18294</v>
      </c>
      <c r="Z11">
        <v>18429</v>
      </c>
      <c r="AA11">
        <v>18565</v>
      </c>
      <c r="AB11">
        <v>18700</v>
      </c>
      <c r="AC11">
        <v>18835</v>
      </c>
      <c r="AD11">
        <v>18971</v>
      </c>
      <c r="AE11">
        <v>19106</v>
      </c>
      <c r="AF11">
        <v>19242</v>
      </c>
      <c r="AG11">
        <v>19377</v>
      </c>
      <c r="AH11">
        <v>19512</v>
      </c>
      <c r="AI11">
        <v>19648</v>
      </c>
      <c r="AJ11">
        <v>19783</v>
      </c>
      <c r="AK11">
        <v>19919</v>
      </c>
    </row>
    <row r="12" spans="1:37" x14ac:dyDescent="0.25">
      <c r="A12" t="s">
        <v>34</v>
      </c>
      <c r="B12">
        <v>16203</v>
      </c>
      <c r="C12">
        <v>16347</v>
      </c>
      <c r="D12">
        <v>16492</v>
      </c>
      <c r="E12">
        <v>16636</v>
      </c>
      <c r="F12">
        <v>16781</v>
      </c>
      <c r="G12">
        <v>16925</v>
      </c>
      <c r="H12">
        <v>17070</v>
      </c>
      <c r="I12">
        <v>17214</v>
      </c>
      <c r="J12">
        <v>17359</v>
      </c>
      <c r="K12">
        <v>17503</v>
      </c>
      <c r="L12">
        <v>17648</v>
      </c>
      <c r="M12">
        <v>17792</v>
      </c>
      <c r="N12">
        <v>17937</v>
      </c>
      <c r="O12">
        <v>18081</v>
      </c>
      <c r="P12">
        <v>18226</v>
      </c>
      <c r="Q12">
        <v>18370</v>
      </c>
      <c r="R12">
        <v>18515</v>
      </c>
      <c r="S12">
        <v>18659</v>
      </c>
      <c r="T12">
        <v>18804</v>
      </c>
      <c r="U12">
        <v>18948</v>
      </c>
      <c r="V12">
        <v>19093</v>
      </c>
      <c r="W12">
        <v>19237</v>
      </c>
      <c r="X12">
        <v>19382</v>
      </c>
      <c r="Y12">
        <v>19527</v>
      </c>
      <c r="Z12">
        <v>19671</v>
      </c>
      <c r="AA12">
        <v>19816</v>
      </c>
      <c r="AB12">
        <v>19960</v>
      </c>
      <c r="AC12">
        <v>20105</v>
      </c>
      <c r="AD12">
        <v>20249</v>
      </c>
      <c r="AE12">
        <v>20394</v>
      </c>
      <c r="AF12">
        <v>20538</v>
      </c>
      <c r="AG12">
        <v>20683</v>
      </c>
      <c r="AH12">
        <v>20827</v>
      </c>
      <c r="AI12">
        <v>20972</v>
      </c>
      <c r="AJ12">
        <v>21116</v>
      </c>
      <c r="AK12">
        <v>21261</v>
      </c>
    </row>
    <row r="13" spans="1:37" x14ac:dyDescent="0.25">
      <c r="A13" t="s">
        <v>35</v>
      </c>
      <c r="B13">
        <v>17225</v>
      </c>
      <c r="C13">
        <v>17379</v>
      </c>
      <c r="D13">
        <v>17533</v>
      </c>
      <c r="E13">
        <v>17686</v>
      </c>
      <c r="F13">
        <v>17840</v>
      </c>
      <c r="G13">
        <v>17994</v>
      </c>
      <c r="H13">
        <v>18147</v>
      </c>
      <c r="I13">
        <v>18301</v>
      </c>
      <c r="J13">
        <v>18455</v>
      </c>
      <c r="K13">
        <v>18608</v>
      </c>
      <c r="L13">
        <v>18762</v>
      </c>
      <c r="M13">
        <v>18916</v>
      </c>
      <c r="N13">
        <v>19069</v>
      </c>
      <c r="O13">
        <v>19223</v>
      </c>
      <c r="P13">
        <v>19376</v>
      </c>
      <c r="Q13">
        <v>19530</v>
      </c>
      <c r="R13">
        <v>19684</v>
      </c>
      <c r="S13">
        <v>19837</v>
      </c>
      <c r="T13">
        <v>19991</v>
      </c>
      <c r="U13">
        <v>20145</v>
      </c>
      <c r="V13">
        <v>20298</v>
      </c>
      <c r="W13">
        <v>20452</v>
      </c>
      <c r="X13">
        <v>20606</v>
      </c>
      <c r="Y13">
        <v>20759</v>
      </c>
      <c r="Z13">
        <v>20913</v>
      </c>
      <c r="AA13">
        <v>21067</v>
      </c>
      <c r="AB13">
        <v>21220</v>
      </c>
      <c r="AC13">
        <v>21374</v>
      </c>
      <c r="AD13">
        <v>21528</v>
      </c>
      <c r="AE13">
        <v>21681</v>
      </c>
      <c r="AF13">
        <v>21835</v>
      </c>
      <c r="AG13">
        <v>21988</v>
      </c>
      <c r="AH13">
        <v>22142</v>
      </c>
      <c r="AI13">
        <v>22296</v>
      </c>
      <c r="AJ13">
        <v>22449</v>
      </c>
      <c r="AK13">
        <v>22603</v>
      </c>
    </row>
    <row r="14" spans="1:37" x14ac:dyDescent="0.25">
      <c r="A14" t="s">
        <v>36</v>
      </c>
      <c r="B14">
        <v>18248</v>
      </c>
      <c r="C14">
        <v>18411</v>
      </c>
      <c r="D14">
        <v>18574</v>
      </c>
      <c r="E14">
        <v>18737</v>
      </c>
      <c r="F14">
        <v>18899</v>
      </c>
      <c r="G14">
        <v>19062</v>
      </c>
      <c r="H14">
        <v>19225</v>
      </c>
      <c r="I14">
        <v>19388</v>
      </c>
      <c r="J14">
        <v>19551</v>
      </c>
      <c r="K14">
        <v>19713</v>
      </c>
      <c r="L14">
        <v>19876</v>
      </c>
      <c r="M14">
        <v>20039</v>
      </c>
      <c r="N14">
        <v>20202</v>
      </c>
      <c r="O14">
        <v>20364</v>
      </c>
      <c r="P14">
        <v>20527</v>
      </c>
      <c r="Q14">
        <v>20690</v>
      </c>
      <c r="R14">
        <v>20853</v>
      </c>
      <c r="S14">
        <v>21015</v>
      </c>
      <c r="T14">
        <v>21178</v>
      </c>
      <c r="U14">
        <v>21341</v>
      </c>
      <c r="V14">
        <v>21504</v>
      </c>
      <c r="W14">
        <v>21667</v>
      </c>
      <c r="X14">
        <v>21829</v>
      </c>
      <c r="Y14">
        <v>21992</v>
      </c>
      <c r="Z14">
        <v>22155</v>
      </c>
      <c r="AA14">
        <v>22318</v>
      </c>
      <c r="AB14">
        <v>22480</v>
      </c>
      <c r="AC14">
        <v>22643</v>
      </c>
      <c r="AD14">
        <v>22806</v>
      </c>
      <c r="AE14">
        <v>22969</v>
      </c>
      <c r="AF14">
        <v>23131</v>
      </c>
      <c r="AG14">
        <v>23294</v>
      </c>
      <c r="AH14">
        <v>23457</v>
      </c>
      <c r="AI14">
        <v>23620</v>
      </c>
      <c r="AJ14">
        <v>23783</v>
      </c>
      <c r="AK14">
        <v>23945</v>
      </c>
    </row>
    <row r="15" spans="1:37" x14ac:dyDescent="0.25">
      <c r="A15" t="s">
        <v>37</v>
      </c>
      <c r="B15">
        <v>19271</v>
      </c>
      <c r="C15">
        <v>19443</v>
      </c>
      <c r="D15">
        <v>19615</v>
      </c>
      <c r="E15">
        <v>19787</v>
      </c>
      <c r="F15">
        <v>19959</v>
      </c>
      <c r="G15">
        <v>20131</v>
      </c>
      <c r="H15">
        <v>20303</v>
      </c>
      <c r="I15">
        <v>20475</v>
      </c>
      <c r="J15">
        <v>20646</v>
      </c>
      <c r="K15">
        <v>20818</v>
      </c>
      <c r="L15">
        <v>20990</v>
      </c>
      <c r="M15">
        <v>21162</v>
      </c>
      <c r="N15">
        <v>21334</v>
      </c>
      <c r="O15">
        <v>21506</v>
      </c>
      <c r="P15">
        <v>21678</v>
      </c>
      <c r="Q15">
        <v>21850</v>
      </c>
      <c r="R15">
        <v>22022</v>
      </c>
      <c r="S15">
        <v>22194</v>
      </c>
      <c r="T15">
        <v>22365</v>
      </c>
      <c r="U15">
        <v>22537</v>
      </c>
      <c r="V15">
        <v>22709</v>
      </c>
      <c r="W15">
        <v>22881</v>
      </c>
      <c r="X15">
        <v>23053</v>
      </c>
      <c r="Y15">
        <v>23225</v>
      </c>
      <c r="Z15">
        <v>23397</v>
      </c>
      <c r="AA15">
        <v>23569</v>
      </c>
      <c r="AB15">
        <v>23741</v>
      </c>
      <c r="AC15">
        <v>23912</v>
      </c>
      <c r="AD15">
        <v>24084</v>
      </c>
      <c r="AE15">
        <v>24256</v>
      </c>
      <c r="AF15">
        <v>24428</v>
      </c>
      <c r="AG15">
        <v>24600</v>
      </c>
      <c r="AH15">
        <v>24772</v>
      </c>
      <c r="AI15">
        <v>24944</v>
      </c>
      <c r="AJ15">
        <v>25116</v>
      </c>
      <c r="AK15">
        <v>25288</v>
      </c>
    </row>
    <row r="16" spans="1:37" x14ac:dyDescent="0.25">
      <c r="A16" t="s">
        <v>38</v>
      </c>
      <c r="B16">
        <v>20294</v>
      </c>
      <c r="C16">
        <v>20475</v>
      </c>
      <c r="D16">
        <v>20656</v>
      </c>
      <c r="E16">
        <v>20837</v>
      </c>
      <c r="F16">
        <v>21018</v>
      </c>
      <c r="G16">
        <v>21199</v>
      </c>
      <c r="H16">
        <v>21380</v>
      </c>
      <c r="I16">
        <v>21561</v>
      </c>
      <c r="J16">
        <v>21742</v>
      </c>
      <c r="K16">
        <v>21923</v>
      </c>
      <c r="L16">
        <v>22104</v>
      </c>
      <c r="M16">
        <v>22285</v>
      </c>
      <c r="N16">
        <v>22466</v>
      </c>
      <c r="O16">
        <v>22647</v>
      </c>
      <c r="P16">
        <v>22828</v>
      </c>
      <c r="Q16">
        <v>23010</v>
      </c>
      <c r="R16">
        <v>23191</v>
      </c>
      <c r="S16">
        <v>23372</v>
      </c>
      <c r="T16">
        <v>23553</v>
      </c>
      <c r="U16">
        <v>23734</v>
      </c>
      <c r="V16">
        <v>23915</v>
      </c>
      <c r="W16">
        <v>24096</v>
      </c>
      <c r="X16">
        <v>24277</v>
      </c>
      <c r="Y16">
        <v>24458</v>
      </c>
      <c r="Z16">
        <v>24639</v>
      </c>
      <c r="AA16">
        <v>24820</v>
      </c>
      <c r="AB16">
        <v>25001</v>
      </c>
      <c r="AC16">
        <v>25182</v>
      </c>
      <c r="AD16">
        <v>25363</v>
      </c>
      <c r="AE16">
        <v>25544</v>
      </c>
      <c r="AF16">
        <v>25725</v>
      </c>
      <c r="AG16">
        <v>25906</v>
      </c>
      <c r="AH16">
        <v>26087</v>
      </c>
      <c r="AI16">
        <v>26268</v>
      </c>
      <c r="AJ16">
        <v>26449</v>
      </c>
      <c r="AK16">
        <v>26630</v>
      </c>
    </row>
    <row r="17" spans="1:37" x14ac:dyDescent="0.25">
      <c r="A17" t="s">
        <v>39</v>
      </c>
      <c r="B17">
        <v>21317</v>
      </c>
      <c r="C17">
        <v>21507</v>
      </c>
      <c r="D17">
        <v>21697</v>
      </c>
      <c r="E17">
        <v>21888</v>
      </c>
      <c r="F17">
        <v>22078</v>
      </c>
      <c r="G17">
        <v>22268</v>
      </c>
      <c r="H17">
        <v>22458</v>
      </c>
      <c r="I17">
        <v>22648</v>
      </c>
      <c r="J17">
        <v>22838</v>
      </c>
      <c r="K17">
        <v>23028</v>
      </c>
      <c r="L17">
        <v>23219</v>
      </c>
      <c r="M17">
        <v>23409</v>
      </c>
      <c r="N17">
        <v>23599</v>
      </c>
      <c r="O17">
        <v>23789</v>
      </c>
      <c r="P17">
        <v>23979</v>
      </c>
      <c r="Q17">
        <v>24169</v>
      </c>
      <c r="R17">
        <v>24359</v>
      </c>
      <c r="S17">
        <v>24550</v>
      </c>
      <c r="T17">
        <v>24740</v>
      </c>
      <c r="U17">
        <v>24930</v>
      </c>
      <c r="V17">
        <v>25120</v>
      </c>
      <c r="W17">
        <v>25310</v>
      </c>
      <c r="X17">
        <v>25500</v>
      </c>
      <c r="Y17">
        <v>25690</v>
      </c>
      <c r="Z17">
        <v>25881</v>
      </c>
      <c r="AA17">
        <v>26071</v>
      </c>
      <c r="AB17">
        <v>26261</v>
      </c>
      <c r="AC17">
        <v>26451</v>
      </c>
      <c r="AD17">
        <v>26641</v>
      </c>
      <c r="AE17">
        <v>26831</v>
      </c>
      <c r="AF17">
        <v>27021</v>
      </c>
      <c r="AG17">
        <v>27212</v>
      </c>
      <c r="AH17">
        <v>27402</v>
      </c>
      <c r="AI17">
        <v>27592</v>
      </c>
      <c r="AJ17">
        <v>27782</v>
      </c>
      <c r="AK17">
        <v>27972</v>
      </c>
    </row>
    <row r="18" spans="1:37" x14ac:dyDescent="0.25">
      <c r="A18" t="s">
        <v>40</v>
      </c>
      <c r="B18">
        <v>22340</v>
      </c>
      <c r="C18">
        <v>22539</v>
      </c>
      <c r="D18">
        <v>22739</v>
      </c>
      <c r="E18">
        <v>22938</v>
      </c>
      <c r="F18">
        <v>23137</v>
      </c>
      <c r="G18">
        <v>23336</v>
      </c>
      <c r="H18">
        <v>23536</v>
      </c>
      <c r="I18">
        <v>23735</v>
      </c>
      <c r="J18">
        <v>23934</v>
      </c>
      <c r="K18">
        <v>24133</v>
      </c>
      <c r="L18">
        <v>24333</v>
      </c>
      <c r="M18">
        <v>24532</v>
      </c>
      <c r="N18">
        <v>24731</v>
      </c>
      <c r="O18">
        <v>24931</v>
      </c>
      <c r="P18">
        <v>25130</v>
      </c>
      <c r="Q18">
        <v>25329</v>
      </c>
      <c r="R18">
        <v>25528</v>
      </c>
      <c r="S18">
        <v>25728</v>
      </c>
      <c r="T18">
        <v>25927</v>
      </c>
      <c r="U18">
        <v>26126</v>
      </c>
      <c r="V18">
        <v>26325</v>
      </c>
      <c r="W18">
        <v>26525</v>
      </c>
      <c r="X18">
        <v>26724</v>
      </c>
      <c r="Y18">
        <v>26923</v>
      </c>
      <c r="Z18">
        <v>27122</v>
      </c>
      <c r="AA18">
        <v>27322</v>
      </c>
      <c r="AB18">
        <v>27521</v>
      </c>
      <c r="AC18">
        <v>27720</v>
      </c>
      <c r="AD18">
        <v>27920</v>
      </c>
      <c r="AE18">
        <v>28119</v>
      </c>
      <c r="AF18">
        <v>28318</v>
      </c>
      <c r="AG18">
        <v>28517</v>
      </c>
      <c r="AH18">
        <v>28717</v>
      </c>
      <c r="AI18">
        <v>28916</v>
      </c>
      <c r="AJ18">
        <v>29115</v>
      </c>
      <c r="AK18">
        <v>29314</v>
      </c>
    </row>
    <row r="19" spans="1:37" x14ac:dyDescent="0.25">
      <c r="A19" t="s">
        <v>42</v>
      </c>
      <c r="B19">
        <v>23363</v>
      </c>
      <c r="C19">
        <v>23571</v>
      </c>
      <c r="D19">
        <v>23780</v>
      </c>
      <c r="E19">
        <v>23988</v>
      </c>
      <c r="F19">
        <v>24197</v>
      </c>
      <c r="G19">
        <v>24405</v>
      </c>
      <c r="H19">
        <v>24613</v>
      </c>
      <c r="I19">
        <v>24822</v>
      </c>
      <c r="J19">
        <v>25030</v>
      </c>
      <c r="K19">
        <v>25239</v>
      </c>
      <c r="L19">
        <v>25447</v>
      </c>
      <c r="M19">
        <v>25655</v>
      </c>
      <c r="N19">
        <v>25864</v>
      </c>
      <c r="O19">
        <v>26072</v>
      </c>
      <c r="P19">
        <v>26280</v>
      </c>
      <c r="Q19">
        <v>26489</v>
      </c>
      <c r="R19">
        <v>26697</v>
      </c>
      <c r="S19">
        <v>26906</v>
      </c>
      <c r="T19">
        <v>27114</v>
      </c>
      <c r="U19">
        <v>27322</v>
      </c>
      <c r="V19">
        <v>27531</v>
      </c>
      <c r="W19">
        <v>27739</v>
      </c>
      <c r="X19">
        <v>27948</v>
      </c>
      <c r="Y19">
        <v>28156</v>
      </c>
      <c r="Z19">
        <v>28364</v>
      </c>
      <c r="AA19">
        <v>28573</v>
      </c>
      <c r="AB19">
        <v>28781</v>
      </c>
      <c r="AC19">
        <v>28990</v>
      </c>
      <c r="AD19">
        <v>29198</v>
      </c>
      <c r="AE19">
        <v>29406</v>
      </c>
      <c r="AF19">
        <v>29615</v>
      </c>
      <c r="AG19">
        <v>29823</v>
      </c>
      <c r="AH19">
        <v>30032</v>
      </c>
      <c r="AI19">
        <v>30240</v>
      </c>
      <c r="AJ19">
        <v>30448</v>
      </c>
      <c r="AK19">
        <v>30657</v>
      </c>
    </row>
    <row r="20" spans="1:37" x14ac:dyDescent="0.25">
      <c r="A20" t="s">
        <v>43</v>
      </c>
      <c r="B20">
        <v>24386</v>
      </c>
      <c r="C20">
        <v>24603</v>
      </c>
      <c r="D20">
        <v>24821</v>
      </c>
      <c r="E20">
        <v>25038</v>
      </c>
      <c r="F20">
        <v>25256</v>
      </c>
      <c r="G20">
        <v>25473</v>
      </c>
      <c r="H20">
        <v>25691</v>
      </c>
      <c r="I20">
        <v>25909</v>
      </c>
      <c r="J20">
        <v>26126</v>
      </c>
      <c r="K20">
        <v>26344</v>
      </c>
      <c r="L20">
        <v>26561</v>
      </c>
      <c r="M20">
        <v>26779</v>
      </c>
      <c r="N20">
        <v>26996</v>
      </c>
      <c r="O20">
        <v>27214</v>
      </c>
      <c r="P20">
        <v>27431</v>
      </c>
      <c r="Q20">
        <v>27649</v>
      </c>
      <c r="R20">
        <v>27866</v>
      </c>
      <c r="S20">
        <v>28084</v>
      </c>
      <c r="T20">
        <v>28301</v>
      </c>
      <c r="U20">
        <v>28519</v>
      </c>
      <c r="V20">
        <v>28736</v>
      </c>
      <c r="W20">
        <v>28954</v>
      </c>
      <c r="X20">
        <v>29171</v>
      </c>
      <c r="Y20">
        <v>29389</v>
      </c>
      <c r="Z20">
        <v>29606</v>
      </c>
      <c r="AA20">
        <v>29824</v>
      </c>
      <c r="AB20">
        <v>30041</v>
      </c>
      <c r="AC20">
        <v>30259</v>
      </c>
      <c r="AD20">
        <v>30476</v>
      </c>
      <c r="AE20">
        <v>30694</v>
      </c>
      <c r="AF20">
        <v>30911</v>
      </c>
      <c r="AG20">
        <v>31129</v>
      </c>
      <c r="AH20">
        <v>31346</v>
      </c>
      <c r="AI20">
        <v>31564</v>
      </c>
      <c r="AJ20">
        <v>31781</v>
      </c>
      <c r="AK20">
        <v>31999</v>
      </c>
    </row>
    <row r="21" spans="1:37" x14ac:dyDescent="0.25">
      <c r="A21" t="s">
        <v>44</v>
      </c>
      <c r="B21">
        <v>25409</v>
      </c>
      <c r="C21">
        <v>25635</v>
      </c>
      <c r="D21">
        <v>25862</v>
      </c>
      <c r="E21">
        <v>26089</v>
      </c>
      <c r="F21">
        <v>26315</v>
      </c>
      <c r="G21">
        <v>26542</v>
      </c>
      <c r="H21">
        <v>26769</v>
      </c>
      <c r="I21">
        <v>26995</v>
      </c>
      <c r="J21">
        <v>27222</v>
      </c>
      <c r="K21">
        <v>27449</v>
      </c>
      <c r="L21">
        <v>27675</v>
      </c>
      <c r="M21">
        <v>27902</v>
      </c>
      <c r="N21">
        <v>28129</v>
      </c>
      <c r="O21">
        <v>28355</v>
      </c>
      <c r="P21">
        <v>28582</v>
      </c>
      <c r="Q21">
        <v>28808</v>
      </c>
      <c r="R21">
        <v>29035</v>
      </c>
      <c r="S21">
        <v>29262</v>
      </c>
      <c r="T21">
        <v>29488</v>
      </c>
      <c r="U21">
        <v>29715</v>
      </c>
      <c r="V21">
        <v>29942</v>
      </c>
      <c r="W21">
        <v>30168</v>
      </c>
      <c r="X21">
        <v>30395</v>
      </c>
      <c r="Y21">
        <v>30622</v>
      </c>
      <c r="Z21">
        <v>30848</v>
      </c>
      <c r="AA21">
        <v>31075</v>
      </c>
      <c r="AB21">
        <v>31301</v>
      </c>
      <c r="AC21">
        <v>31528</v>
      </c>
      <c r="AD21">
        <v>31755</v>
      </c>
      <c r="AE21">
        <v>31981</v>
      </c>
      <c r="AF21">
        <v>32208</v>
      </c>
      <c r="AG21">
        <v>32435</v>
      </c>
      <c r="AH21">
        <v>32661</v>
      </c>
      <c r="AI21">
        <v>32888</v>
      </c>
      <c r="AJ21">
        <v>33115</v>
      </c>
      <c r="AK21">
        <v>33341</v>
      </c>
    </row>
    <row r="24" spans="1:37" x14ac:dyDescent="0.25">
      <c r="A24" t="s">
        <v>98</v>
      </c>
      <c r="B24">
        <v>1</v>
      </c>
      <c r="C24">
        <v>2</v>
      </c>
      <c r="D24">
        <v>3</v>
      </c>
      <c r="E24">
        <v>4</v>
      </c>
      <c r="F24">
        <v>5</v>
      </c>
      <c r="G24">
        <v>6</v>
      </c>
      <c r="H24">
        <v>7</v>
      </c>
      <c r="I24">
        <v>8</v>
      </c>
      <c r="J24">
        <v>9</v>
      </c>
      <c r="K24">
        <v>10</v>
      </c>
      <c r="L24">
        <v>11</v>
      </c>
      <c r="M24">
        <v>12</v>
      </c>
      <c r="N24">
        <v>13</v>
      </c>
      <c r="O24">
        <v>14</v>
      </c>
      <c r="P24">
        <v>15</v>
      </c>
      <c r="Q24">
        <v>16</v>
      </c>
      <c r="R24">
        <v>17</v>
      </c>
      <c r="S24">
        <v>18</v>
      </c>
      <c r="T24">
        <v>19</v>
      </c>
      <c r="U24">
        <v>20</v>
      </c>
      <c r="V24">
        <v>21</v>
      </c>
      <c r="W24">
        <v>22</v>
      </c>
      <c r="X24">
        <v>23</v>
      </c>
      <c r="Y24">
        <v>24</v>
      </c>
      <c r="Z24">
        <v>25</v>
      </c>
      <c r="AA24">
        <v>26</v>
      </c>
      <c r="AB24">
        <v>27</v>
      </c>
      <c r="AC24">
        <v>28</v>
      </c>
      <c r="AD24">
        <v>29</v>
      </c>
      <c r="AE24">
        <v>30</v>
      </c>
      <c r="AF24">
        <v>31</v>
      </c>
      <c r="AG24">
        <v>32</v>
      </c>
      <c r="AH24">
        <v>33</v>
      </c>
      <c r="AI24">
        <v>34</v>
      </c>
      <c r="AJ24">
        <v>35</v>
      </c>
      <c r="AK24">
        <v>36</v>
      </c>
    </row>
    <row r="25" spans="1:37" x14ac:dyDescent="0.25">
      <c r="A25" t="s">
        <v>12</v>
      </c>
      <c r="B25">
        <v>310.60000000000002</v>
      </c>
      <c r="C25">
        <v>313.39999999999998</v>
      </c>
      <c r="D25">
        <v>316.2</v>
      </c>
      <c r="E25">
        <v>318.89999999999998</v>
      </c>
      <c r="F25">
        <v>321.7</v>
      </c>
      <c r="G25">
        <v>324.5</v>
      </c>
      <c r="H25">
        <v>327.2</v>
      </c>
      <c r="I25">
        <v>330</v>
      </c>
      <c r="J25">
        <v>332.8</v>
      </c>
      <c r="K25">
        <v>335.5</v>
      </c>
      <c r="L25">
        <v>338.3</v>
      </c>
      <c r="M25">
        <v>341.1</v>
      </c>
      <c r="N25">
        <v>343.9</v>
      </c>
      <c r="O25">
        <v>346.6</v>
      </c>
      <c r="P25">
        <v>349.4</v>
      </c>
      <c r="Q25">
        <v>352.2</v>
      </c>
      <c r="R25">
        <v>354.9</v>
      </c>
      <c r="S25">
        <v>357.7</v>
      </c>
      <c r="T25">
        <v>360.5</v>
      </c>
      <c r="U25">
        <v>363.3</v>
      </c>
      <c r="V25">
        <v>366</v>
      </c>
      <c r="W25">
        <v>368.8</v>
      </c>
      <c r="X25">
        <v>371.6</v>
      </c>
      <c r="Y25">
        <v>374.3</v>
      </c>
      <c r="Z25">
        <v>377.1</v>
      </c>
      <c r="AA25">
        <v>379.9</v>
      </c>
      <c r="AB25">
        <v>382.6</v>
      </c>
      <c r="AC25">
        <v>385.4</v>
      </c>
      <c r="AD25">
        <v>388.2</v>
      </c>
      <c r="AE25">
        <v>391</v>
      </c>
      <c r="AF25">
        <v>393.7</v>
      </c>
      <c r="AG25">
        <v>396.5</v>
      </c>
      <c r="AH25">
        <v>399.3</v>
      </c>
      <c r="AI25">
        <v>402</v>
      </c>
      <c r="AJ25">
        <v>404.8</v>
      </c>
      <c r="AK25">
        <v>407.6</v>
      </c>
    </row>
    <row r="26" spans="1:37" x14ac:dyDescent="0.25">
      <c r="A26" t="s">
        <v>22</v>
      </c>
      <c r="B26">
        <v>363.8</v>
      </c>
      <c r="C26">
        <v>367</v>
      </c>
      <c r="D26">
        <v>370.3</v>
      </c>
      <c r="E26">
        <v>373.5</v>
      </c>
      <c r="F26">
        <v>376.8</v>
      </c>
      <c r="G26">
        <v>380</v>
      </c>
      <c r="H26">
        <v>383.3</v>
      </c>
      <c r="I26">
        <v>386.5</v>
      </c>
      <c r="J26">
        <v>389.8</v>
      </c>
      <c r="K26">
        <v>393</v>
      </c>
      <c r="L26">
        <v>396.3</v>
      </c>
      <c r="M26">
        <v>399.5</v>
      </c>
      <c r="N26">
        <v>402.7</v>
      </c>
      <c r="O26">
        <v>406</v>
      </c>
      <c r="P26">
        <v>409.2</v>
      </c>
      <c r="Q26">
        <v>412.5</v>
      </c>
      <c r="R26">
        <v>415.7</v>
      </c>
      <c r="S26">
        <v>419</v>
      </c>
      <c r="T26">
        <v>422.2</v>
      </c>
      <c r="U26">
        <v>425.5</v>
      </c>
      <c r="V26">
        <v>428.7</v>
      </c>
      <c r="W26">
        <v>431.9</v>
      </c>
      <c r="X26">
        <v>435.2</v>
      </c>
      <c r="Y26">
        <v>438.4</v>
      </c>
      <c r="Z26">
        <v>441.7</v>
      </c>
      <c r="AA26">
        <v>444.9</v>
      </c>
      <c r="AB26">
        <v>448.2</v>
      </c>
      <c r="AC26">
        <v>451.4</v>
      </c>
      <c r="AD26">
        <v>454.7</v>
      </c>
      <c r="AE26">
        <v>457.9</v>
      </c>
      <c r="AF26">
        <v>461.2</v>
      </c>
      <c r="AG26">
        <v>464.4</v>
      </c>
      <c r="AH26">
        <v>467.6</v>
      </c>
      <c r="AI26">
        <v>470.9</v>
      </c>
      <c r="AJ26">
        <v>474.1</v>
      </c>
      <c r="AK26">
        <v>477.4</v>
      </c>
    </row>
    <row r="27" spans="1:37" x14ac:dyDescent="0.25">
      <c r="A27" t="s">
        <v>24</v>
      </c>
      <c r="B27">
        <v>417</v>
      </c>
      <c r="C27">
        <v>420.7</v>
      </c>
      <c r="D27">
        <v>424.4</v>
      </c>
      <c r="E27">
        <v>428.2</v>
      </c>
      <c r="F27">
        <v>431.9</v>
      </c>
      <c r="G27">
        <v>435.6</v>
      </c>
      <c r="H27">
        <v>439.3</v>
      </c>
      <c r="I27">
        <v>443</v>
      </c>
      <c r="J27">
        <v>446.8</v>
      </c>
      <c r="K27">
        <v>450.5</v>
      </c>
      <c r="L27">
        <v>454.2</v>
      </c>
      <c r="M27">
        <v>457.9</v>
      </c>
      <c r="N27">
        <v>461.6</v>
      </c>
      <c r="O27">
        <v>465.3</v>
      </c>
      <c r="P27">
        <v>469.1</v>
      </c>
      <c r="Q27">
        <v>472.8</v>
      </c>
      <c r="R27">
        <v>476.5</v>
      </c>
      <c r="S27">
        <v>480.2</v>
      </c>
      <c r="T27">
        <v>483.9</v>
      </c>
      <c r="U27">
        <v>487.7</v>
      </c>
      <c r="V27">
        <v>491.4</v>
      </c>
      <c r="W27">
        <v>495.1</v>
      </c>
      <c r="X27">
        <v>498.8</v>
      </c>
      <c r="Y27">
        <v>502.5</v>
      </c>
      <c r="Z27">
        <v>506.3</v>
      </c>
      <c r="AA27">
        <v>510</v>
      </c>
      <c r="AB27">
        <v>513.70000000000005</v>
      </c>
      <c r="AC27">
        <v>517.4</v>
      </c>
      <c r="AD27">
        <v>521.1</v>
      </c>
      <c r="AE27">
        <v>524.9</v>
      </c>
      <c r="AF27">
        <v>528.6</v>
      </c>
      <c r="AG27">
        <v>532.29999999999995</v>
      </c>
      <c r="AH27">
        <v>536</v>
      </c>
      <c r="AI27">
        <v>539.70000000000005</v>
      </c>
      <c r="AJ27">
        <v>543.5</v>
      </c>
      <c r="AK27">
        <v>547.20000000000005</v>
      </c>
    </row>
    <row r="28" spans="1:37" x14ac:dyDescent="0.25">
      <c r="A28" t="s">
        <v>26</v>
      </c>
      <c r="B28">
        <v>470.2</v>
      </c>
      <c r="C28">
        <v>474.4</v>
      </c>
      <c r="D28">
        <v>478.6</v>
      </c>
      <c r="E28">
        <v>482.8</v>
      </c>
      <c r="F28">
        <v>487</v>
      </c>
      <c r="G28">
        <v>491.2</v>
      </c>
      <c r="H28">
        <v>495.4</v>
      </c>
      <c r="I28">
        <v>499.5</v>
      </c>
      <c r="J28">
        <v>503.7</v>
      </c>
      <c r="K28">
        <v>507.9</v>
      </c>
      <c r="L28">
        <v>512.1</v>
      </c>
      <c r="M28">
        <v>516.29999999999995</v>
      </c>
      <c r="N28">
        <v>520.5</v>
      </c>
      <c r="O28">
        <v>524.70000000000005</v>
      </c>
      <c r="P28">
        <v>528.9</v>
      </c>
      <c r="Q28">
        <v>533.1</v>
      </c>
      <c r="R28">
        <v>537.29999999999995</v>
      </c>
      <c r="S28">
        <v>541.5</v>
      </c>
      <c r="T28">
        <v>545.70000000000005</v>
      </c>
      <c r="U28">
        <v>549.9</v>
      </c>
      <c r="V28">
        <v>554.1</v>
      </c>
      <c r="W28">
        <v>558.29999999999995</v>
      </c>
      <c r="X28">
        <v>562.5</v>
      </c>
      <c r="Y28">
        <v>566.6</v>
      </c>
      <c r="Z28">
        <v>570.79999999999995</v>
      </c>
      <c r="AA28">
        <v>575</v>
      </c>
      <c r="AB28">
        <v>579.20000000000005</v>
      </c>
      <c r="AC28">
        <v>583.4</v>
      </c>
      <c r="AD28">
        <v>587.6</v>
      </c>
      <c r="AE28">
        <v>591.79999999999995</v>
      </c>
      <c r="AF28">
        <v>596</v>
      </c>
      <c r="AG28">
        <v>600.20000000000005</v>
      </c>
      <c r="AH28">
        <v>604.4</v>
      </c>
      <c r="AI28">
        <v>608.6</v>
      </c>
      <c r="AJ28">
        <v>612.79999999999995</v>
      </c>
      <c r="AK28">
        <v>617</v>
      </c>
    </row>
    <row r="29" spans="1:37" x14ac:dyDescent="0.25">
      <c r="A29" t="s">
        <v>27</v>
      </c>
      <c r="B29">
        <v>523.4</v>
      </c>
      <c r="C29">
        <v>528</v>
      </c>
      <c r="D29">
        <v>532.70000000000005</v>
      </c>
      <c r="E29">
        <v>537.4</v>
      </c>
      <c r="F29">
        <v>542.1</v>
      </c>
      <c r="G29">
        <v>546.70000000000005</v>
      </c>
      <c r="H29">
        <v>551.4</v>
      </c>
      <c r="I29">
        <v>556.1</v>
      </c>
      <c r="J29">
        <v>560.70000000000005</v>
      </c>
      <c r="K29">
        <v>565.4</v>
      </c>
      <c r="L29">
        <v>570.1</v>
      </c>
      <c r="M29">
        <v>574.70000000000005</v>
      </c>
      <c r="N29">
        <v>579.4</v>
      </c>
      <c r="O29">
        <v>584.1</v>
      </c>
      <c r="P29">
        <v>588.70000000000005</v>
      </c>
      <c r="Q29">
        <v>593.4</v>
      </c>
      <c r="R29">
        <v>598.1</v>
      </c>
      <c r="S29">
        <v>602.70000000000005</v>
      </c>
      <c r="T29">
        <v>607.4</v>
      </c>
      <c r="U29">
        <v>612.1</v>
      </c>
      <c r="V29">
        <v>616.70000000000005</v>
      </c>
      <c r="W29">
        <v>621.4</v>
      </c>
      <c r="X29">
        <v>626.1</v>
      </c>
      <c r="Y29">
        <v>630.79999999999995</v>
      </c>
      <c r="Z29">
        <v>635.4</v>
      </c>
      <c r="AA29">
        <v>640.1</v>
      </c>
      <c r="AB29">
        <v>644.79999999999995</v>
      </c>
      <c r="AC29">
        <v>649.4</v>
      </c>
      <c r="AD29">
        <v>654.1</v>
      </c>
      <c r="AE29">
        <v>658.8</v>
      </c>
      <c r="AF29">
        <v>663.4</v>
      </c>
      <c r="AG29">
        <v>668.1</v>
      </c>
      <c r="AH29">
        <v>672.8</v>
      </c>
      <c r="AI29">
        <v>677.4</v>
      </c>
      <c r="AJ29">
        <v>682.1</v>
      </c>
      <c r="AK29">
        <v>686.8</v>
      </c>
    </row>
    <row r="30" spans="1:37" x14ac:dyDescent="0.25">
      <c r="A30" t="s">
        <v>28</v>
      </c>
      <c r="B30">
        <v>576.6</v>
      </c>
      <c r="C30">
        <v>581.70000000000005</v>
      </c>
      <c r="D30">
        <v>586.9</v>
      </c>
      <c r="E30">
        <v>592</v>
      </c>
      <c r="F30">
        <v>597.1</v>
      </c>
      <c r="G30">
        <v>602.29999999999995</v>
      </c>
      <c r="H30">
        <v>607.4</v>
      </c>
      <c r="I30">
        <v>612.6</v>
      </c>
      <c r="J30">
        <v>617.70000000000005</v>
      </c>
      <c r="K30">
        <v>622.9</v>
      </c>
      <c r="L30">
        <v>628</v>
      </c>
      <c r="M30">
        <v>633.1</v>
      </c>
      <c r="N30">
        <v>638.29999999999995</v>
      </c>
      <c r="O30">
        <v>643.4</v>
      </c>
      <c r="P30">
        <v>648.6</v>
      </c>
      <c r="Q30">
        <v>653.70000000000005</v>
      </c>
      <c r="R30">
        <v>658.9</v>
      </c>
      <c r="S30">
        <v>664</v>
      </c>
      <c r="T30">
        <v>669.1</v>
      </c>
      <c r="U30">
        <v>674.3</v>
      </c>
      <c r="V30">
        <v>679.4</v>
      </c>
      <c r="W30">
        <v>684.6</v>
      </c>
      <c r="X30">
        <v>689.7</v>
      </c>
      <c r="Y30">
        <v>694.9</v>
      </c>
      <c r="Z30">
        <v>700</v>
      </c>
      <c r="AA30">
        <v>705.1</v>
      </c>
      <c r="AB30">
        <v>710.3</v>
      </c>
      <c r="AC30">
        <v>715.4</v>
      </c>
      <c r="AD30">
        <v>720.6</v>
      </c>
      <c r="AE30">
        <v>725.7</v>
      </c>
      <c r="AF30">
        <v>730.9</v>
      </c>
      <c r="AG30">
        <v>736</v>
      </c>
      <c r="AH30">
        <v>741.1</v>
      </c>
      <c r="AI30">
        <v>746.3</v>
      </c>
      <c r="AJ30">
        <v>751.4</v>
      </c>
      <c r="AK30">
        <v>756.6</v>
      </c>
    </row>
    <row r="31" spans="1:37" x14ac:dyDescent="0.25">
      <c r="A31" t="s">
        <v>29</v>
      </c>
      <c r="B31">
        <v>629.79999999999995</v>
      </c>
      <c r="C31">
        <v>635.4</v>
      </c>
      <c r="D31">
        <v>641</v>
      </c>
      <c r="E31">
        <v>646.6</v>
      </c>
      <c r="F31">
        <v>652.20000000000005</v>
      </c>
      <c r="G31">
        <v>657.8</v>
      </c>
      <c r="H31">
        <v>663.5</v>
      </c>
      <c r="I31">
        <v>669.1</v>
      </c>
      <c r="J31">
        <v>674.7</v>
      </c>
      <c r="K31">
        <v>680.3</v>
      </c>
      <c r="L31">
        <v>685.9</v>
      </c>
      <c r="M31">
        <v>691.6</v>
      </c>
      <c r="N31">
        <v>697.2</v>
      </c>
      <c r="O31">
        <v>702.8</v>
      </c>
      <c r="P31">
        <v>708.4</v>
      </c>
      <c r="Q31">
        <v>714</v>
      </c>
      <c r="R31">
        <v>719.6</v>
      </c>
      <c r="S31">
        <v>725.3</v>
      </c>
      <c r="T31">
        <v>730.9</v>
      </c>
      <c r="U31">
        <v>736.5</v>
      </c>
      <c r="V31">
        <v>742.1</v>
      </c>
      <c r="W31">
        <v>747.7</v>
      </c>
      <c r="X31">
        <v>753.3</v>
      </c>
      <c r="Y31">
        <v>759</v>
      </c>
      <c r="Z31">
        <v>764.6</v>
      </c>
      <c r="AA31">
        <v>770.2</v>
      </c>
      <c r="AB31">
        <v>775.8</v>
      </c>
      <c r="AC31">
        <v>781.4</v>
      </c>
      <c r="AD31">
        <v>787</v>
      </c>
      <c r="AE31">
        <v>792.7</v>
      </c>
      <c r="AF31">
        <v>798.3</v>
      </c>
      <c r="AG31">
        <v>803.9</v>
      </c>
      <c r="AH31">
        <v>809.5</v>
      </c>
      <c r="AI31">
        <v>815.1</v>
      </c>
      <c r="AJ31">
        <v>820.8</v>
      </c>
      <c r="AK31">
        <v>826.4</v>
      </c>
    </row>
    <row r="32" spans="1:37" x14ac:dyDescent="0.25">
      <c r="A32" t="s">
        <v>30</v>
      </c>
      <c r="B32">
        <v>683</v>
      </c>
      <c r="C32">
        <v>689</v>
      </c>
      <c r="D32">
        <v>695.1</v>
      </c>
      <c r="E32">
        <v>701.2</v>
      </c>
      <c r="F32">
        <v>707.3</v>
      </c>
      <c r="G32">
        <v>713.4</v>
      </c>
      <c r="H32">
        <v>719.5</v>
      </c>
      <c r="I32">
        <v>725.6</v>
      </c>
      <c r="J32">
        <v>731.7</v>
      </c>
      <c r="K32">
        <v>737.8</v>
      </c>
      <c r="L32">
        <v>743.9</v>
      </c>
      <c r="M32">
        <v>750</v>
      </c>
      <c r="N32">
        <v>756.1</v>
      </c>
      <c r="O32">
        <v>762.1</v>
      </c>
      <c r="P32">
        <v>768.2</v>
      </c>
      <c r="Q32">
        <v>774.3</v>
      </c>
      <c r="R32">
        <v>780.4</v>
      </c>
      <c r="S32">
        <v>786.5</v>
      </c>
      <c r="T32">
        <v>792.6</v>
      </c>
      <c r="U32">
        <v>798.7</v>
      </c>
      <c r="V32">
        <v>804.8</v>
      </c>
      <c r="W32">
        <v>810.9</v>
      </c>
      <c r="X32">
        <v>817</v>
      </c>
      <c r="Y32">
        <v>823.1</v>
      </c>
      <c r="Z32">
        <v>829.2</v>
      </c>
      <c r="AA32">
        <v>835.2</v>
      </c>
      <c r="AB32">
        <v>841.3</v>
      </c>
      <c r="AC32">
        <v>847.4</v>
      </c>
      <c r="AD32">
        <v>853.5</v>
      </c>
      <c r="AE32">
        <v>859.6</v>
      </c>
      <c r="AF32">
        <v>865.7</v>
      </c>
      <c r="AG32">
        <v>871.8</v>
      </c>
      <c r="AH32">
        <v>877.9</v>
      </c>
      <c r="AI32">
        <v>884</v>
      </c>
      <c r="AJ32">
        <v>890.1</v>
      </c>
      <c r="AK32">
        <v>896.2</v>
      </c>
    </row>
    <row r="33" spans="1:37" x14ac:dyDescent="0.25">
      <c r="A33" t="s">
        <v>32</v>
      </c>
      <c r="B33">
        <v>736.1</v>
      </c>
      <c r="C33">
        <v>742.7</v>
      </c>
      <c r="D33">
        <v>749.3</v>
      </c>
      <c r="E33">
        <v>755.8</v>
      </c>
      <c r="F33">
        <v>762.4</v>
      </c>
      <c r="G33">
        <v>769</v>
      </c>
      <c r="H33">
        <v>775.5</v>
      </c>
      <c r="I33">
        <v>782.1</v>
      </c>
      <c r="J33">
        <v>788.7</v>
      </c>
      <c r="K33">
        <v>795.2</v>
      </c>
      <c r="L33">
        <v>801.8</v>
      </c>
      <c r="M33">
        <v>808.4</v>
      </c>
      <c r="N33">
        <v>814.9</v>
      </c>
      <c r="O33">
        <v>821.5</v>
      </c>
      <c r="P33">
        <v>828.1</v>
      </c>
      <c r="Q33">
        <v>834.6</v>
      </c>
      <c r="R33">
        <v>841.2</v>
      </c>
      <c r="S33">
        <v>847.8</v>
      </c>
      <c r="T33">
        <v>854.3</v>
      </c>
      <c r="U33">
        <v>860.9</v>
      </c>
      <c r="V33">
        <v>867.5</v>
      </c>
      <c r="W33">
        <v>874</v>
      </c>
      <c r="X33">
        <v>880.6</v>
      </c>
      <c r="Y33">
        <v>887.2</v>
      </c>
      <c r="Z33">
        <v>893.7</v>
      </c>
      <c r="AA33">
        <v>900.3</v>
      </c>
      <c r="AB33">
        <v>906.9</v>
      </c>
      <c r="AC33">
        <v>913.4</v>
      </c>
      <c r="AD33">
        <v>920</v>
      </c>
      <c r="AE33">
        <v>926.6</v>
      </c>
      <c r="AF33">
        <v>933.1</v>
      </c>
      <c r="AG33">
        <v>939.7</v>
      </c>
      <c r="AH33">
        <v>946.3</v>
      </c>
      <c r="AI33">
        <v>952.8</v>
      </c>
      <c r="AJ33">
        <v>959.4</v>
      </c>
      <c r="AK33">
        <v>966</v>
      </c>
    </row>
    <row r="34" spans="1:37" x14ac:dyDescent="0.25">
      <c r="A34" t="s">
        <v>33</v>
      </c>
      <c r="B34">
        <v>789.3</v>
      </c>
      <c r="C34">
        <v>796.4</v>
      </c>
      <c r="D34">
        <v>803.4</v>
      </c>
      <c r="E34">
        <v>810.5</v>
      </c>
      <c r="F34">
        <v>817.5</v>
      </c>
      <c r="G34">
        <v>824.5</v>
      </c>
      <c r="H34">
        <v>831.6</v>
      </c>
      <c r="I34">
        <v>838.6</v>
      </c>
      <c r="J34">
        <v>845.7</v>
      </c>
      <c r="K34">
        <v>852.7</v>
      </c>
      <c r="L34">
        <v>859.7</v>
      </c>
      <c r="M34">
        <v>866.8</v>
      </c>
      <c r="N34">
        <v>873.8</v>
      </c>
      <c r="O34">
        <v>880.9</v>
      </c>
      <c r="P34">
        <v>887.9</v>
      </c>
      <c r="Q34">
        <v>894.9</v>
      </c>
      <c r="R34">
        <v>902</v>
      </c>
      <c r="S34">
        <v>909</v>
      </c>
      <c r="T34">
        <v>916.1</v>
      </c>
      <c r="U34">
        <v>923.1</v>
      </c>
      <c r="V34">
        <v>930.2</v>
      </c>
      <c r="W34">
        <v>937.2</v>
      </c>
      <c r="X34">
        <v>944.2</v>
      </c>
      <c r="Y34">
        <v>951.3</v>
      </c>
      <c r="Z34">
        <v>958.3</v>
      </c>
      <c r="AA34">
        <v>965.4</v>
      </c>
      <c r="AB34">
        <v>972.4</v>
      </c>
      <c r="AC34">
        <v>979.4</v>
      </c>
      <c r="AD34">
        <v>986.5</v>
      </c>
      <c r="AE34">
        <v>993.5</v>
      </c>
      <c r="AF34">
        <v>1000.6</v>
      </c>
      <c r="AG34">
        <v>1007.6</v>
      </c>
      <c r="AH34">
        <v>1014.6</v>
      </c>
      <c r="AI34">
        <v>1021.7</v>
      </c>
      <c r="AJ34">
        <v>1028.7</v>
      </c>
      <c r="AK34">
        <v>1035.8</v>
      </c>
    </row>
    <row r="35" spans="1:37" x14ac:dyDescent="0.25">
      <c r="A35" t="s">
        <v>34</v>
      </c>
      <c r="B35">
        <v>842.5</v>
      </c>
      <c r="C35">
        <v>850</v>
      </c>
      <c r="D35">
        <v>857.6</v>
      </c>
      <c r="E35">
        <v>865.1</v>
      </c>
      <c r="F35">
        <v>872.6</v>
      </c>
      <c r="G35">
        <v>880.1</v>
      </c>
      <c r="H35">
        <v>887.6</v>
      </c>
      <c r="I35">
        <v>895.1</v>
      </c>
      <c r="J35">
        <v>902.7</v>
      </c>
      <c r="K35">
        <v>910.2</v>
      </c>
      <c r="L35">
        <v>917.7</v>
      </c>
      <c r="M35">
        <v>925.2</v>
      </c>
      <c r="N35">
        <v>932.7</v>
      </c>
      <c r="O35">
        <v>940.2</v>
      </c>
      <c r="P35">
        <v>947.7</v>
      </c>
      <c r="Q35">
        <v>955.3</v>
      </c>
      <c r="R35">
        <v>962.8</v>
      </c>
      <c r="S35">
        <v>970.3</v>
      </c>
      <c r="T35">
        <v>977.8</v>
      </c>
      <c r="U35">
        <v>985.3</v>
      </c>
      <c r="V35">
        <v>992.8</v>
      </c>
      <c r="W35">
        <v>1000.3</v>
      </c>
      <c r="X35">
        <v>1007.9</v>
      </c>
      <c r="Y35">
        <v>1015.4</v>
      </c>
      <c r="Z35">
        <v>1022.9</v>
      </c>
      <c r="AA35">
        <v>1030.4000000000001</v>
      </c>
      <c r="AB35">
        <v>1037.9000000000001</v>
      </c>
      <c r="AC35">
        <v>1045.4000000000001</v>
      </c>
      <c r="AD35">
        <v>1053</v>
      </c>
      <c r="AE35">
        <v>1060.5</v>
      </c>
      <c r="AF35">
        <v>1068</v>
      </c>
      <c r="AG35">
        <v>1075.5</v>
      </c>
      <c r="AH35">
        <v>1083</v>
      </c>
      <c r="AI35">
        <v>1090.5</v>
      </c>
      <c r="AJ35">
        <v>1098</v>
      </c>
      <c r="AK35">
        <v>1105.5999999999999</v>
      </c>
    </row>
    <row r="36" spans="1:37" x14ac:dyDescent="0.25">
      <c r="A36" t="s">
        <v>35</v>
      </c>
      <c r="B36">
        <v>895.7</v>
      </c>
      <c r="C36">
        <v>903.7</v>
      </c>
      <c r="D36">
        <v>911.7</v>
      </c>
      <c r="E36">
        <v>919.7</v>
      </c>
      <c r="F36">
        <v>927.7</v>
      </c>
      <c r="G36">
        <v>935.7</v>
      </c>
      <c r="H36">
        <v>943.7</v>
      </c>
      <c r="I36">
        <v>951.7</v>
      </c>
      <c r="J36">
        <v>959.6</v>
      </c>
      <c r="K36">
        <v>967.6</v>
      </c>
      <c r="L36">
        <v>975.6</v>
      </c>
      <c r="M36">
        <v>983.6</v>
      </c>
      <c r="N36">
        <v>991.6</v>
      </c>
      <c r="O36">
        <v>999.6</v>
      </c>
      <c r="P36">
        <v>1007.6</v>
      </c>
      <c r="Q36">
        <v>1015.6</v>
      </c>
      <c r="R36">
        <v>1023.6</v>
      </c>
      <c r="S36">
        <v>1031.5</v>
      </c>
      <c r="T36">
        <v>1039.5</v>
      </c>
      <c r="U36">
        <v>1047.5</v>
      </c>
      <c r="V36">
        <v>1055.5</v>
      </c>
      <c r="W36">
        <v>1063.5</v>
      </c>
      <c r="X36">
        <v>1071.5</v>
      </c>
      <c r="Y36">
        <v>1079.5</v>
      </c>
      <c r="Z36">
        <v>1087.5</v>
      </c>
      <c r="AA36">
        <v>1095.5</v>
      </c>
      <c r="AB36">
        <v>1103.5</v>
      </c>
      <c r="AC36">
        <v>1111.4000000000001</v>
      </c>
      <c r="AD36">
        <v>1119.4000000000001</v>
      </c>
      <c r="AE36">
        <v>1127.4000000000001</v>
      </c>
      <c r="AF36">
        <v>1135.4000000000001</v>
      </c>
      <c r="AG36">
        <v>1143.4000000000001</v>
      </c>
      <c r="AH36">
        <v>1151.4000000000001</v>
      </c>
      <c r="AI36">
        <v>1159.4000000000001</v>
      </c>
      <c r="AJ36">
        <v>1167.4000000000001</v>
      </c>
      <c r="AK36">
        <v>1175.4000000000001</v>
      </c>
    </row>
    <row r="37" spans="1:37" x14ac:dyDescent="0.25">
      <c r="A37" t="s">
        <v>36</v>
      </c>
      <c r="B37">
        <v>948.9</v>
      </c>
      <c r="C37">
        <v>957.4</v>
      </c>
      <c r="D37">
        <v>965.8</v>
      </c>
      <c r="E37">
        <v>974.3</v>
      </c>
      <c r="F37">
        <v>982.8</v>
      </c>
      <c r="G37">
        <v>991.2</v>
      </c>
      <c r="H37">
        <v>999.7</v>
      </c>
      <c r="I37">
        <v>1008.2</v>
      </c>
      <c r="J37">
        <v>1016.6</v>
      </c>
      <c r="K37">
        <v>1025.0999999999999</v>
      </c>
      <c r="L37">
        <v>1033.5999999999999</v>
      </c>
      <c r="M37">
        <v>1042</v>
      </c>
      <c r="N37">
        <v>1050.5</v>
      </c>
      <c r="O37">
        <v>1058.9000000000001</v>
      </c>
      <c r="P37">
        <v>1067.4000000000001</v>
      </c>
      <c r="Q37">
        <v>1075.9000000000001</v>
      </c>
      <c r="R37">
        <v>1084.3</v>
      </c>
      <c r="S37">
        <v>1092.8</v>
      </c>
      <c r="T37">
        <v>1101.3</v>
      </c>
      <c r="U37">
        <v>1109.7</v>
      </c>
      <c r="V37">
        <v>1118.2</v>
      </c>
      <c r="W37">
        <v>1126.7</v>
      </c>
      <c r="X37">
        <v>1135.0999999999999</v>
      </c>
      <c r="Y37">
        <v>1143.5999999999999</v>
      </c>
      <c r="Z37">
        <v>1152.0999999999999</v>
      </c>
      <c r="AA37">
        <v>1160.5</v>
      </c>
      <c r="AB37">
        <v>1169</v>
      </c>
      <c r="AC37">
        <v>1177.4000000000001</v>
      </c>
      <c r="AD37">
        <v>1185.9000000000001</v>
      </c>
      <c r="AE37">
        <v>1194.4000000000001</v>
      </c>
      <c r="AF37">
        <v>1202.8</v>
      </c>
      <c r="AG37">
        <v>1211.3</v>
      </c>
      <c r="AH37">
        <v>1219.8</v>
      </c>
      <c r="AI37">
        <v>1228.2</v>
      </c>
      <c r="AJ37">
        <v>1236.7</v>
      </c>
      <c r="AK37">
        <v>1245.2</v>
      </c>
    </row>
    <row r="38" spans="1:37" x14ac:dyDescent="0.25">
      <c r="A38" t="s">
        <v>37</v>
      </c>
      <c r="B38">
        <v>1002.1</v>
      </c>
      <c r="C38">
        <v>1011</v>
      </c>
      <c r="D38">
        <v>1020</v>
      </c>
      <c r="E38">
        <v>1028.9000000000001</v>
      </c>
      <c r="F38">
        <v>1037.9000000000001</v>
      </c>
      <c r="G38">
        <v>1046.8</v>
      </c>
      <c r="H38">
        <v>1055.7</v>
      </c>
      <c r="I38">
        <v>1064.7</v>
      </c>
      <c r="J38">
        <v>1073.5999999999999</v>
      </c>
      <c r="K38">
        <v>1082.5999999999999</v>
      </c>
      <c r="L38">
        <v>1091.5</v>
      </c>
      <c r="M38">
        <v>1100.4000000000001</v>
      </c>
      <c r="N38">
        <v>1109.4000000000001</v>
      </c>
      <c r="O38">
        <v>1118.3</v>
      </c>
      <c r="P38">
        <v>1127.2</v>
      </c>
      <c r="Q38">
        <v>1136.2</v>
      </c>
      <c r="R38">
        <v>1145.0999999999999</v>
      </c>
      <c r="S38">
        <v>1154.0999999999999</v>
      </c>
      <c r="T38">
        <v>1163</v>
      </c>
      <c r="U38">
        <v>1171.9000000000001</v>
      </c>
      <c r="V38">
        <v>1180.9000000000001</v>
      </c>
      <c r="W38">
        <v>1189.8</v>
      </c>
      <c r="X38">
        <v>1198.8</v>
      </c>
      <c r="Y38">
        <v>1207.7</v>
      </c>
      <c r="Z38">
        <v>1216.5999999999999</v>
      </c>
      <c r="AA38">
        <v>1225.5999999999999</v>
      </c>
      <c r="AB38">
        <v>1234.5</v>
      </c>
      <c r="AC38">
        <v>1243.4000000000001</v>
      </c>
      <c r="AD38">
        <v>1252.4000000000001</v>
      </c>
      <c r="AE38">
        <v>1261.3</v>
      </c>
      <c r="AF38">
        <v>1270.3</v>
      </c>
      <c r="AG38">
        <v>1279.2</v>
      </c>
      <c r="AH38">
        <v>1288.0999999999999</v>
      </c>
      <c r="AI38">
        <v>1297.0999999999999</v>
      </c>
      <c r="AJ38">
        <v>1306</v>
      </c>
      <c r="AK38">
        <v>1315</v>
      </c>
    </row>
    <row r="39" spans="1:37" x14ac:dyDescent="0.25">
      <c r="A39" t="s">
        <v>38</v>
      </c>
      <c r="B39">
        <v>1055.3</v>
      </c>
      <c r="C39">
        <v>1064.7</v>
      </c>
      <c r="D39">
        <v>1074.0999999999999</v>
      </c>
      <c r="E39">
        <v>1083.5</v>
      </c>
      <c r="F39">
        <v>1093</v>
      </c>
      <c r="G39">
        <v>1102.4000000000001</v>
      </c>
      <c r="H39">
        <v>1111.8</v>
      </c>
      <c r="I39">
        <v>1121.2</v>
      </c>
      <c r="J39">
        <v>1130.5999999999999</v>
      </c>
      <c r="K39">
        <v>1140</v>
      </c>
      <c r="L39">
        <v>1149.4000000000001</v>
      </c>
      <c r="M39">
        <v>1158.8</v>
      </c>
      <c r="N39">
        <v>1168.3</v>
      </c>
      <c r="O39">
        <v>1177.7</v>
      </c>
      <c r="P39">
        <v>1187.0999999999999</v>
      </c>
      <c r="Q39">
        <v>1196.5</v>
      </c>
      <c r="R39">
        <v>1205.9000000000001</v>
      </c>
      <c r="S39">
        <v>1215.3</v>
      </c>
      <c r="T39">
        <v>1224.7</v>
      </c>
      <c r="U39">
        <v>1234.0999999999999</v>
      </c>
      <c r="V39">
        <v>1243.5999999999999</v>
      </c>
      <c r="W39">
        <v>1253</v>
      </c>
      <c r="X39">
        <v>1262.4000000000001</v>
      </c>
      <c r="Y39">
        <v>1271.8</v>
      </c>
      <c r="Z39">
        <v>1281.2</v>
      </c>
      <c r="AA39">
        <v>1290.5999999999999</v>
      </c>
      <c r="AB39">
        <v>1300</v>
      </c>
      <c r="AC39">
        <v>1309.4000000000001</v>
      </c>
      <c r="AD39">
        <v>1318.9</v>
      </c>
      <c r="AE39">
        <v>1328.3</v>
      </c>
      <c r="AF39">
        <v>1337.7</v>
      </c>
      <c r="AG39">
        <v>1347.1</v>
      </c>
      <c r="AH39">
        <v>1356.5</v>
      </c>
      <c r="AI39">
        <v>1365.9</v>
      </c>
      <c r="AJ39">
        <v>1375.3</v>
      </c>
      <c r="AK39">
        <v>1384.8</v>
      </c>
    </row>
    <row r="40" spans="1:37" x14ac:dyDescent="0.25">
      <c r="A40" t="s">
        <v>39</v>
      </c>
      <c r="B40">
        <v>1108.5</v>
      </c>
      <c r="C40">
        <v>1118.4000000000001</v>
      </c>
      <c r="D40">
        <v>1128.3</v>
      </c>
      <c r="E40">
        <v>1138.2</v>
      </c>
      <c r="F40">
        <v>1148</v>
      </c>
      <c r="G40">
        <v>1157.9000000000001</v>
      </c>
      <c r="H40">
        <v>1167.8</v>
      </c>
      <c r="I40">
        <v>1177.7</v>
      </c>
      <c r="J40">
        <v>1187.5999999999999</v>
      </c>
      <c r="K40">
        <v>1197.5</v>
      </c>
      <c r="L40">
        <v>1207.4000000000001</v>
      </c>
      <c r="M40">
        <v>1217.3</v>
      </c>
      <c r="N40">
        <v>1227.0999999999999</v>
      </c>
      <c r="O40">
        <v>1237</v>
      </c>
      <c r="P40">
        <v>1246.9000000000001</v>
      </c>
      <c r="Q40">
        <v>1256.8</v>
      </c>
      <c r="R40">
        <v>1266.7</v>
      </c>
      <c r="S40">
        <v>1276.5999999999999</v>
      </c>
      <c r="T40">
        <v>1286.5</v>
      </c>
      <c r="U40">
        <v>1296.4000000000001</v>
      </c>
      <c r="V40">
        <v>1306.2</v>
      </c>
      <c r="W40">
        <v>1316.1</v>
      </c>
      <c r="X40">
        <v>1326</v>
      </c>
      <c r="Y40">
        <v>1335.9</v>
      </c>
      <c r="Z40">
        <v>1345.8</v>
      </c>
      <c r="AA40">
        <v>1355.7</v>
      </c>
      <c r="AB40">
        <v>1365.6</v>
      </c>
      <c r="AC40">
        <v>1375.5</v>
      </c>
      <c r="AD40">
        <v>1385.3</v>
      </c>
      <c r="AE40">
        <v>1395.2</v>
      </c>
      <c r="AF40">
        <v>1405.1</v>
      </c>
      <c r="AG40">
        <v>1415</v>
      </c>
      <c r="AH40">
        <v>1424.9</v>
      </c>
      <c r="AI40">
        <v>1434.8</v>
      </c>
      <c r="AJ40">
        <v>1444.7</v>
      </c>
      <c r="AK40">
        <v>1454.6</v>
      </c>
    </row>
    <row r="41" spans="1:37" x14ac:dyDescent="0.25">
      <c r="A41" t="s">
        <v>40</v>
      </c>
      <c r="B41">
        <v>1161.7</v>
      </c>
      <c r="C41">
        <v>1172</v>
      </c>
      <c r="D41">
        <v>1182.4000000000001</v>
      </c>
      <c r="E41">
        <v>1192.8</v>
      </c>
      <c r="F41">
        <v>1203.0999999999999</v>
      </c>
      <c r="G41">
        <v>1213.5</v>
      </c>
      <c r="H41">
        <v>1223.9000000000001</v>
      </c>
      <c r="I41">
        <v>1234.2</v>
      </c>
      <c r="J41">
        <v>1244.5999999999999</v>
      </c>
      <c r="K41">
        <v>1254.9000000000001</v>
      </c>
      <c r="L41">
        <v>1265.3</v>
      </c>
      <c r="M41">
        <v>1275.7</v>
      </c>
      <c r="N41">
        <v>1286</v>
      </c>
      <c r="O41">
        <v>1296.4000000000001</v>
      </c>
      <c r="P41">
        <v>1306.8</v>
      </c>
      <c r="Q41">
        <v>1317.1</v>
      </c>
      <c r="R41">
        <v>1327.5</v>
      </c>
      <c r="S41">
        <v>1337.8</v>
      </c>
      <c r="T41">
        <v>1348.2</v>
      </c>
      <c r="U41">
        <v>1358.6</v>
      </c>
      <c r="V41">
        <v>1368.9</v>
      </c>
      <c r="W41">
        <v>1379.3</v>
      </c>
      <c r="X41">
        <v>1389.6</v>
      </c>
      <c r="Y41">
        <v>1400</v>
      </c>
      <c r="Z41">
        <v>1410.4</v>
      </c>
      <c r="AA41">
        <v>1420.7</v>
      </c>
      <c r="AB41">
        <v>1431.1</v>
      </c>
      <c r="AC41">
        <v>1441.5</v>
      </c>
      <c r="AD41">
        <v>1451.8</v>
      </c>
      <c r="AE41">
        <v>1462.2</v>
      </c>
      <c r="AF41">
        <v>1472.5</v>
      </c>
      <c r="AG41">
        <v>1482.9</v>
      </c>
      <c r="AH41">
        <v>1493.3</v>
      </c>
      <c r="AI41">
        <v>1503.6</v>
      </c>
      <c r="AJ41">
        <v>1514</v>
      </c>
      <c r="AK41">
        <v>1524.3</v>
      </c>
    </row>
    <row r="42" spans="1:37" x14ac:dyDescent="0.25">
      <c r="A42" t="s">
        <v>42</v>
      </c>
      <c r="B42">
        <v>1214.9000000000001</v>
      </c>
      <c r="C42">
        <v>1225.7</v>
      </c>
      <c r="D42">
        <v>1236.5</v>
      </c>
      <c r="E42">
        <v>1247.4000000000001</v>
      </c>
      <c r="F42">
        <v>1258.2</v>
      </c>
      <c r="G42">
        <v>1269.0999999999999</v>
      </c>
      <c r="H42">
        <v>1279.9000000000001</v>
      </c>
      <c r="I42">
        <v>1290.7</v>
      </c>
      <c r="J42">
        <v>1301.5999999999999</v>
      </c>
      <c r="K42">
        <v>1312.4</v>
      </c>
      <c r="L42">
        <v>1323.2</v>
      </c>
      <c r="M42">
        <v>1334.1</v>
      </c>
      <c r="N42">
        <v>1344.9</v>
      </c>
      <c r="O42">
        <v>1355.7</v>
      </c>
      <c r="P42">
        <v>1366.6</v>
      </c>
      <c r="Q42">
        <v>1377.4</v>
      </c>
      <c r="R42">
        <v>1388.3</v>
      </c>
      <c r="S42">
        <v>1399.1</v>
      </c>
      <c r="T42">
        <v>1409.9</v>
      </c>
      <c r="U42">
        <v>1420.8</v>
      </c>
      <c r="V42">
        <v>1431.6</v>
      </c>
      <c r="W42">
        <v>1442.4</v>
      </c>
      <c r="X42">
        <v>1453.3</v>
      </c>
      <c r="Y42">
        <v>1464.1</v>
      </c>
      <c r="Z42">
        <v>1474.9</v>
      </c>
      <c r="AA42">
        <v>1485.8</v>
      </c>
      <c r="AB42">
        <v>1496.6</v>
      </c>
      <c r="AC42">
        <v>1507.5</v>
      </c>
      <c r="AD42">
        <v>1518.3</v>
      </c>
      <c r="AE42">
        <v>1529.1</v>
      </c>
      <c r="AF42">
        <v>1540</v>
      </c>
      <c r="AG42">
        <v>1550.8</v>
      </c>
      <c r="AH42">
        <v>1561.6</v>
      </c>
      <c r="AI42">
        <v>1572.5</v>
      </c>
      <c r="AJ42">
        <v>1583.3</v>
      </c>
      <c r="AK42">
        <v>1594.1</v>
      </c>
    </row>
    <row r="43" spans="1:37" x14ac:dyDescent="0.25">
      <c r="A43" t="s">
        <v>43</v>
      </c>
      <c r="B43">
        <v>1268.0999999999999</v>
      </c>
      <c r="C43">
        <v>1279.4000000000001</v>
      </c>
      <c r="D43">
        <v>1290.7</v>
      </c>
      <c r="E43">
        <v>1302</v>
      </c>
      <c r="F43">
        <v>1313.3</v>
      </c>
      <c r="G43">
        <v>1324.6</v>
      </c>
      <c r="H43">
        <v>1335.9</v>
      </c>
      <c r="I43">
        <v>1347.2</v>
      </c>
      <c r="J43">
        <v>1358.6</v>
      </c>
      <c r="K43">
        <v>1369.9</v>
      </c>
      <c r="L43">
        <v>1381.2</v>
      </c>
      <c r="M43">
        <v>1392.5</v>
      </c>
      <c r="N43">
        <v>1403.8</v>
      </c>
      <c r="O43">
        <v>1415.1</v>
      </c>
      <c r="P43">
        <v>1426.4</v>
      </c>
      <c r="Q43">
        <v>1437.7</v>
      </c>
      <c r="R43">
        <v>1449</v>
      </c>
      <c r="S43">
        <v>1460.4</v>
      </c>
      <c r="T43">
        <v>1471.7</v>
      </c>
      <c r="U43">
        <v>1483</v>
      </c>
      <c r="V43">
        <v>1494.3</v>
      </c>
      <c r="W43">
        <v>1505.6</v>
      </c>
      <c r="X43">
        <v>1516.9</v>
      </c>
      <c r="Y43">
        <v>1528.2</v>
      </c>
      <c r="Z43">
        <v>1539.5</v>
      </c>
      <c r="AA43">
        <v>1550.8</v>
      </c>
      <c r="AB43">
        <v>1562.1</v>
      </c>
      <c r="AC43">
        <v>1573.5</v>
      </c>
      <c r="AD43">
        <v>1584.8</v>
      </c>
      <c r="AE43">
        <v>1596.1</v>
      </c>
      <c r="AF43">
        <v>1607.4</v>
      </c>
      <c r="AG43">
        <v>1618.7</v>
      </c>
      <c r="AH43">
        <v>1630</v>
      </c>
      <c r="AI43">
        <v>1641.3</v>
      </c>
      <c r="AJ43">
        <v>1652.6</v>
      </c>
      <c r="AK43">
        <v>1663.9</v>
      </c>
    </row>
    <row r="44" spans="1:37" x14ac:dyDescent="0.25">
      <c r="A44" t="s">
        <v>44</v>
      </c>
      <c r="B44">
        <v>1321.3</v>
      </c>
      <c r="C44">
        <v>1333</v>
      </c>
      <c r="D44">
        <v>1344.8</v>
      </c>
      <c r="E44">
        <v>1356.6</v>
      </c>
      <c r="F44">
        <v>1368.4</v>
      </c>
      <c r="G44">
        <v>1380.2</v>
      </c>
      <c r="H44">
        <v>1392</v>
      </c>
      <c r="I44">
        <v>1403.8</v>
      </c>
      <c r="J44">
        <v>1415.5</v>
      </c>
      <c r="K44">
        <v>1427.3</v>
      </c>
      <c r="L44">
        <v>1439.1</v>
      </c>
      <c r="M44">
        <v>1450.9</v>
      </c>
      <c r="N44">
        <v>1462.7</v>
      </c>
      <c r="O44">
        <v>1474.5</v>
      </c>
      <c r="P44">
        <v>1486.3</v>
      </c>
      <c r="Q44">
        <v>1498</v>
      </c>
      <c r="R44">
        <v>1509.8</v>
      </c>
      <c r="S44">
        <v>1521.6</v>
      </c>
      <c r="T44">
        <v>1533.4</v>
      </c>
      <c r="U44">
        <v>1545.2</v>
      </c>
      <c r="V44">
        <v>1557</v>
      </c>
      <c r="W44">
        <v>1568.8</v>
      </c>
      <c r="X44">
        <v>1580.5</v>
      </c>
      <c r="Y44">
        <v>1592.3</v>
      </c>
      <c r="Z44">
        <v>1604.1</v>
      </c>
      <c r="AA44">
        <v>1615.9</v>
      </c>
      <c r="AB44">
        <v>1627.7</v>
      </c>
      <c r="AC44">
        <v>1639.5</v>
      </c>
      <c r="AD44">
        <v>1651.2</v>
      </c>
      <c r="AE44">
        <v>1663</v>
      </c>
      <c r="AF44">
        <v>1674.8</v>
      </c>
      <c r="AG44">
        <v>1686.6</v>
      </c>
      <c r="AH44">
        <v>1698.4</v>
      </c>
      <c r="AI44">
        <v>1710.2</v>
      </c>
      <c r="AJ44">
        <v>1722</v>
      </c>
      <c r="AK44">
        <v>1733.7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A24BE-C0A5-43CC-9B2D-86135A5F3EBC}">
  <dimension ref="A1:D9"/>
  <sheetViews>
    <sheetView workbookViewId="0"/>
  </sheetViews>
  <sheetFormatPr defaultRowHeight="12.5" x14ac:dyDescent="0.25"/>
  <sheetData>
    <row r="1" spans="1:4" x14ac:dyDescent="0.25">
      <c r="A1" t="s">
        <v>2</v>
      </c>
      <c r="B1" t="s">
        <v>99</v>
      </c>
      <c r="C1" t="s">
        <v>100</v>
      </c>
      <c r="D1" t="s">
        <v>45</v>
      </c>
    </row>
    <row r="2" spans="1:4" x14ac:dyDescent="0.25">
      <c r="A2" t="s">
        <v>13</v>
      </c>
      <c r="B2" t="s">
        <v>101</v>
      </c>
      <c r="C2">
        <v>0.6</v>
      </c>
      <c r="D2" t="s">
        <v>102</v>
      </c>
    </row>
    <row r="3" spans="1:4" x14ac:dyDescent="0.25">
      <c r="A3" t="s">
        <v>15</v>
      </c>
      <c r="B3" t="s">
        <v>101</v>
      </c>
      <c r="C3">
        <v>0.65</v>
      </c>
      <c r="D3" t="s">
        <v>103</v>
      </c>
    </row>
    <row r="4" spans="1:4" x14ac:dyDescent="0.25">
      <c r="A4" t="s">
        <v>16</v>
      </c>
      <c r="B4" t="s">
        <v>104</v>
      </c>
      <c r="C4">
        <v>0.7</v>
      </c>
      <c r="D4" t="s">
        <v>105</v>
      </c>
    </row>
    <row r="5" spans="1:4" x14ac:dyDescent="0.25">
      <c r="A5" t="s">
        <v>17</v>
      </c>
      <c r="B5" t="s">
        <v>106</v>
      </c>
      <c r="C5">
        <v>0.75</v>
      </c>
      <c r="D5" t="s">
        <v>107</v>
      </c>
    </row>
    <row r="6" spans="1:4" x14ac:dyDescent="0.25">
      <c r="A6" t="s">
        <v>18</v>
      </c>
      <c r="B6" t="s">
        <v>101</v>
      </c>
      <c r="C6">
        <v>0.8</v>
      </c>
      <c r="D6" t="s">
        <v>108</v>
      </c>
    </row>
    <row r="7" spans="1:4" x14ac:dyDescent="0.25">
      <c r="A7" t="s">
        <v>19</v>
      </c>
      <c r="B7" t="s">
        <v>101</v>
      </c>
      <c r="C7">
        <v>0.85</v>
      </c>
      <c r="D7" t="s">
        <v>109</v>
      </c>
    </row>
    <row r="8" spans="1:4" x14ac:dyDescent="0.25">
      <c r="A8" t="s">
        <v>20</v>
      </c>
      <c r="B8" t="s">
        <v>104</v>
      </c>
      <c r="C8">
        <v>0.9</v>
      </c>
      <c r="D8" t="s">
        <v>110</v>
      </c>
    </row>
    <row r="9" spans="1:4" x14ac:dyDescent="0.25">
      <c r="A9" t="s">
        <v>21</v>
      </c>
      <c r="B9" t="s">
        <v>106</v>
      </c>
      <c r="C9">
        <v>0.95</v>
      </c>
      <c r="D9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6ED34-1607-4224-8379-F75B5CB32603}">
  <dimension ref="A1:C6"/>
  <sheetViews>
    <sheetView workbookViewId="0"/>
  </sheetViews>
  <sheetFormatPr defaultRowHeight="12.5" x14ac:dyDescent="0.25"/>
  <sheetData>
    <row r="1" spans="1:3" x14ac:dyDescent="0.25">
      <c r="A1" t="s">
        <v>8</v>
      </c>
      <c r="B1" t="s">
        <v>46</v>
      </c>
      <c r="C1" t="s">
        <v>49</v>
      </c>
    </row>
    <row r="2" spans="1:3" x14ac:dyDescent="0.25">
      <c r="A2" t="s">
        <v>14</v>
      </c>
      <c r="B2" t="s">
        <v>112</v>
      </c>
      <c r="C2">
        <v>42000</v>
      </c>
    </row>
    <row r="3" spans="1:3" x14ac:dyDescent="0.25">
      <c r="A3" t="s">
        <v>23</v>
      </c>
      <c r="B3" t="s">
        <v>113</v>
      </c>
      <c r="C3">
        <v>30000</v>
      </c>
    </row>
    <row r="4" spans="1:3" x14ac:dyDescent="0.25">
      <c r="A4" t="s">
        <v>25</v>
      </c>
      <c r="B4" t="s">
        <v>114</v>
      </c>
      <c r="C4">
        <v>47000</v>
      </c>
    </row>
    <row r="5" spans="1:3" x14ac:dyDescent="0.25">
      <c r="A5" t="s">
        <v>31</v>
      </c>
      <c r="B5" t="s">
        <v>115</v>
      </c>
      <c r="C5">
        <v>26000</v>
      </c>
    </row>
    <row r="6" spans="1:3" x14ac:dyDescent="0.25">
      <c r="A6" t="s">
        <v>41</v>
      </c>
      <c r="B6" t="s">
        <v>116</v>
      </c>
      <c r="C6">
        <v>16000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6B25A-FC31-4FB1-AAE3-54E413704CCB}">
  <dimension ref="A1:U37"/>
  <sheetViews>
    <sheetView workbookViewId="0"/>
  </sheetViews>
  <sheetFormatPr defaultRowHeight="12.5" x14ac:dyDescent="0.25"/>
  <cols>
    <col min="2" max="2" width="10.453125" bestFit="1" customWidth="1"/>
  </cols>
  <sheetData>
    <row r="1" spans="1:21" x14ac:dyDescent="0.25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10</v>
      </c>
      <c r="H1" t="s">
        <v>136</v>
      </c>
      <c r="I1" t="s">
        <v>137</v>
      </c>
      <c r="J1" t="s">
        <v>138</v>
      </c>
      <c r="K1" t="s">
        <v>9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132</v>
      </c>
      <c r="U1" t="s">
        <v>147</v>
      </c>
    </row>
    <row r="2" spans="1:21" x14ac:dyDescent="0.25">
      <c r="A2">
        <f t="shared" ref="A2:A37" si="0">ROW()-1</f>
        <v>1</v>
      </c>
      <c r="B2" s="1">
        <f t="shared" ref="B2:B37" si="1">EOMONTH(DATE(2024,A2,1),0)</f>
        <v>45322</v>
      </c>
      <c r="C2">
        <f>SUMIFS(Data!$E$2:$E$5761,Data!$A$2:$A$5761,Control!$B$2,Data!$B$2:$B$5761,A2)</f>
        <v>8012.1</v>
      </c>
      <c r="D2">
        <f>SUMIFS(Data!$F$2:$F$5761,Data!$A$2:$A$5761,Control!$B$2,Data!$B$2:$B$5761,A2)</f>
        <v>433.36</v>
      </c>
      <c r="E2">
        <f>SUMIFS(Data!$G$2:$G$5761,Data!$A$2:$A$5761,Control!$B$2,Data!$B$2:$B$5761,A2)</f>
        <v>263.59000000000003</v>
      </c>
      <c r="F2">
        <f>SUMIFS(Data!$H$2:$H$5761,Data!$A$2:$A$5761,Control!$B$2,Data!$B$2:$B$5761,A2)</f>
        <v>980</v>
      </c>
      <c r="G2">
        <f t="shared" ref="G2:G37" si="2">D2-E2</f>
        <v>169.76999999999998</v>
      </c>
      <c r="H2" cm="1">
        <f t="array" ref="H2">INDEX(Budget!$B$2:$AK$21,Control!$B$6,MATCH(A2,Budget!$B$1:$AK$1,0))</f>
        <v>8019</v>
      </c>
      <c r="I2">
        <f t="shared" ref="I2:I37" si="3">IFERROR(C2/H2-1,0)</f>
        <v>-8.6045641601195655E-4</v>
      </c>
      <c r="J2">
        <f t="shared" ref="J2:J37" si="4">SUMIFS($C$2:$C$37,$K$2:$K$37,K2,$A$2:$A$37,"&lt;="&amp;A2)</f>
        <v>8012.1</v>
      </c>
      <c r="K2">
        <f t="shared" ref="K2:K37" si="5">YEAR(B2)</f>
        <v>2024</v>
      </c>
      <c r="L2">
        <f t="shared" ref="L2:L37" ca="1" si="6">AVERAGE(OFFSET(C2,-MIN(2,A2-1),0,MIN(3,A2),1))</f>
        <v>8012.1</v>
      </c>
      <c r="M2">
        <f>C2*_xlfn.XLOOKUP(A2,FX!$A$2:$A$37,FX!$C$2:$C$37)</f>
        <v>8476.8018000000011</v>
      </c>
      <c r="N2">
        <f>C2*(1+Control!$B$4)^(A2/12)</f>
        <v>8031.860000042675</v>
      </c>
      <c r="O2">
        <f t="shared" ref="O2:O37" si="7">RANK(C2,$C$2:$C$37,0)</f>
        <v>36</v>
      </c>
      <c r="P2">
        <f t="shared" ref="P2:P37" si="8">IFERROR(C2-C1,0)</f>
        <v>0</v>
      </c>
      <c r="Q2">
        <f t="shared" ref="Q2:Q37" si="9">IFERROR(E2/D2,0)</f>
        <v>0.60824718478862849</v>
      </c>
      <c r="R2">
        <f t="shared" ref="R2:R37" si="10">ROUND(IFERROR(D2/F2,0),2)</f>
        <v>0.44</v>
      </c>
      <c r="S2" t="str">
        <f t="shared" ref="S2:S37" si="11">IF(AND(I2&gt;0,G2&gt;0),"sopra",IF(OR(I2&lt;-0.05,G2&lt;0),"sotto","in linea"))</f>
        <v>in linea</v>
      </c>
      <c r="T2" t="str">
        <f t="shared" ref="T2:T37" si="12">"T"&amp;ROUNDUP(MONTH(B2)/3,0)&amp;"-"&amp;YEAR(B2)</f>
        <v>T1-2024</v>
      </c>
      <c r="U2">
        <f t="shared" ref="U2:U37" si="13">AVERAGEIFS($C$2:$C$37,$A$2:$A$37,"&gt;"&amp;(A2-12),$A$2:$A$37,"&lt;="&amp;A2)</f>
        <v>8012.1</v>
      </c>
    </row>
    <row r="3" spans="1:21" x14ac:dyDescent="0.25">
      <c r="A3">
        <f t="shared" si="0"/>
        <v>2</v>
      </c>
      <c r="B3" s="1">
        <f t="shared" si="1"/>
        <v>45351</v>
      </c>
      <c r="C3">
        <f>SUMIFS(Data!$E$2:$E$5761,Data!$A$2:$A$5761,Control!$B$2,Data!$B$2:$B$5761,A3)</f>
        <v>8126.5</v>
      </c>
      <c r="D3">
        <f>SUMIFS(Data!$F$2:$F$5761,Data!$A$2:$A$5761,Control!$B$2,Data!$B$2:$B$5761,A3)</f>
        <v>440.85999999999996</v>
      </c>
      <c r="E3">
        <f>SUMIFS(Data!$G$2:$G$5761,Data!$A$2:$A$5761,Control!$B$2,Data!$B$2:$B$5761,A3)</f>
        <v>266.66000000000003</v>
      </c>
      <c r="F3">
        <f>SUMIFS(Data!$H$2:$H$5761,Data!$A$2:$A$5761,Control!$B$2,Data!$B$2:$B$5761,A3)</f>
        <v>951</v>
      </c>
      <c r="G3">
        <f t="shared" si="2"/>
        <v>174.19999999999993</v>
      </c>
      <c r="H3" cm="1">
        <f t="array" ref="H3">INDEX(Budget!$B$2:$AK$21,Control!$B$6,MATCH(A3,Budget!$B$1:$AK$1,0))</f>
        <v>8091</v>
      </c>
      <c r="I3">
        <f t="shared" si="3"/>
        <v>4.3875911506612297E-3</v>
      </c>
      <c r="J3">
        <f t="shared" si="4"/>
        <v>16138.6</v>
      </c>
      <c r="K3">
        <f t="shared" si="5"/>
        <v>2024</v>
      </c>
      <c r="L3">
        <f t="shared" ca="1" si="6"/>
        <v>8069.3</v>
      </c>
      <c r="M3">
        <f>C3*_xlfn.XLOOKUP(A3,FX!$A$2:$A$37,FX!$C$2:$C$37)</f>
        <v>8661.2237000000005</v>
      </c>
      <c r="N3">
        <f>C3*(1+Control!$B$4)^(A3/12)</f>
        <v>8166.6337119365216</v>
      </c>
      <c r="O3">
        <f t="shared" si="7"/>
        <v>35</v>
      </c>
      <c r="P3">
        <f t="shared" si="8"/>
        <v>114.39999999999964</v>
      </c>
      <c r="Q3">
        <f t="shared" si="9"/>
        <v>0.60486322188449859</v>
      </c>
      <c r="R3">
        <f t="shared" si="10"/>
        <v>0.46</v>
      </c>
      <c r="S3" t="str">
        <f t="shared" si="11"/>
        <v>sopra</v>
      </c>
      <c r="T3" t="str">
        <f t="shared" si="12"/>
        <v>T1-2024</v>
      </c>
      <c r="U3">
        <f t="shared" si="13"/>
        <v>8069.3</v>
      </c>
    </row>
    <row r="4" spans="1:21" x14ac:dyDescent="0.25">
      <c r="A4">
        <f t="shared" si="0"/>
        <v>3</v>
      </c>
      <c r="B4" s="1">
        <f t="shared" si="1"/>
        <v>45382</v>
      </c>
      <c r="C4">
        <f>SUMIFS(Data!$E$2:$E$5761,Data!$A$2:$A$5761,Control!$B$2,Data!$B$2:$B$5761,A4)</f>
        <v>8163.5</v>
      </c>
      <c r="D4">
        <f>SUMIFS(Data!$F$2:$F$5761,Data!$A$2:$A$5761,Control!$B$2,Data!$B$2:$B$5761,A4)</f>
        <v>443.09000000000003</v>
      </c>
      <c r="E4">
        <f>SUMIFS(Data!$G$2:$G$5761,Data!$A$2:$A$5761,Control!$B$2,Data!$B$2:$B$5761,A4)</f>
        <v>268.35999999999996</v>
      </c>
      <c r="F4">
        <f>SUMIFS(Data!$H$2:$H$5761,Data!$A$2:$A$5761,Control!$B$2,Data!$B$2:$B$5761,A4)</f>
        <v>906</v>
      </c>
      <c r="G4">
        <f t="shared" si="2"/>
        <v>174.73000000000008</v>
      </c>
      <c r="H4" cm="1">
        <f t="array" ref="H4">INDEX(Budget!$B$2:$AK$21,Control!$B$6,MATCH(A4,Budget!$B$1:$AK$1,0))</f>
        <v>8162</v>
      </c>
      <c r="I4">
        <f t="shared" si="3"/>
        <v>1.8377848566530908E-4</v>
      </c>
      <c r="J4">
        <f t="shared" si="4"/>
        <v>24302.1</v>
      </c>
      <c r="K4">
        <f t="shared" si="5"/>
        <v>2024</v>
      </c>
      <c r="L4">
        <f t="shared" ca="1" si="6"/>
        <v>8100.7</v>
      </c>
      <c r="M4">
        <f>C4*_xlfn.XLOOKUP(A4,FX!$A$2:$A$37,FX!$C$2:$C$37)</f>
        <v>8758.6191500000004</v>
      </c>
      <c r="N4">
        <f>C4*(1+Control!$B$4)^(A4/12)</f>
        <v>8224.0492654575228</v>
      </c>
      <c r="O4">
        <f t="shared" si="7"/>
        <v>34</v>
      </c>
      <c r="P4">
        <f t="shared" si="8"/>
        <v>37</v>
      </c>
      <c r="Q4">
        <f t="shared" si="9"/>
        <v>0.60565573585501797</v>
      </c>
      <c r="R4">
        <f t="shared" si="10"/>
        <v>0.49</v>
      </c>
      <c r="S4" t="str">
        <f t="shared" si="11"/>
        <v>sopra</v>
      </c>
      <c r="T4" t="str">
        <f t="shared" si="12"/>
        <v>T1-2024</v>
      </c>
      <c r="U4">
        <f t="shared" si="13"/>
        <v>8100.7</v>
      </c>
    </row>
    <row r="5" spans="1:21" x14ac:dyDescent="0.25">
      <c r="A5">
        <f t="shared" si="0"/>
        <v>4</v>
      </c>
      <c r="B5" s="1">
        <f t="shared" si="1"/>
        <v>45412</v>
      </c>
      <c r="C5">
        <f>SUMIFS(Data!$E$2:$E$5761,Data!$A$2:$A$5761,Control!$B$2,Data!$B$2:$B$5761,A5)</f>
        <v>8209.7000000000007</v>
      </c>
      <c r="D5">
        <f>SUMIFS(Data!$F$2:$F$5761,Data!$A$2:$A$5761,Control!$B$2,Data!$B$2:$B$5761,A5)</f>
        <v>444.15</v>
      </c>
      <c r="E5">
        <f>SUMIFS(Data!$G$2:$G$5761,Data!$A$2:$A$5761,Control!$B$2,Data!$B$2:$B$5761,A5)</f>
        <v>268.62</v>
      </c>
      <c r="F5">
        <f>SUMIFS(Data!$H$2:$H$5761,Data!$A$2:$A$5761,Control!$B$2,Data!$B$2:$B$5761,A5)</f>
        <v>925</v>
      </c>
      <c r="G5">
        <f t="shared" si="2"/>
        <v>175.52999999999997</v>
      </c>
      <c r="H5" cm="1">
        <f t="array" ref="H5">INDEX(Budget!$B$2:$AK$21,Control!$B$6,MATCH(A5,Budget!$B$1:$AK$1,0))</f>
        <v>8234</v>
      </c>
      <c r="I5">
        <f t="shared" si="3"/>
        <v>-2.9511780422637468E-3</v>
      </c>
      <c r="J5">
        <f t="shared" si="4"/>
        <v>32511.8</v>
      </c>
      <c r="K5">
        <f t="shared" si="5"/>
        <v>2024</v>
      </c>
      <c r="L5">
        <f t="shared" ca="1" si="6"/>
        <v>8166.5666666666666</v>
      </c>
      <c r="M5">
        <f>C5*_xlfn.XLOOKUP(A5,FX!$A$2:$A$37,FX!$C$2:$C$37)</f>
        <v>8859.08727</v>
      </c>
      <c r="N5">
        <f>C5*(1+Control!$B$4)^(A5/12)</f>
        <v>8290.9894450599641</v>
      </c>
      <c r="O5">
        <f t="shared" si="7"/>
        <v>33</v>
      </c>
      <c r="P5">
        <f t="shared" si="8"/>
        <v>46.200000000000728</v>
      </c>
      <c r="Q5">
        <f t="shared" si="9"/>
        <v>0.60479567713610272</v>
      </c>
      <c r="R5">
        <f t="shared" si="10"/>
        <v>0.48</v>
      </c>
      <c r="S5" t="str">
        <f t="shared" si="11"/>
        <v>in linea</v>
      </c>
      <c r="T5" t="str">
        <f t="shared" si="12"/>
        <v>T2-2024</v>
      </c>
      <c r="U5">
        <f t="shared" si="13"/>
        <v>8127.95</v>
      </c>
    </row>
    <row r="6" spans="1:21" x14ac:dyDescent="0.25">
      <c r="A6">
        <f t="shared" si="0"/>
        <v>5</v>
      </c>
      <c r="B6" s="1">
        <f t="shared" si="1"/>
        <v>45443</v>
      </c>
      <c r="C6">
        <f>SUMIFS(Data!$E$2:$E$5761,Data!$A$2:$A$5761,Control!$B$2,Data!$B$2:$B$5761,A6)</f>
        <v>8325.2000000000007</v>
      </c>
      <c r="D6">
        <f>SUMIFS(Data!$F$2:$F$5761,Data!$A$2:$A$5761,Control!$B$2,Data!$B$2:$B$5761,A6)</f>
        <v>451.45</v>
      </c>
      <c r="E6">
        <f>SUMIFS(Data!$G$2:$G$5761,Data!$A$2:$A$5761,Control!$B$2,Data!$B$2:$B$5761,A6)</f>
        <v>271.5</v>
      </c>
      <c r="F6">
        <f>SUMIFS(Data!$H$2:$H$5761,Data!$A$2:$A$5761,Control!$B$2,Data!$B$2:$B$5761,A6)</f>
        <v>901</v>
      </c>
      <c r="G6">
        <f t="shared" si="2"/>
        <v>179.95</v>
      </c>
      <c r="H6" cm="1">
        <f t="array" ref="H6">INDEX(Budget!$B$2:$AK$21,Control!$B$6,MATCH(A6,Budget!$B$1:$AK$1,0))</f>
        <v>8305</v>
      </c>
      <c r="I6">
        <f t="shared" si="3"/>
        <v>2.432269717038027E-3</v>
      </c>
      <c r="J6">
        <f t="shared" si="4"/>
        <v>40837</v>
      </c>
      <c r="K6">
        <f t="shared" si="5"/>
        <v>2024</v>
      </c>
      <c r="L6">
        <f t="shared" ca="1" si="6"/>
        <v>8232.8000000000011</v>
      </c>
      <c r="M6">
        <f>C6*_xlfn.XLOOKUP(A6,FX!$A$2:$A$37,FX!$C$2:$C$37)</f>
        <v>9026.1818400000011</v>
      </c>
      <c r="N6">
        <f>C6*(1+Control!$B$4)^(A6/12)</f>
        <v>8428.3685751239136</v>
      </c>
      <c r="O6">
        <f t="shared" si="7"/>
        <v>32</v>
      </c>
      <c r="P6">
        <f t="shared" si="8"/>
        <v>115.5</v>
      </c>
      <c r="Q6">
        <f t="shared" si="9"/>
        <v>0.60139550337800418</v>
      </c>
      <c r="R6">
        <f t="shared" si="10"/>
        <v>0.5</v>
      </c>
      <c r="S6" t="str">
        <f t="shared" si="11"/>
        <v>sopra</v>
      </c>
      <c r="T6" t="str">
        <f t="shared" si="12"/>
        <v>T2-2024</v>
      </c>
      <c r="U6">
        <f t="shared" si="13"/>
        <v>8167.4</v>
      </c>
    </row>
    <row r="7" spans="1:21" x14ac:dyDescent="0.25">
      <c r="A7">
        <f t="shared" si="0"/>
        <v>6</v>
      </c>
      <c r="B7" s="1">
        <f t="shared" si="1"/>
        <v>45473</v>
      </c>
      <c r="C7">
        <f>SUMIFS(Data!$E$2:$E$5761,Data!$A$2:$A$5761,Control!$B$2,Data!$B$2:$B$5761,A7)</f>
        <v>8343.2999999999993</v>
      </c>
      <c r="D7">
        <f>SUMIFS(Data!$F$2:$F$5761,Data!$A$2:$A$5761,Control!$B$2,Data!$B$2:$B$5761,A7)</f>
        <v>451.67000000000007</v>
      </c>
      <c r="E7">
        <f>SUMIFS(Data!$G$2:$G$5761,Data!$A$2:$A$5761,Control!$B$2,Data!$B$2:$B$5761,A7)</f>
        <v>275.01</v>
      </c>
      <c r="F7">
        <f>SUMIFS(Data!$H$2:$H$5761,Data!$A$2:$A$5761,Control!$B$2,Data!$B$2:$B$5761,A7)</f>
        <v>974</v>
      </c>
      <c r="G7">
        <f t="shared" si="2"/>
        <v>176.66000000000008</v>
      </c>
      <c r="H7" cm="1">
        <f t="array" ref="H7">INDEX(Budget!$B$2:$AK$21,Control!$B$6,MATCH(A7,Budget!$B$1:$AK$1,0))</f>
        <v>8377</v>
      </c>
      <c r="I7">
        <f t="shared" si="3"/>
        <v>-4.0229198997254745E-3</v>
      </c>
      <c r="J7">
        <f t="shared" si="4"/>
        <v>49180.3</v>
      </c>
      <c r="K7">
        <f t="shared" si="5"/>
        <v>2024</v>
      </c>
      <c r="L7">
        <f t="shared" ca="1" si="6"/>
        <v>8292.7333333333336</v>
      </c>
      <c r="M7">
        <f>C7*_xlfn.XLOOKUP(A7,FX!$A$2:$A$37,FX!$C$2:$C$37)</f>
        <v>9076.6760699999995</v>
      </c>
      <c r="N7">
        <f>C7*(1+Control!$B$4)^(A7/12)</f>
        <v>8467.5246995033904</v>
      </c>
      <c r="O7">
        <f t="shared" si="7"/>
        <v>31</v>
      </c>
      <c r="P7">
        <f t="shared" si="8"/>
        <v>18.099999999998545</v>
      </c>
      <c r="Q7">
        <f t="shared" si="9"/>
        <v>0.6088737352491862</v>
      </c>
      <c r="R7">
        <f t="shared" si="10"/>
        <v>0.46</v>
      </c>
      <c r="S7" t="str">
        <f t="shared" si="11"/>
        <v>in linea</v>
      </c>
      <c r="T7" t="str">
        <f t="shared" si="12"/>
        <v>T2-2024</v>
      </c>
      <c r="U7">
        <f t="shared" si="13"/>
        <v>8196.7166666666672</v>
      </c>
    </row>
    <row r="8" spans="1:21" x14ac:dyDescent="0.25">
      <c r="A8">
        <f t="shared" si="0"/>
        <v>7</v>
      </c>
      <c r="B8" s="1">
        <f t="shared" si="1"/>
        <v>45504</v>
      </c>
      <c r="C8">
        <f>SUMIFS(Data!$E$2:$E$5761,Data!$A$2:$A$5761,Control!$B$2,Data!$B$2:$B$5761,A8)</f>
        <v>8405</v>
      </c>
      <c r="D8">
        <f>SUMIFS(Data!$F$2:$F$5761,Data!$A$2:$A$5761,Control!$B$2,Data!$B$2:$B$5761,A8)</f>
        <v>455.92000000000007</v>
      </c>
      <c r="E8">
        <f>SUMIFS(Data!$G$2:$G$5761,Data!$A$2:$A$5761,Control!$B$2,Data!$B$2:$B$5761,A8)</f>
        <v>276.08999999999997</v>
      </c>
      <c r="F8">
        <f>SUMIFS(Data!$H$2:$H$5761,Data!$A$2:$A$5761,Control!$B$2,Data!$B$2:$B$5761,A8)</f>
        <v>935</v>
      </c>
      <c r="G8">
        <f t="shared" si="2"/>
        <v>179.8300000000001</v>
      </c>
      <c r="H8" cm="1">
        <f t="array" ref="H8">INDEX(Budget!$B$2:$AK$21,Control!$B$6,MATCH(A8,Budget!$B$1:$AK$1,0))</f>
        <v>8448</v>
      </c>
      <c r="I8">
        <f t="shared" si="3"/>
        <v>-5.0899621212121549E-3</v>
      </c>
      <c r="J8">
        <f t="shared" si="4"/>
        <v>57585.3</v>
      </c>
      <c r="K8">
        <f t="shared" si="5"/>
        <v>2024</v>
      </c>
      <c r="L8">
        <f t="shared" ca="1" si="6"/>
        <v>8357.8333333333339</v>
      </c>
      <c r="M8">
        <f>C8*_xlfn.XLOOKUP(A8,FX!$A$2:$A$37,FX!$C$2:$C$37)</f>
        <v>9162.290500000001</v>
      </c>
      <c r="N8">
        <f>C8*(1+Control!$B$4)^(A8/12)</f>
        <v>8551.1809951833293</v>
      </c>
      <c r="O8">
        <f t="shared" si="7"/>
        <v>30</v>
      </c>
      <c r="P8">
        <f t="shared" si="8"/>
        <v>61.700000000000728</v>
      </c>
      <c r="Q8">
        <f t="shared" si="9"/>
        <v>0.60556676609931548</v>
      </c>
      <c r="R8">
        <f t="shared" si="10"/>
        <v>0.49</v>
      </c>
      <c r="S8" t="str">
        <f t="shared" si="11"/>
        <v>in linea</v>
      </c>
      <c r="T8" t="str">
        <f t="shared" si="12"/>
        <v>T3-2024</v>
      </c>
      <c r="U8">
        <f t="shared" si="13"/>
        <v>8226.471428571429</v>
      </c>
    </row>
    <row r="9" spans="1:21" x14ac:dyDescent="0.25">
      <c r="A9">
        <f t="shared" si="0"/>
        <v>8</v>
      </c>
      <c r="B9" s="1">
        <f t="shared" si="1"/>
        <v>45535</v>
      </c>
      <c r="C9">
        <f>SUMIFS(Data!$E$2:$E$5761,Data!$A$2:$A$5761,Control!$B$2,Data!$B$2:$B$5761,A9)</f>
        <v>8440.6</v>
      </c>
      <c r="D9">
        <f>SUMIFS(Data!$F$2:$F$5761,Data!$A$2:$A$5761,Control!$B$2,Data!$B$2:$B$5761,A9)</f>
        <v>457.53</v>
      </c>
      <c r="E9">
        <f>SUMIFS(Data!$G$2:$G$5761,Data!$A$2:$A$5761,Control!$B$2,Data!$B$2:$B$5761,A9)</f>
        <v>276.42</v>
      </c>
      <c r="F9">
        <f>SUMIFS(Data!$H$2:$H$5761,Data!$A$2:$A$5761,Control!$B$2,Data!$B$2:$B$5761,A9)</f>
        <v>937</v>
      </c>
      <c r="G9">
        <f t="shared" si="2"/>
        <v>181.10999999999996</v>
      </c>
      <c r="H9" cm="1">
        <f t="array" ref="H9">INDEX(Budget!$B$2:$AK$21,Control!$B$6,MATCH(A9,Budget!$B$1:$AK$1,0))</f>
        <v>8520</v>
      </c>
      <c r="I9">
        <f t="shared" si="3"/>
        <v>-9.3192488262909823E-3</v>
      </c>
      <c r="J9">
        <f t="shared" si="4"/>
        <v>66025.900000000009</v>
      </c>
      <c r="K9">
        <f t="shared" si="5"/>
        <v>2024</v>
      </c>
      <c r="L9">
        <f t="shared" ca="1" si="6"/>
        <v>8396.3000000000011</v>
      </c>
      <c r="M9">
        <f>C9*_xlfn.XLOOKUP(A9,FX!$A$2:$A$37,FX!$C$2:$C$37)</f>
        <v>9207.00648</v>
      </c>
      <c r="N9">
        <f>C9*(1+Control!$B$4)^(A9/12)</f>
        <v>8608.5790010415094</v>
      </c>
      <c r="O9">
        <f t="shared" si="7"/>
        <v>29</v>
      </c>
      <c r="P9">
        <f t="shared" si="8"/>
        <v>35.600000000000364</v>
      </c>
      <c r="Q9">
        <f t="shared" si="9"/>
        <v>0.60415710445216719</v>
      </c>
      <c r="R9">
        <f t="shared" si="10"/>
        <v>0.49</v>
      </c>
      <c r="S9" t="str">
        <f t="shared" si="11"/>
        <v>in linea</v>
      </c>
      <c r="T9" t="str">
        <f t="shared" si="12"/>
        <v>T3-2024</v>
      </c>
      <c r="U9">
        <f t="shared" si="13"/>
        <v>8253.2375000000011</v>
      </c>
    </row>
    <row r="10" spans="1:21" x14ac:dyDescent="0.25">
      <c r="A10">
        <f t="shared" si="0"/>
        <v>9</v>
      </c>
      <c r="B10" s="1">
        <f t="shared" si="1"/>
        <v>45565</v>
      </c>
      <c r="C10">
        <f>SUMIFS(Data!$E$2:$E$5761,Data!$A$2:$A$5761,Control!$B$2,Data!$B$2:$B$5761,A10)</f>
        <v>8499.6</v>
      </c>
      <c r="D10">
        <f>SUMIFS(Data!$F$2:$F$5761,Data!$A$2:$A$5761,Control!$B$2,Data!$B$2:$B$5761,A10)</f>
        <v>458.83999999999992</v>
      </c>
      <c r="E10">
        <f>SUMIFS(Data!$G$2:$G$5761,Data!$A$2:$A$5761,Control!$B$2,Data!$B$2:$B$5761,A10)</f>
        <v>279.94</v>
      </c>
      <c r="F10">
        <f>SUMIFS(Data!$H$2:$H$5761,Data!$A$2:$A$5761,Control!$B$2,Data!$B$2:$B$5761,A10)</f>
        <v>994</v>
      </c>
      <c r="G10">
        <f t="shared" si="2"/>
        <v>178.89999999999992</v>
      </c>
      <c r="H10" cm="1">
        <f t="array" ref="H10">INDEX(Budget!$B$2:$AK$21,Control!$B$6,MATCH(A10,Budget!$B$1:$AK$1,0))</f>
        <v>8591</v>
      </c>
      <c r="I10">
        <f t="shared" si="3"/>
        <v>-1.0639040856710413E-2</v>
      </c>
      <c r="J10">
        <f t="shared" si="4"/>
        <v>74525.500000000015</v>
      </c>
      <c r="K10">
        <f t="shared" si="5"/>
        <v>2024</v>
      </c>
      <c r="L10">
        <f t="shared" ca="1" si="6"/>
        <v>8448.4</v>
      </c>
      <c r="M10">
        <f>C10*_xlfn.XLOOKUP(A10,FX!$A$2:$A$37,FX!$C$2:$C$37)</f>
        <v>9263.7140400000008</v>
      </c>
      <c r="N10">
        <f>C10*(1+Control!$B$4)^(A10/12)</f>
        <v>8690.1326622858051</v>
      </c>
      <c r="O10">
        <f t="shared" si="7"/>
        <v>28</v>
      </c>
      <c r="P10">
        <f t="shared" si="8"/>
        <v>59</v>
      </c>
      <c r="Q10">
        <f t="shared" si="9"/>
        <v>0.61010373986574851</v>
      </c>
      <c r="R10">
        <f t="shared" si="10"/>
        <v>0.46</v>
      </c>
      <c r="S10" t="str">
        <f t="shared" si="11"/>
        <v>in linea</v>
      </c>
      <c r="T10" t="str">
        <f t="shared" si="12"/>
        <v>T3-2024</v>
      </c>
      <c r="U10">
        <f t="shared" si="13"/>
        <v>8280.6111111111131</v>
      </c>
    </row>
    <row r="11" spans="1:21" x14ac:dyDescent="0.25">
      <c r="A11">
        <f t="shared" si="0"/>
        <v>10</v>
      </c>
      <c r="B11" s="1">
        <f t="shared" si="1"/>
        <v>45596</v>
      </c>
      <c r="C11">
        <f>SUMIFS(Data!$E$2:$E$5761,Data!$A$2:$A$5761,Control!$B$2,Data!$B$2:$B$5761,A11)</f>
        <v>8590.6</v>
      </c>
      <c r="D11">
        <f>SUMIFS(Data!$F$2:$F$5761,Data!$A$2:$A$5761,Control!$B$2,Data!$B$2:$B$5761,A11)</f>
        <v>465</v>
      </c>
      <c r="E11">
        <f>SUMIFS(Data!$G$2:$G$5761,Data!$A$2:$A$5761,Control!$B$2,Data!$B$2:$B$5761,A11)</f>
        <v>281.33</v>
      </c>
      <c r="F11">
        <f>SUMIFS(Data!$H$2:$H$5761,Data!$A$2:$A$5761,Control!$B$2,Data!$B$2:$B$5761,A11)</f>
        <v>965</v>
      </c>
      <c r="G11">
        <f t="shared" si="2"/>
        <v>183.67000000000002</v>
      </c>
      <c r="H11" cm="1">
        <f t="array" ref="H11">INDEX(Budget!$B$2:$AK$21,Control!$B$6,MATCH(A11,Budget!$B$1:$AK$1,0))</f>
        <v>8663</v>
      </c>
      <c r="I11">
        <f t="shared" si="3"/>
        <v>-8.3573819692946971E-3</v>
      </c>
      <c r="J11">
        <f t="shared" si="4"/>
        <v>83116.10000000002</v>
      </c>
      <c r="K11">
        <f t="shared" si="5"/>
        <v>2024</v>
      </c>
      <c r="L11">
        <f t="shared" ca="1" si="6"/>
        <v>8510.2666666666682</v>
      </c>
      <c r="M11">
        <f>C11*_xlfn.XLOOKUP(A11,FX!$A$2:$A$37,FX!$C$2:$C$37)</f>
        <v>9341.4184399999995</v>
      </c>
      <c r="N11">
        <f>C11*(1+Control!$B$4)^(A11/12)</f>
        <v>8804.8342515840886</v>
      </c>
      <c r="O11">
        <f t="shared" si="7"/>
        <v>27</v>
      </c>
      <c r="P11">
        <f t="shared" si="8"/>
        <v>91</v>
      </c>
      <c r="Q11">
        <f t="shared" si="9"/>
        <v>0.60501075268817206</v>
      </c>
      <c r="R11">
        <f t="shared" si="10"/>
        <v>0.48</v>
      </c>
      <c r="S11" t="str">
        <f t="shared" si="11"/>
        <v>in linea</v>
      </c>
      <c r="T11" t="str">
        <f t="shared" si="12"/>
        <v>T4-2024</v>
      </c>
      <c r="U11">
        <f t="shared" si="13"/>
        <v>8311.6100000000024</v>
      </c>
    </row>
    <row r="12" spans="1:21" x14ac:dyDescent="0.25">
      <c r="A12">
        <f t="shared" si="0"/>
        <v>11</v>
      </c>
      <c r="B12" s="1">
        <f t="shared" si="1"/>
        <v>45626</v>
      </c>
      <c r="C12">
        <f>SUMIFS(Data!$E$2:$E$5761,Data!$A$2:$A$5761,Control!$B$2,Data!$B$2:$B$5761,A12)</f>
        <v>8644.8999999999978</v>
      </c>
      <c r="D12">
        <f>SUMIFS(Data!$F$2:$F$5761,Data!$A$2:$A$5761,Control!$B$2,Data!$B$2:$B$5761,A12)</f>
        <v>468.26</v>
      </c>
      <c r="E12">
        <f>SUMIFS(Data!$G$2:$G$5761,Data!$A$2:$A$5761,Control!$B$2,Data!$B$2:$B$5761,A12)</f>
        <v>284.77</v>
      </c>
      <c r="F12">
        <f>SUMIFS(Data!$H$2:$H$5761,Data!$A$2:$A$5761,Control!$B$2,Data!$B$2:$B$5761,A12)</f>
        <v>927</v>
      </c>
      <c r="G12">
        <f t="shared" si="2"/>
        <v>183.49</v>
      </c>
      <c r="H12" cm="1">
        <f t="array" ref="H12">INDEX(Budget!$B$2:$AK$21,Control!$B$6,MATCH(A12,Budget!$B$1:$AK$1,0))</f>
        <v>8734</v>
      </c>
      <c r="I12">
        <f t="shared" si="3"/>
        <v>-1.0201511335012792E-2</v>
      </c>
      <c r="J12">
        <f t="shared" si="4"/>
        <v>91761.000000000015</v>
      </c>
      <c r="K12">
        <f t="shared" si="5"/>
        <v>2024</v>
      </c>
      <c r="L12">
        <f t="shared" ca="1" si="6"/>
        <v>8578.3666666666668</v>
      </c>
      <c r="M12">
        <f>C12*_xlfn.XLOOKUP(A12,FX!$A$2:$A$37,FX!$C$2:$C$37)</f>
        <v>9365.8846599999961</v>
      </c>
      <c r="N12">
        <f>C12*(1+Control!$B$4)^(A12/12)</f>
        <v>8882.3407514972805</v>
      </c>
      <c r="O12">
        <f t="shared" si="7"/>
        <v>26</v>
      </c>
      <c r="P12">
        <f t="shared" si="8"/>
        <v>54.299999999997453</v>
      </c>
      <c r="Q12">
        <f t="shared" si="9"/>
        <v>0.60814504762311539</v>
      </c>
      <c r="R12">
        <f t="shared" si="10"/>
        <v>0.51</v>
      </c>
      <c r="S12" t="str">
        <f t="shared" si="11"/>
        <v>in linea</v>
      </c>
      <c r="T12" t="str">
        <f t="shared" si="12"/>
        <v>T4-2024</v>
      </c>
      <c r="U12">
        <f t="shared" si="13"/>
        <v>8341.9090909090919</v>
      </c>
    </row>
    <row r="13" spans="1:21" x14ac:dyDescent="0.25">
      <c r="A13">
        <f t="shared" si="0"/>
        <v>12</v>
      </c>
      <c r="B13" s="1">
        <f t="shared" si="1"/>
        <v>45657</v>
      </c>
      <c r="C13">
        <f>SUMIFS(Data!$E$2:$E$5761,Data!$A$2:$A$5761,Control!$B$2,Data!$B$2:$B$5761,A13)</f>
        <v>8718.7000000000007</v>
      </c>
      <c r="D13">
        <f>SUMIFS(Data!$F$2:$F$5761,Data!$A$2:$A$5761,Control!$B$2,Data!$B$2:$B$5761,A13)</f>
        <v>472.51</v>
      </c>
      <c r="E13">
        <f>SUMIFS(Data!$G$2:$G$5761,Data!$A$2:$A$5761,Control!$B$2,Data!$B$2:$B$5761,A13)</f>
        <v>285.29000000000002</v>
      </c>
      <c r="F13">
        <f>SUMIFS(Data!$H$2:$H$5761,Data!$A$2:$A$5761,Control!$B$2,Data!$B$2:$B$5761,A13)</f>
        <v>972</v>
      </c>
      <c r="G13">
        <f t="shared" si="2"/>
        <v>187.21999999999997</v>
      </c>
      <c r="H13" cm="1">
        <f t="array" ref="H13">INDEX(Budget!$B$2:$AK$21,Control!$B$6,MATCH(A13,Budget!$B$1:$AK$1,0))</f>
        <v>8806</v>
      </c>
      <c r="I13">
        <f t="shared" si="3"/>
        <v>-9.9136952078128227E-3</v>
      </c>
      <c r="J13">
        <f t="shared" si="4"/>
        <v>100479.70000000001</v>
      </c>
      <c r="K13">
        <f t="shared" si="5"/>
        <v>2024</v>
      </c>
      <c r="L13">
        <f t="shared" ca="1" si="6"/>
        <v>8651.4</v>
      </c>
      <c r="M13">
        <f>C13*_xlfn.XLOOKUP(A13,FX!$A$2:$A$37,FX!$C$2:$C$37)</f>
        <v>9400.5023400000009</v>
      </c>
      <c r="N13">
        <f>C13*(1+Control!$B$4)^(A13/12)</f>
        <v>8980.2610000000004</v>
      </c>
      <c r="O13">
        <f t="shared" si="7"/>
        <v>25</v>
      </c>
      <c r="P13">
        <f t="shared" si="8"/>
        <v>73.80000000000291</v>
      </c>
      <c r="Q13">
        <f t="shared" si="9"/>
        <v>0.60377558146917532</v>
      </c>
      <c r="R13">
        <f t="shared" si="10"/>
        <v>0.49</v>
      </c>
      <c r="S13" t="str">
        <f t="shared" si="11"/>
        <v>in linea</v>
      </c>
      <c r="T13" t="str">
        <f t="shared" si="12"/>
        <v>T4-2024</v>
      </c>
      <c r="U13">
        <f t="shared" si="13"/>
        <v>8373.3083333333343</v>
      </c>
    </row>
    <row r="14" spans="1:21" x14ac:dyDescent="0.25">
      <c r="A14">
        <f t="shared" si="0"/>
        <v>13</v>
      </c>
      <c r="B14" s="1">
        <f t="shared" si="1"/>
        <v>45688</v>
      </c>
      <c r="C14">
        <f>SUMIFS(Data!$E$2:$E$5761,Data!$A$2:$A$5761,Control!$B$2,Data!$B$2:$B$5761,A14)</f>
        <v>8739.0999999999985</v>
      </c>
      <c r="D14">
        <f>SUMIFS(Data!$F$2:$F$5761,Data!$A$2:$A$5761,Control!$B$2,Data!$B$2:$B$5761,A14)</f>
        <v>472.04</v>
      </c>
      <c r="E14">
        <f>SUMIFS(Data!$G$2:$G$5761,Data!$A$2:$A$5761,Control!$B$2,Data!$B$2:$B$5761,A14)</f>
        <v>287.57</v>
      </c>
      <c r="F14">
        <f>SUMIFS(Data!$H$2:$H$5761,Data!$A$2:$A$5761,Control!$B$2,Data!$B$2:$B$5761,A14)</f>
        <v>986</v>
      </c>
      <c r="G14">
        <f t="shared" si="2"/>
        <v>184.47000000000003</v>
      </c>
      <c r="H14" cm="1">
        <f t="array" ref="H14">INDEX(Budget!$B$2:$AK$21,Control!$B$6,MATCH(A14,Budget!$B$1:$AK$1,0))</f>
        <v>8877</v>
      </c>
      <c r="I14">
        <f t="shared" si="3"/>
        <v>-1.5534527430438372E-2</v>
      </c>
      <c r="J14">
        <f t="shared" si="4"/>
        <v>8739.0999999999985</v>
      </c>
      <c r="K14">
        <f t="shared" si="5"/>
        <v>2025</v>
      </c>
      <c r="L14">
        <f t="shared" ca="1" si="6"/>
        <v>8700.9</v>
      </c>
      <c r="M14">
        <f>C14*_xlfn.XLOOKUP(A14,FX!$A$2:$A$37,FX!$C$2:$C$37)</f>
        <v>9367.4412899999988</v>
      </c>
      <c r="N14">
        <f>C14*(1+Control!$B$4)^(A14/12)</f>
        <v>9023.4725675121517</v>
      </c>
      <c r="O14">
        <f t="shared" si="7"/>
        <v>24</v>
      </c>
      <c r="P14">
        <f t="shared" si="8"/>
        <v>20.399999999997817</v>
      </c>
      <c r="Q14">
        <f t="shared" si="9"/>
        <v>0.60920684687738325</v>
      </c>
      <c r="R14">
        <f t="shared" si="10"/>
        <v>0.48</v>
      </c>
      <c r="S14" t="str">
        <f t="shared" si="11"/>
        <v>in linea</v>
      </c>
      <c r="T14" t="str">
        <f t="shared" si="12"/>
        <v>T1-2025</v>
      </c>
      <c r="U14">
        <f t="shared" si="13"/>
        <v>8433.8916666666646</v>
      </c>
    </row>
    <row r="15" spans="1:21" x14ac:dyDescent="0.25">
      <c r="A15">
        <f t="shared" si="0"/>
        <v>14</v>
      </c>
      <c r="B15" s="1">
        <f t="shared" si="1"/>
        <v>45716</v>
      </c>
      <c r="C15">
        <f>SUMIFS(Data!$E$2:$E$5761,Data!$A$2:$A$5761,Control!$B$2,Data!$B$2:$B$5761,A15)</f>
        <v>8764.4000000000015</v>
      </c>
      <c r="D15">
        <f>SUMIFS(Data!$F$2:$F$5761,Data!$A$2:$A$5761,Control!$B$2,Data!$B$2:$B$5761,A15)</f>
        <v>473.7</v>
      </c>
      <c r="E15">
        <f>SUMIFS(Data!$G$2:$G$5761,Data!$A$2:$A$5761,Control!$B$2,Data!$B$2:$B$5761,A15)</f>
        <v>288.62</v>
      </c>
      <c r="F15">
        <f>SUMIFS(Data!$H$2:$H$5761,Data!$A$2:$A$5761,Control!$B$2,Data!$B$2:$B$5761,A15)</f>
        <v>937</v>
      </c>
      <c r="G15">
        <f t="shared" si="2"/>
        <v>185.07999999999998</v>
      </c>
      <c r="H15" cm="1">
        <f t="array" ref="H15">INDEX(Budget!$B$2:$AK$21,Control!$B$6,MATCH(A15,Budget!$B$1:$AK$1,0))</f>
        <v>8949</v>
      </c>
      <c r="I15">
        <f t="shared" si="3"/>
        <v>-2.0628003128841055E-2</v>
      </c>
      <c r="J15">
        <f t="shared" si="4"/>
        <v>17503.5</v>
      </c>
      <c r="K15">
        <f t="shared" si="5"/>
        <v>2025</v>
      </c>
      <c r="L15">
        <f t="shared" ca="1" si="6"/>
        <v>8740.7333333333336</v>
      </c>
      <c r="M15">
        <f>C15*_xlfn.XLOOKUP(A15,FX!$A$2:$A$37,FX!$C$2:$C$37)</f>
        <v>9332.3331200000011</v>
      </c>
      <c r="N15">
        <f>C15*(1+Control!$B$4)^(A15/12)</f>
        <v>9071.9145806981305</v>
      </c>
      <c r="O15">
        <f t="shared" si="7"/>
        <v>23</v>
      </c>
      <c r="P15">
        <f t="shared" si="8"/>
        <v>25.30000000000291</v>
      </c>
      <c r="Q15">
        <f t="shared" si="9"/>
        <v>0.60928857926957991</v>
      </c>
      <c r="R15">
        <f t="shared" si="10"/>
        <v>0.51</v>
      </c>
      <c r="S15" t="str">
        <f t="shared" si="11"/>
        <v>in linea</v>
      </c>
      <c r="T15" t="str">
        <f t="shared" si="12"/>
        <v>T1-2025</v>
      </c>
      <c r="U15">
        <f t="shared" si="13"/>
        <v>8487.0499999999975</v>
      </c>
    </row>
    <row r="16" spans="1:21" x14ac:dyDescent="0.25">
      <c r="A16">
        <f t="shared" si="0"/>
        <v>15</v>
      </c>
      <c r="B16" s="1">
        <f t="shared" si="1"/>
        <v>45747</v>
      </c>
      <c r="C16">
        <f>SUMIFS(Data!$E$2:$E$5761,Data!$A$2:$A$5761,Control!$B$2,Data!$B$2:$B$5761,A16)</f>
        <v>8808.1</v>
      </c>
      <c r="D16">
        <f>SUMIFS(Data!$F$2:$F$5761,Data!$A$2:$A$5761,Control!$B$2,Data!$B$2:$B$5761,A16)</f>
        <v>475.75</v>
      </c>
      <c r="E16">
        <f>SUMIFS(Data!$G$2:$G$5761,Data!$A$2:$A$5761,Control!$B$2,Data!$B$2:$B$5761,A16)</f>
        <v>287.70000000000005</v>
      </c>
      <c r="F16">
        <f>SUMIFS(Data!$H$2:$H$5761,Data!$A$2:$A$5761,Control!$B$2,Data!$B$2:$B$5761,A16)</f>
        <v>923</v>
      </c>
      <c r="G16">
        <f t="shared" si="2"/>
        <v>188.04999999999995</v>
      </c>
      <c r="H16" cm="1">
        <f t="array" ref="H16">INDEX(Budget!$B$2:$AK$21,Control!$B$6,MATCH(A16,Budget!$B$1:$AK$1,0))</f>
        <v>9021</v>
      </c>
      <c r="I16">
        <f t="shared" si="3"/>
        <v>-2.3600487750803589E-2</v>
      </c>
      <c r="J16">
        <f t="shared" si="4"/>
        <v>26311.599999999999</v>
      </c>
      <c r="K16">
        <f t="shared" si="5"/>
        <v>2025</v>
      </c>
      <c r="L16">
        <f t="shared" ca="1" si="6"/>
        <v>8770.5333333333328</v>
      </c>
      <c r="M16">
        <f>C16*_xlfn.XLOOKUP(A16,FX!$A$2:$A$37,FX!$C$2:$C$37)</f>
        <v>9311.0425099999993</v>
      </c>
      <c r="N16">
        <f>C16*(1+Control!$B$4)^(A16/12)</f>
        <v>9139.6332192232148</v>
      </c>
      <c r="O16">
        <f t="shared" si="7"/>
        <v>22</v>
      </c>
      <c r="P16">
        <f t="shared" si="8"/>
        <v>43.699999999998909</v>
      </c>
      <c r="Q16">
        <f t="shared" si="9"/>
        <v>0.60472937467157128</v>
      </c>
      <c r="R16">
        <f t="shared" si="10"/>
        <v>0.52</v>
      </c>
      <c r="S16" t="str">
        <f t="shared" si="11"/>
        <v>in linea</v>
      </c>
      <c r="T16" t="str">
        <f t="shared" si="12"/>
        <v>T1-2025</v>
      </c>
      <c r="U16">
        <f t="shared" si="13"/>
        <v>8540.7666666666646</v>
      </c>
    </row>
    <row r="17" spans="1:21" x14ac:dyDescent="0.25">
      <c r="A17">
        <f t="shared" si="0"/>
        <v>16</v>
      </c>
      <c r="B17" s="1">
        <f t="shared" si="1"/>
        <v>45777</v>
      </c>
      <c r="C17">
        <f>SUMIFS(Data!$E$2:$E$5761,Data!$A$2:$A$5761,Control!$B$2,Data!$B$2:$B$5761,A17)</f>
        <v>8923.1999999999989</v>
      </c>
      <c r="D17">
        <f>SUMIFS(Data!$F$2:$F$5761,Data!$A$2:$A$5761,Control!$B$2,Data!$B$2:$B$5761,A17)</f>
        <v>482.73</v>
      </c>
      <c r="E17">
        <f>SUMIFS(Data!$G$2:$G$5761,Data!$A$2:$A$5761,Control!$B$2,Data!$B$2:$B$5761,A17)</f>
        <v>292.67</v>
      </c>
      <c r="F17">
        <f>SUMIFS(Data!$H$2:$H$5761,Data!$A$2:$A$5761,Control!$B$2,Data!$B$2:$B$5761,A17)</f>
        <v>1012</v>
      </c>
      <c r="G17">
        <f t="shared" si="2"/>
        <v>190.06</v>
      </c>
      <c r="H17" cm="1">
        <f t="array" ref="H17">INDEX(Budget!$B$2:$AK$21,Control!$B$6,MATCH(A17,Budget!$B$1:$AK$1,0))</f>
        <v>9092</v>
      </c>
      <c r="I17">
        <f t="shared" si="3"/>
        <v>-1.8565772107347223E-2</v>
      </c>
      <c r="J17">
        <f t="shared" si="4"/>
        <v>35234.799999999996</v>
      </c>
      <c r="K17">
        <f t="shared" si="5"/>
        <v>2025</v>
      </c>
      <c r="L17">
        <f t="shared" ca="1" si="6"/>
        <v>8831.9</v>
      </c>
      <c r="M17">
        <f>C17*_xlfn.XLOOKUP(A17,FX!$A$2:$A$37,FX!$C$2:$C$37)</f>
        <v>9363.1137599999984</v>
      </c>
      <c r="N17">
        <f>C17*(1+Control!$B$4)^(A17/12)</f>
        <v>9281.9008887832497</v>
      </c>
      <c r="O17">
        <f t="shared" si="7"/>
        <v>21</v>
      </c>
      <c r="P17">
        <f t="shared" si="8"/>
        <v>115.09999999999854</v>
      </c>
      <c r="Q17">
        <f t="shared" si="9"/>
        <v>0.60628094379881092</v>
      </c>
      <c r="R17">
        <f t="shared" si="10"/>
        <v>0.48</v>
      </c>
      <c r="S17" t="str">
        <f t="shared" si="11"/>
        <v>in linea</v>
      </c>
      <c r="T17" t="str">
        <f t="shared" si="12"/>
        <v>T2-2025</v>
      </c>
      <c r="U17">
        <f t="shared" si="13"/>
        <v>8600.2250000000004</v>
      </c>
    </row>
    <row r="18" spans="1:21" x14ac:dyDescent="0.25">
      <c r="A18">
        <f t="shared" si="0"/>
        <v>17</v>
      </c>
      <c r="B18" s="1">
        <f t="shared" si="1"/>
        <v>45808</v>
      </c>
      <c r="C18">
        <f>SUMIFS(Data!$E$2:$E$5761,Data!$A$2:$A$5761,Control!$B$2,Data!$B$2:$B$5761,A18)</f>
        <v>9056.2999999999993</v>
      </c>
      <c r="D18">
        <f>SUMIFS(Data!$F$2:$F$5761,Data!$A$2:$A$5761,Control!$B$2,Data!$B$2:$B$5761,A18)</f>
        <v>489.62</v>
      </c>
      <c r="E18">
        <f>SUMIFS(Data!$G$2:$G$5761,Data!$A$2:$A$5761,Control!$B$2,Data!$B$2:$B$5761,A18)</f>
        <v>298.03999999999996</v>
      </c>
      <c r="F18">
        <f>SUMIFS(Data!$H$2:$H$5761,Data!$A$2:$A$5761,Control!$B$2,Data!$B$2:$B$5761,A18)</f>
        <v>1003</v>
      </c>
      <c r="G18">
        <f t="shared" si="2"/>
        <v>191.58000000000004</v>
      </c>
      <c r="H18" cm="1">
        <f t="array" ref="H18">INDEX(Budget!$B$2:$AK$21,Control!$B$6,MATCH(A18,Budget!$B$1:$AK$1,0))</f>
        <v>9164</v>
      </c>
      <c r="I18">
        <f t="shared" si="3"/>
        <v>-1.1752509821038926E-2</v>
      </c>
      <c r="J18">
        <f t="shared" si="4"/>
        <v>44291.099999999991</v>
      </c>
      <c r="K18">
        <f t="shared" si="5"/>
        <v>2025</v>
      </c>
      <c r="L18">
        <f t="shared" ca="1" si="6"/>
        <v>8929.1999999999989</v>
      </c>
      <c r="M18">
        <f>C18*_xlfn.XLOOKUP(A18,FX!$A$2:$A$37,FX!$C$2:$C$37)</f>
        <v>9432.13645</v>
      </c>
      <c r="N18">
        <f>C18*(1+Control!$B$4)^(A18/12)</f>
        <v>9443.5844612383517</v>
      </c>
      <c r="O18">
        <f t="shared" si="7"/>
        <v>20</v>
      </c>
      <c r="P18">
        <f t="shared" si="8"/>
        <v>133.10000000000036</v>
      </c>
      <c r="Q18">
        <f t="shared" si="9"/>
        <v>0.60871696417629995</v>
      </c>
      <c r="R18">
        <f t="shared" si="10"/>
        <v>0.49</v>
      </c>
      <c r="S18" t="str">
        <f t="shared" si="11"/>
        <v>in linea</v>
      </c>
      <c r="T18" t="str">
        <f t="shared" si="12"/>
        <v>T2-2025</v>
      </c>
      <c r="U18">
        <f t="shared" si="13"/>
        <v>8661.15</v>
      </c>
    </row>
    <row r="19" spans="1:21" x14ac:dyDescent="0.25">
      <c r="A19">
        <f t="shared" si="0"/>
        <v>18</v>
      </c>
      <c r="B19" s="1">
        <f t="shared" si="1"/>
        <v>45838</v>
      </c>
      <c r="C19">
        <f>SUMIFS(Data!$E$2:$E$5761,Data!$A$2:$A$5761,Control!$B$2,Data!$B$2:$B$5761,A19)</f>
        <v>9113.2999999999993</v>
      </c>
      <c r="D19">
        <f>SUMIFS(Data!$F$2:$F$5761,Data!$A$2:$A$5761,Control!$B$2,Data!$B$2:$B$5761,A19)</f>
        <v>493.34000000000003</v>
      </c>
      <c r="E19">
        <f>SUMIFS(Data!$G$2:$G$5761,Data!$A$2:$A$5761,Control!$B$2,Data!$B$2:$B$5761,A19)</f>
        <v>300.03000000000003</v>
      </c>
      <c r="F19">
        <f>SUMIFS(Data!$H$2:$H$5761,Data!$A$2:$A$5761,Control!$B$2,Data!$B$2:$B$5761,A19)</f>
        <v>896</v>
      </c>
      <c r="G19">
        <f t="shared" si="2"/>
        <v>193.31</v>
      </c>
      <c r="H19" cm="1">
        <f t="array" ref="H19">INDEX(Budget!$B$2:$AK$21,Control!$B$6,MATCH(A19,Budget!$B$1:$AK$1,0))</f>
        <v>9235</v>
      </c>
      <c r="I19">
        <f t="shared" si="3"/>
        <v>-1.3178126691932968E-2</v>
      </c>
      <c r="J19">
        <f t="shared" si="4"/>
        <v>53404.399999999994</v>
      </c>
      <c r="K19">
        <f t="shared" si="5"/>
        <v>2025</v>
      </c>
      <c r="L19">
        <f t="shared" ca="1" si="6"/>
        <v>9030.9333333333325</v>
      </c>
      <c r="M19">
        <f>C19*_xlfn.XLOOKUP(A19,FX!$A$2:$A$37,FX!$C$2:$C$37)</f>
        <v>9424.0635299999994</v>
      </c>
      <c r="N19">
        <f>C19*(1+Control!$B$4)^(A19/12)</f>
        <v>9526.4590305159563</v>
      </c>
      <c r="O19">
        <f t="shared" si="7"/>
        <v>19</v>
      </c>
      <c r="P19">
        <f t="shared" si="8"/>
        <v>57</v>
      </c>
      <c r="Q19">
        <f t="shared" si="9"/>
        <v>0.60816070053107396</v>
      </c>
      <c r="R19">
        <f t="shared" si="10"/>
        <v>0.55000000000000004</v>
      </c>
      <c r="S19" t="str">
        <f t="shared" si="11"/>
        <v>in linea</v>
      </c>
      <c r="T19" t="str">
        <f t="shared" si="12"/>
        <v>T2-2025</v>
      </c>
      <c r="U19">
        <f t="shared" si="13"/>
        <v>8725.3166666666675</v>
      </c>
    </row>
    <row r="20" spans="1:21" x14ac:dyDescent="0.25">
      <c r="A20">
        <f t="shared" si="0"/>
        <v>19</v>
      </c>
      <c r="B20" s="1">
        <f t="shared" si="1"/>
        <v>45869</v>
      </c>
      <c r="C20">
        <f>SUMIFS(Data!$E$2:$E$5761,Data!$A$2:$A$5761,Control!$B$2,Data!$B$2:$B$5761,A20)</f>
        <v>9158.2000000000007</v>
      </c>
      <c r="D20">
        <f>SUMIFS(Data!$F$2:$F$5761,Data!$A$2:$A$5761,Control!$B$2,Data!$B$2:$B$5761,A20)</f>
        <v>494.5</v>
      </c>
      <c r="E20">
        <f>SUMIFS(Data!$G$2:$G$5761,Data!$A$2:$A$5761,Control!$B$2,Data!$B$2:$B$5761,A20)</f>
        <v>300.25</v>
      </c>
      <c r="F20">
        <f>SUMIFS(Data!$H$2:$H$5761,Data!$A$2:$A$5761,Control!$B$2,Data!$B$2:$B$5761,A20)</f>
        <v>934</v>
      </c>
      <c r="G20">
        <f t="shared" si="2"/>
        <v>194.25</v>
      </c>
      <c r="H20" cm="1">
        <f t="array" ref="H20">INDEX(Budget!$B$2:$AK$21,Control!$B$6,MATCH(A20,Budget!$B$1:$AK$1,0))</f>
        <v>9307</v>
      </c>
      <c r="I20">
        <f t="shared" si="3"/>
        <v>-1.5987966047061319E-2</v>
      </c>
      <c r="J20">
        <f t="shared" si="4"/>
        <v>62562.599999999991</v>
      </c>
      <c r="K20">
        <f t="shared" si="5"/>
        <v>2025</v>
      </c>
      <c r="L20">
        <f t="shared" ca="1" si="6"/>
        <v>9109.2666666666664</v>
      </c>
      <c r="M20">
        <f>C20*_xlfn.XLOOKUP(A20,FX!$A$2:$A$37,FX!$C$2:$C$37)</f>
        <v>9409.134680000001</v>
      </c>
      <c r="N20">
        <f>C20*(1+Control!$B$4)^(A20/12)</f>
        <v>9597.0051830803841</v>
      </c>
      <c r="O20">
        <f t="shared" si="7"/>
        <v>18</v>
      </c>
      <c r="P20">
        <f t="shared" si="8"/>
        <v>44.900000000001455</v>
      </c>
      <c r="Q20">
        <f t="shared" si="9"/>
        <v>0.60717896865520726</v>
      </c>
      <c r="R20">
        <f t="shared" si="10"/>
        <v>0.53</v>
      </c>
      <c r="S20" t="str">
        <f t="shared" si="11"/>
        <v>in linea</v>
      </c>
      <c r="T20" t="str">
        <f t="shared" si="12"/>
        <v>T3-2025</v>
      </c>
      <c r="U20">
        <f t="shared" si="13"/>
        <v>8788.0833333333339</v>
      </c>
    </row>
    <row r="21" spans="1:21" x14ac:dyDescent="0.25">
      <c r="A21">
        <f t="shared" si="0"/>
        <v>20</v>
      </c>
      <c r="B21" s="1">
        <f t="shared" si="1"/>
        <v>45900</v>
      </c>
      <c r="C21">
        <f>SUMIFS(Data!$E$2:$E$5761,Data!$A$2:$A$5761,Control!$B$2,Data!$B$2:$B$5761,A21)</f>
        <v>9269.7000000000007</v>
      </c>
      <c r="D21">
        <f>SUMIFS(Data!$F$2:$F$5761,Data!$A$2:$A$5761,Control!$B$2,Data!$B$2:$B$5761,A21)</f>
        <v>501.26</v>
      </c>
      <c r="E21">
        <f>SUMIFS(Data!$G$2:$G$5761,Data!$A$2:$A$5761,Control!$B$2,Data!$B$2:$B$5761,A21)</f>
        <v>303.89999999999998</v>
      </c>
      <c r="F21">
        <f>SUMIFS(Data!$H$2:$H$5761,Data!$A$2:$A$5761,Control!$B$2,Data!$B$2:$B$5761,A21)</f>
        <v>945</v>
      </c>
      <c r="G21">
        <f t="shared" si="2"/>
        <v>197.36</v>
      </c>
      <c r="H21" cm="1">
        <f t="array" ref="H21">INDEX(Budget!$B$2:$AK$21,Control!$B$6,MATCH(A21,Budget!$B$1:$AK$1,0))</f>
        <v>9378</v>
      </c>
      <c r="I21">
        <f t="shared" si="3"/>
        <v>-1.1548304542546295E-2</v>
      </c>
      <c r="J21">
        <f t="shared" si="4"/>
        <v>71832.299999999988</v>
      </c>
      <c r="K21">
        <f t="shared" si="5"/>
        <v>2025</v>
      </c>
      <c r="L21">
        <f t="shared" ca="1" si="6"/>
        <v>9180.4</v>
      </c>
      <c r="M21">
        <f>C21*_xlfn.XLOOKUP(A21,FX!$A$2:$A$37,FX!$C$2:$C$37)</f>
        <v>9470.8524900000011</v>
      </c>
      <c r="N21">
        <f>C21*(1+Control!$B$4)^(A21/12)</f>
        <v>9737.8045528674629</v>
      </c>
      <c r="O21">
        <f t="shared" si="7"/>
        <v>16</v>
      </c>
      <c r="P21">
        <f t="shared" si="8"/>
        <v>111.5</v>
      </c>
      <c r="Q21">
        <f t="shared" si="9"/>
        <v>0.60627219407094124</v>
      </c>
      <c r="R21">
        <f t="shared" si="10"/>
        <v>0.53</v>
      </c>
      <c r="S21" t="str">
        <f t="shared" si="11"/>
        <v>in linea</v>
      </c>
      <c r="T21" t="str">
        <f t="shared" si="12"/>
        <v>T3-2025</v>
      </c>
      <c r="U21">
        <f t="shared" si="13"/>
        <v>8857.1750000000011</v>
      </c>
    </row>
    <row r="22" spans="1:21" x14ac:dyDescent="0.25">
      <c r="A22">
        <f t="shared" si="0"/>
        <v>21</v>
      </c>
      <c r="B22" s="1">
        <f t="shared" si="1"/>
        <v>45930</v>
      </c>
      <c r="C22">
        <f>SUMIFS(Data!$E$2:$E$5761,Data!$A$2:$A$5761,Control!$B$2,Data!$B$2:$B$5761,A22)</f>
        <v>9227.3000000000011</v>
      </c>
      <c r="D22">
        <f>SUMIFS(Data!$F$2:$F$5761,Data!$A$2:$A$5761,Control!$B$2,Data!$B$2:$B$5761,A22)</f>
        <v>500.09000000000003</v>
      </c>
      <c r="E22">
        <f>SUMIFS(Data!$G$2:$G$5761,Data!$A$2:$A$5761,Control!$B$2,Data!$B$2:$B$5761,A22)</f>
        <v>301.48</v>
      </c>
      <c r="F22">
        <f>SUMIFS(Data!$H$2:$H$5761,Data!$A$2:$A$5761,Control!$B$2,Data!$B$2:$B$5761,A22)</f>
        <v>960</v>
      </c>
      <c r="G22">
        <f t="shared" si="2"/>
        <v>198.61</v>
      </c>
      <c r="H22" cm="1">
        <f t="array" ref="H22">INDEX(Budget!$B$2:$AK$21,Control!$B$6,MATCH(A22,Budget!$B$1:$AK$1,0))</f>
        <v>9450</v>
      </c>
      <c r="I22">
        <f t="shared" si="3"/>
        <v>-2.3566137566137457E-2</v>
      </c>
      <c r="J22">
        <f t="shared" si="4"/>
        <v>81059.599999999991</v>
      </c>
      <c r="K22">
        <f t="shared" si="5"/>
        <v>2025</v>
      </c>
      <c r="L22">
        <f t="shared" ca="1" si="6"/>
        <v>9218.4000000000015</v>
      </c>
      <c r="M22">
        <f>C22*_xlfn.XLOOKUP(A22,FX!$A$2:$A$37,FX!$C$2:$C$37)</f>
        <v>9386.0095600000022</v>
      </c>
      <c r="N22">
        <f>C22*(1+Control!$B$4)^(A22/12)</f>
        <v>9717.1696254119142</v>
      </c>
      <c r="O22">
        <f t="shared" si="7"/>
        <v>17</v>
      </c>
      <c r="P22">
        <f t="shared" si="8"/>
        <v>-42.399999999999636</v>
      </c>
      <c r="Q22">
        <f t="shared" si="9"/>
        <v>0.6028514867323882</v>
      </c>
      <c r="R22">
        <f t="shared" si="10"/>
        <v>0.52</v>
      </c>
      <c r="S22" t="str">
        <f t="shared" si="11"/>
        <v>in linea</v>
      </c>
      <c r="T22" t="str">
        <f t="shared" si="12"/>
        <v>T3-2025</v>
      </c>
      <c r="U22">
        <f t="shared" si="13"/>
        <v>8917.8166666666675</v>
      </c>
    </row>
    <row r="23" spans="1:21" x14ac:dyDescent="0.25">
      <c r="A23">
        <f t="shared" si="0"/>
        <v>22</v>
      </c>
      <c r="B23" s="1">
        <f t="shared" si="1"/>
        <v>45961</v>
      </c>
      <c r="C23">
        <f>SUMIFS(Data!$E$2:$E$5761,Data!$A$2:$A$5761,Control!$B$2,Data!$B$2:$B$5761,A23)</f>
        <v>9333.9</v>
      </c>
      <c r="D23">
        <f>SUMIFS(Data!$F$2:$F$5761,Data!$A$2:$A$5761,Control!$B$2,Data!$B$2:$B$5761,A23)</f>
        <v>505.79999999999995</v>
      </c>
      <c r="E23">
        <f>SUMIFS(Data!$G$2:$G$5761,Data!$A$2:$A$5761,Control!$B$2,Data!$B$2:$B$5761,A23)</f>
        <v>305.60000000000002</v>
      </c>
      <c r="F23">
        <f>SUMIFS(Data!$H$2:$H$5761,Data!$A$2:$A$5761,Control!$B$2,Data!$B$2:$B$5761,A23)</f>
        <v>947</v>
      </c>
      <c r="G23">
        <f t="shared" si="2"/>
        <v>200.19999999999993</v>
      </c>
      <c r="H23" cm="1">
        <f t="array" ref="H23">INDEX(Budget!$B$2:$AK$21,Control!$B$6,MATCH(A23,Budget!$B$1:$AK$1,0))</f>
        <v>9521</v>
      </c>
      <c r="I23">
        <f t="shared" si="3"/>
        <v>-1.9651297132654122E-2</v>
      </c>
      <c r="J23">
        <f t="shared" si="4"/>
        <v>90393.499999999985</v>
      </c>
      <c r="K23">
        <f t="shared" si="5"/>
        <v>2025</v>
      </c>
      <c r="L23">
        <f t="shared" ca="1" si="6"/>
        <v>9276.9666666666672</v>
      </c>
      <c r="M23">
        <f>C23*_xlfn.XLOOKUP(A23,FX!$A$2:$A$37,FX!$C$2:$C$37)</f>
        <v>9465.5079900000001</v>
      </c>
      <c r="N23">
        <f>C23*(1+Control!$B$4)^(A23/12)</f>
        <v>9853.670953540679</v>
      </c>
      <c r="O23">
        <f t="shared" si="7"/>
        <v>14</v>
      </c>
      <c r="P23">
        <f t="shared" si="8"/>
        <v>106.59999999999854</v>
      </c>
      <c r="Q23">
        <f t="shared" si="9"/>
        <v>0.60419137999209183</v>
      </c>
      <c r="R23">
        <f t="shared" si="10"/>
        <v>0.53</v>
      </c>
      <c r="S23" t="str">
        <f t="shared" si="11"/>
        <v>in linea</v>
      </c>
      <c r="T23" t="str">
        <f t="shared" si="12"/>
        <v>T4-2025</v>
      </c>
      <c r="U23">
        <f t="shared" si="13"/>
        <v>8979.7583333333332</v>
      </c>
    </row>
    <row r="24" spans="1:21" x14ac:dyDescent="0.25">
      <c r="A24">
        <f t="shared" si="0"/>
        <v>23</v>
      </c>
      <c r="B24" s="1">
        <f t="shared" si="1"/>
        <v>45991</v>
      </c>
      <c r="C24">
        <f>SUMIFS(Data!$E$2:$E$5761,Data!$A$2:$A$5761,Control!$B$2,Data!$B$2:$B$5761,A24)</f>
        <v>9331.1</v>
      </c>
      <c r="D24">
        <f>SUMIFS(Data!$F$2:$F$5761,Data!$A$2:$A$5761,Control!$B$2,Data!$B$2:$B$5761,A24)</f>
        <v>505.18999999999994</v>
      </c>
      <c r="E24">
        <f>SUMIFS(Data!$G$2:$G$5761,Data!$A$2:$A$5761,Control!$B$2,Data!$B$2:$B$5761,A24)</f>
        <v>306.32</v>
      </c>
      <c r="F24">
        <f>SUMIFS(Data!$H$2:$H$5761,Data!$A$2:$A$5761,Control!$B$2,Data!$B$2:$B$5761,A24)</f>
        <v>966</v>
      </c>
      <c r="G24">
        <f t="shared" si="2"/>
        <v>198.86999999999995</v>
      </c>
      <c r="H24" cm="1">
        <f t="array" ref="H24">INDEX(Budget!$B$2:$AK$21,Control!$B$6,MATCH(A24,Budget!$B$1:$AK$1,0))</f>
        <v>9593</v>
      </c>
      <c r="I24">
        <f t="shared" si="3"/>
        <v>-2.7301157093714168E-2</v>
      </c>
      <c r="J24">
        <f t="shared" si="4"/>
        <v>99724.599999999991</v>
      </c>
      <c r="K24">
        <f t="shared" si="5"/>
        <v>2025</v>
      </c>
      <c r="L24">
        <f t="shared" ca="1" si="6"/>
        <v>9297.4333333333343</v>
      </c>
      <c r="M24">
        <f>C24*_xlfn.XLOOKUP(A24,FX!$A$2:$A$37,FX!$C$2:$C$37)</f>
        <v>9448.6718600000004</v>
      </c>
      <c r="N24">
        <f>C24*(1+Control!$B$4)^(A24/12)</f>
        <v>9875.0095524396093</v>
      </c>
      <c r="O24">
        <f t="shared" si="7"/>
        <v>15</v>
      </c>
      <c r="P24">
        <f t="shared" si="8"/>
        <v>-2.7999999999992724</v>
      </c>
      <c r="Q24">
        <f t="shared" si="9"/>
        <v>0.60634612719966752</v>
      </c>
      <c r="R24">
        <f t="shared" si="10"/>
        <v>0.52</v>
      </c>
      <c r="S24" t="str">
        <f t="shared" si="11"/>
        <v>in linea</v>
      </c>
      <c r="T24" t="str">
        <f t="shared" si="12"/>
        <v>T4-2025</v>
      </c>
      <c r="U24">
        <f t="shared" si="13"/>
        <v>9036.9416666666675</v>
      </c>
    </row>
    <row r="25" spans="1:21" x14ac:dyDescent="0.25">
      <c r="A25">
        <f t="shared" si="0"/>
        <v>24</v>
      </c>
      <c r="B25" s="1">
        <f t="shared" si="1"/>
        <v>46022</v>
      </c>
      <c r="C25">
        <f>SUMIFS(Data!$E$2:$E$5761,Data!$A$2:$A$5761,Control!$B$2,Data!$B$2:$B$5761,A25)</f>
        <v>9406</v>
      </c>
      <c r="D25">
        <f>SUMIFS(Data!$F$2:$F$5761,Data!$A$2:$A$5761,Control!$B$2,Data!$B$2:$B$5761,A25)</f>
        <v>509.76</v>
      </c>
      <c r="E25">
        <f>SUMIFS(Data!$G$2:$G$5761,Data!$A$2:$A$5761,Control!$B$2,Data!$B$2:$B$5761,A25)</f>
        <v>308.97000000000003</v>
      </c>
      <c r="F25">
        <f>SUMIFS(Data!$H$2:$H$5761,Data!$A$2:$A$5761,Control!$B$2,Data!$B$2:$B$5761,A25)</f>
        <v>913</v>
      </c>
      <c r="G25">
        <f t="shared" si="2"/>
        <v>200.78999999999996</v>
      </c>
      <c r="H25" cm="1">
        <f t="array" ref="H25">INDEX(Budget!$B$2:$AK$21,Control!$B$6,MATCH(A25,Budget!$B$1:$AK$1,0))</f>
        <v>9664</v>
      </c>
      <c r="I25">
        <f t="shared" si="3"/>
        <v>-2.6697019867549687E-2</v>
      </c>
      <c r="J25">
        <f t="shared" si="4"/>
        <v>109130.59999999999</v>
      </c>
      <c r="K25">
        <f t="shared" si="5"/>
        <v>2025</v>
      </c>
      <c r="L25">
        <f t="shared" ca="1" si="6"/>
        <v>9357</v>
      </c>
      <c r="M25">
        <f>C25*_xlfn.XLOOKUP(A25,FX!$A$2:$A$37,FX!$C$2:$C$37)</f>
        <v>9524.5155999999988</v>
      </c>
      <c r="N25">
        <f>C25*(1+Control!$B$4)^(A25/12)</f>
        <v>9978.8253999999997</v>
      </c>
      <c r="O25">
        <f t="shared" si="7"/>
        <v>13</v>
      </c>
      <c r="P25">
        <f t="shared" si="8"/>
        <v>74.899999999999636</v>
      </c>
      <c r="Q25">
        <f t="shared" si="9"/>
        <v>0.60610875706214695</v>
      </c>
      <c r="R25">
        <f t="shared" si="10"/>
        <v>0.56000000000000005</v>
      </c>
      <c r="S25" t="str">
        <f t="shared" si="11"/>
        <v>in linea</v>
      </c>
      <c r="T25" t="str">
        <f t="shared" si="12"/>
        <v>T4-2025</v>
      </c>
      <c r="U25">
        <f t="shared" si="13"/>
        <v>9094.2166666666653</v>
      </c>
    </row>
    <row r="26" spans="1:21" x14ac:dyDescent="0.25">
      <c r="A26">
        <f t="shared" si="0"/>
        <v>25</v>
      </c>
      <c r="B26" s="1">
        <f t="shared" si="1"/>
        <v>46053</v>
      </c>
      <c r="C26">
        <f>SUMIFS(Data!$E$2:$E$5761,Data!$A$2:$A$5761,Control!$B$2,Data!$B$2:$B$5761,A26)</f>
        <v>9566.8000000000011</v>
      </c>
      <c r="D26">
        <f>SUMIFS(Data!$F$2:$F$5761,Data!$A$2:$A$5761,Control!$B$2,Data!$B$2:$B$5761,A26)</f>
        <v>516.95000000000005</v>
      </c>
      <c r="E26">
        <f>SUMIFS(Data!$G$2:$G$5761,Data!$A$2:$A$5761,Control!$B$2,Data!$B$2:$B$5761,A26)</f>
        <v>313.31</v>
      </c>
      <c r="F26">
        <f>SUMIFS(Data!$H$2:$H$5761,Data!$A$2:$A$5761,Control!$B$2,Data!$B$2:$B$5761,A26)</f>
        <v>908</v>
      </c>
      <c r="G26">
        <f t="shared" si="2"/>
        <v>203.64000000000004</v>
      </c>
      <c r="H26" cm="1">
        <f t="array" ref="H26">INDEX(Budget!$B$2:$AK$21,Control!$B$6,MATCH(A26,Budget!$B$1:$AK$1,0))</f>
        <v>9736</v>
      </c>
      <c r="I26">
        <f t="shared" si="3"/>
        <v>-1.7378800328677002E-2</v>
      </c>
      <c r="J26">
        <f t="shared" si="4"/>
        <v>9566.8000000000011</v>
      </c>
      <c r="K26">
        <f t="shared" si="5"/>
        <v>2026</v>
      </c>
      <c r="L26">
        <f t="shared" ca="1" si="6"/>
        <v>9434.6333333333332</v>
      </c>
      <c r="M26">
        <f>C26*_xlfn.XLOOKUP(A26,FX!$A$2:$A$37,FX!$C$2:$C$37)</f>
        <v>9701.6918800000003</v>
      </c>
      <c r="N26">
        <f>C26*(1+Control!$B$4)^(A26/12)</f>
        <v>10174.449323115827</v>
      </c>
      <c r="O26">
        <f t="shared" si="7"/>
        <v>12</v>
      </c>
      <c r="P26">
        <f t="shared" si="8"/>
        <v>160.80000000000109</v>
      </c>
      <c r="Q26">
        <f t="shared" si="9"/>
        <v>0.6060740884031337</v>
      </c>
      <c r="R26">
        <f t="shared" si="10"/>
        <v>0.56999999999999995</v>
      </c>
      <c r="S26" t="str">
        <f t="shared" si="11"/>
        <v>in linea</v>
      </c>
      <c r="T26" t="str">
        <f t="shared" si="12"/>
        <v>T1-2026</v>
      </c>
      <c r="U26">
        <f t="shared" si="13"/>
        <v>9163.1916666666675</v>
      </c>
    </row>
    <row r="27" spans="1:21" x14ac:dyDescent="0.25">
      <c r="A27">
        <f t="shared" si="0"/>
        <v>26</v>
      </c>
      <c r="B27" s="1">
        <f t="shared" si="1"/>
        <v>46081</v>
      </c>
      <c r="C27">
        <f>SUMIFS(Data!$E$2:$E$5761,Data!$A$2:$A$5761,Control!$B$2,Data!$B$2:$B$5761,A27)</f>
        <v>9616.2000000000007</v>
      </c>
      <c r="D27">
        <f>SUMIFS(Data!$F$2:$F$5761,Data!$A$2:$A$5761,Control!$B$2,Data!$B$2:$B$5761,A27)</f>
        <v>517.99</v>
      </c>
      <c r="E27">
        <f>SUMIFS(Data!$G$2:$G$5761,Data!$A$2:$A$5761,Control!$B$2,Data!$B$2:$B$5761,A27)</f>
        <v>314.75</v>
      </c>
      <c r="F27">
        <f>SUMIFS(Data!$H$2:$H$5761,Data!$A$2:$A$5761,Control!$B$2,Data!$B$2:$B$5761,A27)</f>
        <v>1005</v>
      </c>
      <c r="G27">
        <f t="shared" si="2"/>
        <v>203.24</v>
      </c>
      <c r="H27" cm="1">
        <f t="array" ref="H27">INDEX(Budget!$B$2:$AK$21,Control!$B$6,MATCH(A27,Budget!$B$1:$AK$1,0))</f>
        <v>9807</v>
      </c>
      <c r="I27">
        <f t="shared" si="3"/>
        <v>-1.9455490975833545E-2</v>
      </c>
      <c r="J27">
        <f t="shared" si="4"/>
        <v>19183</v>
      </c>
      <c r="K27">
        <f t="shared" si="5"/>
        <v>2026</v>
      </c>
      <c r="L27">
        <f t="shared" ca="1" si="6"/>
        <v>9529.6666666666679</v>
      </c>
      <c r="M27">
        <f>C27*_xlfn.XLOOKUP(A27,FX!$A$2:$A$37,FX!$C$2:$C$37)</f>
        <v>9782.560260000002</v>
      </c>
      <c r="N27">
        <f>C27*(1+Control!$B$4)^(A27/12)</f>
        <v>10252.209545506441</v>
      </c>
      <c r="O27">
        <f t="shared" si="7"/>
        <v>11</v>
      </c>
      <c r="P27">
        <f t="shared" si="8"/>
        <v>49.399999999999636</v>
      </c>
      <c r="Q27">
        <f t="shared" si="9"/>
        <v>0.6076372130736114</v>
      </c>
      <c r="R27">
        <f t="shared" si="10"/>
        <v>0.52</v>
      </c>
      <c r="S27" t="str">
        <f t="shared" si="11"/>
        <v>in linea</v>
      </c>
      <c r="T27" t="str">
        <f t="shared" si="12"/>
        <v>T1-2026</v>
      </c>
      <c r="U27">
        <f t="shared" si="13"/>
        <v>9234.1749999999993</v>
      </c>
    </row>
    <row r="28" spans="1:21" x14ac:dyDescent="0.25">
      <c r="A28">
        <f t="shared" si="0"/>
        <v>27</v>
      </c>
      <c r="B28" s="1">
        <f t="shared" si="1"/>
        <v>46112</v>
      </c>
      <c r="C28">
        <f>SUMIFS(Data!$E$2:$E$5761,Data!$A$2:$A$5761,Control!$B$2,Data!$B$2:$B$5761,A28)</f>
        <v>9729.1</v>
      </c>
      <c r="D28">
        <f>SUMIFS(Data!$F$2:$F$5761,Data!$A$2:$A$5761,Control!$B$2,Data!$B$2:$B$5761,A28)</f>
        <v>526.02</v>
      </c>
      <c r="E28">
        <f>SUMIFS(Data!$G$2:$G$5761,Data!$A$2:$A$5761,Control!$B$2,Data!$B$2:$B$5761,A28)</f>
        <v>319.24</v>
      </c>
      <c r="F28">
        <f>SUMIFS(Data!$H$2:$H$5761,Data!$A$2:$A$5761,Control!$B$2,Data!$B$2:$B$5761,A28)</f>
        <v>913</v>
      </c>
      <c r="G28">
        <f t="shared" si="2"/>
        <v>206.77999999999997</v>
      </c>
      <c r="H28" cm="1">
        <f t="array" ref="H28">INDEX(Budget!$B$2:$AK$21,Control!$B$6,MATCH(A28,Budget!$B$1:$AK$1,0))</f>
        <v>9879</v>
      </c>
      <c r="I28">
        <f t="shared" si="3"/>
        <v>-1.5173600566858902E-2</v>
      </c>
      <c r="J28">
        <f t="shared" si="4"/>
        <v>28912.1</v>
      </c>
      <c r="K28">
        <f t="shared" si="5"/>
        <v>2026</v>
      </c>
      <c r="L28">
        <f t="shared" ca="1" si="6"/>
        <v>9637.3666666666668</v>
      </c>
      <c r="M28">
        <f>C28*_xlfn.XLOOKUP(A28,FX!$A$2:$A$37,FX!$C$2:$C$37)</f>
        <v>9941.1943800000008</v>
      </c>
      <c r="N28">
        <f>C28*(1+Control!$B$4)^(A28/12)</f>
        <v>10398.158254304435</v>
      </c>
      <c r="O28">
        <f t="shared" si="7"/>
        <v>9</v>
      </c>
      <c r="P28">
        <f t="shared" si="8"/>
        <v>112.89999999999964</v>
      </c>
      <c r="Q28">
        <f t="shared" si="9"/>
        <v>0.60689707615680011</v>
      </c>
      <c r="R28">
        <f t="shared" si="10"/>
        <v>0.57999999999999996</v>
      </c>
      <c r="S28" t="str">
        <f t="shared" si="11"/>
        <v>in linea</v>
      </c>
      <c r="T28" t="str">
        <f t="shared" si="12"/>
        <v>T1-2026</v>
      </c>
      <c r="U28">
        <f t="shared" si="13"/>
        <v>9310.9250000000011</v>
      </c>
    </row>
    <row r="29" spans="1:21" x14ac:dyDescent="0.25">
      <c r="A29">
        <f t="shared" si="0"/>
        <v>28</v>
      </c>
      <c r="B29" s="1">
        <f t="shared" si="1"/>
        <v>46142</v>
      </c>
      <c r="C29">
        <f>SUMIFS(Data!$E$2:$E$5761,Data!$A$2:$A$5761,Control!$B$2,Data!$B$2:$B$5761,A29)</f>
        <v>9665.6</v>
      </c>
      <c r="D29">
        <f>SUMIFS(Data!$F$2:$F$5761,Data!$A$2:$A$5761,Control!$B$2,Data!$B$2:$B$5761,A29)</f>
        <v>523.44000000000005</v>
      </c>
      <c r="E29">
        <f>SUMIFS(Data!$G$2:$G$5761,Data!$A$2:$A$5761,Control!$B$2,Data!$B$2:$B$5761,A29)</f>
        <v>317.67999999999995</v>
      </c>
      <c r="F29">
        <f>SUMIFS(Data!$H$2:$H$5761,Data!$A$2:$A$5761,Control!$B$2,Data!$B$2:$B$5761,A29)</f>
        <v>989</v>
      </c>
      <c r="G29">
        <f t="shared" si="2"/>
        <v>205.7600000000001</v>
      </c>
      <c r="H29" cm="1">
        <f t="array" ref="H29">INDEX(Budget!$B$2:$AK$21,Control!$B$6,MATCH(A29,Budget!$B$1:$AK$1,0))</f>
        <v>9950</v>
      </c>
      <c r="I29">
        <f t="shared" si="3"/>
        <v>-2.8582914572864326E-2</v>
      </c>
      <c r="J29">
        <f t="shared" si="4"/>
        <v>38577.699999999997</v>
      </c>
      <c r="K29">
        <f t="shared" si="5"/>
        <v>2026</v>
      </c>
      <c r="L29">
        <f t="shared" ca="1" si="6"/>
        <v>9670.3000000000011</v>
      </c>
      <c r="M29">
        <f>C29*_xlfn.XLOOKUP(A29,FX!$A$2:$A$37,FX!$C$2:$C$37)</f>
        <v>9931.4040000000005</v>
      </c>
      <c r="N29">
        <f>C29*(1+Control!$B$4)^(A29/12)</f>
        <v>10355.768722828368</v>
      </c>
      <c r="O29">
        <f t="shared" si="7"/>
        <v>10</v>
      </c>
      <c r="P29">
        <f t="shared" si="8"/>
        <v>-63.5</v>
      </c>
      <c r="Q29">
        <f t="shared" si="9"/>
        <v>0.60690814611034682</v>
      </c>
      <c r="R29">
        <f t="shared" si="10"/>
        <v>0.53</v>
      </c>
      <c r="S29" t="str">
        <f t="shared" si="11"/>
        <v>in linea</v>
      </c>
      <c r="T29" t="str">
        <f t="shared" si="12"/>
        <v>T2-2026</v>
      </c>
      <c r="U29">
        <f t="shared" si="13"/>
        <v>9372.7916666666679</v>
      </c>
    </row>
    <row r="30" spans="1:21" x14ac:dyDescent="0.25">
      <c r="A30">
        <f t="shared" si="0"/>
        <v>29</v>
      </c>
      <c r="B30" s="1">
        <f t="shared" si="1"/>
        <v>46173</v>
      </c>
      <c r="C30">
        <f>SUMIFS(Data!$E$2:$E$5761,Data!$A$2:$A$5761,Control!$B$2,Data!$B$2:$B$5761,A30)</f>
        <v>9782.7999999999993</v>
      </c>
      <c r="D30">
        <f>SUMIFS(Data!$F$2:$F$5761,Data!$A$2:$A$5761,Control!$B$2,Data!$B$2:$B$5761,A30)</f>
        <v>530.4</v>
      </c>
      <c r="E30">
        <f>SUMIFS(Data!$G$2:$G$5761,Data!$A$2:$A$5761,Control!$B$2,Data!$B$2:$B$5761,A30)</f>
        <v>321.5</v>
      </c>
      <c r="F30">
        <f>SUMIFS(Data!$H$2:$H$5761,Data!$A$2:$A$5761,Control!$B$2,Data!$B$2:$B$5761,A30)</f>
        <v>961</v>
      </c>
      <c r="G30">
        <f t="shared" si="2"/>
        <v>208.89999999999998</v>
      </c>
      <c r="H30" cm="1">
        <f t="array" ref="H30">INDEX(Budget!$B$2:$AK$21,Control!$B$6,MATCH(A30,Budget!$B$1:$AK$1,0))</f>
        <v>10022</v>
      </c>
      <c r="I30">
        <f t="shared" si="3"/>
        <v>-2.3867491518658968E-2</v>
      </c>
      <c r="J30">
        <f t="shared" si="4"/>
        <v>48360.5</v>
      </c>
      <c r="K30">
        <f t="shared" si="5"/>
        <v>2026</v>
      </c>
      <c r="L30">
        <f t="shared" ca="1" si="6"/>
        <v>9725.8333333333339</v>
      </c>
      <c r="M30">
        <f>C30*_xlfn.XLOOKUP(A30,FX!$A$2:$A$37,FX!$C$2:$C$37)</f>
        <v>10118.350039999999</v>
      </c>
      <c r="N30">
        <f>C30*(1+Control!$B$4)^(A30/12)</f>
        <v>10507.187152526378</v>
      </c>
      <c r="O30">
        <f t="shared" si="7"/>
        <v>8</v>
      </c>
      <c r="P30">
        <f t="shared" si="8"/>
        <v>117.19999999999891</v>
      </c>
      <c r="Q30">
        <f t="shared" si="9"/>
        <v>0.60614630467571651</v>
      </c>
      <c r="R30">
        <f t="shared" si="10"/>
        <v>0.55000000000000004</v>
      </c>
      <c r="S30" t="str">
        <f t="shared" si="11"/>
        <v>in linea</v>
      </c>
      <c r="T30" t="str">
        <f t="shared" si="12"/>
        <v>T2-2026</v>
      </c>
      <c r="U30">
        <f t="shared" si="13"/>
        <v>9433.3333333333339</v>
      </c>
    </row>
    <row r="31" spans="1:21" x14ac:dyDescent="0.25">
      <c r="A31">
        <f t="shared" si="0"/>
        <v>30</v>
      </c>
      <c r="B31" s="1">
        <f t="shared" si="1"/>
        <v>46203</v>
      </c>
      <c r="C31">
        <f>SUMIFS(Data!$E$2:$E$5761,Data!$A$2:$A$5761,Control!$B$2,Data!$B$2:$B$5761,A31)</f>
        <v>9865.7999999999993</v>
      </c>
      <c r="D31">
        <f>SUMIFS(Data!$F$2:$F$5761,Data!$A$2:$A$5761,Control!$B$2,Data!$B$2:$B$5761,A31)</f>
        <v>534.66</v>
      </c>
      <c r="E31">
        <f>SUMIFS(Data!$G$2:$G$5761,Data!$A$2:$A$5761,Control!$B$2,Data!$B$2:$B$5761,A31)</f>
        <v>324.64</v>
      </c>
      <c r="F31">
        <f>SUMIFS(Data!$H$2:$H$5761,Data!$A$2:$A$5761,Control!$B$2,Data!$B$2:$B$5761,A31)</f>
        <v>989</v>
      </c>
      <c r="G31">
        <f t="shared" si="2"/>
        <v>210.01999999999998</v>
      </c>
      <c r="H31" cm="1">
        <f t="array" ref="H31">INDEX(Budget!$B$2:$AK$21,Control!$B$6,MATCH(A31,Budget!$B$1:$AK$1,0))</f>
        <v>10093</v>
      </c>
      <c r="I31">
        <f t="shared" si="3"/>
        <v>-2.2510650946200417E-2</v>
      </c>
      <c r="J31">
        <f t="shared" si="4"/>
        <v>58226.3</v>
      </c>
      <c r="K31">
        <f t="shared" si="5"/>
        <v>2026</v>
      </c>
      <c r="L31">
        <f t="shared" ca="1" si="6"/>
        <v>9771.4</v>
      </c>
      <c r="M31">
        <f>C31*_xlfn.XLOOKUP(A31,FX!$A$2:$A$37,FX!$C$2:$C$37)</f>
        <v>10278.19044</v>
      </c>
      <c r="N31">
        <f>C31*(1+Control!$B$4)^(A31/12)</f>
        <v>10622.466470802263</v>
      </c>
      <c r="O31">
        <f t="shared" si="7"/>
        <v>7</v>
      </c>
      <c r="P31">
        <f t="shared" si="8"/>
        <v>83</v>
      </c>
      <c r="Q31">
        <f t="shared" si="9"/>
        <v>0.60718961583062137</v>
      </c>
      <c r="R31">
        <f t="shared" si="10"/>
        <v>0.54</v>
      </c>
      <c r="S31" t="str">
        <f t="shared" si="11"/>
        <v>in linea</v>
      </c>
      <c r="T31" t="str">
        <f t="shared" si="12"/>
        <v>T2-2026</v>
      </c>
      <c r="U31">
        <f t="shared" si="13"/>
        <v>9496.0416666666697</v>
      </c>
    </row>
    <row r="32" spans="1:21" x14ac:dyDescent="0.25">
      <c r="A32">
        <f t="shared" si="0"/>
        <v>31</v>
      </c>
      <c r="B32" s="1">
        <f t="shared" si="1"/>
        <v>46234</v>
      </c>
      <c r="C32">
        <f>SUMIFS(Data!$E$2:$E$5761,Data!$A$2:$A$5761,Control!$B$2,Data!$B$2:$B$5761,A32)</f>
        <v>9905.6</v>
      </c>
      <c r="D32">
        <f>SUMIFS(Data!$F$2:$F$5761,Data!$A$2:$A$5761,Control!$B$2,Data!$B$2:$B$5761,A32)</f>
        <v>535</v>
      </c>
      <c r="E32">
        <f>SUMIFS(Data!$G$2:$G$5761,Data!$A$2:$A$5761,Control!$B$2,Data!$B$2:$B$5761,A32)</f>
        <v>324.69</v>
      </c>
      <c r="F32">
        <f>SUMIFS(Data!$H$2:$H$5761,Data!$A$2:$A$5761,Control!$B$2,Data!$B$2:$B$5761,A32)</f>
        <v>960</v>
      </c>
      <c r="G32">
        <f t="shared" si="2"/>
        <v>210.31</v>
      </c>
      <c r="H32" cm="1">
        <f t="array" ref="H32">INDEX(Budget!$B$2:$AK$21,Control!$B$6,MATCH(A32,Budget!$B$1:$AK$1,0))</f>
        <v>10165</v>
      </c>
      <c r="I32">
        <f t="shared" si="3"/>
        <v>-2.5518937530742747E-2</v>
      </c>
      <c r="J32">
        <f t="shared" si="4"/>
        <v>68131.900000000009</v>
      </c>
      <c r="K32">
        <f t="shared" si="5"/>
        <v>2026</v>
      </c>
      <c r="L32">
        <f t="shared" ca="1" si="6"/>
        <v>9851.4</v>
      </c>
      <c r="M32">
        <f>C32*_xlfn.XLOOKUP(A32,FX!$A$2:$A$37,FX!$C$2:$C$37)</f>
        <v>10398.898880000001</v>
      </c>
      <c r="N32">
        <f>C32*(1+Control!$B$4)^(A32/12)</f>
        <v>10691.622521649086</v>
      </c>
      <c r="O32">
        <f t="shared" si="7"/>
        <v>6</v>
      </c>
      <c r="P32">
        <f t="shared" si="8"/>
        <v>39.800000000001091</v>
      </c>
      <c r="Q32">
        <f t="shared" si="9"/>
        <v>0.60689719626168226</v>
      </c>
      <c r="R32">
        <f t="shared" si="10"/>
        <v>0.56000000000000005</v>
      </c>
      <c r="S32" t="str">
        <f t="shared" si="11"/>
        <v>in linea</v>
      </c>
      <c r="T32" t="str">
        <f t="shared" si="12"/>
        <v>T3-2026</v>
      </c>
      <c r="U32">
        <f t="shared" si="13"/>
        <v>9558.3250000000025</v>
      </c>
    </row>
    <row r="33" spans="1:21" x14ac:dyDescent="0.25">
      <c r="A33">
        <f t="shared" si="0"/>
        <v>32</v>
      </c>
      <c r="B33" s="1">
        <f t="shared" si="1"/>
        <v>46265</v>
      </c>
      <c r="C33">
        <f>SUMIFS(Data!$E$2:$E$5761,Data!$A$2:$A$5761,Control!$B$2,Data!$B$2:$B$5761,A33)</f>
        <v>9946.4000000000015</v>
      </c>
      <c r="D33">
        <f>SUMIFS(Data!$F$2:$F$5761,Data!$A$2:$A$5761,Control!$B$2,Data!$B$2:$B$5761,A33)</f>
        <v>539.58999999999992</v>
      </c>
      <c r="E33">
        <f>SUMIFS(Data!$G$2:$G$5761,Data!$A$2:$A$5761,Control!$B$2,Data!$B$2:$B$5761,A33)</f>
        <v>325.2</v>
      </c>
      <c r="F33">
        <f>SUMIFS(Data!$H$2:$H$5761,Data!$A$2:$A$5761,Control!$B$2,Data!$B$2:$B$5761,A33)</f>
        <v>931</v>
      </c>
      <c r="G33">
        <f t="shared" si="2"/>
        <v>214.38999999999993</v>
      </c>
      <c r="H33" cm="1">
        <f t="array" ref="H33">INDEX(Budget!$B$2:$AK$21,Control!$B$6,MATCH(A33,Budget!$B$1:$AK$1,0))</f>
        <v>10237</v>
      </c>
      <c r="I33">
        <f t="shared" si="3"/>
        <v>-2.8387222819185154E-2</v>
      </c>
      <c r="J33">
        <f t="shared" si="4"/>
        <v>78078.300000000017</v>
      </c>
      <c r="K33">
        <f t="shared" si="5"/>
        <v>2026</v>
      </c>
      <c r="L33">
        <f t="shared" ca="1" si="6"/>
        <v>9905.9333333333343</v>
      </c>
      <c r="M33">
        <f>C33*_xlfn.XLOOKUP(A33,FX!$A$2:$A$37,FX!$C$2:$C$37)</f>
        <v>10522.296560000003</v>
      </c>
      <c r="N33">
        <f>C33*(1+Control!$B$4)^(A33/12)</f>
        <v>10762.137089741867</v>
      </c>
      <c r="O33">
        <f t="shared" si="7"/>
        <v>5</v>
      </c>
      <c r="P33">
        <f t="shared" si="8"/>
        <v>40.800000000001091</v>
      </c>
      <c r="Q33">
        <f t="shared" si="9"/>
        <v>0.60267981245019375</v>
      </c>
      <c r="R33">
        <f t="shared" si="10"/>
        <v>0.57999999999999996</v>
      </c>
      <c r="S33" t="str">
        <f t="shared" si="11"/>
        <v>in linea</v>
      </c>
      <c r="T33" t="str">
        <f t="shared" si="12"/>
        <v>T3-2026</v>
      </c>
      <c r="U33">
        <f t="shared" si="13"/>
        <v>9614.716666666669</v>
      </c>
    </row>
    <row r="34" spans="1:21" x14ac:dyDescent="0.25">
      <c r="A34">
        <f t="shared" si="0"/>
        <v>33</v>
      </c>
      <c r="B34" s="1">
        <f t="shared" si="1"/>
        <v>46295</v>
      </c>
      <c r="C34">
        <f>SUMIFS(Data!$E$2:$E$5761,Data!$A$2:$A$5761,Control!$B$2,Data!$B$2:$B$5761,A34)</f>
        <v>10029.400000000001</v>
      </c>
      <c r="D34">
        <f>SUMIFS(Data!$F$2:$F$5761,Data!$A$2:$A$5761,Control!$B$2,Data!$B$2:$B$5761,A34)</f>
        <v>542.69000000000005</v>
      </c>
      <c r="E34">
        <f>SUMIFS(Data!$G$2:$G$5761,Data!$A$2:$A$5761,Control!$B$2,Data!$B$2:$B$5761,A34)</f>
        <v>327.33000000000004</v>
      </c>
      <c r="F34">
        <f>SUMIFS(Data!$H$2:$H$5761,Data!$A$2:$A$5761,Control!$B$2,Data!$B$2:$B$5761,A34)</f>
        <v>974</v>
      </c>
      <c r="G34">
        <f t="shared" si="2"/>
        <v>215.36</v>
      </c>
      <c r="H34" cm="1">
        <f t="array" ref="H34">INDEX(Budget!$B$2:$AK$21,Control!$B$6,MATCH(A34,Budget!$B$1:$AK$1,0))</f>
        <v>10308</v>
      </c>
      <c r="I34">
        <f t="shared" si="3"/>
        <v>-2.7027551416375473E-2</v>
      </c>
      <c r="J34">
        <f t="shared" si="4"/>
        <v>88107.700000000012</v>
      </c>
      <c r="K34">
        <f t="shared" si="5"/>
        <v>2026</v>
      </c>
      <c r="L34">
        <f t="shared" ca="1" si="6"/>
        <v>9960.4666666666672</v>
      </c>
      <c r="M34">
        <f>C34*_xlfn.XLOOKUP(A34,FX!$A$2:$A$37,FX!$C$2:$C$37)</f>
        <v>10689.334520000002</v>
      </c>
      <c r="N34">
        <f>C34*(1+Control!$B$4)^(A34/12)</f>
        <v>10878.708015599303</v>
      </c>
      <c r="O34">
        <f t="shared" si="7"/>
        <v>4</v>
      </c>
      <c r="P34">
        <f t="shared" si="8"/>
        <v>83</v>
      </c>
      <c r="Q34">
        <f t="shared" si="9"/>
        <v>0.60316202620280457</v>
      </c>
      <c r="R34">
        <f t="shared" si="10"/>
        <v>0.56000000000000005</v>
      </c>
      <c r="S34" t="str">
        <f t="shared" si="11"/>
        <v>in linea</v>
      </c>
      <c r="T34" t="str">
        <f t="shared" si="12"/>
        <v>T3-2026</v>
      </c>
      <c r="U34">
        <f t="shared" si="13"/>
        <v>9681.5583333333343</v>
      </c>
    </row>
    <row r="35" spans="1:21" x14ac:dyDescent="0.25">
      <c r="A35">
        <f t="shared" si="0"/>
        <v>34</v>
      </c>
      <c r="B35" s="1">
        <f t="shared" si="1"/>
        <v>46326</v>
      </c>
      <c r="C35">
        <f>SUMIFS(Data!$E$2:$E$5761,Data!$A$2:$A$5761,Control!$B$2,Data!$B$2:$B$5761,A35)</f>
        <v>10087.199999999999</v>
      </c>
      <c r="D35">
        <f>SUMIFS(Data!$F$2:$F$5761,Data!$A$2:$A$5761,Control!$B$2,Data!$B$2:$B$5761,A35)</f>
        <v>546.29</v>
      </c>
      <c r="E35">
        <f>SUMIFS(Data!$G$2:$G$5761,Data!$A$2:$A$5761,Control!$B$2,Data!$B$2:$B$5761,A35)</f>
        <v>329.23</v>
      </c>
      <c r="F35">
        <f>SUMIFS(Data!$H$2:$H$5761,Data!$A$2:$A$5761,Control!$B$2,Data!$B$2:$B$5761,A35)</f>
        <v>1018</v>
      </c>
      <c r="G35">
        <f t="shared" si="2"/>
        <v>217.05999999999995</v>
      </c>
      <c r="H35" cm="1">
        <f t="array" ref="H35">INDEX(Budget!$B$2:$AK$21,Control!$B$6,MATCH(A35,Budget!$B$1:$AK$1,0))</f>
        <v>10380</v>
      </c>
      <c r="I35">
        <f t="shared" si="3"/>
        <v>-2.820809248554923E-2</v>
      </c>
      <c r="J35">
        <f t="shared" si="4"/>
        <v>98194.900000000009</v>
      </c>
      <c r="K35">
        <f t="shared" si="5"/>
        <v>2026</v>
      </c>
      <c r="L35">
        <f t="shared" ca="1" si="6"/>
        <v>10021</v>
      </c>
      <c r="M35">
        <f>C35*_xlfn.XLOOKUP(A35,FX!$A$2:$A$37,FX!$C$2:$C$37)</f>
        <v>10825.583039999998</v>
      </c>
      <c r="N35">
        <f>C35*(1+Control!$B$4)^(A35/12)</f>
        <v>10968.3870763381</v>
      </c>
      <c r="O35">
        <f t="shared" si="7"/>
        <v>3</v>
      </c>
      <c r="P35">
        <f t="shared" si="8"/>
        <v>57.799999999997453</v>
      </c>
      <c r="Q35">
        <f t="shared" si="9"/>
        <v>0.60266525105713087</v>
      </c>
      <c r="R35">
        <f t="shared" si="10"/>
        <v>0.54</v>
      </c>
      <c r="S35" t="str">
        <f t="shared" si="11"/>
        <v>in linea</v>
      </c>
      <c r="T35" t="str">
        <f t="shared" si="12"/>
        <v>T4-2026</v>
      </c>
      <c r="U35">
        <f t="shared" si="13"/>
        <v>9744.3333333333339</v>
      </c>
    </row>
    <row r="36" spans="1:21" x14ac:dyDescent="0.25">
      <c r="A36">
        <f t="shared" si="0"/>
        <v>35</v>
      </c>
      <c r="B36" s="1">
        <f t="shared" si="1"/>
        <v>46356</v>
      </c>
      <c r="C36">
        <f>SUMIFS(Data!$E$2:$E$5761,Data!$A$2:$A$5761,Control!$B$2,Data!$B$2:$B$5761,A36)</f>
        <v>10252.199999999999</v>
      </c>
      <c r="D36">
        <f>SUMIFS(Data!$F$2:$F$5761,Data!$A$2:$A$5761,Control!$B$2,Data!$B$2:$B$5761,A36)</f>
        <v>553.17999999999995</v>
      </c>
      <c r="E36">
        <f>SUMIFS(Data!$G$2:$G$5761,Data!$A$2:$A$5761,Control!$B$2,Data!$B$2:$B$5761,A36)</f>
        <v>335.64</v>
      </c>
      <c r="F36">
        <f>SUMIFS(Data!$H$2:$H$5761,Data!$A$2:$A$5761,Control!$B$2,Data!$B$2:$B$5761,A36)</f>
        <v>915</v>
      </c>
      <c r="G36">
        <f t="shared" si="2"/>
        <v>217.53999999999996</v>
      </c>
      <c r="H36" cm="1">
        <f t="array" ref="H36">INDEX(Budget!$B$2:$AK$21,Control!$B$6,MATCH(A36,Budget!$B$1:$AK$1,0))</f>
        <v>10451</v>
      </c>
      <c r="I36">
        <f t="shared" si="3"/>
        <v>-1.9022103148024216E-2</v>
      </c>
      <c r="J36">
        <f t="shared" si="4"/>
        <v>108447.1</v>
      </c>
      <c r="K36">
        <f t="shared" si="5"/>
        <v>2026</v>
      </c>
      <c r="L36">
        <f t="shared" ca="1" si="6"/>
        <v>10122.933333333332</v>
      </c>
      <c r="M36">
        <f>C36*_xlfn.XLOOKUP(A36,FX!$A$2:$A$37,FX!$C$2:$C$37)</f>
        <v>11070.325559999999</v>
      </c>
      <c r="N36">
        <f>C36*(1+Control!$B$4)^(A36/12)</f>
        <v>11175.294458480457</v>
      </c>
      <c r="O36">
        <f t="shared" si="7"/>
        <v>1</v>
      </c>
      <c r="P36">
        <f t="shared" si="8"/>
        <v>165</v>
      </c>
      <c r="Q36">
        <f t="shared" si="9"/>
        <v>0.6067464478108392</v>
      </c>
      <c r="R36">
        <f t="shared" si="10"/>
        <v>0.6</v>
      </c>
      <c r="S36" t="str">
        <f t="shared" si="11"/>
        <v>in linea</v>
      </c>
      <c r="T36" t="str">
        <f t="shared" si="12"/>
        <v>T4-2026</v>
      </c>
      <c r="U36">
        <f t="shared" si="13"/>
        <v>9821.0916666666672</v>
      </c>
    </row>
    <row r="37" spans="1:21" x14ac:dyDescent="0.25">
      <c r="A37">
        <f t="shared" si="0"/>
        <v>36</v>
      </c>
      <c r="B37" s="1">
        <f t="shared" si="1"/>
        <v>46387</v>
      </c>
      <c r="C37">
        <f>SUMIFS(Data!$E$2:$E$5761,Data!$A$2:$A$5761,Control!$B$2,Data!$B$2:$B$5761,A37)</f>
        <v>10243.300000000001</v>
      </c>
      <c r="D37">
        <f>SUMIFS(Data!$F$2:$F$5761,Data!$A$2:$A$5761,Control!$B$2,Data!$B$2:$B$5761,A37)</f>
        <v>555.09</v>
      </c>
      <c r="E37">
        <f>SUMIFS(Data!$G$2:$G$5761,Data!$A$2:$A$5761,Control!$B$2,Data!$B$2:$B$5761,A37)</f>
        <v>334.49</v>
      </c>
      <c r="F37">
        <f>SUMIFS(Data!$H$2:$H$5761,Data!$A$2:$A$5761,Control!$B$2,Data!$B$2:$B$5761,A37)</f>
        <v>975</v>
      </c>
      <c r="G37">
        <f t="shared" si="2"/>
        <v>220.60000000000002</v>
      </c>
      <c r="H37" cm="1">
        <f t="array" ref="H37">INDEX(Budget!$B$2:$AK$21,Control!$B$6,MATCH(A37,Budget!$B$1:$AK$1,0))</f>
        <v>10523</v>
      </c>
      <c r="I37">
        <f t="shared" si="3"/>
        <v>-2.6579872659887815E-2</v>
      </c>
      <c r="J37">
        <f t="shared" si="4"/>
        <v>118690.40000000001</v>
      </c>
      <c r="K37">
        <f t="shared" si="5"/>
        <v>2026</v>
      </c>
      <c r="L37">
        <f t="shared" ca="1" si="6"/>
        <v>10194.233333333332</v>
      </c>
      <c r="M37">
        <f>C37*_xlfn.XLOOKUP(A37,FX!$A$2:$A$37,FX!$C$2:$C$37)</f>
        <v>11117.05349</v>
      </c>
      <c r="N37">
        <f>C37*(1+Control!$B$4)^(A37/12)</f>
        <v>11193.130479100002</v>
      </c>
      <c r="O37">
        <f t="shared" si="7"/>
        <v>2</v>
      </c>
      <c r="P37">
        <f t="shared" si="8"/>
        <v>-8.8999999999978172</v>
      </c>
      <c r="Q37">
        <f t="shared" si="9"/>
        <v>0.60258696787908261</v>
      </c>
      <c r="R37">
        <f t="shared" si="10"/>
        <v>0.56999999999999995</v>
      </c>
      <c r="S37" t="str">
        <f t="shared" si="11"/>
        <v>in linea</v>
      </c>
      <c r="T37" t="str">
        <f t="shared" si="12"/>
        <v>T4-2026</v>
      </c>
      <c r="U37">
        <f t="shared" si="13"/>
        <v>9890.8666666666668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419DE-C8E2-425C-BDCD-5DDCE4A4A733}">
  <dimension ref="A1:AB23"/>
  <sheetViews>
    <sheetView workbookViewId="0"/>
  </sheetViews>
  <sheetFormatPr defaultRowHeight="12.5" x14ac:dyDescent="0.25"/>
  <sheetData>
    <row r="1" spans="1:28" x14ac:dyDescent="0.25">
      <c r="A1" t="s">
        <v>0</v>
      </c>
      <c r="B1" t="s">
        <v>8</v>
      </c>
      <c r="C1" t="s">
        <v>4</v>
      </c>
      <c r="D1" t="s">
        <v>5</v>
      </c>
      <c r="E1" t="s">
        <v>6</v>
      </c>
      <c r="F1" t="s">
        <v>10</v>
      </c>
      <c r="G1" t="s">
        <v>125</v>
      </c>
      <c r="H1" t="s">
        <v>148</v>
      </c>
      <c r="I1" t="s">
        <v>126</v>
      </c>
      <c r="J1" t="s">
        <v>149</v>
      </c>
      <c r="K1" t="s">
        <v>150</v>
      </c>
      <c r="L1" t="s">
        <v>142</v>
      </c>
      <c r="M1" t="s">
        <v>151</v>
      </c>
      <c r="N1" t="s">
        <v>152</v>
      </c>
      <c r="O1" t="s">
        <v>153</v>
      </c>
      <c r="P1" t="s">
        <v>136</v>
      </c>
      <c r="Q1" t="s">
        <v>154</v>
      </c>
      <c r="R1" t="s">
        <v>47</v>
      </c>
      <c r="S1" t="s">
        <v>155</v>
      </c>
      <c r="T1" t="s">
        <v>156</v>
      </c>
      <c r="U1" t="s">
        <v>157</v>
      </c>
      <c r="V1" t="s">
        <v>158</v>
      </c>
      <c r="W1" t="s">
        <v>7</v>
      </c>
      <c r="X1" t="s">
        <v>145</v>
      </c>
      <c r="Y1" t="s">
        <v>141</v>
      </c>
      <c r="Z1" t="s">
        <v>159</v>
      </c>
      <c r="AA1" t="s">
        <v>160</v>
      </c>
      <c r="AB1" t="s">
        <v>161</v>
      </c>
    </row>
    <row r="2" spans="1:28" x14ac:dyDescent="0.25">
      <c r="A2" t="str">
        <f>Banks!A2</f>
        <v>Banca Alpi</v>
      </c>
      <c r="B2" t="str">
        <f>VLOOKUP(A2,Banks!$A$2:$C$21,3,FALSE)</f>
        <v>Nord-Ovest</v>
      </c>
      <c r="C2">
        <f>SUMIFS(Data!$E:$E,Data!$A:$A,A2,Data!$B:$B,Control!$B$3)</f>
        <v>7595.8000000000011</v>
      </c>
      <c r="D2">
        <f>SUMIFS(Data!$F$2:$F$5761,Data!$A$2:$A$5761,A2,Data!$B$2:$B$5761,Control!$B$3)</f>
        <v>411.70000000000005</v>
      </c>
      <c r="E2">
        <f>SUMIFS(Data!$G$2:$G$5761,Data!$A$2:$A$5761,A2,Data!$B$2:$B$5761,Control!$B$3)</f>
        <v>249.94</v>
      </c>
      <c r="F2">
        <f t="shared" ref="F2:F21" si="0">D2-E2</f>
        <v>161.76000000000005</v>
      </c>
      <c r="G2">
        <f>SUMIFS(Data!$E$2:$E$5761,Data!$A$2:$A$5761,A2,Data!$B$2:$B$5761,Control!$B$13)</f>
        <v>7584.2999999999993</v>
      </c>
      <c r="H2">
        <f t="shared" ref="H2:H21" si="1">IFERROR(C2/G2-1,0)</f>
        <v>1.5162902311356419E-3</v>
      </c>
      <c r="I2">
        <f>SUMIFS(Data!$E$2:$E$5761,Data!$A$2:$A$5761,A2,Data!$B$2:$B$5761,Control!$B$14)</f>
        <v>7144.2000000000007</v>
      </c>
      <c r="J2">
        <f t="shared" ref="J2:J21" si="2">IFERROR(C2/I2-1,0)</f>
        <v>6.3212116122169038E-2</v>
      </c>
      <c r="K2">
        <f t="shared" ref="K2:K21" si="3">C2/SUM($C$2:$C$21)</f>
        <v>1.897720751383292E-2</v>
      </c>
      <c r="L2">
        <f t="shared" ref="L2:L21" si="4">RANK(C2,$C$2:$C$21)</f>
        <v>20</v>
      </c>
      <c r="M2">
        <f>_xlfn.MAXIFS(Data!$E$2:$E$5761,Data!$A$2:$A$5761,A2,Data!$C$2:$C$5761,"Mutui")</f>
        <v>425.1</v>
      </c>
      <c r="N2">
        <f>AVERAGEIFS(Data!$E$2:$E$5761,Data!$A$2:$A$5761,A2,Data!$B$2:$B$5761,Control!$B$3)</f>
        <v>949.47500000000014</v>
      </c>
      <c r="O2">
        <f>COUNTIFS(Data!$A$2:$A$5761,A2,Data!$B$2:$B$5761,Control!$B$3,Data!$E$2:$E$5761,"&gt;"&amp;N2)</f>
        <v>4</v>
      </c>
      <c r="P2">
        <f>INDEX(Budget!$B$2:$AK$21,MATCH(A2,Budget!$A$2:$A$21,0),MATCH(Control!$B$3,Budget!$B$1:$AK$1,0))</f>
        <v>7838</v>
      </c>
      <c r="Q2">
        <f t="shared" ref="Q2:Q21" si="5">C2-P2</f>
        <v>-242.19999999999891</v>
      </c>
      <c r="R2" t="str">
        <f>_xlfn.XLOOKUP(A2,Banks!$A$2:$A$21,Banks!$E$2:$E$21)</f>
        <v>Grande</v>
      </c>
      <c r="S2" t="str">
        <f t="shared" ref="S2:S21" si="6">CHOOSE(IF(R2="Grande",1,IF(R2="Media",2,3)),"A","B","C")</f>
        <v>A</v>
      </c>
      <c r="T2" t="str" cm="1">
        <f t="array" ref="T2">_xlfn.SWITCH(B2,"Nord-Ovest","NO","Nord-Est","NE","Centro","CE","Sud","SU","IS")</f>
        <v>NO</v>
      </c>
      <c r="U2" t="str">
        <f t="shared" ref="U2:U21" si="7">IF(C2&gt;=PERCENTILE($C$2:$C$21,0.75),"primo quartile",IF(C2&lt;=PERCENTILE($C$2:$C$21,0.25),"ultimo quartile","centrale"))</f>
        <v>ultimo quartile</v>
      </c>
      <c r="V2" t="str">
        <f>IF(A2=Control!$B$2,"&lt;&lt;","")</f>
        <v/>
      </c>
      <c r="W2">
        <f>SUMIFS(Data!$H$2:$H$5761,Data!$A$2:$A$5761,A2,Data!$B$2:$B$5761,Control!$B$3)</f>
        <v>700</v>
      </c>
      <c r="X2">
        <f t="shared" ref="X2:X21" si="8">IFERROR(D2/W2,0)</f>
        <v>0.58814285714285719</v>
      </c>
      <c r="Y2">
        <f>C2*(1+Control!$B$4)</f>
        <v>7823.6740000000009</v>
      </c>
      <c r="Z2">
        <f>IF(B2=Control!$B$5,C2,0)</f>
        <v>0</v>
      </c>
      <c r="AA2">
        <f t="shared" ref="AA2:AA21" si="9">_xlfn.LET(_xlpm.v,C2,_xlpm.b,P2,IF(_xlpm.b=0,0,ROUND((_xlpm.v-_xlpm.b)/_xlpm.b,4)))</f>
        <v>-3.09E-2</v>
      </c>
      <c r="AB2" cm="1">
        <f t="array" ref="AB2">SUMPRODUCT((Data!$A$2:$A$5761=A2)*(Data!$B$2:$B$5761&lt;=Control!$B$3)*(Data!$J$2:$J$5761=Control!$B$11)*Data!$E$2:$E$5761)</f>
        <v>88315.299999999959</v>
      </c>
    </row>
    <row r="3" spans="1:28" x14ac:dyDescent="0.25">
      <c r="A3" t="str">
        <f>Banks!A3</f>
        <v>Banca Adriatica</v>
      </c>
      <c r="B3" t="str">
        <f>VLOOKUP(A3,Banks!$A$2:$C$21,3,FALSE)</f>
        <v>Nord-Est</v>
      </c>
      <c r="C3">
        <f>SUMIFS(Data!$E:$E,Data!$A:$A,A3,Data!$B:$B,Control!$B$3)</f>
        <v>8954.2000000000007</v>
      </c>
      <c r="D3">
        <f>SUMIFS(Data!$F$2:$F$5761,Data!$A$2:$A$5761,A3,Data!$B$2:$B$5761,Control!$B$3)</f>
        <v>485.55999999999995</v>
      </c>
      <c r="E3">
        <f>SUMIFS(Data!$G$2:$G$5761,Data!$A$2:$A$5761,A3,Data!$B$2:$B$5761,Control!$B$3)</f>
        <v>294.29000000000002</v>
      </c>
      <c r="F3">
        <f t="shared" si="0"/>
        <v>191.26999999999992</v>
      </c>
      <c r="G3">
        <f>SUMIFS(Data!$E$2:$E$5761,Data!$A$2:$A$5761,A3,Data!$B$2:$B$5761,Control!$B$13)</f>
        <v>8893.1999999999989</v>
      </c>
      <c r="H3">
        <f t="shared" si="1"/>
        <v>6.8591733009493172E-3</v>
      </c>
      <c r="I3">
        <f>SUMIFS(Data!$E$2:$E$5761,Data!$A$2:$A$5761,A3,Data!$B$2:$B$5761,Control!$B$14)</f>
        <v>8272.1</v>
      </c>
      <c r="J3">
        <f t="shared" si="2"/>
        <v>8.24579006540056E-2</v>
      </c>
      <c r="K3">
        <f t="shared" si="3"/>
        <v>2.2371009178804434E-2</v>
      </c>
      <c r="L3">
        <f t="shared" si="4"/>
        <v>19</v>
      </c>
      <c r="M3">
        <f>_xlfn.MAXIFS(Data!$E$2:$E$5761,Data!$A$2:$A$5761,A3,Data!$C$2:$C$5761,"Mutui")</f>
        <v>493.7</v>
      </c>
      <c r="N3">
        <f>AVERAGEIFS(Data!$E$2:$E$5761,Data!$A$2:$A$5761,A3,Data!$B$2:$B$5761,Control!$B$3)</f>
        <v>1119.2750000000001</v>
      </c>
      <c r="O3">
        <f>COUNTIFS(Data!$A$2:$A$5761,A3,Data!$B$2:$B$5761,Control!$B$3,Data!$E$2:$E$5761,"&gt;"&amp;N3)</f>
        <v>4</v>
      </c>
      <c r="P3">
        <f>INDEX(Budget!$B$2:$AK$21,MATCH(A3,Budget!$A$2:$A$21,0),MATCH(Control!$B$3,Budget!$B$1:$AK$1,0))</f>
        <v>9180</v>
      </c>
      <c r="Q3">
        <f t="shared" si="5"/>
        <v>-225.79999999999927</v>
      </c>
      <c r="R3" t="str">
        <f>_xlfn.XLOOKUP(A3,Banks!$A$2:$A$21,Banks!$E$2:$E$21)</f>
        <v>Media</v>
      </c>
      <c r="S3" t="str">
        <f t="shared" si="6"/>
        <v>B</v>
      </c>
      <c r="T3" t="str" cm="1">
        <f t="array" ref="T3">_xlfn.SWITCH(B3,"Nord-Ovest","NO","Nord-Est","NE","Centro","CE","Sud","SU","IS")</f>
        <v>NE</v>
      </c>
      <c r="U3" t="str">
        <f t="shared" si="7"/>
        <v>ultimo quartile</v>
      </c>
      <c r="V3" t="str">
        <f>IF(A3=Control!$B$2,"&lt;&lt;","")</f>
        <v/>
      </c>
      <c r="W3">
        <f>SUMIFS(Data!$H$2:$H$5761,Data!$A$2:$A$5761,A3,Data!$B$2:$B$5761,Control!$B$3)</f>
        <v>829</v>
      </c>
      <c r="X3">
        <f t="shared" si="8"/>
        <v>0.5857177322074788</v>
      </c>
      <c r="Y3">
        <f>C3*(1+Control!$B$4)</f>
        <v>9222.8260000000009</v>
      </c>
      <c r="Z3">
        <f>IF(B3=Control!$B$5,C3,0)</f>
        <v>0</v>
      </c>
      <c r="AA3">
        <f t="shared" si="9"/>
        <v>-2.46E-2</v>
      </c>
      <c r="AB3" cm="1">
        <f t="array" ref="AB3">SUMPRODUCT((Data!$A$2:$A$5761=A3)*(Data!$B$2:$B$5761&lt;=Control!$B$3)*(Data!$J$2:$J$5761=Control!$B$11)*Data!$E$2:$E$5761)</f>
        <v>103315.70000000001</v>
      </c>
    </row>
    <row r="4" spans="1:28" x14ac:dyDescent="0.25">
      <c r="A4" t="str">
        <f>Banks!A4</f>
        <v>Banca Tirrena</v>
      </c>
      <c r="B4" t="str">
        <f>VLOOKUP(A4,Banks!$A$2:$C$21,3,FALSE)</f>
        <v>Centro</v>
      </c>
      <c r="C4">
        <f>SUMIFS(Data!$E:$E,Data!$A:$A,A4,Data!$B:$B,Control!$B$3)</f>
        <v>10243.300000000001</v>
      </c>
      <c r="D4">
        <f>SUMIFS(Data!$F$2:$F$5761,Data!$A$2:$A$5761,A4,Data!$B$2:$B$5761,Control!$B$3)</f>
        <v>555.09</v>
      </c>
      <c r="E4">
        <f>SUMIFS(Data!$G$2:$G$5761,Data!$A$2:$A$5761,A4,Data!$B$2:$B$5761,Control!$B$3)</f>
        <v>334.49</v>
      </c>
      <c r="F4">
        <f t="shared" si="0"/>
        <v>220.60000000000002</v>
      </c>
      <c r="G4">
        <f>SUMIFS(Data!$E$2:$E$5761,Data!$A$2:$A$5761,A4,Data!$B$2:$B$5761,Control!$B$13)</f>
        <v>10252.199999999999</v>
      </c>
      <c r="H4">
        <f t="shared" si="1"/>
        <v>-8.6810635765965927E-4</v>
      </c>
      <c r="I4">
        <f>SUMIFS(Data!$E$2:$E$5761,Data!$A$2:$A$5761,A4,Data!$B$2:$B$5761,Control!$B$14)</f>
        <v>9406</v>
      </c>
      <c r="J4">
        <f t="shared" si="2"/>
        <v>8.9017648309589692E-2</v>
      </c>
      <c r="K4">
        <f t="shared" si="3"/>
        <v>2.559167299381826E-2</v>
      </c>
      <c r="L4">
        <f t="shared" si="4"/>
        <v>18</v>
      </c>
      <c r="M4">
        <f>_xlfn.MAXIFS(Data!$E$2:$E$5761,Data!$A$2:$A$5761,A4,Data!$C$2:$C$5761,"Mutui")</f>
        <v>571.20000000000005</v>
      </c>
      <c r="N4">
        <f>AVERAGEIFS(Data!$E$2:$E$5761,Data!$A$2:$A$5761,A4,Data!$B$2:$B$5761,Control!$B$3)</f>
        <v>1280.4125000000001</v>
      </c>
      <c r="O4">
        <f>COUNTIFS(Data!$A$2:$A$5761,A4,Data!$B$2:$B$5761,Control!$B$3,Data!$E$2:$E$5761,"&gt;"&amp;N4)</f>
        <v>4</v>
      </c>
      <c r="P4">
        <f>INDEX(Budget!$B$2:$AK$21,MATCH(A4,Budget!$A$2:$A$21,0),MATCH(Control!$B$3,Budget!$B$1:$AK$1,0))</f>
        <v>10523</v>
      </c>
      <c r="Q4">
        <f t="shared" si="5"/>
        <v>-279.69999999999891</v>
      </c>
      <c r="R4" t="str">
        <f>_xlfn.XLOOKUP(A4,Banks!$A$2:$A$21,Banks!$E$2:$E$21)</f>
        <v>Grande</v>
      </c>
      <c r="S4" t="str">
        <f t="shared" si="6"/>
        <v>A</v>
      </c>
      <c r="T4" t="str" cm="1">
        <f t="array" ref="T4">_xlfn.SWITCH(B4,"Nord-Ovest","NO","Nord-Est","NE","Centro","CE","Sud","SU","IS")</f>
        <v>CE</v>
      </c>
      <c r="U4" t="str">
        <f t="shared" si="7"/>
        <v>ultimo quartile</v>
      </c>
      <c r="V4" t="str">
        <f>IF(A4=Control!$B$2,"&lt;&lt;","")</f>
        <v>&lt;&lt;</v>
      </c>
      <c r="W4">
        <f>SUMIFS(Data!$H$2:$H$5761,Data!$A$2:$A$5761,A4,Data!$B$2:$B$5761,Control!$B$3)</f>
        <v>975</v>
      </c>
      <c r="X4">
        <f t="shared" si="8"/>
        <v>0.56932307692307693</v>
      </c>
      <c r="Y4">
        <f>C4*(1+Control!$B$4)</f>
        <v>10550.599000000002</v>
      </c>
      <c r="Z4">
        <f>IF(B4=Control!$B$5,C4,0)</f>
        <v>10243.300000000001</v>
      </c>
      <c r="AA4">
        <f t="shared" si="9"/>
        <v>-2.6599999999999999E-2</v>
      </c>
      <c r="AB4" cm="1">
        <f t="array" ref="AB4">SUMPRODUCT((Data!$A$2:$A$5761=A4)*(Data!$B$2:$B$5761&lt;=Control!$B$3)*(Data!$J$2:$J$5761=Control!$B$11)*Data!$E$2:$E$5761)</f>
        <v>118690.40000000001</v>
      </c>
    </row>
    <row r="5" spans="1:28" x14ac:dyDescent="0.25">
      <c r="A5" t="str">
        <f>Banks!A5</f>
        <v>Banca Padana</v>
      </c>
      <c r="B5" t="str">
        <f>VLOOKUP(A5,Banks!$A$2:$C$21,3,FALSE)</f>
        <v>Nord-Ovest</v>
      </c>
      <c r="C5">
        <f>SUMIFS(Data!$E:$E,Data!$A:$A,A5,Data!$B:$B,Control!$B$3)</f>
        <v>11467.099999999999</v>
      </c>
      <c r="D5">
        <f>SUMIFS(Data!$F$2:$F$5761,Data!$A$2:$A$5761,A5,Data!$B$2:$B$5761,Control!$B$3)</f>
        <v>620.24</v>
      </c>
      <c r="E5">
        <f>SUMIFS(Data!$G$2:$G$5761,Data!$A$2:$A$5761,A5,Data!$B$2:$B$5761,Control!$B$3)</f>
        <v>374.39</v>
      </c>
      <c r="F5">
        <f t="shared" si="0"/>
        <v>245.85000000000002</v>
      </c>
      <c r="G5">
        <f>SUMIFS(Data!$E$2:$E$5761,Data!$A$2:$A$5761,A5,Data!$B$2:$B$5761,Control!$B$13)</f>
        <v>11521.6</v>
      </c>
      <c r="H5">
        <f t="shared" si="1"/>
        <v>-4.7302457991946767E-3</v>
      </c>
      <c r="I5">
        <f>SUMIFS(Data!$E$2:$E$5761,Data!$A$2:$A$5761,A5,Data!$B$2:$B$5761,Control!$B$14)</f>
        <v>10750.3</v>
      </c>
      <c r="J5">
        <f t="shared" si="2"/>
        <v>6.6677209008120686E-2</v>
      </c>
      <c r="K5">
        <f t="shared" si="3"/>
        <v>2.8649192485567472E-2</v>
      </c>
      <c r="L5">
        <f t="shared" si="4"/>
        <v>17</v>
      </c>
      <c r="M5">
        <f>_xlfn.MAXIFS(Data!$E$2:$E$5761,Data!$A$2:$A$5761,A5,Data!$C$2:$C$5761,"Mutui")</f>
        <v>624</v>
      </c>
      <c r="N5">
        <f>AVERAGEIFS(Data!$E$2:$E$5761,Data!$A$2:$A$5761,A5,Data!$B$2:$B$5761,Control!$B$3)</f>
        <v>1433.3874999999998</v>
      </c>
      <c r="O5">
        <f>COUNTIFS(Data!$A$2:$A$5761,A5,Data!$B$2:$B$5761,Control!$B$3,Data!$E$2:$E$5761,"&gt;"&amp;N5)</f>
        <v>4</v>
      </c>
      <c r="P5">
        <f>INDEX(Budget!$B$2:$AK$21,MATCH(A5,Budget!$A$2:$A$21,0),MATCH(Control!$B$3,Budget!$B$1:$AK$1,0))</f>
        <v>11865</v>
      </c>
      <c r="Q5">
        <f t="shared" si="5"/>
        <v>-397.90000000000146</v>
      </c>
      <c r="R5" t="str">
        <f>_xlfn.XLOOKUP(A5,Banks!$A$2:$A$21,Banks!$E$2:$E$21)</f>
        <v>Grande</v>
      </c>
      <c r="S5" t="str">
        <f t="shared" si="6"/>
        <v>A</v>
      </c>
      <c r="T5" t="str" cm="1">
        <f t="array" ref="T5">_xlfn.SWITCH(B5,"Nord-Ovest","NO","Nord-Est","NE","Centro","CE","Sud","SU","IS")</f>
        <v>NO</v>
      </c>
      <c r="U5" t="str">
        <f t="shared" si="7"/>
        <v>ultimo quartile</v>
      </c>
      <c r="V5" t="str">
        <f>IF(A5=Control!$B$2,"&lt;&lt;","")</f>
        <v/>
      </c>
      <c r="W5">
        <f>SUMIFS(Data!$H$2:$H$5761,Data!$A$2:$A$5761,A5,Data!$B$2:$B$5761,Control!$B$3)</f>
        <v>1022</v>
      </c>
      <c r="X5">
        <f t="shared" si="8"/>
        <v>0.60688845401174174</v>
      </c>
      <c r="Y5">
        <f>C5*(1+Control!$B$4)</f>
        <v>11811.112999999999</v>
      </c>
      <c r="Z5">
        <f>IF(B5=Control!$B$5,C5,0)</f>
        <v>0</v>
      </c>
      <c r="AA5">
        <f t="shared" si="9"/>
        <v>-3.3500000000000002E-2</v>
      </c>
      <c r="AB5" cm="1">
        <f t="array" ref="AB5">SUMPRODUCT((Data!$A$2:$A$5761=A5)*(Data!$B$2:$B$5761&lt;=Control!$B$3)*(Data!$J$2:$J$5761=Control!$B$11)*Data!$E$2:$E$5761)</f>
        <v>133779.20000000001</v>
      </c>
    </row>
    <row r="6" spans="1:28" x14ac:dyDescent="0.25">
      <c r="A6" t="str">
        <f>Banks!A6</f>
        <v>Banca Etrusca</v>
      </c>
      <c r="B6" t="str">
        <f>VLOOKUP(A6,Banks!$A$2:$C$21,3,FALSE)</f>
        <v>Centro</v>
      </c>
      <c r="C6">
        <f>SUMIFS(Data!$E:$E,Data!$A:$A,A6,Data!$B:$B,Control!$B$3)</f>
        <v>12839.400000000001</v>
      </c>
      <c r="D6">
        <f>SUMIFS(Data!$F$2:$F$5761,Data!$A$2:$A$5761,A6,Data!$B$2:$B$5761,Control!$B$3)</f>
        <v>691.67000000000007</v>
      </c>
      <c r="E6">
        <f>SUMIFS(Data!$G$2:$G$5761,Data!$A$2:$A$5761,A6,Data!$B$2:$B$5761,Control!$B$3)</f>
        <v>420.79</v>
      </c>
      <c r="F6">
        <f t="shared" si="0"/>
        <v>270.88000000000005</v>
      </c>
      <c r="G6">
        <f>SUMIFS(Data!$E$2:$E$5761,Data!$A$2:$A$5761,A6,Data!$B$2:$B$5761,Control!$B$13)</f>
        <v>12798.9</v>
      </c>
      <c r="H6">
        <f t="shared" si="1"/>
        <v>3.1643344349907565E-3</v>
      </c>
      <c r="I6">
        <f>SUMIFS(Data!$E$2:$E$5761,Data!$A$2:$A$5761,A6,Data!$B$2:$B$5761,Control!$B$14)</f>
        <v>11877.1</v>
      </c>
      <c r="J6">
        <f t="shared" si="2"/>
        <v>8.1021461467866818E-2</v>
      </c>
      <c r="K6">
        <f t="shared" si="3"/>
        <v>3.2077721655797461E-2</v>
      </c>
      <c r="L6">
        <f t="shared" si="4"/>
        <v>16</v>
      </c>
      <c r="M6">
        <f>_xlfn.MAXIFS(Data!$E$2:$E$5761,Data!$A$2:$A$5761,A6,Data!$C$2:$C$5761,"Mutui")</f>
        <v>699.2</v>
      </c>
      <c r="N6">
        <f>AVERAGEIFS(Data!$E$2:$E$5761,Data!$A$2:$A$5761,A6,Data!$B$2:$B$5761,Control!$B$3)</f>
        <v>1604.9250000000002</v>
      </c>
      <c r="O6">
        <f>COUNTIFS(Data!$A$2:$A$5761,A6,Data!$B$2:$B$5761,Control!$B$3,Data!$E$2:$E$5761,"&gt;"&amp;N6)</f>
        <v>4</v>
      </c>
      <c r="P6">
        <f>INDEX(Budget!$B$2:$AK$21,MATCH(A6,Budget!$A$2:$A$21,0),MATCH(Control!$B$3,Budget!$B$1:$AK$1,0))</f>
        <v>13207</v>
      </c>
      <c r="Q6">
        <f t="shared" si="5"/>
        <v>-367.59999999999854</v>
      </c>
      <c r="R6" t="str">
        <f>_xlfn.XLOOKUP(A6,Banks!$A$2:$A$21,Banks!$E$2:$E$21)</f>
        <v>Media</v>
      </c>
      <c r="S6" t="str">
        <f t="shared" si="6"/>
        <v>B</v>
      </c>
      <c r="T6" t="str" cm="1">
        <f t="array" ref="T6">_xlfn.SWITCH(B6,"Nord-Ovest","NO","Nord-Est","NE","Centro","CE","Sud","SU","IS")</f>
        <v>CE</v>
      </c>
      <c r="U6" t="str">
        <f t="shared" si="7"/>
        <v>ultimo quartile</v>
      </c>
      <c r="V6" t="str">
        <f>IF(A6=Control!$B$2,"&lt;&lt;","")</f>
        <v/>
      </c>
      <c r="W6">
        <f>SUMIFS(Data!$H$2:$H$5761,Data!$A$2:$A$5761,A6,Data!$B$2:$B$5761,Control!$B$3)</f>
        <v>1090</v>
      </c>
      <c r="X6">
        <f t="shared" si="8"/>
        <v>0.63455963302752305</v>
      </c>
      <c r="Y6">
        <f>C6*(1+Control!$B$4)</f>
        <v>13224.582000000002</v>
      </c>
      <c r="Z6">
        <f>IF(B6=Control!$B$5,C6,0)</f>
        <v>12839.400000000001</v>
      </c>
      <c r="AA6">
        <f t="shared" si="9"/>
        <v>-2.7799999999999998E-2</v>
      </c>
      <c r="AB6" cm="1">
        <f t="array" ref="AB6">SUMPRODUCT((Data!$A$2:$A$5761=A6)*(Data!$B$2:$B$5761&lt;=Control!$B$3)*(Data!$J$2:$J$5761=Control!$B$11)*Data!$E$2:$E$5761)</f>
        <v>148868.1</v>
      </c>
    </row>
    <row r="7" spans="1:28" x14ac:dyDescent="0.25">
      <c r="A7" t="str">
        <f>Banks!A7</f>
        <v>Banca Lariana</v>
      </c>
      <c r="B7" t="str">
        <f>VLOOKUP(A7,Banks!$A$2:$C$21,3,FALSE)</f>
        <v>Nord-Ovest</v>
      </c>
      <c r="C7">
        <f>SUMIFS(Data!$E:$E,Data!$A:$A,A7,Data!$B:$B,Control!$B$3)</f>
        <v>14148.099999999999</v>
      </c>
      <c r="D7">
        <f>SUMIFS(Data!$F$2:$F$5761,Data!$A$2:$A$5761,A7,Data!$B$2:$B$5761,Control!$B$3)</f>
        <v>763.3599999999999</v>
      </c>
      <c r="E7">
        <f>SUMIFS(Data!$G$2:$G$5761,Data!$A$2:$A$5761,A7,Data!$B$2:$B$5761,Control!$B$3)</f>
        <v>462.28000000000003</v>
      </c>
      <c r="F7">
        <f t="shared" si="0"/>
        <v>301.07999999999987</v>
      </c>
      <c r="G7">
        <f>SUMIFS(Data!$E$2:$E$5761,Data!$A$2:$A$5761,A7,Data!$B$2:$B$5761,Control!$B$13)</f>
        <v>14087.300000000001</v>
      </c>
      <c r="H7">
        <f t="shared" si="1"/>
        <v>4.3159441482751859E-3</v>
      </c>
      <c r="I7">
        <f>SUMIFS(Data!$E$2:$E$5761,Data!$A$2:$A$5761,A7,Data!$B$2:$B$5761,Control!$B$14)</f>
        <v>13087.499999999998</v>
      </c>
      <c r="J7">
        <f t="shared" si="2"/>
        <v>8.1039159503342839E-2</v>
      </c>
      <c r="K7">
        <f t="shared" si="3"/>
        <v>3.5347353751607392E-2</v>
      </c>
      <c r="L7">
        <f t="shared" si="4"/>
        <v>15</v>
      </c>
      <c r="M7">
        <f>_xlfn.MAXIFS(Data!$E$2:$E$5761,Data!$A$2:$A$5761,A7,Data!$C$2:$C$5761,"Mutui")</f>
        <v>786.7</v>
      </c>
      <c r="N7">
        <f>AVERAGEIFS(Data!$E$2:$E$5761,Data!$A$2:$A$5761,A7,Data!$B$2:$B$5761,Control!$B$3)</f>
        <v>1768.5124999999998</v>
      </c>
      <c r="O7">
        <f>COUNTIFS(Data!$A$2:$A$5761,A7,Data!$B$2:$B$5761,Control!$B$3,Data!$E$2:$E$5761,"&gt;"&amp;N7)</f>
        <v>4</v>
      </c>
      <c r="P7">
        <f>INDEX(Budget!$B$2:$AK$21,MATCH(A7,Budget!$A$2:$A$21,0),MATCH(Control!$B$3,Budget!$B$1:$AK$1,0))</f>
        <v>14549</v>
      </c>
      <c r="Q7">
        <f t="shared" si="5"/>
        <v>-400.90000000000146</v>
      </c>
      <c r="R7" t="str">
        <f>_xlfn.XLOOKUP(A7,Banks!$A$2:$A$21,Banks!$E$2:$E$21)</f>
        <v>Piccola</v>
      </c>
      <c r="S7" t="str">
        <f t="shared" si="6"/>
        <v>C</v>
      </c>
      <c r="T7" t="str" cm="1">
        <f t="array" ref="T7">_xlfn.SWITCH(B7,"Nord-Ovest","NO","Nord-Est","NE","Centro","CE","Sud","SU","IS")</f>
        <v>NO</v>
      </c>
      <c r="U7" t="str">
        <f t="shared" si="7"/>
        <v>centrale</v>
      </c>
      <c r="V7" t="str">
        <f>IF(A7=Control!$B$2,"&lt;&lt;","")</f>
        <v/>
      </c>
      <c r="W7">
        <f>SUMIFS(Data!$H$2:$H$5761,Data!$A$2:$A$5761,A7,Data!$B$2:$B$5761,Control!$B$3)</f>
        <v>1219</v>
      </c>
      <c r="X7">
        <f t="shared" si="8"/>
        <v>0.62621821164889246</v>
      </c>
      <c r="Y7">
        <f>C7*(1+Control!$B$4)</f>
        <v>14572.543</v>
      </c>
      <c r="Z7">
        <f>IF(B7=Control!$B$5,C7,0)</f>
        <v>0</v>
      </c>
      <c r="AA7">
        <f t="shared" si="9"/>
        <v>-2.76E-2</v>
      </c>
      <c r="AB7" cm="1">
        <f t="array" ref="AB7">SUMPRODUCT((Data!$A$2:$A$5761=A7)*(Data!$B$2:$B$5761&lt;=Control!$B$3)*(Data!$J$2:$J$5761=Control!$B$11)*Data!$E$2:$E$5761)</f>
        <v>164061.7000000001</v>
      </c>
    </row>
    <row r="8" spans="1:28" x14ac:dyDescent="0.25">
      <c r="A8" t="str">
        <f>Banks!A8</f>
        <v>Banca Sabina</v>
      </c>
      <c r="B8" t="str">
        <f>VLOOKUP(A8,Banks!$A$2:$C$21,3,FALSE)</f>
        <v>Centro</v>
      </c>
      <c r="C8">
        <f>SUMIFS(Data!$E:$E,Data!$A:$A,A8,Data!$B:$B,Control!$B$3)</f>
        <v>15403.7</v>
      </c>
      <c r="D8">
        <f>SUMIFS(Data!$F$2:$F$5761,Data!$A$2:$A$5761,A8,Data!$B$2:$B$5761,Control!$B$3)</f>
        <v>831.79000000000008</v>
      </c>
      <c r="E8">
        <f>SUMIFS(Data!$G$2:$G$5761,Data!$A$2:$A$5761,A8,Data!$B$2:$B$5761,Control!$B$3)</f>
        <v>504.26</v>
      </c>
      <c r="F8">
        <f t="shared" si="0"/>
        <v>327.53000000000009</v>
      </c>
      <c r="G8">
        <f>SUMIFS(Data!$E$2:$E$5761,Data!$A$2:$A$5761,A8,Data!$B$2:$B$5761,Control!$B$13)</f>
        <v>15385.3</v>
      </c>
      <c r="H8">
        <f t="shared" si="1"/>
        <v>1.1959467803683843E-3</v>
      </c>
      <c r="I8">
        <f>SUMIFS(Data!$E$2:$E$5761,Data!$A$2:$A$5761,A8,Data!$B$2:$B$5761,Control!$B$14)</f>
        <v>14267.5</v>
      </c>
      <c r="J8">
        <f t="shared" si="2"/>
        <v>7.9635535307517102E-2</v>
      </c>
      <c r="K8">
        <f t="shared" si="3"/>
        <v>3.8484321780566641E-2</v>
      </c>
      <c r="L8">
        <f t="shared" si="4"/>
        <v>14</v>
      </c>
      <c r="M8">
        <f>_xlfn.MAXIFS(Data!$E$2:$E$5761,Data!$A$2:$A$5761,A8,Data!$C$2:$C$5761,"Mutui")</f>
        <v>847.9</v>
      </c>
      <c r="N8">
        <f>AVERAGEIFS(Data!$E$2:$E$5761,Data!$A$2:$A$5761,A8,Data!$B$2:$B$5761,Control!$B$3)</f>
        <v>1925.4625000000001</v>
      </c>
      <c r="O8">
        <f>COUNTIFS(Data!$A$2:$A$5761,A8,Data!$B$2:$B$5761,Control!$B$3,Data!$E$2:$E$5761,"&gt;"&amp;N8)</f>
        <v>4</v>
      </c>
      <c r="P8">
        <f>INDEX(Budget!$B$2:$AK$21,MATCH(A8,Budget!$A$2:$A$21,0),MATCH(Control!$B$3,Budget!$B$1:$AK$1,0))</f>
        <v>15892</v>
      </c>
      <c r="Q8">
        <f t="shared" si="5"/>
        <v>-488.29999999999927</v>
      </c>
      <c r="R8" t="str">
        <f>_xlfn.XLOOKUP(A8,Banks!$A$2:$A$21,Banks!$E$2:$E$21)</f>
        <v>Piccola</v>
      </c>
      <c r="S8" t="str">
        <f t="shared" si="6"/>
        <v>C</v>
      </c>
      <c r="T8" t="str" cm="1">
        <f t="array" ref="T8">_xlfn.SWITCH(B8,"Nord-Ovest","NO","Nord-Est","NE","Centro","CE","Sud","SU","IS")</f>
        <v>CE</v>
      </c>
      <c r="U8" t="str">
        <f t="shared" si="7"/>
        <v>centrale</v>
      </c>
      <c r="V8" t="str">
        <f>IF(A8=Control!$B$2,"&lt;&lt;","")</f>
        <v/>
      </c>
      <c r="W8">
        <f>SUMIFS(Data!$H$2:$H$5761,Data!$A$2:$A$5761,A8,Data!$B$2:$B$5761,Control!$B$3)</f>
        <v>1330</v>
      </c>
      <c r="X8">
        <f t="shared" si="8"/>
        <v>0.62540601503759408</v>
      </c>
      <c r="Y8">
        <f>C8*(1+Control!$B$4)</f>
        <v>15865.811000000002</v>
      </c>
      <c r="Z8">
        <f>IF(B8=Control!$B$5,C8,0)</f>
        <v>15403.7</v>
      </c>
      <c r="AA8">
        <f t="shared" si="9"/>
        <v>-3.0700000000000002E-2</v>
      </c>
      <c r="AB8" cm="1">
        <f t="array" ref="AB8">SUMPRODUCT((Data!$A$2:$A$5761=A8)*(Data!$B$2:$B$5761&lt;=Control!$B$3)*(Data!$J$2:$J$5761=Control!$B$11)*Data!$E$2:$E$5761)</f>
        <v>179165.80000000002</v>
      </c>
    </row>
    <row r="9" spans="1:28" x14ac:dyDescent="0.25">
      <c r="A9" t="str">
        <f>Banks!A9</f>
        <v>Banca Irpina</v>
      </c>
      <c r="B9" t="str">
        <f>VLOOKUP(A9,Banks!$A$2:$C$21,3,FALSE)</f>
        <v>Sud</v>
      </c>
      <c r="C9">
        <f>SUMIFS(Data!$E:$E,Data!$A:$A,A9,Data!$B:$B,Control!$B$3)</f>
        <v>16713.899999999998</v>
      </c>
      <c r="D9">
        <f>SUMIFS(Data!$F$2:$F$5761,Data!$A$2:$A$5761,A9,Data!$B$2:$B$5761,Control!$B$3)</f>
        <v>901.97</v>
      </c>
      <c r="E9">
        <f>SUMIFS(Data!$G$2:$G$5761,Data!$A$2:$A$5761,A9,Data!$B$2:$B$5761,Control!$B$3)</f>
        <v>543.38</v>
      </c>
      <c r="F9">
        <f t="shared" si="0"/>
        <v>358.59000000000003</v>
      </c>
      <c r="G9">
        <f>SUMIFS(Data!$E$2:$E$5761,Data!$A$2:$A$5761,A9,Data!$B$2:$B$5761,Control!$B$13)</f>
        <v>16597.3</v>
      </c>
      <c r="H9">
        <f t="shared" si="1"/>
        <v>7.0252390449048185E-3</v>
      </c>
      <c r="I9">
        <f>SUMIFS(Data!$E$2:$E$5761,Data!$A$2:$A$5761,A9,Data!$B$2:$B$5761,Control!$B$14)</f>
        <v>15512.100000000002</v>
      </c>
      <c r="J9">
        <f t="shared" si="2"/>
        <v>7.7475003384454455E-2</v>
      </c>
      <c r="K9">
        <f t="shared" si="3"/>
        <v>4.1757701448886478E-2</v>
      </c>
      <c r="L9">
        <f t="shared" si="4"/>
        <v>13</v>
      </c>
      <c r="M9">
        <f>_xlfn.MAXIFS(Data!$E$2:$E$5761,Data!$A$2:$A$5761,A9,Data!$C$2:$C$5761,"Mutui")</f>
        <v>908.5</v>
      </c>
      <c r="N9">
        <f>AVERAGEIFS(Data!$E$2:$E$5761,Data!$A$2:$A$5761,A9,Data!$B$2:$B$5761,Control!$B$3)</f>
        <v>2089.2374999999997</v>
      </c>
      <c r="O9">
        <f>COUNTIFS(Data!$A$2:$A$5761,A9,Data!$B$2:$B$5761,Control!$B$3,Data!$E$2:$E$5761,"&gt;"&amp;N9)</f>
        <v>4</v>
      </c>
      <c r="P9">
        <f>INDEX(Budget!$B$2:$AK$21,MATCH(A9,Budget!$A$2:$A$21,0),MATCH(Control!$B$3,Budget!$B$1:$AK$1,0))</f>
        <v>17234</v>
      </c>
      <c r="Q9">
        <f t="shared" si="5"/>
        <v>-520.10000000000218</v>
      </c>
      <c r="R9" t="str">
        <f>_xlfn.XLOOKUP(A9,Banks!$A$2:$A$21,Banks!$E$2:$E$21)</f>
        <v>Piccola</v>
      </c>
      <c r="S9" t="str">
        <f t="shared" si="6"/>
        <v>C</v>
      </c>
      <c r="T9" t="str" cm="1">
        <f t="array" ref="T9">_xlfn.SWITCH(B9,"Nord-Ovest","NO","Nord-Est","NE","Centro","CE","Sud","SU","IS")</f>
        <v>SU</v>
      </c>
      <c r="U9" t="str">
        <f t="shared" si="7"/>
        <v>centrale</v>
      </c>
      <c r="V9" t="str">
        <f>IF(A9=Control!$B$2,"&lt;&lt;","")</f>
        <v/>
      </c>
      <c r="W9">
        <f>SUMIFS(Data!$H$2:$H$5761,Data!$A$2:$A$5761,A9,Data!$B$2:$B$5761,Control!$B$3)</f>
        <v>1369</v>
      </c>
      <c r="X9">
        <f t="shared" si="8"/>
        <v>0.65885317750182615</v>
      </c>
      <c r="Y9">
        <f>C9*(1+Control!$B$4)</f>
        <v>17215.316999999999</v>
      </c>
      <c r="Z9">
        <f>IF(B9=Control!$B$5,C9,0)</f>
        <v>0</v>
      </c>
      <c r="AA9">
        <f t="shared" si="9"/>
        <v>-3.0200000000000001E-2</v>
      </c>
      <c r="AB9" cm="1">
        <f t="array" ref="AB9">SUMPRODUCT((Data!$A$2:$A$5761=A9)*(Data!$B$2:$B$5761&lt;=Control!$B$3)*(Data!$J$2:$J$5761=Control!$B$11)*Data!$E$2:$E$5761)</f>
        <v>194327.10000000006</v>
      </c>
    </row>
    <row r="10" spans="1:28" x14ac:dyDescent="0.25">
      <c r="A10" t="str">
        <f>Banks!A10</f>
        <v>Banca Sannita</v>
      </c>
      <c r="B10" t="str">
        <f>VLOOKUP(A10,Banks!$A$2:$C$21,3,FALSE)</f>
        <v>Sud</v>
      </c>
      <c r="C10">
        <f>SUMIFS(Data!$E:$E,Data!$A:$A,A10,Data!$B:$B,Control!$B$3)</f>
        <v>17981.400000000001</v>
      </c>
      <c r="D10">
        <f>SUMIFS(Data!$F$2:$F$5761,Data!$A$2:$A$5761,A10,Data!$B$2:$B$5761,Control!$B$3)</f>
        <v>967.92</v>
      </c>
      <c r="E10">
        <f>SUMIFS(Data!$G$2:$G$5761,Data!$A$2:$A$5761,A10,Data!$B$2:$B$5761,Control!$B$3)</f>
        <v>587.87</v>
      </c>
      <c r="F10">
        <f t="shared" si="0"/>
        <v>380.04999999999995</v>
      </c>
      <c r="G10">
        <f>SUMIFS(Data!$E$2:$E$5761,Data!$A$2:$A$5761,A10,Data!$B$2:$B$5761,Control!$B$13)</f>
        <v>17909.699999999997</v>
      </c>
      <c r="H10">
        <f t="shared" si="1"/>
        <v>4.0034171426659437E-3</v>
      </c>
      <c r="I10">
        <f>SUMIFS(Data!$E$2:$E$5761,Data!$A$2:$A$5761,A10,Data!$B$2:$B$5761,Control!$B$14)</f>
        <v>16621</v>
      </c>
      <c r="J10">
        <f t="shared" si="2"/>
        <v>8.1848264244028801E-2</v>
      </c>
      <c r="K10">
        <f t="shared" si="3"/>
        <v>4.492440021975766E-2</v>
      </c>
      <c r="L10">
        <f t="shared" si="4"/>
        <v>12</v>
      </c>
      <c r="M10">
        <f>_xlfn.MAXIFS(Data!$E$2:$E$5761,Data!$A$2:$A$5761,A10,Data!$C$2:$C$5761,"Mutui")</f>
        <v>958.8</v>
      </c>
      <c r="N10">
        <f>AVERAGEIFS(Data!$E$2:$E$5761,Data!$A$2:$A$5761,A10,Data!$B$2:$B$5761,Control!$B$3)</f>
        <v>2247.6750000000002</v>
      </c>
      <c r="O10">
        <f>COUNTIFS(Data!$A$2:$A$5761,A10,Data!$B$2:$B$5761,Control!$B$3,Data!$E$2:$E$5761,"&gt;"&amp;N10)</f>
        <v>4</v>
      </c>
      <c r="P10">
        <f>INDEX(Budget!$B$2:$AK$21,MATCH(A10,Budget!$A$2:$A$21,0),MATCH(Control!$B$3,Budget!$B$1:$AK$1,0))</f>
        <v>18576</v>
      </c>
      <c r="Q10">
        <f t="shared" si="5"/>
        <v>-594.59999999999854</v>
      </c>
      <c r="R10" t="str">
        <f>_xlfn.XLOOKUP(A10,Banks!$A$2:$A$21,Banks!$E$2:$E$21)</f>
        <v>Media</v>
      </c>
      <c r="S10" t="str">
        <f t="shared" si="6"/>
        <v>B</v>
      </c>
      <c r="T10" t="str" cm="1">
        <f t="array" ref="T10">_xlfn.SWITCH(B10,"Nord-Ovest","NO","Nord-Est","NE","Centro","CE","Sud","SU","IS")</f>
        <v>SU</v>
      </c>
      <c r="U10" t="str">
        <f t="shared" si="7"/>
        <v>centrale</v>
      </c>
      <c r="V10" t="str">
        <f>IF(A10=Control!$B$2,"&lt;&lt;","")</f>
        <v/>
      </c>
      <c r="W10">
        <f>SUMIFS(Data!$H$2:$H$5761,Data!$A$2:$A$5761,A10,Data!$B$2:$B$5761,Control!$B$3)</f>
        <v>1560</v>
      </c>
      <c r="X10">
        <f t="shared" si="8"/>
        <v>0.6204615384615384</v>
      </c>
      <c r="Y10">
        <f>C10*(1+Control!$B$4)</f>
        <v>18520.842000000001</v>
      </c>
      <c r="Z10">
        <f>IF(B10=Control!$B$5,C10,0)</f>
        <v>0</v>
      </c>
      <c r="AA10">
        <f t="shared" si="9"/>
        <v>-3.2000000000000001E-2</v>
      </c>
      <c r="AB10" cm="1">
        <f t="array" ref="AB10">SUMPRODUCT((Data!$A$2:$A$5761=A10)*(Data!$B$2:$B$5761&lt;=Control!$B$3)*(Data!$J$2:$J$5761=Control!$B$11)*Data!$E$2:$E$5761)</f>
        <v>209244</v>
      </c>
    </row>
    <row r="11" spans="1:28" x14ac:dyDescent="0.25">
      <c r="A11" t="str">
        <f>Banks!A11</f>
        <v>Banca Ligure</v>
      </c>
      <c r="B11" t="str">
        <f>VLOOKUP(A11,Banks!$A$2:$C$21,3,FALSE)</f>
        <v>Nord-Ovest</v>
      </c>
      <c r="C11">
        <f>SUMIFS(Data!$E:$E,Data!$A:$A,A11,Data!$B:$B,Control!$B$3)</f>
        <v>19412</v>
      </c>
      <c r="D11">
        <f>SUMIFS(Data!$F$2:$F$5761,Data!$A$2:$A$5761,A11,Data!$B$2:$B$5761,Control!$B$3)</f>
        <v>1046.6399999999999</v>
      </c>
      <c r="E11">
        <f>SUMIFS(Data!$G$2:$G$5761,Data!$A$2:$A$5761,A11,Data!$B$2:$B$5761,Control!$B$3)</f>
        <v>631.06999999999994</v>
      </c>
      <c r="F11">
        <f t="shared" si="0"/>
        <v>415.56999999999994</v>
      </c>
      <c r="G11">
        <f>SUMIFS(Data!$E$2:$E$5761,Data!$A$2:$A$5761,A11,Data!$B$2:$B$5761,Control!$B$13)</f>
        <v>19308.799999999996</v>
      </c>
      <c r="H11">
        <f t="shared" si="1"/>
        <v>5.3447132913493345E-3</v>
      </c>
      <c r="I11">
        <f>SUMIFS(Data!$E$2:$E$5761,Data!$A$2:$A$5761,A11,Data!$B$2:$B$5761,Control!$B$14)</f>
        <v>17962.199999999997</v>
      </c>
      <c r="J11">
        <f t="shared" si="2"/>
        <v>8.0713943726269832E-2</v>
      </c>
      <c r="K11">
        <f t="shared" si="3"/>
        <v>4.8498585041539345E-2</v>
      </c>
      <c r="L11">
        <f t="shared" si="4"/>
        <v>11</v>
      </c>
      <c r="M11">
        <f>_xlfn.MAXIFS(Data!$E$2:$E$5761,Data!$A$2:$A$5761,A11,Data!$C$2:$C$5761,"Mutui")</f>
        <v>1062.4000000000001</v>
      </c>
      <c r="N11">
        <f>AVERAGEIFS(Data!$E$2:$E$5761,Data!$A$2:$A$5761,A11,Data!$B$2:$B$5761,Control!$B$3)</f>
        <v>2426.5</v>
      </c>
      <c r="O11">
        <f>COUNTIFS(Data!$A$2:$A$5761,A11,Data!$B$2:$B$5761,Control!$B$3,Data!$E$2:$E$5761,"&gt;"&amp;N11)</f>
        <v>4</v>
      </c>
      <c r="P11">
        <f>INDEX(Budget!$B$2:$AK$21,MATCH(A11,Budget!$A$2:$A$21,0),MATCH(Control!$B$3,Budget!$B$1:$AK$1,0))</f>
        <v>19919</v>
      </c>
      <c r="Q11">
        <f t="shared" si="5"/>
        <v>-507</v>
      </c>
      <c r="R11" t="str">
        <f>_xlfn.XLOOKUP(A11,Banks!$A$2:$A$21,Banks!$E$2:$E$21)</f>
        <v>Media</v>
      </c>
      <c r="S11" t="str">
        <f t="shared" si="6"/>
        <v>B</v>
      </c>
      <c r="T11" t="str" cm="1">
        <f t="array" ref="T11">_xlfn.SWITCH(B11,"Nord-Ovest","NO","Nord-Est","NE","Centro","CE","Sud","SU","IS")</f>
        <v>NO</v>
      </c>
      <c r="U11" t="str">
        <f t="shared" si="7"/>
        <v>centrale</v>
      </c>
      <c r="V11" t="str">
        <f>IF(A11=Control!$B$2,"&lt;&lt;","")</f>
        <v/>
      </c>
      <c r="W11">
        <f>SUMIFS(Data!$H$2:$H$5761,Data!$A$2:$A$5761,A11,Data!$B$2:$B$5761,Control!$B$3)</f>
        <v>1622</v>
      </c>
      <c r="X11">
        <f t="shared" si="8"/>
        <v>0.64527743526510473</v>
      </c>
      <c r="Y11">
        <f>C11*(1+Control!$B$4)</f>
        <v>19994.36</v>
      </c>
      <c r="Z11">
        <f>IF(B11=Control!$B$5,C11,0)</f>
        <v>0</v>
      </c>
      <c r="AA11">
        <f t="shared" si="9"/>
        <v>-2.5499999999999998E-2</v>
      </c>
      <c r="AB11" cm="1">
        <f t="array" ref="AB11">SUMPRODUCT((Data!$A$2:$A$5761=A11)*(Data!$B$2:$B$5761&lt;=Control!$B$3)*(Data!$J$2:$J$5761=Control!$B$11)*Data!$E$2:$E$5761)</f>
        <v>224659.89999999994</v>
      </c>
    </row>
    <row r="12" spans="1:28" x14ac:dyDescent="0.25">
      <c r="A12" t="str">
        <f>Banks!A12</f>
        <v>Banca Veneta</v>
      </c>
      <c r="B12" t="str">
        <f>VLOOKUP(A12,Banks!$A$2:$C$21,3,FALSE)</f>
        <v>Nord-Est</v>
      </c>
      <c r="C12">
        <f>SUMIFS(Data!$E:$E,Data!$A:$A,A12,Data!$B:$B,Control!$B$3)</f>
        <v>20672.400000000001</v>
      </c>
      <c r="D12">
        <f>SUMIFS(Data!$F$2:$F$5761,Data!$A$2:$A$5761,A12,Data!$B$2:$B$5761,Control!$B$3)</f>
        <v>1114.44</v>
      </c>
      <c r="E12">
        <f>SUMIFS(Data!$G$2:$G$5761,Data!$A$2:$A$5761,A12,Data!$B$2:$B$5761,Control!$B$3)</f>
        <v>672.42</v>
      </c>
      <c r="F12">
        <f t="shared" si="0"/>
        <v>442.0200000000001</v>
      </c>
      <c r="G12">
        <f>SUMIFS(Data!$E$2:$E$5761,Data!$A$2:$A$5761,A12,Data!$B$2:$B$5761,Control!$B$13)</f>
        <v>20598.5</v>
      </c>
      <c r="H12">
        <f t="shared" si="1"/>
        <v>3.5876398766900852E-3</v>
      </c>
      <c r="I12">
        <f>SUMIFS(Data!$E$2:$E$5761,Data!$A$2:$A$5761,A12,Data!$B$2:$B$5761,Control!$B$14)</f>
        <v>19131.099999999999</v>
      </c>
      <c r="J12">
        <f t="shared" si="2"/>
        <v>8.0565153075359053E-2</v>
      </c>
      <c r="K12">
        <f t="shared" si="3"/>
        <v>5.1647545302530296E-2</v>
      </c>
      <c r="L12">
        <f t="shared" si="4"/>
        <v>10</v>
      </c>
      <c r="M12">
        <f>_xlfn.MAXIFS(Data!$E$2:$E$5761,Data!$A$2:$A$5761,A12,Data!$C$2:$C$5761,"Mutui")</f>
        <v>1135.5999999999999</v>
      </c>
      <c r="N12">
        <f>AVERAGEIFS(Data!$E$2:$E$5761,Data!$A$2:$A$5761,A12,Data!$B$2:$B$5761,Control!$B$3)</f>
        <v>2584.0500000000002</v>
      </c>
      <c r="O12">
        <f>COUNTIFS(Data!$A$2:$A$5761,A12,Data!$B$2:$B$5761,Control!$B$3,Data!$E$2:$E$5761,"&gt;"&amp;N12)</f>
        <v>4</v>
      </c>
      <c r="P12">
        <f>INDEX(Budget!$B$2:$AK$21,MATCH(A12,Budget!$A$2:$A$21,0),MATCH(Control!$B$3,Budget!$B$1:$AK$1,0))</f>
        <v>21261</v>
      </c>
      <c r="Q12">
        <f t="shared" si="5"/>
        <v>-588.59999999999854</v>
      </c>
      <c r="R12" t="str">
        <f>_xlfn.XLOOKUP(A12,Banks!$A$2:$A$21,Banks!$E$2:$E$21)</f>
        <v>Grande</v>
      </c>
      <c r="S12" t="str">
        <f t="shared" si="6"/>
        <v>A</v>
      </c>
      <c r="T12" t="str" cm="1">
        <f t="array" ref="T12">_xlfn.SWITCH(B12,"Nord-Ovest","NO","Nord-Est","NE","Centro","CE","Sud","SU","IS")</f>
        <v>NE</v>
      </c>
      <c r="U12" t="str">
        <f t="shared" si="7"/>
        <v>centrale</v>
      </c>
      <c r="V12" t="str">
        <f>IF(A12=Control!$B$2,"&lt;&lt;","")</f>
        <v/>
      </c>
      <c r="W12">
        <f>SUMIFS(Data!$H$2:$H$5761,Data!$A$2:$A$5761,A12,Data!$B$2:$B$5761,Control!$B$3)</f>
        <v>1726</v>
      </c>
      <c r="X12">
        <f t="shared" si="8"/>
        <v>0.64567786790266513</v>
      </c>
      <c r="Y12">
        <f>C12*(1+Control!$B$4)</f>
        <v>21292.572000000004</v>
      </c>
      <c r="Z12">
        <f>IF(B12=Control!$B$5,C12,0)</f>
        <v>0</v>
      </c>
      <c r="AA12">
        <f t="shared" si="9"/>
        <v>-2.7699999999999999E-2</v>
      </c>
      <c r="AB12" cm="1">
        <f t="array" ref="AB12">SUMPRODUCT((Data!$A$2:$A$5761=A12)*(Data!$B$2:$B$5761&lt;=Control!$B$3)*(Data!$J$2:$J$5761=Control!$B$11)*Data!$E$2:$E$5761)</f>
        <v>239655.7</v>
      </c>
    </row>
    <row r="13" spans="1:28" x14ac:dyDescent="0.25">
      <c r="A13" t="str">
        <f>Banks!A13</f>
        <v>Banca Friulana</v>
      </c>
      <c r="B13" t="str">
        <f>VLOOKUP(A13,Banks!$A$2:$C$21,3,FALSE)</f>
        <v>Nord-Est</v>
      </c>
      <c r="C13">
        <f>SUMIFS(Data!$E:$E,Data!$A:$A,A13,Data!$B:$B,Control!$B$3)</f>
        <v>21924.5</v>
      </c>
      <c r="D13">
        <f>SUMIFS(Data!$F$2:$F$5761,Data!$A$2:$A$5761,A13,Data!$B$2:$B$5761,Control!$B$3)</f>
        <v>1181.96</v>
      </c>
      <c r="E13">
        <f>SUMIFS(Data!$G$2:$G$5761,Data!$A$2:$A$5761,A13,Data!$B$2:$B$5761,Control!$B$3)</f>
        <v>714.12</v>
      </c>
      <c r="F13">
        <f t="shared" si="0"/>
        <v>467.84000000000003</v>
      </c>
      <c r="G13">
        <f>SUMIFS(Data!$E$2:$E$5761,Data!$A$2:$A$5761,A13,Data!$B$2:$B$5761,Control!$B$13)</f>
        <v>21942.7</v>
      </c>
      <c r="H13">
        <f t="shared" si="1"/>
        <v>-8.2943302328342128E-4</v>
      </c>
      <c r="I13">
        <f>SUMIFS(Data!$E$2:$E$5761,Data!$A$2:$A$5761,A13,Data!$B$2:$B$5761,Control!$B$14)</f>
        <v>20387.8</v>
      </c>
      <c r="J13">
        <f t="shared" si="2"/>
        <v>7.5373507685969177E-2</v>
      </c>
      <c r="K13">
        <f t="shared" si="3"/>
        <v>5.4775768995633078E-2</v>
      </c>
      <c r="L13">
        <f t="shared" si="4"/>
        <v>9</v>
      </c>
      <c r="M13">
        <f>_xlfn.MAXIFS(Data!$E$2:$E$5761,Data!$A$2:$A$5761,A13,Data!$C$2:$C$5761,"Mutui")</f>
        <v>1207</v>
      </c>
      <c r="N13">
        <f>AVERAGEIFS(Data!$E$2:$E$5761,Data!$A$2:$A$5761,A13,Data!$B$2:$B$5761,Control!$B$3)</f>
        <v>2740.5625</v>
      </c>
      <c r="O13">
        <f>COUNTIFS(Data!$A$2:$A$5761,A13,Data!$B$2:$B$5761,Control!$B$3,Data!$E$2:$E$5761,"&gt;"&amp;N13)</f>
        <v>4</v>
      </c>
      <c r="P13">
        <f>INDEX(Budget!$B$2:$AK$21,MATCH(A13,Budget!$A$2:$A$21,0),MATCH(Control!$B$3,Budget!$B$1:$AK$1,0))</f>
        <v>22603</v>
      </c>
      <c r="Q13">
        <f t="shared" si="5"/>
        <v>-678.5</v>
      </c>
      <c r="R13" t="str">
        <f>_xlfn.XLOOKUP(A13,Banks!$A$2:$A$21,Banks!$E$2:$E$21)</f>
        <v>Media</v>
      </c>
      <c r="S13" t="str">
        <f t="shared" si="6"/>
        <v>B</v>
      </c>
      <c r="T13" t="str" cm="1">
        <f t="array" ref="T13">_xlfn.SWITCH(B13,"Nord-Ovest","NO","Nord-Est","NE","Centro","CE","Sud","SU","IS")</f>
        <v>NE</v>
      </c>
      <c r="U13" t="str">
        <f t="shared" si="7"/>
        <v>centrale</v>
      </c>
      <c r="V13" t="str">
        <f>IF(A13=Control!$B$2,"&lt;&lt;","")</f>
        <v/>
      </c>
      <c r="W13">
        <f>SUMIFS(Data!$H$2:$H$5761,Data!$A$2:$A$5761,A13,Data!$B$2:$B$5761,Control!$B$3)</f>
        <v>1831</v>
      </c>
      <c r="X13">
        <f t="shared" si="8"/>
        <v>0.64552703440742765</v>
      </c>
      <c r="Y13">
        <f>C13*(1+Control!$B$4)</f>
        <v>22582.235000000001</v>
      </c>
      <c r="Z13">
        <f>IF(B13=Control!$B$5,C13,0)</f>
        <v>0</v>
      </c>
      <c r="AA13">
        <f t="shared" si="9"/>
        <v>-0.03</v>
      </c>
      <c r="AB13" cm="1">
        <f t="array" ref="AB13">SUMPRODUCT((Data!$A$2:$A$5761=A13)*(Data!$B$2:$B$5761&lt;=Control!$B$3)*(Data!$J$2:$J$5761=Control!$B$11)*Data!$E$2:$E$5761)</f>
        <v>254638.7000000001</v>
      </c>
    </row>
    <row r="14" spans="1:28" x14ac:dyDescent="0.25">
      <c r="A14" t="str">
        <f>Banks!A14</f>
        <v>Banca Umbra</v>
      </c>
      <c r="B14" t="str">
        <f>VLOOKUP(A14,Banks!$A$2:$C$21,3,FALSE)</f>
        <v>Centro</v>
      </c>
      <c r="C14">
        <f>SUMIFS(Data!$E:$E,Data!$A:$A,A14,Data!$B:$B,Control!$B$3)</f>
        <v>23266.5</v>
      </c>
      <c r="D14">
        <f>SUMIFS(Data!$F$2:$F$5761,Data!$A$2:$A$5761,A14,Data!$B$2:$B$5761,Control!$B$3)</f>
        <v>1252.4100000000001</v>
      </c>
      <c r="E14">
        <f>SUMIFS(Data!$G$2:$G$5761,Data!$A$2:$A$5761,A14,Data!$B$2:$B$5761,Control!$B$3)</f>
        <v>756.03</v>
      </c>
      <c r="F14">
        <f t="shared" si="0"/>
        <v>496.38000000000011</v>
      </c>
      <c r="G14">
        <f>SUMIFS(Data!$E$2:$E$5761,Data!$A$2:$A$5761,A14,Data!$B$2:$B$5761,Control!$B$13)</f>
        <v>23222.1</v>
      </c>
      <c r="H14">
        <f t="shared" si="1"/>
        <v>1.9119717854974017E-3</v>
      </c>
      <c r="I14">
        <f>SUMIFS(Data!$E$2:$E$5761,Data!$A$2:$A$5761,A14,Data!$B$2:$B$5761,Control!$B$14)</f>
        <v>21492.3</v>
      </c>
      <c r="J14">
        <f t="shared" si="2"/>
        <v>8.2550494828380394E-2</v>
      </c>
      <c r="K14">
        <f t="shared" si="3"/>
        <v>5.8128597201162951E-2</v>
      </c>
      <c r="L14">
        <f t="shared" si="4"/>
        <v>8</v>
      </c>
      <c r="M14">
        <f>_xlfn.MAXIFS(Data!$E$2:$E$5761,Data!$A$2:$A$5761,A14,Data!$C$2:$C$5761,"Mutui")</f>
        <v>1263.3</v>
      </c>
      <c r="N14">
        <f>AVERAGEIFS(Data!$E$2:$E$5761,Data!$A$2:$A$5761,A14,Data!$B$2:$B$5761,Control!$B$3)</f>
        <v>2908.3125</v>
      </c>
      <c r="O14">
        <f>COUNTIFS(Data!$A$2:$A$5761,A14,Data!$B$2:$B$5761,Control!$B$3,Data!$E$2:$E$5761,"&gt;"&amp;N14)</f>
        <v>4</v>
      </c>
      <c r="P14">
        <f>INDEX(Budget!$B$2:$AK$21,MATCH(A14,Budget!$A$2:$A$21,0),MATCH(Control!$B$3,Budget!$B$1:$AK$1,0))</f>
        <v>23945</v>
      </c>
      <c r="Q14">
        <f t="shared" si="5"/>
        <v>-678.5</v>
      </c>
      <c r="R14" t="str">
        <f>_xlfn.XLOOKUP(A14,Banks!$A$2:$A$21,Banks!$E$2:$E$21)</f>
        <v>Piccola</v>
      </c>
      <c r="S14" t="str">
        <f t="shared" si="6"/>
        <v>C</v>
      </c>
      <c r="T14" t="str" cm="1">
        <f t="array" ref="T14">_xlfn.SWITCH(B14,"Nord-Ovest","NO","Nord-Est","NE","Centro","CE","Sud","SU","IS")</f>
        <v>CE</v>
      </c>
      <c r="U14" t="str">
        <f t="shared" si="7"/>
        <v>centrale</v>
      </c>
      <c r="V14" t="str">
        <f>IF(A14=Control!$B$2,"&lt;&lt;","")</f>
        <v/>
      </c>
      <c r="W14">
        <f>SUMIFS(Data!$H$2:$H$5761,Data!$A$2:$A$5761,A14,Data!$B$2:$B$5761,Control!$B$3)</f>
        <v>1955</v>
      </c>
      <c r="X14">
        <f t="shared" si="8"/>
        <v>0.64061892583120206</v>
      </c>
      <c r="Y14">
        <f>C14*(1+Control!$B$4)</f>
        <v>23964.494999999999</v>
      </c>
      <c r="Z14">
        <f>IF(B14=Control!$B$5,C14,0)</f>
        <v>23266.5</v>
      </c>
      <c r="AA14">
        <f t="shared" si="9"/>
        <v>-2.8299999999999999E-2</v>
      </c>
      <c r="AB14" cm="1">
        <f t="array" ref="AB14">SUMPRODUCT((Data!$A$2:$A$5761=A14)*(Data!$B$2:$B$5761&lt;=Control!$B$3)*(Data!$J$2:$J$5761=Control!$B$11)*Data!$E$2:$E$5761)</f>
        <v>269854.79999999993</v>
      </c>
    </row>
    <row r="15" spans="1:28" x14ac:dyDescent="0.25">
      <c r="A15" t="str">
        <f>Banks!A15</f>
        <v>Banca Marchigiana</v>
      </c>
      <c r="B15" t="str">
        <f>VLOOKUP(A15,Banks!$A$2:$C$21,3,FALSE)</f>
        <v>Centro</v>
      </c>
      <c r="C15">
        <f>SUMIFS(Data!$E:$E,Data!$A:$A,A15,Data!$B:$B,Control!$B$3)</f>
        <v>24657.8</v>
      </c>
      <c r="D15">
        <f>SUMIFS(Data!$F$2:$F$5761,Data!$A$2:$A$5761,A15,Data!$B$2:$B$5761,Control!$B$3)</f>
        <v>1327.04</v>
      </c>
      <c r="E15">
        <f>SUMIFS(Data!$G$2:$G$5761,Data!$A$2:$A$5761,A15,Data!$B$2:$B$5761,Control!$B$3)</f>
        <v>800.57999999999993</v>
      </c>
      <c r="F15">
        <f t="shared" si="0"/>
        <v>526.46</v>
      </c>
      <c r="G15">
        <f>SUMIFS(Data!$E$2:$E$5761,Data!$A$2:$A$5761,A15,Data!$B$2:$B$5761,Control!$B$13)</f>
        <v>24365.800000000003</v>
      </c>
      <c r="H15">
        <f t="shared" si="1"/>
        <v>1.1984010375197807E-2</v>
      </c>
      <c r="I15">
        <f>SUMIFS(Data!$E$2:$E$5761,Data!$A$2:$A$5761,A15,Data!$B$2:$B$5761,Control!$B$14)</f>
        <v>22699.1</v>
      </c>
      <c r="J15">
        <f t="shared" si="2"/>
        <v>8.6289764792436774E-2</v>
      </c>
      <c r="K15">
        <f t="shared" si="3"/>
        <v>6.1604595623185085E-2</v>
      </c>
      <c r="L15">
        <f t="shared" si="4"/>
        <v>7</v>
      </c>
      <c r="M15">
        <f>_xlfn.MAXIFS(Data!$E$2:$E$5761,Data!$A$2:$A$5761,A15,Data!$C$2:$C$5761,"Mutui")</f>
        <v>1336.8</v>
      </c>
      <c r="N15">
        <f>AVERAGEIFS(Data!$E$2:$E$5761,Data!$A$2:$A$5761,A15,Data!$B$2:$B$5761,Control!$B$3)</f>
        <v>3082.2249999999999</v>
      </c>
      <c r="O15">
        <f>COUNTIFS(Data!$A$2:$A$5761,A15,Data!$B$2:$B$5761,Control!$B$3,Data!$E$2:$E$5761,"&gt;"&amp;N15)</f>
        <v>4</v>
      </c>
      <c r="P15">
        <f>INDEX(Budget!$B$2:$AK$21,MATCH(A15,Budget!$A$2:$A$21,0),MATCH(Control!$B$3,Budget!$B$1:$AK$1,0))</f>
        <v>25288</v>
      </c>
      <c r="Q15">
        <f t="shared" si="5"/>
        <v>-630.20000000000073</v>
      </c>
      <c r="R15" t="str">
        <f>_xlfn.XLOOKUP(A15,Banks!$A$2:$A$21,Banks!$E$2:$E$21)</f>
        <v>Media</v>
      </c>
      <c r="S15" t="str">
        <f t="shared" si="6"/>
        <v>B</v>
      </c>
      <c r="T15" t="str" cm="1">
        <f t="array" ref="T15">_xlfn.SWITCH(B15,"Nord-Ovest","NO","Nord-Est","NE","Centro","CE","Sud","SU","IS")</f>
        <v>CE</v>
      </c>
      <c r="U15" t="str">
        <f t="shared" si="7"/>
        <v>centrale</v>
      </c>
      <c r="V15" t="str">
        <f>IF(A15=Control!$B$2,"&lt;&lt;","")</f>
        <v/>
      </c>
      <c r="W15">
        <f>SUMIFS(Data!$H$2:$H$5761,Data!$A$2:$A$5761,A15,Data!$B$2:$B$5761,Control!$B$3)</f>
        <v>2102</v>
      </c>
      <c r="X15">
        <f t="shared" si="8"/>
        <v>0.6313225499524262</v>
      </c>
      <c r="Y15">
        <f>C15*(1+Control!$B$4)</f>
        <v>25397.534</v>
      </c>
      <c r="Z15">
        <f>IF(B15=Control!$B$5,C15,0)</f>
        <v>24657.8</v>
      </c>
      <c r="AA15">
        <f t="shared" si="9"/>
        <v>-2.4899999999999999E-2</v>
      </c>
      <c r="AB15" cm="1">
        <f t="array" ref="AB15">SUMPRODUCT((Data!$A$2:$A$5761=A15)*(Data!$B$2:$B$5761&lt;=Control!$B$3)*(Data!$J$2:$J$5761=Control!$B$11)*Data!$E$2:$E$5761)</f>
        <v>285268.5</v>
      </c>
    </row>
    <row r="16" spans="1:28" x14ac:dyDescent="0.25">
      <c r="A16" t="str">
        <f>Banks!A16</f>
        <v>Banca Lucana</v>
      </c>
      <c r="B16" t="str">
        <f>VLOOKUP(A16,Banks!$A$2:$C$21,3,FALSE)</f>
        <v>Sud</v>
      </c>
      <c r="C16">
        <f>SUMIFS(Data!$E:$E,Data!$A:$A,A16,Data!$B:$B,Control!$B$3)</f>
        <v>25892.2</v>
      </c>
      <c r="D16">
        <f>SUMIFS(Data!$F$2:$F$5761,Data!$A$2:$A$5761,A16,Data!$B$2:$B$5761,Control!$B$3)</f>
        <v>1392.56</v>
      </c>
      <c r="E16">
        <f>SUMIFS(Data!$G$2:$G$5761,Data!$A$2:$A$5761,A16,Data!$B$2:$B$5761,Control!$B$3)</f>
        <v>842.45</v>
      </c>
      <c r="F16">
        <f t="shared" si="0"/>
        <v>550.1099999999999</v>
      </c>
      <c r="G16">
        <f>SUMIFS(Data!$E$2:$E$5761,Data!$A$2:$A$5761,A16,Data!$B$2:$B$5761,Control!$B$13)</f>
        <v>25745.4</v>
      </c>
      <c r="H16">
        <f t="shared" si="1"/>
        <v>5.7019894816161543E-3</v>
      </c>
      <c r="I16">
        <f>SUMIFS(Data!$E$2:$E$5761,Data!$A$2:$A$5761,A16,Data!$B$2:$B$5761,Control!$B$14)</f>
        <v>24070</v>
      </c>
      <c r="J16">
        <f t="shared" si="2"/>
        <v>7.5704196094723786E-2</v>
      </c>
      <c r="K16">
        <f t="shared" si="3"/>
        <v>6.4688597960670988E-2</v>
      </c>
      <c r="L16">
        <f t="shared" si="4"/>
        <v>6</v>
      </c>
      <c r="M16">
        <f>_xlfn.MAXIFS(Data!$E$2:$E$5761,Data!$A$2:$A$5761,A16,Data!$C$2:$C$5761,"Mutui")</f>
        <v>1418.6</v>
      </c>
      <c r="N16">
        <f>AVERAGEIFS(Data!$E$2:$E$5761,Data!$A$2:$A$5761,A16,Data!$B$2:$B$5761,Control!$B$3)</f>
        <v>3236.5250000000001</v>
      </c>
      <c r="O16">
        <f>COUNTIFS(Data!$A$2:$A$5761,A16,Data!$B$2:$B$5761,Control!$B$3,Data!$E$2:$E$5761,"&gt;"&amp;N16)</f>
        <v>4</v>
      </c>
      <c r="P16">
        <f>INDEX(Budget!$B$2:$AK$21,MATCH(A16,Budget!$A$2:$A$21,0),MATCH(Control!$B$3,Budget!$B$1:$AK$1,0))</f>
        <v>26630</v>
      </c>
      <c r="Q16">
        <f t="shared" si="5"/>
        <v>-737.79999999999927</v>
      </c>
      <c r="R16" t="str">
        <f>_xlfn.XLOOKUP(A16,Banks!$A$2:$A$21,Banks!$E$2:$E$21)</f>
        <v>Piccola</v>
      </c>
      <c r="S16" t="str">
        <f t="shared" si="6"/>
        <v>C</v>
      </c>
      <c r="T16" t="str" cm="1">
        <f t="array" ref="T16">_xlfn.SWITCH(B16,"Nord-Ovest","NO","Nord-Est","NE","Centro","CE","Sud","SU","IS")</f>
        <v>SU</v>
      </c>
      <c r="U16" t="str">
        <f t="shared" si="7"/>
        <v>centrale</v>
      </c>
      <c r="V16" t="str">
        <f>IF(A16=Control!$B$2,"&lt;&lt;","")</f>
        <v/>
      </c>
      <c r="W16">
        <f>SUMIFS(Data!$H$2:$H$5761,Data!$A$2:$A$5761,A16,Data!$B$2:$B$5761,Control!$B$3)</f>
        <v>2130</v>
      </c>
      <c r="X16">
        <f t="shared" si="8"/>
        <v>0.65378403755868542</v>
      </c>
      <c r="Y16">
        <f>C16*(1+Control!$B$4)</f>
        <v>26668.966</v>
      </c>
      <c r="Z16">
        <f>IF(B16=Control!$B$5,C16,0)</f>
        <v>0</v>
      </c>
      <c r="AA16">
        <f t="shared" si="9"/>
        <v>-2.7699999999999999E-2</v>
      </c>
      <c r="AB16" cm="1">
        <f t="array" ref="AB16">SUMPRODUCT((Data!$A$2:$A$5761=A16)*(Data!$B$2:$B$5761&lt;=Control!$B$3)*(Data!$J$2:$J$5761=Control!$B$11)*Data!$E$2:$E$5761)</f>
        <v>300130.89999999997</v>
      </c>
    </row>
    <row r="17" spans="1:28" x14ac:dyDescent="0.25">
      <c r="A17" t="str">
        <f>Banks!A17</f>
        <v>Banca Calabra</v>
      </c>
      <c r="B17" t="str">
        <f>VLOOKUP(A17,Banks!$A$2:$C$21,3,FALSE)</f>
        <v>Sud</v>
      </c>
      <c r="C17">
        <f>SUMIFS(Data!$E:$E,Data!$A:$A,A17,Data!$B:$B,Control!$B$3)</f>
        <v>27252.399999999998</v>
      </c>
      <c r="D17">
        <f>SUMIFS(Data!$F$2:$F$5761,Data!$A$2:$A$5761,A17,Data!$B$2:$B$5761,Control!$B$3)</f>
        <v>1468.62</v>
      </c>
      <c r="E17">
        <f>SUMIFS(Data!$G$2:$G$5761,Data!$A$2:$A$5761,A17,Data!$B$2:$B$5761,Control!$B$3)</f>
        <v>885.8</v>
      </c>
      <c r="F17">
        <f t="shared" si="0"/>
        <v>582.81999999999994</v>
      </c>
      <c r="G17">
        <f>SUMIFS(Data!$E$2:$E$5761,Data!$A$2:$A$5761,A17,Data!$B$2:$B$5761,Control!$B$13)</f>
        <v>27129.9</v>
      </c>
      <c r="H17">
        <f t="shared" si="1"/>
        <v>4.5153133627471309E-3</v>
      </c>
      <c r="I17">
        <f>SUMIFS(Data!$E$2:$E$5761,Data!$A$2:$A$5761,A17,Data!$B$2:$B$5761,Control!$B$14)</f>
        <v>25206.9</v>
      </c>
      <c r="J17">
        <f t="shared" si="2"/>
        <v>8.1148415711570943E-2</v>
      </c>
      <c r="K17">
        <f t="shared" si="3"/>
        <v>6.8086896712654374E-2</v>
      </c>
      <c r="L17">
        <f t="shared" si="4"/>
        <v>5</v>
      </c>
      <c r="M17">
        <f>_xlfn.MAXIFS(Data!$E$2:$E$5761,Data!$A$2:$A$5761,A17,Data!$C$2:$C$5761,"Mutui")</f>
        <v>1494.4</v>
      </c>
      <c r="N17">
        <f>AVERAGEIFS(Data!$E$2:$E$5761,Data!$A$2:$A$5761,A17,Data!$B$2:$B$5761,Control!$B$3)</f>
        <v>3406.5499999999997</v>
      </c>
      <c r="O17">
        <f>COUNTIFS(Data!$A$2:$A$5761,A17,Data!$B$2:$B$5761,Control!$B$3,Data!$E$2:$E$5761,"&gt;"&amp;N17)</f>
        <v>4</v>
      </c>
      <c r="P17">
        <f>INDEX(Budget!$B$2:$AK$21,MATCH(A17,Budget!$A$2:$A$21,0),MATCH(Control!$B$3,Budget!$B$1:$AK$1,0))</f>
        <v>27972</v>
      </c>
      <c r="Q17">
        <f t="shared" si="5"/>
        <v>-719.60000000000218</v>
      </c>
      <c r="R17" t="str">
        <f>_xlfn.XLOOKUP(A17,Banks!$A$2:$A$21,Banks!$E$2:$E$21)</f>
        <v>Piccola</v>
      </c>
      <c r="S17" t="str">
        <f t="shared" si="6"/>
        <v>C</v>
      </c>
      <c r="T17" t="str" cm="1">
        <f t="array" ref="T17">_xlfn.SWITCH(B17,"Nord-Ovest","NO","Nord-Est","NE","Centro","CE","Sud","SU","IS")</f>
        <v>SU</v>
      </c>
      <c r="U17" t="str">
        <f t="shared" si="7"/>
        <v>primo quartile</v>
      </c>
      <c r="V17" t="str">
        <f>IF(A17=Control!$B$2,"&lt;&lt;","")</f>
        <v/>
      </c>
      <c r="W17">
        <f>SUMIFS(Data!$H$2:$H$5761,Data!$A$2:$A$5761,A17,Data!$B$2:$B$5761,Control!$B$3)</f>
        <v>2314</v>
      </c>
      <c r="X17">
        <f t="shared" si="8"/>
        <v>0.63466724286949006</v>
      </c>
      <c r="Y17">
        <f>C17*(1+Control!$B$4)</f>
        <v>28069.971999999998</v>
      </c>
      <c r="Z17">
        <f>IF(B17=Control!$B$5,C17,0)</f>
        <v>0</v>
      </c>
      <c r="AA17">
        <f t="shared" si="9"/>
        <v>-2.5700000000000001E-2</v>
      </c>
      <c r="AB17" cm="1">
        <f t="array" ref="AB17">SUMPRODUCT((Data!$A$2:$A$5761=A17)*(Data!$B$2:$B$5761&lt;=Control!$B$3)*(Data!$J$2:$J$5761=Control!$B$11)*Data!$E$2:$E$5761)</f>
        <v>315571.39999999997</v>
      </c>
    </row>
    <row r="18" spans="1:28" x14ac:dyDescent="0.25">
      <c r="A18" t="str">
        <f>Banks!A18</f>
        <v>Banca Sicula</v>
      </c>
      <c r="B18" t="str">
        <f>VLOOKUP(A18,Banks!$A$2:$C$21,3,FALSE)</f>
        <v>Isole</v>
      </c>
      <c r="C18">
        <f>SUMIFS(Data!$E:$E,Data!$A:$A,A18,Data!$B:$B,Control!$B$3)</f>
        <v>28525.599999999999</v>
      </c>
      <c r="D18">
        <f>SUMIFS(Data!$F$2:$F$5761,Data!$A$2:$A$5761,A18,Data!$B$2:$B$5761,Control!$B$3)</f>
        <v>1535.73</v>
      </c>
      <c r="E18">
        <f>SUMIFS(Data!$G$2:$G$5761,Data!$A$2:$A$5761,A18,Data!$B$2:$B$5761,Control!$B$3)</f>
        <v>926.84</v>
      </c>
      <c r="F18">
        <f t="shared" si="0"/>
        <v>608.89</v>
      </c>
      <c r="G18">
        <f>SUMIFS(Data!$E$2:$E$5761,Data!$A$2:$A$5761,A18,Data!$B$2:$B$5761,Control!$B$13)</f>
        <v>28351.799999999996</v>
      </c>
      <c r="H18">
        <f t="shared" si="1"/>
        <v>6.1301222497338603E-3</v>
      </c>
      <c r="I18">
        <f>SUMIFS(Data!$E$2:$E$5761,Data!$A$2:$A$5761,A18,Data!$B$2:$B$5761,Control!$B$14)</f>
        <v>26310.5</v>
      </c>
      <c r="J18">
        <f t="shared" si="2"/>
        <v>8.4190722335189427E-2</v>
      </c>
      <c r="K18">
        <f t="shared" si="3"/>
        <v>7.1267836259063189E-2</v>
      </c>
      <c r="L18">
        <f t="shared" si="4"/>
        <v>4</v>
      </c>
      <c r="M18">
        <f>_xlfn.MAXIFS(Data!$E$2:$E$5761,Data!$A$2:$A$5761,A18,Data!$C$2:$C$5761,"Mutui")</f>
        <v>1567.6</v>
      </c>
      <c r="N18">
        <f>AVERAGEIFS(Data!$E$2:$E$5761,Data!$A$2:$A$5761,A18,Data!$B$2:$B$5761,Control!$B$3)</f>
        <v>3565.7</v>
      </c>
      <c r="O18">
        <f>COUNTIFS(Data!$A$2:$A$5761,A18,Data!$B$2:$B$5761,Control!$B$3,Data!$E$2:$E$5761,"&gt;"&amp;N18)</f>
        <v>4</v>
      </c>
      <c r="P18">
        <f>INDEX(Budget!$B$2:$AK$21,MATCH(A18,Budget!$A$2:$A$21,0),MATCH(Control!$B$3,Budget!$B$1:$AK$1,0))</f>
        <v>29314</v>
      </c>
      <c r="Q18">
        <f t="shared" si="5"/>
        <v>-788.40000000000146</v>
      </c>
      <c r="R18" t="str">
        <f>_xlfn.XLOOKUP(A18,Banks!$A$2:$A$21,Banks!$E$2:$E$21)</f>
        <v>Grande</v>
      </c>
      <c r="S18" t="str">
        <f t="shared" si="6"/>
        <v>A</v>
      </c>
      <c r="T18" t="str" cm="1">
        <f t="array" ref="T18">_xlfn.SWITCH(B18,"Nord-Ovest","NO","Nord-Est","NE","Centro","CE","Sud","SU","IS")</f>
        <v>IS</v>
      </c>
      <c r="U18" t="str">
        <f t="shared" si="7"/>
        <v>primo quartile</v>
      </c>
      <c r="V18" t="str">
        <f>IF(A18=Control!$B$2,"&lt;&lt;","")</f>
        <v/>
      </c>
      <c r="W18">
        <f>SUMIFS(Data!$H$2:$H$5761,Data!$A$2:$A$5761,A18,Data!$B$2:$B$5761,Control!$B$3)</f>
        <v>2444</v>
      </c>
      <c r="X18">
        <f t="shared" si="8"/>
        <v>0.62836743044189858</v>
      </c>
      <c r="Y18">
        <f>C18*(1+Control!$B$4)</f>
        <v>29381.367999999999</v>
      </c>
      <c r="Z18">
        <f>IF(B18=Control!$B$5,C18,0)</f>
        <v>0</v>
      </c>
      <c r="AA18">
        <f t="shared" si="9"/>
        <v>-2.69E-2</v>
      </c>
      <c r="AB18" cm="1">
        <f t="array" ref="AB18">SUMPRODUCT((Data!$A$2:$A$5761=A18)*(Data!$B$2:$B$5761&lt;=Control!$B$3)*(Data!$J$2:$J$5761=Control!$B$11)*Data!$E$2:$E$5761)</f>
        <v>330578.29999999987</v>
      </c>
    </row>
    <row r="19" spans="1:28" x14ac:dyDescent="0.25">
      <c r="A19" t="str">
        <f>Banks!A19</f>
        <v>Banca Sarda</v>
      </c>
      <c r="B19" t="str">
        <f>VLOOKUP(A19,Banks!$A$2:$C$21,3,FALSE)</f>
        <v>Isole</v>
      </c>
      <c r="C19">
        <f>SUMIFS(Data!$E:$E,Data!$A:$A,A19,Data!$B:$B,Control!$B$3)</f>
        <v>29778.7</v>
      </c>
      <c r="D19">
        <f>SUMIFS(Data!$F$2:$F$5761,Data!$A$2:$A$5761,A19,Data!$B$2:$B$5761,Control!$B$3)</f>
        <v>1603.5700000000002</v>
      </c>
      <c r="E19">
        <f>SUMIFS(Data!$G$2:$G$5761,Data!$A$2:$A$5761,A19,Data!$B$2:$B$5761,Control!$B$3)</f>
        <v>966.77</v>
      </c>
      <c r="F19">
        <f t="shared" si="0"/>
        <v>636.80000000000018</v>
      </c>
      <c r="G19">
        <f>SUMIFS(Data!$E$2:$E$5761,Data!$A$2:$A$5761,A19,Data!$B$2:$B$5761,Control!$B$13)</f>
        <v>29699.000000000004</v>
      </c>
      <c r="H19">
        <f t="shared" si="1"/>
        <v>2.683592040136018E-3</v>
      </c>
      <c r="I19">
        <f>SUMIFS(Data!$E$2:$E$5761,Data!$A$2:$A$5761,A19,Data!$B$2:$B$5761,Control!$B$14)</f>
        <v>27616.399999999994</v>
      </c>
      <c r="J19">
        <f t="shared" si="2"/>
        <v>7.829767819121991E-2</v>
      </c>
      <c r="K19">
        <f t="shared" si="3"/>
        <v>7.4398558333839265E-2</v>
      </c>
      <c r="L19">
        <f t="shared" si="4"/>
        <v>3</v>
      </c>
      <c r="M19">
        <f>_xlfn.MAXIFS(Data!$E$2:$E$5761,Data!$A$2:$A$5761,A19,Data!$C$2:$C$5761,"Mutui")</f>
        <v>1619.9</v>
      </c>
      <c r="N19">
        <f>AVERAGEIFS(Data!$E$2:$E$5761,Data!$A$2:$A$5761,A19,Data!$B$2:$B$5761,Control!$B$3)</f>
        <v>3722.3375000000001</v>
      </c>
      <c r="O19">
        <f>COUNTIFS(Data!$A$2:$A$5761,A19,Data!$B$2:$B$5761,Control!$B$3,Data!$E$2:$E$5761,"&gt;"&amp;N19)</f>
        <v>4</v>
      </c>
      <c r="P19">
        <f>INDEX(Budget!$B$2:$AK$21,MATCH(A19,Budget!$A$2:$A$21,0),MATCH(Control!$B$3,Budget!$B$1:$AK$1,0))</f>
        <v>30657</v>
      </c>
      <c r="Q19">
        <f t="shared" si="5"/>
        <v>-878.29999999999927</v>
      </c>
      <c r="R19" t="str">
        <f>_xlfn.XLOOKUP(A19,Banks!$A$2:$A$21,Banks!$E$2:$E$21)</f>
        <v>Media</v>
      </c>
      <c r="S19" t="str">
        <f t="shared" si="6"/>
        <v>B</v>
      </c>
      <c r="T19" t="str" cm="1">
        <f t="array" ref="T19">_xlfn.SWITCH(B19,"Nord-Ovest","NO","Nord-Est","NE","Centro","CE","Sud","SU","IS")</f>
        <v>IS</v>
      </c>
      <c r="U19" t="str">
        <f t="shared" si="7"/>
        <v>primo quartile</v>
      </c>
      <c r="V19" t="str">
        <f>IF(A19=Control!$B$2,"&lt;&lt;","")</f>
        <v/>
      </c>
      <c r="W19">
        <f>SUMIFS(Data!$H$2:$H$5761,Data!$A$2:$A$5761,A19,Data!$B$2:$B$5761,Control!$B$3)</f>
        <v>2492</v>
      </c>
      <c r="X19">
        <f t="shared" si="8"/>
        <v>0.64348715890850727</v>
      </c>
      <c r="Y19">
        <f>C19*(1+Control!$B$4)</f>
        <v>30672.061000000002</v>
      </c>
      <c r="Z19">
        <f>IF(B19=Control!$B$5,C19,0)</f>
        <v>0</v>
      </c>
      <c r="AA19">
        <f t="shared" si="9"/>
        <v>-2.86E-2</v>
      </c>
      <c r="AB19" cm="1">
        <f t="array" ref="AB19">SUMPRODUCT((Data!$A$2:$A$5761=A19)*(Data!$B$2:$B$5761&lt;=Control!$B$3)*(Data!$J$2:$J$5761=Control!$B$11)*Data!$E$2:$E$5761)</f>
        <v>345632.89999999997</v>
      </c>
    </row>
    <row r="20" spans="1:28" x14ac:dyDescent="0.25">
      <c r="A20" t="str">
        <f>Banks!A20</f>
        <v>Banca Romagnola</v>
      </c>
      <c r="B20" t="str">
        <f>VLOOKUP(A20,Banks!$A$2:$C$21,3,FALSE)</f>
        <v>Nord-Est</v>
      </c>
      <c r="C20">
        <f>SUMIFS(Data!$E:$E,Data!$A:$A,A20,Data!$B:$B,Control!$B$3)</f>
        <v>31096.1</v>
      </c>
      <c r="D20">
        <f>SUMIFS(Data!$F$2:$F$5761,Data!$A$2:$A$5761,A20,Data!$B$2:$B$5761,Control!$B$3)</f>
        <v>1675.15</v>
      </c>
      <c r="E20">
        <f>SUMIFS(Data!$G$2:$G$5761,Data!$A$2:$A$5761,A20,Data!$B$2:$B$5761,Control!$B$3)</f>
        <v>1010.3599999999999</v>
      </c>
      <c r="F20">
        <f t="shared" si="0"/>
        <v>664.79000000000019</v>
      </c>
      <c r="G20">
        <f>SUMIFS(Data!$E$2:$E$5761,Data!$A$2:$A$5761,A20,Data!$B$2:$B$5761,Control!$B$13)</f>
        <v>31009.5</v>
      </c>
      <c r="H20">
        <f t="shared" si="1"/>
        <v>2.7926925619567999E-3</v>
      </c>
      <c r="I20">
        <f>SUMIFS(Data!$E$2:$E$5761,Data!$A$2:$A$5761,A20,Data!$B$2:$B$5761,Control!$B$14)</f>
        <v>28865.499999999996</v>
      </c>
      <c r="J20">
        <f t="shared" si="2"/>
        <v>7.7275640470457985E-2</v>
      </c>
      <c r="K20">
        <f t="shared" si="3"/>
        <v>7.7689926350206648E-2</v>
      </c>
      <c r="L20">
        <f t="shared" si="4"/>
        <v>2</v>
      </c>
      <c r="M20">
        <f>_xlfn.MAXIFS(Data!$E$2:$E$5761,Data!$A$2:$A$5761,A20,Data!$C$2:$C$5761,"Mutui")</f>
        <v>1685.2</v>
      </c>
      <c r="N20">
        <f>AVERAGEIFS(Data!$E$2:$E$5761,Data!$A$2:$A$5761,A20,Data!$B$2:$B$5761,Control!$B$3)</f>
        <v>3887.0124999999998</v>
      </c>
      <c r="O20">
        <f>COUNTIFS(Data!$A$2:$A$5761,A20,Data!$B$2:$B$5761,Control!$B$3,Data!$E$2:$E$5761,"&gt;"&amp;N20)</f>
        <v>4</v>
      </c>
      <c r="P20">
        <f>INDEX(Budget!$B$2:$AK$21,MATCH(A20,Budget!$A$2:$A$21,0),MATCH(Control!$B$3,Budget!$B$1:$AK$1,0))</f>
        <v>31999</v>
      </c>
      <c r="Q20">
        <f t="shared" si="5"/>
        <v>-902.90000000000146</v>
      </c>
      <c r="R20" t="str">
        <f>_xlfn.XLOOKUP(A20,Banks!$A$2:$A$21,Banks!$E$2:$E$21)</f>
        <v>Media</v>
      </c>
      <c r="S20" t="str">
        <f t="shared" si="6"/>
        <v>B</v>
      </c>
      <c r="T20" t="str" cm="1">
        <f t="array" ref="T20">_xlfn.SWITCH(B20,"Nord-Ovest","NO","Nord-Est","NE","Centro","CE","Sud","SU","IS")</f>
        <v>NE</v>
      </c>
      <c r="U20" t="str">
        <f t="shared" si="7"/>
        <v>primo quartile</v>
      </c>
      <c r="V20" t="str">
        <f>IF(A20=Control!$B$2,"&lt;&lt;","")</f>
        <v/>
      </c>
      <c r="W20">
        <f>SUMIFS(Data!$H$2:$H$5761,Data!$A$2:$A$5761,A20,Data!$B$2:$B$5761,Control!$B$3)</f>
        <v>2567</v>
      </c>
      <c r="X20">
        <f t="shared" si="8"/>
        <v>0.65257109466303076</v>
      </c>
      <c r="Y20">
        <f>C20*(1+Control!$B$4)</f>
        <v>32028.983</v>
      </c>
      <c r="Z20">
        <f>IF(B20=Control!$B$5,C20,0)</f>
        <v>0</v>
      </c>
      <c r="AA20">
        <f t="shared" si="9"/>
        <v>-2.8199999999999999E-2</v>
      </c>
      <c r="AB20" cm="1">
        <f t="array" ref="AB20">SUMPRODUCT((Data!$A$2:$A$5761=A20)*(Data!$B$2:$B$5761&lt;=Control!$B$3)*(Data!$J$2:$J$5761=Control!$B$11)*Data!$E$2:$E$5761)</f>
        <v>360813.80000000022</v>
      </c>
    </row>
    <row r="21" spans="1:28" x14ac:dyDescent="0.25">
      <c r="A21" t="str">
        <f>Banks!A21</f>
        <v>Banca Città</v>
      </c>
      <c r="B21" t="str">
        <f>VLOOKUP(A21,Banks!$A$2:$C$21,3,FALSE)</f>
        <v>Centro</v>
      </c>
      <c r="C21">
        <f>SUMIFS(Data!$E:$E,Data!$A:$A,A21,Data!$B:$B,Control!$B$3)</f>
        <v>32434</v>
      </c>
      <c r="D21">
        <f>SUMIFS(Data!$F$2:$F$5761,Data!$A$2:$A$5761,A21,Data!$B$2:$B$5761,Control!$B$3)</f>
        <v>1744.5</v>
      </c>
      <c r="E21">
        <f>SUMIFS(Data!$G$2:$G$5761,Data!$A$2:$A$5761,A21,Data!$B$2:$B$5761,Control!$B$3)</f>
        <v>1052.6599999999999</v>
      </c>
      <c r="F21">
        <f t="shared" si="0"/>
        <v>691.84000000000015</v>
      </c>
      <c r="G21">
        <f>SUMIFS(Data!$E$2:$E$5761,Data!$A$2:$A$5761,A21,Data!$B$2:$B$5761,Control!$B$13)</f>
        <v>32230.1</v>
      </c>
      <c r="H21">
        <f t="shared" si="1"/>
        <v>6.3263843425866995E-3</v>
      </c>
      <c r="I21">
        <f>SUMIFS(Data!$E$2:$E$5761,Data!$A$2:$A$5761,A21,Data!$B$2:$B$5761,Control!$B$14)</f>
        <v>30041.199999999997</v>
      </c>
      <c r="J21">
        <f t="shared" si="2"/>
        <v>7.9650613157929984E-2</v>
      </c>
      <c r="K21">
        <f t="shared" si="3"/>
        <v>8.1032511190876108E-2</v>
      </c>
      <c r="L21">
        <f t="shared" si="4"/>
        <v>1</v>
      </c>
      <c r="M21">
        <f>_xlfn.MAXIFS(Data!$E$2:$E$5761,Data!$A$2:$A$5761,A21,Data!$C$2:$C$5761,"Mutui")</f>
        <v>1762</v>
      </c>
      <c r="N21">
        <f>AVERAGEIFS(Data!$E$2:$E$5761,Data!$A$2:$A$5761,A21,Data!$B$2:$B$5761,Control!$B$3)</f>
        <v>4054.25</v>
      </c>
      <c r="O21">
        <f>COUNTIFS(Data!$A$2:$A$5761,A21,Data!$B$2:$B$5761,Control!$B$3,Data!$E$2:$E$5761,"&gt;"&amp;N21)</f>
        <v>4</v>
      </c>
      <c r="P21">
        <f>INDEX(Budget!$B$2:$AK$21,MATCH(A21,Budget!$A$2:$A$21,0),MATCH(Control!$B$3,Budget!$B$1:$AK$1,0))</f>
        <v>33341</v>
      </c>
      <c r="Q21">
        <f t="shared" si="5"/>
        <v>-907</v>
      </c>
      <c r="R21" t="str">
        <f>_xlfn.XLOOKUP(A21,Banks!$A$2:$A$21,Banks!$E$2:$E$21)</f>
        <v>Grande</v>
      </c>
      <c r="S21" t="str">
        <f t="shared" si="6"/>
        <v>A</v>
      </c>
      <c r="T21" t="str" cm="1">
        <f t="array" ref="T21">_xlfn.SWITCH(B21,"Nord-Ovest","NO","Nord-Est","NE","Centro","CE","Sud","SU","IS")</f>
        <v>CE</v>
      </c>
      <c r="U21" t="str">
        <f t="shared" si="7"/>
        <v>primo quartile</v>
      </c>
      <c r="V21" t="str">
        <f>IF(A21=Control!$B$2,"&lt;&lt;","")</f>
        <v/>
      </c>
      <c r="W21">
        <f>SUMIFS(Data!$H$2:$H$5761,Data!$A$2:$A$5761,A21,Data!$B$2:$B$5761,Control!$B$3)</f>
        <v>2632</v>
      </c>
      <c r="X21">
        <f t="shared" si="8"/>
        <v>0.66280395136778114</v>
      </c>
      <c r="Y21">
        <f>C21*(1+Control!$B$4)</f>
        <v>33407.020000000004</v>
      </c>
      <c r="Z21">
        <f>IF(B21=Control!$B$5,C21,0)</f>
        <v>32434</v>
      </c>
      <c r="AA21">
        <f t="shared" si="9"/>
        <v>-2.7199999999999998E-2</v>
      </c>
      <c r="AB21" cm="1">
        <f t="array" ref="AB21">SUMPRODUCT((Data!$A$2:$A$5761=A21)*(Data!$B$2:$B$5761&lt;=Control!$B$3)*(Data!$J$2:$J$5761=Control!$B$11)*Data!$E$2:$E$5761)</f>
        <v>376031.00000000012</v>
      </c>
    </row>
    <row r="23" spans="1:28" x14ac:dyDescent="0.25">
      <c r="A23" t="s">
        <v>162</v>
      </c>
      <c r="C23">
        <f t="shared" ref="C23:G23" si="10">SUM(C2:C21)</f>
        <v>400259.1</v>
      </c>
      <c r="D23">
        <f t="shared" si="10"/>
        <v>21571.920000000002</v>
      </c>
      <c r="E23">
        <f t="shared" si="10"/>
        <v>13030.79</v>
      </c>
      <c r="F23">
        <f t="shared" si="10"/>
        <v>8541.130000000001</v>
      </c>
      <c r="G23">
        <f t="shared" si="10"/>
        <v>398633.39999999997</v>
      </c>
      <c r="K23">
        <f>SUM(K2:K21)</f>
        <v>0.99999999999999989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E7D0B-721B-41F4-8EE9-D2621BC57604}">
  <dimension ref="A1:O9"/>
  <sheetViews>
    <sheetView workbookViewId="0"/>
  </sheetViews>
  <sheetFormatPr defaultRowHeight="12.5" x14ac:dyDescent="0.25"/>
  <sheetData>
    <row r="1" spans="1:15" x14ac:dyDescent="0.25">
      <c r="A1" t="s">
        <v>2</v>
      </c>
      <c r="B1" t="s">
        <v>4</v>
      </c>
      <c r="C1" t="s">
        <v>5</v>
      </c>
      <c r="D1" t="s">
        <v>6</v>
      </c>
      <c r="E1" t="s">
        <v>10</v>
      </c>
      <c r="F1" t="s">
        <v>50</v>
      </c>
      <c r="G1" t="s">
        <v>163</v>
      </c>
      <c r="H1" t="s">
        <v>150</v>
      </c>
      <c r="I1" t="s">
        <v>142</v>
      </c>
      <c r="J1" t="s">
        <v>161</v>
      </c>
      <c r="K1" t="s">
        <v>164</v>
      </c>
      <c r="L1" t="s">
        <v>165</v>
      </c>
      <c r="M1" t="s">
        <v>99</v>
      </c>
      <c r="N1" t="s">
        <v>166</v>
      </c>
      <c r="O1" t="s">
        <v>167</v>
      </c>
    </row>
    <row r="2" spans="1:15" x14ac:dyDescent="0.25">
      <c r="A2" t="str">
        <f>Products!A2</f>
        <v>Mutui</v>
      </c>
      <c r="B2">
        <f>SUMIFS(Data!$E$2:$E$5761,Data!$A$2:$A$5761,Control!$B$2,Data!$B$2:$B$5761,Control!$B$3,Data!$C$2:$C$5761,A2)</f>
        <v>537.5</v>
      </c>
      <c r="C2">
        <f>SUMIFS(Data!$F$2:$F$5761,Data!$A$2:$A$5761,Control!$B$2,Data!$B$2:$B$5761,Control!$B$3,Data!$C$2:$C$5761,A2)</f>
        <v>24.54</v>
      </c>
      <c r="D2">
        <f>SUMIFS(Data!$G$2:$G$5761,Data!$A$2:$A$5761,Control!$B$2,Data!$B$2:$B$5761,Control!$B$3,Data!$C$2:$C$5761,A2)</f>
        <v>15.38</v>
      </c>
      <c r="E2">
        <f t="shared" ref="E2:E9" si="0">C2-D2</f>
        <v>9.1599999999999984</v>
      </c>
      <c r="F2">
        <f>VLOOKUP(A2,Products!$A$2:$C$9,3,FALSE)</f>
        <v>0.6</v>
      </c>
      <c r="G2">
        <f t="shared" ref="G2:G9" si="1">E2*F2</f>
        <v>5.4959999999999987</v>
      </c>
      <c r="H2">
        <f t="shared" ref="H2:H9" si="2">B2/SUM($B$2:$B$9)</f>
        <v>5.2473324026436785E-2</v>
      </c>
      <c r="I2">
        <f t="shared" ref="I2:I9" si="3">RANK(B2,$B$2:$B$9)</f>
        <v>8</v>
      </c>
      <c r="J2">
        <f>SUMIFS(Data!$E$2:$E$5761,Data!$A$2:$A$5761,Control!$B$2,Data!$B$2:$B$5761,"&lt;="&amp;Control!$B$3,Data!$B$2:$B$5761,"&gt;="&amp;Control!$B$22,Data!$C$2:$C$5761,A2)</f>
        <v>6401.7</v>
      </c>
      <c r="K2">
        <f>SUMIFS(Data!$E$2:$E$5761,Data!$C$2:$C$5761,A2,Data!$B$2:$B$5761,Control!$B$3)</f>
        <v>21612.7</v>
      </c>
      <c r="L2">
        <f t="shared" ref="L2:L9" si="4">B2/K2</f>
        <v>2.4869636833898586E-2</v>
      </c>
      <c r="M2" t="str">
        <f>_xlfn.XLOOKUP(A2,Products!$A$2:$A$9,Products!$B$2:$B$9)</f>
        <v>Credito</v>
      </c>
      <c r="N2">
        <f>IFERROR(MATCH(Control!$B$2&amp;"|"&amp;Control!$B$3&amp;"|"&amp;A2,Data!$L$2:$L$5761,0),"n.d.")</f>
        <v>857</v>
      </c>
      <c r="O2" cm="1">
        <f t="array" ref="O2">INDEX(Data!$E$2:$E$5761,N2)</f>
        <v>537.5</v>
      </c>
    </row>
    <row r="3" spans="1:15" x14ac:dyDescent="0.25">
      <c r="A3" t="str">
        <f>Products!A3</f>
        <v>Prestiti</v>
      </c>
      <c r="B3">
        <f>SUMIFS(Data!$E$2:$E$5761,Data!$A$2:$A$5761,Control!$B$2,Data!$B$2:$B$5761,Control!$B$3,Data!$C$2:$C$5761,A3)</f>
        <v>738.6</v>
      </c>
      <c r="C3">
        <f>SUMIFS(Data!$F$2:$F$5761,Data!$A$2:$A$5761,Control!$B$2,Data!$B$2:$B$5761,Control!$B$3,Data!$C$2:$C$5761,A3)</f>
        <v>35.200000000000003</v>
      </c>
      <c r="D3">
        <f>SUMIFS(Data!$G$2:$G$5761,Data!$A$2:$A$5761,Control!$B$2,Data!$B$2:$B$5761,Control!$B$3,Data!$C$2:$C$5761,A3)</f>
        <v>21.69</v>
      </c>
      <c r="E3">
        <f t="shared" si="0"/>
        <v>13.510000000000002</v>
      </c>
      <c r="F3">
        <f>VLOOKUP(A3,Products!$A$2:$C$9,3,FALSE)</f>
        <v>0.65</v>
      </c>
      <c r="G3">
        <f t="shared" si="1"/>
        <v>8.7815000000000012</v>
      </c>
      <c r="H3">
        <f t="shared" si="2"/>
        <v>7.210566907149063E-2</v>
      </c>
      <c r="I3">
        <f t="shared" si="3"/>
        <v>7</v>
      </c>
      <c r="J3">
        <f>SUMIFS(Data!$E$2:$E$5761,Data!$A$2:$A$5761,Control!$B$2,Data!$B$2:$B$5761,"&lt;="&amp;Control!$B$3,Data!$B$2:$B$5761,"&gt;="&amp;Control!$B$22,Data!$C$2:$C$5761,A3)</f>
        <v>8865</v>
      </c>
      <c r="K3">
        <f>SUMIFS(Data!$E$2:$E$5761,Data!$C$2:$C$5761,A3,Data!$B$2:$B$5761,Control!$B$3)</f>
        <v>29709.200000000001</v>
      </c>
      <c r="L3">
        <f t="shared" si="4"/>
        <v>2.486098582257348E-2</v>
      </c>
      <c r="M3" t="str">
        <f>_xlfn.XLOOKUP(A3,Products!$A$2:$A$9,Products!$B$2:$B$9)</f>
        <v>Credito</v>
      </c>
      <c r="N3">
        <f>IFERROR(MATCH(Control!$B$2&amp;"|"&amp;Control!$B$3&amp;"|"&amp;A3,Data!$L$2:$L$5761,0),"n.d.")</f>
        <v>858</v>
      </c>
      <c r="O3" cm="1">
        <f t="array" ref="O3">INDEX(Data!$E$2:$E$5761,N3)</f>
        <v>738.6</v>
      </c>
    </row>
    <row r="4" spans="1:15" x14ac:dyDescent="0.25">
      <c r="A4" t="str">
        <f>Products!A4</f>
        <v>Conti</v>
      </c>
      <c r="B4">
        <f>SUMIFS(Data!$E$2:$E$5761,Data!$A$2:$A$5761,Control!$B$2,Data!$B$2:$B$5761,Control!$B$3,Data!$C$2:$C$5761,A4)</f>
        <v>988.7</v>
      </c>
      <c r="C4">
        <f>SUMIFS(Data!$F$2:$F$5761,Data!$A$2:$A$5761,Control!$B$2,Data!$B$2:$B$5761,Control!$B$3,Data!$C$2:$C$5761,A4)</f>
        <v>48.6</v>
      </c>
      <c r="D4">
        <f>SUMIFS(Data!$G$2:$G$5761,Data!$A$2:$A$5761,Control!$B$2,Data!$B$2:$B$5761,Control!$B$3,Data!$C$2:$C$5761,A4)</f>
        <v>29.74</v>
      </c>
      <c r="E4">
        <f t="shared" si="0"/>
        <v>18.860000000000003</v>
      </c>
      <c r="F4">
        <f>VLOOKUP(A4,Products!$A$2:$C$9,3,FALSE)</f>
        <v>0.7</v>
      </c>
      <c r="G4">
        <f t="shared" si="1"/>
        <v>13.202000000000002</v>
      </c>
      <c r="H4">
        <f t="shared" si="2"/>
        <v>9.6521628771977772E-2</v>
      </c>
      <c r="I4">
        <f t="shared" si="3"/>
        <v>6</v>
      </c>
      <c r="J4">
        <f>SUMIFS(Data!$E$2:$E$5761,Data!$A$2:$A$5761,Control!$B$2,Data!$B$2:$B$5761,"&lt;="&amp;Control!$B$3,Data!$B$2:$B$5761,"&gt;="&amp;Control!$B$22,Data!$C$2:$C$5761,A4)</f>
        <v>11229.1</v>
      </c>
      <c r="K4">
        <f>SUMIFS(Data!$E$2:$E$5761,Data!$C$2:$C$5761,A4,Data!$B$2:$B$5761,Control!$B$3)</f>
        <v>37933.4</v>
      </c>
      <c r="L4">
        <f t="shared" si="4"/>
        <v>2.6064101820559189E-2</v>
      </c>
      <c r="M4" t="str">
        <f>_xlfn.XLOOKUP(A4,Products!$A$2:$A$9,Products!$B$2:$B$9)</f>
        <v>Raccolta</v>
      </c>
      <c r="N4">
        <f>IFERROR(MATCH(Control!$B$2&amp;"|"&amp;Control!$B$3&amp;"|"&amp;A4,Data!$L$2:$L$5761,0),"n.d.")</f>
        <v>859</v>
      </c>
      <c r="O4" cm="1">
        <f t="array" ref="O4">INDEX(Data!$E$2:$E$5761,N4)</f>
        <v>988.7</v>
      </c>
    </row>
    <row r="5" spans="1:15" x14ac:dyDescent="0.25">
      <c r="A5" t="str">
        <f>Products!A5</f>
        <v>Carte</v>
      </c>
      <c r="B5">
        <f>SUMIFS(Data!$E$2:$E$5761,Data!$A$2:$A$5761,Control!$B$2,Data!$B$2:$B$5761,Control!$B$3,Data!$C$2:$C$5761,A5)</f>
        <v>1200.8</v>
      </c>
      <c r="C5">
        <f>SUMIFS(Data!$F$2:$F$5761,Data!$A$2:$A$5761,Control!$B$2,Data!$B$2:$B$5761,Control!$B$3,Data!$C$2:$C$5761,A5)</f>
        <v>62.14</v>
      </c>
      <c r="D5">
        <f>SUMIFS(Data!$G$2:$G$5761,Data!$A$2:$A$5761,Control!$B$2,Data!$B$2:$B$5761,Control!$B$3,Data!$C$2:$C$5761,A5)</f>
        <v>37.29</v>
      </c>
      <c r="E5">
        <f t="shared" si="0"/>
        <v>24.85</v>
      </c>
      <c r="F5">
        <f>VLOOKUP(A5,Products!$A$2:$C$9,3,FALSE)</f>
        <v>0.75</v>
      </c>
      <c r="G5">
        <f t="shared" si="1"/>
        <v>18.637500000000003</v>
      </c>
      <c r="H5">
        <f t="shared" si="2"/>
        <v>0.11722784649478193</v>
      </c>
      <c r="I5">
        <f t="shared" si="3"/>
        <v>5</v>
      </c>
      <c r="J5">
        <f>SUMIFS(Data!$E$2:$E$5761,Data!$A$2:$A$5761,Control!$B$2,Data!$B$2:$B$5761,"&lt;="&amp;Control!$B$3,Data!$B$2:$B$5761,"&gt;="&amp;Control!$B$22,Data!$C$2:$C$5761,A5)</f>
        <v>13585.100000000002</v>
      </c>
      <c r="K5">
        <f>SUMIFS(Data!$E$2:$E$5761,Data!$C$2:$C$5761,A5,Data!$B$2:$B$5761,Control!$B$3)</f>
        <v>46090.5</v>
      </c>
      <c r="L5">
        <f t="shared" si="4"/>
        <v>2.6053091201006715E-2</v>
      </c>
      <c r="M5" t="str">
        <f>_xlfn.XLOOKUP(A5,Products!$A$2:$A$9,Products!$B$2:$B$9)</f>
        <v>Servizi</v>
      </c>
      <c r="N5">
        <f>IFERROR(MATCH(Control!$B$2&amp;"|"&amp;Control!$B$3&amp;"|"&amp;A5,Data!$L$2:$L$5761,0),"n.d.")</f>
        <v>860</v>
      </c>
      <c r="O5" cm="1">
        <f t="array" ref="O5">INDEX(Data!$E$2:$E$5761,N5)</f>
        <v>1200.8</v>
      </c>
    </row>
    <row r="6" spans="1:15" x14ac:dyDescent="0.25">
      <c r="A6" t="str">
        <f>Products!A6</f>
        <v>Leasing</v>
      </c>
      <c r="B6">
        <f>SUMIFS(Data!$E$2:$E$5761,Data!$A$2:$A$5761,Control!$B$2,Data!$B$2:$B$5761,Control!$B$3,Data!$C$2:$C$5761,A6)</f>
        <v>1413.3</v>
      </c>
      <c r="C6">
        <f>SUMIFS(Data!$F$2:$F$5761,Data!$A$2:$A$5761,Control!$B$2,Data!$B$2:$B$5761,Control!$B$3,Data!$C$2:$C$5761,A6)</f>
        <v>75.36</v>
      </c>
      <c r="D6">
        <f>SUMIFS(Data!$G$2:$G$5761,Data!$A$2:$A$5761,Control!$B$2,Data!$B$2:$B$5761,Control!$B$3,Data!$C$2:$C$5761,A6)</f>
        <v>45.83</v>
      </c>
      <c r="E6">
        <f t="shared" si="0"/>
        <v>29.53</v>
      </c>
      <c r="F6">
        <f>VLOOKUP(A6,Products!$A$2:$C$9,3,FALSE)</f>
        <v>0.8</v>
      </c>
      <c r="G6">
        <f t="shared" si="1"/>
        <v>23.624000000000002</v>
      </c>
      <c r="H6">
        <f t="shared" si="2"/>
        <v>0.13797311413314067</v>
      </c>
      <c r="I6">
        <f t="shared" si="3"/>
        <v>4</v>
      </c>
      <c r="J6">
        <f>SUMIFS(Data!$E$2:$E$5761,Data!$A$2:$A$5761,Control!$B$2,Data!$B$2:$B$5761,"&lt;="&amp;Control!$B$3,Data!$B$2:$B$5761,"&gt;="&amp;Control!$B$22,Data!$C$2:$C$5761,A6)</f>
        <v>16139.100000000002</v>
      </c>
      <c r="K6">
        <f>SUMIFS(Data!$E$2:$E$5761,Data!$C$2:$C$5761,A6,Data!$B$2:$B$5761,Control!$B$3)</f>
        <v>54008.3</v>
      </c>
      <c r="L6">
        <f t="shared" si="4"/>
        <v>2.6168200072951748E-2</v>
      </c>
      <c r="M6" t="str">
        <f>_xlfn.XLOOKUP(A6,Products!$A$2:$A$9,Products!$B$2:$B$9)</f>
        <v>Credito</v>
      </c>
      <c r="N6">
        <f>IFERROR(MATCH(Control!$B$2&amp;"|"&amp;Control!$B$3&amp;"|"&amp;A6,Data!$L$2:$L$5761,0),"n.d.")</f>
        <v>861</v>
      </c>
      <c r="O6" cm="1">
        <f t="array" ref="O6">INDEX(Data!$E$2:$E$5761,N6)</f>
        <v>1413.3</v>
      </c>
    </row>
    <row r="7" spans="1:15" x14ac:dyDescent="0.25">
      <c r="A7" t="str">
        <f>Products!A7</f>
        <v>Factoring</v>
      </c>
      <c r="B7">
        <f>SUMIFS(Data!$E$2:$E$5761,Data!$A$2:$A$5761,Control!$B$2,Data!$B$2:$B$5761,Control!$B$3,Data!$C$2:$C$5761,A7)</f>
        <v>1561.3</v>
      </c>
      <c r="C7">
        <f>SUMIFS(Data!$F$2:$F$5761,Data!$A$2:$A$5761,Control!$B$2,Data!$B$2:$B$5761,Control!$B$3,Data!$C$2:$C$5761,A7)</f>
        <v>86.65</v>
      </c>
      <c r="D7">
        <f>SUMIFS(Data!$G$2:$G$5761,Data!$A$2:$A$5761,Control!$B$2,Data!$B$2:$B$5761,Control!$B$3,Data!$C$2:$C$5761,A7)</f>
        <v>51.67</v>
      </c>
      <c r="E7">
        <f t="shared" si="0"/>
        <v>34.980000000000004</v>
      </c>
      <c r="F7">
        <f>VLOOKUP(A7,Products!$A$2:$C$9,3,FALSE)</f>
        <v>0.85</v>
      </c>
      <c r="G7">
        <f t="shared" si="1"/>
        <v>29.733000000000004</v>
      </c>
      <c r="H7">
        <f t="shared" si="2"/>
        <v>0.152421582888327</v>
      </c>
      <c r="I7">
        <f t="shared" si="3"/>
        <v>3</v>
      </c>
      <c r="J7">
        <f>SUMIFS(Data!$E$2:$E$5761,Data!$A$2:$A$5761,Control!$B$2,Data!$B$2:$B$5761,"&lt;="&amp;Control!$B$3,Data!$B$2:$B$5761,"&gt;="&amp;Control!$B$22,Data!$C$2:$C$5761,A7)</f>
        <v>18390.899999999998</v>
      </c>
      <c r="K7">
        <f>SUMIFS(Data!$E$2:$E$5761,Data!$C$2:$C$5761,A7,Data!$B$2:$B$5761,Control!$B$3)</f>
        <v>62125.100000000006</v>
      </c>
      <c r="L7">
        <f t="shared" si="4"/>
        <v>2.5131549084025616E-2</v>
      </c>
      <c r="M7" t="str">
        <f>_xlfn.XLOOKUP(A7,Products!$A$2:$A$9,Products!$B$2:$B$9)</f>
        <v>Credito</v>
      </c>
      <c r="N7">
        <f>IFERROR(MATCH(Control!$B$2&amp;"|"&amp;Control!$B$3&amp;"|"&amp;A7,Data!$L$2:$L$5761,0),"n.d.")</f>
        <v>862</v>
      </c>
      <c r="O7" cm="1">
        <f t="array" ref="O7">INDEX(Data!$E$2:$E$5761,N7)</f>
        <v>1561.3</v>
      </c>
    </row>
    <row r="8" spans="1:15" x14ac:dyDescent="0.25">
      <c r="A8" t="str">
        <f>Products!A8</f>
        <v>Risparmio</v>
      </c>
      <c r="B8">
        <f>SUMIFS(Data!$E$2:$E$5761,Data!$A$2:$A$5761,Control!$B$2,Data!$B$2:$B$5761,Control!$B$3,Data!$C$2:$C$5761,A8)</f>
        <v>1783.7</v>
      </c>
      <c r="C8">
        <f>SUMIFS(Data!$F$2:$F$5761,Data!$A$2:$A$5761,Control!$B$2,Data!$B$2:$B$5761,Control!$B$3,Data!$C$2:$C$5761,A8)</f>
        <v>102.51</v>
      </c>
      <c r="D8">
        <f>SUMIFS(Data!$G$2:$G$5761,Data!$A$2:$A$5761,Control!$B$2,Data!$B$2:$B$5761,Control!$B$3,Data!$C$2:$C$5761,A8)</f>
        <v>61.63</v>
      </c>
      <c r="E8">
        <f t="shared" si="0"/>
        <v>40.880000000000003</v>
      </c>
      <c r="F8">
        <f>VLOOKUP(A8,Products!$A$2:$C$9,3,FALSE)</f>
        <v>0.9</v>
      </c>
      <c r="G8">
        <f t="shared" si="1"/>
        <v>36.792000000000002</v>
      </c>
      <c r="H8">
        <f t="shared" si="2"/>
        <v>0.17413333593666103</v>
      </c>
      <c r="I8">
        <f t="shared" si="3"/>
        <v>2</v>
      </c>
      <c r="J8">
        <f>SUMIFS(Data!$E$2:$E$5761,Data!$A$2:$A$5761,Control!$B$2,Data!$B$2:$B$5761,"&lt;="&amp;Control!$B$3,Data!$B$2:$B$5761,"&gt;="&amp;Control!$B$22,Data!$C$2:$C$5761,A8)</f>
        <v>20809.900000000001</v>
      </c>
      <c r="K8">
        <f>SUMIFS(Data!$E$2:$E$5761,Data!$C$2:$C$5761,A8,Data!$B$2:$B$5761,Control!$B$3)</f>
        <v>70284.3</v>
      </c>
      <c r="L8">
        <f t="shared" si="4"/>
        <v>2.5378356190500582E-2</v>
      </c>
      <c r="M8" t="str">
        <f>_xlfn.XLOOKUP(A8,Products!$A$2:$A$9,Products!$B$2:$B$9)</f>
        <v>Raccolta</v>
      </c>
      <c r="N8">
        <f>IFERROR(MATCH(Control!$B$2&amp;"|"&amp;Control!$B$3&amp;"|"&amp;A8,Data!$L$2:$L$5761,0),"n.d.")</f>
        <v>863</v>
      </c>
      <c r="O8" cm="1">
        <f t="array" ref="O8">INDEX(Data!$E$2:$E$5761,N8)</f>
        <v>1783.7</v>
      </c>
    </row>
    <row r="9" spans="1:15" x14ac:dyDescent="0.25">
      <c r="A9" t="str">
        <f>Products!A9</f>
        <v>Assicurazioni</v>
      </c>
      <c r="B9">
        <f>SUMIFS(Data!$E$2:$E$5761,Data!$A$2:$A$5761,Control!$B$2,Data!$B$2:$B$5761,Control!$B$3,Data!$C$2:$C$5761,A9)</f>
        <v>2019.4</v>
      </c>
      <c r="C9">
        <f>SUMIFS(Data!$F$2:$F$5761,Data!$A$2:$A$5761,Control!$B$2,Data!$B$2:$B$5761,Control!$B$3,Data!$C$2:$C$5761,A9)</f>
        <v>120.09</v>
      </c>
      <c r="D9">
        <f>SUMIFS(Data!$G$2:$G$5761,Data!$A$2:$A$5761,Control!$B$2,Data!$B$2:$B$5761,Control!$B$3,Data!$C$2:$C$5761,A9)</f>
        <v>71.260000000000005</v>
      </c>
      <c r="E9">
        <f t="shared" si="0"/>
        <v>48.83</v>
      </c>
      <c r="F9">
        <f>VLOOKUP(A9,Products!$A$2:$C$9,3,FALSE)</f>
        <v>0.95</v>
      </c>
      <c r="G9">
        <f t="shared" si="1"/>
        <v>46.388499999999993</v>
      </c>
      <c r="H9">
        <f t="shared" si="2"/>
        <v>0.19714349867718409</v>
      </c>
      <c r="I9">
        <f t="shared" si="3"/>
        <v>1</v>
      </c>
      <c r="J9">
        <f>SUMIFS(Data!$E$2:$E$5761,Data!$A$2:$A$5761,Control!$B$2,Data!$B$2:$B$5761,"&lt;="&amp;Control!$B$3,Data!$B$2:$B$5761,"&gt;="&amp;Control!$B$22,Data!$C$2:$C$5761,A9)</f>
        <v>23269.599999999999</v>
      </c>
      <c r="K9">
        <f>SUMIFS(Data!$E$2:$E$5761,Data!$C$2:$C$5761,A9,Data!$B$2:$B$5761,Control!$B$3)</f>
        <v>78495.600000000006</v>
      </c>
      <c r="L9">
        <f t="shared" si="4"/>
        <v>2.5726282747058432E-2</v>
      </c>
      <c r="M9" t="str">
        <f>_xlfn.XLOOKUP(A9,Products!$A$2:$A$9,Products!$B$2:$B$9)</f>
        <v>Servizi</v>
      </c>
      <c r="N9">
        <f>IFERROR(MATCH(Control!$B$2&amp;"|"&amp;Control!$B$3&amp;"|"&amp;A9,Data!$L$2:$L$5761,0),"n.d.")</f>
        <v>864</v>
      </c>
      <c r="O9" cm="1">
        <f t="array" ref="O9">INDEX(Data!$E$2:$E$5761,N9)</f>
        <v>2019.4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F9FF5-5A17-4858-B31E-16657847D49C}">
  <dimension ref="A1:M6"/>
  <sheetViews>
    <sheetView workbookViewId="0"/>
  </sheetViews>
  <sheetFormatPr defaultRowHeight="12.5" x14ac:dyDescent="0.25"/>
  <sheetData>
    <row r="1" spans="1:13" x14ac:dyDescent="0.25">
      <c r="A1" t="s">
        <v>8</v>
      </c>
      <c r="B1" t="s">
        <v>168</v>
      </c>
      <c r="C1" t="s">
        <v>4</v>
      </c>
      <c r="D1" t="s">
        <v>5</v>
      </c>
      <c r="E1" t="s">
        <v>10</v>
      </c>
      <c r="F1" t="s">
        <v>169</v>
      </c>
      <c r="G1" t="s">
        <v>170</v>
      </c>
      <c r="H1" t="s">
        <v>171</v>
      </c>
      <c r="I1" t="s">
        <v>49</v>
      </c>
      <c r="J1" t="s">
        <v>172</v>
      </c>
      <c r="K1" t="s">
        <v>150</v>
      </c>
      <c r="L1" t="s">
        <v>158</v>
      </c>
      <c r="M1" t="s">
        <v>173</v>
      </c>
    </row>
    <row r="2" spans="1:13" x14ac:dyDescent="0.25">
      <c r="A2" t="str">
        <f>Aree!A2</f>
        <v>Nord-Ovest</v>
      </c>
      <c r="B2">
        <f>COUNTIF(Banks!$C$2:$C$21,A2)</f>
        <v>4</v>
      </c>
      <c r="C2">
        <f>SUMIFS(Data!$E$2:$E$5761,Data!$I$2:$I$5761,A2,Data!$B$2:$B$5761,Control!$B$3)</f>
        <v>52623</v>
      </c>
      <c r="D2">
        <f>SUMIFS(Data!$F$2:$F$5761,Data!$I$2:$I$5761,A2,Data!$B$2:$B$5761,Control!$B$3)</f>
        <v>2841.9400000000005</v>
      </c>
      <c r="E2">
        <f>SUMIF(Calc_Bank!$B$2:$B$21,A2,Calc_Bank!$F$2:$F$21)</f>
        <v>1124.2599999999998</v>
      </c>
      <c r="F2">
        <f t="shared" ref="F2:F6" si="0">IFERROR(C2/B2,0)</f>
        <v>13155.75</v>
      </c>
      <c r="G2">
        <f>_xlfn.MAXIFS(Calc_Bank!$C$2:$C$21,Calc_Bank!$B$2:$B$21,A2)</f>
        <v>19412</v>
      </c>
      <c r="H2">
        <f>_xlfn.MINIFS(Calc_Bank!$C$2:$C$21,Calc_Bank!$B$2:$B$21,A2)</f>
        <v>7595.8000000000011</v>
      </c>
      <c r="I2">
        <f>VLOOKUP(A2,Aree!$A$2:$C$6,3,FALSE)</f>
        <v>42000</v>
      </c>
      <c r="J2">
        <f t="shared" ref="J2:J6" si="1">C2-I2</f>
        <v>10623</v>
      </c>
      <c r="K2">
        <f t="shared" ref="K2:K6" si="2">C2/SUM($C$2:$C$6)</f>
        <v>0.13147233879254711</v>
      </c>
      <c r="L2" t="str">
        <f>IF(A2=Control!$B$5,"sì","no")</f>
        <v>no</v>
      </c>
      <c r="M2" t="str">
        <f>INDEX(Calc_Bank!$A$2:$A$21,MATCH(G2,Calc_Bank!$C$2:$C$21,0))</f>
        <v>Banca Ligure</v>
      </c>
    </row>
    <row r="3" spans="1:13" x14ac:dyDescent="0.25">
      <c r="A3" t="str">
        <f>Aree!A3</f>
        <v>Nord-Est</v>
      </c>
      <c r="B3">
        <f>COUNTIF(Banks!$C$2:$C$21,A3)</f>
        <v>4</v>
      </c>
      <c r="C3">
        <f>SUMIFS(Data!$E$2:$E$5761,Data!$I$2:$I$5761,A3,Data!$B$2:$B$5761,Control!$B$3)</f>
        <v>82647.200000000012</v>
      </c>
      <c r="D3">
        <f>SUMIFS(Data!$F$2:$F$5761,Data!$I$2:$I$5761,A3,Data!$B$2:$B$5761,Control!$B$3)</f>
        <v>4457.1100000000015</v>
      </c>
      <c r="E3">
        <f>SUMIF(Calc_Bank!$B$2:$B$21,A3,Calc_Bank!$F$2:$F$21)</f>
        <v>1765.9200000000003</v>
      </c>
      <c r="F3">
        <f t="shared" si="0"/>
        <v>20661.800000000003</v>
      </c>
      <c r="G3">
        <f>_xlfn.MAXIFS(Calc_Bank!$C$2:$C$21,Calc_Bank!$B$2:$B$21,A3)</f>
        <v>31096.1</v>
      </c>
      <c r="H3">
        <f>_xlfn.MINIFS(Calc_Bank!$C$2:$C$21,Calc_Bank!$B$2:$B$21,A3)</f>
        <v>8954.2000000000007</v>
      </c>
      <c r="I3">
        <f>VLOOKUP(A3,Aree!$A$2:$C$6,3,FALSE)</f>
        <v>30000</v>
      </c>
      <c r="J3">
        <f t="shared" si="1"/>
        <v>52647.200000000012</v>
      </c>
      <c r="K3">
        <f t="shared" si="2"/>
        <v>0.20648424982717445</v>
      </c>
      <c r="L3" t="str">
        <f>IF(A3=Control!$B$5,"sì","no")</f>
        <v>no</v>
      </c>
      <c r="M3" t="str">
        <f>INDEX(Calc_Bank!$A$2:$A$21,MATCH(G3,Calc_Bank!$C$2:$C$21,0))</f>
        <v>Banca Romagnola</v>
      </c>
    </row>
    <row r="4" spans="1:13" x14ac:dyDescent="0.25">
      <c r="A4" t="str">
        <f>Aree!A4</f>
        <v>Centro</v>
      </c>
      <c r="B4">
        <f>COUNTIF(Banks!$C$2:$C$21,A4)</f>
        <v>6</v>
      </c>
      <c r="C4">
        <f>SUMIFS(Data!$E$2:$E$5761,Data!$I$2:$I$5761,A4,Data!$B$2:$B$5761,Control!$B$3)</f>
        <v>118844.7</v>
      </c>
      <c r="D4">
        <f>SUMIFS(Data!$F$2:$F$5761,Data!$I$2:$I$5761,A4,Data!$B$2:$B$5761,Control!$B$3)</f>
        <v>6402.5</v>
      </c>
      <c r="E4">
        <f>SUMIF(Calc_Bank!$B$2:$B$21,A4,Calc_Bank!$F$2:$F$21)</f>
        <v>2533.6900000000005</v>
      </c>
      <c r="F4">
        <f t="shared" si="0"/>
        <v>19807.45</v>
      </c>
      <c r="G4">
        <f>_xlfn.MAXIFS(Calc_Bank!$C$2:$C$21,Calc_Bank!$B$2:$B$21,A4)</f>
        <v>32434</v>
      </c>
      <c r="H4">
        <f>_xlfn.MINIFS(Calc_Bank!$C$2:$C$21,Calc_Bank!$B$2:$B$21,A4)</f>
        <v>10243.300000000001</v>
      </c>
      <c r="I4">
        <f>VLOOKUP(A4,Aree!$A$2:$C$6,3,FALSE)</f>
        <v>47000</v>
      </c>
      <c r="J4">
        <f t="shared" si="1"/>
        <v>71844.7</v>
      </c>
      <c r="K4">
        <f t="shared" si="2"/>
        <v>0.29691942044540648</v>
      </c>
      <c r="L4" t="str">
        <f>IF(A4=Control!$B$5,"sì","no")</f>
        <v>sì</v>
      </c>
      <c r="M4" t="str">
        <f>INDEX(Calc_Bank!$A$2:$A$21,MATCH(G4,Calc_Bank!$C$2:$C$21,0))</f>
        <v>Banca Città</v>
      </c>
    </row>
    <row r="5" spans="1:13" x14ac:dyDescent="0.25">
      <c r="A5" t="str">
        <f>Aree!A5</f>
        <v>Sud</v>
      </c>
      <c r="B5">
        <f>COUNTIF(Banks!$C$2:$C$21,A5)</f>
        <v>4</v>
      </c>
      <c r="C5">
        <f>SUMIFS(Data!$E$2:$E$5761,Data!$I$2:$I$5761,A5,Data!$B$2:$B$5761,Control!$B$3)</f>
        <v>87839.900000000009</v>
      </c>
      <c r="D5">
        <f>SUMIFS(Data!$F$2:$F$5761,Data!$I$2:$I$5761,A5,Data!$B$2:$B$5761,Control!$B$3)</f>
        <v>4731.0700000000006</v>
      </c>
      <c r="E5">
        <f>SUMIF(Calc_Bank!$B$2:$B$21,A5,Calc_Bank!$F$2:$F$21)</f>
        <v>1871.57</v>
      </c>
      <c r="F5">
        <f t="shared" si="0"/>
        <v>21959.975000000002</v>
      </c>
      <c r="G5">
        <f>_xlfn.MAXIFS(Calc_Bank!$C$2:$C$21,Calc_Bank!$B$2:$B$21,A5)</f>
        <v>27252.399999999998</v>
      </c>
      <c r="H5">
        <f>_xlfn.MINIFS(Calc_Bank!$C$2:$C$21,Calc_Bank!$B$2:$B$21,A5)</f>
        <v>16713.899999999998</v>
      </c>
      <c r="I5">
        <f>VLOOKUP(A5,Aree!$A$2:$C$6,3,FALSE)</f>
        <v>26000</v>
      </c>
      <c r="J5">
        <f t="shared" si="1"/>
        <v>61839.900000000009</v>
      </c>
      <c r="K5">
        <f t="shared" si="2"/>
        <v>0.21945759634196949</v>
      </c>
      <c r="L5" t="str">
        <f>IF(A5=Control!$B$5,"sì","no")</f>
        <v>no</v>
      </c>
      <c r="M5" t="str">
        <f>INDEX(Calc_Bank!$A$2:$A$21,MATCH(G5,Calc_Bank!$C$2:$C$21,0))</f>
        <v>Banca Calabra</v>
      </c>
    </row>
    <row r="6" spans="1:13" x14ac:dyDescent="0.25">
      <c r="A6" t="str">
        <f>Aree!A6</f>
        <v>Isole</v>
      </c>
      <c r="B6">
        <f>COUNTIF(Banks!$C$2:$C$21,A6)</f>
        <v>2</v>
      </c>
      <c r="C6">
        <f>SUMIFS(Data!$E$2:$E$5761,Data!$I$2:$I$5761,A6,Data!$B$2:$B$5761,Control!$B$3)</f>
        <v>58304.299999999996</v>
      </c>
      <c r="D6">
        <f>SUMIFS(Data!$F$2:$F$5761,Data!$I$2:$I$5761,A6,Data!$B$2:$B$5761,Control!$B$3)</f>
        <v>3139.3000000000006</v>
      </c>
      <c r="E6">
        <f>SUMIF(Calc_Bank!$B$2:$B$21,A6,Calc_Bank!$F$2:$F$21)</f>
        <v>1245.69</v>
      </c>
      <c r="F6">
        <f t="shared" si="0"/>
        <v>29152.149999999998</v>
      </c>
      <c r="G6">
        <f>_xlfn.MAXIFS(Calc_Bank!$C$2:$C$21,Calc_Bank!$B$2:$B$21,A6)</f>
        <v>29778.7</v>
      </c>
      <c r="H6">
        <f>_xlfn.MINIFS(Calc_Bank!$C$2:$C$21,Calc_Bank!$B$2:$B$21,A6)</f>
        <v>28525.599999999999</v>
      </c>
      <c r="I6">
        <f>VLOOKUP(A6,Aree!$A$2:$C$6,3,FALSE)</f>
        <v>16000</v>
      </c>
      <c r="J6">
        <f t="shared" si="1"/>
        <v>42304.299999999996</v>
      </c>
      <c r="K6">
        <f t="shared" si="2"/>
        <v>0.14566639459290243</v>
      </c>
      <c r="L6" t="str">
        <f>IF(A6=Control!$B$5,"sì","no")</f>
        <v>no</v>
      </c>
      <c r="M6" t="str">
        <f>INDEX(Calc_Bank!$A$2:$A$21,MATCH(G6,Calc_Bank!$C$2:$C$21,0))</f>
        <v>Banca Sarda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E979-8406-4EDF-A52D-CCC4480C4283}">
  <dimension ref="A1:AK68"/>
  <sheetViews>
    <sheetView workbookViewId="0"/>
  </sheetViews>
  <sheetFormatPr defaultRowHeight="12.5" x14ac:dyDescent="0.25"/>
  <sheetData>
    <row r="1" spans="1:37" x14ac:dyDescent="0.25">
      <c r="A1" t="s">
        <v>4</v>
      </c>
    </row>
    <row r="2" spans="1:37" x14ac:dyDescent="0.25">
      <c r="A2" t="s">
        <v>174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</row>
    <row r="3" spans="1:37" x14ac:dyDescent="0.25">
      <c r="A3" t="s">
        <v>12</v>
      </c>
      <c r="B3">
        <f>SUMIFS(Data!$E$2:$E$5761,Data!$A$2:$A$5761,$A3,Data!$B$2:$B$5761,B$2)</f>
        <v>5941.5999999999995</v>
      </c>
      <c r="C3">
        <f>SUMIFS(Data!$E$2:$E$5761,Data!$A$2:$A$5761,$A3,Data!$B$2:$B$5761,C$2)</f>
        <v>5956.6</v>
      </c>
      <c r="D3">
        <f>SUMIFS(Data!$E$2:$E$5761,Data!$A$2:$A$5761,$A3,Data!$B$2:$B$5761,D$2)</f>
        <v>6061.7</v>
      </c>
      <c r="E3">
        <f>SUMIFS(Data!$E$2:$E$5761,Data!$A$2:$A$5761,$A3,Data!$B$2:$B$5761,E$2)</f>
        <v>6103</v>
      </c>
      <c r="F3">
        <f>SUMIFS(Data!$E$2:$E$5761,Data!$A$2:$A$5761,$A3,Data!$B$2:$B$5761,F$2)</f>
        <v>6242.9</v>
      </c>
      <c r="G3">
        <f>SUMIFS(Data!$E$2:$E$5761,Data!$A$2:$A$5761,$A3,Data!$B$2:$B$5761,G$2)</f>
        <v>6214.5</v>
      </c>
      <c r="H3">
        <f>SUMIFS(Data!$E$2:$E$5761,Data!$A$2:$A$5761,$A3,Data!$B$2:$B$5761,H$2)</f>
        <v>6269.5999999999985</v>
      </c>
      <c r="I3">
        <f>SUMIFS(Data!$E$2:$E$5761,Data!$A$2:$A$5761,$A3,Data!$B$2:$B$5761,I$2)</f>
        <v>6280.5</v>
      </c>
      <c r="J3">
        <f>SUMIFS(Data!$E$2:$E$5761,Data!$A$2:$A$5761,$A3,Data!$B$2:$B$5761,J$2)</f>
        <v>6318.1</v>
      </c>
      <c r="K3">
        <f>SUMIFS(Data!$E$2:$E$5761,Data!$A$2:$A$5761,$A3,Data!$B$2:$B$5761,K$2)</f>
        <v>6434.7</v>
      </c>
      <c r="L3">
        <f>SUMIFS(Data!$E$2:$E$5761,Data!$A$2:$A$5761,$A3,Data!$B$2:$B$5761,L$2)</f>
        <v>6396.1</v>
      </c>
      <c r="M3">
        <f>SUMIFS(Data!$E$2:$E$5761,Data!$A$2:$A$5761,$A3,Data!$B$2:$B$5761,M$2)</f>
        <v>6551.1</v>
      </c>
      <c r="N3">
        <f>SUMIFS(Data!$E$2:$E$5761,Data!$A$2:$A$5761,$A3,Data!$B$2:$B$5761,N$2)</f>
        <v>6542.2</v>
      </c>
      <c r="O3">
        <f>SUMIFS(Data!$E$2:$E$5761,Data!$A$2:$A$5761,$A3,Data!$B$2:$B$5761,O$2)</f>
        <v>6659.1</v>
      </c>
      <c r="P3">
        <f>SUMIFS(Data!$E$2:$E$5761,Data!$A$2:$A$5761,$A3,Data!$B$2:$B$5761,P$2)</f>
        <v>6559.5999999999995</v>
      </c>
      <c r="Q3">
        <f>SUMIFS(Data!$E$2:$E$5761,Data!$A$2:$A$5761,$A3,Data!$B$2:$B$5761,Q$2)</f>
        <v>6628.6000000000013</v>
      </c>
      <c r="R3">
        <f>SUMIFS(Data!$E$2:$E$5761,Data!$A$2:$A$5761,$A3,Data!$B$2:$B$5761,R$2)</f>
        <v>6732.4</v>
      </c>
      <c r="S3">
        <f>SUMIFS(Data!$E$2:$E$5761,Data!$A$2:$A$5761,$A3,Data!$B$2:$B$5761,S$2)</f>
        <v>6798.5</v>
      </c>
      <c r="T3">
        <f>SUMIFS(Data!$E$2:$E$5761,Data!$A$2:$A$5761,$A3,Data!$B$2:$B$5761,T$2)</f>
        <v>6756.8</v>
      </c>
      <c r="U3">
        <f>SUMIFS(Data!$E$2:$E$5761,Data!$A$2:$A$5761,$A3,Data!$B$2:$B$5761,U$2)</f>
        <v>6767</v>
      </c>
      <c r="V3">
        <f>SUMIFS(Data!$E$2:$E$5761,Data!$A$2:$A$5761,$A3,Data!$B$2:$B$5761,V$2)</f>
        <v>6881.5</v>
      </c>
      <c r="W3">
        <f>SUMIFS(Data!$E$2:$E$5761,Data!$A$2:$A$5761,$A3,Data!$B$2:$B$5761,W$2)</f>
        <v>6930.5</v>
      </c>
      <c r="X3">
        <f>SUMIFS(Data!$E$2:$E$5761,Data!$A$2:$A$5761,$A3,Data!$B$2:$B$5761,X$2)</f>
        <v>7086</v>
      </c>
      <c r="Y3">
        <f>SUMIFS(Data!$E$2:$E$5761,Data!$A$2:$A$5761,$A3,Data!$B$2:$B$5761,Y$2)</f>
        <v>7144.2000000000007</v>
      </c>
      <c r="Z3">
        <f>SUMIFS(Data!$E$2:$E$5761,Data!$A$2:$A$5761,$A3,Data!$B$2:$B$5761,Z$2)</f>
        <v>7026.5000000000009</v>
      </c>
      <c r="AA3">
        <f>SUMIFS(Data!$E$2:$E$5761,Data!$A$2:$A$5761,$A3,Data!$B$2:$B$5761,AA$2)</f>
        <v>7134</v>
      </c>
      <c r="AB3">
        <f>SUMIFS(Data!$E$2:$E$5761,Data!$A$2:$A$5761,$A3,Data!$B$2:$B$5761,AB$2)</f>
        <v>7225.5</v>
      </c>
      <c r="AC3">
        <f>SUMIFS(Data!$E$2:$E$5761,Data!$A$2:$A$5761,$A3,Data!$B$2:$B$5761,AC$2)</f>
        <v>7256.6</v>
      </c>
      <c r="AD3">
        <f>SUMIFS(Data!$E$2:$E$5761,Data!$A$2:$A$5761,$A3,Data!$B$2:$B$5761,AD$2)</f>
        <v>7310.7000000000007</v>
      </c>
      <c r="AE3">
        <f>SUMIFS(Data!$E$2:$E$5761,Data!$A$2:$A$5761,$A3,Data!$B$2:$B$5761,AE$2)</f>
        <v>7354.8</v>
      </c>
      <c r="AF3">
        <f>SUMIFS(Data!$E$2:$E$5761,Data!$A$2:$A$5761,$A3,Data!$B$2:$B$5761,AF$2)</f>
        <v>7466.9</v>
      </c>
      <c r="AG3">
        <f>SUMIFS(Data!$E$2:$E$5761,Data!$A$2:$A$5761,$A3,Data!$B$2:$B$5761,AG$2)</f>
        <v>7341.1</v>
      </c>
      <c r="AH3">
        <f>SUMIFS(Data!$E$2:$E$5761,Data!$A$2:$A$5761,$A3,Data!$B$2:$B$5761,AH$2)</f>
        <v>7481.2000000000007</v>
      </c>
      <c r="AI3">
        <f>SUMIFS(Data!$E$2:$E$5761,Data!$A$2:$A$5761,$A3,Data!$B$2:$B$5761,AI$2)</f>
        <v>7537.9</v>
      </c>
      <c r="AJ3">
        <f>SUMIFS(Data!$E$2:$E$5761,Data!$A$2:$A$5761,$A3,Data!$B$2:$B$5761,AJ$2)</f>
        <v>7584.2999999999993</v>
      </c>
      <c r="AK3">
        <f>SUMIFS(Data!$E$2:$E$5761,Data!$A$2:$A$5761,$A3,Data!$B$2:$B$5761,AK$2)</f>
        <v>7595.8000000000011</v>
      </c>
    </row>
    <row r="4" spans="1:37" x14ac:dyDescent="0.25">
      <c r="A4" t="s">
        <v>22</v>
      </c>
      <c r="B4">
        <f>SUMIFS(Data!$E$2:$E$5761,Data!$A$2:$A$5761,$A4,Data!$B$2:$B$5761,B$2)</f>
        <v>6980.2000000000007</v>
      </c>
      <c r="C4">
        <f>SUMIFS(Data!$E$2:$E$5761,Data!$A$2:$A$5761,$A4,Data!$B$2:$B$5761,C$2)</f>
        <v>7013.2000000000007</v>
      </c>
      <c r="D4">
        <f>SUMIFS(Data!$E$2:$E$5761,Data!$A$2:$A$5761,$A4,Data!$B$2:$B$5761,D$2)</f>
        <v>7134.7</v>
      </c>
      <c r="E4">
        <f>SUMIFS(Data!$E$2:$E$5761,Data!$A$2:$A$5761,$A4,Data!$B$2:$B$5761,E$2)</f>
        <v>7204.9</v>
      </c>
      <c r="F4">
        <f>SUMIFS(Data!$E$2:$E$5761,Data!$A$2:$A$5761,$A4,Data!$B$2:$B$5761,F$2)</f>
        <v>7244.9</v>
      </c>
      <c r="G4">
        <f>SUMIFS(Data!$E$2:$E$5761,Data!$A$2:$A$5761,$A4,Data!$B$2:$B$5761,G$2)</f>
        <v>7279.3</v>
      </c>
      <c r="H4">
        <f>SUMIFS(Data!$E$2:$E$5761,Data!$A$2:$A$5761,$A4,Data!$B$2:$B$5761,H$2)</f>
        <v>7201.0999999999995</v>
      </c>
      <c r="I4">
        <f>SUMIFS(Data!$E$2:$E$5761,Data!$A$2:$A$5761,$A4,Data!$B$2:$B$5761,I$2)</f>
        <v>7400.0999999999995</v>
      </c>
      <c r="J4">
        <f>SUMIFS(Data!$E$2:$E$5761,Data!$A$2:$A$5761,$A4,Data!$B$2:$B$5761,J$2)</f>
        <v>7491.1</v>
      </c>
      <c r="K4">
        <f>SUMIFS(Data!$E$2:$E$5761,Data!$A$2:$A$5761,$A4,Data!$B$2:$B$5761,K$2)</f>
        <v>7462.9</v>
      </c>
      <c r="L4">
        <f>SUMIFS(Data!$E$2:$E$5761,Data!$A$2:$A$5761,$A4,Data!$B$2:$B$5761,L$2)</f>
        <v>7676.4999999999991</v>
      </c>
      <c r="M4">
        <f>SUMIFS(Data!$E$2:$E$5761,Data!$A$2:$A$5761,$A4,Data!$B$2:$B$5761,M$2)</f>
        <v>7666.8</v>
      </c>
      <c r="N4">
        <f>SUMIFS(Data!$E$2:$E$5761,Data!$A$2:$A$5761,$A4,Data!$B$2:$B$5761,N$2)</f>
        <v>7649.6</v>
      </c>
      <c r="O4">
        <f>SUMIFS(Data!$E$2:$E$5761,Data!$A$2:$A$5761,$A4,Data!$B$2:$B$5761,O$2)</f>
        <v>7710.6999999999989</v>
      </c>
      <c r="P4">
        <f>SUMIFS(Data!$E$2:$E$5761,Data!$A$2:$A$5761,$A4,Data!$B$2:$B$5761,P$2)</f>
        <v>7795.7</v>
      </c>
      <c r="Q4">
        <f>SUMIFS(Data!$E$2:$E$5761,Data!$A$2:$A$5761,$A4,Data!$B$2:$B$5761,Q$2)</f>
        <v>7866.7000000000007</v>
      </c>
      <c r="R4">
        <f>SUMIFS(Data!$E$2:$E$5761,Data!$A$2:$A$5761,$A4,Data!$B$2:$B$5761,R$2)</f>
        <v>7877.8</v>
      </c>
      <c r="S4">
        <f>SUMIFS(Data!$E$2:$E$5761,Data!$A$2:$A$5761,$A4,Data!$B$2:$B$5761,S$2)</f>
        <v>7958.7</v>
      </c>
      <c r="T4">
        <f>SUMIFS(Data!$E$2:$E$5761,Data!$A$2:$A$5761,$A4,Data!$B$2:$B$5761,T$2)</f>
        <v>7969.6999999999989</v>
      </c>
      <c r="U4">
        <f>SUMIFS(Data!$E$2:$E$5761,Data!$A$2:$A$5761,$A4,Data!$B$2:$B$5761,U$2)</f>
        <v>8126.5</v>
      </c>
      <c r="V4">
        <f>SUMIFS(Data!$E$2:$E$5761,Data!$A$2:$A$5761,$A4,Data!$B$2:$B$5761,V$2)</f>
        <v>8034.6999999999989</v>
      </c>
      <c r="W4">
        <f>SUMIFS(Data!$E$2:$E$5761,Data!$A$2:$A$5761,$A4,Data!$B$2:$B$5761,W$2)</f>
        <v>8145.4000000000005</v>
      </c>
      <c r="X4">
        <f>SUMIFS(Data!$E$2:$E$5761,Data!$A$2:$A$5761,$A4,Data!$B$2:$B$5761,X$2)</f>
        <v>8193.8000000000011</v>
      </c>
      <c r="Y4">
        <f>SUMIFS(Data!$E$2:$E$5761,Data!$A$2:$A$5761,$A4,Data!$B$2:$B$5761,Y$2)</f>
        <v>8272.1</v>
      </c>
      <c r="Z4">
        <f>SUMIFS(Data!$E$2:$E$5761,Data!$A$2:$A$5761,$A4,Data!$B$2:$B$5761,Z$2)</f>
        <v>8315.9</v>
      </c>
      <c r="AA4">
        <f>SUMIFS(Data!$E$2:$E$5761,Data!$A$2:$A$5761,$A4,Data!$B$2:$B$5761,AA$2)</f>
        <v>8358.4</v>
      </c>
      <c r="AB4">
        <f>SUMIFS(Data!$E$2:$E$5761,Data!$A$2:$A$5761,$A4,Data!$B$2:$B$5761,AB$2)</f>
        <v>8448.7000000000007</v>
      </c>
      <c r="AC4">
        <f>SUMIFS(Data!$E$2:$E$5761,Data!$A$2:$A$5761,$A4,Data!$B$2:$B$5761,AC$2)</f>
        <v>8454.2000000000007</v>
      </c>
      <c r="AD4">
        <f>SUMIFS(Data!$E$2:$E$5761,Data!$A$2:$A$5761,$A4,Data!$B$2:$B$5761,AD$2)</f>
        <v>8495.6</v>
      </c>
      <c r="AE4">
        <f>SUMIFS(Data!$E$2:$E$5761,Data!$A$2:$A$5761,$A4,Data!$B$2:$B$5761,AE$2)</f>
        <v>8568.1</v>
      </c>
      <c r="AF4">
        <f>SUMIFS(Data!$E$2:$E$5761,Data!$A$2:$A$5761,$A4,Data!$B$2:$B$5761,AF$2)</f>
        <v>8592.5999999999985</v>
      </c>
      <c r="AG4">
        <f>SUMIFS(Data!$E$2:$E$5761,Data!$A$2:$A$5761,$A4,Data!$B$2:$B$5761,AG$2)</f>
        <v>8696.2999999999993</v>
      </c>
      <c r="AH4">
        <f>SUMIFS(Data!$E$2:$E$5761,Data!$A$2:$A$5761,$A4,Data!$B$2:$B$5761,AH$2)</f>
        <v>8745.6</v>
      </c>
      <c r="AI4">
        <f>SUMIFS(Data!$E$2:$E$5761,Data!$A$2:$A$5761,$A4,Data!$B$2:$B$5761,AI$2)</f>
        <v>8792.9000000000015</v>
      </c>
      <c r="AJ4">
        <f>SUMIFS(Data!$E$2:$E$5761,Data!$A$2:$A$5761,$A4,Data!$B$2:$B$5761,AJ$2)</f>
        <v>8893.1999999999989</v>
      </c>
      <c r="AK4">
        <f>SUMIFS(Data!$E$2:$E$5761,Data!$A$2:$A$5761,$A4,Data!$B$2:$B$5761,AK$2)</f>
        <v>8954.2000000000007</v>
      </c>
    </row>
    <row r="5" spans="1:37" x14ac:dyDescent="0.25">
      <c r="A5" t="s">
        <v>24</v>
      </c>
      <c r="B5">
        <f>SUMIFS(Data!$E$2:$E$5761,Data!$A$2:$A$5761,$A5,Data!$B$2:$B$5761,B$2)</f>
        <v>8012.1</v>
      </c>
      <c r="C5">
        <f>SUMIFS(Data!$E$2:$E$5761,Data!$A$2:$A$5761,$A5,Data!$B$2:$B$5761,C$2)</f>
        <v>8126.5</v>
      </c>
      <c r="D5">
        <f>SUMIFS(Data!$E$2:$E$5761,Data!$A$2:$A$5761,$A5,Data!$B$2:$B$5761,D$2)</f>
        <v>8163.5</v>
      </c>
      <c r="E5">
        <f>SUMIFS(Data!$E$2:$E$5761,Data!$A$2:$A$5761,$A5,Data!$B$2:$B$5761,E$2)</f>
        <v>8209.7000000000007</v>
      </c>
      <c r="F5">
        <f>SUMIFS(Data!$E$2:$E$5761,Data!$A$2:$A$5761,$A5,Data!$B$2:$B$5761,F$2)</f>
        <v>8325.2000000000007</v>
      </c>
      <c r="G5">
        <f>SUMIFS(Data!$E$2:$E$5761,Data!$A$2:$A$5761,$A5,Data!$B$2:$B$5761,G$2)</f>
        <v>8343.2999999999993</v>
      </c>
      <c r="H5">
        <f>SUMIFS(Data!$E$2:$E$5761,Data!$A$2:$A$5761,$A5,Data!$B$2:$B$5761,H$2)</f>
        <v>8405</v>
      </c>
      <c r="I5">
        <f>SUMIFS(Data!$E$2:$E$5761,Data!$A$2:$A$5761,$A5,Data!$B$2:$B$5761,I$2)</f>
        <v>8440.6</v>
      </c>
      <c r="J5">
        <f>SUMIFS(Data!$E$2:$E$5761,Data!$A$2:$A$5761,$A5,Data!$B$2:$B$5761,J$2)</f>
        <v>8499.6</v>
      </c>
      <c r="K5">
        <f>SUMIFS(Data!$E$2:$E$5761,Data!$A$2:$A$5761,$A5,Data!$B$2:$B$5761,K$2)</f>
        <v>8590.6</v>
      </c>
      <c r="L5">
        <f>SUMIFS(Data!$E$2:$E$5761,Data!$A$2:$A$5761,$A5,Data!$B$2:$B$5761,L$2)</f>
        <v>8644.8999999999978</v>
      </c>
      <c r="M5">
        <f>SUMIFS(Data!$E$2:$E$5761,Data!$A$2:$A$5761,$A5,Data!$B$2:$B$5761,M$2)</f>
        <v>8718.7000000000007</v>
      </c>
      <c r="N5">
        <f>SUMIFS(Data!$E$2:$E$5761,Data!$A$2:$A$5761,$A5,Data!$B$2:$B$5761,N$2)</f>
        <v>8739.0999999999985</v>
      </c>
      <c r="O5">
        <f>SUMIFS(Data!$E$2:$E$5761,Data!$A$2:$A$5761,$A5,Data!$B$2:$B$5761,O$2)</f>
        <v>8764.4000000000015</v>
      </c>
      <c r="P5">
        <f>SUMIFS(Data!$E$2:$E$5761,Data!$A$2:$A$5761,$A5,Data!$B$2:$B$5761,P$2)</f>
        <v>8808.1</v>
      </c>
      <c r="Q5">
        <f>SUMIFS(Data!$E$2:$E$5761,Data!$A$2:$A$5761,$A5,Data!$B$2:$B$5761,Q$2)</f>
        <v>8923.1999999999989</v>
      </c>
      <c r="R5">
        <f>SUMIFS(Data!$E$2:$E$5761,Data!$A$2:$A$5761,$A5,Data!$B$2:$B$5761,R$2)</f>
        <v>9056.2999999999993</v>
      </c>
      <c r="S5">
        <f>SUMIFS(Data!$E$2:$E$5761,Data!$A$2:$A$5761,$A5,Data!$B$2:$B$5761,S$2)</f>
        <v>9113.2999999999993</v>
      </c>
      <c r="T5">
        <f>SUMIFS(Data!$E$2:$E$5761,Data!$A$2:$A$5761,$A5,Data!$B$2:$B$5761,T$2)</f>
        <v>9158.2000000000007</v>
      </c>
      <c r="U5">
        <f>SUMIFS(Data!$E$2:$E$5761,Data!$A$2:$A$5761,$A5,Data!$B$2:$B$5761,U$2)</f>
        <v>9269.7000000000007</v>
      </c>
      <c r="V5">
        <f>SUMIFS(Data!$E$2:$E$5761,Data!$A$2:$A$5761,$A5,Data!$B$2:$B$5761,V$2)</f>
        <v>9227.3000000000011</v>
      </c>
      <c r="W5">
        <f>SUMIFS(Data!$E$2:$E$5761,Data!$A$2:$A$5761,$A5,Data!$B$2:$B$5761,W$2)</f>
        <v>9333.9</v>
      </c>
      <c r="X5">
        <f>SUMIFS(Data!$E$2:$E$5761,Data!$A$2:$A$5761,$A5,Data!$B$2:$B$5761,X$2)</f>
        <v>9331.1</v>
      </c>
      <c r="Y5">
        <f>SUMIFS(Data!$E$2:$E$5761,Data!$A$2:$A$5761,$A5,Data!$B$2:$B$5761,Y$2)</f>
        <v>9406</v>
      </c>
      <c r="Z5">
        <f>SUMIFS(Data!$E$2:$E$5761,Data!$A$2:$A$5761,$A5,Data!$B$2:$B$5761,Z$2)</f>
        <v>9566.8000000000011</v>
      </c>
      <c r="AA5">
        <f>SUMIFS(Data!$E$2:$E$5761,Data!$A$2:$A$5761,$A5,Data!$B$2:$B$5761,AA$2)</f>
        <v>9616.2000000000007</v>
      </c>
      <c r="AB5">
        <f>SUMIFS(Data!$E$2:$E$5761,Data!$A$2:$A$5761,$A5,Data!$B$2:$B$5761,AB$2)</f>
        <v>9729.1</v>
      </c>
      <c r="AC5">
        <f>SUMIFS(Data!$E$2:$E$5761,Data!$A$2:$A$5761,$A5,Data!$B$2:$B$5761,AC$2)</f>
        <v>9665.6</v>
      </c>
      <c r="AD5">
        <f>SUMIFS(Data!$E$2:$E$5761,Data!$A$2:$A$5761,$A5,Data!$B$2:$B$5761,AD$2)</f>
        <v>9782.7999999999993</v>
      </c>
      <c r="AE5">
        <f>SUMIFS(Data!$E$2:$E$5761,Data!$A$2:$A$5761,$A5,Data!$B$2:$B$5761,AE$2)</f>
        <v>9865.7999999999993</v>
      </c>
      <c r="AF5">
        <f>SUMIFS(Data!$E$2:$E$5761,Data!$A$2:$A$5761,$A5,Data!$B$2:$B$5761,AF$2)</f>
        <v>9905.6</v>
      </c>
      <c r="AG5">
        <f>SUMIFS(Data!$E$2:$E$5761,Data!$A$2:$A$5761,$A5,Data!$B$2:$B$5761,AG$2)</f>
        <v>9946.4000000000015</v>
      </c>
      <c r="AH5">
        <f>SUMIFS(Data!$E$2:$E$5761,Data!$A$2:$A$5761,$A5,Data!$B$2:$B$5761,AH$2)</f>
        <v>10029.400000000001</v>
      </c>
      <c r="AI5">
        <f>SUMIFS(Data!$E$2:$E$5761,Data!$A$2:$A$5761,$A5,Data!$B$2:$B$5761,AI$2)</f>
        <v>10087.199999999999</v>
      </c>
      <c r="AJ5">
        <f>SUMIFS(Data!$E$2:$E$5761,Data!$A$2:$A$5761,$A5,Data!$B$2:$B$5761,AJ$2)</f>
        <v>10252.199999999999</v>
      </c>
      <c r="AK5">
        <f>SUMIFS(Data!$E$2:$E$5761,Data!$A$2:$A$5761,$A5,Data!$B$2:$B$5761,AK$2)</f>
        <v>10243.300000000001</v>
      </c>
    </row>
    <row r="6" spans="1:37" x14ac:dyDescent="0.25">
      <c r="A6" t="s">
        <v>26</v>
      </c>
      <c r="B6">
        <f>SUMIFS(Data!$E$2:$E$5761,Data!$A$2:$A$5761,$A6,Data!$B$2:$B$5761,B$2)</f>
        <v>9024.4</v>
      </c>
      <c r="C6">
        <f>SUMIFS(Data!$E$2:$E$5761,Data!$A$2:$A$5761,$A6,Data!$B$2:$B$5761,C$2)</f>
        <v>9114</v>
      </c>
      <c r="D6">
        <f>SUMIFS(Data!$E$2:$E$5761,Data!$A$2:$A$5761,$A6,Data!$B$2:$B$5761,D$2)</f>
        <v>9162.1</v>
      </c>
      <c r="E6">
        <f>SUMIFS(Data!$E$2:$E$5761,Data!$A$2:$A$5761,$A6,Data!$B$2:$B$5761,E$2)</f>
        <v>9314.4</v>
      </c>
      <c r="F6">
        <f>SUMIFS(Data!$E$2:$E$5761,Data!$A$2:$A$5761,$A6,Data!$B$2:$B$5761,F$2)</f>
        <v>9320.9</v>
      </c>
      <c r="G6">
        <f>SUMIFS(Data!$E$2:$E$5761,Data!$A$2:$A$5761,$A6,Data!$B$2:$B$5761,G$2)</f>
        <v>9433</v>
      </c>
      <c r="H6">
        <f>SUMIFS(Data!$E$2:$E$5761,Data!$A$2:$A$5761,$A6,Data!$B$2:$B$5761,H$2)</f>
        <v>9434.4</v>
      </c>
      <c r="I6">
        <f>SUMIFS(Data!$E$2:$E$5761,Data!$A$2:$A$5761,$A6,Data!$B$2:$B$5761,I$2)</f>
        <v>9470.5</v>
      </c>
      <c r="J6">
        <f>SUMIFS(Data!$E$2:$E$5761,Data!$A$2:$A$5761,$A6,Data!$B$2:$B$5761,J$2)</f>
        <v>9638.2000000000007</v>
      </c>
      <c r="K6">
        <f>SUMIFS(Data!$E$2:$E$5761,Data!$A$2:$A$5761,$A6,Data!$B$2:$B$5761,K$2)</f>
        <v>9642.4</v>
      </c>
      <c r="L6">
        <f>SUMIFS(Data!$E$2:$E$5761,Data!$A$2:$A$5761,$A6,Data!$B$2:$B$5761,L$2)</f>
        <v>9735.6</v>
      </c>
      <c r="M6">
        <f>SUMIFS(Data!$E$2:$E$5761,Data!$A$2:$A$5761,$A6,Data!$B$2:$B$5761,M$2)</f>
        <v>9822.9000000000015</v>
      </c>
      <c r="N6">
        <f>SUMIFS(Data!$E$2:$E$5761,Data!$A$2:$A$5761,$A6,Data!$B$2:$B$5761,N$2)</f>
        <v>9892.6</v>
      </c>
      <c r="O6">
        <f>SUMIFS(Data!$E$2:$E$5761,Data!$A$2:$A$5761,$A6,Data!$B$2:$B$5761,O$2)</f>
        <v>9963.1</v>
      </c>
      <c r="P6">
        <f>SUMIFS(Data!$E$2:$E$5761,Data!$A$2:$A$5761,$A6,Data!$B$2:$B$5761,P$2)</f>
        <v>9930.9</v>
      </c>
      <c r="Q6">
        <f>SUMIFS(Data!$E$2:$E$5761,Data!$A$2:$A$5761,$A6,Data!$B$2:$B$5761,Q$2)</f>
        <v>9992.2000000000007</v>
      </c>
      <c r="R6">
        <f>SUMIFS(Data!$E$2:$E$5761,Data!$A$2:$A$5761,$A6,Data!$B$2:$B$5761,R$2)</f>
        <v>10246.4</v>
      </c>
      <c r="S6">
        <f>SUMIFS(Data!$E$2:$E$5761,Data!$A$2:$A$5761,$A6,Data!$B$2:$B$5761,S$2)</f>
        <v>10267.6</v>
      </c>
      <c r="T6">
        <f>SUMIFS(Data!$E$2:$E$5761,Data!$A$2:$A$5761,$A6,Data!$B$2:$B$5761,T$2)</f>
        <v>10337.699999999999</v>
      </c>
      <c r="U6">
        <f>SUMIFS(Data!$E$2:$E$5761,Data!$A$2:$A$5761,$A6,Data!$B$2:$B$5761,U$2)</f>
        <v>10408.900000000001</v>
      </c>
      <c r="V6">
        <f>SUMIFS(Data!$E$2:$E$5761,Data!$A$2:$A$5761,$A6,Data!$B$2:$B$5761,V$2)</f>
        <v>10412.799999999999</v>
      </c>
      <c r="W6">
        <f>SUMIFS(Data!$E$2:$E$5761,Data!$A$2:$A$5761,$A6,Data!$B$2:$B$5761,W$2)</f>
        <v>10592.800000000001</v>
      </c>
      <c r="X6">
        <f>SUMIFS(Data!$E$2:$E$5761,Data!$A$2:$A$5761,$A6,Data!$B$2:$B$5761,X$2)</f>
        <v>10577.599999999999</v>
      </c>
      <c r="Y6">
        <f>SUMIFS(Data!$E$2:$E$5761,Data!$A$2:$A$5761,$A6,Data!$B$2:$B$5761,Y$2)</f>
        <v>10750.3</v>
      </c>
      <c r="Z6">
        <f>SUMIFS(Data!$E$2:$E$5761,Data!$A$2:$A$5761,$A6,Data!$B$2:$B$5761,Z$2)</f>
        <v>10731.5</v>
      </c>
      <c r="AA6">
        <f>SUMIFS(Data!$E$2:$E$5761,Data!$A$2:$A$5761,$A6,Data!$B$2:$B$5761,AA$2)</f>
        <v>10766.7</v>
      </c>
      <c r="AB6">
        <f>SUMIFS(Data!$E$2:$E$5761,Data!$A$2:$A$5761,$A6,Data!$B$2:$B$5761,AB$2)</f>
        <v>10938</v>
      </c>
      <c r="AC6">
        <f>SUMIFS(Data!$E$2:$E$5761,Data!$A$2:$A$5761,$A6,Data!$B$2:$B$5761,AC$2)</f>
        <v>10945.900000000001</v>
      </c>
      <c r="AD6">
        <f>SUMIFS(Data!$E$2:$E$5761,Data!$A$2:$A$5761,$A6,Data!$B$2:$B$5761,AD$2)</f>
        <v>11065.5</v>
      </c>
      <c r="AE6">
        <f>SUMIFS(Data!$E$2:$E$5761,Data!$A$2:$A$5761,$A6,Data!$B$2:$B$5761,AE$2)</f>
        <v>11127.400000000001</v>
      </c>
      <c r="AF6">
        <f>SUMIFS(Data!$E$2:$E$5761,Data!$A$2:$A$5761,$A6,Data!$B$2:$B$5761,AF$2)</f>
        <v>11224.4</v>
      </c>
      <c r="AG6">
        <f>SUMIFS(Data!$E$2:$E$5761,Data!$A$2:$A$5761,$A6,Data!$B$2:$B$5761,AG$2)</f>
        <v>11302.8</v>
      </c>
      <c r="AH6">
        <f>SUMIFS(Data!$E$2:$E$5761,Data!$A$2:$A$5761,$A6,Data!$B$2:$B$5761,AH$2)</f>
        <v>11357.2</v>
      </c>
      <c r="AI6">
        <f>SUMIFS(Data!$E$2:$E$5761,Data!$A$2:$A$5761,$A6,Data!$B$2:$B$5761,AI$2)</f>
        <v>11331.1</v>
      </c>
      <c r="AJ6">
        <f>SUMIFS(Data!$E$2:$E$5761,Data!$A$2:$A$5761,$A6,Data!$B$2:$B$5761,AJ$2)</f>
        <v>11521.6</v>
      </c>
      <c r="AK6">
        <f>SUMIFS(Data!$E$2:$E$5761,Data!$A$2:$A$5761,$A6,Data!$B$2:$B$5761,AK$2)</f>
        <v>11467.099999999999</v>
      </c>
    </row>
    <row r="7" spans="1:37" x14ac:dyDescent="0.25">
      <c r="A7" t="s">
        <v>27</v>
      </c>
      <c r="B7">
        <f>SUMIFS(Data!$E$2:$E$5761,Data!$A$2:$A$5761,$A7,Data!$B$2:$B$5761,B$2)</f>
        <v>9970.7999999999993</v>
      </c>
      <c r="C7">
        <f>SUMIFS(Data!$E$2:$E$5761,Data!$A$2:$A$5761,$A7,Data!$B$2:$B$5761,C$2)</f>
        <v>10128.599999999999</v>
      </c>
      <c r="D7">
        <f>SUMIFS(Data!$E$2:$E$5761,Data!$A$2:$A$5761,$A7,Data!$B$2:$B$5761,D$2)</f>
        <v>10240</v>
      </c>
      <c r="E7">
        <f>SUMIFS(Data!$E$2:$E$5761,Data!$A$2:$A$5761,$A7,Data!$B$2:$B$5761,E$2)</f>
        <v>10248.9</v>
      </c>
      <c r="F7">
        <f>SUMIFS(Data!$E$2:$E$5761,Data!$A$2:$A$5761,$A7,Data!$B$2:$B$5761,F$2)</f>
        <v>10292.900000000001</v>
      </c>
      <c r="G7">
        <f>SUMIFS(Data!$E$2:$E$5761,Data!$A$2:$A$5761,$A7,Data!$B$2:$B$5761,G$2)</f>
        <v>10429.799999999999</v>
      </c>
      <c r="H7">
        <f>SUMIFS(Data!$E$2:$E$5761,Data!$A$2:$A$5761,$A7,Data!$B$2:$B$5761,H$2)</f>
        <v>10542.8</v>
      </c>
      <c r="I7">
        <f>SUMIFS(Data!$E$2:$E$5761,Data!$A$2:$A$5761,$A7,Data!$B$2:$B$5761,I$2)</f>
        <v>10604.699999999999</v>
      </c>
      <c r="J7">
        <f>SUMIFS(Data!$E$2:$E$5761,Data!$A$2:$A$5761,$A7,Data!$B$2:$B$5761,J$2)</f>
        <v>10732.8</v>
      </c>
      <c r="K7">
        <f>SUMIFS(Data!$E$2:$E$5761,Data!$A$2:$A$5761,$A7,Data!$B$2:$B$5761,K$2)</f>
        <v>10758.5</v>
      </c>
      <c r="L7">
        <f>SUMIFS(Data!$E$2:$E$5761,Data!$A$2:$A$5761,$A7,Data!$B$2:$B$5761,L$2)</f>
        <v>10838</v>
      </c>
      <c r="M7">
        <f>SUMIFS(Data!$E$2:$E$5761,Data!$A$2:$A$5761,$A7,Data!$B$2:$B$5761,M$2)</f>
        <v>10956.1</v>
      </c>
      <c r="N7">
        <f>SUMIFS(Data!$E$2:$E$5761,Data!$A$2:$A$5761,$A7,Data!$B$2:$B$5761,N$2)</f>
        <v>10989.1</v>
      </c>
      <c r="O7">
        <f>SUMIFS(Data!$E$2:$E$5761,Data!$A$2:$A$5761,$A7,Data!$B$2:$B$5761,O$2)</f>
        <v>11060.3</v>
      </c>
      <c r="P7">
        <f>SUMIFS(Data!$E$2:$E$5761,Data!$A$2:$A$5761,$A7,Data!$B$2:$B$5761,P$2)</f>
        <v>11179.199999999999</v>
      </c>
      <c r="Q7">
        <f>SUMIFS(Data!$E$2:$E$5761,Data!$A$2:$A$5761,$A7,Data!$B$2:$B$5761,Q$2)</f>
        <v>11276.5</v>
      </c>
      <c r="R7">
        <f>SUMIFS(Data!$E$2:$E$5761,Data!$A$2:$A$5761,$A7,Data!$B$2:$B$5761,R$2)</f>
        <v>11408.8</v>
      </c>
      <c r="S7">
        <f>SUMIFS(Data!$E$2:$E$5761,Data!$A$2:$A$5761,$A7,Data!$B$2:$B$5761,S$2)</f>
        <v>11395</v>
      </c>
      <c r="T7">
        <f>SUMIFS(Data!$E$2:$E$5761,Data!$A$2:$A$5761,$A7,Data!$B$2:$B$5761,T$2)</f>
        <v>11479.900000000001</v>
      </c>
      <c r="U7">
        <f>SUMIFS(Data!$E$2:$E$5761,Data!$A$2:$A$5761,$A7,Data!$B$2:$B$5761,U$2)</f>
        <v>11520.3</v>
      </c>
      <c r="V7">
        <f>SUMIFS(Data!$E$2:$E$5761,Data!$A$2:$A$5761,$A7,Data!$B$2:$B$5761,V$2)</f>
        <v>11648.7</v>
      </c>
      <c r="W7">
        <f>SUMIFS(Data!$E$2:$E$5761,Data!$A$2:$A$5761,$A7,Data!$B$2:$B$5761,W$2)</f>
        <v>11730.099999999999</v>
      </c>
      <c r="X7">
        <f>SUMIFS(Data!$E$2:$E$5761,Data!$A$2:$A$5761,$A7,Data!$B$2:$B$5761,X$2)</f>
        <v>11862.3</v>
      </c>
      <c r="Y7">
        <f>SUMIFS(Data!$E$2:$E$5761,Data!$A$2:$A$5761,$A7,Data!$B$2:$B$5761,Y$2)</f>
        <v>11877.1</v>
      </c>
      <c r="Z7">
        <f>SUMIFS(Data!$E$2:$E$5761,Data!$A$2:$A$5761,$A7,Data!$B$2:$B$5761,Z$2)</f>
        <v>11909.400000000001</v>
      </c>
      <c r="AA7">
        <f>SUMIFS(Data!$E$2:$E$5761,Data!$A$2:$A$5761,$A7,Data!$B$2:$B$5761,AA$2)</f>
        <v>12039.800000000001</v>
      </c>
      <c r="AB7">
        <f>SUMIFS(Data!$E$2:$E$5761,Data!$A$2:$A$5761,$A7,Data!$B$2:$B$5761,AB$2)</f>
        <v>12210.400000000001</v>
      </c>
      <c r="AC7">
        <f>SUMIFS(Data!$E$2:$E$5761,Data!$A$2:$A$5761,$A7,Data!$B$2:$B$5761,AC$2)</f>
        <v>12205.6</v>
      </c>
      <c r="AD7">
        <f>SUMIFS(Data!$E$2:$E$5761,Data!$A$2:$A$5761,$A7,Data!$B$2:$B$5761,AD$2)</f>
        <v>12245.1</v>
      </c>
      <c r="AE7">
        <f>SUMIFS(Data!$E$2:$E$5761,Data!$A$2:$A$5761,$A7,Data!$B$2:$B$5761,AE$2)</f>
        <v>12359</v>
      </c>
      <c r="AF7">
        <f>SUMIFS(Data!$E$2:$E$5761,Data!$A$2:$A$5761,$A7,Data!$B$2:$B$5761,AF$2)</f>
        <v>12478.3</v>
      </c>
      <c r="AG7">
        <f>SUMIFS(Data!$E$2:$E$5761,Data!$A$2:$A$5761,$A7,Data!$B$2:$B$5761,AG$2)</f>
        <v>12517.1</v>
      </c>
      <c r="AH7">
        <f>SUMIFS(Data!$E$2:$E$5761,Data!$A$2:$A$5761,$A7,Data!$B$2:$B$5761,AH$2)</f>
        <v>12559.3</v>
      </c>
      <c r="AI7">
        <f>SUMIFS(Data!$E$2:$E$5761,Data!$A$2:$A$5761,$A7,Data!$B$2:$B$5761,AI$2)</f>
        <v>12705.8</v>
      </c>
      <c r="AJ7">
        <f>SUMIFS(Data!$E$2:$E$5761,Data!$A$2:$A$5761,$A7,Data!$B$2:$B$5761,AJ$2)</f>
        <v>12798.9</v>
      </c>
      <c r="AK7">
        <f>SUMIFS(Data!$E$2:$E$5761,Data!$A$2:$A$5761,$A7,Data!$B$2:$B$5761,AK$2)</f>
        <v>12839.400000000001</v>
      </c>
    </row>
    <row r="8" spans="1:37" x14ac:dyDescent="0.25">
      <c r="A8" t="s">
        <v>28</v>
      </c>
      <c r="B8">
        <f>SUMIFS(Data!$E$2:$E$5761,Data!$A$2:$A$5761,$A8,Data!$B$2:$B$5761,B$2)</f>
        <v>11120.3</v>
      </c>
      <c r="C8">
        <f>SUMIFS(Data!$E$2:$E$5761,Data!$A$2:$A$5761,$A8,Data!$B$2:$B$5761,C$2)</f>
        <v>11120.8</v>
      </c>
      <c r="D8">
        <f>SUMIFS(Data!$E$2:$E$5761,Data!$A$2:$A$5761,$A8,Data!$B$2:$B$5761,D$2)</f>
        <v>11205.399999999998</v>
      </c>
      <c r="E8">
        <f>SUMIFS(Data!$E$2:$E$5761,Data!$A$2:$A$5761,$A8,Data!$B$2:$B$5761,E$2)</f>
        <v>11341.3</v>
      </c>
      <c r="F8">
        <f>SUMIFS(Data!$E$2:$E$5761,Data!$A$2:$A$5761,$A8,Data!$B$2:$B$5761,F$2)</f>
        <v>11416.800000000001</v>
      </c>
      <c r="G8">
        <f>SUMIFS(Data!$E$2:$E$5761,Data!$A$2:$A$5761,$A8,Data!$B$2:$B$5761,G$2)</f>
        <v>11471.8</v>
      </c>
      <c r="H8">
        <f>SUMIFS(Data!$E$2:$E$5761,Data!$A$2:$A$5761,$A8,Data!$B$2:$B$5761,H$2)</f>
        <v>11592.1</v>
      </c>
      <c r="I8">
        <f>SUMIFS(Data!$E$2:$E$5761,Data!$A$2:$A$5761,$A8,Data!$B$2:$B$5761,I$2)</f>
        <v>11643.1</v>
      </c>
      <c r="J8">
        <f>SUMIFS(Data!$E$2:$E$5761,Data!$A$2:$A$5761,$A8,Data!$B$2:$B$5761,J$2)</f>
        <v>11789.8</v>
      </c>
      <c r="K8">
        <f>SUMIFS(Data!$E$2:$E$5761,Data!$A$2:$A$5761,$A8,Data!$B$2:$B$5761,K$2)</f>
        <v>11727.699999999999</v>
      </c>
      <c r="L8">
        <f>SUMIFS(Data!$E$2:$E$5761,Data!$A$2:$A$5761,$A8,Data!$B$2:$B$5761,L$2)</f>
        <v>11972.7</v>
      </c>
      <c r="M8">
        <f>SUMIFS(Data!$E$2:$E$5761,Data!$A$2:$A$5761,$A8,Data!$B$2:$B$5761,M$2)</f>
        <v>12114.3</v>
      </c>
      <c r="N8">
        <f>SUMIFS(Data!$E$2:$E$5761,Data!$A$2:$A$5761,$A8,Data!$B$2:$B$5761,N$2)</f>
        <v>12105.600000000002</v>
      </c>
      <c r="O8">
        <f>SUMIFS(Data!$E$2:$E$5761,Data!$A$2:$A$5761,$A8,Data!$B$2:$B$5761,O$2)</f>
        <v>12151.500000000002</v>
      </c>
      <c r="P8">
        <f>SUMIFS(Data!$E$2:$E$5761,Data!$A$2:$A$5761,$A8,Data!$B$2:$B$5761,P$2)</f>
        <v>12385.2</v>
      </c>
      <c r="Q8">
        <f>SUMIFS(Data!$E$2:$E$5761,Data!$A$2:$A$5761,$A8,Data!$B$2:$B$5761,Q$2)</f>
        <v>12499.2</v>
      </c>
      <c r="R8">
        <f>SUMIFS(Data!$E$2:$E$5761,Data!$A$2:$A$5761,$A8,Data!$B$2:$B$5761,R$2)</f>
        <v>12466.399999999998</v>
      </c>
      <c r="S8">
        <f>SUMIFS(Data!$E$2:$E$5761,Data!$A$2:$A$5761,$A8,Data!$B$2:$B$5761,S$2)</f>
        <v>12562.7</v>
      </c>
      <c r="T8">
        <f>SUMIFS(Data!$E$2:$E$5761,Data!$A$2:$A$5761,$A8,Data!$B$2:$B$5761,T$2)</f>
        <v>12555.8</v>
      </c>
      <c r="U8">
        <f>SUMIFS(Data!$E$2:$E$5761,Data!$A$2:$A$5761,$A8,Data!$B$2:$B$5761,U$2)</f>
        <v>12724.6</v>
      </c>
      <c r="V8">
        <f>SUMIFS(Data!$E$2:$E$5761,Data!$A$2:$A$5761,$A8,Data!$B$2:$B$5761,V$2)</f>
        <v>12819.599999999999</v>
      </c>
      <c r="W8">
        <f>SUMIFS(Data!$E$2:$E$5761,Data!$A$2:$A$5761,$A8,Data!$B$2:$B$5761,W$2)</f>
        <v>13004.3</v>
      </c>
      <c r="X8">
        <f>SUMIFS(Data!$E$2:$E$5761,Data!$A$2:$A$5761,$A8,Data!$B$2:$B$5761,X$2)</f>
        <v>13049.8</v>
      </c>
      <c r="Y8">
        <f>SUMIFS(Data!$E$2:$E$5761,Data!$A$2:$A$5761,$A8,Data!$B$2:$B$5761,Y$2)</f>
        <v>13087.499999999998</v>
      </c>
      <c r="Z8">
        <f>SUMIFS(Data!$E$2:$E$5761,Data!$A$2:$A$5761,$A8,Data!$B$2:$B$5761,Z$2)</f>
        <v>13192.6</v>
      </c>
      <c r="AA8">
        <f>SUMIFS(Data!$E$2:$E$5761,Data!$A$2:$A$5761,$A8,Data!$B$2:$B$5761,AA$2)</f>
        <v>13257.599999999999</v>
      </c>
      <c r="AB8">
        <f>SUMIFS(Data!$E$2:$E$5761,Data!$A$2:$A$5761,$A8,Data!$B$2:$B$5761,AB$2)</f>
        <v>13309.8</v>
      </c>
      <c r="AC8">
        <f>SUMIFS(Data!$E$2:$E$5761,Data!$A$2:$A$5761,$A8,Data!$B$2:$B$5761,AC$2)</f>
        <v>13396.3</v>
      </c>
      <c r="AD8">
        <f>SUMIFS(Data!$E$2:$E$5761,Data!$A$2:$A$5761,$A8,Data!$B$2:$B$5761,AD$2)</f>
        <v>13633.7</v>
      </c>
      <c r="AE8">
        <f>SUMIFS(Data!$E$2:$E$5761,Data!$A$2:$A$5761,$A8,Data!$B$2:$B$5761,AE$2)</f>
        <v>13592.199999999999</v>
      </c>
      <c r="AF8">
        <f>SUMIFS(Data!$E$2:$E$5761,Data!$A$2:$A$5761,$A8,Data!$B$2:$B$5761,AF$2)</f>
        <v>13694.599999999999</v>
      </c>
      <c r="AG8">
        <f>SUMIFS(Data!$E$2:$E$5761,Data!$A$2:$A$5761,$A8,Data!$B$2:$B$5761,AG$2)</f>
        <v>13857.1</v>
      </c>
      <c r="AH8">
        <f>SUMIFS(Data!$E$2:$E$5761,Data!$A$2:$A$5761,$A8,Data!$B$2:$B$5761,AH$2)</f>
        <v>13889.1</v>
      </c>
      <c r="AI8">
        <f>SUMIFS(Data!$E$2:$E$5761,Data!$A$2:$A$5761,$A8,Data!$B$2:$B$5761,AI$2)</f>
        <v>14003.3</v>
      </c>
      <c r="AJ8">
        <f>SUMIFS(Data!$E$2:$E$5761,Data!$A$2:$A$5761,$A8,Data!$B$2:$B$5761,AJ$2)</f>
        <v>14087.300000000001</v>
      </c>
      <c r="AK8">
        <f>SUMIFS(Data!$E$2:$E$5761,Data!$A$2:$A$5761,$A8,Data!$B$2:$B$5761,AK$2)</f>
        <v>14148.099999999999</v>
      </c>
    </row>
    <row r="9" spans="1:37" x14ac:dyDescent="0.25">
      <c r="A9" t="s">
        <v>29</v>
      </c>
      <c r="B9">
        <f>SUMIFS(Data!$E$2:$E$5761,Data!$A$2:$A$5761,$A9,Data!$B$2:$B$5761,B$2)</f>
        <v>12033.000000000002</v>
      </c>
      <c r="C9">
        <f>SUMIFS(Data!$E$2:$E$5761,Data!$A$2:$A$5761,$A9,Data!$B$2:$B$5761,C$2)</f>
        <v>12228.400000000001</v>
      </c>
      <c r="D9">
        <f>SUMIFS(Data!$E$2:$E$5761,Data!$A$2:$A$5761,$A9,Data!$B$2:$B$5761,D$2)</f>
        <v>12355</v>
      </c>
      <c r="E9">
        <f>SUMIFS(Data!$E$2:$E$5761,Data!$A$2:$A$5761,$A9,Data!$B$2:$B$5761,E$2)</f>
        <v>12450.099999999999</v>
      </c>
      <c r="F9">
        <f>SUMIFS(Data!$E$2:$E$5761,Data!$A$2:$A$5761,$A9,Data!$B$2:$B$5761,F$2)</f>
        <v>12425.400000000001</v>
      </c>
      <c r="G9">
        <f>SUMIFS(Data!$E$2:$E$5761,Data!$A$2:$A$5761,$A9,Data!$B$2:$B$5761,G$2)</f>
        <v>12622.900000000001</v>
      </c>
      <c r="H9">
        <f>SUMIFS(Data!$E$2:$E$5761,Data!$A$2:$A$5761,$A9,Data!$B$2:$B$5761,H$2)</f>
        <v>12718.800000000003</v>
      </c>
      <c r="I9">
        <f>SUMIFS(Data!$E$2:$E$5761,Data!$A$2:$A$5761,$A9,Data!$B$2:$B$5761,I$2)</f>
        <v>12771.2</v>
      </c>
      <c r="J9">
        <f>SUMIFS(Data!$E$2:$E$5761,Data!$A$2:$A$5761,$A9,Data!$B$2:$B$5761,J$2)</f>
        <v>12881</v>
      </c>
      <c r="K9">
        <f>SUMIFS(Data!$E$2:$E$5761,Data!$A$2:$A$5761,$A9,Data!$B$2:$B$5761,K$2)</f>
        <v>12966.4</v>
      </c>
      <c r="L9">
        <f>SUMIFS(Data!$E$2:$E$5761,Data!$A$2:$A$5761,$A9,Data!$B$2:$B$5761,L$2)</f>
        <v>12987.5</v>
      </c>
      <c r="M9">
        <f>SUMIFS(Data!$E$2:$E$5761,Data!$A$2:$A$5761,$A9,Data!$B$2:$B$5761,M$2)</f>
        <v>13117.700000000003</v>
      </c>
      <c r="N9">
        <f>SUMIFS(Data!$E$2:$E$5761,Data!$A$2:$A$5761,$A9,Data!$B$2:$B$5761,N$2)</f>
        <v>13300.5</v>
      </c>
      <c r="O9">
        <f>SUMIFS(Data!$E$2:$E$5761,Data!$A$2:$A$5761,$A9,Data!$B$2:$B$5761,O$2)</f>
        <v>13203.600000000002</v>
      </c>
      <c r="P9">
        <f>SUMIFS(Data!$E$2:$E$5761,Data!$A$2:$A$5761,$A9,Data!$B$2:$B$5761,P$2)</f>
        <v>13395.599999999999</v>
      </c>
      <c r="Q9">
        <f>SUMIFS(Data!$E$2:$E$5761,Data!$A$2:$A$5761,$A9,Data!$B$2:$B$5761,Q$2)</f>
        <v>13545.7</v>
      </c>
      <c r="R9">
        <f>SUMIFS(Data!$E$2:$E$5761,Data!$A$2:$A$5761,$A9,Data!$B$2:$B$5761,R$2)</f>
        <v>13633.5</v>
      </c>
      <c r="S9">
        <f>SUMIFS(Data!$E$2:$E$5761,Data!$A$2:$A$5761,$A9,Data!$B$2:$B$5761,S$2)</f>
        <v>13727.2</v>
      </c>
      <c r="T9">
        <f>SUMIFS(Data!$E$2:$E$5761,Data!$A$2:$A$5761,$A9,Data!$B$2:$B$5761,T$2)</f>
        <v>13833.7</v>
      </c>
      <c r="U9">
        <f>SUMIFS(Data!$E$2:$E$5761,Data!$A$2:$A$5761,$A9,Data!$B$2:$B$5761,U$2)</f>
        <v>13888.7</v>
      </c>
      <c r="V9">
        <f>SUMIFS(Data!$E$2:$E$5761,Data!$A$2:$A$5761,$A9,Data!$B$2:$B$5761,V$2)</f>
        <v>14108.599999999999</v>
      </c>
      <c r="W9">
        <f>SUMIFS(Data!$E$2:$E$5761,Data!$A$2:$A$5761,$A9,Data!$B$2:$B$5761,W$2)</f>
        <v>14008.7</v>
      </c>
      <c r="X9">
        <f>SUMIFS(Data!$E$2:$E$5761,Data!$A$2:$A$5761,$A9,Data!$B$2:$B$5761,X$2)</f>
        <v>14186.3</v>
      </c>
      <c r="Y9">
        <f>SUMIFS(Data!$E$2:$E$5761,Data!$A$2:$A$5761,$A9,Data!$B$2:$B$5761,Y$2)</f>
        <v>14267.5</v>
      </c>
      <c r="Z9">
        <f>SUMIFS(Data!$E$2:$E$5761,Data!$A$2:$A$5761,$A9,Data!$B$2:$B$5761,Z$2)</f>
        <v>14450.800000000001</v>
      </c>
      <c r="AA9">
        <f>SUMIFS(Data!$E$2:$E$5761,Data!$A$2:$A$5761,$A9,Data!$B$2:$B$5761,AA$2)</f>
        <v>14503.500000000002</v>
      </c>
      <c r="AB9">
        <f>SUMIFS(Data!$E$2:$E$5761,Data!$A$2:$A$5761,$A9,Data!$B$2:$B$5761,AB$2)</f>
        <v>14571.400000000001</v>
      </c>
      <c r="AC9">
        <f>SUMIFS(Data!$E$2:$E$5761,Data!$A$2:$A$5761,$A9,Data!$B$2:$B$5761,AC$2)</f>
        <v>14660.5</v>
      </c>
      <c r="AD9">
        <f>SUMIFS(Data!$E$2:$E$5761,Data!$A$2:$A$5761,$A9,Data!$B$2:$B$5761,AD$2)</f>
        <v>14776.899999999998</v>
      </c>
      <c r="AE9">
        <f>SUMIFS(Data!$E$2:$E$5761,Data!$A$2:$A$5761,$A9,Data!$B$2:$B$5761,AE$2)</f>
        <v>14860.6</v>
      </c>
      <c r="AF9">
        <f>SUMIFS(Data!$E$2:$E$5761,Data!$A$2:$A$5761,$A9,Data!$B$2:$B$5761,AF$2)</f>
        <v>14977.099999999999</v>
      </c>
      <c r="AG9">
        <f>SUMIFS(Data!$E$2:$E$5761,Data!$A$2:$A$5761,$A9,Data!$B$2:$B$5761,AG$2)</f>
        <v>15082.3</v>
      </c>
      <c r="AH9">
        <f>SUMIFS(Data!$E$2:$E$5761,Data!$A$2:$A$5761,$A9,Data!$B$2:$B$5761,AH$2)</f>
        <v>15152.7</v>
      </c>
      <c r="AI9">
        <f>SUMIFS(Data!$E$2:$E$5761,Data!$A$2:$A$5761,$A9,Data!$B$2:$B$5761,AI$2)</f>
        <v>15341</v>
      </c>
      <c r="AJ9">
        <f>SUMIFS(Data!$E$2:$E$5761,Data!$A$2:$A$5761,$A9,Data!$B$2:$B$5761,AJ$2)</f>
        <v>15385.3</v>
      </c>
      <c r="AK9">
        <f>SUMIFS(Data!$E$2:$E$5761,Data!$A$2:$A$5761,$A9,Data!$B$2:$B$5761,AK$2)</f>
        <v>15403.7</v>
      </c>
    </row>
    <row r="10" spans="1:37" x14ac:dyDescent="0.25">
      <c r="A10" t="s">
        <v>30</v>
      </c>
      <c r="B10">
        <f>SUMIFS(Data!$E$2:$E$5761,Data!$A$2:$A$5761,$A10,Data!$B$2:$B$5761,B$2)</f>
        <v>13187.600000000002</v>
      </c>
      <c r="C10">
        <f>SUMIFS(Data!$E$2:$E$5761,Data!$A$2:$A$5761,$A10,Data!$B$2:$B$5761,C$2)</f>
        <v>13202.500000000002</v>
      </c>
      <c r="D10">
        <f>SUMIFS(Data!$E$2:$E$5761,Data!$A$2:$A$5761,$A10,Data!$B$2:$B$5761,D$2)</f>
        <v>13350.099999999999</v>
      </c>
      <c r="E10">
        <f>SUMIFS(Data!$E$2:$E$5761,Data!$A$2:$A$5761,$A10,Data!$B$2:$B$5761,E$2)</f>
        <v>13416.300000000001</v>
      </c>
      <c r="F10">
        <f>SUMIFS(Data!$E$2:$E$5761,Data!$A$2:$A$5761,$A10,Data!$B$2:$B$5761,F$2)</f>
        <v>13671.599999999999</v>
      </c>
      <c r="G10">
        <f>SUMIFS(Data!$E$2:$E$5761,Data!$A$2:$A$5761,$A10,Data!$B$2:$B$5761,G$2)</f>
        <v>13682.499999999998</v>
      </c>
      <c r="H10">
        <f>SUMIFS(Data!$E$2:$E$5761,Data!$A$2:$A$5761,$A10,Data!$B$2:$B$5761,H$2)</f>
        <v>13728.199999999999</v>
      </c>
      <c r="I10">
        <f>SUMIFS(Data!$E$2:$E$5761,Data!$A$2:$A$5761,$A10,Data!$B$2:$B$5761,I$2)</f>
        <v>13874.599999999999</v>
      </c>
      <c r="J10">
        <f>SUMIFS(Data!$E$2:$E$5761,Data!$A$2:$A$5761,$A10,Data!$B$2:$B$5761,J$2)</f>
        <v>13939.300000000001</v>
      </c>
      <c r="K10">
        <f>SUMIFS(Data!$E$2:$E$5761,Data!$A$2:$A$5761,$A10,Data!$B$2:$B$5761,K$2)</f>
        <v>14040.2</v>
      </c>
      <c r="L10">
        <f>SUMIFS(Data!$E$2:$E$5761,Data!$A$2:$A$5761,$A10,Data!$B$2:$B$5761,L$2)</f>
        <v>14202.5</v>
      </c>
      <c r="M10">
        <f>SUMIFS(Data!$E$2:$E$5761,Data!$A$2:$A$5761,$A10,Data!$B$2:$B$5761,M$2)</f>
        <v>14263.4</v>
      </c>
      <c r="N10">
        <f>SUMIFS(Data!$E$2:$E$5761,Data!$A$2:$A$5761,$A10,Data!$B$2:$B$5761,N$2)</f>
        <v>14379.300000000001</v>
      </c>
      <c r="O10">
        <f>SUMIFS(Data!$E$2:$E$5761,Data!$A$2:$A$5761,$A10,Data!$B$2:$B$5761,O$2)</f>
        <v>14523.2</v>
      </c>
      <c r="P10">
        <f>SUMIFS(Data!$E$2:$E$5761,Data!$A$2:$A$5761,$A10,Data!$B$2:$B$5761,P$2)</f>
        <v>14596</v>
      </c>
      <c r="Q10">
        <f>SUMIFS(Data!$E$2:$E$5761,Data!$A$2:$A$5761,$A10,Data!$B$2:$B$5761,Q$2)</f>
        <v>14673</v>
      </c>
      <c r="R10">
        <f>SUMIFS(Data!$E$2:$E$5761,Data!$A$2:$A$5761,$A10,Data!$B$2:$B$5761,R$2)</f>
        <v>14791.500000000002</v>
      </c>
      <c r="S10">
        <f>SUMIFS(Data!$E$2:$E$5761,Data!$A$2:$A$5761,$A10,Data!$B$2:$B$5761,S$2)</f>
        <v>14918.2</v>
      </c>
      <c r="T10">
        <f>SUMIFS(Data!$E$2:$E$5761,Data!$A$2:$A$5761,$A10,Data!$B$2:$B$5761,T$2)</f>
        <v>14986.800000000001</v>
      </c>
      <c r="U10">
        <f>SUMIFS(Data!$E$2:$E$5761,Data!$A$2:$A$5761,$A10,Data!$B$2:$B$5761,U$2)</f>
        <v>15173.999999999998</v>
      </c>
      <c r="V10">
        <f>SUMIFS(Data!$E$2:$E$5761,Data!$A$2:$A$5761,$A10,Data!$B$2:$B$5761,V$2)</f>
        <v>15163.2</v>
      </c>
      <c r="W10">
        <f>SUMIFS(Data!$E$2:$E$5761,Data!$A$2:$A$5761,$A10,Data!$B$2:$B$5761,W$2)</f>
        <v>15355.9</v>
      </c>
      <c r="X10">
        <f>SUMIFS(Data!$E$2:$E$5761,Data!$A$2:$A$5761,$A10,Data!$B$2:$B$5761,X$2)</f>
        <v>15313.6</v>
      </c>
      <c r="Y10">
        <f>SUMIFS(Data!$E$2:$E$5761,Data!$A$2:$A$5761,$A10,Data!$B$2:$B$5761,Y$2)</f>
        <v>15512.100000000002</v>
      </c>
      <c r="Z10">
        <f>SUMIFS(Data!$E$2:$E$5761,Data!$A$2:$A$5761,$A10,Data!$B$2:$B$5761,Z$2)</f>
        <v>15591.300000000001</v>
      </c>
      <c r="AA10">
        <f>SUMIFS(Data!$E$2:$E$5761,Data!$A$2:$A$5761,$A10,Data!$B$2:$B$5761,AA$2)</f>
        <v>15650.000000000002</v>
      </c>
      <c r="AB10">
        <f>SUMIFS(Data!$E$2:$E$5761,Data!$A$2:$A$5761,$A10,Data!$B$2:$B$5761,AB$2)</f>
        <v>15842.1</v>
      </c>
      <c r="AC10">
        <f>SUMIFS(Data!$E$2:$E$5761,Data!$A$2:$A$5761,$A10,Data!$B$2:$B$5761,AC$2)</f>
        <v>16007.1</v>
      </c>
      <c r="AD10">
        <f>SUMIFS(Data!$E$2:$E$5761,Data!$A$2:$A$5761,$A10,Data!$B$2:$B$5761,AD$2)</f>
        <v>16025.5</v>
      </c>
      <c r="AE10">
        <f>SUMIFS(Data!$E$2:$E$5761,Data!$A$2:$A$5761,$A10,Data!$B$2:$B$5761,AE$2)</f>
        <v>16241.5</v>
      </c>
      <c r="AF10">
        <f>SUMIFS(Data!$E$2:$E$5761,Data!$A$2:$A$5761,$A10,Data!$B$2:$B$5761,AF$2)</f>
        <v>16302.099999999999</v>
      </c>
      <c r="AG10">
        <f>SUMIFS(Data!$E$2:$E$5761,Data!$A$2:$A$5761,$A10,Data!$B$2:$B$5761,AG$2)</f>
        <v>16331.399999999998</v>
      </c>
      <c r="AH10">
        <f>SUMIFS(Data!$E$2:$E$5761,Data!$A$2:$A$5761,$A10,Data!$B$2:$B$5761,AH$2)</f>
        <v>16437</v>
      </c>
      <c r="AI10">
        <f>SUMIFS(Data!$E$2:$E$5761,Data!$A$2:$A$5761,$A10,Data!$B$2:$B$5761,AI$2)</f>
        <v>16587.899999999998</v>
      </c>
      <c r="AJ10">
        <f>SUMIFS(Data!$E$2:$E$5761,Data!$A$2:$A$5761,$A10,Data!$B$2:$B$5761,AJ$2)</f>
        <v>16597.3</v>
      </c>
      <c r="AK10">
        <f>SUMIFS(Data!$E$2:$E$5761,Data!$A$2:$A$5761,$A10,Data!$B$2:$B$5761,AK$2)</f>
        <v>16713.899999999998</v>
      </c>
    </row>
    <row r="11" spans="1:37" x14ac:dyDescent="0.25">
      <c r="A11" t="s">
        <v>32</v>
      </c>
      <c r="B11">
        <f>SUMIFS(Data!$E$2:$E$5761,Data!$A$2:$A$5761,$A11,Data!$B$2:$B$5761,B$2)</f>
        <v>14125.8</v>
      </c>
      <c r="C11">
        <f>SUMIFS(Data!$E$2:$E$5761,Data!$A$2:$A$5761,$A11,Data!$B$2:$B$5761,C$2)</f>
        <v>14305</v>
      </c>
      <c r="D11">
        <f>SUMIFS(Data!$E$2:$E$5761,Data!$A$2:$A$5761,$A11,Data!$B$2:$B$5761,D$2)</f>
        <v>14342</v>
      </c>
      <c r="E11">
        <f>SUMIFS(Data!$E$2:$E$5761,Data!$A$2:$A$5761,$A11,Data!$B$2:$B$5761,E$2)</f>
        <v>14486.3</v>
      </c>
      <c r="F11">
        <f>SUMIFS(Data!$E$2:$E$5761,Data!$A$2:$A$5761,$A11,Data!$B$2:$B$5761,F$2)</f>
        <v>14645.199999999999</v>
      </c>
      <c r="G11">
        <f>SUMIFS(Data!$E$2:$E$5761,Data!$A$2:$A$5761,$A11,Data!$B$2:$B$5761,G$2)</f>
        <v>14712.6</v>
      </c>
      <c r="H11">
        <f>SUMIFS(Data!$E$2:$E$5761,Data!$A$2:$A$5761,$A11,Data!$B$2:$B$5761,H$2)</f>
        <v>14795.699999999997</v>
      </c>
      <c r="I11">
        <f>SUMIFS(Data!$E$2:$E$5761,Data!$A$2:$A$5761,$A11,Data!$B$2:$B$5761,I$2)</f>
        <v>14843.2</v>
      </c>
      <c r="J11">
        <f>SUMIFS(Data!$E$2:$E$5761,Data!$A$2:$A$5761,$A11,Data!$B$2:$B$5761,J$2)</f>
        <v>15093.100000000002</v>
      </c>
      <c r="K11">
        <f>SUMIFS(Data!$E$2:$E$5761,Data!$A$2:$A$5761,$A11,Data!$B$2:$B$5761,K$2)</f>
        <v>15136.099999999999</v>
      </c>
      <c r="L11">
        <f>SUMIFS(Data!$E$2:$E$5761,Data!$A$2:$A$5761,$A11,Data!$B$2:$B$5761,L$2)</f>
        <v>15320</v>
      </c>
      <c r="M11">
        <f>SUMIFS(Data!$E$2:$E$5761,Data!$A$2:$A$5761,$A11,Data!$B$2:$B$5761,M$2)</f>
        <v>15359.6</v>
      </c>
      <c r="N11">
        <f>SUMIFS(Data!$E$2:$E$5761,Data!$A$2:$A$5761,$A11,Data!$B$2:$B$5761,N$2)</f>
        <v>15489.599999999999</v>
      </c>
      <c r="O11">
        <f>SUMIFS(Data!$E$2:$E$5761,Data!$A$2:$A$5761,$A11,Data!$B$2:$B$5761,O$2)</f>
        <v>15516.3</v>
      </c>
      <c r="P11">
        <f>SUMIFS(Data!$E$2:$E$5761,Data!$A$2:$A$5761,$A11,Data!$B$2:$B$5761,P$2)</f>
        <v>15731.1</v>
      </c>
      <c r="Q11">
        <f>SUMIFS(Data!$E$2:$E$5761,Data!$A$2:$A$5761,$A11,Data!$B$2:$B$5761,Q$2)</f>
        <v>15758.5</v>
      </c>
      <c r="R11">
        <f>SUMIFS(Data!$E$2:$E$5761,Data!$A$2:$A$5761,$A11,Data!$B$2:$B$5761,R$2)</f>
        <v>15919.8</v>
      </c>
      <c r="S11">
        <f>SUMIFS(Data!$E$2:$E$5761,Data!$A$2:$A$5761,$A11,Data!$B$2:$B$5761,S$2)</f>
        <v>16079.5</v>
      </c>
      <c r="T11">
        <f>SUMIFS(Data!$E$2:$E$5761,Data!$A$2:$A$5761,$A11,Data!$B$2:$B$5761,T$2)</f>
        <v>16189</v>
      </c>
      <c r="U11">
        <f>SUMIFS(Data!$E$2:$E$5761,Data!$A$2:$A$5761,$A11,Data!$B$2:$B$5761,U$2)</f>
        <v>16282.599999999999</v>
      </c>
      <c r="V11">
        <f>SUMIFS(Data!$E$2:$E$5761,Data!$A$2:$A$5761,$A11,Data!$B$2:$B$5761,V$2)</f>
        <v>16342.3</v>
      </c>
      <c r="W11">
        <f>SUMIFS(Data!$E$2:$E$5761,Data!$A$2:$A$5761,$A11,Data!$B$2:$B$5761,W$2)</f>
        <v>16555.8</v>
      </c>
      <c r="X11">
        <f>SUMIFS(Data!$E$2:$E$5761,Data!$A$2:$A$5761,$A11,Data!$B$2:$B$5761,X$2)</f>
        <v>16599.5</v>
      </c>
      <c r="Y11">
        <f>SUMIFS(Data!$E$2:$E$5761,Data!$A$2:$A$5761,$A11,Data!$B$2:$B$5761,Y$2)</f>
        <v>16621</v>
      </c>
      <c r="Z11">
        <f>SUMIFS(Data!$E$2:$E$5761,Data!$A$2:$A$5761,$A11,Data!$B$2:$B$5761,Z$2)</f>
        <v>16891.7</v>
      </c>
      <c r="AA11">
        <f>SUMIFS(Data!$E$2:$E$5761,Data!$A$2:$A$5761,$A11,Data!$B$2:$B$5761,AA$2)</f>
        <v>16964.5</v>
      </c>
      <c r="AB11">
        <f>SUMIFS(Data!$E$2:$E$5761,Data!$A$2:$A$5761,$A11,Data!$B$2:$B$5761,AB$2)</f>
        <v>17053.2</v>
      </c>
      <c r="AC11">
        <f>SUMIFS(Data!$E$2:$E$5761,Data!$A$2:$A$5761,$A11,Data!$B$2:$B$5761,AC$2)</f>
        <v>17119.100000000002</v>
      </c>
      <c r="AD11">
        <f>SUMIFS(Data!$E$2:$E$5761,Data!$A$2:$A$5761,$A11,Data!$B$2:$B$5761,AD$2)</f>
        <v>17255.8</v>
      </c>
      <c r="AE11">
        <f>SUMIFS(Data!$E$2:$E$5761,Data!$A$2:$A$5761,$A11,Data!$B$2:$B$5761,AE$2)</f>
        <v>17435.2</v>
      </c>
      <c r="AF11">
        <f>SUMIFS(Data!$E$2:$E$5761,Data!$A$2:$A$5761,$A11,Data!$B$2:$B$5761,AF$2)</f>
        <v>17547.5</v>
      </c>
      <c r="AG11">
        <f>SUMIFS(Data!$E$2:$E$5761,Data!$A$2:$A$5761,$A11,Data!$B$2:$B$5761,AG$2)</f>
        <v>17556.299999999996</v>
      </c>
      <c r="AH11">
        <f>SUMIFS(Data!$E$2:$E$5761,Data!$A$2:$A$5761,$A11,Data!$B$2:$B$5761,AH$2)</f>
        <v>17659.099999999999</v>
      </c>
      <c r="AI11">
        <f>SUMIFS(Data!$E$2:$E$5761,Data!$A$2:$A$5761,$A11,Data!$B$2:$B$5761,AI$2)</f>
        <v>17870.5</v>
      </c>
      <c r="AJ11">
        <f>SUMIFS(Data!$E$2:$E$5761,Data!$A$2:$A$5761,$A11,Data!$B$2:$B$5761,AJ$2)</f>
        <v>17909.699999999997</v>
      </c>
      <c r="AK11">
        <f>SUMIFS(Data!$E$2:$E$5761,Data!$A$2:$A$5761,$A11,Data!$B$2:$B$5761,AK$2)</f>
        <v>17981.400000000001</v>
      </c>
    </row>
    <row r="12" spans="1:37" x14ac:dyDescent="0.25">
      <c r="A12" t="s">
        <v>33</v>
      </c>
      <c r="B12">
        <f>SUMIFS(Data!$E$2:$E$5761,Data!$A$2:$A$5761,$A12,Data!$B$2:$B$5761,B$2)</f>
        <v>15173.2</v>
      </c>
      <c r="C12">
        <f>SUMIFS(Data!$E$2:$E$5761,Data!$A$2:$A$5761,$A12,Data!$B$2:$B$5761,C$2)</f>
        <v>15358.7</v>
      </c>
      <c r="D12">
        <f>SUMIFS(Data!$E$2:$E$5761,Data!$A$2:$A$5761,$A12,Data!$B$2:$B$5761,D$2)</f>
        <v>15416.1</v>
      </c>
      <c r="E12">
        <f>SUMIFS(Data!$E$2:$E$5761,Data!$A$2:$A$5761,$A12,Data!$B$2:$B$5761,E$2)</f>
        <v>15529.3</v>
      </c>
      <c r="F12">
        <f>SUMIFS(Data!$E$2:$E$5761,Data!$A$2:$A$5761,$A12,Data!$B$2:$B$5761,F$2)</f>
        <v>15690.8</v>
      </c>
      <c r="G12">
        <f>SUMIFS(Data!$E$2:$E$5761,Data!$A$2:$A$5761,$A12,Data!$B$2:$B$5761,G$2)</f>
        <v>15784.800000000001</v>
      </c>
      <c r="H12">
        <f>SUMIFS(Data!$E$2:$E$5761,Data!$A$2:$A$5761,$A12,Data!$B$2:$B$5761,H$2)</f>
        <v>15924.8</v>
      </c>
      <c r="I12">
        <f>SUMIFS(Data!$E$2:$E$5761,Data!$A$2:$A$5761,$A12,Data!$B$2:$B$5761,I$2)</f>
        <v>16062.3</v>
      </c>
      <c r="J12">
        <f>SUMIFS(Data!$E$2:$E$5761,Data!$A$2:$A$5761,$A12,Data!$B$2:$B$5761,J$2)</f>
        <v>16091.800000000001</v>
      </c>
      <c r="K12">
        <f>SUMIFS(Data!$E$2:$E$5761,Data!$A$2:$A$5761,$A12,Data!$B$2:$B$5761,K$2)</f>
        <v>16232.5</v>
      </c>
      <c r="L12">
        <f>SUMIFS(Data!$E$2:$E$5761,Data!$A$2:$A$5761,$A12,Data!$B$2:$B$5761,L$2)</f>
        <v>16289.599999999999</v>
      </c>
      <c r="M12">
        <f>SUMIFS(Data!$E$2:$E$5761,Data!$A$2:$A$5761,$A12,Data!$B$2:$B$5761,M$2)</f>
        <v>16477</v>
      </c>
      <c r="N12">
        <f>SUMIFS(Data!$E$2:$E$5761,Data!$A$2:$A$5761,$A12,Data!$B$2:$B$5761,N$2)</f>
        <v>16648</v>
      </c>
      <c r="O12">
        <f>SUMIFS(Data!$E$2:$E$5761,Data!$A$2:$A$5761,$A12,Data!$B$2:$B$5761,O$2)</f>
        <v>16733.2</v>
      </c>
      <c r="P12">
        <f>SUMIFS(Data!$E$2:$E$5761,Data!$A$2:$A$5761,$A12,Data!$B$2:$B$5761,P$2)</f>
        <v>16731.3</v>
      </c>
      <c r="Q12">
        <f>SUMIFS(Data!$E$2:$E$5761,Data!$A$2:$A$5761,$A12,Data!$B$2:$B$5761,Q$2)</f>
        <v>16930.5</v>
      </c>
      <c r="R12">
        <f>SUMIFS(Data!$E$2:$E$5761,Data!$A$2:$A$5761,$A12,Data!$B$2:$B$5761,R$2)</f>
        <v>17103.399999999998</v>
      </c>
      <c r="S12">
        <f>SUMIFS(Data!$E$2:$E$5761,Data!$A$2:$A$5761,$A12,Data!$B$2:$B$5761,S$2)</f>
        <v>17142.600000000002</v>
      </c>
      <c r="T12">
        <f>SUMIFS(Data!$E$2:$E$5761,Data!$A$2:$A$5761,$A12,Data!$B$2:$B$5761,T$2)</f>
        <v>17359.499999999996</v>
      </c>
      <c r="U12">
        <f>SUMIFS(Data!$E$2:$E$5761,Data!$A$2:$A$5761,$A12,Data!$B$2:$B$5761,U$2)</f>
        <v>17423.800000000003</v>
      </c>
      <c r="V12">
        <f>SUMIFS(Data!$E$2:$E$5761,Data!$A$2:$A$5761,$A12,Data!$B$2:$B$5761,V$2)</f>
        <v>17532.2</v>
      </c>
      <c r="W12">
        <f>SUMIFS(Data!$E$2:$E$5761,Data!$A$2:$A$5761,$A12,Data!$B$2:$B$5761,W$2)</f>
        <v>17707</v>
      </c>
      <c r="X12">
        <f>SUMIFS(Data!$E$2:$E$5761,Data!$A$2:$A$5761,$A12,Data!$B$2:$B$5761,X$2)</f>
        <v>17775.600000000002</v>
      </c>
      <c r="Y12">
        <f>SUMIFS(Data!$E$2:$E$5761,Data!$A$2:$A$5761,$A12,Data!$B$2:$B$5761,Y$2)</f>
        <v>17962.199999999997</v>
      </c>
      <c r="Z12">
        <f>SUMIFS(Data!$E$2:$E$5761,Data!$A$2:$A$5761,$A12,Data!$B$2:$B$5761,Z$2)</f>
        <v>18048.800000000003</v>
      </c>
      <c r="AA12">
        <f>SUMIFS(Data!$E$2:$E$5761,Data!$A$2:$A$5761,$A12,Data!$B$2:$B$5761,AA$2)</f>
        <v>18229.599999999999</v>
      </c>
      <c r="AB12">
        <f>SUMIFS(Data!$E$2:$E$5761,Data!$A$2:$A$5761,$A12,Data!$B$2:$B$5761,AB$2)</f>
        <v>18377.5</v>
      </c>
      <c r="AC12">
        <f>SUMIFS(Data!$E$2:$E$5761,Data!$A$2:$A$5761,$A12,Data!$B$2:$B$5761,AC$2)</f>
        <v>18471.2</v>
      </c>
      <c r="AD12">
        <f>SUMIFS(Data!$E$2:$E$5761,Data!$A$2:$A$5761,$A12,Data!$B$2:$B$5761,AD$2)</f>
        <v>18513.900000000001</v>
      </c>
      <c r="AE12">
        <f>SUMIFS(Data!$E$2:$E$5761,Data!$A$2:$A$5761,$A12,Data!$B$2:$B$5761,AE$2)</f>
        <v>18568.2</v>
      </c>
      <c r="AF12">
        <f>SUMIFS(Data!$E$2:$E$5761,Data!$A$2:$A$5761,$A12,Data!$B$2:$B$5761,AF$2)</f>
        <v>18740.7</v>
      </c>
      <c r="AG12">
        <f>SUMIFS(Data!$E$2:$E$5761,Data!$A$2:$A$5761,$A12,Data!$B$2:$B$5761,AG$2)</f>
        <v>18829.2</v>
      </c>
      <c r="AH12">
        <f>SUMIFS(Data!$E$2:$E$5761,Data!$A$2:$A$5761,$A12,Data!$B$2:$B$5761,AH$2)</f>
        <v>18993.099999999999</v>
      </c>
      <c r="AI12">
        <f>SUMIFS(Data!$E$2:$E$5761,Data!$A$2:$A$5761,$A12,Data!$B$2:$B$5761,AI$2)</f>
        <v>19166.900000000001</v>
      </c>
      <c r="AJ12">
        <f>SUMIFS(Data!$E$2:$E$5761,Data!$A$2:$A$5761,$A12,Data!$B$2:$B$5761,AJ$2)</f>
        <v>19308.799999999996</v>
      </c>
      <c r="AK12">
        <f>SUMIFS(Data!$E$2:$E$5761,Data!$A$2:$A$5761,$A12,Data!$B$2:$B$5761,AK$2)</f>
        <v>19412</v>
      </c>
    </row>
    <row r="13" spans="1:37" x14ac:dyDescent="0.25">
      <c r="A13" t="s">
        <v>34</v>
      </c>
      <c r="B13">
        <f>SUMIFS(Data!$E$2:$E$5761,Data!$A$2:$A$5761,$A13,Data!$B$2:$B$5761,B$2)</f>
        <v>16227.499999999998</v>
      </c>
      <c r="C13">
        <f>SUMIFS(Data!$E$2:$E$5761,Data!$A$2:$A$5761,$A13,Data!$B$2:$B$5761,C$2)</f>
        <v>16278.900000000001</v>
      </c>
      <c r="D13">
        <f>SUMIFS(Data!$E$2:$E$5761,Data!$A$2:$A$5761,$A13,Data!$B$2:$B$5761,D$2)</f>
        <v>16398.599999999999</v>
      </c>
      <c r="E13">
        <f>SUMIFS(Data!$E$2:$E$5761,Data!$A$2:$A$5761,$A13,Data!$B$2:$B$5761,E$2)</f>
        <v>16494.899999999998</v>
      </c>
      <c r="F13">
        <f>SUMIFS(Data!$E$2:$E$5761,Data!$A$2:$A$5761,$A13,Data!$B$2:$B$5761,F$2)</f>
        <v>16764.3</v>
      </c>
      <c r="G13">
        <f>SUMIFS(Data!$E$2:$E$5761,Data!$A$2:$A$5761,$A13,Data!$B$2:$B$5761,G$2)</f>
        <v>16806.199999999997</v>
      </c>
      <c r="H13">
        <f>SUMIFS(Data!$E$2:$E$5761,Data!$A$2:$A$5761,$A13,Data!$B$2:$B$5761,H$2)</f>
        <v>16933.3</v>
      </c>
      <c r="I13">
        <f>SUMIFS(Data!$E$2:$E$5761,Data!$A$2:$A$5761,$A13,Data!$B$2:$B$5761,I$2)</f>
        <v>17050.2</v>
      </c>
      <c r="J13">
        <f>SUMIFS(Data!$E$2:$E$5761,Data!$A$2:$A$5761,$A13,Data!$B$2:$B$5761,J$2)</f>
        <v>17286.400000000001</v>
      </c>
      <c r="K13">
        <f>SUMIFS(Data!$E$2:$E$5761,Data!$A$2:$A$5761,$A13,Data!$B$2:$B$5761,K$2)</f>
        <v>17305.5</v>
      </c>
      <c r="L13">
        <f>SUMIFS(Data!$E$2:$E$5761,Data!$A$2:$A$5761,$A13,Data!$B$2:$B$5761,L$2)</f>
        <v>17456.900000000001</v>
      </c>
      <c r="M13">
        <f>SUMIFS(Data!$E$2:$E$5761,Data!$A$2:$A$5761,$A13,Data!$B$2:$B$5761,M$2)</f>
        <v>17610.2</v>
      </c>
      <c r="N13">
        <f>SUMIFS(Data!$E$2:$E$5761,Data!$A$2:$A$5761,$A13,Data!$B$2:$B$5761,N$2)</f>
        <v>17663.900000000001</v>
      </c>
      <c r="O13">
        <f>SUMIFS(Data!$E$2:$E$5761,Data!$A$2:$A$5761,$A13,Data!$B$2:$B$5761,O$2)</f>
        <v>17843.2</v>
      </c>
      <c r="P13">
        <f>SUMIFS(Data!$E$2:$E$5761,Data!$A$2:$A$5761,$A13,Data!$B$2:$B$5761,P$2)</f>
        <v>18059.000000000004</v>
      </c>
      <c r="Q13">
        <f>SUMIFS(Data!$E$2:$E$5761,Data!$A$2:$A$5761,$A13,Data!$B$2:$B$5761,Q$2)</f>
        <v>18094.8</v>
      </c>
      <c r="R13">
        <f>SUMIFS(Data!$E$2:$E$5761,Data!$A$2:$A$5761,$A13,Data!$B$2:$B$5761,R$2)</f>
        <v>18236.900000000001</v>
      </c>
      <c r="S13">
        <f>SUMIFS(Data!$E$2:$E$5761,Data!$A$2:$A$5761,$A13,Data!$B$2:$B$5761,S$2)</f>
        <v>18454.5</v>
      </c>
      <c r="T13">
        <f>SUMIFS(Data!$E$2:$E$5761,Data!$A$2:$A$5761,$A13,Data!$B$2:$B$5761,T$2)</f>
        <v>18515.5</v>
      </c>
      <c r="U13">
        <f>SUMIFS(Data!$E$2:$E$5761,Data!$A$2:$A$5761,$A13,Data!$B$2:$B$5761,U$2)</f>
        <v>18662.100000000002</v>
      </c>
      <c r="V13">
        <f>SUMIFS(Data!$E$2:$E$5761,Data!$A$2:$A$5761,$A13,Data!$B$2:$B$5761,V$2)</f>
        <v>18752</v>
      </c>
      <c r="W13">
        <f>SUMIFS(Data!$E$2:$E$5761,Data!$A$2:$A$5761,$A13,Data!$B$2:$B$5761,W$2)</f>
        <v>18828.2</v>
      </c>
      <c r="X13">
        <f>SUMIFS(Data!$E$2:$E$5761,Data!$A$2:$A$5761,$A13,Data!$B$2:$B$5761,X$2)</f>
        <v>19050.7</v>
      </c>
      <c r="Y13">
        <f>SUMIFS(Data!$E$2:$E$5761,Data!$A$2:$A$5761,$A13,Data!$B$2:$B$5761,Y$2)</f>
        <v>19131.099999999999</v>
      </c>
      <c r="Z13">
        <f>SUMIFS(Data!$E$2:$E$5761,Data!$A$2:$A$5761,$A13,Data!$B$2:$B$5761,Z$2)</f>
        <v>19236.600000000002</v>
      </c>
      <c r="AA13">
        <f>SUMIFS(Data!$E$2:$E$5761,Data!$A$2:$A$5761,$A13,Data!$B$2:$B$5761,AA$2)</f>
        <v>19458.8</v>
      </c>
      <c r="AB13">
        <f>SUMIFS(Data!$E$2:$E$5761,Data!$A$2:$A$5761,$A13,Data!$B$2:$B$5761,AB$2)</f>
        <v>19580.599999999999</v>
      </c>
      <c r="AC13">
        <f>SUMIFS(Data!$E$2:$E$5761,Data!$A$2:$A$5761,$A13,Data!$B$2:$B$5761,AC$2)</f>
        <v>19637.7</v>
      </c>
      <c r="AD13">
        <f>SUMIFS(Data!$E$2:$E$5761,Data!$A$2:$A$5761,$A13,Data!$B$2:$B$5761,AD$2)</f>
        <v>19820.7</v>
      </c>
      <c r="AE13">
        <f>SUMIFS(Data!$E$2:$E$5761,Data!$A$2:$A$5761,$A13,Data!$B$2:$B$5761,AE$2)</f>
        <v>19867.000000000004</v>
      </c>
      <c r="AF13">
        <f>SUMIFS(Data!$E$2:$E$5761,Data!$A$2:$A$5761,$A13,Data!$B$2:$B$5761,AF$2)</f>
        <v>20040.600000000002</v>
      </c>
      <c r="AG13">
        <f>SUMIFS(Data!$E$2:$E$5761,Data!$A$2:$A$5761,$A13,Data!$B$2:$B$5761,AG$2)</f>
        <v>20207.5</v>
      </c>
      <c r="AH13">
        <f>SUMIFS(Data!$E$2:$E$5761,Data!$A$2:$A$5761,$A13,Data!$B$2:$B$5761,AH$2)</f>
        <v>20128.400000000001</v>
      </c>
      <c r="AI13">
        <f>SUMIFS(Data!$E$2:$E$5761,Data!$A$2:$A$5761,$A13,Data!$B$2:$B$5761,AI$2)</f>
        <v>20406.900000000001</v>
      </c>
      <c r="AJ13">
        <f>SUMIFS(Data!$E$2:$E$5761,Data!$A$2:$A$5761,$A13,Data!$B$2:$B$5761,AJ$2)</f>
        <v>20598.5</v>
      </c>
      <c r="AK13">
        <f>SUMIFS(Data!$E$2:$E$5761,Data!$A$2:$A$5761,$A13,Data!$B$2:$B$5761,AK$2)</f>
        <v>20672.400000000001</v>
      </c>
    </row>
    <row r="14" spans="1:37" x14ac:dyDescent="0.25">
      <c r="A14" t="s">
        <v>35</v>
      </c>
      <c r="B14">
        <f>SUMIFS(Data!$E$2:$E$5761,Data!$A$2:$A$5761,$A14,Data!$B$2:$B$5761,B$2)</f>
        <v>17231.8</v>
      </c>
      <c r="C14">
        <f>SUMIFS(Data!$E$2:$E$5761,Data!$A$2:$A$5761,$A14,Data!$B$2:$B$5761,C$2)</f>
        <v>17340</v>
      </c>
      <c r="D14">
        <f>SUMIFS(Data!$E$2:$E$5761,Data!$A$2:$A$5761,$A14,Data!$B$2:$B$5761,D$2)</f>
        <v>17449.8</v>
      </c>
      <c r="E14">
        <f>SUMIFS(Data!$E$2:$E$5761,Data!$A$2:$A$5761,$A14,Data!$B$2:$B$5761,E$2)</f>
        <v>17683.699999999997</v>
      </c>
      <c r="F14">
        <f>SUMIFS(Data!$E$2:$E$5761,Data!$A$2:$A$5761,$A14,Data!$B$2:$B$5761,F$2)</f>
        <v>17767.400000000001</v>
      </c>
      <c r="G14">
        <f>SUMIFS(Data!$E$2:$E$5761,Data!$A$2:$A$5761,$A14,Data!$B$2:$B$5761,G$2)</f>
        <v>17910.400000000001</v>
      </c>
      <c r="H14">
        <f>SUMIFS(Data!$E$2:$E$5761,Data!$A$2:$A$5761,$A14,Data!$B$2:$B$5761,H$2)</f>
        <v>17987.7</v>
      </c>
      <c r="I14">
        <f>SUMIFS(Data!$E$2:$E$5761,Data!$A$2:$A$5761,$A14,Data!$B$2:$B$5761,I$2)</f>
        <v>18186.7</v>
      </c>
      <c r="J14">
        <f>SUMIFS(Data!$E$2:$E$5761,Data!$A$2:$A$5761,$A14,Data!$B$2:$B$5761,J$2)</f>
        <v>18349.5</v>
      </c>
      <c r="K14">
        <f>SUMIFS(Data!$E$2:$E$5761,Data!$A$2:$A$5761,$A14,Data!$B$2:$B$5761,K$2)</f>
        <v>18430.600000000002</v>
      </c>
      <c r="L14">
        <f>SUMIFS(Data!$E$2:$E$5761,Data!$A$2:$A$5761,$A14,Data!$B$2:$B$5761,L$2)</f>
        <v>18513.400000000001</v>
      </c>
      <c r="M14">
        <f>SUMIFS(Data!$E$2:$E$5761,Data!$A$2:$A$5761,$A14,Data!$B$2:$B$5761,M$2)</f>
        <v>18661.5</v>
      </c>
      <c r="N14">
        <f>SUMIFS(Data!$E$2:$E$5761,Data!$A$2:$A$5761,$A14,Data!$B$2:$B$5761,N$2)</f>
        <v>18941.599999999999</v>
      </c>
      <c r="O14">
        <f>SUMIFS(Data!$E$2:$E$5761,Data!$A$2:$A$5761,$A14,Data!$B$2:$B$5761,O$2)</f>
        <v>19034.2</v>
      </c>
      <c r="P14">
        <f>SUMIFS(Data!$E$2:$E$5761,Data!$A$2:$A$5761,$A14,Data!$B$2:$B$5761,P$2)</f>
        <v>19140.7</v>
      </c>
      <c r="Q14">
        <f>SUMIFS(Data!$E$2:$E$5761,Data!$A$2:$A$5761,$A14,Data!$B$2:$B$5761,Q$2)</f>
        <v>19231.7</v>
      </c>
      <c r="R14">
        <f>SUMIFS(Data!$E$2:$E$5761,Data!$A$2:$A$5761,$A14,Data!$B$2:$B$5761,R$2)</f>
        <v>19301.899999999998</v>
      </c>
      <c r="S14">
        <f>SUMIFS(Data!$E$2:$E$5761,Data!$A$2:$A$5761,$A14,Data!$B$2:$B$5761,S$2)</f>
        <v>19546.399999999998</v>
      </c>
      <c r="T14">
        <f>SUMIFS(Data!$E$2:$E$5761,Data!$A$2:$A$5761,$A14,Data!$B$2:$B$5761,T$2)</f>
        <v>19700.899999999998</v>
      </c>
      <c r="U14">
        <f>SUMIFS(Data!$E$2:$E$5761,Data!$A$2:$A$5761,$A14,Data!$B$2:$B$5761,U$2)</f>
        <v>19698.3</v>
      </c>
      <c r="V14">
        <f>SUMIFS(Data!$E$2:$E$5761,Data!$A$2:$A$5761,$A14,Data!$B$2:$B$5761,V$2)</f>
        <v>19936.3</v>
      </c>
      <c r="W14">
        <f>SUMIFS(Data!$E$2:$E$5761,Data!$A$2:$A$5761,$A14,Data!$B$2:$B$5761,W$2)</f>
        <v>20096</v>
      </c>
      <c r="X14">
        <f>SUMIFS(Data!$E$2:$E$5761,Data!$A$2:$A$5761,$A14,Data!$B$2:$B$5761,X$2)</f>
        <v>20131.5</v>
      </c>
      <c r="Y14">
        <f>SUMIFS(Data!$E$2:$E$5761,Data!$A$2:$A$5761,$A14,Data!$B$2:$B$5761,Y$2)</f>
        <v>20387.8</v>
      </c>
      <c r="Z14">
        <f>SUMIFS(Data!$E$2:$E$5761,Data!$A$2:$A$5761,$A14,Data!$B$2:$B$5761,Z$2)</f>
        <v>20425.399999999998</v>
      </c>
      <c r="AA14">
        <f>SUMIFS(Data!$E$2:$E$5761,Data!$A$2:$A$5761,$A14,Data!$B$2:$B$5761,AA$2)</f>
        <v>20521.7</v>
      </c>
      <c r="AB14">
        <f>SUMIFS(Data!$E$2:$E$5761,Data!$A$2:$A$5761,$A14,Data!$B$2:$B$5761,AB$2)</f>
        <v>20743</v>
      </c>
      <c r="AC14">
        <f>SUMIFS(Data!$E$2:$E$5761,Data!$A$2:$A$5761,$A14,Data!$B$2:$B$5761,AC$2)</f>
        <v>20818.2</v>
      </c>
      <c r="AD14">
        <f>SUMIFS(Data!$E$2:$E$5761,Data!$A$2:$A$5761,$A14,Data!$B$2:$B$5761,AD$2)</f>
        <v>21123.599999999999</v>
      </c>
      <c r="AE14">
        <f>SUMIFS(Data!$E$2:$E$5761,Data!$A$2:$A$5761,$A14,Data!$B$2:$B$5761,AE$2)</f>
        <v>21169.7</v>
      </c>
      <c r="AF14">
        <f>SUMIFS(Data!$E$2:$E$5761,Data!$A$2:$A$5761,$A14,Data!$B$2:$B$5761,AF$2)</f>
        <v>21300</v>
      </c>
      <c r="AG14">
        <f>SUMIFS(Data!$E$2:$E$5761,Data!$A$2:$A$5761,$A14,Data!$B$2:$B$5761,AG$2)</f>
        <v>21372.7</v>
      </c>
      <c r="AH14">
        <f>SUMIFS(Data!$E$2:$E$5761,Data!$A$2:$A$5761,$A14,Data!$B$2:$B$5761,AH$2)</f>
        <v>21662.5</v>
      </c>
      <c r="AI14">
        <f>SUMIFS(Data!$E$2:$E$5761,Data!$A$2:$A$5761,$A14,Data!$B$2:$B$5761,AI$2)</f>
        <v>21634.699999999997</v>
      </c>
      <c r="AJ14">
        <f>SUMIFS(Data!$E$2:$E$5761,Data!$A$2:$A$5761,$A14,Data!$B$2:$B$5761,AJ$2)</f>
        <v>21942.7</v>
      </c>
      <c r="AK14">
        <f>SUMIFS(Data!$E$2:$E$5761,Data!$A$2:$A$5761,$A14,Data!$B$2:$B$5761,AK$2)</f>
        <v>21924.5</v>
      </c>
    </row>
    <row r="15" spans="1:37" x14ac:dyDescent="0.25">
      <c r="A15" t="s">
        <v>36</v>
      </c>
      <c r="B15">
        <f>SUMIFS(Data!$E$2:$E$5761,Data!$A$2:$A$5761,$A15,Data!$B$2:$B$5761,B$2)</f>
        <v>18251.5</v>
      </c>
      <c r="C15">
        <f>SUMIFS(Data!$E$2:$E$5761,Data!$A$2:$A$5761,$A15,Data!$B$2:$B$5761,C$2)</f>
        <v>18327.100000000002</v>
      </c>
      <c r="D15">
        <f>SUMIFS(Data!$E$2:$E$5761,Data!$A$2:$A$5761,$A15,Data!$B$2:$B$5761,D$2)</f>
        <v>18572.5</v>
      </c>
      <c r="E15">
        <f>SUMIFS(Data!$E$2:$E$5761,Data!$A$2:$A$5761,$A15,Data!$B$2:$B$5761,E$2)</f>
        <v>18619.099999999999</v>
      </c>
      <c r="F15">
        <f>SUMIFS(Data!$E$2:$E$5761,Data!$A$2:$A$5761,$A15,Data!$B$2:$B$5761,F$2)</f>
        <v>18743.8</v>
      </c>
      <c r="G15">
        <f>SUMIFS(Data!$E$2:$E$5761,Data!$A$2:$A$5761,$A15,Data!$B$2:$B$5761,G$2)</f>
        <v>18941.2</v>
      </c>
      <c r="H15">
        <f>SUMIFS(Data!$E$2:$E$5761,Data!$A$2:$A$5761,$A15,Data!$B$2:$B$5761,H$2)</f>
        <v>19142</v>
      </c>
      <c r="I15">
        <f>SUMIFS(Data!$E$2:$E$5761,Data!$A$2:$A$5761,$A15,Data!$B$2:$B$5761,I$2)</f>
        <v>19165.3</v>
      </c>
      <c r="J15">
        <f>SUMIFS(Data!$E$2:$E$5761,Data!$A$2:$A$5761,$A15,Data!$B$2:$B$5761,J$2)</f>
        <v>19481.800000000003</v>
      </c>
      <c r="K15">
        <f>SUMIFS(Data!$E$2:$E$5761,Data!$A$2:$A$5761,$A15,Data!$B$2:$B$5761,K$2)</f>
        <v>19551.899999999998</v>
      </c>
      <c r="L15">
        <f>SUMIFS(Data!$E$2:$E$5761,Data!$A$2:$A$5761,$A15,Data!$B$2:$B$5761,L$2)</f>
        <v>19741.3</v>
      </c>
      <c r="M15">
        <f>SUMIFS(Data!$E$2:$E$5761,Data!$A$2:$A$5761,$A15,Data!$B$2:$B$5761,M$2)</f>
        <v>19712.400000000001</v>
      </c>
      <c r="N15">
        <f>SUMIFS(Data!$E$2:$E$5761,Data!$A$2:$A$5761,$A15,Data!$B$2:$B$5761,N$2)</f>
        <v>19938.900000000001</v>
      </c>
      <c r="O15">
        <f>SUMIFS(Data!$E$2:$E$5761,Data!$A$2:$A$5761,$A15,Data!$B$2:$B$5761,O$2)</f>
        <v>20109.199999999997</v>
      </c>
      <c r="P15">
        <f>SUMIFS(Data!$E$2:$E$5761,Data!$A$2:$A$5761,$A15,Data!$B$2:$B$5761,P$2)</f>
        <v>20278.400000000001</v>
      </c>
      <c r="Q15">
        <f>SUMIFS(Data!$E$2:$E$5761,Data!$A$2:$A$5761,$A15,Data!$B$2:$B$5761,Q$2)</f>
        <v>20346.7</v>
      </c>
      <c r="R15">
        <f>SUMIFS(Data!$E$2:$E$5761,Data!$A$2:$A$5761,$A15,Data!$B$2:$B$5761,R$2)</f>
        <v>20526.099999999999</v>
      </c>
      <c r="S15">
        <f>SUMIFS(Data!$E$2:$E$5761,Data!$A$2:$A$5761,$A15,Data!$B$2:$B$5761,S$2)</f>
        <v>20600.5</v>
      </c>
      <c r="T15">
        <f>SUMIFS(Data!$E$2:$E$5761,Data!$A$2:$A$5761,$A15,Data!$B$2:$B$5761,T$2)</f>
        <v>20797.099999999999</v>
      </c>
      <c r="U15">
        <f>SUMIFS(Data!$E$2:$E$5761,Data!$A$2:$A$5761,$A15,Data!$B$2:$B$5761,U$2)</f>
        <v>20949.8</v>
      </c>
      <c r="V15">
        <f>SUMIFS(Data!$E$2:$E$5761,Data!$A$2:$A$5761,$A15,Data!$B$2:$B$5761,V$2)</f>
        <v>21132.3</v>
      </c>
      <c r="W15">
        <f>SUMIFS(Data!$E$2:$E$5761,Data!$A$2:$A$5761,$A15,Data!$B$2:$B$5761,W$2)</f>
        <v>21319.1</v>
      </c>
      <c r="X15">
        <f>SUMIFS(Data!$E$2:$E$5761,Data!$A$2:$A$5761,$A15,Data!$B$2:$B$5761,X$2)</f>
        <v>21394.699999999997</v>
      </c>
      <c r="Y15">
        <f>SUMIFS(Data!$E$2:$E$5761,Data!$A$2:$A$5761,$A15,Data!$B$2:$B$5761,Y$2)</f>
        <v>21492.3</v>
      </c>
      <c r="Z15">
        <f>SUMIFS(Data!$E$2:$E$5761,Data!$A$2:$A$5761,$A15,Data!$B$2:$B$5761,Z$2)</f>
        <v>21736.800000000003</v>
      </c>
      <c r="AA15">
        <f>SUMIFS(Data!$E$2:$E$5761,Data!$A$2:$A$5761,$A15,Data!$B$2:$B$5761,AA$2)</f>
        <v>21952.3</v>
      </c>
      <c r="AB15">
        <f>SUMIFS(Data!$E$2:$E$5761,Data!$A$2:$A$5761,$A15,Data!$B$2:$B$5761,AB$2)</f>
        <v>21928.9</v>
      </c>
      <c r="AC15">
        <f>SUMIFS(Data!$E$2:$E$5761,Data!$A$2:$A$5761,$A15,Data!$B$2:$B$5761,AC$2)</f>
        <v>22061.399999999998</v>
      </c>
      <c r="AD15">
        <f>SUMIFS(Data!$E$2:$E$5761,Data!$A$2:$A$5761,$A15,Data!$B$2:$B$5761,AD$2)</f>
        <v>22268.899999999998</v>
      </c>
      <c r="AE15">
        <f>SUMIFS(Data!$E$2:$E$5761,Data!$A$2:$A$5761,$A15,Data!$B$2:$B$5761,AE$2)</f>
        <v>22385.899999999998</v>
      </c>
      <c r="AF15">
        <f>SUMIFS(Data!$E$2:$E$5761,Data!$A$2:$A$5761,$A15,Data!$B$2:$B$5761,AF$2)</f>
        <v>22570.400000000001</v>
      </c>
      <c r="AG15">
        <f>SUMIFS(Data!$E$2:$E$5761,Data!$A$2:$A$5761,$A15,Data!$B$2:$B$5761,AG$2)</f>
        <v>22673.9</v>
      </c>
      <c r="AH15">
        <f>SUMIFS(Data!$E$2:$E$5761,Data!$A$2:$A$5761,$A15,Data!$B$2:$B$5761,AH$2)</f>
        <v>22817.699999999997</v>
      </c>
      <c r="AI15">
        <f>SUMIFS(Data!$E$2:$E$5761,Data!$A$2:$A$5761,$A15,Data!$B$2:$B$5761,AI$2)</f>
        <v>22970</v>
      </c>
      <c r="AJ15">
        <f>SUMIFS(Data!$E$2:$E$5761,Data!$A$2:$A$5761,$A15,Data!$B$2:$B$5761,AJ$2)</f>
        <v>23222.1</v>
      </c>
      <c r="AK15">
        <f>SUMIFS(Data!$E$2:$E$5761,Data!$A$2:$A$5761,$A15,Data!$B$2:$B$5761,AK$2)</f>
        <v>23266.5</v>
      </c>
    </row>
    <row r="16" spans="1:37" x14ac:dyDescent="0.25">
      <c r="A16" t="s">
        <v>37</v>
      </c>
      <c r="B16">
        <f>SUMIFS(Data!$E$2:$E$5761,Data!$A$2:$A$5761,$A16,Data!$B$2:$B$5761,B$2)</f>
        <v>19259.599999999999</v>
      </c>
      <c r="C16">
        <f>SUMIFS(Data!$E$2:$E$5761,Data!$A$2:$A$5761,$A16,Data!$B$2:$B$5761,C$2)</f>
        <v>19473.699999999997</v>
      </c>
      <c r="D16">
        <f>SUMIFS(Data!$E$2:$E$5761,Data!$A$2:$A$5761,$A16,Data!$B$2:$B$5761,D$2)</f>
        <v>19484.400000000001</v>
      </c>
      <c r="E16">
        <f>SUMIFS(Data!$E$2:$E$5761,Data!$A$2:$A$5761,$A16,Data!$B$2:$B$5761,E$2)</f>
        <v>19731</v>
      </c>
      <c r="F16">
        <f>SUMIFS(Data!$E$2:$E$5761,Data!$A$2:$A$5761,$A16,Data!$B$2:$B$5761,F$2)</f>
        <v>19814.099999999999</v>
      </c>
      <c r="G16">
        <f>SUMIFS(Data!$E$2:$E$5761,Data!$A$2:$A$5761,$A16,Data!$B$2:$B$5761,G$2)</f>
        <v>19948</v>
      </c>
      <c r="H16">
        <f>SUMIFS(Data!$E$2:$E$5761,Data!$A$2:$A$5761,$A16,Data!$B$2:$B$5761,H$2)</f>
        <v>20156.099999999999</v>
      </c>
      <c r="I16">
        <f>SUMIFS(Data!$E$2:$E$5761,Data!$A$2:$A$5761,$A16,Data!$B$2:$B$5761,I$2)</f>
        <v>20355.7</v>
      </c>
      <c r="J16">
        <f>SUMIFS(Data!$E$2:$E$5761,Data!$A$2:$A$5761,$A16,Data!$B$2:$B$5761,J$2)</f>
        <v>20530.100000000002</v>
      </c>
      <c r="K16">
        <f>SUMIFS(Data!$E$2:$E$5761,Data!$A$2:$A$5761,$A16,Data!$B$2:$B$5761,K$2)</f>
        <v>20638.999999999996</v>
      </c>
      <c r="L16">
        <f>SUMIFS(Data!$E$2:$E$5761,Data!$A$2:$A$5761,$A16,Data!$B$2:$B$5761,L$2)</f>
        <v>20845.7</v>
      </c>
      <c r="M16">
        <f>SUMIFS(Data!$E$2:$E$5761,Data!$A$2:$A$5761,$A16,Data!$B$2:$B$5761,M$2)</f>
        <v>20972.7</v>
      </c>
      <c r="N16">
        <f>SUMIFS(Data!$E$2:$E$5761,Data!$A$2:$A$5761,$A16,Data!$B$2:$B$5761,N$2)</f>
        <v>21147.299999999996</v>
      </c>
      <c r="O16">
        <f>SUMIFS(Data!$E$2:$E$5761,Data!$A$2:$A$5761,$A16,Data!$B$2:$B$5761,O$2)</f>
        <v>21259.599999999999</v>
      </c>
      <c r="P16">
        <f>SUMIFS(Data!$E$2:$E$5761,Data!$A$2:$A$5761,$A16,Data!$B$2:$B$5761,P$2)</f>
        <v>21461.1</v>
      </c>
      <c r="Q16">
        <f>SUMIFS(Data!$E$2:$E$5761,Data!$A$2:$A$5761,$A16,Data!$B$2:$B$5761,Q$2)</f>
        <v>21532.5</v>
      </c>
      <c r="R16">
        <f>SUMIFS(Data!$E$2:$E$5761,Data!$A$2:$A$5761,$A16,Data!$B$2:$B$5761,R$2)</f>
        <v>21618.7</v>
      </c>
      <c r="S16">
        <f>SUMIFS(Data!$E$2:$E$5761,Data!$A$2:$A$5761,$A16,Data!$B$2:$B$5761,S$2)</f>
        <v>21844.999999999996</v>
      </c>
      <c r="T16">
        <f>SUMIFS(Data!$E$2:$E$5761,Data!$A$2:$A$5761,$A16,Data!$B$2:$B$5761,T$2)</f>
        <v>22014.800000000003</v>
      </c>
      <c r="U16">
        <f>SUMIFS(Data!$E$2:$E$5761,Data!$A$2:$A$5761,$A16,Data!$B$2:$B$5761,U$2)</f>
        <v>22062.5</v>
      </c>
      <c r="V16">
        <f>SUMIFS(Data!$E$2:$E$5761,Data!$A$2:$A$5761,$A16,Data!$B$2:$B$5761,V$2)</f>
        <v>22287.600000000002</v>
      </c>
      <c r="W16">
        <f>SUMIFS(Data!$E$2:$E$5761,Data!$A$2:$A$5761,$A16,Data!$B$2:$B$5761,W$2)</f>
        <v>22382.3</v>
      </c>
      <c r="X16">
        <f>SUMIFS(Data!$E$2:$E$5761,Data!$A$2:$A$5761,$A16,Data!$B$2:$B$5761,X$2)</f>
        <v>22679.200000000001</v>
      </c>
      <c r="Y16">
        <f>SUMIFS(Data!$E$2:$E$5761,Data!$A$2:$A$5761,$A16,Data!$B$2:$B$5761,Y$2)</f>
        <v>22699.1</v>
      </c>
      <c r="Z16">
        <f>SUMIFS(Data!$E$2:$E$5761,Data!$A$2:$A$5761,$A16,Data!$B$2:$B$5761,Z$2)</f>
        <v>22991.599999999999</v>
      </c>
      <c r="AA16">
        <f>SUMIFS(Data!$E$2:$E$5761,Data!$A$2:$A$5761,$A16,Data!$B$2:$B$5761,AA$2)</f>
        <v>23117.399999999998</v>
      </c>
      <c r="AB16">
        <f>SUMIFS(Data!$E$2:$E$5761,Data!$A$2:$A$5761,$A16,Data!$B$2:$B$5761,AB$2)</f>
        <v>23216.100000000002</v>
      </c>
      <c r="AC16">
        <f>SUMIFS(Data!$E$2:$E$5761,Data!$A$2:$A$5761,$A16,Data!$B$2:$B$5761,AC$2)</f>
        <v>23382.6</v>
      </c>
      <c r="AD16">
        <f>SUMIFS(Data!$E$2:$E$5761,Data!$A$2:$A$5761,$A16,Data!$B$2:$B$5761,AD$2)</f>
        <v>23582.2</v>
      </c>
      <c r="AE16">
        <f>SUMIFS(Data!$E$2:$E$5761,Data!$A$2:$A$5761,$A16,Data!$B$2:$B$5761,AE$2)</f>
        <v>23667.1</v>
      </c>
      <c r="AF16">
        <f>SUMIFS(Data!$E$2:$E$5761,Data!$A$2:$A$5761,$A16,Data!$B$2:$B$5761,AF$2)</f>
        <v>23817.1</v>
      </c>
      <c r="AG16">
        <f>SUMIFS(Data!$E$2:$E$5761,Data!$A$2:$A$5761,$A16,Data!$B$2:$B$5761,AG$2)</f>
        <v>24021.9</v>
      </c>
      <c r="AH16">
        <f>SUMIFS(Data!$E$2:$E$5761,Data!$A$2:$A$5761,$A16,Data!$B$2:$B$5761,AH$2)</f>
        <v>24121.5</v>
      </c>
      <c r="AI16">
        <f>SUMIFS(Data!$E$2:$E$5761,Data!$A$2:$A$5761,$A16,Data!$B$2:$B$5761,AI$2)</f>
        <v>24327.399999999998</v>
      </c>
      <c r="AJ16">
        <f>SUMIFS(Data!$E$2:$E$5761,Data!$A$2:$A$5761,$A16,Data!$B$2:$B$5761,AJ$2)</f>
        <v>24365.800000000003</v>
      </c>
      <c r="AK16">
        <f>SUMIFS(Data!$E$2:$E$5761,Data!$A$2:$A$5761,$A16,Data!$B$2:$B$5761,AK$2)</f>
        <v>24657.8</v>
      </c>
    </row>
    <row r="17" spans="1:37" x14ac:dyDescent="0.25">
      <c r="A17" t="s">
        <v>38</v>
      </c>
      <c r="B17">
        <f>SUMIFS(Data!$E$2:$E$5761,Data!$A$2:$A$5761,$A17,Data!$B$2:$B$5761,B$2)</f>
        <v>20295.2</v>
      </c>
      <c r="C17">
        <f>SUMIFS(Data!$E$2:$E$5761,Data!$A$2:$A$5761,$A17,Data!$B$2:$B$5761,C$2)</f>
        <v>20412.999999999996</v>
      </c>
      <c r="D17">
        <f>SUMIFS(Data!$E$2:$E$5761,Data!$A$2:$A$5761,$A17,Data!$B$2:$B$5761,D$2)</f>
        <v>20621.699999999997</v>
      </c>
      <c r="E17">
        <f>SUMIFS(Data!$E$2:$E$5761,Data!$A$2:$A$5761,$A17,Data!$B$2:$B$5761,E$2)</f>
        <v>20660</v>
      </c>
      <c r="F17">
        <f>SUMIFS(Data!$E$2:$E$5761,Data!$A$2:$A$5761,$A17,Data!$B$2:$B$5761,F$2)</f>
        <v>20934.2</v>
      </c>
      <c r="G17">
        <f>SUMIFS(Data!$E$2:$E$5761,Data!$A$2:$A$5761,$A17,Data!$B$2:$B$5761,G$2)</f>
        <v>21151.200000000001</v>
      </c>
      <c r="H17">
        <f>SUMIFS(Data!$E$2:$E$5761,Data!$A$2:$A$5761,$A17,Data!$B$2:$B$5761,H$2)</f>
        <v>21265</v>
      </c>
      <c r="I17">
        <f>SUMIFS(Data!$E$2:$E$5761,Data!$A$2:$A$5761,$A17,Data!$B$2:$B$5761,I$2)</f>
        <v>21413.899999999998</v>
      </c>
      <c r="J17">
        <f>SUMIFS(Data!$E$2:$E$5761,Data!$A$2:$A$5761,$A17,Data!$B$2:$B$5761,J$2)</f>
        <v>21594.399999999998</v>
      </c>
      <c r="K17">
        <f>SUMIFS(Data!$E$2:$E$5761,Data!$A$2:$A$5761,$A17,Data!$B$2:$B$5761,K$2)</f>
        <v>21815.100000000002</v>
      </c>
      <c r="L17">
        <f>SUMIFS(Data!$E$2:$E$5761,Data!$A$2:$A$5761,$A17,Data!$B$2:$B$5761,L$2)</f>
        <v>21894.799999999999</v>
      </c>
      <c r="M17">
        <f>SUMIFS(Data!$E$2:$E$5761,Data!$A$2:$A$5761,$A17,Data!$B$2:$B$5761,M$2)</f>
        <v>22036.399999999998</v>
      </c>
      <c r="N17">
        <f>SUMIFS(Data!$E$2:$E$5761,Data!$A$2:$A$5761,$A17,Data!$B$2:$B$5761,N$2)</f>
        <v>22158.399999999998</v>
      </c>
      <c r="O17">
        <f>SUMIFS(Data!$E$2:$E$5761,Data!$A$2:$A$5761,$A17,Data!$B$2:$B$5761,O$2)</f>
        <v>22419.200000000001</v>
      </c>
      <c r="P17">
        <f>SUMIFS(Data!$E$2:$E$5761,Data!$A$2:$A$5761,$A17,Data!$B$2:$B$5761,P$2)</f>
        <v>22578.400000000001</v>
      </c>
      <c r="Q17">
        <f>SUMIFS(Data!$E$2:$E$5761,Data!$A$2:$A$5761,$A17,Data!$B$2:$B$5761,Q$2)</f>
        <v>22629.599999999999</v>
      </c>
      <c r="R17">
        <f>SUMIFS(Data!$E$2:$E$5761,Data!$A$2:$A$5761,$A17,Data!$B$2:$B$5761,R$2)</f>
        <v>22847.800000000003</v>
      </c>
      <c r="S17">
        <f>SUMIFS(Data!$E$2:$E$5761,Data!$A$2:$A$5761,$A17,Data!$B$2:$B$5761,S$2)</f>
        <v>22950.5</v>
      </c>
      <c r="T17">
        <f>SUMIFS(Data!$E$2:$E$5761,Data!$A$2:$A$5761,$A17,Data!$B$2:$B$5761,T$2)</f>
        <v>23219</v>
      </c>
      <c r="U17">
        <f>SUMIFS(Data!$E$2:$E$5761,Data!$A$2:$A$5761,$A17,Data!$B$2:$B$5761,U$2)</f>
        <v>23311</v>
      </c>
      <c r="V17">
        <f>SUMIFS(Data!$E$2:$E$5761,Data!$A$2:$A$5761,$A17,Data!$B$2:$B$5761,V$2)</f>
        <v>23554.6</v>
      </c>
      <c r="W17">
        <f>SUMIFS(Data!$E$2:$E$5761,Data!$A$2:$A$5761,$A17,Data!$B$2:$B$5761,W$2)</f>
        <v>23654.6</v>
      </c>
      <c r="X17">
        <f>SUMIFS(Data!$E$2:$E$5761,Data!$A$2:$A$5761,$A17,Data!$B$2:$B$5761,X$2)</f>
        <v>23796.7</v>
      </c>
      <c r="Y17">
        <f>SUMIFS(Data!$E$2:$E$5761,Data!$A$2:$A$5761,$A17,Data!$B$2:$B$5761,Y$2)</f>
        <v>24070</v>
      </c>
      <c r="Z17">
        <f>SUMIFS(Data!$E$2:$E$5761,Data!$A$2:$A$5761,$A17,Data!$B$2:$B$5761,Z$2)</f>
        <v>24095</v>
      </c>
      <c r="AA17">
        <f>SUMIFS(Data!$E$2:$E$5761,Data!$A$2:$A$5761,$A17,Data!$B$2:$B$5761,AA$2)</f>
        <v>24282.6</v>
      </c>
      <c r="AB17">
        <f>SUMIFS(Data!$E$2:$E$5761,Data!$A$2:$A$5761,$A17,Data!$B$2:$B$5761,AB$2)</f>
        <v>24438.199999999997</v>
      </c>
      <c r="AC17">
        <f>SUMIFS(Data!$E$2:$E$5761,Data!$A$2:$A$5761,$A17,Data!$B$2:$B$5761,AC$2)</f>
        <v>24574.000000000004</v>
      </c>
      <c r="AD17">
        <f>SUMIFS(Data!$E$2:$E$5761,Data!$A$2:$A$5761,$A17,Data!$B$2:$B$5761,AD$2)</f>
        <v>24785.599999999999</v>
      </c>
      <c r="AE17">
        <f>SUMIFS(Data!$E$2:$E$5761,Data!$A$2:$A$5761,$A17,Data!$B$2:$B$5761,AE$2)</f>
        <v>24910.3</v>
      </c>
      <c r="AF17">
        <f>SUMIFS(Data!$E$2:$E$5761,Data!$A$2:$A$5761,$A17,Data!$B$2:$B$5761,AF$2)</f>
        <v>25113.4</v>
      </c>
      <c r="AG17">
        <f>SUMIFS(Data!$E$2:$E$5761,Data!$A$2:$A$5761,$A17,Data!$B$2:$B$5761,AG$2)</f>
        <v>25251.200000000001</v>
      </c>
      <c r="AH17">
        <f>SUMIFS(Data!$E$2:$E$5761,Data!$A$2:$A$5761,$A17,Data!$B$2:$B$5761,AH$2)</f>
        <v>25446.299999999996</v>
      </c>
      <c r="AI17">
        <f>SUMIFS(Data!$E$2:$E$5761,Data!$A$2:$A$5761,$A17,Data!$B$2:$B$5761,AI$2)</f>
        <v>25596.699999999997</v>
      </c>
      <c r="AJ17">
        <f>SUMIFS(Data!$E$2:$E$5761,Data!$A$2:$A$5761,$A17,Data!$B$2:$B$5761,AJ$2)</f>
        <v>25745.4</v>
      </c>
      <c r="AK17">
        <f>SUMIFS(Data!$E$2:$E$5761,Data!$A$2:$A$5761,$A17,Data!$B$2:$B$5761,AK$2)</f>
        <v>25892.2</v>
      </c>
    </row>
    <row r="18" spans="1:37" x14ac:dyDescent="0.25">
      <c r="A18" t="s">
        <v>39</v>
      </c>
      <c r="B18">
        <f>SUMIFS(Data!$E$2:$E$5761,Data!$A$2:$A$5761,$A18,Data!$B$2:$B$5761,B$2)</f>
        <v>21301.3</v>
      </c>
      <c r="C18">
        <f>SUMIFS(Data!$E$2:$E$5761,Data!$A$2:$A$5761,$A18,Data!$B$2:$B$5761,C$2)</f>
        <v>21476.5</v>
      </c>
      <c r="D18">
        <f>SUMIFS(Data!$E$2:$E$5761,Data!$A$2:$A$5761,$A18,Data!$B$2:$B$5761,D$2)</f>
        <v>21613.7</v>
      </c>
      <c r="E18">
        <f>SUMIFS(Data!$E$2:$E$5761,Data!$A$2:$A$5761,$A18,Data!$B$2:$B$5761,E$2)</f>
        <v>21772</v>
      </c>
      <c r="F18">
        <f>SUMIFS(Data!$E$2:$E$5761,Data!$A$2:$A$5761,$A18,Data!$B$2:$B$5761,F$2)</f>
        <v>22046.6</v>
      </c>
      <c r="G18">
        <f>SUMIFS(Data!$E$2:$E$5761,Data!$A$2:$A$5761,$A18,Data!$B$2:$B$5761,G$2)</f>
        <v>22260.199999999997</v>
      </c>
      <c r="H18">
        <f>SUMIFS(Data!$E$2:$E$5761,Data!$A$2:$A$5761,$A18,Data!$B$2:$B$5761,H$2)</f>
        <v>22381.9</v>
      </c>
      <c r="I18">
        <f>SUMIFS(Data!$E$2:$E$5761,Data!$A$2:$A$5761,$A18,Data!$B$2:$B$5761,I$2)</f>
        <v>22502.5</v>
      </c>
      <c r="J18">
        <f>SUMIFS(Data!$E$2:$E$5761,Data!$A$2:$A$5761,$A18,Data!$B$2:$B$5761,J$2)</f>
        <v>22656.200000000004</v>
      </c>
      <c r="K18">
        <f>SUMIFS(Data!$E$2:$E$5761,Data!$A$2:$A$5761,$A18,Data!$B$2:$B$5761,K$2)</f>
        <v>22838</v>
      </c>
      <c r="L18">
        <f>SUMIFS(Data!$E$2:$E$5761,Data!$A$2:$A$5761,$A18,Data!$B$2:$B$5761,L$2)</f>
        <v>22942.5</v>
      </c>
      <c r="M18">
        <f>SUMIFS(Data!$E$2:$E$5761,Data!$A$2:$A$5761,$A18,Data!$B$2:$B$5761,M$2)</f>
        <v>23131.4</v>
      </c>
      <c r="N18">
        <f>SUMIFS(Data!$E$2:$E$5761,Data!$A$2:$A$5761,$A18,Data!$B$2:$B$5761,N$2)</f>
        <v>23396.2</v>
      </c>
      <c r="O18">
        <f>SUMIFS(Data!$E$2:$E$5761,Data!$A$2:$A$5761,$A18,Data!$B$2:$B$5761,O$2)</f>
        <v>23567</v>
      </c>
      <c r="P18">
        <f>SUMIFS(Data!$E$2:$E$5761,Data!$A$2:$A$5761,$A18,Data!$B$2:$B$5761,P$2)</f>
        <v>23724.2</v>
      </c>
      <c r="Q18">
        <f>SUMIFS(Data!$E$2:$E$5761,Data!$A$2:$A$5761,$A18,Data!$B$2:$B$5761,Q$2)</f>
        <v>23812.5</v>
      </c>
      <c r="R18">
        <f>SUMIFS(Data!$E$2:$E$5761,Data!$A$2:$A$5761,$A18,Data!$B$2:$B$5761,R$2)</f>
        <v>23982.799999999999</v>
      </c>
      <c r="S18">
        <f>SUMIFS(Data!$E$2:$E$5761,Data!$A$2:$A$5761,$A18,Data!$B$2:$B$5761,S$2)</f>
        <v>24210.6</v>
      </c>
      <c r="T18">
        <f>SUMIFS(Data!$E$2:$E$5761,Data!$A$2:$A$5761,$A18,Data!$B$2:$B$5761,T$2)</f>
        <v>24256.9</v>
      </c>
      <c r="U18">
        <f>SUMIFS(Data!$E$2:$E$5761,Data!$A$2:$A$5761,$A18,Data!$B$2:$B$5761,U$2)</f>
        <v>24556</v>
      </c>
      <c r="V18">
        <f>SUMIFS(Data!$E$2:$E$5761,Data!$A$2:$A$5761,$A18,Data!$B$2:$B$5761,V$2)</f>
        <v>24680.1</v>
      </c>
      <c r="W18">
        <f>SUMIFS(Data!$E$2:$E$5761,Data!$A$2:$A$5761,$A18,Data!$B$2:$B$5761,W$2)</f>
        <v>24876.199999999997</v>
      </c>
      <c r="X18">
        <f>SUMIFS(Data!$E$2:$E$5761,Data!$A$2:$A$5761,$A18,Data!$B$2:$B$5761,X$2)</f>
        <v>24985.9</v>
      </c>
      <c r="Y18">
        <f>SUMIFS(Data!$E$2:$E$5761,Data!$A$2:$A$5761,$A18,Data!$B$2:$B$5761,Y$2)</f>
        <v>25206.9</v>
      </c>
      <c r="Z18">
        <f>SUMIFS(Data!$E$2:$E$5761,Data!$A$2:$A$5761,$A18,Data!$B$2:$B$5761,Z$2)</f>
        <v>25274.7</v>
      </c>
      <c r="AA18">
        <f>SUMIFS(Data!$E$2:$E$5761,Data!$A$2:$A$5761,$A18,Data!$B$2:$B$5761,AA$2)</f>
        <v>25611.3</v>
      </c>
      <c r="AB18">
        <f>SUMIFS(Data!$E$2:$E$5761,Data!$A$2:$A$5761,$A18,Data!$B$2:$B$5761,AB$2)</f>
        <v>25670.5</v>
      </c>
      <c r="AC18">
        <f>SUMIFS(Data!$E$2:$E$5761,Data!$A$2:$A$5761,$A18,Data!$B$2:$B$5761,AC$2)</f>
        <v>25892.5</v>
      </c>
      <c r="AD18">
        <f>SUMIFS(Data!$E$2:$E$5761,Data!$A$2:$A$5761,$A18,Data!$B$2:$B$5761,AD$2)</f>
        <v>26038.400000000001</v>
      </c>
      <c r="AE18">
        <f>SUMIFS(Data!$E$2:$E$5761,Data!$A$2:$A$5761,$A18,Data!$B$2:$B$5761,AE$2)</f>
        <v>26105.9</v>
      </c>
      <c r="AF18">
        <f>SUMIFS(Data!$E$2:$E$5761,Data!$A$2:$A$5761,$A18,Data!$B$2:$B$5761,AF$2)</f>
        <v>26412.199999999997</v>
      </c>
      <c r="AG18">
        <f>SUMIFS(Data!$E$2:$E$5761,Data!$A$2:$A$5761,$A18,Data!$B$2:$B$5761,AG$2)</f>
        <v>26546.800000000003</v>
      </c>
      <c r="AH18">
        <f>SUMIFS(Data!$E$2:$E$5761,Data!$A$2:$A$5761,$A18,Data!$B$2:$B$5761,AH$2)</f>
        <v>26733.8</v>
      </c>
      <c r="AI18">
        <f>SUMIFS(Data!$E$2:$E$5761,Data!$A$2:$A$5761,$A18,Data!$B$2:$B$5761,AI$2)</f>
        <v>26903</v>
      </c>
      <c r="AJ18">
        <f>SUMIFS(Data!$E$2:$E$5761,Data!$A$2:$A$5761,$A18,Data!$B$2:$B$5761,AJ$2)</f>
        <v>27129.9</v>
      </c>
      <c r="AK18">
        <f>SUMIFS(Data!$E$2:$E$5761,Data!$A$2:$A$5761,$A18,Data!$B$2:$B$5761,AK$2)</f>
        <v>27252.399999999998</v>
      </c>
    </row>
    <row r="19" spans="1:37" x14ac:dyDescent="0.25">
      <c r="A19" t="s">
        <v>40</v>
      </c>
      <c r="B19">
        <f>SUMIFS(Data!$E$2:$E$5761,Data!$A$2:$A$5761,$A19,Data!$B$2:$B$5761,B$2)</f>
        <v>22352.400000000001</v>
      </c>
      <c r="C19">
        <f>SUMIFS(Data!$E$2:$E$5761,Data!$A$2:$A$5761,$A19,Data!$B$2:$B$5761,C$2)</f>
        <v>22527.8</v>
      </c>
      <c r="D19">
        <f>SUMIFS(Data!$E$2:$E$5761,Data!$A$2:$A$5761,$A19,Data!$B$2:$B$5761,D$2)</f>
        <v>22604.6</v>
      </c>
      <c r="E19">
        <f>SUMIFS(Data!$E$2:$E$5761,Data!$A$2:$A$5761,$A19,Data!$B$2:$B$5761,E$2)</f>
        <v>22888.9</v>
      </c>
      <c r="F19">
        <f>SUMIFS(Data!$E$2:$E$5761,Data!$A$2:$A$5761,$A19,Data!$B$2:$B$5761,F$2)</f>
        <v>23053.699999999997</v>
      </c>
      <c r="G19">
        <f>SUMIFS(Data!$E$2:$E$5761,Data!$A$2:$A$5761,$A19,Data!$B$2:$B$5761,G$2)</f>
        <v>23190</v>
      </c>
      <c r="H19">
        <f>SUMIFS(Data!$E$2:$E$5761,Data!$A$2:$A$5761,$A19,Data!$B$2:$B$5761,H$2)</f>
        <v>23314.9</v>
      </c>
      <c r="I19">
        <f>SUMIFS(Data!$E$2:$E$5761,Data!$A$2:$A$5761,$A19,Data!$B$2:$B$5761,I$2)</f>
        <v>23536.5</v>
      </c>
      <c r="J19">
        <f>SUMIFS(Data!$E$2:$E$5761,Data!$A$2:$A$5761,$A19,Data!$B$2:$B$5761,J$2)</f>
        <v>23738.1</v>
      </c>
      <c r="K19">
        <f>SUMIFS(Data!$E$2:$E$5761,Data!$A$2:$A$5761,$A19,Data!$B$2:$B$5761,K$2)</f>
        <v>23994.5</v>
      </c>
      <c r="L19">
        <f>SUMIFS(Data!$E$2:$E$5761,Data!$A$2:$A$5761,$A19,Data!$B$2:$B$5761,L$2)</f>
        <v>24051.800000000003</v>
      </c>
      <c r="M19">
        <f>SUMIFS(Data!$E$2:$E$5761,Data!$A$2:$A$5761,$A19,Data!$B$2:$B$5761,M$2)</f>
        <v>24182.800000000003</v>
      </c>
      <c r="N19">
        <f>SUMIFS(Data!$E$2:$E$5761,Data!$A$2:$A$5761,$A19,Data!$B$2:$B$5761,N$2)</f>
        <v>24517.8</v>
      </c>
      <c r="O19">
        <f>SUMIFS(Data!$E$2:$E$5761,Data!$A$2:$A$5761,$A19,Data!$B$2:$B$5761,O$2)</f>
        <v>24570.6</v>
      </c>
      <c r="P19">
        <f>SUMIFS(Data!$E$2:$E$5761,Data!$A$2:$A$5761,$A19,Data!$B$2:$B$5761,P$2)</f>
        <v>24765.1</v>
      </c>
      <c r="Q19">
        <f>SUMIFS(Data!$E$2:$E$5761,Data!$A$2:$A$5761,$A19,Data!$B$2:$B$5761,Q$2)</f>
        <v>25016.400000000001</v>
      </c>
      <c r="R19">
        <f>SUMIFS(Data!$E$2:$E$5761,Data!$A$2:$A$5761,$A19,Data!$B$2:$B$5761,R$2)</f>
        <v>25168.5</v>
      </c>
      <c r="S19">
        <f>SUMIFS(Data!$E$2:$E$5761,Data!$A$2:$A$5761,$A19,Data!$B$2:$B$5761,S$2)</f>
        <v>25351.600000000002</v>
      </c>
      <c r="T19">
        <f>SUMIFS(Data!$E$2:$E$5761,Data!$A$2:$A$5761,$A19,Data!$B$2:$B$5761,T$2)</f>
        <v>25454.799999999999</v>
      </c>
      <c r="U19">
        <f>SUMIFS(Data!$E$2:$E$5761,Data!$A$2:$A$5761,$A19,Data!$B$2:$B$5761,U$2)</f>
        <v>25585.800000000003</v>
      </c>
      <c r="V19">
        <f>SUMIFS(Data!$E$2:$E$5761,Data!$A$2:$A$5761,$A19,Data!$B$2:$B$5761,V$2)</f>
        <v>25837.4</v>
      </c>
      <c r="W19">
        <f>SUMIFS(Data!$E$2:$E$5761,Data!$A$2:$A$5761,$A19,Data!$B$2:$B$5761,W$2)</f>
        <v>26018.6</v>
      </c>
      <c r="X19">
        <f>SUMIFS(Data!$E$2:$E$5761,Data!$A$2:$A$5761,$A19,Data!$B$2:$B$5761,X$2)</f>
        <v>26251.800000000003</v>
      </c>
      <c r="Y19">
        <f>SUMIFS(Data!$E$2:$E$5761,Data!$A$2:$A$5761,$A19,Data!$B$2:$B$5761,Y$2)</f>
        <v>26310.5</v>
      </c>
      <c r="Z19">
        <f>SUMIFS(Data!$E$2:$E$5761,Data!$A$2:$A$5761,$A19,Data!$B$2:$B$5761,Z$2)</f>
        <v>26558.7</v>
      </c>
      <c r="AA19">
        <f>SUMIFS(Data!$E$2:$E$5761,Data!$A$2:$A$5761,$A19,Data!$B$2:$B$5761,AA$2)</f>
        <v>26724.6</v>
      </c>
      <c r="AB19">
        <f>SUMIFS(Data!$E$2:$E$5761,Data!$A$2:$A$5761,$A19,Data!$B$2:$B$5761,AB$2)</f>
        <v>26847.7</v>
      </c>
      <c r="AC19">
        <f>SUMIFS(Data!$E$2:$E$5761,Data!$A$2:$A$5761,$A19,Data!$B$2:$B$5761,AC$2)</f>
        <v>27070.5</v>
      </c>
      <c r="AD19">
        <f>SUMIFS(Data!$E$2:$E$5761,Data!$A$2:$A$5761,$A19,Data!$B$2:$B$5761,AD$2)</f>
        <v>27210.699999999997</v>
      </c>
      <c r="AE19">
        <f>SUMIFS(Data!$E$2:$E$5761,Data!$A$2:$A$5761,$A19,Data!$B$2:$B$5761,AE$2)</f>
        <v>27574.800000000003</v>
      </c>
      <c r="AF19">
        <f>SUMIFS(Data!$E$2:$E$5761,Data!$A$2:$A$5761,$A19,Data!$B$2:$B$5761,AF$2)</f>
        <v>27660.1</v>
      </c>
      <c r="AG19">
        <f>SUMIFS(Data!$E$2:$E$5761,Data!$A$2:$A$5761,$A19,Data!$B$2:$B$5761,AG$2)</f>
        <v>27832.899999999998</v>
      </c>
      <c r="AH19">
        <f>SUMIFS(Data!$E$2:$E$5761,Data!$A$2:$A$5761,$A19,Data!$B$2:$B$5761,AH$2)</f>
        <v>28034.400000000001</v>
      </c>
      <c r="AI19">
        <f>SUMIFS(Data!$E$2:$E$5761,Data!$A$2:$A$5761,$A19,Data!$B$2:$B$5761,AI$2)</f>
        <v>28186.5</v>
      </c>
      <c r="AJ19">
        <f>SUMIFS(Data!$E$2:$E$5761,Data!$A$2:$A$5761,$A19,Data!$B$2:$B$5761,AJ$2)</f>
        <v>28351.799999999996</v>
      </c>
      <c r="AK19">
        <f>SUMIFS(Data!$E$2:$E$5761,Data!$A$2:$A$5761,$A19,Data!$B$2:$B$5761,AK$2)</f>
        <v>28525.599999999999</v>
      </c>
    </row>
    <row r="20" spans="1:37" x14ac:dyDescent="0.25">
      <c r="A20" t="s">
        <v>42</v>
      </c>
      <c r="B20">
        <f>SUMIFS(Data!$E$2:$E$5761,Data!$A$2:$A$5761,$A20,Data!$B$2:$B$5761,B$2)</f>
        <v>23391.300000000003</v>
      </c>
      <c r="C20">
        <f>SUMIFS(Data!$E$2:$E$5761,Data!$A$2:$A$5761,$A20,Data!$B$2:$B$5761,C$2)</f>
        <v>23436.2</v>
      </c>
      <c r="D20">
        <f>SUMIFS(Data!$E$2:$E$5761,Data!$A$2:$A$5761,$A20,Data!$B$2:$B$5761,D$2)</f>
        <v>23649.899999999998</v>
      </c>
      <c r="E20">
        <f>SUMIFS(Data!$E$2:$E$5761,Data!$A$2:$A$5761,$A20,Data!$B$2:$B$5761,E$2)</f>
        <v>23854.6</v>
      </c>
      <c r="F20">
        <f>SUMIFS(Data!$E$2:$E$5761,Data!$A$2:$A$5761,$A20,Data!$B$2:$B$5761,F$2)</f>
        <v>24133.199999999997</v>
      </c>
      <c r="G20">
        <f>SUMIFS(Data!$E$2:$E$5761,Data!$A$2:$A$5761,$A20,Data!$B$2:$B$5761,G$2)</f>
        <v>24206.9</v>
      </c>
      <c r="H20">
        <f>SUMIFS(Data!$E$2:$E$5761,Data!$A$2:$A$5761,$A20,Data!$B$2:$B$5761,H$2)</f>
        <v>24500.7</v>
      </c>
      <c r="I20">
        <f>SUMIFS(Data!$E$2:$E$5761,Data!$A$2:$A$5761,$A20,Data!$B$2:$B$5761,I$2)</f>
        <v>24701.500000000004</v>
      </c>
      <c r="J20">
        <f>SUMIFS(Data!$E$2:$E$5761,Data!$A$2:$A$5761,$A20,Data!$B$2:$B$5761,J$2)</f>
        <v>24755.800000000003</v>
      </c>
      <c r="K20">
        <f>SUMIFS(Data!$E$2:$E$5761,Data!$A$2:$A$5761,$A20,Data!$B$2:$B$5761,K$2)</f>
        <v>25011.199999999997</v>
      </c>
      <c r="L20">
        <f>SUMIFS(Data!$E$2:$E$5761,Data!$A$2:$A$5761,$A20,Data!$B$2:$B$5761,L$2)</f>
        <v>25224.300000000003</v>
      </c>
      <c r="M20">
        <f>SUMIFS(Data!$E$2:$E$5761,Data!$A$2:$A$5761,$A20,Data!$B$2:$B$5761,M$2)</f>
        <v>25405</v>
      </c>
      <c r="N20">
        <f>SUMIFS(Data!$E$2:$E$5761,Data!$A$2:$A$5761,$A20,Data!$B$2:$B$5761,N$2)</f>
        <v>25626.999999999996</v>
      </c>
      <c r="O20">
        <f>SUMIFS(Data!$E$2:$E$5761,Data!$A$2:$A$5761,$A20,Data!$B$2:$B$5761,O$2)</f>
        <v>25650.799999999999</v>
      </c>
      <c r="P20">
        <f>SUMIFS(Data!$E$2:$E$5761,Data!$A$2:$A$5761,$A20,Data!$B$2:$B$5761,P$2)</f>
        <v>25843.3</v>
      </c>
      <c r="Q20">
        <f>SUMIFS(Data!$E$2:$E$5761,Data!$A$2:$A$5761,$A20,Data!$B$2:$B$5761,Q$2)</f>
        <v>26143</v>
      </c>
      <c r="R20">
        <f>SUMIFS(Data!$E$2:$E$5761,Data!$A$2:$A$5761,$A20,Data!$B$2:$B$5761,R$2)</f>
        <v>26307.200000000001</v>
      </c>
      <c r="S20">
        <f>SUMIFS(Data!$E$2:$E$5761,Data!$A$2:$A$5761,$A20,Data!$B$2:$B$5761,S$2)</f>
        <v>26492.400000000001</v>
      </c>
      <c r="T20">
        <f>SUMIFS(Data!$E$2:$E$5761,Data!$A$2:$A$5761,$A20,Data!$B$2:$B$5761,T$2)</f>
        <v>26617.800000000003</v>
      </c>
      <c r="U20">
        <f>SUMIFS(Data!$E$2:$E$5761,Data!$A$2:$A$5761,$A20,Data!$B$2:$B$5761,U$2)</f>
        <v>26840.199999999997</v>
      </c>
      <c r="V20">
        <f>SUMIFS(Data!$E$2:$E$5761,Data!$A$2:$A$5761,$A20,Data!$B$2:$B$5761,V$2)</f>
        <v>26883.700000000004</v>
      </c>
      <c r="W20">
        <f>SUMIFS(Data!$E$2:$E$5761,Data!$A$2:$A$5761,$A20,Data!$B$2:$B$5761,W$2)</f>
        <v>27264.9</v>
      </c>
      <c r="X20">
        <f>SUMIFS(Data!$E$2:$E$5761,Data!$A$2:$A$5761,$A20,Data!$B$2:$B$5761,X$2)</f>
        <v>27384.199999999997</v>
      </c>
      <c r="Y20">
        <f>SUMIFS(Data!$E$2:$E$5761,Data!$A$2:$A$5761,$A20,Data!$B$2:$B$5761,Y$2)</f>
        <v>27616.399999999994</v>
      </c>
      <c r="Z20">
        <f>SUMIFS(Data!$E$2:$E$5761,Data!$A$2:$A$5761,$A20,Data!$B$2:$B$5761,Z$2)</f>
        <v>27807.9</v>
      </c>
      <c r="AA20">
        <f>SUMIFS(Data!$E$2:$E$5761,Data!$A$2:$A$5761,$A20,Data!$B$2:$B$5761,AA$2)</f>
        <v>27906.1</v>
      </c>
      <c r="AB20">
        <f>SUMIFS(Data!$E$2:$E$5761,Data!$A$2:$A$5761,$A20,Data!$B$2:$B$5761,AB$2)</f>
        <v>28172.5</v>
      </c>
      <c r="AC20">
        <f>SUMIFS(Data!$E$2:$E$5761,Data!$A$2:$A$5761,$A20,Data!$B$2:$B$5761,AC$2)</f>
        <v>28252.1</v>
      </c>
      <c r="AD20">
        <f>SUMIFS(Data!$E$2:$E$5761,Data!$A$2:$A$5761,$A20,Data!$B$2:$B$5761,AD$2)</f>
        <v>28538.1</v>
      </c>
      <c r="AE20">
        <f>SUMIFS(Data!$E$2:$E$5761,Data!$A$2:$A$5761,$A20,Data!$B$2:$B$5761,AE$2)</f>
        <v>28720.9</v>
      </c>
      <c r="AF20">
        <f>SUMIFS(Data!$E$2:$E$5761,Data!$A$2:$A$5761,$A20,Data!$B$2:$B$5761,AF$2)</f>
        <v>28966.400000000001</v>
      </c>
      <c r="AG20">
        <f>SUMIFS(Data!$E$2:$E$5761,Data!$A$2:$A$5761,$A20,Data!$B$2:$B$5761,AG$2)</f>
        <v>29047.800000000003</v>
      </c>
      <c r="AH20">
        <f>SUMIFS(Data!$E$2:$E$5761,Data!$A$2:$A$5761,$A20,Data!$B$2:$B$5761,AH$2)</f>
        <v>29286.600000000002</v>
      </c>
      <c r="AI20">
        <f>SUMIFS(Data!$E$2:$E$5761,Data!$A$2:$A$5761,$A20,Data!$B$2:$B$5761,AI$2)</f>
        <v>29456.800000000003</v>
      </c>
      <c r="AJ20">
        <f>SUMIFS(Data!$E$2:$E$5761,Data!$A$2:$A$5761,$A20,Data!$B$2:$B$5761,AJ$2)</f>
        <v>29699.000000000004</v>
      </c>
      <c r="AK20">
        <f>SUMIFS(Data!$E$2:$E$5761,Data!$A$2:$A$5761,$A20,Data!$B$2:$B$5761,AK$2)</f>
        <v>29778.7</v>
      </c>
    </row>
    <row r="21" spans="1:37" x14ac:dyDescent="0.25">
      <c r="A21" t="s">
        <v>43</v>
      </c>
      <c r="B21">
        <f>SUMIFS(Data!$E$2:$E$5761,Data!$A$2:$A$5761,$A21,Data!$B$2:$B$5761,B$2)</f>
        <v>24305.1</v>
      </c>
      <c r="C21">
        <f>SUMIFS(Data!$E$2:$E$5761,Data!$A$2:$A$5761,$A21,Data!$B$2:$B$5761,C$2)</f>
        <v>24574.1</v>
      </c>
      <c r="D21">
        <f>SUMIFS(Data!$E$2:$E$5761,Data!$A$2:$A$5761,$A21,Data!$B$2:$B$5761,D$2)</f>
        <v>24640.1</v>
      </c>
      <c r="E21">
        <f>SUMIFS(Data!$E$2:$E$5761,Data!$A$2:$A$5761,$A21,Data!$B$2:$B$5761,E$2)</f>
        <v>25006.9</v>
      </c>
      <c r="F21">
        <f>SUMIFS(Data!$E$2:$E$5761,Data!$A$2:$A$5761,$A21,Data!$B$2:$B$5761,F$2)</f>
        <v>25120.1</v>
      </c>
      <c r="G21">
        <f>SUMIFS(Data!$E$2:$E$5761,Data!$A$2:$A$5761,$A21,Data!$B$2:$B$5761,G$2)</f>
        <v>25396.199999999997</v>
      </c>
      <c r="H21">
        <f>SUMIFS(Data!$E$2:$E$5761,Data!$A$2:$A$5761,$A21,Data!$B$2:$B$5761,H$2)</f>
        <v>25523.8</v>
      </c>
      <c r="I21">
        <f>SUMIFS(Data!$E$2:$E$5761,Data!$A$2:$A$5761,$A21,Data!$B$2:$B$5761,I$2)</f>
        <v>25747.3</v>
      </c>
      <c r="J21">
        <f>SUMIFS(Data!$E$2:$E$5761,Data!$A$2:$A$5761,$A21,Data!$B$2:$B$5761,J$2)</f>
        <v>26017.4</v>
      </c>
      <c r="K21">
        <f>SUMIFS(Data!$E$2:$E$5761,Data!$A$2:$A$5761,$A21,Data!$B$2:$B$5761,K$2)</f>
        <v>26022.199999999997</v>
      </c>
      <c r="L21">
        <f>SUMIFS(Data!$E$2:$E$5761,Data!$A$2:$A$5761,$A21,Data!$B$2:$B$5761,L$2)</f>
        <v>26412.3</v>
      </c>
      <c r="M21">
        <f>SUMIFS(Data!$E$2:$E$5761,Data!$A$2:$A$5761,$A21,Data!$B$2:$B$5761,M$2)</f>
        <v>26524.499999999996</v>
      </c>
      <c r="N21">
        <f>SUMIFS(Data!$E$2:$E$5761,Data!$A$2:$A$5761,$A21,Data!$B$2:$B$5761,N$2)</f>
        <v>26741.1</v>
      </c>
      <c r="O21">
        <f>SUMIFS(Data!$E$2:$E$5761,Data!$A$2:$A$5761,$A21,Data!$B$2:$B$5761,O$2)</f>
        <v>26900.799999999999</v>
      </c>
      <c r="P21">
        <f>SUMIFS(Data!$E$2:$E$5761,Data!$A$2:$A$5761,$A21,Data!$B$2:$B$5761,P$2)</f>
        <v>27038.2</v>
      </c>
      <c r="Q21">
        <f>SUMIFS(Data!$E$2:$E$5761,Data!$A$2:$A$5761,$A21,Data!$B$2:$B$5761,Q$2)</f>
        <v>27238.3</v>
      </c>
      <c r="R21">
        <f>SUMIFS(Data!$E$2:$E$5761,Data!$A$2:$A$5761,$A21,Data!$B$2:$B$5761,R$2)</f>
        <v>27512.699999999997</v>
      </c>
      <c r="S21">
        <f>SUMIFS(Data!$E$2:$E$5761,Data!$A$2:$A$5761,$A21,Data!$B$2:$B$5761,S$2)</f>
        <v>27612.3</v>
      </c>
      <c r="T21">
        <f>SUMIFS(Data!$E$2:$E$5761,Data!$A$2:$A$5761,$A21,Data!$B$2:$B$5761,T$2)</f>
        <v>27908</v>
      </c>
      <c r="U21">
        <f>SUMIFS(Data!$E$2:$E$5761,Data!$A$2:$A$5761,$A21,Data!$B$2:$B$5761,U$2)</f>
        <v>28031.3</v>
      </c>
      <c r="V21">
        <f>SUMIFS(Data!$E$2:$E$5761,Data!$A$2:$A$5761,$A21,Data!$B$2:$B$5761,V$2)</f>
        <v>28075</v>
      </c>
      <c r="W21">
        <f>SUMIFS(Data!$E$2:$E$5761,Data!$A$2:$A$5761,$A21,Data!$B$2:$B$5761,W$2)</f>
        <v>28430.600000000002</v>
      </c>
      <c r="X21">
        <f>SUMIFS(Data!$E$2:$E$5761,Data!$A$2:$A$5761,$A21,Data!$B$2:$B$5761,X$2)</f>
        <v>28620.6</v>
      </c>
      <c r="Y21">
        <f>SUMIFS(Data!$E$2:$E$5761,Data!$A$2:$A$5761,$A21,Data!$B$2:$B$5761,Y$2)</f>
        <v>28865.499999999996</v>
      </c>
      <c r="Z21">
        <f>SUMIFS(Data!$E$2:$E$5761,Data!$A$2:$A$5761,$A21,Data!$B$2:$B$5761,Z$2)</f>
        <v>28986.800000000003</v>
      </c>
      <c r="AA21">
        <f>SUMIFS(Data!$E$2:$E$5761,Data!$A$2:$A$5761,$A21,Data!$B$2:$B$5761,AA$2)</f>
        <v>29127.499999999996</v>
      </c>
      <c r="AB21">
        <f>SUMIFS(Data!$E$2:$E$5761,Data!$A$2:$A$5761,$A21,Data!$B$2:$B$5761,AB$2)</f>
        <v>29341.699999999997</v>
      </c>
      <c r="AC21">
        <f>SUMIFS(Data!$E$2:$E$5761,Data!$A$2:$A$5761,$A21,Data!$B$2:$B$5761,AC$2)</f>
        <v>29503.199999999997</v>
      </c>
      <c r="AD21">
        <f>SUMIFS(Data!$E$2:$E$5761,Data!$A$2:$A$5761,$A21,Data!$B$2:$B$5761,AD$2)</f>
        <v>29874.9</v>
      </c>
      <c r="AE21">
        <f>SUMIFS(Data!$E$2:$E$5761,Data!$A$2:$A$5761,$A21,Data!$B$2:$B$5761,AE$2)</f>
        <v>29979.5</v>
      </c>
      <c r="AF21">
        <f>SUMIFS(Data!$E$2:$E$5761,Data!$A$2:$A$5761,$A21,Data!$B$2:$B$5761,AF$2)</f>
        <v>30133.100000000002</v>
      </c>
      <c r="AG21">
        <f>SUMIFS(Data!$E$2:$E$5761,Data!$A$2:$A$5761,$A21,Data!$B$2:$B$5761,AG$2)</f>
        <v>30415.5</v>
      </c>
      <c r="AH21">
        <f>SUMIFS(Data!$E$2:$E$5761,Data!$A$2:$A$5761,$A21,Data!$B$2:$B$5761,AH$2)</f>
        <v>30530.7</v>
      </c>
      <c r="AI21">
        <f>SUMIFS(Data!$E$2:$E$5761,Data!$A$2:$A$5761,$A21,Data!$B$2:$B$5761,AI$2)</f>
        <v>30815.299999999996</v>
      </c>
      <c r="AJ21">
        <f>SUMIFS(Data!$E$2:$E$5761,Data!$A$2:$A$5761,$A21,Data!$B$2:$B$5761,AJ$2)</f>
        <v>31009.5</v>
      </c>
      <c r="AK21">
        <f>SUMIFS(Data!$E$2:$E$5761,Data!$A$2:$A$5761,$A21,Data!$B$2:$B$5761,AK$2)</f>
        <v>31096.1</v>
      </c>
    </row>
    <row r="22" spans="1:37" x14ac:dyDescent="0.25">
      <c r="A22" t="s">
        <v>44</v>
      </c>
      <c r="B22">
        <f>SUMIFS(Data!$E$2:$E$5761,Data!$A$2:$A$5761,$A22,Data!$B$2:$B$5761,B$2)</f>
        <v>25464.400000000001</v>
      </c>
      <c r="C22">
        <f>SUMIFS(Data!$E$2:$E$5761,Data!$A$2:$A$5761,$A22,Data!$B$2:$B$5761,C$2)</f>
        <v>25625.600000000002</v>
      </c>
      <c r="D22">
        <f>SUMIFS(Data!$E$2:$E$5761,Data!$A$2:$A$5761,$A22,Data!$B$2:$B$5761,D$2)</f>
        <v>25746.7</v>
      </c>
      <c r="E22">
        <f>SUMIFS(Data!$E$2:$E$5761,Data!$A$2:$A$5761,$A22,Data!$B$2:$B$5761,E$2)</f>
        <v>26005.200000000001</v>
      </c>
      <c r="F22">
        <f>SUMIFS(Data!$E$2:$E$5761,Data!$A$2:$A$5761,$A22,Data!$B$2:$B$5761,F$2)</f>
        <v>26185.1</v>
      </c>
      <c r="G22">
        <f>SUMIFS(Data!$E$2:$E$5761,Data!$A$2:$A$5761,$A22,Data!$B$2:$B$5761,G$2)</f>
        <v>26442.400000000001</v>
      </c>
      <c r="H22">
        <f>SUMIFS(Data!$E$2:$E$5761,Data!$A$2:$A$5761,$A22,Data!$B$2:$B$5761,H$2)</f>
        <v>26633.8</v>
      </c>
      <c r="I22">
        <f>SUMIFS(Data!$E$2:$E$5761,Data!$A$2:$A$5761,$A22,Data!$B$2:$B$5761,I$2)</f>
        <v>26809</v>
      </c>
      <c r="J22">
        <f>SUMIFS(Data!$E$2:$E$5761,Data!$A$2:$A$5761,$A22,Data!$B$2:$B$5761,J$2)</f>
        <v>26984.699999999997</v>
      </c>
      <c r="K22">
        <f>SUMIFS(Data!$E$2:$E$5761,Data!$A$2:$A$5761,$A22,Data!$B$2:$B$5761,K$2)</f>
        <v>27127.5</v>
      </c>
      <c r="L22">
        <f>SUMIFS(Data!$E$2:$E$5761,Data!$A$2:$A$5761,$A22,Data!$B$2:$B$5761,L$2)</f>
        <v>27396.799999999999</v>
      </c>
      <c r="M22">
        <f>SUMIFS(Data!$E$2:$E$5761,Data!$A$2:$A$5761,$A22,Data!$B$2:$B$5761,M$2)</f>
        <v>27564.999999999996</v>
      </c>
      <c r="N22">
        <f>SUMIFS(Data!$E$2:$E$5761,Data!$A$2:$A$5761,$A22,Data!$B$2:$B$5761,N$2)</f>
        <v>27692.400000000001</v>
      </c>
      <c r="O22">
        <f>SUMIFS(Data!$E$2:$E$5761,Data!$A$2:$A$5761,$A22,Data!$B$2:$B$5761,O$2)</f>
        <v>28094.800000000003</v>
      </c>
      <c r="P22">
        <f>SUMIFS(Data!$E$2:$E$5761,Data!$A$2:$A$5761,$A22,Data!$B$2:$B$5761,P$2)</f>
        <v>28187.399999999998</v>
      </c>
      <c r="Q22">
        <f>SUMIFS(Data!$E$2:$E$5761,Data!$A$2:$A$5761,$A22,Data!$B$2:$B$5761,Q$2)</f>
        <v>28326.300000000003</v>
      </c>
      <c r="R22">
        <f>SUMIFS(Data!$E$2:$E$5761,Data!$A$2:$A$5761,$A22,Data!$B$2:$B$5761,R$2)</f>
        <v>28604.6</v>
      </c>
      <c r="S22">
        <f>SUMIFS(Data!$E$2:$E$5761,Data!$A$2:$A$5761,$A22,Data!$B$2:$B$5761,S$2)</f>
        <v>28772.399999999998</v>
      </c>
      <c r="T22">
        <f>SUMIFS(Data!$E$2:$E$5761,Data!$A$2:$A$5761,$A22,Data!$B$2:$B$5761,T$2)</f>
        <v>29034.1</v>
      </c>
      <c r="U22">
        <f>SUMIFS(Data!$E$2:$E$5761,Data!$A$2:$A$5761,$A22,Data!$B$2:$B$5761,U$2)</f>
        <v>29203.399999999998</v>
      </c>
      <c r="V22">
        <f>SUMIFS(Data!$E$2:$E$5761,Data!$A$2:$A$5761,$A22,Data!$B$2:$B$5761,V$2)</f>
        <v>29334.699999999997</v>
      </c>
      <c r="W22">
        <f>SUMIFS(Data!$E$2:$E$5761,Data!$A$2:$A$5761,$A22,Data!$B$2:$B$5761,W$2)</f>
        <v>29659.399999999998</v>
      </c>
      <c r="X22">
        <f>SUMIFS(Data!$E$2:$E$5761,Data!$A$2:$A$5761,$A22,Data!$B$2:$B$5761,X$2)</f>
        <v>29783.699999999997</v>
      </c>
      <c r="Y22">
        <f>SUMIFS(Data!$E$2:$E$5761,Data!$A$2:$A$5761,$A22,Data!$B$2:$B$5761,Y$2)</f>
        <v>30041.199999999997</v>
      </c>
      <c r="Z22">
        <f>SUMIFS(Data!$E$2:$E$5761,Data!$A$2:$A$5761,$A22,Data!$B$2:$B$5761,Z$2)</f>
        <v>30193.599999999999</v>
      </c>
      <c r="AA22">
        <f>SUMIFS(Data!$E$2:$E$5761,Data!$A$2:$A$5761,$A22,Data!$B$2:$B$5761,AA$2)</f>
        <v>30462.1</v>
      </c>
      <c r="AB22">
        <f>SUMIFS(Data!$E$2:$E$5761,Data!$A$2:$A$5761,$A22,Data!$B$2:$B$5761,AB$2)</f>
        <v>30617.7</v>
      </c>
      <c r="AC22">
        <f>SUMIFS(Data!$E$2:$E$5761,Data!$A$2:$A$5761,$A22,Data!$B$2:$B$5761,AC$2)</f>
        <v>30904.5</v>
      </c>
      <c r="AD22">
        <f>SUMIFS(Data!$E$2:$E$5761,Data!$A$2:$A$5761,$A22,Data!$B$2:$B$5761,AD$2)</f>
        <v>30979.5</v>
      </c>
      <c r="AE22">
        <f>SUMIFS(Data!$E$2:$E$5761,Data!$A$2:$A$5761,$A22,Data!$B$2:$B$5761,AE$2)</f>
        <v>31314.5</v>
      </c>
      <c r="AF22">
        <f>SUMIFS(Data!$E$2:$E$5761,Data!$A$2:$A$5761,$A22,Data!$B$2:$B$5761,AF$2)</f>
        <v>31529.8</v>
      </c>
      <c r="AG22">
        <f>SUMIFS(Data!$E$2:$E$5761,Data!$A$2:$A$5761,$A22,Data!$B$2:$B$5761,AG$2)</f>
        <v>31621.5</v>
      </c>
      <c r="AH22">
        <f>SUMIFS(Data!$E$2:$E$5761,Data!$A$2:$A$5761,$A22,Data!$B$2:$B$5761,AH$2)</f>
        <v>31716.400000000001</v>
      </c>
      <c r="AI22">
        <f>SUMIFS(Data!$E$2:$E$5761,Data!$A$2:$A$5761,$A22,Data!$B$2:$B$5761,AI$2)</f>
        <v>32027.3</v>
      </c>
      <c r="AJ22">
        <f>SUMIFS(Data!$E$2:$E$5761,Data!$A$2:$A$5761,$A22,Data!$B$2:$B$5761,AJ$2)</f>
        <v>32230.1</v>
      </c>
      <c r="AK22">
        <f>SUMIFS(Data!$E$2:$E$5761,Data!$A$2:$A$5761,$A22,Data!$B$2:$B$5761,AK$2)</f>
        <v>32434</v>
      </c>
    </row>
    <row r="23" spans="1:37" x14ac:dyDescent="0.25">
      <c r="A23" t="s">
        <v>162</v>
      </c>
      <c r="B23">
        <f t="shared" ref="B23:AK23" si="0">SUM(B3:B22)</f>
        <v>313649.10000000003</v>
      </c>
      <c r="C23">
        <f t="shared" si="0"/>
        <v>316027.19999999995</v>
      </c>
      <c r="D23">
        <f t="shared" si="0"/>
        <v>318212.59999999998</v>
      </c>
      <c r="E23">
        <f t="shared" si="0"/>
        <v>321020.5</v>
      </c>
      <c r="F23">
        <f t="shared" si="0"/>
        <v>323839.09999999998</v>
      </c>
      <c r="G23">
        <f t="shared" si="0"/>
        <v>326227.20000000007</v>
      </c>
      <c r="H23">
        <f t="shared" si="0"/>
        <v>328451.69999999995</v>
      </c>
      <c r="I23">
        <f t="shared" si="0"/>
        <v>330859.39999999997</v>
      </c>
      <c r="J23">
        <f t="shared" si="0"/>
        <v>333869.20000000007</v>
      </c>
      <c r="K23">
        <f t="shared" si="0"/>
        <v>335727.5</v>
      </c>
      <c r="L23">
        <f t="shared" si="0"/>
        <v>338543.19999999995</v>
      </c>
      <c r="M23">
        <f t="shared" si="0"/>
        <v>340849.5</v>
      </c>
      <c r="N23">
        <f t="shared" si="0"/>
        <v>343560.2</v>
      </c>
      <c r="O23">
        <f t="shared" si="0"/>
        <v>345734.8</v>
      </c>
      <c r="P23">
        <f t="shared" si="0"/>
        <v>348188.50000000006</v>
      </c>
      <c r="Q23">
        <f t="shared" si="0"/>
        <v>350465.9</v>
      </c>
      <c r="R23">
        <f t="shared" si="0"/>
        <v>353343.5</v>
      </c>
      <c r="S23">
        <f t="shared" si="0"/>
        <v>355799.5</v>
      </c>
      <c r="T23">
        <f t="shared" si="0"/>
        <v>358146</v>
      </c>
      <c r="U23">
        <f t="shared" si="0"/>
        <v>360486.5</v>
      </c>
      <c r="V23">
        <f t="shared" si="0"/>
        <v>362644.60000000003</v>
      </c>
      <c r="W23">
        <f t="shared" si="0"/>
        <v>365894.3</v>
      </c>
      <c r="X23">
        <f t="shared" si="0"/>
        <v>368054.60000000003</v>
      </c>
      <c r="Y23">
        <f t="shared" si="0"/>
        <v>370720.8</v>
      </c>
      <c r="Z23">
        <f t="shared" si="0"/>
        <v>373032.39999999997</v>
      </c>
      <c r="AA23">
        <f t="shared" si="0"/>
        <v>375684.69999999995</v>
      </c>
      <c r="AB23">
        <f t="shared" si="0"/>
        <v>378262.60000000003</v>
      </c>
      <c r="AC23">
        <f t="shared" si="0"/>
        <v>380278.8</v>
      </c>
      <c r="AD23">
        <f t="shared" si="0"/>
        <v>383328.10000000003</v>
      </c>
      <c r="AE23">
        <f t="shared" si="0"/>
        <v>385668.4</v>
      </c>
      <c r="AF23">
        <f t="shared" si="0"/>
        <v>388472.89999999997</v>
      </c>
      <c r="AG23">
        <f t="shared" si="0"/>
        <v>390451.7</v>
      </c>
      <c r="AH23">
        <f t="shared" si="0"/>
        <v>392782</v>
      </c>
      <c r="AI23">
        <f t="shared" si="0"/>
        <v>395749.09999999992</v>
      </c>
      <c r="AJ23">
        <f t="shared" si="0"/>
        <v>398633.39999999997</v>
      </c>
      <c r="AK23">
        <f t="shared" si="0"/>
        <v>400259.1</v>
      </c>
    </row>
    <row r="24" spans="1:37" x14ac:dyDescent="0.25">
      <c r="A24" t="s">
        <v>5</v>
      </c>
    </row>
    <row r="25" spans="1:37" x14ac:dyDescent="0.25">
      <c r="A25" t="s">
        <v>174</v>
      </c>
      <c r="B25">
        <v>1</v>
      </c>
      <c r="C25">
        <v>2</v>
      </c>
      <c r="D25">
        <v>3</v>
      </c>
      <c r="E25">
        <v>4</v>
      </c>
      <c r="F25">
        <v>5</v>
      </c>
      <c r="G25">
        <v>6</v>
      </c>
      <c r="H25">
        <v>7</v>
      </c>
      <c r="I25">
        <v>8</v>
      </c>
      <c r="J25">
        <v>9</v>
      </c>
      <c r="K25">
        <v>10</v>
      </c>
      <c r="L25">
        <v>11</v>
      </c>
      <c r="M25">
        <v>12</v>
      </c>
      <c r="N25">
        <v>13</v>
      </c>
      <c r="O25">
        <v>14</v>
      </c>
      <c r="P25">
        <v>15</v>
      </c>
      <c r="Q25">
        <v>16</v>
      </c>
      <c r="R25">
        <v>17</v>
      </c>
      <c r="S25">
        <v>18</v>
      </c>
      <c r="T25">
        <v>19</v>
      </c>
      <c r="U25">
        <v>20</v>
      </c>
      <c r="V25">
        <v>21</v>
      </c>
      <c r="W25">
        <v>22</v>
      </c>
      <c r="X25">
        <v>23</v>
      </c>
      <c r="Y25">
        <v>24</v>
      </c>
      <c r="Z25">
        <v>25</v>
      </c>
      <c r="AA25">
        <v>26</v>
      </c>
      <c r="AB25">
        <v>27</v>
      </c>
      <c r="AC25">
        <v>28</v>
      </c>
      <c r="AD25">
        <v>29</v>
      </c>
      <c r="AE25">
        <v>30</v>
      </c>
      <c r="AF25">
        <v>31</v>
      </c>
      <c r="AG25">
        <v>32</v>
      </c>
      <c r="AH25">
        <v>33</v>
      </c>
      <c r="AI25">
        <v>34</v>
      </c>
      <c r="AJ25">
        <v>35</v>
      </c>
      <c r="AK25">
        <v>36</v>
      </c>
    </row>
    <row r="26" spans="1:37" x14ac:dyDescent="0.25">
      <c r="A26" t="s">
        <v>12</v>
      </c>
      <c r="B26">
        <f>SUMIFS(Data!$F$2:$F$5761,Data!$A$2:$A$5761,$A26,Data!$B$2:$B$5761,B$25)</f>
        <v>322.67999999999995</v>
      </c>
      <c r="C26">
        <f>SUMIFS(Data!$F$2:$F$5761,Data!$A$2:$A$5761,$A26,Data!$B$2:$B$5761,C$25)</f>
        <v>324.37</v>
      </c>
      <c r="D26">
        <f>SUMIFS(Data!$F$2:$F$5761,Data!$A$2:$A$5761,$A26,Data!$B$2:$B$5761,D$25)</f>
        <v>329.47</v>
      </c>
      <c r="E26">
        <f>SUMIFS(Data!$F$2:$F$5761,Data!$A$2:$A$5761,$A26,Data!$B$2:$B$5761,E$25)</f>
        <v>332.94</v>
      </c>
      <c r="F26">
        <f>SUMIFS(Data!$F$2:$F$5761,Data!$A$2:$A$5761,$A26,Data!$B$2:$B$5761,F$25)</f>
        <v>340.05</v>
      </c>
      <c r="G26">
        <f>SUMIFS(Data!$F$2:$F$5761,Data!$A$2:$A$5761,$A26,Data!$B$2:$B$5761,G$25)</f>
        <v>337.69000000000005</v>
      </c>
      <c r="H26">
        <f>SUMIFS(Data!$F$2:$F$5761,Data!$A$2:$A$5761,$A26,Data!$B$2:$B$5761,H$25)</f>
        <v>339.48000000000008</v>
      </c>
      <c r="I26">
        <f>SUMIFS(Data!$F$2:$F$5761,Data!$A$2:$A$5761,$A26,Data!$B$2:$B$5761,I$25)</f>
        <v>342.5</v>
      </c>
      <c r="J26">
        <f>SUMIFS(Data!$F$2:$F$5761,Data!$A$2:$A$5761,$A26,Data!$B$2:$B$5761,J$25)</f>
        <v>342.46</v>
      </c>
      <c r="K26">
        <f>SUMIFS(Data!$F$2:$F$5761,Data!$A$2:$A$5761,$A26,Data!$B$2:$B$5761,K$25)</f>
        <v>348.41</v>
      </c>
      <c r="L26">
        <f>SUMIFS(Data!$F$2:$F$5761,Data!$A$2:$A$5761,$A26,Data!$B$2:$B$5761,L$25)</f>
        <v>348.39000000000004</v>
      </c>
      <c r="M26">
        <f>SUMIFS(Data!$F$2:$F$5761,Data!$A$2:$A$5761,$A26,Data!$B$2:$B$5761,M$25)</f>
        <v>357.51</v>
      </c>
      <c r="N26">
        <f>SUMIFS(Data!$F$2:$F$5761,Data!$A$2:$A$5761,$A26,Data!$B$2:$B$5761,N$25)</f>
        <v>355.71999999999997</v>
      </c>
      <c r="O26">
        <f>SUMIFS(Data!$F$2:$F$5761,Data!$A$2:$A$5761,$A26,Data!$B$2:$B$5761,O$25)</f>
        <v>360.96</v>
      </c>
      <c r="P26">
        <f>SUMIFS(Data!$F$2:$F$5761,Data!$A$2:$A$5761,$A26,Data!$B$2:$B$5761,P$25)</f>
        <v>356.59</v>
      </c>
      <c r="Q26">
        <f>SUMIFS(Data!$F$2:$F$5761,Data!$A$2:$A$5761,$A26,Data!$B$2:$B$5761,Q$25)</f>
        <v>361.30999999999995</v>
      </c>
      <c r="R26">
        <f>SUMIFS(Data!$F$2:$F$5761,Data!$A$2:$A$5761,$A26,Data!$B$2:$B$5761,R$25)</f>
        <v>364.04</v>
      </c>
      <c r="S26">
        <f>SUMIFS(Data!$F$2:$F$5761,Data!$A$2:$A$5761,$A26,Data!$B$2:$B$5761,S$25)</f>
        <v>367.57000000000005</v>
      </c>
      <c r="T26">
        <f>SUMIFS(Data!$F$2:$F$5761,Data!$A$2:$A$5761,$A26,Data!$B$2:$B$5761,T$25)</f>
        <v>364.69</v>
      </c>
      <c r="U26">
        <f>SUMIFS(Data!$F$2:$F$5761,Data!$A$2:$A$5761,$A26,Data!$B$2:$B$5761,U$25)</f>
        <v>367.14</v>
      </c>
      <c r="V26">
        <f>SUMIFS(Data!$F$2:$F$5761,Data!$A$2:$A$5761,$A26,Data!$B$2:$B$5761,V$25)</f>
        <v>374.05999999999995</v>
      </c>
      <c r="W26">
        <f>SUMIFS(Data!$F$2:$F$5761,Data!$A$2:$A$5761,$A26,Data!$B$2:$B$5761,W$25)</f>
        <v>376.02</v>
      </c>
      <c r="X26">
        <f>SUMIFS(Data!$F$2:$F$5761,Data!$A$2:$A$5761,$A26,Data!$B$2:$B$5761,X$25)</f>
        <v>384.93000000000006</v>
      </c>
      <c r="Y26">
        <f>SUMIFS(Data!$F$2:$F$5761,Data!$A$2:$A$5761,$A26,Data!$B$2:$B$5761,Y$25)</f>
        <v>387.14000000000004</v>
      </c>
      <c r="Z26">
        <f>SUMIFS(Data!$F$2:$F$5761,Data!$A$2:$A$5761,$A26,Data!$B$2:$B$5761,Z$25)</f>
        <v>380.71999999999997</v>
      </c>
      <c r="AA26">
        <f>SUMIFS(Data!$F$2:$F$5761,Data!$A$2:$A$5761,$A26,Data!$B$2:$B$5761,AA$25)</f>
        <v>387.35</v>
      </c>
      <c r="AB26">
        <f>SUMIFS(Data!$F$2:$F$5761,Data!$A$2:$A$5761,$A26,Data!$B$2:$B$5761,AB$25)</f>
        <v>392.38</v>
      </c>
      <c r="AC26">
        <f>SUMIFS(Data!$F$2:$F$5761,Data!$A$2:$A$5761,$A26,Data!$B$2:$B$5761,AC$25)</f>
        <v>392.7</v>
      </c>
      <c r="AD26">
        <f>SUMIFS(Data!$F$2:$F$5761,Data!$A$2:$A$5761,$A26,Data!$B$2:$B$5761,AD$25)</f>
        <v>397.70000000000005</v>
      </c>
      <c r="AE26">
        <f>SUMIFS(Data!$F$2:$F$5761,Data!$A$2:$A$5761,$A26,Data!$B$2:$B$5761,AE$25)</f>
        <v>399.43</v>
      </c>
      <c r="AF26">
        <f>SUMIFS(Data!$F$2:$F$5761,Data!$A$2:$A$5761,$A26,Data!$B$2:$B$5761,AF$25)</f>
        <v>405.23</v>
      </c>
      <c r="AG26">
        <f>SUMIFS(Data!$F$2:$F$5761,Data!$A$2:$A$5761,$A26,Data!$B$2:$B$5761,AG$25)</f>
        <v>397.9</v>
      </c>
      <c r="AH26">
        <f>SUMIFS(Data!$F$2:$F$5761,Data!$A$2:$A$5761,$A26,Data!$B$2:$B$5761,AH$25)</f>
        <v>405.95</v>
      </c>
      <c r="AI26">
        <f>SUMIFS(Data!$F$2:$F$5761,Data!$A$2:$A$5761,$A26,Data!$B$2:$B$5761,AI$25)</f>
        <v>407.57000000000005</v>
      </c>
      <c r="AJ26">
        <f>SUMIFS(Data!$F$2:$F$5761,Data!$A$2:$A$5761,$A26,Data!$B$2:$B$5761,AJ$25)</f>
        <v>411.28000000000003</v>
      </c>
      <c r="AK26">
        <f>SUMIFS(Data!$F$2:$F$5761,Data!$A$2:$A$5761,$A26,Data!$B$2:$B$5761,AK$25)</f>
        <v>411.70000000000005</v>
      </c>
    </row>
    <row r="27" spans="1:37" x14ac:dyDescent="0.25">
      <c r="A27" t="s">
        <v>22</v>
      </c>
      <c r="B27">
        <f>SUMIFS(Data!$F$2:$F$5761,Data!$A$2:$A$5761,$A27,Data!$B$2:$B$5761,B$25)</f>
        <v>378.29</v>
      </c>
      <c r="C27">
        <f>SUMIFS(Data!$F$2:$F$5761,Data!$A$2:$A$5761,$A27,Data!$B$2:$B$5761,C$25)</f>
        <v>381.51</v>
      </c>
      <c r="D27">
        <f>SUMIFS(Data!$F$2:$F$5761,Data!$A$2:$A$5761,$A27,Data!$B$2:$B$5761,D$25)</f>
        <v>387.44</v>
      </c>
      <c r="E27">
        <f>SUMIFS(Data!$F$2:$F$5761,Data!$A$2:$A$5761,$A27,Data!$B$2:$B$5761,E$25)</f>
        <v>391.28999999999996</v>
      </c>
      <c r="F27">
        <f>SUMIFS(Data!$F$2:$F$5761,Data!$A$2:$A$5761,$A27,Data!$B$2:$B$5761,F$25)</f>
        <v>393.25</v>
      </c>
      <c r="G27">
        <f>SUMIFS(Data!$F$2:$F$5761,Data!$A$2:$A$5761,$A27,Data!$B$2:$B$5761,G$25)</f>
        <v>393.84</v>
      </c>
      <c r="H27">
        <f>SUMIFS(Data!$F$2:$F$5761,Data!$A$2:$A$5761,$A27,Data!$B$2:$B$5761,H$25)</f>
        <v>390.99</v>
      </c>
      <c r="I27">
        <f>SUMIFS(Data!$F$2:$F$5761,Data!$A$2:$A$5761,$A27,Data!$B$2:$B$5761,I$25)</f>
        <v>400.40000000000003</v>
      </c>
      <c r="J27">
        <f>SUMIFS(Data!$F$2:$F$5761,Data!$A$2:$A$5761,$A27,Data!$B$2:$B$5761,J$25)</f>
        <v>405.77</v>
      </c>
      <c r="K27">
        <f>SUMIFS(Data!$F$2:$F$5761,Data!$A$2:$A$5761,$A27,Data!$B$2:$B$5761,K$25)</f>
        <v>404.60000000000008</v>
      </c>
      <c r="L27">
        <f>SUMIFS(Data!$F$2:$F$5761,Data!$A$2:$A$5761,$A27,Data!$B$2:$B$5761,L$25)</f>
        <v>416.75</v>
      </c>
      <c r="M27">
        <f>SUMIFS(Data!$F$2:$F$5761,Data!$A$2:$A$5761,$A27,Data!$B$2:$B$5761,M$25)</f>
        <v>415.59999999999997</v>
      </c>
      <c r="N27">
        <f>SUMIFS(Data!$F$2:$F$5761,Data!$A$2:$A$5761,$A27,Data!$B$2:$B$5761,N$25)</f>
        <v>415.13</v>
      </c>
      <c r="O27">
        <f>SUMIFS(Data!$F$2:$F$5761,Data!$A$2:$A$5761,$A27,Data!$B$2:$B$5761,O$25)</f>
        <v>417.40000000000003</v>
      </c>
      <c r="P27">
        <f>SUMIFS(Data!$F$2:$F$5761,Data!$A$2:$A$5761,$A27,Data!$B$2:$B$5761,P$25)</f>
        <v>423.40000000000003</v>
      </c>
      <c r="Q27">
        <f>SUMIFS(Data!$F$2:$F$5761,Data!$A$2:$A$5761,$A27,Data!$B$2:$B$5761,Q$25)</f>
        <v>425.55</v>
      </c>
      <c r="R27">
        <f>SUMIFS(Data!$F$2:$F$5761,Data!$A$2:$A$5761,$A27,Data!$B$2:$B$5761,R$25)</f>
        <v>428.54999999999995</v>
      </c>
      <c r="S27">
        <f>SUMIFS(Data!$F$2:$F$5761,Data!$A$2:$A$5761,$A27,Data!$B$2:$B$5761,S$25)</f>
        <v>432.68999999999994</v>
      </c>
      <c r="T27">
        <f>SUMIFS(Data!$F$2:$F$5761,Data!$A$2:$A$5761,$A27,Data!$B$2:$B$5761,T$25)</f>
        <v>431.94999999999993</v>
      </c>
      <c r="U27">
        <f>SUMIFS(Data!$F$2:$F$5761,Data!$A$2:$A$5761,$A27,Data!$B$2:$B$5761,U$25)</f>
        <v>441.28</v>
      </c>
      <c r="V27">
        <f>SUMIFS(Data!$F$2:$F$5761,Data!$A$2:$A$5761,$A27,Data!$B$2:$B$5761,V$25)</f>
        <v>434.65000000000003</v>
      </c>
      <c r="W27">
        <f>SUMIFS(Data!$F$2:$F$5761,Data!$A$2:$A$5761,$A27,Data!$B$2:$B$5761,W$25)</f>
        <v>441.58000000000004</v>
      </c>
      <c r="X27">
        <f>SUMIFS(Data!$F$2:$F$5761,Data!$A$2:$A$5761,$A27,Data!$B$2:$B$5761,X$25)</f>
        <v>445.98</v>
      </c>
      <c r="Y27">
        <f>SUMIFS(Data!$F$2:$F$5761,Data!$A$2:$A$5761,$A27,Data!$B$2:$B$5761,Y$25)</f>
        <v>448.17999999999995</v>
      </c>
      <c r="Z27">
        <f>SUMIFS(Data!$F$2:$F$5761,Data!$A$2:$A$5761,$A27,Data!$B$2:$B$5761,Z$25)</f>
        <v>449.25</v>
      </c>
      <c r="AA27">
        <f>SUMIFS(Data!$F$2:$F$5761,Data!$A$2:$A$5761,$A27,Data!$B$2:$B$5761,AA$25)</f>
        <v>453.83000000000004</v>
      </c>
      <c r="AB27">
        <f>SUMIFS(Data!$F$2:$F$5761,Data!$A$2:$A$5761,$A27,Data!$B$2:$B$5761,AB$25)</f>
        <v>458.68999999999994</v>
      </c>
      <c r="AC27">
        <f>SUMIFS(Data!$F$2:$F$5761,Data!$A$2:$A$5761,$A27,Data!$B$2:$B$5761,AC$25)</f>
        <v>457.39</v>
      </c>
      <c r="AD27">
        <f>SUMIFS(Data!$F$2:$F$5761,Data!$A$2:$A$5761,$A27,Data!$B$2:$B$5761,AD$25)</f>
        <v>457.93</v>
      </c>
      <c r="AE27">
        <f>SUMIFS(Data!$F$2:$F$5761,Data!$A$2:$A$5761,$A27,Data!$B$2:$B$5761,AE$25)</f>
        <v>465.18</v>
      </c>
      <c r="AF27">
        <f>SUMIFS(Data!$F$2:$F$5761,Data!$A$2:$A$5761,$A27,Data!$B$2:$B$5761,AF$25)</f>
        <v>466.40000000000003</v>
      </c>
      <c r="AG27">
        <f>SUMIFS(Data!$F$2:$F$5761,Data!$A$2:$A$5761,$A27,Data!$B$2:$B$5761,AG$25)</f>
        <v>469.45</v>
      </c>
      <c r="AH27">
        <f>SUMIFS(Data!$F$2:$F$5761,Data!$A$2:$A$5761,$A27,Data!$B$2:$B$5761,AH$25)</f>
        <v>474.45</v>
      </c>
      <c r="AI27">
        <f>SUMIFS(Data!$F$2:$F$5761,Data!$A$2:$A$5761,$A27,Data!$B$2:$B$5761,AI$25)</f>
        <v>475.41999999999996</v>
      </c>
      <c r="AJ27">
        <f>SUMIFS(Data!$F$2:$F$5761,Data!$A$2:$A$5761,$A27,Data!$B$2:$B$5761,AJ$25)</f>
        <v>481.46</v>
      </c>
      <c r="AK27">
        <f>SUMIFS(Data!$F$2:$F$5761,Data!$A$2:$A$5761,$A27,Data!$B$2:$B$5761,AK$25)</f>
        <v>485.55999999999995</v>
      </c>
    </row>
    <row r="28" spans="1:37" x14ac:dyDescent="0.25">
      <c r="A28" t="s">
        <v>24</v>
      </c>
      <c r="B28">
        <f>SUMIFS(Data!$F$2:$F$5761,Data!$A$2:$A$5761,$A28,Data!$B$2:$B$5761,B$25)</f>
        <v>433.36</v>
      </c>
      <c r="C28">
        <f>SUMIFS(Data!$F$2:$F$5761,Data!$A$2:$A$5761,$A28,Data!$B$2:$B$5761,C$25)</f>
        <v>440.85999999999996</v>
      </c>
      <c r="D28">
        <f>SUMIFS(Data!$F$2:$F$5761,Data!$A$2:$A$5761,$A28,Data!$B$2:$B$5761,D$25)</f>
        <v>443.09000000000003</v>
      </c>
      <c r="E28">
        <f>SUMIFS(Data!$F$2:$F$5761,Data!$A$2:$A$5761,$A28,Data!$B$2:$B$5761,E$25)</f>
        <v>444.15</v>
      </c>
      <c r="F28">
        <f>SUMIFS(Data!$F$2:$F$5761,Data!$A$2:$A$5761,$A28,Data!$B$2:$B$5761,F$25)</f>
        <v>451.45</v>
      </c>
      <c r="G28">
        <f>SUMIFS(Data!$F$2:$F$5761,Data!$A$2:$A$5761,$A28,Data!$B$2:$B$5761,G$25)</f>
        <v>451.67000000000007</v>
      </c>
      <c r="H28">
        <f>SUMIFS(Data!$F$2:$F$5761,Data!$A$2:$A$5761,$A28,Data!$B$2:$B$5761,H$25)</f>
        <v>455.92000000000007</v>
      </c>
      <c r="I28">
        <f>SUMIFS(Data!$F$2:$F$5761,Data!$A$2:$A$5761,$A28,Data!$B$2:$B$5761,I$25)</f>
        <v>457.53</v>
      </c>
      <c r="J28">
        <f>SUMIFS(Data!$F$2:$F$5761,Data!$A$2:$A$5761,$A28,Data!$B$2:$B$5761,J$25)</f>
        <v>458.83999999999992</v>
      </c>
      <c r="K28">
        <f>SUMIFS(Data!$F$2:$F$5761,Data!$A$2:$A$5761,$A28,Data!$B$2:$B$5761,K$25)</f>
        <v>465</v>
      </c>
      <c r="L28">
        <f>SUMIFS(Data!$F$2:$F$5761,Data!$A$2:$A$5761,$A28,Data!$B$2:$B$5761,L$25)</f>
        <v>468.26</v>
      </c>
      <c r="M28">
        <f>SUMIFS(Data!$F$2:$F$5761,Data!$A$2:$A$5761,$A28,Data!$B$2:$B$5761,M$25)</f>
        <v>472.51</v>
      </c>
      <c r="N28">
        <f>SUMIFS(Data!$F$2:$F$5761,Data!$A$2:$A$5761,$A28,Data!$B$2:$B$5761,N$25)</f>
        <v>472.04</v>
      </c>
      <c r="O28">
        <f>SUMIFS(Data!$F$2:$F$5761,Data!$A$2:$A$5761,$A28,Data!$B$2:$B$5761,O$25)</f>
        <v>473.7</v>
      </c>
      <c r="P28">
        <f>SUMIFS(Data!$F$2:$F$5761,Data!$A$2:$A$5761,$A28,Data!$B$2:$B$5761,P$25)</f>
        <v>475.75</v>
      </c>
      <c r="Q28">
        <f>SUMIFS(Data!$F$2:$F$5761,Data!$A$2:$A$5761,$A28,Data!$B$2:$B$5761,Q$25)</f>
        <v>482.73</v>
      </c>
      <c r="R28">
        <f>SUMIFS(Data!$F$2:$F$5761,Data!$A$2:$A$5761,$A28,Data!$B$2:$B$5761,R$25)</f>
        <v>489.62</v>
      </c>
      <c r="S28">
        <f>SUMIFS(Data!$F$2:$F$5761,Data!$A$2:$A$5761,$A28,Data!$B$2:$B$5761,S$25)</f>
        <v>493.34000000000003</v>
      </c>
      <c r="T28">
        <f>SUMIFS(Data!$F$2:$F$5761,Data!$A$2:$A$5761,$A28,Data!$B$2:$B$5761,T$25)</f>
        <v>494.5</v>
      </c>
      <c r="U28">
        <f>SUMIFS(Data!$F$2:$F$5761,Data!$A$2:$A$5761,$A28,Data!$B$2:$B$5761,U$25)</f>
        <v>501.26</v>
      </c>
      <c r="V28">
        <f>SUMIFS(Data!$F$2:$F$5761,Data!$A$2:$A$5761,$A28,Data!$B$2:$B$5761,V$25)</f>
        <v>500.09000000000003</v>
      </c>
      <c r="W28">
        <f>SUMIFS(Data!$F$2:$F$5761,Data!$A$2:$A$5761,$A28,Data!$B$2:$B$5761,W$25)</f>
        <v>505.79999999999995</v>
      </c>
      <c r="X28">
        <f>SUMIFS(Data!$F$2:$F$5761,Data!$A$2:$A$5761,$A28,Data!$B$2:$B$5761,X$25)</f>
        <v>505.18999999999994</v>
      </c>
      <c r="Y28">
        <f>SUMIFS(Data!$F$2:$F$5761,Data!$A$2:$A$5761,$A28,Data!$B$2:$B$5761,Y$25)</f>
        <v>509.76</v>
      </c>
      <c r="Z28">
        <f>SUMIFS(Data!$F$2:$F$5761,Data!$A$2:$A$5761,$A28,Data!$B$2:$B$5761,Z$25)</f>
        <v>516.95000000000005</v>
      </c>
      <c r="AA28">
        <f>SUMIFS(Data!$F$2:$F$5761,Data!$A$2:$A$5761,$A28,Data!$B$2:$B$5761,AA$25)</f>
        <v>517.99</v>
      </c>
      <c r="AB28">
        <f>SUMIFS(Data!$F$2:$F$5761,Data!$A$2:$A$5761,$A28,Data!$B$2:$B$5761,AB$25)</f>
        <v>526.02</v>
      </c>
      <c r="AC28">
        <f>SUMIFS(Data!$F$2:$F$5761,Data!$A$2:$A$5761,$A28,Data!$B$2:$B$5761,AC$25)</f>
        <v>523.44000000000005</v>
      </c>
      <c r="AD28">
        <f>SUMIFS(Data!$F$2:$F$5761,Data!$A$2:$A$5761,$A28,Data!$B$2:$B$5761,AD$25)</f>
        <v>530.4</v>
      </c>
      <c r="AE28">
        <f>SUMIFS(Data!$F$2:$F$5761,Data!$A$2:$A$5761,$A28,Data!$B$2:$B$5761,AE$25)</f>
        <v>534.66</v>
      </c>
      <c r="AF28">
        <f>SUMIFS(Data!$F$2:$F$5761,Data!$A$2:$A$5761,$A28,Data!$B$2:$B$5761,AF$25)</f>
        <v>535</v>
      </c>
      <c r="AG28">
        <f>SUMIFS(Data!$F$2:$F$5761,Data!$A$2:$A$5761,$A28,Data!$B$2:$B$5761,AG$25)</f>
        <v>539.58999999999992</v>
      </c>
      <c r="AH28">
        <f>SUMIFS(Data!$F$2:$F$5761,Data!$A$2:$A$5761,$A28,Data!$B$2:$B$5761,AH$25)</f>
        <v>542.69000000000005</v>
      </c>
      <c r="AI28">
        <f>SUMIFS(Data!$F$2:$F$5761,Data!$A$2:$A$5761,$A28,Data!$B$2:$B$5761,AI$25)</f>
        <v>546.29</v>
      </c>
      <c r="AJ28">
        <f>SUMIFS(Data!$F$2:$F$5761,Data!$A$2:$A$5761,$A28,Data!$B$2:$B$5761,AJ$25)</f>
        <v>553.17999999999995</v>
      </c>
      <c r="AK28">
        <f>SUMIFS(Data!$F$2:$F$5761,Data!$A$2:$A$5761,$A28,Data!$B$2:$B$5761,AK$25)</f>
        <v>555.09</v>
      </c>
    </row>
    <row r="29" spans="1:37" x14ac:dyDescent="0.25">
      <c r="A29" t="s">
        <v>26</v>
      </c>
      <c r="B29">
        <f>SUMIFS(Data!$F$2:$F$5761,Data!$A$2:$A$5761,$A29,Data!$B$2:$B$5761,B$25)</f>
        <v>487.87</v>
      </c>
      <c r="C29">
        <f>SUMIFS(Data!$F$2:$F$5761,Data!$A$2:$A$5761,$A29,Data!$B$2:$B$5761,C$25)</f>
        <v>492.44</v>
      </c>
      <c r="D29">
        <f>SUMIFS(Data!$F$2:$F$5761,Data!$A$2:$A$5761,$A29,Data!$B$2:$B$5761,D$25)</f>
        <v>494.70000000000005</v>
      </c>
      <c r="E29">
        <f>SUMIFS(Data!$F$2:$F$5761,Data!$A$2:$A$5761,$A29,Data!$B$2:$B$5761,E$25)</f>
        <v>504.96000000000004</v>
      </c>
      <c r="F29">
        <f>SUMIFS(Data!$F$2:$F$5761,Data!$A$2:$A$5761,$A29,Data!$B$2:$B$5761,F$25)</f>
        <v>504.40999999999997</v>
      </c>
      <c r="G29">
        <f>SUMIFS(Data!$F$2:$F$5761,Data!$A$2:$A$5761,$A29,Data!$B$2:$B$5761,G$25)</f>
        <v>509.68</v>
      </c>
      <c r="H29">
        <f>SUMIFS(Data!$F$2:$F$5761,Data!$A$2:$A$5761,$A29,Data!$B$2:$B$5761,H$25)</f>
        <v>509.51</v>
      </c>
      <c r="I29">
        <f>SUMIFS(Data!$F$2:$F$5761,Data!$A$2:$A$5761,$A29,Data!$B$2:$B$5761,I$25)</f>
        <v>512.25</v>
      </c>
      <c r="J29">
        <f>SUMIFS(Data!$F$2:$F$5761,Data!$A$2:$A$5761,$A29,Data!$B$2:$B$5761,J$25)</f>
        <v>520.9</v>
      </c>
      <c r="K29">
        <f>SUMIFS(Data!$F$2:$F$5761,Data!$A$2:$A$5761,$A29,Data!$B$2:$B$5761,K$25)</f>
        <v>520.37000000000012</v>
      </c>
      <c r="L29">
        <f>SUMIFS(Data!$F$2:$F$5761,Data!$A$2:$A$5761,$A29,Data!$B$2:$B$5761,L$25)</f>
        <v>528.54999999999995</v>
      </c>
      <c r="M29">
        <f>SUMIFS(Data!$F$2:$F$5761,Data!$A$2:$A$5761,$A29,Data!$B$2:$B$5761,M$25)</f>
        <v>531.94999999999993</v>
      </c>
      <c r="N29">
        <f>SUMIFS(Data!$F$2:$F$5761,Data!$A$2:$A$5761,$A29,Data!$B$2:$B$5761,N$25)</f>
        <v>534.73</v>
      </c>
      <c r="O29">
        <f>SUMIFS(Data!$F$2:$F$5761,Data!$A$2:$A$5761,$A29,Data!$B$2:$B$5761,O$25)</f>
        <v>539.91999999999996</v>
      </c>
      <c r="P29">
        <f>SUMIFS(Data!$F$2:$F$5761,Data!$A$2:$A$5761,$A29,Data!$B$2:$B$5761,P$25)</f>
        <v>536.01</v>
      </c>
      <c r="Q29">
        <f>SUMIFS(Data!$F$2:$F$5761,Data!$A$2:$A$5761,$A29,Data!$B$2:$B$5761,Q$25)</f>
        <v>541.32999999999993</v>
      </c>
      <c r="R29">
        <f>SUMIFS(Data!$F$2:$F$5761,Data!$A$2:$A$5761,$A29,Data!$B$2:$B$5761,R$25)</f>
        <v>554.36</v>
      </c>
      <c r="S29">
        <f>SUMIFS(Data!$F$2:$F$5761,Data!$A$2:$A$5761,$A29,Data!$B$2:$B$5761,S$25)</f>
        <v>553.87</v>
      </c>
      <c r="T29">
        <f>SUMIFS(Data!$F$2:$F$5761,Data!$A$2:$A$5761,$A29,Data!$B$2:$B$5761,T$25)</f>
        <v>558.97</v>
      </c>
      <c r="U29">
        <f>SUMIFS(Data!$F$2:$F$5761,Data!$A$2:$A$5761,$A29,Data!$B$2:$B$5761,U$25)</f>
        <v>561.58000000000004</v>
      </c>
      <c r="V29">
        <f>SUMIFS(Data!$F$2:$F$5761,Data!$A$2:$A$5761,$A29,Data!$B$2:$B$5761,V$25)</f>
        <v>563.09999999999991</v>
      </c>
      <c r="W29">
        <f>SUMIFS(Data!$F$2:$F$5761,Data!$A$2:$A$5761,$A29,Data!$B$2:$B$5761,W$25)</f>
        <v>572.73</v>
      </c>
      <c r="X29">
        <f>SUMIFS(Data!$F$2:$F$5761,Data!$A$2:$A$5761,$A29,Data!$B$2:$B$5761,X$25)</f>
        <v>572.28</v>
      </c>
      <c r="Y29">
        <f>SUMIFS(Data!$F$2:$F$5761,Data!$A$2:$A$5761,$A29,Data!$B$2:$B$5761,Y$25)</f>
        <v>581.36</v>
      </c>
      <c r="Z29">
        <f>SUMIFS(Data!$F$2:$F$5761,Data!$A$2:$A$5761,$A29,Data!$B$2:$B$5761,Z$25)</f>
        <v>578.91999999999996</v>
      </c>
      <c r="AA29">
        <f>SUMIFS(Data!$F$2:$F$5761,Data!$A$2:$A$5761,$A29,Data!$B$2:$B$5761,AA$25)</f>
        <v>582.53</v>
      </c>
      <c r="AB29">
        <f>SUMIFS(Data!$F$2:$F$5761,Data!$A$2:$A$5761,$A29,Data!$B$2:$B$5761,AB$25)</f>
        <v>592.71</v>
      </c>
      <c r="AC29">
        <f>SUMIFS(Data!$F$2:$F$5761,Data!$A$2:$A$5761,$A29,Data!$B$2:$B$5761,AC$25)</f>
        <v>591.86999999999989</v>
      </c>
      <c r="AD29">
        <f>SUMIFS(Data!$F$2:$F$5761,Data!$A$2:$A$5761,$A29,Data!$B$2:$B$5761,AD$25)</f>
        <v>597.26</v>
      </c>
      <c r="AE29">
        <f>SUMIFS(Data!$F$2:$F$5761,Data!$A$2:$A$5761,$A29,Data!$B$2:$B$5761,AE$25)</f>
        <v>601.19000000000005</v>
      </c>
      <c r="AF29">
        <f>SUMIFS(Data!$F$2:$F$5761,Data!$A$2:$A$5761,$A29,Data!$B$2:$B$5761,AF$25)</f>
        <v>608.2299999999999</v>
      </c>
      <c r="AG29">
        <f>SUMIFS(Data!$F$2:$F$5761,Data!$A$2:$A$5761,$A29,Data!$B$2:$B$5761,AG$25)</f>
        <v>610.22</v>
      </c>
      <c r="AH29">
        <f>SUMIFS(Data!$F$2:$F$5761,Data!$A$2:$A$5761,$A29,Data!$B$2:$B$5761,AH$25)</f>
        <v>612.45999999999992</v>
      </c>
      <c r="AI29">
        <f>SUMIFS(Data!$F$2:$F$5761,Data!$A$2:$A$5761,$A29,Data!$B$2:$B$5761,AI$25)</f>
        <v>612.41</v>
      </c>
      <c r="AJ29">
        <f>SUMIFS(Data!$F$2:$F$5761,Data!$A$2:$A$5761,$A29,Data!$B$2:$B$5761,AJ$25)</f>
        <v>623.11</v>
      </c>
      <c r="AK29">
        <f>SUMIFS(Data!$F$2:$F$5761,Data!$A$2:$A$5761,$A29,Data!$B$2:$B$5761,AK$25)</f>
        <v>620.24</v>
      </c>
    </row>
    <row r="30" spans="1:37" x14ac:dyDescent="0.25">
      <c r="A30" t="s">
        <v>27</v>
      </c>
      <c r="B30">
        <f>SUMIFS(Data!$F$2:$F$5761,Data!$A$2:$A$5761,$A30,Data!$B$2:$B$5761,B$25)</f>
        <v>539.61</v>
      </c>
      <c r="C30">
        <f>SUMIFS(Data!$F$2:$F$5761,Data!$A$2:$A$5761,$A30,Data!$B$2:$B$5761,C$25)</f>
        <v>547.81999999999994</v>
      </c>
      <c r="D30">
        <f>SUMIFS(Data!$F$2:$F$5761,Data!$A$2:$A$5761,$A30,Data!$B$2:$B$5761,D$25)</f>
        <v>554.74</v>
      </c>
      <c r="E30">
        <f>SUMIFS(Data!$F$2:$F$5761,Data!$A$2:$A$5761,$A30,Data!$B$2:$B$5761,E$25)</f>
        <v>555.5100000000001</v>
      </c>
      <c r="F30">
        <f>SUMIFS(Data!$F$2:$F$5761,Data!$A$2:$A$5761,$A30,Data!$B$2:$B$5761,F$25)</f>
        <v>556.3599999999999</v>
      </c>
      <c r="G30">
        <f>SUMIFS(Data!$F$2:$F$5761,Data!$A$2:$A$5761,$A30,Data!$B$2:$B$5761,G$25)</f>
        <v>562.34</v>
      </c>
      <c r="H30">
        <f>SUMIFS(Data!$F$2:$F$5761,Data!$A$2:$A$5761,$A30,Data!$B$2:$B$5761,H$25)</f>
        <v>570.01</v>
      </c>
      <c r="I30">
        <f>SUMIFS(Data!$F$2:$F$5761,Data!$A$2:$A$5761,$A30,Data!$B$2:$B$5761,I$25)</f>
        <v>573.28</v>
      </c>
      <c r="J30">
        <f>SUMIFS(Data!$F$2:$F$5761,Data!$A$2:$A$5761,$A30,Data!$B$2:$B$5761,J$25)</f>
        <v>580.62</v>
      </c>
      <c r="K30">
        <f>SUMIFS(Data!$F$2:$F$5761,Data!$A$2:$A$5761,$A30,Data!$B$2:$B$5761,K$25)</f>
        <v>581.61</v>
      </c>
      <c r="L30">
        <f>SUMIFS(Data!$F$2:$F$5761,Data!$A$2:$A$5761,$A30,Data!$B$2:$B$5761,L$25)</f>
        <v>586.92999999999995</v>
      </c>
      <c r="M30">
        <f>SUMIFS(Data!$F$2:$F$5761,Data!$A$2:$A$5761,$A30,Data!$B$2:$B$5761,M$25)</f>
        <v>593.46</v>
      </c>
      <c r="N30">
        <f>SUMIFS(Data!$F$2:$F$5761,Data!$A$2:$A$5761,$A30,Data!$B$2:$B$5761,N$25)</f>
        <v>594.20000000000005</v>
      </c>
      <c r="O30">
        <f>SUMIFS(Data!$F$2:$F$5761,Data!$A$2:$A$5761,$A30,Data!$B$2:$B$5761,O$25)</f>
        <v>599.16</v>
      </c>
      <c r="P30">
        <f>SUMIFS(Data!$F$2:$F$5761,Data!$A$2:$A$5761,$A30,Data!$B$2:$B$5761,P$25)</f>
        <v>603.25</v>
      </c>
      <c r="Q30">
        <f>SUMIFS(Data!$F$2:$F$5761,Data!$A$2:$A$5761,$A30,Data!$B$2:$B$5761,Q$25)</f>
        <v>611.15</v>
      </c>
      <c r="R30">
        <f>SUMIFS(Data!$F$2:$F$5761,Data!$A$2:$A$5761,$A30,Data!$B$2:$B$5761,R$25)</f>
        <v>616.11</v>
      </c>
      <c r="S30">
        <f>SUMIFS(Data!$F$2:$F$5761,Data!$A$2:$A$5761,$A30,Data!$B$2:$B$5761,S$25)</f>
        <v>615.66999999999996</v>
      </c>
      <c r="T30">
        <f>SUMIFS(Data!$F$2:$F$5761,Data!$A$2:$A$5761,$A30,Data!$B$2:$B$5761,T$25)</f>
        <v>621.63</v>
      </c>
      <c r="U30">
        <f>SUMIFS(Data!$F$2:$F$5761,Data!$A$2:$A$5761,$A30,Data!$B$2:$B$5761,U$25)</f>
        <v>622.81999999999994</v>
      </c>
      <c r="V30">
        <f>SUMIFS(Data!$F$2:$F$5761,Data!$A$2:$A$5761,$A30,Data!$B$2:$B$5761,V$25)</f>
        <v>629.92000000000007</v>
      </c>
      <c r="W30">
        <f>SUMIFS(Data!$F$2:$F$5761,Data!$A$2:$A$5761,$A30,Data!$B$2:$B$5761,W$25)</f>
        <v>634.42000000000007</v>
      </c>
      <c r="X30">
        <f>SUMIFS(Data!$F$2:$F$5761,Data!$A$2:$A$5761,$A30,Data!$B$2:$B$5761,X$25)</f>
        <v>641.05999999999995</v>
      </c>
      <c r="Y30">
        <f>SUMIFS(Data!$F$2:$F$5761,Data!$A$2:$A$5761,$A30,Data!$B$2:$B$5761,Y$25)</f>
        <v>641.64</v>
      </c>
      <c r="Z30">
        <f>SUMIFS(Data!$F$2:$F$5761,Data!$A$2:$A$5761,$A30,Data!$B$2:$B$5761,Z$25)</f>
        <v>643.43000000000006</v>
      </c>
      <c r="AA30">
        <f>SUMIFS(Data!$F$2:$F$5761,Data!$A$2:$A$5761,$A30,Data!$B$2:$B$5761,AA$25)</f>
        <v>650.31000000000006</v>
      </c>
      <c r="AB30">
        <f>SUMIFS(Data!$F$2:$F$5761,Data!$A$2:$A$5761,$A30,Data!$B$2:$B$5761,AB$25)</f>
        <v>659.21</v>
      </c>
      <c r="AC30">
        <f>SUMIFS(Data!$F$2:$F$5761,Data!$A$2:$A$5761,$A30,Data!$B$2:$B$5761,AC$25)</f>
        <v>659.76</v>
      </c>
      <c r="AD30">
        <f>SUMIFS(Data!$F$2:$F$5761,Data!$A$2:$A$5761,$A30,Data!$B$2:$B$5761,AD$25)</f>
        <v>661.90000000000009</v>
      </c>
      <c r="AE30">
        <f>SUMIFS(Data!$F$2:$F$5761,Data!$A$2:$A$5761,$A30,Data!$B$2:$B$5761,AE$25)</f>
        <v>666.75</v>
      </c>
      <c r="AF30">
        <f>SUMIFS(Data!$F$2:$F$5761,Data!$A$2:$A$5761,$A30,Data!$B$2:$B$5761,AF$25)</f>
        <v>674.02</v>
      </c>
      <c r="AG30">
        <f>SUMIFS(Data!$F$2:$F$5761,Data!$A$2:$A$5761,$A30,Data!$B$2:$B$5761,AG$25)</f>
        <v>674.82</v>
      </c>
      <c r="AH30">
        <f>SUMIFS(Data!$F$2:$F$5761,Data!$A$2:$A$5761,$A30,Data!$B$2:$B$5761,AH$25)</f>
        <v>678.78</v>
      </c>
      <c r="AI30">
        <f>SUMIFS(Data!$F$2:$F$5761,Data!$A$2:$A$5761,$A30,Data!$B$2:$B$5761,AI$25)</f>
        <v>685.64999999999986</v>
      </c>
      <c r="AJ30">
        <f>SUMIFS(Data!$F$2:$F$5761,Data!$A$2:$A$5761,$A30,Data!$B$2:$B$5761,AJ$25)</f>
        <v>691.90000000000009</v>
      </c>
      <c r="AK30">
        <f>SUMIFS(Data!$F$2:$F$5761,Data!$A$2:$A$5761,$A30,Data!$B$2:$B$5761,AK$25)</f>
        <v>691.67000000000007</v>
      </c>
    </row>
    <row r="31" spans="1:37" x14ac:dyDescent="0.25">
      <c r="A31" t="s">
        <v>28</v>
      </c>
      <c r="B31">
        <f>SUMIFS(Data!$F$2:$F$5761,Data!$A$2:$A$5761,$A31,Data!$B$2:$B$5761,B$25)</f>
        <v>601.21</v>
      </c>
      <c r="C31">
        <f>SUMIFS(Data!$F$2:$F$5761,Data!$A$2:$A$5761,$A31,Data!$B$2:$B$5761,C$25)</f>
        <v>601.46</v>
      </c>
      <c r="D31">
        <f>SUMIFS(Data!$F$2:$F$5761,Data!$A$2:$A$5761,$A31,Data!$B$2:$B$5761,D$25)</f>
        <v>605.82000000000005</v>
      </c>
      <c r="E31">
        <f>SUMIFS(Data!$F$2:$F$5761,Data!$A$2:$A$5761,$A31,Data!$B$2:$B$5761,E$25)</f>
        <v>613.22</v>
      </c>
      <c r="F31">
        <f>SUMIFS(Data!$F$2:$F$5761,Data!$A$2:$A$5761,$A31,Data!$B$2:$B$5761,F$25)</f>
        <v>617.89</v>
      </c>
      <c r="G31">
        <f>SUMIFS(Data!$F$2:$F$5761,Data!$A$2:$A$5761,$A31,Data!$B$2:$B$5761,G$25)</f>
        <v>619.16</v>
      </c>
      <c r="H31">
        <f>SUMIFS(Data!$F$2:$F$5761,Data!$A$2:$A$5761,$A31,Data!$B$2:$B$5761,H$25)</f>
        <v>627.16999999999996</v>
      </c>
      <c r="I31">
        <f>SUMIFS(Data!$F$2:$F$5761,Data!$A$2:$A$5761,$A31,Data!$B$2:$B$5761,I$25)</f>
        <v>629.37</v>
      </c>
      <c r="J31">
        <f>SUMIFS(Data!$F$2:$F$5761,Data!$A$2:$A$5761,$A31,Data!$B$2:$B$5761,J$25)</f>
        <v>637.57000000000005</v>
      </c>
      <c r="K31">
        <f>SUMIFS(Data!$F$2:$F$5761,Data!$A$2:$A$5761,$A31,Data!$B$2:$B$5761,K$25)</f>
        <v>632.33999999999992</v>
      </c>
      <c r="L31">
        <f>SUMIFS(Data!$F$2:$F$5761,Data!$A$2:$A$5761,$A31,Data!$B$2:$B$5761,L$25)</f>
        <v>645.63</v>
      </c>
      <c r="M31">
        <f>SUMIFS(Data!$F$2:$F$5761,Data!$A$2:$A$5761,$A31,Data!$B$2:$B$5761,M$25)</f>
        <v>654.99</v>
      </c>
      <c r="N31">
        <f>SUMIFS(Data!$F$2:$F$5761,Data!$A$2:$A$5761,$A31,Data!$B$2:$B$5761,N$25)</f>
        <v>653.86</v>
      </c>
      <c r="O31">
        <f>SUMIFS(Data!$F$2:$F$5761,Data!$A$2:$A$5761,$A31,Data!$B$2:$B$5761,O$25)</f>
        <v>657.74</v>
      </c>
      <c r="P31">
        <f>SUMIFS(Data!$F$2:$F$5761,Data!$A$2:$A$5761,$A31,Data!$B$2:$B$5761,P$25)</f>
        <v>670</v>
      </c>
      <c r="Q31">
        <f>SUMIFS(Data!$F$2:$F$5761,Data!$A$2:$A$5761,$A31,Data!$B$2:$B$5761,Q$25)</f>
        <v>674.15</v>
      </c>
      <c r="R31">
        <f>SUMIFS(Data!$F$2:$F$5761,Data!$A$2:$A$5761,$A31,Data!$B$2:$B$5761,R$25)</f>
        <v>674.2299999999999</v>
      </c>
      <c r="S31">
        <f>SUMIFS(Data!$F$2:$F$5761,Data!$A$2:$A$5761,$A31,Data!$B$2:$B$5761,S$25)</f>
        <v>678.64</v>
      </c>
      <c r="T31">
        <f>SUMIFS(Data!$F$2:$F$5761,Data!$A$2:$A$5761,$A31,Data!$B$2:$B$5761,T$25)</f>
        <v>677.43000000000006</v>
      </c>
      <c r="U31">
        <f>SUMIFS(Data!$F$2:$F$5761,Data!$A$2:$A$5761,$A31,Data!$B$2:$B$5761,U$25)</f>
        <v>687.13999999999987</v>
      </c>
      <c r="V31">
        <f>SUMIFS(Data!$F$2:$F$5761,Data!$A$2:$A$5761,$A31,Data!$B$2:$B$5761,V$25)</f>
        <v>693.35</v>
      </c>
      <c r="W31">
        <f>SUMIFS(Data!$F$2:$F$5761,Data!$A$2:$A$5761,$A31,Data!$B$2:$B$5761,W$25)</f>
        <v>701.53</v>
      </c>
      <c r="X31">
        <f>SUMIFS(Data!$F$2:$F$5761,Data!$A$2:$A$5761,$A31,Data!$B$2:$B$5761,X$25)</f>
        <v>704.87999999999988</v>
      </c>
      <c r="Y31">
        <f>SUMIFS(Data!$F$2:$F$5761,Data!$A$2:$A$5761,$A31,Data!$B$2:$B$5761,Y$25)</f>
        <v>706.96999999999991</v>
      </c>
      <c r="Z31">
        <f>SUMIFS(Data!$F$2:$F$5761,Data!$A$2:$A$5761,$A31,Data!$B$2:$B$5761,Z$25)</f>
        <v>712.74</v>
      </c>
      <c r="AA31">
        <f>SUMIFS(Data!$F$2:$F$5761,Data!$A$2:$A$5761,$A31,Data!$B$2:$B$5761,AA$25)</f>
        <v>716.16000000000008</v>
      </c>
      <c r="AB31">
        <f>SUMIFS(Data!$F$2:$F$5761,Data!$A$2:$A$5761,$A31,Data!$B$2:$B$5761,AB$25)</f>
        <v>719.36999999999989</v>
      </c>
      <c r="AC31">
        <f>SUMIFS(Data!$F$2:$F$5761,Data!$A$2:$A$5761,$A31,Data!$B$2:$B$5761,AC$25)</f>
        <v>723.01</v>
      </c>
      <c r="AD31">
        <f>SUMIFS(Data!$F$2:$F$5761,Data!$A$2:$A$5761,$A31,Data!$B$2:$B$5761,AD$25)</f>
        <v>735.44</v>
      </c>
      <c r="AE31">
        <f>SUMIFS(Data!$F$2:$F$5761,Data!$A$2:$A$5761,$A31,Data!$B$2:$B$5761,AE$25)</f>
        <v>733.9</v>
      </c>
      <c r="AF31">
        <f>SUMIFS(Data!$F$2:$F$5761,Data!$A$2:$A$5761,$A31,Data!$B$2:$B$5761,AF$25)</f>
        <v>738.30000000000007</v>
      </c>
      <c r="AG31">
        <f>SUMIFS(Data!$F$2:$F$5761,Data!$A$2:$A$5761,$A31,Data!$B$2:$B$5761,AG$25)</f>
        <v>746.81</v>
      </c>
      <c r="AH31">
        <f>SUMIFS(Data!$F$2:$F$5761,Data!$A$2:$A$5761,$A31,Data!$B$2:$B$5761,AH$25)</f>
        <v>750.18000000000006</v>
      </c>
      <c r="AI31">
        <f>SUMIFS(Data!$F$2:$F$5761,Data!$A$2:$A$5761,$A31,Data!$B$2:$B$5761,AI$25)</f>
        <v>754.92000000000007</v>
      </c>
      <c r="AJ31">
        <f>SUMIFS(Data!$F$2:$F$5761,Data!$A$2:$A$5761,$A31,Data!$B$2:$B$5761,AJ$25)</f>
        <v>760.99</v>
      </c>
      <c r="AK31">
        <f>SUMIFS(Data!$F$2:$F$5761,Data!$A$2:$A$5761,$A31,Data!$B$2:$B$5761,AK$25)</f>
        <v>763.3599999999999</v>
      </c>
    </row>
    <row r="32" spans="1:37" x14ac:dyDescent="0.25">
      <c r="A32" t="s">
        <v>29</v>
      </c>
      <c r="B32">
        <f>SUMIFS(Data!$F$2:$F$5761,Data!$A$2:$A$5761,$A32,Data!$B$2:$B$5761,B$25)</f>
        <v>650.96</v>
      </c>
      <c r="C32">
        <f>SUMIFS(Data!$F$2:$F$5761,Data!$A$2:$A$5761,$A32,Data!$B$2:$B$5761,C$25)</f>
        <v>660.45</v>
      </c>
      <c r="D32">
        <f>SUMIFS(Data!$F$2:$F$5761,Data!$A$2:$A$5761,$A32,Data!$B$2:$B$5761,D$25)</f>
        <v>665.26</v>
      </c>
      <c r="E32">
        <f>SUMIFS(Data!$F$2:$F$5761,Data!$A$2:$A$5761,$A32,Data!$B$2:$B$5761,E$25)</f>
        <v>673.75</v>
      </c>
      <c r="F32">
        <f>SUMIFS(Data!$F$2:$F$5761,Data!$A$2:$A$5761,$A32,Data!$B$2:$B$5761,F$25)</f>
        <v>672.54</v>
      </c>
      <c r="G32">
        <f>SUMIFS(Data!$F$2:$F$5761,Data!$A$2:$A$5761,$A32,Data!$B$2:$B$5761,G$25)</f>
        <v>682.81</v>
      </c>
      <c r="H32">
        <f>SUMIFS(Data!$F$2:$F$5761,Data!$A$2:$A$5761,$A32,Data!$B$2:$B$5761,H$25)</f>
        <v>687.66</v>
      </c>
      <c r="I32">
        <f>SUMIFS(Data!$F$2:$F$5761,Data!$A$2:$A$5761,$A32,Data!$B$2:$B$5761,I$25)</f>
        <v>690.55000000000007</v>
      </c>
      <c r="J32">
        <f>SUMIFS(Data!$F$2:$F$5761,Data!$A$2:$A$5761,$A32,Data!$B$2:$B$5761,J$25)</f>
        <v>694.18999999999994</v>
      </c>
      <c r="K32">
        <f>SUMIFS(Data!$F$2:$F$5761,Data!$A$2:$A$5761,$A32,Data!$B$2:$B$5761,K$25)</f>
        <v>700.39</v>
      </c>
      <c r="L32">
        <f>SUMIFS(Data!$F$2:$F$5761,Data!$A$2:$A$5761,$A32,Data!$B$2:$B$5761,L$25)</f>
        <v>700.9</v>
      </c>
      <c r="M32">
        <f>SUMIFS(Data!$F$2:$F$5761,Data!$A$2:$A$5761,$A32,Data!$B$2:$B$5761,M$25)</f>
        <v>708.18000000000006</v>
      </c>
      <c r="N32">
        <f>SUMIFS(Data!$F$2:$F$5761,Data!$A$2:$A$5761,$A32,Data!$B$2:$B$5761,N$25)</f>
        <v>718.87</v>
      </c>
      <c r="O32">
        <f>SUMIFS(Data!$F$2:$F$5761,Data!$A$2:$A$5761,$A32,Data!$B$2:$B$5761,O$25)</f>
        <v>714.51</v>
      </c>
      <c r="P32">
        <f>SUMIFS(Data!$F$2:$F$5761,Data!$A$2:$A$5761,$A32,Data!$B$2:$B$5761,P$25)</f>
        <v>722.8599999999999</v>
      </c>
      <c r="Q32">
        <f>SUMIFS(Data!$F$2:$F$5761,Data!$A$2:$A$5761,$A32,Data!$B$2:$B$5761,Q$25)</f>
        <v>730.2299999999999</v>
      </c>
      <c r="R32">
        <f>SUMIFS(Data!$F$2:$F$5761,Data!$A$2:$A$5761,$A32,Data!$B$2:$B$5761,R$25)</f>
        <v>735.71</v>
      </c>
      <c r="S32">
        <f>SUMIFS(Data!$F$2:$F$5761,Data!$A$2:$A$5761,$A32,Data!$B$2:$B$5761,S$25)</f>
        <v>741.21</v>
      </c>
      <c r="T32">
        <f>SUMIFS(Data!$F$2:$F$5761,Data!$A$2:$A$5761,$A32,Data!$B$2:$B$5761,T$25)</f>
        <v>745.79</v>
      </c>
      <c r="U32">
        <f>SUMIFS(Data!$F$2:$F$5761,Data!$A$2:$A$5761,$A32,Data!$B$2:$B$5761,U$25)</f>
        <v>749.1400000000001</v>
      </c>
      <c r="V32">
        <f>SUMIFS(Data!$F$2:$F$5761,Data!$A$2:$A$5761,$A32,Data!$B$2:$B$5761,V$25)</f>
        <v>761.77</v>
      </c>
      <c r="W32">
        <f>SUMIFS(Data!$F$2:$F$5761,Data!$A$2:$A$5761,$A32,Data!$B$2:$B$5761,W$25)</f>
        <v>755.03</v>
      </c>
      <c r="X32">
        <f>SUMIFS(Data!$F$2:$F$5761,Data!$A$2:$A$5761,$A32,Data!$B$2:$B$5761,X$25)</f>
        <v>764.98</v>
      </c>
      <c r="Y32">
        <f>SUMIFS(Data!$F$2:$F$5761,Data!$A$2:$A$5761,$A32,Data!$B$2:$B$5761,Y$25)</f>
        <v>770.15</v>
      </c>
      <c r="Z32">
        <f>SUMIFS(Data!$F$2:$F$5761,Data!$A$2:$A$5761,$A32,Data!$B$2:$B$5761,Z$25)</f>
        <v>780.99</v>
      </c>
      <c r="AA32">
        <f>SUMIFS(Data!$F$2:$F$5761,Data!$A$2:$A$5761,$A32,Data!$B$2:$B$5761,AA$25)</f>
        <v>782.31999999999994</v>
      </c>
      <c r="AB32">
        <f>SUMIFS(Data!$F$2:$F$5761,Data!$A$2:$A$5761,$A32,Data!$B$2:$B$5761,AB$25)</f>
        <v>785.94</v>
      </c>
      <c r="AC32">
        <f>SUMIFS(Data!$F$2:$F$5761,Data!$A$2:$A$5761,$A32,Data!$B$2:$B$5761,AC$25)</f>
        <v>792.35000000000014</v>
      </c>
      <c r="AD32">
        <f>SUMIFS(Data!$F$2:$F$5761,Data!$A$2:$A$5761,$A32,Data!$B$2:$B$5761,AD$25)</f>
        <v>796.85</v>
      </c>
      <c r="AE32">
        <f>SUMIFS(Data!$F$2:$F$5761,Data!$A$2:$A$5761,$A32,Data!$B$2:$B$5761,AE$25)</f>
        <v>802.63</v>
      </c>
      <c r="AF32">
        <f>SUMIFS(Data!$F$2:$F$5761,Data!$A$2:$A$5761,$A32,Data!$B$2:$B$5761,AF$25)</f>
        <v>807.89999999999986</v>
      </c>
      <c r="AG32">
        <f>SUMIFS(Data!$F$2:$F$5761,Data!$A$2:$A$5761,$A32,Data!$B$2:$B$5761,AG$25)</f>
        <v>813.11</v>
      </c>
      <c r="AH32">
        <f>SUMIFS(Data!$F$2:$F$5761,Data!$A$2:$A$5761,$A32,Data!$B$2:$B$5761,AH$25)</f>
        <v>817.75999999999988</v>
      </c>
      <c r="AI32">
        <f>SUMIFS(Data!$F$2:$F$5761,Data!$A$2:$A$5761,$A32,Data!$B$2:$B$5761,AI$25)</f>
        <v>826.7700000000001</v>
      </c>
      <c r="AJ32">
        <f>SUMIFS(Data!$F$2:$F$5761,Data!$A$2:$A$5761,$A32,Data!$B$2:$B$5761,AJ$25)</f>
        <v>830.42000000000007</v>
      </c>
      <c r="AK32">
        <f>SUMIFS(Data!$F$2:$F$5761,Data!$A$2:$A$5761,$A32,Data!$B$2:$B$5761,AK$25)</f>
        <v>831.79000000000008</v>
      </c>
    </row>
    <row r="33" spans="1:37" x14ac:dyDescent="0.25">
      <c r="A33" t="s">
        <v>30</v>
      </c>
      <c r="B33">
        <f>SUMIFS(Data!$F$2:$F$5761,Data!$A$2:$A$5761,$A33,Data!$B$2:$B$5761,B$25)</f>
        <v>713.56999999999994</v>
      </c>
      <c r="C33">
        <f>SUMIFS(Data!$F$2:$F$5761,Data!$A$2:$A$5761,$A33,Data!$B$2:$B$5761,C$25)</f>
        <v>713.38</v>
      </c>
      <c r="D33">
        <f>SUMIFS(Data!$F$2:$F$5761,Data!$A$2:$A$5761,$A33,Data!$B$2:$B$5761,D$25)</f>
        <v>721.66000000000008</v>
      </c>
      <c r="E33">
        <f>SUMIFS(Data!$F$2:$F$5761,Data!$A$2:$A$5761,$A33,Data!$B$2:$B$5761,E$25)</f>
        <v>723.66000000000008</v>
      </c>
      <c r="F33">
        <f>SUMIFS(Data!$F$2:$F$5761,Data!$A$2:$A$5761,$A33,Data!$B$2:$B$5761,F$25)</f>
        <v>740.29</v>
      </c>
      <c r="G33">
        <f>SUMIFS(Data!$F$2:$F$5761,Data!$A$2:$A$5761,$A33,Data!$B$2:$B$5761,G$25)</f>
        <v>737.64</v>
      </c>
      <c r="H33">
        <f>SUMIFS(Data!$F$2:$F$5761,Data!$A$2:$A$5761,$A33,Data!$B$2:$B$5761,H$25)</f>
        <v>741.41000000000008</v>
      </c>
      <c r="I33">
        <f>SUMIFS(Data!$F$2:$F$5761,Data!$A$2:$A$5761,$A33,Data!$B$2:$B$5761,I$25)</f>
        <v>748.4899999999999</v>
      </c>
      <c r="J33">
        <f>SUMIFS(Data!$F$2:$F$5761,Data!$A$2:$A$5761,$A33,Data!$B$2:$B$5761,J$25)</f>
        <v>754.33</v>
      </c>
      <c r="K33">
        <f>SUMIFS(Data!$F$2:$F$5761,Data!$A$2:$A$5761,$A33,Data!$B$2:$B$5761,K$25)</f>
        <v>758.66</v>
      </c>
      <c r="L33">
        <f>SUMIFS(Data!$F$2:$F$5761,Data!$A$2:$A$5761,$A33,Data!$B$2:$B$5761,L$25)</f>
        <v>766.45999999999992</v>
      </c>
      <c r="M33">
        <f>SUMIFS(Data!$F$2:$F$5761,Data!$A$2:$A$5761,$A33,Data!$B$2:$B$5761,M$25)</f>
        <v>769.21</v>
      </c>
      <c r="N33">
        <f>SUMIFS(Data!$F$2:$F$5761,Data!$A$2:$A$5761,$A33,Data!$B$2:$B$5761,N$25)</f>
        <v>776.25</v>
      </c>
      <c r="O33">
        <f>SUMIFS(Data!$F$2:$F$5761,Data!$A$2:$A$5761,$A33,Data!$B$2:$B$5761,O$25)</f>
        <v>784.18999999999994</v>
      </c>
      <c r="P33">
        <f>SUMIFS(Data!$F$2:$F$5761,Data!$A$2:$A$5761,$A33,Data!$B$2:$B$5761,P$25)</f>
        <v>788.52</v>
      </c>
      <c r="Q33">
        <f>SUMIFS(Data!$F$2:$F$5761,Data!$A$2:$A$5761,$A33,Data!$B$2:$B$5761,Q$25)</f>
        <v>791.16000000000008</v>
      </c>
      <c r="R33">
        <f>SUMIFS(Data!$F$2:$F$5761,Data!$A$2:$A$5761,$A33,Data!$B$2:$B$5761,R$25)</f>
        <v>798.91</v>
      </c>
      <c r="S33">
        <f>SUMIFS(Data!$F$2:$F$5761,Data!$A$2:$A$5761,$A33,Data!$B$2:$B$5761,S$25)</f>
        <v>805.31</v>
      </c>
      <c r="T33">
        <f>SUMIFS(Data!$F$2:$F$5761,Data!$A$2:$A$5761,$A33,Data!$B$2:$B$5761,T$25)</f>
        <v>807.99</v>
      </c>
      <c r="U33">
        <f>SUMIFS(Data!$F$2:$F$5761,Data!$A$2:$A$5761,$A33,Data!$B$2:$B$5761,U$25)</f>
        <v>818.85</v>
      </c>
      <c r="V33">
        <f>SUMIFS(Data!$F$2:$F$5761,Data!$A$2:$A$5761,$A33,Data!$B$2:$B$5761,V$25)</f>
        <v>817.46</v>
      </c>
      <c r="W33">
        <f>SUMIFS(Data!$F$2:$F$5761,Data!$A$2:$A$5761,$A33,Data!$B$2:$B$5761,W$25)</f>
        <v>827.86</v>
      </c>
      <c r="X33">
        <f>SUMIFS(Data!$F$2:$F$5761,Data!$A$2:$A$5761,$A33,Data!$B$2:$B$5761,X$25)</f>
        <v>826.41000000000008</v>
      </c>
      <c r="Y33">
        <f>SUMIFS(Data!$F$2:$F$5761,Data!$A$2:$A$5761,$A33,Data!$B$2:$B$5761,Y$25)</f>
        <v>836.56</v>
      </c>
      <c r="Z33">
        <f>SUMIFS(Data!$F$2:$F$5761,Data!$A$2:$A$5761,$A33,Data!$B$2:$B$5761,Z$25)</f>
        <v>841.74</v>
      </c>
      <c r="AA33">
        <f>SUMIFS(Data!$F$2:$F$5761,Data!$A$2:$A$5761,$A33,Data!$B$2:$B$5761,AA$25)</f>
        <v>843.04000000000008</v>
      </c>
      <c r="AB33">
        <f>SUMIFS(Data!$F$2:$F$5761,Data!$A$2:$A$5761,$A33,Data!$B$2:$B$5761,AB$25)</f>
        <v>855.54</v>
      </c>
      <c r="AC33">
        <f>SUMIFS(Data!$F$2:$F$5761,Data!$A$2:$A$5761,$A33,Data!$B$2:$B$5761,AC$25)</f>
        <v>863.12000000000012</v>
      </c>
      <c r="AD33">
        <f>SUMIFS(Data!$F$2:$F$5761,Data!$A$2:$A$5761,$A33,Data!$B$2:$B$5761,AD$25)</f>
        <v>864.41000000000008</v>
      </c>
      <c r="AE33">
        <f>SUMIFS(Data!$F$2:$F$5761,Data!$A$2:$A$5761,$A33,Data!$B$2:$B$5761,AE$25)</f>
        <v>874.53</v>
      </c>
      <c r="AF33">
        <f>SUMIFS(Data!$F$2:$F$5761,Data!$A$2:$A$5761,$A33,Data!$B$2:$B$5761,AF$25)</f>
        <v>878.33</v>
      </c>
      <c r="AG33">
        <f>SUMIFS(Data!$F$2:$F$5761,Data!$A$2:$A$5761,$A33,Data!$B$2:$B$5761,AG$25)</f>
        <v>880.8</v>
      </c>
      <c r="AH33">
        <f>SUMIFS(Data!$F$2:$F$5761,Data!$A$2:$A$5761,$A33,Data!$B$2:$B$5761,AH$25)</f>
        <v>885.68000000000006</v>
      </c>
      <c r="AI33">
        <f>SUMIFS(Data!$F$2:$F$5761,Data!$A$2:$A$5761,$A33,Data!$B$2:$B$5761,AI$25)</f>
        <v>894.5200000000001</v>
      </c>
      <c r="AJ33">
        <f>SUMIFS(Data!$F$2:$F$5761,Data!$A$2:$A$5761,$A33,Data!$B$2:$B$5761,AJ$25)</f>
        <v>896.43000000000006</v>
      </c>
      <c r="AK33">
        <f>SUMIFS(Data!$F$2:$F$5761,Data!$A$2:$A$5761,$A33,Data!$B$2:$B$5761,AK$25)</f>
        <v>901.97</v>
      </c>
    </row>
    <row r="34" spans="1:37" x14ac:dyDescent="0.25">
      <c r="A34" t="s">
        <v>32</v>
      </c>
      <c r="B34">
        <f>SUMIFS(Data!$F$2:$F$5761,Data!$A$2:$A$5761,$A34,Data!$B$2:$B$5761,B$25)</f>
        <v>761.8</v>
      </c>
      <c r="C34">
        <f>SUMIFS(Data!$F$2:$F$5761,Data!$A$2:$A$5761,$A34,Data!$B$2:$B$5761,C$25)</f>
        <v>772.28</v>
      </c>
      <c r="D34">
        <f>SUMIFS(Data!$F$2:$F$5761,Data!$A$2:$A$5761,$A34,Data!$B$2:$B$5761,D$25)</f>
        <v>773.55</v>
      </c>
      <c r="E34">
        <f>SUMIFS(Data!$F$2:$F$5761,Data!$A$2:$A$5761,$A34,Data!$B$2:$B$5761,E$25)</f>
        <v>781.57999999999993</v>
      </c>
      <c r="F34">
        <f>SUMIFS(Data!$F$2:$F$5761,Data!$A$2:$A$5761,$A34,Data!$B$2:$B$5761,F$25)</f>
        <v>789.22</v>
      </c>
      <c r="G34">
        <f>SUMIFS(Data!$F$2:$F$5761,Data!$A$2:$A$5761,$A34,Data!$B$2:$B$5761,G$25)</f>
        <v>793.95</v>
      </c>
      <c r="H34">
        <f>SUMIFS(Data!$F$2:$F$5761,Data!$A$2:$A$5761,$A34,Data!$B$2:$B$5761,H$25)</f>
        <v>798.87999999999988</v>
      </c>
      <c r="I34">
        <f>SUMIFS(Data!$F$2:$F$5761,Data!$A$2:$A$5761,$A34,Data!$B$2:$B$5761,I$25)</f>
        <v>802.42000000000007</v>
      </c>
      <c r="J34">
        <f>SUMIFS(Data!$F$2:$F$5761,Data!$A$2:$A$5761,$A34,Data!$B$2:$B$5761,J$25)</f>
        <v>814.73</v>
      </c>
      <c r="K34">
        <f>SUMIFS(Data!$F$2:$F$5761,Data!$A$2:$A$5761,$A34,Data!$B$2:$B$5761,K$25)</f>
        <v>816.52999999999986</v>
      </c>
      <c r="L34">
        <f>SUMIFS(Data!$F$2:$F$5761,Data!$A$2:$A$5761,$A34,Data!$B$2:$B$5761,L$25)</f>
        <v>825.58999999999992</v>
      </c>
      <c r="M34">
        <f>SUMIFS(Data!$F$2:$F$5761,Data!$A$2:$A$5761,$A34,Data!$B$2:$B$5761,M$25)</f>
        <v>828.23</v>
      </c>
      <c r="N34">
        <f>SUMIFS(Data!$F$2:$F$5761,Data!$A$2:$A$5761,$A34,Data!$B$2:$B$5761,N$25)</f>
        <v>837.25</v>
      </c>
      <c r="O34">
        <f>SUMIFS(Data!$F$2:$F$5761,Data!$A$2:$A$5761,$A34,Data!$B$2:$B$5761,O$25)</f>
        <v>837.18000000000006</v>
      </c>
      <c r="P34">
        <f>SUMIFS(Data!$F$2:$F$5761,Data!$A$2:$A$5761,$A34,Data!$B$2:$B$5761,P$25)</f>
        <v>848.4799999999999</v>
      </c>
      <c r="Q34">
        <f>SUMIFS(Data!$F$2:$F$5761,Data!$A$2:$A$5761,$A34,Data!$B$2:$B$5761,Q$25)</f>
        <v>851.06999999999994</v>
      </c>
      <c r="R34">
        <f>SUMIFS(Data!$F$2:$F$5761,Data!$A$2:$A$5761,$A34,Data!$B$2:$B$5761,R$25)</f>
        <v>859.5300000000002</v>
      </c>
      <c r="S34">
        <f>SUMIFS(Data!$F$2:$F$5761,Data!$A$2:$A$5761,$A34,Data!$B$2:$B$5761,S$25)</f>
        <v>866.67</v>
      </c>
      <c r="T34">
        <f>SUMIFS(Data!$F$2:$F$5761,Data!$A$2:$A$5761,$A34,Data!$B$2:$B$5761,T$25)</f>
        <v>872.92</v>
      </c>
      <c r="U34">
        <f>SUMIFS(Data!$F$2:$F$5761,Data!$A$2:$A$5761,$A34,Data!$B$2:$B$5761,U$25)</f>
        <v>878.96</v>
      </c>
      <c r="V34">
        <f>SUMIFS(Data!$F$2:$F$5761,Data!$A$2:$A$5761,$A34,Data!$B$2:$B$5761,V$25)</f>
        <v>880.25999999999988</v>
      </c>
      <c r="W34">
        <f>SUMIFS(Data!$F$2:$F$5761,Data!$A$2:$A$5761,$A34,Data!$B$2:$B$5761,W$25)</f>
        <v>892.23</v>
      </c>
      <c r="X34">
        <f>SUMIFS(Data!$F$2:$F$5761,Data!$A$2:$A$5761,$A34,Data!$B$2:$B$5761,X$25)</f>
        <v>894.78</v>
      </c>
      <c r="Y34">
        <f>SUMIFS(Data!$F$2:$F$5761,Data!$A$2:$A$5761,$A34,Data!$B$2:$B$5761,Y$25)</f>
        <v>896.33999999999992</v>
      </c>
      <c r="Z34">
        <f>SUMIFS(Data!$F$2:$F$5761,Data!$A$2:$A$5761,$A34,Data!$B$2:$B$5761,Z$25)</f>
        <v>910.59999999999991</v>
      </c>
      <c r="AA34">
        <f>SUMIFS(Data!$F$2:$F$5761,Data!$A$2:$A$5761,$A34,Data!$B$2:$B$5761,AA$25)</f>
        <v>914.35</v>
      </c>
      <c r="AB34">
        <f>SUMIFS(Data!$F$2:$F$5761,Data!$A$2:$A$5761,$A34,Data!$B$2:$B$5761,AB$25)</f>
        <v>919.23</v>
      </c>
      <c r="AC34">
        <f>SUMIFS(Data!$F$2:$F$5761,Data!$A$2:$A$5761,$A34,Data!$B$2:$B$5761,AC$25)</f>
        <v>924.43</v>
      </c>
      <c r="AD34">
        <f>SUMIFS(Data!$F$2:$F$5761,Data!$A$2:$A$5761,$A34,Data!$B$2:$B$5761,AD$25)</f>
        <v>931.32999999999993</v>
      </c>
      <c r="AE34">
        <f>SUMIFS(Data!$F$2:$F$5761,Data!$A$2:$A$5761,$A34,Data!$B$2:$B$5761,AE$25)</f>
        <v>941.11</v>
      </c>
      <c r="AF34">
        <f>SUMIFS(Data!$F$2:$F$5761,Data!$A$2:$A$5761,$A34,Data!$B$2:$B$5761,AF$25)</f>
        <v>947.15000000000009</v>
      </c>
      <c r="AG34">
        <f>SUMIFS(Data!$F$2:$F$5761,Data!$A$2:$A$5761,$A34,Data!$B$2:$B$5761,AG$25)</f>
        <v>947.62999999999988</v>
      </c>
      <c r="AH34">
        <f>SUMIFS(Data!$F$2:$F$5761,Data!$A$2:$A$5761,$A34,Data!$B$2:$B$5761,AH$25)</f>
        <v>952.12999999999988</v>
      </c>
      <c r="AI34">
        <f>SUMIFS(Data!$F$2:$F$5761,Data!$A$2:$A$5761,$A34,Data!$B$2:$B$5761,AI$25)</f>
        <v>964.68000000000006</v>
      </c>
      <c r="AJ34">
        <f>SUMIFS(Data!$F$2:$F$5761,Data!$A$2:$A$5761,$A34,Data!$B$2:$B$5761,AJ$25)</f>
        <v>966.22</v>
      </c>
      <c r="AK34">
        <f>SUMIFS(Data!$F$2:$F$5761,Data!$A$2:$A$5761,$A34,Data!$B$2:$B$5761,AK$25)</f>
        <v>967.92</v>
      </c>
    </row>
    <row r="35" spans="1:37" x14ac:dyDescent="0.25">
      <c r="A35" t="s">
        <v>33</v>
      </c>
      <c r="B35">
        <f>SUMIFS(Data!$F$2:$F$5761,Data!$A$2:$A$5761,$A35,Data!$B$2:$B$5761,B$25)</f>
        <v>817.15</v>
      </c>
      <c r="C35">
        <f>SUMIFS(Data!$F$2:$F$5761,Data!$A$2:$A$5761,$A35,Data!$B$2:$B$5761,C$25)</f>
        <v>826.58</v>
      </c>
      <c r="D35">
        <f>SUMIFS(Data!$F$2:$F$5761,Data!$A$2:$A$5761,$A35,Data!$B$2:$B$5761,D$25)</f>
        <v>832.02</v>
      </c>
      <c r="E35">
        <f>SUMIFS(Data!$F$2:$F$5761,Data!$A$2:$A$5761,$A35,Data!$B$2:$B$5761,E$25)</f>
        <v>837.76</v>
      </c>
      <c r="F35">
        <f>SUMIFS(Data!$F$2:$F$5761,Data!$A$2:$A$5761,$A35,Data!$B$2:$B$5761,F$25)</f>
        <v>846.87</v>
      </c>
      <c r="G35">
        <f>SUMIFS(Data!$F$2:$F$5761,Data!$A$2:$A$5761,$A35,Data!$B$2:$B$5761,G$25)</f>
        <v>850.88000000000011</v>
      </c>
      <c r="H35">
        <f>SUMIFS(Data!$F$2:$F$5761,Data!$A$2:$A$5761,$A35,Data!$B$2:$B$5761,H$25)</f>
        <v>858.43</v>
      </c>
      <c r="I35">
        <f>SUMIFS(Data!$F$2:$F$5761,Data!$A$2:$A$5761,$A35,Data!$B$2:$B$5761,I$25)</f>
        <v>866.89</v>
      </c>
      <c r="J35">
        <f>SUMIFS(Data!$F$2:$F$5761,Data!$A$2:$A$5761,$A35,Data!$B$2:$B$5761,J$25)</f>
        <v>866.49000000000012</v>
      </c>
      <c r="K35">
        <f>SUMIFS(Data!$F$2:$F$5761,Data!$A$2:$A$5761,$A35,Data!$B$2:$B$5761,K$25)</f>
        <v>877.24</v>
      </c>
      <c r="L35">
        <f>SUMIFS(Data!$F$2:$F$5761,Data!$A$2:$A$5761,$A35,Data!$B$2:$B$5761,L$25)</f>
        <v>879.99</v>
      </c>
      <c r="M35">
        <f>SUMIFS(Data!$F$2:$F$5761,Data!$A$2:$A$5761,$A35,Data!$B$2:$B$5761,M$25)</f>
        <v>890.1</v>
      </c>
      <c r="N35">
        <f>SUMIFS(Data!$F$2:$F$5761,Data!$A$2:$A$5761,$A35,Data!$B$2:$B$5761,N$25)</f>
        <v>897.79</v>
      </c>
      <c r="O35">
        <f>SUMIFS(Data!$F$2:$F$5761,Data!$A$2:$A$5761,$A35,Data!$B$2:$B$5761,O$25)</f>
        <v>902.95</v>
      </c>
      <c r="P35">
        <f>SUMIFS(Data!$F$2:$F$5761,Data!$A$2:$A$5761,$A35,Data!$B$2:$B$5761,P$25)</f>
        <v>902.51</v>
      </c>
      <c r="Q35">
        <f>SUMIFS(Data!$F$2:$F$5761,Data!$A$2:$A$5761,$A35,Data!$B$2:$B$5761,Q$25)</f>
        <v>913.7</v>
      </c>
      <c r="R35">
        <f>SUMIFS(Data!$F$2:$F$5761,Data!$A$2:$A$5761,$A35,Data!$B$2:$B$5761,R$25)</f>
        <v>921.38000000000011</v>
      </c>
      <c r="S35">
        <f>SUMIFS(Data!$F$2:$F$5761,Data!$A$2:$A$5761,$A35,Data!$B$2:$B$5761,S$25)</f>
        <v>924.66000000000008</v>
      </c>
      <c r="T35">
        <f>SUMIFS(Data!$F$2:$F$5761,Data!$A$2:$A$5761,$A35,Data!$B$2:$B$5761,T$25)</f>
        <v>935.54</v>
      </c>
      <c r="U35">
        <f>SUMIFS(Data!$F$2:$F$5761,Data!$A$2:$A$5761,$A35,Data!$B$2:$B$5761,U$25)</f>
        <v>939.36000000000013</v>
      </c>
      <c r="V35">
        <f>SUMIFS(Data!$F$2:$F$5761,Data!$A$2:$A$5761,$A35,Data!$B$2:$B$5761,V$25)</f>
        <v>945.23</v>
      </c>
      <c r="W35">
        <f>SUMIFS(Data!$F$2:$F$5761,Data!$A$2:$A$5761,$A35,Data!$B$2:$B$5761,W$25)</f>
        <v>954.86</v>
      </c>
      <c r="X35">
        <f>SUMIFS(Data!$F$2:$F$5761,Data!$A$2:$A$5761,$A35,Data!$B$2:$B$5761,X$25)</f>
        <v>958.89</v>
      </c>
      <c r="Y35">
        <f>SUMIFS(Data!$F$2:$F$5761,Data!$A$2:$A$5761,$A35,Data!$B$2:$B$5761,Y$25)</f>
        <v>968.63</v>
      </c>
      <c r="Z35">
        <f>SUMIFS(Data!$F$2:$F$5761,Data!$A$2:$A$5761,$A35,Data!$B$2:$B$5761,Z$25)</f>
        <v>973.32999999999993</v>
      </c>
      <c r="AA35">
        <f>SUMIFS(Data!$F$2:$F$5761,Data!$A$2:$A$5761,$A35,Data!$B$2:$B$5761,AA$25)</f>
        <v>983.2600000000001</v>
      </c>
      <c r="AB35">
        <f>SUMIFS(Data!$F$2:$F$5761,Data!$A$2:$A$5761,$A35,Data!$B$2:$B$5761,AB$25)</f>
        <v>991.12</v>
      </c>
      <c r="AC35">
        <f>SUMIFS(Data!$F$2:$F$5761,Data!$A$2:$A$5761,$A35,Data!$B$2:$B$5761,AC$25)</f>
        <v>995.40000000000009</v>
      </c>
      <c r="AD35">
        <f>SUMIFS(Data!$F$2:$F$5761,Data!$A$2:$A$5761,$A35,Data!$B$2:$B$5761,AD$25)</f>
        <v>998.52999999999986</v>
      </c>
      <c r="AE35">
        <f>SUMIFS(Data!$F$2:$F$5761,Data!$A$2:$A$5761,$A35,Data!$B$2:$B$5761,AE$25)</f>
        <v>1001.19</v>
      </c>
      <c r="AF35">
        <f>SUMIFS(Data!$F$2:$F$5761,Data!$A$2:$A$5761,$A35,Data!$B$2:$B$5761,AF$25)</f>
        <v>1010.68</v>
      </c>
      <c r="AG35">
        <f>SUMIFS(Data!$F$2:$F$5761,Data!$A$2:$A$5761,$A35,Data!$B$2:$B$5761,AG$25)</f>
        <v>1015.29</v>
      </c>
      <c r="AH35">
        <f>SUMIFS(Data!$F$2:$F$5761,Data!$A$2:$A$5761,$A35,Data!$B$2:$B$5761,AH$25)</f>
        <v>1026.1099999999999</v>
      </c>
      <c r="AI35">
        <f>SUMIFS(Data!$F$2:$F$5761,Data!$A$2:$A$5761,$A35,Data!$B$2:$B$5761,AI$25)</f>
        <v>1033.22</v>
      </c>
      <c r="AJ35">
        <f>SUMIFS(Data!$F$2:$F$5761,Data!$A$2:$A$5761,$A35,Data!$B$2:$B$5761,AJ$25)</f>
        <v>1039.8800000000001</v>
      </c>
      <c r="AK35">
        <f>SUMIFS(Data!$F$2:$F$5761,Data!$A$2:$A$5761,$A35,Data!$B$2:$B$5761,AK$25)</f>
        <v>1046.6399999999999</v>
      </c>
    </row>
    <row r="36" spans="1:37" x14ac:dyDescent="0.25">
      <c r="A36" t="s">
        <v>34</v>
      </c>
      <c r="B36">
        <f>SUMIFS(Data!$F$2:$F$5761,Data!$A$2:$A$5761,$A36,Data!$B$2:$B$5761,B$25)</f>
        <v>874.79</v>
      </c>
      <c r="C36">
        <f>SUMIFS(Data!$F$2:$F$5761,Data!$A$2:$A$5761,$A36,Data!$B$2:$B$5761,C$25)</f>
        <v>878.52</v>
      </c>
      <c r="D36">
        <f>SUMIFS(Data!$F$2:$F$5761,Data!$A$2:$A$5761,$A36,Data!$B$2:$B$5761,D$25)</f>
        <v>884.74</v>
      </c>
      <c r="E36">
        <f>SUMIFS(Data!$F$2:$F$5761,Data!$A$2:$A$5761,$A36,Data!$B$2:$B$5761,E$25)</f>
        <v>888.14</v>
      </c>
      <c r="F36">
        <f>SUMIFS(Data!$F$2:$F$5761,Data!$A$2:$A$5761,$A36,Data!$B$2:$B$5761,F$25)</f>
        <v>902.45</v>
      </c>
      <c r="G36">
        <f>SUMIFS(Data!$F$2:$F$5761,Data!$A$2:$A$5761,$A36,Data!$B$2:$B$5761,G$25)</f>
        <v>906.5</v>
      </c>
      <c r="H36">
        <f>SUMIFS(Data!$F$2:$F$5761,Data!$A$2:$A$5761,$A36,Data!$B$2:$B$5761,H$25)</f>
        <v>912.47</v>
      </c>
      <c r="I36">
        <f>SUMIFS(Data!$F$2:$F$5761,Data!$A$2:$A$5761,$A36,Data!$B$2:$B$5761,I$25)</f>
        <v>919.98</v>
      </c>
      <c r="J36">
        <f>SUMIFS(Data!$F$2:$F$5761,Data!$A$2:$A$5761,$A36,Data!$B$2:$B$5761,J$25)</f>
        <v>931.37</v>
      </c>
      <c r="K36">
        <f>SUMIFS(Data!$F$2:$F$5761,Data!$A$2:$A$5761,$A36,Data!$B$2:$B$5761,K$25)</f>
        <v>933.1</v>
      </c>
      <c r="L36">
        <f>SUMIFS(Data!$F$2:$F$5761,Data!$A$2:$A$5761,$A36,Data!$B$2:$B$5761,L$25)</f>
        <v>941.91</v>
      </c>
      <c r="M36">
        <f>SUMIFS(Data!$F$2:$F$5761,Data!$A$2:$A$5761,$A36,Data!$B$2:$B$5761,M$25)</f>
        <v>949.01</v>
      </c>
      <c r="N36">
        <f>SUMIFS(Data!$F$2:$F$5761,Data!$A$2:$A$5761,$A36,Data!$B$2:$B$5761,N$25)</f>
        <v>952.44</v>
      </c>
      <c r="O36">
        <f>SUMIFS(Data!$F$2:$F$5761,Data!$A$2:$A$5761,$A36,Data!$B$2:$B$5761,O$25)</f>
        <v>962.59999999999991</v>
      </c>
      <c r="P36">
        <f>SUMIFS(Data!$F$2:$F$5761,Data!$A$2:$A$5761,$A36,Data!$B$2:$B$5761,P$25)</f>
        <v>974.19</v>
      </c>
      <c r="Q36">
        <f>SUMIFS(Data!$F$2:$F$5761,Data!$A$2:$A$5761,$A36,Data!$B$2:$B$5761,Q$25)</f>
        <v>976.23</v>
      </c>
      <c r="R36">
        <f>SUMIFS(Data!$F$2:$F$5761,Data!$A$2:$A$5761,$A36,Data!$B$2:$B$5761,R$25)</f>
        <v>984.23</v>
      </c>
      <c r="S36">
        <f>SUMIFS(Data!$F$2:$F$5761,Data!$A$2:$A$5761,$A36,Data!$B$2:$B$5761,S$25)</f>
        <v>993.82</v>
      </c>
      <c r="T36">
        <f>SUMIFS(Data!$F$2:$F$5761,Data!$A$2:$A$5761,$A36,Data!$B$2:$B$5761,T$25)</f>
        <v>999.71999999999991</v>
      </c>
      <c r="U36">
        <f>SUMIFS(Data!$F$2:$F$5761,Data!$A$2:$A$5761,$A36,Data!$B$2:$B$5761,U$25)</f>
        <v>1006.8900000000001</v>
      </c>
      <c r="V36">
        <f>SUMIFS(Data!$F$2:$F$5761,Data!$A$2:$A$5761,$A36,Data!$B$2:$B$5761,V$25)</f>
        <v>1011.48</v>
      </c>
      <c r="W36">
        <f>SUMIFS(Data!$F$2:$F$5761,Data!$A$2:$A$5761,$A36,Data!$B$2:$B$5761,W$25)</f>
        <v>1015.36</v>
      </c>
      <c r="X36">
        <f>SUMIFS(Data!$F$2:$F$5761,Data!$A$2:$A$5761,$A36,Data!$B$2:$B$5761,X$25)</f>
        <v>1026.6299999999999</v>
      </c>
      <c r="Y36">
        <f>SUMIFS(Data!$F$2:$F$5761,Data!$A$2:$A$5761,$A36,Data!$B$2:$B$5761,Y$25)</f>
        <v>1031.5900000000001</v>
      </c>
      <c r="Z36">
        <f>SUMIFS(Data!$F$2:$F$5761,Data!$A$2:$A$5761,$A36,Data!$B$2:$B$5761,Z$25)</f>
        <v>1037.46</v>
      </c>
      <c r="AA36">
        <f>SUMIFS(Data!$F$2:$F$5761,Data!$A$2:$A$5761,$A36,Data!$B$2:$B$5761,AA$25)</f>
        <v>1048.27</v>
      </c>
      <c r="AB36">
        <f>SUMIFS(Data!$F$2:$F$5761,Data!$A$2:$A$5761,$A36,Data!$B$2:$B$5761,AB$25)</f>
        <v>1054.4099999999999</v>
      </c>
      <c r="AC36">
        <f>SUMIFS(Data!$F$2:$F$5761,Data!$A$2:$A$5761,$A36,Data!$B$2:$B$5761,AC$25)</f>
        <v>1057.96</v>
      </c>
      <c r="AD36">
        <f>SUMIFS(Data!$F$2:$F$5761,Data!$A$2:$A$5761,$A36,Data!$B$2:$B$5761,AD$25)</f>
        <v>1068.8499999999999</v>
      </c>
      <c r="AE36">
        <f>SUMIFS(Data!$F$2:$F$5761,Data!$A$2:$A$5761,$A36,Data!$B$2:$B$5761,AE$25)</f>
        <v>1070.72</v>
      </c>
      <c r="AF36">
        <f>SUMIFS(Data!$F$2:$F$5761,Data!$A$2:$A$5761,$A36,Data!$B$2:$B$5761,AF$25)</f>
        <v>1079.77</v>
      </c>
      <c r="AG36">
        <f>SUMIFS(Data!$F$2:$F$5761,Data!$A$2:$A$5761,$A36,Data!$B$2:$B$5761,AG$25)</f>
        <v>1089.8800000000001</v>
      </c>
      <c r="AH36">
        <f>SUMIFS(Data!$F$2:$F$5761,Data!$A$2:$A$5761,$A36,Data!$B$2:$B$5761,AH$25)</f>
        <v>1086.1000000000001</v>
      </c>
      <c r="AI36">
        <f>SUMIFS(Data!$F$2:$F$5761,Data!$A$2:$A$5761,$A36,Data!$B$2:$B$5761,AI$25)</f>
        <v>1100.1199999999999</v>
      </c>
      <c r="AJ36">
        <f>SUMIFS(Data!$F$2:$F$5761,Data!$A$2:$A$5761,$A36,Data!$B$2:$B$5761,AJ$25)</f>
        <v>1110.48</v>
      </c>
      <c r="AK36">
        <f>SUMIFS(Data!$F$2:$F$5761,Data!$A$2:$A$5761,$A36,Data!$B$2:$B$5761,AK$25)</f>
        <v>1114.44</v>
      </c>
    </row>
    <row r="37" spans="1:37" x14ac:dyDescent="0.25">
      <c r="A37" t="s">
        <v>35</v>
      </c>
      <c r="B37">
        <f>SUMIFS(Data!$F$2:$F$5761,Data!$A$2:$A$5761,$A37,Data!$B$2:$B$5761,B$25)</f>
        <v>931.36</v>
      </c>
      <c r="C37">
        <f>SUMIFS(Data!$F$2:$F$5761,Data!$A$2:$A$5761,$A37,Data!$B$2:$B$5761,C$25)</f>
        <v>935.56</v>
      </c>
      <c r="D37">
        <f>SUMIFS(Data!$F$2:$F$5761,Data!$A$2:$A$5761,$A37,Data!$B$2:$B$5761,D$25)</f>
        <v>941.54</v>
      </c>
      <c r="E37">
        <f>SUMIFS(Data!$F$2:$F$5761,Data!$A$2:$A$5761,$A37,Data!$B$2:$B$5761,E$25)</f>
        <v>954.55</v>
      </c>
      <c r="F37">
        <f>SUMIFS(Data!$F$2:$F$5761,Data!$A$2:$A$5761,$A37,Data!$B$2:$B$5761,F$25)</f>
        <v>957.87999999999988</v>
      </c>
      <c r="G37">
        <f>SUMIFS(Data!$F$2:$F$5761,Data!$A$2:$A$5761,$A37,Data!$B$2:$B$5761,G$25)</f>
        <v>964.98</v>
      </c>
      <c r="H37">
        <f>SUMIFS(Data!$F$2:$F$5761,Data!$A$2:$A$5761,$A37,Data!$B$2:$B$5761,H$25)</f>
        <v>969.94</v>
      </c>
      <c r="I37">
        <f>SUMIFS(Data!$F$2:$F$5761,Data!$A$2:$A$5761,$A37,Data!$B$2:$B$5761,I$25)</f>
        <v>978.88</v>
      </c>
      <c r="J37">
        <f>SUMIFS(Data!$F$2:$F$5761,Data!$A$2:$A$5761,$A37,Data!$B$2:$B$5761,J$25)</f>
        <v>989.86000000000013</v>
      </c>
      <c r="K37">
        <f>SUMIFS(Data!$F$2:$F$5761,Data!$A$2:$A$5761,$A37,Data!$B$2:$B$5761,K$25)</f>
        <v>992.75</v>
      </c>
      <c r="L37">
        <f>SUMIFS(Data!$F$2:$F$5761,Data!$A$2:$A$5761,$A37,Data!$B$2:$B$5761,L$25)</f>
        <v>998.78</v>
      </c>
      <c r="M37">
        <f>SUMIFS(Data!$F$2:$F$5761,Data!$A$2:$A$5761,$A37,Data!$B$2:$B$5761,M$25)</f>
        <v>1006.1500000000001</v>
      </c>
      <c r="N37">
        <f>SUMIFS(Data!$F$2:$F$5761,Data!$A$2:$A$5761,$A37,Data!$B$2:$B$5761,N$25)</f>
        <v>1020.23</v>
      </c>
      <c r="O37">
        <f>SUMIFS(Data!$F$2:$F$5761,Data!$A$2:$A$5761,$A37,Data!$B$2:$B$5761,O$25)</f>
        <v>1024.51</v>
      </c>
      <c r="P37">
        <f>SUMIFS(Data!$F$2:$F$5761,Data!$A$2:$A$5761,$A37,Data!$B$2:$B$5761,P$25)</f>
        <v>1031.47</v>
      </c>
      <c r="Q37">
        <f>SUMIFS(Data!$F$2:$F$5761,Data!$A$2:$A$5761,$A37,Data!$B$2:$B$5761,Q$25)</f>
        <v>1035.79</v>
      </c>
      <c r="R37">
        <f>SUMIFS(Data!$F$2:$F$5761,Data!$A$2:$A$5761,$A37,Data!$B$2:$B$5761,R$25)</f>
        <v>1041.97</v>
      </c>
      <c r="S37">
        <f>SUMIFS(Data!$F$2:$F$5761,Data!$A$2:$A$5761,$A37,Data!$B$2:$B$5761,S$25)</f>
        <v>1053.3699999999999</v>
      </c>
      <c r="T37">
        <f>SUMIFS(Data!$F$2:$F$5761,Data!$A$2:$A$5761,$A37,Data!$B$2:$B$5761,T$25)</f>
        <v>1060.67</v>
      </c>
      <c r="U37">
        <f>SUMIFS(Data!$F$2:$F$5761,Data!$A$2:$A$5761,$A37,Data!$B$2:$B$5761,U$25)</f>
        <v>1061.93</v>
      </c>
      <c r="V37">
        <f>SUMIFS(Data!$F$2:$F$5761,Data!$A$2:$A$5761,$A37,Data!$B$2:$B$5761,V$25)</f>
        <v>1075.26</v>
      </c>
      <c r="W37">
        <f>SUMIFS(Data!$F$2:$F$5761,Data!$A$2:$A$5761,$A37,Data!$B$2:$B$5761,W$25)</f>
        <v>1083.78</v>
      </c>
      <c r="X37">
        <f>SUMIFS(Data!$F$2:$F$5761,Data!$A$2:$A$5761,$A37,Data!$B$2:$B$5761,X$25)</f>
        <v>1083.51</v>
      </c>
      <c r="Y37">
        <f>SUMIFS(Data!$F$2:$F$5761,Data!$A$2:$A$5761,$A37,Data!$B$2:$B$5761,Y$25)</f>
        <v>1099.79</v>
      </c>
      <c r="Z37">
        <f>SUMIFS(Data!$F$2:$F$5761,Data!$A$2:$A$5761,$A37,Data!$B$2:$B$5761,Z$25)</f>
        <v>1100.0900000000001</v>
      </c>
      <c r="AA37">
        <f>SUMIFS(Data!$F$2:$F$5761,Data!$A$2:$A$5761,$A37,Data!$B$2:$B$5761,AA$25)</f>
        <v>1107.18</v>
      </c>
      <c r="AB37">
        <f>SUMIFS(Data!$F$2:$F$5761,Data!$A$2:$A$5761,$A37,Data!$B$2:$B$5761,AB$25)</f>
        <v>1118.08</v>
      </c>
      <c r="AC37">
        <f>SUMIFS(Data!$F$2:$F$5761,Data!$A$2:$A$5761,$A37,Data!$B$2:$B$5761,AC$25)</f>
        <v>1122.3499999999999</v>
      </c>
      <c r="AD37">
        <f>SUMIFS(Data!$F$2:$F$5761,Data!$A$2:$A$5761,$A37,Data!$B$2:$B$5761,AD$25)</f>
        <v>1138.79</v>
      </c>
      <c r="AE37">
        <f>SUMIFS(Data!$F$2:$F$5761,Data!$A$2:$A$5761,$A37,Data!$B$2:$B$5761,AE$25)</f>
        <v>1141.53</v>
      </c>
      <c r="AF37">
        <f>SUMIFS(Data!$F$2:$F$5761,Data!$A$2:$A$5761,$A37,Data!$B$2:$B$5761,AF$25)</f>
        <v>1148.7</v>
      </c>
      <c r="AG37">
        <f>SUMIFS(Data!$F$2:$F$5761,Data!$A$2:$A$5761,$A37,Data!$B$2:$B$5761,AG$25)</f>
        <v>1151.96</v>
      </c>
      <c r="AH37">
        <f>SUMIFS(Data!$F$2:$F$5761,Data!$A$2:$A$5761,$A37,Data!$B$2:$B$5761,AH$25)</f>
        <v>1167.6399999999999</v>
      </c>
      <c r="AI37">
        <f>SUMIFS(Data!$F$2:$F$5761,Data!$A$2:$A$5761,$A37,Data!$B$2:$B$5761,AI$25)</f>
        <v>1167.1799999999998</v>
      </c>
      <c r="AJ37">
        <f>SUMIFS(Data!$F$2:$F$5761,Data!$A$2:$A$5761,$A37,Data!$B$2:$B$5761,AJ$25)</f>
        <v>1182.0999999999999</v>
      </c>
      <c r="AK37">
        <f>SUMIFS(Data!$F$2:$F$5761,Data!$A$2:$A$5761,$A37,Data!$B$2:$B$5761,AK$25)</f>
        <v>1181.96</v>
      </c>
    </row>
    <row r="38" spans="1:37" x14ac:dyDescent="0.25">
      <c r="A38" t="s">
        <v>36</v>
      </c>
      <c r="B38">
        <f>SUMIFS(Data!$F$2:$F$5761,Data!$A$2:$A$5761,$A38,Data!$B$2:$B$5761,B$25)</f>
        <v>983.69999999999993</v>
      </c>
      <c r="C38">
        <f>SUMIFS(Data!$F$2:$F$5761,Data!$A$2:$A$5761,$A38,Data!$B$2:$B$5761,C$25)</f>
        <v>989.33</v>
      </c>
      <c r="D38">
        <f>SUMIFS(Data!$F$2:$F$5761,Data!$A$2:$A$5761,$A38,Data!$B$2:$B$5761,D$25)</f>
        <v>1001.95</v>
      </c>
      <c r="E38">
        <f>SUMIFS(Data!$F$2:$F$5761,Data!$A$2:$A$5761,$A38,Data!$B$2:$B$5761,E$25)</f>
        <v>1003.78</v>
      </c>
      <c r="F38">
        <f>SUMIFS(Data!$F$2:$F$5761,Data!$A$2:$A$5761,$A38,Data!$B$2:$B$5761,F$25)</f>
        <v>1011.9300000000001</v>
      </c>
      <c r="G38">
        <f>SUMIFS(Data!$F$2:$F$5761,Data!$A$2:$A$5761,$A38,Data!$B$2:$B$5761,G$25)</f>
        <v>1021.73</v>
      </c>
      <c r="H38">
        <f>SUMIFS(Data!$F$2:$F$5761,Data!$A$2:$A$5761,$A38,Data!$B$2:$B$5761,H$25)</f>
        <v>1031.57</v>
      </c>
      <c r="I38">
        <f>SUMIFS(Data!$F$2:$F$5761,Data!$A$2:$A$5761,$A38,Data!$B$2:$B$5761,I$25)</f>
        <v>1033.6200000000001</v>
      </c>
      <c r="J38">
        <f>SUMIFS(Data!$F$2:$F$5761,Data!$A$2:$A$5761,$A38,Data!$B$2:$B$5761,J$25)</f>
        <v>1048.25</v>
      </c>
      <c r="K38">
        <f>SUMIFS(Data!$F$2:$F$5761,Data!$A$2:$A$5761,$A38,Data!$B$2:$B$5761,K$25)</f>
        <v>1054.3199999999997</v>
      </c>
      <c r="L38">
        <f>SUMIFS(Data!$F$2:$F$5761,Data!$A$2:$A$5761,$A38,Data!$B$2:$B$5761,L$25)</f>
        <v>1063.8399999999999</v>
      </c>
      <c r="M38">
        <f>SUMIFS(Data!$F$2:$F$5761,Data!$A$2:$A$5761,$A38,Data!$B$2:$B$5761,M$25)</f>
        <v>1063.6599999999999</v>
      </c>
      <c r="N38">
        <f>SUMIFS(Data!$F$2:$F$5761,Data!$A$2:$A$5761,$A38,Data!$B$2:$B$5761,N$25)</f>
        <v>1074.98</v>
      </c>
      <c r="O38">
        <f>SUMIFS(Data!$F$2:$F$5761,Data!$A$2:$A$5761,$A38,Data!$B$2:$B$5761,O$25)</f>
        <v>1084.19</v>
      </c>
      <c r="P38">
        <f>SUMIFS(Data!$F$2:$F$5761,Data!$A$2:$A$5761,$A38,Data!$B$2:$B$5761,P$25)</f>
        <v>1091.3699999999999</v>
      </c>
      <c r="Q38">
        <f>SUMIFS(Data!$F$2:$F$5761,Data!$A$2:$A$5761,$A38,Data!$B$2:$B$5761,Q$25)</f>
        <v>1096.07</v>
      </c>
      <c r="R38">
        <f>SUMIFS(Data!$F$2:$F$5761,Data!$A$2:$A$5761,$A38,Data!$B$2:$B$5761,R$25)</f>
        <v>1105.54</v>
      </c>
      <c r="S38">
        <f>SUMIFS(Data!$F$2:$F$5761,Data!$A$2:$A$5761,$A38,Data!$B$2:$B$5761,S$25)</f>
        <v>1110.5200000000002</v>
      </c>
      <c r="T38">
        <f>SUMIFS(Data!$F$2:$F$5761,Data!$A$2:$A$5761,$A38,Data!$B$2:$B$5761,T$25)</f>
        <v>1120.2</v>
      </c>
      <c r="U38">
        <f>SUMIFS(Data!$F$2:$F$5761,Data!$A$2:$A$5761,$A38,Data!$B$2:$B$5761,U$25)</f>
        <v>1128.49</v>
      </c>
      <c r="V38">
        <f>SUMIFS(Data!$F$2:$F$5761,Data!$A$2:$A$5761,$A38,Data!$B$2:$B$5761,V$25)</f>
        <v>1139.22</v>
      </c>
      <c r="W38">
        <f>SUMIFS(Data!$F$2:$F$5761,Data!$A$2:$A$5761,$A38,Data!$B$2:$B$5761,W$25)</f>
        <v>1150.3499999999999</v>
      </c>
      <c r="X38">
        <f>SUMIFS(Data!$F$2:$F$5761,Data!$A$2:$A$5761,$A38,Data!$B$2:$B$5761,X$25)</f>
        <v>1152.8300000000002</v>
      </c>
      <c r="Y38">
        <f>SUMIFS(Data!$F$2:$F$5761,Data!$A$2:$A$5761,$A38,Data!$B$2:$B$5761,Y$25)</f>
        <v>1158.1199999999999</v>
      </c>
      <c r="Z38">
        <f>SUMIFS(Data!$F$2:$F$5761,Data!$A$2:$A$5761,$A38,Data!$B$2:$B$5761,Z$25)</f>
        <v>1171.49</v>
      </c>
      <c r="AA38">
        <f>SUMIFS(Data!$F$2:$F$5761,Data!$A$2:$A$5761,$A38,Data!$B$2:$B$5761,AA$25)</f>
        <v>1181.76</v>
      </c>
      <c r="AB38">
        <f>SUMIFS(Data!$F$2:$F$5761,Data!$A$2:$A$5761,$A38,Data!$B$2:$B$5761,AB$25)</f>
        <v>1181.95</v>
      </c>
      <c r="AC38">
        <f>SUMIFS(Data!$F$2:$F$5761,Data!$A$2:$A$5761,$A38,Data!$B$2:$B$5761,AC$25)</f>
        <v>1187.8499999999999</v>
      </c>
      <c r="AD38">
        <f>SUMIFS(Data!$F$2:$F$5761,Data!$A$2:$A$5761,$A38,Data!$B$2:$B$5761,AD$25)</f>
        <v>1200.3000000000002</v>
      </c>
      <c r="AE38">
        <f>SUMIFS(Data!$F$2:$F$5761,Data!$A$2:$A$5761,$A38,Data!$B$2:$B$5761,AE$25)</f>
        <v>1205.6399999999999</v>
      </c>
      <c r="AF38">
        <f>SUMIFS(Data!$F$2:$F$5761,Data!$A$2:$A$5761,$A38,Data!$B$2:$B$5761,AF$25)</f>
        <v>1216.19</v>
      </c>
      <c r="AG38">
        <f>SUMIFS(Data!$F$2:$F$5761,Data!$A$2:$A$5761,$A38,Data!$B$2:$B$5761,AG$25)</f>
        <v>1222.5700000000002</v>
      </c>
      <c r="AH38">
        <f>SUMIFS(Data!$F$2:$F$5761,Data!$A$2:$A$5761,$A38,Data!$B$2:$B$5761,AH$25)</f>
        <v>1229.72</v>
      </c>
      <c r="AI38">
        <f>SUMIFS(Data!$F$2:$F$5761,Data!$A$2:$A$5761,$A38,Data!$B$2:$B$5761,AI$25)</f>
        <v>1237.1299999999999</v>
      </c>
      <c r="AJ38">
        <f>SUMIFS(Data!$F$2:$F$5761,Data!$A$2:$A$5761,$A38,Data!$B$2:$B$5761,AJ$25)</f>
        <v>1251.1199999999999</v>
      </c>
      <c r="AK38">
        <f>SUMIFS(Data!$F$2:$F$5761,Data!$A$2:$A$5761,$A38,Data!$B$2:$B$5761,AK$25)</f>
        <v>1252.4100000000001</v>
      </c>
    </row>
    <row r="39" spans="1:37" x14ac:dyDescent="0.25">
      <c r="A39" t="s">
        <v>37</v>
      </c>
      <c r="B39">
        <f>SUMIFS(Data!$F$2:$F$5761,Data!$A$2:$A$5761,$A39,Data!$B$2:$B$5761,B$25)</f>
        <v>1037.78</v>
      </c>
      <c r="C39">
        <f>SUMIFS(Data!$F$2:$F$5761,Data!$A$2:$A$5761,$A39,Data!$B$2:$B$5761,C$25)</f>
        <v>1051.23</v>
      </c>
      <c r="D39">
        <f>SUMIFS(Data!$F$2:$F$5761,Data!$A$2:$A$5761,$A39,Data!$B$2:$B$5761,D$25)</f>
        <v>1051.32</v>
      </c>
      <c r="E39">
        <f>SUMIFS(Data!$F$2:$F$5761,Data!$A$2:$A$5761,$A39,Data!$B$2:$B$5761,E$25)</f>
        <v>1063.27</v>
      </c>
      <c r="F39">
        <f>SUMIFS(Data!$F$2:$F$5761,Data!$A$2:$A$5761,$A39,Data!$B$2:$B$5761,F$25)</f>
        <v>1068.58</v>
      </c>
      <c r="G39">
        <f>SUMIFS(Data!$F$2:$F$5761,Data!$A$2:$A$5761,$A39,Data!$B$2:$B$5761,G$25)</f>
        <v>1075.48</v>
      </c>
      <c r="H39">
        <f>SUMIFS(Data!$F$2:$F$5761,Data!$A$2:$A$5761,$A39,Data!$B$2:$B$5761,H$25)</f>
        <v>1086.94</v>
      </c>
      <c r="I39">
        <f>SUMIFS(Data!$F$2:$F$5761,Data!$A$2:$A$5761,$A39,Data!$B$2:$B$5761,I$25)</f>
        <v>1097.1999999999998</v>
      </c>
      <c r="J39">
        <f>SUMIFS(Data!$F$2:$F$5761,Data!$A$2:$A$5761,$A39,Data!$B$2:$B$5761,J$25)</f>
        <v>1106.71</v>
      </c>
      <c r="K39">
        <f>SUMIFS(Data!$F$2:$F$5761,Data!$A$2:$A$5761,$A39,Data!$B$2:$B$5761,K$25)</f>
        <v>1112.5700000000002</v>
      </c>
      <c r="L39">
        <f>SUMIFS(Data!$F$2:$F$5761,Data!$A$2:$A$5761,$A39,Data!$B$2:$B$5761,L$25)</f>
        <v>1123.95</v>
      </c>
      <c r="M39">
        <f>SUMIFS(Data!$F$2:$F$5761,Data!$A$2:$A$5761,$A39,Data!$B$2:$B$5761,M$25)</f>
        <v>1129.27</v>
      </c>
      <c r="N39">
        <f>SUMIFS(Data!$F$2:$F$5761,Data!$A$2:$A$5761,$A39,Data!$B$2:$B$5761,N$25)</f>
        <v>1139.4499999999998</v>
      </c>
      <c r="O39">
        <f>SUMIFS(Data!$F$2:$F$5761,Data!$A$2:$A$5761,$A39,Data!$B$2:$B$5761,O$25)</f>
        <v>1145.07</v>
      </c>
      <c r="P39">
        <f>SUMIFS(Data!$F$2:$F$5761,Data!$A$2:$A$5761,$A39,Data!$B$2:$B$5761,P$25)</f>
        <v>1157</v>
      </c>
      <c r="Q39">
        <f>SUMIFS(Data!$F$2:$F$5761,Data!$A$2:$A$5761,$A39,Data!$B$2:$B$5761,Q$25)</f>
        <v>1158.7</v>
      </c>
      <c r="R39">
        <f>SUMIFS(Data!$F$2:$F$5761,Data!$A$2:$A$5761,$A39,Data!$B$2:$B$5761,R$25)</f>
        <v>1164.57</v>
      </c>
      <c r="S39">
        <f>SUMIFS(Data!$F$2:$F$5761,Data!$A$2:$A$5761,$A39,Data!$B$2:$B$5761,S$25)</f>
        <v>1177.1199999999999</v>
      </c>
      <c r="T39">
        <f>SUMIFS(Data!$F$2:$F$5761,Data!$A$2:$A$5761,$A39,Data!$B$2:$B$5761,T$25)</f>
        <v>1186.1599999999999</v>
      </c>
      <c r="U39">
        <f>SUMIFS(Data!$F$2:$F$5761,Data!$A$2:$A$5761,$A39,Data!$B$2:$B$5761,U$25)</f>
        <v>1187.82</v>
      </c>
      <c r="V39">
        <f>SUMIFS(Data!$F$2:$F$5761,Data!$A$2:$A$5761,$A39,Data!$B$2:$B$5761,V$25)</f>
        <v>1201.1100000000001</v>
      </c>
      <c r="W39">
        <f>SUMIFS(Data!$F$2:$F$5761,Data!$A$2:$A$5761,$A39,Data!$B$2:$B$5761,W$25)</f>
        <v>1206.3399999999999</v>
      </c>
      <c r="X39">
        <f>SUMIFS(Data!$F$2:$F$5761,Data!$A$2:$A$5761,$A39,Data!$B$2:$B$5761,X$25)</f>
        <v>1221.8100000000002</v>
      </c>
      <c r="Y39">
        <f>SUMIFS(Data!$F$2:$F$5761,Data!$A$2:$A$5761,$A39,Data!$B$2:$B$5761,Y$25)</f>
        <v>1222.01</v>
      </c>
      <c r="Z39">
        <f>SUMIFS(Data!$F$2:$F$5761,Data!$A$2:$A$5761,$A39,Data!$B$2:$B$5761,Z$25)</f>
        <v>1238.23</v>
      </c>
      <c r="AA39">
        <f>SUMIFS(Data!$F$2:$F$5761,Data!$A$2:$A$5761,$A39,Data!$B$2:$B$5761,AA$25)</f>
        <v>1246.6499999999999</v>
      </c>
      <c r="AB39">
        <f>SUMIFS(Data!$F$2:$F$5761,Data!$A$2:$A$5761,$A39,Data!$B$2:$B$5761,AB$25)</f>
        <v>1250.4599999999998</v>
      </c>
      <c r="AC39">
        <f>SUMIFS(Data!$F$2:$F$5761,Data!$A$2:$A$5761,$A39,Data!$B$2:$B$5761,AC$25)</f>
        <v>1260.8899999999999</v>
      </c>
      <c r="AD39">
        <f>SUMIFS(Data!$F$2:$F$5761,Data!$A$2:$A$5761,$A39,Data!$B$2:$B$5761,AD$25)</f>
        <v>1270.3200000000002</v>
      </c>
      <c r="AE39">
        <f>SUMIFS(Data!$F$2:$F$5761,Data!$A$2:$A$5761,$A39,Data!$B$2:$B$5761,AE$25)</f>
        <v>1276.6399999999999</v>
      </c>
      <c r="AF39">
        <f>SUMIFS(Data!$F$2:$F$5761,Data!$A$2:$A$5761,$A39,Data!$B$2:$B$5761,AF$25)</f>
        <v>1283.97</v>
      </c>
      <c r="AG39">
        <f>SUMIFS(Data!$F$2:$F$5761,Data!$A$2:$A$5761,$A39,Data!$B$2:$B$5761,AG$25)</f>
        <v>1293.8499999999999</v>
      </c>
      <c r="AH39">
        <f>SUMIFS(Data!$F$2:$F$5761,Data!$A$2:$A$5761,$A39,Data!$B$2:$B$5761,AH$25)</f>
        <v>1298.94</v>
      </c>
      <c r="AI39">
        <f>SUMIFS(Data!$F$2:$F$5761,Data!$A$2:$A$5761,$A39,Data!$B$2:$B$5761,AI$25)</f>
        <v>1312.08</v>
      </c>
      <c r="AJ39">
        <f>SUMIFS(Data!$F$2:$F$5761,Data!$A$2:$A$5761,$A39,Data!$B$2:$B$5761,AJ$25)</f>
        <v>1312.6799999999998</v>
      </c>
      <c r="AK39">
        <f>SUMIFS(Data!$F$2:$F$5761,Data!$A$2:$A$5761,$A39,Data!$B$2:$B$5761,AK$25)</f>
        <v>1327.04</v>
      </c>
    </row>
    <row r="40" spans="1:37" x14ac:dyDescent="0.25">
      <c r="A40" t="s">
        <v>38</v>
      </c>
      <c r="B40">
        <f>SUMIFS(Data!$F$2:$F$5761,Data!$A$2:$A$5761,$A40,Data!$B$2:$B$5761,B$25)</f>
        <v>1095.3599999999999</v>
      </c>
      <c r="C40">
        <f>SUMIFS(Data!$F$2:$F$5761,Data!$A$2:$A$5761,$A40,Data!$B$2:$B$5761,C$25)</f>
        <v>1100.04</v>
      </c>
      <c r="D40">
        <f>SUMIFS(Data!$F$2:$F$5761,Data!$A$2:$A$5761,$A40,Data!$B$2:$B$5761,D$25)</f>
        <v>1111.48</v>
      </c>
      <c r="E40">
        <f>SUMIFS(Data!$F$2:$F$5761,Data!$A$2:$A$5761,$A40,Data!$B$2:$B$5761,E$25)</f>
        <v>1113.1100000000001</v>
      </c>
      <c r="F40">
        <f>SUMIFS(Data!$F$2:$F$5761,Data!$A$2:$A$5761,$A40,Data!$B$2:$B$5761,F$25)</f>
        <v>1128.4199999999998</v>
      </c>
      <c r="G40">
        <f>SUMIFS(Data!$F$2:$F$5761,Data!$A$2:$A$5761,$A40,Data!$B$2:$B$5761,G$25)</f>
        <v>1140.73</v>
      </c>
      <c r="H40">
        <f>SUMIFS(Data!$F$2:$F$5761,Data!$A$2:$A$5761,$A40,Data!$B$2:$B$5761,H$25)</f>
        <v>1146.76</v>
      </c>
      <c r="I40">
        <f>SUMIFS(Data!$F$2:$F$5761,Data!$A$2:$A$5761,$A40,Data!$B$2:$B$5761,I$25)</f>
        <v>1154.93</v>
      </c>
      <c r="J40">
        <f>SUMIFS(Data!$F$2:$F$5761,Data!$A$2:$A$5761,$A40,Data!$B$2:$B$5761,J$25)</f>
        <v>1163.0700000000002</v>
      </c>
      <c r="K40">
        <f>SUMIFS(Data!$F$2:$F$5761,Data!$A$2:$A$5761,$A40,Data!$B$2:$B$5761,K$25)</f>
        <v>1174.96</v>
      </c>
      <c r="L40">
        <f>SUMIFS(Data!$F$2:$F$5761,Data!$A$2:$A$5761,$A40,Data!$B$2:$B$5761,L$25)</f>
        <v>1179.54</v>
      </c>
      <c r="M40">
        <f>SUMIFS(Data!$F$2:$F$5761,Data!$A$2:$A$5761,$A40,Data!$B$2:$B$5761,M$25)</f>
        <v>1186.6200000000001</v>
      </c>
      <c r="N40">
        <f>SUMIFS(Data!$F$2:$F$5761,Data!$A$2:$A$5761,$A40,Data!$B$2:$B$5761,N$25)</f>
        <v>1194.1600000000001</v>
      </c>
      <c r="O40">
        <f>SUMIFS(Data!$F$2:$F$5761,Data!$A$2:$A$5761,$A40,Data!$B$2:$B$5761,O$25)</f>
        <v>1207.06</v>
      </c>
      <c r="P40">
        <f>SUMIFS(Data!$F$2:$F$5761,Data!$A$2:$A$5761,$A40,Data!$B$2:$B$5761,P$25)</f>
        <v>1216.45</v>
      </c>
      <c r="Q40">
        <f>SUMIFS(Data!$F$2:$F$5761,Data!$A$2:$A$5761,$A40,Data!$B$2:$B$5761,Q$25)</f>
        <v>1219.06</v>
      </c>
      <c r="R40">
        <f>SUMIFS(Data!$F$2:$F$5761,Data!$A$2:$A$5761,$A40,Data!$B$2:$B$5761,R$25)</f>
        <v>1230.5100000000002</v>
      </c>
      <c r="S40">
        <f>SUMIFS(Data!$F$2:$F$5761,Data!$A$2:$A$5761,$A40,Data!$B$2:$B$5761,S$25)</f>
        <v>1237.0700000000002</v>
      </c>
      <c r="T40">
        <f>SUMIFS(Data!$F$2:$F$5761,Data!$A$2:$A$5761,$A40,Data!$B$2:$B$5761,T$25)</f>
        <v>1250.9000000000001</v>
      </c>
      <c r="U40">
        <f>SUMIFS(Data!$F$2:$F$5761,Data!$A$2:$A$5761,$A40,Data!$B$2:$B$5761,U$25)</f>
        <v>1256.57</v>
      </c>
      <c r="V40">
        <f>SUMIFS(Data!$F$2:$F$5761,Data!$A$2:$A$5761,$A40,Data!$B$2:$B$5761,V$25)</f>
        <v>1268.6699999999998</v>
      </c>
      <c r="W40">
        <f>SUMIFS(Data!$F$2:$F$5761,Data!$A$2:$A$5761,$A40,Data!$B$2:$B$5761,W$25)</f>
        <v>1273.0899999999999</v>
      </c>
      <c r="X40">
        <f>SUMIFS(Data!$F$2:$F$5761,Data!$A$2:$A$5761,$A40,Data!$B$2:$B$5761,X$25)</f>
        <v>1284.0899999999999</v>
      </c>
      <c r="Y40">
        <f>SUMIFS(Data!$F$2:$F$5761,Data!$A$2:$A$5761,$A40,Data!$B$2:$B$5761,Y$25)</f>
        <v>1295.8200000000002</v>
      </c>
      <c r="Z40">
        <f>SUMIFS(Data!$F$2:$F$5761,Data!$A$2:$A$5761,$A40,Data!$B$2:$B$5761,Z$25)</f>
        <v>1297.99</v>
      </c>
      <c r="AA40">
        <f>SUMIFS(Data!$F$2:$F$5761,Data!$A$2:$A$5761,$A40,Data!$B$2:$B$5761,AA$25)</f>
        <v>1308.9099999999999</v>
      </c>
      <c r="AB40">
        <f>SUMIFS(Data!$F$2:$F$5761,Data!$A$2:$A$5761,$A40,Data!$B$2:$B$5761,AB$25)</f>
        <v>1318.08</v>
      </c>
      <c r="AC40">
        <f>SUMIFS(Data!$F$2:$F$5761,Data!$A$2:$A$5761,$A40,Data!$B$2:$B$5761,AC$25)</f>
        <v>1322.5300000000002</v>
      </c>
      <c r="AD40">
        <f>SUMIFS(Data!$F$2:$F$5761,Data!$A$2:$A$5761,$A40,Data!$B$2:$B$5761,AD$25)</f>
        <v>1335.79</v>
      </c>
      <c r="AE40">
        <f>SUMIFS(Data!$F$2:$F$5761,Data!$A$2:$A$5761,$A40,Data!$B$2:$B$5761,AE$25)</f>
        <v>1342.7800000000002</v>
      </c>
      <c r="AF40">
        <f>SUMIFS(Data!$F$2:$F$5761,Data!$A$2:$A$5761,$A40,Data!$B$2:$B$5761,AF$25)</f>
        <v>1352.88</v>
      </c>
      <c r="AG40">
        <f>SUMIFS(Data!$F$2:$F$5761,Data!$A$2:$A$5761,$A40,Data!$B$2:$B$5761,AG$25)</f>
        <v>1360.96</v>
      </c>
      <c r="AH40">
        <f>SUMIFS(Data!$F$2:$F$5761,Data!$A$2:$A$5761,$A40,Data!$B$2:$B$5761,AH$25)</f>
        <v>1371.09</v>
      </c>
      <c r="AI40">
        <f>SUMIFS(Data!$F$2:$F$5761,Data!$A$2:$A$5761,$A40,Data!$B$2:$B$5761,AI$25)</f>
        <v>1379.19</v>
      </c>
      <c r="AJ40">
        <f>SUMIFS(Data!$F$2:$F$5761,Data!$A$2:$A$5761,$A40,Data!$B$2:$B$5761,AJ$25)</f>
        <v>1387.24</v>
      </c>
      <c r="AK40">
        <f>SUMIFS(Data!$F$2:$F$5761,Data!$A$2:$A$5761,$A40,Data!$B$2:$B$5761,AK$25)</f>
        <v>1392.56</v>
      </c>
    </row>
    <row r="41" spans="1:37" x14ac:dyDescent="0.25">
      <c r="A41" t="s">
        <v>39</v>
      </c>
      <c r="B41">
        <f>SUMIFS(Data!$F$2:$F$5761,Data!$A$2:$A$5761,$A41,Data!$B$2:$B$5761,B$25)</f>
        <v>1148.7</v>
      </c>
      <c r="C41">
        <f>SUMIFS(Data!$F$2:$F$5761,Data!$A$2:$A$5761,$A41,Data!$B$2:$B$5761,C$25)</f>
        <v>1156.2900000000002</v>
      </c>
      <c r="D41">
        <f>SUMIFS(Data!$F$2:$F$5761,Data!$A$2:$A$5761,$A41,Data!$B$2:$B$5761,D$25)</f>
        <v>1164.6599999999999</v>
      </c>
      <c r="E41">
        <f>SUMIFS(Data!$F$2:$F$5761,Data!$A$2:$A$5761,$A41,Data!$B$2:$B$5761,E$25)</f>
        <v>1172.3800000000001</v>
      </c>
      <c r="F41">
        <f>SUMIFS(Data!$F$2:$F$5761,Data!$A$2:$A$5761,$A41,Data!$B$2:$B$5761,F$25)</f>
        <v>1186.1500000000001</v>
      </c>
      <c r="G41">
        <f>SUMIFS(Data!$F$2:$F$5761,Data!$A$2:$A$5761,$A41,Data!$B$2:$B$5761,G$25)</f>
        <v>1198.5500000000002</v>
      </c>
      <c r="H41">
        <f>SUMIFS(Data!$F$2:$F$5761,Data!$A$2:$A$5761,$A41,Data!$B$2:$B$5761,H$25)</f>
        <v>1207.3</v>
      </c>
      <c r="I41">
        <f>SUMIFS(Data!$F$2:$F$5761,Data!$A$2:$A$5761,$A41,Data!$B$2:$B$5761,I$25)</f>
        <v>1213.25</v>
      </c>
      <c r="J41">
        <f>SUMIFS(Data!$F$2:$F$5761,Data!$A$2:$A$5761,$A41,Data!$B$2:$B$5761,J$25)</f>
        <v>1221.4099999999999</v>
      </c>
      <c r="K41">
        <f>SUMIFS(Data!$F$2:$F$5761,Data!$A$2:$A$5761,$A41,Data!$B$2:$B$5761,K$25)</f>
        <v>1229.92</v>
      </c>
      <c r="L41">
        <f>SUMIFS(Data!$F$2:$F$5761,Data!$A$2:$A$5761,$A41,Data!$B$2:$B$5761,L$25)</f>
        <v>1235.97</v>
      </c>
      <c r="M41">
        <f>SUMIFS(Data!$F$2:$F$5761,Data!$A$2:$A$5761,$A41,Data!$B$2:$B$5761,M$25)</f>
        <v>1245.3899999999999</v>
      </c>
      <c r="N41">
        <f>SUMIFS(Data!$F$2:$F$5761,Data!$A$2:$A$5761,$A41,Data!$B$2:$B$5761,N$25)</f>
        <v>1260.8899999999999</v>
      </c>
      <c r="O41">
        <f>SUMIFS(Data!$F$2:$F$5761,Data!$A$2:$A$5761,$A41,Data!$B$2:$B$5761,O$25)</f>
        <v>1269.17</v>
      </c>
      <c r="P41">
        <f>SUMIFS(Data!$F$2:$F$5761,Data!$A$2:$A$5761,$A41,Data!$B$2:$B$5761,P$25)</f>
        <v>1278.02</v>
      </c>
      <c r="Q41">
        <f>SUMIFS(Data!$F$2:$F$5761,Data!$A$2:$A$5761,$A41,Data!$B$2:$B$5761,Q$25)</f>
        <v>1282.42</v>
      </c>
      <c r="R41">
        <f>SUMIFS(Data!$F$2:$F$5761,Data!$A$2:$A$5761,$A41,Data!$B$2:$B$5761,R$25)</f>
        <v>1290.98</v>
      </c>
      <c r="S41">
        <f>SUMIFS(Data!$F$2:$F$5761,Data!$A$2:$A$5761,$A41,Data!$B$2:$B$5761,S$25)</f>
        <v>1302.77</v>
      </c>
      <c r="T41">
        <f>SUMIFS(Data!$F$2:$F$5761,Data!$A$2:$A$5761,$A41,Data!$B$2:$B$5761,T$25)</f>
        <v>1305.81</v>
      </c>
      <c r="U41">
        <f>SUMIFS(Data!$F$2:$F$5761,Data!$A$2:$A$5761,$A41,Data!$B$2:$B$5761,U$25)</f>
        <v>1324.8</v>
      </c>
      <c r="V41">
        <f>SUMIFS(Data!$F$2:$F$5761,Data!$A$2:$A$5761,$A41,Data!$B$2:$B$5761,V$25)</f>
        <v>1330.1000000000001</v>
      </c>
      <c r="W41">
        <f>SUMIFS(Data!$F$2:$F$5761,Data!$A$2:$A$5761,$A41,Data!$B$2:$B$5761,W$25)</f>
        <v>1339.6</v>
      </c>
      <c r="X41">
        <f>SUMIFS(Data!$F$2:$F$5761,Data!$A$2:$A$5761,$A41,Data!$B$2:$B$5761,X$25)</f>
        <v>1345.72</v>
      </c>
      <c r="Y41">
        <f>SUMIFS(Data!$F$2:$F$5761,Data!$A$2:$A$5761,$A41,Data!$B$2:$B$5761,Y$25)</f>
        <v>1357.9099999999999</v>
      </c>
      <c r="Z41">
        <f>SUMIFS(Data!$F$2:$F$5761,Data!$A$2:$A$5761,$A41,Data!$B$2:$B$5761,Z$25)</f>
        <v>1361.1699999999998</v>
      </c>
      <c r="AA41">
        <f>SUMIFS(Data!$F$2:$F$5761,Data!$A$2:$A$5761,$A41,Data!$B$2:$B$5761,AA$25)</f>
        <v>1380.94</v>
      </c>
      <c r="AB41">
        <f>SUMIFS(Data!$F$2:$F$5761,Data!$A$2:$A$5761,$A41,Data!$B$2:$B$5761,AB$25)</f>
        <v>1384.4599999999998</v>
      </c>
      <c r="AC41">
        <f>SUMIFS(Data!$F$2:$F$5761,Data!$A$2:$A$5761,$A41,Data!$B$2:$B$5761,AC$25)</f>
        <v>1394.3400000000001</v>
      </c>
      <c r="AD41">
        <f>SUMIFS(Data!$F$2:$F$5761,Data!$A$2:$A$5761,$A41,Data!$B$2:$B$5761,AD$25)</f>
        <v>1401.77</v>
      </c>
      <c r="AE41">
        <f>SUMIFS(Data!$F$2:$F$5761,Data!$A$2:$A$5761,$A41,Data!$B$2:$B$5761,AE$25)</f>
        <v>1406.3700000000001</v>
      </c>
      <c r="AF41">
        <f>SUMIFS(Data!$F$2:$F$5761,Data!$A$2:$A$5761,$A41,Data!$B$2:$B$5761,AF$25)</f>
        <v>1423.9599999999998</v>
      </c>
      <c r="AG41">
        <f>SUMIFS(Data!$F$2:$F$5761,Data!$A$2:$A$5761,$A41,Data!$B$2:$B$5761,AG$25)</f>
        <v>1429.9</v>
      </c>
      <c r="AH41">
        <f>SUMIFS(Data!$F$2:$F$5761,Data!$A$2:$A$5761,$A41,Data!$B$2:$B$5761,AH$25)</f>
        <v>1440.08</v>
      </c>
      <c r="AI41">
        <f>SUMIFS(Data!$F$2:$F$5761,Data!$A$2:$A$5761,$A41,Data!$B$2:$B$5761,AI$25)</f>
        <v>1447.54</v>
      </c>
      <c r="AJ41">
        <f>SUMIFS(Data!$F$2:$F$5761,Data!$A$2:$A$5761,$A41,Data!$B$2:$B$5761,AJ$25)</f>
        <v>1461.56</v>
      </c>
      <c r="AK41">
        <f>SUMIFS(Data!$F$2:$F$5761,Data!$A$2:$A$5761,$A41,Data!$B$2:$B$5761,AK$25)</f>
        <v>1468.62</v>
      </c>
    </row>
    <row r="42" spans="1:37" x14ac:dyDescent="0.25">
      <c r="A42" t="s">
        <v>40</v>
      </c>
      <c r="B42">
        <f>SUMIFS(Data!$F$2:$F$5761,Data!$A$2:$A$5761,$A42,Data!$B$2:$B$5761,B$25)</f>
        <v>1204.8200000000002</v>
      </c>
      <c r="C42">
        <f>SUMIFS(Data!$F$2:$F$5761,Data!$A$2:$A$5761,$A42,Data!$B$2:$B$5761,C$25)</f>
        <v>1214.73</v>
      </c>
      <c r="D42">
        <f>SUMIFS(Data!$F$2:$F$5761,Data!$A$2:$A$5761,$A42,Data!$B$2:$B$5761,D$25)</f>
        <v>1217.3400000000001</v>
      </c>
      <c r="E42">
        <f>SUMIFS(Data!$F$2:$F$5761,Data!$A$2:$A$5761,$A42,Data!$B$2:$B$5761,E$25)</f>
        <v>1234.55</v>
      </c>
      <c r="F42">
        <f>SUMIFS(Data!$F$2:$F$5761,Data!$A$2:$A$5761,$A42,Data!$B$2:$B$5761,F$25)</f>
        <v>1242.24</v>
      </c>
      <c r="G42">
        <f>SUMIFS(Data!$F$2:$F$5761,Data!$A$2:$A$5761,$A42,Data!$B$2:$B$5761,G$25)</f>
        <v>1250.8799999999999</v>
      </c>
      <c r="H42">
        <f>SUMIFS(Data!$F$2:$F$5761,Data!$A$2:$A$5761,$A42,Data!$B$2:$B$5761,H$25)</f>
        <v>1258.05</v>
      </c>
      <c r="I42">
        <f>SUMIFS(Data!$F$2:$F$5761,Data!$A$2:$A$5761,$A42,Data!$B$2:$B$5761,I$25)</f>
        <v>1267.0899999999999</v>
      </c>
      <c r="J42">
        <f>SUMIFS(Data!$F$2:$F$5761,Data!$A$2:$A$5761,$A42,Data!$B$2:$B$5761,J$25)</f>
        <v>1278.95</v>
      </c>
      <c r="K42">
        <f>SUMIFS(Data!$F$2:$F$5761,Data!$A$2:$A$5761,$A42,Data!$B$2:$B$5761,K$25)</f>
        <v>1291.22</v>
      </c>
      <c r="L42">
        <f>SUMIFS(Data!$F$2:$F$5761,Data!$A$2:$A$5761,$A42,Data!$B$2:$B$5761,L$25)</f>
        <v>1295.7199999999998</v>
      </c>
      <c r="M42">
        <f>SUMIFS(Data!$F$2:$F$5761,Data!$A$2:$A$5761,$A42,Data!$B$2:$B$5761,M$25)</f>
        <v>1301.8599999999999</v>
      </c>
      <c r="N42">
        <f>SUMIFS(Data!$F$2:$F$5761,Data!$A$2:$A$5761,$A42,Data!$B$2:$B$5761,N$25)</f>
        <v>1321.49</v>
      </c>
      <c r="O42">
        <f>SUMIFS(Data!$F$2:$F$5761,Data!$A$2:$A$5761,$A42,Data!$B$2:$B$5761,O$25)</f>
        <v>1324.81</v>
      </c>
      <c r="P42">
        <f>SUMIFS(Data!$F$2:$F$5761,Data!$A$2:$A$5761,$A42,Data!$B$2:$B$5761,P$25)</f>
        <v>1334.6200000000001</v>
      </c>
      <c r="Q42">
        <f>SUMIFS(Data!$F$2:$F$5761,Data!$A$2:$A$5761,$A42,Data!$B$2:$B$5761,Q$25)</f>
        <v>1347.28</v>
      </c>
      <c r="R42">
        <f>SUMIFS(Data!$F$2:$F$5761,Data!$A$2:$A$5761,$A42,Data!$B$2:$B$5761,R$25)</f>
        <v>1356.2800000000002</v>
      </c>
      <c r="S42">
        <f>SUMIFS(Data!$F$2:$F$5761,Data!$A$2:$A$5761,$A42,Data!$B$2:$B$5761,S$25)</f>
        <v>1365.5</v>
      </c>
      <c r="T42">
        <f>SUMIFS(Data!$F$2:$F$5761,Data!$A$2:$A$5761,$A42,Data!$B$2:$B$5761,T$25)</f>
        <v>1372.1</v>
      </c>
      <c r="U42">
        <f>SUMIFS(Data!$F$2:$F$5761,Data!$A$2:$A$5761,$A42,Data!$B$2:$B$5761,U$25)</f>
        <v>1378.29</v>
      </c>
      <c r="V42">
        <f>SUMIFS(Data!$F$2:$F$5761,Data!$A$2:$A$5761,$A42,Data!$B$2:$B$5761,V$25)</f>
        <v>1390.74</v>
      </c>
      <c r="W42">
        <f>SUMIFS(Data!$F$2:$F$5761,Data!$A$2:$A$5761,$A42,Data!$B$2:$B$5761,W$25)</f>
        <v>1400.62</v>
      </c>
      <c r="X42">
        <f>SUMIFS(Data!$F$2:$F$5761,Data!$A$2:$A$5761,$A42,Data!$B$2:$B$5761,X$25)</f>
        <v>1413.9299999999998</v>
      </c>
      <c r="Y42">
        <f>SUMIFS(Data!$F$2:$F$5761,Data!$A$2:$A$5761,$A42,Data!$B$2:$B$5761,Y$25)</f>
        <v>1418.28</v>
      </c>
      <c r="Z42">
        <f>SUMIFS(Data!$F$2:$F$5761,Data!$A$2:$A$5761,$A42,Data!$B$2:$B$5761,Z$25)</f>
        <v>1429.37</v>
      </c>
      <c r="AA42">
        <f>SUMIFS(Data!$F$2:$F$5761,Data!$A$2:$A$5761,$A42,Data!$B$2:$B$5761,AA$25)</f>
        <v>1440.1200000000001</v>
      </c>
      <c r="AB42">
        <f>SUMIFS(Data!$F$2:$F$5761,Data!$A$2:$A$5761,$A42,Data!$B$2:$B$5761,AB$25)</f>
        <v>1446.4499999999998</v>
      </c>
      <c r="AC42">
        <f>SUMIFS(Data!$F$2:$F$5761,Data!$A$2:$A$5761,$A42,Data!$B$2:$B$5761,AC$25)</f>
        <v>1458.21</v>
      </c>
      <c r="AD42">
        <f>SUMIFS(Data!$F$2:$F$5761,Data!$A$2:$A$5761,$A42,Data!$B$2:$B$5761,AD$25)</f>
        <v>1464.85</v>
      </c>
      <c r="AE42">
        <f>SUMIFS(Data!$F$2:$F$5761,Data!$A$2:$A$5761,$A42,Data!$B$2:$B$5761,AE$25)</f>
        <v>1484.77</v>
      </c>
      <c r="AF42">
        <f>SUMIFS(Data!$F$2:$F$5761,Data!$A$2:$A$5761,$A42,Data!$B$2:$B$5761,AF$25)</f>
        <v>1489.02</v>
      </c>
      <c r="AG42">
        <f>SUMIFS(Data!$F$2:$F$5761,Data!$A$2:$A$5761,$A42,Data!$B$2:$B$5761,AG$25)</f>
        <v>1498.0100000000002</v>
      </c>
      <c r="AH42">
        <f>SUMIFS(Data!$F$2:$F$5761,Data!$A$2:$A$5761,$A42,Data!$B$2:$B$5761,AH$25)</f>
        <v>1508.11</v>
      </c>
      <c r="AI42">
        <f>SUMIFS(Data!$F$2:$F$5761,Data!$A$2:$A$5761,$A42,Data!$B$2:$B$5761,AI$25)</f>
        <v>1517.39</v>
      </c>
      <c r="AJ42">
        <f>SUMIFS(Data!$F$2:$F$5761,Data!$A$2:$A$5761,$A42,Data!$B$2:$B$5761,AJ$25)</f>
        <v>1527.49</v>
      </c>
      <c r="AK42">
        <f>SUMIFS(Data!$F$2:$F$5761,Data!$A$2:$A$5761,$A42,Data!$B$2:$B$5761,AK$25)</f>
        <v>1535.73</v>
      </c>
    </row>
    <row r="43" spans="1:37" x14ac:dyDescent="0.25">
      <c r="A43" t="s">
        <v>42</v>
      </c>
      <c r="B43">
        <f>SUMIFS(Data!$F$2:$F$5761,Data!$A$2:$A$5761,$A43,Data!$B$2:$B$5761,B$25)</f>
        <v>1259.3400000000001</v>
      </c>
      <c r="C43">
        <f>SUMIFS(Data!$F$2:$F$5761,Data!$A$2:$A$5761,$A43,Data!$B$2:$B$5761,C$25)</f>
        <v>1262.92</v>
      </c>
      <c r="D43">
        <f>SUMIFS(Data!$F$2:$F$5761,Data!$A$2:$A$5761,$A43,Data!$B$2:$B$5761,D$25)</f>
        <v>1273.78</v>
      </c>
      <c r="E43">
        <f>SUMIFS(Data!$F$2:$F$5761,Data!$A$2:$A$5761,$A43,Data!$B$2:$B$5761,E$25)</f>
        <v>1284.33</v>
      </c>
      <c r="F43">
        <f>SUMIFS(Data!$F$2:$F$5761,Data!$A$2:$A$5761,$A43,Data!$B$2:$B$5761,F$25)</f>
        <v>1299.72</v>
      </c>
      <c r="G43">
        <f>SUMIFS(Data!$F$2:$F$5761,Data!$A$2:$A$5761,$A43,Data!$B$2:$B$5761,G$25)</f>
        <v>1303.8599999999999</v>
      </c>
      <c r="H43">
        <f>SUMIFS(Data!$F$2:$F$5761,Data!$A$2:$A$5761,$A43,Data!$B$2:$B$5761,H$25)</f>
        <v>1320.58</v>
      </c>
      <c r="I43">
        <f>SUMIFS(Data!$F$2:$F$5761,Data!$A$2:$A$5761,$A43,Data!$B$2:$B$5761,I$25)</f>
        <v>1329.74</v>
      </c>
      <c r="J43">
        <f>SUMIFS(Data!$F$2:$F$5761,Data!$A$2:$A$5761,$A43,Data!$B$2:$B$5761,J$25)</f>
        <v>1334.03</v>
      </c>
      <c r="K43">
        <f>SUMIFS(Data!$F$2:$F$5761,Data!$A$2:$A$5761,$A43,Data!$B$2:$B$5761,K$25)</f>
        <v>1347.12</v>
      </c>
      <c r="L43">
        <f>SUMIFS(Data!$F$2:$F$5761,Data!$A$2:$A$5761,$A43,Data!$B$2:$B$5761,L$25)</f>
        <v>1358.31</v>
      </c>
      <c r="M43">
        <f>SUMIFS(Data!$F$2:$F$5761,Data!$A$2:$A$5761,$A43,Data!$B$2:$B$5761,M$25)</f>
        <v>1368.8300000000002</v>
      </c>
      <c r="N43">
        <f>SUMIFS(Data!$F$2:$F$5761,Data!$A$2:$A$5761,$A43,Data!$B$2:$B$5761,N$25)</f>
        <v>1379.58</v>
      </c>
      <c r="O43">
        <f>SUMIFS(Data!$F$2:$F$5761,Data!$A$2:$A$5761,$A43,Data!$B$2:$B$5761,O$25)</f>
        <v>1381.0900000000001</v>
      </c>
      <c r="P43">
        <f>SUMIFS(Data!$F$2:$F$5761,Data!$A$2:$A$5761,$A43,Data!$B$2:$B$5761,P$25)</f>
        <v>1390.4</v>
      </c>
      <c r="Q43">
        <f>SUMIFS(Data!$F$2:$F$5761,Data!$A$2:$A$5761,$A43,Data!$B$2:$B$5761,Q$25)</f>
        <v>1406.9699999999998</v>
      </c>
      <c r="R43">
        <f>SUMIFS(Data!$F$2:$F$5761,Data!$A$2:$A$5761,$A43,Data!$B$2:$B$5761,R$25)</f>
        <v>1417.66</v>
      </c>
      <c r="S43">
        <f>SUMIFS(Data!$F$2:$F$5761,Data!$A$2:$A$5761,$A43,Data!$B$2:$B$5761,S$25)</f>
        <v>1426.35</v>
      </c>
      <c r="T43">
        <f>SUMIFS(Data!$F$2:$F$5761,Data!$A$2:$A$5761,$A43,Data!$B$2:$B$5761,T$25)</f>
        <v>1431.6799999999998</v>
      </c>
      <c r="U43">
        <f>SUMIFS(Data!$F$2:$F$5761,Data!$A$2:$A$5761,$A43,Data!$B$2:$B$5761,U$25)</f>
        <v>1445.05</v>
      </c>
      <c r="V43">
        <f>SUMIFS(Data!$F$2:$F$5761,Data!$A$2:$A$5761,$A43,Data!$B$2:$B$5761,V$25)</f>
        <v>1446.6899999999998</v>
      </c>
      <c r="W43">
        <f>SUMIFS(Data!$F$2:$F$5761,Data!$A$2:$A$5761,$A43,Data!$B$2:$B$5761,W$25)</f>
        <v>1467.1299999999999</v>
      </c>
      <c r="X43">
        <f>SUMIFS(Data!$F$2:$F$5761,Data!$A$2:$A$5761,$A43,Data!$B$2:$B$5761,X$25)</f>
        <v>1474.15</v>
      </c>
      <c r="Y43">
        <f>SUMIFS(Data!$F$2:$F$5761,Data!$A$2:$A$5761,$A43,Data!$B$2:$B$5761,Y$25)</f>
        <v>1486.25</v>
      </c>
      <c r="Z43">
        <f>SUMIFS(Data!$F$2:$F$5761,Data!$A$2:$A$5761,$A43,Data!$B$2:$B$5761,Z$25)</f>
        <v>1497.94</v>
      </c>
      <c r="AA43">
        <f>SUMIFS(Data!$F$2:$F$5761,Data!$A$2:$A$5761,$A43,Data!$B$2:$B$5761,AA$25)</f>
        <v>1503.67</v>
      </c>
      <c r="AB43">
        <f>SUMIFS(Data!$F$2:$F$5761,Data!$A$2:$A$5761,$A43,Data!$B$2:$B$5761,AB$25)</f>
        <v>1516.6</v>
      </c>
      <c r="AC43">
        <f>SUMIFS(Data!$F$2:$F$5761,Data!$A$2:$A$5761,$A43,Data!$B$2:$B$5761,AC$25)</f>
        <v>1522.5300000000002</v>
      </c>
      <c r="AD43">
        <f>SUMIFS(Data!$F$2:$F$5761,Data!$A$2:$A$5761,$A43,Data!$B$2:$B$5761,AD$25)</f>
        <v>1536.95</v>
      </c>
      <c r="AE43">
        <f>SUMIFS(Data!$F$2:$F$5761,Data!$A$2:$A$5761,$A43,Data!$B$2:$B$5761,AE$25)</f>
        <v>1546.53</v>
      </c>
      <c r="AF43">
        <f>SUMIFS(Data!$F$2:$F$5761,Data!$A$2:$A$5761,$A43,Data!$B$2:$B$5761,AF$25)</f>
        <v>1560.06</v>
      </c>
      <c r="AG43">
        <f>SUMIFS(Data!$F$2:$F$5761,Data!$A$2:$A$5761,$A43,Data!$B$2:$B$5761,AG$25)</f>
        <v>1563.54</v>
      </c>
      <c r="AH43">
        <f>SUMIFS(Data!$F$2:$F$5761,Data!$A$2:$A$5761,$A43,Data!$B$2:$B$5761,AH$25)</f>
        <v>1575.04</v>
      </c>
      <c r="AI43">
        <f>SUMIFS(Data!$F$2:$F$5761,Data!$A$2:$A$5761,$A43,Data!$B$2:$B$5761,AI$25)</f>
        <v>1586.2600000000002</v>
      </c>
      <c r="AJ43">
        <f>SUMIFS(Data!$F$2:$F$5761,Data!$A$2:$A$5761,$A43,Data!$B$2:$B$5761,AJ$25)</f>
        <v>1599.42</v>
      </c>
      <c r="AK43">
        <f>SUMIFS(Data!$F$2:$F$5761,Data!$A$2:$A$5761,$A43,Data!$B$2:$B$5761,AK$25)</f>
        <v>1603.5700000000002</v>
      </c>
    </row>
    <row r="44" spans="1:37" x14ac:dyDescent="0.25">
      <c r="A44" t="s">
        <v>43</v>
      </c>
      <c r="B44">
        <f>SUMIFS(Data!$F$2:$F$5761,Data!$A$2:$A$5761,$A44,Data!$B$2:$B$5761,B$25)</f>
        <v>1309</v>
      </c>
      <c r="C44">
        <f>SUMIFS(Data!$F$2:$F$5761,Data!$A$2:$A$5761,$A44,Data!$B$2:$B$5761,C$25)</f>
        <v>1323.14</v>
      </c>
      <c r="D44">
        <f>SUMIFS(Data!$F$2:$F$5761,Data!$A$2:$A$5761,$A44,Data!$B$2:$B$5761,D$25)</f>
        <v>1327.6799999999998</v>
      </c>
      <c r="E44">
        <f>SUMIFS(Data!$F$2:$F$5761,Data!$A$2:$A$5761,$A44,Data!$B$2:$B$5761,E$25)</f>
        <v>1347.35</v>
      </c>
      <c r="F44">
        <f>SUMIFS(Data!$F$2:$F$5761,Data!$A$2:$A$5761,$A44,Data!$B$2:$B$5761,F$25)</f>
        <v>1352.22</v>
      </c>
      <c r="G44">
        <f>SUMIFS(Data!$F$2:$F$5761,Data!$A$2:$A$5761,$A44,Data!$B$2:$B$5761,G$25)</f>
        <v>1366.6200000000001</v>
      </c>
      <c r="H44">
        <f>SUMIFS(Data!$F$2:$F$5761,Data!$A$2:$A$5761,$A44,Data!$B$2:$B$5761,H$25)</f>
        <v>1373.3799999999999</v>
      </c>
      <c r="I44">
        <f>SUMIFS(Data!$F$2:$F$5761,Data!$A$2:$A$5761,$A44,Data!$B$2:$B$5761,I$25)</f>
        <v>1386.4300000000003</v>
      </c>
      <c r="J44">
        <f>SUMIFS(Data!$F$2:$F$5761,Data!$A$2:$A$5761,$A44,Data!$B$2:$B$5761,J$25)</f>
        <v>1401.73</v>
      </c>
      <c r="K44">
        <f>SUMIFS(Data!$F$2:$F$5761,Data!$A$2:$A$5761,$A44,Data!$B$2:$B$5761,K$25)</f>
        <v>1402.38</v>
      </c>
      <c r="L44">
        <f>SUMIFS(Data!$F$2:$F$5761,Data!$A$2:$A$5761,$A44,Data!$B$2:$B$5761,L$25)</f>
        <v>1421.34</v>
      </c>
      <c r="M44">
        <f>SUMIFS(Data!$F$2:$F$5761,Data!$A$2:$A$5761,$A44,Data!$B$2:$B$5761,M$25)</f>
        <v>1428.96</v>
      </c>
      <c r="N44">
        <f>SUMIFS(Data!$F$2:$F$5761,Data!$A$2:$A$5761,$A44,Data!$B$2:$B$5761,N$25)</f>
        <v>1438.33</v>
      </c>
      <c r="O44">
        <f>SUMIFS(Data!$F$2:$F$5761,Data!$A$2:$A$5761,$A44,Data!$B$2:$B$5761,O$25)</f>
        <v>1448.0099999999998</v>
      </c>
      <c r="P44">
        <f>SUMIFS(Data!$F$2:$F$5761,Data!$A$2:$A$5761,$A44,Data!$B$2:$B$5761,P$25)</f>
        <v>1456.78</v>
      </c>
      <c r="Q44">
        <f>SUMIFS(Data!$F$2:$F$5761,Data!$A$2:$A$5761,$A44,Data!$B$2:$B$5761,Q$25)</f>
        <v>1467.22</v>
      </c>
      <c r="R44">
        <f>SUMIFS(Data!$F$2:$F$5761,Data!$A$2:$A$5761,$A44,Data!$B$2:$B$5761,R$25)</f>
        <v>1480.6</v>
      </c>
      <c r="S44">
        <f>SUMIFS(Data!$F$2:$F$5761,Data!$A$2:$A$5761,$A44,Data!$B$2:$B$5761,S$25)</f>
        <v>1486.31</v>
      </c>
      <c r="T44">
        <f>SUMIFS(Data!$F$2:$F$5761,Data!$A$2:$A$5761,$A44,Data!$B$2:$B$5761,T$25)</f>
        <v>1502.62</v>
      </c>
      <c r="U44">
        <f>SUMIFS(Data!$F$2:$F$5761,Data!$A$2:$A$5761,$A44,Data!$B$2:$B$5761,U$25)</f>
        <v>1509.5</v>
      </c>
      <c r="V44">
        <f>SUMIFS(Data!$F$2:$F$5761,Data!$A$2:$A$5761,$A44,Data!$B$2:$B$5761,V$25)</f>
        <v>1511.3500000000001</v>
      </c>
      <c r="W44">
        <f>SUMIFS(Data!$F$2:$F$5761,Data!$A$2:$A$5761,$A44,Data!$B$2:$B$5761,W$25)</f>
        <v>1529.6000000000001</v>
      </c>
      <c r="X44">
        <f>SUMIFS(Data!$F$2:$F$5761,Data!$A$2:$A$5761,$A44,Data!$B$2:$B$5761,X$25)</f>
        <v>1540.04</v>
      </c>
      <c r="Y44">
        <f>SUMIFS(Data!$F$2:$F$5761,Data!$A$2:$A$5761,$A44,Data!$B$2:$B$5761,Y$25)</f>
        <v>1556.0700000000002</v>
      </c>
      <c r="Z44">
        <f>SUMIFS(Data!$F$2:$F$5761,Data!$A$2:$A$5761,$A44,Data!$B$2:$B$5761,Z$25)</f>
        <v>1562.35</v>
      </c>
      <c r="AA44">
        <f>SUMIFS(Data!$F$2:$F$5761,Data!$A$2:$A$5761,$A44,Data!$B$2:$B$5761,AA$25)</f>
        <v>1567.08</v>
      </c>
      <c r="AB44">
        <f>SUMIFS(Data!$F$2:$F$5761,Data!$A$2:$A$5761,$A44,Data!$B$2:$B$5761,AB$25)</f>
        <v>1580.23</v>
      </c>
      <c r="AC44">
        <f>SUMIFS(Data!$F$2:$F$5761,Data!$A$2:$A$5761,$A44,Data!$B$2:$B$5761,AC$25)</f>
        <v>1588.5800000000002</v>
      </c>
      <c r="AD44">
        <f>SUMIFS(Data!$F$2:$F$5761,Data!$A$2:$A$5761,$A44,Data!$B$2:$B$5761,AD$25)</f>
        <v>1608.45</v>
      </c>
      <c r="AE44">
        <f>SUMIFS(Data!$F$2:$F$5761,Data!$A$2:$A$5761,$A44,Data!$B$2:$B$5761,AE$25)</f>
        <v>1612.3500000000001</v>
      </c>
      <c r="AF44">
        <f>SUMIFS(Data!$F$2:$F$5761,Data!$A$2:$A$5761,$A44,Data!$B$2:$B$5761,AF$25)</f>
        <v>1622.8200000000002</v>
      </c>
      <c r="AG44">
        <f>SUMIFS(Data!$F$2:$F$5761,Data!$A$2:$A$5761,$A44,Data!$B$2:$B$5761,AG$25)</f>
        <v>1636.7000000000003</v>
      </c>
      <c r="AH44">
        <f>SUMIFS(Data!$F$2:$F$5761,Data!$A$2:$A$5761,$A44,Data!$B$2:$B$5761,AH$25)</f>
        <v>1644.49</v>
      </c>
      <c r="AI44">
        <f>SUMIFS(Data!$F$2:$F$5761,Data!$A$2:$A$5761,$A44,Data!$B$2:$B$5761,AI$25)</f>
        <v>1658.8899999999999</v>
      </c>
      <c r="AJ44">
        <f>SUMIFS(Data!$F$2:$F$5761,Data!$A$2:$A$5761,$A44,Data!$B$2:$B$5761,AJ$25)</f>
        <v>1669.52</v>
      </c>
      <c r="AK44">
        <f>SUMIFS(Data!$F$2:$F$5761,Data!$A$2:$A$5761,$A44,Data!$B$2:$B$5761,AK$25)</f>
        <v>1675.15</v>
      </c>
    </row>
    <row r="45" spans="1:37" x14ac:dyDescent="0.25">
      <c r="A45" t="s">
        <v>44</v>
      </c>
      <c r="B45">
        <f>SUMIFS(Data!$F$2:$F$5761,Data!$A$2:$A$5761,$A45,Data!$B$2:$B$5761,B$25)</f>
        <v>1369.14</v>
      </c>
      <c r="C45">
        <f>SUMIFS(Data!$F$2:$F$5761,Data!$A$2:$A$5761,$A45,Data!$B$2:$B$5761,C$25)</f>
        <v>1380.21</v>
      </c>
      <c r="D45">
        <f>SUMIFS(Data!$F$2:$F$5761,Data!$A$2:$A$5761,$A45,Data!$B$2:$B$5761,D$25)</f>
        <v>1385.8200000000002</v>
      </c>
      <c r="E45">
        <f>SUMIFS(Data!$F$2:$F$5761,Data!$A$2:$A$5761,$A45,Data!$B$2:$B$5761,E$25)</f>
        <v>1400.76</v>
      </c>
      <c r="F45">
        <f>SUMIFS(Data!$F$2:$F$5761,Data!$A$2:$A$5761,$A45,Data!$B$2:$B$5761,F$25)</f>
        <v>1408.96</v>
      </c>
      <c r="G45">
        <f>SUMIFS(Data!$F$2:$F$5761,Data!$A$2:$A$5761,$A45,Data!$B$2:$B$5761,G$25)</f>
        <v>1425.71</v>
      </c>
      <c r="H45">
        <f>SUMIFS(Data!$F$2:$F$5761,Data!$A$2:$A$5761,$A45,Data!$B$2:$B$5761,H$25)</f>
        <v>1433.29</v>
      </c>
      <c r="I45">
        <f>SUMIFS(Data!$F$2:$F$5761,Data!$A$2:$A$5761,$A45,Data!$B$2:$B$5761,I$25)</f>
        <v>1442.27</v>
      </c>
      <c r="J45">
        <f>SUMIFS(Data!$F$2:$F$5761,Data!$A$2:$A$5761,$A45,Data!$B$2:$B$5761,J$25)</f>
        <v>1453.74</v>
      </c>
      <c r="K45">
        <f>SUMIFS(Data!$F$2:$F$5761,Data!$A$2:$A$5761,$A45,Data!$B$2:$B$5761,K$25)</f>
        <v>1461.3600000000001</v>
      </c>
      <c r="L45">
        <f>SUMIFS(Data!$F$2:$F$5761,Data!$A$2:$A$5761,$A45,Data!$B$2:$B$5761,L$25)</f>
        <v>1474.21</v>
      </c>
      <c r="M45">
        <f>SUMIFS(Data!$F$2:$F$5761,Data!$A$2:$A$5761,$A45,Data!$B$2:$B$5761,M$25)</f>
        <v>1484.33</v>
      </c>
      <c r="N45">
        <f>SUMIFS(Data!$F$2:$F$5761,Data!$A$2:$A$5761,$A45,Data!$B$2:$B$5761,N$25)</f>
        <v>1493.0400000000002</v>
      </c>
      <c r="O45">
        <f>SUMIFS(Data!$F$2:$F$5761,Data!$A$2:$A$5761,$A45,Data!$B$2:$B$5761,O$25)</f>
        <v>1511.8200000000002</v>
      </c>
      <c r="P45">
        <f>SUMIFS(Data!$F$2:$F$5761,Data!$A$2:$A$5761,$A45,Data!$B$2:$B$5761,P$25)</f>
        <v>1519.11</v>
      </c>
      <c r="Q45">
        <f>SUMIFS(Data!$F$2:$F$5761,Data!$A$2:$A$5761,$A45,Data!$B$2:$B$5761,Q$25)</f>
        <v>1524.73</v>
      </c>
      <c r="R45">
        <f>SUMIFS(Data!$F$2:$F$5761,Data!$A$2:$A$5761,$A45,Data!$B$2:$B$5761,R$25)</f>
        <v>1539.39</v>
      </c>
      <c r="S45">
        <f>SUMIFS(Data!$F$2:$F$5761,Data!$A$2:$A$5761,$A45,Data!$B$2:$B$5761,S$25)</f>
        <v>1549.6100000000001</v>
      </c>
      <c r="T45">
        <f>SUMIFS(Data!$F$2:$F$5761,Data!$A$2:$A$5761,$A45,Data!$B$2:$B$5761,T$25)</f>
        <v>1563.5200000000002</v>
      </c>
      <c r="U45">
        <f>SUMIFS(Data!$F$2:$F$5761,Data!$A$2:$A$5761,$A45,Data!$B$2:$B$5761,U$25)</f>
        <v>1572.72</v>
      </c>
      <c r="V45">
        <f>SUMIFS(Data!$F$2:$F$5761,Data!$A$2:$A$5761,$A45,Data!$B$2:$B$5761,V$25)</f>
        <v>1580.67</v>
      </c>
      <c r="W45">
        <f>SUMIFS(Data!$F$2:$F$5761,Data!$A$2:$A$5761,$A45,Data!$B$2:$B$5761,W$25)</f>
        <v>1596.28</v>
      </c>
      <c r="X45">
        <f>SUMIFS(Data!$F$2:$F$5761,Data!$A$2:$A$5761,$A45,Data!$B$2:$B$5761,X$25)</f>
        <v>1603.7600000000002</v>
      </c>
      <c r="Y45">
        <f>SUMIFS(Data!$F$2:$F$5761,Data!$A$2:$A$5761,$A45,Data!$B$2:$B$5761,Y$25)</f>
        <v>1617.6000000000001</v>
      </c>
      <c r="Z45">
        <f>SUMIFS(Data!$F$2:$F$5761,Data!$A$2:$A$5761,$A45,Data!$B$2:$B$5761,Z$25)</f>
        <v>1624.95</v>
      </c>
      <c r="AA45">
        <f>SUMIFS(Data!$F$2:$F$5761,Data!$A$2:$A$5761,$A45,Data!$B$2:$B$5761,AA$25)</f>
        <v>1639.9599999999998</v>
      </c>
      <c r="AB45">
        <f>SUMIFS(Data!$F$2:$F$5761,Data!$A$2:$A$5761,$A45,Data!$B$2:$B$5761,AB$25)</f>
        <v>1649.0400000000002</v>
      </c>
      <c r="AC45">
        <f>SUMIFS(Data!$F$2:$F$5761,Data!$A$2:$A$5761,$A45,Data!$B$2:$B$5761,AC$25)</f>
        <v>1664.83</v>
      </c>
      <c r="AD45">
        <f>SUMIFS(Data!$F$2:$F$5761,Data!$A$2:$A$5761,$A45,Data!$B$2:$B$5761,AD$25)</f>
        <v>1667.9299999999998</v>
      </c>
      <c r="AE45">
        <f>SUMIFS(Data!$F$2:$F$5761,Data!$A$2:$A$5761,$A45,Data!$B$2:$B$5761,AE$25)</f>
        <v>1685.97</v>
      </c>
      <c r="AF45">
        <f>SUMIFS(Data!$F$2:$F$5761,Data!$A$2:$A$5761,$A45,Data!$B$2:$B$5761,AF$25)</f>
        <v>1697.43</v>
      </c>
      <c r="AG45">
        <f>SUMIFS(Data!$F$2:$F$5761,Data!$A$2:$A$5761,$A45,Data!$B$2:$B$5761,AG$25)</f>
        <v>1701.8200000000002</v>
      </c>
      <c r="AH45">
        <f>SUMIFS(Data!$F$2:$F$5761,Data!$A$2:$A$5761,$A45,Data!$B$2:$B$5761,AH$25)</f>
        <v>1708.22</v>
      </c>
      <c r="AI45">
        <f>SUMIFS(Data!$F$2:$F$5761,Data!$A$2:$A$5761,$A45,Data!$B$2:$B$5761,AI$25)</f>
        <v>1723.12</v>
      </c>
      <c r="AJ45">
        <f>SUMIFS(Data!$F$2:$F$5761,Data!$A$2:$A$5761,$A45,Data!$B$2:$B$5761,AJ$25)</f>
        <v>1735.8500000000001</v>
      </c>
      <c r="AK45">
        <f>SUMIFS(Data!$F$2:$F$5761,Data!$A$2:$A$5761,$A45,Data!$B$2:$B$5761,AK$25)</f>
        <v>1744.5</v>
      </c>
    </row>
    <row r="46" spans="1:37" x14ac:dyDescent="0.25">
      <c r="A46" t="s">
        <v>162</v>
      </c>
      <c r="B46">
        <f t="shared" ref="B46:AK46" si="1">SUM(B26:B45)</f>
        <v>16920.490000000002</v>
      </c>
      <c r="C46">
        <f t="shared" si="1"/>
        <v>17053.12</v>
      </c>
      <c r="D46">
        <f t="shared" si="1"/>
        <v>17168.060000000001</v>
      </c>
      <c r="E46">
        <f t="shared" si="1"/>
        <v>17321.04</v>
      </c>
      <c r="F46">
        <f t="shared" si="1"/>
        <v>17470.879999999997</v>
      </c>
      <c r="G46">
        <f t="shared" si="1"/>
        <v>17594.699999999997</v>
      </c>
      <c r="H46">
        <f t="shared" si="1"/>
        <v>17719.739999999998</v>
      </c>
      <c r="I46">
        <f t="shared" si="1"/>
        <v>17847.070000000003</v>
      </c>
      <c r="J46">
        <f t="shared" si="1"/>
        <v>18005.020000000004</v>
      </c>
      <c r="K46">
        <f t="shared" si="1"/>
        <v>18104.849999999999</v>
      </c>
      <c r="L46">
        <f t="shared" si="1"/>
        <v>18261.019999999997</v>
      </c>
      <c r="M46">
        <f t="shared" si="1"/>
        <v>18385.82</v>
      </c>
      <c r="N46">
        <f t="shared" si="1"/>
        <v>18530.43</v>
      </c>
      <c r="O46">
        <f t="shared" si="1"/>
        <v>18646.039999999997</v>
      </c>
      <c r="P46">
        <f t="shared" si="1"/>
        <v>18776.78</v>
      </c>
      <c r="Q46">
        <f t="shared" si="1"/>
        <v>18896.849999999999</v>
      </c>
      <c r="R46">
        <f t="shared" si="1"/>
        <v>19054.169999999998</v>
      </c>
      <c r="S46">
        <f t="shared" si="1"/>
        <v>19182.07</v>
      </c>
      <c r="T46">
        <f t="shared" si="1"/>
        <v>19304.79</v>
      </c>
      <c r="U46">
        <f t="shared" si="1"/>
        <v>19439.59</v>
      </c>
      <c r="V46">
        <f t="shared" si="1"/>
        <v>19555.18</v>
      </c>
      <c r="W46">
        <f t="shared" si="1"/>
        <v>19724.21</v>
      </c>
      <c r="X46">
        <f t="shared" si="1"/>
        <v>19845.849999999999</v>
      </c>
      <c r="Y46">
        <f t="shared" si="1"/>
        <v>19990.169999999998</v>
      </c>
      <c r="Z46">
        <f t="shared" si="1"/>
        <v>20109.71</v>
      </c>
      <c r="AA46">
        <f t="shared" si="1"/>
        <v>20255.68</v>
      </c>
      <c r="AB46">
        <f t="shared" si="1"/>
        <v>20399.969999999998</v>
      </c>
      <c r="AC46">
        <f t="shared" si="1"/>
        <v>20503.54</v>
      </c>
      <c r="AD46">
        <f t="shared" si="1"/>
        <v>20665.75</v>
      </c>
      <c r="AE46">
        <f t="shared" si="1"/>
        <v>20793.87</v>
      </c>
      <c r="AF46">
        <f t="shared" si="1"/>
        <v>20946.04</v>
      </c>
      <c r="AG46">
        <f t="shared" si="1"/>
        <v>21044.81</v>
      </c>
      <c r="AH46">
        <f t="shared" si="1"/>
        <v>21175.620000000003</v>
      </c>
      <c r="AI46">
        <f t="shared" si="1"/>
        <v>21330.350000000002</v>
      </c>
      <c r="AJ46">
        <f t="shared" si="1"/>
        <v>21492.329999999998</v>
      </c>
      <c r="AK46">
        <f t="shared" si="1"/>
        <v>21571.920000000002</v>
      </c>
    </row>
    <row r="47" spans="1:37" x14ac:dyDescent="0.25">
      <c r="A47" t="s">
        <v>175</v>
      </c>
    </row>
    <row r="48" spans="1:37" x14ac:dyDescent="0.25">
      <c r="A48" t="s">
        <v>174</v>
      </c>
      <c r="B48">
        <v>1</v>
      </c>
      <c r="C48">
        <v>2</v>
      </c>
      <c r="D48">
        <v>3</v>
      </c>
      <c r="E48">
        <v>4</v>
      </c>
      <c r="F48">
        <v>5</v>
      </c>
      <c r="G48">
        <v>6</v>
      </c>
      <c r="H48">
        <v>7</v>
      </c>
      <c r="I48">
        <v>8</v>
      </c>
      <c r="J48">
        <v>9</v>
      </c>
      <c r="K48">
        <v>10</v>
      </c>
      <c r="L48">
        <v>11</v>
      </c>
      <c r="M48">
        <v>12</v>
      </c>
      <c r="N48">
        <v>13</v>
      </c>
      <c r="O48">
        <v>14</v>
      </c>
      <c r="P48">
        <v>15</v>
      </c>
      <c r="Q48">
        <v>16</v>
      </c>
      <c r="R48">
        <v>17</v>
      </c>
      <c r="S48">
        <v>18</v>
      </c>
      <c r="T48">
        <v>19</v>
      </c>
      <c r="U48">
        <v>20</v>
      </c>
      <c r="V48">
        <v>21</v>
      </c>
      <c r="W48">
        <v>22</v>
      </c>
      <c r="X48">
        <v>23</v>
      </c>
      <c r="Y48">
        <v>24</v>
      </c>
      <c r="Z48">
        <v>25</v>
      </c>
      <c r="AA48">
        <v>26</v>
      </c>
      <c r="AB48">
        <v>27</v>
      </c>
      <c r="AC48">
        <v>28</v>
      </c>
      <c r="AD48">
        <v>29</v>
      </c>
      <c r="AE48">
        <v>30</v>
      </c>
      <c r="AF48">
        <v>31</v>
      </c>
      <c r="AG48">
        <v>32</v>
      </c>
      <c r="AH48">
        <v>33</v>
      </c>
      <c r="AI48">
        <v>34</v>
      </c>
      <c r="AJ48">
        <v>35</v>
      </c>
      <c r="AK48">
        <v>36</v>
      </c>
    </row>
    <row r="49" spans="1:37" x14ac:dyDescent="0.25">
      <c r="A49" t="s">
        <v>12</v>
      </c>
      <c r="B49">
        <f>B3*(1+Control!$B$4)^(B$48/12)</f>
        <v>5956.2535884791187</v>
      </c>
      <c r="C49">
        <f>C3*(1+Control!$B$4)^(C$48/12)</f>
        <v>5986.017395991028</v>
      </c>
      <c r="D49">
        <f>D3*(1+Control!$B$4)^(D$48/12)</f>
        <v>6106.660063995083</v>
      </c>
      <c r="E49">
        <f>E3*(1+Control!$B$4)^(E$48/12)</f>
        <v>6163.4296726069115</v>
      </c>
      <c r="F49">
        <f>F3*(1+Control!$B$4)^(F$48/12)</f>
        <v>6320.2640390190109</v>
      </c>
      <c r="G49">
        <f>G3*(1+Control!$B$4)^(G$48/12)</f>
        <v>6307.0286631265599</v>
      </c>
      <c r="H49">
        <f>H3*(1+Control!$B$4)^(H$48/12)</f>
        <v>6378.6418045688742</v>
      </c>
      <c r="I49">
        <f>I3*(1+Control!$B$4)^(I$48/12)</f>
        <v>6405.4901803238154</v>
      </c>
      <c r="J49">
        <f>J3*(1+Control!$B$4)^(J$48/12)</f>
        <v>6459.7307136321642</v>
      </c>
      <c r="K49">
        <f>K3*(1+Control!$B$4)^(K$48/12)</f>
        <v>6595.1699483933753</v>
      </c>
      <c r="L49">
        <f>L3*(1+Control!$B$4)^(L$48/12)</f>
        <v>6571.7752294013544</v>
      </c>
      <c r="M49">
        <f>M3*(1+Control!$B$4)^(M$48/12)</f>
        <v>6747.6330000000007</v>
      </c>
      <c r="N49">
        <f>N3*(1+Control!$B$4)^(N$48/12)</f>
        <v>6755.0848750074956</v>
      </c>
      <c r="O49">
        <f>O3*(1+Control!$B$4)^(O$48/12)</f>
        <v>6892.7463813069826</v>
      </c>
      <c r="P49">
        <f>P3*(1+Control!$B$4)^(P$48/12)</f>
        <v>6806.5006147542135</v>
      </c>
      <c r="Q49">
        <f>Q3*(1+Control!$B$4)^(Q$48/12)</f>
        <v>6895.0609906074797</v>
      </c>
      <c r="R49">
        <f>R3*(1+Control!$B$4)^(R$48/12)</f>
        <v>7020.3049840267086</v>
      </c>
      <c r="S49">
        <f>S3*(1+Control!$B$4)^(S$48/12)</f>
        <v>7106.7156484437846</v>
      </c>
      <c r="T49">
        <f>T3*(1+Control!$B$4)^(T$48/12)</f>
        <v>7080.5447163238987</v>
      </c>
      <c r="U49">
        <f>U3*(1+Control!$B$4)^(U$48/12)</f>
        <v>7108.7223328968703</v>
      </c>
      <c r="V49">
        <f>V3*(1+Control!$B$4)^(V$48/12)</f>
        <v>7246.8330689662289</v>
      </c>
      <c r="W49">
        <f>W3*(1+Control!$B$4)^(W$48/12)</f>
        <v>7316.4343461483068</v>
      </c>
      <c r="X49">
        <f>X3*(1+Control!$B$4)^(X$48/12)</f>
        <v>7499.0427375751051</v>
      </c>
      <c r="Y49">
        <f>Y3*(1+Control!$B$4)^(Y$48/12)</f>
        <v>7579.2817800000003</v>
      </c>
      <c r="Z49">
        <f>Z3*(1+Control!$B$4)^(Z$48/12)</f>
        <v>7472.7984455484975</v>
      </c>
      <c r="AA49">
        <f>AA3*(1+Control!$B$4)^(AA$48/12)</f>
        <v>7605.8383662614069</v>
      </c>
      <c r="AB49">
        <f>AB3*(1+Control!$B$4)^(AB$48/12)</f>
        <v>7722.3887581047265</v>
      </c>
      <c r="AC49">
        <f>AC3*(1+Control!$B$4)^(AC$48/12)</f>
        <v>7774.7549364836477</v>
      </c>
      <c r="AD49">
        <f>AD3*(1+Control!$B$4)^(AD$48/12)</f>
        <v>7852.0355231605063</v>
      </c>
      <c r="AE49">
        <f>AE3*(1+Control!$B$4)^(AE$48/12)</f>
        <v>7918.8830504831321</v>
      </c>
      <c r="AF49">
        <f>AF3*(1+Control!$B$4)^(AF$48/12)</f>
        <v>8059.4084363291022</v>
      </c>
      <c r="AG49">
        <f>AG3*(1+Control!$B$4)^(AG$48/12)</f>
        <v>7943.1678385651103</v>
      </c>
      <c r="AH49">
        <f>AH3*(1+Control!$B$4)^(AH$48/12)</f>
        <v>8114.7217586596907</v>
      </c>
      <c r="AI49">
        <f>AI3*(1+Control!$B$4)^(AI$48/12)</f>
        <v>8196.3879909914522</v>
      </c>
      <c r="AJ49">
        <f>AJ3*(1+Control!$B$4)^(AJ$48/12)</f>
        <v>8267.1802892504384</v>
      </c>
      <c r="AK49">
        <f>AK3*(1+Control!$B$4)^(AK$48/12)</f>
        <v>8300.1357466000009</v>
      </c>
    </row>
    <row r="50" spans="1:37" x14ac:dyDescent="0.25">
      <c r="A50" t="s">
        <v>22</v>
      </c>
      <c r="B50">
        <f>B4*(1+Control!$B$4)^(B$48/12)</f>
        <v>6997.4150562646346</v>
      </c>
      <c r="C50">
        <f>C4*(1+Control!$B$4)^(C$48/12)</f>
        <v>7047.8355440291907</v>
      </c>
      <c r="D50">
        <f>D4*(1+Control!$B$4)^(D$48/12)</f>
        <v>7187.6185820125902</v>
      </c>
      <c r="E50">
        <f>E4*(1+Control!$B$4)^(E$48/12)</f>
        <v>7276.2402831665631</v>
      </c>
      <c r="F50">
        <f>F4*(1+Control!$B$4)^(F$48/12)</f>
        <v>7334.6811475898758</v>
      </c>
      <c r="G50">
        <f>G4*(1+Control!$B$4)^(G$48/12)</f>
        <v>7387.6826369775799</v>
      </c>
      <c r="H50">
        <f>H4*(1+Control!$B$4)^(H$48/12)</f>
        <v>7326.3425894603997</v>
      </c>
      <c r="I50">
        <f>I4*(1+Control!$B$4)^(I$48/12)</f>
        <v>7547.3716875112268</v>
      </c>
      <c r="J50">
        <f>J4*(1+Control!$B$4)^(J$48/12)</f>
        <v>7659.0254584273607</v>
      </c>
      <c r="K50">
        <f>K4*(1+Control!$B$4)^(K$48/12)</f>
        <v>7649.0114236662039</v>
      </c>
      <c r="L50">
        <f>L4*(1+Control!$B$4)^(L$48/12)</f>
        <v>7887.3426851518097</v>
      </c>
      <c r="M50">
        <f>M4*(1+Control!$B$4)^(M$48/12)</f>
        <v>7896.8040000000001</v>
      </c>
      <c r="N50">
        <f>N4*(1+Control!$B$4)^(N$48/12)</f>
        <v>7898.5199565677212</v>
      </c>
      <c r="O50">
        <f>O4*(1+Control!$B$4)^(O$48/12)</f>
        <v>7981.2436398828277</v>
      </c>
      <c r="P50">
        <f>P4*(1+Control!$B$4)^(P$48/12)</f>
        <v>8089.1269044514038</v>
      </c>
      <c r="Q50">
        <f>Q4*(1+Control!$B$4)^(Q$48/12)</f>
        <v>8182.9309801182535</v>
      </c>
      <c r="R50">
        <f>R4*(1+Control!$B$4)^(R$48/12)</f>
        <v>8214.6869768827783</v>
      </c>
      <c r="S50">
        <f>S4*(1+Control!$B$4)^(S$48/12)</f>
        <v>8319.5142798072429</v>
      </c>
      <c r="T50">
        <f>T4*(1+Control!$B$4)^(T$48/12)</f>
        <v>8351.559499420815</v>
      </c>
      <c r="U50">
        <f>U4*(1+Control!$B$4)^(U$48/12)</f>
        <v>8536.8748394098438</v>
      </c>
      <c r="V50">
        <f>V4*(1+Control!$B$4)^(V$48/12)</f>
        <v>8461.2554906957703</v>
      </c>
      <c r="W50">
        <f>W4*(1+Control!$B$4)^(W$48/12)</f>
        <v>8598.9877098501438</v>
      </c>
      <c r="X50">
        <f>X4*(1+Control!$B$4)^(X$48/12)</f>
        <v>8671.4163679287194</v>
      </c>
      <c r="Y50">
        <f>Y4*(1+Control!$B$4)^(Y$48/12)</f>
        <v>8775.8708900000001</v>
      </c>
      <c r="Z50">
        <f>Z4*(1+Control!$B$4)^(Z$48/12)</f>
        <v>8844.0965762949891</v>
      </c>
      <c r="AA50">
        <f>AA4*(1+Control!$B$4)^(AA$48/12)</f>
        <v>8911.2194281692373</v>
      </c>
      <c r="AB50">
        <f>AB4*(1+Control!$B$4)^(AB$48/12)</f>
        <v>9029.7067193411403</v>
      </c>
      <c r="AC50">
        <f>AC4*(1+Control!$B$4)^(AC$48/12)</f>
        <v>9057.8691376154202</v>
      </c>
      <c r="AD50">
        <f>AD4*(1+Control!$B$4)^(AD$48/12)</f>
        <v>9124.6738329520285</v>
      </c>
      <c r="AE50">
        <f>AE4*(1+Control!$B$4)^(AE$48/12)</f>
        <v>9225.2381934035639</v>
      </c>
      <c r="AF50">
        <f>AF4*(1+Control!$B$4)^(AF$48/12)</f>
        <v>9274.4342270555971</v>
      </c>
      <c r="AG50">
        <f>AG4*(1+Control!$B$4)^(AG$48/12)</f>
        <v>9409.5122630823389</v>
      </c>
      <c r="AH50">
        <f>AH4*(1+Control!$B$4)^(AH$48/12)</f>
        <v>9486.193473310992</v>
      </c>
      <c r="AI50">
        <f>AI4*(1+Control!$B$4)^(AI$48/12)</f>
        <v>9561.0209694992973</v>
      </c>
      <c r="AJ50">
        <f>AJ4*(1+Control!$B$4)^(AJ$48/12)</f>
        <v>9693.9319051675157</v>
      </c>
      <c r="AK50">
        <f>AK4*(1+Control!$B$4)^(AK$48/12)</f>
        <v>9784.4961034000007</v>
      </c>
    </row>
    <row r="51" spans="1:37" x14ac:dyDescent="0.25">
      <c r="A51" t="s">
        <v>24</v>
      </c>
      <c r="B51">
        <f>B5*(1+Control!$B$4)^(B$48/12)</f>
        <v>8031.860000042675</v>
      </c>
      <c r="C51">
        <f>C5*(1+Control!$B$4)^(C$48/12)</f>
        <v>8166.6337119365216</v>
      </c>
      <c r="D51">
        <f>D5*(1+Control!$B$4)^(D$48/12)</f>
        <v>8224.0492654575228</v>
      </c>
      <c r="E51">
        <f>E5*(1+Control!$B$4)^(E$48/12)</f>
        <v>8290.9894450599641</v>
      </c>
      <c r="F51">
        <f>F5*(1+Control!$B$4)^(F$48/12)</f>
        <v>8428.3685751239136</v>
      </c>
      <c r="G51">
        <f>G5*(1+Control!$B$4)^(G$48/12)</f>
        <v>8467.5246995033904</v>
      </c>
      <c r="H51">
        <f>H5*(1+Control!$B$4)^(H$48/12)</f>
        <v>8551.1809951833293</v>
      </c>
      <c r="I51">
        <f>I5*(1+Control!$B$4)^(I$48/12)</f>
        <v>8608.5790010415094</v>
      </c>
      <c r="J51">
        <f>J5*(1+Control!$B$4)^(J$48/12)</f>
        <v>8690.1326622858051</v>
      </c>
      <c r="K51">
        <f>K5*(1+Control!$B$4)^(K$48/12)</f>
        <v>8804.8342515840886</v>
      </c>
      <c r="L51">
        <f>L5*(1+Control!$B$4)^(L$48/12)</f>
        <v>8882.3407514972805</v>
      </c>
      <c r="M51">
        <f>M5*(1+Control!$B$4)^(M$48/12)</f>
        <v>8980.2610000000004</v>
      </c>
      <c r="N51">
        <f>N5*(1+Control!$B$4)^(N$48/12)</f>
        <v>9023.4725675121517</v>
      </c>
      <c r="O51">
        <f>O5*(1+Control!$B$4)^(O$48/12)</f>
        <v>9071.9145806981305</v>
      </c>
      <c r="P51">
        <f>P5*(1+Control!$B$4)^(P$48/12)</f>
        <v>9139.6332192232148</v>
      </c>
      <c r="Q51">
        <f>Q5*(1+Control!$B$4)^(Q$48/12)</f>
        <v>9281.9008887832497</v>
      </c>
      <c r="R51">
        <f>R5*(1+Control!$B$4)^(R$48/12)</f>
        <v>9443.5844612383517</v>
      </c>
      <c r="S51">
        <f>S5*(1+Control!$B$4)^(S$48/12)</f>
        <v>9526.4590305159563</v>
      </c>
      <c r="T51">
        <f>T5*(1+Control!$B$4)^(T$48/12)</f>
        <v>9597.0051830803841</v>
      </c>
      <c r="U51">
        <f>U5*(1+Control!$B$4)^(U$48/12)</f>
        <v>9737.8045528674629</v>
      </c>
      <c r="V51">
        <f>V5*(1+Control!$B$4)^(V$48/12)</f>
        <v>9717.1696254119142</v>
      </c>
      <c r="W51">
        <f>W5*(1+Control!$B$4)^(W$48/12)</f>
        <v>9853.670953540679</v>
      </c>
      <c r="X51">
        <f>X5*(1+Control!$B$4)^(X$48/12)</f>
        <v>9875.0095524396093</v>
      </c>
      <c r="Y51">
        <f>Y5*(1+Control!$B$4)^(Y$48/12)</f>
        <v>9978.8253999999997</v>
      </c>
      <c r="Z51">
        <f>Z5*(1+Control!$B$4)^(Z$48/12)</f>
        <v>10174.449323115827</v>
      </c>
      <c r="AA51">
        <f>AA5*(1+Control!$B$4)^(AA$48/12)</f>
        <v>10252.209545506441</v>
      </c>
      <c r="AB51">
        <f>AB5*(1+Control!$B$4)^(AB$48/12)</f>
        <v>10398.158254304435</v>
      </c>
      <c r="AC51">
        <f>AC5*(1+Control!$B$4)^(AC$48/12)</f>
        <v>10355.768722828368</v>
      </c>
      <c r="AD51">
        <f>AD5*(1+Control!$B$4)^(AD$48/12)</f>
        <v>10507.187152526378</v>
      </c>
      <c r="AE51">
        <f>AE5*(1+Control!$B$4)^(AE$48/12)</f>
        <v>10622.466470802263</v>
      </c>
      <c r="AF51">
        <f>AF5*(1+Control!$B$4)^(AF$48/12)</f>
        <v>10691.622521649086</v>
      </c>
      <c r="AG51">
        <f>AG5*(1+Control!$B$4)^(AG$48/12)</f>
        <v>10762.137089741867</v>
      </c>
      <c r="AH51">
        <f>AH5*(1+Control!$B$4)^(AH$48/12)</f>
        <v>10878.708015599303</v>
      </c>
      <c r="AI51">
        <f>AI5*(1+Control!$B$4)^(AI$48/12)</f>
        <v>10968.3870763381</v>
      </c>
      <c r="AJ51">
        <f>AJ5*(1+Control!$B$4)^(AJ$48/12)</f>
        <v>11175.294458480457</v>
      </c>
      <c r="AK51">
        <f>AK5*(1+Control!$B$4)^(AK$48/12)</f>
        <v>11193.130479100002</v>
      </c>
    </row>
    <row r="52" spans="1:37" x14ac:dyDescent="0.25">
      <c r="A52" t="s">
        <v>26</v>
      </c>
      <c r="B52">
        <f>B6*(1+Control!$B$4)^(B$48/12)</f>
        <v>9046.6566049331777</v>
      </c>
      <c r="C52">
        <f>C6*(1+Control!$B$4)^(C$48/12)</f>
        <v>9159.010601192329</v>
      </c>
      <c r="D52">
        <f>D6*(1+Control!$B$4)^(D$48/12)</f>
        <v>9230.0559533347659</v>
      </c>
      <c r="E52">
        <f>E6*(1+Control!$B$4)^(E$48/12)</f>
        <v>9406.6277801949564</v>
      </c>
      <c r="F52">
        <f>F6*(1+Control!$B$4)^(F$48/12)</f>
        <v>9436.4076120540612</v>
      </c>
      <c r="G52">
        <f>G6*(1+Control!$B$4)^(G$48/12)</f>
        <v>9573.4494133514909</v>
      </c>
      <c r="H52">
        <f>H6*(1+Control!$B$4)^(H$48/12)</f>
        <v>9598.4844712620579</v>
      </c>
      <c r="I52">
        <f>I6*(1+Control!$B$4)^(I$48/12)</f>
        <v>9658.9753606809481</v>
      </c>
      <c r="J52">
        <f>J6*(1+Control!$B$4)^(J$48/12)</f>
        <v>9854.256273900306</v>
      </c>
      <c r="K52">
        <f>K6*(1+Control!$B$4)^(K$48/12)</f>
        <v>9882.8642687908196</v>
      </c>
      <c r="L52">
        <f>L6*(1+Control!$B$4)^(L$48/12)</f>
        <v>10002.997908625541</v>
      </c>
      <c r="M52">
        <f>M6*(1+Control!$B$4)^(M$48/12)</f>
        <v>10117.587000000001</v>
      </c>
      <c r="N52">
        <f>N6*(1+Control!$B$4)^(N$48/12)</f>
        <v>10214.507754959976</v>
      </c>
      <c r="O52">
        <f>O6*(1+Control!$B$4)^(O$48/12)</f>
        <v>10312.673104713789</v>
      </c>
      <c r="P52">
        <f>P6*(1+Control!$B$4)^(P$48/12)</f>
        <v>10304.694944061013</v>
      </c>
      <c r="Q52">
        <f>Q6*(1+Control!$B$4)^(Q$48/12)</f>
        <v>10393.873280986641</v>
      </c>
      <c r="R52">
        <f>R6*(1+Control!$B$4)^(R$48/12)</f>
        <v>10684.57800908016</v>
      </c>
      <c r="S52">
        <f>S6*(1+Control!$B$4)^(S$48/12)</f>
        <v>10733.09018047531</v>
      </c>
      <c r="T52">
        <f>T6*(1+Control!$B$4)^(T$48/12)</f>
        <v>10833.019641537645</v>
      </c>
      <c r="U52">
        <f>U6*(1+Control!$B$4)^(U$48/12)</f>
        <v>10934.532272926001</v>
      </c>
      <c r="V52">
        <f>V6*(1+Control!$B$4)^(V$48/12)</f>
        <v>10965.606827077168</v>
      </c>
      <c r="W52">
        <f>W6*(1+Control!$B$4)^(W$48/12)</f>
        <v>11182.67451726135</v>
      </c>
      <c r="X52">
        <f>X6*(1+Control!$B$4)^(X$48/12)</f>
        <v>11194.168001830994</v>
      </c>
      <c r="Y52">
        <f>Y6*(1+Control!$B$4)^(Y$48/12)</f>
        <v>11404.993269999999</v>
      </c>
      <c r="Z52">
        <f>Z6*(1+Control!$B$4)^(Z$48/12)</f>
        <v>11413.12695060182</v>
      </c>
      <c r="AA52">
        <f>AA6*(1+Control!$B$4)^(AA$48/12)</f>
        <v>11478.802906928329</v>
      </c>
      <c r="AB52">
        <f>AB6*(1+Control!$B$4)^(AB$48/12)</f>
        <v>11690.192822109128</v>
      </c>
      <c r="AC52">
        <f>AC6*(1+Control!$B$4)^(AC$48/12)</f>
        <v>11727.488087982852</v>
      </c>
      <c r="AD52">
        <f>AD6*(1+Control!$B$4)^(AD$48/12)</f>
        <v>11884.867260526704</v>
      </c>
      <c r="AE52">
        <f>AE6*(1+Control!$B$4)^(AE$48/12)</f>
        <v>11980.826025989289</v>
      </c>
      <c r="AF52">
        <f>AF6*(1+Control!$B$4)^(AF$48/12)</f>
        <v>12115.071053949079</v>
      </c>
      <c r="AG52">
        <f>AG6*(1+Control!$B$4)^(AG$48/12)</f>
        <v>12229.779930219411</v>
      </c>
      <c r="AH52">
        <f>AH6*(1+Control!$B$4)^(AH$48/12)</f>
        <v>12318.948558713821</v>
      </c>
      <c r="AI52">
        <f>AI6*(1+Control!$B$4)^(AI$48/12)</f>
        <v>12320.950392645596</v>
      </c>
      <c r="AJ52">
        <f>AJ6*(1+Control!$B$4)^(AJ$48/12)</f>
        <v>12558.989546909781</v>
      </c>
      <c r="AK52">
        <f>AK6*(1+Control!$B$4)^(AK$48/12)</f>
        <v>12530.409781699998</v>
      </c>
    </row>
    <row r="53" spans="1:37" x14ac:dyDescent="0.25">
      <c r="A53" t="s">
        <v>27</v>
      </c>
      <c r="B53">
        <f>B7*(1+Control!$B$4)^(B$48/12)</f>
        <v>9995.3906826456841</v>
      </c>
      <c r="C53">
        <f>C7*(1+Control!$B$4)^(C$48/12)</f>
        <v>10178.62132710518</v>
      </c>
      <c r="D53">
        <f>D7*(1+Control!$B$4)^(D$48/12)</f>
        <v>10315.950815003984</v>
      </c>
      <c r="E53">
        <f>E7*(1+Control!$B$4)^(E$48/12)</f>
        <v>10350.380857214644</v>
      </c>
      <c r="F53">
        <f>F7*(1+Control!$B$4)^(F$48/12)</f>
        <v>10420.452950907238</v>
      </c>
      <c r="G53">
        <f>G7*(1+Control!$B$4)^(G$48/12)</f>
        <v>10585.090924559883</v>
      </c>
      <c r="H53">
        <f>H7*(1+Control!$B$4)^(H$48/12)</f>
        <v>10726.161926950481</v>
      </c>
      <c r="I53">
        <f>I7*(1+Control!$B$4)^(I$48/12)</f>
        <v>10815.747427001028</v>
      </c>
      <c r="J53">
        <f>J7*(1+Control!$B$4)^(J$48/12)</f>
        <v>10973.393552376709</v>
      </c>
      <c r="K53">
        <f>K7*(1+Control!$B$4)^(K$48/12)</f>
        <v>11026.797813385259</v>
      </c>
      <c r="L53">
        <f>L7*(1+Control!$B$4)^(L$48/12)</f>
        <v>11135.676417856486</v>
      </c>
      <c r="M53">
        <f>M7*(1+Control!$B$4)^(M$48/12)</f>
        <v>11284.783000000001</v>
      </c>
      <c r="N53">
        <f>N7*(1+Control!$B$4)^(N$48/12)</f>
        <v>11346.688147709467</v>
      </c>
      <c r="O53">
        <f>O7*(1+Control!$B$4)^(O$48/12)</f>
        <v>11448.370320489197</v>
      </c>
      <c r="P53">
        <f>P7*(1+Control!$B$4)^(P$48/12)</f>
        <v>11599.980436682161</v>
      </c>
      <c r="Q53">
        <f>Q7*(1+Control!$B$4)^(Q$48/12)</f>
        <v>11729.800449655317</v>
      </c>
      <c r="R53">
        <f>R7*(1+Control!$B$4)^(R$48/12)</f>
        <v>11896.68699152812</v>
      </c>
      <c r="S53">
        <f>S7*(1+Control!$B$4)^(S$48/12)</f>
        <v>11911.601796575262</v>
      </c>
      <c r="T53">
        <f>T7*(1+Control!$B$4)^(T$48/12)</f>
        <v>12029.946911100926</v>
      </c>
      <c r="U53">
        <f>U7*(1+Control!$B$4)^(U$48/12)</f>
        <v>12102.056138860915</v>
      </c>
      <c r="V53">
        <f>V7*(1+Control!$B$4)^(V$48/12)</f>
        <v>12267.119722512085</v>
      </c>
      <c r="W53">
        <f>W7*(1+Control!$B$4)^(W$48/12)</f>
        <v>12383.306619111787</v>
      </c>
      <c r="X53">
        <f>X7*(1+Control!$B$4)^(X$48/12)</f>
        <v>12553.753128131128</v>
      </c>
      <c r="Y53">
        <f>Y7*(1+Control!$B$4)^(Y$48/12)</f>
        <v>12600.41539</v>
      </c>
      <c r="Z53">
        <f>Z7*(1+Control!$B$4)^(Z$48/12)</f>
        <v>12665.842995433753</v>
      </c>
      <c r="AA53">
        <f>AA7*(1+Control!$B$4)^(AA$48/12)</f>
        <v>12836.104956842459</v>
      </c>
      <c r="AB53">
        <f>AB7*(1+Control!$B$4)^(AB$48/12)</f>
        <v>13050.094206900832</v>
      </c>
      <c r="AC53">
        <f>AC7*(1+Control!$B$4)^(AC$48/12)</f>
        <v>13077.136517479923</v>
      </c>
      <c r="AD53">
        <f>AD7*(1+Control!$B$4)^(AD$48/12)</f>
        <v>13151.813121131041</v>
      </c>
      <c r="AE53">
        <f>AE7*(1+Control!$B$4)^(AE$48/12)</f>
        <v>13306.884703992091</v>
      </c>
      <c r="AF53">
        <f>AF7*(1+Control!$B$4)^(AF$48/12)</f>
        <v>13468.469685015929</v>
      </c>
      <c r="AG53">
        <f>AG7*(1+Control!$B$4)^(AG$48/12)</f>
        <v>13543.668680729501</v>
      </c>
      <c r="AH53">
        <f>AH7*(1+Control!$B$4)^(AH$48/12)</f>
        <v>13622.844594922557</v>
      </c>
      <c r="AI53">
        <f>AI7*(1+Control!$B$4)^(AI$48/12)</f>
        <v>13815.739998665302</v>
      </c>
      <c r="AJ53">
        <f>AJ7*(1+Control!$B$4)^(AJ$48/12)</f>
        <v>13951.295940836653</v>
      </c>
      <c r="AK53">
        <f>AK7*(1+Control!$B$4)^(AK$48/12)</f>
        <v>14029.959043800001</v>
      </c>
    </row>
    <row r="54" spans="1:37" x14ac:dyDescent="0.25">
      <c r="A54" t="s">
        <v>28</v>
      </c>
      <c r="B54">
        <f>B8*(1+Control!$B$4)^(B$48/12)</f>
        <v>11147.725659748949</v>
      </c>
      <c r="C54">
        <f>C8*(1+Control!$B$4)^(C$48/12)</f>
        <v>11175.721427884533</v>
      </c>
      <c r="D54">
        <f>D8*(1+Control!$B$4)^(D$48/12)</f>
        <v>11288.511256098205</v>
      </c>
      <c r="E54">
        <f>E8*(1+Control!$B$4)^(E$48/12)</f>
        <v>11453.597402250822</v>
      </c>
      <c r="F54">
        <f>F8*(1+Control!$B$4)^(F$48/12)</f>
        <v>11558.280683764317</v>
      </c>
      <c r="G54">
        <f>G8*(1+Control!$B$4)^(G$48/12)</f>
        <v>11642.605425642492</v>
      </c>
      <c r="H54">
        <f>H8*(1+Control!$B$4)^(H$48/12)</f>
        <v>11793.711506753678</v>
      </c>
      <c r="I54">
        <f>I8*(1+Control!$B$4)^(I$48/12)</f>
        <v>11874.812947779352</v>
      </c>
      <c r="J54">
        <f>J8*(1+Control!$B$4)^(J$48/12)</f>
        <v>12054.087964353284</v>
      </c>
      <c r="K54">
        <f>K8*(1+Control!$B$4)^(K$48/12)</f>
        <v>12020.16793382333</v>
      </c>
      <c r="L54">
        <f>L8*(1+Control!$B$4)^(L$48/12)</f>
        <v>12301.542078618782</v>
      </c>
      <c r="M54">
        <f>M8*(1+Control!$B$4)^(M$48/12)</f>
        <v>12477.728999999999</v>
      </c>
      <c r="N54">
        <f>N8*(1+Control!$B$4)^(N$48/12)</f>
        <v>12499.519345616269</v>
      </c>
      <c r="O54">
        <f>O8*(1+Control!$B$4)^(O$48/12)</f>
        <v>12577.857015580455</v>
      </c>
      <c r="P54">
        <f>P8*(1+Control!$B$4)^(P$48/12)</f>
        <v>12851.373774903028</v>
      </c>
      <c r="Q54">
        <f>Q8*(1+Control!$B$4)^(Q$48/12)</f>
        <v>13001.651379446792</v>
      </c>
      <c r="R54">
        <f>R8*(1+Control!$B$4)^(R$48/12)</f>
        <v>12999.514296962532</v>
      </c>
      <c r="S54">
        <f>S8*(1+Control!$B$4)^(S$48/12)</f>
        <v>13132.240446672757</v>
      </c>
      <c r="T54">
        <f>T8*(1+Control!$B$4)^(T$48/12)</f>
        <v>13157.397488340575</v>
      </c>
      <c r="U54">
        <f>U8*(1+Control!$B$4)^(U$48/12)</f>
        <v>13367.17130148951</v>
      </c>
      <c r="V54">
        <f>V8*(1+Control!$B$4)^(V$48/12)</f>
        <v>13500.181822410732</v>
      </c>
      <c r="W54">
        <f>W8*(1+Control!$B$4)^(W$48/12)</f>
        <v>13728.462184202643</v>
      </c>
      <c r="X54">
        <f>X8*(1+Control!$B$4)^(X$48/12)</f>
        <v>13810.47246920796</v>
      </c>
      <c r="Y54">
        <f>Y8*(1+Control!$B$4)^(Y$48/12)</f>
        <v>13884.528749999998</v>
      </c>
      <c r="Z54">
        <f>Z8*(1+Control!$B$4)^(Z$48/12)</f>
        <v>14030.547324093517</v>
      </c>
      <c r="AA54">
        <f>AA8*(1+Control!$B$4)^(AA$48/12)</f>
        <v>14134.449498815142</v>
      </c>
      <c r="AB54">
        <f>AB8*(1+Control!$B$4)^(AB$48/12)</f>
        <v>14225.098594231857</v>
      </c>
      <c r="AC54">
        <f>AC8*(1+Control!$B$4)^(AC$48/12)</f>
        <v>14352.858026571104</v>
      </c>
      <c r="AD54">
        <f>AD8*(1+Control!$B$4)^(AD$48/12)</f>
        <v>14643.234808173414</v>
      </c>
      <c r="AE54">
        <f>AE8*(1+Control!$B$4)^(AE$48/12)</f>
        <v>14634.666095444718</v>
      </c>
      <c r="AF54">
        <f>AF8*(1+Control!$B$4)^(AF$48/12)</f>
        <v>14781.284706123361</v>
      </c>
      <c r="AG54">
        <f>AG8*(1+Control!$B$4)^(AG$48/12)</f>
        <v>14993.566503082724</v>
      </c>
      <c r="AH54">
        <f>AH8*(1+Control!$B$4)^(AH$48/12)</f>
        <v>15065.254501710995</v>
      </c>
      <c r="AI54">
        <f>AI8*(1+Control!$B$4)^(AI$48/12)</f>
        <v>15226.585647760065</v>
      </c>
      <c r="AJ54">
        <f>AJ8*(1+Control!$B$4)^(AJ$48/12)</f>
        <v>15355.701764006924</v>
      </c>
      <c r="AK54">
        <f>AK8*(1+Control!$B$4)^(AK$48/12)</f>
        <v>15460.010868699999</v>
      </c>
    </row>
    <row r="55" spans="1:37" x14ac:dyDescent="0.25">
      <c r="A55" t="s">
        <v>29</v>
      </c>
      <c r="B55">
        <f>B9*(1+Control!$B$4)^(B$48/12)</f>
        <v>12062.676624170132</v>
      </c>
      <c r="C55">
        <f>C9*(1+Control!$B$4)^(C$48/12)</f>
        <v>12288.79144564629</v>
      </c>
      <c r="D55">
        <f>D9*(1+Control!$B$4)^(D$48/12)</f>
        <v>12446.63792181389</v>
      </c>
      <c r="E55">
        <f>E9*(1+Control!$B$4)^(E$48/12)</f>
        <v>12573.376334085417</v>
      </c>
      <c r="F55">
        <f>F9*(1+Control!$B$4)^(F$48/12)</f>
        <v>12579.379581673074</v>
      </c>
      <c r="G55">
        <f>G9*(1+Control!$B$4)^(G$48/12)</f>
        <v>12810.844333700259</v>
      </c>
      <c r="H55">
        <f>H9*(1+Control!$B$4)^(H$48/12)</f>
        <v>12940.007238731439</v>
      </c>
      <c r="I55">
        <f>I9*(1+Control!$B$4)^(I$48/12)</f>
        <v>13025.363616105647</v>
      </c>
      <c r="J55">
        <f>J9*(1+Control!$B$4)^(J$48/12)</f>
        <v>13169.749026178108</v>
      </c>
      <c r="K55">
        <f>K9*(1+Control!$B$4)^(K$48/12)</f>
        <v>13289.758903887961</v>
      </c>
      <c r="L55">
        <f>L9*(1+Control!$B$4)^(L$48/12)</f>
        <v>13344.214566978328</v>
      </c>
      <c r="M55">
        <f>M9*(1+Control!$B$4)^(M$48/12)</f>
        <v>13511.231000000003</v>
      </c>
      <c r="N55">
        <f>N9*(1+Control!$B$4)^(N$48/12)</f>
        <v>13733.301699739721</v>
      </c>
      <c r="O55">
        <f>O9*(1+Control!$B$4)^(O$48/12)</f>
        <v>13666.871817546647</v>
      </c>
      <c r="P55">
        <f>P9*(1+Control!$B$4)^(P$48/12)</f>
        <v>13899.804810506974</v>
      </c>
      <c r="Q55">
        <f>Q9*(1+Control!$B$4)^(Q$48/12)</f>
        <v>14090.219301281073</v>
      </c>
      <c r="R55">
        <f>R9*(1+Control!$B$4)^(R$48/12)</f>
        <v>14216.524270650605</v>
      </c>
      <c r="S55">
        <f>S9*(1+Control!$B$4)^(S$48/12)</f>
        <v>14349.534022110394</v>
      </c>
      <c r="T55">
        <f>T9*(1+Control!$B$4)^(T$48/12)</f>
        <v>14496.526675676345</v>
      </c>
      <c r="U55">
        <f>U9*(1+Control!$B$4)^(U$48/12)</f>
        <v>14590.056430457333</v>
      </c>
      <c r="V55">
        <f>V9*(1+Control!$B$4)^(V$48/12)</f>
        <v>14857.613752352963</v>
      </c>
      <c r="W55">
        <f>W9*(1+Control!$B$4)^(W$48/12)</f>
        <v>14788.793568268926</v>
      </c>
      <c r="X55">
        <f>X9*(1+Control!$B$4)^(X$48/12)</f>
        <v>15013.219021741705</v>
      </c>
      <c r="Y55">
        <f>Y9*(1+Control!$B$4)^(Y$48/12)</f>
        <v>15136.390749999999</v>
      </c>
      <c r="Z55">
        <f>Z9*(1+Control!$B$4)^(Z$48/12)</f>
        <v>15368.663741113245</v>
      </c>
      <c r="AA55">
        <f>AA9*(1+Control!$B$4)^(AA$48/12)</f>
        <v>15462.752557481403</v>
      </c>
      <c r="AB55">
        <f>AB9*(1+Control!$B$4)^(AB$48/12)</f>
        <v>15573.457276291914</v>
      </c>
      <c r="AC55">
        <f>AC9*(1+Control!$B$4)^(AC$48/12)</f>
        <v>15707.327776964214</v>
      </c>
      <c r="AD55">
        <f>AD9*(1+Control!$B$4)^(AD$48/12)</f>
        <v>15871.085357378972</v>
      </c>
      <c r="AE55">
        <f>AE9*(1+Control!$B$4)^(AE$48/12)</f>
        <v>16000.347182793501</v>
      </c>
      <c r="AF55">
        <f>AF9*(1+Control!$B$4)^(AF$48/12)</f>
        <v>16165.552785191256</v>
      </c>
      <c r="AG55">
        <f>AG9*(1+Control!$B$4)^(AG$48/12)</f>
        <v>16319.249198565685</v>
      </c>
      <c r="AH55">
        <f>AH9*(1+Control!$B$4)^(AH$48/12)</f>
        <v>16435.85847089273</v>
      </c>
      <c r="AI55">
        <f>AI9*(1+Control!$B$4)^(AI$48/12)</f>
        <v>16681.143046445279</v>
      </c>
      <c r="AJ55">
        <f>AJ9*(1+Control!$B$4)^(AJ$48/12)</f>
        <v>16770.571958414719</v>
      </c>
      <c r="AK55">
        <f>AK9*(1+Control!$B$4)^(AK$48/12)</f>
        <v>16832.038889899999</v>
      </c>
    </row>
    <row r="56" spans="1:37" x14ac:dyDescent="0.25">
      <c r="A56" t="s">
        <v>30</v>
      </c>
      <c r="B56">
        <f>B10*(1+Control!$B$4)^(B$48/12)</f>
        <v>13220.124179249235</v>
      </c>
      <c r="C56">
        <f>C10*(1+Control!$B$4)^(C$48/12)</f>
        <v>13267.702157366879</v>
      </c>
      <c r="D56">
        <f>D10*(1+Control!$B$4)^(D$48/12)</f>
        <v>13449.11864993991</v>
      </c>
      <c r="E56">
        <f>E10*(1+Control!$B$4)^(E$48/12)</f>
        <v>13549.143292904491</v>
      </c>
      <c r="F56">
        <f>F10*(1+Control!$B$4)^(F$48/12)</f>
        <v>13841.022895745937</v>
      </c>
      <c r="G56">
        <f>G10*(1+Control!$B$4)^(G$48/12)</f>
        <v>13886.220883937427</v>
      </c>
      <c r="H56">
        <f>H10*(1+Control!$B$4)^(H$48/12)</f>
        <v>13966.962871871001</v>
      </c>
      <c r="I56">
        <f>I10*(1+Control!$B$4)^(I$48/12)</f>
        <v>14150.722722063658</v>
      </c>
      <c r="J56">
        <f>J10*(1+Control!$B$4)^(J$48/12)</f>
        <v>14251.772579815583</v>
      </c>
      <c r="K56">
        <f>K10*(1+Control!$B$4)^(K$48/12)</f>
        <v>14390.337561880535</v>
      </c>
      <c r="L56">
        <f>L10*(1+Control!$B$4)^(L$48/12)</f>
        <v>14592.585746872739</v>
      </c>
      <c r="M56">
        <f>M10*(1+Control!$B$4)^(M$48/12)</f>
        <v>14691.302</v>
      </c>
      <c r="N56">
        <f>N10*(1+Control!$B$4)^(N$48/12)</f>
        <v>14847.206129924994</v>
      </c>
      <c r="O56">
        <f>O10*(1+Control!$B$4)^(O$48/12)</f>
        <v>15032.772333347984</v>
      </c>
      <c r="P56">
        <f>P10*(1+Control!$B$4)^(P$48/12)</f>
        <v>15145.387367057825</v>
      </c>
      <c r="Q56">
        <f>Q10*(1+Control!$B$4)^(Q$48/12)</f>
        <v>15262.83527670753</v>
      </c>
      <c r="R56">
        <f>R10*(1+Control!$B$4)^(R$48/12)</f>
        <v>15424.045091086549</v>
      </c>
      <c r="S56">
        <f>S10*(1+Control!$B$4)^(S$48/12)</f>
        <v>15594.528997074953</v>
      </c>
      <c r="T56">
        <f>T10*(1+Control!$B$4)^(T$48/12)</f>
        <v>15704.876206873521</v>
      </c>
      <c r="U56">
        <f>U10*(1+Control!$B$4)^(U$48/12)</f>
        <v>15940.261959417334</v>
      </c>
      <c r="V56">
        <f>V10*(1+Control!$B$4)^(V$48/12)</f>
        <v>15968.201582699807</v>
      </c>
      <c r="W56">
        <f>W10*(1+Control!$B$4)^(W$48/12)</f>
        <v>16211.014237936481</v>
      </c>
      <c r="X56">
        <f>X10*(1+Control!$B$4)^(X$48/12)</f>
        <v>16206.229306538264</v>
      </c>
      <c r="Y56">
        <f>Y10*(1+Control!$B$4)^(Y$48/12)</f>
        <v>16456.786890000003</v>
      </c>
      <c r="Z56">
        <f>Z10*(1+Control!$B$4)^(Z$48/12)</f>
        <v>16581.604270131684</v>
      </c>
      <c r="AA56">
        <f>AA10*(1+Control!$B$4)^(AA$48/12)</f>
        <v>16685.08136136684</v>
      </c>
      <c r="AB56">
        <f>AB10*(1+Control!$B$4)^(AB$48/12)</f>
        <v>16931.541754172154</v>
      </c>
      <c r="AC56">
        <f>AC10*(1+Control!$B$4)^(AC$48/12)</f>
        <v>17150.081269986964</v>
      </c>
      <c r="AD56">
        <f>AD10*(1+Control!$B$4)^(AD$48/12)</f>
        <v>17212.140462118357</v>
      </c>
      <c r="AE56">
        <f>AE10*(1+Control!$B$4)^(AE$48/12)</f>
        <v>17487.156559583102</v>
      </c>
      <c r="AF56">
        <f>AF10*(1+Control!$B$4)^(AF$48/12)</f>
        <v>17595.693295729237</v>
      </c>
      <c r="AG56">
        <f>AG10*(1+Control!$B$4)^(AG$48/12)</f>
        <v>17670.792011924947</v>
      </c>
      <c r="AH56">
        <f>AH10*(1+Control!$B$4)^(AH$48/12)</f>
        <v>17828.915354099518</v>
      </c>
      <c r="AI56">
        <f>AI10*(1+Control!$B$4)^(AI$48/12)</f>
        <v>18036.968433617731</v>
      </c>
      <c r="AJ56">
        <f>AJ10*(1+Control!$B$4)^(AJ$48/12)</f>
        <v>18091.698827152974</v>
      </c>
      <c r="AK56">
        <f>AK10*(1+Control!$B$4)^(AK$48/12)</f>
        <v>18263.729805299998</v>
      </c>
    </row>
    <row r="57" spans="1:37" x14ac:dyDescent="0.25">
      <c r="A57" t="s">
        <v>32</v>
      </c>
      <c r="B57">
        <f>B11*(1+Control!$B$4)^(B$48/12)</f>
        <v>14160.638033549607</v>
      </c>
      <c r="C57">
        <f>C11*(1+Control!$B$4)^(C$48/12)</f>
        <v>14375.646988156272</v>
      </c>
      <c r="D57">
        <f>D11*(1+Control!$B$4)^(D$48/12)</f>
        <v>14448.375643436244</v>
      </c>
      <c r="E57">
        <f>E11*(1+Control!$B$4)^(E$48/12)</f>
        <v>14629.738041337949</v>
      </c>
      <c r="F57">
        <f>F11*(1+Control!$B$4)^(F$48/12)</f>
        <v>14826.688062317387</v>
      </c>
      <c r="G57">
        <f>G11*(1+Control!$B$4)^(G$48/12)</f>
        <v>14931.658204057579</v>
      </c>
      <c r="H57">
        <f>H11*(1+Control!$B$4)^(H$48/12)</f>
        <v>15053.028988748834</v>
      </c>
      <c r="I57">
        <f>I11*(1+Control!$B$4)^(I$48/12)</f>
        <v>15138.599131372097</v>
      </c>
      <c r="J57">
        <f>J11*(1+Control!$B$4)^(J$48/12)</f>
        <v>15431.436924695974</v>
      </c>
      <c r="K57">
        <f>K11*(1+Control!$B$4)^(K$48/12)</f>
        <v>15513.567354480701</v>
      </c>
      <c r="L57">
        <f>L11*(1+Control!$B$4)^(L$48/12)</f>
        <v>15740.778992578094</v>
      </c>
      <c r="M57">
        <f>M11*(1+Control!$B$4)^(M$48/12)</f>
        <v>15820.388000000001</v>
      </c>
      <c r="N57">
        <f>N11*(1+Control!$B$4)^(N$48/12)</f>
        <v>15993.635578233025</v>
      </c>
      <c r="O57">
        <f>O11*(1+Control!$B$4)^(O$48/12)</f>
        <v>16060.71701525334</v>
      </c>
      <c r="P57">
        <f>P11*(1+Control!$B$4)^(P$48/12)</f>
        <v>16323.212058777977</v>
      </c>
      <c r="Q57">
        <f>Q11*(1+Control!$B$4)^(Q$48/12)</f>
        <v>16391.970947181599</v>
      </c>
      <c r="R57">
        <f>R11*(1+Control!$B$4)^(R$48/12)</f>
        <v>16600.595817941357</v>
      </c>
      <c r="S57">
        <f>S11*(1+Control!$B$4)^(S$48/12)</f>
        <v>16808.477497852738</v>
      </c>
      <c r="T57">
        <f>T11*(1+Control!$B$4)^(T$48/12)</f>
        <v>16964.678311118812</v>
      </c>
      <c r="U57">
        <f>U11*(1+Control!$B$4)^(U$48/12)</f>
        <v>17104.844429972894</v>
      </c>
      <c r="V57">
        <f>V11*(1+Control!$B$4)^(V$48/12)</f>
        <v>17209.899013727645</v>
      </c>
      <c r="W57">
        <f>W11*(1+Control!$B$4)^(W$48/12)</f>
        <v>17477.73230617735</v>
      </c>
      <c r="X57">
        <f>X11*(1+Control!$B$4)^(X$48/12)</f>
        <v>17567.084380804117</v>
      </c>
      <c r="Y57">
        <f>Y11*(1+Control!$B$4)^(Y$48/12)</f>
        <v>17633.2189</v>
      </c>
      <c r="Z57">
        <f>Z11*(1+Control!$B$4)^(Z$48/12)</f>
        <v>17964.601081999794</v>
      </c>
      <c r="AA57">
        <f>AA11*(1+Control!$B$4)^(AA$48/12)</f>
        <v>18086.52158178324</v>
      </c>
      <c r="AB57">
        <f>AB11*(1+Control!$B$4)^(AB$48/12)</f>
        <v>18225.927613274034</v>
      </c>
      <c r="AC57">
        <f>AC11*(1+Control!$B$4)^(AC$48/12)</f>
        <v>18341.483233629693</v>
      </c>
      <c r="AD57">
        <f>AD11*(1+Control!$B$4)^(AD$48/12)</f>
        <v>18533.540506456706</v>
      </c>
      <c r="AE57">
        <f>AE11*(1+Control!$B$4)^(AE$48/12)</f>
        <v>18772.408462743177</v>
      </c>
      <c r="AF57">
        <f>AF11*(1+Control!$B$4)^(AF$48/12)</f>
        <v>18939.917440502075</v>
      </c>
      <c r="AG57">
        <f>AG11*(1+Control!$B$4)^(AG$48/12)</f>
        <v>18996.150103417825</v>
      </c>
      <c r="AH57">
        <f>AH11*(1+Control!$B$4)^(AH$48/12)</f>
        <v>19154.505027047442</v>
      </c>
      <c r="AI57">
        <f>AI11*(1+Control!$B$4)^(AI$48/12)</f>
        <v>19431.612464083199</v>
      </c>
      <c r="AJ57">
        <f>AJ11*(1+Control!$B$4)^(AJ$48/12)</f>
        <v>19522.265578417067</v>
      </c>
      <c r="AK57">
        <f>AK11*(1+Control!$B$4)^(AK$48/12)</f>
        <v>19648.7612778</v>
      </c>
    </row>
    <row r="58" spans="1:37" x14ac:dyDescent="0.25">
      <c r="A58" t="s">
        <v>33</v>
      </c>
      <c r="B58">
        <f>B12*(1+Control!$B$4)^(B$48/12)</f>
        <v>15210.62120450912</v>
      </c>
      <c r="C58">
        <f>C12*(1+Control!$B$4)^(C$48/12)</f>
        <v>15434.550814190545</v>
      </c>
      <c r="D58">
        <f>D12*(1+Control!$B$4)^(D$48/12)</f>
        <v>15530.442320232709</v>
      </c>
      <c r="E58">
        <f>E12*(1+Control!$B$4)^(E$48/12)</f>
        <v>15683.065445652057</v>
      </c>
      <c r="F58">
        <f>F12*(1+Control!$B$4)^(F$48/12)</f>
        <v>15885.245476211296</v>
      </c>
      <c r="G58">
        <f>G12*(1+Control!$B$4)^(G$48/12)</f>
        <v>16019.822357666768</v>
      </c>
      <c r="H58">
        <f>H12*(1+Control!$B$4)^(H$48/12)</f>
        <v>16201.766461879293</v>
      </c>
      <c r="I58">
        <f>I12*(1+Control!$B$4)^(I$48/12)</f>
        <v>16381.960818949958</v>
      </c>
      <c r="J58">
        <f>J12*(1+Control!$B$4)^(J$48/12)</f>
        <v>16452.524445264567</v>
      </c>
      <c r="K58">
        <f>K12*(1+Control!$B$4)^(K$48/12)</f>
        <v>16637.309616189639</v>
      </c>
      <c r="L58">
        <f>L12*(1+Control!$B$4)^(L$48/12)</f>
        <v>16737.010018113582</v>
      </c>
      <c r="M58">
        <f>M12*(1+Control!$B$4)^(M$48/12)</f>
        <v>16971.310000000001</v>
      </c>
      <c r="N58">
        <f>N12*(1+Control!$B$4)^(N$48/12)</f>
        <v>17189.730212944392</v>
      </c>
      <c r="O58">
        <f>O12*(1+Control!$B$4)^(O$48/12)</f>
        <v>17320.314118677597</v>
      </c>
      <c r="P58">
        <f>P12*(1+Control!$B$4)^(P$48/12)</f>
        <v>17361.059170625827</v>
      </c>
      <c r="Q58">
        <f>Q12*(1+Control!$B$4)^(Q$48/12)</f>
        <v>17611.083803741349</v>
      </c>
      <c r="R58">
        <f>R12*(1+Control!$B$4)^(R$48/12)</f>
        <v>17834.811399174501</v>
      </c>
      <c r="S58">
        <f>S12*(1+Control!$B$4)^(S$48/12)</f>
        <v>17919.77402000624</v>
      </c>
      <c r="T58">
        <f>T12*(1+Control!$B$4)^(T$48/12)</f>
        <v>18191.26154437377</v>
      </c>
      <c r="U58">
        <f>U12*(1+Control!$B$4)^(U$48/12)</f>
        <v>18303.673146730976</v>
      </c>
      <c r="V58">
        <f>V12*(1+Control!$B$4)^(V$48/12)</f>
        <v>18462.969807706129</v>
      </c>
      <c r="W58">
        <f>W12*(1+Control!$B$4)^(W$48/12)</f>
        <v>18693.038448488285</v>
      </c>
      <c r="X58">
        <f>X12*(1+Control!$B$4)^(X$48/12)</f>
        <v>18811.739216206613</v>
      </c>
      <c r="Y58">
        <f>Y12*(1+Control!$B$4)^(Y$48/12)</f>
        <v>19056.097979999995</v>
      </c>
      <c r="Z58">
        <f>Z12*(1+Control!$B$4)^(Z$48/12)</f>
        <v>19195.195984347218</v>
      </c>
      <c r="AA58">
        <f>AA12*(1+Control!$B$4)^(AA$48/12)</f>
        <v>19435.294516624464</v>
      </c>
      <c r="AB58">
        <f>AB12*(1+Control!$B$4)^(AB$48/12)</f>
        <v>19641.298097303941</v>
      </c>
      <c r="AC58">
        <f>AC12*(1+Control!$B$4)^(AC$48/12)</f>
        <v>19790.129452192039</v>
      </c>
      <c r="AD58">
        <f>AD12*(1+Control!$B$4)^(AD$48/12)</f>
        <v>19884.799057852364</v>
      </c>
      <c r="AE58">
        <f>AE12*(1+Control!$B$4)^(AE$48/12)</f>
        <v>19992.304924400512</v>
      </c>
      <c r="AF58">
        <f>AF12*(1+Control!$B$4)^(AF$48/12)</f>
        <v>20227.799445916353</v>
      </c>
      <c r="AG58">
        <f>AG12*(1+Control!$B$4)^(AG$48/12)</f>
        <v>20373.444833323367</v>
      </c>
      <c r="AH58">
        <f>AH12*(1+Control!$B$4)^(AH$48/12)</f>
        <v>20601.470597551106</v>
      </c>
      <c r="AI58">
        <f>AI12*(1+Control!$B$4)^(AI$48/12)</f>
        <v>20841.262020527476</v>
      </c>
      <c r="AJ58">
        <f>AJ12*(1+Control!$B$4)^(AJ$48/12)</f>
        <v>21047.338682420108</v>
      </c>
      <c r="AK58">
        <f>AK12*(1+Control!$B$4)^(AK$48/12)</f>
        <v>21212.016523999999</v>
      </c>
    </row>
    <row r="59" spans="1:37" x14ac:dyDescent="0.25">
      <c r="A59" t="s">
        <v>34</v>
      </c>
      <c r="B59">
        <f>B13*(1+Control!$B$4)^(B$48/12)</f>
        <v>16267.521392730056</v>
      </c>
      <c r="C59">
        <f>C13*(1+Control!$B$4)^(C$48/12)</f>
        <v>16359.295334183653</v>
      </c>
      <c r="D59">
        <f>D13*(1+Control!$B$4)^(D$48/12)</f>
        <v>16520.229593254327</v>
      </c>
      <c r="E59">
        <f>E13*(1+Control!$B$4)^(E$48/12)</f>
        <v>16658.226463490697</v>
      </c>
      <c r="F59">
        <f>F13*(1+Control!$B$4)^(F$48/12)</f>
        <v>16972.048635942658</v>
      </c>
      <c r="G59">
        <f>G13*(1+Control!$B$4)^(G$48/12)</f>
        <v>17056.430142125282</v>
      </c>
      <c r="H59">
        <f>H13*(1+Control!$B$4)^(H$48/12)</f>
        <v>17227.806442086599</v>
      </c>
      <c r="I59">
        <f>I13*(1+Control!$B$4)^(I$48/12)</f>
        <v>17389.521323550212</v>
      </c>
      <c r="J59">
        <f>J13*(1+Control!$B$4)^(J$48/12)</f>
        <v>17673.903389963922</v>
      </c>
      <c r="K59">
        <f>K13*(1+Control!$B$4)^(K$48/12)</f>
        <v>17737.068323608182</v>
      </c>
      <c r="L59">
        <f>L13*(1+Control!$B$4)^(L$48/12)</f>
        <v>17936.371070204736</v>
      </c>
      <c r="M59">
        <f>M13*(1+Control!$B$4)^(M$48/12)</f>
        <v>18138.506000000001</v>
      </c>
      <c r="N59">
        <f>N13*(1+Control!$B$4)^(N$48/12)</f>
        <v>18238.687860909926</v>
      </c>
      <c r="O59">
        <f>O13*(1+Control!$B$4)^(O$48/12)</f>
        <v>18469.260445245865</v>
      </c>
      <c r="P59">
        <f>P13*(1+Control!$B$4)^(P$48/12)</f>
        <v>18738.733246211108</v>
      </c>
      <c r="Q59">
        <f>Q13*(1+Control!$B$4)^(Q$48/12)</f>
        <v>18822.187130441449</v>
      </c>
      <c r="R59">
        <f>R13*(1+Control!$B$4)^(R$48/12)</f>
        <v>19016.784499316247</v>
      </c>
      <c r="S59">
        <f>S13*(1+Control!$B$4)^(S$48/12)</f>
        <v>19291.150096963422</v>
      </c>
      <c r="T59">
        <f>T13*(1+Control!$B$4)^(T$48/12)</f>
        <v>19402.650025913917</v>
      </c>
      <c r="U59">
        <f>U13*(1+Control!$B$4)^(U$48/12)</f>
        <v>19604.505253251766</v>
      </c>
      <c r="V59">
        <f>V13*(1+Control!$B$4)^(V$48/12)</f>
        <v>19747.527967631289</v>
      </c>
      <c r="W59">
        <f>W13*(1+Control!$B$4)^(W$48/12)</f>
        <v>19876.67399987729</v>
      </c>
      <c r="X59">
        <f>X13*(1+Control!$B$4)^(X$48/12)</f>
        <v>20161.164758780986</v>
      </c>
      <c r="Y59">
        <f>Y13*(1+Control!$B$4)^(Y$48/12)</f>
        <v>20296.183989999998</v>
      </c>
      <c r="Z59">
        <f>Z13*(1+Control!$B$4)^(Z$48/12)</f>
        <v>20458.440842188604</v>
      </c>
      <c r="AA59">
        <f>AA13*(1+Control!$B$4)^(AA$48/12)</f>
        <v>20745.79304757604</v>
      </c>
      <c r="AB59">
        <f>AB13*(1+Control!$B$4)^(AB$48/12)</f>
        <v>20927.133806234226</v>
      </c>
      <c r="AC59">
        <f>AC13*(1+Control!$B$4)^(AC$48/12)</f>
        <v>21039.922968908981</v>
      </c>
      <c r="AD59">
        <f>AD13*(1+Control!$B$4)^(AD$48/12)</f>
        <v>21288.363698949135</v>
      </c>
      <c r="AE59">
        <f>AE13*(1+Control!$B$4)^(AE$48/12)</f>
        <v>21390.717567295971</v>
      </c>
      <c r="AF59">
        <f>AF13*(1+Control!$B$4)^(AF$48/12)</f>
        <v>21630.848238103768</v>
      </c>
      <c r="AG59">
        <f>AG13*(1+Control!$B$4)^(AG$48/12)</f>
        <v>21864.783765076685</v>
      </c>
      <c r="AH59">
        <f>AH13*(1+Control!$B$4)^(AH$48/12)</f>
        <v>21832.90988705097</v>
      </c>
      <c r="AI59">
        <f>AI13*(1+Control!$B$4)^(AI$48/12)</f>
        <v>22189.584644710525</v>
      </c>
      <c r="AJ59">
        <f>AJ13*(1+Control!$B$4)^(AJ$48/12)</f>
        <v>22453.161555862131</v>
      </c>
      <c r="AK59">
        <f>AK13*(1+Control!$B$4)^(AK$48/12)</f>
        <v>22589.289634800003</v>
      </c>
    </row>
    <row r="60" spans="1:37" x14ac:dyDescent="0.25">
      <c r="A60" t="s">
        <v>35</v>
      </c>
      <c r="B60">
        <f>B14*(1+Control!$B$4)^(B$48/12)</f>
        <v>17274.298267462382</v>
      </c>
      <c r="C60">
        <f>C14*(1+Control!$B$4)^(C$48/12)</f>
        <v>17425.635706020956</v>
      </c>
      <c r="D60">
        <f>D14*(1+Control!$B$4)^(D$48/12)</f>
        <v>17579.226419107083</v>
      </c>
      <c r="E60">
        <f>E14*(1+Control!$B$4)^(E$48/12)</f>
        <v>17858.797526049289</v>
      </c>
      <c r="F60">
        <f>F14*(1+Control!$B$4)^(F$48/12)</f>
        <v>17987.57937606984</v>
      </c>
      <c r="G60">
        <f>G14*(1+Control!$B$4)^(G$48/12)</f>
        <v>18177.070748742772</v>
      </c>
      <c r="H60">
        <f>H14*(1+Control!$B$4)^(H$48/12)</f>
        <v>18300.544721839284</v>
      </c>
      <c r="I60">
        <f>I14*(1+Control!$B$4)^(I$48/12)</f>
        <v>18548.639162884345</v>
      </c>
      <c r="J60">
        <f>J14*(1+Control!$B$4)^(J$48/12)</f>
        <v>18760.834543580095</v>
      </c>
      <c r="K60">
        <f>K14*(1+Control!$B$4)^(K$48/12)</f>
        <v>18890.22631216047</v>
      </c>
      <c r="L60">
        <f>L14*(1+Control!$B$4)^(L$48/12)</f>
        <v>19021.888890417449</v>
      </c>
      <c r="M60">
        <f>M14*(1+Control!$B$4)^(M$48/12)</f>
        <v>19221.345000000001</v>
      </c>
      <c r="N60">
        <f>N14*(1+Control!$B$4)^(N$48/12)</f>
        <v>19557.964548384636</v>
      </c>
      <c r="O60">
        <f>O14*(1+Control!$B$4)^(O$48/12)</f>
        <v>19702.048801050198</v>
      </c>
      <c r="P60">
        <f>P14*(1+Control!$B$4)^(P$48/12)</f>
        <v>19861.147984149338</v>
      </c>
      <c r="Q60">
        <f>Q14*(1+Control!$B$4)^(Q$48/12)</f>
        <v>20004.789013225392</v>
      </c>
      <c r="R60">
        <f>R14*(1+Control!$B$4)^(R$48/12)</f>
        <v>20127.328259043599</v>
      </c>
      <c r="S60">
        <f>S14*(1+Control!$B$4)^(S$48/12)</f>
        <v>20432.55229105561</v>
      </c>
      <c r="T60">
        <f>T14*(1+Control!$B$4)^(T$48/12)</f>
        <v>20644.847176448242</v>
      </c>
      <c r="U60">
        <f>U14*(1+Control!$B$4)^(U$48/12)</f>
        <v>20693.031643283939</v>
      </c>
      <c r="V60">
        <f>V14*(1+Control!$B$4)^(V$48/12)</f>
        <v>20994.70146230203</v>
      </c>
      <c r="W60">
        <f>W14*(1+Control!$B$4)^(W$48/12)</f>
        <v>21215.073172238132</v>
      </c>
      <c r="X60">
        <f>X14*(1+Control!$B$4)^(X$48/12)</f>
        <v>21304.964559905904</v>
      </c>
      <c r="Y60">
        <f>Y14*(1+Control!$B$4)^(Y$48/12)</f>
        <v>21629.417019999997</v>
      </c>
      <c r="Z60">
        <f>Z14*(1+Control!$B$4)^(Z$48/12)</f>
        <v>21722.749216495587</v>
      </c>
      <c r="AA60">
        <f>AA14*(1+Control!$B$4)^(AA$48/12)</f>
        <v>21878.992598949641</v>
      </c>
      <c r="AB60">
        <f>AB14*(1+Control!$B$4)^(AB$48/12)</f>
        <v>22169.470626166541</v>
      </c>
      <c r="AC60">
        <f>AC14*(1+Control!$B$4)^(AC$48/12)</f>
        <v>22304.716150635817</v>
      </c>
      <c r="AD60">
        <f>AD14*(1+Control!$B$4)^(AD$48/12)</f>
        <v>22687.739556681747</v>
      </c>
      <c r="AE60">
        <f>AE14*(1+Control!$B$4)^(AE$48/12)</f>
        <v>22793.329324225371</v>
      </c>
      <c r="AF60">
        <f>AF14*(1+Control!$B$4)^(AF$48/12)</f>
        <v>22990.183301478512</v>
      </c>
      <c r="AG60">
        <f>AG14*(1+Control!$B$4)^(AG$48/12)</f>
        <v>23125.545662543831</v>
      </c>
      <c r="AH60">
        <f>AH14*(1+Control!$B$4)^(AH$48/12)</f>
        <v>23496.920293130184</v>
      </c>
      <c r="AI60">
        <f>AI14*(1+Control!$B$4)^(AI$48/12)</f>
        <v>23524.641514042738</v>
      </c>
      <c r="AJ60">
        <f>AJ14*(1+Control!$B$4)^(AJ$48/12)</f>
        <v>23918.391536850548</v>
      </c>
      <c r="AK60">
        <f>AK14*(1+Control!$B$4)^(AK$48/12)</f>
        <v>23957.4931115</v>
      </c>
    </row>
    <row r="61" spans="1:37" x14ac:dyDescent="0.25">
      <c r="A61" t="s">
        <v>36</v>
      </c>
      <c r="B61">
        <f>B15*(1+Control!$B$4)^(B$48/12)</f>
        <v>18296.513122749202</v>
      </c>
      <c r="C61">
        <f>C15*(1+Control!$B$4)^(C$48/12)</f>
        <v>18417.610619827952</v>
      </c>
      <c r="D61">
        <f>D15*(1+Control!$B$4)^(D$48/12)</f>
        <v>18710.253565591946</v>
      </c>
      <c r="E61">
        <f>E15*(1+Control!$B$4)^(E$48/12)</f>
        <v>18803.459514539627</v>
      </c>
      <c r="F61">
        <f>F15*(1+Control!$B$4)^(F$48/12)</f>
        <v>18976.079241148273</v>
      </c>
      <c r="G61">
        <f>G15*(1+Control!$B$4)^(G$48/12)</f>
        <v>19223.218491272477</v>
      </c>
      <c r="H61">
        <f>H15*(1+Control!$B$4)^(H$48/12)</f>
        <v>19474.920477073083</v>
      </c>
      <c r="I61">
        <f>I15*(1+Control!$B$4)^(I$48/12)</f>
        <v>19546.714585297352</v>
      </c>
      <c r="J61">
        <f>J15*(1+Control!$B$4)^(J$48/12)</f>
        <v>19918.516930222551</v>
      </c>
      <c r="K61">
        <f>K15*(1+Control!$B$4)^(K$48/12)</f>
        <v>20039.489535486104</v>
      </c>
      <c r="L61">
        <f>L15*(1+Control!$B$4)^(L$48/12)</f>
        <v>20283.514381604564</v>
      </c>
      <c r="M61">
        <f>M15*(1+Control!$B$4)^(M$48/12)</f>
        <v>20303.772000000001</v>
      </c>
      <c r="N61">
        <f>N15*(1+Control!$B$4)^(N$48/12)</f>
        <v>20587.716947553876</v>
      </c>
      <c r="O61">
        <f>O15*(1+Control!$B$4)^(O$48/12)</f>
        <v>20814.767090294237</v>
      </c>
      <c r="P61">
        <f>P15*(1+Control!$B$4)^(P$48/12)</f>
        <v>21041.670538787712</v>
      </c>
      <c r="Q61">
        <f>Q15*(1+Control!$B$4)^(Q$48/12)</f>
        <v>21164.610544850071</v>
      </c>
      <c r="R61">
        <f>R15*(1+Control!$B$4)^(R$48/12)</f>
        <v>21403.880062478554</v>
      </c>
      <c r="S61">
        <f>S15*(1+Control!$B$4)^(S$48/12)</f>
        <v>21534.440790728277</v>
      </c>
      <c r="T61">
        <f>T15*(1+Control!$B$4)^(T$48/12)</f>
        <v>21793.570406088642</v>
      </c>
      <c r="U61">
        <f>U15*(1+Control!$B$4)^(U$48/12)</f>
        <v>22007.730328021702</v>
      </c>
      <c r="V61">
        <f>V15*(1+Control!$B$4)^(V$48/12)</f>
        <v>22254.196100169298</v>
      </c>
      <c r="W61">
        <f>W15*(1+Control!$B$4)^(W$48/12)</f>
        <v>22506.283164125292</v>
      </c>
      <c r="X61">
        <f>X15*(1+Control!$B$4)^(X$48/12)</f>
        <v>22641.796451820221</v>
      </c>
      <c r="Y61">
        <f>Y15*(1+Control!$B$4)^(Y$48/12)</f>
        <v>22801.181069999999</v>
      </c>
      <c r="Z61">
        <f>Z15*(1+Control!$B$4)^(Z$48/12)</f>
        <v>23117.444709485317</v>
      </c>
      <c r="AA61">
        <f>AA15*(1+Control!$B$4)^(AA$48/12)</f>
        <v>23404.211601861549</v>
      </c>
      <c r="AB61">
        <f>AB15*(1+Control!$B$4)^(AB$48/12)</f>
        <v>23436.92351222791</v>
      </c>
      <c r="AC61">
        <f>AC15*(1+Control!$B$4)^(AC$48/12)</f>
        <v>23636.686403514086</v>
      </c>
      <c r="AD61">
        <f>AD15*(1+Control!$B$4)^(AD$48/12)</f>
        <v>23917.845604621849</v>
      </c>
      <c r="AE61">
        <f>AE15*(1+Control!$B$4)^(AE$48/12)</f>
        <v>24102.806885273607</v>
      </c>
      <c r="AF61">
        <f>AF15*(1+Control!$B$4)^(AF$48/12)</f>
        <v>24361.391229469042</v>
      </c>
      <c r="AG61">
        <f>AG15*(1+Control!$B$4)^(AG$48/12)</f>
        <v>24533.461368846827</v>
      </c>
      <c r="AH61">
        <f>AH15*(1+Control!$B$4)^(AH$48/12)</f>
        <v>24749.944751185529</v>
      </c>
      <c r="AI61">
        <f>AI15*(1+Control!$B$4)^(AI$48/12)</f>
        <v>24976.589256035986</v>
      </c>
      <c r="AJ61">
        <f>AJ15*(1+Control!$B$4)^(AJ$48/12)</f>
        <v>25312.987011985628</v>
      </c>
      <c r="AK61">
        <f>AK15*(1+Control!$B$4)^(AK$48/12)</f>
        <v>25423.932745499998</v>
      </c>
    </row>
    <row r="62" spans="1:37" x14ac:dyDescent="0.25">
      <c r="A62" t="s">
        <v>37</v>
      </c>
      <c r="B62">
        <f>B16*(1+Control!$B$4)^(B$48/12)</f>
        <v>19307.099369306659</v>
      </c>
      <c r="C62">
        <f>C16*(1+Control!$B$4)^(C$48/12)</f>
        <v>19569.873243848917</v>
      </c>
      <c r="D62">
        <f>D16*(1+Control!$B$4)^(D$48/12)</f>
        <v>19628.91719334606</v>
      </c>
      <c r="E62">
        <f>E16*(1+Control!$B$4)^(E$48/12)</f>
        <v>19926.36914143978</v>
      </c>
      <c r="F62">
        <f>F16*(1+Control!$B$4)^(F$48/12)</f>
        <v>20059.642745443078</v>
      </c>
      <c r="G62">
        <f>G16*(1+Control!$B$4)^(G$48/12)</f>
        <v>20245.008894045961</v>
      </c>
      <c r="H62">
        <f>H16*(1+Control!$B$4)^(H$48/12)</f>
        <v>20506.657853303353</v>
      </c>
      <c r="I62">
        <f>I16*(1+Control!$B$4)^(I$48/12)</f>
        <v>20760.805105265106</v>
      </c>
      <c r="J62">
        <f>J16*(1+Control!$B$4)^(J$48/12)</f>
        <v>20990.316317237732</v>
      </c>
      <c r="K62">
        <f>K16*(1+Control!$B$4)^(K$48/12)</f>
        <v>21153.699871771933</v>
      </c>
      <c r="L62">
        <f>L16*(1+Control!$B$4)^(L$48/12)</f>
        <v>21418.247822818877</v>
      </c>
      <c r="M62">
        <f>M16*(1+Control!$B$4)^(M$48/12)</f>
        <v>21601.881000000001</v>
      </c>
      <c r="N62">
        <f>N16*(1+Control!$B$4)^(N$48/12)</f>
        <v>21835.438595158506</v>
      </c>
      <c r="O62">
        <f>O16*(1+Control!$B$4)^(O$48/12)</f>
        <v>22005.530922802467</v>
      </c>
      <c r="P62">
        <f>P16*(1+Control!$B$4)^(P$48/12)</f>
        <v>22268.886874702977</v>
      </c>
      <c r="Q62">
        <f>Q16*(1+Control!$B$4)^(Q$48/12)</f>
        <v>22398.078143236209</v>
      </c>
      <c r="R62">
        <f>R16*(1+Control!$B$4)^(R$48/12)</f>
        <v>22543.204111190396</v>
      </c>
      <c r="S62">
        <f>S16*(1+Control!$B$4)^(S$48/12)</f>
        <v>22835.361232662272</v>
      </c>
      <c r="T62">
        <f>T16*(1+Control!$B$4)^(T$48/12)</f>
        <v>23069.615175960127</v>
      </c>
      <c r="U62">
        <f>U16*(1+Control!$B$4)^(U$48/12)</f>
        <v>23176.61984181132</v>
      </c>
      <c r="V62">
        <f>V16*(1+Control!$B$4)^(V$48/12)</f>
        <v>23470.830009139248</v>
      </c>
      <c r="W62">
        <f>W16*(1+Control!$B$4)^(W$48/12)</f>
        <v>23628.688906398562</v>
      </c>
      <c r="X62">
        <f>X16*(1+Control!$B$4)^(X$48/12)</f>
        <v>24001.169920126071</v>
      </c>
      <c r="Y62">
        <f>Y16*(1+Control!$B$4)^(Y$48/12)</f>
        <v>24081.475189999997</v>
      </c>
      <c r="Z62">
        <f>Z16*(1+Control!$B$4)^(Z$48/12)</f>
        <v>24451.945170521994</v>
      </c>
      <c r="AA62">
        <f>AA16*(1+Control!$B$4)^(AA$48/12)</f>
        <v>24646.370598291483</v>
      </c>
      <c r="AB62">
        <f>AB16*(1+Control!$B$4)^(AB$48/12)</f>
        <v>24812.642674837058</v>
      </c>
      <c r="AC62">
        <f>AC16*(1+Control!$B$4)^(AC$48/12)</f>
        <v>25052.22621859032</v>
      </c>
      <c r="AD62">
        <f>AD16*(1+Control!$B$4)^(AD$48/12)</f>
        <v>25328.391551325545</v>
      </c>
      <c r="AE62">
        <f>AE16*(1+Control!$B$4)^(AE$48/12)</f>
        <v>25482.269680220987</v>
      </c>
      <c r="AF62">
        <f>AF16*(1+Control!$B$4)^(AF$48/12)</f>
        <v>25707.018530969191</v>
      </c>
      <c r="AG62">
        <f>AG16*(1+Control!$B$4)^(AG$48/12)</f>
        <v>25992.01529760216</v>
      </c>
      <c r="AH62">
        <f>AH16*(1+Control!$B$4)^(AH$48/12)</f>
        <v>26164.152930213029</v>
      </c>
      <c r="AI62">
        <f>AI16*(1+Control!$B$4)^(AI$48/12)</f>
        <v>26452.567586734425</v>
      </c>
      <c r="AJ62">
        <f>AJ16*(1+Control!$B$4)^(AJ$48/12)</f>
        <v>26559.664239523536</v>
      </c>
      <c r="AK62">
        <f>AK16*(1+Control!$B$4)^(AK$48/12)</f>
        <v>26944.243820600001</v>
      </c>
    </row>
    <row r="63" spans="1:37" x14ac:dyDescent="0.25">
      <c r="A63" t="s">
        <v>38</v>
      </c>
      <c r="B63">
        <f>B17*(1+Control!$B$4)^(B$48/12)</f>
        <v>20345.25343828286</v>
      </c>
      <c r="C63">
        <f>C17*(1+Control!$B$4)^(C$48/12)</f>
        <v>20513.812091522817</v>
      </c>
      <c r="D63">
        <f>D17*(1+Control!$B$4)^(D$48/12)</f>
        <v>20774.652629078872</v>
      </c>
      <c r="E63">
        <f>E17*(1+Control!$B$4)^(E$48/12)</f>
        <v>20864.567759472193</v>
      </c>
      <c r="F63">
        <f>F17*(1+Control!$B$4)^(F$48/12)</f>
        <v>21193.623387469252</v>
      </c>
      <c r="G63">
        <f>G17*(1+Control!$B$4)^(G$48/12)</f>
        <v>21466.123527157855</v>
      </c>
      <c r="H63">
        <f>H17*(1+Control!$B$4)^(H$48/12)</f>
        <v>21634.844005065257</v>
      </c>
      <c r="I63">
        <f>I17*(1+Control!$B$4)^(I$48/12)</f>
        <v>21840.064671990469</v>
      </c>
      <c r="J63">
        <f>J17*(1+Control!$B$4)^(J$48/12)</f>
        <v>22078.474370848577</v>
      </c>
      <c r="K63">
        <f>K17*(1+Control!$B$4)^(K$48/12)</f>
        <v>22359.129709418674</v>
      </c>
      <c r="L63">
        <f>L17*(1+Control!$B$4)^(L$48/12)</f>
        <v>22496.162394693136</v>
      </c>
      <c r="M63">
        <f>M17*(1+Control!$B$4)^(M$48/12)</f>
        <v>22697.491999999998</v>
      </c>
      <c r="N63">
        <f>N17*(1+Control!$B$4)^(N$48/12)</f>
        <v>22879.440049886289</v>
      </c>
      <c r="O63">
        <f>O17*(1+Control!$B$4)^(O$48/12)</f>
        <v>23205.817553693065</v>
      </c>
      <c r="P63">
        <f>P17*(1+Control!$B$4)^(P$48/12)</f>
        <v>23428.241581829159</v>
      </c>
      <c r="Q63">
        <f>Q17*(1+Control!$B$4)^(Q$48/12)</f>
        <v>23539.280118433904</v>
      </c>
      <c r="R63">
        <f>R17*(1+Control!$B$4)^(R$48/12)</f>
        <v>23824.865458684195</v>
      </c>
      <c r="S63">
        <f>S17*(1+Control!$B$4)^(S$48/12)</f>
        <v>23990.979994058845</v>
      </c>
      <c r="T63">
        <f>T17*(1+Control!$B$4)^(T$48/12)</f>
        <v>24331.51310802815</v>
      </c>
      <c r="U63">
        <f>U17*(1+Control!$B$4)^(U$48/12)</f>
        <v>24488.167031499768</v>
      </c>
      <c r="V63">
        <f>V17*(1+Control!$B$4)^(V$48/12)</f>
        <v>24805.093977515357</v>
      </c>
      <c r="W63">
        <f>W17*(1+Control!$B$4)^(W$48/12)</f>
        <v>24971.838667397693</v>
      </c>
      <c r="X63">
        <f>X17*(1+Control!$B$4)^(X$48/12)</f>
        <v>25183.808963202584</v>
      </c>
      <c r="Y63">
        <f>Y17*(1+Control!$B$4)^(Y$48/12)</f>
        <v>25535.862999999998</v>
      </c>
      <c r="Z63">
        <f>Z17*(1+Control!$B$4)^(Z$48/12)</f>
        <v>25625.42923866662</v>
      </c>
      <c r="AA63">
        <f>AA17*(1+Control!$B$4)^(AA$48/12)</f>
        <v>25888.636208659831</v>
      </c>
      <c r="AB63">
        <f>AB17*(1+Control!$B$4)^(AB$48/12)</f>
        <v>26118.784990424872</v>
      </c>
      <c r="AC63">
        <f>AC17*(1+Control!$B$4)^(AC$48/12)</f>
        <v>26328.697710932003</v>
      </c>
      <c r="AD63">
        <f>AD17*(1+Control!$B$4)^(AD$48/12)</f>
        <v>26620.899730921392</v>
      </c>
      <c r="AE63">
        <f>AE17*(1+Control!$B$4)^(AE$48/12)</f>
        <v>26820.818030735023</v>
      </c>
      <c r="AF63">
        <f>AF17*(1+Control!$B$4)^(AF$48/12)</f>
        <v>27106.181658373262</v>
      </c>
      <c r="AG63">
        <f>AG17*(1+Control!$B$4)^(AG$48/12)</f>
        <v>27322.134247616203</v>
      </c>
      <c r="AH63">
        <f>AH17*(1+Control!$B$4)^(AH$48/12)</f>
        <v>27601.139427816666</v>
      </c>
      <c r="AI63">
        <f>AI17*(1+Control!$B$4)^(AI$48/12)</f>
        <v>27832.749769698574</v>
      </c>
      <c r="AJ63">
        <f>AJ17*(1+Control!$B$4)^(AJ$48/12)</f>
        <v>28063.481589450344</v>
      </c>
      <c r="AK63">
        <f>AK17*(1+Control!$B$4)^(AK$48/12)</f>
        <v>28293.106029400002</v>
      </c>
    </row>
    <row r="64" spans="1:37" x14ac:dyDescent="0.25">
      <c r="A64" t="s">
        <v>39</v>
      </c>
      <c r="B64">
        <f>B18*(1+Control!$B$4)^(B$48/12)</f>
        <v>21353.834752300772</v>
      </c>
      <c r="C64">
        <f>C18*(1+Control!$B$4)^(C$48/12)</f>
        <v>21582.564316052998</v>
      </c>
      <c r="D64">
        <f>D18*(1+Control!$B$4)^(D$48/12)</f>
        <v>21774.010364282385</v>
      </c>
      <c r="E64">
        <f>E18*(1+Control!$B$4)^(E$48/12)</f>
        <v>21987.578376535748</v>
      </c>
      <c r="F64">
        <f>F18*(1+Control!$B$4)^(F$48/12)</f>
        <v>22319.808608601215</v>
      </c>
      <c r="G64">
        <f>G18*(1+Control!$B$4)^(G$48/12)</f>
        <v>22591.635601726579</v>
      </c>
      <c r="H64">
        <f>H18*(1+Control!$B$4)^(H$48/12)</f>
        <v>22771.169294002826</v>
      </c>
      <c r="I64">
        <f>I18*(1+Control!$B$4)^(I$48/12)</f>
        <v>22950.329238553721</v>
      </c>
      <c r="J64">
        <f>J18*(1+Control!$B$4)^(J$48/12)</f>
        <v>23164.076382803858</v>
      </c>
      <c r="K64">
        <f>K18*(1+Control!$B$4)^(K$48/12)</f>
        <v>23407.53901213855</v>
      </c>
      <c r="L64">
        <f>L18*(1+Control!$B$4)^(L$48/12)</f>
        <v>23572.638514179042</v>
      </c>
      <c r="M64">
        <f>M18*(1+Control!$B$4)^(M$48/12)</f>
        <v>23825.342000000001</v>
      </c>
      <c r="N64">
        <f>N18*(1+Control!$B$4)^(N$48/12)</f>
        <v>24157.518381072176</v>
      </c>
      <c r="O64">
        <f>O18*(1+Control!$B$4)^(O$48/12)</f>
        <v>24393.890160571496</v>
      </c>
      <c r="P64">
        <f>P18*(1+Control!$B$4)^(P$48/12)</f>
        <v>24617.169017097374</v>
      </c>
      <c r="Q64">
        <f>Q18*(1+Control!$B$4)^(Q$48/12)</f>
        <v>24769.731140639138</v>
      </c>
      <c r="R64">
        <f>R18*(1+Control!$B$4)^(R$48/12)</f>
        <v>25008.402704966396</v>
      </c>
      <c r="S64">
        <f>S18*(1+Control!$B$4)^(S$48/12)</f>
        <v>25308.207674959634</v>
      </c>
      <c r="T64">
        <f>T18*(1+Control!$B$4)^(T$48/12)</f>
        <v>25419.14295663586</v>
      </c>
      <c r="U64">
        <f>U18*(1+Control!$B$4)^(U$48/12)</f>
        <v>25796.037476964022</v>
      </c>
      <c r="V64">
        <f>V18*(1+Control!$B$4)^(V$48/12)</f>
        <v>25990.345829454829</v>
      </c>
      <c r="W64">
        <f>W18*(1+Control!$B$4)^(W$48/12)</f>
        <v>26261.465129738761</v>
      </c>
      <c r="X64">
        <f>X18*(1+Control!$B$4)^(X$48/12)</f>
        <v>26442.327397230856</v>
      </c>
      <c r="Y64">
        <f>Y18*(1+Control!$B$4)^(Y$48/12)</f>
        <v>26742.000210000002</v>
      </c>
      <c r="Z64">
        <f>Z18*(1+Control!$B$4)^(Z$48/12)</f>
        <v>26880.059613136636</v>
      </c>
      <c r="AA64">
        <f>AA18*(1+Control!$B$4)^(AA$48/12)</f>
        <v>27305.215608330636</v>
      </c>
      <c r="AB64">
        <f>AB18*(1+Control!$B$4)^(AB$48/12)</f>
        <v>27435.828747481475</v>
      </c>
      <c r="AC64">
        <f>AC18*(1+Control!$B$4)^(AC$48/12)</f>
        <v>27741.344733470611</v>
      </c>
      <c r="AD64">
        <f>AD18*(1+Control!$B$4)^(AD$48/12)</f>
        <v>27966.465833129867</v>
      </c>
      <c r="AE64">
        <f>AE18*(1+Control!$B$4)^(AE$48/12)</f>
        <v>28108.11565611677</v>
      </c>
      <c r="AF64">
        <f>AF18*(1+Control!$B$4)^(AF$48/12)</f>
        <v>28508.04316409909</v>
      </c>
      <c r="AG64">
        <f>AG18*(1+Control!$B$4)^(AG$48/12)</f>
        <v>28723.990679437724</v>
      </c>
      <c r="AH64">
        <f>AH18*(1+Control!$B$4)^(AH$48/12)</f>
        <v>28997.66729290173</v>
      </c>
      <c r="AI64">
        <f>AI18*(1+Control!$B$4)^(AI$48/12)</f>
        <v>29253.164159997217</v>
      </c>
      <c r="AJ64">
        <f>AJ18*(1+Control!$B$4)^(AJ$48/12)</f>
        <v>29572.640128862979</v>
      </c>
      <c r="AK64">
        <f>AK18*(1+Control!$B$4)^(AK$48/12)</f>
        <v>29779.433294799997</v>
      </c>
    </row>
    <row r="65" spans="1:37" x14ac:dyDescent="0.25">
      <c r="A65" t="s">
        <v>40</v>
      </c>
      <c r="B65">
        <f>B19*(1+Control!$B$4)^(B$48/12)</f>
        <v>22407.527048458443</v>
      </c>
      <c r="C65">
        <f>C19*(1+Control!$B$4)^(C$48/12)</f>
        <v>22639.056289394397</v>
      </c>
      <c r="D65">
        <f>D19*(1+Control!$B$4)^(D$48/12)</f>
        <v>22772.259940706939</v>
      </c>
      <c r="E65">
        <f>E19*(1+Control!$B$4)^(E$48/12)</f>
        <v>23115.537511606151</v>
      </c>
      <c r="F65">
        <f>F19*(1+Control!$B$4)^(F$48/12)</f>
        <v>23339.388918024084</v>
      </c>
      <c r="G65">
        <f>G19*(1+Control!$B$4)^(G$48/12)</f>
        <v>23535.279539448857</v>
      </c>
      <c r="H65">
        <f>H19*(1+Control!$B$4)^(H$48/12)</f>
        <v>23720.396167114788</v>
      </c>
      <c r="I65">
        <f>I19*(1+Control!$B$4)^(I$48/12)</f>
        <v>24004.907193566032</v>
      </c>
      <c r="J65">
        <f>J19*(1+Control!$B$4)^(J$48/12)</f>
        <v>24270.228969669941</v>
      </c>
      <c r="K65">
        <f>K19*(1+Control!$B$4)^(K$48/12)</f>
        <v>24592.880060721534</v>
      </c>
      <c r="L65">
        <f>L19*(1+Control!$B$4)^(L$48/12)</f>
        <v>24712.406538752599</v>
      </c>
      <c r="M65">
        <f>M19*(1+Control!$B$4)^(M$48/12)</f>
        <v>24908.284000000003</v>
      </c>
      <c r="N65">
        <f>N19*(1+Control!$B$4)^(N$48/12)</f>
        <v>25315.615534294087</v>
      </c>
      <c r="O65">
        <f>O19*(1+Control!$B$4)^(O$48/12)</f>
        <v>25432.703253674117</v>
      </c>
      <c r="P65">
        <f>P19*(1+Control!$B$4)^(P$48/12)</f>
        <v>25697.248060011218</v>
      </c>
      <c r="Q65">
        <f>Q19*(1+Control!$B$4)^(Q$48/12)</f>
        <v>26022.026335188868</v>
      </c>
      <c r="R65">
        <f>R19*(1+Control!$B$4)^(R$48/12)</f>
        <v>26244.808090796185</v>
      </c>
      <c r="S65">
        <f>S19*(1+Control!$B$4)^(S$48/12)</f>
        <v>26500.93585836397</v>
      </c>
      <c r="T65">
        <f>T19*(1+Control!$B$4)^(T$48/12)</f>
        <v>26674.439031062273</v>
      </c>
      <c r="U65">
        <f>U19*(1+Control!$B$4)^(U$48/12)</f>
        <v>26877.84067755767</v>
      </c>
      <c r="V65">
        <f>V19*(1+Control!$B$4)^(V$48/12)</f>
        <v>27209.085916748973</v>
      </c>
      <c r="W65">
        <f>W19*(1+Control!$B$4)^(W$48/12)</f>
        <v>27467.481232045928</v>
      </c>
      <c r="X65">
        <f>X19*(1+Control!$B$4)^(X$48/12)</f>
        <v>27782.016672068046</v>
      </c>
      <c r="Y65">
        <f>Y19*(1+Control!$B$4)^(Y$48/12)</f>
        <v>27912.809449999997</v>
      </c>
      <c r="Z65">
        <f>Z19*(1+Control!$B$4)^(Z$48/12)</f>
        <v>28245.614754968883</v>
      </c>
      <c r="AA65">
        <f>AA19*(1+Control!$B$4)^(AA$48/12)</f>
        <v>28492.148584663526</v>
      </c>
      <c r="AB65">
        <f>AB19*(1+Control!$B$4)^(AB$48/12)</f>
        <v>28693.983345231234</v>
      </c>
      <c r="AC65">
        <f>AC19*(1+Control!$B$4)^(AC$48/12)</f>
        <v>29003.459403588535</v>
      </c>
      <c r="AD65">
        <f>AD19*(1+Control!$B$4)^(AD$48/12)</f>
        <v>29225.571150514115</v>
      </c>
      <c r="AE65">
        <f>AE19*(1+Control!$B$4)^(AE$48/12)</f>
        <v>29689.674272646746</v>
      </c>
      <c r="AF65">
        <f>AF19*(1+Control!$B$4)^(AF$48/12)</f>
        <v>29854.965687193697</v>
      </c>
      <c r="AG65">
        <f>AG19*(1+Control!$B$4)^(AG$48/12)</f>
        <v>30115.567984906735</v>
      </c>
      <c r="AH65">
        <f>AH19*(1+Control!$B$4)^(AH$48/12)</f>
        <v>30408.404490050958</v>
      </c>
      <c r="AI65">
        <f>AI19*(1+Control!$B$4)^(AI$48/12)</f>
        <v>30648.786811722173</v>
      </c>
      <c r="AJ65">
        <f>AJ19*(1+Control!$B$4)^(AJ$48/12)</f>
        <v>30904.558380439928</v>
      </c>
      <c r="AK65">
        <f>AK19*(1+Control!$B$4)^(AK$48/12)</f>
        <v>31170.693311199997</v>
      </c>
    </row>
    <row r="66" spans="1:37" x14ac:dyDescent="0.25">
      <c r="A66" t="s">
        <v>42</v>
      </c>
      <c r="B66">
        <f>B20*(1+Control!$B$4)^(B$48/12)</f>
        <v>23448.989256124889</v>
      </c>
      <c r="C66">
        <f>C20*(1+Control!$B$4)^(C$48/12)</f>
        <v>23551.942533647536</v>
      </c>
      <c r="D66">
        <f>D20*(1+Control!$B$4)^(D$48/12)</f>
        <v>23825.313005836204</v>
      </c>
      <c r="E66">
        <f>E20*(1+Control!$B$4)^(E$48/12)</f>
        <v>24090.799519608197</v>
      </c>
      <c r="F66">
        <f>F20*(1+Control!$B$4)^(F$48/12)</f>
        <v>24432.266431698983</v>
      </c>
      <c r="G66">
        <f>G20*(1+Control!$B$4)^(G$48/12)</f>
        <v>24567.320322703086</v>
      </c>
      <c r="H66">
        <f>H20*(1+Control!$B$4)^(H$48/12)</f>
        <v>24926.819774977772</v>
      </c>
      <c r="I66">
        <f>I20*(1+Control!$B$4)^(I$48/12)</f>
        <v>25193.092220248189</v>
      </c>
      <c r="J66">
        <f>J20*(1+Control!$B$4)^(J$48/12)</f>
        <v>25310.742406820904</v>
      </c>
      <c r="K66">
        <f>K20*(1+Control!$B$4)^(K$48/12)</f>
        <v>25634.934746492669</v>
      </c>
      <c r="L66">
        <f>L20*(1+Control!$B$4)^(L$48/12)</f>
        <v>25917.110414000501</v>
      </c>
      <c r="M66">
        <f>M20*(1+Control!$B$4)^(M$48/12)</f>
        <v>26167.15</v>
      </c>
      <c r="N66">
        <f>N20*(1+Control!$B$4)^(N$48/12)</f>
        <v>26460.909188318466</v>
      </c>
      <c r="O66">
        <f>O20*(1+Control!$B$4)^(O$48/12)</f>
        <v>26550.803994177761</v>
      </c>
      <c r="P66">
        <f>P20*(1+Control!$B$4)^(P$48/12)</f>
        <v>26816.031059405694</v>
      </c>
      <c r="Q66">
        <f>Q20*(1+Control!$B$4)^(Q$48/12)</f>
        <v>27193.914171537173</v>
      </c>
      <c r="R66">
        <f>R20*(1+Control!$B$4)^(R$48/12)</f>
        <v>27432.203564224859</v>
      </c>
      <c r="S66">
        <f>S20*(1+Control!$B$4)^(S$48/12)</f>
        <v>27693.454974602064</v>
      </c>
      <c r="T66">
        <f>T20*(1+Control!$B$4)^(T$48/12)</f>
        <v>27893.162909981987</v>
      </c>
      <c r="U66">
        <f>U20*(1+Control!$B$4)^(U$48/12)</f>
        <v>28195.58580750976</v>
      </c>
      <c r="V66">
        <f>V20*(1+Control!$B$4)^(V$48/12)</f>
        <v>28310.933107050416</v>
      </c>
      <c r="W66">
        <f>W20*(1+Control!$B$4)^(W$48/12)</f>
        <v>28783.183147579392</v>
      </c>
      <c r="X66">
        <f>X20*(1+Control!$B$4)^(X$48/12)</f>
        <v>28980.424235718907</v>
      </c>
      <c r="Y66">
        <f>Y20*(1+Control!$B$4)^(Y$48/12)</f>
        <v>29298.238759999993</v>
      </c>
      <c r="Z66">
        <f>Z20*(1+Control!$B$4)^(Z$48/12)</f>
        <v>29574.159523798196</v>
      </c>
      <c r="AA66">
        <f>AA20*(1+Control!$B$4)^(AA$48/12)</f>
        <v>29751.792266992914</v>
      </c>
      <c r="AB66">
        <f>AB20*(1+Control!$B$4)^(AB$48/12)</f>
        <v>30109.888213646864</v>
      </c>
      <c r="AC66">
        <f>AC20*(1+Control!$B$4)^(AC$48/12)</f>
        <v>30269.431130423287</v>
      </c>
      <c r="AD66">
        <f>AD20*(1+Control!$B$4)^(AD$48/12)</f>
        <v>30651.261160149756</v>
      </c>
      <c r="AE66">
        <f>AE20*(1+Control!$B$4)^(AE$48/12)</f>
        <v>30923.675450674524</v>
      </c>
      <c r="AF66">
        <f>AF20*(1+Control!$B$4)^(AF$48/12)</f>
        <v>31264.922327884844</v>
      </c>
      <c r="AG66">
        <f>AG20*(1+Control!$B$4)^(AG$48/12)</f>
        <v>31430.105943396986</v>
      </c>
      <c r="AH66">
        <f>AH20*(1+Control!$B$4)^(AH$48/12)</f>
        <v>31766.643086291355</v>
      </c>
      <c r="AI66">
        <f>AI20*(1+Control!$B$4)^(AI$48/12)</f>
        <v>32030.056351641309</v>
      </c>
      <c r="AJ66">
        <f>AJ20*(1+Control!$B$4)^(AJ$48/12)</f>
        <v>32373.058477440081</v>
      </c>
      <c r="AK66">
        <f>AK20*(1+Control!$B$4)^(AK$48/12)</f>
        <v>32539.9895149</v>
      </c>
    </row>
    <row r="67" spans="1:37" x14ac:dyDescent="0.25">
      <c r="A67" t="s">
        <v>43</v>
      </c>
      <c r="B67">
        <f>B21*(1+Control!$B$4)^(B$48/12)</f>
        <v>24365.042933442815</v>
      </c>
      <c r="C67">
        <f>C21*(1+Control!$B$4)^(C$48/12)</f>
        <v>24695.462191656832</v>
      </c>
      <c r="D67">
        <f>D21*(1+Control!$B$4)^(D$48/12)</f>
        <v>24822.857390310513</v>
      </c>
      <c r="E67">
        <f>E21*(1+Control!$B$4)^(E$48/12)</f>
        <v>25254.509172523969</v>
      </c>
      <c r="F67">
        <f>F21*(1+Control!$B$4)^(F$48/12)</f>
        <v>25431.396416178613</v>
      </c>
      <c r="G67">
        <f>G21*(1+Control!$B$4)^(G$48/12)</f>
        <v>25774.327996539501</v>
      </c>
      <c r="H67">
        <f>H21*(1+Control!$B$4)^(H$48/12)</f>
        <v>25967.713680530665</v>
      </c>
      <c r="I67">
        <f>I21*(1+Control!$B$4)^(I$48/12)</f>
        <v>26259.705010723887</v>
      </c>
      <c r="J67">
        <f>J21*(1+Control!$B$4)^(J$48/12)</f>
        <v>26600.62326788963</v>
      </c>
      <c r="K67">
        <f>K21*(1+Control!$B$4)^(K$48/12)</f>
        <v>26671.147284423841</v>
      </c>
      <c r="L67">
        <f>L21*(1+Control!$B$4)^(L$48/12)</f>
        <v>27137.740012119477</v>
      </c>
      <c r="M67">
        <f>M21*(1+Control!$B$4)^(M$48/12)</f>
        <v>27320.234999999997</v>
      </c>
      <c r="N67">
        <f>N21*(1+Control!$B$4)^(N$48/12)</f>
        <v>27611.262289606391</v>
      </c>
      <c r="O67">
        <f>O21*(1+Control!$B$4)^(O$48/12)</f>
        <v>27844.662470042927</v>
      </c>
      <c r="P67">
        <f>P21*(1+Control!$B$4)^(P$48/12)</f>
        <v>28055.906598244925</v>
      </c>
      <c r="Q67">
        <f>Q21*(1+Control!$B$4)^(Q$48/12)</f>
        <v>28333.243789105341</v>
      </c>
      <c r="R67">
        <f>R21*(1+Control!$B$4)^(R$48/12)</f>
        <v>28689.25567910873</v>
      </c>
      <c r="S67">
        <f>S21*(1+Control!$B$4)^(S$48/12)</f>
        <v>28864.12657196798</v>
      </c>
      <c r="T67">
        <f>T21*(1+Control!$B$4)^(T$48/12)</f>
        <v>29245.181438427564</v>
      </c>
      <c r="U67">
        <f>U21*(1+Control!$B$4)^(U$48/12)</f>
        <v>29446.834391921388</v>
      </c>
      <c r="V67">
        <f>V21*(1+Control!$B$4)^(V$48/12)</f>
        <v>29565.478225855826</v>
      </c>
      <c r="W67">
        <f>W21*(1+Control!$B$4)^(W$48/12)</f>
        <v>30013.796742169259</v>
      </c>
      <c r="X67">
        <f>X21*(1+Control!$B$4)^(X$48/12)</f>
        <v>30288.893956398821</v>
      </c>
      <c r="Y67">
        <f>Y21*(1+Control!$B$4)^(Y$48/12)</f>
        <v>30623.408949999994</v>
      </c>
      <c r="Z67">
        <f>Z21*(1+Control!$B$4)^(Z$48/12)</f>
        <v>30827.939085095732</v>
      </c>
      <c r="AA67">
        <f>AA21*(1+Control!$B$4)^(AA$48/12)</f>
        <v>31053.974910748402</v>
      </c>
      <c r="AB67">
        <f>AB21*(1+Control!$B$4)^(AB$48/12)</f>
        <v>31359.492661225027</v>
      </c>
      <c r="AC67">
        <f>AC21*(1+Control!$B$4)^(AC$48/12)</f>
        <v>31609.86547998571</v>
      </c>
      <c r="AD67">
        <f>AD21*(1+Control!$B$4)^(AD$48/12)</f>
        <v>32087.047211740024</v>
      </c>
      <c r="AE67">
        <f>AE21*(1+Control!$B$4)^(AE$48/12)</f>
        <v>32278.804918143123</v>
      </c>
      <c r="AF67">
        <f>AF21*(1+Control!$B$4)^(AF$48/12)</f>
        <v>32524.201523088363</v>
      </c>
      <c r="AG67">
        <f>AG21*(1+Control!$B$4)^(AG$48/12)</f>
        <v>32909.975534167512</v>
      </c>
      <c r="AH67">
        <f>AH21*(1+Control!$B$4)^(AH$48/12)</f>
        <v>33116.09575965238</v>
      </c>
      <c r="AI67">
        <f>AI21*(1+Control!$B$4)^(AI$48/12)</f>
        <v>33507.230774990232</v>
      </c>
      <c r="AJ67">
        <f>AJ21*(1+Control!$B$4)^(AJ$48/12)</f>
        <v>33801.554155230078</v>
      </c>
      <c r="AK67">
        <f>AK21*(1+Control!$B$4)^(AK$48/12)</f>
        <v>33979.5480647</v>
      </c>
    </row>
    <row r="68" spans="1:37" x14ac:dyDescent="0.25">
      <c r="A68" t="s">
        <v>44</v>
      </c>
      <c r="B68">
        <f>B22*(1+Control!$B$4)^(B$48/12)</f>
        <v>25527.202079989853</v>
      </c>
      <c r="C68">
        <f>C22*(1+Control!$B$4)^(C$48/12)</f>
        <v>25752.15515272264</v>
      </c>
      <c r="D68">
        <f>D22*(1+Control!$B$4)^(D$48/12)</f>
        <v>25937.665121939757</v>
      </c>
      <c r="E68">
        <f>E22*(1+Control!$B$4)^(E$48/12)</f>
        <v>26262.693973796046</v>
      </c>
      <c r="F68">
        <f>F22*(1+Control!$B$4)^(F$48/12)</f>
        <v>26509.594241156628</v>
      </c>
      <c r="G68">
        <f>G22*(1+Control!$B$4)^(G$48/12)</f>
        <v>26836.105032079453</v>
      </c>
      <c r="H68">
        <f>H22*(1+Control!$B$4)^(H$48/12)</f>
        <v>27097.01896365422</v>
      </c>
      <c r="I68">
        <f>I22*(1+Control!$B$4)^(I$48/12)</f>
        <v>27342.53423203585</v>
      </c>
      <c r="J68">
        <f>J22*(1+Control!$B$4)^(J$48/12)</f>
        <v>27589.606905264216</v>
      </c>
      <c r="K68">
        <f>K22*(1+Control!$B$4)^(K$48/12)</f>
        <v>27804.011496268871</v>
      </c>
      <c r="L68">
        <f>L22*(1+Control!$B$4)^(L$48/12)</f>
        <v>28149.280280931038</v>
      </c>
      <c r="M68">
        <f>M22*(1+Control!$B$4)^(M$48/12)</f>
        <v>28391.949999999997</v>
      </c>
      <c r="N68">
        <f>N22*(1+Control!$B$4)^(N$48/12)</f>
        <v>28593.517836913819</v>
      </c>
      <c r="O68">
        <f>O22*(1+Control!$B$4)^(O$48/12)</f>
        <v>29080.556086189339</v>
      </c>
      <c r="P68">
        <f>P22*(1+Control!$B$4)^(P$48/12)</f>
        <v>29248.362008098502</v>
      </c>
      <c r="Q68">
        <f>Q22*(1+Control!$B$4)^(Q$48/12)</f>
        <v>29464.979956287094</v>
      </c>
      <c r="R68">
        <f>R22*(1+Control!$B$4)^(R$48/12)</f>
        <v>29827.849792955021</v>
      </c>
      <c r="S68">
        <f>S22*(1+Control!$B$4)^(S$48/12)</f>
        <v>30076.820669748315</v>
      </c>
      <c r="T68">
        <f>T22*(1+Control!$B$4)^(T$48/12)</f>
        <v>30425.237294017832</v>
      </c>
      <c r="U68">
        <f>U22*(1+Control!$B$4)^(U$48/12)</f>
        <v>30678.123507687371</v>
      </c>
      <c r="V68">
        <f>V22*(1+Control!$B$4)^(V$48/12)</f>
        <v>30892.054643348631</v>
      </c>
      <c r="W68">
        <f>W22*(1+Control!$B$4)^(W$48/12)</f>
        <v>31311.024146331587</v>
      </c>
      <c r="X68">
        <f>X22*(1+Control!$B$4)^(X$48/12)</f>
        <v>31519.791022172685</v>
      </c>
      <c r="Y68">
        <f>Y22*(1+Control!$B$4)^(Y$48/12)</f>
        <v>31870.709079999997</v>
      </c>
      <c r="Z68">
        <f>Z22*(1+Control!$B$4)^(Z$48/12)</f>
        <v>32111.390755783541</v>
      </c>
      <c r="AA68">
        <f>AA22*(1+Control!$B$4)^(AA$48/12)</f>
        <v>32476.844532785479</v>
      </c>
      <c r="AB68">
        <f>AB22*(1+Control!$B$4)^(AB$48/12)</f>
        <v>32723.241613593953</v>
      </c>
      <c r="AC68">
        <f>AC22*(1+Control!$B$4)^(AC$48/12)</f>
        <v>33111.224807011393</v>
      </c>
      <c r="AD68">
        <f>AD22*(1+Control!$B$4)^(AD$48/12)</f>
        <v>33273.439546110618</v>
      </c>
      <c r="AE68">
        <f>AE22*(1+Control!$B$4)^(AE$48/12)</f>
        <v>33716.193952840869</v>
      </c>
      <c r="AF68">
        <f>AF22*(1+Control!$B$4)^(AF$48/12)</f>
        <v>34031.731523894698</v>
      </c>
      <c r="AG68">
        <f>AG22*(1+Control!$B$4)^(AG$48/12)</f>
        <v>34214.883574285406</v>
      </c>
      <c r="AH68">
        <f>AH22*(1+Control!$B$4)^(AH$48/12)</f>
        <v>34402.203013734987</v>
      </c>
      <c r="AI68">
        <f>AI22*(1+Control!$B$4)^(AI$48/12)</f>
        <v>34825.107404433664</v>
      </c>
      <c r="AJ68">
        <f>AJ22*(1+Control!$B$4)^(AJ$48/12)</f>
        <v>35132.055356535282</v>
      </c>
      <c r="AK68">
        <f>AK22*(1+Control!$B$4)^(AK$48/12)</f>
        <v>35441.507517999999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A8700-B760-4408-AE58-400F7DDD5557}">
  <dimension ref="A2:AP22"/>
  <sheetViews>
    <sheetView workbookViewId="0"/>
  </sheetViews>
  <sheetFormatPr defaultRowHeight="12.5" x14ac:dyDescent="0.25"/>
  <sheetData>
    <row r="2" spans="1:42" x14ac:dyDescent="0.25">
      <c r="A2" t="s">
        <v>174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M2" t="s">
        <v>56</v>
      </c>
      <c r="AN2" t="s">
        <v>176</v>
      </c>
      <c r="AO2" t="s">
        <v>177</v>
      </c>
      <c r="AP2" t="s">
        <v>178</v>
      </c>
    </row>
    <row r="3" spans="1:42" x14ac:dyDescent="0.25">
      <c r="A3" t="s">
        <v>12</v>
      </c>
      <c r="C3">
        <f>IFERROR(Calc_BankMonth!C3/Calc_BankMonth!B3-1,0)</f>
        <v>2.5245725057225776E-3</v>
      </c>
      <c r="D3">
        <f>IFERROR(Calc_BankMonth!D3/Calc_BankMonth!C3-1,0)</f>
        <v>1.7644293724607962E-2</v>
      </c>
      <c r="E3">
        <f>IFERROR(Calc_BankMonth!E3/Calc_BankMonth!D3-1,0)</f>
        <v>6.8132702047281057E-3</v>
      </c>
      <c r="F3">
        <f>IFERROR(Calc_BankMonth!F3/Calc_BankMonth!E3-1,0)</f>
        <v>2.2923152547927206E-2</v>
      </c>
      <c r="G3">
        <f>IFERROR(Calc_BankMonth!G3/Calc_BankMonth!F3-1,0)</f>
        <v>-4.5491678546828451E-3</v>
      </c>
      <c r="H3">
        <f>IFERROR(Calc_BankMonth!H3/Calc_BankMonth!G3-1,0)</f>
        <v>8.8663609300825286E-3</v>
      </c>
      <c r="I3">
        <f>IFERROR(Calc_BankMonth!I3/Calc_BankMonth!H3-1,0)</f>
        <v>1.7385479137428383E-3</v>
      </c>
      <c r="J3">
        <f>IFERROR(Calc_BankMonth!J3/Calc_BankMonth!I3-1,0)</f>
        <v>5.9867844916805524E-3</v>
      </c>
      <c r="K3">
        <f>IFERROR(Calc_BankMonth!K3/Calc_BankMonth!J3-1,0)</f>
        <v>1.8454915243506731E-2</v>
      </c>
      <c r="L3">
        <f>IFERROR(Calc_BankMonth!L3/Calc_BankMonth!K3-1,0)</f>
        <v>-5.9987256593158067E-3</v>
      </c>
      <c r="M3">
        <f>IFERROR(Calc_BankMonth!M3/Calc_BankMonth!L3-1,0)</f>
        <v>2.4233517299604435E-2</v>
      </c>
      <c r="N3">
        <f>IFERROR(Calc_BankMonth!N3/Calc_BankMonth!M3-1,0)</f>
        <v>-1.3585504724398234E-3</v>
      </c>
      <c r="O3">
        <f>IFERROR(Calc_BankMonth!O3/Calc_BankMonth!N3-1,0)</f>
        <v>1.7868606890648397E-2</v>
      </c>
      <c r="P3">
        <f>IFERROR(Calc_BankMonth!P3/Calc_BankMonth!O3-1,0)</f>
        <v>-1.4941959123605408E-2</v>
      </c>
      <c r="Q3">
        <f>IFERROR(Calc_BankMonth!Q3/Calc_BankMonth!P3-1,0)</f>
        <v>1.0518934081346742E-2</v>
      </c>
      <c r="R3">
        <f>IFERROR(Calc_BankMonth!R3/Calc_BankMonth!Q3-1,0)</f>
        <v>1.5659415261140897E-2</v>
      </c>
      <c r="S3">
        <f>IFERROR(Calc_BankMonth!S3/Calc_BankMonth!R3-1,0)</f>
        <v>9.8181926207594472E-3</v>
      </c>
      <c r="T3">
        <f>IFERROR(Calc_BankMonth!T3/Calc_BankMonth!S3-1,0)</f>
        <v>-6.1337059645509839E-3</v>
      </c>
      <c r="U3">
        <f>IFERROR(Calc_BankMonth!U3/Calc_BankMonth!T3-1,0)</f>
        <v>1.5095903386217469E-3</v>
      </c>
      <c r="V3">
        <f>IFERROR(Calc_BankMonth!V3/Calc_BankMonth!U3-1,0)</f>
        <v>1.6920348751293002E-2</v>
      </c>
      <c r="W3">
        <f>IFERROR(Calc_BankMonth!W3/Calc_BankMonth!V3-1,0)</f>
        <v>7.1205405798153709E-3</v>
      </c>
      <c r="X3">
        <f>IFERROR(Calc_BankMonth!X3/Calc_BankMonth!W3-1,0)</f>
        <v>2.2437053603636015E-2</v>
      </c>
      <c r="Y3">
        <f>IFERROR(Calc_BankMonth!Y3/Calc_BankMonth!X3-1,0)</f>
        <v>8.213378492802903E-3</v>
      </c>
      <c r="Z3">
        <f>IFERROR(Calc_BankMonth!Z3/Calc_BankMonth!Y3-1,0)</f>
        <v>-1.6474902718288886E-2</v>
      </c>
      <c r="AA3">
        <f>IFERROR(Calc_BankMonth!AA3/Calc_BankMonth!Z3-1,0)</f>
        <v>1.5299224364904163E-2</v>
      </c>
      <c r="AB3">
        <f>IFERROR(Calc_BankMonth!AB3/Calc_BankMonth!AA3-1,0)</f>
        <v>1.2825904121110288E-2</v>
      </c>
      <c r="AC3">
        <f>IFERROR(Calc_BankMonth!AC3/Calc_BankMonth!AB3-1,0)</f>
        <v>4.3042004013562618E-3</v>
      </c>
      <c r="AD3">
        <f>IFERROR(Calc_BankMonth!AD3/Calc_BankMonth!AC3-1,0)</f>
        <v>7.4552820880302573E-3</v>
      </c>
      <c r="AE3">
        <f>IFERROR(Calc_BankMonth!AE3/Calc_BankMonth!AD3-1,0)</f>
        <v>6.0322540933150925E-3</v>
      </c>
      <c r="AF3">
        <f>IFERROR(Calc_BankMonth!AF3/Calc_BankMonth!AE3-1,0)</f>
        <v>1.524174688638702E-2</v>
      </c>
      <c r="AG3">
        <f>IFERROR(Calc_BankMonth!AG3/Calc_BankMonth!AF3-1,0)</f>
        <v>-1.6847687795470634E-2</v>
      </c>
      <c r="AH3">
        <f>IFERROR(Calc_BankMonth!AH3/Calc_BankMonth!AG3-1,0)</f>
        <v>1.9084333410524401E-2</v>
      </c>
      <c r="AI3">
        <f>IFERROR(Calc_BankMonth!AI3/Calc_BankMonth!AH3-1,0)</f>
        <v>7.5789980217075836E-3</v>
      </c>
      <c r="AJ3">
        <f>IFERROR(Calc_BankMonth!AJ3/Calc_BankMonth!AI3-1,0)</f>
        <v>6.1555605672667379E-3</v>
      </c>
      <c r="AK3">
        <f>IFERROR(Calc_BankMonth!AK3/Calc_BankMonth!AJ3-1,0)</f>
        <v>1.5162902311356419E-3</v>
      </c>
      <c r="AM3">
        <f t="shared" ref="AM3:AM22" si="0">AVERAGE(C3:AK3)</f>
        <v>7.0983020022585865E-3</v>
      </c>
      <c r="AN3">
        <f t="shared" ref="AN3:AN22" si="1">MAX(C3:AK3)</f>
        <v>2.4233517299604435E-2</v>
      </c>
      <c r="AO3">
        <f t="shared" ref="AO3:AO22" si="2">MIN(C3:AK3)</f>
        <v>-1.6847687795470634E-2</v>
      </c>
      <c r="AP3">
        <f t="shared" ref="AP3:AP22" si="3">MATCH(AN3,C3:AK3,0)+1</f>
        <v>12</v>
      </c>
    </row>
    <row r="4" spans="1:42" x14ac:dyDescent="0.25">
      <c r="A4" t="s">
        <v>22</v>
      </c>
      <c r="C4">
        <f>IFERROR(Calc_BankMonth!C4/Calc_BankMonth!B4-1,0)</f>
        <v>4.7276582332884676E-3</v>
      </c>
      <c r="D4">
        <f>IFERROR(Calc_BankMonth!D4/Calc_BankMonth!C4-1,0)</f>
        <v>1.7324473849312572E-2</v>
      </c>
      <c r="E4">
        <f>IFERROR(Calc_BankMonth!E4/Calc_BankMonth!D4-1,0)</f>
        <v>9.8392364079777916E-3</v>
      </c>
      <c r="F4">
        <f>IFERROR(Calc_BankMonth!F4/Calc_BankMonth!E4-1,0)</f>
        <v>5.5517772626962891E-3</v>
      </c>
      <c r="G4">
        <f>IFERROR(Calc_BankMonth!G4/Calc_BankMonth!F4-1,0)</f>
        <v>4.7481676765726011E-3</v>
      </c>
      <c r="H4">
        <f>IFERROR(Calc_BankMonth!H4/Calc_BankMonth!G4-1,0)</f>
        <v>-1.0742791202450919E-2</v>
      </c>
      <c r="I4">
        <f>IFERROR(Calc_BankMonth!I4/Calc_BankMonth!H4-1,0)</f>
        <v>2.7634666925886231E-2</v>
      </c>
      <c r="J4">
        <f>IFERROR(Calc_BankMonth!J4/Calc_BankMonth!I4-1,0)</f>
        <v>1.2297131119849869E-2</v>
      </c>
      <c r="K4">
        <f>IFERROR(Calc_BankMonth!K4/Calc_BankMonth!J4-1,0)</f>
        <v>-3.7644671677057318E-3</v>
      </c>
      <c r="L4">
        <f>IFERROR(Calc_BankMonth!L4/Calc_BankMonth!K4-1,0)</f>
        <v>2.8621581422771269E-2</v>
      </c>
      <c r="M4">
        <f>IFERROR(Calc_BankMonth!M4/Calc_BankMonth!L4-1,0)</f>
        <v>-1.2635966912002417E-3</v>
      </c>
      <c r="N4">
        <f>IFERROR(Calc_BankMonth!N4/Calc_BankMonth!M4-1,0)</f>
        <v>-2.2434392445348506E-3</v>
      </c>
      <c r="O4">
        <f>IFERROR(Calc_BankMonth!O4/Calc_BankMonth!N4-1,0)</f>
        <v>7.9873457435681861E-3</v>
      </c>
      <c r="P4">
        <f>IFERROR(Calc_BankMonth!P4/Calc_BankMonth!O4-1,0)</f>
        <v>1.1023642470852302E-2</v>
      </c>
      <c r="Q4">
        <f>IFERROR(Calc_BankMonth!Q4/Calc_BankMonth!P4-1,0)</f>
        <v>9.1075849506780937E-3</v>
      </c>
      <c r="R4">
        <f>IFERROR(Calc_BankMonth!R4/Calc_BankMonth!Q4-1,0)</f>
        <v>1.4110109702925033E-3</v>
      </c>
      <c r="S4">
        <f>IFERROR(Calc_BankMonth!S4/Calc_BankMonth!R4-1,0)</f>
        <v>1.0269364543400439E-2</v>
      </c>
      <c r="T4">
        <f>IFERROR(Calc_BankMonth!T4/Calc_BankMonth!S4-1,0)</f>
        <v>1.382135273348517E-3</v>
      </c>
      <c r="U4">
        <f>IFERROR(Calc_BankMonth!U4/Calc_BankMonth!T4-1,0)</f>
        <v>1.9674517234024025E-2</v>
      </c>
      <c r="V4">
        <f>IFERROR(Calc_BankMonth!V4/Calc_BankMonth!U4-1,0)</f>
        <v>-1.1296376053651747E-2</v>
      </c>
      <c r="W4">
        <f>IFERROR(Calc_BankMonth!W4/Calc_BankMonth!V4-1,0)</f>
        <v>1.3777739056841209E-2</v>
      </c>
      <c r="X4">
        <f>IFERROR(Calc_BankMonth!X4/Calc_BankMonth!W4-1,0)</f>
        <v>5.9420040759201598E-3</v>
      </c>
      <c r="Y4">
        <f>IFERROR(Calc_BankMonth!Y4/Calc_BankMonth!X4-1,0)</f>
        <v>9.5560057604529014E-3</v>
      </c>
      <c r="Z4">
        <f>IFERROR(Calc_BankMonth!Z4/Calc_BankMonth!Y4-1,0)</f>
        <v>5.2949069764629542E-3</v>
      </c>
      <c r="AA4">
        <f>IFERROR(Calc_BankMonth!AA4/Calc_BankMonth!Z4-1,0)</f>
        <v>5.1106915667575858E-3</v>
      </c>
      <c r="AB4">
        <f>IFERROR(Calc_BankMonth!AB4/Calc_BankMonth!AA4-1,0)</f>
        <v>1.0803503062787323E-2</v>
      </c>
      <c r="AC4">
        <f>IFERROR(Calc_BankMonth!AC4/Calc_BankMonth!AB4-1,0)</f>
        <v>6.5098772592242504E-4</v>
      </c>
      <c r="AD4">
        <f>IFERROR(Calc_BankMonth!AD4/Calc_BankMonth!AC4-1,0)</f>
        <v>4.8969742849707121E-3</v>
      </c>
      <c r="AE4">
        <f>IFERROR(Calc_BankMonth!AE4/Calc_BankMonth!AD4-1,0)</f>
        <v>8.533829276331284E-3</v>
      </c>
      <c r="AF4">
        <f>IFERROR(Calc_BankMonth!AF4/Calc_BankMonth!AE4-1,0)</f>
        <v>2.8594437506563875E-3</v>
      </c>
      <c r="AG4">
        <f>IFERROR(Calc_BankMonth!AG4/Calc_BankMonth!AF4-1,0)</f>
        <v>1.2068524078858722E-2</v>
      </c>
      <c r="AH4">
        <f>IFERROR(Calc_BankMonth!AH4/Calc_BankMonth!AG4-1,0)</f>
        <v>5.6690776537149379E-3</v>
      </c>
      <c r="AI4">
        <f>IFERROR(Calc_BankMonth!AI4/Calc_BankMonth!AH4-1,0)</f>
        <v>5.4084339553606142E-3</v>
      </c>
      <c r="AJ4">
        <f>IFERROR(Calc_BankMonth!AJ4/Calc_BankMonth!AI4-1,0)</f>
        <v>1.1406930591727038E-2</v>
      </c>
      <c r="AK4">
        <f>IFERROR(Calc_BankMonth!AK4/Calc_BankMonth!AJ4-1,0)</f>
        <v>6.8591733009493172E-3</v>
      </c>
      <c r="AM4">
        <f t="shared" si="0"/>
        <v>7.1750813955054069E-3</v>
      </c>
      <c r="AN4">
        <f t="shared" si="1"/>
        <v>2.8621581422771269E-2</v>
      </c>
      <c r="AO4">
        <f t="shared" si="2"/>
        <v>-1.1296376053651747E-2</v>
      </c>
      <c r="AP4">
        <f t="shared" si="3"/>
        <v>11</v>
      </c>
    </row>
    <row r="5" spans="1:42" x14ac:dyDescent="0.25">
      <c r="A5" t="s">
        <v>24</v>
      </c>
      <c r="C5">
        <f>IFERROR(Calc_BankMonth!C5/Calc_BankMonth!B5-1,0)</f>
        <v>1.4278403914079973E-2</v>
      </c>
      <c r="D5">
        <f>IFERROR(Calc_BankMonth!D5/Calc_BankMonth!C5-1,0)</f>
        <v>4.5530055989664309E-3</v>
      </c>
      <c r="E5">
        <f>IFERROR(Calc_BankMonth!E5/Calc_BankMonth!D5-1,0)</f>
        <v>5.6593372940529907E-3</v>
      </c>
      <c r="F5">
        <f>IFERROR(Calc_BankMonth!F5/Calc_BankMonth!E5-1,0)</f>
        <v>1.4068723583078535E-2</v>
      </c>
      <c r="G5">
        <f>IFERROR(Calc_BankMonth!G5/Calc_BankMonth!F5-1,0)</f>
        <v>2.1741219430162495E-3</v>
      </c>
      <c r="H5">
        <f>IFERROR(Calc_BankMonth!H5/Calc_BankMonth!G5-1,0)</f>
        <v>7.3951553941487003E-3</v>
      </c>
      <c r="I5">
        <f>IFERROR(Calc_BankMonth!I5/Calc_BankMonth!H5-1,0)</f>
        <v>4.2355740630577454E-3</v>
      </c>
      <c r="J5">
        <f>IFERROR(Calc_BankMonth!J5/Calc_BankMonth!I5-1,0)</f>
        <v>6.9900244058478389E-3</v>
      </c>
      <c r="K5">
        <f>IFERROR(Calc_BankMonth!K5/Calc_BankMonth!J5-1,0)</f>
        <v>1.0706386182879113E-2</v>
      </c>
      <c r="L5">
        <f>IFERROR(Calc_BankMonth!L5/Calc_BankMonth!K5-1,0)</f>
        <v>6.3208623379038542E-3</v>
      </c>
      <c r="M5">
        <f>IFERROR(Calc_BankMonth!M5/Calc_BankMonth!L5-1,0)</f>
        <v>8.536825180164298E-3</v>
      </c>
      <c r="N5">
        <f>IFERROR(Calc_BankMonth!N5/Calc_BankMonth!M5-1,0)</f>
        <v>2.3397983644348752E-3</v>
      </c>
      <c r="O5">
        <f>IFERROR(Calc_BankMonth!O5/Calc_BankMonth!N5-1,0)</f>
        <v>2.8950349578336088E-3</v>
      </c>
      <c r="P5">
        <f>IFERROR(Calc_BankMonth!P5/Calc_BankMonth!O5-1,0)</f>
        <v>4.9860800511156711E-3</v>
      </c>
      <c r="Q5">
        <f>IFERROR(Calc_BankMonth!Q5/Calc_BankMonth!P5-1,0)</f>
        <v>1.3067517398757778E-2</v>
      </c>
      <c r="R5">
        <f>IFERROR(Calc_BankMonth!R5/Calc_BankMonth!Q5-1,0)</f>
        <v>1.4916173570019842E-2</v>
      </c>
      <c r="S5">
        <f>IFERROR(Calc_BankMonth!S5/Calc_BankMonth!R5-1,0)</f>
        <v>6.2939611099455117E-3</v>
      </c>
      <c r="T5">
        <f>IFERROR(Calc_BankMonth!T5/Calc_BankMonth!S5-1,0)</f>
        <v>4.9268651311820122E-3</v>
      </c>
      <c r="U5">
        <f>IFERROR(Calc_BankMonth!U5/Calc_BankMonth!T5-1,0)</f>
        <v>1.2174881526937575E-2</v>
      </c>
      <c r="V5">
        <f>IFERROR(Calc_BankMonth!V5/Calc_BankMonth!U5-1,0)</f>
        <v>-4.5740423098913352E-3</v>
      </c>
      <c r="W5">
        <f>IFERROR(Calc_BankMonth!W5/Calc_BankMonth!V5-1,0)</f>
        <v>1.1552675213767571E-2</v>
      </c>
      <c r="X5">
        <f>IFERROR(Calc_BankMonth!X5/Calc_BankMonth!W5-1,0)</f>
        <v>-2.9998178682000276E-4</v>
      </c>
      <c r="Y5">
        <f>IFERROR(Calc_BankMonth!Y5/Calc_BankMonth!X5-1,0)</f>
        <v>8.0269207274596965E-3</v>
      </c>
      <c r="Z5">
        <f>IFERROR(Calc_BankMonth!Z5/Calc_BankMonth!Y5-1,0)</f>
        <v>1.7095470975972971E-2</v>
      </c>
      <c r="AA5">
        <f>IFERROR(Calc_BankMonth!AA5/Calc_BankMonth!Z5-1,0)</f>
        <v>5.163691098381884E-3</v>
      </c>
      <c r="AB5">
        <f>IFERROR(Calc_BankMonth!AB5/Calc_BankMonth!AA5-1,0)</f>
        <v>1.1740604396747178E-2</v>
      </c>
      <c r="AC5">
        <f>IFERROR(Calc_BankMonth!AC5/Calc_BankMonth!AB5-1,0)</f>
        <v>-6.5268113186214283E-3</v>
      </c>
      <c r="AD5">
        <f>IFERROR(Calc_BankMonth!AD5/Calc_BankMonth!AC5-1,0)</f>
        <v>1.2125475914583461E-2</v>
      </c>
      <c r="AE5">
        <f>IFERROR(Calc_BankMonth!AE5/Calc_BankMonth!AD5-1,0)</f>
        <v>8.4842785296643797E-3</v>
      </c>
      <c r="AF5">
        <f>IFERROR(Calc_BankMonth!AF5/Calc_BankMonth!AE5-1,0)</f>
        <v>4.034138133755194E-3</v>
      </c>
      <c r="AG5">
        <f>IFERROR(Calc_BankMonth!AG5/Calc_BankMonth!AF5-1,0)</f>
        <v>4.1188822484252707E-3</v>
      </c>
      <c r="AH5">
        <f>IFERROR(Calc_BankMonth!AH5/Calc_BankMonth!AG5-1,0)</f>
        <v>8.3447277406900611E-3</v>
      </c>
      <c r="AI5">
        <f>IFERROR(Calc_BankMonth!AI5/Calc_BankMonth!AH5-1,0)</f>
        <v>5.7630566135558059E-3</v>
      </c>
      <c r="AJ5">
        <f>IFERROR(Calc_BankMonth!AJ5/Calc_BankMonth!AI5-1,0)</f>
        <v>1.6357363787770751E-2</v>
      </c>
      <c r="AK5">
        <f>IFERROR(Calc_BankMonth!AK5/Calc_BankMonth!AJ5-1,0)</f>
        <v>-8.6810635765965927E-4</v>
      </c>
      <c r="AM5">
        <f t="shared" si="0"/>
        <v>7.0587735890058397E-3</v>
      </c>
      <c r="AN5">
        <f t="shared" si="1"/>
        <v>1.7095470975972971E-2</v>
      </c>
      <c r="AO5">
        <f t="shared" si="2"/>
        <v>-6.5268113186214283E-3</v>
      </c>
      <c r="AP5">
        <f t="shared" si="3"/>
        <v>25</v>
      </c>
    </row>
    <row r="6" spans="1:42" x14ac:dyDescent="0.25">
      <c r="A6" t="s">
        <v>26</v>
      </c>
      <c r="C6">
        <f>IFERROR(Calc_BankMonth!C6/Calc_BankMonth!B6-1,0)</f>
        <v>9.9286379149861048E-3</v>
      </c>
      <c r="D6">
        <f>IFERROR(Calc_BankMonth!D6/Calc_BankMonth!C6-1,0)</f>
        <v>5.2775949089314267E-3</v>
      </c>
      <c r="E6">
        <f>IFERROR(Calc_BankMonth!E6/Calc_BankMonth!D6-1,0)</f>
        <v>1.6622826644546507E-2</v>
      </c>
      <c r="F6">
        <f>IFERROR(Calc_BankMonth!F6/Calc_BankMonth!E6-1,0)</f>
        <v>6.9784419823060162E-4</v>
      </c>
      <c r="G6">
        <f>IFERROR(Calc_BankMonth!G6/Calc_BankMonth!F6-1,0)</f>
        <v>1.2026735615659367E-2</v>
      </c>
      <c r="H6">
        <f>IFERROR(Calc_BankMonth!H6/Calc_BankMonth!G6-1,0)</f>
        <v>1.484151383441823E-4</v>
      </c>
      <c r="I6">
        <f>IFERROR(Calc_BankMonth!I6/Calc_BankMonth!H6-1,0)</f>
        <v>3.8264224539981129E-3</v>
      </c>
      <c r="J6">
        <f>IFERROR(Calc_BankMonth!J6/Calc_BankMonth!I6-1,0)</f>
        <v>1.7707618393960178E-2</v>
      </c>
      <c r="K6">
        <f>IFERROR(Calc_BankMonth!K6/Calc_BankMonth!J6-1,0)</f>
        <v>4.357660144009845E-4</v>
      </c>
      <c r="L6">
        <f>IFERROR(Calc_BankMonth!L6/Calc_BankMonth!K6-1,0)</f>
        <v>9.6656434082802445E-3</v>
      </c>
      <c r="M6">
        <f>IFERROR(Calc_BankMonth!M6/Calc_BankMonth!L6-1,0)</f>
        <v>8.9670898557872025E-3</v>
      </c>
      <c r="N6">
        <f>IFERROR(Calc_BankMonth!N6/Calc_BankMonth!M6-1,0)</f>
        <v>7.0956642132158354E-3</v>
      </c>
      <c r="O6">
        <f>IFERROR(Calc_BankMonth!O6/Calc_BankMonth!N6-1,0)</f>
        <v>7.1265390291732622E-3</v>
      </c>
      <c r="P6">
        <f>IFERROR(Calc_BankMonth!P6/Calc_BankMonth!O6-1,0)</f>
        <v>-3.231925806225E-3</v>
      </c>
      <c r="Q6">
        <f>IFERROR(Calc_BankMonth!Q6/Calc_BankMonth!P6-1,0)</f>
        <v>6.1726530324544004E-3</v>
      </c>
      <c r="R6">
        <f>IFERROR(Calc_BankMonth!R6/Calc_BankMonth!Q6-1,0)</f>
        <v>2.5439843077600388E-2</v>
      </c>
      <c r="S6">
        <f>IFERROR(Calc_BankMonth!S6/Calc_BankMonth!R6-1,0)</f>
        <v>2.0690193628982723E-3</v>
      </c>
      <c r="T6">
        <f>IFERROR(Calc_BankMonth!T6/Calc_BankMonth!S6-1,0)</f>
        <v>6.8273014141571053E-3</v>
      </c>
      <c r="U6">
        <f>IFERROR(Calc_BankMonth!U6/Calc_BankMonth!T6-1,0)</f>
        <v>6.8874120935993322E-3</v>
      </c>
      <c r="V6">
        <f>IFERROR(Calc_BankMonth!V6/Calc_BankMonth!U6-1,0)</f>
        <v>3.7467936093138476E-4</v>
      </c>
      <c r="W6">
        <f>IFERROR(Calc_BankMonth!W6/Calc_BankMonth!V6-1,0)</f>
        <v>1.7286416717885889E-2</v>
      </c>
      <c r="X6">
        <f>IFERROR(Calc_BankMonth!X6/Calc_BankMonth!W6-1,0)</f>
        <v>-1.4349369382979926E-3</v>
      </c>
      <c r="Y6">
        <f>IFERROR(Calc_BankMonth!Y6/Calc_BankMonth!X6-1,0)</f>
        <v>1.6326955074875249E-2</v>
      </c>
      <c r="Z6">
        <f>IFERROR(Calc_BankMonth!Z6/Calc_BankMonth!Y6-1,0)</f>
        <v>-1.7487884059048664E-3</v>
      </c>
      <c r="AA6">
        <f>IFERROR(Calc_BankMonth!AA6/Calc_BankMonth!Z6-1,0)</f>
        <v>3.2800633648604194E-3</v>
      </c>
      <c r="AB6">
        <f>IFERROR(Calc_BankMonth!AB6/Calc_BankMonth!AA6-1,0)</f>
        <v>1.5910167460781777E-2</v>
      </c>
      <c r="AC6">
        <f>IFERROR(Calc_BankMonth!AC6/Calc_BankMonth!AB6-1,0)</f>
        <v>7.2225269701964301E-4</v>
      </c>
      <c r="AD6">
        <f>IFERROR(Calc_BankMonth!AD6/Calc_BankMonth!AC6-1,0)</f>
        <v>1.0926465617262959E-2</v>
      </c>
      <c r="AE6">
        <f>IFERROR(Calc_BankMonth!AE6/Calc_BankMonth!AD6-1,0)</f>
        <v>5.5939632190142863E-3</v>
      </c>
      <c r="AF6">
        <f>IFERROR(Calc_BankMonth!AF6/Calc_BankMonth!AE6-1,0)</f>
        <v>8.7172205546666159E-3</v>
      </c>
      <c r="AG6">
        <f>IFERROR(Calc_BankMonth!AG6/Calc_BankMonth!AF6-1,0)</f>
        <v>6.9847831509923797E-3</v>
      </c>
      <c r="AH6">
        <f>IFERROR(Calc_BankMonth!AH6/Calc_BankMonth!AG6-1,0)</f>
        <v>4.8129666985172737E-3</v>
      </c>
      <c r="AI6">
        <f>IFERROR(Calc_BankMonth!AI6/Calc_BankMonth!AH6-1,0)</f>
        <v>-2.2981016447716218E-3</v>
      </c>
      <c r="AJ6">
        <f>IFERROR(Calc_BankMonth!AJ6/Calc_BankMonth!AI6-1,0)</f>
        <v>1.6812136509253284E-2</v>
      </c>
      <c r="AK6">
        <f>IFERROR(Calc_BankMonth!AK6/Calc_BankMonth!AJ6-1,0)</f>
        <v>-4.7302457991946767E-3</v>
      </c>
      <c r="AM6">
        <f t="shared" si="0"/>
        <v>6.8922028171968719E-3</v>
      </c>
      <c r="AN6">
        <f t="shared" si="1"/>
        <v>2.5439843077600388E-2</v>
      </c>
      <c r="AO6">
        <f t="shared" si="2"/>
        <v>-4.7302457991946767E-3</v>
      </c>
      <c r="AP6">
        <f t="shared" si="3"/>
        <v>17</v>
      </c>
    </row>
    <row r="7" spans="1:42" x14ac:dyDescent="0.25">
      <c r="A7" t="s">
        <v>27</v>
      </c>
      <c r="C7">
        <f>IFERROR(Calc_BankMonth!C7/Calc_BankMonth!B7-1,0)</f>
        <v>1.5826212540618556E-2</v>
      </c>
      <c r="D7">
        <f>IFERROR(Calc_BankMonth!D7/Calc_BankMonth!C7-1,0)</f>
        <v>1.0998558537211656E-2</v>
      </c>
      <c r="E7">
        <f>IFERROR(Calc_BankMonth!E7/Calc_BankMonth!D7-1,0)</f>
        <v>8.6914062499987566E-4</v>
      </c>
      <c r="F7">
        <f>IFERROR(Calc_BankMonth!F7/Calc_BankMonth!E7-1,0)</f>
        <v>4.2931436544411117E-3</v>
      </c>
      <c r="G7">
        <f>IFERROR(Calc_BankMonth!G7/Calc_BankMonth!F7-1,0)</f>
        <v>1.3300430393766272E-2</v>
      </c>
      <c r="H7">
        <f>IFERROR(Calc_BankMonth!H7/Calc_BankMonth!G7-1,0)</f>
        <v>1.0834340064047154E-2</v>
      </c>
      <c r="I7">
        <f>IFERROR(Calc_BankMonth!I7/Calc_BankMonth!H7-1,0)</f>
        <v>5.8713055355312793E-3</v>
      </c>
      <c r="J7">
        <f>IFERROR(Calc_BankMonth!J7/Calc_BankMonth!I7-1,0)</f>
        <v>1.2079549633652986E-2</v>
      </c>
      <c r="K7">
        <f>IFERROR(Calc_BankMonth!K7/Calc_BankMonth!J7-1,0)</f>
        <v>2.3945289206916964E-3</v>
      </c>
      <c r="L7">
        <f>IFERROR(Calc_BankMonth!L7/Calc_BankMonth!K7-1,0)</f>
        <v>7.3895059720221479E-3</v>
      </c>
      <c r="M7">
        <f>IFERROR(Calc_BankMonth!M7/Calc_BankMonth!L7-1,0)</f>
        <v>1.0896844436242947E-2</v>
      </c>
      <c r="N7">
        <f>IFERROR(Calc_BankMonth!N7/Calc_BankMonth!M7-1,0)</f>
        <v>3.0120207007968691E-3</v>
      </c>
      <c r="O7">
        <f>IFERROR(Calc_BankMonth!O7/Calc_BankMonth!N7-1,0)</f>
        <v>6.479147518904993E-3</v>
      </c>
      <c r="P7">
        <f>IFERROR(Calc_BankMonth!P7/Calc_BankMonth!O7-1,0)</f>
        <v>1.0750160483892879E-2</v>
      </c>
      <c r="Q7">
        <f>IFERROR(Calc_BankMonth!Q7/Calc_BankMonth!P7-1,0)</f>
        <v>8.7036639473307975E-3</v>
      </c>
      <c r="R7">
        <f>IFERROR(Calc_BankMonth!R7/Calc_BankMonth!Q7-1,0)</f>
        <v>1.1732363765352583E-2</v>
      </c>
      <c r="S7">
        <f>IFERROR(Calc_BankMonth!S7/Calc_BankMonth!R7-1,0)</f>
        <v>-1.2095925951896014E-3</v>
      </c>
      <c r="T7">
        <f>IFERROR(Calc_BankMonth!T7/Calc_BankMonth!S7-1,0)</f>
        <v>7.4506362439668017E-3</v>
      </c>
      <c r="U7">
        <f>IFERROR(Calc_BankMonth!U7/Calc_BankMonth!T7-1,0)</f>
        <v>3.5191944180696932E-3</v>
      </c>
      <c r="V7">
        <f>IFERROR(Calc_BankMonth!V7/Calc_BankMonth!U7-1,0)</f>
        <v>1.1145543084815523E-2</v>
      </c>
      <c r="W7">
        <f>IFERROR(Calc_BankMonth!W7/Calc_BankMonth!V7-1,0)</f>
        <v>6.9879042296563387E-3</v>
      </c>
      <c r="X7">
        <f>IFERROR(Calc_BankMonth!X7/Calc_BankMonth!W7-1,0)</f>
        <v>1.1270151149606722E-2</v>
      </c>
      <c r="Y7">
        <f>IFERROR(Calc_BankMonth!Y7/Calc_BankMonth!X7-1,0)</f>
        <v>1.2476501184426336E-3</v>
      </c>
      <c r="Z7">
        <f>IFERROR(Calc_BankMonth!Z7/Calc_BankMonth!Y7-1,0)</f>
        <v>2.7195190745217257E-3</v>
      </c>
      <c r="AA7">
        <f>IFERROR(Calc_BankMonth!AA7/Calc_BankMonth!Z7-1,0)</f>
        <v>1.0949334139419342E-2</v>
      </c>
      <c r="AB7">
        <f>IFERROR(Calc_BankMonth!AB7/Calc_BankMonth!AA7-1,0)</f>
        <v>1.4169670592534711E-2</v>
      </c>
      <c r="AC7">
        <f>IFERROR(Calc_BankMonth!AC7/Calc_BankMonth!AB7-1,0)</f>
        <v>-3.9310751490539975E-4</v>
      </c>
      <c r="AD7">
        <f>IFERROR(Calc_BankMonth!AD7/Calc_BankMonth!AC7-1,0)</f>
        <v>3.2362194402568711E-3</v>
      </c>
      <c r="AE7">
        <f>IFERROR(Calc_BankMonth!AE7/Calc_BankMonth!AD7-1,0)</f>
        <v>9.3016798556155855E-3</v>
      </c>
      <c r="AF7">
        <f>IFERROR(Calc_BankMonth!AF7/Calc_BankMonth!AE7-1,0)</f>
        <v>9.652884537583839E-3</v>
      </c>
      <c r="AG7">
        <f>IFERROR(Calc_BankMonth!AG7/Calc_BankMonth!AF7-1,0)</f>
        <v>3.1093979147800432E-3</v>
      </c>
      <c r="AH7">
        <f>IFERROR(Calc_BankMonth!AH7/Calc_BankMonth!AG7-1,0)</f>
        <v>3.3713879412962111E-3</v>
      </c>
      <c r="AI7">
        <f>IFERROR(Calc_BankMonth!AI7/Calc_BankMonth!AH7-1,0)</f>
        <v>1.1664662839489415E-2</v>
      </c>
      <c r="AJ7">
        <f>IFERROR(Calc_BankMonth!AJ7/Calc_BankMonth!AI7-1,0)</f>
        <v>7.327362306977836E-3</v>
      </c>
      <c r="AK7">
        <f>IFERROR(Calc_BankMonth!AK7/Calc_BankMonth!AJ7-1,0)</f>
        <v>3.1643344349907565E-3</v>
      </c>
      <c r="AM7">
        <f t="shared" si="0"/>
        <v>7.2604499697552245E-3</v>
      </c>
      <c r="AN7">
        <f t="shared" si="1"/>
        <v>1.5826212540618556E-2</v>
      </c>
      <c r="AO7">
        <f t="shared" si="2"/>
        <v>-1.2095925951896014E-3</v>
      </c>
      <c r="AP7">
        <f t="shared" si="3"/>
        <v>2</v>
      </c>
    </row>
    <row r="8" spans="1:42" x14ac:dyDescent="0.25">
      <c r="A8" t="s">
        <v>28</v>
      </c>
      <c r="C8">
        <f>IFERROR(Calc_BankMonth!C8/Calc_BankMonth!B8-1,0)</f>
        <v>4.4962815751281582E-5</v>
      </c>
      <c r="D8">
        <f>IFERROR(Calc_BankMonth!D8/Calc_BankMonth!C8-1,0)</f>
        <v>7.6073663765194866E-3</v>
      </c>
      <c r="E8">
        <f>IFERROR(Calc_BankMonth!E8/Calc_BankMonth!D8-1,0)</f>
        <v>1.212808110375363E-2</v>
      </c>
      <c r="F8">
        <f>IFERROR(Calc_BankMonth!F8/Calc_BankMonth!E8-1,0)</f>
        <v>6.6570851666036823E-3</v>
      </c>
      <c r="G8">
        <f>IFERROR(Calc_BankMonth!G8/Calc_BankMonth!F8-1,0)</f>
        <v>4.8174619858452061E-3</v>
      </c>
      <c r="H8">
        <f>IFERROR(Calc_BankMonth!H8/Calc_BankMonth!G8-1,0)</f>
        <v>1.0486584494151074E-2</v>
      </c>
      <c r="I8">
        <f>IFERROR(Calc_BankMonth!I8/Calc_BankMonth!H8-1,0)</f>
        <v>4.3995479680127847E-3</v>
      </c>
      <c r="J8">
        <f>IFERROR(Calc_BankMonth!J8/Calc_BankMonth!I8-1,0)</f>
        <v>1.2599737183396131E-2</v>
      </c>
      <c r="K8">
        <f>IFERROR(Calc_BankMonth!K8/Calc_BankMonth!J8-1,0)</f>
        <v>-5.2672649239172697E-3</v>
      </c>
      <c r="L8">
        <f>IFERROR(Calc_BankMonth!L8/Calc_BankMonth!K8-1,0)</f>
        <v>2.0890711733758671E-2</v>
      </c>
      <c r="M8">
        <f>IFERROR(Calc_BankMonth!M8/Calc_BankMonth!L8-1,0)</f>
        <v>1.1826906211631405E-2</v>
      </c>
      <c r="N8">
        <f>IFERROR(Calc_BankMonth!N8/Calc_BankMonth!M8-1,0)</f>
        <v>-7.1815953047205117E-4</v>
      </c>
      <c r="O8">
        <f>IFERROR(Calc_BankMonth!O8/Calc_BankMonth!N8-1,0)</f>
        <v>3.7916336241077264E-3</v>
      </c>
      <c r="P8">
        <f>IFERROR(Calc_BankMonth!P8/Calc_BankMonth!O8-1,0)</f>
        <v>1.9232193556351085E-2</v>
      </c>
      <c r="Q8">
        <f>IFERROR(Calc_BankMonth!Q8/Calc_BankMonth!P8-1,0)</f>
        <v>9.204534444336776E-3</v>
      </c>
      <c r="R8">
        <f>IFERROR(Calc_BankMonth!R8/Calc_BankMonth!Q8-1,0)</f>
        <v>-2.6241679467488011E-3</v>
      </c>
      <c r="S8">
        <f>IFERROR(Calc_BankMonth!S8/Calc_BankMonth!R8-1,0)</f>
        <v>7.7247641660787014E-3</v>
      </c>
      <c r="T8">
        <f>IFERROR(Calc_BankMonth!T8/Calc_BankMonth!S8-1,0)</f>
        <v>-5.4924498714459258E-4</v>
      </c>
      <c r="U8">
        <f>IFERROR(Calc_BankMonth!U8/Calc_BankMonth!T8-1,0)</f>
        <v>1.344398604628938E-2</v>
      </c>
      <c r="V8">
        <f>IFERROR(Calc_BankMonth!V8/Calc_BankMonth!U8-1,0)</f>
        <v>7.465853543529688E-3</v>
      </c>
      <c r="W8">
        <f>IFERROR(Calc_BankMonth!W8/Calc_BankMonth!V8-1,0)</f>
        <v>1.4407625822958625E-2</v>
      </c>
      <c r="X8">
        <f>IFERROR(Calc_BankMonth!X8/Calc_BankMonth!W8-1,0)</f>
        <v>3.498842690494719E-3</v>
      </c>
      <c r="Y8">
        <f>IFERROR(Calc_BankMonth!Y8/Calc_BankMonth!X8-1,0)</f>
        <v>2.8889331637265148E-3</v>
      </c>
      <c r="Z8">
        <f>IFERROR(Calc_BankMonth!Z8/Calc_BankMonth!Y8-1,0)</f>
        <v>8.0305635148043564E-3</v>
      </c>
      <c r="AA8">
        <f>IFERROR(Calc_BankMonth!AA8/Calc_BankMonth!Z8-1,0)</f>
        <v>4.9270045328440037E-3</v>
      </c>
      <c r="AB8">
        <f>IFERROR(Calc_BankMonth!AB8/Calc_BankMonth!AA8-1,0)</f>
        <v>3.9373642288198507E-3</v>
      </c>
      <c r="AC8">
        <f>IFERROR(Calc_BankMonth!AC8/Calc_BankMonth!AB8-1,0)</f>
        <v>6.4989706832558891E-3</v>
      </c>
      <c r="AD8">
        <f>IFERROR(Calc_BankMonth!AD8/Calc_BankMonth!AC8-1,0)</f>
        <v>1.7721311108291227E-2</v>
      </c>
      <c r="AE8">
        <f>IFERROR(Calc_BankMonth!AE8/Calc_BankMonth!AD8-1,0)</f>
        <v>-3.0439279139192754E-3</v>
      </c>
      <c r="AF8">
        <f>IFERROR(Calc_BankMonth!AF8/Calc_BankMonth!AE8-1,0)</f>
        <v>7.5337325819220258E-3</v>
      </c>
      <c r="AG8">
        <f>IFERROR(Calc_BankMonth!AG8/Calc_BankMonth!AF8-1,0)</f>
        <v>1.1865990974544882E-2</v>
      </c>
      <c r="AH8">
        <f>IFERROR(Calc_BankMonth!AH8/Calc_BankMonth!AG8-1,0)</f>
        <v>2.3092854926356488E-3</v>
      </c>
      <c r="AI8">
        <f>IFERROR(Calc_BankMonth!AI8/Calc_BankMonth!AH8-1,0)</f>
        <v>8.2222750214195894E-3</v>
      </c>
      <c r="AJ8">
        <f>IFERROR(Calc_BankMonth!AJ8/Calc_BankMonth!AI8-1,0)</f>
        <v>5.9985860475746389E-3</v>
      </c>
      <c r="AK8">
        <f>IFERROR(Calc_BankMonth!AK8/Calc_BankMonth!AJ8-1,0)</f>
        <v>4.3159441482751859E-3</v>
      </c>
      <c r="AM8">
        <f t="shared" si="0"/>
        <v>6.9221450036994819E-3</v>
      </c>
      <c r="AN8">
        <f t="shared" si="1"/>
        <v>2.0890711733758671E-2</v>
      </c>
      <c r="AO8">
        <f t="shared" si="2"/>
        <v>-5.2672649239172697E-3</v>
      </c>
      <c r="AP8">
        <f t="shared" si="3"/>
        <v>11</v>
      </c>
    </row>
    <row r="9" spans="1:42" x14ac:dyDescent="0.25">
      <c r="A9" t="s">
        <v>29</v>
      </c>
      <c r="C9">
        <f>IFERROR(Calc_BankMonth!C9/Calc_BankMonth!B9-1,0)</f>
        <v>1.6238676971661148E-2</v>
      </c>
      <c r="D9">
        <f>IFERROR(Calc_BankMonth!D9/Calc_BankMonth!C9-1,0)</f>
        <v>1.0352948873114887E-2</v>
      </c>
      <c r="E9">
        <f>IFERROR(Calc_BankMonth!E9/Calc_BankMonth!D9-1,0)</f>
        <v>7.6972885471466856E-3</v>
      </c>
      <c r="F9">
        <f>IFERROR(Calc_BankMonth!F9/Calc_BankMonth!E9-1,0)</f>
        <v>-1.9839198078728248E-3</v>
      </c>
      <c r="G9">
        <f>IFERROR(Calc_BankMonth!G9/Calc_BankMonth!F9-1,0)</f>
        <v>1.5894860527628785E-2</v>
      </c>
      <c r="H9">
        <f>IFERROR(Calc_BankMonth!H9/Calc_BankMonth!G9-1,0)</f>
        <v>7.5973033138185819E-3</v>
      </c>
      <c r="I9">
        <f>IFERROR(Calc_BankMonth!I9/Calc_BankMonth!H9-1,0)</f>
        <v>4.1198855237913889E-3</v>
      </c>
      <c r="J9">
        <f>IFERROR(Calc_BankMonth!J9/Calc_BankMonth!I9-1,0)</f>
        <v>8.5974693059382989E-3</v>
      </c>
      <c r="K9">
        <f>IFERROR(Calc_BankMonth!K9/Calc_BankMonth!J9-1,0)</f>
        <v>6.6299200372641476E-3</v>
      </c>
      <c r="L9">
        <f>IFERROR(Calc_BankMonth!L9/Calc_BankMonth!K9-1,0)</f>
        <v>1.6272828232972714E-3</v>
      </c>
      <c r="M9">
        <f>IFERROR(Calc_BankMonth!M9/Calc_BankMonth!L9-1,0)</f>
        <v>1.0025024061597776E-2</v>
      </c>
      <c r="N9">
        <f>IFERROR(Calc_BankMonth!N9/Calc_BankMonth!M9-1,0)</f>
        <v>1.3935369767565708E-2</v>
      </c>
      <c r="O9">
        <f>IFERROR(Calc_BankMonth!O9/Calc_BankMonth!N9-1,0)</f>
        <v>-7.2854403969774273E-3</v>
      </c>
      <c r="P9">
        <f>IFERROR(Calc_BankMonth!P9/Calc_BankMonth!O9-1,0)</f>
        <v>1.4541488684903792E-2</v>
      </c>
      <c r="Q9">
        <f>IFERROR(Calc_BankMonth!Q9/Calc_BankMonth!P9-1,0)</f>
        <v>1.1205171847472384E-2</v>
      </c>
      <c r="R9">
        <f>IFERROR(Calc_BankMonth!R9/Calc_BankMonth!Q9-1,0)</f>
        <v>6.4817617398877925E-3</v>
      </c>
      <c r="S9">
        <f>IFERROR(Calc_BankMonth!S9/Calc_BankMonth!R9-1,0)</f>
        <v>6.8727766164229376E-3</v>
      </c>
      <c r="T9">
        <f>IFERROR(Calc_BankMonth!T9/Calc_BankMonth!S9-1,0)</f>
        <v>7.7583192493735353E-3</v>
      </c>
      <c r="U9">
        <f>IFERROR(Calc_BankMonth!U9/Calc_BankMonth!T9-1,0)</f>
        <v>3.9757982318540108E-3</v>
      </c>
      <c r="V9">
        <f>IFERROR(Calc_BankMonth!V9/Calc_BankMonth!U9-1,0)</f>
        <v>1.5833015329008271E-2</v>
      </c>
      <c r="W9">
        <f>IFERROR(Calc_BankMonth!W9/Calc_BankMonth!V9-1,0)</f>
        <v>-7.0807876047231932E-3</v>
      </c>
      <c r="X9">
        <f>IFERROR(Calc_BankMonth!X9/Calc_BankMonth!W9-1,0)</f>
        <v>1.2677835916252045E-2</v>
      </c>
      <c r="Y9">
        <f>IFERROR(Calc_BankMonth!Y9/Calc_BankMonth!X9-1,0)</f>
        <v>5.7238321479173848E-3</v>
      </c>
      <c r="Z9">
        <f>IFERROR(Calc_BankMonth!Z9/Calc_BankMonth!Y9-1,0)</f>
        <v>1.2847380410022868E-2</v>
      </c>
      <c r="AA9">
        <f>IFERROR(Calc_BankMonth!AA9/Calc_BankMonth!Z9-1,0)</f>
        <v>3.6468569214160862E-3</v>
      </c>
      <c r="AB9">
        <f>IFERROR(Calc_BankMonth!AB9/Calc_BankMonth!AA9-1,0)</f>
        <v>4.6816285724136097E-3</v>
      </c>
      <c r="AC9">
        <f>IFERROR(Calc_BankMonth!AC9/Calc_BankMonth!AB9-1,0)</f>
        <v>6.1147178719958006E-3</v>
      </c>
      <c r="AD9">
        <f>IFERROR(Calc_BankMonth!AD9/Calc_BankMonth!AC9-1,0)</f>
        <v>7.939701920125275E-3</v>
      </c>
      <c r="AE9">
        <f>IFERROR(Calc_BankMonth!AE9/Calc_BankMonth!AD9-1,0)</f>
        <v>5.6642462221441203E-3</v>
      </c>
      <c r="AF9">
        <f>IFERROR(Calc_BankMonth!AF9/Calc_BankMonth!AE9-1,0)</f>
        <v>7.8395219573905717E-3</v>
      </c>
      <c r="AG9">
        <f>IFERROR(Calc_BankMonth!AG9/Calc_BankMonth!AF9-1,0)</f>
        <v>7.0240567266026677E-3</v>
      </c>
      <c r="AH9">
        <f>IFERROR(Calc_BankMonth!AH9/Calc_BankMonth!AG9-1,0)</f>
        <v>4.6677230926317481E-3</v>
      </c>
      <c r="AI9">
        <f>IFERROR(Calc_BankMonth!AI9/Calc_BankMonth!AH9-1,0)</f>
        <v>1.2426828222033004E-2</v>
      </c>
      <c r="AJ9">
        <f>IFERROR(Calc_BankMonth!AJ9/Calc_BankMonth!AI9-1,0)</f>
        <v>2.8876865914868599E-3</v>
      </c>
      <c r="AK9">
        <f>IFERROR(Calc_BankMonth!AK9/Calc_BankMonth!AJ9-1,0)</f>
        <v>1.1959467803683843E-3</v>
      </c>
      <c r="AM9">
        <f t="shared" si="0"/>
        <v>7.0963479141421251E-3</v>
      </c>
      <c r="AN9">
        <f t="shared" si="1"/>
        <v>1.6238676971661148E-2</v>
      </c>
      <c r="AO9">
        <f t="shared" si="2"/>
        <v>-7.2854403969774273E-3</v>
      </c>
      <c r="AP9">
        <f t="shared" si="3"/>
        <v>2</v>
      </c>
    </row>
    <row r="10" spans="1:42" x14ac:dyDescent="0.25">
      <c r="A10" t="s">
        <v>30</v>
      </c>
      <c r="C10">
        <f>IFERROR(Calc_BankMonth!C10/Calc_BankMonth!B10-1,0)</f>
        <v>1.1298492523279524E-3</v>
      </c>
      <c r="D10">
        <f>IFERROR(Calc_BankMonth!D10/Calc_BankMonth!C10-1,0)</f>
        <v>1.1179700814239579E-2</v>
      </c>
      <c r="E10">
        <f>IFERROR(Calc_BankMonth!E10/Calc_BankMonth!D10-1,0)</f>
        <v>4.9587643538253623E-3</v>
      </c>
      <c r="F10">
        <f>IFERROR(Calc_BankMonth!F10/Calc_BankMonth!E10-1,0)</f>
        <v>1.902909147827625E-2</v>
      </c>
      <c r="G10">
        <f>IFERROR(Calc_BankMonth!G10/Calc_BankMonth!F10-1,0)</f>
        <v>7.9727317943767417E-4</v>
      </c>
      <c r="H10">
        <f>IFERROR(Calc_BankMonth!H10/Calc_BankMonth!G10-1,0)</f>
        <v>3.3400328887265296E-3</v>
      </c>
      <c r="I10">
        <f>IFERROR(Calc_BankMonth!I10/Calc_BankMonth!H10-1,0)</f>
        <v>1.0664180300403503E-2</v>
      </c>
      <c r="J10">
        <f>IFERROR(Calc_BankMonth!J10/Calc_BankMonth!I10-1,0)</f>
        <v>4.6631974975857027E-3</v>
      </c>
      <c r="K10">
        <f>IFERROR(Calc_BankMonth!K10/Calc_BankMonth!J10-1,0)</f>
        <v>7.2385270422474779E-3</v>
      </c>
      <c r="L10">
        <f>IFERROR(Calc_BankMonth!L10/Calc_BankMonth!K10-1,0)</f>
        <v>1.1559664392245095E-2</v>
      </c>
      <c r="M10">
        <f>IFERROR(Calc_BankMonth!M10/Calc_BankMonth!L10-1,0)</f>
        <v>4.2879774687554217E-3</v>
      </c>
      <c r="N10">
        <f>IFERROR(Calc_BankMonth!N10/Calc_BankMonth!M10-1,0)</f>
        <v>8.1256923314216856E-3</v>
      </c>
      <c r="O10">
        <f>IFERROR(Calc_BankMonth!O10/Calc_BankMonth!N10-1,0)</f>
        <v>1.0007441252355864E-2</v>
      </c>
      <c r="P10">
        <f>IFERROR(Calc_BankMonth!P10/Calc_BankMonth!O10-1,0)</f>
        <v>5.0126693841576753E-3</v>
      </c>
      <c r="Q10">
        <f>IFERROR(Calc_BankMonth!Q10/Calc_BankMonth!P10-1,0)</f>
        <v>5.2754179227185727E-3</v>
      </c>
      <c r="R10">
        <f>IFERROR(Calc_BankMonth!R10/Calc_BankMonth!Q10-1,0)</f>
        <v>8.0760580658352232E-3</v>
      </c>
      <c r="S10">
        <f>IFERROR(Calc_BankMonth!S10/Calc_BankMonth!R10-1,0)</f>
        <v>8.5657303180879385E-3</v>
      </c>
      <c r="T10">
        <f>IFERROR(Calc_BankMonth!T10/Calc_BankMonth!S10-1,0)</f>
        <v>4.5984099958440439E-3</v>
      </c>
      <c r="U10">
        <f>IFERROR(Calc_BankMonth!U10/Calc_BankMonth!T10-1,0)</f>
        <v>1.2490992073024065E-2</v>
      </c>
      <c r="V10">
        <f>IFERROR(Calc_BankMonth!V10/Calc_BankMonth!U10-1,0)</f>
        <v>-7.1174377224181296E-4</v>
      </c>
      <c r="W10">
        <f>IFERROR(Calc_BankMonth!W10/Calc_BankMonth!V10-1,0)</f>
        <v>1.2708399282473248E-2</v>
      </c>
      <c r="X10">
        <f>IFERROR(Calc_BankMonth!X10/Calc_BankMonth!W10-1,0)</f>
        <v>-2.7546415384314127E-3</v>
      </c>
      <c r="Y10">
        <f>IFERROR(Calc_BankMonth!Y10/Calc_BankMonth!X10-1,0)</f>
        <v>1.2962334134364317E-2</v>
      </c>
      <c r="Z10">
        <f>IFERROR(Calc_BankMonth!Z10/Calc_BankMonth!Y10-1,0)</f>
        <v>5.1056916858451817E-3</v>
      </c>
      <c r="AA10">
        <f>IFERROR(Calc_BankMonth!AA10/Calc_BankMonth!Z10-1,0)</f>
        <v>3.764920179843978E-3</v>
      </c>
      <c r="AB10">
        <f>IFERROR(Calc_BankMonth!AB10/Calc_BankMonth!AA10-1,0)</f>
        <v>1.2274760383386596E-2</v>
      </c>
      <c r="AC10">
        <f>IFERROR(Calc_BankMonth!AC10/Calc_BankMonth!AB10-1,0)</f>
        <v>1.0415285852254375E-2</v>
      </c>
      <c r="AD10">
        <f>IFERROR(Calc_BankMonth!AD10/Calc_BankMonth!AC10-1,0)</f>
        <v>1.1494899138506653E-3</v>
      </c>
      <c r="AE10">
        <f>IFERROR(Calc_BankMonth!AE10/Calc_BankMonth!AD10-1,0)</f>
        <v>1.347851861096383E-2</v>
      </c>
      <c r="AF10">
        <f>IFERROR(Calc_BankMonth!AF10/Calc_BankMonth!AE10-1,0)</f>
        <v>3.7311824646737435E-3</v>
      </c>
      <c r="AG10">
        <f>IFERROR(Calc_BankMonth!AG10/Calc_BankMonth!AF10-1,0)</f>
        <v>1.7973144564196186E-3</v>
      </c>
      <c r="AH10">
        <f>IFERROR(Calc_BankMonth!AH10/Calc_BankMonth!AG10-1,0)</f>
        <v>6.4660714941771058E-3</v>
      </c>
      <c r="AI10">
        <f>IFERROR(Calc_BankMonth!AI10/Calc_BankMonth!AH10-1,0)</f>
        <v>9.1805073918596047E-3</v>
      </c>
      <c r="AJ10">
        <f>IFERROR(Calc_BankMonth!AJ10/Calc_BankMonth!AI10-1,0)</f>
        <v>5.6667812079891355E-4</v>
      </c>
      <c r="AK10">
        <f>IFERROR(Calc_BankMonth!AK10/Calc_BankMonth!AJ10-1,0)</f>
        <v>7.0252390449048185E-3</v>
      </c>
      <c r="AM10">
        <f t="shared" si="0"/>
        <v>6.8045907919045256E-3</v>
      </c>
      <c r="AN10">
        <f t="shared" si="1"/>
        <v>1.902909147827625E-2</v>
      </c>
      <c r="AO10">
        <f t="shared" si="2"/>
        <v>-2.7546415384314127E-3</v>
      </c>
      <c r="AP10">
        <f t="shared" si="3"/>
        <v>5</v>
      </c>
    </row>
    <row r="11" spans="1:42" x14ac:dyDescent="0.25">
      <c r="A11" t="s">
        <v>32</v>
      </c>
      <c r="C11">
        <f>IFERROR(Calc_BankMonth!C11/Calc_BankMonth!B11-1,0)</f>
        <v>1.26860071641961E-2</v>
      </c>
      <c r="D11">
        <f>IFERROR(Calc_BankMonth!D11/Calc_BankMonth!C11-1,0)</f>
        <v>2.5865082139111539E-3</v>
      </c>
      <c r="E11">
        <f>IFERROR(Calc_BankMonth!E11/Calc_BankMonth!D11-1,0)</f>
        <v>1.0061358248500962E-2</v>
      </c>
      <c r="F11">
        <f>IFERROR(Calc_BankMonth!F11/Calc_BankMonth!E11-1,0)</f>
        <v>1.0968984488792799E-2</v>
      </c>
      <c r="G11">
        <f>IFERROR(Calc_BankMonth!G11/Calc_BankMonth!F11-1,0)</f>
        <v>4.6021904787918455E-3</v>
      </c>
      <c r="H11">
        <f>IFERROR(Calc_BankMonth!H11/Calc_BankMonth!G11-1,0)</f>
        <v>5.6482198931526728E-3</v>
      </c>
      <c r="I11">
        <f>IFERROR(Calc_BankMonth!I11/Calc_BankMonth!H11-1,0)</f>
        <v>3.2103922085473524E-3</v>
      </c>
      <c r="J11">
        <f>IFERROR(Calc_BankMonth!J11/Calc_BankMonth!I11-1,0)</f>
        <v>1.6835992238870334E-2</v>
      </c>
      <c r="K11">
        <f>IFERROR(Calc_BankMonth!K11/Calc_BankMonth!J11-1,0)</f>
        <v>2.8489839728085276E-3</v>
      </c>
      <c r="L11">
        <f>IFERROR(Calc_BankMonth!L11/Calc_BankMonth!K11-1,0)</f>
        <v>1.2149761167011386E-2</v>
      </c>
      <c r="M11">
        <f>IFERROR(Calc_BankMonth!M11/Calc_BankMonth!L11-1,0)</f>
        <v>2.5848563968668969E-3</v>
      </c>
      <c r="N11">
        <f>IFERROR(Calc_BankMonth!N11/Calc_BankMonth!M11-1,0)</f>
        <v>8.4637620771372823E-3</v>
      </c>
      <c r="O11">
        <f>IFERROR(Calc_BankMonth!O11/Calc_BankMonth!N11-1,0)</f>
        <v>1.7237372172296261E-3</v>
      </c>
      <c r="P11">
        <f>IFERROR(Calc_BankMonth!P11/Calc_BankMonth!O11-1,0)</f>
        <v>1.3843506506061365E-2</v>
      </c>
      <c r="Q11">
        <f>IFERROR(Calc_BankMonth!Q11/Calc_BankMonth!P11-1,0)</f>
        <v>1.7417726668826905E-3</v>
      </c>
      <c r="R11">
        <f>IFERROR(Calc_BankMonth!R11/Calc_BankMonth!Q11-1,0)</f>
        <v>1.023574578798736E-2</v>
      </c>
      <c r="S11">
        <f>IFERROR(Calc_BankMonth!S11/Calc_BankMonth!R11-1,0)</f>
        <v>1.0031533059460696E-2</v>
      </c>
      <c r="T11">
        <f>IFERROR(Calc_BankMonth!T11/Calc_BankMonth!S11-1,0)</f>
        <v>6.809913243571053E-3</v>
      </c>
      <c r="U11">
        <f>IFERROR(Calc_BankMonth!U11/Calc_BankMonth!T11-1,0)</f>
        <v>5.7817036259186771E-3</v>
      </c>
      <c r="V11">
        <f>IFERROR(Calc_BankMonth!V11/Calc_BankMonth!U11-1,0)</f>
        <v>3.6664906096077754E-3</v>
      </c>
      <c r="W11">
        <f>IFERROR(Calc_BankMonth!W11/Calc_BankMonth!V11-1,0)</f>
        <v>1.3064256561194032E-2</v>
      </c>
      <c r="X11">
        <f>IFERROR(Calc_BankMonth!X11/Calc_BankMonth!W11-1,0)</f>
        <v>2.6395583420917301E-3</v>
      </c>
      <c r="Y11">
        <f>IFERROR(Calc_BankMonth!Y11/Calc_BankMonth!X11-1,0)</f>
        <v>1.2952197355342587E-3</v>
      </c>
      <c r="Z11">
        <f>IFERROR(Calc_BankMonth!Z11/Calc_BankMonth!Y11-1,0)</f>
        <v>1.6286625353468587E-2</v>
      </c>
      <c r="AA11">
        <f>IFERROR(Calc_BankMonth!AA11/Calc_BankMonth!Z11-1,0)</f>
        <v>4.3098089594297839E-3</v>
      </c>
      <c r="AB11">
        <f>IFERROR(Calc_BankMonth!AB11/Calc_BankMonth!AA11-1,0)</f>
        <v>5.2285655339090464E-3</v>
      </c>
      <c r="AC11">
        <f>IFERROR(Calc_BankMonth!AC11/Calc_BankMonth!AB11-1,0)</f>
        <v>3.8643773602609066E-3</v>
      </c>
      <c r="AD11">
        <f>IFERROR(Calc_BankMonth!AD11/Calc_BankMonth!AC11-1,0)</f>
        <v>7.9852328685501295E-3</v>
      </c>
      <c r="AE11">
        <f>IFERROR(Calc_BankMonth!AE11/Calc_BankMonth!AD11-1,0)</f>
        <v>1.039650436375017E-2</v>
      </c>
      <c r="AF11">
        <f>IFERROR(Calc_BankMonth!AF11/Calc_BankMonth!AE11-1,0)</f>
        <v>6.4409929338349325E-3</v>
      </c>
      <c r="AG11">
        <f>IFERROR(Calc_BankMonth!AG11/Calc_BankMonth!AF11-1,0)</f>
        <v>5.0149593959236682E-4</v>
      </c>
      <c r="AH11">
        <f>IFERROR(Calc_BankMonth!AH11/Calc_BankMonth!AG11-1,0)</f>
        <v>5.8554479018928518E-3</v>
      </c>
      <c r="AI11">
        <f>IFERROR(Calc_BankMonth!AI11/Calc_BankMonth!AH11-1,0)</f>
        <v>1.1971165008409335E-2</v>
      </c>
      <c r="AJ11">
        <f>IFERROR(Calc_BankMonth!AJ11/Calc_BankMonth!AI11-1,0)</f>
        <v>2.1935592177049212E-3</v>
      </c>
      <c r="AK11">
        <f>IFERROR(Calc_BankMonth!AK11/Calc_BankMonth!AJ11-1,0)</f>
        <v>4.0034171426659437E-3</v>
      </c>
      <c r="AM11">
        <f t="shared" si="0"/>
        <v>6.9290756139313014E-3</v>
      </c>
      <c r="AN11">
        <f t="shared" si="1"/>
        <v>1.6835992238870334E-2</v>
      </c>
      <c r="AO11">
        <f t="shared" si="2"/>
        <v>5.0149593959236682E-4</v>
      </c>
      <c r="AP11">
        <f t="shared" si="3"/>
        <v>9</v>
      </c>
    </row>
    <row r="12" spans="1:42" x14ac:dyDescent="0.25">
      <c r="A12" t="s">
        <v>33</v>
      </c>
      <c r="C12">
        <f>IFERROR(Calc_BankMonth!C12/Calc_BankMonth!B12-1,0)</f>
        <v>1.2225502860306436E-2</v>
      </c>
      <c r="D12">
        <f>IFERROR(Calc_BankMonth!D12/Calc_BankMonth!C12-1,0)</f>
        <v>3.7372954742262987E-3</v>
      </c>
      <c r="E12">
        <f>IFERROR(Calc_BankMonth!E12/Calc_BankMonth!D12-1,0)</f>
        <v>7.3429726065605827E-3</v>
      </c>
      <c r="F12">
        <f>IFERROR(Calc_BankMonth!F12/Calc_BankMonth!E12-1,0)</f>
        <v>1.0399696058418506E-2</v>
      </c>
      <c r="G12">
        <f>IFERROR(Calc_BankMonth!G12/Calc_BankMonth!F12-1,0)</f>
        <v>5.9907716623754936E-3</v>
      </c>
      <c r="H12">
        <f>IFERROR(Calc_BankMonth!H12/Calc_BankMonth!G12-1,0)</f>
        <v>8.8692919770918532E-3</v>
      </c>
      <c r="I12">
        <f>IFERROR(Calc_BankMonth!I12/Calc_BankMonth!H12-1,0)</f>
        <v>8.6343313573797875E-3</v>
      </c>
      <c r="J12">
        <f>IFERROR(Calc_BankMonth!J12/Calc_BankMonth!I12-1,0)</f>
        <v>1.8365987436419484E-3</v>
      </c>
      <c r="K12">
        <f>IFERROR(Calc_BankMonth!K12/Calc_BankMonth!J12-1,0)</f>
        <v>8.7435836885867424E-3</v>
      </c>
      <c r="L12">
        <f>IFERROR(Calc_BankMonth!L12/Calc_BankMonth!K12-1,0)</f>
        <v>3.5176343754812489E-3</v>
      </c>
      <c r="M12">
        <f>IFERROR(Calc_BankMonth!M12/Calc_BankMonth!L12-1,0)</f>
        <v>1.1504272664767834E-2</v>
      </c>
      <c r="N12">
        <f>IFERROR(Calc_BankMonth!N12/Calc_BankMonth!M12-1,0)</f>
        <v>1.0378102809977641E-2</v>
      </c>
      <c r="O12">
        <f>IFERROR(Calc_BankMonth!O12/Calc_BankMonth!N12-1,0)</f>
        <v>5.1177318596828947E-3</v>
      </c>
      <c r="P12">
        <f>IFERROR(Calc_BankMonth!P12/Calc_BankMonth!O12-1,0)</f>
        <v>-1.1354672148788936E-4</v>
      </c>
      <c r="Q12">
        <f>IFERROR(Calc_BankMonth!Q12/Calc_BankMonth!P12-1,0)</f>
        <v>1.1905829194384321E-2</v>
      </c>
      <c r="R12">
        <f>IFERROR(Calc_BankMonth!R12/Calc_BankMonth!Q12-1,0)</f>
        <v>1.0212338678715849E-2</v>
      </c>
      <c r="S12">
        <f>IFERROR(Calc_BankMonth!S12/Calc_BankMonth!R12-1,0)</f>
        <v>2.2919419530622598E-3</v>
      </c>
      <c r="T12">
        <f>IFERROR(Calc_BankMonth!T12/Calc_BankMonth!S12-1,0)</f>
        <v>1.2652689790346505E-2</v>
      </c>
      <c r="U12">
        <f>IFERROR(Calc_BankMonth!U12/Calc_BankMonth!T12-1,0)</f>
        <v>3.7040237334027282E-3</v>
      </c>
      <c r="V12">
        <f>IFERROR(Calc_BankMonth!V12/Calc_BankMonth!U12-1,0)</f>
        <v>6.2213753601394473E-3</v>
      </c>
      <c r="W12">
        <f>IFERROR(Calc_BankMonth!W12/Calc_BankMonth!V12-1,0)</f>
        <v>9.9702262123406715E-3</v>
      </c>
      <c r="X12">
        <f>IFERROR(Calc_BankMonth!X12/Calc_BankMonth!W12-1,0)</f>
        <v>3.8741740554584236E-3</v>
      </c>
      <c r="Y12">
        <f>IFERROR(Calc_BankMonth!Y12/Calc_BankMonth!X12-1,0)</f>
        <v>1.0497535948153391E-2</v>
      </c>
      <c r="Z12">
        <f>IFERROR(Calc_BankMonth!Z12/Calc_BankMonth!Y12-1,0)</f>
        <v>4.8212357060941624E-3</v>
      </c>
      <c r="AA12">
        <f>IFERROR(Calc_BankMonth!AA12/Calc_BankMonth!Z12-1,0)</f>
        <v>1.0017286467798092E-2</v>
      </c>
      <c r="AB12">
        <f>IFERROR(Calc_BankMonth!AB12/Calc_BankMonth!AA12-1,0)</f>
        <v>8.1131785667267753E-3</v>
      </c>
      <c r="AC12">
        <f>IFERROR(Calc_BankMonth!AC12/Calc_BankMonth!AB12-1,0)</f>
        <v>5.0986260372738457E-3</v>
      </c>
      <c r="AD12">
        <f>IFERROR(Calc_BankMonth!AD12/Calc_BankMonth!AC12-1,0)</f>
        <v>2.3117068734028745E-3</v>
      </c>
      <c r="AE12">
        <f>IFERROR(Calc_BankMonth!AE12/Calc_BankMonth!AD12-1,0)</f>
        <v>2.932931473109246E-3</v>
      </c>
      <c r="AF12">
        <f>IFERROR(Calc_BankMonth!AF12/Calc_BankMonth!AE12-1,0)</f>
        <v>9.2900765825443266E-3</v>
      </c>
      <c r="AG12">
        <f>IFERROR(Calc_BankMonth!AG12/Calc_BankMonth!AF12-1,0)</f>
        <v>4.7223422817717076E-3</v>
      </c>
      <c r="AH12">
        <f>IFERROR(Calc_BankMonth!AH12/Calc_BankMonth!AG12-1,0)</f>
        <v>8.7045652497184101E-3</v>
      </c>
      <c r="AI12">
        <f>IFERROR(Calc_BankMonth!AI12/Calc_BankMonth!AH12-1,0)</f>
        <v>9.1506915669377076E-3</v>
      </c>
      <c r="AJ12">
        <f>IFERROR(Calc_BankMonth!AJ12/Calc_BankMonth!AI12-1,0)</f>
        <v>7.4033881326658335E-3</v>
      </c>
      <c r="AK12">
        <f>IFERROR(Calc_BankMonth!AK12/Calc_BankMonth!AJ12-1,0)</f>
        <v>5.3447132913493345E-3</v>
      </c>
      <c r="AM12">
        <f t="shared" si="0"/>
        <v>7.0692890449258654E-3</v>
      </c>
      <c r="AN12">
        <f t="shared" si="1"/>
        <v>1.2652689790346505E-2</v>
      </c>
      <c r="AO12">
        <f t="shared" si="2"/>
        <v>-1.1354672148788936E-4</v>
      </c>
      <c r="AP12">
        <f t="shared" si="3"/>
        <v>19</v>
      </c>
    </row>
    <row r="13" spans="1:42" x14ac:dyDescent="0.25">
      <c r="A13" t="s">
        <v>34</v>
      </c>
      <c r="C13">
        <f>IFERROR(Calc_BankMonth!C13/Calc_BankMonth!B13-1,0)</f>
        <v>3.1674626405795436E-3</v>
      </c>
      <c r="D13">
        <f>IFERROR(Calc_BankMonth!D13/Calc_BankMonth!C13-1,0)</f>
        <v>7.3530766820852911E-3</v>
      </c>
      <c r="E13">
        <f>IFERROR(Calc_BankMonth!E13/Calc_BankMonth!D13-1,0)</f>
        <v>5.8724525264350902E-3</v>
      </c>
      <c r="F13">
        <f>IFERROR(Calc_BankMonth!F13/Calc_BankMonth!E13-1,0)</f>
        <v>1.6332320899187014E-2</v>
      </c>
      <c r="G13">
        <f>IFERROR(Calc_BankMonth!G13/Calc_BankMonth!F13-1,0)</f>
        <v>2.4993587564048347E-3</v>
      </c>
      <c r="H13">
        <f>IFERROR(Calc_BankMonth!H13/Calc_BankMonth!G13-1,0)</f>
        <v>7.5626851995098665E-3</v>
      </c>
      <c r="I13">
        <f>IFERROR(Calc_BankMonth!I13/Calc_BankMonth!H13-1,0)</f>
        <v>6.9035568967656946E-3</v>
      </c>
      <c r="J13">
        <f>IFERROR(Calc_BankMonth!J13/Calc_BankMonth!I13-1,0)</f>
        <v>1.3853209933021304E-2</v>
      </c>
      <c r="K13">
        <f>IFERROR(Calc_BankMonth!K13/Calc_BankMonth!J13-1,0)</f>
        <v>1.1049148463531111E-3</v>
      </c>
      <c r="L13">
        <f>IFERROR(Calc_BankMonth!L13/Calc_BankMonth!K13-1,0)</f>
        <v>8.7486637196267925E-3</v>
      </c>
      <c r="M13">
        <f>IFERROR(Calc_BankMonth!M13/Calc_BankMonth!L13-1,0)</f>
        <v>8.781627894987043E-3</v>
      </c>
      <c r="N13">
        <f>IFERROR(Calc_BankMonth!N13/Calc_BankMonth!M13-1,0)</f>
        <v>3.0493691156261438E-3</v>
      </c>
      <c r="O13">
        <f>IFERROR(Calc_BankMonth!O13/Calc_BankMonth!N13-1,0)</f>
        <v>1.0150646233278104E-2</v>
      </c>
      <c r="P13">
        <f>IFERROR(Calc_BankMonth!P13/Calc_BankMonth!O13-1,0)</f>
        <v>1.2094243185079012E-2</v>
      </c>
      <c r="Q13">
        <f>IFERROR(Calc_BankMonth!Q13/Calc_BankMonth!P13-1,0)</f>
        <v>1.9823910515530674E-3</v>
      </c>
      <c r="R13">
        <f>IFERROR(Calc_BankMonth!R13/Calc_BankMonth!Q13-1,0)</f>
        <v>7.8530848641600315E-3</v>
      </c>
      <c r="S13">
        <f>IFERROR(Calc_BankMonth!S13/Calc_BankMonth!R13-1,0)</f>
        <v>1.1931852452993663E-2</v>
      </c>
      <c r="T13">
        <f>IFERROR(Calc_BankMonth!T13/Calc_BankMonth!S13-1,0)</f>
        <v>3.3054268606573789E-3</v>
      </c>
      <c r="U13">
        <f>IFERROR(Calc_BankMonth!U13/Calc_BankMonth!T13-1,0)</f>
        <v>7.9176905835651734E-3</v>
      </c>
      <c r="V13">
        <f>IFERROR(Calc_BankMonth!V13/Calc_BankMonth!U13-1,0)</f>
        <v>4.817249934358836E-3</v>
      </c>
      <c r="W13">
        <f>IFERROR(Calc_BankMonth!W13/Calc_BankMonth!V13-1,0)</f>
        <v>4.0635665529009657E-3</v>
      </c>
      <c r="X13">
        <f>IFERROR(Calc_BankMonth!X13/Calc_BankMonth!W13-1,0)</f>
        <v>1.1817380312509895E-2</v>
      </c>
      <c r="Y13">
        <f>IFERROR(Calc_BankMonth!Y13/Calc_BankMonth!X13-1,0)</f>
        <v>4.2203173636663482E-3</v>
      </c>
      <c r="Z13">
        <f>IFERROR(Calc_BankMonth!Z13/Calc_BankMonth!Y13-1,0)</f>
        <v>5.5145809702528137E-3</v>
      </c>
      <c r="AA13">
        <f>IFERROR(Calc_BankMonth!AA13/Calc_BankMonth!Z13-1,0)</f>
        <v>1.155089776779672E-2</v>
      </c>
      <c r="AB13">
        <f>IFERROR(Calc_BankMonth!AB13/Calc_BankMonth!AA13-1,0)</f>
        <v>6.2593787900588893E-3</v>
      </c>
      <c r="AC13">
        <f>IFERROR(Calc_BankMonth!AC13/Calc_BankMonth!AB13-1,0)</f>
        <v>2.9161517011737637E-3</v>
      </c>
      <c r="AD13">
        <f>IFERROR(Calc_BankMonth!AD13/Calc_BankMonth!AC13-1,0)</f>
        <v>9.3188102476360335E-3</v>
      </c>
      <c r="AE13">
        <f>IFERROR(Calc_BankMonth!AE13/Calc_BankMonth!AD13-1,0)</f>
        <v>2.3359417174975139E-3</v>
      </c>
      <c r="AF13">
        <f>IFERROR(Calc_BankMonth!AF13/Calc_BankMonth!AE13-1,0)</f>
        <v>8.7381084209996462E-3</v>
      </c>
      <c r="AG13">
        <f>IFERROR(Calc_BankMonth!AG13/Calc_BankMonth!AF13-1,0)</f>
        <v>8.3280939692422784E-3</v>
      </c>
      <c r="AH13">
        <f>IFERROR(Calc_BankMonth!AH13/Calc_BankMonth!AG13-1,0)</f>
        <v>-3.914388222194698E-3</v>
      </c>
      <c r="AI13">
        <f>IFERROR(Calc_BankMonth!AI13/Calc_BankMonth!AH13-1,0)</f>
        <v>1.3836171777190431E-2</v>
      </c>
      <c r="AJ13">
        <f>IFERROR(Calc_BankMonth!AJ13/Calc_BankMonth!AI13-1,0)</f>
        <v>9.388981177934852E-3</v>
      </c>
      <c r="AK13">
        <f>IFERROR(Calc_BankMonth!AK13/Calc_BankMonth!AJ13-1,0)</f>
        <v>3.5876398766900852E-3</v>
      </c>
      <c r="AM13">
        <f t="shared" si="0"/>
        <v>6.9497976199880728E-3</v>
      </c>
      <c r="AN13">
        <f t="shared" si="1"/>
        <v>1.6332320899187014E-2</v>
      </c>
      <c r="AO13">
        <f t="shared" si="2"/>
        <v>-3.914388222194698E-3</v>
      </c>
      <c r="AP13">
        <f t="shared" si="3"/>
        <v>5</v>
      </c>
    </row>
    <row r="14" spans="1:42" x14ac:dyDescent="0.25">
      <c r="A14" t="s">
        <v>35</v>
      </c>
      <c r="C14">
        <f>IFERROR(Calc_BankMonth!C14/Calc_BankMonth!B14-1,0)</f>
        <v>6.2790886616603814E-3</v>
      </c>
      <c r="D14">
        <f>IFERROR(Calc_BankMonth!D14/Calc_BankMonth!C14-1,0)</f>
        <v>6.3321799307958226E-3</v>
      </c>
      <c r="E14">
        <f>IFERROR(Calc_BankMonth!E14/Calc_BankMonth!D14-1,0)</f>
        <v>1.340416509071729E-2</v>
      </c>
      <c r="F14">
        <f>IFERROR(Calc_BankMonth!F14/Calc_BankMonth!E14-1,0)</f>
        <v>4.7331723564640882E-3</v>
      </c>
      <c r="G14">
        <f>IFERROR(Calc_BankMonth!G14/Calc_BankMonth!F14-1,0)</f>
        <v>8.0484482816844949E-3</v>
      </c>
      <c r="H14">
        <f>IFERROR(Calc_BankMonth!H14/Calc_BankMonth!G14-1,0)</f>
        <v>4.3159281758085033E-3</v>
      </c>
      <c r="I14">
        <f>IFERROR(Calc_BankMonth!I14/Calc_BankMonth!H14-1,0)</f>
        <v>1.1063115351045427E-2</v>
      </c>
      <c r="J14">
        <f>IFERROR(Calc_BankMonth!J14/Calc_BankMonth!I14-1,0)</f>
        <v>8.9515964963406969E-3</v>
      </c>
      <c r="K14">
        <f>IFERROR(Calc_BankMonth!K14/Calc_BankMonth!J14-1,0)</f>
        <v>4.419738957464947E-3</v>
      </c>
      <c r="L14">
        <f>IFERROR(Calc_BankMonth!L14/Calc_BankMonth!K14-1,0)</f>
        <v>4.4925287293955396E-3</v>
      </c>
      <c r="M14">
        <f>IFERROR(Calc_BankMonth!M14/Calc_BankMonth!L14-1,0)</f>
        <v>7.9996110925057984E-3</v>
      </c>
      <c r="N14">
        <f>IFERROR(Calc_BankMonth!N14/Calc_BankMonth!M14-1,0)</f>
        <v>1.5009511561235644E-2</v>
      </c>
      <c r="O14">
        <f>IFERROR(Calc_BankMonth!O14/Calc_BankMonth!N14-1,0)</f>
        <v>4.888710562993781E-3</v>
      </c>
      <c r="P14">
        <f>IFERROR(Calc_BankMonth!P14/Calc_BankMonth!O14-1,0)</f>
        <v>5.5951918126320166E-3</v>
      </c>
      <c r="Q14">
        <f>IFERROR(Calc_BankMonth!Q14/Calc_BankMonth!P14-1,0)</f>
        <v>4.7542670853208957E-3</v>
      </c>
      <c r="R14">
        <f>IFERROR(Calc_BankMonth!R14/Calc_BankMonth!Q14-1,0)</f>
        <v>3.6502233291906272E-3</v>
      </c>
      <c r="S14">
        <f>IFERROR(Calc_BankMonth!S14/Calc_BankMonth!R14-1,0)</f>
        <v>1.2667146757573189E-2</v>
      </c>
      <c r="T14">
        <f>IFERROR(Calc_BankMonth!T14/Calc_BankMonth!S14-1,0)</f>
        <v>7.9042688167643149E-3</v>
      </c>
      <c r="U14">
        <f>IFERROR(Calc_BankMonth!U14/Calc_BankMonth!T14-1,0)</f>
        <v>-1.3197366617756501E-4</v>
      </c>
      <c r="V14">
        <f>IFERROR(Calc_BankMonth!V14/Calc_BankMonth!U14-1,0)</f>
        <v>1.2082260905763365E-2</v>
      </c>
      <c r="W14">
        <f>IFERROR(Calc_BankMonth!W14/Calc_BankMonth!V14-1,0)</f>
        <v>8.0105134854511206E-3</v>
      </c>
      <c r="X14">
        <f>IFERROR(Calc_BankMonth!X14/Calc_BankMonth!W14-1,0)</f>
        <v>1.7665207006369865E-3</v>
      </c>
      <c r="Y14">
        <f>IFERROR(Calc_BankMonth!Y14/Calc_BankMonth!X14-1,0)</f>
        <v>1.2731291756699736E-2</v>
      </c>
      <c r="Z14">
        <f>IFERROR(Calc_BankMonth!Z14/Calc_BankMonth!Y14-1,0)</f>
        <v>1.8442401828544508E-3</v>
      </c>
      <c r="AA14">
        <f>IFERROR(Calc_BankMonth!AA14/Calc_BankMonth!Z14-1,0)</f>
        <v>4.7147179492201818E-3</v>
      </c>
      <c r="AB14">
        <f>IFERROR(Calc_BankMonth!AB14/Calc_BankMonth!AA14-1,0)</f>
        <v>1.0783707002831155E-2</v>
      </c>
      <c r="AC14">
        <f>IFERROR(Calc_BankMonth!AC14/Calc_BankMonth!AB14-1,0)</f>
        <v>3.6253193848527765E-3</v>
      </c>
      <c r="AD14">
        <f>IFERROR(Calc_BankMonth!AD14/Calc_BankMonth!AC14-1,0)</f>
        <v>1.4669856183531671E-2</v>
      </c>
      <c r="AE14">
        <f>IFERROR(Calc_BankMonth!AE14/Calc_BankMonth!AD14-1,0)</f>
        <v>2.1823931526823159E-3</v>
      </c>
      <c r="AF14">
        <f>IFERROR(Calc_BankMonth!AF14/Calc_BankMonth!AE14-1,0)</f>
        <v>6.1550234533318537E-3</v>
      </c>
      <c r="AG14">
        <f>IFERROR(Calc_BankMonth!AG14/Calc_BankMonth!AF14-1,0)</f>
        <v>3.4131455399062371E-3</v>
      </c>
      <c r="AH14">
        <f>IFERROR(Calc_BankMonth!AH14/Calc_BankMonth!AG14-1,0)</f>
        <v>1.3559353755023817E-2</v>
      </c>
      <c r="AI14">
        <f>IFERROR(Calc_BankMonth!AI14/Calc_BankMonth!AH14-1,0)</f>
        <v>-1.2833237160994049E-3</v>
      </c>
      <c r="AJ14">
        <f>IFERROR(Calc_BankMonth!AJ14/Calc_BankMonth!AI14-1,0)</f>
        <v>1.4236388764346408E-2</v>
      </c>
      <c r="AK14">
        <f>IFERROR(Calc_BankMonth!AK14/Calc_BankMonth!AJ14-1,0)</f>
        <v>-8.2943302328342128E-4</v>
      </c>
      <c r="AM14">
        <f t="shared" si="0"/>
        <v>6.9153969960332896E-3</v>
      </c>
      <c r="AN14">
        <f t="shared" si="1"/>
        <v>1.5009511561235644E-2</v>
      </c>
      <c r="AO14">
        <f t="shared" si="2"/>
        <v>-1.2833237160994049E-3</v>
      </c>
      <c r="AP14">
        <f t="shared" si="3"/>
        <v>13</v>
      </c>
    </row>
    <row r="15" spans="1:42" x14ac:dyDescent="0.25">
      <c r="A15" t="s">
        <v>36</v>
      </c>
      <c r="C15">
        <f>IFERROR(Calc_BankMonth!C15/Calc_BankMonth!B15-1,0)</f>
        <v>4.1421253047695394E-3</v>
      </c>
      <c r="D15">
        <f>IFERROR(Calc_BankMonth!D15/Calc_BankMonth!C15-1,0)</f>
        <v>1.3390007147884742E-2</v>
      </c>
      <c r="E15">
        <f>IFERROR(Calc_BankMonth!E15/Calc_BankMonth!D15-1,0)</f>
        <v>2.509086014268247E-3</v>
      </c>
      <c r="F15">
        <f>IFERROR(Calc_BankMonth!F15/Calc_BankMonth!E15-1,0)</f>
        <v>6.6974236133863219E-3</v>
      </c>
      <c r="G15">
        <f>IFERROR(Calc_BankMonth!G15/Calc_BankMonth!F15-1,0)</f>
        <v>1.0531482410183646E-2</v>
      </c>
      <c r="H15">
        <f>IFERROR(Calc_BankMonth!H15/Calc_BankMonth!G15-1,0)</f>
        <v>1.0601229066796058E-2</v>
      </c>
      <c r="I15">
        <f>IFERROR(Calc_BankMonth!I15/Calc_BankMonth!H15-1,0)</f>
        <v>1.2172186814334296E-3</v>
      </c>
      <c r="J15">
        <f>IFERROR(Calc_BankMonth!J15/Calc_BankMonth!I15-1,0)</f>
        <v>1.6514221014020336E-2</v>
      </c>
      <c r="K15">
        <f>IFERROR(Calc_BankMonth!K15/Calc_BankMonth!J15-1,0)</f>
        <v>3.5982301430050878E-3</v>
      </c>
      <c r="L15">
        <f>IFERROR(Calc_BankMonth!L15/Calc_BankMonth!K15-1,0)</f>
        <v>9.6870380883700147E-3</v>
      </c>
      <c r="M15">
        <f>IFERROR(Calc_BankMonth!M15/Calc_BankMonth!L15-1,0)</f>
        <v>-1.4639360123192002E-3</v>
      </c>
      <c r="N15">
        <f>IFERROR(Calc_BankMonth!N15/Calc_BankMonth!M15-1,0)</f>
        <v>1.1490229500213056E-2</v>
      </c>
      <c r="O15">
        <f>IFERROR(Calc_BankMonth!O15/Calc_BankMonth!N15-1,0)</f>
        <v>8.5410930392346707E-3</v>
      </c>
      <c r="P15">
        <f>IFERROR(Calc_BankMonth!P15/Calc_BankMonth!O15-1,0)</f>
        <v>8.4140592365684608E-3</v>
      </c>
      <c r="Q15">
        <f>IFERROR(Calc_BankMonth!Q15/Calc_BankMonth!P15-1,0)</f>
        <v>3.3681158276785972E-3</v>
      </c>
      <c r="R15">
        <f>IFERROR(Calc_BankMonth!R15/Calc_BankMonth!Q15-1,0)</f>
        <v>8.8171546245827681E-3</v>
      </c>
      <c r="S15">
        <f>IFERROR(Calc_BankMonth!S15/Calc_BankMonth!R15-1,0)</f>
        <v>3.6246534899471161E-3</v>
      </c>
      <c r="T15">
        <f>IFERROR(Calc_BankMonth!T15/Calc_BankMonth!S15-1,0)</f>
        <v>9.5434576830659701E-3</v>
      </c>
      <c r="U15">
        <f>IFERROR(Calc_BankMonth!U15/Calc_BankMonth!T15-1,0)</f>
        <v>7.3423698496424272E-3</v>
      </c>
      <c r="V15">
        <f>IFERROR(Calc_BankMonth!V15/Calc_BankMonth!U15-1,0)</f>
        <v>8.7113003465426608E-3</v>
      </c>
      <c r="W15">
        <f>IFERROR(Calc_BankMonth!W15/Calc_BankMonth!V15-1,0)</f>
        <v>8.839548936935282E-3</v>
      </c>
      <c r="X15">
        <f>IFERROR(Calc_BankMonth!X15/Calc_BankMonth!W15-1,0)</f>
        <v>3.5461159242180518E-3</v>
      </c>
      <c r="Y15">
        <f>IFERROR(Calc_BankMonth!Y15/Calc_BankMonth!X15-1,0)</f>
        <v>4.5618774743279022E-3</v>
      </c>
      <c r="Z15">
        <f>IFERROR(Calc_BankMonth!Z15/Calc_BankMonth!Y15-1,0)</f>
        <v>1.137616727851376E-2</v>
      </c>
      <c r="AA15">
        <f>IFERROR(Calc_BankMonth!AA15/Calc_BankMonth!Z15-1,0)</f>
        <v>9.9140627875307086E-3</v>
      </c>
      <c r="AB15">
        <f>IFERROR(Calc_BankMonth!AB15/Calc_BankMonth!AA15-1,0)</f>
        <v>-1.0659475316936451E-3</v>
      </c>
      <c r="AC15">
        <f>IFERROR(Calc_BankMonth!AC15/Calc_BankMonth!AB15-1,0)</f>
        <v>6.0422547414598071E-3</v>
      </c>
      <c r="AD15">
        <f>IFERROR(Calc_BankMonth!AD15/Calc_BankMonth!AC15-1,0)</f>
        <v>9.4055680963129884E-3</v>
      </c>
      <c r="AE15">
        <f>IFERROR(Calc_BankMonth!AE15/Calc_BankMonth!AD15-1,0)</f>
        <v>5.2539640485160799E-3</v>
      </c>
      <c r="AF15">
        <f>IFERROR(Calc_BankMonth!AF15/Calc_BankMonth!AE15-1,0)</f>
        <v>8.2417950584967592E-3</v>
      </c>
      <c r="AG15">
        <f>IFERROR(Calc_BankMonth!AG15/Calc_BankMonth!AF15-1,0)</f>
        <v>4.585652004395202E-3</v>
      </c>
      <c r="AH15">
        <f>IFERROR(Calc_BankMonth!AH15/Calc_BankMonth!AG15-1,0)</f>
        <v>6.3420937730163107E-3</v>
      </c>
      <c r="AI15">
        <f>IFERROR(Calc_BankMonth!AI15/Calc_BankMonth!AH15-1,0)</f>
        <v>6.6746429307074084E-3</v>
      </c>
      <c r="AJ15">
        <f>IFERROR(Calc_BankMonth!AJ15/Calc_BankMonth!AI15-1,0)</f>
        <v>1.0975185023944123E-2</v>
      </c>
      <c r="AK15">
        <f>IFERROR(Calc_BankMonth!AK15/Calc_BankMonth!AJ15-1,0)</f>
        <v>1.9119717854974017E-3</v>
      </c>
      <c r="AM15">
        <f t="shared" si="0"/>
        <v>6.9680431828986313E-3</v>
      </c>
      <c r="AN15">
        <f t="shared" si="1"/>
        <v>1.6514221014020336E-2</v>
      </c>
      <c r="AO15">
        <f t="shared" si="2"/>
        <v>-1.4639360123192002E-3</v>
      </c>
      <c r="AP15">
        <f t="shared" si="3"/>
        <v>9</v>
      </c>
    </row>
    <row r="16" spans="1:42" x14ac:dyDescent="0.25">
      <c r="A16" t="s">
        <v>37</v>
      </c>
      <c r="C16">
        <f>IFERROR(Calc_BankMonth!C16/Calc_BankMonth!B16-1,0)</f>
        <v>1.1116534092089125E-2</v>
      </c>
      <c r="D16">
        <f>IFERROR(Calc_BankMonth!D16/Calc_BankMonth!C16-1,0)</f>
        <v>5.4945901395231367E-4</v>
      </c>
      <c r="E16">
        <f>IFERROR(Calc_BankMonth!E16/Calc_BankMonth!D16-1,0)</f>
        <v>1.2656278869249249E-2</v>
      </c>
      <c r="F16">
        <f>IFERROR(Calc_BankMonth!F16/Calc_BankMonth!E16-1,0)</f>
        <v>4.2116466474075853E-3</v>
      </c>
      <c r="G16">
        <f>IFERROR(Calc_BankMonth!G16/Calc_BankMonth!F16-1,0)</f>
        <v>6.7578138800148402E-3</v>
      </c>
      <c r="H16">
        <f>IFERROR(Calc_BankMonth!H16/Calc_BankMonth!G16-1,0)</f>
        <v>1.0432123521154857E-2</v>
      </c>
      <c r="I16">
        <f>IFERROR(Calc_BankMonth!I16/Calc_BankMonth!H16-1,0)</f>
        <v>9.9027093534960198E-3</v>
      </c>
      <c r="J16">
        <f>IFERROR(Calc_BankMonth!J16/Calc_BankMonth!I16-1,0)</f>
        <v>8.5676247930555061E-3</v>
      </c>
      <c r="K16">
        <f>IFERROR(Calc_BankMonth!K16/Calc_BankMonth!J16-1,0)</f>
        <v>5.3044067004055506E-3</v>
      </c>
      <c r="L16">
        <f>IFERROR(Calc_BankMonth!L16/Calc_BankMonth!K16-1,0)</f>
        <v>1.0015020107563499E-2</v>
      </c>
      <c r="M16">
        <f>IFERROR(Calc_BankMonth!M16/Calc_BankMonth!L16-1,0)</f>
        <v>6.0923835611181865E-3</v>
      </c>
      <c r="N16">
        <f>IFERROR(Calc_BankMonth!N16/Calc_BankMonth!M16-1,0)</f>
        <v>8.3251083551472149E-3</v>
      </c>
      <c r="O16">
        <f>IFERROR(Calc_BankMonth!O16/Calc_BankMonth!N16-1,0)</f>
        <v>5.3103705910448884E-3</v>
      </c>
      <c r="P16">
        <f>IFERROR(Calc_BankMonth!P16/Calc_BankMonth!O16-1,0)</f>
        <v>9.4780710831812165E-3</v>
      </c>
      <c r="Q16">
        <f>IFERROR(Calc_BankMonth!Q16/Calc_BankMonth!P16-1,0)</f>
        <v>3.3269496903700624E-3</v>
      </c>
      <c r="R16">
        <f>IFERROR(Calc_BankMonth!R16/Calc_BankMonth!Q16-1,0)</f>
        <v>4.0032508998026906E-3</v>
      </c>
      <c r="S16">
        <f>IFERROR(Calc_BankMonth!S16/Calc_BankMonth!R16-1,0)</f>
        <v>1.0467789460050669E-2</v>
      </c>
      <c r="T16">
        <f>IFERROR(Calc_BankMonth!T16/Calc_BankMonth!S16-1,0)</f>
        <v>7.7729457541775293E-3</v>
      </c>
      <c r="U16">
        <f>IFERROR(Calc_BankMonth!U16/Calc_BankMonth!T16-1,0)</f>
        <v>2.1667242037173295E-3</v>
      </c>
      <c r="V16">
        <f>IFERROR(Calc_BankMonth!V16/Calc_BankMonth!U16-1,0)</f>
        <v>1.0202832861189837E-2</v>
      </c>
      <c r="W16">
        <f>IFERROR(Calc_BankMonth!W16/Calc_BankMonth!V16-1,0)</f>
        <v>4.2489994436367695E-3</v>
      </c>
      <c r="X16">
        <f>IFERROR(Calc_BankMonth!X16/Calc_BankMonth!W16-1,0)</f>
        <v>1.3264945961764418E-2</v>
      </c>
      <c r="Y16">
        <f>IFERROR(Calc_BankMonth!Y16/Calc_BankMonth!X16-1,0)</f>
        <v>8.7745599492028425E-4</v>
      </c>
      <c r="Z16">
        <f>IFERROR(Calc_BankMonth!Z16/Calc_BankMonth!Y16-1,0)</f>
        <v>1.2885973452692046E-2</v>
      </c>
      <c r="AA16">
        <f>IFERROR(Calc_BankMonth!AA16/Calc_BankMonth!Z16-1,0)</f>
        <v>5.4715635275490726E-3</v>
      </c>
      <c r="AB16">
        <f>IFERROR(Calc_BankMonth!AB16/Calc_BankMonth!AA16-1,0)</f>
        <v>4.2695112772199728E-3</v>
      </c>
      <c r="AC16">
        <f>IFERROR(Calc_BankMonth!AC16/Calc_BankMonth!AB16-1,0)</f>
        <v>7.1717471926808773E-3</v>
      </c>
      <c r="AD16">
        <f>IFERROR(Calc_BankMonth!AD16/Calc_BankMonth!AC16-1,0)</f>
        <v>8.536262006791473E-3</v>
      </c>
      <c r="AE16">
        <f>IFERROR(Calc_BankMonth!AE16/Calc_BankMonth!AD16-1,0)</f>
        <v>3.6001730118477848E-3</v>
      </c>
      <c r="AF16">
        <f>IFERROR(Calc_BankMonth!AF16/Calc_BankMonth!AE16-1,0)</f>
        <v>6.3379121227358226E-3</v>
      </c>
      <c r="AG16">
        <f>IFERROR(Calc_BankMonth!AG16/Calc_BankMonth!AF16-1,0)</f>
        <v>8.5988638415257501E-3</v>
      </c>
      <c r="AH16">
        <f>IFERROR(Calc_BankMonth!AH16/Calc_BankMonth!AG16-1,0)</f>
        <v>4.1462165773731297E-3</v>
      </c>
      <c r="AI16">
        <f>IFERROR(Calc_BankMonth!AI16/Calc_BankMonth!AH16-1,0)</f>
        <v>8.5359534025661876E-3</v>
      </c>
      <c r="AJ16">
        <f>IFERROR(Calc_BankMonth!AJ16/Calc_BankMonth!AI16-1,0)</f>
        <v>1.5784670782741372E-3</v>
      </c>
      <c r="AK16">
        <f>IFERROR(Calc_BankMonth!AK16/Calc_BankMonth!AJ16-1,0)</f>
        <v>1.1984010375197807E-2</v>
      </c>
      <c r="AM16">
        <f t="shared" si="0"/>
        <v>7.0905171058561062E-3</v>
      </c>
      <c r="AN16">
        <f t="shared" si="1"/>
        <v>1.3264945961764418E-2</v>
      </c>
      <c r="AO16">
        <f t="shared" si="2"/>
        <v>5.4945901395231367E-4</v>
      </c>
      <c r="AP16">
        <f t="shared" si="3"/>
        <v>23</v>
      </c>
    </row>
    <row r="17" spans="1:42" x14ac:dyDescent="0.25">
      <c r="A17" t="s">
        <v>38</v>
      </c>
      <c r="C17">
        <f>IFERROR(Calc_BankMonth!C17/Calc_BankMonth!B17-1,0)</f>
        <v>5.8043281169930516E-3</v>
      </c>
      <c r="D17">
        <f>IFERROR(Calc_BankMonth!D17/Calc_BankMonth!C17-1,0)</f>
        <v>1.0223876941164889E-2</v>
      </c>
      <c r="E17">
        <f>IFERROR(Calc_BankMonth!E17/Calc_BankMonth!D17-1,0)</f>
        <v>1.8572668596674724E-3</v>
      </c>
      <c r="F17">
        <f>IFERROR(Calc_BankMonth!F17/Calc_BankMonth!E17-1,0)</f>
        <v>1.3272023233301011E-2</v>
      </c>
      <c r="G17">
        <f>IFERROR(Calc_BankMonth!G17/Calc_BankMonth!F17-1,0)</f>
        <v>1.0365812880358538E-2</v>
      </c>
      <c r="H17">
        <f>IFERROR(Calc_BankMonth!H17/Calc_BankMonth!G17-1,0)</f>
        <v>5.3803093914293054E-3</v>
      </c>
      <c r="I17">
        <f>IFERROR(Calc_BankMonth!I17/Calc_BankMonth!H17-1,0)</f>
        <v>7.0021161533033727E-3</v>
      </c>
      <c r="J17">
        <f>IFERROR(Calc_BankMonth!J17/Calc_BankMonth!I17-1,0)</f>
        <v>8.4291044601869647E-3</v>
      </c>
      <c r="K17">
        <f>IFERROR(Calc_BankMonth!K17/Calc_BankMonth!J17-1,0)</f>
        <v>1.022024228503704E-2</v>
      </c>
      <c r="L17">
        <f>IFERROR(Calc_BankMonth!L17/Calc_BankMonth!K17-1,0)</f>
        <v>3.6534327140373968E-3</v>
      </c>
      <c r="M17">
        <f>IFERROR(Calc_BankMonth!M17/Calc_BankMonth!L17-1,0)</f>
        <v>6.4672890366661573E-3</v>
      </c>
      <c r="N17">
        <f>IFERROR(Calc_BankMonth!N17/Calc_BankMonth!M17-1,0)</f>
        <v>5.5362944945636094E-3</v>
      </c>
      <c r="O17">
        <f>IFERROR(Calc_BankMonth!O17/Calc_BankMonth!N17-1,0)</f>
        <v>1.1769802873853763E-2</v>
      </c>
      <c r="P17">
        <f>IFERROR(Calc_BankMonth!P17/Calc_BankMonth!O17-1,0)</f>
        <v>7.1010562375106723E-3</v>
      </c>
      <c r="Q17">
        <f>IFERROR(Calc_BankMonth!Q17/Calc_BankMonth!P17-1,0)</f>
        <v>2.2676540410302426E-3</v>
      </c>
      <c r="R17">
        <f>IFERROR(Calc_BankMonth!R17/Calc_BankMonth!Q17-1,0)</f>
        <v>9.6422384841094999E-3</v>
      </c>
      <c r="S17">
        <f>IFERROR(Calc_BankMonth!S17/Calc_BankMonth!R17-1,0)</f>
        <v>4.4949623158465624E-3</v>
      </c>
      <c r="T17">
        <f>IFERROR(Calc_BankMonth!T17/Calc_BankMonth!S17-1,0)</f>
        <v>1.169909152306059E-2</v>
      </c>
      <c r="U17">
        <f>IFERROR(Calc_BankMonth!U17/Calc_BankMonth!T17-1,0)</f>
        <v>3.9622722770145113E-3</v>
      </c>
      <c r="V17">
        <f>IFERROR(Calc_BankMonth!V17/Calc_BankMonth!U17-1,0)</f>
        <v>1.0450002144910098E-2</v>
      </c>
      <c r="W17">
        <f>IFERROR(Calc_BankMonth!W17/Calc_BankMonth!V17-1,0)</f>
        <v>4.2454552401653967E-3</v>
      </c>
      <c r="X17">
        <f>IFERROR(Calc_BankMonth!X17/Calc_BankMonth!W17-1,0)</f>
        <v>6.0072882230095548E-3</v>
      </c>
      <c r="Y17">
        <f>IFERROR(Calc_BankMonth!Y17/Calc_BankMonth!X17-1,0)</f>
        <v>1.1484785705581091E-2</v>
      </c>
      <c r="Z17">
        <f>IFERROR(Calc_BankMonth!Z17/Calc_BankMonth!Y17-1,0)</f>
        <v>1.0386373078521416E-3</v>
      </c>
      <c r="AA17">
        <f>IFERROR(Calc_BankMonth!AA17/Calc_BankMonth!Z17-1,0)</f>
        <v>7.785847686241798E-3</v>
      </c>
      <c r="AB17">
        <f>IFERROR(Calc_BankMonth!AB17/Calc_BankMonth!AA17-1,0)</f>
        <v>6.4078805399749861E-3</v>
      </c>
      <c r="AC17">
        <f>IFERROR(Calc_BankMonth!AC17/Calc_BankMonth!AB17-1,0)</f>
        <v>5.5568740741955835E-3</v>
      </c>
      <c r="AD17">
        <f>IFERROR(Calc_BankMonth!AD17/Calc_BankMonth!AC17-1,0)</f>
        <v>8.6107267844059976E-3</v>
      </c>
      <c r="AE17">
        <f>IFERROR(Calc_BankMonth!AE17/Calc_BankMonth!AD17-1,0)</f>
        <v>5.0311471176811562E-3</v>
      </c>
      <c r="AF17">
        <f>IFERROR(Calc_BankMonth!AF17/Calc_BankMonth!AE17-1,0)</f>
        <v>8.1532538749031769E-3</v>
      </c>
      <c r="AG17">
        <f>IFERROR(Calc_BankMonth!AG17/Calc_BankMonth!AF17-1,0)</f>
        <v>5.4871104669220738E-3</v>
      </c>
      <c r="AH17">
        <f>IFERROR(Calc_BankMonth!AH17/Calc_BankMonth!AG17-1,0)</f>
        <v>7.7263654796602133E-3</v>
      </c>
      <c r="AI17">
        <f>IFERROR(Calc_BankMonth!AI17/Calc_BankMonth!AH17-1,0)</f>
        <v>5.9104860038592388E-3</v>
      </c>
      <c r="AJ17">
        <f>IFERROR(Calc_BankMonth!AJ17/Calc_BankMonth!AI17-1,0)</f>
        <v>5.8093426105709778E-3</v>
      </c>
      <c r="AK17">
        <f>IFERROR(Calc_BankMonth!AK17/Calc_BankMonth!AJ17-1,0)</f>
        <v>5.7019894816161543E-3</v>
      </c>
      <c r="AM17">
        <f t="shared" si="0"/>
        <v>6.9873247731624078E-3</v>
      </c>
      <c r="AN17">
        <f t="shared" si="1"/>
        <v>1.3272023233301011E-2</v>
      </c>
      <c r="AO17">
        <f t="shared" si="2"/>
        <v>1.0386373078521416E-3</v>
      </c>
      <c r="AP17">
        <f t="shared" si="3"/>
        <v>5</v>
      </c>
    </row>
    <row r="18" spans="1:42" x14ac:dyDescent="0.25">
      <c r="A18" t="s">
        <v>39</v>
      </c>
      <c r="C18">
        <f>IFERROR(Calc_BankMonth!C18/Calc_BankMonth!B18-1,0)</f>
        <v>8.2248501265180796E-3</v>
      </c>
      <c r="D18">
        <f>IFERROR(Calc_BankMonth!D18/Calc_BankMonth!C18-1,0)</f>
        <v>6.3883779945521635E-3</v>
      </c>
      <c r="E18">
        <f>IFERROR(Calc_BankMonth!E18/Calc_BankMonth!D18-1,0)</f>
        <v>7.3240583518785485E-3</v>
      </c>
      <c r="F18">
        <f>IFERROR(Calc_BankMonth!F18/Calc_BankMonth!E18-1,0)</f>
        <v>1.2612529854859389E-2</v>
      </c>
      <c r="G18">
        <f>IFERROR(Calc_BankMonth!G18/Calc_BankMonth!F18-1,0)</f>
        <v>9.6885687589014502E-3</v>
      </c>
      <c r="H18">
        <f>IFERROR(Calc_BankMonth!H18/Calc_BankMonth!G18-1,0)</f>
        <v>5.4671566293207352E-3</v>
      </c>
      <c r="I18">
        <f>IFERROR(Calc_BankMonth!I18/Calc_BankMonth!H18-1,0)</f>
        <v>5.3882824961239972E-3</v>
      </c>
      <c r="J18">
        <f>IFERROR(Calc_BankMonth!J18/Calc_BankMonth!I18-1,0)</f>
        <v>6.8303521830910263E-3</v>
      </c>
      <c r="K18">
        <f>IFERROR(Calc_BankMonth!K18/Calc_BankMonth!J18-1,0)</f>
        <v>8.024293570854546E-3</v>
      </c>
      <c r="L18">
        <f>IFERROR(Calc_BankMonth!L18/Calc_BankMonth!K18-1,0)</f>
        <v>4.5757071547420924E-3</v>
      </c>
      <c r="M18">
        <f>IFERROR(Calc_BankMonth!M18/Calc_BankMonth!L18-1,0)</f>
        <v>8.2336275471288634E-3</v>
      </c>
      <c r="N18">
        <f>IFERROR(Calc_BankMonth!N18/Calc_BankMonth!M18-1,0)</f>
        <v>1.144764259837272E-2</v>
      </c>
      <c r="O18">
        <f>IFERROR(Calc_BankMonth!O18/Calc_BankMonth!N18-1,0)</f>
        <v>7.3003308229542263E-3</v>
      </c>
      <c r="P18">
        <f>IFERROR(Calc_BankMonth!P18/Calc_BankMonth!O18-1,0)</f>
        <v>6.6703441252600193E-3</v>
      </c>
      <c r="Q18">
        <f>IFERROR(Calc_BankMonth!Q18/Calc_BankMonth!P18-1,0)</f>
        <v>3.7219379367903205E-3</v>
      </c>
      <c r="R18">
        <f>IFERROR(Calc_BankMonth!R18/Calc_BankMonth!Q18-1,0)</f>
        <v>7.1517060367454199E-3</v>
      </c>
      <c r="S18">
        <f>IFERROR(Calc_BankMonth!S18/Calc_BankMonth!R18-1,0)</f>
        <v>9.4984739062995427E-3</v>
      </c>
      <c r="T18">
        <f>IFERROR(Calc_BankMonth!T18/Calc_BankMonth!S18-1,0)</f>
        <v>1.9123854840443766E-3</v>
      </c>
      <c r="U18">
        <f>IFERROR(Calc_BankMonth!U18/Calc_BankMonth!T18-1,0)</f>
        <v>1.2330512142936678E-2</v>
      </c>
      <c r="V18">
        <f>IFERROR(Calc_BankMonth!V18/Calc_BankMonth!U18-1,0)</f>
        <v>5.0537546831730396E-3</v>
      </c>
      <c r="W18">
        <f>IFERROR(Calc_BankMonth!W18/Calc_BankMonth!V18-1,0)</f>
        <v>7.9456728295266288E-3</v>
      </c>
      <c r="X18">
        <f>IFERROR(Calc_BankMonth!X18/Calc_BankMonth!W18-1,0)</f>
        <v>4.4098375153762692E-3</v>
      </c>
      <c r="Y18">
        <f>IFERROR(Calc_BankMonth!Y18/Calc_BankMonth!X18-1,0)</f>
        <v>8.8449885735555345E-3</v>
      </c>
      <c r="Z18">
        <f>IFERROR(Calc_BankMonth!Z18/Calc_BankMonth!Y18-1,0)</f>
        <v>2.6897397141258939E-3</v>
      </c>
      <c r="AA18">
        <f>IFERROR(Calc_BankMonth!AA18/Calc_BankMonth!Z18-1,0)</f>
        <v>1.3317665491578534E-2</v>
      </c>
      <c r="AB18">
        <f>IFERROR(Calc_BankMonth!AB18/Calc_BankMonth!AA18-1,0)</f>
        <v>2.3114796984144981E-3</v>
      </c>
      <c r="AC18">
        <f>IFERROR(Calc_BankMonth!AC18/Calc_BankMonth!AB18-1,0)</f>
        <v>8.6480590561150983E-3</v>
      </c>
      <c r="AD18">
        <f>IFERROR(Calc_BankMonth!AD18/Calc_BankMonth!AC18-1,0)</f>
        <v>5.6348363425702264E-3</v>
      </c>
      <c r="AE18">
        <f>IFERROR(Calc_BankMonth!AE18/Calc_BankMonth!AD18-1,0)</f>
        <v>2.5923251812707271E-3</v>
      </c>
      <c r="AF18">
        <f>IFERROR(Calc_BankMonth!AF18/Calc_BankMonth!AE18-1,0)</f>
        <v>1.1732979901095009E-2</v>
      </c>
      <c r="AG18">
        <f>IFERROR(Calc_BankMonth!AG18/Calc_BankMonth!AF18-1,0)</f>
        <v>5.0961298187961468E-3</v>
      </c>
      <c r="AH18">
        <f>IFERROR(Calc_BankMonth!AH18/Calc_BankMonth!AG18-1,0)</f>
        <v>7.0441635149998127E-3</v>
      </c>
      <c r="AI18">
        <f>IFERROR(Calc_BankMonth!AI18/Calc_BankMonth!AH18-1,0)</f>
        <v>6.3290665748976238E-3</v>
      </c>
      <c r="AJ18">
        <f>IFERROR(Calc_BankMonth!AJ18/Calc_BankMonth!AI18-1,0)</f>
        <v>8.4340036427164033E-3</v>
      </c>
      <c r="AK18">
        <f>IFERROR(Calc_BankMonth!AK18/Calc_BankMonth!AJ18-1,0)</f>
        <v>4.5153133627471309E-3</v>
      </c>
      <c r="AM18">
        <f t="shared" si="0"/>
        <v>7.0683186749237936E-3</v>
      </c>
      <c r="AN18">
        <f t="shared" si="1"/>
        <v>1.3317665491578534E-2</v>
      </c>
      <c r="AO18">
        <f t="shared" si="2"/>
        <v>1.9123854840443766E-3</v>
      </c>
      <c r="AP18">
        <f t="shared" si="3"/>
        <v>26</v>
      </c>
    </row>
    <row r="19" spans="1:42" x14ac:dyDescent="0.25">
      <c r="A19" t="s">
        <v>40</v>
      </c>
      <c r="C19">
        <f>IFERROR(Calc_BankMonth!C19/Calc_BankMonth!B19-1,0)</f>
        <v>7.8470320860399845E-3</v>
      </c>
      <c r="D19">
        <f>IFERROR(Calc_BankMonth!D19/Calc_BankMonth!C19-1,0)</f>
        <v>3.4091211747262484E-3</v>
      </c>
      <c r="E19">
        <f>IFERROR(Calc_BankMonth!E19/Calc_BankMonth!D19-1,0)</f>
        <v>1.2577086079824662E-2</v>
      </c>
      <c r="F19">
        <f>IFERROR(Calc_BankMonth!F19/Calc_BankMonth!E19-1,0)</f>
        <v>7.1999965048559211E-3</v>
      </c>
      <c r="G19">
        <f>IFERROR(Calc_BankMonth!G19/Calc_BankMonth!F19-1,0)</f>
        <v>5.9122830608537846E-3</v>
      </c>
      <c r="H19">
        <f>IFERROR(Calc_BankMonth!H19/Calc_BankMonth!G19-1,0)</f>
        <v>5.3859422164725945E-3</v>
      </c>
      <c r="I19">
        <f>IFERROR(Calc_BankMonth!I19/Calc_BankMonth!H19-1,0)</f>
        <v>9.5046515318528701E-3</v>
      </c>
      <c r="J19">
        <f>IFERROR(Calc_BankMonth!J19/Calc_BankMonth!I19-1,0)</f>
        <v>8.5654196673250471E-3</v>
      </c>
      <c r="K19">
        <f>IFERROR(Calc_BankMonth!K19/Calc_BankMonth!J19-1,0)</f>
        <v>1.0801201444092134E-2</v>
      </c>
      <c r="L19">
        <f>IFERROR(Calc_BankMonth!L19/Calc_BankMonth!K19-1,0)</f>
        <v>2.3880472608306391E-3</v>
      </c>
      <c r="M19">
        <f>IFERROR(Calc_BankMonth!M19/Calc_BankMonth!L19-1,0)</f>
        <v>5.446577802908692E-3</v>
      </c>
      <c r="N19">
        <f>IFERROR(Calc_BankMonth!N19/Calc_BankMonth!M19-1,0)</f>
        <v>1.3852821013282002E-2</v>
      </c>
      <c r="O19">
        <f>IFERROR(Calc_BankMonth!O19/Calc_BankMonth!N19-1,0)</f>
        <v>2.1535374299488375E-3</v>
      </c>
      <c r="P19">
        <f>IFERROR(Calc_BankMonth!P19/Calc_BankMonth!O19-1,0)</f>
        <v>7.9159646081088386E-3</v>
      </c>
      <c r="Q19">
        <f>IFERROR(Calc_BankMonth!Q19/Calc_BankMonth!P19-1,0)</f>
        <v>1.0147344448437678E-2</v>
      </c>
      <c r="R19">
        <f>IFERROR(Calc_BankMonth!R19/Calc_BankMonth!Q19-1,0)</f>
        <v>6.0800115124477472E-3</v>
      </c>
      <c r="S19">
        <f>IFERROR(Calc_BankMonth!S19/Calc_BankMonth!R19-1,0)</f>
        <v>7.2749667242784088E-3</v>
      </c>
      <c r="T19">
        <f>IFERROR(Calc_BankMonth!T19/Calc_BankMonth!S19-1,0)</f>
        <v>4.0707489862572555E-3</v>
      </c>
      <c r="U19">
        <f>IFERROR(Calc_BankMonth!U19/Calc_BankMonth!T19-1,0)</f>
        <v>5.1463771076576403E-3</v>
      </c>
      <c r="V19">
        <f>IFERROR(Calc_BankMonth!V19/Calc_BankMonth!U19-1,0)</f>
        <v>9.8335795636641521E-3</v>
      </c>
      <c r="W19">
        <f>IFERROR(Calc_BankMonth!W19/Calc_BankMonth!V19-1,0)</f>
        <v>7.0130895523541348E-3</v>
      </c>
      <c r="X19">
        <f>IFERROR(Calc_BankMonth!X19/Calc_BankMonth!W19-1,0)</f>
        <v>8.9628189064747676E-3</v>
      </c>
      <c r="Y19">
        <f>IFERROR(Calc_BankMonth!Y19/Calc_BankMonth!X19-1,0)</f>
        <v>2.2360371479288599E-3</v>
      </c>
      <c r="Z19">
        <f>IFERROR(Calc_BankMonth!Z19/Calc_BankMonth!Y19-1,0)</f>
        <v>9.4334961327227074E-3</v>
      </c>
      <c r="AA19">
        <f>IFERROR(Calc_BankMonth!AA19/Calc_BankMonth!Z19-1,0)</f>
        <v>6.2465406815845892E-3</v>
      </c>
      <c r="AB19">
        <f>IFERROR(Calc_BankMonth!AB19/Calc_BankMonth!AA19-1,0)</f>
        <v>4.6062429372188962E-3</v>
      </c>
      <c r="AC19">
        <f>IFERROR(Calc_BankMonth!AC19/Calc_BankMonth!AB19-1,0)</f>
        <v>8.2986624552567889E-3</v>
      </c>
      <c r="AD19">
        <f>IFERROR(Calc_BankMonth!AD19/Calc_BankMonth!AC19-1,0)</f>
        <v>5.1790694667626092E-3</v>
      </c>
      <c r="AE19">
        <f>IFERROR(Calc_BankMonth!AE19/Calc_BankMonth!AD19-1,0)</f>
        <v>1.3380765654687599E-2</v>
      </c>
      <c r="AF19">
        <f>IFERROR(Calc_BankMonth!AF19/Calc_BankMonth!AE19-1,0)</f>
        <v>3.0934041226045039E-3</v>
      </c>
      <c r="AG19">
        <f>IFERROR(Calc_BankMonth!AG19/Calc_BankMonth!AF19-1,0)</f>
        <v>6.2472659173322675E-3</v>
      </c>
      <c r="AH19">
        <f>IFERROR(Calc_BankMonth!AH19/Calc_BankMonth!AG19-1,0)</f>
        <v>7.2396336709434905E-3</v>
      </c>
      <c r="AI19">
        <f>IFERROR(Calc_BankMonth!AI19/Calc_BankMonth!AH19-1,0)</f>
        <v>5.4254772707815757E-3</v>
      </c>
      <c r="AJ19">
        <f>IFERROR(Calc_BankMonth!AJ19/Calc_BankMonth!AI19-1,0)</f>
        <v>5.8645096056622048E-3</v>
      </c>
      <c r="AK19">
        <f>IFERROR(Calc_BankMonth!AK19/Calc_BankMonth!AJ19-1,0)</f>
        <v>6.1301222497338603E-3</v>
      </c>
      <c r="AM19">
        <f t="shared" si="0"/>
        <v>6.9962813141689712E-3</v>
      </c>
      <c r="AN19">
        <f t="shared" si="1"/>
        <v>1.3852821013282002E-2</v>
      </c>
      <c r="AO19">
        <f t="shared" si="2"/>
        <v>2.1535374299488375E-3</v>
      </c>
      <c r="AP19">
        <f t="shared" si="3"/>
        <v>13</v>
      </c>
    </row>
    <row r="20" spans="1:42" x14ac:dyDescent="0.25">
      <c r="A20" t="s">
        <v>42</v>
      </c>
      <c r="C20">
        <f>IFERROR(Calc_BankMonth!C20/Calc_BankMonth!B20-1,0)</f>
        <v>1.919517085412048E-3</v>
      </c>
      <c r="D20">
        <f>IFERROR(Calc_BankMonth!D20/Calc_BankMonth!C20-1,0)</f>
        <v>9.1183724323908866E-3</v>
      </c>
      <c r="E20">
        <f>IFERROR(Calc_BankMonth!E20/Calc_BankMonth!D20-1,0)</f>
        <v>8.6554277185104667E-3</v>
      </c>
      <c r="F20">
        <f>IFERROR(Calc_BankMonth!F20/Calc_BankMonth!E20-1,0)</f>
        <v>1.1679089148424193E-2</v>
      </c>
      <c r="G20">
        <f>IFERROR(Calc_BankMonth!G20/Calc_BankMonth!F20-1,0)</f>
        <v>3.0538842756038242E-3</v>
      </c>
      <c r="H20">
        <f>IFERROR(Calc_BankMonth!H20/Calc_BankMonth!G20-1,0)</f>
        <v>1.2137035308114497E-2</v>
      </c>
      <c r="I20">
        <f>IFERROR(Calc_BankMonth!I20/Calc_BankMonth!H20-1,0)</f>
        <v>8.1956842049411005E-3</v>
      </c>
      <c r="J20">
        <f>IFERROR(Calc_BankMonth!J20/Calc_BankMonth!I20-1,0)</f>
        <v>2.198247070015924E-3</v>
      </c>
      <c r="K20">
        <f>IFERROR(Calc_BankMonth!K20/Calc_BankMonth!J20-1,0)</f>
        <v>1.0316774250882288E-2</v>
      </c>
      <c r="L20">
        <f>IFERROR(Calc_BankMonth!L20/Calc_BankMonth!K20-1,0)</f>
        <v>8.5201829580350275E-3</v>
      </c>
      <c r="M20">
        <f>IFERROR(Calc_BankMonth!M20/Calc_BankMonth!L20-1,0)</f>
        <v>7.1637270409881104E-3</v>
      </c>
      <c r="N20">
        <f>IFERROR(Calc_BankMonth!N20/Calc_BankMonth!M20-1,0)</f>
        <v>8.7384373154888451E-3</v>
      </c>
      <c r="O20">
        <f>IFERROR(Calc_BankMonth!O20/Calc_BankMonth!N20-1,0)</f>
        <v>9.2870800327782277E-4</v>
      </c>
      <c r="P20">
        <f>IFERROR(Calc_BankMonth!P20/Calc_BankMonth!O20-1,0)</f>
        <v>7.504639231525001E-3</v>
      </c>
      <c r="Q20">
        <f>IFERROR(Calc_BankMonth!Q20/Calc_BankMonth!P20-1,0)</f>
        <v>1.1596816196074E-2</v>
      </c>
      <c r="R20">
        <f>IFERROR(Calc_BankMonth!R20/Calc_BankMonth!Q20-1,0)</f>
        <v>6.2808399954099592E-3</v>
      </c>
      <c r="S20">
        <f>IFERROR(Calc_BankMonth!S20/Calc_BankMonth!R20-1,0)</f>
        <v>7.0398978226493547E-3</v>
      </c>
      <c r="T20">
        <f>IFERROR(Calc_BankMonth!T20/Calc_BankMonth!S20-1,0)</f>
        <v>4.7334329845540868E-3</v>
      </c>
      <c r="U20">
        <f>IFERROR(Calc_BankMonth!U20/Calc_BankMonth!T20-1,0)</f>
        <v>8.3553111076044573E-3</v>
      </c>
      <c r="V20">
        <f>IFERROR(Calc_BankMonth!V20/Calc_BankMonth!U20-1,0)</f>
        <v>1.6207032734483207E-3</v>
      </c>
      <c r="W20">
        <f>IFERROR(Calc_BankMonth!W20/Calc_BankMonth!V20-1,0)</f>
        <v>1.4179595814564072E-2</v>
      </c>
      <c r="X20">
        <f>IFERROR(Calc_BankMonth!X20/Calc_BankMonth!W20-1,0)</f>
        <v>4.375589127412649E-3</v>
      </c>
      <c r="Y20">
        <f>IFERROR(Calc_BankMonth!Y20/Calc_BankMonth!X20-1,0)</f>
        <v>8.4793421023801052E-3</v>
      </c>
      <c r="Z20">
        <f>IFERROR(Calc_BankMonth!Z20/Calc_BankMonth!Y20-1,0)</f>
        <v>6.9342854246030594E-3</v>
      </c>
      <c r="AA20">
        <f>IFERROR(Calc_BankMonth!AA20/Calc_BankMonth!Z20-1,0)</f>
        <v>3.5313705817410224E-3</v>
      </c>
      <c r="AB20">
        <f>IFERROR(Calc_BankMonth!AB20/Calc_BankMonth!AA20-1,0)</f>
        <v>9.5462999129223292E-3</v>
      </c>
      <c r="AC20">
        <f>IFERROR(Calc_BankMonth!AC20/Calc_BankMonth!AB20-1,0)</f>
        <v>2.8254503505191764E-3</v>
      </c>
      <c r="AD20">
        <f>IFERROR(Calc_BankMonth!AD20/Calc_BankMonth!AC20-1,0)</f>
        <v>1.0123141288612247E-2</v>
      </c>
      <c r="AE20">
        <f>IFERROR(Calc_BankMonth!AE20/Calc_BankMonth!AD20-1,0)</f>
        <v>6.4054719830684004E-3</v>
      </c>
      <c r="AF20">
        <f>IFERROR(Calc_BankMonth!AF20/Calc_BankMonth!AE20-1,0)</f>
        <v>8.5477822770176903E-3</v>
      </c>
      <c r="AG20">
        <f>IFERROR(Calc_BankMonth!AG20/Calc_BankMonth!AF20-1,0)</f>
        <v>2.810152452496828E-3</v>
      </c>
      <c r="AH20">
        <f>IFERROR(Calc_BankMonth!AH20/Calc_BankMonth!AG20-1,0)</f>
        <v>8.2209323941915269E-3</v>
      </c>
      <c r="AI20">
        <f>IFERROR(Calc_BankMonth!AI20/Calc_BankMonth!AH20-1,0)</f>
        <v>5.8115315536799717E-3</v>
      </c>
      <c r="AJ20">
        <f>IFERROR(Calc_BankMonth!AJ20/Calc_BankMonth!AI20-1,0)</f>
        <v>8.2222101518154567E-3</v>
      </c>
      <c r="AK20">
        <f>IFERROR(Calc_BankMonth!AK20/Calc_BankMonth!AJ20-1,0)</f>
        <v>2.683592040136018E-3</v>
      </c>
      <c r="AM20">
        <f t="shared" si="0"/>
        <v>6.9272421393860219E-3</v>
      </c>
      <c r="AN20">
        <f t="shared" si="1"/>
        <v>1.4179595814564072E-2</v>
      </c>
      <c r="AO20">
        <f t="shared" si="2"/>
        <v>9.2870800327782277E-4</v>
      </c>
      <c r="AP20">
        <f t="shared" si="3"/>
        <v>22</v>
      </c>
    </row>
    <row r="21" spans="1:42" x14ac:dyDescent="0.25">
      <c r="A21" t="s">
        <v>43</v>
      </c>
      <c r="C21">
        <f>IFERROR(Calc_BankMonth!C21/Calc_BankMonth!B21-1,0)</f>
        <v>1.1067636010549275E-2</v>
      </c>
      <c r="D21">
        <f>IFERROR(Calc_BankMonth!D21/Calc_BankMonth!C21-1,0)</f>
        <v>2.6857545138987415E-3</v>
      </c>
      <c r="E21">
        <f>IFERROR(Calc_BankMonth!E21/Calc_BankMonth!D21-1,0)</f>
        <v>1.4886303221172126E-2</v>
      </c>
      <c r="F21">
        <f>IFERROR(Calc_BankMonth!F21/Calc_BankMonth!E21-1,0)</f>
        <v>4.5267506168296112E-3</v>
      </c>
      <c r="G21">
        <f>IFERROR(Calc_BankMonth!G21/Calc_BankMonth!F21-1,0)</f>
        <v>1.0991198283446302E-2</v>
      </c>
      <c r="H21">
        <f>IFERROR(Calc_BankMonth!H21/Calc_BankMonth!G21-1,0)</f>
        <v>5.0243737252031462E-3</v>
      </c>
      <c r="I21">
        <f>IFERROR(Calc_BankMonth!I21/Calc_BankMonth!H21-1,0)</f>
        <v>8.7565331181094219E-3</v>
      </c>
      <c r="J21">
        <f>IFERROR(Calc_BankMonth!J21/Calc_BankMonth!I21-1,0)</f>
        <v>1.0490420354755781E-2</v>
      </c>
      <c r="K21">
        <f>IFERROR(Calc_BankMonth!K21/Calc_BankMonth!J21-1,0)</f>
        <v>1.8449191694780431E-4</v>
      </c>
      <c r="L21">
        <f>IFERROR(Calc_BankMonth!L21/Calc_BankMonth!K21-1,0)</f>
        <v>1.4991046106785921E-2</v>
      </c>
      <c r="M21">
        <f>IFERROR(Calc_BankMonth!M21/Calc_BankMonth!L21-1,0)</f>
        <v>4.248020808486741E-3</v>
      </c>
      <c r="N21">
        <f>IFERROR(Calc_BankMonth!N21/Calc_BankMonth!M21-1,0)</f>
        <v>8.1660351750270088E-3</v>
      </c>
      <c r="O21">
        <f>IFERROR(Calc_BankMonth!O21/Calc_BankMonth!N21-1,0)</f>
        <v>5.9720804304983499E-3</v>
      </c>
      <c r="P21">
        <f>IFERROR(Calc_BankMonth!P21/Calc_BankMonth!O21-1,0)</f>
        <v>5.1076547909356673E-3</v>
      </c>
      <c r="Q21">
        <f>IFERROR(Calc_BankMonth!Q21/Calc_BankMonth!P21-1,0)</f>
        <v>7.4006405751860793E-3</v>
      </c>
      <c r="R21">
        <f>IFERROR(Calc_BankMonth!R21/Calc_BankMonth!Q21-1,0)</f>
        <v>1.0074050142629964E-2</v>
      </c>
      <c r="S21">
        <f>IFERROR(Calc_BankMonth!S21/Calc_BankMonth!R21-1,0)</f>
        <v>3.6201463324210259E-3</v>
      </c>
      <c r="T21">
        <f>IFERROR(Calc_BankMonth!T21/Calc_BankMonth!S21-1,0)</f>
        <v>1.0708995628759599E-2</v>
      </c>
      <c r="U21">
        <f>IFERROR(Calc_BankMonth!U21/Calc_BankMonth!T21-1,0)</f>
        <v>4.4180880034399017E-3</v>
      </c>
      <c r="V21">
        <f>IFERROR(Calc_BankMonth!V21/Calc_BankMonth!U21-1,0)</f>
        <v>1.5589715782000635E-3</v>
      </c>
      <c r="W21">
        <f>IFERROR(Calc_BankMonth!W21/Calc_BankMonth!V21-1,0)</f>
        <v>1.2666073018700041E-2</v>
      </c>
      <c r="X21">
        <f>IFERROR(Calc_BankMonth!X21/Calc_BankMonth!W21-1,0)</f>
        <v>6.6829402123063097E-3</v>
      </c>
      <c r="Y21">
        <f>IFERROR(Calc_BankMonth!Y21/Calc_BankMonth!X21-1,0)</f>
        <v>8.5567737923033516E-3</v>
      </c>
      <c r="Z21">
        <f>IFERROR(Calc_BankMonth!Z21/Calc_BankMonth!Y21-1,0)</f>
        <v>4.2022483587675907E-3</v>
      </c>
      <c r="AA21">
        <f>IFERROR(Calc_BankMonth!AA21/Calc_BankMonth!Z21-1,0)</f>
        <v>4.8539335145649787E-3</v>
      </c>
      <c r="AB21">
        <f>IFERROR(Calc_BankMonth!AB21/Calc_BankMonth!AA21-1,0)</f>
        <v>7.3538752038451172E-3</v>
      </c>
      <c r="AC21">
        <f>IFERROR(Calc_BankMonth!AC21/Calc_BankMonth!AB21-1,0)</f>
        <v>5.5041118953571555E-3</v>
      </c>
      <c r="AD21">
        <f>IFERROR(Calc_BankMonth!AD21/Calc_BankMonth!AC21-1,0)</f>
        <v>1.2598633368583911E-2</v>
      </c>
      <c r="AE21">
        <f>IFERROR(Calc_BankMonth!AE21/Calc_BankMonth!AD21-1,0)</f>
        <v>3.5012669498475368E-3</v>
      </c>
      <c r="AF21">
        <f>IFERROR(Calc_BankMonth!AF21/Calc_BankMonth!AE21-1,0)</f>
        <v>5.1235010590571228E-3</v>
      </c>
      <c r="AG21">
        <f>IFERROR(Calc_BankMonth!AG21/Calc_BankMonth!AF21-1,0)</f>
        <v>9.3717539848205966E-3</v>
      </c>
      <c r="AH21">
        <f>IFERROR(Calc_BankMonth!AH21/Calc_BankMonth!AG21-1,0)</f>
        <v>3.7875425358782078E-3</v>
      </c>
      <c r="AI21">
        <f>IFERROR(Calc_BankMonth!AI21/Calc_BankMonth!AH21-1,0)</f>
        <v>9.321764650007891E-3</v>
      </c>
      <c r="AJ21">
        <f>IFERROR(Calc_BankMonth!AJ21/Calc_BankMonth!AI21-1,0)</f>
        <v>6.302064234325222E-3</v>
      </c>
      <c r="AK21">
        <f>IFERROR(Calc_BankMonth!AK21/Calc_BankMonth!AJ21-1,0)</f>
        <v>2.7926925619567999E-3</v>
      </c>
      <c r="AM21">
        <f t="shared" si="0"/>
        <v>7.0713819049601249E-3</v>
      </c>
      <c r="AN21">
        <f t="shared" si="1"/>
        <v>1.4991046106785921E-2</v>
      </c>
      <c r="AO21">
        <f t="shared" si="2"/>
        <v>1.8449191694780431E-4</v>
      </c>
      <c r="AP21">
        <f t="shared" si="3"/>
        <v>11</v>
      </c>
    </row>
    <row r="22" spans="1:42" x14ac:dyDescent="0.25">
      <c r="A22" t="s">
        <v>44</v>
      </c>
      <c r="C22">
        <f>IFERROR(Calc_BankMonth!C22/Calc_BankMonth!B22-1,0)</f>
        <v>6.3304063712477099E-3</v>
      </c>
      <c r="D22">
        <f>IFERROR(Calc_BankMonth!D22/Calc_BankMonth!C22-1,0)</f>
        <v>4.7257430069929107E-3</v>
      </c>
      <c r="E22">
        <f>IFERROR(Calc_BankMonth!E22/Calc_BankMonth!D22-1,0)</f>
        <v>1.0040121646657685E-2</v>
      </c>
      <c r="F22">
        <f>IFERROR(Calc_BankMonth!F22/Calc_BankMonth!E22-1,0)</f>
        <v>6.9178471997908275E-3</v>
      </c>
      <c r="G22">
        <f>IFERROR(Calc_BankMonth!G22/Calc_BankMonth!F22-1,0)</f>
        <v>9.8261988688224111E-3</v>
      </c>
      <c r="H22">
        <f>IFERROR(Calc_BankMonth!H22/Calc_BankMonth!G22-1,0)</f>
        <v>7.2383747314916924E-3</v>
      </c>
      <c r="I22">
        <f>IFERROR(Calc_BankMonth!I22/Calc_BankMonth!H22-1,0)</f>
        <v>6.5781075175153081E-3</v>
      </c>
      <c r="J22">
        <f>IFERROR(Calc_BankMonth!J22/Calc_BankMonth!I22-1,0)</f>
        <v>6.5537692565929007E-3</v>
      </c>
      <c r="K22">
        <f>IFERROR(Calc_BankMonth!K22/Calc_BankMonth!J22-1,0)</f>
        <v>5.2918876252099345E-3</v>
      </c>
      <c r="L22">
        <f>IFERROR(Calc_BankMonth!L22/Calc_BankMonth!K22-1,0)</f>
        <v>9.9271956501705283E-3</v>
      </c>
      <c r="M22">
        <f>IFERROR(Calc_BankMonth!M22/Calc_BankMonth!L22-1,0)</f>
        <v>6.1394031419725881E-3</v>
      </c>
      <c r="N22">
        <f>IFERROR(Calc_BankMonth!N22/Calc_BankMonth!M22-1,0)</f>
        <v>4.6218030110649622E-3</v>
      </c>
      <c r="O22">
        <f>IFERROR(Calc_BankMonth!O22/Calc_BankMonth!N22-1,0)</f>
        <v>1.4531062674235651E-2</v>
      </c>
      <c r="P22">
        <f>IFERROR(Calc_BankMonth!P22/Calc_BankMonth!O22-1,0)</f>
        <v>3.2959835983881192E-3</v>
      </c>
      <c r="Q22">
        <f>IFERROR(Calc_BankMonth!Q22/Calc_BankMonth!P22-1,0)</f>
        <v>4.9277336682349571E-3</v>
      </c>
      <c r="R22">
        <f>IFERROR(Calc_BankMonth!R22/Calc_BankMonth!Q22-1,0)</f>
        <v>9.8247918012588364E-3</v>
      </c>
      <c r="S22">
        <f>IFERROR(Calc_BankMonth!S22/Calc_BankMonth!R22-1,0)</f>
        <v>5.8661893541598342E-3</v>
      </c>
      <c r="T22">
        <f>IFERROR(Calc_BankMonth!T22/Calc_BankMonth!S22-1,0)</f>
        <v>9.0955220975657003E-3</v>
      </c>
      <c r="U22">
        <f>IFERROR(Calc_BankMonth!U22/Calc_BankMonth!T22-1,0)</f>
        <v>5.8310744951626248E-3</v>
      </c>
      <c r="V22">
        <f>IFERROR(Calc_BankMonth!V22/Calc_BankMonth!U22-1,0)</f>
        <v>4.496051829581571E-3</v>
      </c>
      <c r="W22">
        <f>IFERROR(Calc_BankMonth!W22/Calc_BankMonth!V22-1,0)</f>
        <v>1.1068802476248196E-2</v>
      </c>
      <c r="X22">
        <f>IFERROR(Calc_BankMonth!X22/Calc_BankMonth!W22-1,0)</f>
        <v>4.1909141789786553E-3</v>
      </c>
      <c r="Y22">
        <f>IFERROR(Calc_BankMonth!Y22/Calc_BankMonth!X22-1,0)</f>
        <v>8.645668603967982E-3</v>
      </c>
      <c r="Z22">
        <f>IFERROR(Calc_BankMonth!Z22/Calc_BankMonth!Y22-1,0)</f>
        <v>5.0730330346324681E-3</v>
      </c>
      <c r="AA22">
        <f>IFERROR(Calc_BankMonth!AA22/Calc_BankMonth!Z22-1,0)</f>
        <v>8.8926130040802853E-3</v>
      </c>
      <c r="AB22">
        <f>IFERROR(Calc_BankMonth!AB22/Calc_BankMonth!AA22-1,0)</f>
        <v>5.1079866457008904E-3</v>
      </c>
      <c r="AC22">
        <f>IFERROR(Calc_BankMonth!AC22/Calc_BankMonth!AB22-1,0)</f>
        <v>9.3671307772955625E-3</v>
      </c>
      <c r="AD22">
        <f>IFERROR(Calc_BankMonth!AD22/Calc_BankMonth!AC22-1,0)</f>
        <v>2.4268310440227481E-3</v>
      </c>
      <c r="AE22">
        <f>IFERROR(Calc_BankMonth!AE22/Calc_BankMonth!AD22-1,0)</f>
        <v>1.0813602543617629E-2</v>
      </c>
      <c r="AF22">
        <f>IFERROR(Calc_BankMonth!AF22/Calc_BankMonth!AE22-1,0)</f>
        <v>6.8754091555029984E-3</v>
      </c>
      <c r="AG22">
        <f>IFERROR(Calc_BankMonth!AG22/Calc_BankMonth!AF22-1,0)</f>
        <v>2.9083597104961889E-3</v>
      </c>
      <c r="AH22">
        <f>IFERROR(Calc_BankMonth!AH22/Calc_BankMonth!AG22-1,0)</f>
        <v>3.001122653890631E-3</v>
      </c>
      <c r="AI22">
        <f>IFERROR(Calc_BankMonth!AI22/Calc_BankMonth!AH22-1,0)</f>
        <v>9.8024996531762554E-3</v>
      </c>
      <c r="AJ22">
        <f>IFERROR(Calc_BankMonth!AJ22/Calc_BankMonth!AI22-1,0)</f>
        <v>6.3320979289542834E-3</v>
      </c>
      <c r="AK22">
        <f>IFERROR(Calc_BankMonth!AK22/Calc_BankMonth!AJ22-1,0)</f>
        <v>6.3263843425866995E-3</v>
      </c>
      <c r="AM22">
        <f t="shared" si="0"/>
        <v>6.9397635228362351E-3</v>
      </c>
      <c r="AN22">
        <f t="shared" si="1"/>
        <v>1.4531062674235651E-2</v>
      </c>
      <c r="AO22">
        <f t="shared" si="2"/>
        <v>2.4268310440227481E-3</v>
      </c>
      <c r="AP22">
        <f t="shared" si="3"/>
        <v>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FEB21-DFC1-4F95-B53B-18B0B26E902B}">
  <dimension ref="A2:AL22"/>
  <sheetViews>
    <sheetView workbookViewId="0"/>
  </sheetViews>
  <sheetFormatPr defaultRowHeight="12.5" x14ac:dyDescent="0.25"/>
  <sheetData>
    <row r="2" spans="1:38" x14ac:dyDescent="0.25">
      <c r="B2">
        <f>Calc_BankMonth!B2</f>
        <v>1</v>
      </c>
      <c r="C2">
        <f>Calc_BankMonth!C2</f>
        <v>2</v>
      </c>
      <c r="D2">
        <f>Calc_BankMonth!D2</f>
        <v>3</v>
      </c>
      <c r="E2">
        <f>Calc_BankMonth!E2</f>
        <v>4</v>
      </c>
      <c r="F2">
        <f>Calc_BankMonth!F2</f>
        <v>5</v>
      </c>
      <c r="G2">
        <f>Calc_BankMonth!G2</f>
        <v>6</v>
      </c>
      <c r="H2">
        <f>Calc_BankMonth!H2</f>
        <v>7</v>
      </c>
      <c r="I2">
        <f>Calc_BankMonth!I2</f>
        <v>8</v>
      </c>
      <c r="J2">
        <f>Calc_BankMonth!J2</f>
        <v>9</v>
      </c>
      <c r="K2">
        <f>Calc_BankMonth!K2</f>
        <v>10</v>
      </c>
      <c r="L2">
        <f>Calc_BankMonth!L2</f>
        <v>11</v>
      </c>
      <c r="M2">
        <f>Calc_BankMonth!M2</f>
        <v>12</v>
      </c>
      <c r="N2">
        <f>Calc_BankMonth!N2</f>
        <v>13</v>
      </c>
      <c r="O2">
        <f>Calc_BankMonth!O2</f>
        <v>14</v>
      </c>
      <c r="P2">
        <f>Calc_BankMonth!P2</f>
        <v>15</v>
      </c>
      <c r="Q2">
        <f>Calc_BankMonth!Q2</f>
        <v>16</v>
      </c>
      <c r="R2">
        <f>Calc_BankMonth!R2</f>
        <v>17</v>
      </c>
      <c r="S2">
        <f>Calc_BankMonth!S2</f>
        <v>18</v>
      </c>
      <c r="T2">
        <f>Calc_BankMonth!T2</f>
        <v>19</v>
      </c>
      <c r="U2">
        <f>Calc_BankMonth!U2</f>
        <v>20</v>
      </c>
      <c r="V2">
        <f>Calc_BankMonth!V2</f>
        <v>21</v>
      </c>
      <c r="W2">
        <f>Calc_BankMonth!W2</f>
        <v>22</v>
      </c>
      <c r="X2">
        <f>Calc_BankMonth!X2</f>
        <v>23</v>
      </c>
      <c r="Y2">
        <f>Calc_BankMonth!Y2</f>
        <v>24</v>
      </c>
      <c r="Z2">
        <f>Calc_BankMonth!Z2</f>
        <v>25</v>
      </c>
      <c r="AA2">
        <f>Calc_BankMonth!AA2</f>
        <v>26</v>
      </c>
      <c r="AB2">
        <f>Calc_BankMonth!AB2</f>
        <v>27</v>
      </c>
      <c r="AC2">
        <f>Calc_BankMonth!AC2</f>
        <v>28</v>
      </c>
      <c r="AD2">
        <f>Calc_BankMonth!AD2</f>
        <v>29</v>
      </c>
      <c r="AE2">
        <f>Calc_BankMonth!AE2</f>
        <v>30</v>
      </c>
      <c r="AF2">
        <f>Calc_BankMonth!AF2</f>
        <v>31</v>
      </c>
      <c r="AG2">
        <f>Calc_BankMonth!AG2</f>
        <v>32</v>
      </c>
      <c r="AH2">
        <f>Calc_BankMonth!AH2</f>
        <v>33</v>
      </c>
      <c r="AI2">
        <f>Calc_BankMonth!AI2</f>
        <v>34</v>
      </c>
      <c r="AJ2">
        <f>Calc_BankMonth!AJ2</f>
        <v>35</v>
      </c>
      <c r="AK2">
        <f>Calc_BankMonth!AK2</f>
        <v>36</v>
      </c>
      <c r="AL2" t="s">
        <v>179</v>
      </c>
    </row>
    <row r="3" spans="1:38" x14ac:dyDescent="0.25">
      <c r="A3" t="s">
        <v>12</v>
      </c>
      <c r="B3">
        <f>Calc_BankMonth!B3*(1+Control!$B$25)^B$2*HLOOKUP(B$2,FX!$B$40:$AK$43,2,FALSE)</f>
        <v>6301.7162966109081</v>
      </c>
      <c r="C3">
        <f>Calc_BankMonth!C3*(1+Control!$B$25)^C$2*HLOOKUP(C$2,FX!$B$40:$AK$43,2,FALSE)</f>
        <v>6379.8973406472387</v>
      </c>
      <c r="D3">
        <f>Calc_BankMonth!D3*(1+Control!$B$25)^D$2*HLOOKUP(D$2,FX!$B$40:$AK$43,2,FALSE)</f>
        <v>6551.8355826603265</v>
      </c>
      <c r="E3">
        <f>Calc_BankMonth!E3*(1+Control!$B$25)^E$2*HLOOKUP(E$2,FX!$B$40:$AK$43,2,FALSE)</f>
        <v>6650.956959710119</v>
      </c>
      <c r="F3">
        <f>Calc_BankMonth!F3*(1+Control!$B$25)^F$2*HLOOKUP(F$2,FX!$B$40:$AK$43,2,FALSE)</f>
        <v>6852.4302711044138</v>
      </c>
      <c r="G3">
        <f>Calc_BankMonth!G3*(1+Control!$B$25)^G$2*HLOOKUP(G$2,FX!$B$40:$AK$43,2,FALSE)</f>
        <v>6861.4164826153865</v>
      </c>
      <c r="H3">
        <f>Calc_BankMonth!H3*(1+Control!$B$25)^H$2*HLOOKUP(H$2,FX!$B$40:$AK$43,2,FALSE)</f>
        <v>6953.3574311605335</v>
      </c>
      <c r="I3">
        <f>Calc_BankMonth!I3*(1+Control!$B$25)^I$2*HLOOKUP(I$2,FX!$B$40:$AK$43,2,FALSE)</f>
        <v>6987.1086886972189</v>
      </c>
      <c r="J3">
        <f>Calc_BankMonth!J3*(1+Control!$B$25)^J$2*HLOOKUP(J$2,FX!$B$40:$AK$43,2,FALSE)</f>
        <v>7040.4605047876994</v>
      </c>
      <c r="K3">
        <f>Calc_BankMonth!K3*(1+Control!$B$25)^K$2*HLOOKUP(K$2,FX!$B$40:$AK$43,2,FALSE)</f>
        <v>7171.587801882959</v>
      </c>
      <c r="L3">
        <f>Calc_BankMonth!L3*(1+Control!$B$25)^L$2*HLOOKUP(L$2,FX!$B$40:$AK$43,2,FALSE)</f>
        <v>7119.8612835334297</v>
      </c>
      <c r="M3">
        <f>Calc_BankMonth!M3*(1+Control!$B$25)^M$2*HLOOKUP(M$2,FX!$B$40:$AK$43,2,FALSE)</f>
        <v>7275.2979006000041</v>
      </c>
      <c r="N3">
        <f>Calc_BankMonth!N3*(1+Control!$B$25)^N$2*HLOOKUP(N$2,FX!$B$40:$AK$43,2,FALSE)</f>
        <v>7240.7754775205376</v>
      </c>
      <c r="O3">
        <f>Calc_BankMonth!O3*(1+Control!$B$25)^O$2*HLOOKUP(O$2,FX!$B$40:$AK$43,2,FALSE)</f>
        <v>7339.396346815678</v>
      </c>
      <c r="P3">
        <f>Calc_BankMonth!P3*(1+Control!$B$25)^P$2*HLOOKUP(P$2,FX!$B$40:$AK$43,2,FALSE)</f>
        <v>7195.1517998566815</v>
      </c>
      <c r="Q3">
        <f>Calc_BankMonth!Q3*(1+Control!$B$25)^Q$2*HLOOKUP(Q$2,FX!$B$40:$AK$43,2,FALSE)</f>
        <v>7234.9874974444301</v>
      </c>
      <c r="R3">
        <f>Calc_BankMonth!R3*(1+Control!$B$25)^R$2*HLOOKUP(R$2,FX!$B$40:$AK$43,2,FALSE)</f>
        <v>7311.6476408638218</v>
      </c>
      <c r="S3">
        <f>Calc_BankMonth!S3*(1+Control!$B$25)^S$2*HLOOKUP(S$2,FX!$B$40:$AK$43,2,FALSE)</f>
        <v>7349.0546520557209</v>
      </c>
      <c r="T3">
        <f>Calc_BankMonth!T3*(1+Control!$B$25)^T$2*HLOOKUP(T$2,FX!$B$40:$AK$43,2,FALSE)</f>
        <v>7274.5516415511775</v>
      </c>
      <c r="U3">
        <f>Calc_BankMonth!U3*(1+Control!$B$25)^U$2*HLOOKUP(U$2,FX!$B$40:$AK$43,2,FALSE)</f>
        <v>7262.9816075207373</v>
      </c>
      <c r="V3">
        <f>Calc_BankMonth!V3*(1+Control!$B$25)^V$2*HLOOKUP(V$2,FX!$B$40:$AK$43,2,FALSE)</f>
        <v>7371.4785977524534</v>
      </c>
      <c r="W3">
        <f>Calc_BankMonth!W3*(1+Control!$B$25)^W$2*HLOOKUP(W$2,FX!$B$40:$AK$43,2,FALSE)</f>
        <v>7419.5960704290028</v>
      </c>
      <c r="X3">
        <f>Calc_BankMonth!X3*(1+Control!$B$25)^X$2*HLOOKUP(X$2,FX!$B$40:$AK$43,2,FALSE)</f>
        <v>7593.5306760685571</v>
      </c>
      <c r="Y3">
        <f>Calc_BankMonth!Y3*(1+Control!$B$25)^Y$2*HLOOKUP(Y$2,FX!$B$40:$AK$43,2,FALSE)</f>
        <v>7674.7807304280041</v>
      </c>
      <c r="Z3">
        <f>Calc_BankMonth!Z3*(1+Control!$B$25)^Z$2*HLOOKUP(Z$2,FX!$B$40:$AK$43,2,FALSE)</f>
        <v>7578.1649036307372</v>
      </c>
      <c r="AA3">
        <f>Calc_BankMonth!AA3*(1+Control!$B$25)^AA$2*HLOOKUP(AA$2,FX!$B$40:$AK$43,2,FALSE)</f>
        <v>7737.419369997735</v>
      </c>
      <c r="AB3">
        <f>Calc_BankMonth!AB3*(1+Control!$B$25)^AB$2*HLOOKUP(AB$2,FX!$B$40:$AK$43,2,FALSE)</f>
        <v>7890.7368330314166</v>
      </c>
      <c r="AC3">
        <f>Calc_BankMonth!AC3*(1+Control!$B$25)^AC$2*HLOOKUP(AC$2,FX!$B$40:$AK$43,2,FALSE)</f>
        <v>7988.5606972369533</v>
      </c>
      <c r="AD3">
        <f>Calc_BankMonth!AD3*(1+Control!$B$25)^AD$2*HLOOKUP(AD$2,FX!$B$40:$AK$43,2,FALSE)</f>
        <v>8121.3603416049182</v>
      </c>
      <c r="AE3">
        <f>Calc_BankMonth!AE3*(1+Control!$B$25)^AE$2*HLOOKUP(AE$2,FX!$B$40:$AK$43,2,FALSE)</f>
        <v>8249.8923619933339</v>
      </c>
      <c r="AF3">
        <f>Calc_BankMonth!AF3*(1+Control!$B$25)^AF$2*HLOOKUP(AF$2,FX!$B$40:$AK$43,2,FALSE)</f>
        <v>8460.7669764582988</v>
      </c>
      <c r="AG3">
        <f>Calc_BankMonth!AG3*(1+Control!$B$25)^AG$2*HLOOKUP(AG$2,FX!$B$40:$AK$43,2,FALSE)</f>
        <v>8403.0772564180352</v>
      </c>
      <c r="AH3">
        <f>Calc_BankMonth!AH3*(1+Control!$B$25)^AH$2*HLOOKUP(AH$2,FX!$B$40:$AK$43,2,FALSE)</f>
        <v>8648.6704503795063</v>
      </c>
      <c r="AI3">
        <f>Calc_BankMonth!AI3*(1+Control!$B$25)^AI$2*HLOOKUP(AI$2,FX!$B$40:$AK$43,2,FALSE)</f>
        <v>8796.3635919320313</v>
      </c>
      <c r="AJ3">
        <f>Calc_BankMonth!AJ3*(1+Control!$B$25)^AJ$2*HLOOKUP(AJ$2,FX!$B$40:$AK$43,2,FALSE)</f>
        <v>8926.90127633263</v>
      </c>
      <c r="AK3">
        <f>Calc_BankMonth!AK3*(1+Control!$B$25)^AK$2*HLOOKUP(AK$2,FX!$B$40:$AK$43,2,FALSE)</f>
        <v>9008.1373257849882</v>
      </c>
      <c r="AL3" cm="1">
        <f t="array" ref="AL3">INDEX(B3:AK3,Control!$B$3)</f>
        <v>9008.1373257849882</v>
      </c>
    </row>
    <row r="4" spans="1:38" x14ac:dyDescent="0.25">
      <c r="A4" t="s">
        <v>22</v>
      </c>
      <c r="B4">
        <f>Calc_BankMonth!B4*(1+Control!$B$25)^B$2*HLOOKUP(B$2,FX!$B$40:$AK$43,2,FALSE)</f>
        <v>7403.2651295279838</v>
      </c>
      <c r="C4">
        <f>Calc_BankMonth!C4*(1+Control!$B$25)^C$2*HLOOKUP(C$2,FX!$B$40:$AK$43,2,FALSE)</f>
        <v>7511.5831228263141</v>
      </c>
      <c r="D4">
        <f>Calc_BankMonth!D4*(1+Control!$B$25)^D$2*HLOOKUP(D$2,FX!$B$40:$AK$43,2,FALSE)</f>
        <v>7711.5959766413098</v>
      </c>
      <c r="E4">
        <f>Calc_BankMonth!E4*(1+Control!$B$25)^E$2*HLOOKUP(E$2,FX!$B$40:$AK$43,2,FALSE)</f>
        <v>7851.7908895650398</v>
      </c>
      <c r="F4">
        <f>Calc_BankMonth!F4*(1+Control!$B$25)^F$2*HLOOKUP(F$2,FX!$B$40:$AK$43,2,FALSE)</f>
        <v>7952.2613002169446</v>
      </c>
      <c r="G4">
        <f>Calc_BankMonth!G4*(1+Control!$B$25)^G$2*HLOOKUP(G$2,FX!$B$40:$AK$43,2,FALSE)</f>
        <v>8037.059940767911</v>
      </c>
      <c r="H4">
        <f>Calc_BankMonth!H4*(1+Control!$B$25)^H$2*HLOOKUP(H$2,FX!$B$40:$AK$43,2,FALSE)</f>
        <v>7986.4460567707865</v>
      </c>
      <c r="I4">
        <f>Calc_BankMonth!I4*(1+Control!$B$25)^I$2*HLOOKUP(I$2,FX!$B$40:$AK$43,2,FALSE)</f>
        <v>8232.6730367372475</v>
      </c>
      <c r="J4">
        <f>Calc_BankMonth!J4*(1+Control!$B$25)^J$2*HLOOKUP(J$2,FX!$B$40:$AK$43,2,FALSE)</f>
        <v>8347.5718471399832</v>
      </c>
      <c r="K4">
        <f>Calc_BankMonth!K4*(1+Control!$B$25)^K$2*HLOOKUP(K$2,FX!$B$40:$AK$43,2,FALSE)</f>
        <v>8317.535022094633</v>
      </c>
      <c r="L4">
        <f>Calc_BankMonth!L4*(1+Control!$B$25)^L$2*HLOOKUP(L$2,FX!$B$40:$AK$43,2,FALSE)</f>
        <v>8545.1470650934734</v>
      </c>
      <c r="M4">
        <f>Calc_BankMonth!M4*(1+Control!$B$25)^M$2*HLOOKUP(M$2,FX!$B$40:$AK$43,2,FALSE)</f>
        <v>8514.3340728000039</v>
      </c>
      <c r="N4">
        <f>Calc_BankMonth!N4*(1+Control!$B$25)^N$2*HLOOKUP(N$2,FX!$B$40:$AK$43,2,FALSE)</f>
        <v>8466.4235414449431</v>
      </c>
      <c r="O4">
        <f>Calc_BankMonth!O4*(1+Control!$B$25)^O$2*HLOOKUP(O$2,FX!$B$40:$AK$43,2,FALSE)</f>
        <v>8498.4282277472394</v>
      </c>
      <c r="P4">
        <f>Calc_BankMonth!P4*(1+Control!$B$25)^P$2*HLOOKUP(P$2,FX!$B$40:$AK$43,2,FALSE)</f>
        <v>8551.0160506955817</v>
      </c>
      <c r="Q4">
        <f>Calc_BankMonth!Q4*(1+Control!$B$25)^Q$2*HLOOKUP(Q$2,FX!$B$40:$AK$43,2,FALSE)</f>
        <v>8586.349477438087</v>
      </c>
      <c r="R4">
        <f>Calc_BankMonth!R4*(1+Control!$B$25)^R$2*HLOOKUP(R$2,FX!$B$40:$AK$43,2,FALSE)</f>
        <v>8555.5964864234156</v>
      </c>
      <c r="S4">
        <f>Calc_BankMonth!S4*(1+Control!$B$25)^S$2*HLOOKUP(S$2,FX!$B$40:$AK$43,2,FALSE)</f>
        <v>8603.2097167486736</v>
      </c>
      <c r="T4">
        <f>Calc_BankMonth!T4*(1+Control!$B$25)^T$2*HLOOKUP(T$2,FX!$B$40:$AK$43,2,FALSE)</f>
        <v>8580.3922297049503</v>
      </c>
      <c r="U4">
        <f>Calc_BankMonth!U4*(1+Control!$B$25)^U$2*HLOOKUP(U$2,FX!$B$40:$AK$43,2,FALSE)</f>
        <v>8722.1250234250438</v>
      </c>
      <c r="V4">
        <f>Calc_BankMonth!V4*(1+Control!$B$25)^V$2*HLOOKUP(V$2,FX!$B$40:$AK$43,2,FALSE)</f>
        <v>8606.7890851357442</v>
      </c>
      <c r="W4">
        <f>Calc_BankMonth!W4*(1+Control!$B$25)^W$2*HLOOKUP(W$2,FX!$B$40:$AK$43,2,FALSE)</f>
        <v>8720.2334365590359</v>
      </c>
      <c r="X4">
        <f>Calc_BankMonth!X4*(1+Control!$B$25)^X$2*HLOOKUP(X$2,FX!$B$40:$AK$43,2,FALSE)</f>
        <v>8780.6762141646286</v>
      </c>
      <c r="Y4">
        <f>Calc_BankMonth!Y4*(1+Control!$B$25)^Y$2*HLOOKUP(Y$2,FX!$B$40:$AK$43,2,FALSE)</f>
        <v>8886.4468632140051</v>
      </c>
      <c r="Z4">
        <f>Calc_BankMonth!Z4*(1+Control!$B$25)^Z$2*HLOOKUP(Z$2,FX!$B$40:$AK$43,2,FALSE)</f>
        <v>8968.7983380207552</v>
      </c>
      <c r="AA4">
        <f>Calc_BankMonth!AA4*(1+Control!$B$25)^AA$2*HLOOKUP(AA$2,FX!$B$40:$AK$43,2,FALSE)</f>
        <v>9065.3835242765708</v>
      </c>
      <c r="AB4">
        <f>Calc_BankMonth!AB4*(1+Control!$B$25)^AB$2*HLOOKUP(AB$2,FX!$B$40:$AK$43,2,FALSE)</f>
        <v>9226.5543258227844</v>
      </c>
      <c r="AC4">
        <f>Calc_BankMonth!AC4*(1+Control!$B$25)^AC$2*HLOOKUP(AC$2,FX!$B$40:$AK$43,2,FALSE)</f>
        <v>9306.9605388998498</v>
      </c>
      <c r="AD4">
        <f>Calc_BankMonth!AD4*(1+Control!$B$25)^AD$2*HLOOKUP(AD$2,FX!$B$40:$AK$43,2,FALSE)</f>
        <v>9437.6501454222907</v>
      </c>
      <c r="AE4">
        <f>Calc_BankMonth!AE4*(1+Control!$B$25)^AE$2*HLOOKUP(AE$2,FX!$B$40:$AK$43,2,FALSE)</f>
        <v>9610.8531498878401</v>
      </c>
      <c r="AF4">
        <f>Calc_BankMonth!AF4*(1+Control!$B$25)^AF$2*HLOOKUP(AF$2,FX!$B$40:$AK$43,2,FALSE)</f>
        <v>9736.301051562974</v>
      </c>
      <c r="AG4">
        <f>Calc_BankMonth!AG4*(1+Control!$B$25)^AG$2*HLOOKUP(AG$2,FX!$B$40:$AK$43,2,FALSE)</f>
        <v>9954.3230231148118</v>
      </c>
      <c r="AH4">
        <f>Calc_BankMonth!AH4*(1+Control!$B$25)^AH$2*HLOOKUP(AH$2,FX!$B$40:$AK$43,2,FALSE)</f>
        <v>10110.385003854864</v>
      </c>
      <c r="AI4">
        <f>Calc_BankMonth!AI4*(1+Control!$B$25)^AI$2*HLOOKUP(AI$2,FX!$B$40:$AK$43,2,FALSE)</f>
        <v>10260.887704466653</v>
      </c>
      <c r="AJ4">
        <f>Calc_BankMonth!AJ4*(1+Control!$B$25)^AJ$2*HLOOKUP(AJ$2,FX!$B$40:$AK$43,2,FALSE)</f>
        <v>10467.507671199892</v>
      </c>
      <c r="AK4">
        <f>Calc_BankMonth!AK4*(1+Control!$B$25)^AK$2*HLOOKUP(AK$2,FX!$B$40:$AK$43,2,FALSE)</f>
        <v>10619.113621020027</v>
      </c>
      <c r="AL4" cm="1">
        <f t="array" ref="AL4">INDEX(B4:AK4,Control!$B$3)</f>
        <v>10619.113621020027</v>
      </c>
    </row>
    <row r="5" spans="1:38" x14ac:dyDescent="0.25">
      <c r="A5" t="s">
        <v>24</v>
      </c>
      <c r="B5">
        <f>Calc_BankMonth!B5*(1+Control!$B$25)^B$2*HLOOKUP(B$2,FX!$B$40:$AK$43,2,FALSE)</f>
        <v>8497.7078800451509</v>
      </c>
      <c r="C5">
        <f>Calc_BankMonth!C5*(1+Control!$B$25)^C$2*HLOOKUP(C$2,FX!$B$40:$AK$43,2,FALSE)</f>
        <v>8703.9982101819478</v>
      </c>
      <c r="D5">
        <f>Calc_BankMonth!D5*(1+Control!$B$25)^D$2*HLOOKUP(D$2,FX!$B$40:$AK$43,2,FALSE)</f>
        <v>8823.5824569093784</v>
      </c>
      <c r="E5">
        <f>Calc_BankMonth!E5*(1+Control!$B$25)^E$2*HLOOKUP(E$2,FX!$B$40:$AK$43,2,FALSE)</f>
        <v>8946.8067101642082</v>
      </c>
      <c r="F5">
        <f>Calc_BankMonth!F5*(1+Control!$B$25)^F$2*HLOOKUP(F$2,FX!$B$40:$AK$43,2,FALSE)</f>
        <v>9138.03720914935</v>
      </c>
      <c r="G5">
        <f>Calc_BankMonth!G5*(1+Control!$B$25)^G$2*HLOOKUP(G$2,FX!$B$40:$AK$43,2,FALSE)</f>
        <v>9211.8201205897403</v>
      </c>
      <c r="H5">
        <f>Calc_BankMonth!H5*(1+Control!$B$25)^H$2*HLOOKUP(H$2,FX!$B$40:$AK$43,2,FALSE)</f>
        <v>9321.6424028493511</v>
      </c>
      <c r="I5">
        <f>Calc_BankMonth!I5*(1+Control!$B$25)^I$2*HLOOKUP(I$2,FX!$B$40:$AK$43,2,FALSE)</f>
        <v>9390.2379743360798</v>
      </c>
      <c r="J5">
        <f>Calc_BankMonth!J5*(1+Control!$B$25)^J$2*HLOOKUP(J$2,FX!$B$40:$AK$43,2,FALSE)</f>
        <v>9471.3755886253039</v>
      </c>
      <c r="K5">
        <f>Calc_BankMonth!K5*(1+Control!$B$25)^K$2*HLOOKUP(K$2,FX!$B$40:$AK$43,2,FALSE)</f>
        <v>9574.3767651725411</v>
      </c>
      <c r="L5">
        <f>Calc_BankMonth!L5*(1+Control!$B$25)^L$2*HLOOKUP(L$2,FX!$B$40:$AK$43,2,FALSE)</f>
        <v>9623.1279701721578</v>
      </c>
      <c r="M5">
        <f>Calc_BankMonth!M5*(1+Control!$B$25)^M$2*HLOOKUP(M$2,FX!$B$40:$AK$43,2,FALSE)</f>
        <v>9682.5174102000055</v>
      </c>
      <c r="N5">
        <f>Calc_BankMonth!N5*(1+Control!$B$25)^N$2*HLOOKUP(N$2,FX!$B$40:$AK$43,2,FALSE)</f>
        <v>9672.2602451162802</v>
      </c>
      <c r="O5">
        <f>Calc_BankMonth!O5*(1+Control!$B$25)^O$2*HLOOKUP(O$2,FX!$B$40:$AK$43,2,FALSE)</f>
        <v>9659.7746455273737</v>
      </c>
      <c r="P5">
        <f>Calc_BankMonth!P5*(1+Control!$B$25)^P$2*HLOOKUP(P$2,FX!$B$40:$AK$43,2,FALSE)</f>
        <v>9661.5062760408637</v>
      </c>
      <c r="Q5">
        <f>Calc_BankMonth!Q5*(1+Control!$B$25)^Q$2*HLOOKUP(Q$2,FX!$B$40:$AK$43,2,FALSE)</f>
        <v>9739.4986026002662</v>
      </c>
      <c r="R5">
        <f>Calc_BankMonth!R5*(1+Control!$B$25)^R$2*HLOOKUP(R$2,FX!$B$40:$AK$43,2,FALSE)</f>
        <v>9835.4932163797475</v>
      </c>
      <c r="S5">
        <f>Calc_BankMonth!S5*(1+Control!$B$25)^S$2*HLOOKUP(S$2,FX!$B$40:$AK$43,2,FALSE)</f>
        <v>9851.3112834565563</v>
      </c>
      <c r="T5">
        <f>Calc_BankMonth!T5*(1+Control!$B$25)^T$2*HLOOKUP(T$2,FX!$B$40:$AK$43,2,FALSE)</f>
        <v>9859.9631250967905</v>
      </c>
      <c r="U5">
        <f>Calc_BankMonth!U5*(1+Control!$B$25)^U$2*HLOOKUP(U$2,FX!$B$40:$AK$43,2,FALSE)</f>
        <v>9949.114911664692</v>
      </c>
      <c r="V5">
        <f>Calc_BankMonth!V5*(1+Control!$B$25)^V$2*HLOOKUP(V$2,FX!$B$40:$AK$43,2,FALSE)</f>
        <v>9884.3049429690054</v>
      </c>
      <c r="W5">
        <f>Calc_BankMonth!W5*(1+Control!$B$25)^W$2*HLOOKUP(W$2,FX!$B$40:$AK$43,2,FALSE)</f>
        <v>9992.6077139856079</v>
      </c>
      <c r="X5">
        <f>Calc_BankMonth!X5*(1+Control!$B$25)^X$2*HLOOKUP(X$2,FX!$B$40:$AK$43,2,FALSE)</f>
        <v>9999.4346728003547</v>
      </c>
      <c r="Y5">
        <f>Calc_BankMonth!Y5*(1+Control!$B$25)^Y$2*HLOOKUP(Y$2,FX!$B$40:$AK$43,2,FALSE)</f>
        <v>10104.558600040005</v>
      </c>
      <c r="Z5">
        <f>Calc_BankMonth!Z5*(1+Control!$B$25)^Z$2*HLOOKUP(Z$2,FX!$B$40:$AK$43,2,FALSE)</f>
        <v>10317.909058571769</v>
      </c>
      <c r="AA5">
        <f>Calc_BankMonth!AA5*(1+Control!$B$25)^AA$2*HLOOKUP(AA$2,FX!$B$40:$AK$43,2,FALSE)</f>
        <v>10429.572770643708</v>
      </c>
      <c r="AB5">
        <f>Calc_BankMonth!AB5*(1+Control!$B$25)^AB$2*HLOOKUP(AB$2,FX!$B$40:$AK$43,2,FALSE)</f>
        <v>10624.838104248282</v>
      </c>
      <c r="AC5">
        <f>Calc_BankMonth!AC5*(1+Control!$B$25)^AC$2*HLOOKUP(AC$2,FX!$B$40:$AK$43,2,FALSE)</f>
        <v>10640.552362706158</v>
      </c>
      <c r="AD5">
        <f>Calc_BankMonth!AD5*(1+Control!$B$25)^AD$2*HLOOKUP(AD$2,FX!$B$40:$AK$43,2,FALSE)</f>
        <v>10867.583671858039</v>
      </c>
      <c r="AE5">
        <f>Calc_BankMonth!AE5*(1+Control!$B$25)^AE$2*HLOOKUP(AE$2,FX!$B$40:$AK$43,2,FALSE)</f>
        <v>11066.485569281806</v>
      </c>
      <c r="AF5">
        <f>Calc_BankMonth!AF5*(1+Control!$B$25)^AF$2*HLOOKUP(AF$2,FX!$B$40:$AK$43,2,FALSE)</f>
        <v>11224.06532322722</v>
      </c>
      <c r="AG5">
        <f>Calc_BankMonth!AG5*(1+Control!$B$25)^AG$2*HLOOKUP(AG$2,FX!$B$40:$AK$43,2,FALSE)</f>
        <v>11385.264827237928</v>
      </c>
      <c r="AH5">
        <f>Calc_BankMonth!AH5*(1+Control!$B$25)^AH$2*HLOOKUP(AH$2,FX!$B$40:$AK$43,2,FALSE)</f>
        <v>11594.527003025747</v>
      </c>
      <c r="AI5">
        <f>Calc_BankMonth!AI5*(1+Control!$B$25)^AI$2*HLOOKUP(AI$2,FX!$B$40:$AK$43,2,FALSE)</f>
        <v>11771.273010326058</v>
      </c>
      <c r="AJ5">
        <f>Calc_BankMonth!AJ5*(1+Control!$B$25)^AJ$2*HLOOKUP(AJ$2,FX!$B$40:$AK$43,2,FALSE)</f>
        <v>12067.082956267208</v>
      </c>
      <c r="AK5">
        <f>Calc_BankMonth!AK5*(1+Control!$B$25)^AK$2*HLOOKUP(AK$2,FX!$B$40:$AK$43,2,FALSE)</f>
        <v>12147.904508967242</v>
      </c>
      <c r="AL5" cm="1">
        <f t="array" ref="AL5">INDEX(B5:AK5,Control!$B$3)</f>
        <v>12147.904508967242</v>
      </c>
    </row>
    <row r="6" spans="1:38" x14ac:dyDescent="0.25">
      <c r="A6" t="s">
        <v>26</v>
      </c>
      <c r="B6">
        <f>Calc_BankMonth!B6*(1+Control!$B$25)^B$2*HLOOKUP(B$2,FX!$B$40:$AK$43,2,FALSE)</f>
        <v>9571.3626880193024</v>
      </c>
      <c r="C6">
        <f>Calc_BankMonth!C6*(1+Control!$B$25)^C$2*HLOOKUP(C$2,FX!$B$40:$AK$43,2,FALSE)</f>
        <v>9761.6734987507862</v>
      </c>
      <c r="D6">
        <f>Calc_BankMonth!D6*(1+Control!$B$25)^D$2*HLOOKUP(D$2,FX!$B$40:$AK$43,2,FALSE)</f>
        <v>9902.9270323328747</v>
      </c>
      <c r="E6">
        <f>Calc_BankMonth!E6*(1+Control!$B$25)^E$2*HLOOKUP(E$2,FX!$B$40:$AK$43,2,FALSE)</f>
        <v>10150.692037608378</v>
      </c>
      <c r="F6">
        <f>Calc_BankMonth!F6*(1+Control!$B$25)^F$2*HLOOKUP(F$2,FX!$B$40:$AK$43,2,FALSE)</f>
        <v>10230.953132989016</v>
      </c>
      <c r="G6">
        <f>Calc_BankMonth!G6*(1+Control!$B$25)^G$2*HLOOKUP(G$2,FX!$B$40:$AK$43,2,FALSE)</f>
        <v>10414.95561678509</v>
      </c>
      <c r="H6">
        <f>Calc_BankMonth!H6*(1+Control!$B$25)^H$2*HLOOKUP(H$2,FX!$B$40:$AK$43,2,FALSE)</f>
        <v>10463.307922122774</v>
      </c>
      <c r="I6">
        <f>Calc_BankMonth!I6*(1+Control!$B$25)^I$2*HLOOKUP(I$2,FX!$B$40:$AK$43,2,FALSE)</f>
        <v>10536.010323430781</v>
      </c>
      <c r="J6">
        <f>Calc_BankMonth!J6*(1+Control!$B$25)^J$2*HLOOKUP(J$2,FX!$B$40:$AK$43,2,FALSE)</f>
        <v>10740.15391292395</v>
      </c>
      <c r="K6">
        <f>Calc_BankMonth!K6*(1+Control!$B$25)^K$2*HLOOKUP(K$2,FX!$B$40:$AK$43,2,FALSE)</f>
        <v>10746.626605883141</v>
      </c>
      <c r="L6">
        <f>Calc_BankMonth!L6*(1+Control!$B$25)^L$2*HLOOKUP(L$2,FX!$B$40:$AK$43,2,FALSE)</f>
        <v>10837.247934204916</v>
      </c>
      <c r="M6">
        <f>Calc_BankMonth!M6*(1+Control!$B$25)^M$2*HLOOKUP(M$2,FX!$B$40:$AK$43,2,FALSE)</f>
        <v>10908.782303400008</v>
      </c>
      <c r="N6">
        <f>Calc_BankMonth!N6*(1+Control!$B$25)^N$2*HLOOKUP(N$2,FX!$B$40:$AK$43,2,FALSE)</f>
        <v>10948.930862541605</v>
      </c>
      <c r="O6">
        <f>Calc_BankMonth!O6*(1+Control!$B$25)^O$2*HLOOKUP(O$2,FX!$B$40:$AK$43,2,FALSE)</f>
        <v>10980.934321899249</v>
      </c>
      <c r="P6">
        <f>Calc_BankMonth!P6*(1+Control!$B$25)^P$2*HLOOKUP(P$2,FX!$B$40:$AK$43,2,FALSE)</f>
        <v>10893.093025366899</v>
      </c>
      <c r="Q6">
        <f>Calc_BankMonth!Q6*(1+Control!$B$25)^Q$2*HLOOKUP(Q$2,FX!$B$40:$AK$43,2,FALSE)</f>
        <v>10906.291233739286</v>
      </c>
      <c r="R6">
        <f>Calc_BankMonth!R6*(1+Control!$B$25)^R$2*HLOOKUP(R$2,FX!$B$40:$AK$43,2,FALSE)</f>
        <v>11127.987996456994</v>
      </c>
      <c r="S6">
        <f>Calc_BankMonth!S6*(1+Control!$B$25)^S$2*HLOOKUP(S$2,FX!$B$40:$AK$43,2,FALSE)</f>
        <v>11099.088555629523</v>
      </c>
      <c r="T6">
        <f>Calc_BankMonth!T6*(1+Control!$B$25)^T$2*HLOOKUP(T$2,FX!$B$40:$AK$43,2,FALSE)</f>
        <v>11129.844379715783</v>
      </c>
      <c r="U6">
        <f>Calc_BankMonth!U6*(1+Control!$B$25)^U$2*HLOOKUP(U$2,FX!$B$40:$AK$43,2,FALSE)</f>
        <v>11171.811623248503</v>
      </c>
      <c r="V6">
        <f>Calc_BankMonth!V6*(1+Control!$B$25)^V$2*HLOOKUP(V$2,FX!$B$40:$AK$43,2,FALSE)</f>
        <v>11154.215264502904</v>
      </c>
      <c r="W6">
        <f>Calc_BankMonth!W6*(1+Control!$B$25)^W$2*HLOOKUP(W$2,FX!$B$40:$AK$43,2,FALSE)</f>
        <v>11340.350227954743</v>
      </c>
      <c r="X6">
        <f>Calc_BankMonth!X6*(1+Control!$B$25)^X$2*HLOOKUP(X$2,FX!$B$40:$AK$43,2,FALSE)</f>
        <v>11335.214518654073</v>
      </c>
      <c r="Y6">
        <f>Calc_BankMonth!Y6*(1+Control!$B$25)^Y$2*HLOOKUP(Y$2,FX!$B$40:$AK$43,2,FALSE)</f>
        <v>11548.696185202005</v>
      </c>
      <c r="Z6">
        <f>Calc_BankMonth!Z6*(1+Control!$B$25)^Z$2*HLOOKUP(Z$2,FX!$B$40:$AK$43,2,FALSE)</f>
        <v>11574.052040605315</v>
      </c>
      <c r="AA6">
        <f>Calc_BankMonth!AA6*(1+Control!$B$25)^AA$2*HLOOKUP(AA$2,FX!$B$40:$AK$43,2,FALSE)</f>
        <v>11677.386197218199</v>
      </c>
      <c r="AB6">
        <f>Calc_BankMonth!AB6*(1+Control!$B$25)^AB$2*HLOOKUP(AB$2,FX!$B$40:$AK$43,2,FALSE)</f>
        <v>11945.039025631117</v>
      </c>
      <c r="AC6">
        <f>Calc_BankMonth!AC6*(1+Control!$B$25)^AC$2*HLOOKUP(AC$2,FX!$B$40:$AK$43,2,FALSE)</f>
        <v>12049.99401040239</v>
      </c>
      <c r="AD6">
        <f>Calc_BankMonth!AD6*(1+Control!$B$25)^AD$2*HLOOKUP(AD$2,FX!$B$40:$AK$43,2,FALSE)</f>
        <v>12292.51820756278</v>
      </c>
      <c r="AE6">
        <f>Calc_BankMonth!AE6*(1+Control!$B$25)^AE$2*HLOOKUP(AE$2,FX!$B$40:$AK$43,2,FALSE)</f>
        <v>12481.62455387565</v>
      </c>
      <c r="AF6">
        <f>Calc_BankMonth!AF6*(1+Control!$B$25)^AF$2*HLOOKUP(AF$2,FX!$B$40:$AK$43,2,FALSE)</f>
        <v>12718.401592435754</v>
      </c>
      <c r="AG6">
        <f>Calc_BankMonth!AG6*(1+Control!$B$25)^AG$2*HLOOKUP(AG$2,FX!$B$40:$AK$43,2,FALSE)</f>
        <v>12937.884188179123</v>
      </c>
      <c r="AH6">
        <f>Calc_BankMonth!AH6*(1+Control!$B$25)^AH$2*HLOOKUP(AH$2,FX!$B$40:$AK$43,2,FALSE)</f>
        <v>13129.535373877203</v>
      </c>
      <c r="AI6">
        <f>Calc_BankMonth!AI6*(1+Control!$B$25)^AI$2*HLOOKUP(AI$2,FX!$B$40:$AK$43,2,FALSE)</f>
        <v>13222.843961387265</v>
      </c>
      <c r="AJ6">
        <f>Calc_BankMonth!AJ6*(1+Control!$B$25)^AJ$2*HLOOKUP(AJ$2,FX!$B$40:$AK$43,2,FALSE)</f>
        <v>13561.196912753194</v>
      </c>
      <c r="AK6">
        <f>Calc_BankMonth!AK6*(1+Control!$B$25)^AK$2*HLOOKUP(AK$2,FX!$B$40:$AK$43,2,FALSE)</f>
        <v>13599.253736079019</v>
      </c>
      <c r="AL6" cm="1">
        <f t="array" ref="AL6">INDEX(B6:AK6,Control!$B$3)</f>
        <v>13599.253736079019</v>
      </c>
    </row>
    <row r="7" spans="1:38" x14ac:dyDescent="0.25">
      <c r="A7" t="s">
        <v>27</v>
      </c>
      <c r="B7">
        <f>Calc_BankMonth!B7*(1+Control!$B$25)^B$2*HLOOKUP(B$2,FX!$B$40:$AK$43,2,FALSE)</f>
        <v>10575.123342239134</v>
      </c>
      <c r="C7">
        <f>Calc_BankMonth!C7*(1+Control!$B$25)^C$2*HLOOKUP(C$2,FX!$B$40:$AK$43,2,FALSE)</f>
        <v>10848.374610428704</v>
      </c>
      <c r="D7">
        <f>Calc_BankMonth!D7*(1+Control!$B$25)^D$2*HLOOKUP(D$2,FX!$B$40:$AK$43,2,FALSE)</f>
        <v>11067.983629417779</v>
      </c>
      <c r="E7">
        <f>Calc_BankMonth!E7*(1+Control!$B$25)^E$2*HLOOKUP(E$2,FX!$B$40:$AK$43,2,FALSE)</f>
        <v>11169.095983020325</v>
      </c>
      <c r="F7">
        <f>Calc_BankMonth!F7*(1+Control!$B$25)^F$2*HLOOKUP(F$2,FX!$B$40:$AK$43,2,FALSE)</f>
        <v>11297.85508937363</v>
      </c>
      <c r="G7">
        <f>Calc_BankMonth!G7*(1+Control!$B$25)^G$2*HLOOKUP(G$2,FX!$B$40:$AK$43,2,FALSE)</f>
        <v>11515.5204168287</v>
      </c>
      <c r="H7">
        <f>Calc_BankMonth!H7*(1+Control!$B$25)^H$2*HLOOKUP(H$2,FX!$B$40:$AK$43,2,FALSE)</f>
        <v>11692.589116568726</v>
      </c>
      <c r="I7">
        <f>Calc_BankMonth!I7*(1+Control!$B$25)^I$2*HLOOKUP(I$2,FX!$B$40:$AK$43,2,FALSE)</f>
        <v>11797.817293372724</v>
      </c>
      <c r="J7">
        <f>Calc_BankMonth!J7*(1+Control!$B$25)^J$2*HLOOKUP(J$2,FX!$B$40:$AK$43,2,FALSE)</f>
        <v>11959.901632735382</v>
      </c>
      <c r="K7">
        <f>Calc_BankMonth!K7*(1+Control!$B$25)^K$2*HLOOKUP(K$2,FX!$B$40:$AK$43,2,FALSE)</f>
        <v>11990.539942275136</v>
      </c>
      <c r="L7">
        <f>Calc_BankMonth!L7*(1+Control!$B$25)^L$2*HLOOKUP(L$2,FX!$B$40:$AK$43,2,FALSE)</f>
        <v>12064.391831105722</v>
      </c>
      <c r="M7">
        <f>Calc_BankMonth!M7*(1+Control!$B$25)^M$2*HLOOKUP(M$2,FX!$B$40:$AK$43,2,FALSE)</f>
        <v>12167.253030600006</v>
      </c>
      <c r="N7">
        <f>Calc_BankMonth!N7*(1+Control!$B$25)^N$2*HLOOKUP(N$2,FX!$B$40:$AK$43,2,FALSE)</f>
        <v>12162.515025529785</v>
      </c>
      <c r="O7">
        <f>Calc_BankMonth!O7*(1+Control!$B$25)^O$2*HLOOKUP(O$2,FX!$B$40:$AK$43,2,FALSE)</f>
        <v>12190.2247172569</v>
      </c>
      <c r="P7">
        <f>Calc_BankMonth!P7*(1+Control!$B$25)^P$2*HLOOKUP(P$2,FX!$B$40:$AK$43,2,FALSE)</f>
        <v>12262.339319616718</v>
      </c>
      <c r="Q7">
        <f>Calc_BankMonth!Q7*(1+Control!$B$25)^Q$2*HLOOKUP(Q$2,FX!$B$40:$AK$43,2,FALSE)</f>
        <v>12308.079611823328</v>
      </c>
      <c r="R7">
        <f>Calc_BankMonth!R7*(1+Control!$B$25)^R$2*HLOOKUP(R$2,FX!$B$40:$AK$43,2,FALSE)</f>
        <v>12390.399501676544</v>
      </c>
      <c r="S7">
        <f>Calc_BankMonth!S7*(1+Control!$B$25)^S$2*HLOOKUP(S$2,FX!$B$40:$AK$43,2,FALSE)</f>
        <v>12317.787417838485</v>
      </c>
      <c r="T7">
        <f>Calc_BankMonth!T7*(1+Control!$B$25)^T$2*HLOOKUP(T$2,FX!$B$40:$AK$43,2,FALSE)</f>
        <v>12359.567456465098</v>
      </c>
      <c r="U7">
        <f>Calc_BankMonth!U7*(1+Control!$B$25)^U$2*HLOOKUP(U$2,FX!$B$40:$AK$43,2,FALSE)</f>
        <v>12364.670757074206</v>
      </c>
      <c r="V7">
        <f>Calc_BankMonth!V7*(1+Control!$B$25)^V$2*HLOOKUP(V$2,FX!$B$40:$AK$43,2,FALSE)</f>
        <v>12478.114181739302</v>
      </c>
      <c r="W7">
        <f>Calc_BankMonth!W7*(1+Control!$B$25)^W$2*HLOOKUP(W$2,FX!$B$40:$AK$43,2,FALSE)</f>
        <v>12557.911242441271</v>
      </c>
      <c r="X7">
        <f>Calc_BankMonth!X7*(1+Control!$B$25)^X$2*HLOOKUP(X$2,FX!$B$40:$AK$43,2,FALSE)</f>
        <v>12711.930417545591</v>
      </c>
      <c r="Y7">
        <f>Calc_BankMonth!Y7*(1+Control!$B$25)^Y$2*HLOOKUP(Y$2,FX!$B$40:$AK$43,2,FALSE)</f>
        <v>12759.180623914006</v>
      </c>
      <c r="Z7">
        <f>Calc_BankMonth!Z7*(1+Control!$B$25)^Z$2*HLOOKUP(Z$2,FX!$B$40:$AK$43,2,FALSE)</f>
        <v>12844.431381669381</v>
      </c>
      <c r="AA7">
        <f>Calc_BankMonth!AA7*(1+Control!$B$25)^AA$2*HLOOKUP(AA$2,FX!$B$40:$AK$43,2,FALSE)</f>
        <v>13058.169572595842</v>
      </c>
      <c r="AB7">
        <f>Calc_BankMonth!AB7*(1+Control!$B$25)^AB$2*HLOOKUP(AB$2,FX!$B$40:$AK$43,2,FALSE)</f>
        <v>13334.586260611282</v>
      </c>
      <c r="AC7">
        <f>Calc_BankMonth!AC7*(1+Control!$B$25)^AC$2*HLOOKUP(AC$2,FX!$B$40:$AK$43,2,FALSE)</f>
        <v>13436.757771710629</v>
      </c>
      <c r="AD7">
        <f>Calc_BankMonth!AD7*(1+Control!$B$25)^AD$2*HLOOKUP(AD$2,FX!$B$40:$AK$43,2,FALSE)</f>
        <v>13602.920311185848</v>
      </c>
      <c r="AE7">
        <f>Calc_BankMonth!AE7*(1+Control!$B$25)^AE$2*HLOOKUP(AE$2,FX!$B$40:$AK$43,2,FALSE)</f>
        <v>13863.112484618972</v>
      </c>
      <c r="AF7">
        <f>Calc_BankMonth!AF7*(1+Control!$B$25)^AF$2*HLOOKUP(AF$2,FX!$B$40:$AK$43,2,FALSE)</f>
        <v>14139.199475329735</v>
      </c>
      <c r="AG7">
        <f>Calc_BankMonth!AG7*(1+Control!$B$25)^AG$2*HLOOKUP(AG$2,FX!$B$40:$AK$43,2,FALSE)</f>
        <v>14327.847097343749</v>
      </c>
      <c r="AH7">
        <f>Calc_BankMonth!AH7*(1+Control!$B$25)^AH$2*HLOOKUP(AH$2,FX!$B$40:$AK$43,2,FALSE)</f>
        <v>14519.227769268475</v>
      </c>
      <c r="AI7">
        <f>Calc_BankMonth!AI7*(1+Control!$B$25)^AI$2*HLOOKUP(AI$2,FX!$B$40:$AK$43,2,FALSE)</f>
        <v>14827.052166567615</v>
      </c>
      <c r="AJ7">
        <f>Calc_BankMonth!AJ7*(1+Control!$B$25)^AJ$2*HLOOKUP(AJ$2,FX!$B$40:$AK$43,2,FALSE)</f>
        <v>15064.609356915433</v>
      </c>
      <c r="AK7">
        <f>Calc_BankMonth!AK7*(1+Control!$B$25)^AK$2*HLOOKUP(AK$2,FX!$B$40:$AK$43,2,FALSE)</f>
        <v>15226.714550236153</v>
      </c>
      <c r="AL7" cm="1">
        <f t="array" ref="AL7">INDEX(B7:AK7,Control!$B$3)</f>
        <v>15226.714550236153</v>
      </c>
    </row>
    <row r="8" spans="1:38" x14ac:dyDescent="0.25">
      <c r="A8" t="s">
        <v>28</v>
      </c>
      <c r="B8">
        <f>Calc_BankMonth!B8*(1+Control!$B$25)^B$2*HLOOKUP(B$2,FX!$B$40:$AK$43,2,FALSE)</f>
        <v>11794.293748014388</v>
      </c>
      <c r="C8">
        <f>Calc_BankMonth!C8*(1+Control!$B$25)^C$2*HLOOKUP(C$2,FX!$B$40:$AK$43,2,FALSE)</f>
        <v>11911.08389783934</v>
      </c>
      <c r="D8">
        <f>Calc_BankMonth!D8*(1+Control!$B$25)^D$2*HLOOKUP(D$2,FX!$B$40:$AK$43,2,FALSE)</f>
        <v>12111.443726667769</v>
      </c>
      <c r="E8">
        <f>Calc_BankMonth!E8*(1+Control!$B$25)^E$2*HLOOKUP(E$2,FX!$B$40:$AK$43,2,FALSE)</f>
        <v>12359.576956768862</v>
      </c>
      <c r="F8">
        <f>Calc_BankMonth!F8*(1+Control!$B$25)^F$2*HLOOKUP(F$2,FX!$B$40:$AK$43,2,FALSE)</f>
        <v>12531.487917337277</v>
      </c>
      <c r="G8">
        <f>Calc_BankMonth!G8*(1+Control!$B$25)^G$2*HLOOKUP(G$2,FX!$B$40:$AK$43,2,FALSE)</f>
        <v>12665.990442556471</v>
      </c>
      <c r="H8">
        <f>Calc_BankMonth!H8*(1+Control!$B$25)^H$2*HLOOKUP(H$2,FX!$B$40:$AK$43,2,FALSE)</f>
        <v>12856.324913512191</v>
      </c>
      <c r="I8">
        <f>Calc_BankMonth!I8*(1+Control!$B$25)^I$2*HLOOKUP(I$2,FX!$B$40:$AK$43,2,FALSE)</f>
        <v>12953.045963437718</v>
      </c>
      <c r="J8">
        <f>Calc_BankMonth!J8*(1+Control!$B$25)^J$2*HLOOKUP(J$2,FX!$B$40:$AK$43,2,FALSE)</f>
        <v>13137.750472348651</v>
      </c>
      <c r="K8">
        <f>Calc_BankMonth!K8*(1+Control!$B$25)^K$2*HLOOKUP(K$2,FX!$B$40:$AK$43,2,FALSE)</f>
        <v>13070.730611239494</v>
      </c>
      <c r="L8">
        <f>Calc_BankMonth!L8*(1+Control!$B$25)^L$2*HLOOKUP(L$2,FX!$B$40:$AK$43,2,FALSE)</f>
        <v>13327.490687975594</v>
      </c>
      <c r="M8">
        <f>Calc_BankMonth!M8*(1+Control!$B$25)^M$2*HLOOKUP(M$2,FX!$B$40:$AK$43,2,FALSE)</f>
        <v>13453.487407800007</v>
      </c>
      <c r="N8">
        <f>Calc_BankMonth!N8*(1+Control!$B$25)^N$2*HLOOKUP(N$2,FX!$B$40:$AK$43,2,FALSE)</f>
        <v>13398.234786566085</v>
      </c>
      <c r="O8">
        <f>Calc_BankMonth!O8*(1+Control!$B$25)^O$2*HLOOKUP(O$2,FX!$B$40:$AK$43,2,FALSE)</f>
        <v>13392.902150190075</v>
      </c>
      <c r="P8">
        <f>Calc_BankMonth!P8*(1+Control!$B$25)^P$2*HLOOKUP(P$2,FX!$B$40:$AK$43,2,FALSE)</f>
        <v>13585.187217449995</v>
      </c>
      <c r="Q8">
        <f>Calc_BankMonth!Q8*(1+Control!$B$25)^Q$2*HLOOKUP(Q$2,FX!$B$40:$AK$43,2,FALSE)</f>
        <v>13642.632792453524</v>
      </c>
      <c r="R8">
        <f>Calc_BankMonth!R8*(1+Control!$B$25)^R$2*HLOOKUP(R$2,FX!$B$40:$AK$43,2,FALSE)</f>
        <v>13538.994140286484</v>
      </c>
      <c r="S8">
        <f>Calc_BankMonth!S8*(1+Control!$B$25)^S$2*HLOOKUP(S$2,FX!$B$40:$AK$43,2,FALSE)</f>
        <v>13580.049845904303</v>
      </c>
      <c r="T8">
        <f>Calc_BankMonth!T8*(1+Control!$B$25)^T$2*HLOOKUP(T$2,FX!$B$40:$AK$43,2,FALSE)</f>
        <v>13517.910179521114</v>
      </c>
      <c r="U8">
        <f>Calc_BankMonth!U8*(1+Control!$B$25)^U$2*HLOOKUP(U$2,FX!$B$40:$AK$43,2,FALSE)</f>
        <v>13657.238918731842</v>
      </c>
      <c r="V8">
        <f>Calc_BankMonth!V8*(1+Control!$B$25)^V$2*HLOOKUP(V$2,FX!$B$40:$AK$43,2,FALSE)</f>
        <v>13732.384949756208</v>
      </c>
      <c r="W8">
        <f>Calc_BankMonth!W8*(1+Control!$B$25)^W$2*HLOOKUP(W$2,FX!$B$40:$AK$43,2,FALSE)</f>
        <v>13922.033500999909</v>
      </c>
      <c r="X8">
        <f>Calc_BankMonth!X8*(1+Control!$B$25)^X$2*HLOOKUP(X$2,FX!$B$40:$AK$43,2,FALSE)</f>
        <v>13984.484422319993</v>
      </c>
      <c r="Y8">
        <f>Calc_BankMonth!Y8*(1+Control!$B$25)^Y$2*HLOOKUP(Y$2,FX!$B$40:$AK$43,2,FALSE)</f>
        <v>14059.473812250006</v>
      </c>
      <c r="Z8">
        <f>Calc_BankMonth!Z8*(1+Control!$B$25)^Z$2*HLOOKUP(Z$2,FX!$B$40:$AK$43,2,FALSE)</f>
        <v>14228.378041363247</v>
      </c>
      <c r="AA8">
        <f>Calc_BankMonth!AA8*(1+Control!$B$25)^AA$2*HLOOKUP(AA$2,FX!$B$40:$AK$43,2,FALSE)</f>
        <v>14378.975475144654</v>
      </c>
      <c r="AB8">
        <f>Calc_BankMonth!AB8*(1+Control!$B$25)^AB$2*HLOOKUP(AB$2,FX!$B$40:$AK$43,2,FALSE)</f>
        <v>14535.205743586124</v>
      </c>
      <c r="AC8">
        <f>Calc_BankMonth!AC8*(1+Control!$B$25)^AC$2*HLOOKUP(AC$2,FX!$B$40:$AK$43,2,FALSE)</f>
        <v>14747.561622301821</v>
      </c>
      <c r="AD8">
        <f>Calc_BankMonth!AD8*(1+Control!$B$25)^AD$2*HLOOKUP(AD$2,FX!$B$40:$AK$43,2,FALSE)</f>
        <v>15145.497762093775</v>
      </c>
      <c r="AE8">
        <f>Calc_BankMonth!AE8*(1+Control!$B$25)^AE$2*HLOOKUP(AE$2,FX!$B$40:$AK$43,2,FALSE)</f>
        <v>15246.395138234322</v>
      </c>
      <c r="AF8">
        <f>Calc_BankMonth!AF8*(1+Control!$B$25)^AF$2*HLOOKUP(AF$2,FX!$B$40:$AK$43,2,FALSE)</f>
        <v>15517.392684488319</v>
      </c>
      <c r="AG8">
        <f>Calc_BankMonth!AG8*(1+Control!$B$25)^AG$2*HLOOKUP(AG$2,FX!$B$40:$AK$43,2,FALSE)</f>
        <v>15861.694003611225</v>
      </c>
      <c r="AH8">
        <f>Calc_BankMonth!AH8*(1+Control!$B$25)^AH$2*HLOOKUP(AH$2,FX!$B$40:$AK$43,2,FALSE)</f>
        <v>16056.548247923592</v>
      </c>
      <c r="AI8">
        <f>Calc_BankMonth!AI8*(1+Control!$B$25)^AI$2*HLOOKUP(AI$2,FX!$B$40:$AK$43,2,FALSE)</f>
        <v>16341.171717176114</v>
      </c>
      <c r="AJ8">
        <f>Calc_BankMonth!AJ8*(1+Control!$B$25)^AJ$2*HLOOKUP(AJ$2,FX!$B$40:$AK$43,2,FALSE)</f>
        <v>16581.086764774693</v>
      </c>
      <c r="AK8">
        <f>Calc_BankMonth!AK8*(1+Control!$B$25)^AK$2*HLOOKUP(AK$2,FX!$B$40:$AK$43,2,FALSE)</f>
        <v>16778.749795800119</v>
      </c>
      <c r="AL8" cm="1">
        <f t="array" ref="AL8">INDEX(B8:AK8,Control!$B$3)</f>
        <v>16778.749795800119</v>
      </c>
    </row>
    <row r="9" spans="1:38" x14ac:dyDescent="0.25">
      <c r="A9" t="s">
        <v>29</v>
      </c>
      <c r="B9">
        <f>Calc_BankMonth!B9*(1+Control!$B$25)^B$2*HLOOKUP(B$2,FX!$B$40:$AK$43,2,FALSE)</f>
        <v>12762.311868372</v>
      </c>
      <c r="C9">
        <f>Calc_BankMonth!C9*(1+Control!$B$25)^C$2*HLOOKUP(C$2,FX!$B$40:$AK$43,2,FALSE)</f>
        <v>13097.393922769817</v>
      </c>
      <c r="D9">
        <f>Calc_BankMonth!D9*(1+Control!$B$25)^D$2*HLOOKUP(D$2,FX!$B$40:$AK$43,2,FALSE)</f>
        <v>13353.997826314124</v>
      </c>
      <c r="E9">
        <f>Calc_BankMonth!E9*(1+Control!$B$25)^E$2*HLOOKUP(E$2,FX!$B$40:$AK$43,2,FALSE)</f>
        <v>13567.930402111577</v>
      </c>
      <c r="F9">
        <f>Calc_BankMonth!F9*(1+Control!$B$25)^F$2*HLOOKUP(F$2,FX!$B$40:$AK$43,2,FALSE)</f>
        <v>13638.56334244995</v>
      </c>
      <c r="G9">
        <f>Calc_BankMonth!G9*(1+Control!$B$25)^G$2*HLOOKUP(G$2,FX!$B$40:$AK$43,2,FALSE)</f>
        <v>13936.917550632517</v>
      </c>
      <c r="H9">
        <f>Calc_BankMonth!H9*(1+Control!$B$25)^H$2*HLOOKUP(H$2,FX!$B$40:$AK$43,2,FALSE)</f>
        <v>14105.90189094115</v>
      </c>
      <c r="I9">
        <f>Calc_BankMonth!I9*(1+Control!$B$25)^I$2*HLOOKUP(I$2,FX!$B$40:$AK$43,2,FALSE)</f>
        <v>14208.066632448043</v>
      </c>
      <c r="J9">
        <f>Calc_BankMonth!J9*(1+Control!$B$25)^J$2*HLOOKUP(J$2,FX!$B$40:$AK$43,2,FALSE)</f>
        <v>14353.709463631527</v>
      </c>
      <c r="K9">
        <f>Calc_BankMonth!K9*(1+Control!$B$25)^K$2*HLOOKUP(K$2,FX!$B$40:$AK$43,2,FALSE)</f>
        <v>14451.283832087774</v>
      </c>
      <c r="L9">
        <f>Calc_BankMonth!L9*(1+Control!$B$25)^L$2*HLOOKUP(L$2,FX!$B$40:$AK$43,2,FALSE)</f>
        <v>14457.122061864327</v>
      </c>
      <c r="M9">
        <f>Calc_BankMonth!M9*(1+Control!$B$25)^M$2*HLOOKUP(M$2,FX!$B$40:$AK$43,2,FALSE)</f>
        <v>14567.80926420001</v>
      </c>
      <c r="N9">
        <f>Calc_BankMonth!N9*(1+Control!$B$25)^N$2*HLOOKUP(N$2,FX!$B$40:$AK$43,2,FALSE)</f>
        <v>14720.726091951014</v>
      </c>
      <c r="O9">
        <f>Calc_BankMonth!O9*(1+Control!$B$25)^O$2*HLOOKUP(O$2,FX!$B$40:$AK$43,2,FALSE)</f>
        <v>14552.485111323678</v>
      </c>
      <c r="P9">
        <f>Calc_BankMonth!P9*(1+Control!$B$25)^P$2*HLOOKUP(P$2,FX!$B$40:$AK$43,2,FALSE)</f>
        <v>14693.483665186926</v>
      </c>
      <c r="Q9">
        <f>Calc_BankMonth!Q9*(1+Control!$B$25)^Q$2*HLOOKUP(Q$2,FX!$B$40:$AK$43,2,FALSE)</f>
        <v>14784.867112834236</v>
      </c>
      <c r="R9">
        <f>Calc_BankMonth!R9*(1+Control!$B$25)^R$2*HLOOKUP(R$2,FX!$B$40:$AK$43,2,FALSE)</f>
        <v>14806.510027882614</v>
      </c>
      <c r="S9">
        <f>Calc_BankMonth!S9*(1+Control!$B$25)^S$2*HLOOKUP(S$2,FX!$B$40:$AK$43,2,FALSE)</f>
        <v>14838.853132264367</v>
      </c>
      <c r="T9">
        <f>Calc_BankMonth!T9*(1+Control!$B$25)^T$2*HLOOKUP(T$2,FX!$B$40:$AK$43,2,FALSE)</f>
        <v>14893.731506589884</v>
      </c>
      <c r="U9">
        <f>Calc_BankMonth!U9*(1+Control!$B$25)^U$2*HLOOKUP(U$2,FX!$B$40:$AK$43,2,FALSE)</f>
        <v>14906.660654998266</v>
      </c>
      <c r="V9">
        <f>Calc_BankMonth!V9*(1+Control!$B$25)^V$2*HLOOKUP(V$2,FX!$B$40:$AK$43,2,FALSE)</f>
        <v>15113.164708893446</v>
      </c>
      <c r="W9">
        <f>Calc_BankMonth!W9*(1+Control!$B$25)^W$2*HLOOKUP(W$2,FX!$B$40:$AK$43,2,FALSE)</f>
        <v>14997.315557581527</v>
      </c>
      <c r="X9">
        <f>Calc_BankMonth!X9*(1+Control!$B$25)^X$2*HLOOKUP(X$2,FX!$B$40:$AK$43,2,FALSE)</f>
        <v>15202.38558141566</v>
      </c>
      <c r="Y9">
        <f>Calc_BankMonth!Y9*(1+Control!$B$25)^Y$2*HLOOKUP(Y$2,FX!$B$40:$AK$43,2,FALSE)</f>
        <v>15327.109273450009</v>
      </c>
      <c r="Z9">
        <f>Calc_BankMonth!Z9*(1+Control!$B$25)^Z$2*HLOOKUP(Z$2,FX!$B$40:$AK$43,2,FALSE)</f>
        <v>15585.361899862955</v>
      </c>
      <c r="AA9">
        <f>Calc_BankMonth!AA9*(1+Control!$B$25)^AA$2*HLOOKUP(AA$2,FX!$B$40:$AK$43,2,FALSE)</f>
        <v>15730.258176725843</v>
      </c>
      <c r="AB9">
        <f>Calc_BankMonth!AB9*(1+Control!$B$25)^AB$2*HLOOKUP(AB$2,FX!$B$40:$AK$43,2,FALSE)</f>
        <v>15912.958644915092</v>
      </c>
      <c r="AC9">
        <f>Calc_BankMonth!AC9*(1+Control!$B$25)^AC$2*HLOOKUP(AC$2,FX!$B$40:$AK$43,2,FALSE)</f>
        <v>16139.27929083074</v>
      </c>
      <c r="AD9">
        <f>Calc_BankMonth!AD9*(1+Control!$B$25)^AD$2*HLOOKUP(AD$2,FX!$B$40:$AK$43,2,FALSE)</f>
        <v>16415.463585137084</v>
      </c>
      <c r="AE9">
        <f>Calc_BankMonth!AE9*(1+Control!$B$25)^AE$2*HLOOKUP(AE$2,FX!$B$40:$AK$43,2,FALSE)</f>
        <v>16669.161695034283</v>
      </c>
      <c r="AF9">
        <f>Calc_BankMonth!AF9*(1+Control!$B$25)^AF$2*HLOOKUP(AF$2,FX!$B$40:$AK$43,2,FALSE)</f>
        <v>16970.597313893795</v>
      </c>
      <c r="AG9">
        <f>Calc_BankMonth!AG9*(1+Control!$B$25)^AG$2*HLOOKUP(AG$2,FX!$B$40:$AK$43,2,FALSE)</f>
        <v>17264.133727162651</v>
      </c>
      <c r="AH9">
        <f>Calc_BankMonth!AH9*(1+Control!$B$25)^AH$2*HLOOKUP(AH$2,FX!$B$40:$AK$43,2,FALSE)</f>
        <v>17517.337958277487</v>
      </c>
      <c r="AI9">
        <f>Calc_BankMonth!AI9*(1+Control!$B$25)^AI$2*HLOOKUP(AI$2,FX!$B$40:$AK$43,2,FALSE)</f>
        <v>17902.202717445089</v>
      </c>
      <c r="AJ9">
        <f>Calc_BankMonth!AJ9*(1+Control!$B$25)^AJ$2*HLOOKUP(AJ$2,FX!$B$40:$AK$43,2,FALSE)</f>
        <v>18108.86360069623</v>
      </c>
      <c r="AK9">
        <f>Calc_BankMonth!AK9*(1+Control!$B$25)^AK$2*HLOOKUP(AK$2,FX!$B$40:$AK$43,2,FALSE)</f>
        <v>18267.811807208484</v>
      </c>
      <c r="AL9" cm="1">
        <f t="array" ref="AL9">INDEX(B9:AK9,Control!$B$3)</f>
        <v>18267.811807208484</v>
      </c>
    </row>
    <row r="10" spans="1:38" x14ac:dyDescent="0.25">
      <c r="A10" t="s">
        <v>30</v>
      </c>
      <c r="B10">
        <f>Calc_BankMonth!B10*(1+Control!$B$25)^B$2*HLOOKUP(B$2,FX!$B$40:$AK$43,2,FALSE)</f>
        <v>13986.891381645692</v>
      </c>
      <c r="C10">
        <f>Calc_BankMonth!C10*(1+Control!$B$25)^C$2*HLOOKUP(C$2,FX!$B$40:$AK$43,2,FALSE)</f>
        <v>14140.716959321622</v>
      </c>
      <c r="D10">
        <f>Calc_BankMonth!D10*(1+Control!$B$25)^D$2*HLOOKUP(D$2,FX!$B$40:$AK$43,2,FALSE)</f>
        <v>14429.559399520533</v>
      </c>
      <c r="E10">
        <f>Calc_BankMonth!E10*(1+Control!$B$25)^E$2*HLOOKUP(E$2,FX!$B$40:$AK$43,2,FALSE)</f>
        <v>14620.88052737324</v>
      </c>
      <c r="F10">
        <f>Calc_BankMonth!F10*(1+Control!$B$25)^F$2*HLOOKUP(F$2,FX!$B$40:$AK$43,2,FALSE)</f>
        <v>15006.437023567749</v>
      </c>
      <c r="G10">
        <f>Calc_BankMonth!G10*(1+Control!$B$25)^G$2*HLOOKUP(G$2,FX!$B$40:$AK$43,2,FALSE)</f>
        <v>15106.819699635533</v>
      </c>
      <c r="H10">
        <f>Calc_BankMonth!H10*(1+Control!$B$25)^H$2*HLOOKUP(H$2,FX!$B$40:$AK$43,2,FALSE)</f>
        <v>15225.386226626584</v>
      </c>
      <c r="I10">
        <f>Calc_BankMonth!I10*(1+Control!$B$25)^I$2*HLOOKUP(I$2,FX!$B$40:$AK$43,2,FALSE)</f>
        <v>15435.60834522704</v>
      </c>
      <c r="J10">
        <f>Calc_BankMonth!J10*(1+Control!$B$25)^J$2*HLOOKUP(J$2,FX!$B$40:$AK$43,2,FALSE)</f>
        <v>15533.00693474101</v>
      </c>
      <c r="K10">
        <f>Calc_BankMonth!K10*(1+Control!$B$25)^K$2*HLOOKUP(K$2,FX!$B$40:$AK$43,2,FALSE)</f>
        <v>15648.053064788901</v>
      </c>
      <c r="L10">
        <f>Calc_BankMonth!L10*(1+Control!$B$25)^L$2*HLOOKUP(L$2,FX!$B$40:$AK$43,2,FALSE)</f>
        <v>15809.607398161932</v>
      </c>
      <c r="M10">
        <f>Calc_BankMonth!M10*(1+Control!$B$25)^M$2*HLOOKUP(M$2,FX!$B$40:$AK$43,2,FALSE)</f>
        <v>15840.161816400008</v>
      </c>
      <c r="N10">
        <f>Calc_BankMonth!N10*(1+Control!$B$25)^N$2*HLOOKUP(N$2,FX!$B$40:$AK$43,2,FALSE)</f>
        <v>15914.720250666609</v>
      </c>
      <c r="O10">
        <f>Calc_BankMonth!O10*(1+Control!$B$25)^O$2*HLOOKUP(O$2,FX!$B$40:$AK$43,2,FALSE)</f>
        <v>16006.895980548941</v>
      </c>
      <c r="P10">
        <f>Calc_BankMonth!P10*(1+Control!$B$25)^P$2*HLOOKUP(P$2,FX!$B$40:$AK$43,2,FALSE)</f>
        <v>16010.188985716833</v>
      </c>
      <c r="Q10">
        <f>Calc_BankMonth!Q10*(1+Control!$B$25)^Q$2*HLOOKUP(Q$2,FX!$B$40:$AK$43,2,FALSE)</f>
        <v>16015.293055849215</v>
      </c>
      <c r="R10">
        <f>Calc_BankMonth!R10*(1+Control!$B$25)^R$2*HLOOKUP(R$2,FX!$B$40:$AK$43,2,FALSE)</f>
        <v>16064.142962366648</v>
      </c>
      <c r="S10">
        <f>Calc_BankMonth!S10*(1+Control!$B$25)^S$2*HLOOKUP(S$2,FX!$B$40:$AK$43,2,FALSE)</f>
        <v>16126.302435875217</v>
      </c>
      <c r="T10">
        <f>Calc_BankMonth!T10*(1+Control!$B$25)^T$2*HLOOKUP(T$2,FX!$B$40:$AK$43,2,FALSE)</f>
        <v>16135.189814941865</v>
      </c>
      <c r="U10">
        <f>Calc_BankMonth!U10*(1+Control!$B$25)^U$2*HLOOKUP(U$2,FX!$B$40:$AK$43,2,FALSE)</f>
        <v>16286.1656439367</v>
      </c>
      <c r="V10">
        <f>Calc_BankMonth!V10*(1+Control!$B$25)^V$2*HLOOKUP(V$2,FX!$B$40:$AK$43,2,FALSE)</f>
        <v>16242.854649922256</v>
      </c>
      <c r="W10">
        <f>Calc_BankMonth!W10*(1+Control!$B$25)^W$2*HLOOKUP(W$2,FX!$B$40:$AK$43,2,FALSE)</f>
        <v>16439.589538691394</v>
      </c>
      <c r="X10">
        <f>Calc_BankMonth!X10*(1+Control!$B$25)^X$2*HLOOKUP(X$2,FX!$B$40:$AK$43,2,FALSE)</f>
        <v>16410.427795800661</v>
      </c>
      <c r="Y10">
        <f>Calc_BankMonth!Y10*(1+Control!$B$25)^Y$2*HLOOKUP(Y$2,FX!$B$40:$AK$43,2,FALSE)</f>
        <v>16664.142404814011</v>
      </c>
      <c r="Z10">
        <f>Calc_BankMonth!Z10*(1+Control!$B$25)^Z$2*HLOOKUP(Z$2,FX!$B$40:$AK$43,2,FALSE)</f>
        <v>16815.404890340556</v>
      </c>
      <c r="AA10">
        <f>Calc_BankMonth!AA10*(1+Control!$B$25)^AA$2*HLOOKUP(AA$2,FX!$B$40:$AK$43,2,FALSE)</f>
        <v>16973.733268918499</v>
      </c>
      <c r="AB10">
        <f>Calc_BankMonth!AB10*(1+Control!$B$25)^AB$2*HLOOKUP(AB$2,FX!$B$40:$AK$43,2,FALSE)</f>
        <v>17300.649364413122</v>
      </c>
      <c r="AC10">
        <f>Calc_BankMonth!AC10*(1+Control!$B$25)^AC$2*HLOOKUP(AC$2,FX!$B$40:$AK$43,2,FALSE)</f>
        <v>17621.708504911614</v>
      </c>
      <c r="AD10">
        <f>Calc_BankMonth!AD10*(1+Control!$B$25)^AD$2*HLOOKUP(AD$2,FX!$B$40:$AK$43,2,FALSE)</f>
        <v>17802.516879969033</v>
      </c>
      <c r="AE10">
        <f>Calc_BankMonth!AE10*(1+Control!$B$25)^AE$2*HLOOKUP(AE$2,FX!$B$40:$AK$43,2,FALSE)</f>
        <v>18218.119703773693</v>
      </c>
      <c r="AF10">
        <f>Calc_BankMonth!AF10*(1+Control!$B$25)^AF$2*HLOOKUP(AF$2,FX!$B$40:$AK$43,2,FALSE)</f>
        <v>18471.95882185657</v>
      </c>
      <c r="AG10">
        <f>Calc_BankMonth!AG10*(1+Control!$B$25)^AG$2*HLOOKUP(AG$2,FX!$B$40:$AK$43,2,FALSE)</f>
        <v>18693.930869415413</v>
      </c>
      <c r="AH10">
        <f>Calc_BankMonth!AH10*(1+Control!$B$25)^AH$2*HLOOKUP(AH$2,FX!$B$40:$AK$43,2,FALSE)</f>
        <v>19002.057984399282</v>
      </c>
      <c r="AI10">
        <f>Calc_BankMonth!AI10*(1+Control!$B$25)^AI$2*HLOOKUP(AI$2,FX!$B$40:$AK$43,2,FALSE)</f>
        <v>19357.274522958563</v>
      </c>
      <c r="AJ10">
        <f>Calc_BankMonth!AJ10*(1+Control!$B$25)^AJ$2*HLOOKUP(AJ$2,FX!$B$40:$AK$43,2,FALSE)</f>
        <v>19535.416393559797</v>
      </c>
      <c r="AK10">
        <f>Calc_BankMonth!AK10*(1+Control!$B$25)^AK$2*HLOOKUP(AK$2,FX!$B$40:$AK$43,2,FALSE)</f>
        <v>19821.625957692104</v>
      </c>
      <c r="AL10" cm="1">
        <f t="array" ref="AL10">INDEX(B10:AK10,Control!$B$3)</f>
        <v>19821.625957692104</v>
      </c>
    </row>
    <row r="11" spans="1:38" x14ac:dyDescent="0.25">
      <c r="A11" t="s">
        <v>32</v>
      </c>
      <c r="B11">
        <f>Calc_BankMonth!B11*(1+Control!$B$25)^B$2*HLOOKUP(B$2,FX!$B$40:$AK$43,2,FALSE)</f>
        <v>14981.955039495484</v>
      </c>
      <c r="C11">
        <f>Calc_BankMonth!C11*(1+Control!$B$25)^C$2*HLOOKUP(C$2,FX!$B$40:$AK$43,2,FALSE)</f>
        <v>15321.56455997696</v>
      </c>
      <c r="D11">
        <f>Calc_BankMonth!D11*(1+Control!$B$25)^D$2*HLOOKUP(D$2,FX!$B$40:$AK$43,2,FALSE)</f>
        <v>15501.662227842749</v>
      </c>
      <c r="E11">
        <f>Calc_BankMonth!E11*(1+Control!$B$25)^E$2*HLOOKUP(E$2,FX!$B$40:$AK$43,2,FALSE)</f>
        <v>15786.950320407781</v>
      </c>
      <c r="F11">
        <f>Calc_BankMonth!F11*(1+Control!$B$25)^F$2*HLOOKUP(F$2,FX!$B$40:$AK$43,2,FALSE)</f>
        <v>16075.095197164515</v>
      </c>
      <c r="G11">
        <f>Calc_BankMonth!G11*(1+Control!$B$25)^G$2*HLOOKUP(G$2,FX!$B$40:$AK$43,2,FALSE)</f>
        <v>16244.150960194245</v>
      </c>
      <c r="H11">
        <f>Calc_BankMonth!H11*(1+Control!$B$25)^H$2*HLOOKUP(H$2,FX!$B$40:$AK$43,2,FALSE)</f>
        <v>16409.306900635114</v>
      </c>
      <c r="I11">
        <f>Calc_BankMonth!I11*(1+Control!$B$25)^I$2*HLOOKUP(I$2,FX!$B$40:$AK$43,2,FALSE)</f>
        <v>16513.183932500688</v>
      </c>
      <c r="J11">
        <f>Calc_BankMonth!J11*(1+Control!$B$25)^J$2*HLOOKUP(J$2,FX!$B$40:$AK$43,2,FALSE)</f>
        <v>16818.723104226148</v>
      </c>
      <c r="K11">
        <f>Calc_BankMonth!K11*(1+Control!$B$25)^K$2*HLOOKUP(K$2,FX!$B$40:$AK$43,2,FALSE)</f>
        <v>16869.453141262318</v>
      </c>
      <c r="L11">
        <f>Calc_BankMonth!L11*(1+Control!$B$25)^L$2*HLOOKUP(L$2,FX!$B$40:$AK$43,2,FALSE)</f>
        <v>17053.559960559112</v>
      </c>
      <c r="M11">
        <f>Calc_BankMonth!M11*(1+Control!$B$25)^M$2*HLOOKUP(M$2,FX!$B$40:$AK$43,2,FALSE)</f>
        <v>17057.542341600009</v>
      </c>
      <c r="N11">
        <f>Calc_BankMonth!N11*(1+Control!$B$25)^N$2*HLOOKUP(N$2,FX!$B$40:$AK$43,2,FALSE)</f>
        <v>17143.577976307988</v>
      </c>
      <c r="O11">
        <f>Calc_BankMonth!O11*(1+Control!$B$25)^O$2*HLOOKUP(O$2,FX!$B$40:$AK$43,2,FALSE)</f>
        <v>17101.451477841765</v>
      </c>
      <c r="P11">
        <f>Calc_BankMonth!P11*(1+Control!$B$25)^P$2*HLOOKUP(P$2,FX!$B$40:$AK$43,2,FALSE)</f>
        <v>17255.267467334208</v>
      </c>
      <c r="Q11">
        <f>Calc_BankMonth!Q11*(1+Control!$B$25)^Q$2*HLOOKUP(Q$2,FX!$B$40:$AK$43,2,FALSE)</f>
        <v>17200.095114877658</v>
      </c>
      <c r="R11">
        <f>Calc_BankMonth!R11*(1+Control!$B$25)^R$2*HLOOKUP(R$2,FX!$B$40:$AK$43,2,FALSE)</f>
        <v>17289.520544385934</v>
      </c>
      <c r="S11">
        <f>Calc_BankMonth!S11*(1+Control!$B$25)^S$2*HLOOKUP(S$2,FX!$B$40:$AK$43,2,FALSE)</f>
        <v>17381.646580529519</v>
      </c>
      <c r="T11">
        <f>Calc_BankMonth!T11*(1+Control!$B$25)^T$2*HLOOKUP(T$2,FX!$B$40:$AK$43,2,FALSE)</f>
        <v>17429.510496843475</v>
      </c>
      <c r="U11">
        <f>Calc_BankMonth!U11*(1+Control!$B$25)^U$2*HLOOKUP(U$2,FX!$B$40:$AK$43,2,FALSE)</f>
        <v>17476.019554103317</v>
      </c>
      <c r="V11">
        <f>Calc_BankMonth!V11*(1+Control!$B$25)^V$2*HLOOKUP(V$2,FX!$B$40:$AK$43,2,FALSE)</f>
        <v>17505.909276763774</v>
      </c>
      <c r="W11">
        <f>Calc_BankMonth!W11*(1+Control!$B$25)^W$2*HLOOKUP(W$2,FX!$B$40:$AK$43,2,FALSE)</f>
        <v>17724.168331694462</v>
      </c>
      <c r="X11">
        <f>Calc_BankMonth!X11*(1+Control!$B$25)^X$2*HLOOKUP(X$2,FX!$B$40:$AK$43,2,FALSE)</f>
        <v>17788.429644002263</v>
      </c>
      <c r="Y11">
        <f>Calc_BankMonth!Y11*(1+Control!$B$25)^Y$2*HLOOKUP(Y$2,FX!$B$40:$AK$43,2,FALSE)</f>
        <v>17855.397458140011</v>
      </c>
      <c r="Z11">
        <f>Calc_BankMonth!Z11*(1+Control!$B$25)^Z$2*HLOOKUP(Z$2,FX!$B$40:$AK$43,2,FALSE)</f>
        <v>18217.901957256006</v>
      </c>
      <c r="AA11">
        <f>Calc_BankMonth!AA11*(1+Control!$B$25)^AA$2*HLOOKUP(AA$2,FX!$B$40:$AK$43,2,FALSE)</f>
        <v>18399.418405148106</v>
      </c>
      <c r="AB11">
        <f>Calc_BankMonth!AB11*(1+Control!$B$25)^AB$2*HLOOKUP(AB$2,FX!$B$40:$AK$43,2,FALSE)</f>
        <v>18623.252835243424</v>
      </c>
      <c r="AC11">
        <f>Calc_BankMonth!AC11*(1+Control!$B$25)^AC$2*HLOOKUP(AC$2,FX!$B$40:$AK$43,2,FALSE)</f>
        <v>18845.874022554523</v>
      </c>
      <c r="AD11">
        <f>Calc_BankMonth!AD11*(1+Control!$B$25)^AD$2*HLOOKUP(AD$2,FX!$B$40:$AK$43,2,FALSE)</f>
        <v>19169.240945828187</v>
      </c>
      <c r="AE11">
        <f>Calc_BankMonth!AE11*(1+Control!$B$25)^AE$2*HLOOKUP(AE$2,FX!$B$40:$AK$43,2,FALSE)</f>
        <v>19557.095136485859</v>
      </c>
      <c r="AF11">
        <f>Calc_BankMonth!AF11*(1+Control!$B$25)^AF$2*HLOOKUP(AF$2,FX!$B$40:$AK$43,2,FALSE)</f>
        <v>19883.125329039096</v>
      </c>
      <c r="AG11">
        <f>Calc_BankMonth!AG11*(1+Control!$B$25)^AG$2*HLOOKUP(AG$2,FX!$B$40:$AK$43,2,FALSE)</f>
        <v>20096.027194405731</v>
      </c>
      <c r="AH11">
        <f>Calc_BankMonth!AH11*(1+Control!$B$25)^AH$2*HLOOKUP(AH$2,FX!$B$40:$AK$43,2,FALSE)</f>
        <v>20414.871457827179</v>
      </c>
      <c r="AI11">
        <f>Calc_BankMonth!AI11*(1+Control!$B$25)^AI$2*HLOOKUP(AI$2,FX!$B$40:$AK$43,2,FALSE)</f>
        <v>20854.006496454102</v>
      </c>
      <c r="AJ11">
        <f>Calc_BankMonth!AJ11*(1+Control!$B$25)^AJ$2*HLOOKUP(AJ$2,FX!$B$40:$AK$43,2,FALSE)</f>
        <v>21080.142371574766</v>
      </c>
      <c r="AK11">
        <f>Calc_BankMonth!AK11*(1+Control!$B$25)^AK$2*HLOOKUP(AK$2,FX!$B$40:$AK$43,2,FALSE)</f>
        <v>21324.800614796357</v>
      </c>
      <c r="AL11" cm="1">
        <f t="array" ref="AL11">INDEX(B11:AK11,Control!$B$3)</f>
        <v>21324.800614796357</v>
      </c>
    </row>
    <row r="12" spans="1:38" x14ac:dyDescent="0.25">
      <c r="A12" t="s">
        <v>33</v>
      </c>
      <c r="B12">
        <f>Calc_BankMonth!B12*(1+Control!$B$25)^B$2*HLOOKUP(B$2,FX!$B$40:$AK$43,2,FALSE)</f>
        <v>16092.837234370649</v>
      </c>
      <c r="C12">
        <f>Calc_BankMonth!C12*(1+Control!$B$25)^C$2*HLOOKUP(C$2,FX!$B$40:$AK$43,2,FALSE)</f>
        <v>16450.144257764288</v>
      </c>
      <c r="D12">
        <f>Calc_BankMonth!D12*(1+Control!$B$25)^D$2*HLOOKUP(D$2,FX!$B$40:$AK$43,2,FALSE)</f>
        <v>16662.611565377676</v>
      </c>
      <c r="E12">
        <f>Calc_BankMonth!E12*(1+Control!$B$25)^E$2*HLOOKUP(E$2,FX!$B$40:$AK$43,2,FALSE)</f>
        <v>16923.595922403139</v>
      </c>
      <c r="F12">
        <f>Calc_BankMonth!F12*(1+Control!$B$25)^F$2*HLOOKUP(F$2,FX!$B$40:$AK$43,2,FALSE)</f>
        <v>17222.783145308291</v>
      </c>
      <c r="G12">
        <f>Calc_BankMonth!G12*(1+Control!$B$25)^G$2*HLOOKUP(G$2,FX!$B$40:$AK$43,2,FALSE)</f>
        <v>17427.964742905682</v>
      </c>
      <c r="H12">
        <f>Calc_BankMonth!H12*(1+Control!$B$25)^H$2*HLOOKUP(H$2,FX!$B$40:$AK$43,2,FALSE)</f>
        <v>17661.545620094628</v>
      </c>
      <c r="I12">
        <f>Calc_BankMonth!I12*(1+Control!$B$25)^I$2*HLOOKUP(I$2,FX!$B$40:$AK$43,2,FALSE)</f>
        <v>17869.442861310617</v>
      </c>
      <c r="J12">
        <f>Calc_BankMonth!J12*(1+Control!$B$25)^J$2*HLOOKUP(J$2,FX!$B$40:$AK$43,2,FALSE)</f>
        <v>17931.60639289386</v>
      </c>
      <c r="K12">
        <f>Calc_BankMonth!K12*(1+Control!$B$25)^K$2*HLOOKUP(K$2,FX!$B$40:$AK$43,2,FALSE)</f>
        <v>18091.410476644622</v>
      </c>
      <c r="L12">
        <f>Calc_BankMonth!L12*(1+Control!$B$25)^L$2*HLOOKUP(L$2,FX!$B$40:$AK$43,2,FALSE)</f>
        <v>18132.876653624262</v>
      </c>
      <c r="M12">
        <f>Calc_BankMonth!M12*(1+Control!$B$25)^M$2*HLOOKUP(M$2,FX!$B$40:$AK$43,2,FALSE)</f>
        <v>18298.466442000012</v>
      </c>
      <c r="N12">
        <f>Calc_BankMonth!N12*(1+Control!$B$25)^N$2*HLOOKUP(N$2,FX!$B$40:$AK$43,2,FALSE)</f>
        <v>18425.671815255104</v>
      </c>
      <c r="O12">
        <f>Calc_BankMonth!O12*(1+Control!$B$25)^O$2*HLOOKUP(O$2,FX!$B$40:$AK$43,2,FALSE)</f>
        <v>18442.670473567912</v>
      </c>
      <c r="P12">
        <f>Calc_BankMonth!P12*(1+Control!$B$25)^P$2*HLOOKUP(P$2,FX!$B$40:$AK$43,2,FALSE)</f>
        <v>18352.375649268568</v>
      </c>
      <c r="Q12">
        <f>Calc_BankMonth!Q12*(1+Control!$B$25)^Q$2*HLOOKUP(Q$2,FX!$B$40:$AK$43,2,FALSE)</f>
        <v>18479.310235265802</v>
      </c>
      <c r="R12">
        <f>Calc_BankMonth!R12*(1+Control!$B$25)^R$2*HLOOKUP(R$2,FX!$B$40:$AK$43,2,FALSE)</f>
        <v>18574.956072240253</v>
      </c>
      <c r="S12">
        <f>Calc_BankMonth!S12*(1+Control!$B$25)^S$2*HLOOKUP(S$2,FX!$B$40:$AK$43,2,FALSE)</f>
        <v>18530.838314088465</v>
      </c>
      <c r="T12">
        <f>Calc_BankMonth!T12*(1+Control!$B$25)^T$2*HLOOKUP(T$2,FX!$B$40:$AK$43,2,FALSE)</f>
        <v>18689.702110689621</v>
      </c>
      <c r="U12">
        <f>Calc_BankMonth!U12*(1+Control!$B$25)^U$2*HLOOKUP(U$2,FX!$B$40:$AK$43,2,FALSE)</f>
        <v>18700.862854015049</v>
      </c>
      <c r="V12">
        <f>Calc_BankMonth!V12*(1+Control!$B$25)^V$2*HLOOKUP(V$2,FX!$B$40:$AK$43,2,FALSE)</f>
        <v>18780.532888398688</v>
      </c>
      <c r="W12">
        <f>Calc_BankMonth!W12*(1+Control!$B$25)^W$2*HLOOKUP(W$2,FX!$B$40:$AK$43,2,FALSE)</f>
        <v>18956.610290611981</v>
      </c>
      <c r="X12">
        <f>Calc_BankMonth!X12*(1+Control!$B$25)^X$2*HLOOKUP(X$2,FX!$B$40:$AK$43,2,FALSE)</f>
        <v>19048.767130330831</v>
      </c>
      <c r="Y12">
        <f>Calc_BankMonth!Y12*(1+Control!$B$25)^Y$2*HLOOKUP(Y$2,FX!$B$40:$AK$43,2,FALSE)</f>
        <v>19296.204814548008</v>
      </c>
      <c r="Z12">
        <f>Calc_BankMonth!Z12*(1+Control!$B$25)^Z$2*HLOOKUP(Z$2,FX!$B$40:$AK$43,2,FALSE)</f>
        <v>19465.848247726528</v>
      </c>
      <c r="AA12">
        <f>Calc_BankMonth!AA12*(1+Control!$B$25)^AA$2*HLOOKUP(AA$2,FX!$B$40:$AK$43,2,FALSE)</f>
        <v>19771.525111762083</v>
      </c>
      <c r="AB12">
        <f>Calc_BankMonth!AB12*(1+Control!$B$25)^AB$2*HLOOKUP(AB$2,FX!$B$40:$AK$43,2,FALSE)</f>
        <v>20069.478395825183</v>
      </c>
      <c r="AC12">
        <f>Calc_BankMonth!AC12*(1+Control!$B$25)^AC$2*HLOOKUP(AC$2,FX!$B$40:$AK$43,2,FALSE)</f>
        <v>20334.358012127333</v>
      </c>
      <c r="AD12">
        <f>Calc_BankMonth!AD12*(1+Control!$B$25)^AD$2*HLOOKUP(AD$2,FX!$B$40:$AK$43,2,FALSE)</f>
        <v>20566.847665536719</v>
      </c>
      <c r="AE12">
        <f>Calc_BankMonth!AE12*(1+Control!$B$25)^AE$2*HLOOKUP(AE$2,FX!$B$40:$AK$43,2,FALSE)</f>
        <v>20827.983270240475</v>
      </c>
      <c r="AF12">
        <f>Calc_BankMonth!AF12*(1+Control!$B$25)^AF$2*HLOOKUP(AF$2,FX!$B$40:$AK$43,2,FALSE)</f>
        <v>21235.143858323008</v>
      </c>
      <c r="AG12">
        <f>Calc_BankMonth!AG12*(1+Control!$B$25)^AG$2*HLOOKUP(AG$2,FX!$B$40:$AK$43,2,FALSE)</f>
        <v>21553.067289172806</v>
      </c>
      <c r="AH12">
        <f>Calc_BankMonth!AH12*(1+Control!$B$25)^AH$2*HLOOKUP(AH$2,FX!$B$40:$AK$43,2,FALSE)</f>
        <v>21957.047362869991</v>
      </c>
      <c r="AI12">
        <f>Calc_BankMonth!AI12*(1+Control!$B$25)^AI$2*HLOOKUP(AI$2,FX!$B$40:$AK$43,2,FALSE)</f>
        <v>22366.842400430105</v>
      </c>
      <c r="AJ12">
        <f>Calc_BankMonth!AJ12*(1+Control!$B$25)^AJ$2*HLOOKUP(AJ$2,FX!$B$40:$AK$43,2,FALSE)</f>
        <v>22726.916309277254</v>
      </c>
      <c r="AK12">
        <f>Calc_BankMonth!AK12*(1+Control!$B$25)^AK$2*HLOOKUP(AK$2,FX!$B$40:$AK$43,2,FALSE)</f>
        <v>23021.401533497217</v>
      </c>
      <c r="AL12" cm="1">
        <f t="array" ref="AL12">INDEX(B12:AK12,Control!$B$3)</f>
        <v>23021.401533497217</v>
      </c>
    </row>
    <row r="13" spans="1:38" x14ac:dyDescent="0.25">
      <c r="A13" t="s">
        <v>34</v>
      </c>
      <c r="B13">
        <f>Calc_BankMonth!B13*(1+Control!$B$25)^B$2*HLOOKUP(B$2,FX!$B$40:$AK$43,2,FALSE)</f>
        <v>17211.0376335084</v>
      </c>
      <c r="C13">
        <f>Calc_BankMonth!C13*(1+Control!$B$25)^C$2*HLOOKUP(C$2,FX!$B$40:$AK$43,2,FALSE)</f>
        <v>17435.736967172943</v>
      </c>
      <c r="D13">
        <f>Calc_BankMonth!D13*(1+Control!$B$25)^D$2*HLOOKUP(D$2,FX!$B$40:$AK$43,2,FALSE)</f>
        <v>17724.554330602572</v>
      </c>
      <c r="E13">
        <f>Calc_BankMonth!E13*(1+Control!$B$25)^E$2*HLOOKUP(E$2,FX!$B$40:$AK$43,2,FALSE)</f>
        <v>17975.892176752815</v>
      </c>
      <c r="F13">
        <f>Calc_BankMonth!F13*(1+Control!$B$25)^F$2*HLOOKUP(F$2,FX!$B$40:$AK$43,2,FALSE)</f>
        <v>18401.095131089034</v>
      </c>
      <c r="G13">
        <f>Calc_BankMonth!G13*(1+Control!$B$25)^G$2*HLOOKUP(G$2,FX!$B$40:$AK$43,2,FALSE)</f>
        <v>18555.690351618101</v>
      </c>
      <c r="H13">
        <f>Calc_BankMonth!H13*(1+Control!$B$25)^H$2*HLOOKUP(H$2,FX!$B$40:$AK$43,2,FALSE)</f>
        <v>18780.03180251861</v>
      </c>
      <c r="I13">
        <f>Calc_BankMonth!I13*(1+Control!$B$25)^I$2*HLOOKUP(I$2,FX!$B$40:$AK$43,2,FALSE)</f>
        <v>18968.489859728576</v>
      </c>
      <c r="J13">
        <f>Calc_BankMonth!J13*(1+Control!$B$25)^J$2*HLOOKUP(J$2,FX!$B$40:$AK$43,2,FALSE)</f>
        <v>19262.787304721689</v>
      </c>
      <c r="K13">
        <f>Calc_BankMonth!K13*(1+Control!$B$25)^K$2*HLOOKUP(K$2,FX!$B$40:$AK$43,2,FALSE)</f>
        <v>19287.288095091542</v>
      </c>
      <c r="L13">
        <f>Calc_BankMonth!L13*(1+Control!$B$25)^L$2*HLOOKUP(L$2,FX!$B$40:$AK$43,2,FALSE)</f>
        <v>19432.264417459817</v>
      </c>
      <c r="M13">
        <f>Calc_BankMonth!M13*(1+Control!$B$25)^M$2*HLOOKUP(M$2,FX!$B$40:$AK$43,2,FALSE)</f>
        <v>19556.93716920001</v>
      </c>
      <c r="N13">
        <f>Calc_BankMonth!N13*(1+Control!$B$25)^N$2*HLOOKUP(N$2,FX!$B$40:$AK$43,2,FALSE)</f>
        <v>19550.049518109357</v>
      </c>
      <c r="O13">
        <f>Calc_BankMonth!O13*(1+Control!$B$25)^O$2*HLOOKUP(O$2,FX!$B$40:$AK$43,2,FALSE)</f>
        <v>19666.068522097805</v>
      </c>
      <c r="P13">
        <f>Calc_BankMonth!P13*(1+Control!$B$25)^P$2*HLOOKUP(P$2,FX!$B$40:$AK$43,2,FALSE)</f>
        <v>19808.714914569769</v>
      </c>
      <c r="Q13">
        <f>Calc_BankMonth!Q13*(1+Control!$B$25)^Q$2*HLOOKUP(Q$2,FX!$B$40:$AK$43,2,FALSE)</f>
        <v>19750.120955972219</v>
      </c>
      <c r="R13">
        <f>Calc_BankMonth!R13*(1+Control!$B$25)^R$2*HLOOKUP(R$2,FX!$B$40:$AK$43,2,FALSE)</f>
        <v>19805.981056037879</v>
      </c>
      <c r="S13">
        <f>Calc_BankMonth!S13*(1+Control!$B$25)^S$2*HLOOKUP(S$2,FX!$B$40:$AK$43,2,FALSE)</f>
        <v>19948.978315269884</v>
      </c>
      <c r="T13">
        <f>Calc_BankMonth!T13*(1+Control!$B$25)^T$2*HLOOKUP(T$2,FX!$B$40:$AK$43,2,FALSE)</f>
        <v>19934.282636623968</v>
      </c>
      <c r="U13">
        <f>Calc_BankMonth!U13*(1+Control!$B$25)^U$2*HLOOKUP(U$2,FX!$B$40:$AK$43,2,FALSE)</f>
        <v>20029.92301724734</v>
      </c>
      <c r="V13">
        <f>Calc_BankMonth!V13*(1+Control!$B$25)^V$2*HLOOKUP(V$2,FX!$B$40:$AK$43,2,FALSE)</f>
        <v>20087.185448674561</v>
      </c>
      <c r="W13">
        <f>Calc_BankMonth!W13*(1+Control!$B$25)^W$2*HLOOKUP(W$2,FX!$B$40:$AK$43,2,FALSE)</f>
        <v>20156.935103275569</v>
      </c>
      <c r="X13">
        <f>Calc_BankMonth!X13*(1+Control!$B$25)^X$2*HLOOKUP(X$2,FX!$B$40:$AK$43,2,FALSE)</f>
        <v>20415.195434741643</v>
      </c>
      <c r="Y13">
        <f>Calc_BankMonth!Y13*(1+Control!$B$25)^Y$2*HLOOKUP(Y$2,FX!$B$40:$AK$43,2,FALSE)</f>
        <v>20551.915908274008</v>
      </c>
      <c r="Z13">
        <f>Calc_BankMonth!Z13*(1+Control!$B$25)^Z$2*HLOOKUP(Z$2,FX!$B$40:$AK$43,2,FALSE)</f>
        <v>20746.904858063477</v>
      </c>
      <c r="AA13">
        <f>Calc_BankMonth!AA13*(1+Control!$B$25)^AA$2*HLOOKUP(AA$2,FX!$B$40:$AK$43,2,FALSE)</f>
        <v>21104.695267299117</v>
      </c>
      <c r="AB13">
        <f>Calc_BankMonth!AB13*(1+Control!$B$25)^AB$2*HLOOKUP(AB$2,FX!$B$40:$AK$43,2,FALSE)</f>
        <v>21383.345323210153</v>
      </c>
      <c r="AC13">
        <f>Calc_BankMonth!AC13*(1+Control!$B$25)^AC$2*HLOOKUP(AC$2,FX!$B$40:$AK$43,2,FALSE)</f>
        <v>21618.520850553996</v>
      </c>
      <c r="AD13">
        <f>Calc_BankMonth!AD13*(1+Control!$B$25)^AD$2*HLOOKUP(AD$2,FX!$B$40:$AK$43,2,FALSE)</f>
        <v>22018.554573823105</v>
      </c>
      <c r="AE13">
        <f>Calc_BankMonth!AE13*(1+Control!$B$25)^AE$2*HLOOKUP(AE$2,FX!$B$40:$AK$43,2,FALSE)</f>
        <v>22284.849561608964</v>
      </c>
      <c r="AF13">
        <f>Calc_BankMonth!AF13*(1+Control!$B$25)^AF$2*HLOOKUP(AF$2,FX!$B$40:$AK$43,2,FALSE)</f>
        <v>22708.064480361358</v>
      </c>
      <c r="AG13">
        <f>Calc_BankMonth!AG13*(1+Control!$B$25)^AG$2*HLOOKUP(AG$2,FX!$B$40:$AK$43,2,FALSE)</f>
        <v>23130.754745074642</v>
      </c>
      <c r="AH13">
        <f>Calc_BankMonth!AH13*(1+Control!$B$25)^AH$2*HLOOKUP(AH$2,FX!$B$40:$AK$43,2,FALSE)</f>
        <v>23269.515357618944</v>
      </c>
      <c r="AI13">
        <f>Calc_BankMonth!AI13*(1+Control!$B$25)^AI$2*HLOOKUP(AI$2,FX!$B$40:$AK$43,2,FALSE)</f>
        <v>23813.862240703354</v>
      </c>
      <c r="AJ13">
        <f>Calc_BankMonth!AJ13*(1+Control!$B$25)^AJ$2*HLOOKUP(AJ$2,FX!$B$40:$AK$43,2,FALSE)</f>
        <v>24244.923848019949</v>
      </c>
      <c r="AK13">
        <f>Calc_BankMonth!AK13*(1+Control!$B$25)^AK$2*HLOOKUP(AK$2,FX!$B$40:$AK$43,2,FALSE)</f>
        <v>24516.15604064846</v>
      </c>
      <c r="AL13" cm="1">
        <f t="array" ref="AL13">INDEX(B13:AK13,Control!$B$3)</f>
        <v>24516.15604064846</v>
      </c>
    </row>
    <row r="14" spans="1:38" x14ac:dyDescent="0.25">
      <c r="A14" t="s">
        <v>35</v>
      </c>
      <c r="B14">
        <f>Calc_BankMonth!B14*(1+Control!$B$25)^B$2*HLOOKUP(B$2,FX!$B$40:$AK$43,2,FALSE)</f>
        <v>18276.207566975201</v>
      </c>
      <c r="C14">
        <f>Calc_BankMonth!C14*(1+Control!$B$25)^C$2*HLOOKUP(C$2,FX!$B$40:$AK$43,2,FALSE)</f>
        <v>18572.24253547714</v>
      </c>
      <c r="D14">
        <f>Calc_BankMonth!D14*(1+Control!$B$25)^D$2*HLOOKUP(D$2,FX!$B$40:$AK$43,2,FALSE)</f>
        <v>18860.752025059992</v>
      </c>
      <c r="E14">
        <f>Calc_BankMonth!E14*(1+Control!$B$25)^E$2*HLOOKUP(E$2,FX!$B$40:$AK$43,2,FALSE)</f>
        <v>19271.428410359793</v>
      </c>
      <c r="F14">
        <f>Calc_BankMonth!F14*(1+Control!$B$25)^F$2*HLOOKUP(F$2,FX!$B$40:$AK$43,2,FALSE)</f>
        <v>19502.133559534926</v>
      </c>
      <c r="G14">
        <f>Calc_BankMonth!G14*(1+Control!$B$25)^G$2*HLOOKUP(G$2,FX!$B$40:$AK$43,2,FALSE)</f>
        <v>19774.835267557268</v>
      </c>
      <c r="H14">
        <f>Calc_BankMonth!H14*(1+Control!$B$25)^H$2*HLOOKUP(H$2,FX!$B$40:$AK$43,2,FALSE)</f>
        <v>19949.423801277011</v>
      </c>
      <c r="I14">
        <f>Calc_BankMonth!I14*(1+Control!$B$25)^I$2*HLOOKUP(I$2,FX!$B$40:$AK$43,2,FALSE)</f>
        <v>20232.855598874248</v>
      </c>
      <c r="J14">
        <f>Calc_BankMonth!J14*(1+Control!$B$25)^J$2*HLOOKUP(J$2,FX!$B$40:$AK$43,2,FALSE)</f>
        <v>20447.433569047957</v>
      </c>
      <c r="K14">
        <f>Calc_BankMonth!K14*(1+Control!$B$25)^K$2*HLOOKUP(K$2,FX!$B$40:$AK$43,2,FALSE)</f>
        <v>20541.232091843303</v>
      </c>
      <c r="L14">
        <f>Calc_BankMonth!L14*(1+Control!$B$25)^L$2*HLOOKUP(L$2,FX!$B$40:$AK$43,2,FALSE)</f>
        <v>20608.31442387827</v>
      </c>
      <c r="M14">
        <f>Calc_BankMonth!M14*(1+Control!$B$25)^M$2*HLOOKUP(M$2,FX!$B$40:$AK$43,2,FALSE)</f>
        <v>20724.454179000011</v>
      </c>
      <c r="N14">
        <f>Calc_BankMonth!N14*(1+Control!$B$25)^N$2*HLOOKUP(N$2,FX!$B$40:$AK$43,2,FALSE)</f>
        <v>20964.182199413506</v>
      </c>
      <c r="O14">
        <f>Calc_BankMonth!O14*(1+Control!$B$25)^O$2*HLOOKUP(O$2,FX!$B$40:$AK$43,2,FALSE)</f>
        <v>20978.741563358257</v>
      </c>
      <c r="P14">
        <f>Calc_BankMonth!P14*(1+Control!$B$25)^P$2*HLOOKUP(P$2,FX!$B$40:$AK$43,2,FALSE)</f>
        <v>20995.21953404427</v>
      </c>
      <c r="Q14">
        <f>Calc_BankMonth!Q14*(1+Control!$B$25)^Q$2*HLOOKUP(Q$2,FX!$B$40:$AK$43,2,FALSE)</f>
        <v>20991.025111577415</v>
      </c>
      <c r="R14">
        <f>Calc_BankMonth!R14*(1+Control!$B$25)^R$2*HLOOKUP(R$2,FX!$B$40:$AK$43,2,FALSE)</f>
        <v>20962.612381793919</v>
      </c>
      <c r="S14">
        <f>Calc_BankMonth!S14*(1+Control!$B$25)^S$2*HLOOKUP(S$2,FX!$B$40:$AK$43,2,FALSE)</f>
        <v>21129.302324180619</v>
      </c>
      <c r="T14">
        <f>Calc_BankMonth!T14*(1+Control!$B$25)^T$2*HLOOKUP(T$2,FX!$B$40:$AK$43,2,FALSE)</f>
        <v>21210.515989082935</v>
      </c>
      <c r="U14">
        <f>Calc_BankMonth!U14*(1+Control!$B$25)^U$2*HLOOKUP(U$2,FX!$B$40:$AK$43,2,FALSE)</f>
        <v>21142.070429943215</v>
      </c>
      <c r="V14">
        <f>Calc_BankMonth!V14*(1+Control!$B$25)^V$2*HLOOKUP(V$2,FX!$B$40:$AK$43,2,FALSE)</f>
        <v>21355.810327453641</v>
      </c>
      <c r="W14">
        <f>Calc_BankMonth!W14*(1+Control!$B$25)^W$2*HLOOKUP(W$2,FX!$B$40:$AK$43,2,FALSE)</f>
        <v>21514.205703966702</v>
      </c>
      <c r="X14">
        <f>Calc_BankMonth!X14*(1+Control!$B$25)^X$2*HLOOKUP(X$2,FX!$B$40:$AK$43,2,FALSE)</f>
        <v>21573.407113360736</v>
      </c>
      <c r="Y14">
        <f>Calc_BankMonth!Y14*(1+Control!$B$25)^Y$2*HLOOKUP(Y$2,FX!$B$40:$AK$43,2,FALSE)</f>
        <v>21901.947674452011</v>
      </c>
      <c r="Z14">
        <f>Calc_BankMonth!Z14*(1+Control!$B$25)^Z$2*HLOOKUP(Z$2,FX!$B$40:$AK$43,2,FALSE)</f>
        <v>22029.039980448193</v>
      </c>
      <c r="AA14">
        <f>Calc_BankMonth!AA14*(1+Control!$B$25)^AA$2*HLOOKUP(AA$2,FX!$B$40:$AK$43,2,FALSE)</f>
        <v>22257.499170911484</v>
      </c>
      <c r="AB14">
        <f>Calc_BankMonth!AB14*(1+Control!$B$25)^AB$2*HLOOKUP(AB$2,FX!$B$40:$AK$43,2,FALSE)</f>
        <v>22652.765085816991</v>
      </c>
      <c r="AC14">
        <f>Calc_BankMonth!AC14*(1+Control!$B$25)^AC$2*HLOOKUP(AC$2,FX!$B$40:$AK$43,2,FALSE)</f>
        <v>22918.09584477832</v>
      </c>
      <c r="AD14">
        <f>Calc_BankMonth!AD14*(1+Control!$B$25)^AD$2*HLOOKUP(AD$2,FX!$B$40:$AK$43,2,FALSE)</f>
        <v>23465.92902347595</v>
      </c>
      <c r="AE14">
        <f>Calc_BankMonth!AE14*(1+Control!$B$25)^AE$2*HLOOKUP(AE$2,FX!$B$40:$AK$43,2,FALSE)</f>
        <v>23746.090489978011</v>
      </c>
      <c r="AF14">
        <f>Calc_BankMonth!AF14*(1+Control!$B$25)^AF$2*HLOOKUP(AF$2,FX!$B$40:$AK$43,2,FALSE)</f>
        <v>24135.09442989216</v>
      </c>
      <c r="AG14">
        <f>Calc_BankMonth!AG14*(1+Control!$B$25)^AG$2*HLOOKUP(AG$2,FX!$B$40:$AK$43,2,FALSE)</f>
        <v>24464.514756405137</v>
      </c>
      <c r="AH14">
        <f>Calc_BankMonth!AH14*(1+Control!$B$25)^AH$2*HLOOKUP(AH$2,FX!$B$40:$AK$43,2,FALSE)</f>
        <v>25043.017648418172</v>
      </c>
      <c r="AI14">
        <f>Calc_BankMonth!AI14*(1+Control!$B$25)^AI$2*HLOOKUP(AI$2,FX!$B$40:$AK$43,2,FALSE)</f>
        <v>25246.645272870683</v>
      </c>
      <c r="AJ14">
        <f>Calc_BankMonth!AJ14*(1+Control!$B$25)^AJ$2*HLOOKUP(AJ$2,FX!$B$40:$AK$43,2,FALSE)</f>
        <v>25827.079181491245</v>
      </c>
      <c r="AK14">
        <f>Calc_BankMonth!AK14*(1+Control!$B$25)^AK$2*HLOOKUP(AK$2,FX!$B$40:$AK$43,2,FALSE)</f>
        <v>26001.067273910969</v>
      </c>
      <c r="AL14" cm="1">
        <f t="array" ref="AL14">INDEX(B14:AK14,Control!$B$3)</f>
        <v>26001.067273910969</v>
      </c>
    </row>
    <row r="15" spans="1:38" x14ac:dyDescent="0.25">
      <c r="A15" t="s">
        <v>36</v>
      </c>
      <c r="B15">
        <f>Calc_BankMonth!B15*(1+Control!$B$25)^B$2*HLOOKUP(B$2,FX!$B$40:$AK$43,2,FALSE)</f>
        <v>19357.710883868658</v>
      </c>
      <c r="C15">
        <f>Calc_BankMonth!C15*(1+Control!$B$25)^C$2*HLOOKUP(C$2,FX!$B$40:$AK$43,2,FALSE)</f>
        <v>19629.489398612637</v>
      </c>
      <c r="D15">
        <f>Calc_BankMonth!D15*(1+Control!$B$25)^D$2*HLOOKUP(D$2,FX!$B$40:$AK$43,2,FALSE)</f>
        <v>20074.231050523602</v>
      </c>
      <c r="E15">
        <f>Calc_BankMonth!E15*(1+Control!$B$25)^E$2*HLOOKUP(E$2,FX!$B$40:$AK$43,2,FALSE)</f>
        <v>20290.813162139715</v>
      </c>
      <c r="F15">
        <f>Calc_BankMonth!F15*(1+Control!$B$25)^F$2*HLOOKUP(F$2,FX!$B$40:$AK$43,2,FALSE)</f>
        <v>20573.865113252963</v>
      </c>
      <c r="G15">
        <f>Calc_BankMonth!G15*(1+Control!$B$25)^G$2*HLOOKUP(G$2,FX!$B$40:$AK$43,2,FALSE)</f>
        <v>20912.939396655333</v>
      </c>
      <c r="H15">
        <f>Calc_BankMonth!H15*(1+Control!$B$25)^H$2*HLOOKUP(H$2,FX!$B$40:$AK$43,2,FALSE)</f>
        <v>21229.610812057381</v>
      </c>
      <c r="I15">
        <f>Calc_BankMonth!I15*(1+Control!$B$25)^I$2*HLOOKUP(I$2,FX!$B$40:$AK$43,2,FALSE)</f>
        <v>21321.556269642355</v>
      </c>
      <c r="J15">
        <f>Calc_BankMonth!J15*(1+Control!$B$25)^J$2*HLOOKUP(J$2,FX!$B$40:$AK$43,2,FALSE)</f>
        <v>21709.191602249572</v>
      </c>
      <c r="K15">
        <f>Calc_BankMonth!K15*(1+Control!$B$25)^K$2*HLOOKUP(K$2,FX!$B$40:$AK$43,2,FALSE)</f>
        <v>21790.940920887595</v>
      </c>
      <c r="L15">
        <f>Calc_BankMonth!L15*(1+Control!$B$25)^L$2*HLOOKUP(L$2,FX!$B$40:$AK$43,2,FALSE)</f>
        <v>21975.15948103039</v>
      </c>
      <c r="M15">
        <f>Calc_BankMonth!M15*(1+Control!$B$25)^M$2*HLOOKUP(M$2,FX!$B$40:$AK$43,2,FALSE)</f>
        <v>21891.526970400013</v>
      </c>
      <c r="N15">
        <f>Calc_BankMonth!N15*(1+Control!$B$25)^N$2*HLOOKUP(N$2,FX!$B$40:$AK$43,2,FALSE)</f>
        <v>22067.973796083013</v>
      </c>
      <c r="O15">
        <f>Calc_BankMonth!O15*(1+Control!$B$25)^O$2*HLOOKUP(O$2,FX!$B$40:$AK$43,2,FALSE)</f>
        <v>22163.56399774531</v>
      </c>
      <c r="P15">
        <f>Calc_BankMonth!P15*(1+Control!$B$25)^P$2*HLOOKUP(P$2,FX!$B$40:$AK$43,2,FALSE)</f>
        <v>22243.149926552498</v>
      </c>
      <c r="Q15">
        <f>Calc_BankMonth!Q15*(1+Control!$B$25)^Q$2*HLOOKUP(Q$2,FX!$B$40:$AK$43,2,FALSE)</f>
        <v>22208.025844711188</v>
      </c>
      <c r="R15">
        <f>Calc_BankMonth!R15*(1+Control!$B$25)^R$2*HLOOKUP(R$2,FX!$B$40:$AK$43,2,FALSE)</f>
        <v>22292.141085071427</v>
      </c>
      <c r="S15">
        <f>Calc_BankMonth!S15*(1+Control!$B$25)^S$2*HLOOKUP(S$2,FX!$B$40:$AK$43,2,FALSE)</f>
        <v>22268.76522169212</v>
      </c>
      <c r="T15">
        <f>Calc_BankMonth!T15*(1+Control!$B$25)^T$2*HLOOKUP(T$2,FX!$B$40:$AK$43,2,FALSE)</f>
        <v>22390.714235215484</v>
      </c>
      <c r="U15">
        <f>Calc_BankMonth!U15*(1+Control!$B$25)^U$2*HLOOKUP(U$2,FX!$B$40:$AK$43,2,FALSE)</f>
        <v>22485.298076139785</v>
      </c>
      <c r="V15">
        <f>Calc_BankMonth!V15*(1+Control!$B$25)^V$2*HLOOKUP(V$2,FX!$B$40:$AK$43,2,FALSE)</f>
        <v>22636.968273092229</v>
      </c>
      <c r="W15">
        <f>Calc_BankMonth!W15*(1+Control!$B$25)^W$2*HLOOKUP(W$2,FX!$B$40:$AK$43,2,FALSE)</f>
        <v>22823.621756739474</v>
      </c>
      <c r="X15">
        <f>Calc_BankMonth!X15*(1+Control!$B$25)^X$2*HLOOKUP(X$2,FX!$B$40:$AK$43,2,FALSE)</f>
        <v>22927.083087113173</v>
      </c>
      <c r="Y15">
        <f>Calc_BankMonth!Y15*(1+Control!$B$25)^Y$2*HLOOKUP(Y$2,FX!$B$40:$AK$43,2,FALSE)</f>
        <v>23088.475951482011</v>
      </c>
      <c r="Z15">
        <f>Calc_BankMonth!Z15*(1+Control!$B$25)^Z$2*HLOOKUP(Z$2,FX!$B$40:$AK$43,2,FALSE)</f>
        <v>23443.400679889077</v>
      </c>
      <c r="AA15">
        <f>Calc_BankMonth!AA15*(1+Control!$B$25)^AA$2*HLOOKUP(AA$2,FX!$B$40:$AK$43,2,FALSE)</f>
        <v>23809.10446257377</v>
      </c>
      <c r="AB15">
        <f>Calc_BankMonth!AB15*(1+Control!$B$25)^AB$2*HLOOKUP(AB$2,FX!$B$40:$AK$43,2,FALSE)</f>
        <v>23947.848444794497</v>
      </c>
      <c r="AC15">
        <f>Calc_BankMonth!AC15*(1+Control!$B$25)^AC$2*HLOOKUP(AC$2,FX!$B$40:$AK$43,2,FALSE)</f>
        <v>24286.69527961074</v>
      </c>
      <c r="AD15">
        <f>Calc_BankMonth!AD15*(1+Control!$B$25)^AD$2*HLOOKUP(AD$2,FX!$B$40:$AK$43,2,FALSE)</f>
        <v>24738.227708860402</v>
      </c>
      <c r="AE15">
        <f>Calc_BankMonth!AE15*(1+Control!$B$25)^AE$2*HLOOKUP(AE$2,FX!$B$40:$AK$43,2,FALSE)</f>
        <v>25110.304213078067</v>
      </c>
      <c r="AF15">
        <f>Calc_BankMonth!AF15*(1+Control!$B$25)^AF$2*HLOOKUP(AF$2,FX!$B$40:$AK$43,2,FALSE)</f>
        <v>25574.588512696624</v>
      </c>
      <c r="AG15">
        <f>Calc_BankMonth!AG15*(1+Control!$B$25)^AG$2*HLOOKUP(AG$2,FX!$B$40:$AK$43,2,FALSE)</f>
        <v>25953.948782103078</v>
      </c>
      <c r="AH15">
        <f>Calc_BankMonth!AH15*(1+Control!$B$25)^AH$2*HLOOKUP(AH$2,FX!$B$40:$AK$43,2,FALSE)</f>
        <v>26378.491115813562</v>
      </c>
      <c r="AI15">
        <f>Calc_BankMonth!AI15*(1+Control!$B$25)^AI$2*HLOOKUP(AI$2,FX!$B$40:$AK$43,2,FALSE)</f>
        <v>26804.875589577838</v>
      </c>
      <c r="AJ15">
        <f>Calc_BankMonth!AJ15*(1+Control!$B$25)^AJ$2*HLOOKUP(AJ$2,FX!$B$40:$AK$43,2,FALSE)</f>
        <v>27332.963375542105</v>
      </c>
      <c r="AK15">
        <f>Calc_BankMonth!AK15*(1+Control!$B$25)^AK$2*HLOOKUP(AK$2,FX!$B$40:$AK$43,2,FALSE)</f>
        <v>27592.594208691171</v>
      </c>
      <c r="AL15" cm="1">
        <f t="array" ref="AL15">INDEX(B15:AK15,Control!$B$3)</f>
        <v>27592.594208691171</v>
      </c>
    </row>
    <row r="16" spans="1:38" x14ac:dyDescent="0.25">
      <c r="A16" t="s">
        <v>37</v>
      </c>
      <c r="B16">
        <f>Calc_BankMonth!B16*(1+Control!$B$25)^B$2*HLOOKUP(B$2,FX!$B$40:$AK$43,2,FALSE)</f>
        <v>20426.911132726447</v>
      </c>
      <c r="C16">
        <f>Calc_BankMonth!C16*(1+Control!$B$25)^C$2*HLOOKUP(C$2,FX!$B$40:$AK$43,2,FALSE)</f>
        <v>20857.570903294181</v>
      </c>
      <c r="D16">
        <f>Calc_BankMonth!D16*(1+Control!$B$25)^D$2*HLOOKUP(D$2,FX!$B$40:$AK$43,2,FALSE)</f>
        <v>21059.865256740992</v>
      </c>
      <c r="E16">
        <f>Calc_BankMonth!E16*(1+Control!$B$25)^E$2*HLOOKUP(E$2,FX!$B$40:$AK$43,2,FALSE)</f>
        <v>21502.54494052767</v>
      </c>
      <c r="F16">
        <f>Calc_BankMonth!F16*(1+Control!$B$25)^F$2*HLOOKUP(F$2,FX!$B$40:$AK$43,2,FALSE)</f>
        <v>21748.66466460939</v>
      </c>
      <c r="G16">
        <f>Calc_BankMonth!G16*(1+Control!$B$25)^G$2*HLOOKUP(G$2,FX!$B$40:$AK$43,2,FALSE)</f>
        <v>22024.545175832605</v>
      </c>
      <c r="H16">
        <f>Calc_BankMonth!H16*(1+Control!$B$25)^H$2*HLOOKUP(H$2,FX!$B$40:$AK$43,2,FALSE)</f>
        <v>22354.307725885996</v>
      </c>
      <c r="I16">
        <f>Calc_BankMonth!I16*(1+Control!$B$25)^I$2*HLOOKUP(I$2,FX!$B$40:$AK$43,2,FALSE)</f>
        <v>22645.88620882318</v>
      </c>
      <c r="J16">
        <f>Calc_BankMonth!J16*(1+Control!$B$25)^J$2*HLOOKUP(J$2,FX!$B$40:$AK$43,2,FALSE)</f>
        <v>22877.345754157413</v>
      </c>
      <c r="K16">
        <f>Calc_BankMonth!K16*(1+Control!$B$25)^K$2*HLOOKUP(K$2,FX!$B$40:$AK$43,2,FALSE)</f>
        <v>23002.533240564811</v>
      </c>
      <c r="L16">
        <f>Calc_BankMonth!L16*(1+Control!$B$25)^L$2*HLOOKUP(L$2,FX!$B$40:$AK$43,2,FALSE)</f>
        <v>23204.529691241976</v>
      </c>
      <c r="M16">
        <f>Calc_BankMonth!M16*(1+Control!$B$25)^M$2*HLOOKUP(M$2,FX!$B$40:$AK$43,2,FALSE)</f>
        <v>23291.148094200013</v>
      </c>
      <c r="N16">
        <f>Calc_BankMonth!N16*(1+Control!$B$25)^N$2*HLOOKUP(N$2,FX!$B$40:$AK$43,2,FALSE)</f>
        <v>23405.406630150417</v>
      </c>
      <c r="O16">
        <f>Calc_BankMonth!O16*(1+Control!$B$25)^O$2*HLOOKUP(O$2,FX!$B$40:$AK$43,2,FALSE)</f>
        <v>23431.489326600076</v>
      </c>
      <c r="P16">
        <f>Calc_BankMonth!P16*(1+Control!$B$25)^P$2*HLOOKUP(P$2,FX!$B$40:$AK$43,2,FALSE)</f>
        <v>23540.440315248528</v>
      </c>
      <c r="Q16">
        <f>Calc_BankMonth!Q16*(1+Control!$B$25)^Q$2*HLOOKUP(Q$2,FX!$B$40:$AK$43,2,FALSE)</f>
        <v>23502.30339569776</v>
      </c>
      <c r="R16">
        <f>Calc_BankMonth!R16*(1+Control!$B$25)^R$2*HLOOKUP(R$2,FX!$B$40:$AK$43,2,FALSE)</f>
        <v>23478.74708180481</v>
      </c>
      <c r="S16">
        <f>Calc_BankMonth!S16*(1+Control!$B$25)^S$2*HLOOKUP(S$2,FX!$B$40:$AK$43,2,FALSE)</f>
        <v>23614.047050696063</v>
      </c>
      <c r="T16">
        <f>Calc_BankMonth!T16*(1+Control!$B$25)^T$2*HLOOKUP(T$2,FX!$B$40:$AK$43,2,FALSE)</f>
        <v>23701.722631781449</v>
      </c>
      <c r="U16">
        <f>Calc_BankMonth!U16*(1+Control!$B$25)^U$2*HLOOKUP(U$2,FX!$B$40:$AK$43,2,FALSE)</f>
        <v>23679.552492378643</v>
      </c>
      <c r="V16">
        <f>Calc_BankMonth!V16*(1+Control!$B$25)^V$2*HLOOKUP(V$2,FX!$B$40:$AK$43,2,FALSE)</f>
        <v>23874.528285296459</v>
      </c>
      <c r="W16">
        <f>Calc_BankMonth!W16*(1+Control!$B$25)^W$2*HLOOKUP(W$2,FX!$B$40:$AK$43,2,FALSE)</f>
        <v>23961.853419978797</v>
      </c>
      <c r="X16">
        <f>Calc_BankMonth!X16*(1+Control!$B$25)^X$2*HLOOKUP(X$2,FX!$B$40:$AK$43,2,FALSE)</f>
        <v>24303.584661119679</v>
      </c>
      <c r="Y16">
        <f>Calc_BankMonth!Y16*(1+Control!$B$25)^Y$2*HLOOKUP(Y$2,FX!$B$40:$AK$43,2,FALSE)</f>
        <v>24384.90177739401</v>
      </c>
      <c r="Z16">
        <f>Calc_BankMonth!Z16*(1+Control!$B$25)^Z$2*HLOOKUP(Z$2,FX!$B$40:$AK$43,2,FALSE)</f>
        <v>24796.717597426377</v>
      </c>
      <c r="AA16">
        <f>Calc_BankMonth!AA16*(1+Control!$B$25)^AA$2*HLOOKUP(AA$2,FX!$B$40:$AK$43,2,FALSE)</f>
        <v>25072.752809641945</v>
      </c>
      <c r="AB16">
        <f>Calc_BankMonth!AB16*(1+Control!$B$25)^AB$2*HLOOKUP(AB$2,FX!$B$40:$AK$43,2,FALSE)</f>
        <v>25353.558285148531</v>
      </c>
      <c r="AC16">
        <f>Calc_BankMonth!AC16*(1+Control!$B$25)^AC$2*HLOOKUP(AC$2,FX!$B$40:$AK$43,2,FALSE)</f>
        <v>25741.162439601572</v>
      </c>
      <c r="AD16">
        <f>Calc_BankMonth!AD16*(1+Control!$B$25)^AD$2*HLOOKUP(AD$2,FX!$B$40:$AK$43,2,FALSE)</f>
        <v>26197.155381536035</v>
      </c>
      <c r="AE16">
        <f>Calc_BankMonth!AE16*(1+Control!$B$25)^AE$2*HLOOKUP(AE$2,FX!$B$40:$AK$43,2,FALSE)</f>
        <v>26547.42855285425</v>
      </c>
      <c r="AF16">
        <f>Calc_BankMonth!AF16*(1+Control!$B$25)^AF$2*HLOOKUP(AF$2,FX!$B$40:$AK$43,2,FALSE)</f>
        <v>26987.228053811483</v>
      </c>
      <c r="AG16">
        <f>Calc_BankMonth!AG16*(1+Control!$B$25)^AG$2*HLOOKUP(AG$2,FX!$B$40:$AK$43,2,FALSE)</f>
        <v>27496.952983333347</v>
      </c>
      <c r="AH16">
        <f>Calc_BankMonth!AH16*(1+Control!$B$25)^AH$2*HLOOKUP(AH$2,FX!$B$40:$AK$43,2,FALSE)</f>
        <v>27885.754193021072</v>
      </c>
      <c r="AI16">
        <f>Calc_BankMonth!AI16*(1+Control!$B$25)^AI$2*HLOOKUP(AI$2,FX!$B$40:$AK$43,2,FALSE)</f>
        <v>28388.895534083407</v>
      </c>
      <c r="AJ16">
        <f>Calc_BankMonth!AJ16*(1+Control!$B$25)^AJ$2*HLOOKUP(AJ$2,FX!$B$40:$AK$43,2,FALSE)</f>
        <v>28679.125445837541</v>
      </c>
      <c r="AK16">
        <f>Calc_BankMonth!AK16*(1+Control!$B$25)^AK$2*HLOOKUP(AK$2,FX!$B$40:$AK$43,2,FALSE)</f>
        <v>29242.587818497203</v>
      </c>
      <c r="AL16" cm="1">
        <f t="array" ref="AL16">INDEX(B16:AK16,Control!$B$3)</f>
        <v>29242.587818497203</v>
      </c>
    </row>
    <row r="17" spans="1:38" x14ac:dyDescent="0.25">
      <c r="A17" t="s">
        <v>38</v>
      </c>
      <c r="B17">
        <f>Calc_BankMonth!B17*(1+Control!$B$25)^B$2*HLOOKUP(B$2,FX!$B$40:$AK$43,2,FALSE)</f>
        <v>21525.278137703266</v>
      </c>
      <c r="C17">
        <f>Calc_BankMonth!C17*(1+Control!$B$25)^C$2*HLOOKUP(C$2,FX!$B$40:$AK$43,2,FALSE)</f>
        <v>21863.620927145028</v>
      </c>
      <c r="D17">
        <f>Calc_BankMonth!D17*(1+Control!$B$25)^D$2*HLOOKUP(D$2,FX!$B$40:$AK$43,2,FALSE)</f>
        <v>22289.124805738724</v>
      </c>
      <c r="E17">
        <f>Calc_BankMonth!E17*(1+Control!$B$25)^E$2*HLOOKUP(E$2,FX!$B$40:$AK$43,2,FALSE)</f>
        <v>22514.955069246447</v>
      </c>
      <c r="F17">
        <f>Calc_BankMonth!F17*(1+Control!$B$25)^F$2*HLOOKUP(F$2,FX!$B$40:$AK$43,2,FALSE)</f>
        <v>22978.126476694168</v>
      </c>
      <c r="G17">
        <f>Calc_BankMonth!G17*(1+Control!$B$25)^G$2*HLOOKUP(G$2,FX!$B$40:$AK$43,2,FALSE)</f>
        <v>23352.995785195042</v>
      </c>
      <c r="H17">
        <f>Calc_BankMonth!H17*(1+Control!$B$25)^H$2*HLOOKUP(H$2,FX!$B$40:$AK$43,2,FALSE)</f>
        <v>23584.143449921648</v>
      </c>
      <c r="I17">
        <f>Calc_BankMonth!I17*(1+Control!$B$25)^I$2*HLOOKUP(I$2,FX!$B$40:$AK$43,2,FALSE)</f>
        <v>23823.142544207207</v>
      </c>
      <c r="J17">
        <f>Calc_BankMonth!J17*(1+Control!$B$25)^J$2*HLOOKUP(J$2,FX!$B$40:$AK$43,2,FALSE)</f>
        <v>24063.329216787875</v>
      </c>
      <c r="K17">
        <f>Calc_BankMonth!K17*(1+Control!$B$25)^K$2*HLOOKUP(K$2,FX!$B$40:$AK$43,2,FALSE)</f>
        <v>24313.317646021875</v>
      </c>
      <c r="L17">
        <f>Calc_BankMonth!L17*(1+Control!$B$25)^L$2*HLOOKUP(L$2,FX!$B$40:$AK$43,2,FALSE)</f>
        <v>24372.342338410552</v>
      </c>
      <c r="M17">
        <f>Calc_BankMonth!M17*(1+Control!$B$25)^M$2*HLOOKUP(M$2,FX!$B$40:$AK$43,2,FALSE)</f>
        <v>24472.435874400013</v>
      </c>
      <c r="N17">
        <f>Calc_BankMonth!N17*(1+Control!$B$25)^N$2*HLOOKUP(N$2,FX!$B$40:$AK$43,2,FALSE)</f>
        <v>24524.471789473126</v>
      </c>
      <c r="O17">
        <f>Calc_BankMonth!O17*(1+Control!$B$25)^O$2*HLOOKUP(O$2,FX!$B$40:$AK$43,2,FALSE)</f>
        <v>24709.554531172387</v>
      </c>
      <c r="P17">
        <f>Calc_BankMonth!P17*(1+Control!$B$25)^P$2*HLOOKUP(P$2,FX!$B$40:$AK$43,2,FALSE)</f>
        <v>24765.994176151613</v>
      </c>
      <c r="Q17">
        <f>Calc_BankMonth!Q17*(1+Control!$B$25)^Q$2*HLOOKUP(Q$2,FX!$B$40:$AK$43,2,FALSE)</f>
        <v>24699.766628272704</v>
      </c>
      <c r="R17">
        <f>Calc_BankMonth!R17*(1+Control!$B$25)^R$2*HLOOKUP(R$2,FX!$B$40:$AK$43,2,FALSE)</f>
        <v>24813.597375219604</v>
      </c>
      <c r="S17">
        <f>Calc_BankMonth!S17*(1+Control!$B$25)^S$2*HLOOKUP(S$2,FX!$B$40:$AK$43,2,FALSE)</f>
        <v>24809.072411856265</v>
      </c>
      <c r="T17">
        <f>Calc_BankMonth!T17*(1+Control!$B$25)^T$2*HLOOKUP(T$2,FX!$B$40:$AK$43,2,FALSE)</f>
        <v>24998.196567188133</v>
      </c>
      <c r="U17">
        <f>Calc_BankMonth!U17*(1+Control!$B$25)^U$2*HLOOKUP(U$2,FX!$B$40:$AK$43,2,FALSE)</f>
        <v>25019.560256083332</v>
      </c>
      <c r="V17">
        <f>Calc_BankMonth!V17*(1+Control!$B$25)^V$2*HLOOKUP(V$2,FX!$B$40:$AK$43,2,FALSE)</f>
        <v>25231.741593928637</v>
      </c>
      <c r="W17">
        <f>Calc_BankMonth!W17*(1+Control!$B$25)^W$2*HLOOKUP(W$2,FX!$B$40:$AK$43,2,FALSE)</f>
        <v>25323.941592608018</v>
      </c>
      <c r="X17">
        <f>Calc_BankMonth!X17*(1+Control!$B$25)^X$2*HLOOKUP(X$2,FX!$B$40:$AK$43,2,FALSE)</f>
        <v>25501.124956138956</v>
      </c>
      <c r="Y17">
        <f>Calc_BankMonth!Y17*(1+Control!$B$25)^Y$2*HLOOKUP(Y$2,FX!$B$40:$AK$43,2,FALSE)</f>
        <v>25857.614873800016</v>
      </c>
      <c r="Z17">
        <f>Calc_BankMonth!Z17*(1+Control!$B$25)^Z$2*HLOOKUP(Z$2,FX!$B$40:$AK$43,2,FALSE)</f>
        <v>25986.74779093184</v>
      </c>
      <c r="AA17">
        <f>Calc_BankMonth!AA17*(1+Control!$B$25)^AA$2*HLOOKUP(AA$2,FX!$B$40:$AK$43,2,FALSE)</f>
        <v>26336.509615069663</v>
      </c>
      <c r="AB17">
        <f>Calc_BankMonth!AB17*(1+Control!$B$25)^AB$2*HLOOKUP(AB$2,FX!$B$40:$AK$43,2,FALSE)</f>
        <v>26688.17450321616</v>
      </c>
      <c r="AC17">
        <f>Calc_BankMonth!AC17*(1+Control!$B$25)^AC$2*HLOOKUP(AC$2,FX!$B$40:$AK$43,2,FALSE)</f>
        <v>27052.73689798265</v>
      </c>
      <c r="AD17">
        <f>Calc_BankMonth!AD17*(1+Control!$B$25)^AD$2*HLOOKUP(AD$2,FX!$B$40:$AK$43,2,FALSE)</f>
        <v>27533.996591692019</v>
      </c>
      <c r="AE17">
        <f>Calc_BankMonth!AE17*(1+Control!$B$25)^AE$2*HLOOKUP(AE$2,FX!$B$40:$AK$43,2,FALSE)</f>
        <v>27941.928224419771</v>
      </c>
      <c r="AF17">
        <f>Calc_BankMonth!AF17*(1+Control!$B$25)^AF$2*HLOOKUP(AF$2,FX!$B$40:$AK$43,2,FALSE)</f>
        <v>28456.069504960276</v>
      </c>
      <c r="AG17">
        <f>Calc_BankMonth!AG17*(1+Control!$B$25)^AG$2*HLOOKUP(AG$2,FX!$B$40:$AK$43,2,FALSE)</f>
        <v>28904.085820553202</v>
      </c>
      <c r="AH17">
        <f>Calc_BankMonth!AH17*(1+Control!$B$25)^AH$2*HLOOKUP(AH$2,FX!$B$40:$AK$43,2,FALSE)</f>
        <v>29417.29440216703</v>
      </c>
      <c r="AI17">
        <f>Calc_BankMonth!AI17*(1+Control!$B$25)^AI$2*HLOOKUP(AI$2,FX!$B$40:$AK$43,2,FALSE)</f>
        <v>29870.107052840533</v>
      </c>
      <c r="AJ17">
        <f>Calc_BankMonth!AJ17*(1+Control!$B$25)^AJ$2*HLOOKUP(AJ$2,FX!$B$40:$AK$43,2,FALSE)</f>
        <v>30302.947420288507</v>
      </c>
      <c r="AK17">
        <f>Calc_BankMonth!AK17*(1+Control!$B$25)^AK$2*HLOOKUP(AK$2,FX!$B$40:$AK$43,2,FALSE)</f>
        <v>30706.507973707845</v>
      </c>
      <c r="AL17" cm="1">
        <f t="array" ref="AL17">INDEX(B17:AK17,Control!$B$3)</f>
        <v>30706.507973707845</v>
      </c>
    </row>
    <row r="18" spans="1:38" x14ac:dyDescent="0.25">
      <c r="A18" t="s">
        <v>39</v>
      </c>
      <c r="B18">
        <f>Calc_BankMonth!B18*(1+Control!$B$25)^B$2*HLOOKUP(B$2,FX!$B$40:$AK$43,2,FALSE)</f>
        <v>22592.357167934217</v>
      </c>
      <c r="C18">
        <f>Calc_BankMonth!C18*(1+Control!$B$25)^C$2*HLOOKUP(C$2,FX!$B$40:$AK$43,2,FALSE)</f>
        <v>23002.697048049296</v>
      </c>
      <c r="D18">
        <f>Calc_BankMonth!D18*(1+Control!$B$25)^D$2*HLOOKUP(D$2,FX!$B$40:$AK$43,2,FALSE)</f>
        <v>23361.335719838575</v>
      </c>
      <c r="E18">
        <f>Calc_BankMonth!E18*(1+Control!$B$25)^E$2*HLOOKUP(E$2,FX!$B$40:$AK$43,2,FALSE)</f>
        <v>23726.795826119731</v>
      </c>
      <c r="F18">
        <f>Calc_BankMonth!F18*(1+Control!$B$25)^F$2*HLOOKUP(F$2,FX!$B$40:$AK$43,2,FALSE)</f>
        <v>24199.136493445443</v>
      </c>
      <c r="G18">
        <f>Calc_BankMonth!G18*(1+Control!$B$25)^G$2*HLOOKUP(G$2,FX!$B$40:$AK$43,2,FALSE)</f>
        <v>24577.440371118355</v>
      </c>
      <c r="H18">
        <f>Calc_BankMonth!H18*(1+Control!$B$25)^H$2*HLOOKUP(H$2,FX!$B$40:$AK$43,2,FALSE)</f>
        <v>24822.851647392494</v>
      </c>
      <c r="I18">
        <f>Calc_BankMonth!I18*(1+Control!$B$25)^I$2*HLOOKUP(I$2,FX!$B$40:$AK$43,2,FALSE)</f>
        <v>25034.219133414404</v>
      </c>
      <c r="J18">
        <f>Calc_BankMonth!J18*(1+Control!$B$25)^J$2*HLOOKUP(J$2,FX!$B$40:$AK$43,2,FALSE)</f>
        <v>25246.526849617938</v>
      </c>
      <c r="K18">
        <f>Calc_BankMonth!K18*(1+Control!$B$25)^K$2*HLOOKUP(K$2,FX!$B$40:$AK$43,2,FALSE)</f>
        <v>25453.357921799467</v>
      </c>
      <c r="L18">
        <f>Calc_BankMonth!L18*(1+Control!$B$25)^L$2*HLOOKUP(L$2,FX!$B$40:$AK$43,2,FALSE)</f>
        <v>25538.596566261582</v>
      </c>
      <c r="M18">
        <f>Calc_BankMonth!M18*(1+Control!$B$25)^M$2*HLOOKUP(M$2,FX!$B$40:$AK$43,2,FALSE)</f>
        <v>25688.483744400015</v>
      </c>
      <c r="N18">
        <f>Calc_BankMonth!N18*(1+Control!$B$25)^N$2*HLOOKUP(N$2,FX!$B$40:$AK$43,2,FALSE)</f>
        <v>25894.443952671278</v>
      </c>
      <c r="O18">
        <f>Calc_BankMonth!O18*(1+Control!$B$25)^O$2*HLOOKUP(O$2,FX!$B$40:$AK$43,2,FALSE)</f>
        <v>25974.614242976539</v>
      </c>
      <c r="P18">
        <f>Calc_BankMonth!P18*(1+Control!$B$25)^P$2*HLOOKUP(P$2,FX!$B$40:$AK$43,2,FALSE)</f>
        <v>26022.809367973645</v>
      </c>
      <c r="Q18">
        <f>Calc_BankMonth!Q18*(1+Control!$B$25)^Q$2*HLOOKUP(Q$2,FX!$B$40:$AK$43,2,FALSE)</f>
        <v>25990.878885872651</v>
      </c>
      <c r="R18">
        <f>Calc_BankMonth!R18*(1+Control!$B$25)^R$2*HLOOKUP(R$2,FX!$B$40:$AK$43,2,FALSE)</f>
        <v>26046.251417222513</v>
      </c>
      <c r="S18">
        <f>Calc_BankMonth!S18*(1+Control!$B$25)^S$2*HLOOKUP(S$2,FX!$B$40:$AK$43,2,FALSE)</f>
        <v>26171.217556675769</v>
      </c>
      <c r="T18">
        <f>Calc_BankMonth!T18*(1+Control!$B$25)^T$2*HLOOKUP(T$2,FX!$B$40:$AK$43,2,FALSE)</f>
        <v>26115.627473647695</v>
      </c>
      <c r="U18">
        <f>Calc_BankMonth!U18*(1+Control!$B$25)^U$2*HLOOKUP(U$2,FX!$B$40:$AK$43,2,FALSE)</f>
        <v>26355.811490214161</v>
      </c>
      <c r="V18">
        <f>Calc_BankMonth!V18*(1+Control!$B$25)^V$2*HLOOKUP(V$2,FX!$B$40:$AK$43,2,FALSE)</f>
        <v>26437.379777721475</v>
      </c>
      <c r="W18">
        <f>Calc_BankMonth!W18*(1+Control!$B$25)^W$2*HLOOKUP(W$2,FX!$B$40:$AK$43,2,FALSE)</f>
        <v>26631.751788068093</v>
      </c>
      <c r="X18">
        <f>Calc_BankMonth!X18*(1+Control!$B$25)^X$2*HLOOKUP(X$2,FX!$B$40:$AK$43,2,FALSE)</f>
        <v>26775.500722435987</v>
      </c>
      <c r="Y18">
        <f>Calc_BankMonth!Y18*(1+Control!$B$25)^Y$2*HLOOKUP(Y$2,FX!$B$40:$AK$43,2,FALSE)</f>
        <v>27078.949412646016</v>
      </c>
      <c r="Z18">
        <f>Calc_BankMonth!Z18*(1+Control!$B$25)^Z$2*HLOOKUP(Z$2,FX!$B$40:$AK$43,2,FALSE)</f>
        <v>27259.068453681884</v>
      </c>
      <c r="AA18">
        <f>Calc_BankMonth!AA18*(1+Control!$B$25)^AA$2*HLOOKUP(AA$2,FX!$B$40:$AK$43,2,FALSE)</f>
        <v>27777.595838354777</v>
      </c>
      <c r="AB18">
        <f>Calc_BankMonth!AB18*(1+Control!$B$25)^AB$2*HLOOKUP(AB$2,FX!$B$40:$AK$43,2,FALSE)</f>
        <v>28033.929814176594</v>
      </c>
      <c r="AC18">
        <f>Calc_BankMonth!AC18*(1+Control!$B$25)^AC$2*HLOOKUP(AC$2,FX!$B$40:$AK$43,2,FALSE)</f>
        <v>28504.231713641075</v>
      </c>
      <c r="AD18">
        <f>Calc_BankMonth!AD18*(1+Control!$B$25)^AD$2*HLOOKUP(AD$2,FX!$B$40:$AK$43,2,FALSE)</f>
        <v>28925.715611206244</v>
      </c>
      <c r="AE18">
        <f>Calc_BankMonth!AE18*(1+Control!$B$25)^AE$2*HLOOKUP(AE$2,FX!$B$40:$AK$43,2,FALSE)</f>
        <v>29283.034890542476</v>
      </c>
      <c r="AF18">
        <f>Calc_BankMonth!AF18*(1+Control!$B$25)^AF$2*HLOOKUP(AF$2,FX!$B$40:$AK$43,2,FALSE)</f>
        <v>29927.743713671254</v>
      </c>
      <c r="AG18">
        <f>Calc_BankMonth!AG18*(1+Control!$B$25)^AG$2*HLOOKUP(AG$2,FX!$B$40:$AK$43,2,FALSE)</f>
        <v>30387.109739777188</v>
      </c>
      <c r="AH18">
        <f>Calc_BankMonth!AH18*(1+Control!$B$25)^AH$2*HLOOKUP(AH$2,FX!$B$40:$AK$43,2,FALSE)</f>
        <v>30905.713800774687</v>
      </c>
      <c r="AI18">
        <f>Calc_BankMonth!AI18*(1+Control!$B$25)^AI$2*HLOOKUP(AI$2,FX!$B$40:$AK$43,2,FALSE)</f>
        <v>31394.49577650904</v>
      </c>
      <c r="AJ18">
        <f>Calc_BankMonth!AJ18*(1+Control!$B$25)^AJ$2*HLOOKUP(AJ$2,FX!$B$40:$AK$43,2,FALSE)</f>
        <v>31932.53681114627</v>
      </c>
      <c r="AK18">
        <f>Calc_BankMonth!AK18*(1+Control!$B$25)^AK$2*HLOOKUP(AK$2,FX!$B$40:$AK$43,2,FALSE)</f>
        <v>32319.618954846464</v>
      </c>
      <c r="AL18" cm="1">
        <f t="array" ref="AL18">INDEX(B18:AK18,Control!$B$3)</f>
        <v>32319.618954846464</v>
      </c>
    </row>
    <row r="19" spans="1:38" x14ac:dyDescent="0.25">
      <c r="A19" t="s">
        <v>40</v>
      </c>
      <c r="B19">
        <f>Calc_BankMonth!B19*(1+Control!$B$25)^B$2*HLOOKUP(B$2,FX!$B$40:$AK$43,2,FALSE)</f>
        <v>23707.163617269034</v>
      </c>
      <c r="C19">
        <f>Calc_BankMonth!C19*(1+Control!$B$25)^C$2*HLOOKUP(C$2,FX!$B$40:$AK$43,2,FALSE)</f>
        <v>24128.706193236554</v>
      </c>
      <c r="D19">
        <f>Calc_BankMonth!D19*(1+Control!$B$25)^D$2*HLOOKUP(D$2,FX!$B$40:$AK$43,2,FALSE)</f>
        <v>24432.357690384477</v>
      </c>
      <c r="E19">
        <f>Calc_BankMonth!E19*(1+Control!$B$25)^E$2*HLOOKUP(E$2,FX!$B$40:$AK$43,2,FALSE)</f>
        <v>24943.976528774205</v>
      </c>
      <c r="F19">
        <f>Calc_BankMonth!F19*(1+Control!$B$25)^F$2*HLOOKUP(F$2,FX!$B$40:$AK$43,2,FALSE)</f>
        <v>25304.565464921721</v>
      </c>
      <c r="G19">
        <f>Calc_BankMonth!G19*(1+Control!$B$25)^G$2*HLOOKUP(G$2,FX!$B$40:$AK$43,2,FALSE)</f>
        <v>25604.03061096642</v>
      </c>
      <c r="H19">
        <f>Calc_BankMonth!H19*(1+Control!$B$25)^H$2*HLOOKUP(H$2,FX!$B$40:$AK$43,2,FALSE)</f>
        <v>25857.603861771844</v>
      </c>
      <c r="I19">
        <f>Calc_BankMonth!I19*(1+Control!$B$25)^I$2*HLOOKUP(I$2,FX!$B$40:$AK$43,2,FALSE)</f>
        <v>26184.552766741836</v>
      </c>
      <c r="J19">
        <f>Calc_BankMonth!J19*(1+Control!$B$25)^J$2*HLOOKUP(J$2,FX!$B$40:$AK$43,2,FALSE)</f>
        <v>26452.122554043282</v>
      </c>
      <c r="K19">
        <f>Calc_BankMonth!K19*(1+Control!$B$25)^K$2*HLOOKUP(K$2,FX!$B$40:$AK$43,2,FALSE)</f>
        <v>26742.297778028606</v>
      </c>
      <c r="L19">
        <f>Calc_BankMonth!L19*(1+Control!$B$25)^L$2*HLOOKUP(L$2,FX!$B$40:$AK$43,2,FALSE)</f>
        <v>26773.421244084577</v>
      </c>
      <c r="M19">
        <f>Calc_BankMonth!M19*(1+Control!$B$25)^M$2*HLOOKUP(M$2,FX!$B$40:$AK$43,2,FALSE)</f>
        <v>26856.111808800015</v>
      </c>
      <c r="N19">
        <f>Calc_BankMonth!N19*(1+Control!$B$25)^N$2*HLOOKUP(N$2,FX!$B$40:$AK$43,2,FALSE)</f>
        <v>27135.808291209847</v>
      </c>
      <c r="O19">
        <f>Calc_BankMonth!O19*(1+Control!$B$25)^O$2*HLOOKUP(O$2,FX!$B$40:$AK$43,2,FALSE)</f>
        <v>27080.742424512209</v>
      </c>
      <c r="P19">
        <f>Calc_BankMonth!P19*(1+Control!$B$25)^P$2*HLOOKUP(P$2,FX!$B$40:$AK$43,2,FALSE)</f>
        <v>27164.560924237867</v>
      </c>
      <c r="Q19">
        <f>Calc_BankMonth!Q19*(1+Control!$B$25)^Q$2*HLOOKUP(Q$2,FX!$B$40:$AK$43,2,FALSE)</f>
        <v>27304.912233513689</v>
      </c>
      <c r="R19">
        <f>Calc_BankMonth!R19*(1+Control!$B$25)^R$2*HLOOKUP(R$2,FX!$B$40:$AK$43,2,FALSE)</f>
        <v>27333.967626564241</v>
      </c>
      <c r="S19">
        <f>Calc_BankMonth!S19*(1+Control!$B$25)^S$2*HLOOKUP(S$2,FX!$B$40:$AK$43,2,FALSE)</f>
        <v>27404.617771134195</v>
      </c>
      <c r="T19">
        <f>Calc_BankMonth!T19*(1+Control!$B$25)^T$2*HLOOKUP(T$2,FX!$B$40:$AK$43,2,FALSE)</f>
        <v>27405.318660513392</v>
      </c>
      <c r="U19">
        <f>Calc_BankMonth!U19*(1+Control!$B$25)^U$2*HLOOKUP(U$2,FX!$B$40:$AK$43,2,FALSE)</f>
        <v>27461.089820260691</v>
      </c>
      <c r="V19">
        <f>Calc_BankMonth!V19*(1+Control!$B$25)^V$2*HLOOKUP(V$2,FX!$B$40:$AK$43,2,FALSE)</f>
        <v>27677.082194517072</v>
      </c>
      <c r="W19">
        <f>Calc_BankMonth!W19*(1+Control!$B$25)^W$2*HLOOKUP(W$2,FX!$B$40:$AK$43,2,FALSE)</f>
        <v>27854.772717417793</v>
      </c>
      <c r="X19">
        <f>Calc_BankMonth!X19*(1+Control!$B$25)^X$2*HLOOKUP(X$2,FX!$B$40:$AK$43,2,FALSE)</f>
        <v>28132.070082136124</v>
      </c>
      <c r="Y19">
        <f>Calc_BankMonth!Y19*(1+Control!$B$25)^Y$2*HLOOKUP(Y$2,FX!$B$40:$AK$43,2,FALSE)</f>
        <v>28264.510849070015</v>
      </c>
      <c r="Z19">
        <f>Calc_BankMonth!Z19*(1+Control!$B$25)^Z$2*HLOOKUP(Z$2,FX!$B$40:$AK$43,2,FALSE)</f>
        <v>28643.877923013966</v>
      </c>
      <c r="AA19">
        <f>Calc_BankMonth!AA19*(1+Control!$B$25)^AA$2*HLOOKUP(AA$2,FX!$B$40:$AK$43,2,FALSE)</f>
        <v>28985.062755178227</v>
      </c>
      <c r="AB19">
        <f>Calc_BankMonth!AB19*(1+Control!$B$25)^AB$2*HLOOKUP(AB$2,FX!$B$40:$AK$43,2,FALSE)</f>
        <v>29319.512182157298</v>
      </c>
      <c r="AC19">
        <f>Calc_BankMonth!AC19*(1+Control!$B$25)^AC$2*HLOOKUP(AC$2,FX!$B$40:$AK$43,2,FALSE)</f>
        <v>29801.054537187239</v>
      </c>
      <c r="AD19">
        <f>Calc_BankMonth!AD19*(1+Control!$B$25)^AD$2*HLOOKUP(AD$2,FX!$B$40:$AK$43,2,FALSE)</f>
        <v>30228.008240976771</v>
      </c>
      <c r="AE19">
        <f>Calc_BankMonth!AE19*(1+Control!$B$25)^AE$2*HLOOKUP(AE$2,FX!$B$40:$AK$43,2,FALSE)</f>
        <v>30930.702657243408</v>
      </c>
      <c r="AF19">
        <f>Calc_BankMonth!AF19*(1+Control!$B$25)^AF$2*HLOOKUP(AF$2,FX!$B$40:$AK$43,2,FALSE)</f>
        <v>31341.742978415969</v>
      </c>
      <c r="AG19">
        <f>Calc_BankMonth!AG19*(1+Control!$B$25)^AG$2*HLOOKUP(AG$2,FX!$B$40:$AK$43,2,FALSE)</f>
        <v>31859.259371232856</v>
      </c>
      <c r="AH19">
        <f>Calc_BankMonth!AH19*(1+Control!$B$25)^AH$2*HLOOKUP(AH$2,FX!$B$40:$AK$43,2,FALSE)</f>
        <v>32409.277505496342</v>
      </c>
      <c r="AI19">
        <f>Calc_BankMonth!AI19*(1+Control!$B$25)^AI$2*HLOOKUP(AI$2,FX!$B$40:$AK$43,2,FALSE)</f>
        <v>32892.278006340261</v>
      </c>
      <c r="AJ19">
        <f>Calc_BankMonth!AJ19*(1+Control!$B$25)^AJ$2*HLOOKUP(AJ$2,FX!$B$40:$AK$43,2,FALSE)</f>
        <v>33370.742139199065</v>
      </c>
      <c r="AK19">
        <f>Calc_BankMonth!AK19*(1+Control!$B$25)^AK$2*HLOOKUP(AK$2,FX!$B$40:$AK$43,2,FALSE)</f>
        <v>33829.553450645384</v>
      </c>
      <c r="AL19" cm="1">
        <f t="array" ref="AL19">INDEX(B19:AK19,Control!$B$3)</f>
        <v>33829.553450645384</v>
      </c>
    </row>
    <row r="20" spans="1:38" x14ac:dyDescent="0.25">
      <c r="A20" t="s">
        <v>42</v>
      </c>
      <c r="B20">
        <f>Calc_BankMonth!B20*(1+Control!$B$25)^B$2*HLOOKUP(B$2,FX!$B$40:$AK$43,2,FALSE)</f>
        <v>24809.030632980135</v>
      </c>
      <c r="C20">
        <f>Calc_BankMonth!C20*(1+Control!$B$25)^C$2*HLOOKUP(C$2,FX!$B$40:$AK$43,2,FALSE)</f>
        <v>25101.660352361552</v>
      </c>
      <c r="D20">
        <f>Calc_BankMonth!D20*(1+Control!$B$25)^D$2*HLOOKUP(D$2,FX!$B$40:$AK$43,2,FALSE)</f>
        <v>25562.178323961667</v>
      </c>
      <c r="E20">
        <f>Calc_BankMonth!E20*(1+Control!$B$25)^E$2*HLOOKUP(E$2,FX!$B$40:$AK$43,2,FALSE)</f>
        <v>25996.381761609209</v>
      </c>
      <c r="F20">
        <f>Calc_BankMonth!F20*(1+Control!$B$25)^F$2*HLOOKUP(F$2,FX!$B$40:$AK$43,2,FALSE)</f>
        <v>26489.463265248047</v>
      </c>
      <c r="G20">
        <f>Calc_BankMonth!G20*(1+Control!$B$25)^G$2*HLOOKUP(G$2,FX!$B$40:$AK$43,2,FALSE)</f>
        <v>26726.787779068698</v>
      </c>
      <c r="H20">
        <f>Calc_BankMonth!H20*(1+Control!$B$25)^H$2*HLOOKUP(H$2,FX!$B$40:$AK$43,2,FALSE)</f>
        <v>27172.726236703282</v>
      </c>
      <c r="I20">
        <f>Calc_BankMonth!I20*(1+Control!$B$25)^I$2*HLOOKUP(I$2,FX!$B$40:$AK$43,2,FALSE)</f>
        <v>27480.62499384673</v>
      </c>
      <c r="J20">
        <f>Calc_BankMonth!J20*(1+Control!$B$25)^J$2*HLOOKUP(J$2,FX!$B$40:$AK$43,2,FALSE)</f>
        <v>27586.178149194118</v>
      </c>
      <c r="K20">
        <f>Calc_BankMonth!K20*(1+Control!$B$25)^K$2*HLOOKUP(K$2,FX!$B$40:$AK$43,2,FALSE)</f>
        <v>27875.428043336138</v>
      </c>
      <c r="L20">
        <f>Calc_BankMonth!L20*(1+Control!$B$25)^L$2*HLOOKUP(L$2,FX!$B$40:$AK$43,2,FALSE)</f>
        <v>28078.597422528153</v>
      </c>
      <c r="M20">
        <f>Calc_BankMonth!M20*(1+Control!$B$25)^M$2*HLOOKUP(M$2,FX!$B$40:$AK$43,2,FALSE)</f>
        <v>28213.421130000013</v>
      </c>
      <c r="N20">
        <f>Calc_BankMonth!N20*(1+Control!$B$25)^N$2*HLOOKUP(N$2,FX!$B$40:$AK$43,2,FALSE)</f>
        <v>28363.448558958578</v>
      </c>
      <c r="O20">
        <f>Calc_BankMonth!O20*(1+Control!$B$25)^O$2*HLOOKUP(O$2,FX!$B$40:$AK$43,2,FALSE)</f>
        <v>28271.296093000492</v>
      </c>
      <c r="P20">
        <f>Calc_BankMonth!P20*(1+Control!$B$25)^P$2*HLOOKUP(P$2,FX!$B$40:$AK$43,2,FALSE)</f>
        <v>28347.226432897769</v>
      </c>
      <c r="Q20">
        <f>Calc_BankMonth!Q20*(1+Control!$B$25)^Q$2*HLOOKUP(Q$2,FX!$B$40:$AK$43,2,FALSE)</f>
        <v>28534.574140193963</v>
      </c>
      <c r="R20">
        <f>Calc_BankMonth!R20*(1+Control!$B$25)^R$2*HLOOKUP(R$2,FX!$B$40:$AK$43,2,FALSE)</f>
        <v>28570.640012140204</v>
      </c>
      <c r="S20">
        <f>Calc_BankMonth!S20*(1+Control!$B$25)^S$2*HLOOKUP(S$2,FX!$B$40:$AK$43,2,FALSE)</f>
        <v>28637.801789236008</v>
      </c>
      <c r="T20">
        <f>Calc_BankMonth!T20*(1+Control!$B$25)^T$2*HLOOKUP(T$2,FX!$B$40:$AK$43,2,FALSE)</f>
        <v>28657.435573715509</v>
      </c>
      <c r="U20">
        <f>Calc_BankMonth!U20*(1+Control!$B$25)^U$2*HLOOKUP(U$2,FX!$B$40:$AK$43,2,FALSE)</f>
        <v>28807.430019532741</v>
      </c>
      <c r="V20">
        <f>Calc_BankMonth!V20*(1+Control!$B$25)^V$2*HLOOKUP(V$2,FX!$B$40:$AK$43,2,FALSE)</f>
        <v>28797.881156491705</v>
      </c>
      <c r="W20">
        <f>Calc_BankMonth!W20*(1+Control!$B$25)^W$2*HLOOKUP(W$2,FX!$B$40:$AK$43,2,FALSE)</f>
        <v>29189.026029960278</v>
      </c>
      <c r="X20">
        <f>Calc_BankMonth!X20*(1+Control!$B$25)^X$2*HLOOKUP(X$2,FX!$B$40:$AK$43,2,FALSE)</f>
        <v>29345.57758108899</v>
      </c>
      <c r="Y20">
        <f>Calc_BankMonth!Y20*(1+Control!$B$25)^Y$2*HLOOKUP(Y$2,FX!$B$40:$AK$43,2,FALSE)</f>
        <v>29667.396568376011</v>
      </c>
      <c r="Z20">
        <f>Calc_BankMonth!Z20*(1+Control!$B$25)^Z$2*HLOOKUP(Z$2,FX!$B$40:$AK$43,2,FALSE)</f>
        <v>29991.155173083778</v>
      </c>
      <c r="AA20">
        <f>Calc_BankMonth!AA20*(1+Control!$B$25)^AA$2*HLOOKUP(AA$2,FX!$B$40:$AK$43,2,FALSE)</f>
        <v>30266.498273211913</v>
      </c>
      <c r="AB20">
        <f>Calc_BankMonth!AB20*(1+Control!$B$25)^AB$2*HLOOKUP(AB$2,FX!$B$40:$AK$43,2,FALSE)</f>
        <v>30766.283776704393</v>
      </c>
      <c r="AC20">
        <f>Calc_BankMonth!AC20*(1+Control!$B$25)^AC$2*HLOOKUP(AC$2,FX!$B$40:$AK$43,2,FALSE)</f>
        <v>31101.840486509951</v>
      </c>
      <c r="AD20">
        <f>Calc_BankMonth!AD20*(1+Control!$B$25)^AD$2*HLOOKUP(AD$2,FX!$B$40:$AK$43,2,FALSE)</f>
        <v>31702.599417942914</v>
      </c>
      <c r="AE20">
        <f>Calc_BankMonth!AE20*(1+Control!$B$25)^AE$2*HLOOKUP(AE$2,FX!$B$40:$AK$43,2,FALSE)</f>
        <v>32216.285084512747</v>
      </c>
      <c r="AF20">
        <f>Calc_BankMonth!AF20*(1+Control!$B$25)^AF$2*HLOOKUP(AF$2,FX!$B$40:$AK$43,2,FALSE)</f>
        <v>32821.915459813536</v>
      </c>
      <c r="AG20">
        <f>Calc_BankMonth!AG20*(1+Control!$B$25)^AG$2*HLOOKUP(AG$2,FX!$B$40:$AK$43,2,FALSE)</f>
        <v>33249.909077519696</v>
      </c>
      <c r="AH20">
        <f>Calc_BankMonth!AH20*(1+Control!$B$25)^AH$2*HLOOKUP(AH$2,FX!$B$40:$AK$43,2,FALSE)</f>
        <v>33856.888201369358</v>
      </c>
      <c r="AI20">
        <f>Calc_BankMonth!AI20*(1+Control!$B$25)^AI$2*HLOOKUP(AI$2,FX!$B$40:$AK$43,2,FALSE)</f>
        <v>34374.656476581476</v>
      </c>
      <c r="AJ20">
        <f>Calc_BankMonth!AJ20*(1+Control!$B$25)^AJ$2*HLOOKUP(AJ$2,FX!$B$40:$AK$43,2,FALSE)</f>
        <v>34956.42854393983</v>
      </c>
      <c r="AK20">
        <f>Calc_BankMonth!AK20*(1+Control!$B$25)^AK$2*HLOOKUP(AK$2,FX!$B$40:$AK$43,2,FALSE)</f>
        <v>35315.650620520995</v>
      </c>
      <c r="AL20" cm="1">
        <f t="array" ref="AL20">INDEX(B20:AK20,Control!$B$3)</f>
        <v>35315.650620520995</v>
      </c>
    </row>
    <row r="21" spans="1:38" x14ac:dyDescent="0.25">
      <c r="A21" t="s">
        <v>43</v>
      </c>
      <c r="B21">
        <f>Calc_BankMonth!B21*(1+Control!$B$25)^B$2*HLOOKUP(B$2,FX!$B$40:$AK$43,2,FALSE)</f>
        <v>25778.2154235825</v>
      </c>
      <c r="C21">
        <f>Calc_BankMonth!C21*(1+Control!$B$25)^C$2*HLOOKUP(C$2,FX!$B$40:$AK$43,2,FALSE)</f>
        <v>26320.423603867861</v>
      </c>
      <c r="D21">
        <f>Calc_BankMonth!D21*(1+Control!$B$25)^D$2*HLOOKUP(D$2,FX!$B$40:$AK$43,2,FALSE)</f>
        <v>26632.443694064157</v>
      </c>
      <c r="E21">
        <f>Calc_BankMonth!E21*(1+Control!$B$25)^E$2*HLOOKUP(E$2,FX!$B$40:$AK$43,2,FALSE)</f>
        <v>27252.140848070623</v>
      </c>
      <c r="F21">
        <f>Calc_BankMonth!F21*(1+Control!$B$25)^F$2*HLOOKUP(F$2,FX!$B$40:$AK$43,2,FALSE)</f>
        <v>27572.719994420859</v>
      </c>
      <c r="G21">
        <f>Calc_BankMonth!G21*(1+Control!$B$25)^G$2*HLOOKUP(G$2,FX!$B$40:$AK$43,2,FALSE)</f>
        <v>28039.89142743533</v>
      </c>
      <c r="H21">
        <f>Calc_BankMonth!H21*(1+Control!$B$25)^H$2*HLOOKUP(H$2,FX!$B$40:$AK$43,2,FALSE)</f>
        <v>28307.404683146491</v>
      </c>
      <c r="I21">
        <f>Calc_BankMonth!I21*(1+Control!$B$25)^I$2*HLOOKUP(I$2,FX!$B$40:$AK$43,2,FALSE)</f>
        <v>28644.086225697618</v>
      </c>
      <c r="J21">
        <f>Calc_BankMonth!J21*(1+Control!$B$25)^J$2*HLOOKUP(J$2,FX!$B$40:$AK$43,2,FALSE)</f>
        <v>28992.019299672924</v>
      </c>
      <c r="K21">
        <f>Calc_BankMonth!K21*(1+Control!$B$25)^K$2*HLOOKUP(K$2,FX!$B$40:$AK$43,2,FALSE)</f>
        <v>29002.205557082496</v>
      </c>
      <c r="L21">
        <f>Calc_BankMonth!L21*(1+Control!$B$25)^L$2*HLOOKUP(L$2,FX!$B$40:$AK$43,2,FALSE)</f>
        <v>29401.02752913025</v>
      </c>
      <c r="M21">
        <f>Calc_BankMonth!M21*(1+Control!$B$25)^M$2*HLOOKUP(M$2,FX!$B$40:$AK$43,2,FALSE)</f>
        <v>29456.677377000011</v>
      </c>
      <c r="N21">
        <f>Calc_BankMonth!N21*(1+Control!$B$25)^N$2*HLOOKUP(N$2,FX!$B$40:$AK$43,2,FALSE)</f>
        <v>29596.512048229109</v>
      </c>
      <c r="O21">
        <f>Calc_BankMonth!O21*(1+Control!$B$25)^O$2*HLOOKUP(O$2,FX!$B$40:$AK$43,2,FALSE)</f>
        <v>29648.996598101719</v>
      </c>
      <c r="P21">
        <f>Calc_BankMonth!P21*(1+Control!$B$25)^P$2*HLOOKUP(P$2,FX!$B$40:$AK$43,2,FALSE)</f>
        <v>29657.898865004718</v>
      </c>
      <c r="Q21">
        <f>Calc_BankMonth!Q21*(1+Control!$B$25)^Q$2*HLOOKUP(Q$2,FX!$B$40:$AK$43,2,FALSE)</f>
        <v>29730.072707908246</v>
      </c>
      <c r="R21">
        <f>Calc_BankMonth!R21*(1+Control!$B$25)^R$2*HLOOKUP(R$2,FX!$B$40:$AK$43,2,FALSE)</f>
        <v>29879.859789791761</v>
      </c>
      <c r="S21">
        <f>Calc_BankMonth!S21*(1+Control!$B$25)^S$2*HLOOKUP(S$2,FX!$B$40:$AK$43,2,FALSE)</f>
        <v>29848.3932880721</v>
      </c>
      <c r="T21">
        <f>Calc_BankMonth!T21*(1+Control!$B$25)^T$2*HLOOKUP(T$2,FX!$B$40:$AK$43,2,FALSE)</f>
        <v>30046.499409840493</v>
      </c>
      <c r="U21">
        <f>Calc_BankMonth!U21*(1+Control!$B$25)^U$2*HLOOKUP(U$2,FX!$B$40:$AK$43,2,FALSE)</f>
        <v>30085.830698226102</v>
      </c>
      <c r="V21">
        <f>Calc_BankMonth!V21*(1+Control!$B$25)^V$2*HLOOKUP(V$2,FX!$B$40:$AK$43,2,FALSE)</f>
        <v>30074.004451340566</v>
      </c>
      <c r="W21">
        <f>Calc_BankMonth!W21*(1+Control!$B$25)^W$2*HLOOKUP(W$2,FX!$B$40:$AK$43,2,FALSE)</f>
        <v>30436.991276233864</v>
      </c>
      <c r="X21">
        <f>Calc_BankMonth!X21*(1+Control!$B$25)^X$2*HLOOKUP(X$2,FX!$B$40:$AK$43,2,FALSE)</f>
        <v>30670.53402024947</v>
      </c>
      <c r="Y21">
        <f>Calc_BankMonth!Y21*(1+Control!$B$25)^Y$2*HLOOKUP(Y$2,FX!$B$40:$AK$43,2,FALSE)</f>
        <v>31009.263902770013</v>
      </c>
      <c r="Z21">
        <f>Calc_BankMonth!Z21*(1+Control!$B$25)^Z$2*HLOOKUP(Z$2,FX!$B$40:$AK$43,2,FALSE)</f>
        <v>31262.61302619561</v>
      </c>
      <c r="AA21">
        <f>Calc_BankMonth!AA21*(1+Control!$B$25)^AA$2*HLOOKUP(AA$2,FX!$B$40:$AK$43,2,FALSE)</f>
        <v>31591.208676704373</v>
      </c>
      <c r="AB21">
        <f>Calc_BankMonth!AB21*(1+Control!$B$25)^AB$2*HLOOKUP(AB$2,FX!$B$40:$AK$43,2,FALSE)</f>
        <v>32043.129601239762</v>
      </c>
      <c r="AC21">
        <f>Calc_BankMonth!AC21*(1+Control!$B$25)^AC$2*HLOOKUP(AC$2,FX!$B$40:$AK$43,2,FALSE)</f>
        <v>32479.136780685341</v>
      </c>
      <c r="AD21">
        <f>Calc_BankMonth!AD21*(1+Control!$B$25)^AD$2*HLOOKUP(AD$2,FX!$B$40:$AK$43,2,FALSE)</f>
        <v>33187.632931102737</v>
      </c>
      <c r="AE21">
        <f>Calc_BankMonth!AE21*(1+Control!$B$25)^AE$2*HLOOKUP(AE$2,FX!$B$40:$AK$43,2,FALSE)</f>
        <v>33628.058963721538</v>
      </c>
      <c r="AF21">
        <f>Calc_BankMonth!AF21*(1+Control!$B$25)^AF$2*HLOOKUP(AF$2,FX!$B$40:$AK$43,2,FALSE)</f>
        <v>34143.906758938196</v>
      </c>
      <c r="AG21">
        <f>Calc_BankMonth!AG21*(1+Control!$B$25)^AG$2*HLOOKUP(AG$2,FX!$B$40:$AK$43,2,FALSE)</f>
        <v>34815.463117595827</v>
      </c>
      <c r="AH21">
        <f>Calc_BankMonth!AH21*(1+Control!$B$25)^AH$2*HLOOKUP(AH$2,FX!$B$40:$AK$43,2,FALSE)</f>
        <v>35295.13486063754</v>
      </c>
      <c r="AI21">
        <f>Calc_BankMonth!AI21*(1+Control!$B$25)^AI$2*HLOOKUP(AI$2,FX!$B$40:$AK$43,2,FALSE)</f>
        <v>35959.960067719541</v>
      </c>
      <c r="AJ21">
        <f>Calc_BankMonth!AJ21*(1+Control!$B$25)^AJ$2*HLOOKUP(AJ$2,FX!$B$40:$AK$43,2,FALSE)</f>
        <v>36498.918176817475</v>
      </c>
      <c r="AK21">
        <f>Calc_BankMonth!AK21*(1+Control!$B$25)^AK$2*HLOOKUP(AK$2,FX!$B$40:$AK$43,2,FALSE)</f>
        <v>36878.00351461894</v>
      </c>
      <c r="AL21" cm="1">
        <f t="array" ref="AL21">INDEX(B21:AK21,Control!$B$3)</f>
        <v>36878.00351461894</v>
      </c>
    </row>
    <row r="22" spans="1:38" x14ac:dyDescent="0.25">
      <c r="A22" t="s">
        <v>44</v>
      </c>
      <c r="B22">
        <f>Calc_BankMonth!B22*(1+Control!$B$25)^B$2*HLOOKUP(B$2,FX!$B$40:$AK$43,2,FALSE)</f>
        <v>27007.779800629265</v>
      </c>
      <c r="C22">
        <f>Calc_BankMonth!C22*(1+Control!$B$25)^C$2*HLOOKUP(C$2,FX!$B$40:$AK$43,2,FALSE)</f>
        <v>27446.646961771799</v>
      </c>
      <c r="D22">
        <f>Calc_BankMonth!D22*(1+Control!$B$25)^D$2*HLOOKUP(D$2,FX!$B$40:$AK$43,2,FALSE)</f>
        <v>27828.520909329167</v>
      </c>
      <c r="E22">
        <f>Calc_BankMonth!E22*(1+Control!$B$25)^E$2*HLOOKUP(E$2,FX!$B$40:$AK$43,2,FALSE)</f>
        <v>28340.073067123314</v>
      </c>
      <c r="F22">
        <f>Calc_BankMonth!F22*(1+Control!$B$25)^F$2*HLOOKUP(F$2,FX!$B$40:$AK$43,2,FALSE)</f>
        <v>28741.702076262023</v>
      </c>
      <c r="G22">
        <f>Calc_BankMonth!G22*(1+Control!$B$25)^G$2*HLOOKUP(G$2,FX!$B$40:$AK$43,2,FALSE)</f>
        <v>29194.998664399242</v>
      </c>
      <c r="H22">
        <f>Calc_BankMonth!H22*(1+Control!$B$25)^H$2*HLOOKUP(H$2,FX!$B$40:$AK$43,2,FALSE)</f>
        <v>29538.460372279482</v>
      </c>
      <c r="I22">
        <f>Calc_BankMonth!I22*(1+Control!$B$25)^I$2*HLOOKUP(I$2,FX!$B$40:$AK$43,2,FALSE)</f>
        <v>29825.236340304713</v>
      </c>
      <c r="J22">
        <f>Calc_BankMonth!J22*(1+Control!$B$25)^J$2*HLOOKUP(J$2,FX!$B$40:$AK$43,2,FALSE)</f>
        <v>30069.912566047482</v>
      </c>
      <c r="K22">
        <f>Calc_BankMonth!K22*(1+Control!$B$25)^K$2*HLOOKUP(K$2,FX!$B$40:$AK$43,2,FALSE)</f>
        <v>30234.082101042779</v>
      </c>
      <c r="L22">
        <f>Calc_BankMonth!L22*(1+Control!$B$25)^L$2*HLOOKUP(L$2,FX!$B$40:$AK$43,2,FALSE)</f>
        <v>30496.930256360694</v>
      </c>
      <c r="M22">
        <f>Calc_BankMonth!M22*(1+Control!$B$25)^M$2*HLOOKUP(M$2,FX!$B$40:$AK$43,2,FALSE)</f>
        <v>30612.20049000001</v>
      </c>
      <c r="N22">
        <f>Calc_BankMonth!N22*(1+Control!$B$25)^N$2*HLOOKUP(N$2,FX!$B$40:$AK$43,2,FALSE)</f>
        <v>30649.391769387938</v>
      </c>
      <c r="O22">
        <f>Calc_BankMonth!O22*(1+Control!$B$25)^O$2*HLOOKUP(O$2,FX!$B$40:$AK$43,2,FALSE)</f>
        <v>30964.976120574418</v>
      </c>
      <c r="P22">
        <f>Calc_BankMonth!P22*(1+Control!$B$25)^P$2*HLOOKUP(P$2,FX!$B$40:$AK$43,2,FALSE)</f>
        <v>30918.443478760935</v>
      </c>
      <c r="Q22">
        <f>Calc_BankMonth!Q22*(1+Control!$B$25)^Q$2*HLOOKUP(Q$2,FX!$B$40:$AK$43,2,FALSE)</f>
        <v>30917.60346813206</v>
      </c>
      <c r="R22">
        <f>Calc_BankMonth!R22*(1+Control!$B$25)^R$2*HLOOKUP(R$2,FX!$B$40:$AK$43,2,FALSE)</f>
        <v>31065.705559362672</v>
      </c>
      <c r="S22">
        <f>Calc_BankMonth!S22*(1+Control!$B$25)^S$2*HLOOKUP(S$2,FX!$B$40:$AK$43,2,FALSE)</f>
        <v>31102.440254586749</v>
      </c>
      <c r="T22">
        <f>Calc_BankMonth!T22*(1+Control!$B$25)^T$2*HLOOKUP(T$2,FX!$B$40:$AK$43,2,FALSE)</f>
        <v>31258.88879587394</v>
      </c>
      <c r="U22">
        <f>Calc_BankMonth!U22*(1+Control!$B$25)^U$2*HLOOKUP(U$2,FX!$B$40:$AK$43,2,FALSE)</f>
        <v>31343.838787804212</v>
      </c>
      <c r="V22">
        <f>Calc_BankMonth!V22*(1+Control!$B$25)^V$2*HLOOKUP(V$2,FX!$B$40:$AK$43,2,FALSE)</f>
        <v>31423.39798321425</v>
      </c>
      <c r="W22">
        <f>Calc_BankMonth!W22*(1+Control!$B$25)^W$2*HLOOKUP(W$2,FX!$B$40:$AK$43,2,FALSE)</f>
        <v>31752.50958679488</v>
      </c>
      <c r="X22">
        <f>Calc_BankMonth!X22*(1+Control!$B$25)^X$2*HLOOKUP(X$2,FX!$B$40:$AK$43,2,FALSE)</f>
        <v>31916.940389052084</v>
      </c>
      <c r="Y22">
        <f>Calc_BankMonth!Y22*(1+Control!$B$25)^Y$2*HLOOKUP(Y$2,FX!$B$40:$AK$43,2,FALSE)</f>
        <v>32272.280014408014</v>
      </c>
      <c r="Z22">
        <f>Calc_BankMonth!Z22*(1+Control!$B$25)^Z$2*HLOOKUP(Z$2,FX!$B$40:$AK$43,2,FALSE)</f>
        <v>32564.161365440119</v>
      </c>
      <c r="AA22">
        <f>Calc_BankMonth!AA22*(1+Control!$B$25)^AA$2*HLOOKUP(AA$2,FX!$B$40:$AK$43,2,FALSE)</f>
        <v>33038.693943202692</v>
      </c>
      <c r="AB22">
        <f>Calc_BankMonth!AB22*(1+Control!$B$25)^AB$2*HLOOKUP(AB$2,FX!$B$40:$AK$43,2,FALSE)</f>
        <v>33436.608280770328</v>
      </c>
      <c r="AC22">
        <f>Calc_BankMonth!AC22*(1+Control!$B$25)^AC$2*HLOOKUP(AC$2,FX!$B$40:$AK$43,2,FALSE)</f>
        <v>34021.78348920423</v>
      </c>
      <c r="AD22">
        <f>Calc_BankMonth!AD22*(1+Control!$B$25)^AD$2*HLOOKUP(AD$2,FX!$B$40:$AK$43,2,FALSE)</f>
        <v>34414.718522542236</v>
      </c>
      <c r="AE22">
        <f>Calc_BankMonth!AE22*(1+Control!$B$25)^AE$2*HLOOKUP(AE$2,FX!$B$40:$AK$43,2,FALSE)</f>
        <v>35125.530860069652</v>
      </c>
      <c r="AF22">
        <f>Calc_BankMonth!AF22*(1+Control!$B$25)^AF$2*HLOOKUP(AF$2,FX!$B$40:$AK$43,2,FALSE)</f>
        <v>35726.511753784689</v>
      </c>
      <c r="AG22">
        <f>Calc_BankMonth!AG22*(1+Control!$B$25)^AG$2*HLOOKUP(AG$2,FX!$B$40:$AK$43,2,FALSE)</f>
        <v>36195.925333236555</v>
      </c>
      <c r="AH22">
        <f>Calc_BankMonth!AH22*(1+Control!$B$25)^AH$2*HLOOKUP(AH$2,FX!$B$40:$AK$43,2,FALSE)</f>
        <v>36665.867972038781</v>
      </c>
      <c r="AI22">
        <f>Calc_BankMonth!AI22*(1+Control!$B$25)^AI$2*HLOOKUP(AI$2,FX!$B$40:$AK$43,2,FALSE)</f>
        <v>37374.305266438234</v>
      </c>
      <c r="AJ22">
        <f>Calc_BankMonth!AJ22*(1+Control!$B$25)^AJ$2*HLOOKUP(AJ$2,FX!$B$40:$AK$43,2,FALSE)</f>
        <v>37935.593373986834</v>
      </c>
      <c r="AK22">
        <f>Calc_BankMonth!AK22*(1+Control!$B$25)^AK$2*HLOOKUP(AK$2,FX!$B$40:$AK$43,2,FALSE)</f>
        <v>38464.668109285427</v>
      </c>
      <c r="AL22" cm="1">
        <f t="array" ref="AL22">INDEX(B22:AK22,Control!$B$3)</f>
        <v>38464.668109285427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7FFF5-20A9-4FC0-82BF-E3CE589AE890}">
  <dimension ref="A1:I18"/>
  <sheetViews>
    <sheetView workbookViewId="0"/>
  </sheetViews>
  <sheetFormatPr defaultRowHeight="12.5" x14ac:dyDescent="0.25"/>
  <sheetData>
    <row r="1" spans="1:9" x14ac:dyDescent="0.25">
      <c r="A1" t="s">
        <v>180</v>
      </c>
      <c r="B1" t="s">
        <v>4</v>
      </c>
      <c r="C1" t="s">
        <v>0</v>
      </c>
      <c r="D1" t="s">
        <v>8</v>
      </c>
      <c r="E1" t="s">
        <v>150</v>
      </c>
      <c r="F1" t="s">
        <v>148</v>
      </c>
    </row>
    <row r="2" spans="1:9" x14ac:dyDescent="0.25">
      <c r="A2">
        <v>1</v>
      </c>
      <c r="B2">
        <f>LARGE(Calc_Bank!$C$2:$C$21,A2)</f>
        <v>32434</v>
      </c>
      <c r="C2" t="str">
        <f>INDEX(Calc_Bank!$A$2:$A$21,MATCH(B2,Calc_Bank!$C$2:$C$21,0))</f>
        <v>Banca Città</v>
      </c>
      <c r="D2" t="str">
        <f>_xlfn.XLOOKUP(C2,Calc_Bank!$A$2:$A$21,Calc_Bank!$B$2:$B$21)</f>
        <v>Centro</v>
      </c>
      <c r="E2">
        <f>B2/SUM(Calc_Bank!$C$2:$C$21)</f>
        <v>8.1032511190876108E-2</v>
      </c>
      <c r="F2">
        <f>_xlfn.XLOOKUP(C2,Calc_Bank!$A$2:$A$21,Calc_Bank!$H$2:$H$21)</f>
        <v>6.3263843425866995E-3</v>
      </c>
      <c r="H2" t="s">
        <v>181</v>
      </c>
      <c r="I2">
        <f>MEDIAN(Calc_Bank!C2:C21)</f>
        <v>20042.2</v>
      </c>
    </row>
    <row r="3" spans="1:9" x14ac:dyDescent="0.25">
      <c r="A3">
        <v>2</v>
      </c>
      <c r="B3">
        <f>LARGE(Calc_Bank!$C$2:$C$21,A3)</f>
        <v>31096.1</v>
      </c>
      <c r="C3" t="str">
        <f>INDEX(Calc_Bank!$A$2:$A$21,MATCH(B3,Calc_Bank!$C$2:$C$21,0))</f>
        <v>Banca Romagnola</v>
      </c>
      <c r="D3" t="str">
        <f>_xlfn.XLOOKUP(C3,Calc_Bank!$A$2:$A$21,Calc_Bank!$B$2:$B$21)</f>
        <v>Nord-Est</v>
      </c>
      <c r="E3">
        <f>B3/SUM(Calc_Bank!$C$2:$C$21)</f>
        <v>7.7689926350206648E-2</v>
      </c>
      <c r="F3">
        <f>_xlfn.XLOOKUP(C3,Calc_Bank!$A$2:$A$21,Calc_Bank!$H$2:$H$21)</f>
        <v>2.7926925619567999E-3</v>
      </c>
      <c r="H3" t="s">
        <v>182</v>
      </c>
      <c r="I3">
        <f>_xlfn.STDEV.S(Calc_Bank!C2:C21)</f>
        <v>7731.0407508320868</v>
      </c>
    </row>
    <row r="4" spans="1:9" x14ac:dyDescent="0.25">
      <c r="A4">
        <v>3</v>
      </c>
      <c r="B4">
        <f>LARGE(Calc_Bank!$C$2:$C$21,A4)</f>
        <v>29778.7</v>
      </c>
      <c r="C4" t="str">
        <f>INDEX(Calc_Bank!$A$2:$A$21,MATCH(B4,Calc_Bank!$C$2:$C$21,0))</f>
        <v>Banca Sarda</v>
      </c>
      <c r="D4" t="str">
        <f>_xlfn.XLOOKUP(C4,Calc_Bank!$A$2:$A$21,Calc_Bank!$B$2:$B$21)</f>
        <v>Isole</v>
      </c>
      <c r="E4">
        <f>B4/SUM(Calc_Bank!$C$2:$C$21)</f>
        <v>7.4398558333839265E-2</v>
      </c>
      <c r="F4">
        <f>_xlfn.XLOOKUP(C4,Calc_Bank!$A$2:$A$21,Calc_Bank!$H$2:$H$21)</f>
        <v>2.683592040136018E-3</v>
      </c>
      <c r="H4" t="s">
        <v>183</v>
      </c>
      <c r="I4">
        <f>_xlfn.PERCENTILE.INC(Calc_Bank!C2:C21,0.9)</f>
        <v>29910.440000000002</v>
      </c>
    </row>
    <row r="5" spans="1:9" x14ac:dyDescent="0.25">
      <c r="A5">
        <v>4</v>
      </c>
      <c r="B5">
        <f>LARGE(Calc_Bank!$C$2:$C$21,A5)</f>
        <v>28525.599999999999</v>
      </c>
      <c r="C5" t="str">
        <f>INDEX(Calc_Bank!$A$2:$A$21,MATCH(B5,Calc_Bank!$C$2:$C$21,0))</f>
        <v>Banca Sicula</v>
      </c>
      <c r="D5" t="str">
        <f>_xlfn.XLOOKUP(C5,Calc_Bank!$A$2:$A$21,Calc_Bank!$B$2:$B$21)</f>
        <v>Isole</v>
      </c>
      <c r="E5">
        <f>B5/SUM(Calc_Bank!$C$2:$C$21)</f>
        <v>7.1267836259063189E-2</v>
      </c>
      <c r="F5">
        <f>_xlfn.XLOOKUP(C5,Calc_Bank!$A$2:$A$21,Calc_Bank!$H$2:$H$21)</f>
        <v>6.1301222497338603E-3</v>
      </c>
      <c r="H5" t="s">
        <v>184</v>
      </c>
      <c r="I5">
        <f>_xlfn.QUARTILE.INC(Calc_Bank!C2:C21,1)</f>
        <v>13820.924999999999</v>
      </c>
    </row>
    <row r="6" spans="1:9" x14ac:dyDescent="0.25">
      <c r="A6">
        <v>5</v>
      </c>
      <c r="B6">
        <f>LARGE(Calc_Bank!$C$2:$C$21,A6)</f>
        <v>27252.399999999998</v>
      </c>
      <c r="C6" t="str">
        <f>INDEX(Calc_Bank!$A$2:$A$21,MATCH(B6,Calc_Bank!$C$2:$C$21,0))</f>
        <v>Banca Calabra</v>
      </c>
      <c r="D6" t="str">
        <f>_xlfn.XLOOKUP(C6,Calc_Bank!$A$2:$A$21,Calc_Bank!$B$2:$B$21)</f>
        <v>Sud</v>
      </c>
      <c r="E6">
        <f>B6/SUM(Calc_Bank!$C$2:$C$21)</f>
        <v>6.8086896712654374E-2</v>
      </c>
      <c r="F6">
        <f>_xlfn.XLOOKUP(C6,Calc_Bank!$A$2:$A$21,Calc_Bank!$H$2:$H$21)</f>
        <v>4.5153133627471309E-3</v>
      </c>
      <c r="H6" t="s">
        <v>56</v>
      </c>
      <c r="I6">
        <f>AVERAGE(Calc_Bank!C2:C21)</f>
        <v>20012.954999999998</v>
      </c>
    </row>
    <row r="7" spans="1:9" x14ac:dyDescent="0.25">
      <c r="A7">
        <v>6</v>
      </c>
      <c r="B7">
        <f>LARGE(Calc_Bank!$C$2:$C$21,A7)</f>
        <v>25892.2</v>
      </c>
      <c r="C7" t="str">
        <f>INDEX(Calc_Bank!$A$2:$A$21,MATCH(B7,Calc_Bank!$C$2:$C$21,0))</f>
        <v>Banca Lucana</v>
      </c>
      <c r="D7" t="str">
        <f>_xlfn.XLOOKUP(C7,Calc_Bank!$A$2:$A$21,Calc_Bank!$B$2:$B$21)</f>
        <v>Sud</v>
      </c>
      <c r="E7">
        <f>B7/SUM(Calc_Bank!$C$2:$C$21)</f>
        <v>6.4688597960670988E-2</v>
      </c>
      <c r="F7">
        <f>_xlfn.XLOOKUP(C7,Calc_Bank!$A$2:$A$21,Calc_Bank!$H$2:$H$21)</f>
        <v>5.7019894816161543E-3</v>
      </c>
      <c r="H7" t="s">
        <v>185</v>
      </c>
      <c r="I7">
        <f>MAX(Calc_Bank!C2:C21)-MIN(Calc_Bank!C2:C21)</f>
        <v>24838.199999999997</v>
      </c>
    </row>
    <row r="8" spans="1:9" x14ac:dyDescent="0.25">
      <c r="A8">
        <v>7</v>
      </c>
      <c r="B8">
        <f>LARGE(Calc_Bank!$C$2:$C$21,A8)</f>
        <v>24657.8</v>
      </c>
      <c r="C8" t="str">
        <f>INDEX(Calc_Bank!$A$2:$A$21,MATCH(B8,Calc_Bank!$C$2:$C$21,0))</f>
        <v>Banca Marchigiana</v>
      </c>
      <c r="D8" t="str">
        <f>_xlfn.XLOOKUP(C8,Calc_Bank!$A$2:$A$21,Calc_Bank!$B$2:$B$21)</f>
        <v>Centro</v>
      </c>
      <c r="E8">
        <f>B8/SUM(Calc_Bank!$C$2:$C$21)</f>
        <v>6.1604595623185085E-2</v>
      </c>
      <c r="F8">
        <f>_xlfn.XLOOKUP(C8,Calc_Bank!$A$2:$A$21,Calc_Bank!$H$2:$H$21)</f>
        <v>1.1984010375197807E-2</v>
      </c>
      <c r="H8" t="s">
        <v>186</v>
      </c>
      <c r="I8">
        <f>COUNTIF(Calc_Bank!H2:H21,"&gt;0")</f>
        <v>17</v>
      </c>
    </row>
    <row r="9" spans="1:9" x14ac:dyDescent="0.25">
      <c r="A9">
        <v>8</v>
      </c>
      <c r="B9">
        <f>LARGE(Calc_Bank!$C$2:$C$21,A9)</f>
        <v>23266.5</v>
      </c>
      <c r="C9" t="str">
        <f>INDEX(Calc_Bank!$A$2:$A$21,MATCH(B9,Calc_Bank!$C$2:$C$21,0))</f>
        <v>Banca Umbra</v>
      </c>
      <c r="D9" t="str">
        <f>_xlfn.XLOOKUP(C9,Calc_Bank!$A$2:$A$21,Calc_Bank!$B$2:$B$21)</f>
        <v>Centro</v>
      </c>
      <c r="E9">
        <f>B9/SUM(Calc_Bank!$C$2:$C$21)</f>
        <v>5.8128597201162951E-2</v>
      </c>
      <c r="F9">
        <f>_xlfn.XLOOKUP(C9,Calc_Bank!$A$2:$A$21,Calc_Bank!$H$2:$H$21)</f>
        <v>1.9119717854974017E-3</v>
      </c>
      <c r="H9" t="s">
        <v>187</v>
      </c>
      <c r="I9">
        <f>SUMPRODUCT(Calc_Bank!K2:K21,Calc_Bank!K2:K21)</f>
        <v>5.7088381719398257E-2</v>
      </c>
    </row>
    <row r="10" spans="1:9" x14ac:dyDescent="0.25">
      <c r="A10">
        <v>9</v>
      </c>
      <c r="B10">
        <f>LARGE(Calc_Bank!$C$2:$C$21,A10)</f>
        <v>21924.5</v>
      </c>
      <c r="C10" t="str">
        <f>INDEX(Calc_Bank!$A$2:$A$21,MATCH(B10,Calc_Bank!$C$2:$C$21,0))</f>
        <v>Banca Friulana</v>
      </c>
      <c r="D10" t="str">
        <f>_xlfn.XLOOKUP(C10,Calc_Bank!$A$2:$A$21,Calc_Bank!$B$2:$B$21)</f>
        <v>Nord-Est</v>
      </c>
      <c r="E10">
        <f>B10/SUM(Calc_Bank!$C$2:$C$21)</f>
        <v>5.4775768995633078E-2</v>
      </c>
      <c r="F10">
        <f>_xlfn.XLOOKUP(C10,Calc_Bank!$A$2:$A$21,Calc_Bank!$H$2:$H$21)</f>
        <v>-8.2943302328342128E-4</v>
      </c>
      <c r="H10" t="s">
        <v>188</v>
      </c>
      <c r="I10">
        <f>SQRT(I9)</f>
        <v>0.23893175117467802</v>
      </c>
    </row>
    <row r="11" spans="1:9" x14ac:dyDescent="0.25">
      <c r="A11">
        <v>10</v>
      </c>
      <c r="B11">
        <f>LARGE(Calc_Bank!$C$2:$C$21,A11)</f>
        <v>20672.400000000001</v>
      </c>
      <c r="C11" t="str">
        <f>INDEX(Calc_Bank!$A$2:$A$21,MATCH(B11,Calc_Bank!$C$2:$C$21,0))</f>
        <v>Banca Veneta</v>
      </c>
      <c r="D11" t="str">
        <f>_xlfn.XLOOKUP(C11,Calc_Bank!$A$2:$A$21,Calc_Bank!$B$2:$B$21)</f>
        <v>Nord-Est</v>
      </c>
      <c r="E11">
        <f>B11/SUM(Calc_Bank!$C$2:$C$21)</f>
        <v>5.1647545302530296E-2</v>
      </c>
      <c r="F11">
        <f>_xlfn.XLOOKUP(C11,Calc_Bank!$A$2:$A$21,Calc_Bank!$H$2:$H$21)</f>
        <v>3.5876398766900852E-3</v>
      </c>
      <c r="H11" t="s">
        <v>189</v>
      </c>
      <c r="I11">
        <f>ROUNDDOWN(I6,-1)</f>
        <v>20010</v>
      </c>
    </row>
    <row r="12" spans="1:9" x14ac:dyDescent="0.25">
      <c r="H12" t="s">
        <v>190</v>
      </c>
      <c r="I12">
        <f>PERCENTRANK(Calc_Bank!C2:C21,_xlfn.XLOOKUP(Control!B2,Calc_Bank!A2:A21,Calc_Bank!C2:C21))</f>
        <v>0.105</v>
      </c>
    </row>
    <row r="13" spans="1:9" x14ac:dyDescent="0.25">
      <c r="H13" t="s">
        <v>152</v>
      </c>
      <c r="I13">
        <f>AVERAGE(Calc_Product!B2:B9)</f>
        <v>1280.4125000000001</v>
      </c>
    </row>
    <row r="14" spans="1:9" x14ac:dyDescent="0.25">
      <c r="A14">
        <v>1</v>
      </c>
      <c r="B14">
        <f>SMALL(Calc_Bank!$C$2:$C$21,A14)</f>
        <v>7595.8000000000011</v>
      </c>
      <c r="C14" t="str">
        <f>INDEX(Calc_Bank!$A$2:$A$21,MATCH(B14,Calc_Bank!$C$2:$C$21,0))</f>
        <v>Banca Alpi</v>
      </c>
    </row>
    <row r="15" spans="1:9" x14ac:dyDescent="0.25">
      <c r="A15">
        <v>2</v>
      </c>
      <c r="B15">
        <f>SMALL(Calc_Bank!$C$2:$C$21,A15)</f>
        <v>8954.2000000000007</v>
      </c>
      <c r="C15" t="str">
        <f>INDEX(Calc_Bank!$A$2:$A$21,MATCH(B15,Calc_Bank!$C$2:$C$21,0))</f>
        <v>Banca Adriatica</v>
      </c>
    </row>
    <row r="16" spans="1:9" x14ac:dyDescent="0.25">
      <c r="A16">
        <v>3</v>
      </c>
      <c r="B16">
        <f>SMALL(Calc_Bank!$C$2:$C$21,A16)</f>
        <v>10243.300000000001</v>
      </c>
      <c r="C16" t="str">
        <f>INDEX(Calc_Bank!$A$2:$A$21,MATCH(B16,Calc_Bank!$C$2:$C$21,0))</f>
        <v>Banca Tirrena</v>
      </c>
    </row>
    <row r="17" spans="1:3" x14ac:dyDescent="0.25">
      <c r="A17">
        <v>4</v>
      </c>
      <c r="B17">
        <f>SMALL(Calc_Bank!$C$2:$C$21,A17)</f>
        <v>11467.099999999999</v>
      </c>
      <c r="C17" t="str">
        <f>INDEX(Calc_Bank!$A$2:$A$21,MATCH(B17,Calc_Bank!$C$2:$C$21,0))</f>
        <v>Banca Padana</v>
      </c>
    </row>
    <row r="18" spans="1:3" x14ac:dyDescent="0.25">
      <c r="A18">
        <v>5</v>
      </c>
      <c r="B18">
        <f>SMALL(Calc_Bank!$C$2:$C$21,A18)</f>
        <v>12839.400000000001</v>
      </c>
      <c r="C18" t="str">
        <f>INDEX(Calc_Bank!$A$2:$A$21,MATCH(B18,Calc_Bank!$C$2:$C$21,0))</f>
        <v>Banca Etrusca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FF64F-26A9-43D6-9BE9-9982604308D3}">
  <dimension ref="A1:P21"/>
  <sheetViews>
    <sheetView workbookViewId="0"/>
  </sheetViews>
  <sheetFormatPr defaultRowHeight="12.5" x14ac:dyDescent="0.25"/>
  <sheetData>
    <row r="1" spans="1:16" x14ac:dyDescent="0.25">
      <c r="A1" t="s">
        <v>0</v>
      </c>
      <c r="B1" t="s">
        <v>191</v>
      </c>
      <c r="C1" t="s">
        <v>192</v>
      </c>
      <c r="D1" t="s">
        <v>193</v>
      </c>
      <c r="E1" t="s">
        <v>46</v>
      </c>
      <c r="F1" t="s">
        <v>45</v>
      </c>
      <c r="G1" t="s">
        <v>194</v>
      </c>
      <c r="H1" t="s">
        <v>195</v>
      </c>
      <c r="I1" t="s">
        <v>196</v>
      </c>
      <c r="J1" t="s">
        <v>197</v>
      </c>
      <c r="K1" t="s">
        <v>198</v>
      </c>
      <c r="L1" t="s">
        <v>199</v>
      </c>
      <c r="M1" t="s">
        <v>200</v>
      </c>
      <c r="N1" t="s">
        <v>201</v>
      </c>
      <c r="O1" t="s">
        <v>202</v>
      </c>
      <c r="P1" t="s">
        <v>123</v>
      </c>
    </row>
    <row r="2" spans="1:16" x14ac:dyDescent="0.25">
      <c r="A2" t="str">
        <f>Banks!A2</f>
        <v>Banca Alpi</v>
      </c>
      <c r="B2" t="str">
        <f t="shared" ref="B2:B21" si="0">UPPER(LEFT(A2,5))</f>
        <v>BANCA</v>
      </c>
      <c r="C2" t="str">
        <f t="shared" ref="C2:C21" si="1">RIGHT(A2,LEN(A2)-FIND(" ",A2))</f>
        <v>Alpi</v>
      </c>
      <c r="D2" t="str">
        <f t="shared" ref="D2:D21" si="2">MID(A2,7,3)</f>
        <v>Alp</v>
      </c>
      <c r="E2" t="str">
        <f>TRIM(Banks!D2)</f>
        <v>Rossi</v>
      </c>
      <c r="F2" t="str">
        <f>CONCATENATE(Banks!B2,"-",LEFT(Banks!C2,3))</f>
        <v>B101-Nor</v>
      </c>
      <c r="G2" t="str">
        <f t="shared" ref="G2:G21" si="3">SUBSTITUTE(A2,"Banca","Bk")</f>
        <v>Bk Alpi</v>
      </c>
      <c r="H2" t="str">
        <f t="shared" ref="H2:H21" si="4">LOWER(C2)&amp;"@esempio.it"</f>
        <v>alpi@esempio.it</v>
      </c>
      <c r="I2" t="str">
        <f t="shared" ref="I2:I21" si="5">PROPER(LOWER(A2))</f>
        <v>Banca Alpi</v>
      </c>
      <c r="J2" t="str">
        <f>REPT("*",Calc_Bank!L2)</f>
        <v>********************</v>
      </c>
      <c r="K2" t="str">
        <f>TEXT(Calc_Bank!C2,"#.##0,0")</f>
        <v>7.595,8</v>
      </c>
      <c r="L2" t="str">
        <f>_xlfn.TEXTJOIN(", ",TRUE,A2,B2,Calc_Bank!R2)</f>
        <v>Banca Alpi, BANCA, Grande</v>
      </c>
      <c r="M2">
        <f>VALUE(RIGHT(Banks!B2,3))</f>
        <v>101</v>
      </c>
      <c r="N2">
        <f t="shared" ref="N2:N21" si="6">LEN(E2)</f>
        <v>5</v>
      </c>
      <c r="O2" t="str">
        <f t="shared" ref="O2:O21" si="7">IF(ISNUMBER(FIND("à",A2)),"accento","-")</f>
        <v>-</v>
      </c>
      <c r="P2" t="str">
        <f>A2&amp;" ("&amp;Calc_Bank!T2&amp;") "&amp;TEXT(Calc_Bank!K2,"0,0%")</f>
        <v>Banca Alpi (NO) 1,9%</v>
      </c>
    </row>
    <row r="3" spans="1:16" x14ac:dyDescent="0.25">
      <c r="A3" t="str">
        <f>Banks!A3</f>
        <v>Banca Adriatica</v>
      </c>
      <c r="B3" t="str">
        <f t="shared" si="0"/>
        <v>BANCA</v>
      </c>
      <c r="C3" t="str">
        <f t="shared" si="1"/>
        <v>Adriatica</v>
      </c>
      <c r="D3" t="str">
        <f t="shared" si="2"/>
        <v>Adr</v>
      </c>
      <c r="E3" t="str">
        <f>TRIM(Banks!D3)</f>
        <v>Bianchi Anna</v>
      </c>
      <c r="F3" t="str">
        <f>CONCATENATE(Banks!B3,"-",LEFT(Banks!C3,3))</f>
        <v>B102-Nor</v>
      </c>
      <c r="G3" t="str">
        <f t="shared" si="3"/>
        <v>Bk Adriatica</v>
      </c>
      <c r="H3" t="str">
        <f t="shared" si="4"/>
        <v>adriatica@esempio.it</v>
      </c>
      <c r="I3" t="str">
        <f t="shared" si="5"/>
        <v>Banca Adriatica</v>
      </c>
      <c r="J3" t="str">
        <f>REPT("*",Calc_Bank!L3)</f>
        <v>*******************</v>
      </c>
      <c r="K3" t="str">
        <f>TEXT(Calc_Bank!C3,"#.##0,0")</f>
        <v>8.954,2</v>
      </c>
      <c r="L3" t="str">
        <f>_xlfn.TEXTJOIN(", ",TRUE,A3,B3,Calc_Bank!R3)</f>
        <v>Banca Adriatica, BANCA, Media</v>
      </c>
      <c r="M3">
        <f>VALUE(RIGHT(Banks!B3,3))</f>
        <v>102</v>
      </c>
      <c r="N3">
        <f t="shared" si="6"/>
        <v>12</v>
      </c>
      <c r="O3" t="str">
        <f t="shared" si="7"/>
        <v>-</v>
      </c>
      <c r="P3" t="str">
        <f>A3&amp;" ("&amp;Calc_Bank!T3&amp;") "&amp;TEXT(Calc_Bank!K3,"0,0%")</f>
        <v>Banca Adriatica (NE) 2,2%</v>
      </c>
    </row>
    <row r="4" spans="1:16" x14ac:dyDescent="0.25">
      <c r="A4" t="str">
        <f>Banks!A4</f>
        <v>Banca Tirrena</v>
      </c>
      <c r="B4" t="str">
        <f t="shared" si="0"/>
        <v>BANCA</v>
      </c>
      <c r="C4" t="str">
        <f t="shared" si="1"/>
        <v>Tirrena</v>
      </c>
      <c r="D4" t="str">
        <f t="shared" si="2"/>
        <v>Tir</v>
      </c>
      <c r="E4" t="str">
        <f>TRIM(Banks!D4)</f>
        <v>Verdi</v>
      </c>
      <c r="F4" t="str">
        <f>CONCATENATE(Banks!B4,"-",LEFT(Banks!C4,3))</f>
        <v>B103-Cen</v>
      </c>
      <c r="G4" t="str">
        <f t="shared" si="3"/>
        <v>Bk Tirrena</v>
      </c>
      <c r="H4" t="str">
        <f t="shared" si="4"/>
        <v>tirrena@esempio.it</v>
      </c>
      <c r="I4" t="str">
        <f t="shared" si="5"/>
        <v>Banca Tirrena</v>
      </c>
      <c r="J4" t="str">
        <f>REPT("*",Calc_Bank!L4)</f>
        <v>******************</v>
      </c>
      <c r="K4" t="str">
        <f>TEXT(Calc_Bank!C4,"#.##0,0")</f>
        <v>10.243,3</v>
      </c>
      <c r="L4" t="str">
        <f>_xlfn.TEXTJOIN(", ",TRUE,A4,B4,Calc_Bank!R4)</f>
        <v>Banca Tirrena, BANCA, Grande</v>
      </c>
      <c r="M4">
        <f>VALUE(RIGHT(Banks!B4,3))</f>
        <v>103</v>
      </c>
      <c r="N4">
        <f t="shared" si="6"/>
        <v>5</v>
      </c>
      <c r="O4" t="str">
        <f t="shared" si="7"/>
        <v>-</v>
      </c>
      <c r="P4" t="str">
        <f>A4&amp;" ("&amp;Calc_Bank!T4&amp;") "&amp;TEXT(Calc_Bank!K4,"0,0%")</f>
        <v>Banca Tirrena (CE) 2,6%</v>
      </c>
    </row>
    <row r="5" spans="1:16" x14ac:dyDescent="0.25">
      <c r="A5" t="str">
        <f>Banks!A5</f>
        <v>Banca Padana</v>
      </c>
      <c r="B5" t="str">
        <f t="shared" si="0"/>
        <v>BANCA</v>
      </c>
      <c r="C5" t="str">
        <f t="shared" si="1"/>
        <v>Padana</v>
      </c>
      <c r="D5" t="str">
        <f t="shared" si="2"/>
        <v>Pad</v>
      </c>
      <c r="E5" t="str">
        <f>TRIM(Banks!D5)</f>
        <v>Ferrari</v>
      </c>
      <c r="F5" t="str">
        <f>CONCATENATE(Banks!B5,"-",LEFT(Banks!C5,3))</f>
        <v>B104-Nor</v>
      </c>
      <c r="G5" t="str">
        <f t="shared" si="3"/>
        <v>Bk Padana</v>
      </c>
      <c r="H5" t="str">
        <f t="shared" si="4"/>
        <v>padana@esempio.it</v>
      </c>
      <c r="I5" t="str">
        <f t="shared" si="5"/>
        <v>Banca Padana</v>
      </c>
      <c r="J5" t="str">
        <f>REPT("*",Calc_Bank!L5)</f>
        <v>*****************</v>
      </c>
      <c r="K5" t="str">
        <f>TEXT(Calc_Bank!C5,"#.##0,0")</f>
        <v>11.467,1</v>
      </c>
      <c r="L5" t="str">
        <f>_xlfn.TEXTJOIN(", ",TRUE,A5,B5,Calc_Bank!R5)</f>
        <v>Banca Padana, BANCA, Grande</v>
      </c>
      <c r="M5">
        <f>VALUE(RIGHT(Banks!B5,3))</f>
        <v>104</v>
      </c>
      <c r="N5">
        <f t="shared" si="6"/>
        <v>7</v>
      </c>
      <c r="O5" t="str">
        <f t="shared" si="7"/>
        <v>-</v>
      </c>
      <c r="P5" t="str">
        <f>A5&amp;" ("&amp;Calc_Bank!T5&amp;") "&amp;TEXT(Calc_Bank!K5,"0,0%")</f>
        <v>Banca Padana (NO) 2,9%</v>
      </c>
    </row>
    <row r="6" spans="1:16" x14ac:dyDescent="0.25">
      <c r="A6" t="str">
        <f>Banks!A6</f>
        <v>Banca Etrusca</v>
      </c>
      <c r="B6" t="str">
        <f t="shared" si="0"/>
        <v>BANCA</v>
      </c>
      <c r="C6" t="str">
        <f t="shared" si="1"/>
        <v>Etrusca</v>
      </c>
      <c r="D6" t="str">
        <f t="shared" si="2"/>
        <v>Etr</v>
      </c>
      <c r="E6" t="str">
        <f>TRIM(Banks!D6)</f>
        <v>Russo</v>
      </c>
      <c r="F6" t="str">
        <f>CONCATENATE(Banks!B6,"-",LEFT(Banks!C6,3))</f>
        <v>B105-Cen</v>
      </c>
      <c r="G6" t="str">
        <f t="shared" si="3"/>
        <v>Bk Etrusca</v>
      </c>
      <c r="H6" t="str">
        <f t="shared" si="4"/>
        <v>etrusca@esempio.it</v>
      </c>
      <c r="I6" t="str">
        <f t="shared" si="5"/>
        <v>Banca Etrusca</v>
      </c>
      <c r="J6" t="str">
        <f>REPT("*",Calc_Bank!L6)</f>
        <v>****************</v>
      </c>
      <c r="K6" t="str">
        <f>TEXT(Calc_Bank!C6,"#.##0,0")</f>
        <v>12.839,4</v>
      </c>
      <c r="L6" t="str">
        <f>_xlfn.TEXTJOIN(", ",TRUE,A6,B6,Calc_Bank!R6)</f>
        <v>Banca Etrusca, BANCA, Media</v>
      </c>
      <c r="M6">
        <f>VALUE(RIGHT(Banks!B6,3))</f>
        <v>105</v>
      </c>
      <c r="N6">
        <f t="shared" si="6"/>
        <v>5</v>
      </c>
      <c r="O6" t="str">
        <f t="shared" si="7"/>
        <v>-</v>
      </c>
      <c r="P6" t="str">
        <f>A6&amp;" ("&amp;Calc_Bank!T6&amp;") "&amp;TEXT(Calc_Bank!K6,"0,0%")</f>
        <v>Banca Etrusca (CE) 3,2%</v>
      </c>
    </row>
    <row r="7" spans="1:16" x14ac:dyDescent="0.25">
      <c r="A7" t="str">
        <f>Banks!A7</f>
        <v>Banca Lariana</v>
      </c>
      <c r="B7" t="str">
        <f t="shared" si="0"/>
        <v>BANCA</v>
      </c>
      <c r="C7" t="str">
        <f t="shared" si="1"/>
        <v>Lariana</v>
      </c>
      <c r="D7" t="str">
        <f t="shared" si="2"/>
        <v>Lar</v>
      </c>
      <c r="E7" t="str">
        <f>TRIM(Banks!D7)</f>
        <v>Colombo Luca</v>
      </c>
      <c r="F7" t="str">
        <f>CONCATENATE(Banks!B7,"-",LEFT(Banks!C7,3))</f>
        <v>B106-Nor</v>
      </c>
      <c r="G7" t="str">
        <f t="shared" si="3"/>
        <v>Bk Lariana</v>
      </c>
      <c r="H7" t="str">
        <f t="shared" si="4"/>
        <v>lariana@esempio.it</v>
      </c>
      <c r="I7" t="str">
        <f t="shared" si="5"/>
        <v>Banca Lariana</v>
      </c>
      <c r="J7" t="str">
        <f>REPT("*",Calc_Bank!L7)</f>
        <v>***************</v>
      </c>
      <c r="K7" t="str">
        <f>TEXT(Calc_Bank!C7,"#.##0,0")</f>
        <v>14.148,1</v>
      </c>
      <c r="L7" t="str">
        <f>_xlfn.TEXTJOIN(", ",TRUE,A7,B7,Calc_Bank!R7)</f>
        <v>Banca Lariana, BANCA, Piccola</v>
      </c>
      <c r="M7">
        <f>VALUE(RIGHT(Banks!B7,3))</f>
        <v>106</v>
      </c>
      <c r="N7">
        <f t="shared" si="6"/>
        <v>12</v>
      </c>
      <c r="O7" t="str">
        <f t="shared" si="7"/>
        <v>-</v>
      </c>
      <c r="P7" t="str">
        <f>A7&amp;" ("&amp;Calc_Bank!T7&amp;") "&amp;TEXT(Calc_Bank!K7,"0,0%")</f>
        <v>Banca Lariana (NO) 3,5%</v>
      </c>
    </row>
    <row r="8" spans="1:16" x14ac:dyDescent="0.25">
      <c r="A8" t="str">
        <f>Banks!A8</f>
        <v>Banca Sabina</v>
      </c>
      <c r="B8" t="str">
        <f t="shared" si="0"/>
        <v>BANCA</v>
      </c>
      <c r="C8" t="str">
        <f t="shared" si="1"/>
        <v>Sabina</v>
      </c>
      <c r="D8" t="str">
        <f t="shared" si="2"/>
        <v>Sab</v>
      </c>
      <c r="E8" t="str">
        <f>TRIM(Banks!D8)</f>
        <v>Ricci</v>
      </c>
      <c r="F8" t="str">
        <f>CONCATENATE(Banks!B8,"-",LEFT(Banks!C8,3))</f>
        <v>B107-Cen</v>
      </c>
      <c r="G8" t="str">
        <f t="shared" si="3"/>
        <v>Bk Sabina</v>
      </c>
      <c r="H8" t="str">
        <f t="shared" si="4"/>
        <v>sabina@esempio.it</v>
      </c>
      <c r="I8" t="str">
        <f t="shared" si="5"/>
        <v>Banca Sabina</v>
      </c>
      <c r="J8" t="str">
        <f>REPT("*",Calc_Bank!L8)</f>
        <v>**************</v>
      </c>
      <c r="K8" t="str">
        <f>TEXT(Calc_Bank!C8,"#.##0,0")</f>
        <v>15.403,7</v>
      </c>
      <c r="L8" t="str">
        <f>_xlfn.TEXTJOIN(", ",TRUE,A8,B8,Calc_Bank!R8)</f>
        <v>Banca Sabina, BANCA, Piccola</v>
      </c>
      <c r="M8">
        <f>VALUE(RIGHT(Banks!B8,3))</f>
        <v>107</v>
      </c>
      <c r="N8">
        <f t="shared" si="6"/>
        <v>5</v>
      </c>
      <c r="O8" t="str">
        <f t="shared" si="7"/>
        <v>-</v>
      </c>
      <c r="P8" t="str">
        <f>A8&amp;" ("&amp;Calc_Bank!T8&amp;") "&amp;TEXT(Calc_Bank!K8,"0,0%")</f>
        <v>Banca Sabina (CE) 3,8%</v>
      </c>
    </row>
    <row r="9" spans="1:16" x14ac:dyDescent="0.25">
      <c r="A9" t="str">
        <f>Banks!A9</f>
        <v>Banca Irpina</v>
      </c>
      <c r="B9" t="str">
        <f t="shared" si="0"/>
        <v>BANCA</v>
      </c>
      <c r="C9" t="str">
        <f t="shared" si="1"/>
        <v>Irpina</v>
      </c>
      <c r="D9" t="str">
        <f t="shared" si="2"/>
        <v>Irp</v>
      </c>
      <c r="E9" t="str">
        <f>TRIM(Banks!D9)</f>
        <v>Marino</v>
      </c>
      <c r="F9" t="str">
        <f>CONCATENATE(Banks!B9,"-",LEFT(Banks!C9,3))</f>
        <v>B108-Sud</v>
      </c>
      <c r="G9" t="str">
        <f t="shared" si="3"/>
        <v>Bk Irpina</v>
      </c>
      <c r="H9" t="str">
        <f t="shared" si="4"/>
        <v>irpina@esempio.it</v>
      </c>
      <c r="I9" t="str">
        <f t="shared" si="5"/>
        <v>Banca Irpina</v>
      </c>
      <c r="J9" t="str">
        <f>REPT("*",Calc_Bank!L9)</f>
        <v>*************</v>
      </c>
      <c r="K9" t="str">
        <f>TEXT(Calc_Bank!C9,"#.##0,0")</f>
        <v>16.713,9</v>
      </c>
      <c r="L9" t="str">
        <f>_xlfn.TEXTJOIN(", ",TRUE,A9,B9,Calc_Bank!R9)</f>
        <v>Banca Irpina, BANCA, Piccola</v>
      </c>
      <c r="M9">
        <f>VALUE(RIGHT(Banks!B9,3))</f>
        <v>108</v>
      </c>
      <c r="N9">
        <f t="shared" si="6"/>
        <v>6</v>
      </c>
      <c r="O9" t="str">
        <f t="shared" si="7"/>
        <v>-</v>
      </c>
      <c r="P9" t="str">
        <f>A9&amp;" ("&amp;Calc_Bank!T9&amp;") "&amp;TEXT(Calc_Bank!K9,"0,0%")</f>
        <v>Banca Irpina (SU) 4,2%</v>
      </c>
    </row>
    <row r="10" spans="1:16" x14ac:dyDescent="0.25">
      <c r="A10" t="str">
        <f>Banks!A10</f>
        <v>Banca Sannita</v>
      </c>
      <c r="B10" t="str">
        <f t="shared" si="0"/>
        <v>BANCA</v>
      </c>
      <c r="C10" t="str">
        <f t="shared" si="1"/>
        <v>Sannita</v>
      </c>
      <c r="D10" t="str">
        <f t="shared" si="2"/>
        <v>San</v>
      </c>
      <c r="E10" t="str">
        <f>TRIM(Banks!D10)</f>
        <v>Greco</v>
      </c>
      <c r="F10" t="str">
        <f>CONCATENATE(Banks!B10,"-",LEFT(Banks!C10,3))</f>
        <v>B109-Sud</v>
      </c>
      <c r="G10" t="str">
        <f t="shared" si="3"/>
        <v>Bk Sannita</v>
      </c>
      <c r="H10" t="str">
        <f t="shared" si="4"/>
        <v>sannita@esempio.it</v>
      </c>
      <c r="I10" t="str">
        <f t="shared" si="5"/>
        <v>Banca Sannita</v>
      </c>
      <c r="J10" t="str">
        <f>REPT("*",Calc_Bank!L10)</f>
        <v>************</v>
      </c>
      <c r="K10" t="str">
        <f>TEXT(Calc_Bank!C10,"#.##0,0")</f>
        <v>17.981,4</v>
      </c>
      <c r="L10" t="str">
        <f>_xlfn.TEXTJOIN(", ",TRUE,A10,B10,Calc_Bank!R10)</f>
        <v>Banca Sannita, BANCA, Media</v>
      </c>
      <c r="M10">
        <f>VALUE(RIGHT(Banks!B10,3))</f>
        <v>109</v>
      </c>
      <c r="N10">
        <f t="shared" si="6"/>
        <v>5</v>
      </c>
      <c r="O10" t="str">
        <f t="shared" si="7"/>
        <v>-</v>
      </c>
      <c r="P10" t="str">
        <f>A10&amp;" ("&amp;Calc_Bank!T10&amp;") "&amp;TEXT(Calc_Bank!K10,"0,0%")</f>
        <v>Banca Sannita (SU) 4,5%</v>
      </c>
    </row>
    <row r="11" spans="1:16" x14ac:dyDescent="0.25">
      <c r="A11" t="str">
        <f>Banks!A11</f>
        <v>Banca Ligure</v>
      </c>
      <c r="B11" t="str">
        <f t="shared" si="0"/>
        <v>BANCA</v>
      </c>
      <c r="C11" t="str">
        <f t="shared" si="1"/>
        <v>Ligure</v>
      </c>
      <c r="D11" t="str">
        <f t="shared" si="2"/>
        <v>Lig</v>
      </c>
      <c r="E11" t="str">
        <f>TRIM(Banks!D11)</f>
        <v>Bruno</v>
      </c>
      <c r="F11" t="str">
        <f>CONCATENATE(Banks!B11,"-",LEFT(Banks!C11,3))</f>
        <v>B110-Nor</v>
      </c>
      <c r="G11" t="str">
        <f t="shared" si="3"/>
        <v>Bk Ligure</v>
      </c>
      <c r="H11" t="str">
        <f t="shared" si="4"/>
        <v>ligure@esempio.it</v>
      </c>
      <c r="I11" t="str">
        <f t="shared" si="5"/>
        <v>Banca Ligure</v>
      </c>
      <c r="J11" t="str">
        <f>REPT("*",Calc_Bank!L11)</f>
        <v>***********</v>
      </c>
      <c r="K11" t="str">
        <f>TEXT(Calc_Bank!C11,"#.##0,0")</f>
        <v>19.412,0</v>
      </c>
      <c r="L11" t="str">
        <f>_xlfn.TEXTJOIN(", ",TRUE,A11,B11,Calc_Bank!R11)</f>
        <v>Banca Ligure, BANCA, Media</v>
      </c>
      <c r="M11">
        <f>VALUE(RIGHT(Banks!B11,3))</f>
        <v>110</v>
      </c>
      <c r="N11">
        <f t="shared" si="6"/>
        <v>5</v>
      </c>
      <c r="O11" t="str">
        <f t="shared" si="7"/>
        <v>-</v>
      </c>
      <c r="P11" t="str">
        <f>A11&amp;" ("&amp;Calc_Bank!T11&amp;") "&amp;TEXT(Calc_Bank!K11,"0,0%")</f>
        <v>Banca Ligure (NO) 4,8%</v>
      </c>
    </row>
    <row r="12" spans="1:16" x14ac:dyDescent="0.25">
      <c r="A12" t="str">
        <f>Banks!A12</f>
        <v>Banca Veneta</v>
      </c>
      <c r="B12" t="str">
        <f t="shared" si="0"/>
        <v>BANCA</v>
      </c>
      <c r="C12" t="str">
        <f t="shared" si="1"/>
        <v>Veneta</v>
      </c>
      <c r="D12" t="str">
        <f t="shared" si="2"/>
        <v>Ven</v>
      </c>
      <c r="E12" t="str">
        <f>TRIM(Banks!D12)</f>
        <v>Gallo</v>
      </c>
      <c r="F12" t="str">
        <f>CONCATENATE(Banks!B12,"-",LEFT(Banks!C12,3))</f>
        <v>B111-Nor</v>
      </c>
      <c r="G12" t="str">
        <f t="shared" si="3"/>
        <v>Bk Veneta</v>
      </c>
      <c r="H12" t="str">
        <f t="shared" si="4"/>
        <v>veneta@esempio.it</v>
      </c>
      <c r="I12" t="str">
        <f t="shared" si="5"/>
        <v>Banca Veneta</v>
      </c>
      <c r="J12" t="str">
        <f>REPT("*",Calc_Bank!L12)</f>
        <v>**********</v>
      </c>
      <c r="K12" t="str">
        <f>TEXT(Calc_Bank!C12,"#.##0,0")</f>
        <v>20.672,4</v>
      </c>
      <c r="L12" t="str">
        <f>_xlfn.TEXTJOIN(", ",TRUE,A12,B12,Calc_Bank!R12)</f>
        <v>Banca Veneta, BANCA, Grande</v>
      </c>
      <c r="M12">
        <f>VALUE(RIGHT(Banks!B12,3))</f>
        <v>111</v>
      </c>
      <c r="N12">
        <f t="shared" si="6"/>
        <v>5</v>
      </c>
      <c r="O12" t="str">
        <f t="shared" si="7"/>
        <v>-</v>
      </c>
      <c r="P12" t="str">
        <f>A12&amp;" ("&amp;Calc_Bank!T12&amp;") "&amp;TEXT(Calc_Bank!K12,"0,0%")</f>
        <v>Banca Veneta (NE) 5,2%</v>
      </c>
    </row>
    <row r="13" spans="1:16" x14ac:dyDescent="0.25">
      <c r="A13" t="str">
        <f>Banks!A13</f>
        <v>Banca Friulana</v>
      </c>
      <c r="B13" t="str">
        <f t="shared" si="0"/>
        <v>BANCA</v>
      </c>
      <c r="C13" t="str">
        <f t="shared" si="1"/>
        <v>Friulana</v>
      </c>
      <c r="D13" t="str">
        <f t="shared" si="2"/>
        <v>Fri</v>
      </c>
      <c r="E13" t="str">
        <f>TRIM(Banks!D13)</f>
        <v>Conti</v>
      </c>
      <c r="F13" t="str">
        <f>CONCATENATE(Banks!B13,"-",LEFT(Banks!C13,3))</f>
        <v>B112-Nor</v>
      </c>
      <c r="G13" t="str">
        <f t="shared" si="3"/>
        <v>Bk Friulana</v>
      </c>
      <c r="H13" t="str">
        <f t="shared" si="4"/>
        <v>friulana@esempio.it</v>
      </c>
      <c r="I13" t="str">
        <f t="shared" si="5"/>
        <v>Banca Friulana</v>
      </c>
      <c r="J13" t="str">
        <f>REPT("*",Calc_Bank!L13)</f>
        <v>*********</v>
      </c>
      <c r="K13" t="str">
        <f>TEXT(Calc_Bank!C13,"#.##0,0")</f>
        <v>21.924,5</v>
      </c>
      <c r="L13" t="str">
        <f>_xlfn.TEXTJOIN(", ",TRUE,A13,B13,Calc_Bank!R13)</f>
        <v>Banca Friulana, BANCA, Media</v>
      </c>
      <c r="M13">
        <f>VALUE(RIGHT(Banks!B13,3))</f>
        <v>112</v>
      </c>
      <c r="N13">
        <f t="shared" si="6"/>
        <v>5</v>
      </c>
      <c r="O13" t="str">
        <f t="shared" si="7"/>
        <v>-</v>
      </c>
      <c r="P13" t="str">
        <f>A13&amp;" ("&amp;Calc_Bank!T13&amp;") "&amp;TEXT(Calc_Bank!K13,"0,0%")</f>
        <v>Banca Friulana (NE) 5,5%</v>
      </c>
    </row>
    <row r="14" spans="1:16" x14ac:dyDescent="0.25">
      <c r="A14" t="str">
        <f>Banks!A14</f>
        <v>Banca Umbra</v>
      </c>
      <c r="B14" t="str">
        <f t="shared" si="0"/>
        <v>BANCA</v>
      </c>
      <c r="C14" t="str">
        <f t="shared" si="1"/>
        <v>Umbra</v>
      </c>
      <c r="D14" t="str">
        <f t="shared" si="2"/>
        <v>Umb</v>
      </c>
      <c r="E14" t="str">
        <f>TRIM(Banks!D14)</f>
        <v>De Luca</v>
      </c>
      <c r="F14" t="str">
        <f>CONCATENATE(Banks!B14,"-",LEFT(Banks!C14,3))</f>
        <v>B113-Cen</v>
      </c>
      <c r="G14" t="str">
        <f t="shared" si="3"/>
        <v>Bk Umbra</v>
      </c>
      <c r="H14" t="str">
        <f t="shared" si="4"/>
        <v>umbra@esempio.it</v>
      </c>
      <c r="I14" t="str">
        <f t="shared" si="5"/>
        <v>Banca Umbra</v>
      </c>
      <c r="J14" t="str">
        <f>REPT("*",Calc_Bank!L14)</f>
        <v>********</v>
      </c>
      <c r="K14" t="str">
        <f>TEXT(Calc_Bank!C14,"#.##0,0")</f>
        <v>23.266,5</v>
      </c>
      <c r="L14" t="str">
        <f>_xlfn.TEXTJOIN(", ",TRUE,A14,B14,Calc_Bank!R14)</f>
        <v>Banca Umbra, BANCA, Piccola</v>
      </c>
      <c r="M14">
        <f>VALUE(RIGHT(Banks!B14,3))</f>
        <v>113</v>
      </c>
      <c r="N14">
        <f t="shared" si="6"/>
        <v>7</v>
      </c>
      <c r="O14" t="str">
        <f t="shared" si="7"/>
        <v>-</v>
      </c>
      <c r="P14" t="str">
        <f>A14&amp;" ("&amp;Calc_Bank!T14&amp;") "&amp;TEXT(Calc_Bank!K14,"0,0%")</f>
        <v>Banca Umbra (CE) 5,8%</v>
      </c>
    </row>
    <row r="15" spans="1:16" x14ac:dyDescent="0.25">
      <c r="A15" t="str">
        <f>Banks!A15</f>
        <v>Banca Marchigiana</v>
      </c>
      <c r="B15" t="str">
        <f t="shared" si="0"/>
        <v>BANCA</v>
      </c>
      <c r="C15" t="str">
        <f t="shared" si="1"/>
        <v>Marchigiana</v>
      </c>
      <c r="D15" t="str">
        <f t="shared" si="2"/>
        <v>Mar</v>
      </c>
      <c r="E15" t="str">
        <f>TRIM(Banks!D15)</f>
        <v>Mancini</v>
      </c>
      <c r="F15" t="str">
        <f>CONCATENATE(Banks!B15,"-",LEFT(Banks!C15,3))</f>
        <v>B114-Cen</v>
      </c>
      <c r="G15" t="str">
        <f t="shared" si="3"/>
        <v>Bk Marchigiana</v>
      </c>
      <c r="H15" t="str">
        <f t="shared" si="4"/>
        <v>marchigiana@esempio.it</v>
      </c>
      <c r="I15" t="str">
        <f t="shared" si="5"/>
        <v>Banca Marchigiana</v>
      </c>
      <c r="J15" t="str">
        <f>REPT("*",Calc_Bank!L15)</f>
        <v>*******</v>
      </c>
      <c r="K15" t="str">
        <f>TEXT(Calc_Bank!C15,"#.##0,0")</f>
        <v>24.657,8</v>
      </c>
      <c r="L15" t="str">
        <f>_xlfn.TEXTJOIN(", ",TRUE,A15,B15,Calc_Bank!R15)</f>
        <v>Banca Marchigiana, BANCA, Media</v>
      </c>
      <c r="M15">
        <f>VALUE(RIGHT(Banks!B15,3))</f>
        <v>114</v>
      </c>
      <c r="N15">
        <f t="shared" si="6"/>
        <v>7</v>
      </c>
      <c r="O15" t="str">
        <f t="shared" si="7"/>
        <v>-</v>
      </c>
      <c r="P15" t="str">
        <f>A15&amp;" ("&amp;Calc_Bank!T15&amp;") "&amp;TEXT(Calc_Bank!K15,"0,0%")</f>
        <v>Banca Marchigiana (CE) 6,2%</v>
      </c>
    </row>
    <row r="16" spans="1:16" x14ac:dyDescent="0.25">
      <c r="A16" t="str">
        <f>Banks!A16</f>
        <v>Banca Lucana</v>
      </c>
      <c r="B16" t="str">
        <f t="shared" si="0"/>
        <v>BANCA</v>
      </c>
      <c r="C16" t="str">
        <f t="shared" si="1"/>
        <v>Lucana</v>
      </c>
      <c r="D16" t="str">
        <f t="shared" si="2"/>
        <v>Luc</v>
      </c>
      <c r="E16" t="str">
        <f>TRIM(Banks!D16)</f>
        <v>Costa</v>
      </c>
      <c r="F16" t="str">
        <f>CONCATENATE(Banks!B16,"-",LEFT(Banks!C16,3))</f>
        <v>B115-Sud</v>
      </c>
      <c r="G16" t="str">
        <f t="shared" si="3"/>
        <v>Bk Lucana</v>
      </c>
      <c r="H16" t="str">
        <f t="shared" si="4"/>
        <v>lucana@esempio.it</v>
      </c>
      <c r="I16" t="str">
        <f t="shared" si="5"/>
        <v>Banca Lucana</v>
      </c>
      <c r="J16" t="str">
        <f>REPT("*",Calc_Bank!L16)</f>
        <v>******</v>
      </c>
      <c r="K16" t="str">
        <f>TEXT(Calc_Bank!C16,"#.##0,0")</f>
        <v>25.892,2</v>
      </c>
      <c r="L16" t="str">
        <f>_xlfn.TEXTJOIN(", ",TRUE,A16,B16,Calc_Bank!R16)</f>
        <v>Banca Lucana, BANCA, Piccola</v>
      </c>
      <c r="M16">
        <f>VALUE(RIGHT(Banks!B16,3))</f>
        <v>115</v>
      </c>
      <c r="N16">
        <f t="shared" si="6"/>
        <v>5</v>
      </c>
      <c r="O16" t="str">
        <f t="shared" si="7"/>
        <v>-</v>
      </c>
      <c r="P16" t="str">
        <f>A16&amp;" ("&amp;Calc_Bank!T16&amp;") "&amp;TEXT(Calc_Bank!K16,"0,0%")</f>
        <v>Banca Lucana (SU) 6,5%</v>
      </c>
    </row>
    <row r="17" spans="1:16" x14ac:dyDescent="0.25">
      <c r="A17" t="str">
        <f>Banks!A17</f>
        <v>Banca Calabra</v>
      </c>
      <c r="B17" t="str">
        <f t="shared" si="0"/>
        <v>BANCA</v>
      </c>
      <c r="C17" t="str">
        <f t="shared" si="1"/>
        <v>Calabra</v>
      </c>
      <c r="D17" t="str">
        <f t="shared" si="2"/>
        <v>Cal</v>
      </c>
      <c r="E17" t="str">
        <f>TRIM(Banks!D17)</f>
        <v>Giordano</v>
      </c>
      <c r="F17" t="str">
        <f>CONCATENATE(Banks!B17,"-",LEFT(Banks!C17,3))</f>
        <v>B116-Sud</v>
      </c>
      <c r="G17" t="str">
        <f t="shared" si="3"/>
        <v>Bk Calabra</v>
      </c>
      <c r="H17" t="str">
        <f t="shared" si="4"/>
        <v>calabra@esempio.it</v>
      </c>
      <c r="I17" t="str">
        <f t="shared" si="5"/>
        <v>Banca Calabra</v>
      </c>
      <c r="J17" t="str">
        <f>REPT("*",Calc_Bank!L17)</f>
        <v>*****</v>
      </c>
      <c r="K17" t="str">
        <f>TEXT(Calc_Bank!C17,"#.##0,0")</f>
        <v>27.252,4</v>
      </c>
      <c r="L17" t="str">
        <f>_xlfn.TEXTJOIN(", ",TRUE,A17,B17,Calc_Bank!R17)</f>
        <v>Banca Calabra, BANCA, Piccola</v>
      </c>
      <c r="M17">
        <f>VALUE(RIGHT(Banks!B17,3))</f>
        <v>116</v>
      </c>
      <c r="N17">
        <f t="shared" si="6"/>
        <v>8</v>
      </c>
      <c r="O17" t="str">
        <f t="shared" si="7"/>
        <v>-</v>
      </c>
      <c r="P17" t="str">
        <f>A17&amp;" ("&amp;Calc_Bank!T17&amp;") "&amp;TEXT(Calc_Bank!K17,"0,0%")</f>
        <v>Banca Calabra (SU) 6,8%</v>
      </c>
    </row>
    <row r="18" spans="1:16" x14ac:dyDescent="0.25">
      <c r="A18" t="str">
        <f>Banks!A18</f>
        <v>Banca Sicula</v>
      </c>
      <c r="B18" t="str">
        <f t="shared" si="0"/>
        <v>BANCA</v>
      </c>
      <c r="C18" t="str">
        <f t="shared" si="1"/>
        <v>Sicula</v>
      </c>
      <c r="D18" t="str">
        <f t="shared" si="2"/>
        <v>Sic</v>
      </c>
      <c r="E18" t="str">
        <f>TRIM(Banks!D18)</f>
        <v>Rizzo</v>
      </c>
      <c r="F18" t="str">
        <f>CONCATENATE(Banks!B18,"-",LEFT(Banks!C18,3))</f>
        <v>B117-Iso</v>
      </c>
      <c r="G18" t="str">
        <f t="shared" si="3"/>
        <v>Bk Sicula</v>
      </c>
      <c r="H18" t="str">
        <f t="shared" si="4"/>
        <v>sicula@esempio.it</v>
      </c>
      <c r="I18" t="str">
        <f t="shared" si="5"/>
        <v>Banca Sicula</v>
      </c>
      <c r="J18" t="str">
        <f>REPT("*",Calc_Bank!L18)</f>
        <v>****</v>
      </c>
      <c r="K18" t="str">
        <f>TEXT(Calc_Bank!C18,"#.##0,0")</f>
        <v>28.525,6</v>
      </c>
      <c r="L18" t="str">
        <f>_xlfn.TEXTJOIN(", ",TRUE,A18,B18,Calc_Bank!R18)</f>
        <v>Banca Sicula, BANCA, Grande</v>
      </c>
      <c r="M18">
        <f>VALUE(RIGHT(Banks!B18,3))</f>
        <v>117</v>
      </c>
      <c r="N18">
        <f t="shared" si="6"/>
        <v>5</v>
      </c>
      <c r="O18" t="str">
        <f t="shared" si="7"/>
        <v>-</v>
      </c>
      <c r="P18" t="str">
        <f>A18&amp;" ("&amp;Calc_Bank!T18&amp;") "&amp;TEXT(Calc_Bank!K18,"0,0%")</f>
        <v>Banca Sicula (IS) 7,1%</v>
      </c>
    </row>
    <row r="19" spans="1:16" x14ac:dyDescent="0.25">
      <c r="A19" t="str">
        <f>Banks!A19</f>
        <v>Banca Sarda</v>
      </c>
      <c r="B19" t="str">
        <f t="shared" si="0"/>
        <v>BANCA</v>
      </c>
      <c r="C19" t="str">
        <f t="shared" si="1"/>
        <v>Sarda</v>
      </c>
      <c r="D19" t="str">
        <f t="shared" si="2"/>
        <v>Sar</v>
      </c>
      <c r="E19" t="str">
        <f>TRIM(Banks!D19)</f>
        <v>Lombardi</v>
      </c>
      <c r="F19" t="str">
        <f>CONCATENATE(Banks!B19,"-",LEFT(Banks!C19,3))</f>
        <v>B118-Iso</v>
      </c>
      <c r="G19" t="str">
        <f t="shared" si="3"/>
        <v>Bk Sarda</v>
      </c>
      <c r="H19" t="str">
        <f t="shared" si="4"/>
        <v>sarda@esempio.it</v>
      </c>
      <c r="I19" t="str">
        <f t="shared" si="5"/>
        <v>Banca Sarda</v>
      </c>
      <c r="J19" t="str">
        <f>REPT("*",Calc_Bank!L19)</f>
        <v>***</v>
      </c>
      <c r="K19" t="str">
        <f>TEXT(Calc_Bank!C19,"#.##0,0")</f>
        <v>29.778,7</v>
      </c>
      <c r="L19" t="str">
        <f>_xlfn.TEXTJOIN(", ",TRUE,A19,B19,Calc_Bank!R19)</f>
        <v>Banca Sarda, BANCA, Media</v>
      </c>
      <c r="M19">
        <f>VALUE(RIGHT(Banks!B19,3))</f>
        <v>118</v>
      </c>
      <c r="N19">
        <f t="shared" si="6"/>
        <v>8</v>
      </c>
      <c r="O19" t="str">
        <f t="shared" si="7"/>
        <v>-</v>
      </c>
      <c r="P19" t="str">
        <f>A19&amp;" ("&amp;Calc_Bank!T19&amp;") "&amp;TEXT(Calc_Bank!K19,"0,0%")</f>
        <v>Banca Sarda (IS) 7,4%</v>
      </c>
    </row>
    <row r="20" spans="1:16" x14ac:dyDescent="0.25">
      <c r="A20" t="str">
        <f>Banks!A20</f>
        <v>Banca Romagnola</v>
      </c>
      <c r="B20" t="str">
        <f t="shared" si="0"/>
        <v>BANCA</v>
      </c>
      <c r="C20" t="str">
        <f t="shared" si="1"/>
        <v>Romagnola</v>
      </c>
      <c r="D20" t="str">
        <f t="shared" si="2"/>
        <v>Rom</v>
      </c>
      <c r="E20" t="str">
        <f>TRIM(Banks!D20)</f>
        <v>Moretti</v>
      </c>
      <c r="F20" t="str">
        <f>CONCATENATE(Banks!B20,"-",LEFT(Banks!C20,3))</f>
        <v>B119-Nor</v>
      </c>
      <c r="G20" t="str">
        <f t="shared" si="3"/>
        <v>Bk Romagnola</v>
      </c>
      <c r="H20" t="str">
        <f t="shared" si="4"/>
        <v>romagnola@esempio.it</v>
      </c>
      <c r="I20" t="str">
        <f t="shared" si="5"/>
        <v>Banca Romagnola</v>
      </c>
      <c r="J20" t="str">
        <f>REPT("*",Calc_Bank!L20)</f>
        <v>**</v>
      </c>
      <c r="K20" t="str">
        <f>TEXT(Calc_Bank!C20,"#.##0,0")</f>
        <v>31.096,1</v>
      </c>
      <c r="L20" t="str">
        <f>_xlfn.TEXTJOIN(", ",TRUE,A20,B20,Calc_Bank!R20)</f>
        <v>Banca Romagnola, BANCA, Media</v>
      </c>
      <c r="M20">
        <f>VALUE(RIGHT(Banks!B20,3))</f>
        <v>119</v>
      </c>
      <c r="N20">
        <f t="shared" si="6"/>
        <v>7</v>
      </c>
      <c r="O20" t="str">
        <f t="shared" si="7"/>
        <v>-</v>
      </c>
      <c r="P20" t="str">
        <f>A20&amp;" ("&amp;Calc_Bank!T20&amp;") "&amp;TEXT(Calc_Bank!K20,"0,0%")</f>
        <v>Banca Romagnola (NE) 7,8%</v>
      </c>
    </row>
    <row r="21" spans="1:16" x14ac:dyDescent="0.25">
      <c r="A21" t="str">
        <f>Banks!A21</f>
        <v>Banca Città</v>
      </c>
      <c r="B21" t="str">
        <f t="shared" si="0"/>
        <v>BANCA</v>
      </c>
      <c r="C21" t="str">
        <f t="shared" si="1"/>
        <v>Città</v>
      </c>
      <c r="D21" t="str">
        <f t="shared" si="2"/>
        <v>Cit</v>
      </c>
      <c r="E21" t="str">
        <f>TRIM(Banks!D21)</f>
        <v>Barbieri</v>
      </c>
      <c r="F21" t="str">
        <f>CONCATENATE(Banks!B21,"-",LEFT(Banks!C21,3))</f>
        <v>B120-Cen</v>
      </c>
      <c r="G21" t="str">
        <f t="shared" si="3"/>
        <v>Bk Città</v>
      </c>
      <c r="H21" t="str">
        <f t="shared" si="4"/>
        <v>città@esempio.it</v>
      </c>
      <c r="I21" t="str">
        <f t="shared" si="5"/>
        <v>Banca Città</v>
      </c>
      <c r="J21" t="str">
        <f>REPT("*",Calc_Bank!L21)</f>
        <v>*</v>
      </c>
      <c r="K21" t="str">
        <f>TEXT(Calc_Bank!C21,"#.##0,0")</f>
        <v>32.434,0</v>
      </c>
      <c r="L21" t="str">
        <f>_xlfn.TEXTJOIN(", ",TRUE,A21,B21,Calc_Bank!R21)</f>
        <v>Banca Città, BANCA, Grande</v>
      </c>
      <c r="M21">
        <f>VALUE(RIGHT(Banks!B21,3))</f>
        <v>120</v>
      </c>
      <c r="N21">
        <f t="shared" si="6"/>
        <v>8</v>
      </c>
      <c r="O21" t="str">
        <f t="shared" si="7"/>
        <v>accento</v>
      </c>
      <c r="P21" t="str">
        <f>A21&amp;" ("&amp;Calc_Bank!T21&amp;") "&amp;TEXT(Calc_Bank!K21,"0,0%")</f>
        <v>Banca Città (CE) 8,1%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EDC6A-5402-4F4D-B20A-305960B4B021}">
  <dimension ref="A1:P37"/>
  <sheetViews>
    <sheetView workbookViewId="0"/>
  </sheetViews>
  <sheetFormatPr defaultRowHeight="12.5" x14ac:dyDescent="0.25"/>
  <cols>
    <col min="2" max="4" width="10.453125" bestFit="1" customWidth="1"/>
    <col min="15" max="16" width="10.453125" bestFit="1" customWidth="1"/>
  </cols>
  <sheetData>
    <row r="1" spans="1:16" x14ac:dyDescent="0.25">
      <c r="A1" t="s">
        <v>1</v>
      </c>
      <c r="B1" t="s">
        <v>203</v>
      </c>
      <c r="C1" t="s">
        <v>204</v>
      </c>
      <c r="D1" t="s">
        <v>205</v>
      </c>
      <c r="E1" t="s">
        <v>9</v>
      </c>
      <c r="F1" t="s">
        <v>1</v>
      </c>
      <c r="G1" t="s">
        <v>206</v>
      </c>
      <c r="H1" t="s">
        <v>207</v>
      </c>
      <c r="I1" t="s">
        <v>208</v>
      </c>
      <c r="J1" t="s">
        <v>209</v>
      </c>
      <c r="K1" t="s">
        <v>210</v>
      </c>
      <c r="L1" t="s">
        <v>211</v>
      </c>
      <c r="M1" t="s">
        <v>123</v>
      </c>
      <c r="N1" t="s">
        <v>132</v>
      </c>
      <c r="O1" t="s">
        <v>212</v>
      </c>
      <c r="P1" t="s">
        <v>213</v>
      </c>
    </row>
    <row r="2" spans="1:16" x14ac:dyDescent="0.25">
      <c r="A2">
        <f t="shared" ref="A2:A37" si="0">ROW()-1</f>
        <v>1</v>
      </c>
      <c r="B2" s="1">
        <f t="shared" ref="B2:B37" si="1">DATE(2024,A2,1)</f>
        <v>45292</v>
      </c>
      <c r="C2" s="1">
        <f t="shared" ref="C2:C37" si="2">EOMONTH(B2,0)</f>
        <v>45322</v>
      </c>
      <c r="D2" s="1">
        <f t="shared" ref="D2:D37" si="3">EDATE(B2,12)</f>
        <v>45658</v>
      </c>
      <c r="E2">
        <f t="shared" ref="E2:E37" si="4">YEAR(C2)</f>
        <v>2024</v>
      </c>
      <c r="F2">
        <f t="shared" ref="F2:F37" si="5">MONTH(C2)</f>
        <v>1</v>
      </c>
      <c r="G2">
        <f t="shared" ref="G2:G37" si="6">DAY(C2)</f>
        <v>31</v>
      </c>
      <c r="H2">
        <f t="shared" ref="H2:H37" si="7">WEEKDAY(C2,2)</f>
        <v>3</v>
      </c>
      <c r="I2">
        <f t="shared" ref="I2:I37" si="8">NETWORKDAYS(B2,C2)</f>
        <v>23</v>
      </c>
      <c r="J2" s="1">
        <f t="shared" ref="J2:J37" si="9">C2-B2+1</f>
        <v>31</v>
      </c>
      <c r="K2">
        <f>IF(C2&lt;=Control!$B$9,DATEDIF(C2,Control!$B$9,"m"),-DATEDIF(Control!$B$9,C2,"m"))</f>
        <v>35</v>
      </c>
      <c r="L2" t="str">
        <f>IF(C2=Control!$B$9,"corrente",IF(C2&lt;Control!$B$9,"passato","futuro"))</f>
        <v>passato</v>
      </c>
      <c r="M2" t="str">
        <f t="shared" ref="M2:M37" si="10">TEXT(C2,"mmm-aa")</f>
        <v>gen-24</v>
      </c>
      <c r="N2">
        <f t="shared" ref="N2:N37" si="11">INT((F2-1)/3)+1</f>
        <v>1</v>
      </c>
      <c r="O2" s="1">
        <f>EOMONTH(Control!$B$9,-(A2-1))</f>
        <v>46387</v>
      </c>
      <c r="P2" s="1">
        <f t="shared" ref="P2:P37" si="12">WORKDAY(C2,1)</f>
        <v>45323</v>
      </c>
    </row>
    <row r="3" spans="1:16" x14ac:dyDescent="0.25">
      <c r="A3">
        <f t="shared" si="0"/>
        <v>2</v>
      </c>
      <c r="B3" s="1">
        <f t="shared" si="1"/>
        <v>45323</v>
      </c>
      <c r="C3" s="1">
        <f t="shared" si="2"/>
        <v>45351</v>
      </c>
      <c r="D3" s="1">
        <f t="shared" si="3"/>
        <v>45689</v>
      </c>
      <c r="E3">
        <f t="shared" si="4"/>
        <v>2024</v>
      </c>
      <c r="F3">
        <f t="shared" si="5"/>
        <v>2</v>
      </c>
      <c r="G3">
        <f t="shared" si="6"/>
        <v>29</v>
      </c>
      <c r="H3">
        <f t="shared" si="7"/>
        <v>4</v>
      </c>
      <c r="I3">
        <f t="shared" si="8"/>
        <v>21</v>
      </c>
      <c r="J3" s="1">
        <f t="shared" si="9"/>
        <v>29</v>
      </c>
      <c r="K3">
        <f>IF(C3&lt;=Control!$B$9,DATEDIF(C3,Control!$B$9,"m"),-DATEDIF(Control!$B$9,C3,"m"))</f>
        <v>34</v>
      </c>
      <c r="L3" t="str">
        <f>IF(C3=Control!$B$9,"corrente",IF(C3&lt;Control!$B$9,"passato","futuro"))</f>
        <v>passato</v>
      </c>
      <c r="M3" t="str">
        <f t="shared" si="10"/>
        <v>feb-24</v>
      </c>
      <c r="N3">
        <f t="shared" si="11"/>
        <v>1</v>
      </c>
      <c r="O3" s="1">
        <f>EOMONTH(Control!$B$9,-(A3-1))</f>
        <v>46356</v>
      </c>
      <c r="P3" s="1">
        <f t="shared" si="12"/>
        <v>45352</v>
      </c>
    </row>
    <row r="4" spans="1:16" x14ac:dyDescent="0.25">
      <c r="A4">
        <f t="shared" si="0"/>
        <v>3</v>
      </c>
      <c r="B4" s="1">
        <f t="shared" si="1"/>
        <v>45352</v>
      </c>
      <c r="C4" s="1">
        <f t="shared" si="2"/>
        <v>45382</v>
      </c>
      <c r="D4" s="1">
        <f t="shared" si="3"/>
        <v>45717</v>
      </c>
      <c r="E4">
        <f t="shared" si="4"/>
        <v>2024</v>
      </c>
      <c r="F4">
        <f t="shared" si="5"/>
        <v>3</v>
      </c>
      <c r="G4">
        <f t="shared" si="6"/>
        <v>31</v>
      </c>
      <c r="H4">
        <f t="shared" si="7"/>
        <v>7</v>
      </c>
      <c r="I4">
        <f t="shared" si="8"/>
        <v>21</v>
      </c>
      <c r="J4" s="1">
        <f t="shared" si="9"/>
        <v>31</v>
      </c>
      <c r="K4">
        <f>IF(C4&lt;=Control!$B$9,DATEDIF(C4,Control!$B$9,"m"),-DATEDIF(Control!$B$9,C4,"m"))</f>
        <v>33</v>
      </c>
      <c r="L4" t="str">
        <f>IF(C4=Control!$B$9,"corrente",IF(C4&lt;Control!$B$9,"passato","futuro"))</f>
        <v>passato</v>
      </c>
      <c r="M4" t="str">
        <f t="shared" si="10"/>
        <v>mar-24</v>
      </c>
      <c r="N4">
        <f t="shared" si="11"/>
        <v>1</v>
      </c>
      <c r="O4" s="1">
        <f>EOMONTH(Control!$B$9,-(A4-1))</f>
        <v>46326</v>
      </c>
      <c r="P4" s="1">
        <f t="shared" si="12"/>
        <v>45383</v>
      </c>
    </row>
    <row r="5" spans="1:16" x14ac:dyDescent="0.25">
      <c r="A5">
        <f t="shared" si="0"/>
        <v>4</v>
      </c>
      <c r="B5" s="1">
        <f t="shared" si="1"/>
        <v>45383</v>
      </c>
      <c r="C5" s="1">
        <f t="shared" si="2"/>
        <v>45412</v>
      </c>
      <c r="D5" s="1">
        <f t="shared" si="3"/>
        <v>45748</v>
      </c>
      <c r="E5">
        <f t="shared" si="4"/>
        <v>2024</v>
      </c>
      <c r="F5">
        <f t="shared" si="5"/>
        <v>4</v>
      </c>
      <c r="G5">
        <f t="shared" si="6"/>
        <v>30</v>
      </c>
      <c r="H5">
        <f t="shared" si="7"/>
        <v>2</v>
      </c>
      <c r="I5">
        <f t="shared" si="8"/>
        <v>22</v>
      </c>
      <c r="J5" s="1">
        <f t="shared" si="9"/>
        <v>30</v>
      </c>
      <c r="K5">
        <f>IF(C5&lt;=Control!$B$9,DATEDIF(C5,Control!$B$9,"m"),-DATEDIF(Control!$B$9,C5,"m"))</f>
        <v>32</v>
      </c>
      <c r="L5" t="str">
        <f>IF(C5=Control!$B$9,"corrente",IF(C5&lt;Control!$B$9,"passato","futuro"))</f>
        <v>passato</v>
      </c>
      <c r="M5" t="str">
        <f t="shared" si="10"/>
        <v>apr-24</v>
      </c>
      <c r="N5">
        <f t="shared" si="11"/>
        <v>2</v>
      </c>
      <c r="O5" s="1">
        <f>EOMONTH(Control!$B$9,-(A5-1))</f>
        <v>46295</v>
      </c>
      <c r="P5" s="1">
        <f t="shared" si="12"/>
        <v>45413</v>
      </c>
    </row>
    <row r="6" spans="1:16" x14ac:dyDescent="0.25">
      <c r="A6">
        <f t="shared" si="0"/>
        <v>5</v>
      </c>
      <c r="B6" s="1">
        <f t="shared" si="1"/>
        <v>45413</v>
      </c>
      <c r="C6" s="1">
        <f t="shared" si="2"/>
        <v>45443</v>
      </c>
      <c r="D6" s="1">
        <f t="shared" si="3"/>
        <v>45778</v>
      </c>
      <c r="E6">
        <f t="shared" si="4"/>
        <v>2024</v>
      </c>
      <c r="F6">
        <f t="shared" si="5"/>
        <v>5</v>
      </c>
      <c r="G6">
        <f t="shared" si="6"/>
        <v>31</v>
      </c>
      <c r="H6">
        <f t="shared" si="7"/>
        <v>5</v>
      </c>
      <c r="I6">
        <f t="shared" si="8"/>
        <v>23</v>
      </c>
      <c r="J6" s="1">
        <f t="shared" si="9"/>
        <v>31</v>
      </c>
      <c r="K6">
        <f>IF(C6&lt;=Control!$B$9,DATEDIF(C6,Control!$B$9,"m"),-DATEDIF(Control!$B$9,C6,"m"))</f>
        <v>31</v>
      </c>
      <c r="L6" t="str">
        <f>IF(C6=Control!$B$9,"corrente",IF(C6&lt;Control!$B$9,"passato","futuro"))</f>
        <v>passato</v>
      </c>
      <c r="M6" t="str">
        <f t="shared" si="10"/>
        <v>mag-24</v>
      </c>
      <c r="N6">
        <f t="shared" si="11"/>
        <v>2</v>
      </c>
      <c r="O6" s="1">
        <f>EOMONTH(Control!$B$9,-(A6-1))</f>
        <v>46265</v>
      </c>
      <c r="P6" s="1">
        <f t="shared" si="12"/>
        <v>45446</v>
      </c>
    </row>
    <row r="7" spans="1:16" x14ac:dyDescent="0.25">
      <c r="A7">
        <f t="shared" si="0"/>
        <v>6</v>
      </c>
      <c r="B7" s="1">
        <f t="shared" si="1"/>
        <v>45444</v>
      </c>
      <c r="C7" s="1">
        <f t="shared" si="2"/>
        <v>45473</v>
      </c>
      <c r="D7" s="1">
        <f t="shared" si="3"/>
        <v>45809</v>
      </c>
      <c r="E7">
        <f t="shared" si="4"/>
        <v>2024</v>
      </c>
      <c r="F7">
        <f t="shared" si="5"/>
        <v>6</v>
      </c>
      <c r="G7">
        <f t="shared" si="6"/>
        <v>30</v>
      </c>
      <c r="H7">
        <f t="shared" si="7"/>
        <v>7</v>
      </c>
      <c r="I7">
        <f t="shared" si="8"/>
        <v>20</v>
      </c>
      <c r="J7" s="1">
        <f t="shared" si="9"/>
        <v>30</v>
      </c>
      <c r="K7">
        <f>IF(C7&lt;=Control!$B$9,DATEDIF(C7,Control!$B$9,"m"),-DATEDIF(Control!$B$9,C7,"m"))</f>
        <v>30</v>
      </c>
      <c r="L7" t="str">
        <f>IF(C7=Control!$B$9,"corrente",IF(C7&lt;Control!$B$9,"passato","futuro"))</f>
        <v>passato</v>
      </c>
      <c r="M7" t="str">
        <f t="shared" si="10"/>
        <v>giu-24</v>
      </c>
      <c r="N7">
        <f t="shared" si="11"/>
        <v>2</v>
      </c>
      <c r="O7" s="1">
        <f>EOMONTH(Control!$B$9,-(A7-1))</f>
        <v>46234</v>
      </c>
      <c r="P7" s="1">
        <f t="shared" si="12"/>
        <v>45474</v>
      </c>
    </row>
    <row r="8" spans="1:16" x14ac:dyDescent="0.25">
      <c r="A8">
        <f t="shared" si="0"/>
        <v>7</v>
      </c>
      <c r="B8" s="1">
        <f t="shared" si="1"/>
        <v>45474</v>
      </c>
      <c r="C8" s="1">
        <f t="shared" si="2"/>
        <v>45504</v>
      </c>
      <c r="D8" s="1">
        <f t="shared" si="3"/>
        <v>45839</v>
      </c>
      <c r="E8">
        <f t="shared" si="4"/>
        <v>2024</v>
      </c>
      <c r="F8">
        <f t="shared" si="5"/>
        <v>7</v>
      </c>
      <c r="G8">
        <f t="shared" si="6"/>
        <v>31</v>
      </c>
      <c r="H8">
        <f t="shared" si="7"/>
        <v>3</v>
      </c>
      <c r="I8">
        <f t="shared" si="8"/>
        <v>23</v>
      </c>
      <c r="J8" s="1">
        <f t="shared" si="9"/>
        <v>31</v>
      </c>
      <c r="K8">
        <f>IF(C8&lt;=Control!$B$9,DATEDIF(C8,Control!$B$9,"m"),-DATEDIF(Control!$B$9,C8,"m"))</f>
        <v>29</v>
      </c>
      <c r="L8" t="str">
        <f>IF(C8=Control!$B$9,"corrente",IF(C8&lt;Control!$B$9,"passato","futuro"))</f>
        <v>passato</v>
      </c>
      <c r="M8" t="str">
        <f t="shared" si="10"/>
        <v>lug-24</v>
      </c>
      <c r="N8">
        <f t="shared" si="11"/>
        <v>3</v>
      </c>
      <c r="O8" s="1">
        <f>EOMONTH(Control!$B$9,-(A8-1))</f>
        <v>46203</v>
      </c>
      <c r="P8" s="1">
        <f t="shared" si="12"/>
        <v>45505</v>
      </c>
    </row>
    <row r="9" spans="1:16" x14ac:dyDescent="0.25">
      <c r="A9">
        <f t="shared" si="0"/>
        <v>8</v>
      </c>
      <c r="B9" s="1">
        <f t="shared" si="1"/>
        <v>45505</v>
      </c>
      <c r="C9" s="1">
        <f t="shared" si="2"/>
        <v>45535</v>
      </c>
      <c r="D9" s="1">
        <f t="shared" si="3"/>
        <v>45870</v>
      </c>
      <c r="E9">
        <f t="shared" si="4"/>
        <v>2024</v>
      </c>
      <c r="F9">
        <f t="shared" si="5"/>
        <v>8</v>
      </c>
      <c r="G9">
        <f t="shared" si="6"/>
        <v>31</v>
      </c>
      <c r="H9">
        <f t="shared" si="7"/>
        <v>6</v>
      </c>
      <c r="I9">
        <f t="shared" si="8"/>
        <v>22</v>
      </c>
      <c r="J9" s="1">
        <f t="shared" si="9"/>
        <v>31</v>
      </c>
      <c r="K9">
        <f>IF(C9&lt;=Control!$B$9,DATEDIF(C9,Control!$B$9,"m"),-DATEDIF(Control!$B$9,C9,"m"))</f>
        <v>28</v>
      </c>
      <c r="L9" t="str">
        <f>IF(C9=Control!$B$9,"corrente",IF(C9&lt;Control!$B$9,"passato","futuro"))</f>
        <v>passato</v>
      </c>
      <c r="M9" t="str">
        <f t="shared" si="10"/>
        <v>ago-24</v>
      </c>
      <c r="N9">
        <f t="shared" si="11"/>
        <v>3</v>
      </c>
      <c r="O9" s="1">
        <f>EOMONTH(Control!$B$9,-(A9-1))</f>
        <v>46173</v>
      </c>
      <c r="P9" s="1">
        <f t="shared" si="12"/>
        <v>45537</v>
      </c>
    </row>
    <row r="10" spans="1:16" x14ac:dyDescent="0.25">
      <c r="A10">
        <f t="shared" si="0"/>
        <v>9</v>
      </c>
      <c r="B10" s="1">
        <f t="shared" si="1"/>
        <v>45536</v>
      </c>
      <c r="C10" s="1">
        <f t="shared" si="2"/>
        <v>45565</v>
      </c>
      <c r="D10" s="1">
        <f t="shared" si="3"/>
        <v>45901</v>
      </c>
      <c r="E10">
        <f t="shared" si="4"/>
        <v>2024</v>
      </c>
      <c r="F10">
        <f t="shared" si="5"/>
        <v>9</v>
      </c>
      <c r="G10">
        <f t="shared" si="6"/>
        <v>30</v>
      </c>
      <c r="H10">
        <f t="shared" si="7"/>
        <v>1</v>
      </c>
      <c r="I10">
        <f t="shared" si="8"/>
        <v>21</v>
      </c>
      <c r="J10" s="1">
        <f t="shared" si="9"/>
        <v>30</v>
      </c>
      <c r="K10">
        <f>IF(C10&lt;=Control!$B$9,DATEDIF(C10,Control!$B$9,"m"),-DATEDIF(Control!$B$9,C10,"m"))</f>
        <v>27</v>
      </c>
      <c r="L10" t="str">
        <f>IF(C10=Control!$B$9,"corrente",IF(C10&lt;Control!$B$9,"passato","futuro"))</f>
        <v>passato</v>
      </c>
      <c r="M10" t="str">
        <f t="shared" si="10"/>
        <v>set-24</v>
      </c>
      <c r="N10">
        <f t="shared" si="11"/>
        <v>3</v>
      </c>
      <c r="O10" s="1">
        <f>EOMONTH(Control!$B$9,-(A10-1))</f>
        <v>46142</v>
      </c>
      <c r="P10" s="1">
        <f t="shared" si="12"/>
        <v>45566</v>
      </c>
    </row>
    <row r="11" spans="1:16" x14ac:dyDescent="0.25">
      <c r="A11">
        <f t="shared" si="0"/>
        <v>10</v>
      </c>
      <c r="B11" s="1">
        <f t="shared" si="1"/>
        <v>45566</v>
      </c>
      <c r="C11" s="1">
        <f t="shared" si="2"/>
        <v>45596</v>
      </c>
      <c r="D11" s="1">
        <f t="shared" si="3"/>
        <v>45931</v>
      </c>
      <c r="E11">
        <f t="shared" si="4"/>
        <v>2024</v>
      </c>
      <c r="F11">
        <f t="shared" si="5"/>
        <v>10</v>
      </c>
      <c r="G11">
        <f t="shared" si="6"/>
        <v>31</v>
      </c>
      <c r="H11">
        <f t="shared" si="7"/>
        <v>4</v>
      </c>
      <c r="I11">
        <f t="shared" si="8"/>
        <v>23</v>
      </c>
      <c r="J11" s="1">
        <f t="shared" si="9"/>
        <v>31</v>
      </c>
      <c r="K11">
        <f>IF(C11&lt;=Control!$B$9,DATEDIF(C11,Control!$B$9,"m"),-DATEDIF(Control!$B$9,C11,"m"))</f>
        <v>26</v>
      </c>
      <c r="L11" t="str">
        <f>IF(C11=Control!$B$9,"corrente",IF(C11&lt;Control!$B$9,"passato","futuro"))</f>
        <v>passato</v>
      </c>
      <c r="M11" t="str">
        <f t="shared" si="10"/>
        <v>ott-24</v>
      </c>
      <c r="N11">
        <f t="shared" si="11"/>
        <v>4</v>
      </c>
      <c r="O11" s="1">
        <f>EOMONTH(Control!$B$9,-(A11-1))</f>
        <v>46112</v>
      </c>
      <c r="P11" s="1">
        <f t="shared" si="12"/>
        <v>45597</v>
      </c>
    </row>
    <row r="12" spans="1:16" x14ac:dyDescent="0.25">
      <c r="A12">
        <f t="shared" si="0"/>
        <v>11</v>
      </c>
      <c r="B12" s="1">
        <f t="shared" si="1"/>
        <v>45597</v>
      </c>
      <c r="C12" s="1">
        <f t="shared" si="2"/>
        <v>45626</v>
      </c>
      <c r="D12" s="1">
        <f t="shared" si="3"/>
        <v>45962</v>
      </c>
      <c r="E12">
        <f t="shared" si="4"/>
        <v>2024</v>
      </c>
      <c r="F12">
        <f t="shared" si="5"/>
        <v>11</v>
      </c>
      <c r="G12">
        <f t="shared" si="6"/>
        <v>30</v>
      </c>
      <c r="H12">
        <f t="shared" si="7"/>
        <v>6</v>
      </c>
      <c r="I12">
        <f t="shared" si="8"/>
        <v>21</v>
      </c>
      <c r="J12" s="1">
        <f t="shared" si="9"/>
        <v>30</v>
      </c>
      <c r="K12">
        <f>IF(C12&lt;=Control!$B$9,DATEDIF(C12,Control!$B$9,"m"),-DATEDIF(Control!$B$9,C12,"m"))</f>
        <v>25</v>
      </c>
      <c r="L12" t="str">
        <f>IF(C12=Control!$B$9,"corrente",IF(C12&lt;Control!$B$9,"passato","futuro"))</f>
        <v>passato</v>
      </c>
      <c r="M12" t="str">
        <f t="shared" si="10"/>
        <v>nov-24</v>
      </c>
      <c r="N12">
        <f t="shared" si="11"/>
        <v>4</v>
      </c>
      <c r="O12" s="1">
        <f>EOMONTH(Control!$B$9,-(A12-1))</f>
        <v>46081</v>
      </c>
      <c r="P12" s="1">
        <f t="shared" si="12"/>
        <v>45628</v>
      </c>
    </row>
    <row r="13" spans="1:16" x14ac:dyDescent="0.25">
      <c r="A13">
        <f t="shared" si="0"/>
        <v>12</v>
      </c>
      <c r="B13" s="1">
        <f t="shared" si="1"/>
        <v>45627</v>
      </c>
      <c r="C13" s="1">
        <f t="shared" si="2"/>
        <v>45657</v>
      </c>
      <c r="D13" s="1">
        <f t="shared" si="3"/>
        <v>45992</v>
      </c>
      <c r="E13">
        <f t="shared" si="4"/>
        <v>2024</v>
      </c>
      <c r="F13">
        <f t="shared" si="5"/>
        <v>12</v>
      </c>
      <c r="G13">
        <f t="shared" si="6"/>
        <v>31</v>
      </c>
      <c r="H13">
        <f t="shared" si="7"/>
        <v>2</v>
      </c>
      <c r="I13">
        <f t="shared" si="8"/>
        <v>22</v>
      </c>
      <c r="J13" s="1">
        <f t="shared" si="9"/>
        <v>31</v>
      </c>
      <c r="K13">
        <f>IF(C13&lt;=Control!$B$9,DATEDIF(C13,Control!$B$9,"m"),-DATEDIF(Control!$B$9,C13,"m"))</f>
        <v>24</v>
      </c>
      <c r="L13" t="str">
        <f>IF(C13=Control!$B$9,"corrente",IF(C13&lt;Control!$B$9,"passato","futuro"))</f>
        <v>passato</v>
      </c>
      <c r="M13" t="str">
        <f t="shared" si="10"/>
        <v>dic-24</v>
      </c>
      <c r="N13">
        <f t="shared" si="11"/>
        <v>4</v>
      </c>
      <c r="O13" s="1">
        <f>EOMONTH(Control!$B$9,-(A13-1))</f>
        <v>46053</v>
      </c>
      <c r="P13" s="1">
        <f t="shared" si="12"/>
        <v>45658</v>
      </c>
    </row>
    <row r="14" spans="1:16" x14ac:dyDescent="0.25">
      <c r="A14">
        <f t="shared" si="0"/>
        <v>13</v>
      </c>
      <c r="B14" s="1">
        <f t="shared" si="1"/>
        <v>45658</v>
      </c>
      <c r="C14" s="1">
        <f t="shared" si="2"/>
        <v>45688</v>
      </c>
      <c r="D14" s="1">
        <f t="shared" si="3"/>
        <v>46023</v>
      </c>
      <c r="E14">
        <f t="shared" si="4"/>
        <v>2025</v>
      </c>
      <c r="F14">
        <f t="shared" si="5"/>
        <v>1</v>
      </c>
      <c r="G14">
        <f t="shared" si="6"/>
        <v>31</v>
      </c>
      <c r="H14">
        <f t="shared" si="7"/>
        <v>5</v>
      </c>
      <c r="I14">
        <f t="shared" si="8"/>
        <v>23</v>
      </c>
      <c r="J14" s="1">
        <f t="shared" si="9"/>
        <v>31</v>
      </c>
      <c r="K14">
        <f>IF(C14&lt;=Control!$B$9,DATEDIF(C14,Control!$B$9,"m"),-DATEDIF(Control!$B$9,C14,"m"))</f>
        <v>23</v>
      </c>
      <c r="L14" t="str">
        <f>IF(C14=Control!$B$9,"corrente",IF(C14&lt;Control!$B$9,"passato","futuro"))</f>
        <v>passato</v>
      </c>
      <c r="M14" t="str">
        <f t="shared" si="10"/>
        <v>gen-25</v>
      </c>
      <c r="N14">
        <f t="shared" si="11"/>
        <v>1</v>
      </c>
      <c r="O14" s="1">
        <f>EOMONTH(Control!$B$9,-(A14-1))</f>
        <v>46022</v>
      </c>
      <c r="P14" s="1">
        <f t="shared" si="12"/>
        <v>45691</v>
      </c>
    </row>
    <row r="15" spans="1:16" x14ac:dyDescent="0.25">
      <c r="A15">
        <f t="shared" si="0"/>
        <v>14</v>
      </c>
      <c r="B15" s="1">
        <f t="shared" si="1"/>
        <v>45689</v>
      </c>
      <c r="C15" s="1">
        <f t="shared" si="2"/>
        <v>45716</v>
      </c>
      <c r="D15" s="1">
        <f t="shared" si="3"/>
        <v>46054</v>
      </c>
      <c r="E15">
        <f t="shared" si="4"/>
        <v>2025</v>
      </c>
      <c r="F15">
        <f t="shared" si="5"/>
        <v>2</v>
      </c>
      <c r="G15">
        <f t="shared" si="6"/>
        <v>28</v>
      </c>
      <c r="H15">
        <f t="shared" si="7"/>
        <v>5</v>
      </c>
      <c r="I15">
        <f t="shared" si="8"/>
        <v>20</v>
      </c>
      <c r="J15" s="1">
        <f t="shared" si="9"/>
        <v>28</v>
      </c>
      <c r="K15">
        <f>IF(C15&lt;=Control!$B$9,DATEDIF(C15,Control!$B$9,"m"),-DATEDIF(Control!$B$9,C15,"m"))</f>
        <v>22</v>
      </c>
      <c r="L15" t="str">
        <f>IF(C15=Control!$B$9,"corrente",IF(C15&lt;Control!$B$9,"passato","futuro"))</f>
        <v>passato</v>
      </c>
      <c r="M15" t="str">
        <f t="shared" si="10"/>
        <v>feb-25</v>
      </c>
      <c r="N15">
        <f t="shared" si="11"/>
        <v>1</v>
      </c>
      <c r="O15" s="1">
        <f>EOMONTH(Control!$B$9,-(A15-1))</f>
        <v>45991</v>
      </c>
      <c r="P15" s="1">
        <f t="shared" si="12"/>
        <v>45719</v>
      </c>
    </row>
    <row r="16" spans="1:16" x14ac:dyDescent="0.25">
      <c r="A16">
        <f t="shared" si="0"/>
        <v>15</v>
      </c>
      <c r="B16" s="1">
        <f t="shared" si="1"/>
        <v>45717</v>
      </c>
      <c r="C16" s="1">
        <f t="shared" si="2"/>
        <v>45747</v>
      </c>
      <c r="D16" s="1">
        <f t="shared" si="3"/>
        <v>46082</v>
      </c>
      <c r="E16">
        <f t="shared" si="4"/>
        <v>2025</v>
      </c>
      <c r="F16">
        <f t="shared" si="5"/>
        <v>3</v>
      </c>
      <c r="G16">
        <f t="shared" si="6"/>
        <v>31</v>
      </c>
      <c r="H16">
        <f t="shared" si="7"/>
        <v>1</v>
      </c>
      <c r="I16">
        <f t="shared" si="8"/>
        <v>21</v>
      </c>
      <c r="J16" s="1">
        <f t="shared" si="9"/>
        <v>31</v>
      </c>
      <c r="K16">
        <f>IF(C16&lt;=Control!$B$9,DATEDIF(C16,Control!$B$9,"m"),-DATEDIF(Control!$B$9,C16,"m"))</f>
        <v>21</v>
      </c>
      <c r="L16" t="str">
        <f>IF(C16=Control!$B$9,"corrente",IF(C16&lt;Control!$B$9,"passato","futuro"))</f>
        <v>passato</v>
      </c>
      <c r="M16" t="str">
        <f t="shared" si="10"/>
        <v>mar-25</v>
      </c>
      <c r="N16">
        <f t="shared" si="11"/>
        <v>1</v>
      </c>
      <c r="O16" s="1">
        <f>EOMONTH(Control!$B$9,-(A16-1))</f>
        <v>45961</v>
      </c>
      <c r="P16" s="1">
        <f t="shared" si="12"/>
        <v>45748</v>
      </c>
    </row>
    <row r="17" spans="1:16" x14ac:dyDescent="0.25">
      <c r="A17">
        <f t="shared" si="0"/>
        <v>16</v>
      </c>
      <c r="B17" s="1">
        <f t="shared" si="1"/>
        <v>45748</v>
      </c>
      <c r="C17" s="1">
        <f t="shared" si="2"/>
        <v>45777</v>
      </c>
      <c r="D17" s="1">
        <f t="shared" si="3"/>
        <v>46113</v>
      </c>
      <c r="E17">
        <f t="shared" si="4"/>
        <v>2025</v>
      </c>
      <c r="F17">
        <f t="shared" si="5"/>
        <v>4</v>
      </c>
      <c r="G17">
        <f t="shared" si="6"/>
        <v>30</v>
      </c>
      <c r="H17">
        <f t="shared" si="7"/>
        <v>3</v>
      </c>
      <c r="I17">
        <f t="shared" si="8"/>
        <v>22</v>
      </c>
      <c r="J17" s="1">
        <f t="shared" si="9"/>
        <v>30</v>
      </c>
      <c r="K17">
        <f>IF(C17&lt;=Control!$B$9,DATEDIF(C17,Control!$B$9,"m"),-DATEDIF(Control!$B$9,C17,"m"))</f>
        <v>20</v>
      </c>
      <c r="L17" t="str">
        <f>IF(C17=Control!$B$9,"corrente",IF(C17&lt;Control!$B$9,"passato","futuro"))</f>
        <v>passato</v>
      </c>
      <c r="M17" t="str">
        <f t="shared" si="10"/>
        <v>apr-25</v>
      </c>
      <c r="N17">
        <f t="shared" si="11"/>
        <v>2</v>
      </c>
      <c r="O17" s="1">
        <f>EOMONTH(Control!$B$9,-(A17-1))</f>
        <v>45930</v>
      </c>
      <c r="P17" s="1">
        <f t="shared" si="12"/>
        <v>45778</v>
      </c>
    </row>
    <row r="18" spans="1:16" x14ac:dyDescent="0.25">
      <c r="A18">
        <f t="shared" si="0"/>
        <v>17</v>
      </c>
      <c r="B18" s="1">
        <f t="shared" si="1"/>
        <v>45778</v>
      </c>
      <c r="C18" s="1">
        <f t="shared" si="2"/>
        <v>45808</v>
      </c>
      <c r="D18" s="1">
        <f t="shared" si="3"/>
        <v>46143</v>
      </c>
      <c r="E18">
        <f t="shared" si="4"/>
        <v>2025</v>
      </c>
      <c r="F18">
        <f t="shared" si="5"/>
        <v>5</v>
      </c>
      <c r="G18">
        <f t="shared" si="6"/>
        <v>31</v>
      </c>
      <c r="H18">
        <f t="shared" si="7"/>
        <v>6</v>
      </c>
      <c r="I18">
        <f t="shared" si="8"/>
        <v>22</v>
      </c>
      <c r="J18" s="1">
        <f t="shared" si="9"/>
        <v>31</v>
      </c>
      <c r="K18">
        <f>IF(C18&lt;=Control!$B$9,DATEDIF(C18,Control!$B$9,"m"),-DATEDIF(Control!$B$9,C18,"m"))</f>
        <v>19</v>
      </c>
      <c r="L18" t="str">
        <f>IF(C18=Control!$B$9,"corrente",IF(C18&lt;Control!$B$9,"passato","futuro"))</f>
        <v>passato</v>
      </c>
      <c r="M18" t="str">
        <f t="shared" si="10"/>
        <v>mag-25</v>
      </c>
      <c r="N18">
        <f t="shared" si="11"/>
        <v>2</v>
      </c>
      <c r="O18" s="1">
        <f>EOMONTH(Control!$B$9,-(A18-1))</f>
        <v>45900</v>
      </c>
      <c r="P18" s="1">
        <f t="shared" si="12"/>
        <v>45810</v>
      </c>
    </row>
    <row r="19" spans="1:16" x14ac:dyDescent="0.25">
      <c r="A19">
        <f t="shared" si="0"/>
        <v>18</v>
      </c>
      <c r="B19" s="1">
        <f t="shared" si="1"/>
        <v>45809</v>
      </c>
      <c r="C19" s="1">
        <f t="shared" si="2"/>
        <v>45838</v>
      </c>
      <c r="D19" s="1">
        <f t="shared" si="3"/>
        <v>46174</v>
      </c>
      <c r="E19">
        <f t="shared" si="4"/>
        <v>2025</v>
      </c>
      <c r="F19">
        <f t="shared" si="5"/>
        <v>6</v>
      </c>
      <c r="G19">
        <f t="shared" si="6"/>
        <v>30</v>
      </c>
      <c r="H19">
        <f t="shared" si="7"/>
        <v>1</v>
      </c>
      <c r="I19">
        <f t="shared" si="8"/>
        <v>21</v>
      </c>
      <c r="J19" s="1">
        <f t="shared" si="9"/>
        <v>30</v>
      </c>
      <c r="K19">
        <f>IF(C19&lt;=Control!$B$9,DATEDIF(C19,Control!$B$9,"m"),-DATEDIF(Control!$B$9,C19,"m"))</f>
        <v>18</v>
      </c>
      <c r="L19" t="str">
        <f>IF(C19=Control!$B$9,"corrente",IF(C19&lt;Control!$B$9,"passato","futuro"))</f>
        <v>passato</v>
      </c>
      <c r="M19" t="str">
        <f t="shared" si="10"/>
        <v>giu-25</v>
      </c>
      <c r="N19">
        <f t="shared" si="11"/>
        <v>2</v>
      </c>
      <c r="O19" s="1">
        <f>EOMONTH(Control!$B$9,-(A19-1))</f>
        <v>45869</v>
      </c>
      <c r="P19" s="1">
        <f t="shared" si="12"/>
        <v>45839</v>
      </c>
    </row>
    <row r="20" spans="1:16" x14ac:dyDescent="0.25">
      <c r="A20">
        <f t="shared" si="0"/>
        <v>19</v>
      </c>
      <c r="B20" s="1">
        <f t="shared" si="1"/>
        <v>45839</v>
      </c>
      <c r="C20" s="1">
        <f t="shared" si="2"/>
        <v>45869</v>
      </c>
      <c r="D20" s="1">
        <f t="shared" si="3"/>
        <v>46204</v>
      </c>
      <c r="E20">
        <f t="shared" si="4"/>
        <v>2025</v>
      </c>
      <c r="F20">
        <f t="shared" si="5"/>
        <v>7</v>
      </c>
      <c r="G20">
        <f t="shared" si="6"/>
        <v>31</v>
      </c>
      <c r="H20">
        <f t="shared" si="7"/>
        <v>4</v>
      </c>
      <c r="I20">
        <f t="shared" si="8"/>
        <v>23</v>
      </c>
      <c r="J20" s="1">
        <f t="shared" si="9"/>
        <v>31</v>
      </c>
      <c r="K20">
        <f>IF(C20&lt;=Control!$B$9,DATEDIF(C20,Control!$B$9,"m"),-DATEDIF(Control!$B$9,C20,"m"))</f>
        <v>17</v>
      </c>
      <c r="L20" t="str">
        <f>IF(C20=Control!$B$9,"corrente",IF(C20&lt;Control!$B$9,"passato","futuro"))</f>
        <v>passato</v>
      </c>
      <c r="M20" t="str">
        <f t="shared" si="10"/>
        <v>lug-25</v>
      </c>
      <c r="N20">
        <f t="shared" si="11"/>
        <v>3</v>
      </c>
      <c r="O20" s="1">
        <f>EOMONTH(Control!$B$9,-(A20-1))</f>
        <v>45838</v>
      </c>
      <c r="P20" s="1">
        <f t="shared" si="12"/>
        <v>45870</v>
      </c>
    </row>
    <row r="21" spans="1:16" x14ac:dyDescent="0.25">
      <c r="A21">
        <f t="shared" si="0"/>
        <v>20</v>
      </c>
      <c r="B21" s="1">
        <f t="shared" si="1"/>
        <v>45870</v>
      </c>
      <c r="C21" s="1">
        <f t="shared" si="2"/>
        <v>45900</v>
      </c>
      <c r="D21" s="1">
        <f t="shared" si="3"/>
        <v>46235</v>
      </c>
      <c r="E21">
        <f t="shared" si="4"/>
        <v>2025</v>
      </c>
      <c r="F21">
        <f t="shared" si="5"/>
        <v>8</v>
      </c>
      <c r="G21">
        <f t="shared" si="6"/>
        <v>31</v>
      </c>
      <c r="H21">
        <f t="shared" si="7"/>
        <v>7</v>
      </c>
      <c r="I21">
        <f t="shared" si="8"/>
        <v>21</v>
      </c>
      <c r="J21" s="1">
        <f t="shared" si="9"/>
        <v>31</v>
      </c>
      <c r="K21">
        <f>IF(C21&lt;=Control!$B$9,DATEDIF(C21,Control!$B$9,"m"),-DATEDIF(Control!$B$9,C21,"m"))</f>
        <v>16</v>
      </c>
      <c r="L21" t="str">
        <f>IF(C21=Control!$B$9,"corrente",IF(C21&lt;Control!$B$9,"passato","futuro"))</f>
        <v>passato</v>
      </c>
      <c r="M21" t="str">
        <f t="shared" si="10"/>
        <v>ago-25</v>
      </c>
      <c r="N21">
        <f t="shared" si="11"/>
        <v>3</v>
      </c>
      <c r="O21" s="1">
        <f>EOMONTH(Control!$B$9,-(A21-1))</f>
        <v>45808</v>
      </c>
      <c r="P21" s="1">
        <f t="shared" si="12"/>
        <v>45901</v>
      </c>
    </row>
    <row r="22" spans="1:16" x14ac:dyDescent="0.25">
      <c r="A22">
        <f t="shared" si="0"/>
        <v>21</v>
      </c>
      <c r="B22" s="1">
        <f t="shared" si="1"/>
        <v>45901</v>
      </c>
      <c r="C22" s="1">
        <f t="shared" si="2"/>
        <v>45930</v>
      </c>
      <c r="D22" s="1">
        <f t="shared" si="3"/>
        <v>46266</v>
      </c>
      <c r="E22">
        <f t="shared" si="4"/>
        <v>2025</v>
      </c>
      <c r="F22">
        <f t="shared" si="5"/>
        <v>9</v>
      </c>
      <c r="G22">
        <f t="shared" si="6"/>
        <v>30</v>
      </c>
      <c r="H22">
        <f t="shared" si="7"/>
        <v>2</v>
      </c>
      <c r="I22">
        <f t="shared" si="8"/>
        <v>22</v>
      </c>
      <c r="J22" s="1">
        <f t="shared" si="9"/>
        <v>30</v>
      </c>
      <c r="K22">
        <f>IF(C22&lt;=Control!$B$9,DATEDIF(C22,Control!$B$9,"m"),-DATEDIF(Control!$B$9,C22,"m"))</f>
        <v>15</v>
      </c>
      <c r="L22" t="str">
        <f>IF(C22=Control!$B$9,"corrente",IF(C22&lt;Control!$B$9,"passato","futuro"))</f>
        <v>passato</v>
      </c>
      <c r="M22" t="str">
        <f t="shared" si="10"/>
        <v>set-25</v>
      </c>
      <c r="N22">
        <f t="shared" si="11"/>
        <v>3</v>
      </c>
      <c r="O22" s="1">
        <f>EOMONTH(Control!$B$9,-(A22-1))</f>
        <v>45777</v>
      </c>
      <c r="P22" s="1">
        <f t="shared" si="12"/>
        <v>45931</v>
      </c>
    </row>
    <row r="23" spans="1:16" x14ac:dyDescent="0.25">
      <c r="A23">
        <f t="shared" si="0"/>
        <v>22</v>
      </c>
      <c r="B23" s="1">
        <f t="shared" si="1"/>
        <v>45931</v>
      </c>
      <c r="C23" s="1">
        <f t="shared" si="2"/>
        <v>45961</v>
      </c>
      <c r="D23" s="1">
        <f t="shared" si="3"/>
        <v>46296</v>
      </c>
      <c r="E23">
        <f t="shared" si="4"/>
        <v>2025</v>
      </c>
      <c r="F23">
        <f t="shared" si="5"/>
        <v>10</v>
      </c>
      <c r="G23">
        <f t="shared" si="6"/>
        <v>31</v>
      </c>
      <c r="H23">
        <f t="shared" si="7"/>
        <v>5</v>
      </c>
      <c r="I23">
        <f t="shared" si="8"/>
        <v>23</v>
      </c>
      <c r="J23" s="1">
        <f t="shared" si="9"/>
        <v>31</v>
      </c>
      <c r="K23">
        <f>IF(C23&lt;=Control!$B$9,DATEDIF(C23,Control!$B$9,"m"),-DATEDIF(Control!$B$9,C23,"m"))</f>
        <v>14</v>
      </c>
      <c r="L23" t="str">
        <f>IF(C23=Control!$B$9,"corrente",IF(C23&lt;Control!$B$9,"passato","futuro"))</f>
        <v>passato</v>
      </c>
      <c r="M23" t="str">
        <f t="shared" si="10"/>
        <v>ott-25</v>
      </c>
      <c r="N23">
        <f t="shared" si="11"/>
        <v>4</v>
      </c>
      <c r="O23" s="1">
        <f>EOMONTH(Control!$B$9,-(A23-1))</f>
        <v>45747</v>
      </c>
      <c r="P23" s="1">
        <f t="shared" si="12"/>
        <v>45964</v>
      </c>
    </row>
    <row r="24" spans="1:16" x14ac:dyDescent="0.25">
      <c r="A24">
        <f t="shared" si="0"/>
        <v>23</v>
      </c>
      <c r="B24" s="1">
        <f t="shared" si="1"/>
        <v>45962</v>
      </c>
      <c r="C24" s="1">
        <f t="shared" si="2"/>
        <v>45991</v>
      </c>
      <c r="D24" s="1">
        <f t="shared" si="3"/>
        <v>46327</v>
      </c>
      <c r="E24">
        <f t="shared" si="4"/>
        <v>2025</v>
      </c>
      <c r="F24">
        <f t="shared" si="5"/>
        <v>11</v>
      </c>
      <c r="G24">
        <f t="shared" si="6"/>
        <v>30</v>
      </c>
      <c r="H24">
        <f t="shared" si="7"/>
        <v>7</v>
      </c>
      <c r="I24">
        <f t="shared" si="8"/>
        <v>20</v>
      </c>
      <c r="J24" s="1">
        <f t="shared" si="9"/>
        <v>30</v>
      </c>
      <c r="K24">
        <f>IF(C24&lt;=Control!$B$9,DATEDIF(C24,Control!$B$9,"m"),-DATEDIF(Control!$B$9,C24,"m"))</f>
        <v>13</v>
      </c>
      <c r="L24" t="str">
        <f>IF(C24=Control!$B$9,"corrente",IF(C24&lt;Control!$B$9,"passato","futuro"))</f>
        <v>passato</v>
      </c>
      <c r="M24" t="str">
        <f t="shared" si="10"/>
        <v>nov-25</v>
      </c>
      <c r="N24">
        <f t="shared" si="11"/>
        <v>4</v>
      </c>
      <c r="O24" s="1">
        <f>EOMONTH(Control!$B$9,-(A24-1))</f>
        <v>45716</v>
      </c>
      <c r="P24" s="1">
        <f t="shared" si="12"/>
        <v>45992</v>
      </c>
    </row>
    <row r="25" spans="1:16" x14ac:dyDescent="0.25">
      <c r="A25">
        <f t="shared" si="0"/>
        <v>24</v>
      </c>
      <c r="B25" s="1">
        <f t="shared" si="1"/>
        <v>45992</v>
      </c>
      <c r="C25" s="1">
        <f t="shared" si="2"/>
        <v>46022</v>
      </c>
      <c r="D25" s="1">
        <f t="shared" si="3"/>
        <v>46357</v>
      </c>
      <c r="E25">
        <f t="shared" si="4"/>
        <v>2025</v>
      </c>
      <c r="F25">
        <f t="shared" si="5"/>
        <v>12</v>
      </c>
      <c r="G25">
        <f t="shared" si="6"/>
        <v>31</v>
      </c>
      <c r="H25">
        <f t="shared" si="7"/>
        <v>3</v>
      </c>
      <c r="I25">
        <f t="shared" si="8"/>
        <v>23</v>
      </c>
      <c r="J25" s="1">
        <f t="shared" si="9"/>
        <v>31</v>
      </c>
      <c r="K25">
        <f>IF(C25&lt;=Control!$B$9,DATEDIF(C25,Control!$B$9,"m"),-DATEDIF(Control!$B$9,C25,"m"))</f>
        <v>12</v>
      </c>
      <c r="L25" t="str">
        <f>IF(C25=Control!$B$9,"corrente",IF(C25&lt;Control!$B$9,"passato","futuro"))</f>
        <v>passato</v>
      </c>
      <c r="M25" t="str">
        <f t="shared" si="10"/>
        <v>dic-25</v>
      </c>
      <c r="N25">
        <f t="shared" si="11"/>
        <v>4</v>
      </c>
      <c r="O25" s="1">
        <f>EOMONTH(Control!$B$9,-(A25-1))</f>
        <v>45688</v>
      </c>
      <c r="P25" s="1">
        <f t="shared" si="12"/>
        <v>46023</v>
      </c>
    </row>
    <row r="26" spans="1:16" x14ac:dyDescent="0.25">
      <c r="A26">
        <f t="shared" si="0"/>
        <v>25</v>
      </c>
      <c r="B26" s="1">
        <f t="shared" si="1"/>
        <v>46023</v>
      </c>
      <c r="C26" s="1">
        <f t="shared" si="2"/>
        <v>46053</v>
      </c>
      <c r="D26" s="1">
        <f t="shared" si="3"/>
        <v>46388</v>
      </c>
      <c r="E26">
        <f t="shared" si="4"/>
        <v>2026</v>
      </c>
      <c r="F26">
        <f t="shared" si="5"/>
        <v>1</v>
      </c>
      <c r="G26">
        <f t="shared" si="6"/>
        <v>31</v>
      </c>
      <c r="H26">
        <f t="shared" si="7"/>
        <v>6</v>
      </c>
      <c r="I26">
        <f t="shared" si="8"/>
        <v>22</v>
      </c>
      <c r="J26" s="1">
        <f t="shared" si="9"/>
        <v>31</v>
      </c>
      <c r="K26">
        <f>IF(C26&lt;=Control!$B$9,DATEDIF(C26,Control!$B$9,"m"),-DATEDIF(Control!$B$9,C26,"m"))</f>
        <v>11</v>
      </c>
      <c r="L26" t="str">
        <f>IF(C26=Control!$B$9,"corrente",IF(C26&lt;Control!$B$9,"passato","futuro"))</f>
        <v>passato</v>
      </c>
      <c r="M26" t="str">
        <f t="shared" si="10"/>
        <v>gen-26</v>
      </c>
      <c r="N26">
        <f t="shared" si="11"/>
        <v>1</v>
      </c>
      <c r="O26" s="1">
        <f>EOMONTH(Control!$B$9,-(A26-1))</f>
        <v>45657</v>
      </c>
      <c r="P26" s="1">
        <f t="shared" si="12"/>
        <v>46055</v>
      </c>
    </row>
    <row r="27" spans="1:16" x14ac:dyDescent="0.25">
      <c r="A27">
        <f t="shared" si="0"/>
        <v>26</v>
      </c>
      <c r="B27" s="1">
        <f t="shared" si="1"/>
        <v>46054</v>
      </c>
      <c r="C27" s="1">
        <f t="shared" si="2"/>
        <v>46081</v>
      </c>
      <c r="D27" s="1">
        <f t="shared" si="3"/>
        <v>46419</v>
      </c>
      <c r="E27">
        <f t="shared" si="4"/>
        <v>2026</v>
      </c>
      <c r="F27">
        <f t="shared" si="5"/>
        <v>2</v>
      </c>
      <c r="G27">
        <f t="shared" si="6"/>
        <v>28</v>
      </c>
      <c r="H27">
        <f t="shared" si="7"/>
        <v>6</v>
      </c>
      <c r="I27">
        <f t="shared" si="8"/>
        <v>20</v>
      </c>
      <c r="J27" s="1">
        <f t="shared" si="9"/>
        <v>28</v>
      </c>
      <c r="K27">
        <f>IF(C27&lt;=Control!$B$9,DATEDIF(C27,Control!$B$9,"m"),-DATEDIF(Control!$B$9,C27,"m"))</f>
        <v>10</v>
      </c>
      <c r="L27" t="str">
        <f>IF(C27=Control!$B$9,"corrente",IF(C27&lt;Control!$B$9,"passato","futuro"))</f>
        <v>passato</v>
      </c>
      <c r="M27" t="str">
        <f t="shared" si="10"/>
        <v>feb-26</v>
      </c>
      <c r="N27">
        <f t="shared" si="11"/>
        <v>1</v>
      </c>
      <c r="O27" s="1">
        <f>EOMONTH(Control!$B$9,-(A27-1))</f>
        <v>45626</v>
      </c>
      <c r="P27" s="1">
        <f t="shared" si="12"/>
        <v>46083</v>
      </c>
    </row>
    <row r="28" spans="1:16" x14ac:dyDescent="0.25">
      <c r="A28">
        <f t="shared" si="0"/>
        <v>27</v>
      </c>
      <c r="B28" s="1">
        <f t="shared" si="1"/>
        <v>46082</v>
      </c>
      <c r="C28" s="1">
        <f t="shared" si="2"/>
        <v>46112</v>
      </c>
      <c r="D28" s="1">
        <f t="shared" si="3"/>
        <v>46447</v>
      </c>
      <c r="E28">
        <f t="shared" si="4"/>
        <v>2026</v>
      </c>
      <c r="F28">
        <f t="shared" si="5"/>
        <v>3</v>
      </c>
      <c r="G28">
        <f t="shared" si="6"/>
        <v>31</v>
      </c>
      <c r="H28">
        <f t="shared" si="7"/>
        <v>2</v>
      </c>
      <c r="I28">
        <f t="shared" si="8"/>
        <v>22</v>
      </c>
      <c r="J28" s="1">
        <f t="shared" si="9"/>
        <v>31</v>
      </c>
      <c r="K28">
        <f>IF(C28&lt;=Control!$B$9,DATEDIF(C28,Control!$B$9,"m"),-DATEDIF(Control!$B$9,C28,"m"))</f>
        <v>9</v>
      </c>
      <c r="L28" t="str">
        <f>IF(C28=Control!$B$9,"corrente",IF(C28&lt;Control!$B$9,"passato","futuro"))</f>
        <v>passato</v>
      </c>
      <c r="M28" t="str">
        <f t="shared" si="10"/>
        <v>mar-26</v>
      </c>
      <c r="N28">
        <f t="shared" si="11"/>
        <v>1</v>
      </c>
      <c r="O28" s="1">
        <f>EOMONTH(Control!$B$9,-(A28-1))</f>
        <v>45596</v>
      </c>
      <c r="P28" s="1">
        <f t="shared" si="12"/>
        <v>46113</v>
      </c>
    </row>
    <row r="29" spans="1:16" x14ac:dyDescent="0.25">
      <c r="A29">
        <f t="shared" si="0"/>
        <v>28</v>
      </c>
      <c r="B29" s="1">
        <f t="shared" si="1"/>
        <v>46113</v>
      </c>
      <c r="C29" s="1">
        <f t="shared" si="2"/>
        <v>46142</v>
      </c>
      <c r="D29" s="1">
        <f t="shared" si="3"/>
        <v>46478</v>
      </c>
      <c r="E29">
        <f t="shared" si="4"/>
        <v>2026</v>
      </c>
      <c r="F29">
        <f t="shared" si="5"/>
        <v>4</v>
      </c>
      <c r="G29">
        <f t="shared" si="6"/>
        <v>30</v>
      </c>
      <c r="H29">
        <f t="shared" si="7"/>
        <v>4</v>
      </c>
      <c r="I29">
        <f t="shared" si="8"/>
        <v>22</v>
      </c>
      <c r="J29" s="1">
        <f t="shared" si="9"/>
        <v>30</v>
      </c>
      <c r="K29">
        <f>IF(C29&lt;=Control!$B$9,DATEDIF(C29,Control!$B$9,"m"),-DATEDIF(Control!$B$9,C29,"m"))</f>
        <v>8</v>
      </c>
      <c r="L29" t="str">
        <f>IF(C29=Control!$B$9,"corrente",IF(C29&lt;Control!$B$9,"passato","futuro"))</f>
        <v>passato</v>
      </c>
      <c r="M29" t="str">
        <f t="shared" si="10"/>
        <v>apr-26</v>
      </c>
      <c r="N29">
        <f t="shared" si="11"/>
        <v>2</v>
      </c>
      <c r="O29" s="1">
        <f>EOMONTH(Control!$B$9,-(A29-1))</f>
        <v>45565</v>
      </c>
      <c r="P29" s="1">
        <f t="shared" si="12"/>
        <v>46143</v>
      </c>
    </row>
    <row r="30" spans="1:16" x14ac:dyDescent="0.25">
      <c r="A30">
        <f t="shared" si="0"/>
        <v>29</v>
      </c>
      <c r="B30" s="1">
        <f t="shared" si="1"/>
        <v>46143</v>
      </c>
      <c r="C30" s="1">
        <f t="shared" si="2"/>
        <v>46173</v>
      </c>
      <c r="D30" s="1">
        <f t="shared" si="3"/>
        <v>46508</v>
      </c>
      <c r="E30">
        <f t="shared" si="4"/>
        <v>2026</v>
      </c>
      <c r="F30">
        <f t="shared" si="5"/>
        <v>5</v>
      </c>
      <c r="G30">
        <f t="shared" si="6"/>
        <v>31</v>
      </c>
      <c r="H30">
        <f t="shared" si="7"/>
        <v>7</v>
      </c>
      <c r="I30">
        <f t="shared" si="8"/>
        <v>21</v>
      </c>
      <c r="J30" s="1">
        <f t="shared" si="9"/>
        <v>31</v>
      </c>
      <c r="K30">
        <f>IF(C30&lt;=Control!$B$9,DATEDIF(C30,Control!$B$9,"m"),-DATEDIF(Control!$B$9,C30,"m"))</f>
        <v>7</v>
      </c>
      <c r="L30" t="str">
        <f>IF(C30=Control!$B$9,"corrente",IF(C30&lt;Control!$B$9,"passato","futuro"))</f>
        <v>passato</v>
      </c>
      <c r="M30" t="str">
        <f t="shared" si="10"/>
        <v>mag-26</v>
      </c>
      <c r="N30">
        <f t="shared" si="11"/>
        <v>2</v>
      </c>
      <c r="O30" s="1">
        <f>EOMONTH(Control!$B$9,-(A30-1))</f>
        <v>45535</v>
      </c>
      <c r="P30" s="1">
        <f t="shared" si="12"/>
        <v>46174</v>
      </c>
    </row>
    <row r="31" spans="1:16" x14ac:dyDescent="0.25">
      <c r="A31">
        <f t="shared" si="0"/>
        <v>30</v>
      </c>
      <c r="B31" s="1">
        <f t="shared" si="1"/>
        <v>46174</v>
      </c>
      <c r="C31" s="1">
        <f t="shared" si="2"/>
        <v>46203</v>
      </c>
      <c r="D31" s="1">
        <f t="shared" si="3"/>
        <v>46539</v>
      </c>
      <c r="E31">
        <f t="shared" si="4"/>
        <v>2026</v>
      </c>
      <c r="F31">
        <f t="shared" si="5"/>
        <v>6</v>
      </c>
      <c r="G31">
        <f t="shared" si="6"/>
        <v>30</v>
      </c>
      <c r="H31">
        <f t="shared" si="7"/>
        <v>2</v>
      </c>
      <c r="I31">
        <f t="shared" si="8"/>
        <v>22</v>
      </c>
      <c r="J31" s="1">
        <f t="shared" si="9"/>
        <v>30</v>
      </c>
      <c r="K31">
        <f>IF(C31&lt;=Control!$B$9,DATEDIF(C31,Control!$B$9,"m"),-DATEDIF(Control!$B$9,C31,"m"))</f>
        <v>6</v>
      </c>
      <c r="L31" t="str">
        <f>IF(C31=Control!$B$9,"corrente",IF(C31&lt;Control!$B$9,"passato","futuro"))</f>
        <v>passato</v>
      </c>
      <c r="M31" t="str">
        <f t="shared" si="10"/>
        <v>giu-26</v>
      </c>
      <c r="N31">
        <f t="shared" si="11"/>
        <v>2</v>
      </c>
      <c r="O31" s="1">
        <f>EOMONTH(Control!$B$9,-(A31-1))</f>
        <v>45504</v>
      </c>
      <c r="P31" s="1">
        <f t="shared" si="12"/>
        <v>46204</v>
      </c>
    </row>
    <row r="32" spans="1:16" x14ac:dyDescent="0.25">
      <c r="A32">
        <f t="shared" si="0"/>
        <v>31</v>
      </c>
      <c r="B32" s="1">
        <f t="shared" si="1"/>
        <v>46204</v>
      </c>
      <c r="C32" s="1">
        <f t="shared" si="2"/>
        <v>46234</v>
      </c>
      <c r="D32" s="1">
        <f t="shared" si="3"/>
        <v>46569</v>
      </c>
      <c r="E32">
        <f t="shared" si="4"/>
        <v>2026</v>
      </c>
      <c r="F32">
        <f t="shared" si="5"/>
        <v>7</v>
      </c>
      <c r="G32">
        <f t="shared" si="6"/>
        <v>31</v>
      </c>
      <c r="H32">
        <f t="shared" si="7"/>
        <v>5</v>
      </c>
      <c r="I32">
        <f t="shared" si="8"/>
        <v>23</v>
      </c>
      <c r="J32" s="1">
        <f t="shared" si="9"/>
        <v>31</v>
      </c>
      <c r="K32">
        <f>IF(C32&lt;=Control!$B$9,DATEDIF(C32,Control!$B$9,"m"),-DATEDIF(Control!$B$9,C32,"m"))</f>
        <v>5</v>
      </c>
      <c r="L32" t="str">
        <f>IF(C32=Control!$B$9,"corrente",IF(C32&lt;Control!$B$9,"passato","futuro"))</f>
        <v>passato</v>
      </c>
      <c r="M32" t="str">
        <f t="shared" si="10"/>
        <v>lug-26</v>
      </c>
      <c r="N32">
        <f t="shared" si="11"/>
        <v>3</v>
      </c>
      <c r="O32" s="1">
        <f>EOMONTH(Control!$B$9,-(A32-1))</f>
        <v>45473</v>
      </c>
      <c r="P32" s="1">
        <f t="shared" si="12"/>
        <v>46237</v>
      </c>
    </row>
    <row r="33" spans="1:16" x14ac:dyDescent="0.25">
      <c r="A33">
        <f t="shared" si="0"/>
        <v>32</v>
      </c>
      <c r="B33" s="1">
        <f t="shared" si="1"/>
        <v>46235</v>
      </c>
      <c r="C33" s="1">
        <f t="shared" si="2"/>
        <v>46265</v>
      </c>
      <c r="D33" s="1">
        <f t="shared" si="3"/>
        <v>46600</v>
      </c>
      <c r="E33">
        <f t="shared" si="4"/>
        <v>2026</v>
      </c>
      <c r="F33">
        <f t="shared" si="5"/>
        <v>8</v>
      </c>
      <c r="G33">
        <f t="shared" si="6"/>
        <v>31</v>
      </c>
      <c r="H33">
        <f t="shared" si="7"/>
        <v>1</v>
      </c>
      <c r="I33">
        <f t="shared" si="8"/>
        <v>21</v>
      </c>
      <c r="J33" s="1">
        <f t="shared" si="9"/>
        <v>31</v>
      </c>
      <c r="K33">
        <f>IF(C33&lt;=Control!$B$9,DATEDIF(C33,Control!$B$9,"m"),-DATEDIF(Control!$B$9,C33,"m"))</f>
        <v>4</v>
      </c>
      <c r="L33" t="str">
        <f>IF(C33=Control!$B$9,"corrente",IF(C33&lt;Control!$B$9,"passato","futuro"))</f>
        <v>passato</v>
      </c>
      <c r="M33" t="str">
        <f t="shared" si="10"/>
        <v>ago-26</v>
      </c>
      <c r="N33">
        <f t="shared" si="11"/>
        <v>3</v>
      </c>
      <c r="O33" s="1">
        <f>EOMONTH(Control!$B$9,-(A33-1))</f>
        <v>45443</v>
      </c>
      <c r="P33" s="1">
        <f t="shared" si="12"/>
        <v>46266</v>
      </c>
    </row>
    <row r="34" spans="1:16" x14ac:dyDescent="0.25">
      <c r="A34">
        <f t="shared" si="0"/>
        <v>33</v>
      </c>
      <c r="B34" s="1">
        <f t="shared" si="1"/>
        <v>46266</v>
      </c>
      <c r="C34" s="1">
        <f t="shared" si="2"/>
        <v>46295</v>
      </c>
      <c r="D34" s="1">
        <f t="shared" si="3"/>
        <v>46631</v>
      </c>
      <c r="E34">
        <f t="shared" si="4"/>
        <v>2026</v>
      </c>
      <c r="F34">
        <f t="shared" si="5"/>
        <v>9</v>
      </c>
      <c r="G34">
        <f t="shared" si="6"/>
        <v>30</v>
      </c>
      <c r="H34">
        <f t="shared" si="7"/>
        <v>3</v>
      </c>
      <c r="I34">
        <f t="shared" si="8"/>
        <v>22</v>
      </c>
      <c r="J34" s="1">
        <f t="shared" si="9"/>
        <v>30</v>
      </c>
      <c r="K34">
        <f>IF(C34&lt;=Control!$B$9,DATEDIF(C34,Control!$B$9,"m"),-DATEDIF(Control!$B$9,C34,"m"))</f>
        <v>3</v>
      </c>
      <c r="L34" t="str">
        <f>IF(C34=Control!$B$9,"corrente",IF(C34&lt;Control!$B$9,"passato","futuro"))</f>
        <v>passato</v>
      </c>
      <c r="M34" t="str">
        <f t="shared" si="10"/>
        <v>set-26</v>
      </c>
      <c r="N34">
        <f t="shared" si="11"/>
        <v>3</v>
      </c>
      <c r="O34" s="1">
        <f>EOMONTH(Control!$B$9,-(A34-1))</f>
        <v>45412</v>
      </c>
      <c r="P34" s="1">
        <f t="shared" si="12"/>
        <v>46296</v>
      </c>
    </row>
    <row r="35" spans="1:16" x14ac:dyDescent="0.25">
      <c r="A35">
        <f t="shared" si="0"/>
        <v>34</v>
      </c>
      <c r="B35" s="1">
        <f t="shared" si="1"/>
        <v>46296</v>
      </c>
      <c r="C35" s="1">
        <f t="shared" si="2"/>
        <v>46326</v>
      </c>
      <c r="D35" s="1">
        <f t="shared" si="3"/>
        <v>46661</v>
      </c>
      <c r="E35">
        <f t="shared" si="4"/>
        <v>2026</v>
      </c>
      <c r="F35">
        <f t="shared" si="5"/>
        <v>10</v>
      </c>
      <c r="G35">
        <f t="shared" si="6"/>
        <v>31</v>
      </c>
      <c r="H35">
        <f t="shared" si="7"/>
        <v>6</v>
      </c>
      <c r="I35">
        <f t="shared" si="8"/>
        <v>22</v>
      </c>
      <c r="J35" s="1">
        <f t="shared" si="9"/>
        <v>31</v>
      </c>
      <c r="K35">
        <f>IF(C35&lt;=Control!$B$9,DATEDIF(C35,Control!$B$9,"m"),-DATEDIF(Control!$B$9,C35,"m"))</f>
        <v>2</v>
      </c>
      <c r="L35" t="str">
        <f>IF(C35=Control!$B$9,"corrente",IF(C35&lt;Control!$B$9,"passato","futuro"))</f>
        <v>passato</v>
      </c>
      <c r="M35" t="str">
        <f t="shared" si="10"/>
        <v>ott-26</v>
      </c>
      <c r="N35">
        <f t="shared" si="11"/>
        <v>4</v>
      </c>
      <c r="O35" s="1">
        <f>EOMONTH(Control!$B$9,-(A35-1))</f>
        <v>45382</v>
      </c>
      <c r="P35" s="1">
        <f t="shared" si="12"/>
        <v>46328</v>
      </c>
    </row>
    <row r="36" spans="1:16" x14ac:dyDescent="0.25">
      <c r="A36">
        <f t="shared" si="0"/>
        <v>35</v>
      </c>
      <c r="B36" s="1">
        <f t="shared" si="1"/>
        <v>46327</v>
      </c>
      <c r="C36" s="1">
        <f t="shared" si="2"/>
        <v>46356</v>
      </c>
      <c r="D36" s="1">
        <f t="shared" si="3"/>
        <v>46692</v>
      </c>
      <c r="E36">
        <f t="shared" si="4"/>
        <v>2026</v>
      </c>
      <c r="F36">
        <f t="shared" si="5"/>
        <v>11</v>
      </c>
      <c r="G36">
        <f t="shared" si="6"/>
        <v>30</v>
      </c>
      <c r="H36">
        <f t="shared" si="7"/>
        <v>1</v>
      </c>
      <c r="I36">
        <f t="shared" si="8"/>
        <v>21</v>
      </c>
      <c r="J36" s="1">
        <f t="shared" si="9"/>
        <v>30</v>
      </c>
      <c r="K36">
        <f>IF(C36&lt;=Control!$B$9,DATEDIF(C36,Control!$B$9,"m"),-DATEDIF(Control!$B$9,C36,"m"))</f>
        <v>1</v>
      </c>
      <c r="L36" t="str">
        <f>IF(C36=Control!$B$9,"corrente",IF(C36&lt;Control!$B$9,"passato","futuro"))</f>
        <v>passato</v>
      </c>
      <c r="M36" t="str">
        <f t="shared" si="10"/>
        <v>nov-26</v>
      </c>
      <c r="N36">
        <f t="shared" si="11"/>
        <v>4</v>
      </c>
      <c r="O36" s="1">
        <f>EOMONTH(Control!$B$9,-(A36-1))</f>
        <v>45351</v>
      </c>
      <c r="P36" s="1">
        <f t="shared" si="12"/>
        <v>46357</v>
      </c>
    </row>
    <row r="37" spans="1:16" x14ac:dyDescent="0.25">
      <c r="A37">
        <f t="shared" si="0"/>
        <v>36</v>
      </c>
      <c r="B37" s="1">
        <f t="shared" si="1"/>
        <v>46357</v>
      </c>
      <c r="C37" s="1">
        <f t="shared" si="2"/>
        <v>46387</v>
      </c>
      <c r="D37" s="1">
        <f t="shared" si="3"/>
        <v>46722</v>
      </c>
      <c r="E37">
        <f t="shared" si="4"/>
        <v>2026</v>
      </c>
      <c r="F37">
        <f t="shared" si="5"/>
        <v>12</v>
      </c>
      <c r="G37">
        <f t="shared" si="6"/>
        <v>31</v>
      </c>
      <c r="H37">
        <f t="shared" si="7"/>
        <v>4</v>
      </c>
      <c r="I37">
        <f t="shared" si="8"/>
        <v>23</v>
      </c>
      <c r="J37" s="1">
        <f t="shared" si="9"/>
        <v>31</v>
      </c>
      <c r="K37">
        <f>IF(C37&lt;=Control!$B$9,DATEDIF(C37,Control!$B$9,"m"),-DATEDIF(Control!$B$9,C37,"m"))</f>
        <v>0</v>
      </c>
      <c r="L37" t="str">
        <f>IF(C37=Control!$B$9,"corrente",IF(C37&lt;Control!$B$9,"passato","futuro"))</f>
        <v>corrente</v>
      </c>
      <c r="M37" t="str">
        <f t="shared" si="10"/>
        <v>dic-26</v>
      </c>
      <c r="N37">
        <f t="shared" si="11"/>
        <v>4</v>
      </c>
      <c r="O37" s="1">
        <f>EOMONTH(Control!$B$9,-(A37-1))</f>
        <v>45322</v>
      </c>
      <c r="P37" s="1">
        <f t="shared" si="12"/>
        <v>46388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AFA8B-5AC0-44C7-9638-CE46F3B1CBF3}">
  <dimension ref="A1:Q30"/>
  <sheetViews>
    <sheetView workbookViewId="0"/>
  </sheetViews>
  <sheetFormatPr defaultRowHeight="12.5" x14ac:dyDescent="0.25"/>
  <sheetData>
    <row r="1" spans="1:17" x14ac:dyDescent="0.25">
      <c r="A1" t="s">
        <v>214</v>
      </c>
      <c r="C1" t="s">
        <v>215</v>
      </c>
      <c r="G1" t="s">
        <v>216</v>
      </c>
      <c r="I1" t="s">
        <v>217</v>
      </c>
      <c r="J1" t="s">
        <v>218</v>
      </c>
      <c r="L1" t="s">
        <v>219</v>
      </c>
    </row>
    <row r="2" spans="1:17" x14ac:dyDescent="0.25">
      <c r="A2" t="str" cm="1">
        <f t="array" ref="A2:A7">_xlfn._xlws.FILTER(Banks!A2:A21,Banks!C2:C21=Control!B5,"nessuna")</f>
        <v>Banca Tirrena</v>
      </c>
      <c r="C2" t="str" cm="1">
        <f t="array" ref="C2:E21">_xlfn._xlws.SORT(Calc_Bank!A2:C21,3,-1)</f>
        <v>Banca Città</v>
      </c>
      <c r="D2" t="str">
        <v>Centro</v>
      </c>
      <c r="E2">
        <v>32434</v>
      </c>
      <c r="G2" t="str" cm="1">
        <f t="array" ref="G2:G9">_xlfn.UNIQUE(Data!C2:C5761)</f>
        <v>Mutui</v>
      </c>
      <c r="I2" cm="1">
        <f t="array" ref="I2:I13">_xlfn.SEQUENCE(12)</f>
        <v>1</v>
      </c>
      <c r="J2" cm="1">
        <f t="array" ref="J2:J13">Control!B3-12+_xlfn.SEQUENCE(12)</f>
        <v>25</v>
      </c>
      <c r="L2" t="str" cm="1">
        <f t="array" ref="L2:L21">_xlfn.SORTBY(Banks!A2:A21,Calc_Bank!C2:C21,-1)</f>
        <v>Banca Città</v>
      </c>
      <c r="P2" t="s">
        <v>220</v>
      </c>
      <c r="Q2">
        <f>_xlfn.XMATCH(Control!B2,Banks!A2:A21)</f>
        <v>3</v>
      </c>
    </row>
    <row r="3" spans="1:17" x14ac:dyDescent="0.25">
      <c r="A3" t="str">
        <v>Banca Etrusca</v>
      </c>
      <c r="C3" t="str">
        <v>Banca Romagnola</v>
      </c>
      <c r="D3" t="str">
        <v>Nord-Est</v>
      </c>
      <c r="E3">
        <v>31096.1</v>
      </c>
      <c r="G3" t="str">
        <v>Prestiti</v>
      </c>
      <c r="I3">
        <v>2</v>
      </c>
      <c r="J3">
        <v>26</v>
      </c>
      <c r="L3" t="str">
        <v>Banca Romagnola</v>
      </c>
      <c r="P3" t="s">
        <v>221</v>
      </c>
      <c r="Q3">
        <f>_xlfn.LET(_xlpm.x,Calc_Bank!C2:C21,SUM(_xlpm.x)/COUNT(_xlpm.x))</f>
        <v>20012.954999999998</v>
      </c>
    </row>
    <row r="4" spans="1:17" x14ac:dyDescent="0.25">
      <c r="A4" t="str">
        <v>Banca Sabina</v>
      </c>
      <c r="C4" t="str">
        <v>Banca Sarda</v>
      </c>
      <c r="D4" t="str">
        <v>Isole</v>
      </c>
      <c r="E4">
        <v>29778.7</v>
      </c>
      <c r="G4" t="str">
        <v>Conti</v>
      </c>
      <c r="I4">
        <v>3</v>
      </c>
      <c r="J4">
        <v>27</v>
      </c>
      <c r="L4" t="str">
        <v>Banca Sarda</v>
      </c>
      <c r="P4" t="s">
        <v>222</v>
      </c>
      <c r="Q4" t="str">
        <f>_xlfn.XLOOKUP(Control!B3+100,FX!A2:A37,FX!C2:C37,"fuori",0)</f>
        <v>fuori</v>
      </c>
    </row>
    <row r="5" spans="1:17" x14ac:dyDescent="0.25">
      <c r="A5" t="str">
        <v>Banca Umbra</v>
      </c>
      <c r="C5" t="str">
        <v>Banca Sicula</v>
      </c>
      <c r="D5" t="str">
        <v>Isole</v>
      </c>
      <c r="E5">
        <v>28525.599999999999</v>
      </c>
      <c r="G5" t="str">
        <v>Carte</v>
      </c>
      <c r="I5">
        <v>4</v>
      </c>
      <c r="J5">
        <v>28</v>
      </c>
      <c r="L5" t="str">
        <v>Banca Sicula</v>
      </c>
      <c r="P5" t="s">
        <v>223</v>
      </c>
      <c r="Q5" t="e">
        <f>_xlfn.XLOOKUP(Control!B3+0.5,FX!A2:A37,FX!C2:C37,,1)</f>
        <v>#N/A</v>
      </c>
    </row>
    <row r="6" spans="1:17" x14ac:dyDescent="0.25">
      <c r="A6" t="str">
        <v>Banca Marchigiana</v>
      </c>
      <c r="C6" t="str">
        <v>Banca Calabra</v>
      </c>
      <c r="D6" t="str">
        <v>Sud</v>
      </c>
      <c r="E6">
        <v>27252.399999999998</v>
      </c>
      <c r="G6" t="str">
        <v>Leasing</v>
      </c>
      <c r="I6">
        <v>5</v>
      </c>
      <c r="J6">
        <v>29</v>
      </c>
      <c r="L6" t="str">
        <v>Banca Calabra</v>
      </c>
      <c r="P6" t="s">
        <v>224</v>
      </c>
      <c r="Q6">
        <f>_xlfn.XLOOKUP(Control!B3-0.5,FX!A2:A37,FX!C2:C37,,-1)</f>
        <v>1.0798000000000001</v>
      </c>
    </row>
    <row r="7" spans="1:17" x14ac:dyDescent="0.25">
      <c r="A7" t="str">
        <v>Banca Città</v>
      </c>
      <c r="C7" t="str">
        <v>Banca Lucana</v>
      </c>
      <c r="D7" t="str">
        <v>Sud</v>
      </c>
      <c r="E7">
        <v>25892.2</v>
      </c>
      <c r="G7" t="str">
        <v>Factoring</v>
      </c>
      <c r="I7">
        <v>6</v>
      </c>
      <c r="J7">
        <v>30</v>
      </c>
      <c r="L7" t="str">
        <v>Banca Lucana</v>
      </c>
      <c r="P7" t="s">
        <v>225</v>
      </c>
      <c r="Q7" t="str">
        <f>_xlfn.XLOOKUP("Banca T*",Banks!A2:A21,Banks!B2:B21,"n.d.",2)</f>
        <v>B103</v>
      </c>
    </row>
    <row r="8" spans="1:17" x14ac:dyDescent="0.25">
      <c r="C8" t="str">
        <v>Banca Marchigiana</v>
      </c>
      <c r="D8" t="str">
        <v>Centro</v>
      </c>
      <c r="E8">
        <v>24657.8</v>
      </c>
      <c r="G8" t="str">
        <v>Risparmio</v>
      </c>
      <c r="I8">
        <v>7</v>
      </c>
      <c r="J8">
        <v>31</v>
      </c>
      <c r="L8" t="str">
        <v>Banca Marchigiana</v>
      </c>
      <c r="P8" t="s">
        <v>226</v>
      </c>
      <c r="Q8">
        <f>_xlfn.XLOOKUP(Control!B2,Data!A2:A5761,Data!E2:E5761,0,0,-1)</f>
        <v>2019.4</v>
      </c>
    </row>
    <row r="9" spans="1:17" x14ac:dyDescent="0.25">
      <c r="C9" t="str">
        <v>Banca Umbra</v>
      </c>
      <c r="D9" t="str">
        <v>Centro</v>
      </c>
      <c r="E9">
        <v>23266.5</v>
      </c>
      <c r="G9" t="str">
        <v>Assicurazioni</v>
      </c>
      <c r="I9">
        <v>8</v>
      </c>
      <c r="J9">
        <v>32</v>
      </c>
      <c r="L9" t="str">
        <v>Banca Umbra</v>
      </c>
      <c r="P9" t="s">
        <v>227</v>
      </c>
      <c r="Q9" cm="1">
        <f t="array" ref="Q9">SUM(_xlfn._xlws.FILTER(Calc_Bank!C2:C21,Calc_Bank!B2:B21=Control!B5,0))</f>
        <v>118844.70000000001</v>
      </c>
    </row>
    <row r="10" spans="1:17" x14ac:dyDescent="0.25">
      <c r="C10" t="str">
        <v>Banca Friulana</v>
      </c>
      <c r="D10" t="str">
        <v>Nord-Est</v>
      </c>
      <c r="E10">
        <v>21924.5</v>
      </c>
      <c r="I10">
        <v>9</v>
      </c>
      <c r="J10">
        <v>33</v>
      </c>
      <c r="L10" t="str">
        <v>Banca Friulana</v>
      </c>
      <c r="P10" t="s">
        <v>228</v>
      </c>
      <c r="Q10" cm="1">
        <f t="array" ref="Q10">ROWS(_xlfn._xlws.FILTER(Banks!A2:A21,Banks!C2:C21=Control!B5))</f>
        <v>6</v>
      </c>
    </row>
    <row r="11" spans="1:17" x14ac:dyDescent="0.25">
      <c r="C11" t="str">
        <v>Banca Veneta</v>
      </c>
      <c r="D11" t="str">
        <v>Nord-Est</v>
      </c>
      <c r="E11">
        <v>20672.400000000001</v>
      </c>
      <c r="I11">
        <v>10</v>
      </c>
      <c r="J11">
        <v>34</v>
      </c>
      <c r="L11" t="str">
        <v>Banca Veneta</v>
      </c>
      <c r="P11" t="s">
        <v>229</v>
      </c>
      <c r="Q11" t="str" cm="1">
        <f t="array" ref="Q11">_xlfn.IFS(Q9&gt;50000,"alto",Q9&gt;20000,"medio",TRUE,"basso")</f>
        <v>alto</v>
      </c>
    </row>
    <row r="12" spans="1:17" x14ac:dyDescent="0.25">
      <c r="C12" t="str">
        <v>Banca Ligure</v>
      </c>
      <c r="D12" t="str">
        <v>Nord-Ovest</v>
      </c>
      <c r="E12">
        <v>19412</v>
      </c>
      <c r="I12">
        <v>11</v>
      </c>
      <c r="J12">
        <v>35</v>
      </c>
      <c r="L12" t="str">
        <v>Banca Ligure</v>
      </c>
    </row>
    <row r="13" spans="1:17" x14ac:dyDescent="0.25">
      <c r="C13" t="str">
        <v>Banca Sannita</v>
      </c>
      <c r="D13" t="str">
        <v>Sud</v>
      </c>
      <c r="E13">
        <v>17981.400000000001</v>
      </c>
      <c r="I13">
        <v>12</v>
      </c>
      <c r="J13">
        <v>36</v>
      </c>
      <c r="L13" t="str">
        <v>Banca Sannita</v>
      </c>
    </row>
    <row r="14" spans="1:17" x14ac:dyDescent="0.25">
      <c r="C14" t="str">
        <v>Banca Irpina</v>
      </c>
      <c r="D14" t="str">
        <v>Sud</v>
      </c>
      <c r="E14">
        <v>16713.899999999998</v>
      </c>
      <c r="L14" t="str">
        <v>Banca Irpina</v>
      </c>
    </row>
    <row r="15" spans="1:17" x14ac:dyDescent="0.25">
      <c r="C15" t="str">
        <v>Banca Sabina</v>
      </c>
      <c r="D15" t="str">
        <v>Centro</v>
      </c>
      <c r="E15">
        <v>15403.7</v>
      </c>
      <c r="L15" t="str">
        <v>Banca Sabina</v>
      </c>
    </row>
    <row r="16" spans="1:17" x14ac:dyDescent="0.25">
      <c r="C16" t="str">
        <v>Banca Lariana</v>
      </c>
      <c r="D16" t="str">
        <v>Nord-Ovest</v>
      </c>
      <c r="E16">
        <v>14148.099999999999</v>
      </c>
      <c r="L16" t="str">
        <v>Banca Lariana</v>
      </c>
    </row>
    <row r="17" spans="1:12" x14ac:dyDescent="0.25">
      <c r="C17" t="str">
        <v>Banca Etrusca</v>
      </c>
      <c r="D17" t="str">
        <v>Centro</v>
      </c>
      <c r="E17">
        <v>12839.400000000001</v>
      </c>
      <c r="L17" t="str">
        <v>Banca Etrusca</v>
      </c>
    </row>
    <row r="18" spans="1:12" x14ac:dyDescent="0.25">
      <c r="C18" t="str">
        <v>Banca Padana</v>
      </c>
      <c r="D18" t="str">
        <v>Nord-Ovest</v>
      </c>
      <c r="E18">
        <v>11467.099999999999</v>
      </c>
      <c r="L18" t="str">
        <v>Banca Padana</v>
      </c>
    </row>
    <row r="19" spans="1:12" x14ac:dyDescent="0.25">
      <c r="C19" t="str">
        <v>Banca Tirrena</v>
      </c>
      <c r="D19" t="str">
        <v>Centro</v>
      </c>
      <c r="E19">
        <v>10243.300000000001</v>
      </c>
      <c r="L19" t="str">
        <v>Banca Tirrena</v>
      </c>
    </row>
    <row r="20" spans="1:12" x14ac:dyDescent="0.25">
      <c r="C20" t="str">
        <v>Banca Adriatica</v>
      </c>
      <c r="D20" t="str">
        <v>Nord-Est</v>
      </c>
      <c r="E20">
        <v>8954.2000000000007</v>
      </c>
      <c r="L20" t="str">
        <v>Banca Adriatica</v>
      </c>
    </row>
    <row r="21" spans="1:12" x14ac:dyDescent="0.25">
      <c r="C21" t="str">
        <v>Banca Alpi</v>
      </c>
      <c r="D21" t="str">
        <v>Nord-Ovest</v>
      </c>
      <c r="E21">
        <v>7595.8000000000011</v>
      </c>
      <c r="L21" t="str">
        <v>Banca Alpi</v>
      </c>
    </row>
    <row r="30" spans="1:12" x14ac:dyDescent="0.25">
      <c r="A30" cm="1">
        <f t="array" ref="A30:L30">TRANSPOSE(Calc_Month!C2:C13)</f>
        <v>8012.1</v>
      </c>
      <c r="B30">
        <v>8126.5</v>
      </c>
      <c r="C30">
        <v>8163.5</v>
      </c>
      <c r="D30">
        <v>8209.7000000000007</v>
      </c>
      <c r="E30">
        <v>8325.2000000000007</v>
      </c>
      <c r="F30">
        <v>8343.2999999999993</v>
      </c>
      <c r="G30">
        <v>8405</v>
      </c>
      <c r="H30">
        <v>8440.6</v>
      </c>
      <c r="I30">
        <v>8499.6</v>
      </c>
      <c r="J30">
        <v>8590.6</v>
      </c>
      <c r="K30">
        <v>8644.8999999999978</v>
      </c>
      <c r="L30">
        <v>8718.7000000000007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55AE7-68D1-48B3-ACD3-D84A21F9E603}">
  <dimension ref="A2:B30"/>
  <sheetViews>
    <sheetView workbookViewId="0"/>
  </sheetViews>
  <sheetFormatPr defaultRowHeight="12.5" x14ac:dyDescent="0.25"/>
  <sheetData>
    <row r="2" spans="1:2" x14ac:dyDescent="0.25">
      <c r="A2" t="s">
        <v>230</v>
      </c>
      <c r="B2">
        <f>SUMIFS(D_Vol,D_Bank,SelBank,D_Month,SelMonth)</f>
        <v>10243.300000000001</v>
      </c>
    </row>
    <row r="3" spans="1:2" x14ac:dyDescent="0.25">
      <c r="A3" t="s">
        <v>141</v>
      </c>
      <c r="B3">
        <f>B2*(1+Rate)</f>
        <v>10550.599000000002</v>
      </c>
    </row>
    <row r="4" spans="1:2" x14ac:dyDescent="0.25">
      <c r="A4" t="s">
        <v>231</v>
      </c>
      <c r="B4">
        <f>COUNTIF(BankRegion,SelRegion)</f>
        <v>6</v>
      </c>
    </row>
    <row r="5" spans="1:2" x14ac:dyDescent="0.25">
      <c r="A5" t="s">
        <v>232</v>
      </c>
      <c r="B5" t="str">
        <f>INDEX(BankList,1)</f>
        <v>Banca Alpi</v>
      </c>
    </row>
    <row r="6" spans="1:2" x14ac:dyDescent="0.25">
      <c r="A6" t="s">
        <v>233</v>
      </c>
      <c r="B6">
        <f>TaxRate*B2</f>
        <v>2458.3920000000003</v>
      </c>
    </row>
    <row r="7" spans="1:2" x14ac:dyDescent="0.25">
      <c r="A7" t="s">
        <v>234</v>
      </c>
      <c r="B7">
        <f>SUM(Calc_Bank!C2:C21)*(1-TaxRate)</f>
        <v>304196.91599999997</v>
      </c>
    </row>
    <row r="8" spans="1:2" x14ac:dyDescent="0.25">
      <c r="A8" t="s">
        <v>123</v>
      </c>
      <c r="B8" t="str">
        <f>SelBank&amp;" / "&amp;SelRegion</f>
        <v>Banca Tirrena / Centro</v>
      </c>
    </row>
    <row r="9" spans="1:2" x14ac:dyDescent="0.25">
      <c r="A9" t="s">
        <v>235</v>
      </c>
      <c r="B9" cm="1">
        <f t="array" ref="B9">VolSel</f>
        <v>10243.300000000001</v>
      </c>
    </row>
    <row r="11" spans="1:2" x14ac:dyDescent="0.25">
      <c r="A11" t="str" cm="1">
        <f t="array" ref="A11">INDEX(BankList,ROW()-10)</f>
        <v>Banca Alpi</v>
      </c>
      <c r="B11">
        <f>SUMIFS(D_Vol,D_Bank,A11,D_Month,SelMonth)</f>
        <v>7595.8000000000011</v>
      </c>
    </row>
    <row r="12" spans="1:2" x14ac:dyDescent="0.25">
      <c r="A12" t="str" cm="1">
        <f t="array" ref="A12">INDEX(BankList,ROW()-10)</f>
        <v>Banca Adriatica</v>
      </c>
      <c r="B12">
        <f>SUMIFS(D_Vol,D_Bank,A12,D_Month,SelMonth)</f>
        <v>8954.2000000000007</v>
      </c>
    </row>
    <row r="13" spans="1:2" x14ac:dyDescent="0.25">
      <c r="A13" t="str" cm="1">
        <f t="array" ref="A13">INDEX(BankList,ROW()-10)</f>
        <v>Banca Tirrena</v>
      </c>
      <c r="B13">
        <f>SUMIFS(D_Vol,D_Bank,A13,D_Month,SelMonth)</f>
        <v>10243.300000000001</v>
      </c>
    </row>
    <row r="14" spans="1:2" x14ac:dyDescent="0.25">
      <c r="A14" t="str" cm="1">
        <f t="array" ref="A14">INDEX(BankList,ROW()-10)</f>
        <v>Banca Padana</v>
      </c>
      <c r="B14">
        <f>SUMIFS(D_Vol,D_Bank,A14,D_Month,SelMonth)</f>
        <v>11467.099999999999</v>
      </c>
    </row>
    <row r="15" spans="1:2" x14ac:dyDescent="0.25">
      <c r="A15" t="str" cm="1">
        <f t="array" ref="A15">INDEX(BankList,ROW()-10)</f>
        <v>Banca Etrusca</v>
      </c>
      <c r="B15">
        <f>SUMIFS(D_Vol,D_Bank,A15,D_Month,SelMonth)</f>
        <v>12839.400000000001</v>
      </c>
    </row>
    <row r="16" spans="1:2" x14ac:dyDescent="0.25">
      <c r="A16" t="str" cm="1">
        <f t="array" ref="A16">INDEX(BankList,ROW()-10)</f>
        <v>Banca Lariana</v>
      </c>
      <c r="B16">
        <f>SUMIFS(D_Vol,D_Bank,A16,D_Month,SelMonth)</f>
        <v>14148.099999999999</v>
      </c>
    </row>
    <row r="17" spans="1:2" x14ac:dyDescent="0.25">
      <c r="A17" t="str" cm="1">
        <f t="array" ref="A17">INDEX(BankList,ROW()-10)</f>
        <v>Banca Sabina</v>
      </c>
      <c r="B17">
        <f>SUMIFS(D_Vol,D_Bank,A17,D_Month,SelMonth)</f>
        <v>15403.7</v>
      </c>
    </row>
    <row r="18" spans="1:2" x14ac:dyDescent="0.25">
      <c r="A18" t="str" cm="1">
        <f t="array" ref="A18">INDEX(BankList,ROW()-10)</f>
        <v>Banca Irpina</v>
      </c>
      <c r="B18">
        <f>SUMIFS(D_Vol,D_Bank,A18,D_Month,SelMonth)</f>
        <v>16713.899999999998</v>
      </c>
    </row>
    <row r="19" spans="1:2" x14ac:dyDescent="0.25">
      <c r="A19" t="str" cm="1">
        <f t="array" ref="A19">INDEX(BankList,ROW()-10)</f>
        <v>Banca Sannita</v>
      </c>
      <c r="B19">
        <f>SUMIFS(D_Vol,D_Bank,A19,D_Month,SelMonth)</f>
        <v>17981.400000000001</v>
      </c>
    </row>
    <row r="20" spans="1:2" x14ac:dyDescent="0.25">
      <c r="A20" t="str" cm="1">
        <f t="array" ref="A20">INDEX(BankList,ROW()-10)</f>
        <v>Banca Ligure</v>
      </c>
      <c r="B20">
        <f>SUMIFS(D_Vol,D_Bank,A20,D_Month,SelMonth)</f>
        <v>19412</v>
      </c>
    </row>
    <row r="21" spans="1:2" x14ac:dyDescent="0.25">
      <c r="A21" t="str" cm="1">
        <f t="array" ref="A21">INDEX(BankList,ROW()-10)</f>
        <v>Banca Veneta</v>
      </c>
      <c r="B21">
        <f>SUMIFS(D_Vol,D_Bank,A21,D_Month,SelMonth)</f>
        <v>20672.400000000001</v>
      </c>
    </row>
    <row r="22" spans="1:2" x14ac:dyDescent="0.25">
      <c r="A22" t="str" cm="1">
        <f t="array" ref="A22">INDEX(BankList,ROW()-10)</f>
        <v>Banca Friulana</v>
      </c>
      <c r="B22">
        <f>SUMIFS(D_Vol,D_Bank,A22,D_Month,SelMonth)</f>
        <v>21924.5</v>
      </c>
    </row>
    <row r="23" spans="1:2" x14ac:dyDescent="0.25">
      <c r="A23" t="str" cm="1">
        <f t="array" ref="A23">INDEX(BankList,ROW()-10)</f>
        <v>Banca Umbra</v>
      </c>
      <c r="B23">
        <f>SUMIFS(D_Vol,D_Bank,A23,D_Month,SelMonth)</f>
        <v>23266.5</v>
      </c>
    </row>
    <row r="24" spans="1:2" x14ac:dyDescent="0.25">
      <c r="A24" t="str" cm="1">
        <f t="array" ref="A24">INDEX(BankList,ROW()-10)</f>
        <v>Banca Marchigiana</v>
      </c>
      <c r="B24">
        <f>SUMIFS(D_Vol,D_Bank,A24,D_Month,SelMonth)</f>
        <v>24657.8</v>
      </c>
    </row>
    <row r="25" spans="1:2" x14ac:dyDescent="0.25">
      <c r="A25" t="str" cm="1">
        <f t="array" ref="A25">INDEX(BankList,ROW()-10)</f>
        <v>Banca Lucana</v>
      </c>
      <c r="B25">
        <f>SUMIFS(D_Vol,D_Bank,A25,D_Month,SelMonth)</f>
        <v>25892.2</v>
      </c>
    </row>
    <row r="26" spans="1:2" x14ac:dyDescent="0.25">
      <c r="A26" t="str" cm="1">
        <f t="array" ref="A26">INDEX(BankList,ROW()-10)</f>
        <v>Banca Calabra</v>
      </c>
      <c r="B26">
        <f>SUMIFS(D_Vol,D_Bank,A26,D_Month,SelMonth)</f>
        <v>27252.399999999998</v>
      </c>
    </row>
    <row r="27" spans="1:2" x14ac:dyDescent="0.25">
      <c r="A27" t="str" cm="1">
        <f t="array" ref="A27">INDEX(BankList,ROW()-10)</f>
        <v>Banca Sicula</v>
      </c>
      <c r="B27">
        <f>SUMIFS(D_Vol,D_Bank,A27,D_Month,SelMonth)</f>
        <v>28525.599999999999</v>
      </c>
    </row>
    <row r="28" spans="1:2" x14ac:dyDescent="0.25">
      <c r="A28" t="str" cm="1">
        <f t="array" ref="A28">INDEX(BankList,ROW()-10)</f>
        <v>Banca Sarda</v>
      </c>
      <c r="B28">
        <f>SUMIFS(D_Vol,D_Bank,A28,D_Month,SelMonth)</f>
        <v>29778.7</v>
      </c>
    </row>
    <row r="29" spans="1:2" x14ac:dyDescent="0.25">
      <c r="A29" t="str" cm="1">
        <f t="array" ref="A29">INDEX(BankList,ROW()-10)</f>
        <v>Banca Romagnola</v>
      </c>
      <c r="B29">
        <f>SUMIFS(D_Vol,D_Bank,A29,D_Month,SelMonth)</f>
        <v>31096.1</v>
      </c>
    </row>
    <row r="30" spans="1:2" x14ac:dyDescent="0.25">
      <c r="A30" t="str" cm="1">
        <f t="array" ref="A30">INDEX(BankList,ROW()-10)</f>
        <v>Banca Città</v>
      </c>
      <c r="B30">
        <f>SUMIFS(D_Vol,D_Bank,A30,D_Month,SelMonth)</f>
        <v>32434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1BD78-E7EC-48C2-97F7-0BDA80483235}">
  <dimension ref="A2:B31"/>
  <sheetViews>
    <sheetView workbookViewId="0"/>
  </sheetViews>
  <sheetFormatPr defaultRowHeight="12.5" x14ac:dyDescent="0.25"/>
  <sheetData>
    <row r="2" spans="1:2" x14ac:dyDescent="0.25">
      <c r="A2" t="s">
        <v>236</v>
      </c>
      <c r="B2" cm="1">
        <f t="array" aca="1" ref="B2" ca="1">INDIRECT("Calc_Month!C"&amp;(Control!$B$3+1))</f>
        <v>10243.300000000001</v>
      </c>
    </row>
    <row r="3" spans="1:2" x14ac:dyDescent="0.25">
      <c r="A3" t="s">
        <v>237</v>
      </c>
      <c r="B3" cm="1">
        <f t="array" aca="1" ref="B3" ca="1">INDIRECT("'SLIDE Sintesi'!D5")</f>
        <v>10243.300000000001</v>
      </c>
    </row>
    <row r="4" spans="1:2" x14ac:dyDescent="0.25">
      <c r="A4" t="s">
        <v>238</v>
      </c>
      <c r="B4">
        <f ca="1">SUM(INDIRECT("Calc_BankMonth!B"&amp;(Control!$B$6+2)&amp;":AK"&amp;(Control!$B$6+2)))</f>
        <v>328300.70000000007</v>
      </c>
    </row>
    <row r="5" spans="1:2" x14ac:dyDescent="0.25">
      <c r="A5" t="s">
        <v>239</v>
      </c>
      <c r="B5">
        <f ca="1">OFFSET(Calc_BankMonth!$A$2,Control!$B$6,Control!$B$3)</f>
        <v>10243.300000000001</v>
      </c>
    </row>
    <row r="6" spans="1:2" x14ac:dyDescent="0.25">
      <c r="A6" t="s">
        <v>240</v>
      </c>
      <c r="B6">
        <f ca="1">SUM(OFFSET(Calc_Month!$C$1,Control!$B$3-2,0,3,1))</f>
        <v>30582.699999999997</v>
      </c>
    </row>
    <row r="7" spans="1:2" x14ac:dyDescent="0.25">
      <c r="A7" t="s">
        <v>241</v>
      </c>
      <c r="B7" cm="1">
        <f t="array" aca="1" ref="B7" ca="1">INDIRECT(ADDRESS(Control!$B$3+1,3,1,1,"Calc_Month"))</f>
        <v>10243.300000000001</v>
      </c>
    </row>
    <row r="8" spans="1:2" x14ac:dyDescent="0.25">
      <c r="A8" t="s">
        <v>242</v>
      </c>
      <c r="B8">
        <f>ROWS(Calc_Month!A2:A37)</f>
        <v>36</v>
      </c>
    </row>
    <row r="12" spans="1:2" x14ac:dyDescent="0.25">
      <c r="A12" t="str">
        <f>Banks!A2</f>
        <v>Banca Alpi</v>
      </c>
      <c r="B12" cm="1">
        <f t="array" aca="1" ref="B12" ca="1">INDEX(OFFSET(Calc_BankMonth!$B$3,0,0,20,36),ROW()-11,Control!$B$3)</f>
        <v>7595.8000000000011</v>
      </c>
    </row>
    <row r="13" spans="1:2" x14ac:dyDescent="0.25">
      <c r="A13" t="str">
        <f>Banks!A3</f>
        <v>Banca Adriatica</v>
      </c>
      <c r="B13" cm="1">
        <f t="array" aca="1" ref="B13" ca="1">INDEX(OFFSET(Calc_BankMonth!$B$3,0,0,20,36),ROW()-11,Control!$B$3)</f>
        <v>8954.2000000000007</v>
      </c>
    </row>
    <row r="14" spans="1:2" x14ac:dyDescent="0.25">
      <c r="A14" t="str">
        <f>Banks!A4</f>
        <v>Banca Tirrena</v>
      </c>
      <c r="B14" cm="1">
        <f t="array" aca="1" ref="B14" ca="1">INDEX(OFFSET(Calc_BankMonth!$B$3,0,0,20,36),ROW()-11,Control!$B$3)</f>
        <v>10243.300000000001</v>
      </c>
    </row>
    <row r="15" spans="1:2" x14ac:dyDescent="0.25">
      <c r="A15" t="str">
        <f>Banks!A5</f>
        <v>Banca Padana</v>
      </c>
      <c r="B15" cm="1">
        <f t="array" aca="1" ref="B15" ca="1">INDEX(OFFSET(Calc_BankMonth!$B$3,0,0,20,36),ROW()-11,Control!$B$3)</f>
        <v>11467.099999999999</v>
      </c>
    </row>
    <row r="16" spans="1:2" x14ac:dyDescent="0.25">
      <c r="A16" t="str">
        <f>Banks!A6</f>
        <v>Banca Etrusca</v>
      </c>
      <c r="B16" cm="1">
        <f t="array" aca="1" ref="B16" ca="1">INDEX(OFFSET(Calc_BankMonth!$B$3,0,0,20,36),ROW()-11,Control!$B$3)</f>
        <v>12839.400000000001</v>
      </c>
    </row>
    <row r="17" spans="1:2" x14ac:dyDescent="0.25">
      <c r="A17" t="str">
        <f>Banks!A7</f>
        <v>Banca Lariana</v>
      </c>
      <c r="B17" cm="1">
        <f t="array" aca="1" ref="B17" ca="1">INDEX(OFFSET(Calc_BankMonth!$B$3,0,0,20,36),ROW()-11,Control!$B$3)</f>
        <v>14148.099999999999</v>
      </c>
    </row>
    <row r="18" spans="1:2" x14ac:dyDescent="0.25">
      <c r="A18" t="str">
        <f>Banks!A8</f>
        <v>Banca Sabina</v>
      </c>
      <c r="B18" cm="1">
        <f t="array" aca="1" ref="B18" ca="1">INDEX(OFFSET(Calc_BankMonth!$B$3,0,0,20,36),ROW()-11,Control!$B$3)</f>
        <v>15403.7</v>
      </c>
    </row>
    <row r="19" spans="1:2" x14ac:dyDescent="0.25">
      <c r="A19" t="str">
        <f>Banks!A9</f>
        <v>Banca Irpina</v>
      </c>
      <c r="B19" cm="1">
        <f t="array" aca="1" ref="B19" ca="1">INDEX(OFFSET(Calc_BankMonth!$B$3,0,0,20,36),ROW()-11,Control!$B$3)</f>
        <v>16713.899999999998</v>
      </c>
    </row>
    <row r="20" spans="1:2" x14ac:dyDescent="0.25">
      <c r="A20" t="str">
        <f>Banks!A10</f>
        <v>Banca Sannita</v>
      </c>
      <c r="B20" cm="1">
        <f t="array" aca="1" ref="B20" ca="1">INDEX(OFFSET(Calc_BankMonth!$B$3,0,0,20,36),ROW()-11,Control!$B$3)</f>
        <v>17981.400000000001</v>
      </c>
    </row>
    <row r="21" spans="1:2" x14ac:dyDescent="0.25">
      <c r="A21" t="str">
        <f>Banks!A11</f>
        <v>Banca Ligure</v>
      </c>
      <c r="B21" cm="1">
        <f t="array" aca="1" ref="B21" ca="1">INDEX(OFFSET(Calc_BankMonth!$B$3,0,0,20,36),ROW()-11,Control!$B$3)</f>
        <v>19412</v>
      </c>
    </row>
    <row r="22" spans="1:2" x14ac:dyDescent="0.25">
      <c r="A22" t="str">
        <f>Banks!A12</f>
        <v>Banca Veneta</v>
      </c>
      <c r="B22" cm="1">
        <f t="array" aca="1" ref="B22" ca="1">INDEX(OFFSET(Calc_BankMonth!$B$3,0,0,20,36),ROW()-11,Control!$B$3)</f>
        <v>20672.400000000001</v>
      </c>
    </row>
    <row r="23" spans="1:2" x14ac:dyDescent="0.25">
      <c r="A23" t="str">
        <f>Banks!A13</f>
        <v>Banca Friulana</v>
      </c>
      <c r="B23" cm="1">
        <f t="array" aca="1" ref="B23" ca="1">INDEX(OFFSET(Calc_BankMonth!$B$3,0,0,20,36),ROW()-11,Control!$B$3)</f>
        <v>21924.5</v>
      </c>
    </row>
    <row r="24" spans="1:2" x14ac:dyDescent="0.25">
      <c r="A24" t="str">
        <f>Banks!A14</f>
        <v>Banca Umbra</v>
      </c>
      <c r="B24" cm="1">
        <f t="array" aca="1" ref="B24" ca="1">INDEX(OFFSET(Calc_BankMonth!$B$3,0,0,20,36),ROW()-11,Control!$B$3)</f>
        <v>23266.5</v>
      </c>
    </row>
    <row r="25" spans="1:2" x14ac:dyDescent="0.25">
      <c r="A25" t="str">
        <f>Banks!A15</f>
        <v>Banca Marchigiana</v>
      </c>
      <c r="B25" cm="1">
        <f t="array" aca="1" ref="B25" ca="1">INDEX(OFFSET(Calc_BankMonth!$B$3,0,0,20,36),ROW()-11,Control!$B$3)</f>
        <v>24657.8</v>
      </c>
    </row>
    <row r="26" spans="1:2" x14ac:dyDescent="0.25">
      <c r="A26" t="str">
        <f>Banks!A16</f>
        <v>Banca Lucana</v>
      </c>
      <c r="B26" cm="1">
        <f t="array" aca="1" ref="B26" ca="1">INDEX(OFFSET(Calc_BankMonth!$B$3,0,0,20,36),ROW()-11,Control!$B$3)</f>
        <v>25892.2</v>
      </c>
    </row>
    <row r="27" spans="1:2" x14ac:dyDescent="0.25">
      <c r="A27" t="str">
        <f>Banks!A17</f>
        <v>Banca Calabra</v>
      </c>
      <c r="B27" cm="1">
        <f t="array" aca="1" ref="B27" ca="1">INDEX(OFFSET(Calc_BankMonth!$B$3,0,0,20,36),ROW()-11,Control!$B$3)</f>
        <v>27252.399999999998</v>
      </c>
    </row>
    <row r="28" spans="1:2" x14ac:dyDescent="0.25">
      <c r="A28" t="str">
        <f>Banks!A18</f>
        <v>Banca Sicula</v>
      </c>
      <c r="B28" cm="1">
        <f t="array" aca="1" ref="B28" ca="1">INDEX(OFFSET(Calc_BankMonth!$B$3,0,0,20,36),ROW()-11,Control!$B$3)</f>
        <v>28525.599999999999</v>
      </c>
    </row>
    <row r="29" spans="1:2" x14ac:dyDescent="0.25">
      <c r="A29" t="str">
        <f>Banks!A19</f>
        <v>Banca Sarda</v>
      </c>
      <c r="B29" cm="1">
        <f t="array" aca="1" ref="B29" ca="1">INDEX(OFFSET(Calc_BankMonth!$B$3,0,0,20,36),ROW()-11,Control!$B$3)</f>
        <v>29778.7</v>
      </c>
    </row>
    <row r="30" spans="1:2" x14ac:dyDescent="0.25">
      <c r="A30" t="str">
        <f>Banks!A20</f>
        <v>Banca Romagnola</v>
      </c>
      <c r="B30" cm="1">
        <f t="array" aca="1" ref="B30" ca="1">INDEX(OFFSET(Calc_BankMonth!$B$3,0,0,20,36),ROW()-11,Control!$B$3)</f>
        <v>31096.1</v>
      </c>
    </row>
    <row r="31" spans="1:2" x14ac:dyDescent="0.25">
      <c r="A31" t="str">
        <f>Banks!A21</f>
        <v>Banca Città</v>
      </c>
      <c r="B31" cm="1">
        <f t="array" aca="1" ref="B31" ca="1">INDEX(OFFSET(Calc_BankMonth!$B$3,0,0,20,36),ROW()-11,Control!$B$3)</f>
        <v>32434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DD876-9AF0-418A-AED5-F1F5568EDFA0}">
  <dimension ref="A2:C39"/>
  <sheetViews>
    <sheetView workbookViewId="0"/>
  </sheetViews>
  <sheetFormatPr defaultRowHeight="12.5" x14ac:dyDescent="0.25"/>
  <sheetData>
    <row r="2" spans="1:3" x14ac:dyDescent="0.25">
      <c r="A2" t="s">
        <v>321</v>
      </c>
      <c r="B2">
        <f>[1]Summary!$B$2</f>
        <v>7.9128126251027192E-2</v>
      </c>
      <c r="C2">
        <f>_xlfn.XLOOKUP(Control!B2,[1]Compare!$A$2:$A$21,[1]Compare!$E$2:$E$21)</f>
        <v>751.10000000000036</v>
      </c>
    </row>
    <row r="3" spans="1:3" x14ac:dyDescent="0.25">
      <c r="A3" t="s">
        <v>286</v>
      </c>
      <c r="B3">
        <f>[1]Summary!$B$3</f>
        <v>1</v>
      </c>
    </row>
    <row r="4" spans="1:3" x14ac:dyDescent="0.25">
      <c r="A4" t="s">
        <v>322</v>
      </c>
      <c r="B4">
        <f>[1]Summary!$B$4</f>
        <v>20814.199999999997</v>
      </c>
    </row>
    <row r="5" spans="1:3" x14ac:dyDescent="0.25">
      <c r="A5" t="s">
        <v>323</v>
      </c>
      <c r="B5">
        <f>[1]Summary!$B$5</f>
        <v>16</v>
      </c>
    </row>
    <row r="6" spans="1:3" x14ac:dyDescent="0.25">
      <c r="A6" t="s">
        <v>324</v>
      </c>
      <c r="B6" t="str">
        <f>[1]Summary!$B$6</f>
        <v>36</v>
      </c>
    </row>
    <row r="7" spans="1:3" x14ac:dyDescent="0.25">
      <c r="A7" t="s">
        <v>325</v>
      </c>
      <c r="B7" t="str">
        <f>[1]Summary!$B$7</f>
        <v>08%</v>
      </c>
    </row>
    <row r="8" spans="1:3" x14ac:dyDescent="0.25">
      <c r="A8" t="s">
        <v>326</v>
      </c>
      <c r="B8">
        <f>[1]Summary!$B$8</f>
        <v>18972.245000000003</v>
      </c>
    </row>
    <row r="10" spans="1:3" x14ac:dyDescent="0.25">
      <c r="A10" t="s">
        <v>131</v>
      </c>
      <c r="B10">
        <f>[2]Summary!B2</f>
        <v>400259.10000000003</v>
      </c>
    </row>
    <row r="11" spans="1:3" x14ac:dyDescent="0.25">
      <c r="A11" t="s">
        <v>283</v>
      </c>
      <c r="B11">
        <f>[2]Summary!B3</f>
        <v>61692.7</v>
      </c>
    </row>
    <row r="12" spans="1:3" x14ac:dyDescent="0.25">
      <c r="A12" t="s">
        <v>284</v>
      </c>
      <c r="B12">
        <f>[2]Summary!B4</f>
        <v>20814.199999999997</v>
      </c>
    </row>
    <row r="13" spans="1:3" x14ac:dyDescent="0.25">
      <c r="A13" t="s">
        <v>285</v>
      </c>
      <c r="B13">
        <f>[2]Summary!B5</f>
        <v>6373.7999999999993</v>
      </c>
    </row>
    <row r="14" spans="1:3" x14ac:dyDescent="0.25">
      <c r="A14" t="s">
        <v>286</v>
      </c>
      <c r="B14">
        <f>[2]Summary!B6</f>
        <v>1</v>
      </c>
    </row>
    <row r="15" spans="1:3" x14ac:dyDescent="0.25">
      <c r="A15" t="s">
        <v>287</v>
      </c>
      <c r="B15" t="str">
        <f>[2]Summary!B7</f>
        <v>Centro</v>
      </c>
    </row>
    <row r="19" spans="1:3" x14ac:dyDescent="0.25">
      <c r="A19" t="s">
        <v>0</v>
      </c>
      <c r="B19" t="s">
        <v>281</v>
      </c>
      <c r="C19" t="s">
        <v>282</v>
      </c>
    </row>
    <row r="20" spans="1:3" x14ac:dyDescent="0.25">
      <c r="A20" t="str">
        <f>Calc_Bank!A2</f>
        <v>Banca Alpi</v>
      </c>
      <c r="B20">
        <f>VLOOKUP(A20,[1]Compare!$A$2:$H$21,3,FALSE)</f>
        <v>7400.4</v>
      </c>
      <c r="C20">
        <f>IFERROR(INDEX([1]Compare!$F$2:$F$21,MATCH(A20,[1]Compare!$A$2:$A$21,0)),0)</f>
        <v>2.6403978163342719E-2</v>
      </c>
    </row>
    <row r="21" spans="1:3" x14ac:dyDescent="0.25">
      <c r="A21" t="str">
        <f>Calc_Bank!A3</f>
        <v>Banca Adriatica</v>
      </c>
      <c r="B21">
        <f>VLOOKUP(A21,[1]Compare!$A$2:$H$21,3,FALSE)</f>
        <v>8472.5</v>
      </c>
      <c r="C21">
        <f>IFERROR(INDEX([1]Compare!$F$2:$F$21,MATCH(A21,[1]Compare!$A$2:$A$21,0)),0)</f>
        <v>5.6854529359693214E-2</v>
      </c>
    </row>
    <row r="22" spans="1:3" x14ac:dyDescent="0.25">
      <c r="A22" t="str">
        <f>Calc_Bank!A4</f>
        <v>Banca Tirrena</v>
      </c>
      <c r="B22">
        <f>VLOOKUP(A22,[1]Compare!$A$2:$H$21,3,FALSE)</f>
        <v>9492.2000000000007</v>
      </c>
      <c r="C22">
        <f>IFERROR(INDEX([1]Compare!$F$2:$F$21,MATCH(A22,[1]Compare!$A$2:$A$21,0)),0)</f>
        <v>7.9128126251027192E-2</v>
      </c>
    </row>
    <row r="23" spans="1:3" x14ac:dyDescent="0.25">
      <c r="A23" t="str">
        <f>Calc_Bank!A5</f>
        <v>Banca Padana</v>
      </c>
      <c r="B23">
        <f>VLOOKUP(A23,[1]Compare!$A$2:$H$21,3,FALSE)</f>
        <v>11045.1</v>
      </c>
      <c r="C23">
        <f>IFERROR(INDEX([1]Compare!$F$2:$F$21,MATCH(A23,[1]Compare!$A$2:$A$21,0)),0)</f>
        <v>3.820698771400876E-2</v>
      </c>
    </row>
    <row r="24" spans="1:3" x14ac:dyDescent="0.25">
      <c r="A24" t="str">
        <f>Calc_Bank!A6</f>
        <v>Banca Etrusca</v>
      </c>
      <c r="B24">
        <f>VLOOKUP(A24,[1]Compare!$A$2:$H$21,3,FALSE)</f>
        <v>12156.2</v>
      </c>
      <c r="C24">
        <f>IFERROR(INDEX([1]Compare!$F$2:$F$21,MATCH(A24,[1]Compare!$A$2:$A$21,0)),0)</f>
        <v>5.620177358055977E-2</v>
      </c>
    </row>
    <row r="25" spans="1:3" x14ac:dyDescent="0.25">
      <c r="A25" t="str">
        <f>Calc_Bank!A7</f>
        <v>Banca Lariana</v>
      </c>
      <c r="B25">
        <f>VLOOKUP(A25,[1]Compare!$A$2:$H$21,3,FALSE)</f>
        <v>13305.8</v>
      </c>
      <c r="C25">
        <f>IFERROR(INDEX([1]Compare!$F$2:$F$21,MATCH(A25,[1]Compare!$A$2:$A$21,0)),0)</f>
        <v>6.3303221151678163E-2</v>
      </c>
    </row>
    <row r="26" spans="1:3" x14ac:dyDescent="0.25">
      <c r="A26" t="str">
        <f>Calc_Bank!A8</f>
        <v>Banca Sabina</v>
      </c>
      <c r="B26">
        <f>VLOOKUP(A26,[1]Compare!$A$2:$H$21,3,FALSE)</f>
        <v>14723.6</v>
      </c>
      <c r="C26">
        <f>IFERROR(INDEX([1]Compare!$F$2:$F$21,MATCH(A26,[1]Compare!$A$2:$A$21,0)),0)</f>
        <v>4.6191148903800723E-2</v>
      </c>
    </row>
    <row r="27" spans="1:3" x14ac:dyDescent="0.25">
      <c r="A27" t="str">
        <f>Calc_Bank!A9</f>
        <v>Banca Irpina</v>
      </c>
      <c r="B27">
        <f>VLOOKUP(A27,[1]Compare!$A$2:$H$21,3,FALSE)</f>
        <v>15843.6</v>
      </c>
      <c r="C27">
        <f>IFERROR(INDEX([1]Compare!$F$2:$F$21,MATCH(A27,[1]Compare!$A$2:$A$21,0)),0)</f>
        <v>5.493069756873422E-2</v>
      </c>
    </row>
    <row r="28" spans="1:3" x14ac:dyDescent="0.25">
      <c r="A28" t="str">
        <f>Calc_Bank!A10</f>
        <v>Banca Sannita</v>
      </c>
      <c r="B28">
        <f>VLOOKUP(A28,[1]Compare!$A$2:$H$21,3,FALSE)</f>
        <v>17269.5</v>
      </c>
      <c r="C28">
        <f>IFERROR(INDEX([1]Compare!$F$2:$F$21,MATCH(A28,[1]Compare!$A$2:$A$21,0)),0)</f>
        <v>4.1222965343524792E-2</v>
      </c>
    </row>
    <row r="29" spans="1:3" x14ac:dyDescent="0.25">
      <c r="A29" t="str">
        <f>Calc_Bank!A11</f>
        <v>Banca Ligure</v>
      </c>
      <c r="B29">
        <f>VLOOKUP(A29,[1]Compare!$A$2:$H$21,3,FALSE)</f>
        <v>18254.8</v>
      </c>
      <c r="C29">
        <f>IFERROR(INDEX([1]Compare!$F$2:$F$21,MATCH(A29,[1]Compare!$A$2:$A$21,0)),0)</f>
        <v>6.33915463330193E-2</v>
      </c>
    </row>
    <row r="30" spans="1:3" x14ac:dyDescent="0.25">
      <c r="A30" t="str">
        <f>Calc_Bank!A12</f>
        <v>Banca Veneta</v>
      </c>
      <c r="B30">
        <f>VLOOKUP(A30,[1]Compare!$A$2:$H$21,3,FALSE)</f>
        <v>19587</v>
      </c>
      <c r="C30">
        <f>IFERROR(INDEX([1]Compare!$F$2:$F$21,MATCH(A30,[1]Compare!$A$2:$A$21,0)),0)</f>
        <v>5.5414305406647338E-2</v>
      </c>
    </row>
    <row r="31" spans="1:3" x14ac:dyDescent="0.25">
      <c r="A31" t="str">
        <f>Calc_Bank!A13</f>
        <v>Banca Friulana</v>
      </c>
      <c r="B31">
        <f>VLOOKUP(A31,[1]Compare!$A$2:$H$21,3,FALSE)</f>
        <v>20697.599999999999</v>
      </c>
      <c r="C31">
        <f>IFERROR(INDEX([1]Compare!$F$2:$F$21,MATCH(A31,[1]Compare!$A$2:$A$21,0)),0)</f>
        <v>5.9277404143475647E-2</v>
      </c>
    </row>
    <row r="32" spans="1:3" x14ac:dyDescent="0.25">
      <c r="A32" t="str">
        <f>Calc_Bank!A14</f>
        <v>Banca Umbra</v>
      </c>
      <c r="B32">
        <f>VLOOKUP(A32,[1]Compare!$A$2:$H$21,3,FALSE)</f>
        <v>22011.200000000001</v>
      </c>
      <c r="C32">
        <f>IFERROR(INDEX([1]Compare!$F$2:$F$21,MATCH(A32,[1]Compare!$A$2:$A$21,0)),0)</f>
        <v>5.7030057425310719E-2</v>
      </c>
    </row>
    <row r="33" spans="1:3" x14ac:dyDescent="0.25">
      <c r="A33" t="str">
        <f>Calc_Bank!A15</f>
        <v>Banca Marchigiana</v>
      </c>
      <c r="B33">
        <f>VLOOKUP(A33,[1]Compare!$A$2:$H$21,3,FALSE)</f>
        <v>23290.5</v>
      </c>
      <c r="C33">
        <f>IFERROR(INDEX([1]Compare!$F$2:$F$21,MATCH(A33,[1]Compare!$A$2:$A$21,0)),0)</f>
        <v>5.8706339494643704E-2</v>
      </c>
    </row>
    <row r="34" spans="1:3" x14ac:dyDescent="0.25">
      <c r="A34" t="str">
        <f>Calc_Bank!A16</f>
        <v>Banca Lucana</v>
      </c>
      <c r="B34">
        <f>VLOOKUP(A34,[1]Compare!$A$2:$H$21,3,FALSE)</f>
        <v>24520.3</v>
      </c>
      <c r="C34">
        <f>IFERROR(INDEX([1]Compare!$F$2:$F$21,MATCH(A34,[1]Compare!$A$2:$A$21,0)),0)</f>
        <v>5.5949560160356987E-2</v>
      </c>
    </row>
    <row r="35" spans="1:3" x14ac:dyDescent="0.25">
      <c r="A35" t="str">
        <f>Calc_Bank!A17</f>
        <v>Banca Calabra</v>
      </c>
      <c r="B35">
        <f>VLOOKUP(A35,[1]Compare!$A$2:$H$21,3,FALSE)</f>
        <v>25881</v>
      </c>
      <c r="C35">
        <f>IFERROR(INDEX([1]Compare!$F$2:$F$21,MATCH(A35,[1]Compare!$A$2:$A$21,0)),0)</f>
        <v>5.2988678953672493E-2</v>
      </c>
    </row>
    <row r="36" spans="1:3" x14ac:dyDescent="0.25">
      <c r="A36" t="str">
        <f>Calc_Bank!A18</f>
        <v>Banca Sicula</v>
      </c>
      <c r="B36">
        <f>VLOOKUP(A36,[1]Compare!$A$2:$H$21,3,FALSE)</f>
        <v>26813.4</v>
      </c>
      <c r="C36">
        <f>IFERROR(INDEX([1]Compare!$F$2:$F$21,MATCH(A36,[1]Compare!$A$2:$A$21,0)),0)</f>
        <v>6.3856131635674593E-2</v>
      </c>
    </row>
    <row r="37" spans="1:3" x14ac:dyDescent="0.25">
      <c r="A37" t="str">
        <f>Calc_Bank!A19</f>
        <v>Banca Sarda</v>
      </c>
      <c r="B37">
        <f>VLOOKUP(A37,[1]Compare!$A$2:$H$21,3,FALSE)</f>
        <v>28319.200000000001</v>
      </c>
      <c r="C37">
        <f>IFERROR(INDEX([1]Compare!$F$2:$F$21,MATCH(A37,[1]Compare!$A$2:$A$21,0)),0)</f>
        <v>5.153747280996638E-2</v>
      </c>
    </row>
    <row r="38" spans="1:3" x14ac:dyDescent="0.25">
      <c r="A38" t="str">
        <f>Calc_Bank!A20</f>
        <v>Banca Romagnola</v>
      </c>
      <c r="B38">
        <f>VLOOKUP(A38,[1]Compare!$A$2:$H$21,3,FALSE)</f>
        <v>29563.8</v>
      </c>
      <c r="C38">
        <f>IFERROR(INDEX([1]Compare!$F$2:$F$21,MATCH(A38,[1]Compare!$A$2:$A$21,0)),0)</f>
        <v>5.1830278922195362E-2</v>
      </c>
    </row>
    <row r="39" spans="1:3" x14ac:dyDescent="0.25">
      <c r="A39" t="str">
        <f>Calc_Bank!A21</f>
        <v>Banca Città</v>
      </c>
      <c r="B39">
        <f>VLOOKUP(A39,[1]Compare!$A$2:$H$21,3,FALSE)</f>
        <v>30797.200000000001</v>
      </c>
      <c r="C39">
        <f>IFERROR(INDEX([1]Compare!$F$2:$F$21,MATCH(A39,[1]Compare!$A$2:$A$21,0)),0)</f>
        <v>5.3147688750925383E-2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2141-AD7A-454C-9900-413BAD825AAC}">
  <dimension ref="A1:K21"/>
  <sheetViews>
    <sheetView workbookViewId="0"/>
  </sheetViews>
  <sheetFormatPr defaultRowHeight="12.5" x14ac:dyDescent="0.25"/>
  <sheetData>
    <row r="1" spans="1:11" x14ac:dyDescent="0.25">
      <c r="A1" t="s">
        <v>0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248</v>
      </c>
      <c r="H1" t="s">
        <v>249</v>
      </c>
      <c r="I1" t="s">
        <v>250</v>
      </c>
      <c r="J1" t="s">
        <v>251</v>
      </c>
      <c r="K1" t="s">
        <v>252</v>
      </c>
    </row>
    <row r="2" spans="1:11" x14ac:dyDescent="0.25">
      <c r="A2" t="str">
        <f>Calc_Bank!A2</f>
        <v>Banca Alpi</v>
      </c>
      <c r="B2">
        <f>Calc_Bank!C2*Control!$B$15</f>
        <v>8243.7217400000009</v>
      </c>
      <c r="C2">
        <f>B2+Calc_Scenario!AL3/100</f>
        <v>8333.8031132578508</v>
      </c>
      <c r="D2">
        <f>C2*(1+Calc_Growth!AM3)</f>
        <v>8392.9589645831184</v>
      </c>
      <c r="E2">
        <f>D2-_xlfn.XLOOKUP(Calc_Bank!B2,Calc_Region!$A$2:$A$6,Calc_Region!$F$2:$F$6)*0.01</f>
        <v>8261.4014645831176</v>
      </c>
      <c r="F2">
        <f>E2+Calc_Stats!$I$2*0.001</f>
        <v>8281.4436645831174</v>
      </c>
      <c r="G2">
        <f t="shared" ref="G2:G21" si="0">ROUND(F2,2)</f>
        <v>8281.44</v>
      </c>
      <c r="H2">
        <f>G2/MAX(1,Calc_Month!$C$2)*1000</f>
        <v>1033.6166548096005</v>
      </c>
      <c r="I2" s="1">
        <f>H2+Calc_Dates!$J$2</f>
        <v>1064.6166548096005</v>
      </c>
      <c r="J2" t="str">
        <f t="shared" ref="J2:J21" si="1">IF(I2&gt;AVERAGE($I$2:$I$21),"alto","basso")</f>
        <v>basso</v>
      </c>
      <c r="K2">
        <f t="shared" ref="K2:K21" si="2">RANK(I2,$I$2:$I$21)</f>
        <v>20</v>
      </c>
    </row>
    <row r="3" spans="1:11" x14ac:dyDescent="0.25">
      <c r="A3" t="str">
        <f>Calc_Bank!A3</f>
        <v>Banca Adriatica</v>
      </c>
      <c r="B3">
        <f>Calc_Bank!C3*Control!$B$15</f>
        <v>9717.9932599999993</v>
      </c>
      <c r="C3">
        <f>B3+Calc_Scenario!AL4/100</f>
        <v>9824.1843962101993</v>
      </c>
      <c r="D3">
        <f>C3*(1+Calc_Growth!AM4)</f>
        <v>9894.6737188974621</v>
      </c>
      <c r="E3">
        <f>D3-_xlfn.XLOOKUP(Calc_Bank!B3,Calc_Region!$A$2:$A$6,Calc_Region!$F$2:$F$6)*0.01</f>
        <v>9688.0557188974617</v>
      </c>
      <c r="F3">
        <f>E3+Calc_Stats!$I$2*0.001</f>
        <v>9708.0979188974616</v>
      </c>
      <c r="G3">
        <f t="shared" si="0"/>
        <v>9708.1</v>
      </c>
      <c r="H3">
        <f>G3/MAX(1,Calc_Month!$C$2)*1000</f>
        <v>1211.6798342506959</v>
      </c>
      <c r="I3" s="1">
        <f>H3+Calc_Dates!$J$2</f>
        <v>1242.6798342506959</v>
      </c>
      <c r="J3" t="str">
        <f t="shared" si="1"/>
        <v>basso</v>
      </c>
      <c r="K3">
        <f t="shared" si="2"/>
        <v>19</v>
      </c>
    </row>
    <row r="4" spans="1:11" x14ac:dyDescent="0.25">
      <c r="A4" t="str">
        <f>Calc_Bank!A4</f>
        <v>Banca Tirrena</v>
      </c>
      <c r="B4">
        <f>Calc_Bank!C4*Control!$B$15</f>
        <v>11117.05349</v>
      </c>
      <c r="C4">
        <f>B4+Calc_Scenario!AL5/100</f>
        <v>11238.532535089673</v>
      </c>
      <c r="D4">
        <f>C4*(1+Calc_Growth!AM5)</f>
        <v>11317.862791727546</v>
      </c>
      <c r="E4">
        <f>D4-_xlfn.XLOOKUP(Calc_Bank!B4,Calc_Region!$A$2:$A$6,Calc_Region!$F$2:$F$6)*0.01</f>
        <v>11119.788291727546</v>
      </c>
      <c r="F4">
        <f>E4+Calc_Stats!$I$2*0.001</f>
        <v>11139.830491727545</v>
      </c>
      <c r="G4">
        <f t="shared" si="0"/>
        <v>11139.83</v>
      </c>
      <c r="H4">
        <f>G4/MAX(1,Calc_Month!$C$2)*1000</f>
        <v>1390.3758065925288</v>
      </c>
      <c r="I4" s="1">
        <f>H4+Calc_Dates!$J$2</f>
        <v>1421.3758065925288</v>
      </c>
      <c r="J4" t="str">
        <f t="shared" si="1"/>
        <v>basso</v>
      </c>
      <c r="K4">
        <f t="shared" si="2"/>
        <v>18</v>
      </c>
    </row>
    <row r="5" spans="1:11" x14ac:dyDescent="0.25">
      <c r="A5" t="str">
        <f>Calc_Bank!A5</f>
        <v>Banca Padana</v>
      </c>
      <c r="B5">
        <f>Calc_Bank!C5*Control!$B$15</f>
        <v>12445.243629999997</v>
      </c>
      <c r="C5">
        <f>B5+Calc_Scenario!AL6/100</f>
        <v>12581.236167360787</v>
      </c>
      <c r="D5">
        <f>C5*(1+Calc_Growth!AM6)</f>
        <v>12667.94859871729</v>
      </c>
      <c r="E5">
        <f>D5-_xlfn.XLOOKUP(Calc_Bank!B5,Calc_Region!$A$2:$A$6,Calc_Region!$F$2:$F$6)*0.01</f>
        <v>12536.391098717289</v>
      </c>
      <c r="F5">
        <f>E5+Calc_Stats!$I$2*0.001</f>
        <v>12556.433298717289</v>
      </c>
      <c r="G5">
        <f t="shared" si="0"/>
        <v>12556.43</v>
      </c>
      <c r="H5">
        <f>G5/MAX(1,Calc_Month!$C$2)*1000</f>
        <v>1567.1833851299907</v>
      </c>
      <c r="I5" s="1">
        <f>H5+Calc_Dates!$J$2</f>
        <v>1598.1833851299907</v>
      </c>
      <c r="J5" t="str">
        <f t="shared" si="1"/>
        <v>basso</v>
      </c>
      <c r="K5">
        <f t="shared" si="2"/>
        <v>17</v>
      </c>
    </row>
    <row r="6" spans="1:11" x14ac:dyDescent="0.25">
      <c r="A6" t="str">
        <f>Calc_Bank!A6</f>
        <v>Banca Etrusca</v>
      </c>
      <c r="B6">
        <f>Calc_Bank!C6*Control!$B$15</f>
        <v>13934.600820000001</v>
      </c>
      <c r="C6">
        <f>B6+Calc_Scenario!AL7/100</f>
        <v>14086.867965502362</v>
      </c>
      <c r="D6">
        <f>C6*(1+Calc_Growth!AM7)</f>
        <v>14189.144965596441</v>
      </c>
      <c r="E6">
        <f>D6-_xlfn.XLOOKUP(Calc_Bank!B6,Calc_Region!$A$2:$A$6,Calc_Region!$F$2:$F$6)*0.01</f>
        <v>13991.07046559644</v>
      </c>
      <c r="F6">
        <f>E6+Calc_Stats!$I$2*0.001</f>
        <v>14011.11266559644</v>
      </c>
      <c r="G6">
        <f t="shared" si="0"/>
        <v>14011.11</v>
      </c>
      <c r="H6">
        <f>G6/MAX(1,Calc_Month!$C$2)*1000</f>
        <v>1748.7437750402516</v>
      </c>
      <c r="I6" s="1">
        <f>H6+Calc_Dates!$J$2</f>
        <v>1779.7437750402516</v>
      </c>
      <c r="J6" t="str">
        <f t="shared" si="1"/>
        <v>basso</v>
      </c>
      <c r="K6">
        <f t="shared" si="2"/>
        <v>16</v>
      </c>
    </row>
    <row r="7" spans="1:11" x14ac:dyDescent="0.25">
      <c r="A7" t="str">
        <f>Calc_Bank!A7</f>
        <v>Banca Lariana</v>
      </c>
      <c r="B7">
        <f>Calc_Bank!C7*Control!$B$15</f>
        <v>15354.932929999997</v>
      </c>
      <c r="C7">
        <f>B7+Calc_Scenario!AL8/100</f>
        <v>15522.720427957998</v>
      </c>
      <c r="D7">
        <f>C7*(1+Calc_Growth!AM8)</f>
        <v>15630.170949612213</v>
      </c>
      <c r="E7">
        <f>D7-_xlfn.XLOOKUP(Calc_Bank!B7,Calc_Region!$A$2:$A$6,Calc_Region!$F$2:$F$6)*0.01</f>
        <v>15498.613449612212</v>
      </c>
      <c r="F7">
        <f>E7+Calc_Stats!$I$2*0.001</f>
        <v>15518.655649612212</v>
      </c>
      <c r="G7">
        <f t="shared" si="0"/>
        <v>15518.66</v>
      </c>
      <c r="H7">
        <f>G7/MAX(1,Calc_Month!$C$2)*1000</f>
        <v>1936.9029343118532</v>
      </c>
      <c r="I7" s="1">
        <f>H7+Calc_Dates!$J$2</f>
        <v>1967.9029343118532</v>
      </c>
      <c r="J7" t="str">
        <f t="shared" si="1"/>
        <v>basso</v>
      </c>
      <c r="K7">
        <f t="shared" si="2"/>
        <v>15</v>
      </c>
    </row>
    <row r="8" spans="1:11" x14ac:dyDescent="0.25">
      <c r="A8" t="str">
        <f>Calc_Bank!A8</f>
        <v>Banca Sabina</v>
      </c>
      <c r="B8">
        <f>Calc_Bank!C8*Control!$B$15</f>
        <v>16717.635610000001</v>
      </c>
      <c r="C8">
        <f>B8+Calc_Scenario!AL9/100</f>
        <v>16900.313728072088</v>
      </c>
      <c r="D8">
        <f>C8*(1+Calc_Growth!AM9)</f>
        <v>17020.24423414464</v>
      </c>
      <c r="E8">
        <f>D8-_xlfn.XLOOKUP(Calc_Bank!B8,Calc_Region!$A$2:$A$6,Calc_Region!$F$2:$F$6)*0.01</f>
        <v>16822.169734144642</v>
      </c>
      <c r="F8">
        <f>E8+Calc_Stats!$I$2*0.001</f>
        <v>16842.211934144641</v>
      </c>
      <c r="G8">
        <f t="shared" si="0"/>
        <v>16842.21</v>
      </c>
      <c r="H8">
        <f>G8/MAX(1,Calc_Month!$C$2)*1000</f>
        <v>2102.0968285468225</v>
      </c>
      <c r="I8" s="1">
        <f>H8+Calc_Dates!$J$2</f>
        <v>2133.0968285468225</v>
      </c>
      <c r="J8" t="str">
        <f t="shared" si="1"/>
        <v>basso</v>
      </c>
      <c r="K8">
        <f t="shared" si="2"/>
        <v>14</v>
      </c>
    </row>
    <row r="9" spans="1:11" x14ac:dyDescent="0.25">
      <c r="A9" t="str">
        <f>Calc_Bank!A9</f>
        <v>Banca Irpina</v>
      </c>
      <c r="B9">
        <f>Calc_Bank!C9*Control!$B$15</f>
        <v>18139.595669999995</v>
      </c>
      <c r="C9">
        <f>B9+Calc_Scenario!AL10/100</f>
        <v>18337.811929576917</v>
      </c>
      <c r="D9">
        <f>C9*(1+Calc_Growth!AM10)</f>
        <v>18462.593235776592</v>
      </c>
      <c r="E9">
        <f>D9-_xlfn.XLOOKUP(Calc_Bank!B9,Calc_Region!$A$2:$A$6,Calc_Region!$F$2:$F$6)*0.01</f>
        <v>18242.993485776591</v>
      </c>
      <c r="F9">
        <f>E9+Calc_Stats!$I$2*0.001</f>
        <v>18263.035685776591</v>
      </c>
      <c r="G9">
        <f t="shared" si="0"/>
        <v>18263.04</v>
      </c>
      <c r="H9">
        <f>G9/MAX(1,Calc_Month!$C$2)*1000</f>
        <v>2279.4323585576817</v>
      </c>
      <c r="I9" s="1">
        <f>H9+Calc_Dates!$J$2</f>
        <v>2310.4323585576817</v>
      </c>
      <c r="J9" t="str">
        <f t="shared" si="1"/>
        <v>basso</v>
      </c>
      <c r="K9">
        <f t="shared" si="2"/>
        <v>13</v>
      </c>
    </row>
    <row r="10" spans="1:11" x14ac:dyDescent="0.25">
      <c r="A10" t="str">
        <f>Calc_Bank!A10</f>
        <v>Banca Sannita</v>
      </c>
      <c r="B10">
        <f>Calc_Bank!C10*Control!$B$15</f>
        <v>19515.21342</v>
      </c>
      <c r="C10">
        <f>B10+Calc_Scenario!AL11/100</f>
        <v>19728.461426147962</v>
      </c>
      <c r="D10">
        <f>C10*(1+Calc_Growth!AM11)</f>
        <v>19865.161427116269</v>
      </c>
      <c r="E10">
        <f>D10-_xlfn.XLOOKUP(Calc_Bank!B10,Calc_Region!$A$2:$A$6,Calc_Region!$F$2:$F$6)*0.01</f>
        <v>19645.561677116268</v>
      </c>
      <c r="F10">
        <f>E10+Calc_Stats!$I$2*0.001</f>
        <v>19665.603877116268</v>
      </c>
      <c r="G10">
        <f t="shared" si="0"/>
        <v>19665.599999999999</v>
      </c>
      <c r="H10">
        <f>G10/MAX(1,Calc_Month!$C$2)*1000</f>
        <v>2454.4875875238699</v>
      </c>
      <c r="I10" s="1">
        <f>H10+Calc_Dates!$J$2</f>
        <v>2485.4875875238699</v>
      </c>
      <c r="J10" t="str">
        <f t="shared" si="1"/>
        <v>basso</v>
      </c>
      <c r="K10">
        <f t="shared" si="2"/>
        <v>12</v>
      </c>
    </row>
    <row r="11" spans="1:11" x14ac:dyDescent="0.25">
      <c r="A11" t="str">
        <f>Calc_Bank!A11</f>
        <v>Banca Ligure</v>
      </c>
      <c r="B11">
        <f>Calc_Bank!C11*Control!$B$15</f>
        <v>21067.8436</v>
      </c>
      <c r="C11">
        <f>B11+Calc_Scenario!AL12/100</f>
        <v>21298.057615334972</v>
      </c>
      <c r="D11">
        <f>C11*(1+Calc_Growth!AM12)</f>
        <v>21448.619740713257</v>
      </c>
      <c r="E11">
        <f>D11-_xlfn.XLOOKUP(Calc_Bank!B11,Calc_Region!$A$2:$A$6,Calc_Region!$F$2:$F$6)*0.01</f>
        <v>21317.062240713258</v>
      </c>
      <c r="F11">
        <f>E11+Calc_Stats!$I$2*0.001</f>
        <v>21337.104440713258</v>
      </c>
      <c r="G11">
        <f t="shared" si="0"/>
        <v>21337.1</v>
      </c>
      <c r="H11">
        <f>G11/MAX(1,Calc_Month!$C$2)*1000</f>
        <v>2663.109546810449</v>
      </c>
      <c r="I11" s="1">
        <f>H11+Calc_Dates!$J$2</f>
        <v>2694.109546810449</v>
      </c>
      <c r="J11" t="str">
        <f t="shared" si="1"/>
        <v>basso</v>
      </c>
      <c r="K11">
        <f t="shared" si="2"/>
        <v>11</v>
      </c>
    </row>
    <row r="12" spans="1:11" x14ac:dyDescent="0.25">
      <c r="A12" t="str">
        <f>Calc_Bank!A12</f>
        <v>Banca Veneta</v>
      </c>
      <c r="B12">
        <f>Calc_Bank!C12*Control!$B$15</f>
        <v>22435.755720000001</v>
      </c>
      <c r="C12">
        <f>B12+Calc_Scenario!AL13/100</f>
        <v>22680.917280406487</v>
      </c>
      <c r="D12">
        <f>C12*(1+Calc_Growth!AM13)</f>
        <v>22838.545065341004</v>
      </c>
      <c r="E12">
        <f>D12-_xlfn.XLOOKUP(Calc_Bank!B12,Calc_Region!$A$2:$A$6,Calc_Region!$F$2:$F$6)*0.01</f>
        <v>22631.927065341006</v>
      </c>
      <c r="F12">
        <f>E12+Calc_Stats!$I$2*0.001</f>
        <v>22651.969265341006</v>
      </c>
      <c r="G12">
        <f t="shared" si="0"/>
        <v>22651.97</v>
      </c>
      <c r="H12">
        <f>G12/MAX(1,Calc_Month!$C$2)*1000</f>
        <v>2827.2200796295601</v>
      </c>
      <c r="I12" s="1">
        <f>H12+Calc_Dates!$J$2</f>
        <v>2858.2200796295601</v>
      </c>
      <c r="J12" t="str">
        <f t="shared" si="1"/>
        <v>alto</v>
      </c>
      <c r="K12">
        <f t="shared" si="2"/>
        <v>10</v>
      </c>
    </row>
    <row r="13" spans="1:11" x14ac:dyDescent="0.25">
      <c r="A13" t="str">
        <f>Calc_Bank!A13</f>
        <v>Banca Friulana</v>
      </c>
      <c r="B13">
        <f>Calc_Bank!C13*Control!$B$15</f>
        <v>23794.65985</v>
      </c>
      <c r="C13">
        <f>B13+Calc_Scenario!AL14/100</f>
        <v>24054.67052273911</v>
      </c>
      <c r="D13">
        <f>C13*(1+Calc_Growth!AM14)</f>
        <v>24221.018119012631</v>
      </c>
      <c r="E13">
        <f>D13-_xlfn.XLOOKUP(Calc_Bank!B13,Calc_Region!$A$2:$A$6,Calc_Region!$F$2:$F$6)*0.01</f>
        <v>24014.400119012633</v>
      </c>
      <c r="F13">
        <f>E13+Calc_Stats!$I$2*0.001</f>
        <v>24034.442319012633</v>
      </c>
      <c r="G13">
        <f t="shared" si="0"/>
        <v>24034.44</v>
      </c>
      <c r="H13">
        <f>G13/MAX(1,Calc_Month!$C$2)*1000</f>
        <v>2999.7678511251729</v>
      </c>
      <c r="I13" s="1">
        <f>H13+Calc_Dates!$J$2</f>
        <v>3030.7678511251729</v>
      </c>
      <c r="J13" t="str">
        <f t="shared" si="1"/>
        <v>alto</v>
      </c>
      <c r="K13">
        <f t="shared" si="2"/>
        <v>9</v>
      </c>
    </row>
    <row r="14" spans="1:11" x14ac:dyDescent="0.25">
      <c r="A14" t="str">
        <f>Calc_Bank!A14</f>
        <v>Banca Umbra</v>
      </c>
      <c r="B14">
        <f>Calc_Bank!C14*Control!$B$15</f>
        <v>25251.132449999997</v>
      </c>
      <c r="C14">
        <f>B14+Calc_Scenario!AL15/100</f>
        <v>25527.05839208691</v>
      </c>
      <c r="D14">
        <f>C14*(1+Calc_Growth!AM15)</f>
        <v>25704.932037295348</v>
      </c>
      <c r="E14">
        <f>D14-_xlfn.XLOOKUP(Calc_Bank!B14,Calc_Region!$A$2:$A$6,Calc_Region!$F$2:$F$6)*0.01</f>
        <v>25506.857537295349</v>
      </c>
      <c r="F14">
        <f>E14+Calc_Stats!$I$2*0.001</f>
        <v>25526.899737295349</v>
      </c>
      <c r="G14">
        <f t="shared" si="0"/>
        <v>25526.9</v>
      </c>
      <c r="H14">
        <f>G14/MAX(1,Calc_Month!$C$2)*1000</f>
        <v>3186.043609041325</v>
      </c>
      <c r="I14" s="1">
        <f>H14+Calc_Dates!$J$2</f>
        <v>3217.043609041325</v>
      </c>
      <c r="J14" t="str">
        <f t="shared" si="1"/>
        <v>alto</v>
      </c>
      <c r="K14">
        <f t="shared" si="2"/>
        <v>8</v>
      </c>
    </row>
    <row r="15" spans="1:11" x14ac:dyDescent="0.25">
      <c r="A15" t="str">
        <f>Calc_Bank!A15</f>
        <v>Banca Marchigiana</v>
      </c>
      <c r="B15">
        <f>Calc_Bank!C15*Control!$B$15</f>
        <v>26761.110339999999</v>
      </c>
      <c r="C15">
        <f>B15+Calc_Scenario!AL16/100</f>
        <v>27053.53621818497</v>
      </c>
      <c r="D15">
        <f>C15*(1+Calc_Growth!AM16)</f>
        <v>27245.35977951391</v>
      </c>
      <c r="E15">
        <f>D15-_xlfn.XLOOKUP(Calc_Bank!B15,Calc_Region!$A$2:$A$6,Calc_Region!$F$2:$F$6)*0.01</f>
        <v>27047.285279513912</v>
      </c>
      <c r="F15">
        <f>E15+Calc_Stats!$I$2*0.001</f>
        <v>27067.327479513911</v>
      </c>
      <c r="G15">
        <f t="shared" si="0"/>
        <v>27067.33</v>
      </c>
      <c r="H15">
        <f>G15/MAX(1,Calc_Month!$C$2)*1000</f>
        <v>3378.3065613259946</v>
      </c>
      <c r="I15" s="1">
        <f>H15+Calc_Dates!$J$2</f>
        <v>3409.3065613259946</v>
      </c>
      <c r="J15" t="str">
        <f t="shared" si="1"/>
        <v>alto</v>
      </c>
      <c r="K15">
        <f t="shared" si="2"/>
        <v>7</v>
      </c>
    </row>
    <row r="16" spans="1:11" x14ac:dyDescent="0.25">
      <c r="A16" t="str">
        <f>Calc_Bank!A16</f>
        <v>Banca Lucana</v>
      </c>
      <c r="B16">
        <f>Calc_Bank!C16*Control!$B$15</f>
        <v>28100.804659999998</v>
      </c>
      <c r="C16">
        <f>B16+Calc_Scenario!AL17/100</f>
        <v>28407.869739737078</v>
      </c>
      <c r="D16">
        <f>C16*(1+Calc_Growth!AM17)</f>
        <v>28606.364751722314</v>
      </c>
      <c r="E16">
        <f>D16-_xlfn.XLOOKUP(Calc_Bank!B16,Calc_Region!$A$2:$A$6,Calc_Region!$F$2:$F$6)*0.01</f>
        <v>28386.765001722313</v>
      </c>
      <c r="F16">
        <f>E16+Calc_Stats!$I$2*0.001</f>
        <v>28406.807201722313</v>
      </c>
      <c r="G16">
        <f t="shared" si="0"/>
        <v>28406.81</v>
      </c>
      <c r="H16">
        <f>G16/MAX(1,Calc_Month!$C$2)*1000</f>
        <v>3545.488698343755</v>
      </c>
      <c r="I16" s="1">
        <f>H16+Calc_Dates!$J$2</f>
        <v>3576.488698343755</v>
      </c>
      <c r="J16" t="str">
        <f t="shared" si="1"/>
        <v>alto</v>
      </c>
      <c r="K16">
        <f t="shared" si="2"/>
        <v>6</v>
      </c>
    </row>
    <row r="17" spans="1:11" x14ac:dyDescent="0.25">
      <c r="A17" t="str">
        <f>Calc_Bank!A17</f>
        <v>Banca Calabra</v>
      </c>
      <c r="B17">
        <f>Calc_Bank!C17*Control!$B$15</f>
        <v>29577.029719999995</v>
      </c>
      <c r="C17">
        <f>B17+Calc_Scenario!AL18/100</f>
        <v>29900.225909548459</v>
      </c>
      <c r="D17">
        <f>C17*(1+Calc_Growth!AM18)</f>
        <v>30111.570234729363</v>
      </c>
      <c r="E17">
        <f>D17-_xlfn.XLOOKUP(Calc_Bank!B17,Calc_Region!$A$2:$A$6,Calc_Region!$F$2:$F$6)*0.01</f>
        <v>29891.970484729361</v>
      </c>
      <c r="F17">
        <f>E17+Calc_Stats!$I$2*0.001</f>
        <v>29912.012684729361</v>
      </c>
      <c r="G17">
        <f t="shared" si="0"/>
        <v>29912.01</v>
      </c>
      <c r="H17">
        <f>G17/MAX(1,Calc_Month!$C$2)*1000</f>
        <v>3733.354551241247</v>
      </c>
      <c r="I17" s="1">
        <f>H17+Calc_Dates!$J$2</f>
        <v>3764.354551241247</v>
      </c>
      <c r="J17" t="str">
        <f t="shared" si="1"/>
        <v>alto</v>
      </c>
      <c r="K17">
        <f t="shared" si="2"/>
        <v>5</v>
      </c>
    </row>
    <row r="18" spans="1:11" x14ac:dyDescent="0.25">
      <c r="A18" t="str">
        <f>Calc_Bank!A18</f>
        <v>Banca Sicula</v>
      </c>
      <c r="B18">
        <f>Calc_Bank!C18*Control!$B$15</f>
        <v>30958.833679999996</v>
      </c>
      <c r="C18">
        <f>B18+Calc_Scenario!AL19/100</f>
        <v>31297.129214506451</v>
      </c>
      <c r="D18">
        <f>C18*(1+Calc_Growth!AM19)</f>
        <v>31516.092734817037</v>
      </c>
      <c r="E18">
        <f>D18-_xlfn.XLOOKUP(Calc_Bank!B18,Calc_Region!$A$2:$A$6,Calc_Region!$F$2:$F$6)*0.01</f>
        <v>31224.571234817038</v>
      </c>
      <c r="F18">
        <f>E18+Calc_Stats!$I$2*0.001</f>
        <v>31244.613434817038</v>
      </c>
      <c r="G18">
        <f t="shared" si="0"/>
        <v>31244.61</v>
      </c>
      <c r="H18">
        <f>G18/MAX(1,Calc_Month!$C$2)*1000</f>
        <v>3899.6779870445948</v>
      </c>
      <c r="I18" s="1">
        <f>H18+Calc_Dates!$J$2</f>
        <v>3930.6779870445948</v>
      </c>
      <c r="J18" t="str">
        <f t="shared" si="1"/>
        <v>alto</v>
      </c>
      <c r="K18">
        <f t="shared" si="2"/>
        <v>4</v>
      </c>
    </row>
    <row r="19" spans="1:11" x14ac:dyDescent="0.25">
      <c r="A19" t="str">
        <f>Calc_Bank!A19</f>
        <v>Banca Sarda</v>
      </c>
      <c r="B19">
        <f>Calc_Bank!C19*Control!$B$15</f>
        <v>32318.823109999998</v>
      </c>
      <c r="C19">
        <f>B19+Calc_Scenario!AL20/100</f>
        <v>32671.979616205208</v>
      </c>
      <c r="D19">
        <f>C19*(1+Calc_Growth!AM20)</f>
        <v>32898.306330179745</v>
      </c>
      <c r="E19">
        <f>D19-_xlfn.XLOOKUP(Calc_Bank!B19,Calc_Region!$A$2:$A$6,Calc_Region!$F$2:$F$6)*0.01</f>
        <v>32606.784830179746</v>
      </c>
      <c r="F19">
        <f>E19+Calc_Stats!$I$2*0.001</f>
        <v>32626.827030179746</v>
      </c>
      <c r="G19">
        <f t="shared" si="0"/>
        <v>32626.83</v>
      </c>
      <c r="H19">
        <f>G19/MAX(1,Calc_Month!$C$2)*1000</f>
        <v>4072.194555734452</v>
      </c>
      <c r="I19" s="1">
        <f>H19+Calc_Dates!$J$2</f>
        <v>4103.1945557344516</v>
      </c>
      <c r="J19" t="str">
        <f t="shared" si="1"/>
        <v>alto</v>
      </c>
      <c r="K19">
        <f t="shared" si="2"/>
        <v>3</v>
      </c>
    </row>
    <row r="20" spans="1:11" x14ac:dyDescent="0.25">
      <c r="A20" t="str">
        <f>Calc_Bank!A20</f>
        <v>Banca Romagnola</v>
      </c>
      <c r="B20">
        <f>Calc_Bank!C20*Control!$B$15</f>
        <v>33748.597329999997</v>
      </c>
      <c r="C20">
        <f>B20+Calc_Scenario!AL21/100</f>
        <v>34117.377365146189</v>
      </c>
      <c r="D20">
        <f>C20*(1+Calc_Growth!AM21)</f>
        <v>34358.634370090782</v>
      </c>
      <c r="E20">
        <f>D20-_xlfn.XLOOKUP(Calc_Bank!B20,Calc_Region!$A$2:$A$6,Calc_Region!$F$2:$F$6)*0.01</f>
        <v>34152.01637009078</v>
      </c>
      <c r="F20">
        <f>E20+Calc_Stats!$I$2*0.001</f>
        <v>34172.058570090783</v>
      </c>
      <c r="G20">
        <f t="shared" si="0"/>
        <v>34172.06</v>
      </c>
      <c r="H20">
        <f>G20/MAX(1,Calc_Month!$C$2)*1000</f>
        <v>4265.0566018896416</v>
      </c>
      <c r="I20" s="1">
        <f>H20+Calc_Dates!$J$2</f>
        <v>4296.0566018896416</v>
      </c>
      <c r="J20" t="str">
        <f t="shared" si="1"/>
        <v>alto</v>
      </c>
      <c r="K20">
        <f t="shared" si="2"/>
        <v>2</v>
      </c>
    </row>
    <row r="21" spans="1:11" x14ac:dyDescent="0.25">
      <c r="A21" t="str">
        <f>Calc_Bank!A21</f>
        <v>Banca Città</v>
      </c>
      <c r="B21">
        <f>Calc_Bank!C21*Control!$B$15</f>
        <v>35200.620199999998</v>
      </c>
      <c r="C21">
        <f>B21+Calc_Scenario!AL22/100</f>
        <v>35585.266881092852</v>
      </c>
      <c r="D21">
        <f>C21*(1+Calc_Growth!AM22)</f>
        <v>35832.220218144656</v>
      </c>
      <c r="E21">
        <f>D21-_xlfn.XLOOKUP(Calc_Bank!B21,Calc_Region!$A$2:$A$6,Calc_Region!$F$2:$F$6)*0.01</f>
        <v>35634.145718144653</v>
      </c>
      <c r="F21">
        <f>E21+Calc_Stats!$I$2*0.001</f>
        <v>35654.187918144657</v>
      </c>
      <c r="G21">
        <f t="shared" si="0"/>
        <v>35654.19</v>
      </c>
      <c r="H21">
        <f>G21/MAX(1,Calc_Month!$C$2)*1000</f>
        <v>4450.043059871944</v>
      </c>
      <c r="I21" s="1">
        <f>H21+Calc_Dates!$J$2</f>
        <v>4481.043059871944</v>
      </c>
      <c r="J21" t="str">
        <f t="shared" si="1"/>
        <v>alto</v>
      </c>
      <c r="K21">
        <f t="shared" si="2"/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9878A-8537-4709-B57E-51DA9B032369}">
  <dimension ref="A1:E19"/>
  <sheetViews>
    <sheetView workbookViewId="0"/>
  </sheetViews>
  <sheetFormatPr defaultRowHeight="12.5" x14ac:dyDescent="0.25"/>
  <sheetData>
    <row r="1" spans="1:5" x14ac:dyDescent="0.25">
      <c r="A1" t="s">
        <v>253</v>
      </c>
      <c r="B1" t="s">
        <v>254</v>
      </c>
      <c r="C1" t="s">
        <v>255</v>
      </c>
      <c r="D1" t="s">
        <v>256</v>
      </c>
      <c r="E1" t="s">
        <v>148</v>
      </c>
    </row>
    <row r="2" spans="1:5" x14ac:dyDescent="0.25">
      <c r="A2" t="s">
        <v>4</v>
      </c>
      <c r="B2" cm="1">
        <f t="array" ref="B2">INDEX(Calc_Month!$C$2:$C$37,Control!$B$3)</f>
        <v>10243.300000000001</v>
      </c>
      <c r="C2" cm="1">
        <f t="array" ref="C2">INDEX(Calc_Month!$C$2:$C$37,Control!$B$13)</f>
        <v>10252.199999999999</v>
      </c>
      <c r="D2">
        <f>B2-C2</f>
        <v>-8.8999999999978172</v>
      </c>
      <c r="E2">
        <f>IFERROR(D2/C2,0)</f>
        <v>-8.6810635765960657E-4</v>
      </c>
    </row>
    <row r="3" spans="1:5" x14ac:dyDescent="0.25">
      <c r="A3" t="s">
        <v>5</v>
      </c>
      <c r="B3" cm="1">
        <f t="array" ref="B3">INDEX(Calc_Month!$D$2:$D$37,Control!$B$3)</f>
        <v>555.09</v>
      </c>
      <c r="C3" cm="1">
        <f t="array" ref="C3">INDEX(Calc_Month!$D$2:$D$37,Control!$B$13)</f>
        <v>553.17999999999995</v>
      </c>
      <c r="D3">
        <f>B3-C3</f>
        <v>1.9100000000000819</v>
      </c>
      <c r="E3">
        <f>IFERROR(D3/C3,0)</f>
        <v>3.4527640189451572E-3</v>
      </c>
    </row>
    <row r="4" spans="1:5" x14ac:dyDescent="0.25">
      <c r="A4" t="s">
        <v>6</v>
      </c>
      <c r="B4" cm="1">
        <f t="array" ref="B4">INDEX(Calc_Month!$E$2:$E$37,Control!$B$3)</f>
        <v>334.49</v>
      </c>
      <c r="C4" cm="1">
        <f t="array" ref="C4">INDEX(Calc_Month!$E$2:$E$37,Control!$B$13)</f>
        <v>335.64</v>
      </c>
      <c r="D4">
        <f>B4-C4</f>
        <v>-1.1499999999999773</v>
      </c>
      <c r="E4">
        <f>IFERROR(D4/C4,0)</f>
        <v>-3.4262900726968696E-3</v>
      </c>
    </row>
    <row r="5" spans="1:5" x14ac:dyDescent="0.25">
      <c r="A5" t="s">
        <v>10</v>
      </c>
      <c r="B5" cm="1">
        <f t="array" ref="B5">INDEX(Calc_Month!$G$2:$G$37,Control!$B$3)</f>
        <v>220.60000000000002</v>
      </c>
      <c r="C5" cm="1">
        <f t="array" ref="C5">INDEX(Calc_Month!$G$2:$G$37,Control!$B$13)</f>
        <v>217.53999999999996</v>
      </c>
      <c r="D5">
        <f>B5-C5</f>
        <v>3.0600000000000591</v>
      </c>
      <c r="E5">
        <f>IFERROR(D5/C5,0)</f>
        <v>1.4066378597039899E-2</v>
      </c>
    </row>
    <row r="6" spans="1:5" x14ac:dyDescent="0.25">
      <c r="A6" t="s">
        <v>7</v>
      </c>
      <c r="B6" cm="1">
        <f t="array" ref="B6">INDEX(Calc_Month!$F$2:$F$37,Control!$B$3)</f>
        <v>975</v>
      </c>
      <c r="C6" cm="1">
        <f t="array" ref="C6">INDEX(Calc_Month!$F$2:$F$37,Control!$B$13)</f>
        <v>915</v>
      </c>
      <c r="D6">
        <f>B6-C6</f>
        <v>60</v>
      </c>
      <c r="E6">
        <f>IFERROR(D6/C6,0)</f>
        <v>6.5573770491803282E-2</v>
      </c>
    </row>
    <row r="7" spans="1:5" x14ac:dyDescent="0.25">
      <c r="A7" t="s">
        <v>136</v>
      </c>
      <c r="B7" cm="1">
        <f t="array" ref="B7">INDEX(Calc_Month!$H$2:$H$37,Control!$B$3)</f>
        <v>10523</v>
      </c>
      <c r="C7">
        <f t="shared" ref="C7:C19" si="0">IF(ISNUMBER(B7),ROUND(B7,2),B7)</f>
        <v>10523</v>
      </c>
    </row>
    <row r="8" spans="1:5" x14ac:dyDescent="0.25">
      <c r="A8" t="s">
        <v>142</v>
      </c>
      <c r="B8">
        <f>_xlfn.XLOOKUP(Control!$B$2,Calc_Bank!$A$2:$A$21,Calc_Bank!$L$2:$L$21)</f>
        <v>18</v>
      </c>
      <c r="C8">
        <f t="shared" si="0"/>
        <v>18</v>
      </c>
    </row>
    <row r="9" spans="1:5" x14ac:dyDescent="0.25">
      <c r="A9" t="s">
        <v>150</v>
      </c>
      <c r="B9">
        <f>_xlfn.XLOOKUP(Control!$B$2,Calc_Bank!$A$2:$A$21,Calc_Bank!$K$2:$K$21)</f>
        <v>2.559167299381826E-2</v>
      </c>
      <c r="C9">
        <f t="shared" si="0"/>
        <v>0.03</v>
      </c>
    </row>
    <row r="10" spans="1:5" x14ac:dyDescent="0.25">
      <c r="A10" t="s">
        <v>161</v>
      </c>
      <c r="B10" cm="1">
        <f t="array" ref="B10">INDEX(Calc_Month!$J$2:$J$37,Control!$B$3)</f>
        <v>118690.40000000001</v>
      </c>
      <c r="C10">
        <f t="shared" si="0"/>
        <v>118690.4</v>
      </c>
    </row>
    <row r="11" spans="1:5" x14ac:dyDescent="0.25">
      <c r="A11" t="s">
        <v>141</v>
      </c>
      <c r="B11" cm="1">
        <f t="array" ref="B11">INDEX(Calc_Scenario!$B$3:$AK$22,Control!$B$6,Control!$B$3)</f>
        <v>12147.904508967242</v>
      </c>
      <c r="C11">
        <f t="shared" si="0"/>
        <v>12147.9</v>
      </c>
    </row>
    <row r="12" spans="1:5" x14ac:dyDescent="0.25">
      <c r="A12" t="s">
        <v>257</v>
      </c>
      <c r="B12">
        <f>_xlfn.XLOOKUP(Control!$B$8,Calc_Region!$A$2:$A$6,Calc_Region!$K$2:$K$6)</f>
        <v>0.29691942044540648</v>
      </c>
      <c r="C12">
        <f t="shared" si="0"/>
        <v>0.3</v>
      </c>
    </row>
    <row r="13" spans="1:5" x14ac:dyDescent="0.25">
      <c r="A13" t="s">
        <v>258</v>
      </c>
      <c r="B13" t="str">
        <f>INDEX(Calc_Product!$A$2:$A$9,MATCH(MAX(Calc_Product!$B$2:$B$9),Calc_Product!$B$2:$B$9,0))</f>
        <v>Assicurazioni</v>
      </c>
      <c r="C13" t="str">
        <f t="shared" si="0"/>
        <v>Assicurazioni</v>
      </c>
    </row>
    <row r="14" spans="1:5" x14ac:dyDescent="0.25">
      <c r="A14" t="s">
        <v>259</v>
      </c>
      <c r="B14">
        <f>_xlfn.XLOOKUP(Control!$B$2,Calc_Deep!$A$2:$A$21,Calc_Deep!$I$2:$I$21)</f>
        <v>1421.3758065925288</v>
      </c>
      <c r="C14">
        <f t="shared" si="0"/>
        <v>1421.38</v>
      </c>
    </row>
    <row r="15" spans="1:5" x14ac:dyDescent="0.25">
      <c r="A15" t="s">
        <v>260</v>
      </c>
      <c r="B15" cm="1">
        <f t="array" ref="B15">INDEX(Calc_Growth!$AM$3:$AM$22,Control!$B$6)</f>
        <v>7.0587735890058397E-3</v>
      </c>
      <c r="C15">
        <f t="shared" si="0"/>
        <v>0.01</v>
      </c>
    </row>
    <row r="16" spans="1:5" x14ac:dyDescent="0.25">
      <c r="A16" t="s">
        <v>261</v>
      </c>
      <c r="B16">
        <f>Calc_Stats!$I$2</f>
        <v>20042.2</v>
      </c>
      <c r="C16">
        <f t="shared" si="0"/>
        <v>20042.2</v>
      </c>
    </row>
    <row r="17" spans="1:3" x14ac:dyDescent="0.25">
      <c r="A17" t="s">
        <v>128</v>
      </c>
      <c r="B17" t="str">
        <f>Control!$B$16</f>
        <v>Banca Tirrena (B103) - dicembre 2026</v>
      </c>
      <c r="C17" t="str">
        <f t="shared" si="0"/>
        <v>Banca Tirrena (B103) - dicembre 2026</v>
      </c>
    </row>
    <row r="18" spans="1:3" x14ac:dyDescent="0.25">
      <c r="A18" t="s">
        <v>147</v>
      </c>
      <c r="B18" cm="1">
        <f t="array" ref="B18">INDEX(Calc_Month!$U$2:$U$37,Control!$B$3)</f>
        <v>9890.8666666666668</v>
      </c>
      <c r="C18">
        <f t="shared" si="0"/>
        <v>9890.8700000000008</v>
      </c>
    </row>
    <row r="19" spans="1:3" x14ac:dyDescent="0.25">
      <c r="A19" t="s">
        <v>262</v>
      </c>
      <c r="B19" cm="1">
        <f t="array" aca="1" ref="B19" ca="1">INDEX(Calc_Month!$L$2:$L$37,Control!$B$3)</f>
        <v>10194.233333333332</v>
      </c>
      <c r="C19">
        <f t="shared" ca="1" si="0"/>
        <v>10194.23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35DF-FCB9-48AF-9C87-6065D6FA562D}">
  <dimension ref="B2:H9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"Sintesi - "&amp;Control!$B$16</f>
        <v>Sintesi - Banca Tirrena (B103) - dicembre 2026</v>
      </c>
    </row>
    <row r="4" spans="2:8" x14ac:dyDescent="0.25">
      <c r="C4" t="s">
        <v>253</v>
      </c>
      <c r="D4" t="s">
        <v>1</v>
      </c>
      <c r="E4" t="s">
        <v>125</v>
      </c>
      <c r="F4" t="s">
        <v>256</v>
      </c>
      <c r="G4" t="s">
        <v>148</v>
      </c>
    </row>
    <row r="5" spans="2:8" x14ac:dyDescent="0.25">
      <c r="C5" t="s">
        <v>4</v>
      </c>
      <c r="D5" s="3">
        <f>Calc_Summary!B2</f>
        <v>10243.300000000001</v>
      </c>
      <c r="E5" s="3">
        <f>Calc_Summary!C2</f>
        <v>10252.199999999999</v>
      </c>
      <c r="F5" s="3">
        <f t="shared" ref="F5:F9" si="0">D5-E5</f>
        <v>-8.8999999999978172</v>
      </c>
      <c r="G5" s="2">
        <f t="shared" ref="G5:G9" si="1">IFERROR(F5/E5,"-")</f>
        <v>-8.6810635765960657E-4</v>
      </c>
    </row>
    <row r="6" spans="2:8" x14ac:dyDescent="0.25">
      <c r="C6" t="s">
        <v>5</v>
      </c>
      <c r="D6" s="3">
        <f>Calc_Summary!B3</f>
        <v>555.09</v>
      </c>
      <c r="E6" s="3">
        <f>Calc_Summary!C3</f>
        <v>553.17999999999995</v>
      </c>
      <c r="F6" s="3">
        <f t="shared" si="0"/>
        <v>1.9100000000000819</v>
      </c>
      <c r="G6" s="2">
        <f t="shared" si="1"/>
        <v>3.4527640189451572E-3</v>
      </c>
    </row>
    <row r="7" spans="2:8" x14ac:dyDescent="0.25">
      <c r="C7" t="s">
        <v>6</v>
      </c>
      <c r="D7" s="3">
        <f>Calc_Summary!B4</f>
        <v>334.49</v>
      </c>
      <c r="E7" s="3">
        <f>Calc_Summary!C4</f>
        <v>335.64</v>
      </c>
      <c r="F7" s="3">
        <f t="shared" si="0"/>
        <v>-1.1499999999999773</v>
      </c>
      <c r="G7" s="2">
        <f t="shared" si="1"/>
        <v>-3.4262900726968696E-3</v>
      </c>
    </row>
    <row r="8" spans="2:8" x14ac:dyDescent="0.25">
      <c r="C8" t="s">
        <v>10</v>
      </c>
      <c r="D8" s="3">
        <f>Calc_Summary!B5</f>
        <v>220.60000000000002</v>
      </c>
      <c r="E8" s="3">
        <f>Calc_Summary!C5</f>
        <v>217.53999999999996</v>
      </c>
      <c r="F8" s="3">
        <f t="shared" si="0"/>
        <v>3.0600000000000591</v>
      </c>
      <c r="G8" s="2">
        <f t="shared" si="1"/>
        <v>1.4066378597039899E-2</v>
      </c>
    </row>
    <row r="9" spans="2:8" x14ac:dyDescent="0.25">
      <c r="C9" t="s">
        <v>7</v>
      </c>
      <c r="D9" s="3">
        <f>Calc_Summary!B6</f>
        <v>975</v>
      </c>
      <c r="E9" s="3">
        <f>Calc_Summary!C6</f>
        <v>915</v>
      </c>
      <c r="F9" s="3">
        <f t="shared" si="0"/>
        <v>60</v>
      </c>
      <c r="G9" s="2">
        <f t="shared" si="1"/>
        <v>6.5573770491803282E-2</v>
      </c>
      <c r="H9" t="s">
        <v>263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05902-7AF3-436E-B47C-5A9E2876E5C5}">
  <dimension ref="B2:I1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"Classifica - "&amp;Control!$B$10</f>
        <v>Classifica - dicembre 2026</v>
      </c>
    </row>
    <row r="4" spans="2:9" x14ac:dyDescent="0.25">
      <c r="C4" t="s">
        <v>264</v>
      </c>
      <c r="D4" t="s">
        <v>0</v>
      </c>
      <c r="E4" t="s">
        <v>8</v>
      </c>
      <c r="F4" t="s">
        <v>4</v>
      </c>
      <c r="G4" t="s">
        <v>150</v>
      </c>
      <c r="H4" t="s">
        <v>148</v>
      </c>
    </row>
    <row r="5" spans="2:9" x14ac:dyDescent="0.25">
      <c r="C5">
        <f>Calc_Stats!A2</f>
        <v>1</v>
      </c>
      <c r="D5" t="str">
        <f>Calc_Stats!C2</f>
        <v>Banca Città</v>
      </c>
      <c r="E5" t="str">
        <f>Calc_Stats!D2</f>
        <v>Centro</v>
      </c>
      <c r="F5">
        <f>Calc_Stats!B2</f>
        <v>32434</v>
      </c>
      <c r="G5">
        <f>Calc_Stats!E2</f>
        <v>8.1032511190876108E-2</v>
      </c>
      <c r="H5">
        <f>Calc_Stats!F2</f>
        <v>6.3263843425866995E-3</v>
      </c>
    </row>
    <row r="6" spans="2:9" x14ac:dyDescent="0.25">
      <c r="C6">
        <f>Calc_Stats!A3</f>
        <v>2</v>
      </c>
      <c r="D6" t="str">
        <f>Calc_Stats!C3</f>
        <v>Banca Romagnola</v>
      </c>
      <c r="E6" t="str">
        <f>Calc_Stats!D3</f>
        <v>Nord-Est</v>
      </c>
      <c r="F6">
        <f>Calc_Stats!B3</f>
        <v>31096.1</v>
      </c>
      <c r="G6">
        <f>Calc_Stats!E3</f>
        <v>7.7689926350206648E-2</v>
      </c>
      <c r="H6">
        <f>Calc_Stats!F3</f>
        <v>2.7926925619567999E-3</v>
      </c>
    </row>
    <row r="7" spans="2:9" x14ac:dyDescent="0.25">
      <c r="C7">
        <f>Calc_Stats!A4</f>
        <v>3</v>
      </c>
      <c r="D7" t="str">
        <f>Calc_Stats!C4</f>
        <v>Banca Sarda</v>
      </c>
      <c r="E7" t="str">
        <f>Calc_Stats!D4</f>
        <v>Isole</v>
      </c>
      <c r="F7">
        <f>Calc_Stats!B4</f>
        <v>29778.7</v>
      </c>
      <c r="G7">
        <f>Calc_Stats!E4</f>
        <v>7.4398558333839265E-2</v>
      </c>
      <c r="H7">
        <f>Calc_Stats!F4</f>
        <v>2.683592040136018E-3</v>
      </c>
    </row>
    <row r="8" spans="2:9" x14ac:dyDescent="0.25">
      <c r="C8">
        <f>Calc_Stats!A5</f>
        <v>4</v>
      </c>
      <c r="D8" t="str">
        <f>Calc_Stats!C5</f>
        <v>Banca Sicula</v>
      </c>
      <c r="E8" t="str">
        <f>Calc_Stats!D5</f>
        <v>Isole</v>
      </c>
      <c r="F8">
        <f>Calc_Stats!B5</f>
        <v>28525.599999999999</v>
      </c>
      <c r="G8">
        <f>Calc_Stats!E5</f>
        <v>7.1267836259063189E-2</v>
      </c>
      <c r="H8">
        <f>Calc_Stats!F5</f>
        <v>6.1301222497338603E-3</v>
      </c>
    </row>
    <row r="9" spans="2:9" x14ac:dyDescent="0.25">
      <c r="C9">
        <f>Calc_Stats!A6</f>
        <v>5</v>
      </c>
      <c r="D9" t="str">
        <f>Calc_Stats!C6</f>
        <v>Banca Calabra</v>
      </c>
      <c r="E9" t="str">
        <f>Calc_Stats!D6</f>
        <v>Sud</v>
      </c>
      <c r="F9">
        <f>Calc_Stats!B6</f>
        <v>27252.399999999998</v>
      </c>
      <c r="G9">
        <f>Calc_Stats!E6</f>
        <v>6.8086896712654374E-2</v>
      </c>
      <c r="H9">
        <f>Calc_Stats!F6</f>
        <v>4.5153133627471309E-3</v>
      </c>
    </row>
    <row r="10" spans="2:9" x14ac:dyDescent="0.25">
      <c r="C10">
        <f>Calc_Stats!A7</f>
        <v>6</v>
      </c>
      <c r="D10" t="str">
        <f>Calc_Stats!C7</f>
        <v>Banca Lucana</v>
      </c>
      <c r="E10" t="str">
        <f>Calc_Stats!D7</f>
        <v>Sud</v>
      </c>
      <c r="F10">
        <f>Calc_Stats!B7</f>
        <v>25892.2</v>
      </c>
      <c r="G10">
        <f>Calc_Stats!E7</f>
        <v>6.4688597960670988E-2</v>
      </c>
      <c r="H10">
        <f>Calc_Stats!F7</f>
        <v>5.7019894816161543E-3</v>
      </c>
    </row>
    <row r="11" spans="2:9" x14ac:dyDescent="0.25">
      <c r="C11">
        <f>Calc_Stats!A8</f>
        <v>7</v>
      </c>
      <c r="D11" t="str">
        <f>Calc_Stats!C8</f>
        <v>Banca Marchigiana</v>
      </c>
      <c r="E11" t="str">
        <f>Calc_Stats!D8</f>
        <v>Centro</v>
      </c>
      <c r="F11">
        <f>Calc_Stats!B8</f>
        <v>24657.8</v>
      </c>
      <c r="G11">
        <f>Calc_Stats!E8</f>
        <v>6.1604595623185085E-2</v>
      </c>
      <c r="H11">
        <f>Calc_Stats!F8</f>
        <v>1.1984010375197807E-2</v>
      </c>
    </row>
    <row r="12" spans="2:9" x14ac:dyDescent="0.25">
      <c r="C12">
        <f>Calc_Stats!A9</f>
        <v>8</v>
      </c>
      <c r="D12" t="str">
        <f>Calc_Stats!C9</f>
        <v>Banca Umbra</v>
      </c>
      <c r="E12" t="str">
        <f>Calc_Stats!D9</f>
        <v>Centro</v>
      </c>
      <c r="F12">
        <f>Calc_Stats!B9</f>
        <v>23266.5</v>
      </c>
      <c r="G12">
        <f>Calc_Stats!E9</f>
        <v>5.8128597201162951E-2</v>
      </c>
      <c r="H12">
        <f>Calc_Stats!F9</f>
        <v>1.9119717854974017E-3</v>
      </c>
    </row>
    <row r="13" spans="2:9" x14ac:dyDescent="0.25">
      <c r="C13">
        <f>Calc_Stats!A10</f>
        <v>9</v>
      </c>
      <c r="D13" t="str">
        <f>Calc_Stats!C10</f>
        <v>Banca Friulana</v>
      </c>
      <c r="E13" t="str">
        <f>Calc_Stats!D10</f>
        <v>Nord-Est</v>
      </c>
      <c r="F13">
        <f>Calc_Stats!B10</f>
        <v>21924.5</v>
      </c>
      <c r="G13">
        <f>Calc_Stats!E10</f>
        <v>5.4775768995633078E-2</v>
      </c>
      <c r="H13">
        <f>Calc_Stats!F10</f>
        <v>-8.2943302328342128E-4</v>
      </c>
    </row>
    <row r="14" spans="2:9" x14ac:dyDescent="0.25">
      <c r="C14">
        <f>Calc_Stats!A11</f>
        <v>10</v>
      </c>
      <c r="D14" t="str">
        <f>Calc_Stats!C11</f>
        <v>Banca Veneta</v>
      </c>
      <c r="E14" t="str">
        <f>Calc_Stats!D11</f>
        <v>Nord-Est</v>
      </c>
      <c r="F14">
        <f>Calc_Stats!B11</f>
        <v>20672.400000000001</v>
      </c>
      <c r="G14">
        <f>Calc_Stats!E11</f>
        <v>5.1647545302530296E-2</v>
      </c>
      <c r="H14">
        <f>Calc_Stats!F11</f>
        <v>3.5876398766900852E-3</v>
      </c>
      <c r="I14" t="s">
        <v>263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04D2-8F12-459A-90FB-7923A141E03D}">
  <dimension ref="B2:K9"/>
  <sheetViews>
    <sheetView workbookViewId="0"/>
  </sheetViews>
  <sheetFormatPr defaultRowHeight="12.5" x14ac:dyDescent="0.25"/>
  <sheetData>
    <row r="2" spans="2:11" x14ac:dyDescent="0.25">
      <c r="B2" t="s">
        <v>263</v>
      </c>
    </row>
    <row r="3" spans="2:11" x14ac:dyDescent="0.25">
      <c r="C3" t="str">
        <f>"Regioni - mese "&amp;Control!$B$3</f>
        <v>Regioni - mese 36</v>
      </c>
    </row>
    <row r="4" spans="2:11" x14ac:dyDescent="0.25">
      <c r="C4" t="s">
        <v>8</v>
      </c>
      <c r="D4" t="s">
        <v>168</v>
      </c>
      <c r="E4" t="s">
        <v>4</v>
      </c>
      <c r="F4" t="s">
        <v>49</v>
      </c>
      <c r="G4" t="s">
        <v>172</v>
      </c>
      <c r="H4" t="s">
        <v>150</v>
      </c>
      <c r="I4" t="s">
        <v>173</v>
      </c>
      <c r="J4" t="s">
        <v>265</v>
      </c>
    </row>
    <row r="5" spans="2:11" x14ac:dyDescent="0.25">
      <c r="C5" t="str">
        <f>Calc_Region!A2</f>
        <v>Nord-Ovest</v>
      </c>
      <c r="D5">
        <f>Calc_Region!B2</f>
        <v>4</v>
      </c>
      <c r="E5">
        <f>Calc_Region!C2</f>
        <v>52623</v>
      </c>
      <c r="F5">
        <f>Calc_Region!I2</f>
        <v>42000</v>
      </c>
      <c r="G5">
        <f>Calc_Region!J2</f>
        <v>10623</v>
      </c>
      <c r="H5">
        <f>Calc_Region!K2</f>
        <v>0.13147233879254711</v>
      </c>
      <c r="I5" t="str">
        <f>Calc_Region!M2</f>
        <v>Banca Ligure</v>
      </c>
      <c r="J5" t="str">
        <f>Calc_Region!L2</f>
        <v>no</v>
      </c>
    </row>
    <row r="6" spans="2:11" x14ac:dyDescent="0.25">
      <c r="C6" t="str">
        <f>Calc_Region!A3</f>
        <v>Nord-Est</v>
      </c>
      <c r="D6">
        <f>Calc_Region!B3</f>
        <v>4</v>
      </c>
      <c r="E6">
        <f>Calc_Region!C3</f>
        <v>82647.200000000012</v>
      </c>
      <c r="F6">
        <f>Calc_Region!I3</f>
        <v>30000</v>
      </c>
      <c r="G6">
        <f>Calc_Region!J3</f>
        <v>52647.200000000012</v>
      </c>
      <c r="H6">
        <f>Calc_Region!K3</f>
        <v>0.20648424982717445</v>
      </c>
      <c r="I6" t="str">
        <f>Calc_Region!M3</f>
        <v>Banca Romagnola</v>
      </c>
      <c r="J6" t="str">
        <f>Calc_Region!L3</f>
        <v>no</v>
      </c>
    </row>
    <row r="7" spans="2:11" x14ac:dyDescent="0.25">
      <c r="C7" t="str">
        <f>Calc_Region!A4</f>
        <v>Centro</v>
      </c>
      <c r="D7">
        <f>Calc_Region!B4</f>
        <v>6</v>
      </c>
      <c r="E7">
        <f>Calc_Region!C4</f>
        <v>118844.7</v>
      </c>
      <c r="F7">
        <f>Calc_Region!I4</f>
        <v>47000</v>
      </c>
      <c r="G7">
        <f>Calc_Region!J4</f>
        <v>71844.7</v>
      </c>
      <c r="H7">
        <f>Calc_Region!K4</f>
        <v>0.29691942044540648</v>
      </c>
      <c r="I7" t="str">
        <f>Calc_Region!M4</f>
        <v>Banca Città</v>
      </c>
      <c r="J7" t="str">
        <f>Calc_Region!L4</f>
        <v>sì</v>
      </c>
    </row>
    <row r="8" spans="2:11" x14ac:dyDescent="0.25">
      <c r="C8" t="str">
        <f>Calc_Region!A5</f>
        <v>Sud</v>
      </c>
      <c r="D8">
        <f>Calc_Region!B5</f>
        <v>4</v>
      </c>
      <c r="E8">
        <f>Calc_Region!C5</f>
        <v>87839.900000000009</v>
      </c>
      <c r="F8">
        <f>Calc_Region!I5</f>
        <v>26000</v>
      </c>
      <c r="G8">
        <f>Calc_Region!J5</f>
        <v>61839.900000000009</v>
      </c>
      <c r="H8">
        <f>Calc_Region!K5</f>
        <v>0.21945759634196949</v>
      </c>
      <c r="I8" t="str">
        <f>Calc_Region!M5</f>
        <v>Banca Calabra</v>
      </c>
      <c r="J8" t="str">
        <f>Calc_Region!L5</f>
        <v>no</v>
      </c>
    </row>
    <row r="9" spans="2:11" x14ac:dyDescent="0.25">
      <c r="C9" t="str">
        <f>Calc_Region!A6</f>
        <v>Isole</v>
      </c>
      <c r="D9">
        <f>Calc_Region!B6</f>
        <v>2</v>
      </c>
      <c r="E9">
        <f>Calc_Region!C6</f>
        <v>58304.299999999996</v>
      </c>
      <c r="F9">
        <f>Calc_Region!I6</f>
        <v>16000</v>
      </c>
      <c r="G9">
        <f>Calc_Region!J6</f>
        <v>42304.299999999996</v>
      </c>
      <c r="H9">
        <f>Calc_Region!K6</f>
        <v>0.14566639459290243</v>
      </c>
      <c r="I9" t="str">
        <f>Calc_Region!M6</f>
        <v>Banca Sarda</v>
      </c>
      <c r="J9" t="str">
        <f>Calc_Region!L6</f>
        <v>no</v>
      </c>
      <c r="K9" t="s">
        <v>263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536BB-1B0F-4E06-B873-8C14EE9EEEA6}">
  <dimension ref="B2:K12"/>
  <sheetViews>
    <sheetView workbookViewId="0"/>
  </sheetViews>
  <sheetFormatPr defaultRowHeight="12.5" x14ac:dyDescent="0.25"/>
  <sheetData>
    <row r="2" spans="2:11" x14ac:dyDescent="0.25">
      <c r="B2" t="s">
        <v>263</v>
      </c>
    </row>
    <row r="3" spans="2:11" x14ac:dyDescent="0.25">
      <c r="C3" t="str">
        <f>"Prodotti - "&amp;Control!$B$2</f>
        <v>Prodotti - Banca Tirrena</v>
      </c>
    </row>
    <row r="4" spans="2:11" x14ac:dyDescent="0.25">
      <c r="C4" t="s">
        <v>2</v>
      </c>
      <c r="D4" t="s">
        <v>99</v>
      </c>
      <c r="E4" t="s">
        <v>4</v>
      </c>
      <c r="F4" t="s">
        <v>10</v>
      </c>
      <c r="G4" t="s">
        <v>150</v>
      </c>
      <c r="H4" t="s">
        <v>165</v>
      </c>
      <c r="I4" t="s">
        <v>161</v>
      </c>
      <c r="J4" t="s">
        <v>266</v>
      </c>
    </row>
    <row r="5" spans="2:11" x14ac:dyDescent="0.25">
      <c r="C5" t="str">
        <f>Calc_Product!A2</f>
        <v>Mutui</v>
      </c>
      <c r="D5" t="str">
        <f>Calc_Product!M2</f>
        <v>Credito</v>
      </c>
      <c r="E5">
        <f>Calc_Product!B2</f>
        <v>537.5</v>
      </c>
      <c r="F5">
        <f>Calc_Product!E2</f>
        <v>9.1599999999999984</v>
      </c>
      <c r="G5">
        <f>Calc_Product!H2</f>
        <v>5.2473324026436785E-2</v>
      </c>
      <c r="H5">
        <f>Calc_Product!L2</f>
        <v>2.4869636833898586E-2</v>
      </c>
      <c r="I5">
        <f>Calc_Product!J2</f>
        <v>6401.7</v>
      </c>
      <c r="J5" t="str">
        <f>IF(Calc_Product!O2=Calc_Product!B2,"ok","diverso")</f>
        <v>ok</v>
      </c>
    </row>
    <row r="6" spans="2:11" x14ac:dyDescent="0.25">
      <c r="C6" t="str">
        <f>Calc_Product!A3</f>
        <v>Prestiti</v>
      </c>
      <c r="D6" t="str">
        <f>Calc_Product!M3</f>
        <v>Credito</v>
      </c>
      <c r="E6">
        <f>Calc_Product!B3</f>
        <v>738.6</v>
      </c>
      <c r="F6">
        <f>Calc_Product!E3</f>
        <v>13.510000000000002</v>
      </c>
      <c r="G6">
        <f>Calc_Product!H3</f>
        <v>7.210566907149063E-2</v>
      </c>
      <c r="H6">
        <f>Calc_Product!L3</f>
        <v>2.486098582257348E-2</v>
      </c>
      <c r="I6">
        <f>Calc_Product!J3</f>
        <v>8865</v>
      </c>
      <c r="J6" t="str">
        <f>IF(Calc_Product!O3=Calc_Product!B3,"ok","diverso")</f>
        <v>ok</v>
      </c>
    </row>
    <row r="7" spans="2:11" x14ac:dyDescent="0.25">
      <c r="C7" t="str">
        <f>Calc_Product!A4</f>
        <v>Conti</v>
      </c>
      <c r="D7" t="str">
        <f>Calc_Product!M4</f>
        <v>Raccolta</v>
      </c>
      <c r="E7">
        <f>Calc_Product!B4</f>
        <v>988.7</v>
      </c>
      <c r="F7">
        <f>Calc_Product!E4</f>
        <v>18.860000000000003</v>
      </c>
      <c r="G7">
        <f>Calc_Product!H4</f>
        <v>9.6521628771977772E-2</v>
      </c>
      <c r="H7">
        <f>Calc_Product!L4</f>
        <v>2.6064101820559189E-2</v>
      </c>
      <c r="I7">
        <f>Calc_Product!J4</f>
        <v>11229.1</v>
      </c>
      <c r="J7" t="str">
        <f>IF(Calc_Product!O4=Calc_Product!B4,"ok","diverso")</f>
        <v>ok</v>
      </c>
    </row>
    <row r="8" spans="2:11" x14ac:dyDescent="0.25">
      <c r="C8" t="str">
        <f>Calc_Product!A5</f>
        <v>Carte</v>
      </c>
      <c r="D8" t="str">
        <f>Calc_Product!M5</f>
        <v>Servizi</v>
      </c>
      <c r="E8">
        <f>Calc_Product!B5</f>
        <v>1200.8</v>
      </c>
      <c r="F8">
        <f>Calc_Product!E5</f>
        <v>24.85</v>
      </c>
      <c r="G8">
        <f>Calc_Product!H5</f>
        <v>0.11722784649478193</v>
      </c>
      <c r="H8">
        <f>Calc_Product!L5</f>
        <v>2.6053091201006715E-2</v>
      </c>
      <c r="I8">
        <f>Calc_Product!J5</f>
        <v>13585.100000000002</v>
      </c>
      <c r="J8" t="str">
        <f>IF(Calc_Product!O5=Calc_Product!B5,"ok","diverso")</f>
        <v>ok</v>
      </c>
    </row>
    <row r="9" spans="2:11" x14ac:dyDescent="0.25">
      <c r="C9" t="str">
        <f>Calc_Product!A6</f>
        <v>Leasing</v>
      </c>
      <c r="D9" t="str">
        <f>Calc_Product!M6</f>
        <v>Credito</v>
      </c>
      <c r="E9">
        <f>Calc_Product!B6</f>
        <v>1413.3</v>
      </c>
      <c r="F9">
        <f>Calc_Product!E6</f>
        <v>29.53</v>
      </c>
      <c r="G9">
        <f>Calc_Product!H6</f>
        <v>0.13797311413314067</v>
      </c>
      <c r="H9">
        <f>Calc_Product!L6</f>
        <v>2.6168200072951748E-2</v>
      </c>
      <c r="I9">
        <f>Calc_Product!J6</f>
        <v>16139.100000000002</v>
      </c>
      <c r="J9" t="str">
        <f>IF(Calc_Product!O6=Calc_Product!B6,"ok","diverso")</f>
        <v>ok</v>
      </c>
    </row>
    <row r="10" spans="2:11" x14ac:dyDescent="0.25">
      <c r="C10" t="str">
        <f>Calc_Product!A7</f>
        <v>Factoring</v>
      </c>
      <c r="D10" t="str">
        <f>Calc_Product!M7</f>
        <v>Credito</v>
      </c>
      <c r="E10">
        <f>Calc_Product!B7</f>
        <v>1561.3</v>
      </c>
      <c r="F10">
        <f>Calc_Product!E7</f>
        <v>34.980000000000004</v>
      </c>
      <c r="G10">
        <f>Calc_Product!H7</f>
        <v>0.152421582888327</v>
      </c>
      <c r="H10">
        <f>Calc_Product!L7</f>
        <v>2.5131549084025616E-2</v>
      </c>
      <c r="I10">
        <f>Calc_Product!J7</f>
        <v>18390.899999999998</v>
      </c>
      <c r="J10" t="str">
        <f>IF(Calc_Product!O7=Calc_Product!B7,"ok","diverso")</f>
        <v>ok</v>
      </c>
    </row>
    <row r="11" spans="2:11" x14ac:dyDescent="0.25">
      <c r="C11" t="str">
        <f>Calc_Product!A8</f>
        <v>Risparmio</v>
      </c>
      <c r="D11" t="str">
        <f>Calc_Product!M8</f>
        <v>Raccolta</v>
      </c>
      <c r="E11">
        <f>Calc_Product!B8</f>
        <v>1783.7</v>
      </c>
      <c r="F11">
        <f>Calc_Product!E8</f>
        <v>40.880000000000003</v>
      </c>
      <c r="G11">
        <f>Calc_Product!H8</f>
        <v>0.17413333593666103</v>
      </c>
      <c r="H11">
        <f>Calc_Product!L8</f>
        <v>2.5378356190500582E-2</v>
      </c>
      <c r="I11">
        <f>Calc_Product!J8</f>
        <v>20809.900000000001</v>
      </c>
      <c r="J11" t="str">
        <f>IF(Calc_Product!O8=Calc_Product!B8,"ok","diverso")</f>
        <v>ok</v>
      </c>
    </row>
    <row r="12" spans="2:11" x14ac:dyDescent="0.25">
      <c r="C12" t="str">
        <f>Calc_Product!A9</f>
        <v>Assicurazioni</v>
      </c>
      <c r="D12" t="str">
        <f>Calc_Product!M9</f>
        <v>Servizi</v>
      </c>
      <c r="E12">
        <f>Calc_Product!B9</f>
        <v>2019.4</v>
      </c>
      <c r="F12">
        <f>Calc_Product!E9</f>
        <v>48.83</v>
      </c>
      <c r="G12">
        <f>Calc_Product!H9</f>
        <v>0.19714349867718409</v>
      </c>
      <c r="H12">
        <f>Calc_Product!L9</f>
        <v>2.5726282747058432E-2</v>
      </c>
      <c r="I12">
        <f>Calc_Product!J9</f>
        <v>23269.599999999999</v>
      </c>
      <c r="J12" t="str">
        <f>IF(Calc_Product!O9=Calc_Product!B9,"ok","diverso")</f>
        <v>ok</v>
      </c>
      <c r="K12" t="s">
        <v>263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1DAF5-E722-4847-92D3-DFDFF3F760C8}">
  <dimension ref="B2:I10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"Budget - "&amp;Control!$B$2</f>
        <v>Budget - Banca Tirrena</v>
      </c>
    </row>
    <row r="4" spans="2:9" x14ac:dyDescent="0.25">
      <c r="C4" t="s">
        <v>1</v>
      </c>
      <c r="D4" t="s">
        <v>267</v>
      </c>
      <c r="E4" t="s">
        <v>136</v>
      </c>
      <c r="F4" t="s">
        <v>268</v>
      </c>
      <c r="G4" t="s">
        <v>269</v>
      </c>
      <c r="H4" t="s">
        <v>270</v>
      </c>
    </row>
    <row r="5" spans="2:9" x14ac:dyDescent="0.25">
      <c r="C5">
        <f>Control!$B$3-6+ROW()-4</f>
        <v>31</v>
      </c>
      <c r="D5" cm="1">
        <f t="array" ref="D5">INDEX(Calc_Month!$C$2:$C$37,C5)</f>
        <v>9905.6</v>
      </c>
      <c r="E5" cm="1">
        <f t="array" ref="E5">INDEX(Budget!$B$2:$AK$21,Control!$B$6,MATCH(C5,Budget!$B$1:$AK$1,0))</f>
        <v>10165</v>
      </c>
      <c r="F5">
        <f>HLOOKUP(C5,Budget!$B$1:$AK$21,Control!$B$6+1,FALSE)</f>
        <v>10165</v>
      </c>
      <c r="G5">
        <f t="shared" ref="G5:G10" si="0">IFERROR(D5/E5-1,0)</f>
        <v>-2.5518937530742747E-2</v>
      </c>
      <c r="H5" cm="1">
        <f t="array" ref="H5">INDEX(Budget!$B$25:$AK$44,MATCH(Control!$B$2,Budget!$A$25:$A$44,0),C5)</f>
        <v>528.6</v>
      </c>
    </row>
    <row r="6" spans="2:9" x14ac:dyDescent="0.25">
      <c r="C6">
        <f>Control!$B$3-6+ROW()-4</f>
        <v>32</v>
      </c>
      <c r="D6" cm="1">
        <f t="array" ref="D6">INDEX(Calc_Month!$C$2:$C$37,C6)</f>
        <v>9946.4000000000015</v>
      </c>
      <c r="E6" cm="1">
        <f t="array" ref="E6">INDEX(Budget!$B$2:$AK$21,Control!$B$6,MATCH(C6,Budget!$B$1:$AK$1,0))</f>
        <v>10237</v>
      </c>
      <c r="F6">
        <f>HLOOKUP(C6,Budget!$B$1:$AK$21,Control!$B$6+1,FALSE)</f>
        <v>10237</v>
      </c>
      <c r="G6">
        <f t="shared" si="0"/>
        <v>-2.8387222819185154E-2</v>
      </c>
      <c r="H6" cm="1">
        <f t="array" ref="H6">INDEX(Budget!$B$25:$AK$44,MATCH(Control!$B$2,Budget!$A$25:$A$44,0),C6)</f>
        <v>532.29999999999995</v>
      </c>
    </row>
    <row r="7" spans="2:9" x14ac:dyDescent="0.25">
      <c r="C7">
        <f>Control!$B$3-6+ROW()-4</f>
        <v>33</v>
      </c>
      <c r="D7" cm="1">
        <f t="array" ref="D7">INDEX(Calc_Month!$C$2:$C$37,C7)</f>
        <v>10029.400000000001</v>
      </c>
      <c r="E7" cm="1">
        <f t="array" ref="E7">INDEX(Budget!$B$2:$AK$21,Control!$B$6,MATCH(C7,Budget!$B$1:$AK$1,0))</f>
        <v>10308</v>
      </c>
      <c r="F7">
        <f>HLOOKUP(C7,Budget!$B$1:$AK$21,Control!$B$6+1,FALSE)</f>
        <v>10308</v>
      </c>
      <c r="G7">
        <f t="shared" si="0"/>
        <v>-2.7027551416375473E-2</v>
      </c>
      <c r="H7" cm="1">
        <f t="array" ref="H7">INDEX(Budget!$B$25:$AK$44,MATCH(Control!$B$2,Budget!$A$25:$A$44,0),C7)</f>
        <v>536</v>
      </c>
    </row>
    <row r="8" spans="2:9" x14ac:dyDescent="0.25">
      <c r="C8">
        <f>Control!$B$3-6+ROW()-4</f>
        <v>34</v>
      </c>
      <c r="D8" cm="1">
        <f t="array" ref="D8">INDEX(Calc_Month!$C$2:$C$37,C8)</f>
        <v>10087.199999999999</v>
      </c>
      <c r="E8" cm="1">
        <f t="array" ref="E8">INDEX(Budget!$B$2:$AK$21,Control!$B$6,MATCH(C8,Budget!$B$1:$AK$1,0))</f>
        <v>10380</v>
      </c>
      <c r="F8">
        <f>HLOOKUP(C8,Budget!$B$1:$AK$21,Control!$B$6+1,FALSE)</f>
        <v>10380</v>
      </c>
      <c r="G8">
        <f t="shared" si="0"/>
        <v>-2.820809248554923E-2</v>
      </c>
      <c r="H8" cm="1">
        <f t="array" ref="H8">INDEX(Budget!$B$25:$AK$44,MATCH(Control!$B$2,Budget!$A$25:$A$44,0),C8)</f>
        <v>539.70000000000005</v>
      </c>
    </row>
    <row r="9" spans="2:9" x14ac:dyDescent="0.25">
      <c r="C9">
        <f>Control!$B$3-6+ROW()-4</f>
        <v>35</v>
      </c>
      <c r="D9" cm="1">
        <f t="array" ref="D9">INDEX(Calc_Month!$C$2:$C$37,C9)</f>
        <v>10252.199999999999</v>
      </c>
      <c r="E9" cm="1">
        <f t="array" ref="E9">INDEX(Budget!$B$2:$AK$21,Control!$B$6,MATCH(C9,Budget!$B$1:$AK$1,0))</f>
        <v>10451</v>
      </c>
      <c r="F9">
        <f>HLOOKUP(C9,Budget!$B$1:$AK$21,Control!$B$6+1,FALSE)</f>
        <v>10451</v>
      </c>
      <c r="G9">
        <f t="shared" si="0"/>
        <v>-1.9022103148024216E-2</v>
      </c>
      <c r="H9" cm="1">
        <f t="array" ref="H9">INDEX(Budget!$B$25:$AK$44,MATCH(Control!$B$2,Budget!$A$25:$A$44,0),C9)</f>
        <v>543.5</v>
      </c>
    </row>
    <row r="10" spans="2:9" x14ac:dyDescent="0.25">
      <c r="C10">
        <f>Control!$B$3-6+ROW()-4</f>
        <v>36</v>
      </c>
      <c r="D10" cm="1">
        <f t="array" ref="D10">INDEX(Calc_Month!$C$2:$C$37,C10)</f>
        <v>10243.300000000001</v>
      </c>
      <c r="E10" cm="1">
        <f t="array" ref="E10">INDEX(Budget!$B$2:$AK$21,Control!$B$6,MATCH(C10,Budget!$B$1:$AK$1,0))</f>
        <v>10523</v>
      </c>
      <c r="F10">
        <f>HLOOKUP(C10,Budget!$B$1:$AK$21,Control!$B$6+1,FALSE)</f>
        <v>10523</v>
      </c>
      <c r="G10">
        <f t="shared" si="0"/>
        <v>-2.6579872659887815E-2</v>
      </c>
      <c r="H10" cm="1">
        <f t="array" ref="H10">INDEX(Budget!$B$25:$AK$44,MATCH(Control!$B$2,Budget!$A$25:$A$44,0),C10)</f>
        <v>547.20000000000005</v>
      </c>
      <c r="I10" t="s">
        <v>263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B850A-59C8-4E0B-9A55-A44538B6AF1F}">
  <dimension ref="B2:H10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"Volumi in valuta - "&amp;Control!$B$2</f>
        <v>Volumi in valuta - Banca Tirrena</v>
      </c>
    </row>
    <row r="4" spans="2:8" x14ac:dyDescent="0.25">
      <c r="C4" t="s">
        <v>1</v>
      </c>
      <c r="D4" t="s">
        <v>271</v>
      </c>
      <c r="E4" t="s">
        <v>94</v>
      </c>
      <c r="F4" t="s">
        <v>95</v>
      </c>
      <c r="G4" t="s">
        <v>96</v>
      </c>
    </row>
    <row r="5" spans="2:8" x14ac:dyDescent="0.25">
      <c r="C5">
        <f>Control!$B$3-6+ROW()-4</f>
        <v>31</v>
      </c>
      <c r="D5" cm="1">
        <f t="array" ref="D5">INDEX(Calc_Month!$C$2:$C$37,C5)</f>
        <v>9905.6</v>
      </c>
      <c r="E5">
        <f>D5*VLOOKUP(C5,FX!$A$2:$E$37,3,FALSE)</f>
        <v>10398.898880000001</v>
      </c>
      <c r="F5">
        <f>D5*_xlfn.XLOOKUP(C5,FX!$A$2:$A$37,FX!$D$2:$D$37)</f>
        <v>8429.6656000000003</v>
      </c>
      <c r="G5" cm="1">
        <f t="array" ref="G5">D5*INDEX(FX!$E$2:$E$37,C5)</f>
        <v>8796.1728000000003</v>
      </c>
    </row>
    <row r="6" spans="2:8" x14ac:dyDescent="0.25">
      <c r="C6">
        <f>Control!$B$3-6+ROW()-4</f>
        <v>32</v>
      </c>
      <c r="D6" cm="1">
        <f t="array" ref="D6">INDEX(Calc_Month!$C$2:$C$37,C6)</f>
        <v>9946.4000000000015</v>
      </c>
      <c r="E6">
        <f>D6*VLOOKUP(C6,FX!$A$2:$E$37,3,FALSE)</f>
        <v>10522.296560000003</v>
      </c>
      <c r="F6">
        <f>D6*_xlfn.XLOOKUP(C6,FX!$A$2:$A$37,FX!$D$2:$D$37)</f>
        <v>8439.5204000000012</v>
      </c>
      <c r="G6" cm="1">
        <f t="array" ref="G6">D6*INDEX(FX!$E$2:$E$37,C6)</f>
        <v>8812.510400000001</v>
      </c>
    </row>
    <row r="7" spans="2:8" x14ac:dyDescent="0.25">
      <c r="C7">
        <f>Control!$B$3-6+ROW()-4</f>
        <v>33</v>
      </c>
      <c r="D7" cm="1">
        <f t="array" ref="D7">INDEX(Calc_Month!$C$2:$C$37,C7)</f>
        <v>10029.400000000001</v>
      </c>
      <c r="E7">
        <f>D7*VLOOKUP(C7,FX!$A$2:$E$37,3,FALSE)</f>
        <v>10689.334520000002</v>
      </c>
      <c r="F7">
        <f>D7*_xlfn.XLOOKUP(C7,FX!$A$2:$A$37,FX!$D$2:$D$37)</f>
        <v>8485.8753400000005</v>
      </c>
      <c r="G7" cm="1">
        <f t="array" ref="G7">D7*INDEX(FX!$E$2:$E$37,C7)</f>
        <v>8865.9896000000008</v>
      </c>
    </row>
    <row r="8" spans="2:8" x14ac:dyDescent="0.25">
      <c r="C8">
        <f>Control!$B$3-6+ROW()-4</f>
        <v>34</v>
      </c>
      <c r="D8" cm="1">
        <f t="array" ref="D8">INDEX(Calc_Month!$C$2:$C$37,C8)</f>
        <v>10087.199999999999</v>
      </c>
      <c r="E8">
        <f>D8*VLOOKUP(C8,FX!$A$2:$E$37,3,FALSE)</f>
        <v>10825.583039999998</v>
      </c>
      <c r="F8">
        <f>D8*_xlfn.XLOOKUP(C8,FX!$A$2:$A$37,FX!$D$2:$D$37)</f>
        <v>8513.5967999999993</v>
      </c>
      <c r="G8" cm="1">
        <f t="array" ref="G8">D8*INDEX(FX!$E$2:$E$37,C8)</f>
        <v>8896.9103999999988</v>
      </c>
    </row>
    <row r="9" spans="2:8" x14ac:dyDescent="0.25">
      <c r="C9">
        <f>Control!$B$3-6+ROW()-4</f>
        <v>35</v>
      </c>
      <c r="D9" cm="1">
        <f t="array" ref="D9">INDEX(Calc_Month!$C$2:$C$37,C9)</f>
        <v>10252.199999999999</v>
      </c>
      <c r="E9">
        <f>D9*VLOOKUP(C9,FX!$A$2:$E$37,3,FALSE)</f>
        <v>11070.325559999999</v>
      </c>
      <c r="F9">
        <f>D9*_xlfn.XLOOKUP(C9,FX!$A$2:$A$37,FX!$D$2:$D$37)</f>
        <v>8634.4028399999988</v>
      </c>
      <c r="G9" cm="1">
        <f t="array" ref="G9">D9*INDEX(FX!$E$2:$E$37,C9)</f>
        <v>9021.9359999999997</v>
      </c>
    </row>
    <row r="10" spans="2:8" x14ac:dyDescent="0.25">
      <c r="C10">
        <f>Control!$B$3-6+ROW()-4</f>
        <v>36</v>
      </c>
      <c r="D10" cm="1">
        <f t="array" ref="D10">INDEX(Calc_Month!$C$2:$C$37,C10)</f>
        <v>10243.300000000001</v>
      </c>
      <c r="E10">
        <f>D10*VLOOKUP(C10,FX!$A$2:$E$37,3,FALSE)</f>
        <v>11117.05349</v>
      </c>
      <c r="F10">
        <f>D10*_xlfn.XLOOKUP(C10,FX!$A$2:$A$37,FX!$D$2:$D$37)</f>
        <v>8613.5909700000011</v>
      </c>
      <c r="G10" cm="1">
        <f t="array" ref="G10">D10*INDEX(FX!$E$2:$E$37,C10)</f>
        <v>8993.617400000001</v>
      </c>
      <c r="H10" t="s">
        <v>263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DCBA8-2F5E-4741-B3A0-3E55085F523F}">
  <dimension ref="B2:H24"/>
  <sheetViews>
    <sheetView workbookViewId="0"/>
  </sheetViews>
  <sheetFormatPr defaultRowHeight="12.5" x14ac:dyDescent="0.25"/>
  <sheetData>
    <row r="2" spans="2:7" x14ac:dyDescent="0.25">
      <c r="B2" t="s">
        <v>263</v>
      </c>
    </row>
    <row r="3" spans="2:7" x14ac:dyDescent="0.25">
      <c r="C3" t="str">
        <f>"Scenario al "&amp;TEXT(Control!$B$4,"0,0%")</f>
        <v>Scenario al 3,0%</v>
      </c>
    </row>
    <row r="4" spans="2:7" x14ac:dyDescent="0.25">
      <c r="C4" t="s">
        <v>0</v>
      </c>
      <c r="D4" t="s">
        <v>272</v>
      </c>
      <c r="E4" t="s">
        <v>141</v>
      </c>
      <c r="F4" t="s">
        <v>273</v>
      </c>
      <c r="G4" t="s">
        <v>274</v>
      </c>
    </row>
    <row r="5" spans="2:7" x14ac:dyDescent="0.25">
      <c r="C5" t="str">
        <f>Banks!A2</f>
        <v>Banca Alpi</v>
      </c>
      <c r="D5" cm="1">
        <f t="array" ref="D5">INDEX(Calc_BankMonth!$B3:$AK3,Control!$B$3)</f>
        <v>7595.8000000000011</v>
      </c>
      <c r="E5" cm="1">
        <f t="array" ref="E5">INDEX(Calc_BankMonth!$B49:$AK49,Control!$B$3)</f>
        <v>8300.1357466000009</v>
      </c>
      <c r="F5">
        <f t="shared" ref="F5:F24" si="0">E5-D5</f>
        <v>704.33574659999977</v>
      </c>
      <c r="G5">
        <f>Calc_Scenario!AL3</f>
        <v>9008.1373257849882</v>
      </c>
    </row>
    <row r="6" spans="2:7" x14ac:dyDescent="0.25">
      <c r="C6" t="str">
        <f>Banks!A3</f>
        <v>Banca Adriatica</v>
      </c>
      <c r="D6" cm="1">
        <f t="array" ref="D6">INDEX(Calc_BankMonth!$B4:$AK4,Control!$B$3)</f>
        <v>8954.2000000000007</v>
      </c>
      <c r="E6" cm="1">
        <f t="array" ref="E6">INDEX(Calc_BankMonth!$B50:$AK50,Control!$B$3)</f>
        <v>9784.4961034000007</v>
      </c>
      <c r="F6">
        <f t="shared" si="0"/>
        <v>830.29610339999999</v>
      </c>
      <c r="G6">
        <f>Calc_Scenario!AL4</f>
        <v>10619.113621020027</v>
      </c>
    </row>
    <row r="7" spans="2:7" x14ac:dyDescent="0.25">
      <c r="C7" t="str">
        <f>Banks!A4</f>
        <v>Banca Tirrena</v>
      </c>
      <c r="D7" cm="1">
        <f t="array" ref="D7">INDEX(Calc_BankMonth!$B5:$AK5,Control!$B$3)</f>
        <v>10243.300000000001</v>
      </c>
      <c r="E7" cm="1">
        <f t="array" ref="E7">INDEX(Calc_BankMonth!$B51:$AK51,Control!$B$3)</f>
        <v>11193.130479100002</v>
      </c>
      <c r="F7">
        <f t="shared" si="0"/>
        <v>949.83047910000096</v>
      </c>
      <c r="G7">
        <f>Calc_Scenario!AL5</f>
        <v>12147.904508967242</v>
      </c>
    </row>
    <row r="8" spans="2:7" x14ac:dyDescent="0.25">
      <c r="C8" t="str">
        <f>Banks!A5</f>
        <v>Banca Padana</v>
      </c>
      <c r="D8" cm="1">
        <f t="array" ref="D8">INDEX(Calc_BankMonth!$B6:$AK6,Control!$B$3)</f>
        <v>11467.099999999999</v>
      </c>
      <c r="E8" cm="1">
        <f t="array" ref="E8">INDEX(Calc_BankMonth!$B52:$AK52,Control!$B$3)</f>
        <v>12530.409781699998</v>
      </c>
      <c r="F8">
        <f t="shared" si="0"/>
        <v>1063.3097816999998</v>
      </c>
      <c r="G8">
        <f>Calc_Scenario!AL6</f>
        <v>13599.253736079019</v>
      </c>
    </row>
    <row r="9" spans="2:7" x14ac:dyDescent="0.25">
      <c r="C9" t="str">
        <f>Banks!A6</f>
        <v>Banca Etrusca</v>
      </c>
      <c r="D9" cm="1">
        <f t="array" ref="D9">INDEX(Calc_BankMonth!$B7:$AK7,Control!$B$3)</f>
        <v>12839.400000000001</v>
      </c>
      <c r="E9" cm="1">
        <f t="array" ref="E9">INDEX(Calc_BankMonth!$B53:$AK53,Control!$B$3)</f>
        <v>14029.959043800001</v>
      </c>
      <c r="F9">
        <f t="shared" si="0"/>
        <v>1190.5590437999999</v>
      </c>
      <c r="G9">
        <f>Calc_Scenario!AL7</f>
        <v>15226.714550236153</v>
      </c>
    </row>
    <row r="10" spans="2:7" x14ac:dyDescent="0.25">
      <c r="C10" t="str">
        <f>Banks!A7</f>
        <v>Banca Lariana</v>
      </c>
      <c r="D10" cm="1">
        <f t="array" ref="D10">INDEX(Calc_BankMonth!$B8:$AK8,Control!$B$3)</f>
        <v>14148.099999999999</v>
      </c>
      <c r="E10" cm="1">
        <f t="array" ref="E10">INDEX(Calc_BankMonth!$B54:$AK54,Control!$B$3)</f>
        <v>15460.010868699999</v>
      </c>
      <c r="F10">
        <f t="shared" si="0"/>
        <v>1311.9108687000007</v>
      </c>
      <c r="G10">
        <f>Calc_Scenario!AL8</f>
        <v>16778.749795800119</v>
      </c>
    </row>
    <row r="11" spans="2:7" x14ac:dyDescent="0.25">
      <c r="C11" t="str">
        <f>Banks!A8</f>
        <v>Banca Sabina</v>
      </c>
      <c r="D11" cm="1">
        <f t="array" ref="D11">INDEX(Calc_BankMonth!$B9:$AK9,Control!$B$3)</f>
        <v>15403.7</v>
      </c>
      <c r="E11" cm="1">
        <f t="array" ref="E11">INDEX(Calc_BankMonth!$B55:$AK55,Control!$B$3)</f>
        <v>16832.038889899999</v>
      </c>
      <c r="F11">
        <f t="shared" si="0"/>
        <v>1428.3388898999983</v>
      </c>
      <c r="G11">
        <f>Calc_Scenario!AL9</f>
        <v>18267.811807208484</v>
      </c>
    </row>
    <row r="12" spans="2:7" x14ac:dyDescent="0.25">
      <c r="C12" t="str">
        <f>Banks!A9</f>
        <v>Banca Irpina</v>
      </c>
      <c r="D12" cm="1">
        <f t="array" ref="D12">INDEX(Calc_BankMonth!$B10:$AK10,Control!$B$3)</f>
        <v>16713.899999999998</v>
      </c>
      <c r="E12" cm="1">
        <f t="array" ref="E12">INDEX(Calc_BankMonth!$B56:$AK56,Control!$B$3)</f>
        <v>18263.729805299998</v>
      </c>
      <c r="F12">
        <f t="shared" si="0"/>
        <v>1549.8298052999999</v>
      </c>
      <c r="G12">
        <f>Calc_Scenario!AL10</f>
        <v>19821.625957692104</v>
      </c>
    </row>
    <row r="13" spans="2:7" x14ac:dyDescent="0.25">
      <c r="C13" t="str">
        <f>Banks!A10</f>
        <v>Banca Sannita</v>
      </c>
      <c r="D13" cm="1">
        <f t="array" ref="D13">INDEX(Calc_BankMonth!$B11:$AK11,Control!$B$3)</f>
        <v>17981.400000000001</v>
      </c>
      <c r="E13" cm="1">
        <f t="array" ref="E13">INDEX(Calc_BankMonth!$B57:$AK57,Control!$B$3)</f>
        <v>19648.7612778</v>
      </c>
      <c r="F13">
        <f t="shared" si="0"/>
        <v>1667.3612777999988</v>
      </c>
      <c r="G13">
        <f>Calc_Scenario!AL11</f>
        <v>21324.800614796357</v>
      </c>
    </row>
    <row r="14" spans="2:7" x14ac:dyDescent="0.25">
      <c r="C14" t="str">
        <f>Banks!A11</f>
        <v>Banca Ligure</v>
      </c>
      <c r="D14" cm="1">
        <f t="array" ref="D14">INDEX(Calc_BankMonth!$B12:$AK12,Control!$B$3)</f>
        <v>19412</v>
      </c>
      <c r="E14" cm="1">
        <f t="array" ref="E14">INDEX(Calc_BankMonth!$B58:$AK58,Control!$B$3)</f>
        <v>21212.016523999999</v>
      </c>
      <c r="F14">
        <f t="shared" si="0"/>
        <v>1800.0165239999988</v>
      </c>
      <c r="G14">
        <f>Calc_Scenario!AL12</f>
        <v>23021.401533497217</v>
      </c>
    </row>
    <row r="15" spans="2:7" x14ac:dyDescent="0.25">
      <c r="C15" t="str">
        <f>Banks!A12</f>
        <v>Banca Veneta</v>
      </c>
      <c r="D15" cm="1">
        <f t="array" ref="D15">INDEX(Calc_BankMonth!$B13:$AK13,Control!$B$3)</f>
        <v>20672.400000000001</v>
      </c>
      <c r="E15" cm="1">
        <f t="array" ref="E15">INDEX(Calc_BankMonth!$B59:$AK59,Control!$B$3)</f>
        <v>22589.289634800003</v>
      </c>
      <c r="F15">
        <f t="shared" si="0"/>
        <v>1916.8896348000017</v>
      </c>
      <c r="G15">
        <f>Calc_Scenario!AL13</f>
        <v>24516.15604064846</v>
      </c>
    </row>
    <row r="16" spans="2:7" x14ac:dyDescent="0.25">
      <c r="C16" t="str">
        <f>Banks!A13</f>
        <v>Banca Friulana</v>
      </c>
      <c r="D16" cm="1">
        <f t="array" ref="D16">INDEX(Calc_BankMonth!$B14:$AK14,Control!$B$3)</f>
        <v>21924.5</v>
      </c>
      <c r="E16" cm="1">
        <f t="array" ref="E16">INDEX(Calc_BankMonth!$B60:$AK60,Control!$B$3)</f>
        <v>23957.4931115</v>
      </c>
      <c r="F16">
        <f t="shared" si="0"/>
        <v>2032.9931114999999</v>
      </c>
      <c r="G16">
        <f>Calc_Scenario!AL14</f>
        <v>26001.067273910969</v>
      </c>
    </row>
    <row r="17" spans="3:8" x14ac:dyDescent="0.25">
      <c r="C17" t="str">
        <f>Banks!A14</f>
        <v>Banca Umbra</v>
      </c>
      <c r="D17" cm="1">
        <f t="array" ref="D17">INDEX(Calc_BankMonth!$B15:$AK15,Control!$B$3)</f>
        <v>23266.5</v>
      </c>
      <c r="E17" cm="1">
        <f t="array" ref="E17">INDEX(Calc_BankMonth!$B61:$AK61,Control!$B$3)</f>
        <v>25423.932745499998</v>
      </c>
      <c r="F17">
        <f t="shared" si="0"/>
        <v>2157.4327454999984</v>
      </c>
      <c r="G17">
        <f>Calc_Scenario!AL15</f>
        <v>27592.594208691171</v>
      </c>
    </row>
    <row r="18" spans="3:8" x14ac:dyDescent="0.25">
      <c r="C18" t="str">
        <f>Banks!A15</f>
        <v>Banca Marchigiana</v>
      </c>
      <c r="D18" cm="1">
        <f t="array" ref="D18">INDEX(Calc_BankMonth!$B16:$AK16,Control!$B$3)</f>
        <v>24657.8</v>
      </c>
      <c r="E18" cm="1">
        <f t="array" ref="E18">INDEX(Calc_BankMonth!$B62:$AK62,Control!$B$3)</f>
        <v>26944.243820600001</v>
      </c>
      <c r="F18">
        <f t="shared" si="0"/>
        <v>2286.4438206000013</v>
      </c>
      <c r="G18">
        <f>Calc_Scenario!AL16</f>
        <v>29242.587818497203</v>
      </c>
    </row>
    <row r="19" spans="3:8" x14ac:dyDescent="0.25">
      <c r="C19" t="str">
        <f>Banks!A16</f>
        <v>Banca Lucana</v>
      </c>
      <c r="D19" cm="1">
        <f t="array" ref="D19">INDEX(Calc_BankMonth!$B17:$AK17,Control!$B$3)</f>
        <v>25892.2</v>
      </c>
      <c r="E19" cm="1">
        <f t="array" ref="E19">INDEX(Calc_BankMonth!$B63:$AK63,Control!$B$3)</f>
        <v>28293.106029400002</v>
      </c>
      <c r="F19">
        <f t="shared" si="0"/>
        <v>2400.906029400001</v>
      </c>
      <c r="G19">
        <f>Calc_Scenario!AL17</f>
        <v>30706.507973707845</v>
      </c>
    </row>
    <row r="20" spans="3:8" x14ac:dyDescent="0.25">
      <c r="C20" t="str">
        <f>Banks!A17</f>
        <v>Banca Calabra</v>
      </c>
      <c r="D20" cm="1">
        <f t="array" ref="D20">INDEX(Calc_BankMonth!$B18:$AK18,Control!$B$3)</f>
        <v>27252.399999999998</v>
      </c>
      <c r="E20" cm="1">
        <f t="array" ref="E20">INDEX(Calc_BankMonth!$B64:$AK64,Control!$B$3)</f>
        <v>29779.433294799997</v>
      </c>
      <c r="F20">
        <f t="shared" si="0"/>
        <v>2527.0332947999996</v>
      </c>
      <c r="G20">
        <f>Calc_Scenario!AL18</f>
        <v>32319.618954846464</v>
      </c>
    </row>
    <row r="21" spans="3:8" x14ac:dyDescent="0.25">
      <c r="C21" t="str">
        <f>Banks!A18</f>
        <v>Banca Sicula</v>
      </c>
      <c r="D21" cm="1">
        <f t="array" ref="D21">INDEX(Calc_BankMonth!$B19:$AK19,Control!$B$3)</f>
        <v>28525.599999999999</v>
      </c>
      <c r="E21" cm="1">
        <f t="array" ref="E21">INDEX(Calc_BankMonth!$B65:$AK65,Control!$B$3)</f>
        <v>31170.693311199997</v>
      </c>
      <c r="F21">
        <f t="shared" si="0"/>
        <v>2645.0933111999984</v>
      </c>
      <c r="G21">
        <f>Calc_Scenario!AL19</f>
        <v>33829.553450645384</v>
      </c>
    </row>
    <row r="22" spans="3:8" x14ac:dyDescent="0.25">
      <c r="C22" t="str">
        <f>Banks!A19</f>
        <v>Banca Sarda</v>
      </c>
      <c r="D22" cm="1">
        <f t="array" ref="D22">INDEX(Calc_BankMonth!$B20:$AK20,Control!$B$3)</f>
        <v>29778.7</v>
      </c>
      <c r="E22" cm="1">
        <f t="array" ref="E22">INDEX(Calc_BankMonth!$B66:$AK66,Control!$B$3)</f>
        <v>32539.9895149</v>
      </c>
      <c r="F22">
        <f t="shared" si="0"/>
        <v>2761.2895148999996</v>
      </c>
      <c r="G22">
        <f>Calc_Scenario!AL20</f>
        <v>35315.650620520995</v>
      </c>
    </row>
    <row r="23" spans="3:8" x14ac:dyDescent="0.25">
      <c r="C23" t="str">
        <f>Banks!A20</f>
        <v>Banca Romagnola</v>
      </c>
      <c r="D23" cm="1">
        <f t="array" ref="D23">INDEX(Calc_BankMonth!$B21:$AK21,Control!$B$3)</f>
        <v>31096.1</v>
      </c>
      <c r="E23" cm="1">
        <f t="array" ref="E23">INDEX(Calc_BankMonth!$B67:$AK67,Control!$B$3)</f>
        <v>33979.5480647</v>
      </c>
      <c r="F23">
        <f t="shared" si="0"/>
        <v>2883.4480647000019</v>
      </c>
      <c r="G23">
        <f>Calc_Scenario!AL21</f>
        <v>36878.00351461894</v>
      </c>
    </row>
    <row r="24" spans="3:8" x14ac:dyDescent="0.25">
      <c r="C24" t="str">
        <f>Banks!A21</f>
        <v>Banca Città</v>
      </c>
      <c r="D24" cm="1">
        <f t="array" ref="D24">INDEX(Calc_BankMonth!$B22:$AK22,Control!$B$3)</f>
        <v>32434</v>
      </c>
      <c r="E24" cm="1">
        <f t="array" ref="E24">INDEX(Calc_BankMonth!$B68:$AK68,Control!$B$3)</f>
        <v>35441.507517999999</v>
      </c>
      <c r="F24">
        <f t="shared" si="0"/>
        <v>3007.5075179999985</v>
      </c>
      <c r="G24">
        <f>Calc_Scenario!AL22</f>
        <v>38464.668109285427</v>
      </c>
      <c r="H24" t="s">
        <v>263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1AA4-EA71-4FBE-8AA9-778299FDF700}">
  <dimension ref="B2:J2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"Crescita m/m - ultimi 6 mesi"</f>
        <v>Crescita m/m - ultimi 6 mesi</v>
      </c>
    </row>
    <row r="4" spans="2:9" x14ac:dyDescent="0.25">
      <c r="C4" t="s">
        <v>0</v>
      </c>
      <c r="D4" t="s">
        <v>275</v>
      </c>
      <c r="E4" t="s">
        <v>276</v>
      </c>
      <c r="F4" t="s">
        <v>277</v>
      </c>
      <c r="G4" t="s">
        <v>278</v>
      </c>
      <c r="H4" t="s">
        <v>279</v>
      </c>
      <c r="I4" t="s">
        <v>280</v>
      </c>
    </row>
    <row r="5" spans="2:9" x14ac:dyDescent="0.25">
      <c r="C5" t="str">
        <f>Banks!A2</f>
        <v>Banca Alpi</v>
      </c>
      <c r="D5" cm="1">
        <f t="array" ref="D5">INDEX(Calc_Growth!$C3:$AK3,Control!$B$3-1-5)</f>
        <v>1.524174688638702E-2</v>
      </c>
      <c r="E5" cm="1">
        <f t="array" ref="E5">INDEX(Calc_Growth!$C3:$AK3,Control!$B$3-1-4)</f>
        <v>-1.6847687795470634E-2</v>
      </c>
      <c r="F5" cm="1">
        <f t="array" ref="F5">INDEX(Calc_Growth!$C3:$AK3,Control!$B$3-1-3)</f>
        <v>1.9084333410524401E-2</v>
      </c>
      <c r="G5" cm="1">
        <f t="array" ref="G5">INDEX(Calc_Growth!$C3:$AK3,Control!$B$3-1-2)</f>
        <v>7.5789980217075836E-3</v>
      </c>
      <c r="H5" cm="1">
        <f t="array" ref="H5">INDEX(Calc_Growth!$C3:$AK3,Control!$B$3-1-1)</f>
        <v>6.1555605672667379E-3</v>
      </c>
      <c r="I5" cm="1">
        <f t="array" ref="I5">INDEX(Calc_Growth!$C3:$AK3,Control!$B$3-1-0)</f>
        <v>1.5162902311356419E-3</v>
      </c>
    </row>
    <row r="6" spans="2:9" x14ac:dyDescent="0.25">
      <c r="C6" t="str">
        <f>Banks!A3</f>
        <v>Banca Adriatica</v>
      </c>
      <c r="D6" cm="1">
        <f t="array" ref="D6">INDEX(Calc_Growth!$C4:$AK4,Control!$B$3-1-5)</f>
        <v>2.8594437506563875E-3</v>
      </c>
      <c r="E6" cm="1">
        <f t="array" ref="E6">INDEX(Calc_Growth!$C4:$AK4,Control!$B$3-1-4)</f>
        <v>1.2068524078858722E-2</v>
      </c>
      <c r="F6" cm="1">
        <f t="array" ref="F6">INDEX(Calc_Growth!$C4:$AK4,Control!$B$3-1-3)</f>
        <v>5.6690776537149379E-3</v>
      </c>
      <c r="G6" cm="1">
        <f t="array" ref="G6">INDEX(Calc_Growth!$C4:$AK4,Control!$B$3-1-2)</f>
        <v>5.4084339553606142E-3</v>
      </c>
      <c r="H6" cm="1">
        <f t="array" ref="H6">INDEX(Calc_Growth!$C4:$AK4,Control!$B$3-1-1)</f>
        <v>1.1406930591727038E-2</v>
      </c>
      <c r="I6" cm="1">
        <f t="array" ref="I6">INDEX(Calc_Growth!$C4:$AK4,Control!$B$3-1-0)</f>
        <v>6.8591733009493172E-3</v>
      </c>
    </row>
    <row r="7" spans="2:9" x14ac:dyDescent="0.25">
      <c r="C7" t="str">
        <f>Banks!A4</f>
        <v>Banca Tirrena</v>
      </c>
      <c r="D7" cm="1">
        <f t="array" ref="D7">INDEX(Calc_Growth!$C5:$AK5,Control!$B$3-1-5)</f>
        <v>4.034138133755194E-3</v>
      </c>
      <c r="E7" cm="1">
        <f t="array" ref="E7">INDEX(Calc_Growth!$C5:$AK5,Control!$B$3-1-4)</f>
        <v>4.1188822484252707E-3</v>
      </c>
      <c r="F7" cm="1">
        <f t="array" ref="F7">INDEX(Calc_Growth!$C5:$AK5,Control!$B$3-1-3)</f>
        <v>8.3447277406900611E-3</v>
      </c>
      <c r="G7" cm="1">
        <f t="array" ref="G7">INDEX(Calc_Growth!$C5:$AK5,Control!$B$3-1-2)</f>
        <v>5.7630566135558059E-3</v>
      </c>
      <c r="H7" cm="1">
        <f t="array" ref="H7">INDEX(Calc_Growth!$C5:$AK5,Control!$B$3-1-1)</f>
        <v>1.6357363787770751E-2</v>
      </c>
      <c r="I7" cm="1">
        <f t="array" ref="I7">INDEX(Calc_Growth!$C5:$AK5,Control!$B$3-1-0)</f>
        <v>-8.6810635765965927E-4</v>
      </c>
    </row>
    <row r="8" spans="2:9" x14ac:dyDescent="0.25">
      <c r="C8" t="str">
        <f>Banks!A5</f>
        <v>Banca Padana</v>
      </c>
      <c r="D8" cm="1">
        <f t="array" ref="D8">INDEX(Calc_Growth!$C6:$AK6,Control!$B$3-1-5)</f>
        <v>8.7172205546666159E-3</v>
      </c>
      <c r="E8" cm="1">
        <f t="array" ref="E8">INDEX(Calc_Growth!$C6:$AK6,Control!$B$3-1-4)</f>
        <v>6.9847831509923797E-3</v>
      </c>
      <c r="F8" cm="1">
        <f t="array" ref="F8">INDEX(Calc_Growth!$C6:$AK6,Control!$B$3-1-3)</f>
        <v>4.8129666985172737E-3</v>
      </c>
      <c r="G8" cm="1">
        <f t="array" ref="G8">INDEX(Calc_Growth!$C6:$AK6,Control!$B$3-1-2)</f>
        <v>-2.2981016447716218E-3</v>
      </c>
      <c r="H8" cm="1">
        <f t="array" ref="H8">INDEX(Calc_Growth!$C6:$AK6,Control!$B$3-1-1)</f>
        <v>1.6812136509253284E-2</v>
      </c>
      <c r="I8" cm="1">
        <f t="array" ref="I8">INDEX(Calc_Growth!$C6:$AK6,Control!$B$3-1-0)</f>
        <v>-4.7302457991946767E-3</v>
      </c>
    </row>
    <row r="9" spans="2:9" x14ac:dyDescent="0.25">
      <c r="C9" t="str">
        <f>Banks!A6</f>
        <v>Banca Etrusca</v>
      </c>
      <c r="D9" cm="1">
        <f t="array" ref="D9">INDEX(Calc_Growth!$C7:$AK7,Control!$B$3-1-5)</f>
        <v>9.652884537583839E-3</v>
      </c>
      <c r="E9" cm="1">
        <f t="array" ref="E9">INDEX(Calc_Growth!$C7:$AK7,Control!$B$3-1-4)</f>
        <v>3.1093979147800432E-3</v>
      </c>
      <c r="F9" cm="1">
        <f t="array" ref="F9">INDEX(Calc_Growth!$C7:$AK7,Control!$B$3-1-3)</f>
        <v>3.3713879412962111E-3</v>
      </c>
      <c r="G9" cm="1">
        <f t="array" ref="G9">INDEX(Calc_Growth!$C7:$AK7,Control!$B$3-1-2)</f>
        <v>1.1664662839489415E-2</v>
      </c>
      <c r="H9" cm="1">
        <f t="array" ref="H9">INDEX(Calc_Growth!$C7:$AK7,Control!$B$3-1-1)</f>
        <v>7.327362306977836E-3</v>
      </c>
      <c r="I9" cm="1">
        <f t="array" ref="I9">INDEX(Calc_Growth!$C7:$AK7,Control!$B$3-1-0)</f>
        <v>3.1643344349907565E-3</v>
      </c>
    </row>
    <row r="10" spans="2:9" x14ac:dyDescent="0.25">
      <c r="C10" t="str">
        <f>Banks!A7</f>
        <v>Banca Lariana</v>
      </c>
      <c r="D10" cm="1">
        <f t="array" ref="D10">INDEX(Calc_Growth!$C8:$AK8,Control!$B$3-1-5)</f>
        <v>7.5337325819220258E-3</v>
      </c>
      <c r="E10" cm="1">
        <f t="array" ref="E10">INDEX(Calc_Growth!$C8:$AK8,Control!$B$3-1-4)</f>
        <v>1.1865990974544882E-2</v>
      </c>
      <c r="F10" cm="1">
        <f t="array" ref="F10">INDEX(Calc_Growth!$C8:$AK8,Control!$B$3-1-3)</f>
        <v>2.3092854926356488E-3</v>
      </c>
      <c r="G10" cm="1">
        <f t="array" ref="G10">INDEX(Calc_Growth!$C8:$AK8,Control!$B$3-1-2)</f>
        <v>8.2222750214195894E-3</v>
      </c>
      <c r="H10" cm="1">
        <f t="array" ref="H10">INDEX(Calc_Growth!$C8:$AK8,Control!$B$3-1-1)</f>
        <v>5.9985860475746389E-3</v>
      </c>
      <c r="I10" cm="1">
        <f t="array" ref="I10">INDEX(Calc_Growth!$C8:$AK8,Control!$B$3-1-0)</f>
        <v>4.3159441482751859E-3</v>
      </c>
    </row>
    <row r="11" spans="2:9" x14ac:dyDescent="0.25">
      <c r="C11" t="str">
        <f>Banks!A8</f>
        <v>Banca Sabina</v>
      </c>
      <c r="D11" cm="1">
        <f t="array" ref="D11">INDEX(Calc_Growth!$C9:$AK9,Control!$B$3-1-5)</f>
        <v>7.8395219573905717E-3</v>
      </c>
      <c r="E11" cm="1">
        <f t="array" ref="E11">INDEX(Calc_Growth!$C9:$AK9,Control!$B$3-1-4)</f>
        <v>7.0240567266026677E-3</v>
      </c>
      <c r="F11" cm="1">
        <f t="array" ref="F11">INDEX(Calc_Growth!$C9:$AK9,Control!$B$3-1-3)</f>
        <v>4.6677230926317481E-3</v>
      </c>
      <c r="G11" cm="1">
        <f t="array" ref="G11">INDEX(Calc_Growth!$C9:$AK9,Control!$B$3-1-2)</f>
        <v>1.2426828222033004E-2</v>
      </c>
      <c r="H11" cm="1">
        <f t="array" ref="H11">INDEX(Calc_Growth!$C9:$AK9,Control!$B$3-1-1)</f>
        <v>2.8876865914868599E-3</v>
      </c>
      <c r="I11" cm="1">
        <f t="array" ref="I11">INDEX(Calc_Growth!$C9:$AK9,Control!$B$3-1-0)</f>
        <v>1.1959467803683843E-3</v>
      </c>
    </row>
    <row r="12" spans="2:9" x14ac:dyDescent="0.25">
      <c r="C12" t="str">
        <f>Banks!A9</f>
        <v>Banca Irpina</v>
      </c>
      <c r="D12" cm="1">
        <f t="array" ref="D12">INDEX(Calc_Growth!$C10:$AK10,Control!$B$3-1-5)</f>
        <v>3.7311824646737435E-3</v>
      </c>
      <c r="E12" cm="1">
        <f t="array" ref="E12">INDEX(Calc_Growth!$C10:$AK10,Control!$B$3-1-4)</f>
        <v>1.7973144564196186E-3</v>
      </c>
      <c r="F12" cm="1">
        <f t="array" ref="F12">INDEX(Calc_Growth!$C10:$AK10,Control!$B$3-1-3)</f>
        <v>6.4660714941771058E-3</v>
      </c>
      <c r="G12" cm="1">
        <f t="array" ref="G12">INDEX(Calc_Growth!$C10:$AK10,Control!$B$3-1-2)</f>
        <v>9.1805073918596047E-3</v>
      </c>
      <c r="H12" cm="1">
        <f t="array" ref="H12">INDEX(Calc_Growth!$C10:$AK10,Control!$B$3-1-1)</f>
        <v>5.6667812079891355E-4</v>
      </c>
      <c r="I12" cm="1">
        <f t="array" ref="I12">INDEX(Calc_Growth!$C10:$AK10,Control!$B$3-1-0)</f>
        <v>7.0252390449048185E-3</v>
      </c>
    </row>
    <row r="13" spans="2:9" x14ac:dyDescent="0.25">
      <c r="C13" t="str">
        <f>Banks!A10</f>
        <v>Banca Sannita</v>
      </c>
      <c r="D13" cm="1">
        <f t="array" ref="D13">INDEX(Calc_Growth!$C11:$AK11,Control!$B$3-1-5)</f>
        <v>6.4409929338349325E-3</v>
      </c>
      <c r="E13" cm="1">
        <f t="array" ref="E13">INDEX(Calc_Growth!$C11:$AK11,Control!$B$3-1-4)</f>
        <v>5.0149593959236682E-4</v>
      </c>
      <c r="F13" cm="1">
        <f t="array" ref="F13">INDEX(Calc_Growth!$C11:$AK11,Control!$B$3-1-3)</f>
        <v>5.8554479018928518E-3</v>
      </c>
      <c r="G13" cm="1">
        <f t="array" ref="G13">INDEX(Calc_Growth!$C11:$AK11,Control!$B$3-1-2)</f>
        <v>1.1971165008409335E-2</v>
      </c>
      <c r="H13" cm="1">
        <f t="array" ref="H13">INDEX(Calc_Growth!$C11:$AK11,Control!$B$3-1-1)</f>
        <v>2.1935592177049212E-3</v>
      </c>
      <c r="I13" cm="1">
        <f t="array" ref="I13">INDEX(Calc_Growth!$C11:$AK11,Control!$B$3-1-0)</f>
        <v>4.0034171426659437E-3</v>
      </c>
    </row>
    <row r="14" spans="2:9" x14ac:dyDescent="0.25">
      <c r="C14" t="str">
        <f>Banks!A11</f>
        <v>Banca Ligure</v>
      </c>
      <c r="D14" cm="1">
        <f t="array" ref="D14">INDEX(Calc_Growth!$C12:$AK12,Control!$B$3-1-5)</f>
        <v>9.2900765825443266E-3</v>
      </c>
      <c r="E14" cm="1">
        <f t="array" ref="E14">INDEX(Calc_Growth!$C12:$AK12,Control!$B$3-1-4)</f>
        <v>4.7223422817717076E-3</v>
      </c>
      <c r="F14" cm="1">
        <f t="array" ref="F14">INDEX(Calc_Growth!$C12:$AK12,Control!$B$3-1-3)</f>
        <v>8.7045652497184101E-3</v>
      </c>
      <c r="G14" cm="1">
        <f t="array" ref="G14">INDEX(Calc_Growth!$C12:$AK12,Control!$B$3-1-2)</f>
        <v>9.1506915669377076E-3</v>
      </c>
      <c r="H14" cm="1">
        <f t="array" ref="H14">INDEX(Calc_Growth!$C12:$AK12,Control!$B$3-1-1)</f>
        <v>7.4033881326658335E-3</v>
      </c>
      <c r="I14" cm="1">
        <f t="array" ref="I14">INDEX(Calc_Growth!$C12:$AK12,Control!$B$3-1-0)</f>
        <v>5.3447132913493345E-3</v>
      </c>
    </row>
    <row r="15" spans="2:9" x14ac:dyDescent="0.25">
      <c r="C15" t="str">
        <f>Banks!A12</f>
        <v>Banca Veneta</v>
      </c>
      <c r="D15" cm="1">
        <f t="array" ref="D15">INDEX(Calc_Growth!$C13:$AK13,Control!$B$3-1-5)</f>
        <v>8.7381084209996462E-3</v>
      </c>
      <c r="E15" cm="1">
        <f t="array" ref="E15">INDEX(Calc_Growth!$C13:$AK13,Control!$B$3-1-4)</f>
        <v>8.3280939692422784E-3</v>
      </c>
      <c r="F15" cm="1">
        <f t="array" ref="F15">INDEX(Calc_Growth!$C13:$AK13,Control!$B$3-1-3)</f>
        <v>-3.914388222194698E-3</v>
      </c>
      <c r="G15" cm="1">
        <f t="array" ref="G15">INDEX(Calc_Growth!$C13:$AK13,Control!$B$3-1-2)</f>
        <v>1.3836171777190431E-2</v>
      </c>
      <c r="H15" cm="1">
        <f t="array" ref="H15">INDEX(Calc_Growth!$C13:$AK13,Control!$B$3-1-1)</f>
        <v>9.388981177934852E-3</v>
      </c>
      <c r="I15" cm="1">
        <f t="array" ref="I15">INDEX(Calc_Growth!$C13:$AK13,Control!$B$3-1-0)</f>
        <v>3.5876398766900852E-3</v>
      </c>
    </row>
    <row r="16" spans="2:9" x14ac:dyDescent="0.25">
      <c r="C16" t="str">
        <f>Banks!A13</f>
        <v>Banca Friulana</v>
      </c>
      <c r="D16" cm="1">
        <f t="array" ref="D16">INDEX(Calc_Growth!$C14:$AK14,Control!$B$3-1-5)</f>
        <v>6.1550234533318537E-3</v>
      </c>
      <c r="E16" cm="1">
        <f t="array" ref="E16">INDEX(Calc_Growth!$C14:$AK14,Control!$B$3-1-4)</f>
        <v>3.4131455399062371E-3</v>
      </c>
      <c r="F16" cm="1">
        <f t="array" ref="F16">INDEX(Calc_Growth!$C14:$AK14,Control!$B$3-1-3)</f>
        <v>1.3559353755023817E-2</v>
      </c>
      <c r="G16" cm="1">
        <f t="array" ref="G16">INDEX(Calc_Growth!$C14:$AK14,Control!$B$3-1-2)</f>
        <v>-1.2833237160994049E-3</v>
      </c>
      <c r="H16" cm="1">
        <f t="array" ref="H16">INDEX(Calc_Growth!$C14:$AK14,Control!$B$3-1-1)</f>
        <v>1.4236388764346408E-2</v>
      </c>
      <c r="I16" cm="1">
        <f t="array" ref="I16">INDEX(Calc_Growth!$C14:$AK14,Control!$B$3-1-0)</f>
        <v>-8.2943302328342128E-4</v>
      </c>
    </row>
    <row r="17" spans="3:10" x14ac:dyDescent="0.25">
      <c r="C17" t="str">
        <f>Banks!A14</f>
        <v>Banca Umbra</v>
      </c>
      <c r="D17" cm="1">
        <f t="array" ref="D17">INDEX(Calc_Growth!$C15:$AK15,Control!$B$3-1-5)</f>
        <v>8.2417950584967592E-3</v>
      </c>
      <c r="E17" cm="1">
        <f t="array" ref="E17">INDEX(Calc_Growth!$C15:$AK15,Control!$B$3-1-4)</f>
        <v>4.585652004395202E-3</v>
      </c>
      <c r="F17" cm="1">
        <f t="array" ref="F17">INDEX(Calc_Growth!$C15:$AK15,Control!$B$3-1-3)</f>
        <v>6.3420937730163107E-3</v>
      </c>
      <c r="G17" cm="1">
        <f t="array" ref="G17">INDEX(Calc_Growth!$C15:$AK15,Control!$B$3-1-2)</f>
        <v>6.6746429307074084E-3</v>
      </c>
      <c r="H17" cm="1">
        <f t="array" ref="H17">INDEX(Calc_Growth!$C15:$AK15,Control!$B$3-1-1)</f>
        <v>1.0975185023944123E-2</v>
      </c>
      <c r="I17" cm="1">
        <f t="array" ref="I17">INDEX(Calc_Growth!$C15:$AK15,Control!$B$3-1-0)</f>
        <v>1.9119717854974017E-3</v>
      </c>
    </row>
    <row r="18" spans="3:10" x14ac:dyDescent="0.25">
      <c r="C18" t="str">
        <f>Banks!A15</f>
        <v>Banca Marchigiana</v>
      </c>
      <c r="D18" cm="1">
        <f t="array" ref="D18">INDEX(Calc_Growth!$C16:$AK16,Control!$B$3-1-5)</f>
        <v>6.3379121227358226E-3</v>
      </c>
      <c r="E18" cm="1">
        <f t="array" ref="E18">INDEX(Calc_Growth!$C16:$AK16,Control!$B$3-1-4)</f>
        <v>8.5988638415257501E-3</v>
      </c>
      <c r="F18" cm="1">
        <f t="array" ref="F18">INDEX(Calc_Growth!$C16:$AK16,Control!$B$3-1-3)</f>
        <v>4.1462165773731297E-3</v>
      </c>
      <c r="G18" cm="1">
        <f t="array" ref="G18">INDEX(Calc_Growth!$C16:$AK16,Control!$B$3-1-2)</f>
        <v>8.5359534025661876E-3</v>
      </c>
      <c r="H18" cm="1">
        <f t="array" ref="H18">INDEX(Calc_Growth!$C16:$AK16,Control!$B$3-1-1)</f>
        <v>1.5784670782741372E-3</v>
      </c>
      <c r="I18" cm="1">
        <f t="array" ref="I18">INDEX(Calc_Growth!$C16:$AK16,Control!$B$3-1-0)</f>
        <v>1.1984010375197807E-2</v>
      </c>
    </row>
    <row r="19" spans="3:10" x14ac:dyDescent="0.25">
      <c r="C19" t="str">
        <f>Banks!A16</f>
        <v>Banca Lucana</v>
      </c>
      <c r="D19" cm="1">
        <f t="array" ref="D19">INDEX(Calc_Growth!$C17:$AK17,Control!$B$3-1-5)</f>
        <v>8.1532538749031769E-3</v>
      </c>
      <c r="E19" cm="1">
        <f t="array" ref="E19">INDEX(Calc_Growth!$C17:$AK17,Control!$B$3-1-4)</f>
        <v>5.4871104669220738E-3</v>
      </c>
      <c r="F19" cm="1">
        <f t="array" ref="F19">INDEX(Calc_Growth!$C17:$AK17,Control!$B$3-1-3)</f>
        <v>7.7263654796602133E-3</v>
      </c>
      <c r="G19" cm="1">
        <f t="array" ref="G19">INDEX(Calc_Growth!$C17:$AK17,Control!$B$3-1-2)</f>
        <v>5.9104860038592388E-3</v>
      </c>
      <c r="H19" cm="1">
        <f t="array" ref="H19">INDEX(Calc_Growth!$C17:$AK17,Control!$B$3-1-1)</f>
        <v>5.8093426105709778E-3</v>
      </c>
      <c r="I19" cm="1">
        <f t="array" ref="I19">INDEX(Calc_Growth!$C17:$AK17,Control!$B$3-1-0)</f>
        <v>5.7019894816161543E-3</v>
      </c>
    </row>
    <row r="20" spans="3:10" x14ac:dyDescent="0.25">
      <c r="C20" t="str">
        <f>Banks!A17</f>
        <v>Banca Calabra</v>
      </c>
      <c r="D20" cm="1">
        <f t="array" ref="D20">INDEX(Calc_Growth!$C18:$AK18,Control!$B$3-1-5)</f>
        <v>1.1732979901095009E-2</v>
      </c>
      <c r="E20" cm="1">
        <f t="array" ref="E20">INDEX(Calc_Growth!$C18:$AK18,Control!$B$3-1-4)</f>
        <v>5.0961298187961468E-3</v>
      </c>
      <c r="F20" cm="1">
        <f t="array" ref="F20">INDEX(Calc_Growth!$C18:$AK18,Control!$B$3-1-3)</f>
        <v>7.0441635149998127E-3</v>
      </c>
      <c r="G20" cm="1">
        <f t="array" ref="G20">INDEX(Calc_Growth!$C18:$AK18,Control!$B$3-1-2)</f>
        <v>6.3290665748976238E-3</v>
      </c>
      <c r="H20" cm="1">
        <f t="array" ref="H20">INDEX(Calc_Growth!$C18:$AK18,Control!$B$3-1-1)</f>
        <v>8.4340036427164033E-3</v>
      </c>
      <c r="I20" cm="1">
        <f t="array" ref="I20">INDEX(Calc_Growth!$C18:$AK18,Control!$B$3-1-0)</f>
        <v>4.5153133627471309E-3</v>
      </c>
    </row>
    <row r="21" spans="3:10" x14ac:dyDescent="0.25">
      <c r="C21" t="str">
        <f>Banks!A18</f>
        <v>Banca Sicula</v>
      </c>
      <c r="D21" cm="1">
        <f t="array" ref="D21">INDEX(Calc_Growth!$C19:$AK19,Control!$B$3-1-5)</f>
        <v>3.0934041226045039E-3</v>
      </c>
      <c r="E21" cm="1">
        <f t="array" ref="E21">INDEX(Calc_Growth!$C19:$AK19,Control!$B$3-1-4)</f>
        <v>6.2472659173322675E-3</v>
      </c>
      <c r="F21" cm="1">
        <f t="array" ref="F21">INDEX(Calc_Growth!$C19:$AK19,Control!$B$3-1-3)</f>
        <v>7.2396336709434905E-3</v>
      </c>
      <c r="G21" cm="1">
        <f t="array" ref="G21">INDEX(Calc_Growth!$C19:$AK19,Control!$B$3-1-2)</f>
        <v>5.4254772707815757E-3</v>
      </c>
      <c r="H21" cm="1">
        <f t="array" ref="H21">INDEX(Calc_Growth!$C19:$AK19,Control!$B$3-1-1)</f>
        <v>5.8645096056622048E-3</v>
      </c>
      <c r="I21" cm="1">
        <f t="array" ref="I21">INDEX(Calc_Growth!$C19:$AK19,Control!$B$3-1-0)</f>
        <v>6.1301222497338603E-3</v>
      </c>
    </row>
    <row r="22" spans="3:10" x14ac:dyDescent="0.25">
      <c r="C22" t="str">
        <f>Banks!A19</f>
        <v>Banca Sarda</v>
      </c>
      <c r="D22" cm="1">
        <f t="array" ref="D22">INDEX(Calc_Growth!$C20:$AK20,Control!$B$3-1-5)</f>
        <v>8.5477822770176903E-3</v>
      </c>
      <c r="E22" cm="1">
        <f t="array" ref="E22">INDEX(Calc_Growth!$C20:$AK20,Control!$B$3-1-4)</f>
        <v>2.810152452496828E-3</v>
      </c>
      <c r="F22" cm="1">
        <f t="array" ref="F22">INDEX(Calc_Growth!$C20:$AK20,Control!$B$3-1-3)</f>
        <v>8.2209323941915269E-3</v>
      </c>
      <c r="G22" cm="1">
        <f t="array" ref="G22">INDEX(Calc_Growth!$C20:$AK20,Control!$B$3-1-2)</f>
        <v>5.8115315536799717E-3</v>
      </c>
      <c r="H22" cm="1">
        <f t="array" ref="H22">INDEX(Calc_Growth!$C20:$AK20,Control!$B$3-1-1)</f>
        <v>8.2222101518154567E-3</v>
      </c>
      <c r="I22" cm="1">
        <f t="array" ref="I22">INDEX(Calc_Growth!$C20:$AK20,Control!$B$3-1-0)</f>
        <v>2.683592040136018E-3</v>
      </c>
    </row>
    <row r="23" spans="3:10" x14ac:dyDescent="0.25">
      <c r="C23" t="str">
        <f>Banks!A20</f>
        <v>Banca Romagnola</v>
      </c>
      <c r="D23" cm="1">
        <f t="array" ref="D23">INDEX(Calc_Growth!$C21:$AK21,Control!$B$3-1-5)</f>
        <v>5.1235010590571228E-3</v>
      </c>
      <c r="E23" cm="1">
        <f t="array" ref="E23">INDEX(Calc_Growth!$C21:$AK21,Control!$B$3-1-4)</f>
        <v>9.3717539848205966E-3</v>
      </c>
      <c r="F23" cm="1">
        <f t="array" ref="F23">INDEX(Calc_Growth!$C21:$AK21,Control!$B$3-1-3)</f>
        <v>3.7875425358782078E-3</v>
      </c>
      <c r="G23" cm="1">
        <f t="array" ref="G23">INDEX(Calc_Growth!$C21:$AK21,Control!$B$3-1-2)</f>
        <v>9.321764650007891E-3</v>
      </c>
      <c r="H23" cm="1">
        <f t="array" ref="H23">INDEX(Calc_Growth!$C21:$AK21,Control!$B$3-1-1)</f>
        <v>6.302064234325222E-3</v>
      </c>
      <c r="I23" cm="1">
        <f t="array" ref="I23">INDEX(Calc_Growth!$C21:$AK21,Control!$B$3-1-0)</f>
        <v>2.7926925619567999E-3</v>
      </c>
    </row>
    <row r="24" spans="3:10" x14ac:dyDescent="0.25">
      <c r="C24" t="str">
        <f>Banks!A21</f>
        <v>Banca Città</v>
      </c>
      <c r="D24" cm="1">
        <f t="array" ref="D24">INDEX(Calc_Growth!$C22:$AK22,Control!$B$3-1-5)</f>
        <v>6.8754091555029984E-3</v>
      </c>
      <c r="E24" cm="1">
        <f t="array" ref="E24">INDEX(Calc_Growth!$C22:$AK22,Control!$B$3-1-4)</f>
        <v>2.9083597104961889E-3</v>
      </c>
      <c r="F24" cm="1">
        <f t="array" ref="F24">INDEX(Calc_Growth!$C22:$AK22,Control!$B$3-1-3)</f>
        <v>3.001122653890631E-3</v>
      </c>
      <c r="G24" cm="1">
        <f t="array" ref="G24">INDEX(Calc_Growth!$C22:$AK22,Control!$B$3-1-2)</f>
        <v>9.8024996531762554E-3</v>
      </c>
      <c r="H24" cm="1">
        <f t="array" ref="H24">INDEX(Calc_Growth!$C22:$AK22,Control!$B$3-1-1)</f>
        <v>6.3320979289542834E-3</v>
      </c>
      <c r="I24" cm="1">
        <f t="array" ref="I24">INDEX(Calc_Growth!$C22:$AK22,Control!$B$3-1-0)</f>
        <v>6.3263843425866995E-3</v>
      </c>
      <c r="J24" t="s">
        <v>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380DB-2377-4157-BD61-394FB291D51E}">
  <dimension ref="B2:H24"/>
  <sheetViews>
    <sheetView workbookViewId="0"/>
  </sheetViews>
  <sheetFormatPr defaultRowHeight="12.5" x14ac:dyDescent="0.25"/>
  <sheetData>
    <row r="2" spans="2:7" x14ac:dyDescent="0.25">
      <c r="B2" t="s">
        <v>263</v>
      </c>
    </row>
    <row r="3" spans="2:7" x14ac:dyDescent="0.25">
      <c r="C3" t="str">
        <f>"Confronto peer - "&amp;Control!$B$2</f>
        <v>Confronto peer - Banca Tirrena</v>
      </c>
    </row>
    <row r="4" spans="2:7" x14ac:dyDescent="0.25">
      <c r="C4" t="s">
        <v>0</v>
      </c>
      <c r="D4" t="s">
        <v>4</v>
      </c>
      <c r="E4" t="s">
        <v>281</v>
      </c>
      <c r="F4" t="s">
        <v>172</v>
      </c>
      <c r="G4" t="s">
        <v>282</v>
      </c>
    </row>
    <row r="5" spans="2:7" x14ac:dyDescent="0.25">
      <c r="C5" t="str">
        <f>Calc_Links!A20</f>
        <v>Banca Alpi</v>
      </c>
      <c r="D5">
        <f>Calc_Bank!C2</f>
        <v>7595.8000000000011</v>
      </c>
      <c r="E5">
        <f>Calc_Links!B20</f>
        <v>7400.4</v>
      </c>
      <c r="F5">
        <f t="shared" ref="F5:F24" si="0">D5-E5</f>
        <v>195.40000000000146</v>
      </c>
      <c r="G5">
        <f>Calc_Links!C20</f>
        <v>2.6403978163342719E-2</v>
      </c>
    </row>
    <row r="6" spans="2:7" x14ac:dyDescent="0.25">
      <c r="C6" t="str">
        <f>Calc_Links!A21</f>
        <v>Banca Adriatica</v>
      </c>
      <c r="D6">
        <f>Calc_Bank!C3</f>
        <v>8954.2000000000007</v>
      </c>
      <c r="E6">
        <f>Calc_Links!B21</f>
        <v>8472.5</v>
      </c>
      <c r="F6">
        <f t="shared" si="0"/>
        <v>481.70000000000073</v>
      </c>
      <c r="G6">
        <f>Calc_Links!C21</f>
        <v>5.6854529359693214E-2</v>
      </c>
    </row>
    <row r="7" spans="2:7" x14ac:dyDescent="0.25">
      <c r="C7" t="str">
        <f>Calc_Links!A22</f>
        <v>Banca Tirrena</v>
      </c>
      <c r="D7">
        <f>Calc_Bank!C4</f>
        <v>10243.300000000001</v>
      </c>
      <c r="E7">
        <f>Calc_Links!B22</f>
        <v>9492.2000000000007</v>
      </c>
      <c r="F7">
        <f t="shared" si="0"/>
        <v>751.10000000000036</v>
      </c>
      <c r="G7">
        <f>Calc_Links!C22</f>
        <v>7.9128126251027192E-2</v>
      </c>
    </row>
    <row r="8" spans="2:7" x14ac:dyDescent="0.25">
      <c r="C8" t="str">
        <f>Calc_Links!A23</f>
        <v>Banca Padana</v>
      </c>
      <c r="D8">
        <f>Calc_Bank!C5</f>
        <v>11467.099999999999</v>
      </c>
      <c r="E8">
        <f>Calc_Links!B23</f>
        <v>11045.1</v>
      </c>
      <c r="F8">
        <f t="shared" si="0"/>
        <v>421.99999999999818</v>
      </c>
      <c r="G8">
        <f>Calc_Links!C23</f>
        <v>3.820698771400876E-2</v>
      </c>
    </row>
    <row r="9" spans="2:7" x14ac:dyDescent="0.25">
      <c r="C9" t="str">
        <f>Calc_Links!A24</f>
        <v>Banca Etrusca</v>
      </c>
      <c r="D9">
        <f>Calc_Bank!C6</f>
        <v>12839.400000000001</v>
      </c>
      <c r="E9">
        <f>Calc_Links!B24</f>
        <v>12156.2</v>
      </c>
      <c r="F9">
        <f t="shared" si="0"/>
        <v>683.20000000000073</v>
      </c>
      <c r="G9">
        <f>Calc_Links!C24</f>
        <v>5.620177358055977E-2</v>
      </c>
    </row>
    <row r="10" spans="2:7" x14ac:dyDescent="0.25">
      <c r="C10" t="str">
        <f>Calc_Links!A25</f>
        <v>Banca Lariana</v>
      </c>
      <c r="D10">
        <f>Calc_Bank!C7</f>
        <v>14148.099999999999</v>
      </c>
      <c r="E10">
        <f>Calc_Links!B25</f>
        <v>13305.8</v>
      </c>
      <c r="F10">
        <f t="shared" si="0"/>
        <v>842.29999999999927</v>
      </c>
      <c r="G10">
        <f>Calc_Links!C25</f>
        <v>6.3303221151678163E-2</v>
      </c>
    </row>
    <row r="11" spans="2:7" x14ac:dyDescent="0.25">
      <c r="C11" t="str">
        <f>Calc_Links!A26</f>
        <v>Banca Sabina</v>
      </c>
      <c r="D11">
        <f>Calc_Bank!C8</f>
        <v>15403.7</v>
      </c>
      <c r="E11">
        <f>Calc_Links!B26</f>
        <v>14723.6</v>
      </c>
      <c r="F11">
        <f t="shared" si="0"/>
        <v>680.10000000000036</v>
      </c>
      <c r="G11">
        <f>Calc_Links!C26</f>
        <v>4.6191148903800723E-2</v>
      </c>
    </row>
    <row r="12" spans="2:7" x14ac:dyDescent="0.25">
      <c r="C12" t="str">
        <f>Calc_Links!A27</f>
        <v>Banca Irpina</v>
      </c>
      <c r="D12">
        <f>Calc_Bank!C9</f>
        <v>16713.899999999998</v>
      </c>
      <c r="E12">
        <f>Calc_Links!B27</f>
        <v>15843.6</v>
      </c>
      <c r="F12">
        <f t="shared" si="0"/>
        <v>870.29999999999745</v>
      </c>
      <c r="G12">
        <f>Calc_Links!C27</f>
        <v>5.493069756873422E-2</v>
      </c>
    </row>
    <row r="13" spans="2:7" x14ac:dyDescent="0.25">
      <c r="C13" t="str">
        <f>Calc_Links!A28</f>
        <v>Banca Sannita</v>
      </c>
      <c r="D13">
        <f>Calc_Bank!C10</f>
        <v>17981.400000000001</v>
      </c>
      <c r="E13">
        <f>Calc_Links!B28</f>
        <v>17269.5</v>
      </c>
      <c r="F13">
        <f t="shared" si="0"/>
        <v>711.90000000000146</v>
      </c>
      <c r="G13">
        <f>Calc_Links!C28</f>
        <v>4.1222965343524792E-2</v>
      </c>
    </row>
    <row r="14" spans="2:7" x14ac:dyDescent="0.25">
      <c r="C14" t="str">
        <f>Calc_Links!A29</f>
        <v>Banca Ligure</v>
      </c>
      <c r="D14">
        <f>Calc_Bank!C11</f>
        <v>19412</v>
      </c>
      <c r="E14">
        <f>Calc_Links!B29</f>
        <v>18254.8</v>
      </c>
      <c r="F14">
        <f t="shared" si="0"/>
        <v>1157.2000000000007</v>
      </c>
      <c r="G14">
        <f>Calc_Links!C29</f>
        <v>6.33915463330193E-2</v>
      </c>
    </row>
    <row r="15" spans="2:7" x14ac:dyDescent="0.25">
      <c r="C15" t="str">
        <f>Calc_Links!A30</f>
        <v>Banca Veneta</v>
      </c>
      <c r="D15">
        <f>Calc_Bank!C12</f>
        <v>20672.400000000001</v>
      </c>
      <c r="E15">
        <f>Calc_Links!B30</f>
        <v>19587</v>
      </c>
      <c r="F15">
        <f t="shared" si="0"/>
        <v>1085.4000000000015</v>
      </c>
      <c r="G15">
        <f>Calc_Links!C30</f>
        <v>5.5414305406647338E-2</v>
      </c>
    </row>
    <row r="16" spans="2:7" x14ac:dyDescent="0.25">
      <c r="C16" t="str">
        <f>Calc_Links!A31</f>
        <v>Banca Friulana</v>
      </c>
      <c r="D16">
        <f>Calc_Bank!C13</f>
        <v>21924.5</v>
      </c>
      <c r="E16">
        <f>Calc_Links!B31</f>
        <v>20697.599999999999</v>
      </c>
      <c r="F16">
        <f t="shared" si="0"/>
        <v>1226.9000000000015</v>
      </c>
      <c r="G16">
        <f>Calc_Links!C31</f>
        <v>5.9277404143475647E-2</v>
      </c>
    </row>
    <row r="17" spans="3:8" x14ac:dyDescent="0.25">
      <c r="C17" t="str">
        <f>Calc_Links!A32</f>
        <v>Banca Umbra</v>
      </c>
      <c r="D17">
        <f>Calc_Bank!C14</f>
        <v>23266.5</v>
      </c>
      <c r="E17">
        <f>Calc_Links!B32</f>
        <v>22011.200000000001</v>
      </c>
      <c r="F17">
        <f t="shared" si="0"/>
        <v>1255.2999999999993</v>
      </c>
      <c r="G17">
        <f>Calc_Links!C32</f>
        <v>5.7030057425310719E-2</v>
      </c>
    </row>
    <row r="18" spans="3:8" x14ac:dyDescent="0.25">
      <c r="C18" t="str">
        <f>Calc_Links!A33</f>
        <v>Banca Marchigiana</v>
      </c>
      <c r="D18">
        <f>Calc_Bank!C15</f>
        <v>24657.8</v>
      </c>
      <c r="E18">
        <f>Calc_Links!B33</f>
        <v>23290.5</v>
      </c>
      <c r="F18">
        <f t="shared" si="0"/>
        <v>1367.2999999999993</v>
      </c>
      <c r="G18">
        <f>Calc_Links!C33</f>
        <v>5.8706339494643704E-2</v>
      </c>
    </row>
    <row r="19" spans="3:8" x14ac:dyDescent="0.25">
      <c r="C19" t="str">
        <f>Calc_Links!A34</f>
        <v>Banca Lucana</v>
      </c>
      <c r="D19">
        <f>Calc_Bank!C16</f>
        <v>25892.2</v>
      </c>
      <c r="E19">
        <f>Calc_Links!B34</f>
        <v>24520.3</v>
      </c>
      <c r="F19">
        <f t="shared" si="0"/>
        <v>1371.9000000000015</v>
      </c>
      <c r="G19">
        <f>Calc_Links!C34</f>
        <v>5.5949560160356987E-2</v>
      </c>
    </row>
    <row r="20" spans="3:8" x14ac:dyDescent="0.25">
      <c r="C20" t="str">
        <f>Calc_Links!A35</f>
        <v>Banca Calabra</v>
      </c>
      <c r="D20">
        <f>Calc_Bank!C17</f>
        <v>27252.399999999998</v>
      </c>
      <c r="E20">
        <f>Calc_Links!B35</f>
        <v>25881</v>
      </c>
      <c r="F20">
        <f t="shared" si="0"/>
        <v>1371.3999999999978</v>
      </c>
      <c r="G20">
        <f>Calc_Links!C35</f>
        <v>5.2988678953672493E-2</v>
      </c>
    </row>
    <row r="21" spans="3:8" x14ac:dyDescent="0.25">
      <c r="C21" t="str">
        <f>Calc_Links!A36</f>
        <v>Banca Sicula</v>
      </c>
      <c r="D21">
        <f>Calc_Bank!C18</f>
        <v>28525.599999999999</v>
      </c>
      <c r="E21">
        <f>Calc_Links!B36</f>
        <v>26813.4</v>
      </c>
      <c r="F21">
        <f t="shared" si="0"/>
        <v>1712.1999999999971</v>
      </c>
      <c r="G21">
        <f>Calc_Links!C36</f>
        <v>6.3856131635674593E-2</v>
      </c>
    </row>
    <row r="22" spans="3:8" x14ac:dyDescent="0.25">
      <c r="C22" t="str">
        <f>Calc_Links!A37</f>
        <v>Banca Sarda</v>
      </c>
      <c r="D22">
        <f>Calc_Bank!C19</f>
        <v>29778.7</v>
      </c>
      <c r="E22">
        <f>Calc_Links!B37</f>
        <v>28319.200000000001</v>
      </c>
      <c r="F22">
        <f t="shared" si="0"/>
        <v>1459.5</v>
      </c>
      <c r="G22">
        <f>Calc_Links!C37</f>
        <v>5.153747280996638E-2</v>
      </c>
    </row>
    <row r="23" spans="3:8" x14ac:dyDescent="0.25">
      <c r="C23" t="str">
        <f>Calc_Links!A38</f>
        <v>Banca Romagnola</v>
      </c>
      <c r="D23">
        <f>Calc_Bank!C20</f>
        <v>31096.1</v>
      </c>
      <c r="E23">
        <f>Calc_Links!B38</f>
        <v>29563.8</v>
      </c>
      <c r="F23">
        <f t="shared" si="0"/>
        <v>1532.2999999999993</v>
      </c>
      <c r="G23">
        <f>Calc_Links!C38</f>
        <v>5.1830278922195362E-2</v>
      </c>
    </row>
    <row r="24" spans="3:8" x14ac:dyDescent="0.25">
      <c r="C24" t="str">
        <f>Calc_Links!A39</f>
        <v>Banca Città</v>
      </c>
      <c r="D24">
        <f>Calc_Bank!C21</f>
        <v>32434</v>
      </c>
      <c r="E24">
        <f>Calc_Links!B39</f>
        <v>30797.200000000001</v>
      </c>
      <c r="F24">
        <f t="shared" si="0"/>
        <v>1636.7999999999993</v>
      </c>
      <c r="G24">
        <f>Calc_Links!C39</f>
        <v>5.3147688750925383E-2</v>
      </c>
      <c r="H24" t="s">
        <v>263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EEB29-F3CF-4881-8B9A-BB6E7C298E5D}">
  <dimension ref="B2:E10"/>
  <sheetViews>
    <sheetView workbookViewId="0"/>
  </sheetViews>
  <sheetFormatPr defaultRowHeight="12.5" x14ac:dyDescent="0.25"/>
  <sheetData>
    <row r="2" spans="2:5" x14ac:dyDescent="0.25">
      <c r="B2" t="s">
        <v>263</v>
      </c>
    </row>
    <row r="3" spans="2:5" x14ac:dyDescent="0.25">
      <c r="C3" t="str">
        <f>"Aree (da Regions.xlsx)"</f>
        <v>Aree (da Regions.xlsx)</v>
      </c>
    </row>
    <row r="4" spans="2:5" x14ac:dyDescent="0.25">
      <c r="C4" t="s">
        <v>253</v>
      </c>
      <c r="D4" t="s">
        <v>254</v>
      </c>
    </row>
    <row r="5" spans="2:5" x14ac:dyDescent="0.25">
      <c r="C5" t="s">
        <v>131</v>
      </c>
      <c r="D5">
        <f>Calc_Links!B10</f>
        <v>400259.10000000003</v>
      </c>
    </row>
    <row r="6" spans="2:5" x14ac:dyDescent="0.25">
      <c r="C6" t="s">
        <v>283</v>
      </c>
      <c r="D6">
        <f>Calc_Links!B11</f>
        <v>61692.7</v>
      </c>
    </row>
    <row r="7" spans="2:5" x14ac:dyDescent="0.25">
      <c r="C7" t="s">
        <v>284</v>
      </c>
      <c r="D7">
        <f>Calc_Links!B12</f>
        <v>20814.199999999997</v>
      </c>
    </row>
    <row r="8" spans="2:5" x14ac:dyDescent="0.25">
      <c r="C8" t="s">
        <v>285</v>
      </c>
      <c r="D8">
        <f>Calc_Links!B13</f>
        <v>6373.7999999999993</v>
      </c>
    </row>
    <row r="9" spans="2:5" x14ac:dyDescent="0.25">
      <c r="C9" t="s">
        <v>286</v>
      </c>
      <c r="D9">
        <f>Calc_Links!B14</f>
        <v>1</v>
      </c>
    </row>
    <row r="10" spans="2:5" x14ac:dyDescent="0.25">
      <c r="C10" t="s">
        <v>287</v>
      </c>
      <c r="D10" t="str">
        <f>Calc_Links!B15</f>
        <v>Centro</v>
      </c>
      <c r="E10" t="s">
        <v>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8A2CE-52D0-445A-9111-38598A7A533F}">
  <dimension ref="B2:J2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"Anagrafica testi"</f>
        <v>Anagrafica testi</v>
      </c>
    </row>
    <row r="4" spans="2:9" x14ac:dyDescent="0.25">
      <c r="C4" t="s">
        <v>0</v>
      </c>
      <c r="D4" t="s">
        <v>191</v>
      </c>
      <c r="E4" t="s">
        <v>195</v>
      </c>
      <c r="F4" t="s">
        <v>199</v>
      </c>
      <c r="G4" t="s">
        <v>4</v>
      </c>
      <c r="H4" t="s">
        <v>123</v>
      </c>
      <c r="I4" t="s">
        <v>197</v>
      </c>
    </row>
    <row r="5" spans="2:9" x14ac:dyDescent="0.25">
      <c r="C5" t="str">
        <f>Calc_Text!A2</f>
        <v>Banca Alpi</v>
      </c>
      <c r="D5" t="str">
        <f>Calc_Text!B2</f>
        <v>BANCA</v>
      </c>
      <c r="E5" t="str">
        <f>Calc_Text!H2</f>
        <v>alpi@esempio.it</v>
      </c>
      <c r="F5" t="str">
        <f>Calc_Text!L2</f>
        <v>Banca Alpi, BANCA, Grande</v>
      </c>
      <c r="G5" t="str">
        <f>Calc_Text!K2</f>
        <v>7.595,8</v>
      </c>
      <c r="H5" t="str">
        <f>Calc_Text!P2</f>
        <v>Banca Alpi (NO) 1,9%</v>
      </c>
      <c r="I5" t="str">
        <f>Calc_Text!J2</f>
        <v>********************</v>
      </c>
    </row>
    <row r="6" spans="2:9" x14ac:dyDescent="0.25">
      <c r="C6" t="str">
        <f>Calc_Text!A3</f>
        <v>Banca Adriatica</v>
      </c>
      <c r="D6" t="str">
        <f>Calc_Text!B3</f>
        <v>BANCA</v>
      </c>
      <c r="E6" t="str">
        <f>Calc_Text!H3</f>
        <v>adriatica@esempio.it</v>
      </c>
      <c r="F6" t="str">
        <f>Calc_Text!L3</f>
        <v>Banca Adriatica, BANCA, Media</v>
      </c>
      <c r="G6" t="str">
        <f>Calc_Text!K3</f>
        <v>8.954,2</v>
      </c>
      <c r="H6" t="str">
        <f>Calc_Text!P3</f>
        <v>Banca Adriatica (NE) 2,2%</v>
      </c>
      <c r="I6" t="str">
        <f>Calc_Text!J3</f>
        <v>*******************</v>
      </c>
    </row>
    <row r="7" spans="2:9" x14ac:dyDescent="0.25">
      <c r="C7" t="str">
        <f>Calc_Text!A4</f>
        <v>Banca Tirrena</v>
      </c>
      <c r="D7" t="str">
        <f>Calc_Text!B4</f>
        <v>BANCA</v>
      </c>
      <c r="E7" t="str">
        <f>Calc_Text!H4</f>
        <v>tirrena@esempio.it</v>
      </c>
      <c r="F7" t="str">
        <f>Calc_Text!L4</f>
        <v>Banca Tirrena, BANCA, Grande</v>
      </c>
      <c r="G7" t="str">
        <f>Calc_Text!K4</f>
        <v>10.243,3</v>
      </c>
      <c r="H7" t="str">
        <f>Calc_Text!P4</f>
        <v>Banca Tirrena (CE) 2,6%</v>
      </c>
      <c r="I7" t="str">
        <f>Calc_Text!J4</f>
        <v>******************</v>
      </c>
    </row>
    <row r="8" spans="2:9" x14ac:dyDescent="0.25">
      <c r="C8" t="str">
        <f>Calc_Text!A5</f>
        <v>Banca Padana</v>
      </c>
      <c r="D8" t="str">
        <f>Calc_Text!B5</f>
        <v>BANCA</v>
      </c>
      <c r="E8" t="str">
        <f>Calc_Text!H5</f>
        <v>padana@esempio.it</v>
      </c>
      <c r="F8" t="str">
        <f>Calc_Text!L5</f>
        <v>Banca Padana, BANCA, Grande</v>
      </c>
      <c r="G8" t="str">
        <f>Calc_Text!K5</f>
        <v>11.467,1</v>
      </c>
      <c r="H8" t="str">
        <f>Calc_Text!P5</f>
        <v>Banca Padana (NO) 2,9%</v>
      </c>
      <c r="I8" t="str">
        <f>Calc_Text!J5</f>
        <v>*****************</v>
      </c>
    </row>
    <row r="9" spans="2:9" x14ac:dyDescent="0.25">
      <c r="C9" t="str">
        <f>Calc_Text!A6</f>
        <v>Banca Etrusca</v>
      </c>
      <c r="D9" t="str">
        <f>Calc_Text!B6</f>
        <v>BANCA</v>
      </c>
      <c r="E9" t="str">
        <f>Calc_Text!H6</f>
        <v>etrusca@esempio.it</v>
      </c>
      <c r="F9" t="str">
        <f>Calc_Text!L6</f>
        <v>Banca Etrusca, BANCA, Media</v>
      </c>
      <c r="G9" t="str">
        <f>Calc_Text!K6</f>
        <v>12.839,4</v>
      </c>
      <c r="H9" t="str">
        <f>Calc_Text!P6</f>
        <v>Banca Etrusca (CE) 3,2%</v>
      </c>
      <c r="I9" t="str">
        <f>Calc_Text!J6</f>
        <v>****************</v>
      </c>
    </row>
    <row r="10" spans="2:9" x14ac:dyDescent="0.25">
      <c r="C10" t="str">
        <f>Calc_Text!A7</f>
        <v>Banca Lariana</v>
      </c>
      <c r="D10" t="str">
        <f>Calc_Text!B7</f>
        <v>BANCA</v>
      </c>
      <c r="E10" t="str">
        <f>Calc_Text!H7</f>
        <v>lariana@esempio.it</v>
      </c>
      <c r="F10" t="str">
        <f>Calc_Text!L7</f>
        <v>Banca Lariana, BANCA, Piccola</v>
      </c>
      <c r="G10" t="str">
        <f>Calc_Text!K7</f>
        <v>14.148,1</v>
      </c>
      <c r="H10" t="str">
        <f>Calc_Text!P7</f>
        <v>Banca Lariana (NO) 3,5%</v>
      </c>
      <c r="I10" t="str">
        <f>Calc_Text!J7</f>
        <v>***************</v>
      </c>
    </row>
    <row r="11" spans="2:9" x14ac:dyDescent="0.25">
      <c r="C11" t="str">
        <f>Calc_Text!A8</f>
        <v>Banca Sabina</v>
      </c>
      <c r="D11" t="str">
        <f>Calc_Text!B8</f>
        <v>BANCA</v>
      </c>
      <c r="E11" t="str">
        <f>Calc_Text!H8</f>
        <v>sabina@esempio.it</v>
      </c>
      <c r="F11" t="str">
        <f>Calc_Text!L8</f>
        <v>Banca Sabina, BANCA, Piccola</v>
      </c>
      <c r="G11" t="str">
        <f>Calc_Text!K8</f>
        <v>15.403,7</v>
      </c>
      <c r="H11" t="str">
        <f>Calc_Text!P8</f>
        <v>Banca Sabina (CE) 3,8%</v>
      </c>
      <c r="I11" t="str">
        <f>Calc_Text!J8</f>
        <v>**************</v>
      </c>
    </row>
    <row r="12" spans="2:9" x14ac:dyDescent="0.25">
      <c r="C12" t="str">
        <f>Calc_Text!A9</f>
        <v>Banca Irpina</v>
      </c>
      <c r="D12" t="str">
        <f>Calc_Text!B9</f>
        <v>BANCA</v>
      </c>
      <c r="E12" t="str">
        <f>Calc_Text!H9</f>
        <v>irpina@esempio.it</v>
      </c>
      <c r="F12" t="str">
        <f>Calc_Text!L9</f>
        <v>Banca Irpina, BANCA, Piccola</v>
      </c>
      <c r="G12" t="str">
        <f>Calc_Text!K9</f>
        <v>16.713,9</v>
      </c>
      <c r="H12" t="str">
        <f>Calc_Text!P9</f>
        <v>Banca Irpina (SU) 4,2%</v>
      </c>
      <c r="I12" t="str">
        <f>Calc_Text!J9</f>
        <v>*************</v>
      </c>
    </row>
    <row r="13" spans="2:9" x14ac:dyDescent="0.25">
      <c r="C13" t="str">
        <f>Calc_Text!A10</f>
        <v>Banca Sannita</v>
      </c>
      <c r="D13" t="str">
        <f>Calc_Text!B10</f>
        <v>BANCA</v>
      </c>
      <c r="E13" t="str">
        <f>Calc_Text!H10</f>
        <v>sannita@esempio.it</v>
      </c>
      <c r="F13" t="str">
        <f>Calc_Text!L10</f>
        <v>Banca Sannita, BANCA, Media</v>
      </c>
      <c r="G13" t="str">
        <f>Calc_Text!K10</f>
        <v>17.981,4</v>
      </c>
      <c r="H13" t="str">
        <f>Calc_Text!P10</f>
        <v>Banca Sannita (SU) 4,5%</v>
      </c>
      <c r="I13" t="str">
        <f>Calc_Text!J10</f>
        <v>************</v>
      </c>
    </row>
    <row r="14" spans="2:9" x14ac:dyDescent="0.25">
      <c r="C14" t="str">
        <f>Calc_Text!A11</f>
        <v>Banca Ligure</v>
      </c>
      <c r="D14" t="str">
        <f>Calc_Text!B11</f>
        <v>BANCA</v>
      </c>
      <c r="E14" t="str">
        <f>Calc_Text!H11</f>
        <v>ligure@esempio.it</v>
      </c>
      <c r="F14" t="str">
        <f>Calc_Text!L11</f>
        <v>Banca Ligure, BANCA, Media</v>
      </c>
      <c r="G14" t="str">
        <f>Calc_Text!K11</f>
        <v>19.412,0</v>
      </c>
      <c r="H14" t="str">
        <f>Calc_Text!P11</f>
        <v>Banca Ligure (NO) 4,8%</v>
      </c>
      <c r="I14" t="str">
        <f>Calc_Text!J11</f>
        <v>***********</v>
      </c>
    </row>
    <row r="15" spans="2:9" x14ac:dyDescent="0.25">
      <c r="C15" t="str">
        <f>Calc_Text!A12</f>
        <v>Banca Veneta</v>
      </c>
      <c r="D15" t="str">
        <f>Calc_Text!B12</f>
        <v>BANCA</v>
      </c>
      <c r="E15" t="str">
        <f>Calc_Text!H12</f>
        <v>veneta@esempio.it</v>
      </c>
      <c r="F15" t="str">
        <f>Calc_Text!L12</f>
        <v>Banca Veneta, BANCA, Grande</v>
      </c>
      <c r="G15" t="str">
        <f>Calc_Text!K12</f>
        <v>20.672,4</v>
      </c>
      <c r="H15" t="str">
        <f>Calc_Text!P12</f>
        <v>Banca Veneta (NE) 5,2%</v>
      </c>
      <c r="I15" t="str">
        <f>Calc_Text!J12</f>
        <v>**********</v>
      </c>
    </row>
    <row r="16" spans="2:9" x14ac:dyDescent="0.25">
      <c r="C16" t="str">
        <f>Calc_Text!A13</f>
        <v>Banca Friulana</v>
      </c>
      <c r="D16" t="str">
        <f>Calc_Text!B13</f>
        <v>BANCA</v>
      </c>
      <c r="E16" t="str">
        <f>Calc_Text!H13</f>
        <v>friulana@esempio.it</v>
      </c>
      <c r="F16" t="str">
        <f>Calc_Text!L13</f>
        <v>Banca Friulana, BANCA, Media</v>
      </c>
      <c r="G16" t="str">
        <f>Calc_Text!K13</f>
        <v>21.924,5</v>
      </c>
      <c r="H16" t="str">
        <f>Calc_Text!P13</f>
        <v>Banca Friulana (NE) 5,5%</v>
      </c>
      <c r="I16" t="str">
        <f>Calc_Text!J13</f>
        <v>*********</v>
      </c>
    </row>
    <row r="17" spans="3:10" x14ac:dyDescent="0.25">
      <c r="C17" t="str">
        <f>Calc_Text!A14</f>
        <v>Banca Umbra</v>
      </c>
      <c r="D17" t="str">
        <f>Calc_Text!B14</f>
        <v>BANCA</v>
      </c>
      <c r="E17" t="str">
        <f>Calc_Text!H14</f>
        <v>umbra@esempio.it</v>
      </c>
      <c r="F17" t="str">
        <f>Calc_Text!L14</f>
        <v>Banca Umbra, BANCA, Piccola</v>
      </c>
      <c r="G17" t="str">
        <f>Calc_Text!K14</f>
        <v>23.266,5</v>
      </c>
      <c r="H17" t="str">
        <f>Calc_Text!P14</f>
        <v>Banca Umbra (CE) 5,8%</v>
      </c>
      <c r="I17" t="str">
        <f>Calc_Text!J14</f>
        <v>********</v>
      </c>
    </row>
    <row r="18" spans="3:10" x14ac:dyDescent="0.25">
      <c r="C18" t="str">
        <f>Calc_Text!A15</f>
        <v>Banca Marchigiana</v>
      </c>
      <c r="D18" t="str">
        <f>Calc_Text!B15</f>
        <v>BANCA</v>
      </c>
      <c r="E18" t="str">
        <f>Calc_Text!H15</f>
        <v>marchigiana@esempio.it</v>
      </c>
      <c r="F18" t="str">
        <f>Calc_Text!L15</f>
        <v>Banca Marchigiana, BANCA, Media</v>
      </c>
      <c r="G18" t="str">
        <f>Calc_Text!K15</f>
        <v>24.657,8</v>
      </c>
      <c r="H18" t="str">
        <f>Calc_Text!P15</f>
        <v>Banca Marchigiana (CE) 6,2%</v>
      </c>
      <c r="I18" t="str">
        <f>Calc_Text!J15</f>
        <v>*******</v>
      </c>
    </row>
    <row r="19" spans="3:10" x14ac:dyDescent="0.25">
      <c r="C19" t="str">
        <f>Calc_Text!A16</f>
        <v>Banca Lucana</v>
      </c>
      <c r="D19" t="str">
        <f>Calc_Text!B16</f>
        <v>BANCA</v>
      </c>
      <c r="E19" t="str">
        <f>Calc_Text!H16</f>
        <v>lucana@esempio.it</v>
      </c>
      <c r="F19" t="str">
        <f>Calc_Text!L16</f>
        <v>Banca Lucana, BANCA, Piccola</v>
      </c>
      <c r="G19" t="str">
        <f>Calc_Text!K16</f>
        <v>25.892,2</v>
      </c>
      <c r="H19" t="str">
        <f>Calc_Text!P16</f>
        <v>Banca Lucana (SU) 6,5%</v>
      </c>
      <c r="I19" t="str">
        <f>Calc_Text!J16</f>
        <v>******</v>
      </c>
    </row>
    <row r="20" spans="3:10" x14ac:dyDescent="0.25">
      <c r="C20" t="str">
        <f>Calc_Text!A17</f>
        <v>Banca Calabra</v>
      </c>
      <c r="D20" t="str">
        <f>Calc_Text!B17</f>
        <v>BANCA</v>
      </c>
      <c r="E20" t="str">
        <f>Calc_Text!H17</f>
        <v>calabra@esempio.it</v>
      </c>
      <c r="F20" t="str">
        <f>Calc_Text!L17</f>
        <v>Banca Calabra, BANCA, Piccola</v>
      </c>
      <c r="G20" t="str">
        <f>Calc_Text!K17</f>
        <v>27.252,4</v>
      </c>
      <c r="H20" t="str">
        <f>Calc_Text!P17</f>
        <v>Banca Calabra (SU) 6,8%</v>
      </c>
      <c r="I20" t="str">
        <f>Calc_Text!J17</f>
        <v>*****</v>
      </c>
    </row>
    <row r="21" spans="3:10" x14ac:dyDescent="0.25">
      <c r="C21" t="str">
        <f>Calc_Text!A18</f>
        <v>Banca Sicula</v>
      </c>
      <c r="D21" t="str">
        <f>Calc_Text!B18</f>
        <v>BANCA</v>
      </c>
      <c r="E21" t="str">
        <f>Calc_Text!H18</f>
        <v>sicula@esempio.it</v>
      </c>
      <c r="F21" t="str">
        <f>Calc_Text!L18</f>
        <v>Banca Sicula, BANCA, Grande</v>
      </c>
      <c r="G21" t="str">
        <f>Calc_Text!K18</f>
        <v>28.525,6</v>
      </c>
      <c r="H21" t="str">
        <f>Calc_Text!P18</f>
        <v>Banca Sicula (IS) 7,1%</v>
      </c>
      <c r="I21" t="str">
        <f>Calc_Text!J18</f>
        <v>****</v>
      </c>
    </row>
    <row r="22" spans="3:10" x14ac:dyDescent="0.25">
      <c r="C22" t="str">
        <f>Calc_Text!A19</f>
        <v>Banca Sarda</v>
      </c>
      <c r="D22" t="str">
        <f>Calc_Text!B19</f>
        <v>BANCA</v>
      </c>
      <c r="E22" t="str">
        <f>Calc_Text!H19</f>
        <v>sarda@esempio.it</v>
      </c>
      <c r="F22" t="str">
        <f>Calc_Text!L19</f>
        <v>Banca Sarda, BANCA, Media</v>
      </c>
      <c r="G22" t="str">
        <f>Calc_Text!K19</f>
        <v>29.778,7</v>
      </c>
      <c r="H22" t="str">
        <f>Calc_Text!P19</f>
        <v>Banca Sarda (IS) 7,4%</v>
      </c>
      <c r="I22" t="str">
        <f>Calc_Text!J19</f>
        <v>***</v>
      </c>
    </row>
    <row r="23" spans="3:10" x14ac:dyDescent="0.25">
      <c r="C23" t="str">
        <f>Calc_Text!A20</f>
        <v>Banca Romagnola</v>
      </c>
      <c r="D23" t="str">
        <f>Calc_Text!B20</f>
        <v>BANCA</v>
      </c>
      <c r="E23" t="str">
        <f>Calc_Text!H20</f>
        <v>romagnola@esempio.it</v>
      </c>
      <c r="F23" t="str">
        <f>Calc_Text!L20</f>
        <v>Banca Romagnola, BANCA, Media</v>
      </c>
      <c r="G23" t="str">
        <f>Calc_Text!K20</f>
        <v>31.096,1</v>
      </c>
      <c r="H23" t="str">
        <f>Calc_Text!P20</f>
        <v>Banca Romagnola (NE) 7,8%</v>
      </c>
      <c r="I23" t="str">
        <f>Calc_Text!J20</f>
        <v>**</v>
      </c>
    </row>
    <row r="24" spans="3:10" x14ac:dyDescent="0.25">
      <c r="C24" t="str">
        <f>Calc_Text!A21</f>
        <v>Banca Città</v>
      </c>
      <c r="D24" t="str">
        <f>Calc_Text!B21</f>
        <v>BANCA</v>
      </c>
      <c r="E24" t="str">
        <f>Calc_Text!H21</f>
        <v>città@esempio.it</v>
      </c>
      <c r="F24" t="str">
        <f>Calc_Text!L21</f>
        <v>Banca Città, BANCA, Grande</v>
      </c>
      <c r="G24" t="str">
        <f>Calc_Text!K21</f>
        <v>32.434,0</v>
      </c>
      <c r="H24" t="str">
        <f>Calc_Text!P21</f>
        <v>Banca Città (CE) 8,1%</v>
      </c>
      <c r="I24" t="str">
        <f>Calc_Text!J21</f>
        <v>*</v>
      </c>
      <c r="J24" t="s">
        <v>263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44744-C4D5-4EE4-B28C-6FD821393CB9}">
  <dimension ref="B2:I16"/>
  <sheetViews>
    <sheetView workbookViewId="0"/>
  </sheetViews>
  <sheetFormatPr defaultRowHeight="12.5" x14ac:dyDescent="0.25"/>
  <cols>
    <col min="4" max="4" width="10.453125" bestFit="1" customWidth="1"/>
  </cols>
  <sheetData>
    <row r="2" spans="2:9" x14ac:dyDescent="0.25">
      <c r="B2" t="s">
        <v>263</v>
      </c>
    </row>
    <row r="3" spans="2:9" x14ac:dyDescent="0.25">
      <c r="C3" t="str">
        <f>"Calendario - "&amp;Control!$B$10</f>
        <v>Calendario - dicembre 2026</v>
      </c>
    </row>
    <row r="4" spans="2:9" x14ac:dyDescent="0.25">
      <c r="C4" t="s">
        <v>1</v>
      </c>
      <c r="D4" t="s">
        <v>204</v>
      </c>
      <c r="E4" t="s">
        <v>208</v>
      </c>
      <c r="F4" t="s">
        <v>211</v>
      </c>
      <c r="G4" t="s">
        <v>123</v>
      </c>
      <c r="H4" t="s">
        <v>210</v>
      </c>
    </row>
    <row r="5" spans="2:9" x14ac:dyDescent="0.25">
      <c r="C5">
        <f>Control!$B$3-12+ROW()-4</f>
        <v>25</v>
      </c>
      <c r="D5" s="1" cm="1">
        <f t="array" ref="D5">INDEX(Calc_Dates!$C$2:$C$37,C5)</f>
        <v>46053</v>
      </c>
      <c r="E5" cm="1">
        <f t="array" ref="E5">INDEX(Calc_Dates!$I$2:$I$37,C5)</f>
        <v>22</v>
      </c>
      <c r="F5" t="str" cm="1">
        <f t="array" ref="F5">INDEX(Calc_Dates!$L$2:$L$37,C5)</f>
        <v>passato</v>
      </c>
      <c r="G5" t="str" cm="1">
        <f t="array" ref="G5">INDEX(Calc_Dates!$M$2:$M$37,C5)</f>
        <v>gen-26</v>
      </c>
      <c r="H5" cm="1">
        <f t="array" ref="H5">INDEX(Calc_Dates!$K$2:$K$37,C5)</f>
        <v>11</v>
      </c>
    </row>
    <row r="6" spans="2:9" x14ac:dyDescent="0.25">
      <c r="C6">
        <f>Control!$B$3-12+ROW()-4</f>
        <v>26</v>
      </c>
      <c r="D6" s="1" cm="1">
        <f t="array" ref="D6">INDEX(Calc_Dates!$C$2:$C$37,C6)</f>
        <v>46081</v>
      </c>
      <c r="E6" cm="1">
        <f t="array" ref="E6">INDEX(Calc_Dates!$I$2:$I$37,C6)</f>
        <v>20</v>
      </c>
      <c r="F6" t="str" cm="1">
        <f t="array" ref="F6">INDEX(Calc_Dates!$L$2:$L$37,C6)</f>
        <v>passato</v>
      </c>
      <c r="G6" t="str" cm="1">
        <f t="array" ref="G6">INDEX(Calc_Dates!$M$2:$M$37,C6)</f>
        <v>feb-26</v>
      </c>
      <c r="H6" cm="1">
        <f t="array" ref="H6">INDEX(Calc_Dates!$K$2:$K$37,C6)</f>
        <v>10</v>
      </c>
    </row>
    <row r="7" spans="2:9" x14ac:dyDescent="0.25">
      <c r="C7">
        <f>Control!$B$3-12+ROW()-4</f>
        <v>27</v>
      </c>
      <c r="D7" s="1" cm="1">
        <f t="array" ref="D7">INDEX(Calc_Dates!$C$2:$C$37,C7)</f>
        <v>46112</v>
      </c>
      <c r="E7" cm="1">
        <f t="array" ref="E7">INDEX(Calc_Dates!$I$2:$I$37,C7)</f>
        <v>22</v>
      </c>
      <c r="F7" t="str" cm="1">
        <f t="array" ref="F7">INDEX(Calc_Dates!$L$2:$L$37,C7)</f>
        <v>passato</v>
      </c>
      <c r="G7" t="str" cm="1">
        <f t="array" ref="G7">INDEX(Calc_Dates!$M$2:$M$37,C7)</f>
        <v>mar-26</v>
      </c>
      <c r="H7" cm="1">
        <f t="array" ref="H7">INDEX(Calc_Dates!$K$2:$K$37,C7)</f>
        <v>9</v>
      </c>
    </row>
    <row r="8" spans="2:9" x14ac:dyDescent="0.25">
      <c r="C8">
        <f>Control!$B$3-12+ROW()-4</f>
        <v>28</v>
      </c>
      <c r="D8" s="1" cm="1">
        <f t="array" ref="D8">INDEX(Calc_Dates!$C$2:$C$37,C8)</f>
        <v>46142</v>
      </c>
      <c r="E8" cm="1">
        <f t="array" ref="E8">INDEX(Calc_Dates!$I$2:$I$37,C8)</f>
        <v>22</v>
      </c>
      <c r="F8" t="str" cm="1">
        <f t="array" ref="F8">INDEX(Calc_Dates!$L$2:$L$37,C8)</f>
        <v>passato</v>
      </c>
      <c r="G8" t="str" cm="1">
        <f t="array" ref="G8">INDEX(Calc_Dates!$M$2:$M$37,C8)</f>
        <v>apr-26</v>
      </c>
      <c r="H8" cm="1">
        <f t="array" ref="H8">INDEX(Calc_Dates!$K$2:$K$37,C8)</f>
        <v>8</v>
      </c>
    </row>
    <row r="9" spans="2:9" x14ac:dyDescent="0.25">
      <c r="C9">
        <f>Control!$B$3-12+ROW()-4</f>
        <v>29</v>
      </c>
      <c r="D9" s="1" cm="1">
        <f t="array" ref="D9">INDEX(Calc_Dates!$C$2:$C$37,C9)</f>
        <v>46173</v>
      </c>
      <c r="E9" cm="1">
        <f t="array" ref="E9">INDEX(Calc_Dates!$I$2:$I$37,C9)</f>
        <v>21</v>
      </c>
      <c r="F9" t="str" cm="1">
        <f t="array" ref="F9">INDEX(Calc_Dates!$L$2:$L$37,C9)</f>
        <v>passato</v>
      </c>
      <c r="G9" t="str" cm="1">
        <f t="array" ref="G9">INDEX(Calc_Dates!$M$2:$M$37,C9)</f>
        <v>mag-26</v>
      </c>
      <c r="H9" cm="1">
        <f t="array" ref="H9">INDEX(Calc_Dates!$K$2:$K$37,C9)</f>
        <v>7</v>
      </c>
    </row>
    <row r="10" spans="2:9" x14ac:dyDescent="0.25">
      <c r="C10">
        <f>Control!$B$3-12+ROW()-4</f>
        <v>30</v>
      </c>
      <c r="D10" s="1" cm="1">
        <f t="array" ref="D10">INDEX(Calc_Dates!$C$2:$C$37,C10)</f>
        <v>46203</v>
      </c>
      <c r="E10" cm="1">
        <f t="array" ref="E10">INDEX(Calc_Dates!$I$2:$I$37,C10)</f>
        <v>22</v>
      </c>
      <c r="F10" t="str" cm="1">
        <f t="array" ref="F10">INDEX(Calc_Dates!$L$2:$L$37,C10)</f>
        <v>passato</v>
      </c>
      <c r="G10" t="str" cm="1">
        <f t="array" ref="G10">INDEX(Calc_Dates!$M$2:$M$37,C10)</f>
        <v>giu-26</v>
      </c>
      <c r="H10" cm="1">
        <f t="array" ref="H10">INDEX(Calc_Dates!$K$2:$K$37,C10)</f>
        <v>6</v>
      </c>
    </row>
    <row r="11" spans="2:9" x14ac:dyDescent="0.25">
      <c r="C11">
        <f>Control!$B$3-12+ROW()-4</f>
        <v>31</v>
      </c>
      <c r="D11" s="1" cm="1">
        <f t="array" ref="D11">INDEX(Calc_Dates!$C$2:$C$37,C11)</f>
        <v>46234</v>
      </c>
      <c r="E11" cm="1">
        <f t="array" ref="E11">INDEX(Calc_Dates!$I$2:$I$37,C11)</f>
        <v>23</v>
      </c>
      <c r="F11" t="str" cm="1">
        <f t="array" ref="F11">INDEX(Calc_Dates!$L$2:$L$37,C11)</f>
        <v>passato</v>
      </c>
      <c r="G11" t="str" cm="1">
        <f t="array" ref="G11">INDEX(Calc_Dates!$M$2:$M$37,C11)</f>
        <v>lug-26</v>
      </c>
      <c r="H11" cm="1">
        <f t="array" ref="H11">INDEX(Calc_Dates!$K$2:$K$37,C11)</f>
        <v>5</v>
      </c>
    </row>
    <row r="12" spans="2:9" x14ac:dyDescent="0.25">
      <c r="C12">
        <f>Control!$B$3-12+ROW()-4</f>
        <v>32</v>
      </c>
      <c r="D12" s="1" cm="1">
        <f t="array" ref="D12">INDEX(Calc_Dates!$C$2:$C$37,C12)</f>
        <v>46265</v>
      </c>
      <c r="E12" cm="1">
        <f t="array" ref="E12">INDEX(Calc_Dates!$I$2:$I$37,C12)</f>
        <v>21</v>
      </c>
      <c r="F12" t="str" cm="1">
        <f t="array" ref="F12">INDEX(Calc_Dates!$L$2:$L$37,C12)</f>
        <v>passato</v>
      </c>
      <c r="G12" t="str" cm="1">
        <f t="array" ref="G12">INDEX(Calc_Dates!$M$2:$M$37,C12)</f>
        <v>ago-26</v>
      </c>
      <c r="H12" cm="1">
        <f t="array" ref="H12">INDEX(Calc_Dates!$K$2:$K$37,C12)</f>
        <v>4</v>
      </c>
    </row>
    <row r="13" spans="2:9" x14ac:dyDescent="0.25">
      <c r="C13">
        <f>Control!$B$3-12+ROW()-4</f>
        <v>33</v>
      </c>
      <c r="D13" s="1" cm="1">
        <f t="array" ref="D13">INDEX(Calc_Dates!$C$2:$C$37,C13)</f>
        <v>46295</v>
      </c>
      <c r="E13" cm="1">
        <f t="array" ref="E13">INDEX(Calc_Dates!$I$2:$I$37,C13)</f>
        <v>22</v>
      </c>
      <c r="F13" t="str" cm="1">
        <f t="array" ref="F13">INDEX(Calc_Dates!$L$2:$L$37,C13)</f>
        <v>passato</v>
      </c>
      <c r="G13" t="str" cm="1">
        <f t="array" ref="G13">INDEX(Calc_Dates!$M$2:$M$37,C13)</f>
        <v>set-26</v>
      </c>
      <c r="H13" cm="1">
        <f t="array" ref="H13">INDEX(Calc_Dates!$K$2:$K$37,C13)</f>
        <v>3</v>
      </c>
    </row>
    <row r="14" spans="2:9" x14ac:dyDescent="0.25">
      <c r="C14">
        <f>Control!$B$3-12+ROW()-4</f>
        <v>34</v>
      </c>
      <c r="D14" s="1" cm="1">
        <f t="array" ref="D14">INDEX(Calc_Dates!$C$2:$C$37,C14)</f>
        <v>46326</v>
      </c>
      <c r="E14" cm="1">
        <f t="array" ref="E14">INDEX(Calc_Dates!$I$2:$I$37,C14)</f>
        <v>22</v>
      </c>
      <c r="F14" t="str" cm="1">
        <f t="array" ref="F14">INDEX(Calc_Dates!$L$2:$L$37,C14)</f>
        <v>passato</v>
      </c>
      <c r="G14" t="str" cm="1">
        <f t="array" ref="G14">INDEX(Calc_Dates!$M$2:$M$37,C14)</f>
        <v>ott-26</v>
      </c>
      <c r="H14" cm="1">
        <f t="array" ref="H14">INDEX(Calc_Dates!$K$2:$K$37,C14)</f>
        <v>2</v>
      </c>
    </row>
    <row r="15" spans="2:9" x14ac:dyDescent="0.25">
      <c r="C15">
        <f>Control!$B$3-12+ROW()-4</f>
        <v>35</v>
      </c>
      <c r="D15" s="1" cm="1">
        <f t="array" ref="D15">INDEX(Calc_Dates!$C$2:$C$37,C15)</f>
        <v>46356</v>
      </c>
      <c r="E15" cm="1">
        <f t="array" ref="E15">INDEX(Calc_Dates!$I$2:$I$37,C15)</f>
        <v>21</v>
      </c>
      <c r="F15" t="str" cm="1">
        <f t="array" ref="F15">INDEX(Calc_Dates!$L$2:$L$37,C15)</f>
        <v>passato</v>
      </c>
      <c r="G15" t="str" cm="1">
        <f t="array" ref="G15">INDEX(Calc_Dates!$M$2:$M$37,C15)</f>
        <v>nov-26</v>
      </c>
      <c r="H15" cm="1">
        <f t="array" ref="H15">INDEX(Calc_Dates!$K$2:$K$37,C15)</f>
        <v>1</v>
      </c>
    </row>
    <row r="16" spans="2:9" x14ac:dyDescent="0.25">
      <c r="C16">
        <f>Control!$B$3-12+ROW()-4</f>
        <v>36</v>
      </c>
      <c r="D16" s="1" cm="1">
        <f t="array" ref="D16">INDEX(Calc_Dates!$C$2:$C$37,C16)</f>
        <v>46387</v>
      </c>
      <c r="E16" cm="1">
        <f t="array" ref="E16">INDEX(Calc_Dates!$I$2:$I$37,C16)</f>
        <v>23</v>
      </c>
      <c r="F16" t="str" cm="1">
        <f t="array" ref="F16">INDEX(Calc_Dates!$L$2:$L$37,C16)</f>
        <v>corrente</v>
      </c>
      <c r="G16" t="str" cm="1">
        <f t="array" ref="G16">INDEX(Calc_Dates!$M$2:$M$37,C16)</f>
        <v>dic-26</v>
      </c>
      <c r="H16" cm="1">
        <f t="array" ref="H16">INDEX(Calc_Dates!$K$2:$K$37,C16)</f>
        <v>0</v>
      </c>
      <c r="I16" t="s">
        <v>263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4BE2C-8C7F-4219-9884-E2A94F81CCDE}">
  <dimension ref="B2:H12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"Banche della regione "&amp;Control!$B$5</f>
        <v>Banche della regione Centro</v>
      </c>
    </row>
    <row r="4" spans="2:8" x14ac:dyDescent="0.25">
      <c r="C4" t="s">
        <v>0</v>
      </c>
      <c r="D4" t="s">
        <v>4</v>
      </c>
      <c r="E4" t="s">
        <v>288</v>
      </c>
      <c r="F4" t="s">
        <v>265</v>
      </c>
    </row>
    <row r="5" spans="2:8" x14ac:dyDescent="0.25">
      <c r="C5" t="str" cm="1">
        <f t="array" ref="C5">IFERROR(INDEX(Calc_Dynamic!$A$2:$A$21,ROW()-4)&amp;"","")</f>
        <v>Banca Tirrena</v>
      </c>
      <c r="D5">
        <f>IF(C5="","",SUMIFS(Calc_Bank!$C$2:$C$21,Calc_Bank!$A$2:$A$21,C5))</f>
        <v>10243.300000000001</v>
      </c>
      <c r="E5" t="str" cm="1">
        <f t="array" ref="E5">INDEX(Calc_Dynamic!$L$2:$L$21,ROW()-4)</f>
        <v>Banca Città</v>
      </c>
      <c r="F5" t="str">
        <f>IF(C5=Control!$B$2,"&lt;&lt;","")</f>
        <v>&lt;&lt;</v>
      </c>
      <c r="H5" t="str" cm="1">
        <f t="array" ref="H5:H10">_xlfn._xlws.FILTER(Calc_Bank!A2:A21,Calc_Bank!B2:B21=Control!B5)</f>
        <v>Banca Tirrena</v>
      </c>
    </row>
    <row r="6" spans="2:8" x14ac:dyDescent="0.25">
      <c r="C6" t="str" cm="1">
        <f t="array" ref="C6">IFERROR(INDEX(Calc_Dynamic!$A$2:$A$21,ROW()-4)&amp;"","")</f>
        <v>Banca Etrusca</v>
      </c>
      <c r="D6">
        <f>IF(C6="","",SUMIFS(Calc_Bank!$C$2:$C$21,Calc_Bank!$A$2:$A$21,C6))</f>
        <v>12839.400000000001</v>
      </c>
      <c r="E6" t="str" cm="1">
        <f t="array" ref="E6">INDEX(Calc_Dynamic!$L$2:$L$21,ROW()-4)</f>
        <v>Banca Romagnola</v>
      </c>
      <c r="F6" t="str">
        <f>IF(C6=Control!$B$2,"&lt;&lt;","")</f>
        <v/>
      </c>
      <c r="H6" t="str">
        <v>Banca Etrusca</v>
      </c>
    </row>
    <row r="7" spans="2:8" x14ac:dyDescent="0.25">
      <c r="C7" t="str" cm="1">
        <f t="array" ref="C7">IFERROR(INDEX(Calc_Dynamic!$A$2:$A$21,ROW()-4)&amp;"","")</f>
        <v>Banca Sabina</v>
      </c>
      <c r="D7">
        <f>IF(C7="","",SUMIFS(Calc_Bank!$C$2:$C$21,Calc_Bank!$A$2:$A$21,C7))</f>
        <v>15403.7</v>
      </c>
      <c r="E7" t="str" cm="1">
        <f t="array" ref="E7">INDEX(Calc_Dynamic!$L$2:$L$21,ROW()-4)</f>
        <v>Banca Sarda</v>
      </c>
      <c r="F7" t="str">
        <f>IF(C7=Control!$B$2,"&lt;&lt;","")</f>
        <v/>
      </c>
      <c r="H7" t="str">
        <v>Banca Sabina</v>
      </c>
    </row>
    <row r="8" spans="2:8" x14ac:dyDescent="0.25">
      <c r="C8" t="str" cm="1">
        <f t="array" ref="C8">IFERROR(INDEX(Calc_Dynamic!$A$2:$A$21,ROW()-4)&amp;"","")</f>
        <v>Banca Umbra</v>
      </c>
      <c r="D8">
        <f>IF(C8="","",SUMIFS(Calc_Bank!$C$2:$C$21,Calc_Bank!$A$2:$A$21,C8))</f>
        <v>23266.5</v>
      </c>
      <c r="E8" t="str" cm="1">
        <f t="array" ref="E8">INDEX(Calc_Dynamic!$L$2:$L$21,ROW()-4)</f>
        <v>Banca Sicula</v>
      </c>
      <c r="F8" t="str">
        <f>IF(C8=Control!$B$2,"&lt;&lt;","")</f>
        <v/>
      </c>
      <c r="H8" t="str">
        <v>Banca Umbra</v>
      </c>
    </row>
    <row r="9" spans="2:8" x14ac:dyDescent="0.25">
      <c r="C9" t="str" cm="1">
        <f t="array" ref="C9">IFERROR(INDEX(Calc_Dynamic!$A$2:$A$21,ROW()-4)&amp;"","")</f>
        <v>Banca Marchigiana</v>
      </c>
      <c r="D9">
        <f>IF(C9="","",SUMIFS(Calc_Bank!$C$2:$C$21,Calc_Bank!$A$2:$A$21,C9))</f>
        <v>24657.8</v>
      </c>
      <c r="E9" t="str" cm="1">
        <f t="array" ref="E9">INDEX(Calc_Dynamic!$L$2:$L$21,ROW()-4)</f>
        <v>Banca Calabra</v>
      </c>
      <c r="F9" t="str">
        <f>IF(C9=Control!$B$2,"&lt;&lt;","")</f>
        <v/>
      </c>
      <c r="H9" t="str">
        <v>Banca Marchigiana</v>
      </c>
    </row>
    <row r="10" spans="2:8" x14ac:dyDescent="0.25">
      <c r="C10" t="str" cm="1">
        <f t="array" ref="C10">IFERROR(INDEX(Calc_Dynamic!$A$2:$A$21,ROW()-4)&amp;"","")</f>
        <v>Banca Città</v>
      </c>
      <c r="D10">
        <f>IF(C10="","",SUMIFS(Calc_Bank!$C$2:$C$21,Calc_Bank!$A$2:$A$21,C10))</f>
        <v>32434</v>
      </c>
      <c r="E10" t="str" cm="1">
        <f t="array" ref="E10">INDEX(Calc_Dynamic!$L$2:$L$21,ROW()-4)</f>
        <v>Banca Lucana</v>
      </c>
      <c r="F10" t="str">
        <f>IF(C10=Control!$B$2,"&lt;&lt;","")</f>
        <v/>
      </c>
      <c r="H10" t="str">
        <v>Banca Città</v>
      </c>
    </row>
    <row r="11" spans="2:8" x14ac:dyDescent="0.25">
      <c r="C11" t="str" cm="1">
        <f t="array" ref="C11">IFERROR(INDEX(Calc_Dynamic!$A$2:$A$21,ROW()-4)&amp;"","")</f>
        <v/>
      </c>
      <c r="D11" t="str">
        <f>IF(C11="","",SUMIFS(Calc_Bank!$C$2:$C$21,Calc_Bank!$A$2:$A$21,C11))</f>
        <v/>
      </c>
      <c r="E11" t="str" cm="1">
        <f t="array" ref="E11">INDEX(Calc_Dynamic!$L$2:$L$21,ROW()-4)</f>
        <v>Banca Marchigiana</v>
      </c>
      <c r="F11" t="str">
        <f>IF(C11=Control!$B$2,"&lt;&lt;","")</f>
        <v/>
      </c>
    </row>
    <row r="12" spans="2:8" x14ac:dyDescent="0.25">
      <c r="C12" t="str" cm="1">
        <f t="array" ref="C12">IFERROR(INDEX(Calc_Dynamic!$A$2:$A$21,ROW()-4)&amp;"","")</f>
        <v/>
      </c>
      <c r="D12" t="str">
        <f>IF(C12="","",SUMIFS(Calc_Bank!$C$2:$C$21,Calc_Bank!$A$2:$A$21,C12))</f>
        <v/>
      </c>
      <c r="E12" t="str" cm="1">
        <f t="array" ref="E12">INDEX(Calc_Dynamic!$L$2:$L$21,ROW()-4)</f>
        <v>Banca Umbra</v>
      </c>
      <c r="F12" t="str">
        <f>IF(C12=Control!$B$2,"&lt;&lt;","")</f>
        <v/>
      </c>
      <c r="G12" t="s">
        <v>263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CE01B-F666-4BBE-9F63-FE1C2138D12B}">
  <dimension ref="B2:H16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"Trimestri - "&amp;Control!$B$2</f>
        <v>Trimestri - Banca Tirrena</v>
      </c>
    </row>
    <row r="4" spans="2:8" x14ac:dyDescent="0.25">
      <c r="C4" t="s">
        <v>132</v>
      </c>
      <c r="D4" t="s">
        <v>4</v>
      </c>
      <c r="E4" t="s">
        <v>5</v>
      </c>
      <c r="F4" t="s">
        <v>10</v>
      </c>
      <c r="G4" t="s">
        <v>289</v>
      </c>
    </row>
    <row r="5" spans="2:8" x14ac:dyDescent="0.25">
      <c r="C5" t="s">
        <v>290</v>
      </c>
      <c r="D5">
        <f>SUMIF(Calc_Month!$T$2:$T$37,C5,Calc_Month!$C$2:$C$37)</f>
        <v>24302.1</v>
      </c>
      <c r="E5">
        <f>SUMIF(Calc_Month!$T$2:$T$37,C5,Calc_Month!$D$2:$D$37)</f>
        <v>1317.31</v>
      </c>
      <c r="F5">
        <f>SUMIF(Calc_Month!$T$2:$T$37,C5,Calc_Month!$G$2:$G$37)</f>
        <v>518.70000000000005</v>
      </c>
      <c r="G5">
        <f>AVERAGEIF(Calc_Month!$T$2:$T$37,C5,Calc_Month!$C$2:$C$37)</f>
        <v>8100.7</v>
      </c>
    </row>
    <row r="6" spans="2:8" x14ac:dyDescent="0.25">
      <c r="C6" t="s">
        <v>291</v>
      </c>
      <c r="D6">
        <f>SUMIF(Calc_Month!$T$2:$T$37,C6,Calc_Month!$C$2:$C$37)</f>
        <v>24878.2</v>
      </c>
      <c r="E6">
        <f>SUMIF(Calc_Month!$T$2:$T$37,C6,Calc_Month!$D$2:$D$37)</f>
        <v>1347.27</v>
      </c>
      <c r="F6">
        <f>SUMIF(Calc_Month!$T$2:$T$37,C6,Calc_Month!$G$2:$G$37)</f>
        <v>532.1400000000001</v>
      </c>
      <c r="G6">
        <f>AVERAGEIF(Calc_Month!$T$2:$T$37,C6,Calc_Month!$C$2:$C$37)</f>
        <v>8292.7333333333336</v>
      </c>
    </row>
    <row r="7" spans="2:8" x14ac:dyDescent="0.25">
      <c r="C7" t="s">
        <v>292</v>
      </c>
      <c r="D7">
        <f>SUMIF(Calc_Month!$T$2:$T$37,C7,Calc_Month!$C$2:$C$37)</f>
        <v>25345.199999999997</v>
      </c>
      <c r="E7">
        <f>SUMIF(Calc_Month!$T$2:$T$37,C7,Calc_Month!$D$2:$D$37)</f>
        <v>1372.29</v>
      </c>
      <c r="F7">
        <f>SUMIF(Calc_Month!$T$2:$T$37,C7,Calc_Month!$G$2:$G$37)</f>
        <v>539.83999999999992</v>
      </c>
      <c r="G7">
        <f>AVERAGEIF(Calc_Month!$T$2:$T$37,C7,Calc_Month!$C$2:$C$37)</f>
        <v>8448.4</v>
      </c>
    </row>
    <row r="8" spans="2:8" x14ac:dyDescent="0.25">
      <c r="C8" t="s">
        <v>293</v>
      </c>
      <c r="D8">
        <f>SUMIF(Calc_Month!$T$2:$T$37,C8,Calc_Month!$C$2:$C$37)</f>
        <v>25954.2</v>
      </c>
      <c r="E8">
        <f>SUMIF(Calc_Month!$T$2:$T$37,C8,Calc_Month!$D$2:$D$37)</f>
        <v>1405.77</v>
      </c>
      <c r="F8">
        <f>SUMIF(Calc_Month!$T$2:$T$37,C8,Calc_Month!$G$2:$G$37)</f>
        <v>554.38</v>
      </c>
      <c r="G8">
        <f>AVERAGEIF(Calc_Month!$T$2:$T$37,C8,Calc_Month!$C$2:$C$37)</f>
        <v>8651.4</v>
      </c>
    </row>
    <row r="9" spans="2:8" x14ac:dyDescent="0.25">
      <c r="C9" t="s">
        <v>294</v>
      </c>
      <c r="D9">
        <f>SUMIF(Calc_Month!$T$2:$T$37,C9,Calc_Month!$C$2:$C$37)</f>
        <v>26311.599999999999</v>
      </c>
      <c r="E9">
        <f>SUMIF(Calc_Month!$T$2:$T$37,C9,Calc_Month!$D$2:$D$37)</f>
        <v>1421.49</v>
      </c>
      <c r="F9">
        <f>SUMIF(Calc_Month!$T$2:$T$37,C9,Calc_Month!$G$2:$G$37)</f>
        <v>557.59999999999991</v>
      </c>
      <c r="G9">
        <f>AVERAGEIF(Calc_Month!$T$2:$T$37,C9,Calc_Month!$C$2:$C$37)</f>
        <v>8770.5333333333328</v>
      </c>
    </row>
    <row r="10" spans="2:8" x14ac:dyDescent="0.25">
      <c r="C10" t="s">
        <v>295</v>
      </c>
      <c r="D10">
        <f>SUMIF(Calc_Month!$T$2:$T$37,C10,Calc_Month!$C$2:$C$37)</f>
        <v>27092.799999999999</v>
      </c>
      <c r="E10">
        <f>SUMIF(Calc_Month!$T$2:$T$37,C10,Calc_Month!$D$2:$D$37)</f>
        <v>1465.69</v>
      </c>
      <c r="F10">
        <f>SUMIF(Calc_Month!$T$2:$T$37,C10,Calc_Month!$G$2:$G$37)</f>
        <v>574.95000000000005</v>
      </c>
      <c r="G10">
        <f>AVERAGEIF(Calc_Month!$T$2:$T$37,C10,Calc_Month!$C$2:$C$37)</f>
        <v>9030.9333333333325</v>
      </c>
    </row>
    <row r="11" spans="2:8" x14ac:dyDescent="0.25">
      <c r="C11" t="s">
        <v>296</v>
      </c>
      <c r="D11">
        <f>SUMIF(Calc_Month!$T$2:$T$37,C11,Calc_Month!$C$2:$C$37)</f>
        <v>27655.200000000004</v>
      </c>
      <c r="E11">
        <f>SUMIF(Calc_Month!$T$2:$T$37,C11,Calc_Month!$D$2:$D$37)</f>
        <v>1495.85</v>
      </c>
      <c r="F11">
        <f>SUMIF(Calc_Month!$T$2:$T$37,C11,Calc_Month!$G$2:$G$37)</f>
        <v>590.22</v>
      </c>
      <c r="G11">
        <f>AVERAGEIF(Calc_Month!$T$2:$T$37,C11,Calc_Month!$C$2:$C$37)</f>
        <v>9218.4000000000015</v>
      </c>
    </row>
    <row r="12" spans="2:8" x14ac:dyDescent="0.25">
      <c r="C12" t="s">
        <v>297</v>
      </c>
      <c r="D12">
        <f>SUMIF(Calc_Month!$T$2:$T$37,C12,Calc_Month!$C$2:$C$37)</f>
        <v>28071</v>
      </c>
      <c r="E12">
        <f>SUMIF(Calc_Month!$T$2:$T$37,C12,Calc_Month!$D$2:$D$37)</f>
        <v>1520.75</v>
      </c>
      <c r="F12">
        <f>SUMIF(Calc_Month!$T$2:$T$37,C12,Calc_Month!$G$2:$G$37)</f>
        <v>599.8599999999999</v>
      </c>
      <c r="G12">
        <f>AVERAGEIF(Calc_Month!$T$2:$T$37,C12,Calc_Month!$C$2:$C$37)</f>
        <v>9357</v>
      </c>
    </row>
    <row r="13" spans="2:8" x14ac:dyDescent="0.25">
      <c r="C13" t="s">
        <v>298</v>
      </c>
      <c r="D13">
        <f>SUMIF(Calc_Month!$T$2:$T$37,C13,Calc_Month!$C$2:$C$37)</f>
        <v>28912.1</v>
      </c>
      <c r="E13">
        <f>SUMIF(Calc_Month!$T$2:$T$37,C13,Calc_Month!$D$2:$D$37)</f>
        <v>1560.96</v>
      </c>
      <c r="F13">
        <f>SUMIF(Calc_Month!$T$2:$T$37,C13,Calc_Month!$G$2:$G$37)</f>
        <v>613.66000000000008</v>
      </c>
      <c r="G13">
        <f>AVERAGEIF(Calc_Month!$T$2:$T$37,C13,Calc_Month!$C$2:$C$37)</f>
        <v>9637.3666666666668</v>
      </c>
    </row>
    <row r="14" spans="2:8" x14ac:dyDescent="0.25">
      <c r="C14" t="s">
        <v>299</v>
      </c>
      <c r="D14">
        <f>SUMIF(Calc_Month!$T$2:$T$37,C14,Calc_Month!$C$2:$C$37)</f>
        <v>29314.2</v>
      </c>
      <c r="E14">
        <f>SUMIF(Calc_Month!$T$2:$T$37,C14,Calc_Month!$D$2:$D$37)</f>
        <v>1588.5</v>
      </c>
      <c r="F14">
        <f>SUMIF(Calc_Month!$T$2:$T$37,C14,Calc_Month!$G$2:$G$37)</f>
        <v>624.68000000000006</v>
      </c>
      <c r="G14">
        <f>AVERAGEIF(Calc_Month!$T$2:$T$37,C14,Calc_Month!$C$2:$C$37)</f>
        <v>9771.4</v>
      </c>
    </row>
    <row r="15" spans="2:8" x14ac:dyDescent="0.25">
      <c r="C15" t="s">
        <v>300</v>
      </c>
      <c r="D15">
        <f>SUMIF(Calc_Month!$T$2:$T$37,C15,Calc_Month!$C$2:$C$37)</f>
        <v>29881.4</v>
      </c>
      <c r="E15">
        <f>SUMIF(Calc_Month!$T$2:$T$37,C15,Calc_Month!$D$2:$D$37)</f>
        <v>1617.28</v>
      </c>
      <c r="F15">
        <f>SUMIF(Calc_Month!$T$2:$T$37,C15,Calc_Month!$G$2:$G$37)</f>
        <v>640.05999999999995</v>
      </c>
      <c r="G15">
        <f>AVERAGEIF(Calc_Month!$T$2:$T$37,C15,Calc_Month!$C$2:$C$37)</f>
        <v>9960.4666666666672</v>
      </c>
    </row>
    <row r="16" spans="2:8" x14ac:dyDescent="0.25">
      <c r="C16" t="s">
        <v>301</v>
      </c>
      <c r="D16">
        <f>SUMIF(Calc_Month!$T$2:$T$37,C16,Calc_Month!$C$2:$C$37)</f>
        <v>30582.699999999997</v>
      </c>
      <c r="E16">
        <f>SUMIF(Calc_Month!$T$2:$T$37,C16,Calc_Month!$D$2:$D$37)</f>
        <v>1654.56</v>
      </c>
      <c r="F16">
        <f>SUMIF(Calc_Month!$T$2:$T$37,C16,Calc_Month!$G$2:$G$37)</f>
        <v>655.19999999999993</v>
      </c>
      <c r="G16">
        <f>AVERAGEIF(Calc_Month!$T$2:$T$37,C16,Calc_Month!$C$2:$C$37)</f>
        <v>10194.233333333332</v>
      </c>
      <c r="H16" t="s">
        <v>263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1EEE2-569F-466F-9747-40E53912D78D}">
  <dimension ref="B2:H7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"Segmenti - mese "&amp;Control!$B$3</f>
        <v>Segmenti - mese 36</v>
      </c>
    </row>
    <row r="4" spans="2:8" x14ac:dyDescent="0.25">
      <c r="C4" t="s">
        <v>47</v>
      </c>
      <c r="D4" t="s">
        <v>168</v>
      </c>
      <c r="E4" t="s">
        <v>4</v>
      </c>
      <c r="F4" t="s">
        <v>10</v>
      </c>
      <c r="G4" t="s">
        <v>150</v>
      </c>
    </row>
    <row r="5" spans="2:8" x14ac:dyDescent="0.25">
      <c r="C5" t="s">
        <v>53</v>
      </c>
      <c r="D5">
        <f>COUNTIF(Calc_Bank!$R$2:$R$21,C5)</f>
        <v>6</v>
      </c>
      <c r="E5">
        <f>SUMIF(Calc_Bank!$R$2:$R$21,C5,Calc_Bank!$C$2:$C$21)</f>
        <v>110938.20000000001</v>
      </c>
      <c r="F5">
        <f>SUMIF(Calc_Bank!$R$2:$R$21,C5,Calc_Bank!$F$2:$F$21)</f>
        <v>2370.96</v>
      </c>
      <c r="G5">
        <f>E5/Calc_Bank!$C$23</f>
        <v>0.2771659657456883</v>
      </c>
    </row>
    <row r="6" spans="2:8" x14ac:dyDescent="0.25">
      <c r="C6" t="s">
        <v>56</v>
      </c>
      <c r="D6">
        <f>COUNTIF(Calc_Bank!$R$2:$R$21,C6)</f>
        <v>8</v>
      </c>
      <c r="E6">
        <f>SUMIF(Calc_Bank!$R$2:$R$21,C6,Calc_Bank!$C$2:$C$21)</f>
        <v>166644.1</v>
      </c>
      <c r="F6">
        <f>SUMIF(Calc_Bank!$R$2:$R$21,C6,Calc_Bank!$F$2:$F$21)</f>
        <v>3553.6600000000008</v>
      </c>
      <c r="G6">
        <f>E6/Calc_Bank!$C$23</f>
        <v>0.41634056539876296</v>
      </c>
    </row>
    <row r="7" spans="2:8" x14ac:dyDescent="0.25">
      <c r="C7" t="s">
        <v>65</v>
      </c>
      <c r="D7">
        <f>COUNTIF(Calc_Bank!$R$2:$R$21,C7)</f>
        <v>6</v>
      </c>
      <c r="E7">
        <f>SUMIF(Calc_Bank!$R$2:$R$21,C7,Calc_Bank!$C$2:$C$21)</f>
        <v>122676.79999999999</v>
      </c>
      <c r="F7">
        <f>SUMIF(Calc_Bank!$R$2:$R$21,C7,Calc_Bank!$F$2:$F$21)</f>
        <v>2616.5099999999998</v>
      </c>
      <c r="G7">
        <f>E7/Calc_Bank!$C$23</f>
        <v>0.30649346885554879</v>
      </c>
      <c r="H7" t="s">
        <v>263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7FA0A-2517-4588-A82A-62260286625C}">
  <dimension ref="B2:J2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"Catena di calcolo"</f>
        <v>Catena di calcolo</v>
      </c>
    </row>
    <row r="4" spans="2:9" x14ac:dyDescent="0.25">
      <c r="C4" t="s">
        <v>0</v>
      </c>
      <c r="D4" t="s">
        <v>302</v>
      </c>
      <c r="E4" t="s">
        <v>303</v>
      </c>
      <c r="F4" t="s">
        <v>304</v>
      </c>
      <c r="G4" t="s">
        <v>305</v>
      </c>
      <c r="H4" t="s">
        <v>155</v>
      </c>
      <c r="I4" t="s">
        <v>142</v>
      </c>
    </row>
    <row r="5" spans="2:9" x14ac:dyDescent="0.25">
      <c r="C5" t="str">
        <f>Calc_Deep!A2</f>
        <v>Banca Alpi</v>
      </c>
      <c r="D5">
        <f>Calc_Deep!B2</f>
        <v>8243.7217400000009</v>
      </c>
      <c r="E5">
        <f>Calc_Deep!E2</f>
        <v>8261.4014645831176</v>
      </c>
      <c r="F5">
        <f>Calc_Deep!H2</f>
        <v>1033.6166548096005</v>
      </c>
      <c r="G5" s="1">
        <f>Calc_Deep!I2</f>
        <v>1064.6166548096005</v>
      </c>
      <c r="H5" t="str">
        <f>Calc_Deep!J2</f>
        <v>basso</v>
      </c>
      <c r="I5">
        <f>Calc_Deep!K2</f>
        <v>20</v>
      </c>
    </row>
    <row r="6" spans="2:9" x14ac:dyDescent="0.25">
      <c r="C6" t="str">
        <f>Calc_Deep!A3</f>
        <v>Banca Adriatica</v>
      </c>
      <c r="D6">
        <f>Calc_Deep!B3</f>
        <v>9717.9932599999993</v>
      </c>
      <c r="E6">
        <f>Calc_Deep!E3</f>
        <v>9688.0557188974617</v>
      </c>
      <c r="F6">
        <f>Calc_Deep!H3</f>
        <v>1211.6798342506959</v>
      </c>
      <c r="G6" s="1">
        <f>Calc_Deep!I3</f>
        <v>1242.6798342506959</v>
      </c>
      <c r="H6" t="str">
        <f>Calc_Deep!J3</f>
        <v>basso</v>
      </c>
      <c r="I6">
        <f>Calc_Deep!K3</f>
        <v>19</v>
      </c>
    </row>
    <row r="7" spans="2:9" x14ac:dyDescent="0.25">
      <c r="C7" t="str">
        <f>Calc_Deep!A4</f>
        <v>Banca Tirrena</v>
      </c>
      <c r="D7">
        <f>Calc_Deep!B4</f>
        <v>11117.05349</v>
      </c>
      <c r="E7">
        <f>Calc_Deep!E4</f>
        <v>11119.788291727546</v>
      </c>
      <c r="F7">
        <f>Calc_Deep!H4</f>
        <v>1390.3758065925288</v>
      </c>
      <c r="G7" s="1">
        <f>Calc_Deep!I4</f>
        <v>1421.3758065925288</v>
      </c>
      <c r="H7" t="str">
        <f>Calc_Deep!J4</f>
        <v>basso</v>
      </c>
      <c r="I7">
        <f>Calc_Deep!K4</f>
        <v>18</v>
      </c>
    </row>
    <row r="8" spans="2:9" x14ac:dyDescent="0.25">
      <c r="C8" t="str">
        <f>Calc_Deep!A5</f>
        <v>Banca Padana</v>
      </c>
      <c r="D8">
        <f>Calc_Deep!B5</f>
        <v>12445.243629999997</v>
      </c>
      <c r="E8">
        <f>Calc_Deep!E5</f>
        <v>12536.391098717289</v>
      </c>
      <c r="F8">
        <f>Calc_Deep!H5</f>
        <v>1567.1833851299907</v>
      </c>
      <c r="G8" s="1">
        <f>Calc_Deep!I5</f>
        <v>1598.1833851299907</v>
      </c>
      <c r="H8" t="str">
        <f>Calc_Deep!J5</f>
        <v>basso</v>
      </c>
      <c r="I8">
        <f>Calc_Deep!K5</f>
        <v>17</v>
      </c>
    </row>
    <row r="9" spans="2:9" x14ac:dyDescent="0.25">
      <c r="C9" t="str">
        <f>Calc_Deep!A6</f>
        <v>Banca Etrusca</v>
      </c>
      <c r="D9">
        <f>Calc_Deep!B6</f>
        <v>13934.600820000001</v>
      </c>
      <c r="E9">
        <f>Calc_Deep!E6</f>
        <v>13991.07046559644</v>
      </c>
      <c r="F9">
        <f>Calc_Deep!H6</f>
        <v>1748.7437750402516</v>
      </c>
      <c r="G9" s="1">
        <f>Calc_Deep!I6</f>
        <v>1779.7437750402516</v>
      </c>
      <c r="H9" t="str">
        <f>Calc_Deep!J6</f>
        <v>basso</v>
      </c>
      <c r="I9">
        <f>Calc_Deep!K6</f>
        <v>16</v>
      </c>
    </row>
    <row r="10" spans="2:9" x14ac:dyDescent="0.25">
      <c r="C10" t="str">
        <f>Calc_Deep!A7</f>
        <v>Banca Lariana</v>
      </c>
      <c r="D10">
        <f>Calc_Deep!B7</f>
        <v>15354.932929999997</v>
      </c>
      <c r="E10">
        <f>Calc_Deep!E7</f>
        <v>15498.613449612212</v>
      </c>
      <c r="F10">
        <f>Calc_Deep!H7</f>
        <v>1936.9029343118532</v>
      </c>
      <c r="G10" s="1">
        <f>Calc_Deep!I7</f>
        <v>1967.9029343118532</v>
      </c>
      <c r="H10" t="str">
        <f>Calc_Deep!J7</f>
        <v>basso</v>
      </c>
      <c r="I10">
        <f>Calc_Deep!K7</f>
        <v>15</v>
      </c>
    </row>
    <row r="11" spans="2:9" x14ac:dyDescent="0.25">
      <c r="C11" t="str">
        <f>Calc_Deep!A8</f>
        <v>Banca Sabina</v>
      </c>
      <c r="D11">
        <f>Calc_Deep!B8</f>
        <v>16717.635610000001</v>
      </c>
      <c r="E11">
        <f>Calc_Deep!E8</f>
        <v>16822.169734144642</v>
      </c>
      <c r="F11">
        <f>Calc_Deep!H8</f>
        <v>2102.0968285468225</v>
      </c>
      <c r="G11" s="1">
        <f>Calc_Deep!I8</f>
        <v>2133.0968285468225</v>
      </c>
      <c r="H11" t="str">
        <f>Calc_Deep!J8</f>
        <v>basso</v>
      </c>
      <c r="I11">
        <f>Calc_Deep!K8</f>
        <v>14</v>
      </c>
    </row>
    <row r="12" spans="2:9" x14ac:dyDescent="0.25">
      <c r="C12" t="str">
        <f>Calc_Deep!A9</f>
        <v>Banca Irpina</v>
      </c>
      <c r="D12">
        <f>Calc_Deep!B9</f>
        <v>18139.595669999995</v>
      </c>
      <c r="E12">
        <f>Calc_Deep!E9</f>
        <v>18242.993485776591</v>
      </c>
      <c r="F12">
        <f>Calc_Deep!H9</f>
        <v>2279.4323585576817</v>
      </c>
      <c r="G12" s="1">
        <f>Calc_Deep!I9</f>
        <v>2310.4323585576817</v>
      </c>
      <c r="H12" t="str">
        <f>Calc_Deep!J9</f>
        <v>basso</v>
      </c>
      <c r="I12">
        <f>Calc_Deep!K9</f>
        <v>13</v>
      </c>
    </row>
    <row r="13" spans="2:9" x14ac:dyDescent="0.25">
      <c r="C13" t="str">
        <f>Calc_Deep!A10</f>
        <v>Banca Sannita</v>
      </c>
      <c r="D13">
        <f>Calc_Deep!B10</f>
        <v>19515.21342</v>
      </c>
      <c r="E13">
        <f>Calc_Deep!E10</f>
        <v>19645.561677116268</v>
      </c>
      <c r="F13">
        <f>Calc_Deep!H10</f>
        <v>2454.4875875238699</v>
      </c>
      <c r="G13" s="1">
        <f>Calc_Deep!I10</f>
        <v>2485.4875875238699</v>
      </c>
      <c r="H13" t="str">
        <f>Calc_Deep!J10</f>
        <v>basso</v>
      </c>
      <c r="I13">
        <f>Calc_Deep!K10</f>
        <v>12</v>
      </c>
    </row>
    <row r="14" spans="2:9" x14ac:dyDescent="0.25">
      <c r="C14" t="str">
        <f>Calc_Deep!A11</f>
        <v>Banca Ligure</v>
      </c>
      <c r="D14">
        <f>Calc_Deep!B11</f>
        <v>21067.8436</v>
      </c>
      <c r="E14">
        <f>Calc_Deep!E11</f>
        <v>21317.062240713258</v>
      </c>
      <c r="F14">
        <f>Calc_Deep!H11</f>
        <v>2663.109546810449</v>
      </c>
      <c r="G14" s="1">
        <f>Calc_Deep!I11</f>
        <v>2694.109546810449</v>
      </c>
      <c r="H14" t="str">
        <f>Calc_Deep!J11</f>
        <v>basso</v>
      </c>
      <c r="I14">
        <f>Calc_Deep!K11</f>
        <v>11</v>
      </c>
    </row>
    <row r="15" spans="2:9" x14ac:dyDescent="0.25">
      <c r="C15" t="str">
        <f>Calc_Deep!A12</f>
        <v>Banca Veneta</v>
      </c>
      <c r="D15">
        <f>Calc_Deep!B12</f>
        <v>22435.755720000001</v>
      </c>
      <c r="E15">
        <f>Calc_Deep!E12</f>
        <v>22631.927065341006</v>
      </c>
      <c r="F15">
        <f>Calc_Deep!H12</f>
        <v>2827.2200796295601</v>
      </c>
      <c r="G15" s="1">
        <f>Calc_Deep!I12</f>
        <v>2858.2200796295601</v>
      </c>
      <c r="H15" t="str">
        <f>Calc_Deep!J12</f>
        <v>alto</v>
      </c>
      <c r="I15">
        <f>Calc_Deep!K12</f>
        <v>10</v>
      </c>
    </row>
    <row r="16" spans="2:9" x14ac:dyDescent="0.25">
      <c r="C16" t="str">
        <f>Calc_Deep!A13</f>
        <v>Banca Friulana</v>
      </c>
      <c r="D16">
        <f>Calc_Deep!B13</f>
        <v>23794.65985</v>
      </c>
      <c r="E16">
        <f>Calc_Deep!E13</f>
        <v>24014.400119012633</v>
      </c>
      <c r="F16">
        <f>Calc_Deep!H13</f>
        <v>2999.7678511251729</v>
      </c>
      <c r="G16" s="1">
        <f>Calc_Deep!I13</f>
        <v>3030.7678511251729</v>
      </c>
      <c r="H16" t="str">
        <f>Calc_Deep!J13</f>
        <v>alto</v>
      </c>
      <c r="I16">
        <f>Calc_Deep!K13</f>
        <v>9</v>
      </c>
    </row>
    <row r="17" spans="3:10" x14ac:dyDescent="0.25">
      <c r="C17" t="str">
        <f>Calc_Deep!A14</f>
        <v>Banca Umbra</v>
      </c>
      <c r="D17">
        <f>Calc_Deep!B14</f>
        <v>25251.132449999997</v>
      </c>
      <c r="E17">
        <f>Calc_Deep!E14</f>
        <v>25506.857537295349</v>
      </c>
      <c r="F17">
        <f>Calc_Deep!H14</f>
        <v>3186.043609041325</v>
      </c>
      <c r="G17" s="1">
        <f>Calc_Deep!I14</f>
        <v>3217.043609041325</v>
      </c>
      <c r="H17" t="str">
        <f>Calc_Deep!J14</f>
        <v>alto</v>
      </c>
      <c r="I17">
        <f>Calc_Deep!K14</f>
        <v>8</v>
      </c>
    </row>
    <row r="18" spans="3:10" x14ac:dyDescent="0.25">
      <c r="C18" t="str">
        <f>Calc_Deep!A15</f>
        <v>Banca Marchigiana</v>
      </c>
      <c r="D18">
        <f>Calc_Deep!B15</f>
        <v>26761.110339999999</v>
      </c>
      <c r="E18">
        <f>Calc_Deep!E15</f>
        <v>27047.285279513912</v>
      </c>
      <c r="F18">
        <f>Calc_Deep!H15</f>
        <v>3378.3065613259946</v>
      </c>
      <c r="G18" s="1">
        <f>Calc_Deep!I15</f>
        <v>3409.3065613259946</v>
      </c>
      <c r="H18" t="str">
        <f>Calc_Deep!J15</f>
        <v>alto</v>
      </c>
      <c r="I18">
        <f>Calc_Deep!K15</f>
        <v>7</v>
      </c>
    </row>
    <row r="19" spans="3:10" x14ac:dyDescent="0.25">
      <c r="C19" t="str">
        <f>Calc_Deep!A16</f>
        <v>Banca Lucana</v>
      </c>
      <c r="D19">
        <f>Calc_Deep!B16</f>
        <v>28100.804659999998</v>
      </c>
      <c r="E19">
        <f>Calc_Deep!E16</f>
        <v>28386.765001722313</v>
      </c>
      <c r="F19">
        <f>Calc_Deep!H16</f>
        <v>3545.488698343755</v>
      </c>
      <c r="G19" s="1">
        <f>Calc_Deep!I16</f>
        <v>3576.488698343755</v>
      </c>
      <c r="H19" t="str">
        <f>Calc_Deep!J16</f>
        <v>alto</v>
      </c>
      <c r="I19">
        <f>Calc_Deep!K16</f>
        <v>6</v>
      </c>
    </row>
    <row r="20" spans="3:10" x14ac:dyDescent="0.25">
      <c r="C20" t="str">
        <f>Calc_Deep!A17</f>
        <v>Banca Calabra</v>
      </c>
      <c r="D20">
        <f>Calc_Deep!B17</f>
        <v>29577.029719999995</v>
      </c>
      <c r="E20">
        <f>Calc_Deep!E17</f>
        <v>29891.970484729361</v>
      </c>
      <c r="F20">
        <f>Calc_Deep!H17</f>
        <v>3733.354551241247</v>
      </c>
      <c r="G20" s="1">
        <f>Calc_Deep!I17</f>
        <v>3764.354551241247</v>
      </c>
      <c r="H20" t="str">
        <f>Calc_Deep!J17</f>
        <v>alto</v>
      </c>
      <c r="I20">
        <f>Calc_Deep!K17</f>
        <v>5</v>
      </c>
    </row>
    <row r="21" spans="3:10" x14ac:dyDescent="0.25">
      <c r="C21" t="str">
        <f>Calc_Deep!A18</f>
        <v>Banca Sicula</v>
      </c>
      <c r="D21">
        <f>Calc_Deep!B18</f>
        <v>30958.833679999996</v>
      </c>
      <c r="E21">
        <f>Calc_Deep!E18</f>
        <v>31224.571234817038</v>
      </c>
      <c r="F21">
        <f>Calc_Deep!H18</f>
        <v>3899.6779870445948</v>
      </c>
      <c r="G21" s="1">
        <f>Calc_Deep!I18</f>
        <v>3930.6779870445948</v>
      </c>
      <c r="H21" t="str">
        <f>Calc_Deep!J18</f>
        <v>alto</v>
      </c>
      <c r="I21">
        <f>Calc_Deep!K18</f>
        <v>4</v>
      </c>
    </row>
    <row r="22" spans="3:10" x14ac:dyDescent="0.25">
      <c r="C22" t="str">
        <f>Calc_Deep!A19</f>
        <v>Banca Sarda</v>
      </c>
      <c r="D22">
        <f>Calc_Deep!B19</f>
        <v>32318.823109999998</v>
      </c>
      <c r="E22">
        <f>Calc_Deep!E19</f>
        <v>32606.784830179746</v>
      </c>
      <c r="F22">
        <f>Calc_Deep!H19</f>
        <v>4072.194555734452</v>
      </c>
      <c r="G22" s="1">
        <f>Calc_Deep!I19</f>
        <v>4103.1945557344516</v>
      </c>
      <c r="H22" t="str">
        <f>Calc_Deep!J19</f>
        <v>alto</v>
      </c>
      <c r="I22">
        <f>Calc_Deep!K19</f>
        <v>3</v>
      </c>
    </row>
    <row r="23" spans="3:10" x14ac:dyDescent="0.25">
      <c r="C23" t="str">
        <f>Calc_Deep!A20</f>
        <v>Banca Romagnola</v>
      </c>
      <c r="D23">
        <f>Calc_Deep!B20</f>
        <v>33748.597329999997</v>
      </c>
      <c r="E23">
        <f>Calc_Deep!E20</f>
        <v>34152.01637009078</v>
      </c>
      <c r="F23">
        <f>Calc_Deep!H20</f>
        <v>4265.0566018896416</v>
      </c>
      <c r="G23" s="1">
        <f>Calc_Deep!I20</f>
        <v>4296.0566018896416</v>
      </c>
      <c r="H23" t="str">
        <f>Calc_Deep!J20</f>
        <v>alto</v>
      </c>
      <c r="I23">
        <f>Calc_Deep!K20</f>
        <v>2</v>
      </c>
    </row>
    <row r="24" spans="3:10" x14ac:dyDescent="0.25">
      <c r="C24" t="str">
        <f>Calc_Deep!A21</f>
        <v>Banca Città</v>
      </c>
      <c r="D24">
        <f>Calc_Deep!B21</f>
        <v>35200.620199999998</v>
      </c>
      <c r="E24">
        <f>Calc_Deep!E21</f>
        <v>35634.145718144653</v>
      </c>
      <c r="F24">
        <f>Calc_Deep!H21</f>
        <v>4450.043059871944</v>
      </c>
      <c r="G24" s="1">
        <f>Calc_Deep!I21</f>
        <v>4481.043059871944</v>
      </c>
      <c r="H24" t="str">
        <f>Calc_Deep!J21</f>
        <v>alto</v>
      </c>
      <c r="I24">
        <f>Calc_Deep!K21</f>
        <v>1</v>
      </c>
      <c r="J24" t="s">
        <v>263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6784C-5A0F-4B15-99BA-BDD40CF075DA}">
  <dimension ref="B2:F24"/>
  <sheetViews>
    <sheetView workbookViewId="0"/>
  </sheetViews>
  <sheetFormatPr defaultRowHeight="12.5" x14ac:dyDescent="0.25"/>
  <sheetData>
    <row r="2" spans="2:5" x14ac:dyDescent="0.25">
      <c r="B2" t="s">
        <v>263</v>
      </c>
    </row>
    <row r="3" spans="2:5" x14ac:dyDescent="0.25">
      <c r="C3" t="str">
        <f>"Nomi definiti - "&amp;SelBank</f>
        <v>Nomi definiti - Banca Tirrena</v>
      </c>
    </row>
    <row r="4" spans="2:5" x14ac:dyDescent="0.25">
      <c r="C4" t="s">
        <v>0</v>
      </c>
      <c r="D4" t="s">
        <v>4</v>
      </c>
      <c r="E4" t="s">
        <v>306</v>
      </c>
    </row>
    <row r="5" spans="2:5" x14ac:dyDescent="0.25">
      <c r="C5" t="str">
        <f>Calc_Names!A11</f>
        <v>Banca Alpi</v>
      </c>
      <c r="D5">
        <f>Calc_Names!B11</f>
        <v>7595.8000000000011</v>
      </c>
      <c r="E5">
        <f t="shared" ref="E5:E24" si="0">D5*(1-TaxRate)</f>
        <v>5772.8080000000009</v>
      </c>
    </row>
    <row r="6" spans="2:5" x14ac:dyDescent="0.25">
      <c r="C6" t="str">
        <f>Calc_Names!A12</f>
        <v>Banca Adriatica</v>
      </c>
      <c r="D6">
        <f>Calc_Names!B12</f>
        <v>8954.2000000000007</v>
      </c>
      <c r="E6">
        <f t="shared" si="0"/>
        <v>6805.1920000000009</v>
      </c>
    </row>
    <row r="7" spans="2:5" x14ac:dyDescent="0.25">
      <c r="C7" t="str">
        <f>Calc_Names!A13</f>
        <v>Banca Tirrena</v>
      </c>
      <c r="D7">
        <f>Calc_Names!B13</f>
        <v>10243.300000000001</v>
      </c>
      <c r="E7">
        <f t="shared" si="0"/>
        <v>7784.9080000000013</v>
      </c>
    </row>
    <row r="8" spans="2:5" x14ac:dyDescent="0.25">
      <c r="C8" t="str">
        <f>Calc_Names!A14</f>
        <v>Banca Padana</v>
      </c>
      <c r="D8">
        <f>Calc_Names!B14</f>
        <v>11467.099999999999</v>
      </c>
      <c r="E8">
        <f t="shared" si="0"/>
        <v>8714.9959999999992</v>
      </c>
    </row>
    <row r="9" spans="2:5" x14ac:dyDescent="0.25">
      <c r="C9" t="str">
        <f>Calc_Names!A15</f>
        <v>Banca Etrusca</v>
      </c>
      <c r="D9">
        <f>Calc_Names!B15</f>
        <v>12839.400000000001</v>
      </c>
      <c r="E9">
        <f t="shared" si="0"/>
        <v>9757.9440000000013</v>
      </c>
    </row>
    <row r="10" spans="2:5" x14ac:dyDescent="0.25">
      <c r="C10" t="str">
        <f>Calc_Names!A16</f>
        <v>Banca Lariana</v>
      </c>
      <c r="D10">
        <f>Calc_Names!B16</f>
        <v>14148.099999999999</v>
      </c>
      <c r="E10">
        <f t="shared" si="0"/>
        <v>10752.555999999999</v>
      </c>
    </row>
    <row r="11" spans="2:5" x14ac:dyDescent="0.25">
      <c r="C11" t="str">
        <f>Calc_Names!A17</f>
        <v>Banca Sabina</v>
      </c>
      <c r="D11">
        <f>Calc_Names!B17</f>
        <v>15403.7</v>
      </c>
      <c r="E11">
        <f t="shared" si="0"/>
        <v>11706.812</v>
      </c>
    </row>
    <row r="12" spans="2:5" x14ac:dyDescent="0.25">
      <c r="C12" t="str">
        <f>Calc_Names!A18</f>
        <v>Banca Irpina</v>
      </c>
      <c r="D12">
        <f>Calc_Names!B18</f>
        <v>16713.899999999998</v>
      </c>
      <c r="E12">
        <f t="shared" si="0"/>
        <v>12702.563999999998</v>
      </c>
    </row>
    <row r="13" spans="2:5" x14ac:dyDescent="0.25">
      <c r="C13" t="str">
        <f>Calc_Names!A19</f>
        <v>Banca Sannita</v>
      </c>
      <c r="D13">
        <f>Calc_Names!B19</f>
        <v>17981.400000000001</v>
      </c>
      <c r="E13">
        <f t="shared" si="0"/>
        <v>13665.864000000001</v>
      </c>
    </row>
    <row r="14" spans="2:5" x14ac:dyDescent="0.25">
      <c r="C14" t="str">
        <f>Calc_Names!A20</f>
        <v>Banca Ligure</v>
      </c>
      <c r="D14">
        <f>Calc_Names!B20</f>
        <v>19412</v>
      </c>
      <c r="E14">
        <f t="shared" si="0"/>
        <v>14753.12</v>
      </c>
    </row>
    <row r="15" spans="2:5" x14ac:dyDescent="0.25">
      <c r="C15" t="str">
        <f>Calc_Names!A21</f>
        <v>Banca Veneta</v>
      </c>
      <c r="D15">
        <f>Calc_Names!B21</f>
        <v>20672.400000000001</v>
      </c>
      <c r="E15">
        <f t="shared" si="0"/>
        <v>15711.024000000001</v>
      </c>
    </row>
    <row r="16" spans="2:5" x14ac:dyDescent="0.25">
      <c r="C16" t="str">
        <f>Calc_Names!A22</f>
        <v>Banca Friulana</v>
      </c>
      <c r="D16">
        <f>Calc_Names!B22</f>
        <v>21924.5</v>
      </c>
      <c r="E16">
        <f t="shared" si="0"/>
        <v>16662.62</v>
      </c>
    </row>
    <row r="17" spans="3:6" x14ac:dyDescent="0.25">
      <c r="C17" t="str">
        <f>Calc_Names!A23</f>
        <v>Banca Umbra</v>
      </c>
      <c r="D17">
        <f>Calc_Names!B23</f>
        <v>23266.5</v>
      </c>
      <c r="E17">
        <f t="shared" si="0"/>
        <v>17682.54</v>
      </c>
    </row>
    <row r="18" spans="3:6" x14ac:dyDescent="0.25">
      <c r="C18" t="str">
        <f>Calc_Names!A24</f>
        <v>Banca Marchigiana</v>
      </c>
      <c r="D18">
        <f>Calc_Names!B24</f>
        <v>24657.8</v>
      </c>
      <c r="E18">
        <f t="shared" si="0"/>
        <v>18739.928</v>
      </c>
    </row>
    <row r="19" spans="3:6" x14ac:dyDescent="0.25">
      <c r="C19" t="str">
        <f>Calc_Names!A25</f>
        <v>Banca Lucana</v>
      </c>
      <c r="D19">
        <f>Calc_Names!B25</f>
        <v>25892.2</v>
      </c>
      <c r="E19">
        <f t="shared" si="0"/>
        <v>19678.072</v>
      </c>
    </row>
    <row r="20" spans="3:6" x14ac:dyDescent="0.25">
      <c r="C20" t="str">
        <f>Calc_Names!A26</f>
        <v>Banca Calabra</v>
      </c>
      <c r="D20">
        <f>Calc_Names!B26</f>
        <v>27252.399999999998</v>
      </c>
      <c r="E20">
        <f t="shared" si="0"/>
        <v>20711.823999999997</v>
      </c>
    </row>
    <row r="21" spans="3:6" x14ac:dyDescent="0.25">
      <c r="C21" t="str">
        <f>Calc_Names!A27</f>
        <v>Banca Sicula</v>
      </c>
      <c r="D21">
        <f>Calc_Names!B27</f>
        <v>28525.599999999999</v>
      </c>
      <c r="E21">
        <f t="shared" si="0"/>
        <v>21679.455999999998</v>
      </c>
    </row>
    <row r="22" spans="3:6" x14ac:dyDescent="0.25">
      <c r="C22" t="str">
        <f>Calc_Names!A28</f>
        <v>Banca Sarda</v>
      </c>
      <c r="D22">
        <f>Calc_Names!B28</f>
        <v>29778.7</v>
      </c>
      <c r="E22">
        <f t="shared" si="0"/>
        <v>22631.812000000002</v>
      </c>
    </row>
    <row r="23" spans="3:6" x14ac:dyDescent="0.25">
      <c r="C23" t="str">
        <f>Calc_Names!A29</f>
        <v>Banca Romagnola</v>
      </c>
      <c r="D23">
        <f>Calc_Names!B29</f>
        <v>31096.1</v>
      </c>
      <c r="E23">
        <f t="shared" si="0"/>
        <v>23633.036</v>
      </c>
    </row>
    <row r="24" spans="3:6" x14ac:dyDescent="0.25">
      <c r="C24" t="str">
        <f>Calc_Names!A30</f>
        <v>Banca Città</v>
      </c>
      <c r="D24">
        <f>Calc_Names!B30</f>
        <v>32434</v>
      </c>
      <c r="E24">
        <f t="shared" si="0"/>
        <v>24649.84</v>
      </c>
      <c r="F24" t="s">
        <v>263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02CDE-8902-4B0D-A97B-63079370D8C7}">
  <dimension ref="B2:G24"/>
  <sheetViews>
    <sheetView workbookViewId="0"/>
  </sheetViews>
  <sheetFormatPr defaultRowHeight="12.5" x14ac:dyDescent="0.25"/>
  <sheetData>
    <row r="2" spans="2:6" x14ac:dyDescent="0.25">
      <c r="B2" t="s">
        <v>263</v>
      </c>
    </row>
    <row r="3" spans="2:6" x14ac:dyDescent="0.25">
      <c r="C3" t="str">
        <f>"Riferimenti indiretti"</f>
        <v>Riferimenti indiretti</v>
      </c>
    </row>
    <row r="4" spans="2:6" x14ac:dyDescent="0.25">
      <c r="C4" t="s">
        <v>0</v>
      </c>
      <c r="D4" t="s">
        <v>307</v>
      </c>
      <c r="E4" t="s">
        <v>308</v>
      </c>
      <c r="F4" t="s">
        <v>309</v>
      </c>
    </row>
    <row r="5" spans="2:6" x14ac:dyDescent="0.25">
      <c r="C5" t="str">
        <f>Calc_Indirect!A12</f>
        <v>Banca Alpi</v>
      </c>
      <c r="D5">
        <f ca="1">Calc_Indirect!B12</f>
        <v>7595.8000000000011</v>
      </c>
      <c r="E5" cm="1">
        <f t="array" ref="E5">INDEX(Calc_BankMonth!$B$3:$AK$22,ROW()-4,Control!$B$3)</f>
        <v>7595.8000000000011</v>
      </c>
      <c r="F5" t="str">
        <f t="shared" ref="F5:F24" ca="1" si="0">IF(D5=E5,"sì","no")</f>
        <v>sì</v>
      </c>
    </row>
    <row r="6" spans="2:6" x14ac:dyDescent="0.25">
      <c r="C6" t="str">
        <f>Calc_Indirect!A13</f>
        <v>Banca Adriatica</v>
      </c>
      <c r="D6">
        <f ca="1">Calc_Indirect!B13</f>
        <v>8954.2000000000007</v>
      </c>
      <c r="E6" cm="1">
        <f t="array" ref="E6">INDEX(Calc_BankMonth!$B$3:$AK$22,ROW()-4,Control!$B$3)</f>
        <v>8954.2000000000007</v>
      </c>
      <c r="F6" t="str">
        <f t="shared" ca="1" si="0"/>
        <v>sì</v>
      </c>
    </row>
    <row r="7" spans="2:6" x14ac:dyDescent="0.25">
      <c r="C7" t="str">
        <f>Calc_Indirect!A14</f>
        <v>Banca Tirrena</v>
      </c>
      <c r="D7">
        <f ca="1">Calc_Indirect!B14</f>
        <v>10243.300000000001</v>
      </c>
      <c r="E7" cm="1">
        <f t="array" ref="E7">INDEX(Calc_BankMonth!$B$3:$AK$22,ROW()-4,Control!$B$3)</f>
        <v>10243.300000000001</v>
      </c>
      <c r="F7" t="str">
        <f t="shared" ca="1" si="0"/>
        <v>sì</v>
      </c>
    </row>
    <row r="8" spans="2:6" x14ac:dyDescent="0.25">
      <c r="C8" t="str">
        <f>Calc_Indirect!A15</f>
        <v>Banca Padana</v>
      </c>
      <c r="D8">
        <f ca="1">Calc_Indirect!B15</f>
        <v>11467.099999999999</v>
      </c>
      <c r="E8" cm="1">
        <f t="array" ref="E8">INDEX(Calc_BankMonth!$B$3:$AK$22,ROW()-4,Control!$B$3)</f>
        <v>11467.099999999999</v>
      </c>
      <c r="F8" t="str">
        <f t="shared" ca="1" si="0"/>
        <v>sì</v>
      </c>
    </row>
    <row r="9" spans="2:6" x14ac:dyDescent="0.25">
      <c r="C9" t="str">
        <f>Calc_Indirect!A16</f>
        <v>Banca Etrusca</v>
      </c>
      <c r="D9">
        <f ca="1">Calc_Indirect!B16</f>
        <v>12839.400000000001</v>
      </c>
      <c r="E9" cm="1">
        <f t="array" ref="E9">INDEX(Calc_BankMonth!$B$3:$AK$22,ROW()-4,Control!$B$3)</f>
        <v>12839.400000000001</v>
      </c>
      <c r="F9" t="str">
        <f t="shared" ca="1" si="0"/>
        <v>sì</v>
      </c>
    </row>
    <row r="10" spans="2:6" x14ac:dyDescent="0.25">
      <c r="C10" t="str">
        <f>Calc_Indirect!A17</f>
        <v>Banca Lariana</v>
      </c>
      <c r="D10">
        <f ca="1">Calc_Indirect!B17</f>
        <v>14148.099999999999</v>
      </c>
      <c r="E10" cm="1">
        <f t="array" ref="E10">INDEX(Calc_BankMonth!$B$3:$AK$22,ROW()-4,Control!$B$3)</f>
        <v>14148.099999999999</v>
      </c>
      <c r="F10" t="str">
        <f t="shared" ca="1" si="0"/>
        <v>sì</v>
      </c>
    </row>
    <row r="11" spans="2:6" x14ac:dyDescent="0.25">
      <c r="C11" t="str">
        <f>Calc_Indirect!A18</f>
        <v>Banca Sabina</v>
      </c>
      <c r="D11">
        <f ca="1">Calc_Indirect!B18</f>
        <v>15403.7</v>
      </c>
      <c r="E11" cm="1">
        <f t="array" ref="E11">INDEX(Calc_BankMonth!$B$3:$AK$22,ROW()-4,Control!$B$3)</f>
        <v>15403.7</v>
      </c>
      <c r="F11" t="str">
        <f t="shared" ca="1" si="0"/>
        <v>sì</v>
      </c>
    </row>
    <row r="12" spans="2:6" x14ac:dyDescent="0.25">
      <c r="C12" t="str">
        <f>Calc_Indirect!A19</f>
        <v>Banca Irpina</v>
      </c>
      <c r="D12">
        <f ca="1">Calc_Indirect!B19</f>
        <v>16713.899999999998</v>
      </c>
      <c r="E12" cm="1">
        <f t="array" ref="E12">INDEX(Calc_BankMonth!$B$3:$AK$22,ROW()-4,Control!$B$3)</f>
        <v>16713.899999999998</v>
      </c>
      <c r="F12" t="str">
        <f t="shared" ca="1" si="0"/>
        <v>sì</v>
      </c>
    </row>
    <row r="13" spans="2:6" x14ac:dyDescent="0.25">
      <c r="C13" t="str">
        <f>Calc_Indirect!A20</f>
        <v>Banca Sannita</v>
      </c>
      <c r="D13">
        <f ca="1">Calc_Indirect!B20</f>
        <v>17981.400000000001</v>
      </c>
      <c r="E13" cm="1">
        <f t="array" ref="E13">INDEX(Calc_BankMonth!$B$3:$AK$22,ROW()-4,Control!$B$3)</f>
        <v>17981.400000000001</v>
      </c>
      <c r="F13" t="str">
        <f t="shared" ca="1" si="0"/>
        <v>sì</v>
      </c>
    </row>
    <row r="14" spans="2:6" x14ac:dyDescent="0.25">
      <c r="C14" t="str">
        <f>Calc_Indirect!A21</f>
        <v>Banca Ligure</v>
      </c>
      <c r="D14">
        <f ca="1">Calc_Indirect!B21</f>
        <v>19412</v>
      </c>
      <c r="E14" cm="1">
        <f t="array" ref="E14">INDEX(Calc_BankMonth!$B$3:$AK$22,ROW()-4,Control!$B$3)</f>
        <v>19412</v>
      </c>
      <c r="F14" t="str">
        <f t="shared" ca="1" si="0"/>
        <v>sì</v>
      </c>
    </row>
    <row r="15" spans="2:6" x14ac:dyDescent="0.25">
      <c r="C15" t="str">
        <f>Calc_Indirect!A22</f>
        <v>Banca Veneta</v>
      </c>
      <c r="D15">
        <f ca="1">Calc_Indirect!B22</f>
        <v>20672.400000000001</v>
      </c>
      <c r="E15" cm="1">
        <f t="array" ref="E15">INDEX(Calc_BankMonth!$B$3:$AK$22,ROW()-4,Control!$B$3)</f>
        <v>20672.400000000001</v>
      </c>
      <c r="F15" t="str">
        <f t="shared" ca="1" si="0"/>
        <v>sì</v>
      </c>
    </row>
    <row r="16" spans="2:6" x14ac:dyDescent="0.25">
      <c r="C16" t="str">
        <f>Calc_Indirect!A23</f>
        <v>Banca Friulana</v>
      </c>
      <c r="D16">
        <f ca="1">Calc_Indirect!B23</f>
        <v>21924.5</v>
      </c>
      <c r="E16" cm="1">
        <f t="array" ref="E16">INDEX(Calc_BankMonth!$B$3:$AK$22,ROW()-4,Control!$B$3)</f>
        <v>21924.5</v>
      </c>
      <c r="F16" t="str">
        <f t="shared" ca="1" si="0"/>
        <v>sì</v>
      </c>
    </row>
    <row r="17" spans="3:7" x14ac:dyDescent="0.25">
      <c r="C17" t="str">
        <f>Calc_Indirect!A24</f>
        <v>Banca Umbra</v>
      </c>
      <c r="D17">
        <f ca="1">Calc_Indirect!B24</f>
        <v>23266.5</v>
      </c>
      <c r="E17" cm="1">
        <f t="array" ref="E17">INDEX(Calc_BankMonth!$B$3:$AK$22,ROW()-4,Control!$B$3)</f>
        <v>23266.5</v>
      </c>
      <c r="F17" t="str">
        <f t="shared" ca="1" si="0"/>
        <v>sì</v>
      </c>
    </row>
    <row r="18" spans="3:7" x14ac:dyDescent="0.25">
      <c r="C18" t="str">
        <f>Calc_Indirect!A25</f>
        <v>Banca Marchigiana</v>
      </c>
      <c r="D18">
        <f ca="1">Calc_Indirect!B25</f>
        <v>24657.8</v>
      </c>
      <c r="E18" cm="1">
        <f t="array" ref="E18">INDEX(Calc_BankMonth!$B$3:$AK$22,ROW()-4,Control!$B$3)</f>
        <v>24657.8</v>
      </c>
      <c r="F18" t="str">
        <f t="shared" ca="1" si="0"/>
        <v>sì</v>
      </c>
    </row>
    <row r="19" spans="3:7" x14ac:dyDescent="0.25">
      <c r="C19" t="str">
        <f>Calc_Indirect!A26</f>
        <v>Banca Lucana</v>
      </c>
      <c r="D19">
        <f ca="1">Calc_Indirect!B26</f>
        <v>25892.2</v>
      </c>
      <c r="E19" cm="1">
        <f t="array" ref="E19">INDEX(Calc_BankMonth!$B$3:$AK$22,ROW()-4,Control!$B$3)</f>
        <v>25892.2</v>
      </c>
      <c r="F19" t="str">
        <f t="shared" ca="1" si="0"/>
        <v>sì</v>
      </c>
    </row>
    <row r="20" spans="3:7" x14ac:dyDescent="0.25">
      <c r="C20" t="str">
        <f>Calc_Indirect!A27</f>
        <v>Banca Calabra</v>
      </c>
      <c r="D20">
        <f ca="1">Calc_Indirect!B27</f>
        <v>27252.399999999998</v>
      </c>
      <c r="E20" cm="1">
        <f t="array" ref="E20">INDEX(Calc_BankMonth!$B$3:$AK$22,ROW()-4,Control!$B$3)</f>
        <v>27252.399999999998</v>
      </c>
      <c r="F20" t="str">
        <f t="shared" ca="1" si="0"/>
        <v>sì</v>
      </c>
    </row>
    <row r="21" spans="3:7" x14ac:dyDescent="0.25">
      <c r="C21" t="str">
        <f>Calc_Indirect!A28</f>
        <v>Banca Sicula</v>
      </c>
      <c r="D21">
        <f ca="1">Calc_Indirect!B28</f>
        <v>28525.599999999999</v>
      </c>
      <c r="E21" cm="1">
        <f t="array" ref="E21">INDEX(Calc_BankMonth!$B$3:$AK$22,ROW()-4,Control!$B$3)</f>
        <v>28525.599999999999</v>
      </c>
      <c r="F21" t="str">
        <f t="shared" ca="1" si="0"/>
        <v>sì</v>
      </c>
    </row>
    <row r="22" spans="3:7" x14ac:dyDescent="0.25">
      <c r="C22" t="str">
        <f>Calc_Indirect!A29</f>
        <v>Banca Sarda</v>
      </c>
      <c r="D22">
        <f ca="1">Calc_Indirect!B29</f>
        <v>29778.7</v>
      </c>
      <c r="E22" cm="1">
        <f t="array" ref="E22">INDEX(Calc_BankMonth!$B$3:$AK$22,ROW()-4,Control!$B$3)</f>
        <v>29778.7</v>
      </c>
      <c r="F22" t="str">
        <f t="shared" ca="1" si="0"/>
        <v>sì</v>
      </c>
    </row>
    <row r="23" spans="3:7" x14ac:dyDescent="0.25">
      <c r="C23" t="str">
        <f>Calc_Indirect!A30</f>
        <v>Banca Romagnola</v>
      </c>
      <c r="D23">
        <f ca="1">Calc_Indirect!B30</f>
        <v>31096.1</v>
      </c>
      <c r="E23" cm="1">
        <f t="array" ref="E23">INDEX(Calc_BankMonth!$B$3:$AK$22,ROW()-4,Control!$B$3)</f>
        <v>31096.1</v>
      </c>
      <c r="F23" t="str">
        <f t="shared" ca="1" si="0"/>
        <v>sì</v>
      </c>
    </row>
    <row r="24" spans="3:7" x14ac:dyDescent="0.25">
      <c r="C24" t="str">
        <f>Calc_Indirect!A31</f>
        <v>Banca Città</v>
      </c>
      <c r="D24">
        <f ca="1">Calc_Indirect!B31</f>
        <v>32434</v>
      </c>
      <c r="E24" cm="1">
        <f t="array" ref="E24">INDEX(Calc_BankMonth!$B$3:$AK$22,ROW()-4,Control!$B$3)</f>
        <v>32434</v>
      </c>
      <c r="F24" t="str">
        <f t="shared" ca="1" si="0"/>
        <v>sì</v>
      </c>
      <c r="G24" t="s">
        <v>263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CA278-6C87-482B-9E30-AF867FB8E166}">
  <dimension ref="B2:G10"/>
  <sheetViews>
    <sheetView workbookViewId="0"/>
  </sheetViews>
  <sheetFormatPr defaultRowHeight="12.5" x14ac:dyDescent="0.25"/>
  <sheetData>
    <row r="2" spans="2:7" x14ac:dyDescent="0.25">
      <c r="B2" t="s">
        <v>263</v>
      </c>
    </row>
    <row r="3" spans="2:7" x14ac:dyDescent="0.25">
      <c r="C3" t="str">
        <f>"Controlli di quadratura"</f>
        <v>Controlli di quadratura</v>
      </c>
    </row>
    <row r="4" spans="2:7" x14ac:dyDescent="0.25">
      <c r="C4" t="s">
        <v>310</v>
      </c>
      <c r="D4" t="s">
        <v>254</v>
      </c>
      <c r="E4" t="s">
        <v>311</v>
      </c>
      <c r="F4" t="s">
        <v>146</v>
      </c>
    </row>
    <row r="5" spans="2:7" x14ac:dyDescent="0.25">
      <c r="C5" t="s">
        <v>312</v>
      </c>
      <c r="D5">
        <f>CHOOSE(ROW()-4,Calc_Bank!$C$23,SUM(Calc_Product!$B$2:$B$9),SUM(Calc_Region!$C$2:$C$6),SUM(Calc_Product!$O$2:$O$9),Calc_Names!$B$2,Calc_Indirect!$B$2)</f>
        <v>400259.1</v>
      </c>
      <c r="E5" cm="1">
        <f t="array" ref="E5">CHOOSE(ROW()-4,INDEX(Calc_BankMonth!$B$23:$AK$23,Control!$B$3),Calc_Summary!$B$2,Calc_Bank!$C$23,SUM(Calc_Product!$B$2:$B$9),Calc_Summary!$B$2,Calc_Summary!$B$2)</f>
        <v>400259.1</v>
      </c>
      <c r="F5" t="str">
        <f t="shared" ref="F5:F10" si="0">IF(ISERROR(D5-E5),"errore",IF(ABS(D5-E5)&lt;0.001,"ok","KO"))</f>
        <v>ok</v>
      </c>
    </row>
    <row r="6" spans="2:7" x14ac:dyDescent="0.25">
      <c r="C6" t="s">
        <v>313</v>
      </c>
      <c r="D6">
        <f>CHOOSE(ROW()-4,Calc_Bank!$C$23,SUM(Calc_Product!$B$2:$B$9),SUM(Calc_Region!$C$2:$C$6),SUM(Calc_Product!$O$2:$O$9),Calc_Names!$B$2,Calc_Indirect!$B$2)</f>
        <v>10243.300000000001</v>
      </c>
      <c r="E6" cm="1">
        <f t="array" ref="E6">CHOOSE(ROW()-4,INDEX(Calc_BankMonth!$B$23:$AK$23,Control!$B$3),Calc_Summary!$B$2,Calc_Bank!$C$23,SUM(Calc_Product!$B$2:$B$9),Calc_Summary!$B$2,Calc_Summary!$B$2)</f>
        <v>10243.300000000001</v>
      </c>
      <c r="F6" t="str">
        <f t="shared" si="0"/>
        <v>ok</v>
      </c>
    </row>
    <row r="7" spans="2:7" x14ac:dyDescent="0.25">
      <c r="C7" t="s">
        <v>314</v>
      </c>
      <c r="D7">
        <f>CHOOSE(ROW()-4,Calc_Bank!$C$23,SUM(Calc_Product!$B$2:$B$9),SUM(Calc_Region!$C$2:$C$6),SUM(Calc_Product!$O$2:$O$9),Calc_Names!$B$2,Calc_Indirect!$B$2)</f>
        <v>400259.10000000003</v>
      </c>
      <c r="E7" cm="1">
        <f t="array" ref="E7">CHOOSE(ROW()-4,INDEX(Calc_BankMonth!$B$23:$AK$23,Control!$B$3),Calc_Summary!$B$2,Calc_Bank!$C$23,SUM(Calc_Product!$B$2:$B$9),Calc_Summary!$B$2,Calc_Summary!$B$2)</f>
        <v>400259.1</v>
      </c>
      <c r="F7" t="str">
        <f t="shared" si="0"/>
        <v>ok</v>
      </c>
    </row>
    <row r="8" spans="2:7" x14ac:dyDescent="0.25">
      <c r="C8" t="s">
        <v>315</v>
      </c>
      <c r="D8">
        <f>CHOOSE(ROW()-4,Calc_Bank!$C$23,SUM(Calc_Product!$B$2:$B$9),SUM(Calc_Region!$C$2:$C$6),SUM(Calc_Product!$O$2:$O$9),Calc_Names!$B$2,Calc_Indirect!$B$2)</f>
        <v>10243.300000000001</v>
      </c>
      <c r="E8" cm="1">
        <f t="array" ref="E8">CHOOSE(ROW()-4,INDEX(Calc_BankMonth!$B$23:$AK$23,Control!$B$3),Calc_Summary!$B$2,Calc_Bank!$C$23,SUM(Calc_Product!$B$2:$B$9),Calc_Summary!$B$2,Calc_Summary!$B$2)</f>
        <v>10243.300000000001</v>
      </c>
      <c r="F8" t="str">
        <f t="shared" si="0"/>
        <v>ok</v>
      </c>
    </row>
    <row r="9" spans="2:7" x14ac:dyDescent="0.25">
      <c r="C9" t="s">
        <v>316</v>
      </c>
      <c r="D9">
        <f>CHOOSE(ROW()-4,Calc_Bank!$C$23,SUM(Calc_Product!$B$2:$B$9),SUM(Calc_Region!$C$2:$C$6),SUM(Calc_Product!$O$2:$O$9),Calc_Names!$B$2,Calc_Indirect!$B$2)</f>
        <v>10243.300000000001</v>
      </c>
      <c r="E9" cm="1">
        <f t="array" ref="E9">CHOOSE(ROW()-4,INDEX(Calc_BankMonth!$B$23:$AK$23,Control!$B$3),Calc_Summary!$B$2,Calc_Bank!$C$23,SUM(Calc_Product!$B$2:$B$9),Calc_Summary!$B$2,Calc_Summary!$B$2)</f>
        <v>10243.300000000001</v>
      </c>
      <c r="F9" t="str">
        <f t="shared" si="0"/>
        <v>ok</v>
      </c>
    </row>
    <row r="10" spans="2:7" x14ac:dyDescent="0.25">
      <c r="C10" t="s">
        <v>317</v>
      </c>
      <c r="D10">
        <f ca="1">CHOOSE(ROW()-4,Calc_Bank!$C$23,SUM(Calc_Product!$B$2:$B$9),SUM(Calc_Region!$C$2:$C$6),SUM(Calc_Product!$O$2:$O$9),Calc_Names!$B$2,Calc_Indirect!$B$2)</f>
        <v>10243.300000000001</v>
      </c>
      <c r="E10" cm="1">
        <f t="array" ref="E10">CHOOSE(ROW()-4,INDEX(Calc_BankMonth!$B$23:$AK$23,Control!$B$3),Calc_Summary!$B$2,Calc_Bank!$C$23,SUM(Calc_Product!$B$2:$B$9),Calc_Summary!$B$2,Calc_Summary!$B$2)</f>
        <v>10243.300000000001</v>
      </c>
      <c r="F10" t="str">
        <f t="shared" ca="1" si="0"/>
        <v>ok</v>
      </c>
      <c r="G10" t="s">
        <v>263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6A59E-AABA-4201-BB35-756E54BC495E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"Volumi - "&amp;Control!$B$2&amp;" - ultimi 12 mesi"</f>
        <v>Volumi - Banca Tirrena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25</v>
      </c>
      <c r="D5" s="1" cm="1">
        <f t="array" ref="D5">INDEX(Calc_Dates!$C$2:$C$37,C5)</f>
        <v>46053</v>
      </c>
      <c r="E5" cm="1">
        <f t="array" ref="E5">INDEX(Calc_Month!$C$2:$C$37,C5)</f>
        <v>9566.8000000000011</v>
      </c>
      <c r="F5">
        <f>SUMIFS(Data!$E$2:$E$5761,Data!$B$2:$B$5761,C5)/20</f>
        <v>18651.62</v>
      </c>
      <c r="G5">
        <f>SUMIFS(Data!$E$2:$E$5761,Data!$I$2:$I$5761,Control!$B$8,Data!$B$2:$B$5761,C5)/COUNTIF(Banks!$C$2:$C$21,Control!$B$8)</f>
        <v>18474.833333333332</v>
      </c>
      <c r="H5">
        <f t="shared" ref="H5:H16" si="0">E5-F5</f>
        <v>-9084.8199999999979</v>
      </c>
      <c r="I5">
        <f t="shared" ref="I5:I16" si="1">IFERROR(H5/F5,0)</f>
        <v>-0.48707940650731668</v>
      </c>
      <c r="J5">
        <f t="shared" ref="J5:J16" si="2">ROUND(E5/$E$5*100,1)</f>
        <v>100</v>
      </c>
    </row>
    <row r="6" spans="2:11" x14ac:dyDescent="0.25">
      <c r="C6">
        <f>Control!$B$3-12+ROW()-4</f>
        <v>26</v>
      </c>
      <c r="D6" s="1" cm="1">
        <f t="array" ref="D6">INDEX(Calc_Dates!$C$2:$C$37,C6)</f>
        <v>46081</v>
      </c>
      <c r="E6" cm="1">
        <f t="array" ref="E6">INDEX(Calc_Month!$C$2:$C$37,C6)</f>
        <v>9616.2000000000007</v>
      </c>
      <c r="F6">
        <f>SUMIFS(Data!$E$2:$E$5761,Data!$B$2:$B$5761,C6)/20</f>
        <v>18784.23499999999</v>
      </c>
      <c r="G6">
        <f>SUMIFS(Data!$E$2:$E$5761,Data!$I$2:$I$5761,Control!$B$8,Data!$B$2:$B$5761,C6)/COUNTIF(Banks!$C$2:$C$21,Control!$B$8)</f>
        <v>18615.216666666667</v>
      </c>
      <c r="H6">
        <f t="shared" si="0"/>
        <v>-9168.0349999999889</v>
      </c>
      <c r="I6">
        <f t="shared" si="1"/>
        <v>-0.48807071461786938</v>
      </c>
      <c r="J6">
        <f t="shared" si="2"/>
        <v>100.5</v>
      </c>
    </row>
    <row r="7" spans="2:11" x14ac:dyDescent="0.25">
      <c r="C7">
        <f>Control!$B$3-12+ROW()-4</f>
        <v>27</v>
      </c>
      <c r="D7" s="1" cm="1">
        <f t="array" ref="D7">INDEX(Calc_Dates!$C$2:$C$37,C7)</f>
        <v>46112</v>
      </c>
      <c r="E7" cm="1">
        <f t="array" ref="E7">INDEX(Calc_Month!$C$2:$C$37,C7)</f>
        <v>9729.1</v>
      </c>
      <c r="F7">
        <f>SUMIFS(Data!$E$2:$E$5761,Data!$B$2:$B$5761,C7)/20</f>
        <v>18913.129999999994</v>
      </c>
      <c r="G7">
        <f>SUMIFS(Data!$E$2:$E$5761,Data!$I$2:$I$5761,Control!$B$8,Data!$B$2:$B$5761,C7)/COUNTIF(Banks!$C$2:$C$21,Control!$B$8)</f>
        <v>18712.266666666666</v>
      </c>
      <c r="H7">
        <f t="shared" si="0"/>
        <v>-9184.0299999999934</v>
      </c>
      <c r="I7">
        <f t="shared" si="1"/>
        <v>-0.48559016936911004</v>
      </c>
      <c r="J7">
        <f t="shared" si="2"/>
        <v>101.7</v>
      </c>
    </row>
    <row r="8" spans="2:11" x14ac:dyDescent="0.25">
      <c r="C8">
        <f>Control!$B$3-12+ROW()-4</f>
        <v>28</v>
      </c>
      <c r="D8" s="1" cm="1">
        <f t="array" ref="D8">INDEX(Calc_Dates!$C$2:$C$37,C8)</f>
        <v>46142</v>
      </c>
      <c r="E8" cm="1">
        <f t="array" ref="E8">INDEX(Calc_Month!$C$2:$C$37,C8)</f>
        <v>9665.6</v>
      </c>
      <c r="F8">
        <f>SUMIFS(Data!$E$2:$E$5761,Data!$B$2:$B$5761,C8)/20</f>
        <v>19013.94000000001</v>
      </c>
      <c r="G8">
        <f>SUMIFS(Data!$E$2:$E$5761,Data!$I$2:$I$5761,Control!$B$8,Data!$B$2:$B$5761,C8)/COUNTIF(Banks!$C$2:$C$21,Control!$B$8)</f>
        <v>18813.366666666672</v>
      </c>
      <c r="H8">
        <f t="shared" si="0"/>
        <v>-9348.3400000000092</v>
      </c>
      <c r="I8">
        <f t="shared" si="1"/>
        <v>-0.49165717363155687</v>
      </c>
      <c r="J8">
        <f t="shared" si="2"/>
        <v>101</v>
      </c>
    </row>
    <row r="9" spans="2:11" x14ac:dyDescent="0.25">
      <c r="C9">
        <f>Control!$B$3-12+ROW()-4</f>
        <v>29</v>
      </c>
      <c r="D9" s="1" cm="1">
        <f t="array" ref="D9">INDEX(Calc_Dates!$C$2:$C$37,C9)</f>
        <v>46173</v>
      </c>
      <c r="E9" cm="1">
        <f t="array" ref="E9">INDEX(Calc_Month!$C$2:$C$37,C9)</f>
        <v>9782.7999999999993</v>
      </c>
      <c r="F9">
        <f>SUMIFS(Data!$E$2:$E$5761,Data!$B$2:$B$5761,C9)/20</f>
        <v>19166.405000000006</v>
      </c>
      <c r="G9">
        <f>SUMIFS(Data!$E$2:$E$5761,Data!$I$2:$I$5761,Control!$B$8,Data!$B$2:$B$5761,C9)/COUNTIF(Banks!$C$2:$C$21,Control!$B$8)</f>
        <v>18939.233333333334</v>
      </c>
      <c r="H9">
        <f t="shared" si="0"/>
        <v>-9383.6050000000068</v>
      </c>
      <c r="I9">
        <f t="shared" si="1"/>
        <v>-0.48958607521859232</v>
      </c>
      <c r="J9">
        <f t="shared" si="2"/>
        <v>102.3</v>
      </c>
    </row>
    <row r="10" spans="2:11" x14ac:dyDescent="0.25">
      <c r="C10">
        <f>Control!$B$3-12+ROW()-4</f>
        <v>30</v>
      </c>
      <c r="D10" s="1" cm="1">
        <f t="array" ref="D10">INDEX(Calc_Dates!$C$2:$C$37,C10)</f>
        <v>46203</v>
      </c>
      <c r="E10" cm="1">
        <f t="array" ref="E10">INDEX(Calc_Month!$C$2:$C$37,C10)</f>
        <v>9865.7999999999993</v>
      </c>
      <c r="F10">
        <f>SUMIFS(Data!$E$2:$E$5761,Data!$B$2:$B$5761,C10)/20</f>
        <v>19283.420000000009</v>
      </c>
      <c r="G10">
        <f>SUMIFS(Data!$E$2:$E$5761,Data!$I$2:$I$5761,Control!$B$8,Data!$B$2:$B$5761,C10)/COUNTIF(Banks!$C$2:$C$21,Control!$B$8)</f>
        <v>19075.483333333334</v>
      </c>
      <c r="H10">
        <f t="shared" si="0"/>
        <v>-9417.6200000000099</v>
      </c>
      <c r="I10">
        <f t="shared" si="1"/>
        <v>-0.48837913606611305</v>
      </c>
      <c r="J10">
        <f t="shared" si="2"/>
        <v>103.1</v>
      </c>
    </row>
    <row r="11" spans="2:11" x14ac:dyDescent="0.25">
      <c r="C11">
        <f>Control!$B$3-12+ROW()-4</f>
        <v>31</v>
      </c>
      <c r="D11" s="1" cm="1">
        <f t="array" ref="D11">INDEX(Calc_Dates!$C$2:$C$37,C11)</f>
        <v>46234</v>
      </c>
      <c r="E11" cm="1">
        <f t="array" ref="E11">INDEX(Calc_Month!$C$2:$C$37,C11)</f>
        <v>9905.6</v>
      </c>
      <c r="F11">
        <f>SUMIFS(Data!$E$2:$E$5761,Data!$B$2:$B$5761,C11)/20</f>
        <v>19423.644999999997</v>
      </c>
      <c r="G11">
        <f>SUMIFS(Data!$E$2:$E$5761,Data!$I$2:$I$5761,Control!$B$8,Data!$B$2:$B$5761,C11)/COUNTIF(Banks!$C$2:$C$21,Control!$B$8)</f>
        <v>19213.05</v>
      </c>
      <c r="H11">
        <f t="shared" si="0"/>
        <v>-9518.0449999999964</v>
      </c>
      <c r="I11">
        <f t="shared" si="1"/>
        <v>-0.49002362841783803</v>
      </c>
      <c r="J11">
        <f t="shared" si="2"/>
        <v>103.5</v>
      </c>
    </row>
    <row r="12" spans="2:11" x14ac:dyDescent="0.25">
      <c r="C12">
        <f>Control!$B$3-12+ROW()-4</f>
        <v>32</v>
      </c>
      <c r="D12" s="1" cm="1">
        <f t="array" ref="D12">INDEX(Calc_Dates!$C$2:$C$37,C12)</f>
        <v>46265</v>
      </c>
      <c r="E12" cm="1">
        <f t="array" ref="E12">INDEX(Calc_Month!$C$2:$C$37,C12)</f>
        <v>9946.4000000000015</v>
      </c>
      <c r="F12">
        <f>SUMIFS(Data!$E$2:$E$5761,Data!$B$2:$B$5761,C12)/20</f>
        <v>19522.585000000006</v>
      </c>
      <c r="G12">
        <f>SUMIFS(Data!$E$2:$E$5761,Data!$I$2:$I$5761,Control!$B$8,Data!$B$2:$B$5761,C12)/COUNTIF(Banks!$C$2:$C$21,Control!$B$8)</f>
        <v>19310.516666666666</v>
      </c>
      <c r="H12">
        <f t="shared" si="0"/>
        <v>-9576.1850000000049</v>
      </c>
      <c r="I12">
        <f t="shared" si="1"/>
        <v>-0.49051828945808157</v>
      </c>
      <c r="J12">
        <f t="shared" si="2"/>
        <v>104</v>
      </c>
    </row>
    <row r="13" spans="2:11" x14ac:dyDescent="0.25">
      <c r="C13">
        <f>Control!$B$3-12+ROW()-4</f>
        <v>33</v>
      </c>
      <c r="D13" s="1" cm="1">
        <f t="array" ref="D13">INDEX(Calc_Dates!$C$2:$C$37,C13)</f>
        <v>46295</v>
      </c>
      <c r="E13" cm="1">
        <f t="array" ref="E13">INDEX(Calc_Month!$C$2:$C$37,C13)</f>
        <v>10029.400000000001</v>
      </c>
      <c r="F13">
        <f>SUMIFS(Data!$E$2:$E$5761,Data!$B$2:$B$5761,C13)/20</f>
        <v>19639.099999999999</v>
      </c>
      <c r="G13">
        <f>SUMIFS(Data!$E$2:$E$5761,Data!$I$2:$I$5761,Control!$B$8,Data!$B$2:$B$5761,C13)/COUNTIF(Banks!$C$2:$C$21,Control!$B$8)</f>
        <v>19399.500000000004</v>
      </c>
      <c r="H13">
        <f t="shared" si="0"/>
        <v>-9609.6999999999971</v>
      </c>
      <c r="I13">
        <f t="shared" si="1"/>
        <v>-0.48931468346309137</v>
      </c>
      <c r="J13">
        <f t="shared" si="2"/>
        <v>104.8</v>
      </c>
    </row>
    <row r="14" spans="2:11" x14ac:dyDescent="0.25">
      <c r="C14">
        <f>Control!$B$3-12+ROW()-4</f>
        <v>34</v>
      </c>
      <c r="D14" s="1" cm="1">
        <f t="array" ref="D14">INDEX(Calc_Dates!$C$2:$C$37,C14)</f>
        <v>46326</v>
      </c>
      <c r="E14" cm="1">
        <f t="array" ref="E14">INDEX(Calc_Month!$C$2:$C$37,C14)</f>
        <v>10087.199999999999</v>
      </c>
      <c r="F14">
        <f>SUMIFS(Data!$E$2:$E$5761,Data!$B$2:$B$5761,C14)/20</f>
        <v>19787.454999999994</v>
      </c>
      <c r="G14">
        <f>SUMIFS(Data!$E$2:$E$5761,Data!$I$2:$I$5761,Control!$B$8,Data!$B$2:$B$5761,C14)/COUNTIF(Banks!$C$2:$C$21,Control!$B$8)</f>
        <v>19576.45</v>
      </c>
      <c r="H14">
        <f t="shared" si="0"/>
        <v>-9700.2549999999956</v>
      </c>
      <c r="I14">
        <f t="shared" si="1"/>
        <v>-0.49022246670933672</v>
      </c>
      <c r="J14">
        <f t="shared" si="2"/>
        <v>105.4</v>
      </c>
    </row>
    <row r="15" spans="2:11" x14ac:dyDescent="0.25">
      <c r="C15">
        <f>Control!$B$3-12+ROW()-4</f>
        <v>35</v>
      </c>
      <c r="D15" s="1" cm="1">
        <f t="array" ref="D15">INDEX(Calc_Dates!$C$2:$C$37,C15)</f>
        <v>46356</v>
      </c>
      <c r="E15" cm="1">
        <f t="array" ref="E15">INDEX(Calc_Month!$C$2:$C$37,C15)</f>
        <v>10252.199999999999</v>
      </c>
      <c r="F15">
        <f>SUMIFS(Data!$E$2:$E$5761,Data!$B$2:$B$5761,C15)/20</f>
        <v>19931.670000000006</v>
      </c>
      <c r="G15">
        <f>SUMIFS(Data!$E$2:$E$5761,Data!$I$2:$I$5761,Control!$B$8,Data!$B$2:$B$5761,C15)/COUNTIF(Banks!$C$2:$C$21,Control!$B$8)</f>
        <v>19709.066666666666</v>
      </c>
      <c r="H15">
        <f t="shared" si="0"/>
        <v>-9679.4700000000066</v>
      </c>
      <c r="I15">
        <f t="shared" si="1"/>
        <v>-0.48563266399654437</v>
      </c>
      <c r="J15">
        <f t="shared" si="2"/>
        <v>107.2</v>
      </c>
    </row>
    <row r="16" spans="2:11" x14ac:dyDescent="0.25">
      <c r="C16">
        <f>Control!$B$3-12+ROW()-4</f>
        <v>36</v>
      </c>
      <c r="D16" s="1" cm="1">
        <f t="array" ref="D16">INDEX(Calc_Dates!$C$2:$C$37,C16)</f>
        <v>46387</v>
      </c>
      <c r="E16" cm="1">
        <f t="array" ref="E16">INDEX(Calc_Month!$C$2:$C$37,C16)</f>
        <v>10243.300000000001</v>
      </c>
      <c r="F16">
        <f>SUMIFS(Data!$E$2:$E$5761,Data!$B$2:$B$5761,C16)/20</f>
        <v>20012.954999999998</v>
      </c>
      <c r="G16">
        <f>SUMIFS(Data!$E$2:$E$5761,Data!$I$2:$I$5761,Control!$B$8,Data!$B$2:$B$5761,C16)/COUNTIF(Banks!$C$2:$C$21,Control!$B$8)</f>
        <v>19807.45</v>
      </c>
      <c r="H16">
        <f t="shared" si="0"/>
        <v>-9769.654999999997</v>
      </c>
      <c r="I16">
        <f t="shared" si="1"/>
        <v>-0.48816654012363481</v>
      </c>
      <c r="J16">
        <f t="shared" si="2"/>
        <v>107.1</v>
      </c>
      <c r="K16" t="s">
        <v>263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3CF84-F57E-4644-A1E6-3896C21633BF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"Ricavi - "&amp;Control!$B$2&amp;" - ultimi 12 mesi"</f>
        <v>Ricavi - Banca Tirrena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25</v>
      </c>
      <c r="D5" s="1" cm="1">
        <f t="array" ref="D5">INDEX(Calc_Dates!$C$2:$C$37,C5)</f>
        <v>46053</v>
      </c>
      <c r="E5" cm="1">
        <f t="array" ref="E5">INDEX(Calc_Month!$D$2:$D$37,C5)</f>
        <v>516.95000000000005</v>
      </c>
      <c r="F5">
        <f>SUMIFS(Data!$F$2:$F$5761,Data!$B$2:$B$5761,C5)/20</f>
        <v>1005.4855000000003</v>
      </c>
      <c r="G5">
        <f>SUMIFS(Data!$F$2:$F$5761,Data!$I$2:$I$5761,Control!$B$8,Data!$B$2:$B$5761,C5)/COUNTIF(Banks!$C$2:$C$21,Control!$B$8)</f>
        <v>996.00666666666666</v>
      </c>
      <c r="H5">
        <f t="shared" ref="H5:H16" si="0">E5-F5</f>
        <v>-488.5355000000003</v>
      </c>
      <c r="I5">
        <f t="shared" ref="I5:I16" si="1">IFERROR(H5/F5,0)</f>
        <v>-0.48587025869592365</v>
      </c>
      <c r="J5">
        <f t="shared" ref="J5:J16" si="2">ROUND(E5/$E$5*100,1)</f>
        <v>100</v>
      </c>
    </row>
    <row r="6" spans="2:11" x14ac:dyDescent="0.25">
      <c r="C6">
        <f>Control!$B$3-12+ROW()-4</f>
        <v>26</v>
      </c>
      <c r="D6" s="1" cm="1">
        <f t="array" ref="D6">INDEX(Calc_Dates!$C$2:$C$37,C6)</f>
        <v>46081</v>
      </c>
      <c r="E6" cm="1">
        <f t="array" ref="E6">INDEX(Calc_Month!$D$2:$D$37,C6)</f>
        <v>517.99</v>
      </c>
      <c r="F6">
        <f>SUMIFS(Data!$F$2:$F$5761,Data!$B$2:$B$5761,C6)/20</f>
        <v>1012.7839999999999</v>
      </c>
      <c r="G6">
        <f>SUMIFS(Data!$F$2:$F$5761,Data!$I$2:$I$5761,Control!$B$8,Data!$B$2:$B$5761,C6)/COUNTIF(Banks!$C$2:$C$21,Control!$B$8)</f>
        <v>1003.1649999999998</v>
      </c>
      <c r="H6">
        <f t="shared" si="0"/>
        <v>-494.79399999999987</v>
      </c>
      <c r="I6">
        <f t="shared" si="1"/>
        <v>-0.48854839728905664</v>
      </c>
      <c r="J6">
        <f t="shared" si="2"/>
        <v>100.2</v>
      </c>
    </row>
    <row r="7" spans="2:11" x14ac:dyDescent="0.25">
      <c r="C7">
        <f>Control!$B$3-12+ROW()-4</f>
        <v>27</v>
      </c>
      <c r="D7" s="1" cm="1">
        <f t="array" ref="D7">INDEX(Calc_Dates!$C$2:$C$37,C7)</f>
        <v>46112</v>
      </c>
      <c r="E7" cm="1">
        <f t="array" ref="E7">INDEX(Calc_Month!$D$2:$D$37,C7)</f>
        <v>526.02</v>
      </c>
      <c r="F7">
        <f>SUMIFS(Data!$F$2:$F$5761,Data!$B$2:$B$5761,C7)/20</f>
        <v>1019.9985000000004</v>
      </c>
      <c r="G7">
        <f>SUMIFS(Data!$F$2:$F$5761,Data!$I$2:$I$5761,Control!$B$8,Data!$B$2:$B$5761,C7)/COUNTIF(Banks!$C$2:$C$21,Control!$B$8)</f>
        <v>1008.77</v>
      </c>
      <c r="H7">
        <f t="shared" si="0"/>
        <v>-493.97850000000039</v>
      </c>
      <c r="I7">
        <f t="shared" si="1"/>
        <v>-0.48429335925494027</v>
      </c>
      <c r="J7">
        <f t="shared" si="2"/>
        <v>101.8</v>
      </c>
    </row>
    <row r="8" spans="2:11" x14ac:dyDescent="0.25">
      <c r="C8">
        <f>Control!$B$3-12+ROW()-4</f>
        <v>28</v>
      </c>
      <c r="D8" s="1" cm="1">
        <f t="array" ref="D8">INDEX(Calc_Dates!$C$2:$C$37,C8)</f>
        <v>46142</v>
      </c>
      <c r="E8" cm="1">
        <f t="array" ref="E8">INDEX(Calc_Month!$D$2:$D$37,C8)</f>
        <v>523.44000000000005</v>
      </c>
      <c r="F8">
        <f>SUMIFS(Data!$F$2:$F$5761,Data!$B$2:$B$5761,C8)/20</f>
        <v>1025.1770000000001</v>
      </c>
      <c r="G8">
        <f>SUMIFS(Data!$F$2:$F$5761,Data!$I$2:$I$5761,Control!$B$8,Data!$B$2:$B$5761,C8)/COUNTIF(Banks!$C$2:$C$21,Control!$B$8)</f>
        <v>1014.8533333333334</v>
      </c>
      <c r="H8">
        <f t="shared" si="0"/>
        <v>-501.73700000000008</v>
      </c>
      <c r="I8">
        <f t="shared" si="1"/>
        <v>-0.4894149985807329</v>
      </c>
      <c r="J8">
        <f t="shared" si="2"/>
        <v>101.3</v>
      </c>
    </row>
    <row r="9" spans="2:11" x14ac:dyDescent="0.25">
      <c r="C9">
        <f>Control!$B$3-12+ROW()-4</f>
        <v>29</v>
      </c>
      <c r="D9" s="1" cm="1">
        <f t="array" ref="D9">INDEX(Calc_Dates!$C$2:$C$37,C9)</f>
        <v>46173</v>
      </c>
      <c r="E9" cm="1">
        <f t="array" ref="E9">INDEX(Calc_Month!$D$2:$D$37,C9)</f>
        <v>530.4</v>
      </c>
      <c r="F9">
        <f>SUMIFS(Data!$F$2:$F$5761,Data!$B$2:$B$5761,C9)/20</f>
        <v>1033.2875000000001</v>
      </c>
      <c r="G9">
        <f>SUMIFS(Data!$F$2:$F$5761,Data!$I$2:$I$5761,Control!$B$8,Data!$B$2:$B$5761,C9)/COUNTIF(Banks!$C$2:$C$21,Control!$B$8)</f>
        <v>1021.2833333333333</v>
      </c>
      <c r="H9">
        <f t="shared" si="0"/>
        <v>-502.88750000000016</v>
      </c>
      <c r="I9">
        <f t="shared" si="1"/>
        <v>-0.48668690950001825</v>
      </c>
      <c r="J9">
        <f t="shared" si="2"/>
        <v>102.6</v>
      </c>
    </row>
    <row r="10" spans="2:11" x14ac:dyDescent="0.25">
      <c r="C10">
        <f>Control!$B$3-12+ROW()-4</f>
        <v>30</v>
      </c>
      <c r="D10" s="1" cm="1">
        <f t="array" ref="D10">INDEX(Calc_Dates!$C$2:$C$37,C10)</f>
        <v>46203</v>
      </c>
      <c r="E10" cm="1">
        <f t="array" ref="E10">INDEX(Calc_Month!$D$2:$D$37,C10)</f>
        <v>534.66</v>
      </c>
      <c r="F10">
        <f>SUMIFS(Data!$F$2:$F$5761,Data!$B$2:$B$5761,C10)/20</f>
        <v>1039.6935000000003</v>
      </c>
      <c r="G10">
        <f>SUMIFS(Data!$F$2:$F$5761,Data!$I$2:$I$5761,Control!$B$8,Data!$B$2:$B$5761,C10)/COUNTIF(Banks!$C$2:$C$21,Control!$B$8)</f>
        <v>1028.7149999999999</v>
      </c>
      <c r="H10">
        <f t="shared" si="0"/>
        <v>-505.03350000000034</v>
      </c>
      <c r="I10">
        <f t="shared" si="1"/>
        <v>-0.48575229142050058</v>
      </c>
      <c r="J10">
        <f t="shared" si="2"/>
        <v>103.4</v>
      </c>
    </row>
    <row r="11" spans="2:11" x14ac:dyDescent="0.25">
      <c r="C11">
        <f>Control!$B$3-12+ROW()-4</f>
        <v>31</v>
      </c>
      <c r="D11" s="1" cm="1">
        <f t="array" ref="D11">INDEX(Calc_Dates!$C$2:$C$37,C11)</f>
        <v>46234</v>
      </c>
      <c r="E11" cm="1">
        <f t="array" ref="E11">INDEX(Calc_Month!$D$2:$D$37,C11)</f>
        <v>535</v>
      </c>
      <c r="F11">
        <f>SUMIFS(Data!$F$2:$F$5761,Data!$B$2:$B$5761,C11)/20</f>
        <v>1047.3019999999999</v>
      </c>
      <c r="G11">
        <f>SUMIFS(Data!$F$2:$F$5761,Data!$I$2:$I$5761,Control!$B$8,Data!$B$2:$B$5761,C11)/COUNTIF(Banks!$C$2:$C$21,Control!$B$8)</f>
        <v>1035.7516666666666</v>
      </c>
      <c r="H11">
        <f t="shared" si="0"/>
        <v>-512.30199999999991</v>
      </c>
      <c r="I11">
        <f t="shared" si="1"/>
        <v>-0.48916358414287375</v>
      </c>
      <c r="J11">
        <f t="shared" si="2"/>
        <v>103.5</v>
      </c>
    </row>
    <row r="12" spans="2:11" x14ac:dyDescent="0.25">
      <c r="C12">
        <f>Control!$B$3-12+ROW()-4</f>
        <v>32</v>
      </c>
      <c r="D12" s="1" cm="1">
        <f t="array" ref="D12">INDEX(Calc_Dates!$C$2:$C$37,C12)</f>
        <v>46265</v>
      </c>
      <c r="E12" cm="1">
        <f t="array" ref="E12">INDEX(Calc_Month!$D$2:$D$37,C12)</f>
        <v>539.58999999999992</v>
      </c>
      <c r="F12">
        <f>SUMIFS(Data!$F$2:$F$5761,Data!$B$2:$B$5761,C12)/20</f>
        <v>1052.2404999999999</v>
      </c>
      <c r="G12">
        <f>SUMIFS(Data!$F$2:$F$5761,Data!$I$2:$I$5761,Control!$B$8,Data!$B$2:$B$5761,C12)/COUNTIF(Banks!$C$2:$C$21,Control!$B$8)</f>
        <v>1040.9599999999998</v>
      </c>
      <c r="H12">
        <f t="shared" si="0"/>
        <v>-512.65049999999997</v>
      </c>
      <c r="I12">
        <f t="shared" si="1"/>
        <v>-0.48719898160163955</v>
      </c>
      <c r="J12">
        <f t="shared" si="2"/>
        <v>104.4</v>
      </c>
    </row>
    <row r="13" spans="2:11" x14ac:dyDescent="0.25">
      <c r="C13">
        <f>Control!$B$3-12+ROW()-4</f>
        <v>33</v>
      </c>
      <c r="D13" s="1" cm="1">
        <f t="array" ref="D13">INDEX(Calc_Dates!$C$2:$C$37,C13)</f>
        <v>46295</v>
      </c>
      <c r="E13" cm="1">
        <f t="array" ref="E13">INDEX(Calc_Month!$D$2:$D$37,C13)</f>
        <v>542.69000000000005</v>
      </c>
      <c r="F13">
        <f>SUMIFS(Data!$F$2:$F$5761,Data!$B$2:$B$5761,C13)/20</f>
        <v>1058.7809999999997</v>
      </c>
      <c r="G13">
        <f>SUMIFS(Data!$F$2:$F$5761,Data!$I$2:$I$5761,Control!$B$8,Data!$B$2:$B$5761,C13)/COUNTIF(Banks!$C$2:$C$21,Control!$B$8)</f>
        <v>1046.0183333333332</v>
      </c>
      <c r="H13">
        <f t="shared" si="0"/>
        <v>-516.09099999999967</v>
      </c>
      <c r="I13">
        <f t="shared" si="1"/>
        <v>-0.48743885657184988</v>
      </c>
      <c r="J13">
        <f t="shared" si="2"/>
        <v>105</v>
      </c>
    </row>
    <row r="14" spans="2:11" x14ac:dyDescent="0.25">
      <c r="C14">
        <f>Control!$B$3-12+ROW()-4</f>
        <v>34</v>
      </c>
      <c r="D14" s="1" cm="1">
        <f t="array" ref="D14">INDEX(Calc_Dates!$C$2:$C$37,C14)</f>
        <v>46326</v>
      </c>
      <c r="E14" cm="1">
        <f t="array" ref="E14">INDEX(Calc_Month!$D$2:$D$37,C14)</f>
        <v>546.29</v>
      </c>
      <c r="F14">
        <f>SUMIFS(Data!$F$2:$F$5761,Data!$B$2:$B$5761,C14)/20</f>
        <v>1066.5175000000002</v>
      </c>
      <c r="G14">
        <f>SUMIFS(Data!$F$2:$F$5761,Data!$I$2:$I$5761,Control!$B$8,Data!$B$2:$B$5761,C14)/COUNTIF(Banks!$C$2:$C$21,Control!$B$8)</f>
        <v>1055.1733333333332</v>
      </c>
      <c r="H14">
        <f t="shared" si="0"/>
        <v>-520.22750000000019</v>
      </c>
      <c r="I14">
        <f t="shared" si="1"/>
        <v>-0.48778149444336366</v>
      </c>
      <c r="J14">
        <f t="shared" si="2"/>
        <v>105.7</v>
      </c>
    </row>
    <row r="15" spans="2:11" x14ac:dyDescent="0.25">
      <c r="C15">
        <f>Control!$B$3-12+ROW()-4</f>
        <v>35</v>
      </c>
      <c r="D15" s="1" cm="1">
        <f t="array" ref="D15">INDEX(Calc_Dates!$C$2:$C$37,C15)</f>
        <v>46356</v>
      </c>
      <c r="E15" cm="1">
        <f t="array" ref="E15">INDEX(Calc_Month!$D$2:$D$37,C15)</f>
        <v>553.17999999999995</v>
      </c>
      <c r="F15">
        <f>SUMIFS(Data!$F$2:$F$5761,Data!$B$2:$B$5761,C15)/20</f>
        <v>1074.6165000000005</v>
      </c>
      <c r="G15">
        <f>SUMIFS(Data!$F$2:$F$5761,Data!$I$2:$I$5761,Control!$B$8,Data!$B$2:$B$5761,C15)/COUNTIF(Banks!$C$2:$C$21,Control!$B$8)</f>
        <v>1062.5249999999999</v>
      </c>
      <c r="H15">
        <f t="shared" si="0"/>
        <v>-521.43650000000059</v>
      </c>
      <c r="I15">
        <f t="shared" si="1"/>
        <v>-0.4852303123951664</v>
      </c>
      <c r="J15">
        <f t="shared" si="2"/>
        <v>107</v>
      </c>
    </row>
    <row r="16" spans="2:11" x14ac:dyDescent="0.25">
      <c r="C16">
        <f>Control!$B$3-12+ROW()-4</f>
        <v>36</v>
      </c>
      <c r="D16" s="1" cm="1">
        <f t="array" ref="D16">INDEX(Calc_Dates!$C$2:$C$37,C16)</f>
        <v>46387</v>
      </c>
      <c r="E16" cm="1">
        <f t="array" ref="E16">INDEX(Calc_Month!$D$2:$D$37,C16)</f>
        <v>555.09</v>
      </c>
      <c r="F16">
        <f>SUMIFS(Data!$F$2:$F$5761,Data!$B$2:$B$5761,C16)/20</f>
        <v>1078.596</v>
      </c>
      <c r="G16">
        <f>SUMIFS(Data!$F$2:$F$5761,Data!$I$2:$I$5761,Control!$B$8,Data!$B$2:$B$5761,C16)/COUNTIF(Banks!$C$2:$C$21,Control!$B$8)</f>
        <v>1067.0833333333333</v>
      </c>
      <c r="H16">
        <f t="shared" si="0"/>
        <v>-523.50599999999997</v>
      </c>
      <c r="I16">
        <f t="shared" si="1"/>
        <v>-0.48535874414516644</v>
      </c>
      <c r="J16">
        <f t="shared" si="2"/>
        <v>107.4</v>
      </c>
      <c r="K16" t="s">
        <v>263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28170-C6FA-4D31-A730-A9CC9C8A920A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"Costi - "&amp;Control!$B$2&amp;" - ultimi 12 mesi"</f>
        <v>Costi - Banca Tirrena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25</v>
      </c>
      <c r="D5" s="1" cm="1">
        <f t="array" ref="D5">INDEX(Calc_Dates!$C$2:$C$37,C5)</f>
        <v>46053</v>
      </c>
      <c r="E5" cm="1">
        <f t="array" ref="E5">INDEX(Calc_Month!$E$2:$E$37,C5)</f>
        <v>313.31</v>
      </c>
      <c r="F5">
        <f>SUMIFS(Data!$G$2:$G$5761,Data!$B$2:$B$5761,C5)/20</f>
        <v>607.50150000000019</v>
      </c>
      <c r="G5">
        <f>SUMIFS(Data!$G$2:$G$5761,Data!$I$2:$I$5761,Control!$B$8,Data!$B$2:$B$5761,C5)/COUNTIF(Banks!$C$2:$C$21,Control!$B$8)</f>
        <v>601.28666666666663</v>
      </c>
      <c r="H5">
        <f t="shared" ref="H5:H16" si="0">E5-F5</f>
        <v>-294.19150000000019</v>
      </c>
      <c r="I5">
        <f t="shared" ref="I5:I16" si="1">IFERROR(H5/F5,0)</f>
        <v>-0.48426464790621931</v>
      </c>
      <c r="J5">
        <f t="shared" ref="J5:J16" si="2">ROUND(E5/$E$5*100,1)</f>
        <v>100</v>
      </c>
    </row>
    <row r="6" spans="2:11" x14ac:dyDescent="0.25">
      <c r="C6">
        <f>Control!$B$3-12+ROW()-4</f>
        <v>26</v>
      </c>
      <c r="D6" s="1" cm="1">
        <f t="array" ref="D6">INDEX(Calc_Dates!$C$2:$C$37,C6)</f>
        <v>46081</v>
      </c>
      <c r="E6" cm="1">
        <f t="array" ref="E6">INDEX(Calc_Month!$E$2:$E$37,C6)</f>
        <v>314.75</v>
      </c>
      <c r="F6">
        <f>SUMIFS(Data!$G$2:$G$5761,Data!$B$2:$B$5761,C6)/20</f>
        <v>611.4905</v>
      </c>
      <c r="G6">
        <f>SUMIFS(Data!$G$2:$G$5761,Data!$I$2:$I$5761,Control!$B$8,Data!$B$2:$B$5761,C6)/COUNTIF(Banks!$C$2:$C$21,Control!$B$8)</f>
        <v>606.13333333333333</v>
      </c>
      <c r="H6">
        <f t="shared" si="0"/>
        <v>-296.7405</v>
      </c>
      <c r="I6">
        <f t="shared" si="1"/>
        <v>-0.48527409665399546</v>
      </c>
      <c r="J6">
        <f t="shared" si="2"/>
        <v>100.5</v>
      </c>
    </row>
    <row r="7" spans="2:11" x14ac:dyDescent="0.25">
      <c r="C7">
        <f>Control!$B$3-12+ROW()-4</f>
        <v>27</v>
      </c>
      <c r="D7" s="1" cm="1">
        <f t="array" ref="D7">INDEX(Calc_Dates!$C$2:$C$37,C7)</f>
        <v>46112</v>
      </c>
      <c r="E7" cm="1">
        <f t="array" ref="E7">INDEX(Calc_Month!$E$2:$E$37,C7)</f>
        <v>319.24</v>
      </c>
      <c r="F7">
        <f>SUMIFS(Data!$G$2:$G$5761,Data!$B$2:$B$5761,C7)/20</f>
        <v>615.89000000000021</v>
      </c>
      <c r="G7">
        <f>SUMIFS(Data!$G$2:$G$5761,Data!$I$2:$I$5761,Control!$B$8,Data!$B$2:$B$5761,C7)/COUNTIF(Banks!$C$2:$C$21,Control!$B$8)</f>
        <v>609.37</v>
      </c>
      <c r="H7">
        <f t="shared" si="0"/>
        <v>-296.6500000000002</v>
      </c>
      <c r="I7">
        <f t="shared" si="1"/>
        <v>-0.48166068616149005</v>
      </c>
      <c r="J7">
        <f t="shared" si="2"/>
        <v>101.9</v>
      </c>
    </row>
    <row r="8" spans="2:11" x14ac:dyDescent="0.25">
      <c r="C8">
        <f>Control!$B$3-12+ROW()-4</f>
        <v>28</v>
      </c>
      <c r="D8" s="1" cm="1">
        <f t="array" ref="D8">INDEX(Calc_Dates!$C$2:$C$37,C8)</f>
        <v>46142</v>
      </c>
      <c r="E8" cm="1">
        <f t="array" ref="E8">INDEX(Calc_Month!$E$2:$E$37,C8)</f>
        <v>317.67999999999995</v>
      </c>
      <c r="F8">
        <f>SUMIFS(Data!$G$2:$G$5761,Data!$B$2:$B$5761,C8)/20</f>
        <v>619.12649999999985</v>
      </c>
      <c r="G8">
        <f>SUMIFS(Data!$G$2:$G$5761,Data!$I$2:$I$5761,Control!$B$8,Data!$B$2:$B$5761,C8)/COUNTIF(Banks!$C$2:$C$21,Control!$B$8)</f>
        <v>612.49166666666667</v>
      </c>
      <c r="H8">
        <f t="shared" si="0"/>
        <v>-301.4464999999999</v>
      </c>
      <c r="I8">
        <f t="shared" si="1"/>
        <v>-0.48688999743994155</v>
      </c>
      <c r="J8">
        <f t="shared" si="2"/>
        <v>101.4</v>
      </c>
    </row>
    <row r="9" spans="2:11" x14ac:dyDescent="0.25">
      <c r="C9">
        <f>Control!$B$3-12+ROW()-4</f>
        <v>29</v>
      </c>
      <c r="D9" s="1" cm="1">
        <f t="array" ref="D9">INDEX(Calc_Dates!$C$2:$C$37,C9)</f>
        <v>46173</v>
      </c>
      <c r="E9" cm="1">
        <f t="array" ref="E9">INDEX(Calc_Month!$E$2:$E$37,C9)</f>
        <v>321.5</v>
      </c>
      <c r="F9">
        <f>SUMIFS(Data!$G$2:$G$5761,Data!$B$2:$B$5761,C9)/20</f>
        <v>623.96750000000009</v>
      </c>
      <c r="G9">
        <f>SUMIFS(Data!$G$2:$G$5761,Data!$I$2:$I$5761,Control!$B$8,Data!$B$2:$B$5761,C9)/COUNTIF(Banks!$C$2:$C$21,Control!$B$8)</f>
        <v>616.76499999999999</v>
      </c>
      <c r="H9">
        <f t="shared" si="0"/>
        <v>-302.46750000000009</v>
      </c>
      <c r="I9">
        <f t="shared" si="1"/>
        <v>-0.48474880502590284</v>
      </c>
      <c r="J9">
        <f t="shared" si="2"/>
        <v>102.6</v>
      </c>
    </row>
    <row r="10" spans="2:11" x14ac:dyDescent="0.25">
      <c r="C10">
        <f>Control!$B$3-12+ROW()-4</f>
        <v>30</v>
      </c>
      <c r="D10" s="1" cm="1">
        <f t="array" ref="D10">INDEX(Calc_Dates!$C$2:$C$37,C10)</f>
        <v>46203</v>
      </c>
      <c r="E10" cm="1">
        <f t="array" ref="E10">INDEX(Calc_Month!$E$2:$E$37,C10)</f>
        <v>324.64</v>
      </c>
      <c r="F10">
        <f>SUMIFS(Data!$G$2:$G$5761,Data!$B$2:$B$5761,C10)/20</f>
        <v>627.91099999999994</v>
      </c>
      <c r="G10">
        <f>SUMIFS(Data!$G$2:$G$5761,Data!$I$2:$I$5761,Control!$B$8,Data!$B$2:$B$5761,C10)/COUNTIF(Banks!$C$2:$C$21,Control!$B$8)</f>
        <v>621.17500000000007</v>
      </c>
      <c r="H10">
        <f t="shared" si="0"/>
        <v>-303.27099999999996</v>
      </c>
      <c r="I10">
        <f t="shared" si="1"/>
        <v>-0.48298405347254625</v>
      </c>
      <c r="J10">
        <f t="shared" si="2"/>
        <v>103.6</v>
      </c>
    </row>
    <row r="11" spans="2:11" x14ac:dyDescent="0.25">
      <c r="C11">
        <f>Control!$B$3-12+ROW()-4</f>
        <v>31</v>
      </c>
      <c r="D11" s="1" cm="1">
        <f t="array" ref="D11">INDEX(Calc_Dates!$C$2:$C$37,C11)</f>
        <v>46234</v>
      </c>
      <c r="E11" cm="1">
        <f t="array" ref="E11">INDEX(Calc_Month!$E$2:$E$37,C11)</f>
        <v>324.69</v>
      </c>
      <c r="F11">
        <f>SUMIFS(Data!$G$2:$G$5761,Data!$B$2:$B$5761,C11)/20</f>
        <v>632.49450000000036</v>
      </c>
      <c r="G11">
        <f>SUMIFS(Data!$G$2:$G$5761,Data!$I$2:$I$5761,Control!$B$8,Data!$B$2:$B$5761,C11)/COUNTIF(Banks!$C$2:$C$21,Control!$B$8)</f>
        <v>625.58166666666659</v>
      </c>
      <c r="H11">
        <f t="shared" si="0"/>
        <v>-307.80450000000036</v>
      </c>
      <c r="I11">
        <f t="shared" si="1"/>
        <v>-0.48665166258362752</v>
      </c>
      <c r="J11">
        <f t="shared" si="2"/>
        <v>103.6</v>
      </c>
    </row>
    <row r="12" spans="2:11" x14ac:dyDescent="0.25">
      <c r="C12">
        <f>Control!$B$3-12+ROW()-4</f>
        <v>32</v>
      </c>
      <c r="D12" s="1" cm="1">
        <f t="array" ref="D12">INDEX(Calc_Dates!$C$2:$C$37,C12)</f>
        <v>46265</v>
      </c>
      <c r="E12" cm="1">
        <f t="array" ref="E12">INDEX(Calc_Month!$E$2:$E$37,C12)</f>
        <v>325.2</v>
      </c>
      <c r="F12">
        <f>SUMIFS(Data!$G$2:$G$5761,Data!$B$2:$B$5761,C12)/20</f>
        <v>635.32000000000005</v>
      </c>
      <c r="G12">
        <f>SUMIFS(Data!$G$2:$G$5761,Data!$I$2:$I$5761,Control!$B$8,Data!$B$2:$B$5761,C12)/COUNTIF(Banks!$C$2:$C$21,Control!$B$8)</f>
        <v>628.13666666666666</v>
      </c>
      <c r="H12">
        <f t="shared" si="0"/>
        <v>-310.12000000000006</v>
      </c>
      <c r="I12">
        <f t="shared" si="1"/>
        <v>-0.48813196499401884</v>
      </c>
      <c r="J12">
        <f t="shared" si="2"/>
        <v>103.8</v>
      </c>
    </row>
    <row r="13" spans="2:11" x14ac:dyDescent="0.25">
      <c r="C13">
        <f>Control!$B$3-12+ROW()-4</f>
        <v>33</v>
      </c>
      <c r="D13" s="1" cm="1">
        <f t="array" ref="D13">INDEX(Calc_Dates!$C$2:$C$37,C13)</f>
        <v>46295</v>
      </c>
      <c r="E13" cm="1">
        <f t="array" ref="E13">INDEX(Calc_Month!$E$2:$E$37,C13)</f>
        <v>327.33000000000004</v>
      </c>
      <c r="F13">
        <f>SUMIFS(Data!$G$2:$G$5761,Data!$B$2:$B$5761,C13)/20</f>
        <v>639.46999999999957</v>
      </c>
      <c r="G13">
        <f>SUMIFS(Data!$G$2:$G$5761,Data!$I$2:$I$5761,Control!$B$8,Data!$B$2:$B$5761,C13)/COUNTIF(Banks!$C$2:$C$21,Control!$B$8)</f>
        <v>631.6066666666668</v>
      </c>
      <c r="H13">
        <f t="shared" si="0"/>
        <v>-312.13999999999953</v>
      </c>
      <c r="I13">
        <f t="shared" si="1"/>
        <v>-0.4881229768401954</v>
      </c>
      <c r="J13">
        <f t="shared" si="2"/>
        <v>104.5</v>
      </c>
    </row>
    <row r="14" spans="2:11" x14ac:dyDescent="0.25">
      <c r="C14">
        <f>Control!$B$3-12+ROW()-4</f>
        <v>34</v>
      </c>
      <c r="D14" s="1" cm="1">
        <f t="array" ref="D14">INDEX(Calc_Dates!$C$2:$C$37,C14)</f>
        <v>46326</v>
      </c>
      <c r="E14" cm="1">
        <f t="array" ref="E14">INDEX(Calc_Month!$E$2:$E$37,C14)</f>
        <v>329.23</v>
      </c>
      <c r="F14">
        <f>SUMIFS(Data!$G$2:$G$5761,Data!$B$2:$B$5761,C14)/20</f>
        <v>643.98</v>
      </c>
      <c r="G14">
        <f>SUMIFS(Data!$G$2:$G$5761,Data!$I$2:$I$5761,Control!$B$8,Data!$B$2:$B$5761,C14)/COUNTIF(Banks!$C$2:$C$21,Control!$B$8)</f>
        <v>637.04000000000008</v>
      </c>
      <c r="H14">
        <f t="shared" si="0"/>
        <v>-314.75</v>
      </c>
      <c r="I14">
        <f t="shared" si="1"/>
        <v>-0.48875741482654739</v>
      </c>
      <c r="J14">
        <f t="shared" si="2"/>
        <v>105.1</v>
      </c>
    </row>
    <row r="15" spans="2:11" x14ac:dyDescent="0.25">
      <c r="C15">
        <f>Control!$B$3-12+ROW()-4</f>
        <v>35</v>
      </c>
      <c r="D15" s="1" cm="1">
        <f t="array" ref="D15">INDEX(Calc_Dates!$C$2:$C$37,C15)</f>
        <v>46356</v>
      </c>
      <c r="E15" cm="1">
        <f t="array" ref="E15">INDEX(Calc_Month!$E$2:$E$37,C15)</f>
        <v>335.64</v>
      </c>
      <c r="F15">
        <f>SUMIFS(Data!$G$2:$G$5761,Data!$B$2:$B$5761,C15)/20</f>
        <v>648.87249999999995</v>
      </c>
      <c r="G15">
        <f>SUMIFS(Data!$G$2:$G$5761,Data!$I$2:$I$5761,Control!$B$8,Data!$B$2:$B$5761,C15)/COUNTIF(Banks!$C$2:$C$21,Control!$B$8)</f>
        <v>641.62166666666678</v>
      </c>
      <c r="H15">
        <f t="shared" si="0"/>
        <v>-313.23249999999996</v>
      </c>
      <c r="I15">
        <f t="shared" si="1"/>
        <v>-0.48273351082069277</v>
      </c>
      <c r="J15">
        <f t="shared" si="2"/>
        <v>107.1</v>
      </c>
    </row>
    <row r="16" spans="2:11" x14ac:dyDescent="0.25">
      <c r="C16">
        <f>Control!$B$3-12+ROW()-4</f>
        <v>36</v>
      </c>
      <c r="D16" s="1" cm="1">
        <f t="array" ref="D16">INDEX(Calc_Dates!$C$2:$C$37,C16)</f>
        <v>46387</v>
      </c>
      <c r="E16" cm="1">
        <f t="array" ref="E16">INDEX(Calc_Month!$E$2:$E$37,C16)</f>
        <v>334.49</v>
      </c>
      <c r="F16">
        <f>SUMIFS(Data!$G$2:$G$5761,Data!$B$2:$B$5761,C16)/20</f>
        <v>651.53950000000009</v>
      </c>
      <c r="G16">
        <f>SUMIFS(Data!$G$2:$G$5761,Data!$I$2:$I$5761,Control!$B$8,Data!$B$2:$B$5761,C16)/COUNTIF(Banks!$C$2:$C$21,Control!$B$8)</f>
        <v>644.80166666666662</v>
      </c>
      <c r="H16">
        <f t="shared" si="0"/>
        <v>-317.04950000000008</v>
      </c>
      <c r="I16">
        <f t="shared" si="1"/>
        <v>-0.48661593042325146</v>
      </c>
      <c r="J16">
        <f t="shared" si="2"/>
        <v>106.8</v>
      </c>
      <c r="K16" t="s">
        <v>263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8D470-232F-4579-B79F-F5E8EA5E3A82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"Clienti - "&amp;Control!$B$2&amp;" - ultimi 12 mesi"</f>
        <v>Clienti - Banca Tirrena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25</v>
      </c>
      <c r="D5" s="1" cm="1">
        <f t="array" ref="D5">INDEX(Calc_Dates!$C$2:$C$37,C5)</f>
        <v>46053</v>
      </c>
      <c r="E5" cm="1">
        <f t="array" ref="E5">INDEX(Calc_Month!$F$2:$F$37,C5)</f>
        <v>908</v>
      </c>
      <c r="F5">
        <f>SUMIFS(Data!$H$2:$H$5761,Data!$B$2:$B$5761,C5)/20</f>
        <v>1707</v>
      </c>
      <c r="G5">
        <f>SUMIFS(Data!$H$2:$H$5761,Data!$I$2:$I$5761,Control!$B$8,Data!$B$2:$B$5761,C5)/COUNTIF(Banks!$C$2:$C$21,Control!$B$8)</f>
        <v>1696.6666666666667</v>
      </c>
      <c r="H5">
        <f t="shared" ref="H5:H16" si="0">E5-F5</f>
        <v>-799</v>
      </c>
      <c r="I5">
        <f t="shared" ref="I5:I16" si="1">IFERROR(H5/F5,0)</f>
        <v>-0.46807264206209725</v>
      </c>
      <c r="J5">
        <f t="shared" ref="J5:J16" si="2">ROUND(E5/$E$5*100,1)</f>
        <v>100</v>
      </c>
    </row>
    <row r="6" spans="2:11" x14ac:dyDescent="0.25">
      <c r="C6">
        <f>Control!$B$3-12+ROW()-4</f>
        <v>26</v>
      </c>
      <c r="D6" s="1" cm="1">
        <f t="array" ref="D6">INDEX(Calc_Dates!$C$2:$C$37,C6)</f>
        <v>46081</v>
      </c>
      <c r="E6" cm="1">
        <f t="array" ref="E6">INDEX(Calc_Month!$F$2:$F$37,C6)</f>
        <v>1005</v>
      </c>
      <c r="F6">
        <f>SUMIFS(Data!$H$2:$H$5761,Data!$B$2:$B$5761,C6)/20</f>
        <v>1694.95</v>
      </c>
      <c r="G6">
        <f>SUMIFS(Data!$H$2:$H$5761,Data!$I$2:$I$5761,Control!$B$8,Data!$B$2:$B$5761,C6)/COUNTIF(Banks!$C$2:$C$21,Control!$B$8)</f>
        <v>1675.6666666666667</v>
      </c>
      <c r="H6">
        <f t="shared" si="0"/>
        <v>-689.95</v>
      </c>
      <c r="I6">
        <f t="shared" si="1"/>
        <v>-0.4070621552258179</v>
      </c>
      <c r="J6">
        <f t="shared" si="2"/>
        <v>110.7</v>
      </c>
    </row>
    <row r="7" spans="2:11" x14ac:dyDescent="0.25">
      <c r="C7">
        <f>Control!$B$3-12+ROW()-4</f>
        <v>27</v>
      </c>
      <c r="D7" s="1" cm="1">
        <f t="array" ref="D7">INDEX(Calc_Dates!$C$2:$C$37,C7)</f>
        <v>46112</v>
      </c>
      <c r="E7" cm="1">
        <f t="array" ref="E7">INDEX(Calc_Month!$F$2:$F$37,C7)</f>
        <v>913</v>
      </c>
      <c r="F7">
        <f>SUMIFS(Data!$H$2:$H$5761,Data!$B$2:$B$5761,C7)/20</f>
        <v>1703.85</v>
      </c>
      <c r="G7">
        <f>SUMIFS(Data!$H$2:$H$5761,Data!$I$2:$I$5761,Control!$B$8,Data!$B$2:$B$5761,C7)/COUNTIF(Banks!$C$2:$C$21,Control!$B$8)</f>
        <v>1698.1666666666667</v>
      </c>
      <c r="H7">
        <f t="shared" si="0"/>
        <v>-790.84999999999991</v>
      </c>
      <c r="I7">
        <f t="shared" si="1"/>
        <v>-0.46415470845438267</v>
      </c>
      <c r="J7">
        <f t="shared" si="2"/>
        <v>100.6</v>
      </c>
    </row>
    <row r="8" spans="2:11" x14ac:dyDescent="0.25">
      <c r="C8">
        <f>Control!$B$3-12+ROW()-4</f>
        <v>28</v>
      </c>
      <c r="D8" s="1" cm="1">
        <f t="array" ref="D8">INDEX(Calc_Dates!$C$2:$C$37,C8)</f>
        <v>46142</v>
      </c>
      <c r="E8" cm="1">
        <f t="array" ref="E8">INDEX(Calc_Month!$F$2:$F$37,C8)</f>
        <v>989</v>
      </c>
      <c r="F8">
        <f>SUMIFS(Data!$H$2:$H$5761,Data!$B$2:$B$5761,C8)/20</f>
        <v>1712.05</v>
      </c>
      <c r="G8">
        <f>SUMIFS(Data!$H$2:$H$5761,Data!$I$2:$I$5761,Control!$B$8,Data!$B$2:$B$5761,C8)/COUNTIF(Banks!$C$2:$C$21,Control!$B$8)</f>
        <v>1710</v>
      </c>
      <c r="H8">
        <f t="shared" si="0"/>
        <v>-723.05</v>
      </c>
      <c r="I8">
        <f t="shared" si="1"/>
        <v>-0.42232995531672557</v>
      </c>
      <c r="J8">
        <f t="shared" si="2"/>
        <v>108.9</v>
      </c>
    </row>
    <row r="9" spans="2:11" x14ac:dyDescent="0.25">
      <c r="C9">
        <f>Control!$B$3-12+ROW()-4</f>
        <v>29</v>
      </c>
      <c r="D9" s="1" cm="1">
        <f t="array" ref="D9">INDEX(Calc_Dates!$C$2:$C$37,C9)</f>
        <v>46173</v>
      </c>
      <c r="E9" cm="1">
        <f t="array" ref="E9">INDEX(Calc_Month!$F$2:$F$37,C9)</f>
        <v>961</v>
      </c>
      <c r="F9">
        <f>SUMIFS(Data!$H$2:$H$5761,Data!$B$2:$B$5761,C9)/20</f>
        <v>1711</v>
      </c>
      <c r="G9">
        <f>SUMIFS(Data!$H$2:$H$5761,Data!$I$2:$I$5761,Control!$B$8,Data!$B$2:$B$5761,C9)/COUNTIF(Banks!$C$2:$C$21,Control!$B$8)</f>
        <v>1691</v>
      </c>
      <c r="H9">
        <f t="shared" si="0"/>
        <v>-750</v>
      </c>
      <c r="I9">
        <f t="shared" si="1"/>
        <v>-0.43834015195791937</v>
      </c>
      <c r="J9">
        <f t="shared" si="2"/>
        <v>105.8</v>
      </c>
    </row>
    <row r="10" spans="2:11" x14ac:dyDescent="0.25">
      <c r="C10">
        <f>Control!$B$3-12+ROW()-4</f>
        <v>30</v>
      </c>
      <c r="D10" s="1" cm="1">
        <f t="array" ref="D10">INDEX(Calc_Dates!$C$2:$C$37,C10)</f>
        <v>46203</v>
      </c>
      <c r="E10" cm="1">
        <f t="array" ref="E10">INDEX(Calc_Month!$F$2:$F$37,C10)</f>
        <v>989</v>
      </c>
      <c r="F10">
        <f>SUMIFS(Data!$H$2:$H$5761,Data!$B$2:$B$5761,C10)/20</f>
        <v>1710.2</v>
      </c>
      <c r="G10">
        <f>SUMIFS(Data!$H$2:$H$5761,Data!$I$2:$I$5761,Control!$B$8,Data!$B$2:$B$5761,C10)/COUNTIF(Banks!$C$2:$C$21,Control!$B$8)</f>
        <v>1704.3333333333333</v>
      </c>
      <c r="H10">
        <f t="shared" si="0"/>
        <v>-721.2</v>
      </c>
      <c r="I10">
        <f t="shared" si="1"/>
        <v>-0.42170506373523564</v>
      </c>
      <c r="J10">
        <f t="shared" si="2"/>
        <v>108.9</v>
      </c>
    </row>
    <row r="11" spans="2:11" x14ac:dyDescent="0.25">
      <c r="C11">
        <f>Control!$B$3-12+ROW()-4</f>
        <v>31</v>
      </c>
      <c r="D11" s="1" cm="1">
        <f t="array" ref="D11">INDEX(Calc_Dates!$C$2:$C$37,C11)</f>
        <v>46234</v>
      </c>
      <c r="E11" cm="1">
        <f t="array" ref="E11">INDEX(Calc_Month!$F$2:$F$37,C11)</f>
        <v>960</v>
      </c>
      <c r="F11">
        <f>SUMIFS(Data!$H$2:$H$5761,Data!$B$2:$B$5761,C11)/20</f>
        <v>1714.95</v>
      </c>
      <c r="G11">
        <f>SUMIFS(Data!$H$2:$H$5761,Data!$I$2:$I$5761,Control!$B$8,Data!$B$2:$B$5761,C11)/COUNTIF(Banks!$C$2:$C$21,Control!$B$8)</f>
        <v>1679.5</v>
      </c>
      <c r="H11">
        <f t="shared" si="0"/>
        <v>-754.95</v>
      </c>
      <c r="I11">
        <f t="shared" si="1"/>
        <v>-0.44021691594507129</v>
      </c>
      <c r="J11">
        <f t="shared" si="2"/>
        <v>105.7</v>
      </c>
    </row>
    <row r="12" spans="2:11" x14ac:dyDescent="0.25">
      <c r="C12">
        <f>Control!$B$3-12+ROW()-4</f>
        <v>32</v>
      </c>
      <c r="D12" s="1" cm="1">
        <f t="array" ref="D12">INDEX(Calc_Dates!$C$2:$C$37,C12)</f>
        <v>46265</v>
      </c>
      <c r="E12" cm="1">
        <f t="array" ref="E12">INDEX(Calc_Month!$F$2:$F$37,C12)</f>
        <v>931</v>
      </c>
      <c r="F12">
        <f>SUMIFS(Data!$H$2:$H$5761,Data!$B$2:$B$5761,C12)/20</f>
        <v>1711.25</v>
      </c>
      <c r="G12">
        <f>SUMIFS(Data!$H$2:$H$5761,Data!$I$2:$I$5761,Control!$B$8,Data!$B$2:$B$5761,C12)/COUNTIF(Banks!$C$2:$C$21,Control!$B$8)</f>
        <v>1697.6666666666667</v>
      </c>
      <c r="H12">
        <f t="shared" si="0"/>
        <v>-780.25</v>
      </c>
      <c r="I12">
        <f t="shared" si="1"/>
        <v>-0.45595325054784513</v>
      </c>
      <c r="J12">
        <f t="shared" si="2"/>
        <v>102.5</v>
      </c>
    </row>
    <row r="13" spans="2:11" x14ac:dyDescent="0.25">
      <c r="C13">
        <f>Control!$B$3-12+ROW()-4</f>
        <v>33</v>
      </c>
      <c r="D13" s="1" cm="1">
        <f t="array" ref="D13">INDEX(Calc_Dates!$C$2:$C$37,C13)</f>
        <v>46295</v>
      </c>
      <c r="E13" cm="1">
        <f t="array" ref="E13">INDEX(Calc_Month!$F$2:$F$37,C13)</f>
        <v>974</v>
      </c>
      <c r="F13">
        <f>SUMIFS(Data!$H$2:$H$5761,Data!$B$2:$B$5761,C13)/20</f>
        <v>1713.45</v>
      </c>
      <c r="G13">
        <f>SUMIFS(Data!$H$2:$H$5761,Data!$I$2:$I$5761,Control!$B$8,Data!$B$2:$B$5761,C13)/COUNTIF(Banks!$C$2:$C$21,Control!$B$8)</f>
        <v>1708</v>
      </c>
      <c r="H13">
        <f t="shared" si="0"/>
        <v>-739.45</v>
      </c>
      <c r="I13">
        <f t="shared" si="1"/>
        <v>-0.43155621698911556</v>
      </c>
      <c r="J13">
        <f t="shared" si="2"/>
        <v>107.3</v>
      </c>
    </row>
    <row r="14" spans="2:11" x14ac:dyDescent="0.25">
      <c r="C14">
        <f>Control!$B$3-12+ROW()-4</f>
        <v>34</v>
      </c>
      <c r="D14" s="1" cm="1">
        <f t="array" ref="D14">INDEX(Calc_Dates!$C$2:$C$37,C14)</f>
        <v>46326</v>
      </c>
      <c r="E14" cm="1">
        <f t="array" ref="E14">INDEX(Calc_Month!$F$2:$F$37,C14)</f>
        <v>1018</v>
      </c>
      <c r="F14">
        <f>SUMIFS(Data!$H$2:$H$5761,Data!$B$2:$B$5761,C14)/20</f>
        <v>1707.95</v>
      </c>
      <c r="G14">
        <f>SUMIFS(Data!$H$2:$H$5761,Data!$I$2:$I$5761,Control!$B$8,Data!$B$2:$B$5761,C14)/COUNTIF(Banks!$C$2:$C$21,Control!$B$8)</f>
        <v>1695.6666666666667</v>
      </c>
      <c r="H14">
        <f t="shared" si="0"/>
        <v>-689.95</v>
      </c>
      <c r="I14">
        <f t="shared" si="1"/>
        <v>-0.40396381627096811</v>
      </c>
      <c r="J14">
        <f t="shared" si="2"/>
        <v>112.1</v>
      </c>
    </row>
    <row r="15" spans="2:11" x14ac:dyDescent="0.25">
      <c r="C15">
        <f>Control!$B$3-12+ROW()-4</f>
        <v>35</v>
      </c>
      <c r="D15" s="1" cm="1">
        <f t="array" ref="D15">INDEX(Calc_Dates!$C$2:$C$37,C15)</f>
        <v>46356</v>
      </c>
      <c r="E15" cm="1">
        <f t="array" ref="E15">INDEX(Calc_Month!$F$2:$F$37,C15)</f>
        <v>915</v>
      </c>
      <c r="F15">
        <f>SUMIFS(Data!$H$2:$H$5761,Data!$B$2:$B$5761,C15)/20</f>
        <v>1707.45</v>
      </c>
      <c r="G15">
        <f>SUMIFS(Data!$H$2:$H$5761,Data!$I$2:$I$5761,Control!$B$8,Data!$B$2:$B$5761,C15)/COUNTIF(Banks!$C$2:$C$21,Control!$B$8)</f>
        <v>1692</v>
      </c>
      <c r="H15">
        <f t="shared" si="0"/>
        <v>-792.45</v>
      </c>
      <c r="I15">
        <f t="shared" si="1"/>
        <v>-0.46411315119037161</v>
      </c>
      <c r="J15">
        <f t="shared" si="2"/>
        <v>100.8</v>
      </c>
    </row>
    <row r="16" spans="2:11" x14ac:dyDescent="0.25">
      <c r="C16">
        <f>Control!$B$3-12+ROW()-4</f>
        <v>36</v>
      </c>
      <c r="D16" s="1" cm="1">
        <f t="array" ref="D16">INDEX(Calc_Dates!$C$2:$C$37,C16)</f>
        <v>46387</v>
      </c>
      <c r="E16" cm="1">
        <f t="array" ref="E16">INDEX(Calc_Month!$F$2:$F$37,C16)</f>
        <v>975</v>
      </c>
      <c r="F16">
        <f>SUMIFS(Data!$H$2:$H$5761,Data!$B$2:$B$5761,C16)/20</f>
        <v>1695.45</v>
      </c>
      <c r="G16">
        <f>SUMIFS(Data!$H$2:$H$5761,Data!$I$2:$I$5761,Control!$B$8,Data!$B$2:$B$5761,C16)/COUNTIF(Banks!$C$2:$C$21,Control!$B$8)</f>
        <v>1680.6666666666667</v>
      </c>
      <c r="H16">
        <f t="shared" si="0"/>
        <v>-720.45</v>
      </c>
      <c r="I16">
        <f t="shared" si="1"/>
        <v>-0.4249314341325312</v>
      </c>
      <c r="J16">
        <f t="shared" si="2"/>
        <v>107.4</v>
      </c>
      <c r="K16" t="s">
        <v>263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6885C-A22C-4820-9FB0-DD4084BBCF55}">
  <dimension ref="B2:K16"/>
  <sheetViews>
    <sheetView tabSelected="1"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"Margine - "&amp;Control!$B$2&amp;" - ultimi 12 mesi"</f>
        <v>Margine - Banca Tirrena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25</v>
      </c>
      <c r="D5" s="1" cm="1">
        <f t="array" ref="D5">INDEX(Calc_Dates!$C$2:$C$37,C5)</f>
        <v>46053</v>
      </c>
      <c r="E5" cm="1">
        <f t="array" ref="E5">INDEX(Calc_Month!$G$2:$G$37,C5)</f>
        <v>203.64000000000004</v>
      </c>
      <c r="F5">
        <f>SUMIFS(Data!$K$2:$K$5761,Data!$B$2:$B$5761,C5)/20</f>
        <v>397.98399999999987</v>
      </c>
      <c r="G5">
        <f>SUMIFS(Data!$K$2:$K$5761,Data!$I$2:$I$5761,Control!$B$8,Data!$B$2:$B$5761,C5)/COUNTIF(Banks!$C$2:$C$21,Control!$B$8)</f>
        <v>394.71999999999997</v>
      </c>
      <c r="H5">
        <f t="shared" ref="H5:H16" si="0">E5-F5</f>
        <v>-194.34399999999982</v>
      </c>
      <c r="I5">
        <f t="shared" ref="I5:I16" si="1">IFERROR(H5/F5,0)</f>
        <v>-0.48832113853823239</v>
      </c>
      <c r="J5">
        <f t="shared" ref="J5:J16" si="2">ROUND(E5/$E$5*100,1)</f>
        <v>100</v>
      </c>
    </row>
    <row r="6" spans="2:11" x14ac:dyDescent="0.25">
      <c r="C6">
        <f>Control!$B$3-12+ROW()-4</f>
        <v>26</v>
      </c>
      <c r="D6" s="1" cm="1">
        <f t="array" ref="D6">INDEX(Calc_Dates!$C$2:$C$37,C6)</f>
        <v>46081</v>
      </c>
      <c r="E6" cm="1">
        <f t="array" ref="E6">INDEX(Calc_Month!$G$2:$G$37,C6)</f>
        <v>203.24</v>
      </c>
      <c r="F6">
        <f>SUMIFS(Data!$K$2:$K$5761,Data!$B$2:$B$5761,C6)/20</f>
        <v>401.29350000000005</v>
      </c>
      <c r="G6">
        <f>SUMIFS(Data!$K$2:$K$5761,Data!$I$2:$I$5761,Control!$B$8,Data!$B$2:$B$5761,C6)/COUNTIF(Banks!$C$2:$C$21,Control!$B$8)</f>
        <v>397.03166666666675</v>
      </c>
      <c r="H6">
        <f t="shared" si="0"/>
        <v>-198.05350000000004</v>
      </c>
      <c r="I6">
        <f t="shared" si="1"/>
        <v>-0.49353777222905432</v>
      </c>
      <c r="J6">
        <f t="shared" si="2"/>
        <v>99.8</v>
      </c>
    </row>
    <row r="7" spans="2:11" x14ac:dyDescent="0.25">
      <c r="C7">
        <f>Control!$B$3-12+ROW()-4</f>
        <v>27</v>
      </c>
      <c r="D7" s="1" cm="1">
        <f t="array" ref="D7">INDEX(Calc_Dates!$C$2:$C$37,C7)</f>
        <v>46112</v>
      </c>
      <c r="E7" cm="1">
        <f t="array" ref="E7">INDEX(Calc_Month!$G$2:$G$37,C7)</f>
        <v>206.77999999999997</v>
      </c>
      <c r="F7">
        <f>SUMIFS(Data!$K$2:$K$5761,Data!$B$2:$B$5761,C7)/20</f>
        <v>404.10849999999994</v>
      </c>
      <c r="G7">
        <f>SUMIFS(Data!$K$2:$K$5761,Data!$I$2:$I$5761,Control!$B$8,Data!$B$2:$B$5761,C7)/COUNTIF(Banks!$C$2:$C$21,Control!$B$8)</f>
        <v>399.40000000000009</v>
      </c>
      <c r="H7">
        <f t="shared" si="0"/>
        <v>-197.32849999999996</v>
      </c>
      <c r="I7">
        <f t="shared" si="1"/>
        <v>-0.48830573967140012</v>
      </c>
      <c r="J7">
        <f t="shared" si="2"/>
        <v>101.5</v>
      </c>
    </row>
    <row r="8" spans="2:11" x14ac:dyDescent="0.25">
      <c r="C8">
        <f>Control!$B$3-12+ROW()-4</f>
        <v>28</v>
      </c>
      <c r="D8" s="1" cm="1">
        <f t="array" ref="D8">INDEX(Calc_Dates!$C$2:$C$37,C8)</f>
        <v>46142</v>
      </c>
      <c r="E8" cm="1">
        <f t="array" ref="E8">INDEX(Calc_Month!$G$2:$G$37,C8)</f>
        <v>205.7600000000001</v>
      </c>
      <c r="F8">
        <f>SUMIFS(Data!$K$2:$K$5761,Data!$B$2:$B$5761,C8)/20</f>
        <v>406.05050000000011</v>
      </c>
      <c r="G8">
        <f>SUMIFS(Data!$K$2:$K$5761,Data!$I$2:$I$5761,Control!$B$8,Data!$B$2:$B$5761,C8)/COUNTIF(Banks!$C$2:$C$21,Control!$B$8)</f>
        <v>402.36166666666668</v>
      </c>
      <c r="H8">
        <f t="shared" si="0"/>
        <v>-200.29050000000001</v>
      </c>
      <c r="I8">
        <f t="shared" si="1"/>
        <v>-0.49326500028937276</v>
      </c>
      <c r="J8">
        <f t="shared" si="2"/>
        <v>101</v>
      </c>
    </row>
    <row r="9" spans="2:11" x14ac:dyDescent="0.25">
      <c r="C9">
        <f>Control!$B$3-12+ROW()-4</f>
        <v>29</v>
      </c>
      <c r="D9" s="1" cm="1">
        <f t="array" ref="D9">INDEX(Calc_Dates!$C$2:$C$37,C9)</f>
        <v>46173</v>
      </c>
      <c r="E9" cm="1">
        <f t="array" ref="E9">INDEX(Calc_Month!$G$2:$G$37,C9)</f>
        <v>208.89999999999998</v>
      </c>
      <c r="F9">
        <f>SUMIFS(Data!$K$2:$K$5761,Data!$B$2:$B$5761,C9)/20</f>
        <v>409.31999999999982</v>
      </c>
      <c r="G9">
        <f>SUMIFS(Data!$K$2:$K$5761,Data!$I$2:$I$5761,Control!$B$8,Data!$B$2:$B$5761,C9)/COUNTIF(Banks!$C$2:$C$21,Control!$B$8)</f>
        <v>404.51833333333337</v>
      </c>
      <c r="H9">
        <f t="shared" si="0"/>
        <v>-200.41999999999985</v>
      </c>
      <c r="I9">
        <f t="shared" si="1"/>
        <v>-0.48964135639597367</v>
      </c>
      <c r="J9">
        <f t="shared" si="2"/>
        <v>102.6</v>
      </c>
    </row>
    <row r="10" spans="2:11" x14ac:dyDescent="0.25">
      <c r="C10">
        <f>Control!$B$3-12+ROW()-4</f>
        <v>30</v>
      </c>
      <c r="D10" s="1" cm="1">
        <f t="array" ref="D10">INDEX(Calc_Dates!$C$2:$C$37,C10)</f>
        <v>46203</v>
      </c>
      <c r="E10" cm="1">
        <f t="array" ref="E10">INDEX(Calc_Month!$G$2:$G$37,C10)</f>
        <v>210.01999999999998</v>
      </c>
      <c r="F10">
        <f>SUMIFS(Data!$K$2:$K$5761,Data!$B$2:$B$5761,C10)/20</f>
        <v>411.78250000000014</v>
      </c>
      <c r="G10">
        <f>SUMIFS(Data!$K$2:$K$5761,Data!$I$2:$I$5761,Control!$B$8,Data!$B$2:$B$5761,C10)/COUNTIF(Banks!$C$2:$C$21,Control!$B$8)</f>
        <v>407.54</v>
      </c>
      <c r="H10">
        <f t="shared" si="0"/>
        <v>-201.76250000000016</v>
      </c>
      <c r="I10">
        <f t="shared" si="1"/>
        <v>-0.48997346900366112</v>
      </c>
      <c r="J10">
        <f t="shared" si="2"/>
        <v>103.1</v>
      </c>
    </row>
    <row r="11" spans="2:11" x14ac:dyDescent="0.25">
      <c r="C11">
        <f>Control!$B$3-12+ROW()-4</f>
        <v>31</v>
      </c>
      <c r="D11" s="1" cm="1">
        <f t="array" ref="D11">INDEX(Calc_Dates!$C$2:$C$37,C11)</f>
        <v>46234</v>
      </c>
      <c r="E11" cm="1">
        <f t="array" ref="E11">INDEX(Calc_Month!$G$2:$G$37,C11)</f>
        <v>210.31</v>
      </c>
      <c r="F11">
        <f>SUMIFS(Data!$K$2:$K$5761,Data!$B$2:$B$5761,C11)/20</f>
        <v>414.80749999999989</v>
      </c>
      <c r="G11">
        <f>SUMIFS(Data!$K$2:$K$5761,Data!$I$2:$I$5761,Control!$B$8,Data!$B$2:$B$5761,C11)/COUNTIF(Banks!$C$2:$C$21,Control!$B$8)</f>
        <v>410.17</v>
      </c>
      <c r="H11">
        <f t="shared" si="0"/>
        <v>-204.49749999999989</v>
      </c>
      <c r="I11">
        <f t="shared" si="1"/>
        <v>-0.49299373805922009</v>
      </c>
      <c r="J11">
        <f t="shared" si="2"/>
        <v>103.3</v>
      </c>
    </row>
    <row r="12" spans="2:11" x14ac:dyDescent="0.25">
      <c r="C12">
        <f>Control!$B$3-12+ROW()-4</f>
        <v>32</v>
      </c>
      <c r="D12" s="1" cm="1">
        <f t="array" ref="D12">INDEX(Calc_Dates!$C$2:$C$37,C12)</f>
        <v>46265</v>
      </c>
      <c r="E12" cm="1">
        <f t="array" ref="E12">INDEX(Calc_Month!$G$2:$G$37,C12)</f>
        <v>214.38999999999993</v>
      </c>
      <c r="F12">
        <f>SUMIFS(Data!$K$2:$K$5761,Data!$B$2:$B$5761,C12)/20</f>
        <v>416.92049999999989</v>
      </c>
      <c r="G12">
        <f>SUMIFS(Data!$K$2:$K$5761,Data!$I$2:$I$5761,Control!$B$8,Data!$B$2:$B$5761,C12)/COUNTIF(Banks!$C$2:$C$21,Control!$B$8)</f>
        <v>412.82333333333332</v>
      </c>
      <c r="H12">
        <f t="shared" si="0"/>
        <v>-202.53049999999996</v>
      </c>
      <c r="I12">
        <f t="shared" si="1"/>
        <v>-0.48577726449047243</v>
      </c>
      <c r="J12">
        <f t="shared" si="2"/>
        <v>105.3</v>
      </c>
    </row>
    <row r="13" spans="2:11" x14ac:dyDescent="0.25">
      <c r="C13">
        <f>Control!$B$3-12+ROW()-4</f>
        <v>33</v>
      </c>
      <c r="D13" s="1" cm="1">
        <f t="array" ref="D13">INDEX(Calc_Dates!$C$2:$C$37,C13)</f>
        <v>46295</v>
      </c>
      <c r="E13" cm="1">
        <f t="array" ref="E13">INDEX(Calc_Month!$G$2:$G$37,C13)</f>
        <v>215.36</v>
      </c>
      <c r="F13">
        <f>SUMIFS(Data!$K$2:$K$5761,Data!$B$2:$B$5761,C13)/20</f>
        <v>419.31099999999998</v>
      </c>
      <c r="G13">
        <f>SUMIFS(Data!$K$2:$K$5761,Data!$I$2:$I$5761,Control!$B$8,Data!$B$2:$B$5761,C13)/COUNTIF(Banks!$C$2:$C$21,Control!$B$8)</f>
        <v>414.41166666666663</v>
      </c>
      <c r="H13">
        <f t="shared" si="0"/>
        <v>-203.95099999999996</v>
      </c>
      <c r="I13">
        <f t="shared" si="1"/>
        <v>-0.48639553934907498</v>
      </c>
      <c r="J13">
        <f t="shared" si="2"/>
        <v>105.8</v>
      </c>
    </row>
    <row r="14" spans="2:11" x14ac:dyDescent="0.25">
      <c r="C14">
        <f>Control!$B$3-12+ROW()-4</f>
        <v>34</v>
      </c>
      <c r="D14" s="1" cm="1">
        <f t="array" ref="D14">INDEX(Calc_Dates!$C$2:$C$37,C14)</f>
        <v>46326</v>
      </c>
      <c r="E14" cm="1">
        <f t="array" ref="E14">INDEX(Calc_Month!$G$2:$G$37,C14)</f>
        <v>217.05999999999995</v>
      </c>
      <c r="F14">
        <f>SUMIFS(Data!$K$2:$K$5761,Data!$B$2:$B$5761,C14)/20</f>
        <v>422.53750000000002</v>
      </c>
      <c r="G14">
        <f>SUMIFS(Data!$K$2:$K$5761,Data!$I$2:$I$5761,Control!$B$8,Data!$B$2:$B$5761,C14)/COUNTIF(Banks!$C$2:$C$21,Control!$B$8)</f>
        <v>418.13333333333321</v>
      </c>
      <c r="H14">
        <f t="shared" si="0"/>
        <v>-205.47750000000008</v>
      </c>
      <c r="I14">
        <f t="shared" si="1"/>
        <v>-0.48629411590687233</v>
      </c>
      <c r="J14">
        <f t="shared" si="2"/>
        <v>106.6</v>
      </c>
    </row>
    <row r="15" spans="2:11" x14ac:dyDescent="0.25">
      <c r="C15">
        <f>Control!$B$3-12+ROW()-4</f>
        <v>35</v>
      </c>
      <c r="D15" s="1" cm="1">
        <f t="array" ref="D15">INDEX(Calc_Dates!$C$2:$C$37,C15)</f>
        <v>46356</v>
      </c>
      <c r="E15" cm="1">
        <f t="array" ref="E15">INDEX(Calc_Month!$G$2:$G$37,C15)</f>
        <v>217.53999999999996</v>
      </c>
      <c r="F15">
        <f>SUMIFS(Data!$K$2:$K$5761,Data!$B$2:$B$5761,C15)/20</f>
        <v>425.74400000000014</v>
      </c>
      <c r="G15">
        <f>SUMIFS(Data!$K$2:$K$5761,Data!$I$2:$I$5761,Control!$B$8,Data!$B$2:$B$5761,C15)/COUNTIF(Banks!$C$2:$C$21,Control!$B$8)</f>
        <v>420.90333333333325</v>
      </c>
      <c r="H15">
        <f t="shared" si="0"/>
        <v>-208.20400000000018</v>
      </c>
      <c r="I15">
        <f t="shared" si="1"/>
        <v>-0.48903566462475129</v>
      </c>
      <c r="J15">
        <f t="shared" si="2"/>
        <v>106.8</v>
      </c>
    </row>
    <row r="16" spans="2:11" x14ac:dyDescent="0.25">
      <c r="C16">
        <f>Control!$B$3-12+ROW()-4</f>
        <v>36</v>
      </c>
      <c r="D16" s="1" cm="1">
        <f t="array" ref="D16">INDEX(Calc_Dates!$C$2:$C$37,C16)</f>
        <v>46387</v>
      </c>
      <c r="E16" cm="1">
        <f t="array" ref="E16">INDEX(Calc_Month!$G$2:$G$37,C16)</f>
        <v>220.60000000000002</v>
      </c>
      <c r="F16">
        <f>SUMIFS(Data!$K$2:$K$5761,Data!$B$2:$B$5761,C16)/20</f>
        <v>427.05650000000014</v>
      </c>
      <c r="G16">
        <f>SUMIFS(Data!$K$2:$K$5761,Data!$I$2:$I$5761,Control!$B$8,Data!$B$2:$B$5761,C16)/COUNTIF(Banks!$C$2:$C$21,Control!$B$8)</f>
        <v>422.28166666666658</v>
      </c>
      <c r="H16">
        <f t="shared" si="0"/>
        <v>-206.45650000000012</v>
      </c>
      <c r="I16">
        <f t="shared" si="1"/>
        <v>-0.48344071568984442</v>
      </c>
      <c r="J16">
        <f t="shared" si="2"/>
        <v>108.3</v>
      </c>
      <c r="K16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47</vt:i4>
      </vt:variant>
      <vt:variant>
        <vt:lpstr>Intervalli denominati</vt:lpstr>
      </vt:variant>
      <vt:variant>
        <vt:i4>9</vt:i4>
      </vt:variant>
    </vt:vector>
  </HeadingPairs>
  <TitlesOfParts>
    <vt:vector size="56" baseType="lpstr">
      <vt:lpstr>Control</vt:lpstr>
      <vt:lpstr>Data</vt:lpstr>
      <vt:lpstr>Banks</vt:lpstr>
      <vt:lpstr>FX</vt:lpstr>
      <vt:lpstr>Budget</vt:lpstr>
      <vt:lpstr>Products</vt:lpstr>
      <vt:lpstr>Aree</vt:lpstr>
      <vt:lpstr>Calc_Month</vt:lpstr>
      <vt:lpstr>Calc_Bank</vt:lpstr>
      <vt:lpstr>Calc_Product</vt:lpstr>
      <vt:lpstr>Calc_Region</vt:lpstr>
      <vt:lpstr>Calc_BankMonth</vt:lpstr>
      <vt:lpstr>Calc_Growth</vt:lpstr>
      <vt:lpstr>Calc_Scenario</vt:lpstr>
      <vt:lpstr>Calc_Stats</vt:lpstr>
      <vt:lpstr>Calc_Text</vt:lpstr>
      <vt:lpstr>Calc_Dates</vt:lpstr>
      <vt:lpstr>Calc_Dynamic</vt:lpstr>
      <vt:lpstr>Calc_Names</vt:lpstr>
      <vt:lpstr>Calc_Indirect</vt:lpstr>
      <vt:lpstr>Calc_Links</vt:lpstr>
      <vt:lpstr>Calc_Deep</vt:lpstr>
      <vt:lpstr>Calc_Summary</vt:lpstr>
      <vt:lpstr>SLIDE Sintesi</vt:lpstr>
      <vt:lpstr>SLIDE Ranking</vt:lpstr>
      <vt:lpstr>SLIDE Regioni</vt:lpstr>
      <vt:lpstr>SLIDE Prodotti</vt:lpstr>
      <vt:lpstr>SLIDE Budget</vt:lpstr>
      <vt:lpstr>SLIDE FX</vt:lpstr>
      <vt:lpstr>SLIDE Scenario</vt:lpstr>
      <vt:lpstr>SLIDE Heatmap</vt:lpstr>
      <vt:lpstr>SLIDE Peers</vt:lpstr>
      <vt:lpstr>SLIDE Aree</vt:lpstr>
      <vt:lpstr>SLIDE Testi</vt:lpstr>
      <vt:lpstr>SLIDE Date</vt:lpstr>
      <vt:lpstr>SLIDE Dinamica</vt:lpstr>
      <vt:lpstr>SLIDE Trimestri</vt:lpstr>
      <vt:lpstr>SLIDE Segmenti</vt:lpstr>
      <vt:lpstr>SLIDE Profondita</vt:lpstr>
      <vt:lpstr>SLIDE Nomi</vt:lpstr>
      <vt:lpstr>SLIDE Indiretti</vt:lpstr>
      <vt:lpstr>SLIDE Controlli</vt:lpstr>
      <vt:lpstr>SLIDE Trend Volumi</vt:lpstr>
      <vt:lpstr>SLIDE Trend Ricavi</vt:lpstr>
      <vt:lpstr>SLIDE Trend Costi</vt:lpstr>
      <vt:lpstr>SLIDE Trend Clienti</vt:lpstr>
      <vt:lpstr>SLIDE Trend Margine</vt:lpstr>
      <vt:lpstr>BankList</vt:lpstr>
      <vt:lpstr>BankRegion</vt:lpstr>
      <vt:lpstr>D_Bank</vt:lpstr>
      <vt:lpstr>D_Month</vt:lpstr>
      <vt:lpstr>D_Vol</vt:lpstr>
      <vt:lpstr>Rate</vt:lpstr>
      <vt:lpstr>SelBank</vt:lpstr>
      <vt:lpstr>SelMonth</vt:lpstr>
      <vt:lpstr>SelRegion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2026-10-17T11:54:39Z</dcterms:created>
  <dcterms:modified xsi:type="dcterms:W3CDTF">2026-10-17T11:54:48Z</dcterms:modified>
</cp:coreProperties>
</file>