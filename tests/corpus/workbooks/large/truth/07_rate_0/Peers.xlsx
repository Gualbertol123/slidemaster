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BA6BA02A-9210-42CA-A2F4-7F5C2F66D9DA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0" i="3"/>
  <c r="D27" i="3"/>
  <c r="C46" i="3" a="1"/>
  <c r="C46" i="3" s="1"/>
  <c r="C48" i="3" a="1"/>
  <c r="C48" i="3" s="1"/>
  <c r="C50" i="3" a="1"/>
  <c r="C50" i="3" s="1"/>
  <c r="D26" i="3" l="1"/>
  <c r="B50" i="3"/>
  <c r="B18" i="5" s="1"/>
  <c r="C66" i="3" a="1"/>
  <c r="C66" i="3" s="1"/>
  <c r="C27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B53" i="3"/>
  <c r="B21" i="5" s="1"/>
  <c r="A26" i="3"/>
  <c r="A17" i="4" s="1"/>
  <c r="D11" i="3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B65" i="3"/>
  <c r="B33" i="5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12" i="3"/>
  <c r="B3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47" i="3" a="1"/>
  <c r="C47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H2" i="5"/>
  <c r="G28" i="5" l="1"/>
  <c r="B18" i="3"/>
  <c r="B9" i="4" s="1"/>
  <c r="C11" i="3"/>
  <c r="B24" i="6"/>
  <c r="B13" i="3"/>
  <c r="B4" i="4" s="1"/>
  <c r="G29" i="5"/>
  <c r="H12" i="5"/>
  <c r="G32" i="5"/>
  <c r="G12" i="5"/>
  <c r="H3" i="5"/>
  <c r="G16" i="5"/>
  <c r="H33" i="5"/>
  <c r="B60" i="3"/>
  <c r="B28" i="5" s="1"/>
  <c r="E28" i="5" s="1"/>
  <c r="G15" i="5"/>
  <c r="H24" i="5"/>
  <c r="G9" i="9" s="1" a="1"/>
  <c r="G9" i="9" s="1"/>
  <c r="G9" i="5"/>
  <c r="H19" i="5"/>
  <c r="H8" i="5"/>
  <c r="H34" i="5"/>
  <c r="G25" i="5"/>
  <c r="H30" i="5"/>
  <c r="G15" i="9" s="1" a="1"/>
  <c r="G15" i="9" s="1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G8" i="9" s="1" a="1"/>
  <c r="G8" i="9" s="1"/>
  <c r="B19" i="3"/>
  <c r="B10" i="4" s="1"/>
  <c r="D13" i="8" s="1"/>
  <c r="H18" i="5"/>
  <c r="H17" i="5"/>
  <c r="H22" i="5"/>
  <c r="G7" i="9" s="1" a="1"/>
  <c r="G7" i="9" s="1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G5" i="9" s="1" a="1"/>
  <c r="G5" i="9" s="1"/>
  <c r="E17" i="3"/>
  <c r="B67" i="3"/>
  <c r="B35" i="5" s="1"/>
  <c r="D13" i="3"/>
  <c r="D12" i="8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D5" i="9" s="1" a="1"/>
  <c r="D5" i="9" s="1"/>
  <c r="H31" i="5"/>
  <c r="D11" i="9" a="1"/>
  <c r="D11" i="9" s="1"/>
  <c r="E11" i="9" a="1"/>
  <c r="E11" i="9" s="1"/>
  <c r="B20" i="3"/>
  <c r="B11" i="4" s="1"/>
  <c r="H28" i="5"/>
  <c r="G13" i="9" s="1" a="1"/>
  <c r="G13" i="9" s="1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H21" i="5"/>
  <c r="G6" i="9" s="1" a="1"/>
  <c r="G6" i="9" s="1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F10" i="9" l="1"/>
  <c r="E10" i="4"/>
  <c r="D28" i="5"/>
  <c r="D13" i="9" a="1"/>
  <c r="D13" i="9" s="1"/>
  <c r="F13" i="9" s="1"/>
  <c r="F14" i="9"/>
  <c r="E19" i="4"/>
  <c r="F22" i="8" s="1"/>
  <c r="E20" i="4"/>
  <c r="F23" i="8" s="1"/>
  <c r="F8" i="9"/>
  <c r="E9" i="4"/>
  <c r="F12" i="8" s="1"/>
  <c r="E13" i="4"/>
  <c r="F13" i="4" s="1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19" i="4" l="1"/>
  <c r="F20" i="4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<sst xmlns="http://schemas.openxmlformats.org/spreadsheetml/2006/main" count="1594" uniqueCount="78">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</sst>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Tirrena</v>
          </cell>
        </row>
        <row r="3">
          <cell r="B3">
            <v>30</v>
          </cell>
        </row>
        <row r="4">
          <cell r="B4">
            <v>0</v>
          </cell>
        </row>
        <row r="5">
          <cell r="B5" t="str">
            <v>Centro</v>
          </cell>
        </row>
        <row r="6">
          <cell r="B6">
            <v>3</v>
          </cell>
        </row>
        <row r="8">
          <cell r="B8" t="str">
            <v>Centro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8012.1</v>
          </cell>
          <cell r="D2">
            <v>433.36</v>
          </cell>
        </row>
        <row r="3">
          <cell r="C3">
            <v>8126.5</v>
          </cell>
          <cell r="D3">
            <v>440.85999999999996</v>
          </cell>
        </row>
        <row r="4">
          <cell r="C4">
            <v>8163.5</v>
          </cell>
          <cell r="D4">
            <v>443.09000000000003</v>
          </cell>
        </row>
        <row r="5">
          <cell r="C5">
            <v>8209.7000000000007</v>
          </cell>
          <cell r="D5">
            <v>444.15</v>
          </cell>
        </row>
        <row r="6">
          <cell r="C6">
            <v>8325.2000000000007</v>
          </cell>
          <cell r="D6">
            <v>451.45</v>
          </cell>
        </row>
        <row r="7">
          <cell r="C7">
            <v>8343.2999999999993</v>
          </cell>
          <cell r="D7">
            <v>451.67000000000007</v>
          </cell>
        </row>
        <row r="8">
          <cell r="C8">
            <v>8405</v>
          </cell>
          <cell r="D8">
            <v>455.92000000000007</v>
          </cell>
        </row>
        <row r="9">
          <cell r="C9">
            <v>8440.6</v>
          </cell>
          <cell r="D9">
            <v>457.53</v>
          </cell>
        </row>
        <row r="10">
          <cell r="C10">
            <v>8499.6</v>
          </cell>
          <cell r="D10">
            <v>458.83999999999992</v>
          </cell>
        </row>
        <row r="11">
          <cell r="C11">
            <v>8590.6</v>
          </cell>
          <cell r="D11">
            <v>465</v>
          </cell>
        </row>
        <row r="12">
          <cell r="C12">
            <v>8644.8999999999978</v>
          </cell>
          <cell r="D12">
            <v>468.26</v>
          </cell>
        </row>
        <row r="13">
          <cell r="C13">
            <v>8718.7000000000007</v>
          </cell>
          <cell r="D13">
            <v>472.51</v>
          </cell>
        </row>
        <row r="14">
          <cell r="C14">
            <v>8739.0999999999985</v>
          </cell>
          <cell r="D14">
            <v>472.04</v>
          </cell>
        </row>
        <row r="15">
          <cell r="C15">
            <v>8764.4000000000015</v>
          </cell>
          <cell r="D15">
            <v>473.7</v>
          </cell>
        </row>
        <row r="16">
          <cell r="C16">
            <v>8808.1</v>
          </cell>
          <cell r="D16">
            <v>475.75</v>
          </cell>
        </row>
        <row r="17">
          <cell r="C17">
            <v>8923.1999999999989</v>
          </cell>
          <cell r="D17">
            <v>482.73</v>
          </cell>
        </row>
        <row r="18">
          <cell r="C18">
            <v>9056.2999999999993</v>
          </cell>
          <cell r="D18">
            <v>489.62</v>
          </cell>
        </row>
        <row r="19">
          <cell r="C19">
            <v>9113.2999999999993</v>
          </cell>
          <cell r="D19">
            <v>493.34000000000003</v>
          </cell>
        </row>
        <row r="20">
          <cell r="C20">
            <v>9158.2000000000007</v>
          </cell>
          <cell r="D20">
            <v>494.5</v>
          </cell>
        </row>
        <row r="21">
          <cell r="C21">
            <v>9269.7000000000007</v>
          </cell>
          <cell r="D21">
            <v>501.26</v>
          </cell>
        </row>
        <row r="22">
          <cell r="C22">
            <v>9227.3000000000011</v>
          </cell>
          <cell r="D22">
            <v>500.09000000000003</v>
          </cell>
        </row>
        <row r="23">
          <cell r="C23">
            <v>9333.9</v>
          </cell>
          <cell r="D23">
            <v>505.79999999999995</v>
          </cell>
        </row>
        <row r="24">
          <cell r="C24">
            <v>9331.1</v>
          </cell>
          <cell r="D24">
            <v>505.18999999999994</v>
          </cell>
        </row>
        <row r="25">
          <cell r="C25">
            <v>9406</v>
          </cell>
          <cell r="D25">
            <v>509.76</v>
          </cell>
        </row>
        <row r="26">
          <cell r="C26">
            <v>9566.8000000000011</v>
          </cell>
          <cell r="D26">
            <v>516.95000000000005</v>
          </cell>
        </row>
        <row r="27">
          <cell r="C27">
            <v>9616.2000000000007</v>
          </cell>
          <cell r="D27">
            <v>517.99</v>
          </cell>
        </row>
        <row r="28">
          <cell r="C28">
            <v>9729.1</v>
          </cell>
          <cell r="D28">
            <v>526.02</v>
          </cell>
        </row>
        <row r="29">
          <cell r="C29">
            <v>9665.6</v>
          </cell>
          <cell r="D29">
            <v>523.44000000000005</v>
          </cell>
        </row>
        <row r="30">
          <cell r="C30">
            <v>9782.7999999999993</v>
          </cell>
          <cell r="D30">
            <v>530.4</v>
          </cell>
        </row>
        <row r="31">
          <cell r="C31">
            <v>9865.7999999999993</v>
          </cell>
          <cell r="D31">
            <v>534.66</v>
          </cell>
        </row>
        <row r="32">
          <cell r="C32">
            <v>9905.6</v>
          </cell>
          <cell r="D32">
            <v>535</v>
          </cell>
        </row>
        <row r="33">
          <cell r="C33">
            <v>9946.4000000000015</v>
          </cell>
          <cell r="D33">
            <v>539.58999999999992</v>
          </cell>
        </row>
        <row r="34">
          <cell r="C34">
            <v>10029.400000000001</v>
          </cell>
          <cell r="D34">
            <v>542.69000000000005</v>
          </cell>
        </row>
        <row r="35">
          <cell r="C35">
            <v>10087.199999999999</v>
          </cell>
          <cell r="D35">
            <v>546.29</v>
          </cell>
        </row>
        <row r="36">
          <cell r="C36">
            <v>10252.199999999999</v>
          </cell>
          <cell r="D36">
            <v>553.17999999999995</v>
          </cell>
        </row>
        <row r="37">
          <cell r="C37">
            <v>10243.300000000001</v>
          </cell>
          <cell r="D37">
            <v>555.09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9865.7999999999993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Tirrena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3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Centro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8012.1</v>
      </c>
      <c r="C34" cm="1">
        <f t="array" ref="C34">INDEX([1]Calc_Month!$D$2:$D$37,A34)</f>
        <v>433.36</v>
      </c>
    </row>
    <row r="35" spans="1:3" x14ac:dyDescent="0.25">
      <c r="A35">
        <f t="shared" si="0"/>
        <v>2</v>
      </c>
      <c r="B35">
        <f>[1]Calc_Month!C3</f>
        <v>8126.5</v>
      </c>
      <c r="C35" cm="1">
        <f t="array" ref="C35">INDEX([1]Calc_Month!$D$2:$D$37,A35)</f>
        <v>440.85999999999996</v>
      </c>
    </row>
    <row r="36" spans="1:3" x14ac:dyDescent="0.25">
      <c r="A36">
        <f t="shared" si="0"/>
        <v>3</v>
      </c>
      <c r="B36">
        <f>[1]Calc_Month!C4</f>
        <v>8163.5</v>
      </c>
      <c r="C36" cm="1">
        <f t="array" ref="C36">INDEX([1]Calc_Month!$D$2:$D$37,A36)</f>
        <v>443.09000000000003</v>
      </c>
    </row>
    <row r="37" spans="1:3" x14ac:dyDescent="0.25">
      <c r="A37">
        <f t="shared" si="0"/>
        <v>4</v>
      </c>
      <c r="B37">
        <f>[1]Calc_Month!C5</f>
        <v>8209.7000000000007</v>
      </c>
      <c r="C37" cm="1">
        <f t="array" ref="C37">INDEX([1]Calc_Month!$D$2:$D$37,A37)</f>
        <v>444.15</v>
      </c>
    </row>
    <row r="38" spans="1:3" x14ac:dyDescent="0.25">
      <c r="A38">
        <f t="shared" si="0"/>
        <v>5</v>
      </c>
      <c r="B38">
        <f>[1]Calc_Month!C6</f>
        <v>8325.2000000000007</v>
      </c>
      <c r="C38" cm="1">
        <f t="array" ref="C38">INDEX([1]Calc_Month!$D$2:$D$37,A38)</f>
        <v>451.45</v>
      </c>
    </row>
    <row r="39" spans="1:3" x14ac:dyDescent="0.25">
      <c r="A39">
        <f t="shared" si="0"/>
        <v>6</v>
      </c>
      <c r="B39">
        <f>[1]Calc_Month!C7</f>
        <v>8343.2999999999993</v>
      </c>
      <c r="C39" cm="1">
        <f t="array" ref="C39">INDEX([1]Calc_Month!$D$2:$D$37,A39)</f>
        <v>451.67000000000007</v>
      </c>
    </row>
    <row r="40" spans="1:3" x14ac:dyDescent="0.25">
      <c r="A40">
        <f t="shared" si="0"/>
        <v>7</v>
      </c>
      <c r="B40">
        <f>[1]Calc_Month!C8</f>
        <v>8405</v>
      </c>
      <c r="C40" cm="1">
        <f t="array" ref="C40">INDEX([1]Calc_Month!$D$2:$D$37,A40)</f>
        <v>455.92000000000007</v>
      </c>
    </row>
    <row r="41" spans="1:3" x14ac:dyDescent="0.25">
      <c r="A41">
        <f t="shared" si="0"/>
        <v>8</v>
      </c>
      <c r="B41">
        <f>[1]Calc_Month!C9</f>
        <v>8440.6</v>
      </c>
      <c r="C41" cm="1">
        <f t="array" ref="C41">INDEX([1]Calc_Month!$D$2:$D$37,A41)</f>
        <v>457.53</v>
      </c>
    </row>
    <row r="42" spans="1:3" x14ac:dyDescent="0.25">
      <c r="A42">
        <f t="shared" si="0"/>
        <v>9</v>
      </c>
      <c r="B42">
        <f>[1]Calc_Month!C10</f>
        <v>8499.6</v>
      </c>
      <c r="C42" cm="1">
        <f t="array" ref="C42">INDEX([1]Calc_Month!$D$2:$D$37,A42)</f>
        <v>458.83999999999992</v>
      </c>
    </row>
    <row r="43" spans="1:3" x14ac:dyDescent="0.25">
      <c r="A43">
        <f t="shared" si="0"/>
        <v>10</v>
      </c>
      <c r="B43">
        <f>[1]Calc_Month!C11</f>
        <v>8590.6</v>
      </c>
      <c r="C43" cm="1">
        <f t="array" ref="C43">INDEX([1]Calc_Month!$D$2:$D$37,A43)</f>
        <v>465</v>
      </c>
    </row>
    <row r="44" spans="1:3" x14ac:dyDescent="0.25">
      <c r="A44">
        <f t="shared" si="0"/>
        <v>11</v>
      </c>
      <c r="B44">
        <f>[1]Calc_Month!C12</f>
        <v>8644.8999999999978</v>
      </c>
      <c r="C44" cm="1">
        <f t="array" ref="C44">INDEX([1]Calc_Month!$D$2:$D$37,A44)</f>
        <v>468.26</v>
      </c>
    </row>
    <row r="45" spans="1:3" x14ac:dyDescent="0.25">
      <c r="A45">
        <f t="shared" si="0"/>
        <v>12</v>
      </c>
      <c r="B45">
        <f>[1]Calc_Month!C13</f>
        <v>8718.7000000000007</v>
      </c>
      <c r="C45" cm="1">
        <f t="array" ref="C45">INDEX([1]Calc_Month!$D$2:$D$37,A45)</f>
        <v>472.51</v>
      </c>
    </row>
    <row r="46" spans="1:3" x14ac:dyDescent="0.25">
      <c r="A46">
        <f t="shared" si="0"/>
        <v>13</v>
      </c>
      <c r="B46">
        <f>[1]Calc_Month!C14</f>
        <v>8739.0999999999985</v>
      </c>
      <c r="C46" cm="1">
        <f t="array" ref="C46">INDEX([1]Calc_Month!$D$2:$D$37,A46)</f>
        <v>472.04</v>
      </c>
    </row>
    <row r="47" spans="1:3" x14ac:dyDescent="0.25">
      <c r="A47">
        <f t="shared" si="0"/>
        <v>14</v>
      </c>
      <c r="B47">
        <f>[1]Calc_Month!C15</f>
        <v>8764.4000000000015</v>
      </c>
      <c r="C47" cm="1">
        <f t="array" ref="C47">INDEX([1]Calc_Month!$D$2:$D$37,A47)</f>
        <v>473.7</v>
      </c>
    </row>
    <row r="48" spans="1:3" x14ac:dyDescent="0.25">
      <c r="A48">
        <f t="shared" si="0"/>
        <v>15</v>
      </c>
      <c r="B48">
        <f>[1]Calc_Month!C16</f>
        <v>8808.1</v>
      </c>
      <c r="C48" cm="1">
        <f t="array" ref="C48">INDEX([1]Calc_Month!$D$2:$D$37,A48)</f>
        <v>475.75</v>
      </c>
    </row>
    <row r="49" spans="1:3" x14ac:dyDescent="0.25">
      <c r="A49">
        <f t="shared" si="0"/>
        <v>16</v>
      </c>
      <c r="B49">
        <f>[1]Calc_Month!C17</f>
        <v>8923.1999999999989</v>
      </c>
      <c r="C49" cm="1">
        <f t="array" ref="C49">INDEX([1]Calc_Month!$D$2:$D$37,A49)</f>
        <v>482.73</v>
      </c>
    </row>
    <row r="50" spans="1:3" x14ac:dyDescent="0.25">
      <c r="A50">
        <f t="shared" si="0"/>
        <v>17</v>
      </c>
      <c r="B50">
        <f>[1]Calc_Month!C18</f>
        <v>9056.2999999999993</v>
      </c>
      <c r="C50" cm="1">
        <f t="array" ref="C50">INDEX([1]Calc_Month!$D$2:$D$37,A50)</f>
        <v>489.62</v>
      </c>
    </row>
    <row r="51" spans="1:3" x14ac:dyDescent="0.25">
      <c r="A51">
        <f t="shared" si="0"/>
        <v>18</v>
      </c>
      <c r="B51">
        <f>[1]Calc_Month!C19</f>
        <v>9113.2999999999993</v>
      </c>
      <c r="C51" cm="1">
        <f t="array" ref="C51">INDEX([1]Calc_Month!$D$2:$D$37,A51)</f>
        <v>493.34000000000003</v>
      </c>
    </row>
    <row r="52" spans="1:3" x14ac:dyDescent="0.25">
      <c r="A52">
        <f t="shared" si="0"/>
        <v>19</v>
      </c>
      <c r="B52">
        <f>[1]Calc_Month!C20</f>
        <v>9158.2000000000007</v>
      </c>
      <c r="C52" cm="1">
        <f t="array" ref="C52">INDEX([1]Calc_Month!$D$2:$D$37,A52)</f>
        <v>494.5</v>
      </c>
    </row>
    <row r="53" spans="1:3" x14ac:dyDescent="0.25">
      <c r="A53">
        <f t="shared" si="0"/>
        <v>20</v>
      </c>
      <c r="B53">
        <f>[1]Calc_Month!C21</f>
        <v>9269.7000000000007</v>
      </c>
      <c r="C53" cm="1">
        <f t="array" ref="C53">INDEX([1]Calc_Month!$D$2:$D$37,A53)</f>
        <v>501.26</v>
      </c>
    </row>
    <row r="54" spans="1:3" x14ac:dyDescent="0.25">
      <c r="A54">
        <f t="shared" si="0"/>
        <v>21</v>
      </c>
      <c r="B54">
        <f>[1]Calc_Month!C22</f>
        <v>9227.3000000000011</v>
      </c>
      <c r="C54" cm="1">
        <f t="array" ref="C54">INDEX([1]Calc_Month!$D$2:$D$37,A54)</f>
        <v>500.09000000000003</v>
      </c>
    </row>
    <row r="55" spans="1:3" x14ac:dyDescent="0.25">
      <c r="A55">
        <f t="shared" si="0"/>
        <v>22</v>
      </c>
      <c r="B55">
        <f>[1]Calc_Month!C23</f>
        <v>9333.9</v>
      </c>
      <c r="C55" cm="1">
        <f t="array" ref="C55">INDEX([1]Calc_Month!$D$2:$D$37,A55)</f>
        <v>505.79999999999995</v>
      </c>
    </row>
    <row r="56" spans="1:3" x14ac:dyDescent="0.25">
      <c r="A56">
        <f t="shared" si="0"/>
        <v>23</v>
      </c>
      <c r="B56">
        <f>[1]Calc_Month!C24</f>
        <v>9331.1</v>
      </c>
      <c r="C56" cm="1">
        <f t="array" ref="C56">INDEX([1]Calc_Month!$D$2:$D$37,A56)</f>
        <v>505.18999999999994</v>
      </c>
    </row>
    <row r="57" spans="1:3" x14ac:dyDescent="0.25">
      <c r="A57">
        <f t="shared" si="0"/>
        <v>24</v>
      </c>
      <c r="B57">
        <f>[1]Calc_Month!C25</f>
        <v>9406</v>
      </c>
      <c r="C57" cm="1">
        <f t="array" ref="C57">INDEX([1]Calc_Month!$D$2:$D$37,A57)</f>
        <v>509.76</v>
      </c>
    </row>
    <row r="58" spans="1:3" x14ac:dyDescent="0.25">
      <c r="A58">
        <f t="shared" si="0"/>
        <v>25</v>
      </c>
      <c r="B58">
        <f>[1]Calc_Month!C26</f>
        <v>9566.8000000000011</v>
      </c>
      <c r="C58" cm="1">
        <f t="array" ref="C58">INDEX([1]Calc_Month!$D$2:$D$37,A58)</f>
        <v>516.95000000000005</v>
      </c>
    </row>
    <row r="59" spans="1:3" x14ac:dyDescent="0.25">
      <c r="A59">
        <f t="shared" si="0"/>
        <v>26</v>
      </c>
      <c r="B59">
        <f>[1]Calc_Month!C27</f>
        <v>9616.2000000000007</v>
      </c>
      <c r="C59" cm="1">
        <f t="array" ref="C59">INDEX([1]Calc_Month!$D$2:$D$37,A59)</f>
        <v>517.99</v>
      </c>
    </row>
    <row r="60" spans="1:3" x14ac:dyDescent="0.25">
      <c r="A60">
        <f t="shared" si="0"/>
        <v>27</v>
      </c>
      <c r="B60">
        <f>[1]Calc_Month!C28</f>
        <v>9729.1</v>
      </c>
      <c r="C60" cm="1">
        <f t="array" ref="C60">INDEX([1]Calc_Month!$D$2:$D$37,A60)</f>
        <v>526.02</v>
      </c>
    </row>
    <row r="61" spans="1:3" x14ac:dyDescent="0.25">
      <c r="A61">
        <f t="shared" si="0"/>
        <v>28</v>
      </c>
      <c r="B61">
        <f>[1]Calc_Month!C29</f>
        <v>9665.6</v>
      </c>
      <c r="C61" cm="1">
        <f t="array" ref="C61">INDEX([1]Calc_Month!$D$2:$D$37,A61)</f>
        <v>523.44000000000005</v>
      </c>
    </row>
    <row r="62" spans="1:3" x14ac:dyDescent="0.25">
      <c r="A62">
        <f t="shared" si="0"/>
        <v>29</v>
      </c>
      <c r="B62">
        <f>[1]Calc_Month!C30</f>
        <v>9782.7999999999993</v>
      </c>
      <c r="C62" cm="1">
        <f t="array" ref="C62">INDEX([1]Calc_Month!$D$2:$D$37,A62)</f>
        <v>530.4</v>
      </c>
    </row>
    <row r="63" spans="1:3" x14ac:dyDescent="0.25">
      <c r="A63">
        <f t="shared" si="0"/>
        <v>30</v>
      </c>
      <c r="B63">
        <f>[1]Calc_Month!C31</f>
        <v>9865.7999999999993</v>
      </c>
      <c r="C63" cm="1">
        <f t="array" ref="C63">INDEX([1]Calc_Month!$D$2:$D$37,A63)</f>
        <v>534.66</v>
      </c>
    </row>
    <row r="64" spans="1:3" x14ac:dyDescent="0.25">
      <c r="A64">
        <f t="shared" si="0"/>
        <v>31</v>
      </c>
      <c r="B64">
        <f>[1]Calc_Month!C32</f>
        <v>9905.6</v>
      </c>
      <c r="C64" cm="1">
        <f t="array" ref="C64">INDEX([1]Calc_Month!$D$2:$D$37,A64)</f>
        <v>535</v>
      </c>
    </row>
    <row r="65" spans="1:3" x14ac:dyDescent="0.25">
      <c r="A65">
        <f t="shared" si="0"/>
        <v>32</v>
      </c>
      <c r="B65">
        <f>[1]Calc_Month!C33</f>
        <v>9946.4000000000015</v>
      </c>
      <c r="C65" cm="1">
        <f t="array" ref="C65">INDEX([1]Calc_Month!$D$2:$D$37,A65)</f>
        <v>539.58999999999992</v>
      </c>
    </row>
    <row r="66" spans="1:3" x14ac:dyDescent="0.25">
      <c r="A66">
        <f t="shared" si="0"/>
        <v>33</v>
      </c>
      <c r="B66">
        <f>[1]Calc_Month!C34</f>
        <v>10029.400000000001</v>
      </c>
      <c r="C66" cm="1">
        <f t="array" ref="C66">INDEX([1]Calc_Month!$D$2:$D$37,A66)</f>
        <v>542.69000000000005</v>
      </c>
    </row>
    <row r="67" spans="1:3" x14ac:dyDescent="0.25">
      <c r="A67">
        <f t="shared" si="0"/>
        <v>34</v>
      </c>
      <c r="B67">
        <f>[1]Calc_Month!C35</f>
        <v>10087.199999999999</v>
      </c>
      <c r="C67" cm="1">
        <f t="array" ref="C67">INDEX([1]Calc_Month!$D$2:$D$37,A67)</f>
        <v>546.29</v>
      </c>
    </row>
    <row r="68" spans="1:3" x14ac:dyDescent="0.25">
      <c r="A68">
        <f t="shared" si="0"/>
        <v>35</v>
      </c>
      <c r="B68">
        <f>[1]Calc_Month!C36</f>
        <v>10252.199999999999</v>
      </c>
      <c r="C68" cm="1">
        <f t="array" ref="C68">INDEX([1]Calc_Month!$D$2:$D$37,A68)</f>
        <v>553.17999999999995</v>
      </c>
    </row>
    <row r="69" spans="1:3" x14ac:dyDescent="0.25">
      <c r="A69">
        <f t="shared" si="0"/>
        <v>36</v>
      </c>
      <c r="B69">
        <f>[1]Calc_Month!C37</f>
        <v>10243.300000000001</v>
      </c>
      <c r="C69" cm="1">
        <f t="array" ref="C69">INDEX([1]Calc_Month!$D$2:$D$37,A69)</f>
        <v>555.09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>&lt;&lt;</v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8012.1</v>
      </c>
      <c r="C2">
        <f>SUMIFS(PeerData!C:C,PeerData!A:A,Link!$B$2,PeerData!B:B,A2)</f>
        <v>7577.1</v>
      </c>
      <c r="D2">
        <f t="shared" ref="D2:D37" si="1">B2-C2</f>
        <v>435</v>
      </c>
      <c r="E2">
        <f t="shared" ref="E2:E37" si="2">IFERROR(B2/C2,0)</f>
        <v>1.0574098269786594</v>
      </c>
      <c r="F2">
        <f>SUM($C$2:C2)</f>
        <v>7577.1</v>
      </c>
      <c r="G2">
        <f>HLOOKUP(A2,PeerGrid!$B$2:$AK$22,Link!$B$6+1,FALSE)</f>
        <v>7577.1</v>
      </c>
      <c r="H2">
        <f t="shared" ref="H2:H37" ca="1" si="3">AVERAGE(OFFSET(C2,-MIN(2,A2-1),0,MIN(3,A2),1))</f>
        <v>7577.1</v>
      </c>
    </row>
    <row r="3" spans="1:8" x14ac:dyDescent="0.25">
      <c r="A3">
        <f t="shared" si="0"/>
        <v>2</v>
      </c>
      <c r="B3">
        <f>Link!B35</f>
        <v>8126.5</v>
      </c>
      <c r="C3">
        <f>SUMIFS(PeerData!C:C,PeerData!A:A,Link!$B$2,PeerData!B:B,A3)</f>
        <v>7755.9</v>
      </c>
      <c r="D3">
        <f t="shared" si="1"/>
        <v>370.60000000000036</v>
      </c>
      <c r="E3">
        <f t="shared" si="2"/>
        <v>1.0477829781198831</v>
      </c>
      <c r="F3">
        <f>SUM($C$2:C3)</f>
        <v>15333</v>
      </c>
      <c r="G3">
        <f>HLOOKUP(A3,PeerGrid!$B$2:$AK$22,Link!$B$6+1,FALSE)</f>
        <v>7755.9</v>
      </c>
      <c r="H3">
        <f t="shared" ca="1" si="3"/>
        <v>7666.5</v>
      </c>
    </row>
    <row r="4" spans="1:8" x14ac:dyDescent="0.25">
      <c r="A4">
        <f t="shared" si="0"/>
        <v>3</v>
      </c>
      <c r="B4">
        <f>Link!B36</f>
        <v>8163.5</v>
      </c>
      <c r="C4">
        <f>SUMIFS(PeerData!C:C,PeerData!A:A,Link!$B$2,PeerData!B:B,A4)</f>
        <v>7725.2</v>
      </c>
      <c r="D4">
        <f t="shared" si="1"/>
        <v>438.30000000000018</v>
      </c>
      <c r="E4">
        <f t="shared" si="2"/>
        <v>1.056736395174235</v>
      </c>
      <c r="F4">
        <f>SUM($C$2:C4)</f>
        <v>23058.2</v>
      </c>
      <c r="G4">
        <f>HLOOKUP(A4,PeerGrid!$B$2:$AK$22,Link!$B$6+1,FALSE)</f>
        <v>7725.2</v>
      </c>
      <c r="H4">
        <f t="shared" ca="1" si="3"/>
        <v>7686.0666666666666</v>
      </c>
    </row>
    <row r="5" spans="1:8" x14ac:dyDescent="0.25">
      <c r="A5">
        <f t="shared" si="0"/>
        <v>4</v>
      </c>
      <c r="B5">
        <f>Link!B37</f>
        <v>8209.7000000000007</v>
      </c>
      <c r="C5">
        <f>SUMIFS(PeerData!C:C,PeerData!A:A,Link!$B$2,PeerData!B:B,A5)</f>
        <v>8011.9</v>
      </c>
      <c r="D5">
        <f t="shared" si="1"/>
        <v>197.80000000000109</v>
      </c>
      <c r="E5">
        <f t="shared" si="2"/>
        <v>1.0246882761891687</v>
      </c>
      <c r="F5">
        <f>SUM($C$2:C5)</f>
        <v>31070.1</v>
      </c>
      <c r="G5">
        <f>HLOOKUP(A5,PeerGrid!$B$2:$AK$22,Link!$B$6+1,FALSE)</f>
        <v>8011.9</v>
      </c>
      <c r="H5">
        <f t="shared" ca="1" si="3"/>
        <v>7831</v>
      </c>
    </row>
    <row r="6" spans="1:8" x14ac:dyDescent="0.25">
      <c r="A6">
        <f t="shared" si="0"/>
        <v>5</v>
      </c>
      <c r="B6">
        <f>Link!B38</f>
        <v>8325.2000000000007</v>
      </c>
      <c r="C6">
        <f>SUMIFS(PeerData!C:C,PeerData!A:A,Link!$B$2,PeerData!B:B,A6)</f>
        <v>7731.1</v>
      </c>
      <c r="D6">
        <f t="shared" si="1"/>
        <v>594.10000000000036</v>
      </c>
      <c r="E6">
        <f t="shared" si="2"/>
        <v>1.0768454683033464</v>
      </c>
      <c r="F6">
        <f>SUM($C$2:C6)</f>
        <v>38801.199999999997</v>
      </c>
      <c r="G6">
        <f>HLOOKUP(A6,PeerGrid!$B$2:$AK$22,Link!$B$6+1,FALSE)</f>
        <v>7731.1</v>
      </c>
      <c r="H6">
        <f t="shared" ca="1" si="3"/>
        <v>7822.7333333333327</v>
      </c>
    </row>
    <row r="7" spans="1:8" x14ac:dyDescent="0.25">
      <c r="A7">
        <f t="shared" si="0"/>
        <v>6</v>
      </c>
      <c r="B7">
        <f>Link!B39</f>
        <v>8343.2999999999993</v>
      </c>
      <c r="C7">
        <f>SUMIFS(PeerData!C:C,PeerData!A:A,Link!$B$2,PeerData!B:B,A7)</f>
        <v>7890.2</v>
      </c>
      <c r="D7">
        <f t="shared" si="1"/>
        <v>453.09999999999945</v>
      </c>
      <c r="E7">
        <f t="shared" si="2"/>
        <v>1.0574256672834654</v>
      </c>
      <c r="F7">
        <f>SUM($C$2:C7)</f>
        <v>46691.399999999994</v>
      </c>
      <c r="G7">
        <f>HLOOKUP(A7,PeerGrid!$B$2:$AK$22,Link!$B$6+1,FALSE)</f>
        <v>7890.2</v>
      </c>
      <c r="H7">
        <f t="shared" ca="1" si="3"/>
        <v>7877.7333333333336</v>
      </c>
    </row>
    <row r="8" spans="1:8" x14ac:dyDescent="0.25">
      <c r="A8">
        <f t="shared" si="0"/>
        <v>7</v>
      </c>
      <c r="B8">
        <f>Link!B40</f>
        <v>8405</v>
      </c>
      <c r="C8">
        <f>SUMIFS(PeerData!C:C,PeerData!A:A,Link!$B$2,PeerData!B:B,A8)</f>
        <v>8103.6</v>
      </c>
      <c r="D8">
        <f t="shared" si="1"/>
        <v>301.39999999999964</v>
      </c>
      <c r="E8">
        <f t="shared" si="2"/>
        <v>1.0371933461671357</v>
      </c>
      <c r="F8">
        <f>SUM($C$2:C8)</f>
        <v>54794.999999999993</v>
      </c>
      <c r="G8">
        <f>HLOOKUP(A8,PeerGrid!$B$2:$AK$22,Link!$B$6+1,FALSE)</f>
        <v>8103.6</v>
      </c>
      <c r="H8">
        <f t="shared" ca="1" si="3"/>
        <v>7908.3</v>
      </c>
    </row>
    <row r="9" spans="1:8" x14ac:dyDescent="0.25">
      <c r="A9">
        <f t="shared" si="0"/>
        <v>8</v>
      </c>
      <c r="B9">
        <f>Link!B41</f>
        <v>8440.6</v>
      </c>
      <c r="C9">
        <f>SUMIFS(PeerData!C:C,PeerData!A:A,Link!$B$2,PeerData!B:B,A9)</f>
        <v>8247.2000000000007</v>
      </c>
      <c r="D9">
        <f t="shared" si="1"/>
        <v>193.39999999999964</v>
      </c>
      <c r="E9">
        <f t="shared" si="2"/>
        <v>1.0234503831603452</v>
      </c>
      <c r="F9">
        <f>SUM($C$2:C9)</f>
        <v>63042.2</v>
      </c>
      <c r="G9">
        <f>HLOOKUP(A9,PeerGrid!$B$2:$AK$22,Link!$B$6+1,FALSE)</f>
        <v>8247.2000000000007</v>
      </c>
      <c r="H9">
        <f t="shared" ca="1" si="3"/>
        <v>8080.333333333333</v>
      </c>
    </row>
    <row r="10" spans="1:8" x14ac:dyDescent="0.25">
      <c r="A10">
        <f t="shared" si="0"/>
        <v>9</v>
      </c>
      <c r="B10">
        <f>Link!B42</f>
        <v>8499.6</v>
      </c>
      <c r="C10">
        <f>SUMIFS(PeerData!C:C,PeerData!A:A,Link!$B$2,PeerData!B:B,A10)</f>
        <v>8146.5</v>
      </c>
      <c r="D10">
        <f t="shared" si="1"/>
        <v>353.10000000000036</v>
      </c>
      <c r="E10">
        <f t="shared" si="2"/>
        <v>1.0433437672620145</v>
      </c>
      <c r="F10">
        <f>SUM($C$2:C10)</f>
        <v>71188.7</v>
      </c>
      <c r="G10">
        <f>HLOOKUP(A10,PeerGrid!$B$2:$AK$22,Link!$B$6+1,FALSE)</f>
        <v>8146.5</v>
      </c>
      <c r="H10">
        <f t="shared" ca="1" si="3"/>
        <v>8165.7666666666673</v>
      </c>
    </row>
    <row r="11" spans="1:8" x14ac:dyDescent="0.25">
      <c r="A11">
        <f t="shared" si="0"/>
        <v>10</v>
      </c>
      <c r="B11">
        <f>Link!B43</f>
        <v>8590.6</v>
      </c>
      <c r="C11">
        <f>SUMIFS(PeerData!C:C,PeerData!A:A,Link!$B$2,PeerData!B:B,A11)</f>
        <v>8138.5</v>
      </c>
      <c r="D11">
        <f t="shared" si="1"/>
        <v>452.10000000000036</v>
      </c>
      <c r="E11">
        <f t="shared" si="2"/>
        <v>1.0555507771702402</v>
      </c>
      <c r="F11">
        <f>SUM($C$2:C11)</f>
        <v>79327.199999999997</v>
      </c>
      <c r="G11">
        <f>HLOOKUP(A11,PeerGrid!$B$2:$AK$22,Link!$B$6+1,FALSE)</f>
        <v>8138.5</v>
      </c>
      <c r="H11">
        <f t="shared" ca="1" si="3"/>
        <v>8177.4000000000005</v>
      </c>
    </row>
    <row r="12" spans="1:8" x14ac:dyDescent="0.25">
      <c r="A12">
        <f t="shared" si="0"/>
        <v>11</v>
      </c>
      <c r="B12">
        <f>Link!B44</f>
        <v>8644.8999999999978</v>
      </c>
      <c r="C12">
        <f>SUMIFS(PeerData!C:C,PeerData!A:A,Link!$B$2,PeerData!B:B,A12)</f>
        <v>8084.5</v>
      </c>
      <c r="D12">
        <f t="shared" si="1"/>
        <v>560.39999999999782</v>
      </c>
      <c r="E12">
        <f t="shared" si="2"/>
        <v>1.0693178304162283</v>
      </c>
      <c r="F12">
        <f>SUM($C$2:C12)</f>
        <v>87411.7</v>
      </c>
      <c r="G12">
        <f>HLOOKUP(A12,PeerGrid!$B$2:$AK$22,Link!$B$6+1,FALSE)</f>
        <v>8084.5</v>
      </c>
      <c r="H12">
        <f t="shared" ca="1" si="3"/>
        <v>8123.166666666667</v>
      </c>
    </row>
    <row r="13" spans="1:8" x14ac:dyDescent="0.25">
      <c r="A13">
        <f t="shared" si="0"/>
        <v>12</v>
      </c>
      <c r="B13">
        <f>Link!B45</f>
        <v>8718.7000000000007</v>
      </c>
      <c r="C13">
        <f>SUMIFS(PeerData!C:C,PeerData!A:A,Link!$B$2,PeerData!B:B,A13)</f>
        <v>8406.2999999999993</v>
      </c>
      <c r="D13">
        <f t="shared" si="1"/>
        <v>312.40000000000146</v>
      </c>
      <c r="E13">
        <f t="shared" si="2"/>
        <v>1.0371626042372983</v>
      </c>
      <c r="F13">
        <f>SUM($C$2:C13)</f>
        <v>95818</v>
      </c>
      <c r="G13">
        <f>HLOOKUP(A13,PeerGrid!$B$2:$AK$22,Link!$B$6+1,FALSE)</f>
        <v>8406.2999999999993</v>
      </c>
      <c r="H13">
        <f t="shared" ca="1" si="3"/>
        <v>8209.7666666666664</v>
      </c>
    </row>
    <row r="14" spans="1:8" x14ac:dyDescent="0.25">
      <c r="A14">
        <f t="shared" si="0"/>
        <v>13</v>
      </c>
      <c r="B14">
        <f>Link!B46</f>
        <v>8739.0999999999985</v>
      </c>
      <c r="C14">
        <f>SUMIFS(PeerData!C:C,PeerData!A:A,Link!$B$2,PeerData!B:B,A14)</f>
        <v>8260.7000000000007</v>
      </c>
      <c r="D14">
        <f t="shared" si="1"/>
        <v>478.39999999999782</v>
      </c>
      <c r="E14">
        <f t="shared" si="2"/>
        <v>1.0579127676831259</v>
      </c>
      <c r="F14">
        <f>SUM($C$2:C14)</f>
        <v>104078.7</v>
      </c>
      <c r="G14">
        <f>HLOOKUP(A14,PeerGrid!$B$2:$AK$22,Link!$B$6+1,FALSE)</f>
        <v>8260.7000000000007</v>
      </c>
      <c r="H14">
        <f t="shared" ca="1" si="3"/>
        <v>8250.5</v>
      </c>
    </row>
    <row r="15" spans="1:8" x14ac:dyDescent="0.25">
      <c r="A15">
        <f t="shared" si="0"/>
        <v>14</v>
      </c>
      <c r="B15">
        <f>Link!B47</f>
        <v>8764.4000000000015</v>
      </c>
      <c r="C15">
        <f>SUMIFS(PeerData!C:C,PeerData!A:A,Link!$B$2,PeerData!B:B,A15)</f>
        <v>8424.1</v>
      </c>
      <c r="D15">
        <f t="shared" si="1"/>
        <v>340.30000000000109</v>
      </c>
      <c r="E15">
        <f t="shared" si="2"/>
        <v>1.0403960066950773</v>
      </c>
      <c r="F15">
        <f>SUM($C$2:C15)</f>
        <v>112502.8</v>
      </c>
      <c r="G15">
        <f>HLOOKUP(A15,PeerGrid!$B$2:$AK$22,Link!$B$6+1,FALSE)</f>
        <v>8424.1</v>
      </c>
      <c r="H15">
        <f t="shared" ca="1" si="3"/>
        <v>8363.6999999999989</v>
      </c>
    </row>
    <row r="16" spans="1:8" x14ac:dyDescent="0.25">
      <c r="A16">
        <f t="shared" si="0"/>
        <v>15</v>
      </c>
      <c r="B16">
        <f>Link!B48</f>
        <v>8808.1</v>
      </c>
      <c r="C16">
        <f>SUMIFS(PeerData!C:C,PeerData!A:A,Link!$B$2,PeerData!B:B,A16)</f>
        <v>8426.2999999999993</v>
      </c>
      <c r="D16">
        <f t="shared" si="1"/>
        <v>381.80000000000109</v>
      </c>
      <c r="E16">
        <f t="shared" si="2"/>
        <v>1.0453105158847895</v>
      </c>
      <c r="F16">
        <f>SUM($C$2:C16)</f>
        <v>120929.1</v>
      </c>
      <c r="G16">
        <f>HLOOKUP(A16,PeerGrid!$B$2:$AK$22,Link!$B$6+1,FALSE)</f>
        <v>8426.2999999999993</v>
      </c>
      <c r="H16">
        <f t="shared" ca="1" si="3"/>
        <v>8370.3666666666668</v>
      </c>
    </row>
    <row r="17" spans="1:8" x14ac:dyDescent="0.25">
      <c r="A17">
        <f t="shared" si="0"/>
        <v>16</v>
      </c>
      <c r="B17">
        <f>Link!B49</f>
        <v>8923.1999999999989</v>
      </c>
      <c r="C17">
        <f>SUMIFS(PeerData!C:C,PeerData!A:A,Link!$B$2,PeerData!B:B,A17)</f>
        <v>8613.4</v>
      </c>
      <c r="D17">
        <f t="shared" si="1"/>
        <v>309.79999999999927</v>
      </c>
      <c r="E17">
        <f t="shared" si="2"/>
        <v>1.0359672138760536</v>
      </c>
      <c r="F17">
        <f>SUM($C$2:C17)</f>
        <v>129542.5</v>
      </c>
      <c r="G17">
        <f>HLOOKUP(A17,PeerGrid!$B$2:$AK$22,Link!$B$6+1,FALSE)</f>
        <v>8613.4</v>
      </c>
      <c r="H17">
        <f t="shared" ca="1" si="3"/>
        <v>8487.9333333333343</v>
      </c>
    </row>
    <row r="18" spans="1:8" x14ac:dyDescent="0.25">
      <c r="A18">
        <f t="shared" si="0"/>
        <v>17</v>
      </c>
      <c r="B18">
        <f>Link!B50</f>
        <v>9056.2999999999993</v>
      </c>
      <c r="C18">
        <f>SUMIFS(PeerData!C:C,PeerData!A:A,Link!$B$2,PeerData!B:B,A18)</f>
        <v>8555.5</v>
      </c>
      <c r="D18">
        <f t="shared" si="1"/>
        <v>500.79999999999927</v>
      </c>
      <c r="E18">
        <f t="shared" si="2"/>
        <v>1.0585354450353572</v>
      </c>
      <c r="F18">
        <f>SUM($C$2:C18)</f>
        <v>138098</v>
      </c>
      <c r="G18">
        <f>HLOOKUP(A18,PeerGrid!$B$2:$AK$22,Link!$B$6+1,FALSE)</f>
        <v>8555.5</v>
      </c>
      <c r="H18">
        <f t="shared" ca="1" si="3"/>
        <v>8531.7333333333318</v>
      </c>
    </row>
    <row r="19" spans="1:8" x14ac:dyDescent="0.25">
      <c r="A19">
        <f t="shared" si="0"/>
        <v>18</v>
      </c>
      <c r="B19">
        <f>Link!B51</f>
        <v>9113.2999999999993</v>
      </c>
      <c r="C19">
        <f>SUMIFS(PeerData!C:C,PeerData!A:A,Link!$B$2,PeerData!B:B,A19)</f>
        <v>8614</v>
      </c>
      <c r="D19">
        <f t="shared" si="1"/>
        <v>499.29999999999927</v>
      </c>
      <c r="E19">
        <f t="shared" si="2"/>
        <v>1.0579637798931971</v>
      </c>
      <c r="F19">
        <f>SUM($C$2:C19)</f>
        <v>146712</v>
      </c>
      <c r="G19">
        <f>HLOOKUP(A19,PeerGrid!$B$2:$AK$22,Link!$B$6+1,FALSE)</f>
        <v>8614</v>
      </c>
      <c r="H19">
        <f t="shared" ca="1" si="3"/>
        <v>8594.3000000000011</v>
      </c>
    </row>
    <row r="20" spans="1:8" x14ac:dyDescent="0.25">
      <c r="A20">
        <f t="shared" si="0"/>
        <v>19</v>
      </c>
      <c r="B20">
        <f>Link!B52</f>
        <v>9158.2000000000007</v>
      </c>
      <c r="C20">
        <f>SUMIFS(PeerData!C:C,PeerData!A:A,Link!$B$2,PeerData!B:B,A20)</f>
        <v>8625.6</v>
      </c>
      <c r="D20">
        <f t="shared" si="1"/>
        <v>532.60000000000036</v>
      </c>
      <c r="E20">
        <f t="shared" si="2"/>
        <v>1.0617464292339085</v>
      </c>
      <c r="F20">
        <f>SUM($C$2:C20)</f>
        <v>155337.60000000001</v>
      </c>
      <c r="G20">
        <f>HLOOKUP(A20,PeerGrid!$B$2:$AK$22,Link!$B$6+1,FALSE)</f>
        <v>8625.6</v>
      </c>
      <c r="H20">
        <f t="shared" ca="1" si="3"/>
        <v>8598.3666666666668</v>
      </c>
    </row>
    <row r="21" spans="1:8" x14ac:dyDescent="0.25">
      <c r="A21">
        <f t="shared" si="0"/>
        <v>20</v>
      </c>
      <c r="B21">
        <f>Link!B53</f>
        <v>9269.7000000000007</v>
      </c>
      <c r="C21">
        <f>SUMIFS(PeerData!C:C,PeerData!A:A,Link!$B$2,PeerData!B:B,A21)</f>
        <v>8628</v>
      </c>
      <c r="D21">
        <f t="shared" si="1"/>
        <v>641.70000000000073</v>
      </c>
      <c r="E21">
        <f t="shared" si="2"/>
        <v>1.0743741307371351</v>
      </c>
      <c r="F21">
        <f>SUM($C$2:C21)</f>
        <v>163965.6</v>
      </c>
      <c r="G21">
        <f>HLOOKUP(A21,PeerGrid!$B$2:$AK$22,Link!$B$6+1,FALSE)</f>
        <v>8628</v>
      </c>
      <c r="H21">
        <f t="shared" ca="1" si="3"/>
        <v>8622.5333333333328</v>
      </c>
    </row>
    <row r="22" spans="1:8" x14ac:dyDescent="0.25">
      <c r="A22">
        <f t="shared" si="0"/>
        <v>21</v>
      </c>
      <c r="B22">
        <f>Link!B54</f>
        <v>9227.3000000000011</v>
      </c>
      <c r="C22">
        <f>SUMIFS(PeerData!C:C,PeerData!A:A,Link!$B$2,PeerData!B:B,A22)</f>
        <v>8694.7999999999993</v>
      </c>
      <c r="D22">
        <f t="shared" si="1"/>
        <v>532.50000000000182</v>
      </c>
      <c r="E22">
        <f t="shared" si="2"/>
        <v>1.0612435018631827</v>
      </c>
      <c r="F22">
        <f>SUM($C$2:C22)</f>
        <v>172660.4</v>
      </c>
      <c r="G22">
        <f>HLOOKUP(A22,PeerGrid!$B$2:$AK$22,Link!$B$6+1,FALSE)</f>
        <v>8694.7999999999993</v>
      </c>
      <c r="H22">
        <f t="shared" ca="1" si="3"/>
        <v>8649.4666666666653</v>
      </c>
    </row>
    <row r="23" spans="1:8" x14ac:dyDescent="0.25">
      <c r="A23">
        <f t="shared" si="0"/>
        <v>22</v>
      </c>
      <c r="B23">
        <f>Link!B55</f>
        <v>9333.9</v>
      </c>
      <c r="C23">
        <f>SUMIFS(PeerData!C:C,PeerData!A:A,Link!$B$2,PeerData!B:B,A23)</f>
        <v>8728.5</v>
      </c>
      <c r="D23">
        <f t="shared" si="1"/>
        <v>605.39999999999964</v>
      </c>
      <c r="E23">
        <f t="shared" si="2"/>
        <v>1.0693589963911325</v>
      </c>
      <c r="F23">
        <f>SUM($C$2:C23)</f>
        <v>181388.9</v>
      </c>
      <c r="G23">
        <f>HLOOKUP(A23,PeerGrid!$B$2:$AK$22,Link!$B$6+1,FALSE)</f>
        <v>8728.5</v>
      </c>
      <c r="H23">
        <f t="shared" ca="1" si="3"/>
        <v>8683.7666666666664</v>
      </c>
    </row>
    <row r="24" spans="1:8" x14ac:dyDescent="0.25">
      <c r="A24">
        <f t="shared" si="0"/>
        <v>23</v>
      </c>
      <c r="B24">
        <f>Link!B56</f>
        <v>9331.1</v>
      </c>
      <c r="C24">
        <f>SUMIFS(PeerData!C:C,PeerData!A:A,Link!$B$2,PeerData!B:B,A24)</f>
        <v>9025</v>
      </c>
      <c r="D24">
        <f t="shared" si="1"/>
        <v>306.10000000000036</v>
      </c>
      <c r="E24">
        <f t="shared" si="2"/>
        <v>1.0339168975069253</v>
      </c>
      <c r="F24">
        <f>SUM($C$2:C24)</f>
        <v>190413.9</v>
      </c>
      <c r="G24">
        <f>HLOOKUP(A24,PeerGrid!$B$2:$AK$22,Link!$B$6+1,FALSE)</f>
        <v>9025</v>
      </c>
      <c r="H24">
        <f t="shared" ca="1" si="3"/>
        <v>8816.1</v>
      </c>
    </row>
    <row r="25" spans="1:8" x14ac:dyDescent="0.25">
      <c r="A25">
        <f t="shared" si="0"/>
        <v>24</v>
      </c>
      <c r="B25">
        <f>Link!B57</f>
        <v>9406</v>
      </c>
      <c r="C25">
        <f>SUMIFS(PeerData!C:C,PeerData!A:A,Link!$B$2,PeerData!B:B,A25)</f>
        <v>8847.9</v>
      </c>
      <c r="D25">
        <f t="shared" si="1"/>
        <v>558.10000000000036</v>
      </c>
      <c r="E25">
        <f t="shared" si="2"/>
        <v>1.0630771143435165</v>
      </c>
      <c r="F25">
        <f>SUM($C$2:C25)</f>
        <v>199261.8</v>
      </c>
      <c r="G25">
        <f>HLOOKUP(A25,PeerGrid!$B$2:$AK$22,Link!$B$6+1,FALSE)</f>
        <v>8847.9</v>
      </c>
      <c r="H25">
        <f t="shared" ca="1" si="3"/>
        <v>8867.1333333333332</v>
      </c>
    </row>
    <row r="26" spans="1:8" x14ac:dyDescent="0.25">
      <c r="A26">
        <f t="shared" si="0"/>
        <v>25</v>
      </c>
      <c r="B26">
        <f>Link!B58</f>
        <v>9566.8000000000011</v>
      </c>
      <c r="C26">
        <f>SUMIFS(PeerData!C:C,PeerData!A:A,Link!$B$2,PeerData!B:B,A26)</f>
        <v>9248.7999999999993</v>
      </c>
      <c r="D26">
        <f t="shared" si="1"/>
        <v>318.00000000000182</v>
      </c>
      <c r="E26">
        <f t="shared" si="2"/>
        <v>1.0343828388547704</v>
      </c>
      <c r="F26">
        <f>SUM($C$2:C26)</f>
        <v>208510.59999999998</v>
      </c>
      <c r="G26">
        <f>HLOOKUP(A26,PeerGrid!$B$2:$AK$22,Link!$B$6+1,FALSE)</f>
        <v>9248.7999999999993</v>
      </c>
      <c r="H26">
        <f t="shared" ca="1" si="3"/>
        <v>9040.5666666666675</v>
      </c>
    </row>
    <row r="27" spans="1:8" x14ac:dyDescent="0.25">
      <c r="A27">
        <f t="shared" si="0"/>
        <v>26</v>
      </c>
      <c r="B27">
        <f>Link!B59</f>
        <v>9616.2000000000007</v>
      </c>
      <c r="C27">
        <f>SUMIFS(PeerData!C:C,PeerData!A:A,Link!$B$2,PeerData!B:B,A27)</f>
        <v>9300.2000000000007</v>
      </c>
      <c r="D27">
        <f t="shared" si="1"/>
        <v>316</v>
      </c>
      <c r="E27">
        <f t="shared" si="2"/>
        <v>1.0339777639190555</v>
      </c>
      <c r="F27">
        <f>SUM($C$2:C27)</f>
        <v>217810.8</v>
      </c>
      <c r="G27">
        <f>HLOOKUP(A27,PeerGrid!$B$2:$AK$22,Link!$B$6+1,FALSE)</f>
        <v>9300.2000000000007</v>
      </c>
      <c r="H27">
        <f t="shared" ca="1" si="3"/>
        <v>9132.2999999999993</v>
      </c>
    </row>
    <row r="28" spans="1:8" x14ac:dyDescent="0.25">
      <c r="A28">
        <f t="shared" si="0"/>
        <v>27</v>
      </c>
      <c r="B28">
        <f>Link!B60</f>
        <v>9729.1</v>
      </c>
      <c r="C28">
        <f>SUMIFS(PeerData!C:C,PeerData!A:A,Link!$B$2,PeerData!B:B,A28)</f>
        <v>9006.9</v>
      </c>
      <c r="D28">
        <f t="shared" si="1"/>
        <v>722.20000000000073</v>
      </c>
      <c r="E28">
        <f t="shared" si="2"/>
        <v>1.0801829708334723</v>
      </c>
      <c r="F28">
        <f>SUM($C$2:C28)</f>
        <v>226817.69999999998</v>
      </c>
      <c r="G28">
        <f>HLOOKUP(A28,PeerGrid!$B$2:$AK$22,Link!$B$6+1,FALSE)</f>
        <v>9006.9</v>
      </c>
      <c r="H28">
        <f t="shared" ca="1" si="3"/>
        <v>9185.3000000000011</v>
      </c>
    </row>
    <row r="29" spans="1:8" x14ac:dyDescent="0.25">
      <c r="A29">
        <f t="shared" si="0"/>
        <v>28</v>
      </c>
      <c r="B29">
        <f>Link!B61</f>
        <v>9665.6</v>
      </c>
      <c r="C29">
        <f>SUMIFS(PeerData!C:C,PeerData!A:A,Link!$B$2,PeerData!B:B,A29)</f>
        <v>9227</v>
      </c>
      <c r="D29">
        <f t="shared" si="1"/>
        <v>438.60000000000036</v>
      </c>
      <c r="E29">
        <f t="shared" si="2"/>
        <v>1.047534409884036</v>
      </c>
      <c r="F29">
        <f>SUM($C$2:C29)</f>
        <v>236044.69999999998</v>
      </c>
      <c r="G29">
        <f>HLOOKUP(A29,PeerGrid!$B$2:$AK$22,Link!$B$6+1,FALSE)</f>
        <v>9227</v>
      </c>
      <c r="H29">
        <f t="shared" ca="1" si="3"/>
        <v>9178.0333333333328</v>
      </c>
    </row>
    <row r="30" spans="1:8" x14ac:dyDescent="0.25">
      <c r="A30">
        <f t="shared" si="0"/>
        <v>29</v>
      </c>
      <c r="B30">
        <f>Link!B62</f>
        <v>9782.7999999999993</v>
      </c>
      <c r="C30">
        <f>SUMIFS(PeerData!C:C,PeerData!A:A,Link!$B$2,PeerData!B:B,A30)</f>
        <v>9375.9</v>
      </c>
      <c r="D30">
        <f t="shared" si="1"/>
        <v>406.89999999999964</v>
      </c>
      <c r="E30">
        <f t="shared" si="2"/>
        <v>1.0433985004106272</v>
      </c>
      <c r="F30">
        <f>SUM($C$2:C30)</f>
        <v>245420.59999999998</v>
      </c>
      <c r="G30">
        <f>HLOOKUP(A30,PeerGrid!$B$2:$AK$22,Link!$B$6+1,FALSE)</f>
        <v>9375.9</v>
      </c>
      <c r="H30">
        <f t="shared" ca="1" si="3"/>
        <v>9203.2666666666682</v>
      </c>
    </row>
    <row r="31" spans="1:8" x14ac:dyDescent="0.25">
      <c r="A31">
        <f t="shared" si="0"/>
        <v>30</v>
      </c>
      <c r="B31">
        <f>Link!B63</f>
        <v>9865.7999999999993</v>
      </c>
      <c r="C31">
        <f>SUMIFS(PeerData!C:C,PeerData!A:A,Link!$B$2,PeerData!B:B,A31)</f>
        <v>9487.6</v>
      </c>
      <c r="D31">
        <f t="shared" si="1"/>
        <v>378.19999999999891</v>
      </c>
      <c r="E31">
        <f t="shared" si="2"/>
        <v>1.0398625574433997</v>
      </c>
      <c r="F31">
        <f>SUM($C$2:C31)</f>
        <v>254908.19999999998</v>
      </c>
      <c r="G31">
        <f>HLOOKUP(A31,PeerGrid!$B$2:$AK$22,Link!$B$6+1,FALSE)</f>
        <v>9487.6</v>
      </c>
      <c r="H31">
        <f t="shared" ca="1" si="3"/>
        <v>9363.5</v>
      </c>
    </row>
    <row r="32" spans="1:8" x14ac:dyDescent="0.25">
      <c r="A32">
        <f t="shared" si="0"/>
        <v>31</v>
      </c>
      <c r="B32">
        <f>Link!B64</f>
        <v>9905.6</v>
      </c>
      <c r="C32">
        <f>SUMIFS(PeerData!C:C,PeerData!A:A,Link!$B$2,PeerData!B:B,A32)</f>
        <v>9489.1</v>
      </c>
      <c r="D32">
        <f t="shared" si="1"/>
        <v>416.5</v>
      </c>
      <c r="E32">
        <f t="shared" si="2"/>
        <v>1.0438924660926747</v>
      </c>
      <c r="F32">
        <f>SUM($C$2:C32)</f>
        <v>264397.3</v>
      </c>
      <c r="G32">
        <f>HLOOKUP(A32,PeerGrid!$B$2:$AK$22,Link!$B$6+1,FALSE)</f>
        <v>9489.1</v>
      </c>
      <c r="H32">
        <f t="shared" ca="1" si="3"/>
        <v>9450.8666666666668</v>
      </c>
    </row>
    <row r="33" spans="1:8" x14ac:dyDescent="0.25">
      <c r="A33">
        <f t="shared" si="0"/>
        <v>32</v>
      </c>
      <c r="B33">
        <f>Link!B65</f>
        <v>9946.4000000000015</v>
      </c>
      <c r="C33">
        <f>SUMIFS(PeerData!C:C,PeerData!A:A,Link!$B$2,PeerData!B:B,A33)</f>
        <v>9407.5</v>
      </c>
      <c r="D33">
        <f t="shared" si="1"/>
        <v>538.90000000000146</v>
      </c>
      <c r="E33">
        <f t="shared" si="2"/>
        <v>1.0572840818495883</v>
      </c>
      <c r="F33">
        <f>SUM($C$2:C33)</f>
        <v>273804.79999999999</v>
      </c>
      <c r="G33">
        <f>HLOOKUP(A33,PeerGrid!$B$2:$AK$22,Link!$B$6+1,FALSE)</f>
        <v>9407.5</v>
      </c>
      <c r="H33">
        <f t="shared" ca="1" si="3"/>
        <v>9461.4</v>
      </c>
    </row>
    <row r="34" spans="1:8" x14ac:dyDescent="0.25">
      <c r="A34">
        <f t="shared" si="0"/>
        <v>33</v>
      </c>
      <c r="B34">
        <f>Link!B66</f>
        <v>10029.400000000001</v>
      </c>
      <c r="C34">
        <f>SUMIFS(PeerData!C:C,PeerData!A:A,Link!$B$2,PeerData!B:B,A34)</f>
        <v>9354.1</v>
      </c>
      <c r="D34">
        <f t="shared" si="1"/>
        <v>675.30000000000109</v>
      </c>
      <c r="E34">
        <f t="shared" si="2"/>
        <v>1.0721929421323271</v>
      </c>
      <c r="F34">
        <f>SUM($C$2:C34)</f>
        <v>283158.89999999997</v>
      </c>
      <c r="G34">
        <f>HLOOKUP(A34,PeerGrid!$B$2:$AK$22,Link!$B$6+1,FALSE)</f>
        <v>9354.1</v>
      </c>
      <c r="H34">
        <f t="shared" ca="1" si="3"/>
        <v>9416.9</v>
      </c>
    </row>
    <row r="35" spans="1:8" x14ac:dyDescent="0.25">
      <c r="A35">
        <f t="shared" si="0"/>
        <v>34</v>
      </c>
      <c r="B35">
        <f>Link!B67</f>
        <v>10087.199999999999</v>
      </c>
      <c r="C35">
        <f>SUMIFS(PeerData!C:C,PeerData!A:A,Link!$B$2,PeerData!B:B,A35)</f>
        <v>9459.7999999999993</v>
      </c>
      <c r="D35">
        <f t="shared" si="1"/>
        <v>627.39999999999964</v>
      </c>
      <c r="E35">
        <f t="shared" si="2"/>
        <v>1.0663227552379542</v>
      </c>
      <c r="F35">
        <f>SUM($C$2:C35)</f>
        <v>292618.69999999995</v>
      </c>
      <c r="G35">
        <f>HLOOKUP(A35,PeerGrid!$B$2:$AK$22,Link!$B$6+1,FALSE)</f>
        <v>9459.7999999999993</v>
      </c>
      <c r="H35">
        <f t="shared" ca="1" si="3"/>
        <v>9407.1333333333332</v>
      </c>
    </row>
    <row r="36" spans="1:8" x14ac:dyDescent="0.25">
      <c r="A36">
        <f t="shared" si="0"/>
        <v>35</v>
      </c>
      <c r="B36">
        <f>Link!B68</f>
        <v>10252.199999999999</v>
      </c>
      <c r="C36">
        <f>SUMIFS(PeerData!C:C,PeerData!A:A,Link!$B$2,PeerData!B:B,A36)</f>
        <v>9611.7999999999993</v>
      </c>
      <c r="D36">
        <f t="shared" si="1"/>
        <v>640.39999999999964</v>
      </c>
      <c r="E36">
        <f t="shared" si="2"/>
        <v>1.0666264383362116</v>
      </c>
      <c r="F36">
        <f>SUM($C$2:C36)</f>
        <v>302230.49999999994</v>
      </c>
      <c r="G36">
        <f>HLOOKUP(A36,PeerGrid!$B$2:$AK$22,Link!$B$6+1,FALSE)</f>
        <v>9611.7999999999993</v>
      </c>
      <c r="H36">
        <f t="shared" ca="1" si="3"/>
        <v>9475.2333333333336</v>
      </c>
    </row>
    <row r="37" spans="1:8" x14ac:dyDescent="0.25">
      <c r="A37">
        <f t="shared" si="0"/>
        <v>36</v>
      </c>
      <c r="B37">
        <f>Link!B69</f>
        <v>10243.300000000001</v>
      </c>
      <c r="C37">
        <f>SUMIFS(PeerData!C:C,PeerData!A:A,Link!$B$2,PeerData!B:B,A37)</f>
        <v>9492.2000000000007</v>
      </c>
      <c r="D37">
        <f t="shared" si="1"/>
        <v>751.10000000000036</v>
      </c>
      <c r="E37">
        <f t="shared" si="2"/>
        <v>1.0791281262510273</v>
      </c>
      <c r="F37">
        <f>SUM($C$2:C37)</f>
        <v>311722.69999999995</v>
      </c>
      <c r="G37">
        <f>HLOOKUP(A37,PeerGrid!$B$2:$AK$22,Link!$B$6+1,FALSE)</f>
        <v>9492.2000000000007</v>
      </c>
      <c r="H37">
        <f t="shared" ca="1" si="3"/>
        <v>9521.2666666666664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9487.6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3.9862557443399692E-2</v>
      </c>
    </row>
    <row r="3" spans="1:2" x14ac:dyDescent="0.25">
      <c r="A3" t="s">
        <v>63</v>
      </c>
      <c r="B3">
        <f>_xlfn.XLOOKUP(Link!B2,Compare!A2:A21,Compare!I2:I21)</f>
        <v>20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04%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19731.599999999999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Tirrena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>&lt;&lt;</v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Tirrena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9158.2000000000007</v>
      </c>
      <c r="E5" cm="1">
        <f t="array" ref="E5">INDEX(PeerTrend!$C$2:$C$37,C5)</f>
        <v>8625.6</v>
      </c>
      <c r="F5">
        <f t="shared" ref="F5:F16" si="0">D5-E5</f>
        <v>532.60000000000036</v>
      </c>
      <c r="G5" cm="1">
        <f t="array" aca="1" ref="G5" ca="1">INDEX(PeerTrend!$H$2:$H$37,C5)</f>
        <v>8598.3666666666668</v>
      </c>
    </row>
    <row r="6" spans="2:8" x14ac:dyDescent="0.25">
      <c r="C6">
        <f>Link!$B$3-12+ROW()-4</f>
        <v>20</v>
      </c>
      <c r="D6" cm="1">
        <f t="array" ref="D6">INDEX(PeerTrend!$B$2:$B$37,C6)</f>
        <v>9269.7000000000007</v>
      </c>
      <c r="E6" cm="1">
        <f t="array" ref="E6">INDEX(PeerTrend!$C$2:$C$37,C6)</f>
        <v>8628</v>
      </c>
      <c r="F6">
        <f t="shared" si="0"/>
        <v>641.70000000000073</v>
      </c>
      <c r="G6" cm="1">
        <f t="array" aca="1" ref="G6" ca="1">INDEX(PeerTrend!$H$2:$H$37,C6)</f>
        <v>8622.5333333333328</v>
      </c>
    </row>
    <row r="7" spans="2:8" x14ac:dyDescent="0.25">
      <c r="C7">
        <f>Link!$B$3-12+ROW()-4</f>
        <v>21</v>
      </c>
      <c r="D7" cm="1">
        <f t="array" ref="D7">INDEX(PeerTrend!$B$2:$B$37,C7)</f>
        <v>9227.3000000000011</v>
      </c>
      <c r="E7" cm="1">
        <f t="array" ref="E7">INDEX(PeerTrend!$C$2:$C$37,C7)</f>
        <v>8694.7999999999993</v>
      </c>
      <c r="F7">
        <f t="shared" si="0"/>
        <v>532.50000000000182</v>
      </c>
      <c r="G7" cm="1">
        <f t="array" aca="1" ref="G7" ca="1">INDEX(PeerTrend!$H$2:$H$37,C7)</f>
        <v>8649.4666666666653</v>
      </c>
    </row>
    <row r="8" spans="2:8" x14ac:dyDescent="0.25">
      <c r="C8">
        <f>Link!$B$3-12+ROW()-4</f>
        <v>22</v>
      </c>
      <c r="D8" cm="1">
        <f t="array" ref="D8">INDEX(PeerTrend!$B$2:$B$37,C8)</f>
        <v>9333.9</v>
      </c>
      <c r="E8" cm="1">
        <f t="array" ref="E8">INDEX(PeerTrend!$C$2:$C$37,C8)</f>
        <v>8728.5</v>
      </c>
      <c r="F8">
        <f t="shared" si="0"/>
        <v>605.39999999999964</v>
      </c>
      <c r="G8" cm="1">
        <f t="array" aca="1" ref="G8" ca="1">INDEX(PeerTrend!$H$2:$H$37,C8)</f>
        <v>8683.7666666666664</v>
      </c>
    </row>
    <row r="9" spans="2:8" x14ac:dyDescent="0.25">
      <c r="C9">
        <f>Link!$B$3-12+ROW()-4</f>
        <v>23</v>
      </c>
      <c r="D9" cm="1">
        <f t="array" ref="D9">INDEX(PeerTrend!$B$2:$B$37,C9)</f>
        <v>9331.1</v>
      </c>
      <c r="E9" cm="1">
        <f t="array" ref="E9">INDEX(PeerTrend!$C$2:$C$37,C9)</f>
        <v>9025</v>
      </c>
      <c r="F9">
        <f t="shared" si="0"/>
        <v>306.10000000000036</v>
      </c>
      <c r="G9" cm="1">
        <f t="array" aca="1" ref="G9" ca="1">INDEX(PeerTrend!$H$2:$H$37,C9)</f>
        <v>8816.1</v>
      </c>
    </row>
    <row r="10" spans="2:8" x14ac:dyDescent="0.25">
      <c r="C10">
        <f>Link!$B$3-12+ROW()-4</f>
        <v>24</v>
      </c>
      <c r="D10" cm="1">
        <f t="array" ref="D10">INDEX(PeerTrend!$B$2:$B$37,C10)</f>
        <v>9406</v>
      </c>
      <c r="E10" cm="1">
        <f t="array" ref="E10">INDEX(PeerTrend!$C$2:$C$37,C10)</f>
        <v>8847.9</v>
      </c>
      <c r="F10">
        <f t="shared" si="0"/>
        <v>558.10000000000036</v>
      </c>
      <c r="G10" cm="1">
        <f t="array" aca="1" ref="G10" ca="1">INDEX(PeerTrend!$H$2:$H$37,C10)</f>
        <v>8867.1333333333332</v>
      </c>
    </row>
    <row r="11" spans="2:8" x14ac:dyDescent="0.25">
      <c r="C11">
        <f>Link!$B$3-12+ROW()-4</f>
        <v>25</v>
      </c>
      <c r="D11" cm="1">
        <f t="array" ref="D11">INDEX(PeerTrend!$B$2:$B$37,C11)</f>
        <v>9566.8000000000011</v>
      </c>
      <c r="E11" cm="1">
        <f t="array" ref="E11">INDEX(PeerTrend!$C$2:$C$37,C11)</f>
        <v>9248.7999999999993</v>
      </c>
      <c r="F11">
        <f t="shared" si="0"/>
        <v>318.00000000000182</v>
      </c>
      <c r="G11" cm="1">
        <f t="array" aca="1" ref="G11" ca="1">INDEX(PeerTrend!$H$2:$H$37,C11)</f>
        <v>9040.5666666666675</v>
      </c>
    </row>
    <row r="12" spans="2:8" x14ac:dyDescent="0.25">
      <c r="C12">
        <f>Link!$B$3-12+ROW()-4</f>
        <v>26</v>
      </c>
      <c r="D12" cm="1">
        <f t="array" ref="D12">INDEX(PeerTrend!$B$2:$B$37,C12)</f>
        <v>9616.2000000000007</v>
      </c>
      <c r="E12" cm="1">
        <f t="array" ref="E12">INDEX(PeerTrend!$C$2:$C$37,C12)</f>
        <v>9300.2000000000007</v>
      </c>
      <c r="F12">
        <f t="shared" si="0"/>
        <v>316</v>
      </c>
      <c r="G12" cm="1">
        <f t="array" aca="1" ref="G12" ca="1">INDEX(PeerTrend!$H$2:$H$37,C12)</f>
        <v>9132.2999999999993</v>
      </c>
    </row>
    <row r="13" spans="2:8" x14ac:dyDescent="0.25">
      <c r="C13">
        <f>Link!$B$3-12+ROW()-4</f>
        <v>27</v>
      </c>
      <c r="D13" cm="1">
        <f t="array" ref="D13">INDEX(PeerTrend!$B$2:$B$37,C13)</f>
        <v>9729.1</v>
      </c>
      <c r="E13" cm="1">
        <f t="array" ref="E13">INDEX(PeerTrend!$C$2:$C$37,C13)</f>
        <v>9006.9</v>
      </c>
      <c r="F13">
        <f t="shared" si="0"/>
        <v>722.20000000000073</v>
      </c>
      <c r="G13" cm="1">
        <f t="array" aca="1" ref="G13" ca="1">INDEX(PeerTrend!$H$2:$H$37,C13)</f>
        <v>9185.3000000000011</v>
      </c>
    </row>
    <row r="14" spans="2:8" x14ac:dyDescent="0.25">
      <c r="C14">
        <f>Link!$B$3-12+ROW()-4</f>
        <v>28</v>
      </c>
      <c r="D14" cm="1">
        <f t="array" ref="D14">INDEX(PeerTrend!$B$2:$B$37,C14)</f>
        <v>9665.6</v>
      </c>
      <c r="E14" cm="1">
        <f t="array" ref="E14">INDEX(PeerTrend!$C$2:$C$37,C14)</f>
        <v>9227</v>
      </c>
      <c r="F14">
        <f t="shared" si="0"/>
        <v>438.60000000000036</v>
      </c>
      <c r="G14" cm="1">
        <f t="array" aca="1" ref="G14" ca="1">INDEX(PeerTrend!$H$2:$H$37,C14)</f>
        <v>9178.0333333333328</v>
      </c>
    </row>
    <row r="15" spans="2:8" x14ac:dyDescent="0.25">
      <c r="C15">
        <f>Link!$B$3-12+ROW()-4</f>
        <v>29</v>
      </c>
      <c r="D15" cm="1">
        <f t="array" ref="D15">INDEX(PeerTrend!$B$2:$B$37,C15)</f>
        <v>9782.7999999999993</v>
      </c>
      <c r="E15" cm="1">
        <f t="array" ref="E15">INDEX(PeerTrend!$C$2:$C$37,C15)</f>
        <v>9375.9</v>
      </c>
      <c r="F15">
        <f t="shared" si="0"/>
        <v>406.89999999999964</v>
      </c>
      <c r="G15" cm="1">
        <f t="array" aca="1" ref="G15" ca="1">INDEX(PeerTrend!$H$2:$H$37,C15)</f>
        <v>9203.2666666666682</v>
      </c>
    </row>
    <row r="16" spans="2:8" x14ac:dyDescent="0.25">
      <c r="C16">
        <f>Link!$B$3-12+ROW()-4</f>
        <v>30</v>
      </c>
      <c r="D16" cm="1">
        <f t="array" ref="D16">INDEX(PeerTrend!$B$2:$B$37,C16)</f>
        <v>9865.7999999999993</v>
      </c>
      <c r="E16" cm="1">
        <f t="array" ref="E16">INDEX(PeerTrend!$C$2:$C$37,C16)</f>
        <v>9487.6</v>
      </c>
      <c r="F16">
        <f t="shared" si="0"/>
        <v>378.19999999999891</v>
      </c>
      <c r="G16" cm="1">
        <f t="array" aca="1" ref="G16" ca="1">INDEX(PeerTrend!$H$2:$H$37,C16)</f>
        <v>9363.5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2026-10-17T11:54:47Z</dcterms:modified>
</cp:coreProperties>
</file>