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EFD3E216-C51D-47EC-A47A-C7A252FF8907}" xr6:coauthVersionLast="47" xr6:coauthVersionMax="47" xr10:uidLastSave="{00000000-0000-0000-0000-000000000000}"/>
  <bookViews>
    <workbookView xWindow="2660" yWindow="2660" windowWidth="14400" windowHeight="8170" firstSheet="17" activeTab="21" xr2:uid="{F1F521C5-A02B-465D-A6C3-6F35B0060D35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SLIDE_4" sheetId="6" r:id="rId6"/>
    <sheet name="SLIDE_5" sheetId="7" r:id="rId7"/>
    <sheet name="SLIDE_6" sheetId="8" r:id="rId8"/>
    <sheet name="SLIDE_7" sheetId="9" r:id="rId9"/>
    <sheet name="SLIDE_8" sheetId="10" r:id="rId10"/>
    <sheet name="SLIDE_9" sheetId="11" r:id="rId11"/>
    <sheet name="SLIDE_10" sheetId="12" r:id="rId12"/>
    <sheet name="SLIDE_11" sheetId="13" r:id="rId13"/>
    <sheet name="SLIDE_12" sheetId="14" r:id="rId14"/>
    <sheet name="SLIDE_13" sheetId="15" r:id="rId15"/>
    <sheet name="SLIDE_14" sheetId="16" r:id="rId16"/>
    <sheet name="SLIDE_15" sheetId="17" r:id="rId17"/>
    <sheet name="SLIDE_16" sheetId="18" r:id="rId18"/>
    <sheet name="SLIDE_17" sheetId="19" r:id="rId19"/>
    <sheet name="SLIDE_18" sheetId="20" r:id="rId20"/>
    <sheet name="SLIDE_19" sheetId="21" r:id="rId21"/>
    <sheet name="SLIDE_20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22" l="1"/>
  <c r="F13" i="22"/>
  <c r="H12" i="22"/>
  <c r="L13" i="21"/>
  <c r="F13" i="21"/>
  <c r="H12" i="21"/>
  <c r="L13" i="20"/>
  <c r="F13" i="20"/>
  <c r="H12" i="20"/>
  <c r="L13" i="19"/>
  <c r="F13" i="19"/>
  <c r="H12" i="19"/>
  <c r="L13" i="18"/>
  <c r="F13" i="18"/>
  <c r="H12" i="18"/>
  <c r="L13" i="17"/>
  <c r="F13" i="17"/>
  <c r="H12" i="17"/>
  <c r="L13" i="16"/>
  <c r="F13" i="16"/>
  <c r="H12" i="16"/>
  <c r="L13" i="15"/>
  <c r="F13" i="15"/>
  <c r="H12" i="15"/>
  <c r="L13" i="14"/>
  <c r="F13" i="14"/>
  <c r="H12" i="14"/>
  <c r="L13" i="13"/>
  <c r="F13" i="13"/>
  <c r="H12" i="13"/>
  <c r="L13" i="12"/>
  <c r="F13" i="12"/>
  <c r="H12" i="12"/>
  <c r="L13" i="11"/>
  <c r="F13" i="11"/>
  <c r="H12" i="11"/>
  <c r="L13" i="10"/>
  <c r="F13" i="10"/>
  <c r="H12" i="10"/>
  <c r="L13" i="9"/>
  <c r="F13" i="9"/>
  <c r="H12" i="9"/>
  <c r="L13" i="8"/>
  <c r="F13" i="8"/>
  <c r="H12" i="8"/>
  <c r="L13" i="7"/>
  <c r="F13" i="7"/>
  <c r="H12" i="7"/>
  <c r="L13" i="6"/>
  <c r="F13" i="6"/>
  <c r="H12" i="6"/>
  <c r="L13" i="5"/>
  <c r="F13" i="5"/>
  <c r="H12" i="5"/>
  <c r="L13" i="4"/>
  <c r="F13" i="4"/>
  <c r="H12" i="4"/>
  <c r="L13" i="3"/>
  <c r="F13" i="3"/>
  <c r="H12" i="3"/>
  <c r="J13" i="22" a="1"/>
  <c r="J13" i="22" s="1"/>
  <c r="H13" i="22"/>
  <c r="D13" i="22"/>
  <c r="J12" i="22"/>
  <c r="I12" i="22"/>
  <c r="G11" i="22"/>
  <c r="F11" i="22"/>
  <c r="C10" i="22"/>
  <c r="J6" i="22"/>
  <c r="G6" i="22"/>
  <c r="F6" i="22"/>
  <c r="F8" i="22" s="1"/>
  <c r="E6" i="22"/>
  <c r="D6" i="22"/>
  <c r="J5" i="22"/>
  <c r="G5" i="22"/>
  <c r="E11" i="22" s="1"/>
  <c r="F5" i="22"/>
  <c r="E5" i="22"/>
  <c r="E7" i="22" s="1"/>
  <c r="D5" i="22"/>
  <c r="D7" i="22" s="1"/>
  <c r="G4" i="22"/>
  <c r="F4" i="22"/>
  <c r="E4" i="22"/>
  <c r="D4" i="22"/>
  <c r="C3" i="22"/>
  <c r="J13" i="21" a="1"/>
  <c r="J13" i="21" s="1"/>
  <c r="H13" i="21"/>
  <c r="D13" i="21"/>
  <c r="J12" i="21"/>
  <c r="I12" i="21"/>
  <c r="G11" i="21"/>
  <c r="F11" i="21"/>
  <c r="C10" i="21"/>
  <c r="K6" i="21"/>
  <c r="J6" i="21"/>
  <c r="G6" i="21"/>
  <c r="H6" i="21" s="1"/>
  <c r="I6" i="21" s="1"/>
  <c r="F6" i="21"/>
  <c r="E6" i="21"/>
  <c r="D6" i="21"/>
  <c r="J5" i="21"/>
  <c r="G5" i="21"/>
  <c r="E13" i="21" s="1"/>
  <c r="F5" i="21"/>
  <c r="F7" i="21" s="1"/>
  <c r="E5" i="21"/>
  <c r="E7" i="21" s="1"/>
  <c r="D5" i="21"/>
  <c r="D7" i="21" s="1"/>
  <c r="G4" i="21"/>
  <c r="F4" i="21"/>
  <c r="E4" i="21"/>
  <c r="D4" i="21"/>
  <c r="C3" i="21"/>
  <c r="J13" i="20" a="1"/>
  <c r="J13" i="20" s="1"/>
  <c r="H13" i="20"/>
  <c r="D13" i="20"/>
  <c r="J12" i="20"/>
  <c r="I12" i="20"/>
  <c r="G11" i="20"/>
  <c r="F11" i="20"/>
  <c r="C10" i="20"/>
  <c r="J6" i="20"/>
  <c r="G6" i="20"/>
  <c r="K6" i="20" s="1"/>
  <c r="F6" i="20"/>
  <c r="E6" i="20"/>
  <c r="D6" i="20"/>
  <c r="D8" i="20" s="1"/>
  <c r="J5" i="20"/>
  <c r="G5" i="20"/>
  <c r="K5" i="20" s="1"/>
  <c r="K7" i="20" s="1"/>
  <c r="F5" i="20"/>
  <c r="F7" i="20" s="1"/>
  <c r="E5" i="20"/>
  <c r="E7" i="20" s="1"/>
  <c r="D5" i="20"/>
  <c r="G4" i="20"/>
  <c r="F4" i="20"/>
  <c r="E4" i="20"/>
  <c r="D4" i="20"/>
  <c r="C3" i="20"/>
  <c r="J13" i="19" a="1"/>
  <c r="J13" i="19"/>
  <c r="H13" i="19"/>
  <c r="D13" i="19"/>
  <c r="J12" i="19"/>
  <c r="I12" i="19"/>
  <c r="G11" i="19"/>
  <c r="F11" i="19"/>
  <c r="C10" i="19"/>
  <c r="J6" i="19"/>
  <c r="J7" i="19" s="1"/>
  <c r="G6" i="19"/>
  <c r="F6" i="19"/>
  <c r="E6" i="19"/>
  <c r="D6" i="19"/>
  <c r="J5" i="19"/>
  <c r="G5" i="19"/>
  <c r="F5" i="19"/>
  <c r="F7" i="19" s="1"/>
  <c r="E5" i="19"/>
  <c r="E7" i="19" s="1"/>
  <c r="D5" i="19"/>
  <c r="D7" i="19" s="1"/>
  <c r="G4" i="19"/>
  <c r="F4" i="19"/>
  <c r="E4" i="19"/>
  <c r="D4" i="19"/>
  <c r="C3" i="19"/>
  <c r="J13" i="18" a="1"/>
  <c r="J13" i="18" s="1"/>
  <c r="H13" i="18"/>
  <c r="D13" i="18"/>
  <c r="J12" i="18"/>
  <c r="I12" i="18"/>
  <c r="G11" i="18"/>
  <c r="F11" i="18"/>
  <c r="C10" i="18"/>
  <c r="J6" i="18"/>
  <c r="J7" i="18" s="1"/>
  <c r="H6" i="18"/>
  <c r="I6" i="18" s="1"/>
  <c r="G6" i="18"/>
  <c r="F6" i="18"/>
  <c r="E6" i="18"/>
  <c r="D6" i="18"/>
  <c r="D8" i="18" s="1"/>
  <c r="J5" i="18"/>
  <c r="G5" i="18"/>
  <c r="K5" i="18" s="1"/>
  <c r="F5" i="18"/>
  <c r="F7" i="18" s="1"/>
  <c r="E5" i="18"/>
  <c r="E7" i="18" s="1"/>
  <c r="D5" i="18"/>
  <c r="G4" i="18"/>
  <c r="F4" i="18"/>
  <c r="E4" i="18"/>
  <c r="D4" i="18"/>
  <c r="C3" i="18"/>
  <c r="J13" i="17" a="1"/>
  <c r="J13" i="17" s="1"/>
  <c r="H13" i="17"/>
  <c r="D13" i="17"/>
  <c r="J12" i="17"/>
  <c r="I12" i="17"/>
  <c r="F12" i="17"/>
  <c r="G11" i="17"/>
  <c r="F11" i="17"/>
  <c r="C10" i="17"/>
  <c r="J7" i="17"/>
  <c r="J6" i="17"/>
  <c r="G6" i="17"/>
  <c r="K6" i="17" s="1"/>
  <c r="F6" i="17"/>
  <c r="E6" i="17"/>
  <c r="D6" i="17"/>
  <c r="G10" i="18" s="1"/>
  <c r="K5" i="17"/>
  <c r="K7" i="17" s="1"/>
  <c r="J5" i="17"/>
  <c r="G5" i="17"/>
  <c r="F5" i="17"/>
  <c r="F7" i="17" s="1"/>
  <c r="E5" i="17"/>
  <c r="E7" i="17" s="1"/>
  <c r="D5" i="17"/>
  <c r="G4" i="17"/>
  <c r="F4" i="17"/>
  <c r="E4" i="17"/>
  <c r="D4" i="17"/>
  <c r="C3" i="17"/>
  <c r="J13" i="16" a="1"/>
  <c r="J13" i="16" s="1"/>
  <c r="H13" i="16"/>
  <c r="D13" i="16"/>
  <c r="J12" i="16"/>
  <c r="I12" i="16"/>
  <c r="G11" i="16"/>
  <c r="F11" i="16"/>
  <c r="C10" i="16"/>
  <c r="J6" i="16"/>
  <c r="G6" i="16"/>
  <c r="H6" i="16" s="1"/>
  <c r="I6" i="16" s="1"/>
  <c r="F6" i="16"/>
  <c r="E6" i="16"/>
  <c r="E8" i="16" s="1"/>
  <c r="D6" i="16"/>
  <c r="J5" i="16"/>
  <c r="G5" i="16"/>
  <c r="E11" i="16" s="1"/>
  <c r="F5" i="16"/>
  <c r="H5" i="16" s="1"/>
  <c r="E5" i="16"/>
  <c r="D5" i="16"/>
  <c r="G4" i="16"/>
  <c r="F4" i="16"/>
  <c r="E4" i="16"/>
  <c r="D4" i="16"/>
  <c r="C3" i="16"/>
  <c r="J13" i="15" a="1"/>
  <c r="J13" i="15" s="1"/>
  <c r="H13" i="15"/>
  <c r="D13" i="15"/>
  <c r="J12" i="15"/>
  <c r="I12" i="15"/>
  <c r="G11" i="15"/>
  <c r="F11" i="15"/>
  <c r="C10" i="15"/>
  <c r="J6" i="15"/>
  <c r="J7" i="15" s="1"/>
  <c r="G6" i="15"/>
  <c r="F6" i="15"/>
  <c r="E6" i="15"/>
  <c r="E8" i="15" s="1"/>
  <c r="D6" i="15"/>
  <c r="J5" i="15"/>
  <c r="G5" i="15"/>
  <c r="K5" i="15" s="1"/>
  <c r="F5" i="15"/>
  <c r="F7" i="15" s="1"/>
  <c r="E5" i="15"/>
  <c r="D5" i="15"/>
  <c r="D7" i="15" s="1"/>
  <c r="G4" i="15"/>
  <c r="F4" i="15"/>
  <c r="E4" i="15"/>
  <c r="D4" i="15"/>
  <c r="C3" i="15"/>
  <c r="J13" i="14" a="1"/>
  <c r="J13" i="14" s="1"/>
  <c r="H13" i="14"/>
  <c r="D13" i="14"/>
  <c r="J12" i="14"/>
  <c r="I12" i="14"/>
  <c r="G11" i="14"/>
  <c r="F11" i="14"/>
  <c r="C10" i="14"/>
  <c r="J6" i="14"/>
  <c r="G6" i="14"/>
  <c r="K6" i="14" s="1"/>
  <c r="F6" i="14"/>
  <c r="F8" i="14" s="1"/>
  <c r="E6" i="14"/>
  <c r="E8" i="14" s="1"/>
  <c r="D6" i="14"/>
  <c r="J5" i="14"/>
  <c r="G5" i="14"/>
  <c r="F5" i="14"/>
  <c r="E5" i="14"/>
  <c r="D5" i="14"/>
  <c r="D7" i="14" s="1"/>
  <c r="G4" i="14"/>
  <c r="F4" i="14"/>
  <c r="E4" i="14"/>
  <c r="D4" i="14"/>
  <c r="C3" i="14"/>
  <c r="J13" i="13" a="1"/>
  <c r="J13" i="13" s="1"/>
  <c r="H13" i="13"/>
  <c r="D13" i="13"/>
  <c r="J12" i="13"/>
  <c r="I12" i="13"/>
  <c r="G11" i="13"/>
  <c r="F11" i="13"/>
  <c r="C10" i="13"/>
  <c r="J6" i="13"/>
  <c r="G6" i="13"/>
  <c r="G8" i="13" s="1"/>
  <c r="F6" i="13"/>
  <c r="E6" i="13"/>
  <c r="D6" i="13"/>
  <c r="D8" i="13" s="1"/>
  <c r="J5" i="13"/>
  <c r="G5" i="13"/>
  <c r="E11" i="13" s="1"/>
  <c r="F5" i="13"/>
  <c r="F7" i="13" s="1"/>
  <c r="E5" i="13"/>
  <c r="E7" i="13" s="1"/>
  <c r="D5" i="13"/>
  <c r="G4" i="13"/>
  <c r="F4" i="13"/>
  <c r="E4" i="13"/>
  <c r="D4" i="13"/>
  <c r="C3" i="13"/>
  <c r="J13" i="12" a="1"/>
  <c r="J13" i="12"/>
  <c r="H13" i="12"/>
  <c r="D13" i="12"/>
  <c r="J12" i="12"/>
  <c r="I12" i="12"/>
  <c r="G11" i="12"/>
  <c r="F11" i="12"/>
  <c r="C10" i="12"/>
  <c r="J6" i="12"/>
  <c r="K6" i="12" s="1"/>
  <c r="G6" i="12"/>
  <c r="F6" i="12"/>
  <c r="E6" i="12"/>
  <c r="D6" i="12"/>
  <c r="J5" i="12"/>
  <c r="J7" i="12" s="1"/>
  <c r="G5" i="12"/>
  <c r="F5" i="12"/>
  <c r="F7" i="12" s="1"/>
  <c r="E5" i="12"/>
  <c r="E7" i="12" s="1"/>
  <c r="D5" i="12"/>
  <c r="G4" i="12"/>
  <c r="F4" i="12"/>
  <c r="E4" i="12"/>
  <c r="D4" i="12"/>
  <c r="C3" i="12"/>
  <c r="J13" i="11" a="1"/>
  <c r="J13" i="11" s="1"/>
  <c r="H13" i="11"/>
  <c r="D13" i="11"/>
  <c r="J12" i="11"/>
  <c r="I12" i="11"/>
  <c r="G11" i="11"/>
  <c r="F11" i="11"/>
  <c r="C10" i="11"/>
  <c r="J6" i="11"/>
  <c r="K6" i="11" s="1"/>
  <c r="G6" i="11"/>
  <c r="F6" i="11"/>
  <c r="E6" i="11"/>
  <c r="D6" i="11"/>
  <c r="D8" i="11" s="1"/>
  <c r="J5" i="11"/>
  <c r="G5" i="11"/>
  <c r="E13" i="11" s="1"/>
  <c r="F5" i="11"/>
  <c r="F7" i="11" s="1"/>
  <c r="E5" i="11"/>
  <c r="E7" i="11" s="1"/>
  <c r="D5" i="11"/>
  <c r="G4" i="11"/>
  <c r="F4" i="11"/>
  <c r="E4" i="11"/>
  <c r="D4" i="11"/>
  <c r="C3" i="11"/>
  <c r="J13" i="10" a="1"/>
  <c r="J13" i="10" s="1"/>
  <c r="H13" i="10"/>
  <c r="D13" i="10"/>
  <c r="J12" i="10"/>
  <c r="I12" i="10"/>
  <c r="F12" i="10"/>
  <c r="G11" i="10"/>
  <c r="F11" i="10"/>
  <c r="C10" i="10"/>
  <c r="K6" i="10"/>
  <c r="J6" i="10"/>
  <c r="G6" i="10"/>
  <c r="F6" i="10"/>
  <c r="F8" i="10" s="1"/>
  <c r="E6" i="10"/>
  <c r="E8" i="10" s="1"/>
  <c r="D6" i="10"/>
  <c r="J5" i="10"/>
  <c r="K5" i="10" s="1"/>
  <c r="K7" i="10" s="1"/>
  <c r="G5" i="10"/>
  <c r="D11" i="10" s="1"/>
  <c r="F5" i="10"/>
  <c r="E5" i="10"/>
  <c r="D5" i="10"/>
  <c r="D7" i="10" s="1"/>
  <c r="G4" i="10"/>
  <c r="F4" i="10"/>
  <c r="E4" i="10"/>
  <c r="D4" i="10"/>
  <c r="C3" i="10"/>
  <c r="J13" i="9" a="1"/>
  <c r="J13" i="9" s="1"/>
  <c r="H13" i="9"/>
  <c r="D13" i="9"/>
  <c r="J12" i="9"/>
  <c r="I12" i="9"/>
  <c r="G11" i="9"/>
  <c r="F11" i="9"/>
  <c r="C10" i="9"/>
  <c r="J6" i="9"/>
  <c r="G6" i="9"/>
  <c r="K6" i="9" s="1"/>
  <c r="F6" i="9"/>
  <c r="F8" i="9" s="1"/>
  <c r="E6" i="9"/>
  <c r="E8" i="9" s="1"/>
  <c r="D6" i="9"/>
  <c r="G10" i="10" s="1"/>
  <c r="J5" i="9"/>
  <c r="J7" i="9" s="1"/>
  <c r="G5" i="9"/>
  <c r="I13" i="9" s="1" a="1"/>
  <c r="I13" i="9" s="1"/>
  <c r="F5" i="9"/>
  <c r="E5" i="9"/>
  <c r="D5" i="9"/>
  <c r="G4" i="9"/>
  <c r="F4" i="9"/>
  <c r="E4" i="9"/>
  <c r="D4" i="9"/>
  <c r="C3" i="9"/>
  <c r="J13" i="8" a="1"/>
  <c r="J13" i="8" s="1"/>
  <c r="H13" i="8"/>
  <c r="D13" i="8"/>
  <c r="J12" i="8"/>
  <c r="I12" i="8"/>
  <c r="F12" i="8"/>
  <c r="G11" i="8"/>
  <c r="F11" i="8"/>
  <c r="C10" i="8"/>
  <c r="J6" i="8"/>
  <c r="J7" i="8" s="1"/>
  <c r="G6" i="8"/>
  <c r="G8" i="8" s="1"/>
  <c r="F6" i="8"/>
  <c r="E6" i="8"/>
  <c r="D6" i="8"/>
  <c r="D8" i="8" s="1"/>
  <c r="J5" i="8"/>
  <c r="G5" i="8"/>
  <c r="K5" i="8" s="1"/>
  <c r="F5" i="8"/>
  <c r="F7" i="8" s="1"/>
  <c r="E5" i="8"/>
  <c r="E7" i="8" s="1"/>
  <c r="D5" i="8"/>
  <c r="G4" i="8"/>
  <c r="F4" i="8"/>
  <c r="E4" i="8"/>
  <c r="D4" i="8"/>
  <c r="C3" i="8"/>
  <c r="J13" i="7" a="1"/>
  <c r="J13" i="7" s="1"/>
  <c r="H13" i="7"/>
  <c r="D13" i="7"/>
  <c r="J12" i="7"/>
  <c r="I12" i="7"/>
  <c r="G11" i="7"/>
  <c r="F11" i="7"/>
  <c r="C10" i="7"/>
  <c r="J6" i="7"/>
  <c r="G6" i="7"/>
  <c r="G8" i="7" s="1"/>
  <c r="F6" i="7"/>
  <c r="F8" i="7" s="1"/>
  <c r="E6" i="7"/>
  <c r="D6" i="7"/>
  <c r="J5" i="7"/>
  <c r="G5" i="7"/>
  <c r="F5" i="7"/>
  <c r="E5" i="7"/>
  <c r="D5" i="7"/>
  <c r="D7" i="7" s="1"/>
  <c r="G4" i="7"/>
  <c r="F4" i="7"/>
  <c r="E4" i="7"/>
  <c r="D4" i="7"/>
  <c r="C3" i="7"/>
  <c r="J13" i="6" a="1"/>
  <c r="J13" i="6" s="1"/>
  <c r="H13" i="6"/>
  <c r="D13" i="6"/>
  <c r="J12" i="6"/>
  <c r="I12" i="6"/>
  <c r="D12" i="6"/>
  <c r="G11" i="6"/>
  <c r="F11" i="6"/>
  <c r="C10" i="6"/>
  <c r="J6" i="6"/>
  <c r="G6" i="6"/>
  <c r="H6" i="6" s="1"/>
  <c r="I6" i="6" s="1"/>
  <c r="F6" i="6"/>
  <c r="F8" i="6" s="1"/>
  <c r="E6" i="6"/>
  <c r="D6" i="6"/>
  <c r="J5" i="6"/>
  <c r="G5" i="6"/>
  <c r="E13" i="6" s="1"/>
  <c r="F5" i="6"/>
  <c r="E5" i="6"/>
  <c r="E7" i="6" s="1"/>
  <c r="D5" i="6"/>
  <c r="D7" i="6" s="1"/>
  <c r="G4" i="6"/>
  <c r="F4" i="6"/>
  <c r="E4" i="6"/>
  <c r="D4" i="6"/>
  <c r="C3" i="6"/>
  <c r="J13" i="5" a="1"/>
  <c r="J13" i="5"/>
  <c r="H13" i="5"/>
  <c r="D13" i="5"/>
  <c r="J12" i="5"/>
  <c r="I12" i="5"/>
  <c r="D12" i="5"/>
  <c r="G11" i="5"/>
  <c r="F11" i="5"/>
  <c r="C10" i="5"/>
  <c r="J6" i="5"/>
  <c r="J7" i="5" s="1"/>
  <c r="G6" i="5"/>
  <c r="H6" i="5" s="1"/>
  <c r="I6" i="5" s="1"/>
  <c r="F6" i="5"/>
  <c r="F8" i="5" s="1"/>
  <c r="E6" i="5"/>
  <c r="D6" i="5"/>
  <c r="J5" i="5"/>
  <c r="G5" i="5"/>
  <c r="F5" i="5"/>
  <c r="E5" i="5"/>
  <c r="E7" i="5" s="1"/>
  <c r="D5" i="5"/>
  <c r="D7" i="5" s="1"/>
  <c r="G4" i="5"/>
  <c r="F4" i="5"/>
  <c r="E4" i="5"/>
  <c r="D4" i="5"/>
  <c r="C3" i="5"/>
  <c r="J13" i="4" a="1"/>
  <c r="J13" i="4" s="1"/>
  <c r="H13" i="4"/>
  <c r="D13" i="4"/>
  <c r="J12" i="4"/>
  <c r="I12" i="4"/>
  <c r="D12" i="4"/>
  <c r="G11" i="4"/>
  <c r="F11" i="4"/>
  <c r="C10" i="4"/>
  <c r="J6" i="4"/>
  <c r="G6" i="4"/>
  <c r="K6" i="4" s="1"/>
  <c r="F6" i="4"/>
  <c r="F12" i="4" s="1"/>
  <c r="E6" i="4"/>
  <c r="E8" i="4" s="1"/>
  <c r="D6" i="4"/>
  <c r="J5" i="4"/>
  <c r="G5" i="4"/>
  <c r="E13" i="4" s="1"/>
  <c r="F5" i="4"/>
  <c r="E5" i="4"/>
  <c r="D5" i="4"/>
  <c r="G4" i="4"/>
  <c r="F4" i="4"/>
  <c r="E4" i="4"/>
  <c r="D4" i="4"/>
  <c r="C3" i="4"/>
  <c r="J13" i="3" a="1"/>
  <c r="J13" i="3" s="1"/>
  <c r="H13" i="3"/>
  <c r="D13" i="3"/>
  <c r="J12" i="3"/>
  <c r="I12" i="3"/>
  <c r="F12" i="3"/>
  <c r="G11" i="3"/>
  <c r="F11" i="3"/>
  <c r="J6" i="3"/>
  <c r="G6" i="3"/>
  <c r="F6" i="3"/>
  <c r="F8" i="3" s="1"/>
  <c r="E6" i="3"/>
  <c r="E8" i="3" s="1"/>
  <c r="D6" i="3"/>
  <c r="D8" i="3" s="1"/>
  <c r="J5" i="3"/>
  <c r="J7" i="3" s="1"/>
  <c r="G5" i="3"/>
  <c r="E11" i="3" s="1"/>
  <c r="F5" i="3"/>
  <c r="E5" i="3"/>
  <c r="D5" i="3"/>
  <c r="G4" i="3"/>
  <c r="F4" i="3"/>
  <c r="E4" i="3"/>
  <c r="D4" i="3"/>
  <c r="C3" i="3"/>
  <c r="B8" i="1"/>
  <c r="E12" i="15" s="1"/>
  <c r="B7" i="1"/>
  <c r="B3" i="1"/>
  <c r="D12" i="22" s="1"/>
  <c r="G12" i="22"/>
  <c r="G12" i="21"/>
  <c r="G12" i="19"/>
  <c r="G12" i="15"/>
  <c r="G12" i="14"/>
  <c r="G12" i="10"/>
  <c r="G12" i="7"/>
  <c r="G12" i="6"/>
  <c r="G12" i="5"/>
  <c r="G10" i="5" l="1"/>
  <c r="F7" i="6"/>
  <c r="H6" i="7"/>
  <c r="I6" i="7" s="1"/>
  <c r="D7" i="8"/>
  <c r="J7" i="11"/>
  <c r="D7" i="13"/>
  <c r="H6" i="14"/>
  <c r="I6" i="14" s="1"/>
  <c r="E7" i="15"/>
  <c r="K6" i="16"/>
  <c r="D7" i="17"/>
  <c r="H5" i="20"/>
  <c r="I5" i="20" s="1"/>
  <c r="F7" i="22"/>
  <c r="K6" i="7"/>
  <c r="D7" i="3"/>
  <c r="G10" i="12"/>
  <c r="K7" i="15"/>
  <c r="E8" i="18"/>
  <c r="K5" i="22"/>
  <c r="K5" i="4"/>
  <c r="K7" i="4" s="1"/>
  <c r="E7" i="3"/>
  <c r="I13" i="3" a="1"/>
  <c r="I13" i="3" s="1"/>
  <c r="G10" i="7"/>
  <c r="E7" i="10"/>
  <c r="H5" i="17"/>
  <c r="E13" i="17"/>
  <c r="F8" i="18"/>
  <c r="E8" i="20"/>
  <c r="D8" i="22"/>
  <c r="J7" i="6"/>
  <c r="K7" i="8"/>
  <c r="H6" i="9"/>
  <c r="I6" i="9" s="1"/>
  <c r="F8" i="11"/>
  <c r="F7" i="3"/>
  <c r="J7" i="4"/>
  <c r="E8" i="6"/>
  <c r="F7" i="10"/>
  <c r="H6" i="11"/>
  <c r="I6" i="11" s="1"/>
  <c r="D7" i="12"/>
  <c r="J7" i="13"/>
  <c r="D8" i="15"/>
  <c r="G8" i="18"/>
  <c r="F8" i="20"/>
  <c r="E8" i="22"/>
  <c r="F12" i="7"/>
  <c r="I13" i="17" a="1"/>
  <c r="I13" i="17" s="1"/>
  <c r="E8" i="8"/>
  <c r="E8" i="13"/>
  <c r="F8" i="15"/>
  <c r="G13" i="16"/>
  <c r="J7" i="20"/>
  <c r="G13" i="21"/>
  <c r="G8" i="22"/>
  <c r="F8" i="8"/>
  <c r="G10" i="11"/>
  <c r="G7" i="12"/>
  <c r="E13" i="12"/>
  <c r="F8" i="13"/>
  <c r="K6" i="15"/>
  <c r="E7" i="16"/>
  <c r="E13" i="16"/>
  <c r="E8" i="17"/>
  <c r="G7" i="19"/>
  <c r="K12" i="19" s="1"/>
  <c r="H6" i="22"/>
  <c r="I6" i="22" s="1"/>
  <c r="H5" i="12"/>
  <c r="I5" i="12" s="1"/>
  <c r="E7" i="14"/>
  <c r="F8" i="17"/>
  <c r="K6" i="6"/>
  <c r="I13" i="16" a="1"/>
  <c r="I13" i="16" s="1"/>
  <c r="D8" i="19"/>
  <c r="J7" i="21"/>
  <c r="K6" i="22"/>
  <c r="F7" i="5"/>
  <c r="F9" i="5" s="1"/>
  <c r="E7" i="7"/>
  <c r="F7" i="7"/>
  <c r="F12" i="11"/>
  <c r="F7" i="14"/>
  <c r="K6" i="3"/>
  <c r="D7" i="4"/>
  <c r="G10" i="6"/>
  <c r="H5" i="7"/>
  <c r="H7" i="7" s="1"/>
  <c r="I7" i="7" s="1"/>
  <c r="K6" i="8"/>
  <c r="D7" i="9"/>
  <c r="G8" i="10"/>
  <c r="K5" i="12"/>
  <c r="I13" i="14" a="1"/>
  <c r="I13" i="14" s="1"/>
  <c r="E8" i="19"/>
  <c r="F12" i="20"/>
  <c r="G10" i="22"/>
  <c r="G7" i="5"/>
  <c r="G13" i="4"/>
  <c r="E8" i="5"/>
  <c r="J7" i="7"/>
  <c r="E7" i="9"/>
  <c r="D9" i="9" s="1"/>
  <c r="H6" i="10"/>
  <c r="I6" i="10" s="1"/>
  <c r="G10" i="13"/>
  <c r="J7" i="14"/>
  <c r="K5" i="16"/>
  <c r="F8" i="19"/>
  <c r="E8" i="21"/>
  <c r="H5" i="4"/>
  <c r="F12" i="6"/>
  <c r="D8" i="7"/>
  <c r="F7" i="9"/>
  <c r="D7" i="11"/>
  <c r="E8" i="12"/>
  <c r="G10" i="15"/>
  <c r="G10" i="17"/>
  <c r="D7" i="18"/>
  <c r="K6" i="19"/>
  <c r="D7" i="20"/>
  <c r="F8" i="21"/>
  <c r="I13" i="4" a="1"/>
  <c r="I13" i="4" s="1"/>
  <c r="G10" i="8"/>
  <c r="F8" i="12"/>
  <c r="F12" i="22"/>
  <c r="H6" i="12"/>
  <c r="I6" i="12" s="1"/>
  <c r="F8" i="16"/>
  <c r="I5" i="17"/>
  <c r="E9" i="5"/>
  <c r="F9" i="19"/>
  <c r="D9" i="19"/>
  <c r="G9" i="16"/>
  <c r="I5" i="16"/>
  <c r="H7" i="16"/>
  <c r="K13" i="12"/>
  <c r="K12" i="12"/>
  <c r="K7" i="16"/>
  <c r="I5" i="4"/>
  <c r="K13" i="19"/>
  <c r="F9" i="12"/>
  <c r="E9" i="12"/>
  <c r="D9" i="12"/>
  <c r="K12" i="5"/>
  <c r="K7" i="12"/>
  <c r="K13" i="5"/>
  <c r="K13" i="9"/>
  <c r="F7" i="4"/>
  <c r="D8" i="5"/>
  <c r="E12" i="5"/>
  <c r="K5" i="3"/>
  <c r="G7" i="4"/>
  <c r="K13" i="4" s="1"/>
  <c r="F12" i="5"/>
  <c r="G13" i="6"/>
  <c r="D8" i="10"/>
  <c r="E12" i="10"/>
  <c r="G13" i="11"/>
  <c r="H6" i="13"/>
  <c r="I6" i="13" s="1"/>
  <c r="F12" i="15"/>
  <c r="D7" i="16"/>
  <c r="D12" i="17"/>
  <c r="E13" i="18"/>
  <c r="H5" i="19"/>
  <c r="G10" i="19"/>
  <c r="I13" i="21" a="1"/>
  <c r="I13" i="21" s="1"/>
  <c r="E12" i="22"/>
  <c r="D11" i="7"/>
  <c r="E11" i="10"/>
  <c r="G10" i="4"/>
  <c r="G7" i="9"/>
  <c r="D12" i="12"/>
  <c r="G7" i="14"/>
  <c r="E9" i="14" s="1"/>
  <c r="D8" i="17"/>
  <c r="E12" i="17"/>
  <c r="K6" i="18"/>
  <c r="K7" i="18" s="1"/>
  <c r="G13" i="18"/>
  <c r="G8" i="20"/>
  <c r="D11" i="4"/>
  <c r="E11" i="7"/>
  <c r="D11" i="20"/>
  <c r="H6" i="8"/>
  <c r="I6" i="8" s="1"/>
  <c r="G8" i="5"/>
  <c r="I13" i="11" a="1"/>
  <c r="I13" i="11" s="1"/>
  <c r="D8" i="12"/>
  <c r="E12" i="12"/>
  <c r="G8" i="15"/>
  <c r="F7" i="16"/>
  <c r="H6" i="20"/>
  <c r="I6" i="20" s="1"/>
  <c r="G7" i="21"/>
  <c r="E11" i="4"/>
  <c r="D11" i="17"/>
  <c r="E11" i="20"/>
  <c r="E13" i="3"/>
  <c r="I13" i="6" a="1"/>
  <c r="I13" i="6" s="1"/>
  <c r="K5" i="7"/>
  <c r="K7" i="7" s="1"/>
  <c r="D12" i="7"/>
  <c r="H5" i="9"/>
  <c r="G10" i="9"/>
  <c r="E13" i="13"/>
  <c r="H5" i="14"/>
  <c r="G10" i="14"/>
  <c r="B9" i="1"/>
  <c r="G13" i="3"/>
  <c r="E12" i="7"/>
  <c r="E13" i="8"/>
  <c r="F12" i="12"/>
  <c r="K6" i="13"/>
  <c r="G13" i="13"/>
  <c r="H6" i="15"/>
  <c r="I6" i="15" s="1"/>
  <c r="G7" i="16"/>
  <c r="K5" i="19"/>
  <c r="K7" i="19" s="1"/>
  <c r="D12" i="19"/>
  <c r="H5" i="21"/>
  <c r="G10" i="21"/>
  <c r="D11" i="14"/>
  <c r="E11" i="17"/>
  <c r="F8" i="4"/>
  <c r="G7" i="6"/>
  <c r="F9" i="6" s="1"/>
  <c r="E8" i="7"/>
  <c r="G13" i="8"/>
  <c r="G7" i="11"/>
  <c r="G10" i="16"/>
  <c r="G8" i="17"/>
  <c r="I13" i="18" a="1"/>
  <c r="I13" i="18" s="1"/>
  <c r="E12" i="19"/>
  <c r="E13" i="20"/>
  <c r="D11" i="11"/>
  <c r="E11" i="14"/>
  <c r="G8" i="3"/>
  <c r="D8" i="4"/>
  <c r="E12" i="4"/>
  <c r="E13" i="5"/>
  <c r="H5" i="6"/>
  <c r="K5" i="9"/>
  <c r="K7" i="9" s="1"/>
  <c r="D12" i="9"/>
  <c r="H5" i="11"/>
  <c r="G8" i="12"/>
  <c r="K5" i="14"/>
  <c r="K7" i="14" s="1"/>
  <c r="D12" i="14"/>
  <c r="E13" i="15"/>
  <c r="J7" i="16"/>
  <c r="K13" i="16" s="1"/>
  <c r="H6" i="17"/>
  <c r="I6" i="17" s="1"/>
  <c r="G7" i="18"/>
  <c r="F12" i="19"/>
  <c r="G13" i="20"/>
  <c r="D11" i="8"/>
  <c r="E11" i="11"/>
  <c r="E7" i="4"/>
  <c r="E9" i="4" s="1"/>
  <c r="K5" i="5"/>
  <c r="G7" i="7"/>
  <c r="K13" i="7" s="1"/>
  <c r="H6" i="3"/>
  <c r="I6" i="3" s="1"/>
  <c r="K6" i="5"/>
  <c r="G13" i="5"/>
  <c r="I13" i="8" a="1"/>
  <c r="I13" i="8" s="1"/>
  <c r="D8" i="9"/>
  <c r="E12" i="9"/>
  <c r="E13" i="10"/>
  <c r="I13" i="13" a="1"/>
  <c r="I13" i="13" s="1"/>
  <c r="D8" i="14"/>
  <c r="E12" i="14"/>
  <c r="G13" i="15"/>
  <c r="H5" i="18"/>
  <c r="K5" i="21"/>
  <c r="K7" i="21" s="1"/>
  <c r="D12" i="21"/>
  <c r="E13" i="22"/>
  <c r="D11" i="5"/>
  <c r="E11" i="8"/>
  <c r="D11" i="21"/>
  <c r="F12" i="9"/>
  <c r="G13" i="10"/>
  <c r="G7" i="13"/>
  <c r="F12" i="14"/>
  <c r="D12" i="16"/>
  <c r="G8" i="19"/>
  <c r="I13" i="20" a="1"/>
  <c r="I13" i="20" s="1"/>
  <c r="D8" i="21"/>
  <c r="E12" i="21"/>
  <c r="G13" i="22"/>
  <c r="E11" i="5"/>
  <c r="D11" i="18"/>
  <c r="E11" i="21"/>
  <c r="G8" i="4"/>
  <c r="I13" i="5" a="1"/>
  <c r="I13" i="5" s="1"/>
  <c r="K5" i="6"/>
  <c r="K7" i="6" s="1"/>
  <c r="G7" i="8"/>
  <c r="K13" i="8" s="1"/>
  <c r="K5" i="11"/>
  <c r="K7" i="11" s="1"/>
  <c r="D12" i="11"/>
  <c r="H5" i="13"/>
  <c r="I13" i="15" a="1"/>
  <c r="I13" i="15" s="1"/>
  <c r="D8" i="16"/>
  <c r="E12" i="16"/>
  <c r="G13" i="17"/>
  <c r="H6" i="19"/>
  <c r="I6" i="19" s="1"/>
  <c r="F12" i="21"/>
  <c r="D11" i="15"/>
  <c r="E11" i="18"/>
  <c r="D8" i="6"/>
  <c r="E12" i="6"/>
  <c r="E13" i="7"/>
  <c r="H5" i="8"/>
  <c r="G8" i="9"/>
  <c r="I13" i="10" a="1"/>
  <c r="I13" i="10" s="1"/>
  <c r="E12" i="11"/>
  <c r="G9" i="12"/>
  <c r="G13" i="12"/>
  <c r="G8" i="14"/>
  <c r="F12" i="16"/>
  <c r="D12" i="18"/>
  <c r="G7" i="20"/>
  <c r="F9" i="20" s="1"/>
  <c r="I13" i="22" a="1"/>
  <c r="I13" i="22" s="1"/>
  <c r="D11" i="12"/>
  <c r="E11" i="15"/>
  <c r="E8" i="11"/>
  <c r="G7" i="15"/>
  <c r="E12" i="18"/>
  <c r="E13" i="19"/>
  <c r="G10" i="20"/>
  <c r="G8" i="21"/>
  <c r="D11" i="9"/>
  <c r="E11" i="12"/>
  <c r="H6" i="4"/>
  <c r="I6" i="4" s="1"/>
  <c r="H5" i="5"/>
  <c r="G7" i="10"/>
  <c r="F9" i="10" s="1"/>
  <c r="I13" i="12" a="1"/>
  <c r="I13" i="12" s="1"/>
  <c r="K5" i="13"/>
  <c r="K7" i="13" s="1"/>
  <c r="D12" i="13"/>
  <c r="H5" i="15"/>
  <c r="G8" i="16"/>
  <c r="F12" i="18"/>
  <c r="G13" i="19"/>
  <c r="G7" i="22"/>
  <c r="F9" i="22" s="1"/>
  <c r="D11" i="6"/>
  <c r="E11" i="9"/>
  <c r="D11" i="22"/>
  <c r="D12" i="3"/>
  <c r="G7" i="3"/>
  <c r="K12" i="3" s="1"/>
  <c r="E12" i="3"/>
  <c r="I13" i="7" a="1"/>
  <c r="I13" i="7" s="1"/>
  <c r="D12" i="8"/>
  <c r="E13" i="9"/>
  <c r="H5" i="10"/>
  <c r="G8" i="11"/>
  <c r="E12" i="13"/>
  <c r="E13" i="14"/>
  <c r="G7" i="17"/>
  <c r="F9" i="17" s="1"/>
  <c r="H5" i="22"/>
  <c r="D11" i="3"/>
  <c r="E11" i="6"/>
  <c r="D11" i="19"/>
  <c r="G13" i="7"/>
  <c r="G8" i="6"/>
  <c r="H5" i="3"/>
  <c r="E12" i="8"/>
  <c r="G13" i="9"/>
  <c r="J7" i="10"/>
  <c r="K13" i="10" s="1"/>
  <c r="F12" i="13"/>
  <c r="G13" i="14"/>
  <c r="I13" i="19" a="1"/>
  <c r="I13" i="19" s="1"/>
  <c r="D12" i="20"/>
  <c r="J7" i="22"/>
  <c r="K13" i="22" s="1"/>
  <c r="D11" i="16"/>
  <c r="E11" i="19"/>
  <c r="H7" i="12"/>
  <c r="I7" i="12" s="1"/>
  <c r="D12" i="15"/>
  <c r="E12" i="20"/>
  <c r="D11" i="13"/>
  <c r="D12" i="10"/>
  <c r="G12" i="9"/>
  <c r="G12" i="8"/>
  <c r="G12" i="13"/>
  <c r="G12" i="12"/>
  <c r="G12" i="11"/>
  <c r="G12" i="17"/>
  <c r="G12" i="18"/>
  <c r="G12" i="3"/>
  <c r="G12" i="4"/>
  <c r="G12" i="20"/>
  <c r="G12" i="16"/>
  <c r="F9" i="9" l="1"/>
  <c r="E9" i="19"/>
  <c r="D9" i="20"/>
  <c r="D9" i="10"/>
  <c r="K7" i="3"/>
  <c r="H7" i="4"/>
  <c r="E9" i="10"/>
  <c r="D9" i="5"/>
  <c r="H7" i="17"/>
  <c r="I7" i="17" s="1"/>
  <c r="K13" i="20"/>
  <c r="I5" i="7"/>
  <c r="G9" i="7"/>
  <c r="H7" i="20"/>
  <c r="I7" i="20" s="1"/>
  <c r="K7" i="22"/>
  <c r="G9" i="19"/>
  <c r="I5" i="19"/>
  <c r="H7" i="19"/>
  <c r="I7" i="19" s="1"/>
  <c r="D9" i="22"/>
  <c r="K12" i="16"/>
  <c r="D10" i="16"/>
  <c r="E9" i="22"/>
  <c r="G9" i="4"/>
  <c r="D9" i="3"/>
  <c r="D9" i="17"/>
  <c r="I7" i="4"/>
  <c r="K12" i="18"/>
  <c r="D10" i="18"/>
  <c r="H7" i="3"/>
  <c r="I7" i="3" s="1"/>
  <c r="G9" i="3"/>
  <c r="I5" i="3"/>
  <c r="I5" i="13"/>
  <c r="H7" i="13"/>
  <c r="I7" i="13" s="1"/>
  <c r="G9" i="13"/>
  <c r="K13" i="17"/>
  <c r="E9" i="3"/>
  <c r="E9" i="17"/>
  <c r="D10" i="13"/>
  <c r="K12" i="13"/>
  <c r="F9" i="16"/>
  <c r="E9" i="16"/>
  <c r="D9" i="16"/>
  <c r="D9" i="4"/>
  <c r="F9" i="3"/>
  <c r="E9" i="6"/>
  <c r="F9" i="4"/>
  <c r="K13" i="14"/>
  <c r="K13" i="6"/>
  <c r="D9" i="13"/>
  <c r="I5" i="5"/>
  <c r="H7" i="5"/>
  <c r="I7" i="5" s="1"/>
  <c r="G9" i="5"/>
  <c r="D9" i="6"/>
  <c r="E9" i="9"/>
  <c r="D9" i="14"/>
  <c r="E9" i="13"/>
  <c r="D10" i="8"/>
  <c r="K12" i="8"/>
  <c r="D10" i="22"/>
  <c r="K12" i="22"/>
  <c r="I5" i="8"/>
  <c r="H7" i="8"/>
  <c r="I7" i="8" s="1"/>
  <c r="G9" i="8"/>
  <c r="K12" i="11"/>
  <c r="D10" i="11"/>
  <c r="K12" i="21"/>
  <c r="D10" i="21"/>
  <c r="F9" i="13"/>
  <c r="I5" i="11"/>
  <c r="H7" i="11"/>
  <c r="I7" i="11" s="1"/>
  <c r="G9" i="11"/>
  <c r="D10" i="14"/>
  <c r="K12" i="14"/>
  <c r="E9" i="20"/>
  <c r="I7" i="16"/>
  <c r="F9" i="14"/>
  <c r="K13" i="11"/>
  <c r="I5" i="22"/>
  <c r="H7" i="22"/>
  <c r="I7" i="22" s="1"/>
  <c r="G9" i="22"/>
  <c r="D10" i="17"/>
  <c r="K12" i="17"/>
  <c r="D10" i="15"/>
  <c r="K12" i="15"/>
  <c r="D10" i="7"/>
  <c r="K12" i="7"/>
  <c r="D10" i="19"/>
  <c r="D9" i="8"/>
  <c r="K7" i="5"/>
  <c r="K12" i="6"/>
  <c r="D10" i="6"/>
  <c r="D10" i="9"/>
  <c r="K12" i="9"/>
  <c r="F9" i="18"/>
  <c r="E9" i="8"/>
  <c r="I5" i="6"/>
  <c r="H7" i="6"/>
  <c r="I7" i="6" s="1"/>
  <c r="G9" i="6"/>
  <c r="D9" i="18"/>
  <c r="D10" i="12"/>
  <c r="K13" i="3"/>
  <c r="F9" i="8"/>
  <c r="K12" i="4"/>
  <c r="D10" i="4"/>
  <c r="E9" i="18"/>
  <c r="K13" i="13"/>
  <c r="D9" i="21"/>
  <c r="K13" i="15"/>
  <c r="D9" i="11"/>
  <c r="D9" i="7"/>
  <c r="K13" i="21"/>
  <c r="E9" i="21"/>
  <c r="D9" i="15"/>
  <c r="I5" i="10"/>
  <c r="H7" i="10"/>
  <c r="I7" i="10" s="1"/>
  <c r="G9" i="10"/>
  <c r="I5" i="18"/>
  <c r="H7" i="18"/>
  <c r="I7" i="18" s="1"/>
  <c r="G9" i="18"/>
  <c r="D10" i="20"/>
  <c r="K12" i="20"/>
  <c r="E9" i="11"/>
  <c r="E9" i="7"/>
  <c r="K13" i="18"/>
  <c r="F9" i="21"/>
  <c r="E9" i="15"/>
  <c r="I5" i="15"/>
  <c r="H7" i="15"/>
  <c r="I7" i="15" s="1"/>
  <c r="G9" i="15"/>
  <c r="G9" i="14"/>
  <c r="I5" i="14"/>
  <c r="H7" i="14"/>
  <c r="I7" i="14" s="1"/>
  <c r="D10" i="10"/>
  <c r="K12" i="10"/>
  <c r="G9" i="20"/>
  <c r="G9" i="21"/>
  <c r="I5" i="21"/>
  <c r="H7" i="21"/>
  <c r="I7" i="21" s="1"/>
  <c r="G9" i="9"/>
  <c r="I5" i="9"/>
  <c r="H7" i="9"/>
  <c r="I7" i="9" s="1"/>
  <c r="D10" i="5"/>
  <c r="F9" i="11"/>
  <c r="F9" i="7"/>
  <c r="G9" i="17"/>
  <c r="F9" i="15"/>
  <c r="F10" i="5" l="1"/>
  <c r="E10" i="5"/>
  <c r="F10" i="18"/>
  <c r="E10" i="18"/>
  <c r="F10" i="6"/>
  <c r="E10" i="6"/>
  <c r="F10" i="8"/>
  <c r="E10" i="8"/>
  <c r="F10" i="20"/>
  <c r="E10" i="20"/>
  <c r="F10" i="13"/>
  <c r="E10" i="13"/>
  <c r="F10" i="12"/>
  <c r="E10" i="12"/>
  <c r="F10" i="15"/>
  <c r="E10" i="15"/>
  <c r="F10" i="17"/>
  <c r="E10" i="17"/>
  <c r="F10" i="11"/>
  <c r="E10" i="11"/>
  <c r="F10" i="9"/>
  <c r="E10" i="9"/>
  <c r="F10" i="22"/>
  <c r="E10" i="22"/>
  <c r="F10" i="4"/>
  <c r="E10" i="4"/>
  <c r="F10" i="14"/>
  <c r="E10" i="14"/>
  <c r="F10" i="19"/>
  <c r="E10" i="19"/>
  <c r="F10" i="10"/>
  <c r="E10" i="10"/>
  <c r="E10" i="7"/>
  <c r="F10" i="7"/>
  <c r="F10" i="16"/>
  <c r="E10" i="16"/>
  <c r="F10" i="21"/>
  <c r="E10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<sst xmlns="http://schemas.openxmlformats.org/spreadsheetml/2006/main" count="828" uniqueCount="37">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</sst>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4F0-C264-41B9-995C-0FBFA1EFFCC9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7</v>
      </c>
    </row>
    <row r="3" spans="1:2" x14ac:dyDescent="0.25">
      <c r="A3" t="s">
        <v>18</v>
      </c>
      <c r="B3">
        <f>MATCH(B2,Data!H2:H11,0)</f>
        <v>1</v>
      </c>
    </row>
    <row r="4" spans="1:2" x14ac:dyDescent="0.25">
      <c r="A4" t="s">
        <v>1</v>
      </c>
      <c r="B4">
        <v>40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A - week 40 (mln EUR)</v>
      </c>
    </row>
    <row r="8" spans="1:2" x14ac:dyDescent="0.25">
      <c r="A8" t="s">
        <v>23</v>
      </c>
      <c r="B8">
        <f>INDEX(Data!G:G,MATCH(1,INDEX((Data!A:A=B2)*(Data!B:B=B4),0),0))</f>
        <v>46300.421689780094</v>
      </c>
    </row>
    <row r="9" spans="1:2" x14ac:dyDescent="0.25">
      <c r="A9" t="s">
        <v>24</v>
      </c>
      <c r="B9">
        <f>EOMONTH(B8,0)</f>
        <v>46326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1AED-3F6A-46BD-B5CE-B6CF84CDA61C}">
  <dimension ref="A1:H5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1456.318</v>
      </c>
      <c r="D2">
        <v>1808.4</v>
      </c>
      <c r="E2">
        <v>1507</v>
      </c>
      <c r="F2">
        <v>1806</v>
      </c>
      <c r="G2">
        <v>46027.421689756942</v>
      </c>
      <c r="H2" t="s">
        <v>7</v>
      </c>
    </row>
    <row r="3" spans="1:8" x14ac:dyDescent="0.25">
      <c r="A3" t="s">
        <v>7</v>
      </c>
      <c r="B3">
        <v>2</v>
      </c>
      <c r="C3">
        <v>1541.67</v>
      </c>
      <c r="D3">
        <v>1794.8</v>
      </c>
      <c r="E3">
        <v>1513</v>
      </c>
      <c r="F3">
        <v>1813</v>
      </c>
      <c r="G3">
        <v>46034.421689756942</v>
      </c>
      <c r="H3" t="s">
        <v>8</v>
      </c>
    </row>
    <row r="4" spans="1:8" x14ac:dyDescent="0.25">
      <c r="A4" t="s">
        <v>7</v>
      </c>
      <c r="B4">
        <v>3</v>
      </c>
      <c r="C4">
        <v>1501.3050000000001</v>
      </c>
      <c r="D4">
        <v>1880.2</v>
      </c>
      <c r="E4">
        <v>1520</v>
      </c>
      <c r="F4">
        <v>1819</v>
      </c>
      <c r="G4">
        <v>46041.421689756942</v>
      </c>
      <c r="H4" t="s">
        <v>9</v>
      </c>
    </row>
    <row r="5" spans="1:8" x14ac:dyDescent="0.25">
      <c r="A5" t="s">
        <v>7</v>
      </c>
      <c r="B5">
        <v>4</v>
      </c>
      <c r="C5">
        <v>1479.1220000000001</v>
      </c>
      <c r="D5">
        <v>1803.6</v>
      </c>
      <c r="E5">
        <v>1527</v>
      </c>
      <c r="F5">
        <v>1825</v>
      </c>
      <c r="G5">
        <v>46048.421689756942</v>
      </c>
      <c r="H5" t="s">
        <v>10</v>
      </c>
    </row>
    <row r="6" spans="1:8" x14ac:dyDescent="0.25">
      <c r="A6" t="s">
        <v>7</v>
      </c>
      <c r="B6">
        <v>5</v>
      </c>
      <c r="C6">
        <v>1492.5609999999999</v>
      </c>
      <c r="D6">
        <v>1849</v>
      </c>
      <c r="E6">
        <v>1534</v>
      </c>
      <c r="F6">
        <v>1832</v>
      </c>
      <c r="G6">
        <v>46055.421689756942</v>
      </c>
      <c r="H6" t="s">
        <v>11</v>
      </c>
    </row>
    <row r="7" spans="1:8" x14ac:dyDescent="0.25">
      <c r="A7" t="s">
        <v>7</v>
      </c>
      <c r="B7">
        <v>6</v>
      </c>
      <c r="C7">
        <v>1573.5650000000001</v>
      </c>
      <c r="D7">
        <v>1875.4</v>
      </c>
      <c r="E7">
        <v>1540</v>
      </c>
      <c r="F7">
        <v>1838</v>
      </c>
      <c r="G7">
        <v>46062.421689756942</v>
      </c>
      <c r="H7" t="s">
        <v>12</v>
      </c>
    </row>
    <row r="8" spans="1:8" x14ac:dyDescent="0.25">
      <c r="A8" t="s">
        <v>7</v>
      </c>
      <c r="B8">
        <v>7</v>
      </c>
      <c r="C8">
        <v>1507.268</v>
      </c>
      <c r="D8">
        <v>1759.8</v>
      </c>
      <c r="E8">
        <v>1547</v>
      </c>
      <c r="F8">
        <v>1844</v>
      </c>
      <c r="G8">
        <v>46069.421689756942</v>
      </c>
      <c r="H8" t="s">
        <v>13</v>
      </c>
    </row>
    <row r="9" spans="1:8" x14ac:dyDescent="0.25">
      <c r="A9" t="s">
        <v>7</v>
      </c>
      <c r="B9">
        <v>8</v>
      </c>
      <c r="C9">
        <v>1587.048</v>
      </c>
      <c r="D9">
        <v>1889.2</v>
      </c>
      <c r="E9">
        <v>1554</v>
      </c>
      <c r="F9">
        <v>1850</v>
      </c>
      <c r="G9">
        <v>46076.421689756942</v>
      </c>
      <c r="H9" t="s">
        <v>14</v>
      </c>
    </row>
    <row r="10" spans="1:8" x14ac:dyDescent="0.25">
      <c r="A10" t="s">
        <v>7</v>
      </c>
      <c r="B10">
        <v>9</v>
      </c>
      <c r="C10">
        <v>1496.472</v>
      </c>
      <c r="D10">
        <v>1860.6</v>
      </c>
      <c r="E10">
        <v>1561</v>
      </c>
      <c r="F10">
        <v>1857</v>
      </c>
      <c r="G10">
        <v>46083.421689756942</v>
      </c>
      <c r="H10" t="s">
        <v>15</v>
      </c>
    </row>
    <row r="11" spans="1:8" x14ac:dyDescent="0.25">
      <c r="A11" t="s">
        <v>7</v>
      </c>
      <c r="B11">
        <v>10</v>
      </c>
      <c r="C11">
        <v>1539.6489999999999</v>
      </c>
      <c r="D11">
        <v>1877</v>
      </c>
      <c r="E11">
        <v>1568</v>
      </c>
      <c r="F11">
        <v>1863</v>
      </c>
      <c r="G11">
        <v>46090.421689756942</v>
      </c>
      <c r="H11" t="s">
        <v>16</v>
      </c>
    </row>
    <row r="12" spans="1:8" x14ac:dyDescent="0.25">
      <c r="A12" t="s">
        <v>7</v>
      </c>
      <c r="B12">
        <v>11</v>
      </c>
      <c r="C12">
        <v>1608.317</v>
      </c>
      <c r="D12">
        <v>1881.4</v>
      </c>
      <c r="E12">
        <v>1574</v>
      </c>
      <c r="F12">
        <v>1869</v>
      </c>
      <c r="G12">
        <v>46097.421689756942</v>
      </c>
    </row>
    <row r="13" spans="1:8" x14ac:dyDescent="0.25">
      <c r="A13" t="s">
        <v>7</v>
      </c>
      <c r="B13">
        <v>12</v>
      </c>
      <c r="C13">
        <v>1614.5650000000001</v>
      </c>
      <c r="D13">
        <v>1942.8</v>
      </c>
      <c r="E13">
        <v>1581</v>
      </c>
      <c r="F13">
        <v>1876</v>
      </c>
      <c r="G13">
        <v>46104.421689756942</v>
      </c>
    </row>
    <row r="14" spans="1:8" x14ac:dyDescent="0.25">
      <c r="A14" t="s">
        <v>7</v>
      </c>
      <c r="B14">
        <v>13</v>
      </c>
      <c r="C14">
        <v>1556.9549999999999</v>
      </c>
      <c r="D14">
        <v>1867.2</v>
      </c>
      <c r="E14">
        <v>1588</v>
      </c>
      <c r="F14">
        <v>1882</v>
      </c>
      <c r="G14">
        <v>46111.421689756942</v>
      </c>
    </row>
    <row r="15" spans="1:8" x14ac:dyDescent="0.25">
      <c r="A15" t="s">
        <v>7</v>
      </c>
      <c r="B15">
        <v>14</v>
      </c>
      <c r="C15">
        <v>1559.597</v>
      </c>
      <c r="D15">
        <v>1796.6</v>
      </c>
      <c r="E15">
        <v>1594</v>
      </c>
      <c r="F15">
        <v>1888</v>
      </c>
      <c r="G15">
        <v>46118.421689756942</v>
      </c>
    </row>
    <row r="16" spans="1:8" x14ac:dyDescent="0.25">
      <c r="A16" t="s">
        <v>7</v>
      </c>
      <c r="B16">
        <v>15</v>
      </c>
      <c r="C16">
        <v>1555.7860000000001</v>
      </c>
      <c r="D16">
        <v>1864</v>
      </c>
      <c r="E16">
        <v>1601</v>
      </c>
      <c r="F16">
        <v>1894</v>
      </c>
      <c r="G16">
        <v>46125.421689756942</v>
      </c>
    </row>
    <row r="17" spans="1:7" x14ac:dyDescent="0.25">
      <c r="A17" t="s">
        <v>7</v>
      </c>
      <c r="B17">
        <v>16</v>
      </c>
      <c r="C17">
        <v>1589.971</v>
      </c>
      <c r="D17">
        <v>1906.4</v>
      </c>
      <c r="E17">
        <v>1608</v>
      </c>
      <c r="F17">
        <v>1901</v>
      </c>
      <c r="G17">
        <v>46132.421689756942</v>
      </c>
    </row>
    <row r="18" spans="1:7" x14ac:dyDescent="0.25">
      <c r="A18" t="s">
        <v>7</v>
      </c>
      <c r="B18">
        <v>17</v>
      </c>
      <c r="C18">
        <v>1606.153</v>
      </c>
      <c r="D18">
        <v>1871.8</v>
      </c>
      <c r="E18">
        <v>1615</v>
      </c>
      <c r="F18">
        <v>1907</v>
      </c>
      <c r="G18">
        <v>46139.421689756942</v>
      </c>
    </row>
    <row r="19" spans="1:7" x14ac:dyDescent="0.25">
      <c r="A19" t="s">
        <v>7</v>
      </c>
      <c r="B19">
        <v>18</v>
      </c>
      <c r="C19">
        <v>1617.9469999999999</v>
      </c>
      <c r="D19">
        <v>1856.2</v>
      </c>
      <c r="E19">
        <v>1622</v>
      </c>
      <c r="F19">
        <v>1913</v>
      </c>
      <c r="G19">
        <v>46146.421689756942</v>
      </c>
    </row>
    <row r="20" spans="1:7" x14ac:dyDescent="0.25">
      <c r="A20" t="s">
        <v>7</v>
      </c>
      <c r="B20">
        <v>19</v>
      </c>
      <c r="C20">
        <v>1588.2539999999999</v>
      </c>
      <c r="D20">
        <v>1865.6</v>
      </c>
      <c r="E20">
        <v>1628</v>
      </c>
      <c r="F20">
        <v>1920</v>
      </c>
      <c r="G20">
        <v>46153.421689756942</v>
      </c>
    </row>
    <row r="21" spans="1:7" x14ac:dyDescent="0.25">
      <c r="A21" t="s">
        <v>7</v>
      </c>
      <c r="B21">
        <v>20</v>
      </c>
      <c r="C21">
        <v>1647.7239999999999</v>
      </c>
      <c r="D21">
        <v>1859</v>
      </c>
      <c r="E21">
        <v>1635</v>
      </c>
      <c r="F21">
        <v>1926</v>
      </c>
      <c r="G21">
        <v>46160.421689756942</v>
      </c>
    </row>
    <row r="22" spans="1:7" x14ac:dyDescent="0.25">
      <c r="A22" t="s">
        <v>7</v>
      </c>
      <c r="B22">
        <v>21</v>
      </c>
      <c r="C22">
        <v>1665.0350000000001</v>
      </c>
      <c r="D22">
        <v>1937.4</v>
      </c>
      <c r="E22">
        <v>1642</v>
      </c>
      <c r="F22">
        <v>1932</v>
      </c>
      <c r="G22">
        <v>46167.421689756942</v>
      </c>
    </row>
    <row r="23" spans="1:7" x14ac:dyDescent="0.25">
      <c r="A23" t="s">
        <v>7</v>
      </c>
      <c r="B23">
        <v>22</v>
      </c>
      <c r="C23">
        <v>1603.268</v>
      </c>
      <c r="D23">
        <v>1966.8</v>
      </c>
      <c r="E23">
        <v>1648</v>
      </c>
      <c r="F23">
        <v>1939</v>
      </c>
      <c r="G23">
        <v>46174.421689756942</v>
      </c>
    </row>
    <row r="24" spans="1:7" x14ac:dyDescent="0.25">
      <c r="A24" t="s">
        <v>7</v>
      </c>
      <c r="B24">
        <v>23</v>
      </c>
      <c r="C24">
        <v>1667.336</v>
      </c>
      <c r="D24">
        <v>2003.2</v>
      </c>
      <c r="E24">
        <v>1655</v>
      </c>
      <c r="F24">
        <v>1945</v>
      </c>
      <c r="G24">
        <v>46181.421689780094</v>
      </c>
    </row>
    <row r="25" spans="1:7" x14ac:dyDescent="0.25">
      <c r="A25" t="s">
        <v>7</v>
      </c>
      <c r="B25">
        <v>24</v>
      </c>
      <c r="C25">
        <v>1662.4849999999999</v>
      </c>
      <c r="D25">
        <v>1946.6</v>
      </c>
      <c r="E25">
        <v>1662</v>
      </c>
      <c r="F25">
        <v>1951</v>
      </c>
      <c r="G25">
        <v>46188.421689780094</v>
      </c>
    </row>
    <row r="26" spans="1:7" x14ac:dyDescent="0.25">
      <c r="A26" t="s">
        <v>7</v>
      </c>
      <c r="B26">
        <v>25</v>
      </c>
      <c r="C26">
        <v>1624.91</v>
      </c>
      <c r="D26">
        <v>1962</v>
      </c>
      <c r="E26">
        <v>1669</v>
      </c>
      <c r="F26">
        <v>1957</v>
      </c>
      <c r="G26">
        <v>46195.421689780094</v>
      </c>
    </row>
    <row r="27" spans="1:7" x14ac:dyDescent="0.25">
      <c r="A27" t="s">
        <v>7</v>
      </c>
      <c r="B27">
        <v>26</v>
      </c>
      <c r="C27">
        <v>1596.625</v>
      </c>
      <c r="D27">
        <v>1901.4</v>
      </c>
      <c r="E27">
        <v>1676</v>
      </c>
      <c r="F27">
        <v>1964</v>
      </c>
      <c r="G27">
        <v>46202.421689780094</v>
      </c>
    </row>
    <row r="28" spans="1:7" x14ac:dyDescent="0.25">
      <c r="A28" t="s">
        <v>7</v>
      </c>
      <c r="B28">
        <v>27</v>
      </c>
      <c r="C28">
        <v>1649.578</v>
      </c>
      <c r="D28">
        <v>1945.8</v>
      </c>
      <c r="E28">
        <v>1682</v>
      </c>
      <c r="F28">
        <v>1970</v>
      </c>
      <c r="G28">
        <v>46209.421689780094</v>
      </c>
    </row>
    <row r="29" spans="1:7" x14ac:dyDescent="0.25">
      <c r="A29" t="s">
        <v>7</v>
      </c>
      <c r="B29">
        <v>28</v>
      </c>
      <c r="C29">
        <v>1721.7919999999999</v>
      </c>
      <c r="D29">
        <v>1950.2</v>
      </c>
      <c r="E29">
        <v>1689</v>
      </c>
      <c r="F29">
        <v>1976</v>
      </c>
      <c r="G29">
        <v>46216.421689780094</v>
      </c>
    </row>
    <row r="30" spans="1:7" x14ac:dyDescent="0.25">
      <c r="A30" t="s">
        <v>7</v>
      </c>
      <c r="B30">
        <v>29</v>
      </c>
      <c r="C30">
        <v>1645.277</v>
      </c>
      <c r="D30">
        <v>1935.6</v>
      </c>
      <c r="E30">
        <v>1696</v>
      </c>
      <c r="F30">
        <v>1983</v>
      </c>
      <c r="G30">
        <v>46223.421689780094</v>
      </c>
    </row>
    <row r="31" spans="1:7" x14ac:dyDescent="0.25">
      <c r="A31" t="s">
        <v>7</v>
      </c>
      <c r="B31">
        <v>30</v>
      </c>
      <c r="C31">
        <v>1667.5650000000001</v>
      </c>
      <c r="D31">
        <v>1931</v>
      </c>
      <c r="E31">
        <v>1702</v>
      </c>
      <c r="F31">
        <v>1989</v>
      </c>
      <c r="G31">
        <v>46230.421689780094</v>
      </c>
    </row>
    <row r="32" spans="1:7" x14ac:dyDescent="0.25">
      <c r="A32" t="s">
        <v>7</v>
      </c>
      <c r="B32">
        <v>31</v>
      </c>
      <c r="C32">
        <v>1712.595</v>
      </c>
      <c r="D32">
        <v>1923.4</v>
      </c>
      <c r="E32">
        <v>1709</v>
      </c>
      <c r="F32">
        <v>1995</v>
      </c>
      <c r="G32">
        <v>46237.421689780094</v>
      </c>
    </row>
    <row r="33" spans="1:7" x14ac:dyDescent="0.25">
      <c r="A33" t="s">
        <v>7</v>
      </c>
      <c r="B33">
        <v>32</v>
      </c>
      <c r="C33">
        <v>1666.473</v>
      </c>
      <c r="D33">
        <v>1981.8</v>
      </c>
      <c r="E33">
        <v>1716</v>
      </c>
      <c r="F33">
        <v>2002</v>
      </c>
      <c r="G33">
        <v>46244.421689780094</v>
      </c>
    </row>
    <row r="34" spans="1:7" x14ac:dyDescent="0.25">
      <c r="A34" t="s">
        <v>7</v>
      </c>
      <c r="B34">
        <v>33</v>
      </c>
      <c r="C34">
        <v>1680.95</v>
      </c>
      <c r="D34">
        <v>1980.2</v>
      </c>
      <c r="E34">
        <v>1723</v>
      </c>
      <c r="F34">
        <v>2008</v>
      </c>
      <c r="G34">
        <v>46251.421689780094</v>
      </c>
    </row>
    <row r="35" spans="1:7" x14ac:dyDescent="0.25">
      <c r="A35" t="s">
        <v>7</v>
      </c>
      <c r="B35">
        <v>34</v>
      </c>
      <c r="C35">
        <v>1714.6969999999999</v>
      </c>
      <c r="D35">
        <v>2004.6</v>
      </c>
      <c r="E35">
        <v>1730</v>
      </c>
      <c r="F35">
        <v>2014</v>
      </c>
      <c r="G35">
        <v>46258.421689780094</v>
      </c>
    </row>
    <row r="36" spans="1:7" x14ac:dyDescent="0.25">
      <c r="A36" t="s">
        <v>7</v>
      </c>
      <c r="B36">
        <v>35</v>
      </c>
      <c r="C36">
        <v>1726.885</v>
      </c>
      <c r="D36">
        <v>2015</v>
      </c>
      <c r="E36">
        <v>1736</v>
      </c>
      <c r="F36">
        <v>2020</v>
      </c>
      <c r="G36">
        <v>46265.421689780094</v>
      </c>
    </row>
    <row r="37" spans="1:7" x14ac:dyDescent="0.25">
      <c r="A37" t="s">
        <v>7</v>
      </c>
      <c r="B37">
        <v>36</v>
      </c>
      <c r="C37">
        <v>1748.2950000000001</v>
      </c>
      <c r="D37">
        <v>1920.4</v>
      </c>
      <c r="E37">
        <v>1743</v>
      </c>
      <c r="F37">
        <v>2027</v>
      </c>
      <c r="G37">
        <v>46272.421689780094</v>
      </c>
    </row>
    <row r="38" spans="1:7" x14ac:dyDescent="0.25">
      <c r="A38" t="s">
        <v>7</v>
      </c>
      <c r="B38">
        <v>37</v>
      </c>
      <c r="C38">
        <v>1731.288</v>
      </c>
      <c r="D38">
        <v>2019.8</v>
      </c>
      <c r="E38">
        <v>1750</v>
      </c>
      <c r="F38">
        <v>2033</v>
      </c>
      <c r="G38">
        <v>46279.421689780094</v>
      </c>
    </row>
    <row r="39" spans="1:7" x14ac:dyDescent="0.25">
      <c r="A39" t="s">
        <v>7</v>
      </c>
      <c r="B39">
        <v>38</v>
      </c>
      <c r="C39">
        <v>1668.3340000000001</v>
      </c>
      <c r="D39">
        <v>1948.2</v>
      </c>
      <c r="E39">
        <v>1756</v>
      </c>
      <c r="F39">
        <v>2039</v>
      </c>
      <c r="G39">
        <v>46286.421689780094</v>
      </c>
    </row>
    <row r="40" spans="1:7" x14ac:dyDescent="0.25">
      <c r="A40" t="s">
        <v>7</v>
      </c>
      <c r="B40">
        <v>39</v>
      </c>
      <c r="C40">
        <v>1757.8789999999999</v>
      </c>
      <c r="D40">
        <v>1968.6</v>
      </c>
      <c r="E40">
        <v>1763</v>
      </c>
      <c r="F40">
        <v>2046</v>
      </c>
      <c r="G40">
        <v>46293.421689780094</v>
      </c>
    </row>
    <row r="41" spans="1:7" x14ac:dyDescent="0.25">
      <c r="A41" t="s">
        <v>7</v>
      </c>
      <c r="B41">
        <v>40</v>
      </c>
      <c r="C41">
        <v>1699.9929999999999</v>
      </c>
      <c r="D41">
        <v>2094</v>
      </c>
      <c r="E41">
        <v>1770</v>
      </c>
      <c r="F41">
        <v>2052</v>
      </c>
      <c r="G41">
        <v>46300.421689780094</v>
      </c>
    </row>
    <row r="42" spans="1:7" x14ac:dyDescent="0.25">
      <c r="A42" t="s">
        <v>7</v>
      </c>
      <c r="B42">
        <v>41</v>
      </c>
      <c r="C42">
        <v>1738.356</v>
      </c>
      <c r="D42">
        <v>2064.4</v>
      </c>
      <c r="E42">
        <v>1777</v>
      </c>
      <c r="F42">
        <v>2058</v>
      </c>
      <c r="G42">
        <v>46307.421689780094</v>
      </c>
    </row>
    <row r="43" spans="1:7" x14ac:dyDescent="0.25">
      <c r="A43" t="s">
        <v>7</v>
      </c>
      <c r="B43">
        <v>42</v>
      </c>
      <c r="C43">
        <v>1774.934</v>
      </c>
      <c r="D43">
        <v>2088.8000000000002</v>
      </c>
      <c r="E43">
        <v>1784</v>
      </c>
      <c r="F43">
        <v>2065</v>
      </c>
      <c r="G43">
        <v>46314.421689780094</v>
      </c>
    </row>
    <row r="44" spans="1:7" x14ac:dyDescent="0.25">
      <c r="A44" t="s">
        <v>7</v>
      </c>
      <c r="B44">
        <v>43</v>
      </c>
      <c r="C44">
        <v>1743.999</v>
      </c>
      <c r="D44">
        <v>2021.2</v>
      </c>
      <c r="E44">
        <v>1790</v>
      </c>
      <c r="F44">
        <v>2071</v>
      </c>
      <c r="G44">
        <v>46321.421689780094</v>
      </c>
    </row>
    <row r="45" spans="1:7" x14ac:dyDescent="0.25">
      <c r="A45" t="s">
        <v>7</v>
      </c>
      <c r="B45">
        <v>44</v>
      </c>
      <c r="C45">
        <v>1717.6469999999999</v>
      </c>
      <c r="D45">
        <v>2064.6</v>
      </c>
      <c r="E45">
        <v>1797</v>
      </c>
      <c r="F45">
        <v>2077</v>
      </c>
      <c r="G45">
        <v>46328.421689780094</v>
      </c>
    </row>
    <row r="46" spans="1:7" x14ac:dyDescent="0.25">
      <c r="A46" t="s">
        <v>7</v>
      </c>
      <c r="B46">
        <v>45</v>
      </c>
      <c r="C46">
        <v>1799.806</v>
      </c>
      <c r="D46">
        <v>2104</v>
      </c>
      <c r="E46">
        <v>1804</v>
      </c>
      <c r="F46">
        <v>2084</v>
      </c>
      <c r="G46">
        <v>46335.421689780094</v>
      </c>
    </row>
    <row r="47" spans="1:7" x14ac:dyDescent="0.25">
      <c r="A47" t="s">
        <v>7</v>
      </c>
      <c r="B47">
        <v>46</v>
      </c>
      <c r="C47">
        <v>1819.3140000000001</v>
      </c>
      <c r="D47">
        <v>2113.4</v>
      </c>
      <c r="E47">
        <v>1810</v>
      </c>
      <c r="F47">
        <v>2090</v>
      </c>
      <c r="G47">
        <v>46342.421689780094</v>
      </c>
    </row>
    <row r="48" spans="1:7" x14ac:dyDescent="0.25">
      <c r="A48" t="s">
        <v>7</v>
      </c>
      <c r="B48">
        <v>47</v>
      </c>
      <c r="C48">
        <v>1821.4960000000001</v>
      </c>
      <c r="D48">
        <v>2130.8000000000002</v>
      </c>
      <c r="E48">
        <v>1817</v>
      </c>
      <c r="F48">
        <v>2096</v>
      </c>
      <c r="G48">
        <v>46349.421689780094</v>
      </c>
    </row>
    <row r="49" spans="1:7" x14ac:dyDescent="0.25">
      <c r="A49" t="s">
        <v>7</v>
      </c>
      <c r="B49">
        <v>48</v>
      </c>
      <c r="C49">
        <v>1767.817</v>
      </c>
      <c r="D49">
        <v>2023.2</v>
      </c>
      <c r="E49">
        <v>1824</v>
      </c>
      <c r="F49">
        <v>2102</v>
      </c>
      <c r="G49">
        <v>46356.421689780094</v>
      </c>
    </row>
    <row r="50" spans="1:7" x14ac:dyDescent="0.25">
      <c r="A50" t="s">
        <v>7</v>
      </c>
      <c r="B50">
        <v>49</v>
      </c>
      <c r="C50">
        <v>1815.711</v>
      </c>
      <c r="D50">
        <v>2025.6</v>
      </c>
      <c r="E50">
        <v>1831</v>
      </c>
      <c r="F50">
        <v>2109</v>
      </c>
      <c r="G50">
        <v>46363.421689780094</v>
      </c>
    </row>
    <row r="51" spans="1:7" x14ac:dyDescent="0.25">
      <c r="A51" t="s">
        <v>7</v>
      </c>
      <c r="B51">
        <v>50</v>
      </c>
      <c r="C51">
        <v>1750.59</v>
      </c>
      <c r="D51">
        <v>2085</v>
      </c>
      <c r="E51">
        <v>1838</v>
      </c>
      <c r="F51">
        <v>2115</v>
      </c>
      <c r="G51">
        <v>46370.421689780094</v>
      </c>
    </row>
    <row r="52" spans="1:7" x14ac:dyDescent="0.25">
      <c r="A52" t="s">
        <v>7</v>
      </c>
      <c r="B52">
        <v>51</v>
      </c>
      <c r="C52">
        <v>1784.1959999999999</v>
      </c>
      <c r="D52">
        <v>2148.4</v>
      </c>
      <c r="E52">
        <v>1844</v>
      </c>
      <c r="F52">
        <v>2121</v>
      </c>
      <c r="G52">
        <v>46377.421689780094</v>
      </c>
    </row>
    <row r="53" spans="1:7" x14ac:dyDescent="0.25">
      <c r="A53" t="s">
        <v>7</v>
      </c>
      <c r="B53">
        <v>52</v>
      </c>
      <c r="C53">
        <v>1815.155</v>
      </c>
      <c r="D53">
        <v>2054.8000000000002</v>
      </c>
      <c r="E53">
        <v>1851</v>
      </c>
      <c r="F53">
        <v>2128</v>
      </c>
      <c r="G53">
        <v>46384.421689780094</v>
      </c>
    </row>
    <row r="54" spans="1:7" x14ac:dyDescent="0.25">
      <c r="A54" t="s">
        <v>8</v>
      </c>
      <c r="B54">
        <v>1</v>
      </c>
      <c r="C54">
        <v>2252.75</v>
      </c>
      <c r="D54">
        <v>2719.9</v>
      </c>
      <c r="E54">
        <v>2210</v>
      </c>
      <c r="F54">
        <v>2649</v>
      </c>
      <c r="G54">
        <v>46027.421689780094</v>
      </c>
    </row>
    <row r="55" spans="1:7" x14ac:dyDescent="0.25">
      <c r="A55" t="s">
        <v>8</v>
      </c>
      <c r="B55">
        <v>2</v>
      </c>
      <c r="C55">
        <v>2250.9899999999998</v>
      </c>
      <c r="D55">
        <v>2622.8</v>
      </c>
      <c r="E55">
        <v>2220</v>
      </c>
      <c r="F55">
        <v>2658</v>
      </c>
      <c r="G55">
        <v>46034.421689780094</v>
      </c>
    </row>
    <row r="56" spans="1:7" x14ac:dyDescent="0.25">
      <c r="A56" t="s">
        <v>8</v>
      </c>
      <c r="B56">
        <v>3</v>
      </c>
      <c r="C56">
        <v>2238.8679999999999</v>
      </c>
      <c r="D56">
        <v>2685.8</v>
      </c>
      <c r="E56">
        <v>2230</v>
      </c>
      <c r="F56">
        <v>2668</v>
      </c>
      <c r="G56">
        <v>46041.421689780094</v>
      </c>
    </row>
    <row r="57" spans="1:7" x14ac:dyDescent="0.25">
      <c r="A57" t="s">
        <v>8</v>
      </c>
      <c r="B57">
        <v>4</v>
      </c>
      <c r="C57">
        <v>2289.4630000000002</v>
      </c>
      <c r="D57">
        <v>2675.7</v>
      </c>
      <c r="E57">
        <v>2240</v>
      </c>
      <c r="F57">
        <v>2677</v>
      </c>
      <c r="G57">
        <v>46048.421689780094</v>
      </c>
    </row>
    <row r="58" spans="1:7" x14ac:dyDescent="0.25">
      <c r="A58" t="s">
        <v>8</v>
      </c>
      <c r="B58">
        <v>5</v>
      </c>
      <c r="C58">
        <v>2215.83</v>
      </c>
      <c r="D58">
        <v>2689.6</v>
      </c>
      <c r="E58">
        <v>2250</v>
      </c>
      <c r="F58">
        <v>2686</v>
      </c>
      <c r="G58">
        <v>46055.421689780094</v>
      </c>
    </row>
    <row r="59" spans="1:7" x14ac:dyDescent="0.25">
      <c r="A59" t="s">
        <v>8</v>
      </c>
      <c r="B59">
        <v>6</v>
      </c>
      <c r="C59">
        <v>2233.1309999999999</v>
      </c>
      <c r="D59">
        <v>2686.5</v>
      </c>
      <c r="E59">
        <v>2259</v>
      </c>
      <c r="F59">
        <v>2695</v>
      </c>
      <c r="G59">
        <v>46062.421689803239</v>
      </c>
    </row>
    <row r="60" spans="1:7" x14ac:dyDescent="0.25">
      <c r="A60" t="s">
        <v>8</v>
      </c>
      <c r="B60">
        <v>7</v>
      </c>
      <c r="C60">
        <v>2201.7020000000002</v>
      </c>
      <c r="D60">
        <v>2701.4</v>
      </c>
      <c r="E60">
        <v>2269</v>
      </c>
      <c r="F60">
        <v>2705</v>
      </c>
      <c r="G60">
        <v>46069.421689803239</v>
      </c>
    </row>
    <row r="61" spans="1:7" x14ac:dyDescent="0.25">
      <c r="A61" t="s">
        <v>8</v>
      </c>
      <c r="B61">
        <v>8</v>
      </c>
      <c r="C61">
        <v>2269.402</v>
      </c>
      <c r="D61">
        <v>2658.4</v>
      </c>
      <c r="E61">
        <v>2279</v>
      </c>
      <c r="F61">
        <v>2714</v>
      </c>
      <c r="G61">
        <v>46076.421689803239</v>
      </c>
    </row>
    <row r="62" spans="1:7" x14ac:dyDescent="0.25">
      <c r="A62" t="s">
        <v>8</v>
      </c>
      <c r="B62">
        <v>9</v>
      </c>
      <c r="C62">
        <v>2294.4949999999999</v>
      </c>
      <c r="D62">
        <v>2696.3</v>
      </c>
      <c r="E62">
        <v>2289</v>
      </c>
      <c r="F62">
        <v>2723</v>
      </c>
      <c r="G62">
        <v>46083.421689803239</v>
      </c>
    </row>
    <row r="63" spans="1:7" x14ac:dyDescent="0.25">
      <c r="A63" t="s">
        <v>8</v>
      </c>
      <c r="B63">
        <v>10</v>
      </c>
      <c r="C63">
        <v>2329.7910000000002</v>
      </c>
      <c r="D63">
        <v>2711.2</v>
      </c>
      <c r="E63">
        <v>2299</v>
      </c>
      <c r="F63">
        <v>2732</v>
      </c>
      <c r="G63">
        <v>46090.421689803239</v>
      </c>
    </row>
    <row r="64" spans="1:7" x14ac:dyDescent="0.25">
      <c r="A64" t="s">
        <v>8</v>
      </c>
      <c r="B64">
        <v>11</v>
      </c>
      <c r="C64">
        <v>2323.018</v>
      </c>
      <c r="D64">
        <v>2751.1</v>
      </c>
      <c r="E64">
        <v>2309</v>
      </c>
      <c r="F64">
        <v>2742</v>
      </c>
      <c r="G64">
        <v>46097.421689803239</v>
      </c>
    </row>
    <row r="65" spans="1:7" x14ac:dyDescent="0.25">
      <c r="A65" t="s">
        <v>8</v>
      </c>
      <c r="B65">
        <v>12</v>
      </c>
      <c r="C65">
        <v>2309.6019999999999</v>
      </c>
      <c r="D65">
        <v>2713</v>
      </c>
      <c r="E65">
        <v>2319</v>
      </c>
      <c r="F65">
        <v>2751</v>
      </c>
      <c r="G65">
        <v>46104.421689803239</v>
      </c>
    </row>
    <row r="66" spans="1:7" x14ac:dyDescent="0.25">
      <c r="A66" t="s">
        <v>8</v>
      </c>
      <c r="B66">
        <v>13</v>
      </c>
      <c r="C66">
        <v>2368.4490000000001</v>
      </c>
      <c r="D66">
        <v>2679</v>
      </c>
      <c r="E66">
        <v>2329</v>
      </c>
      <c r="F66">
        <v>2760</v>
      </c>
      <c r="G66">
        <v>46111.421689803239</v>
      </c>
    </row>
    <row r="67" spans="1:7" x14ac:dyDescent="0.25">
      <c r="A67" t="s">
        <v>8</v>
      </c>
      <c r="B67">
        <v>14</v>
      </c>
      <c r="C67">
        <v>2345.931</v>
      </c>
      <c r="D67">
        <v>2725.9</v>
      </c>
      <c r="E67">
        <v>2339</v>
      </c>
      <c r="F67">
        <v>2769</v>
      </c>
      <c r="G67">
        <v>46118.421689803239</v>
      </c>
    </row>
    <row r="68" spans="1:7" x14ac:dyDescent="0.25">
      <c r="A68" t="s">
        <v>8</v>
      </c>
      <c r="B68">
        <v>15</v>
      </c>
      <c r="C68">
        <v>2348.7280000000001</v>
      </c>
      <c r="D68">
        <v>2749.8</v>
      </c>
      <c r="E68">
        <v>2348</v>
      </c>
      <c r="F68">
        <v>2779</v>
      </c>
      <c r="G68">
        <v>46125.421689803239</v>
      </c>
    </row>
    <row r="69" spans="1:7" x14ac:dyDescent="0.25">
      <c r="A69" t="s">
        <v>8</v>
      </c>
      <c r="B69">
        <v>16</v>
      </c>
      <c r="C69">
        <v>2369.6210000000001</v>
      </c>
      <c r="D69">
        <v>2807.7</v>
      </c>
      <c r="E69">
        <v>2358</v>
      </c>
      <c r="F69">
        <v>2788</v>
      </c>
      <c r="G69">
        <v>46132.421689803239</v>
      </c>
    </row>
    <row r="70" spans="1:7" x14ac:dyDescent="0.25">
      <c r="A70" t="s">
        <v>8</v>
      </c>
      <c r="B70">
        <v>17</v>
      </c>
      <c r="C70">
        <v>2293.5819999999999</v>
      </c>
      <c r="D70">
        <v>2832.6</v>
      </c>
      <c r="E70">
        <v>2368</v>
      </c>
      <c r="F70">
        <v>2797</v>
      </c>
      <c r="G70">
        <v>46139.421689803239</v>
      </c>
    </row>
    <row r="71" spans="1:7" x14ac:dyDescent="0.25">
      <c r="A71" t="s">
        <v>8</v>
      </c>
      <c r="B71">
        <v>18</v>
      </c>
      <c r="C71">
        <v>2353.9189999999999</v>
      </c>
      <c r="D71">
        <v>2710.6</v>
      </c>
      <c r="E71">
        <v>2378</v>
      </c>
      <c r="F71">
        <v>2806</v>
      </c>
      <c r="G71">
        <v>46146.421689803239</v>
      </c>
    </row>
    <row r="72" spans="1:7" x14ac:dyDescent="0.25">
      <c r="A72" t="s">
        <v>8</v>
      </c>
      <c r="B72">
        <v>19</v>
      </c>
      <c r="C72">
        <v>2403.5709999999999</v>
      </c>
      <c r="D72">
        <v>2861.5</v>
      </c>
      <c r="E72">
        <v>2388</v>
      </c>
      <c r="F72">
        <v>2816</v>
      </c>
      <c r="G72">
        <v>46153.421689803239</v>
      </c>
    </row>
    <row r="73" spans="1:7" x14ac:dyDescent="0.25">
      <c r="A73" t="s">
        <v>8</v>
      </c>
      <c r="B73">
        <v>20</v>
      </c>
      <c r="C73">
        <v>2403.1509999999998</v>
      </c>
      <c r="D73">
        <v>2733.4</v>
      </c>
      <c r="E73">
        <v>2398</v>
      </c>
      <c r="F73">
        <v>2825</v>
      </c>
      <c r="G73">
        <v>46160.421689803239</v>
      </c>
    </row>
    <row r="74" spans="1:7" x14ac:dyDescent="0.25">
      <c r="A74" t="s">
        <v>8</v>
      </c>
      <c r="B74">
        <v>21</v>
      </c>
      <c r="C74">
        <v>2431.5590000000002</v>
      </c>
      <c r="D74">
        <v>2834.3</v>
      </c>
      <c r="E74">
        <v>2408</v>
      </c>
      <c r="F74">
        <v>2834</v>
      </c>
      <c r="G74">
        <v>46167.421689803239</v>
      </c>
    </row>
    <row r="75" spans="1:7" x14ac:dyDescent="0.25">
      <c r="A75" t="s">
        <v>8</v>
      </c>
      <c r="B75">
        <v>22</v>
      </c>
      <c r="C75">
        <v>2355.8359999999998</v>
      </c>
      <c r="D75">
        <v>2741.2</v>
      </c>
      <c r="E75">
        <v>2418</v>
      </c>
      <c r="F75">
        <v>2843</v>
      </c>
      <c r="G75">
        <v>46174.421689803239</v>
      </c>
    </row>
    <row r="76" spans="1:7" x14ac:dyDescent="0.25">
      <c r="A76" t="s">
        <v>8</v>
      </c>
      <c r="B76">
        <v>23</v>
      </c>
      <c r="C76">
        <v>2448.123</v>
      </c>
      <c r="D76">
        <v>2874.2</v>
      </c>
      <c r="E76">
        <v>2428</v>
      </c>
      <c r="F76">
        <v>2853</v>
      </c>
      <c r="G76">
        <v>46181.421689803239</v>
      </c>
    </row>
    <row r="77" spans="1:7" x14ac:dyDescent="0.25">
      <c r="A77" t="s">
        <v>8</v>
      </c>
      <c r="B77">
        <v>24</v>
      </c>
      <c r="C77">
        <v>2375.5790000000002</v>
      </c>
      <c r="D77">
        <v>2795.1</v>
      </c>
      <c r="E77">
        <v>2438</v>
      </c>
      <c r="F77">
        <v>2862</v>
      </c>
      <c r="G77">
        <v>46188.421689803239</v>
      </c>
    </row>
    <row r="78" spans="1:7" x14ac:dyDescent="0.25">
      <c r="A78" t="s">
        <v>8</v>
      </c>
      <c r="B78">
        <v>25</v>
      </c>
      <c r="C78">
        <v>2406.3209999999999</v>
      </c>
      <c r="D78">
        <v>2817</v>
      </c>
      <c r="E78">
        <v>2448</v>
      </c>
      <c r="F78">
        <v>2871</v>
      </c>
      <c r="G78">
        <v>46195.421689803239</v>
      </c>
    </row>
    <row r="79" spans="1:7" x14ac:dyDescent="0.25">
      <c r="A79" t="s">
        <v>8</v>
      </c>
      <c r="B79">
        <v>26</v>
      </c>
      <c r="C79">
        <v>2391.6570000000002</v>
      </c>
      <c r="D79">
        <v>2808.9</v>
      </c>
      <c r="E79">
        <v>2457</v>
      </c>
      <c r="F79">
        <v>2880</v>
      </c>
      <c r="G79">
        <v>46202.421689803239</v>
      </c>
    </row>
    <row r="80" spans="1:7" x14ac:dyDescent="0.25">
      <c r="A80" t="s">
        <v>8</v>
      </c>
      <c r="B80">
        <v>27</v>
      </c>
      <c r="C80">
        <v>2471.4940000000001</v>
      </c>
      <c r="D80">
        <v>2848.8</v>
      </c>
      <c r="E80">
        <v>2467</v>
      </c>
      <c r="F80">
        <v>2889</v>
      </c>
      <c r="G80">
        <v>46209.421689803239</v>
      </c>
    </row>
    <row r="81" spans="1:7" x14ac:dyDescent="0.25">
      <c r="A81" t="s">
        <v>8</v>
      </c>
      <c r="B81">
        <v>28</v>
      </c>
      <c r="C81">
        <v>2464.212</v>
      </c>
      <c r="D81">
        <v>2910.8</v>
      </c>
      <c r="E81">
        <v>2477</v>
      </c>
      <c r="F81">
        <v>2899</v>
      </c>
      <c r="G81">
        <v>46216.421689803239</v>
      </c>
    </row>
    <row r="82" spans="1:7" x14ac:dyDescent="0.25">
      <c r="A82" t="s">
        <v>8</v>
      </c>
      <c r="B82">
        <v>29</v>
      </c>
      <c r="C82">
        <v>2465.4589999999998</v>
      </c>
      <c r="D82">
        <v>2900.7</v>
      </c>
      <c r="E82">
        <v>2487</v>
      </c>
      <c r="F82">
        <v>2908</v>
      </c>
      <c r="G82">
        <v>46223.421689803239</v>
      </c>
    </row>
    <row r="83" spans="1:7" x14ac:dyDescent="0.25">
      <c r="A83" t="s">
        <v>8</v>
      </c>
      <c r="B83">
        <v>30</v>
      </c>
      <c r="C83">
        <v>2475.739</v>
      </c>
      <c r="D83">
        <v>2898.6</v>
      </c>
      <c r="E83">
        <v>2497</v>
      </c>
      <c r="F83">
        <v>2917</v>
      </c>
      <c r="G83">
        <v>46230.421689803239</v>
      </c>
    </row>
    <row r="84" spans="1:7" x14ac:dyDescent="0.25">
      <c r="A84" t="s">
        <v>8</v>
      </c>
      <c r="B84">
        <v>31</v>
      </c>
      <c r="C84">
        <v>2463.0300000000002</v>
      </c>
      <c r="D84">
        <v>2948.5</v>
      </c>
      <c r="E84">
        <v>2507</v>
      </c>
      <c r="F84">
        <v>2926</v>
      </c>
      <c r="G84">
        <v>46237.421689803239</v>
      </c>
    </row>
    <row r="85" spans="1:7" x14ac:dyDescent="0.25">
      <c r="A85" t="s">
        <v>8</v>
      </c>
      <c r="B85">
        <v>32</v>
      </c>
      <c r="C85">
        <v>2423.4</v>
      </c>
      <c r="D85">
        <v>2968.4</v>
      </c>
      <c r="E85">
        <v>2517</v>
      </c>
      <c r="F85">
        <v>2936</v>
      </c>
      <c r="G85">
        <v>46244.421689803239</v>
      </c>
    </row>
    <row r="86" spans="1:7" x14ac:dyDescent="0.25">
      <c r="A86" t="s">
        <v>8</v>
      </c>
      <c r="B86">
        <v>33</v>
      </c>
      <c r="C86">
        <v>2510.848</v>
      </c>
      <c r="D86">
        <v>2899.4</v>
      </c>
      <c r="E86">
        <v>2527</v>
      </c>
      <c r="F86">
        <v>2945</v>
      </c>
      <c r="G86">
        <v>46251.421689803239</v>
      </c>
    </row>
    <row r="87" spans="1:7" x14ac:dyDescent="0.25">
      <c r="A87" t="s">
        <v>8</v>
      </c>
      <c r="B87">
        <v>34</v>
      </c>
      <c r="C87">
        <v>2488.0569999999998</v>
      </c>
      <c r="D87">
        <v>2844.3</v>
      </c>
      <c r="E87">
        <v>2537</v>
      </c>
      <c r="F87">
        <v>2954</v>
      </c>
      <c r="G87">
        <v>46258.421689803239</v>
      </c>
    </row>
    <row r="88" spans="1:7" x14ac:dyDescent="0.25">
      <c r="A88" t="s">
        <v>8</v>
      </c>
      <c r="B88">
        <v>35</v>
      </c>
      <c r="C88">
        <v>2559.83</v>
      </c>
      <c r="D88">
        <v>2933.2</v>
      </c>
      <c r="E88">
        <v>2546</v>
      </c>
      <c r="F88">
        <v>2963</v>
      </c>
      <c r="G88">
        <v>46265.421689803239</v>
      </c>
    </row>
    <row r="89" spans="1:7" x14ac:dyDescent="0.25">
      <c r="A89" t="s">
        <v>8</v>
      </c>
      <c r="B89">
        <v>36</v>
      </c>
      <c r="C89">
        <v>2525.8679999999999</v>
      </c>
      <c r="D89">
        <v>2876.1</v>
      </c>
      <c r="E89">
        <v>2556</v>
      </c>
      <c r="F89">
        <v>2973</v>
      </c>
      <c r="G89">
        <v>46272.421689803239</v>
      </c>
    </row>
    <row r="90" spans="1:7" x14ac:dyDescent="0.25">
      <c r="A90" t="s">
        <v>8</v>
      </c>
      <c r="B90">
        <v>37</v>
      </c>
      <c r="C90">
        <v>2547.212</v>
      </c>
      <c r="D90">
        <v>2935</v>
      </c>
      <c r="E90">
        <v>2566</v>
      </c>
      <c r="F90">
        <v>2982</v>
      </c>
      <c r="G90">
        <v>46279.421689803239</v>
      </c>
    </row>
    <row r="91" spans="1:7" x14ac:dyDescent="0.25">
      <c r="A91" t="s">
        <v>8</v>
      </c>
      <c r="B91">
        <v>38</v>
      </c>
      <c r="C91">
        <v>2555.3510000000001</v>
      </c>
      <c r="D91">
        <v>2902</v>
      </c>
      <c r="E91">
        <v>2576</v>
      </c>
      <c r="F91">
        <v>2991</v>
      </c>
      <c r="G91">
        <v>46286.421689803239</v>
      </c>
    </row>
    <row r="92" spans="1:7" x14ac:dyDescent="0.25">
      <c r="A92" t="s">
        <v>8</v>
      </c>
      <c r="B92">
        <v>39</v>
      </c>
      <c r="C92">
        <v>2557.4380000000001</v>
      </c>
      <c r="D92">
        <v>3019.9</v>
      </c>
      <c r="E92">
        <v>2586</v>
      </c>
      <c r="F92">
        <v>3000</v>
      </c>
      <c r="G92">
        <v>46293.421689803239</v>
      </c>
    </row>
    <row r="93" spans="1:7" x14ac:dyDescent="0.25">
      <c r="A93" t="s">
        <v>8</v>
      </c>
      <c r="B93">
        <v>40</v>
      </c>
      <c r="C93">
        <v>2596.6019999999999</v>
      </c>
      <c r="D93">
        <v>3032.8</v>
      </c>
      <c r="E93">
        <v>2596</v>
      </c>
      <c r="F93">
        <v>3010</v>
      </c>
      <c r="G93">
        <v>46300.421689803239</v>
      </c>
    </row>
    <row r="94" spans="1:7" x14ac:dyDescent="0.25">
      <c r="A94" t="s">
        <v>8</v>
      </c>
      <c r="B94">
        <v>41</v>
      </c>
      <c r="C94">
        <v>2542.0790000000002</v>
      </c>
      <c r="D94">
        <v>3041.7</v>
      </c>
      <c r="E94">
        <v>2606</v>
      </c>
      <c r="F94">
        <v>3019</v>
      </c>
      <c r="G94">
        <v>46307.421689803239</v>
      </c>
    </row>
    <row r="95" spans="1:7" x14ac:dyDescent="0.25">
      <c r="A95" t="s">
        <v>8</v>
      </c>
      <c r="B95">
        <v>42</v>
      </c>
      <c r="C95">
        <v>2533.384</v>
      </c>
      <c r="D95">
        <v>2915.6</v>
      </c>
      <c r="E95">
        <v>2616</v>
      </c>
      <c r="F95">
        <v>3028</v>
      </c>
      <c r="G95">
        <v>46314.421689826391</v>
      </c>
    </row>
    <row r="96" spans="1:7" x14ac:dyDescent="0.25">
      <c r="A96" t="s">
        <v>8</v>
      </c>
      <c r="B96">
        <v>43</v>
      </c>
      <c r="C96">
        <v>2564.7809999999999</v>
      </c>
      <c r="D96">
        <v>2983.6</v>
      </c>
      <c r="E96">
        <v>2626</v>
      </c>
      <c r="F96">
        <v>3037</v>
      </c>
      <c r="G96">
        <v>46321.421689826391</v>
      </c>
    </row>
    <row r="97" spans="1:7" x14ac:dyDescent="0.25">
      <c r="A97" t="s">
        <v>8</v>
      </c>
      <c r="B97">
        <v>44</v>
      </c>
      <c r="C97">
        <v>2574.7190000000001</v>
      </c>
      <c r="D97">
        <v>2973.5</v>
      </c>
      <c r="E97">
        <v>2636</v>
      </c>
      <c r="F97">
        <v>3047</v>
      </c>
      <c r="G97">
        <v>46328.421689826391</v>
      </c>
    </row>
    <row r="98" spans="1:7" x14ac:dyDescent="0.25">
      <c r="A98" t="s">
        <v>8</v>
      </c>
      <c r="B98">
        <v>45</v>
      </c>
      <c r="C98">
        <v>2629.373</v>
      </c>
      <c r="D98">
        <v>2921.4</v>
      </c>
      <c r="E98">
        <v>2646</v>
      </c>
      <c r="F98">
        <v>3056</v>
      </c>
      <c r="G98">
        <v>46335.421689826391</v>
      </c>
    </row>
    <row r="99" spans="1:7" x14ac:dyDescent="0.25">
      <c r="A99" t="s">
        <v>8</v>
      </c>
      <c r="B99">
        <v>46</v>
      </c>
      <c r="C99">
        <v>2590.5169999999998</v>
      </c>
      <c r="D99">
        <v>3081.3</v>
      </c>
      <c r="E99">
        <v>2655</v>
      </c>
      <c r="F99">
        <v>3065</v>
      </c>
      <c r="G99">
        <v>46342.421689826391</v>
      </c>
    </row>
    <row r="100" spans="1:7" x14ac:dyDescent="0.25">
      <c r="A100" t="s">
        <v>8</v>
      </c>
      <c r="B100">
        <v>47</v>
      </c>
      <c r="C100">
        <v>2577.605</v>
      </c>
      <c r="D100">
        <v>2962.2</v>
      </c>
      <c r="E100">
        <v>2665</v>
      </c>
      <c r="F100">
        <v>3074</v>
      </c>
      <c r="G100">
        <v>46349.421689826391</v>
      </c>
    </row>
    <row r="101" spans="1:7" x14ac:dyDescent="0.25">
      <c r="A101" t="s">
        <v>8</v>
      </c>
      <c r="B101">
        <v>48</v>
      </c>
      <c r="C101">
        <v>2622.3150000000001</v>
      </c>
      <c r="D101">
        <v>2960.2</v>
      </c>
      <c r="E101">
        <v>2675</v>
      </c>
      <c r="F101">
        <v>3084</v>
      </c>
      <c r="G101">
        <v>46356.421689826391</v>
      </c>
    </row>
    <row r="102" spans="1:7" x14ac:dyDescent="0.25">
      <c r="A102" t="s">
        <v>8</v>
      </c>
      <c r="B102">
        <v>49</v>
      </c>
      <c r="C102">
        <v>2585.9430000000002</v>
      </c>
      <c r="D102">
        <v>2992.1</v>
      </c>
      <c r="E102">
        <v>2685</v>
      </c>
      <c r="F102">
        <v>3093</v>
      </c>
      <c r="G102">
        <v>46363.421689826391</v>
      </c>
    </row>
    <row r="103" spans="1:7" x14ac:dyDescent="0.25">
      <c r="A103" t="s">
        <v>8</v>
      </c>
      <c r="B103">
        <v>50</v>
      </c>
      <c r="C103">
        <v>2656.3890000000001</v>
      </c>
      <c r="D103">
        <v>3045</v>
      </c>
      <c r="E103">
        <v>2695</v>
      </c>
      <c r="F103">
        <v>3102</v>
      </c>
      <c r="G103">
        <v>46370.421689826391</v>
      </c>
    </row>
    <row r="104" spans="1:7" x14ac:dyDescent="0.25">
      <c r="A104" t="s">
        <v>8</v>
      </c>
      <c r="B104">
        <v>51</v>
      </c>
      <c r="C104">
        <v>2592.6019999999999</v>
      </c>
      <c r="D104">
        <v>3098.9</v>
      </c>
      <c r="E104">
        <v>2705</v>
      </c>
      <c r="F104">
        <v>3111</v>
      </c>
      <c r="G104">
        <v>46377.421689826391</v>
      </c>
    </row>
    <row r="105" spans="1:7" x14ac:dyDescent="0.25">
      <c r="A105" t="s">
        <v>8</v>
      </c>
      <c r="B105">
        <v>52</v>
      </c>
      <c r="C105">
        <v>2658.6550000000002</v>
      </c>
      <c r="D105">
        <v>3063.8</v>
      </c>
      <c r="E105">
        <v>2715</v>
      </c>
      <c r="F105">
        <v>3120</v>
      </c>
      <c r="G105">
        <v>46384.421689826391</v>
      </c>
    </row>
    <row r="106" spans="1:7" x14ac:dyDescent="0.25">
      <c r="A106" t="s">
        <v>9</v>
      </c>
      <c r="B106">
        <v>1</v>
      </c>
      <c r="C106">
        <v>2865.3359999999998</v>
      </c>
      <c r="D106">
        <v>3417.4</v>
      </c>
      <c r="E106">
        <v>2913</v>
      </c>
      <c r="F106">
        <v>3492</v>
      </c>
      <c r="G106">
        <v>46027.421689826391</v>
      </c>
    </row>
    <row r="107" spans="1:7" x14ac:dyDescent="0.25">
      <c r="A107" t="s">
        <v>9</v>
      </c>
      <c r="B107">
        <v>2</v>
      </c>
      <c r="C107">
        <v>2917.3989999999999</v>
      </c>
      <c r="D107">
        <v>3529.9</v>
      </c>
      <c r="E107">
        <v>2926</v>
      </c>
      <c r="F107">
        <v>3504</v>
      </c>
      <c r="G107">
        <v>46034.421689826391</v>
      </c>
    </row>
    <row r="108" spans="1:7" x14ac:dyDescent="0.25">
      <c r="A108" t="s">
        <v>9</v>
      </c>
      <c r="B108">
        <v>3</v>
      </c>
      <c r="C108">
        <v>2956.0839999999998</v>
      </c>
      <c r="D108">
        <v>3445.3</v>
      </c>
      <c r="E108">
        <v>2939</v>
      </c>
      <c r="F108">
        <v>3517</v>
      </c>
      <c r="G108">
        <v>46041.421689826391</v>
      </c>
    </row>
    <row r="109" spans="1:7" x14ac:dyDescent="0.25">
      <c r="A109" t="s">
        <v>9</v>
      </c>
      <c r="B109">
        <v>4</v>
      </c>
      <c r="C109">
        <v>2899.2910000000002</v>
      </c>
      <c r="D109">
        <v>3533.8</v>
      </c>
      <c r="E109">
        <v>2952</v>
      </c>
      <c r="F109">
        <v>3529</v>
      </c>
      <c r="G109">
        <v>46048.421689826391</v>
      </c>
    </row>
    <row r="110" spans="1:7" x14ac:dyDescent="0.25">
      <c r="A110" t="s">
        <v>9</v>
      </c>
      <c r="B110">
        <v>5</v>
      </c>
      <c r="C110">
        <v>2924.2449999999999</v>
      </c>
      <c r="D110">
        <v>3535.2</v>
      </c>
      <c r="E110">
        <v>2965</v>
      </c>
      <c r="F110">
        <v>3541</v>
      </c>
      <c r="G110">
        <v>46055.421689826391</v>
      </c>
    </row>
    <row r="111" spans="1:7" x14ac:dyDescent="0.25">
      <c r="A111" t="s">
        <v>9</v>
      </c>
      <c r="B111">
        <v>6</v>
      </c>
      <c r="C111">
        <v>3025.2629999999999</v>
      </c>
      <c r="D111">
        <v>3557.6</v>
      </c>
      <c r="E111">
        <v>2978</v>
      </c>
      <c r="F111">
        <v>3553</v>
      </c>
      <c r="G111">
        <v>46062.421689826391</v>
      </c>
    </row>
    <row r="112" spans="1:7" x14ac:dyDescent="0.25">
      <c r="A112" t="s">
        <v>9</v>
      </c>
      <c r="B112">
        <v>7</v>
      </c>
      <c r="C112">
        <v>3016.047</v>
      </c>
      <c r="D112">
        <v>3531.1</v>
      </c>
      <c r="E112">
        <v>2991</v>
      </c>
      <c r="F112">
        <v>3565</v>
      </c>
      <c r="G112">
        <v>46069.421689826391</v>
      </c>
    </row>
    <row r="113" spans="1:7" x14ac:dyDescent="0.25">
      <c r="A113" t="s">
        <v>9</v>
      </c>
      <c r="B113">
        <v>8</v>
      </c>
      <c r="C113">
        <v>3034.8780000000002</v>
      </c>
      <c r="D113">
        <v>3489.5</v>
      </c>
      <c r="E113">
        <v>3004</v>
      </c>
      <c r="F113">
        <v>3577</v>
      </c>
      <c r="G113">
        <v>46076.421689826391</v>
      </c>
    </row>
    <row r="114" spans="1:7" x14ac:dyDescent="0.25">
      <c r="A114" t="s">
        <v>9</v>
      </c>
      <c r="B114">
        <v>9</v>
      </c>
      <c r="C114">
        <v>3049.1419999999998</v>
      </c>
      <c r="D114">
        <v>3652</v>
      </c>
      <c r="E114">
        <v>3017</v>
      </c>
      <c r="F114">
        <v>3590</v>
      </c>
      <c r="G114">
        <v>46083.42168983796</v>
      </c>
    </row>
    <row r="115" spans="1:7" x14ac:dyDescent="0.25">
      <c r="A115" t="s">
        <v>9</v>
      </c>
      <c r="B115">
        <v>10</v>
      </c>
      <c r="C115">
        <v>3071.3719999999998</v>
      </c>
      <c r="D115">
        <v>3618.4</v>
      </c>
      <c r="E115">
        <v>3030</v>
      </c>
      <c r="F115">
        <v>3602</v>
      </c>
      <c r="G115">
        <v>46090.42168983796</v>
      </c>
    </row>
    <row r="116" spans="1:7" x14ac:dyDescent="0.25">
      <c r="A116" t="s">
        <v>9</v>
      </c>
      <c r="B116">
        <v>11</v>
      </c>
      <c r="C116">
        <v>3034.8679999999999</v>
      </c>
      <c r="D116">
        <v>3564.8</v>
      </c>
      <c r="E116">
        <v>3044</v>
      </c>
      <c r="F116">
        <v>3614</v>
      </c>
      <c r="G116">
        <v>46097.42168983796</v>
      </c>
    </row>
    <row r="117" spans="1:7" x14ac:dyDescent="0.25">
      <c r="A117" t="s">
        <v>9</v>
      </c>
      <c r="B117">
        <v>12</v>
      </c>
      <c r="C117">
        <v>3034.4630000000002</v>
      </c>
      <c r="D117">
        <v>3682.3</v>
      </c>
      <c r="E117">
        <v>3057</v>
      </c>
      <c r="F117">
        <v>3626</v>
      </c>
      <c r="G117">
        <v>46104.42168983796</v>
      </c>
    </row>
    <row r="118" spans="1:7" x14ac:dyDescent="0.25">
      <c r="A118" t="s">
        <v>9</v>
      </c>
      <c r="B118">
        <v>13</v>
      </c>
      <c r="C118">
        <v>3103.5520000000001</v>
      </c>
      <c r="D118">
        <v>3663.7</v>
      </c>
      <c r="E118">
        <v>3070</v>
      </c>
      <c r="F118">
        <v>3638</v>
      </c>
      <c r="G118">
        <v>46111.42168983796</v>
      </c>
    </row>
    <row r="119" spans="1:7" x14ac:dyDescent="0.25">
      <c r="A119" t="s">
        <v>9</v>
      </c>
      <c r="B119">
        <v>14</v>
      </c>
      <c r="C119">
        <v>3063.223</v>
      </c>
      <c r="D119">
        <v>3647.2</v>
      </c>
      <c r="E119">
        <v>3083</v>
      </c>
      <c r="F119">
        <v>3651</v>
      </c>
      <c r="G119">
        <v>46118.42168983796</v>
      </c>
    </row>
    <row r="120" spans="1:7" x14ac:dyDescent="0.25">
      <c r="A120" t="s">
        <v>9</v>
      </c>
      <c r="B120">
        <v>15</v>
      </c>
      <c r="C120">
        <v>3018.0140000000001</v>
      </c>
      <c r="D120">
        <v>3692.6</v>
      </c>
      <c r="E120">
        <v>3096</v>
      </c>
      <c r="F120">
        <v>3663</v>
      </c>
      <c r="G120">
        <v>46125.42168983796</v>
      </c>
    </row>
    <row r="121" spans="1:7" x14ac:dyDescent="0.25">
      <c r="A121" t="s">
        <v>9</v>
      </c>
      <c r="B121">
        <v>16</v>
      </c>
      <c r="C121">
        <v>3110.0219999999999</v>
      </c>
      <c r="D121">
        <v>3590</v>
      </c>
      <c r="E121">
        <v>3109</v>
      </c>
      <c r="F121">
        <v>3675</v>
      </c>
      <c r="G121">
        <v>46132.42168983796</v>
      </c>
    </row>
    <row r="122" spans="1:7" x14ac:dyDescent="0.25">
      <c r="A122" t="s">
        <v>9</v>
      </c>
      <c r="B122">
        <v>17</v>
      </c>
      <c r="C122">
        <v>3041.2620000000002</v>
      </c>
      <c r="D122">
        <v>3599.5</v>
      </c>
      <c r="E122">
        <v>3122</v>
      </c>
      <c r="F122">
        <v>3687</v>
      </c>
      <c r="G122">
        <v>46139.42168983796</v>
      </c>
    </row>
    <row r="123" spans="1:7" x14ac:dyDescent="0.25">
      <c r="A123" t="s">
        <v>9</v>
      </c>
      <c r="B123">
        <v>18</v>
      </c>
      <c r="C123">
        <v>3078.527</v>
      </c>
      <c r="D123">
        <v>3620.9</v>
      </c>
      <c r="E123">
        <v>3135</v>
      </c>
      <c r="F123">
        <v>3699</v>
      </c>
      <c r="G123">
        <v>46146.42168983796</v>
      </c>
    </row>
    <row r="124" spans="1:7" x14ac:dyDescent="0.25">
      <c r="A124" t="s">
        <v>9</v>
      </c>
      <c r="B124">
        <v>19</v>
      </c>
      <c r="C124">
        <v>3085.6550000000002</v>
      </c>
      <c r="D124">
        <v>3703.4</v>
      </c>
      <c r="E124">
        <v>3148</v>
      </c>
      <c r="F124">
        <v>3711</v>
      </c>
      <c r="G124">
        <v>46153.42168983796</v>
      </c>
    </row>
    <row r="125" spans="1:7" x14ac:dyDescent="0.25">
      <c r="A125" t="s">
        <v>9</v>
      </c>
      <c r="B125">
        <v>20</v>
      </c>
      <c r="C125">
        <v>3072.5839999999998</v>
      </c>
      <c r="D125">
        <v>3681.8</v>
      </c>
      <c r="E125">
        <v>3161</v>
      </c>
      <c r="F125">
        <v>3724</v>
      </c>
      <c r="G125">
        <v>46160.42168983796</v>
      </c>
    </row>
    <row r="126" spans="1:7" x14ac:dyDescent="0.25">
      <c r="A126" t="s">
        <v>9</v>
      </c>
      <c r="B126">
        <v>21</v>
      </c>
      <c r="C126">
        <v>3167.3159999999998</v>
      </c>
      <c r="D126">
        <v>3764.2</v>
      </c>
      <c r="E126">
        <v>3174</v>
      </c>
      <c r="F126">
        <v>3736</v>
      </c>
      <c r="G126">
        <v>46167.42168983796</v>
      </c>
    </row>
    <row r="127" spans="1:7" x14ac:dyDescent="0.25">
      <c r="A127" t="s">
        <v>9</v>
      </c>
      <c r="B127">
        <v>22</v>
      </c>
      <c r="C127">
        <v>3139.74</v>
      </c>
      <c r="D127">
        <v>3728.7</v>
      </c>
      <c r="E127">
        <v>3187</v>
      </c>
      <c r="F127">
        <v>3748</v>
      </c>
      <c r="G127">
        <v>46174.42168983796</v>
      </c>
    </row>
    <row r="128" spans="1:7" x14ac:dyDescent="0.25">
      <c r="A128" t="s">
        <v>9</v>
      </c>
      <c r="B128">
        <v>23</v>
      </c>
      <c r="C128">
        <v>3138.5610000000001</v>
      </c>
      <c r="D128">
        <v>3797.1</v>
      </c>
      <c r="E128">
        <v>3200</v>
      </c>
      <c r="F128">
        <v>3760</v>
      </c>
      <c r="G128">
        <v>46181.42168983796</v>
      </c>
    </row>
    <row r="129" spans="1:7" x14ac:dyDescent="0.25">
      <c r="A129" t="s">
        <v>9</v>
      </c>
      <c r="B129">
        <v>24</v>
      </c>
      <c r="C129">
        <v>3182.4270000000001</v>
      </c>
      <c r="D129">
        <v>3795.6</v>
      </c>
      <c r="E129">
        <v>3213</v>
      </c>
      <c r="F129">
        <v>3772</v>
      </c>
      <c r="G129">
        <v>46188.42168983796</v>
      </c>
    </row>
    <row r="130" spans="1:7" x14ac:dyDescent="0.25">
      <c r="A130" t="s">
        <v>9</v>
      </c>
      <c r="B130">
        <v>25</v>
      </c>
      <c r="C130">
        <v>3224.2829999999999</v>
      </c>
      <c r="D130">
        <v>3664</v>
      </c>
      <c r="E130">
        <v>3226</v>
      </c>
      <c r="F130">
        <v>3784</v>
      </c>
      <c r="G130">
        <v>46195.42168983796</v>
      </c>
    </row>
    <row r="131" spans="1:7" x14ac:dyDescent="0.25">
      <c r="A131" t="s">
        <v>9</v>
      </c>
      <c r="B131">
        <v>26</v>
      </c>
      <c r="C131">
        <v>3229.424</v>
      </c>
      <c r="D131">
        <v>3681.4</v>
      </c>
      <c r="E131">
        <v>3239</v>
      </c>
      <c r="F131">
        <v>3797</v>
      </c>
      <c r="G131">
        <v>46202.42168983796</v>
      </c>
    </row>
    <row r="132" spans="1:7" x14ac:dyDescent="0.25">
      <c r="A132" t="s">
        <v>9</v>
      </c>
      <c r="B132">
        <v>27</v>
      </c>
      <c r="C132">
        <v>3175.3679999999999</v>
      </c>
      <c r="D132">
        <v>3732.9</v>
      </c>
      <c r="E132">
        <v>3252</v>
      </c>
      <c r="F132">
        <v>3809</v>
      </c>
      <c r="G132">
        <v>46209.42168983796</v>
      </c>
    </row>
    <row r="133" spans="1:7" x14ac:dyDescent="0.25">
      <c r="A133" t="s">
        <v>9</v>
      </c>
      <c r="B133">
        <v>28</v>
      </c>
      <c r="C133">
        <v>3266.721</v>
      </c>
      <c r="D133">
        <v>3741.3</v>
      </c>
      <c r="E133">
        <v>3265</v>
      </c>
      <c r="F133">
        <v>3821</v>
      </c>
      <c r="G133">
        <v>46216.42168983796</v>
      </c>
    </row>
    <row r="134" spans="1:7" x14ac:dyDescent="0.25">
      <c r="A134" t="s">
        <v>9</v>
      </c>
      <c r="B134">
        <v>29</v>
      </c>
      <c r="C134">
        <v>3245.7139999999999</v>
      </c>
      <c r="D134">
        <v>3788.8</v>
      </c>
      <c r="E134">
        <v>3278</v>
      </c>
      <c r="F134">
        <v>3833</v>
      </c>
      <c r="G134">
        <v>46223.42168983796</v>
      </c>
    </row>
    <row r="135" spans="1:7" x14ac:dyDescent="0.25">
      <c r="A135" t="s">
        <v>9</v>
      </c>
      <c r="B135">
        <v>30</v>
      </c>
      <c r="C135">
        <v>3201.2449999999999</v>
      </c>
      <c r="D135">
        <v>3714.2</v>
      </c>
      <c r="E135">
        <v>3292</v>
      </c>
      <c r="F135">
        <v>3845</v>
      </c>
      <c r="G135">
        <v>46230.42168983796</v>
      </c>
    </row>
    <row r="136" spans="1:7" x14ac:dyDescent="0.25">
      <c r="A136" t="s">
        <v>9</v>
      </c>
      <c r="B136">
        <v>31</v>
      </c>
      <c r="C136">
        <v>3238.5309999999999</v>
      </c>
      <c r="D136">
        <v>3749.6</v>
      </c>
      <c r="E136">
        <v>3305</v>
      </c>
      <c r="F136">
        <v>3858</v>
      </c>
      <c r="G136">
        <v>46237.42168983796</v>
      </c>
    </row>
    <row r="137" spans="1:7" x14ac:dyDescent="0.25">
      <c r="A137" t="s">
        <v>9</v>
      </c>
      <c r="B137">
        <v>32</v>
      </c>
      <c r="C137">
        <v>3253.0079999999998</v>
      </c>
      <c r="D137">
        <v>3751.1</v>
      </c>
      <c r="E137">
        <v>3318</v>
      </c>
      <c r="F137">
        <v>3870</v>
      </c>
      <c r="G137">
        <v>46244.421689861112</v>
      </c>
    </row>
    <row r="138" spans="1:7" x14ac:dyDescent="0.25">
      <c r="A138" t="s">
        <v>9</v>
      </c>
      <c r="B138">
        <v>33</v>
      </c>
      <c r="C138">
        <v>3309.4589999999998</v>
      </c>
      <c r="D138">
        <v>3819.5</v>
      </c>
      <c r="E138">
        <v>3331</v>
      </c>
      <c r="F138">
        <v>3882</v>
      </c>
      <c r="G138">
        <v>46251.421689861112</v>
      </c>
    </row>
    <row r="139" spans="1:7" x14ac:dyDescent="0.25">
      <c r="A139" t="s">
        <v>9</v>
      </c>
      <c r="B139">
        <v>34</v>
      </c>
      <c r="C139">
        <v>3261.8420000000001</v>
      </c>
      <c r="D139">
        <v>3860</v>
      </c>
      <c r="E139">
        <v>3344</v>
      </c>
      <c r="F139">
        <v>3894</v>
      </c>
      <c r="G139">
        <v>46258.421689861112</v>
      </c>
    </row>
    <row r="140" spans="1:7" x14ac:dyDescent="0.25">
      <c r="A140" t="s">
        <v>9</v>
      </c>
      <c r="B140">
        <v>35</v>
      </c>
      <c r="C140">
        <v>3265.5</v>
      </c>
      <c r="D140">
        <v>3770.4</v>
      </c>
      <c r="E140">
        <v>3357</v>
      </c>
      <c r="F140">
        <v>3906</v>
      </c>
      <c r="G140">
        <v>46265.421689861112</v>
      </c>
    </row>
    <row r="141" spans="1:7" x14ac:dyDescent="0.25">
      <c r="A141" t="s">
        <v>9</v>
      </c>
      <c r="B141">
        <v>36</v>
      </c>
      <c r="C141">
        <v>3285.0590000000002</v>
      </c>
      <c r="D141">
        <v>3846.8</v>
      </c>
      <c r="E141">
        <v>3370</v>
      </c>
      <c r="F141">
        <v>3918</v>
      </c>
      <c r="G141">
        <v>46272.421689861112</v>
      </c>
    </row>
    <row r="142" spans="1:7" x14ac:dyDescent="0.25">
      <c r="A142" t="s">
        <v>9</v>
      </c>
      <c r="B142">
        <v>37</v>
      </c>
      <c r="C142">
        <v>3291.6819999999998</v>
      </c>
      <c r="D142">
        <v>3855.3</v>
      </c>
      <c r="E142">
        <v>3383</v>
      </c>
      <c r="F142">
        <v>3931</v>
      </c>
      <c r="G142">
        <v>46279.421689861112</v>
      </c>
    </row>
    <row r="143" spans="1:7" x14ac:dyDescent="0.25">
      <c r="A143" t="s">
        <v>9</v>
      </c>
      <c r="B143">
        <v>38</v>
      </c>
      <c r="C143">
        <v>3352.6170000000002</v>
      </c>
      <c r="D143">
        <v>3862.7</v>
      </c>
      <c r="E143">
        <v>3396</v>
      </c>
      <c r="F143">
        <v>3943</v>
      </c>
      <c r="G143">
        <v>46286.421689861112</v>
      </c>
    </row>
    <row r="144" spans="1:7" x14ac:dyDescent="0.25">
      <c r="A144" t="s">
        <v>9</v>
      </c>
      <c r="B144">
        <v>39</v>
      </c>
      <c r="C144">
        <v>3309.2489999999998</v>
      </c>
      <c r="D144">
        <v>3934.2</v>
      </c>
      <c r="E144">
        <v>3409</v>
      </c>
      <c r="F144">
        <v>3955</v>
      </c>
      <c r="G144">
        <v>46293.421689861112</v>
      </c>
    </row>
    <row r="145" spans="1:7" x14ac:dyDescent="0.25">
      <c r="A145" t="s">
        <v>9</v>
      </c>
      <c r="B145">
        <v>40</v>
      </c>
      <c r="C145">
        <v>3376.7959999999998</v>
      </c>
      <c r="D145">
        <v>3853.6</v>
      </c>
      <c r="E145">
        <v>3422</v>
      </c>
      <c r="F145">
        <v>3967</v>
      </c>
      <c r="G145">
        <v>46300.421689861112</v>
      </c>
    </row>
    <row r="146" spans="1:7" x14ac:dyDescent="0.25">
      <c r="A146" t="s">
        <v>9</v>
      </c>
      <c r="B146">
        <v>41</v>
      </c>
      <c r="C146">
        <v>3324.7489999999998</v>
      </c>
      <c r="D146">
        <v>3910</v>
      </c>
      <c r="E146">
        <v>3435</v>
      </c>
      <c r="F146">
        <v>3979</v>
      </c>
      <c r="G146">
        <v>46307.421689861112</v>
      </c>
    </row>
    <row r="147" spans="1:7" x14ac:dyDescent="0.25">
      <c r="A147" t="s">
        <v>9</v>
      </c>
      <c r="B147">
        <v>42</v>
      </c>
      <c r="C147">
        <v>3443.4169999999999</v>
      </c>
      <c r="D147">
        <v>3853.5</v>
      </c>
      <c r="E147">
        <v>3448</v>
      </c>
      <c r="F147">
        <v>3992</v>
      </c>
      <c r="G147">
        <v>46314.421689861112</v>
      </c>
    </row>
    <row r="148" spans="1:7" x14ac:dyDescent="0.25">
      <c r="A148" t="s">
        <v>9</v>
      </c>
      <c r="B148">
        <v>43</v>
      </c>
      <c r="C148">
        <v>3428.241</v>
      </c>
      <c r="D148">
        <v>3924.9</v>
      </c>
      <c r="E148">
        <v>3461</v>
      </c>
      <c r="F148">
        <v>4004</v>
      </c>
      <c r="G148">
        <v>46321.421689861112</v>
      </c>
    </row>
    <row r="149" spans="1:7" x14ac:dyDescent="0.25">
      <c r="A149" t="s">
        <v>9</v>
      </c>
      <c r="B149">
        <v>44</v>
      </c>
      <c r="C149">
        <v>3460.4119999999998</v>
      </c>
      <c r="D149">
        <v>3885.4</v>
      </c>
      <c r="E149">
        <v>3474</v>
      </c>
      <c r="F149">
        <v>4016</v>
      </c>
      <c r="G149">
        <v>46328.421689861112</v>
      </c>
    </row>
    <row r="150" spans="1:7" x14ac:dyDescent="0.25">
      <c r="A150" t="s">
        <v>9</v>
      </c>
      <c r="B150">
        <v>45</v>
      </c>
      <c r="C150">
        <v>3432.96</v>
      </c>
      <c r="D150">
        <v>3985.8</v>
      </c>
      <c r="E150">
        <v>3487</v>
      </c>
      <c r="F150">
        <v>4028</v>
      </c>
      <c r="G150">
        <v>46335.421689872688</v>
      </c>
    </row>
    <row r="151" spans="1:7" x14ac:dyDescent="0.25">
      <c r="A151" t="s">
        <v>9</v>
      </c>
      <c r="B151">
        <v>46</v>
      </c>
      <c r="C151">
        <v>3453.2840000000001</v>
      </c>
      <c r="D151">
        <v>3947.2</v>
      </c>
      <c r="E151">
        <v>3500</v>
      </c>
      <c r="F151">
        <v>4040</v>
      </c>
      <c r="G151">
        <v>46342.421689872688</v>
      </c>
    </row>
    <row r="152" spans="1:7" x14ac:dyDescent="0.25">
      <c r="A152" t="s">
        <v>9</v>
      </c>
      <c r="B152">
        <v>47</v>
      </c>
      <c r="C152">
        <v>3417.5520000000001</v>
      </c>
      <c r="D152">
        <v>4026.7</v>
      </c>
      <c r="E152">
        <v>3513</v>
      </c>
      <c r="F152">
        <v>4052</v>
      </c>
      <c r="G152">
        <v>46349.421689872688</v>
      </c>
    </row>
    <row r="153" spans="1:7" x14ac:dyDescent="0.25">
      <c r="A153" t="s">
        <v>9</v>
      </c>
      <c r="B153">
        <v>48</v>
      </c>
      <c r="C153">
        <v>3408.7260000000001</v>
      </c>
      <c r="D153">
        <v>4022.1</v>
      </c>
      <c r="E153">
        <v>3526</v>
      </c>
      <c r="F153">
        <v>4065</v>
      </c>
      <c r="G153">
        <v>46356.421689872688</v>
      </c>
    </row>
    <row r="154" spans="1:7" x14ac:dyDescent="0.25">
      <c r="A154" t="s">
        <v>9</v>
      </c>
      <c r="B154">
        <v>49</v>
      </c>
      <c r="C154">
        <v>3478.1289999999999</v>
      </c>
      <c r="D154">
        <v>3929.6</v>
      </c>
      <c r="E154">
        <v>3539</v>
      </c>
      <c r="F154">
        <v>4077</v>
      </c>
      <c r="G154">
        <v>46363.421689872688</v>
      </c>
    </row>
    <row r="155" spans="1:7" x14ac:dyDescent="0.25">
      <c r="A155" t="s">
        <v>9</v>
      </c>
      <c r="B155">
        <v>50</v>
      </c>
      <c r="C155">
        <v>3510.212</v>
      </c>
      <c r="D155">
        <v>4075</v>
      </c>
      <c r="E155">
        <v>3553</v>
      </c>
      <c r="F155">
        <v>4089</v>
      </c>
      <c r="G155">
        <v>46370.421689872688</v>
      </c>
    </row>
    <row r="156" spans="1:7" x14ac:dyDescent="0.25">
      <c r="A156" t="s">
        <v>9</v>
      </c>
      <c r="B156">
        <v>51</v>
      </c>
      <c r="C156">
        <v>3468.7190000000001</v>
      </c>
      <c r="D156">
        <v>4070.4</v>
      </c>
      <c r="E156">
        <v>3566</v>
      </c>
      <c r="F156">
        <v>4101</v>
      </c>
      <c r="G156">
        <v>46377.421689872688</v>
      </c>
    </row>
    <row r="157" spans="1:7" x14ac:dyDescent="0.25">
      <c r="A157" t="s">
        <v>9</v>
      </c>
      <c r="B157">
        <v>52</v>
      </c>
      <c r="C157">
        <v>3472.346</v>
      </c>
      <c r="D157">
        <v>3988.9</v>
      </c>
      <c r="E157">
        <v>3579</v>
      </c>
      <c r="F157">
        <v>4113</v>
      </c>
      <c r="G157">
        <v>46384.421689872688</v>
      </c>
    </row>
    <row r="158" spans="1:7" x14ac:dyDescent="0.25">
      <c r="A158" t="s">
        <v>10</v>
      </c>
      <c r="B158">
        <v>1</v>
      </c>
      <c r="C158">
        <v>3571.5889999999999</v>
      </c>
      <c r="D158">
        <v>4298</v>
      </c>
      <c r="E158">
        <v>3616</v>
      </c>
      <c r="F158">
        <v>4335</v>
      </c>
      <c r="G158">
        <v>46027.421689872688</v>
      </c>
    </row>
    <row r="159" spans="1:7" x14ac:dyDescent="0.25">
      <c r="A159" t="s">
        <v>10</v>
      </c>
      <c r="B159">
        <v>2</v>
      </c>
      <c r="C159">
        <v>3681.2829999999999</v>
      </c>
      <c r="D159">
        <v>4267.8999999999996</v>
      </c>
      <c r="E159">
        <v>3632</v>
      </c>
      <c r="F159">
        <v>4350</v>
      </c>
      <c r="G159">
        <v>46034.421689872688</v>
      </c>
    </row>
    <row r="160" spans="1:7" x14ac:dyDescent="0.25">
      <c r="A160" t="s">
        <v>10</v>
      </c>
      <c r="B160">
        <v>3</v>
      </c>
      <c r="C160">
        <v>3699.4670000000001</v>
      </c>
      <c r="D160">
        <v>4353.8999999999996</v>
      </c>
      <c r="E160">
        <v>3649</v>
      </c>
      <c r="F160">
        <v>4365</v>
      </c>
      <c r="G160">
        <v>46041.421689872688</v>
      </c>
    </row>
    <row r="161" spans="1:7" x14ac:dyDescent="0.25">
      <c r="A161" t="s">
        <v>10</v>
      </c>
      <c r="B161">
        <v>4</v>
      </c>
      <c r="C161">
        <v>3629.605</v>
      </c>
      <c r="D161">
        <v>4428.8</v>
      </c>
      <c r="E161">
        <v>3665</v>
      </c>
      <c r="F161">
        <v>4380</v>
      </c>
      <c r="G161">
        <v>46048.421689872688</v>
      </c>
    </row>
    <row r="162" spans="1:7" x14ac:dyDescent="0.25">
      <c r="A162" t="s">
        <v>10</v>
      </c>
      <c r="B162">
        <v>5</v>
      </c>
      <c r="C162">
        <v>3694.4780000000001</v>
      </c>
      <c r="D162">
        <v>4330.8</v>
      </c>
      <c r="E162">
        <v>3681</v>
      </c>
      <c r="F162">
        <v>4396</v>
      </c>
      <c r="G162">
        <v>46055.421689872688</v>
      </c>
    </row>
    <row r="163" spans="1:7" x14ac:dyDescent="0.25">
      <c r="A163" t="s">
        <v>10</v>
      </c>
      <c r="B163">
        <v>6</v>
      </c>
      <c r="C163">
        <v>3671.7269999999999</v>
      </c>
      <c r="D163">
        <v>4388.8</v>
      </c>
      <c r="E163">
        <v>3697</v>
      </c>
      <c r="F163">
        <v>4411</v>
      </c>
      <c r="G163">
        <v>46062.421689872688</v>
      </c>
    </row>
    <row r="164" spans="1:7" x14ac:dyDescent="0.25">
      <c r="A164" t="s">
        <v>10</v>
      </c>
      <c r="B164">
        <v>7</v>
      </c>
      <c r="C164">
        <v>3685.7860000000001</v>
      </c>
      <c r="D164">
        <v>4365.7</v>
      </c>
      <c r="E164">
        <v>3713</v>
      </c>
      <c r="F164">
        <v>4426</v>
      </c>
      <c r="G164">
        <v>46069.421689872688</v>
      </c>
    </row>
    <row r="165" spans="1:7" x14ac:dyDescent="0.25">
      <c r="A165" t="s">
        <v>10</v>
      </c>
      <c r="B165">
        <v>8</v>
      </c>
      <c r="C165">
        <v>3745.596</v>
      </c>
      <c r="D165">
        <v>4421.7</v>
      </c>
      <c r="E165">
        <v>3730</v>
      </c>
      <c r="F165">
        <v>4441</v>
      </c>
      <c r="G165">
        <v>46076.421689872688</v>
      </c>
    </row>
    <row r="166" spans="1:7" x14ac:dyDescent="0.25">
      <c r="A166" t="s">
        <v>10</v>
      </c>
      <c r="B166">
        <v>9</v>
      </c>
      <c r="C166">
        <v>3787.5929999999998</v>
      </c>
      <c r="D166">
        <v>4392.6000000000004</v>
      </c>
      <c r="E166">
        <v>3746</v>
      </c>
      <c r="F166">
        <v>4456</v>
      </c>
      <c r="G166">
        <v>46083.421689872688</v>
      </c>
    </row>
    <row r="167" spans="1:7" x14ac:dyDescent="0.25">
      <c r="A167" t="s">
        <v>10</v>
      </c>
      <c r="B167">
        <v>10</v>
      </c>
      <c r="C167">
        <v>3745.6060000000002</v>
      </c>
      <c r="D167">
        <v>4511.6000000000004</v>
      </c>
      <c r="E167">
        <v>3762</v>
      </c>
      <c r="F167">
        <v>4471</v>
      </c>
      <c r="G167">
        <v>46090.421689872688</v>
      </c>
    </row>
    <row r="168" spans="1:7" x14ac:dyDescent="0.25">
      <c r="A168" t="s">
        <v>10</v>
      </c>
      <c r="B168">
        <v>11</v>
      </c>
      <c r="C168">
        <v>3734.7420000000002</v>
      </c>
      <c r="D168">
        <v>4512.6000000000004</v>
      </c>
      <c r="E168">
        <v>3778</v>
      </c>
      <c r="F168">
        <v>4486</v>
      </c>
      <c r="G168">
        <v>46097.421689872688</v>
      </c>
    </row>
    <row r="169" spans="1:7" x14ac:dyDescent="0.25">
      <c r="A169" t="s">
        <v>10</v>
      </c>
      <c r="B169">
        <v>12</v>
      </c>
      <c r="C169">
        <v>3764.3139999999999</v>
      </c>
      <c r="D169">
        <v>4474.5</v>
      </c>
      <c r="E169">
        <v>3794</v>
      </c>
      <c r="F169">
        <v>4501</v>
      </c>
      <c r="G169">
        <v>46104.421689872688</v>
      </c>
    </row>
    <row r="170" spans="1:7" x14ac:dyDescent="0.25">
      <c r="A170" t="s">
        <v>10</v>
      </c>
      <c r="B170">
        <v>13</v>
      </c>
      <c r="C170">
        <v>3743.5349999999999</v>
      </c>
      <c r="D170">
        <v>4546.5</v>
      </c>
      <c r="E170">
        <v>3811</v>
      </c>
      <c r="F170">
        <v>4517</v>
      </c>
      <c r="G170">
        <v>46111.421689872688</v>
      </c>
    </row>
    <row r="171" spans="1:7" x14ac:dyDescent="0.25">
      <c r="A171" t="s">
        <v>10</v>
      </c>
      <c r="B171">
        <v>14</v>
      </c>
      <c r="C171">
        <v>3841.7289999999998</v>
      </c>
      <c r="D171">
        <v>4526.3999999999996</v>
      </c>
      <c r="E171">
        <v>3827</v>
      </c>
      <c r="F171">
        <v>4532</v>
      </c>
      <c r="G171">
        <v>46118.421689872688</v>
      </c>
    </row>
    <row r="172" spans="1:7" x14ac:dyDescent="0.25">
      <c r="A172" t="s">
        <v>10</v>
      </c>
      <c r="B172">
        <v>15</v>
      </c>
      <c r="C172">
        <v>3791.31</v>
      </c>
      <c r="D172">
        <v>4549.3999999999996</v>
      </c>
      <c r="E172">
        <v>3843</v>
      </c>
      <c r="F172">
        <v>4547</v>
      </c>
      <c r="G172">
        <v>46125.421689872688</v>
      </c>
    </row>
    <row r="173" spans="1:7" x14ac:dyDescent="0.25">
      <c r="A173" t="s">
        <v>10</v>
      </c>
      <c r="B173">
        <v>16</v>
      </c>
      <c r="C173">
        <v>3800.4609999999998</v>
      </c>
      <c r="D173">
        <v>4564.3999999999996</v>
      </c>
      <c r="E173">
        <v>3859</v>
      </c>
      <c r="F173">
        <v>4562</v>
      </c>
      <c r="G173">
        <v>46132.421689872688</v>
      </c>
    </row>
    <row r="174" spans="1:7" x14ac:dyDescent="0.25">
      <c r="A174" t="s">
        <v>10</v>
      </c>
      <c r="B174">
        <v>17</v>
      </c>
      <c r="C174">
        <v>3880.7359999999999</v>
      </c>
      <c r="D174">
        <v>4586.3</v>
      </c>
      <c r="E174">
        <v>3875</v>
      </c>
      <c r="F174">
        <v>4577</v>
      </c>
      <c r="G174">
        <v>46139.421689872688</v>
      </c>
    </row>
    <row r="175" spans="1:7" x14ac:dyDescent="0.25">
      <c r="A175" t="s">
        <v>10</v>
      </c>
      <c r="B175">
        <v>18</v>
      </c>
      <c r="C175">
        <v>3850.076</v>
      </c>
      <c r="D175">
        <v>4498.3</v>
      </c>
      <c r="E175">
        <v>3892</v>
      </c>
      <c r="F175">
        <v>4592</v>
      </c>
      <c r="G175">
        <v>46146.421689872688</v>
      </c>
    </row>
    <row r="176" spans="1:7" x14ac:dyDescent="0.25">
      <c r="A176" t="s">
        <v>10</v>
      </c>
      <c r="B176">
        <v>19</v>
      </c>
      <c r="C176">
        <v>3821.991</v>
      </c>
      <c r="D176">
        <v>4612.2</v>
      </c>
      <c r="E176">
        <v>3908</v>
      </c>
      <c r="F176">
        <v>4607</v>
      </c>
      <c r="G176">
        <v>46153.421689872688</v>
      </c>
    </row>
    <row r="177" spans="1:7" x14ac:dyDescent="0.25">
      <c r="A177" t="s">
        <v>10</v>
      </c>
      <c r="B177">
        <v>20</v>
      </c>
      <c r="C177">
        <v>3923.9580000000001</v>
      </c>
      <c r="D177">
        <v>4577.2</v>
      </c>
      <c r="E177">
        <v>3924</v>
      </c>
      <c r="F177">
        <v>4622</v>
      </c>
      <c r="G177">
        <v>46160.421689872688</v>
      </c>
    </row>
    <row r="178" spans="1:7" x14ac:dyDescent="0.25">
      <c r="A178" t="s">
        <v>10</v>
      </c>
      <c r="B178">
        <v>21</v>
      </c>
      <c r="C178">
        <v>3936.8519999999999</v>
      </c>
      <c r="D178">
        <v>4617.2</v>
      </c>
      <c r="E178">
        <v>3940</v>
      </c>
      <c r="F178">
        <v>4638</v>
      </c>
      <c r="G178">
        <v>46167.421689872688</v>
      </c>
    </row>
    <row r="179" spans="1:7" x14ac:dyDescent="0.25">
      <c r="A179" t="s">
        <v>10</v>
      </c>
      <c r="B179">
        <v>22</v>
      </c>
      <c r="C179">
        <v>3926.7660000000001</v>
      </c>
      <c r="D179">
        <v>4631.1000000000004</v>
      </c>
      <c r="E179">
        <v>3956</v>
      </c>
      <c r="F179">
        <v>4653</v>
      </c>
      <c r="G179">
        <v>46174.421689895833</v>
      </c>
    </row>
    <row r="180" spans="1:7" x14ac:dyDescent="0.25">
      <c r="A180" t="s">
        <v>10</v>
      </c>
      <c r="B180">
        <v>23</v>
      </c>
      <c r="C180">
        <v>3876.4580000000001</v>
      </c>
      <c r="D180">
        <v>4692.1000000000004</v>
      </c>
      <c r="E180">
        <v>3973</v>
      </c>
      <c r="F180">
        <v>4668</v>
      </c>
      <c r="G180">
        <v>46181.421689895833</v>
      </c>
    </row>
    <row r="181" spans="1:7" x14ac:dyDescent="0.25">
      <c r="A181" t="s">
        <v>10</v>
      </c>
      <c r="B181">
        <v>24</v>
      </c>
      <c r="C181">
        <v>3965.837</v>
      </c>
      <c r="D181">
        <v>4709</v>
      </c>
      <c r="E181">
        <v>3989</v>
      </c>
      <c r="F181">
        <v>4683</v>
      </c>
      <c r="G181">
        <v>46188.421689895833</v>
      </c>
    </row>
    <row r="182" spans="1:7" x14ac:dyDescent="0.25">
      <c r="A182" t="s">
        <v>10</v>
      </c>
      <c r="B182">
        <v>25</v>
      </c>
      <c r="C182">
        <v>3969.5349999999999</v>
      </c>
      <c r="D182">
        <v>4701</v>
      </c>
      <c r="E182">
        <v>4005</v>
      </c>
      <c r="F182">
        <v>4698</v>
      </c>
      <c r="G182">
        <v>46195.421689895833</v>
      </c>
    </row>
    <row r="183" spans="1:7" x14ac:dyDescent="0.25">
      <c r="A183" t="s">
        <v>10</v>
      </c>
      <c r="B183">
        <v>26</v>
      </c>
      <c r="C183">
        <v>3981.8620000000001</v>
      </c>
      <c r="D183">
        <v>4590</v>
      </c>
      <c r="E183">
        <v>4021</v>
      </c>
      <c r="F183">
        <v>4713</v>
      </c>
      <c r="G183">
        <v>46202.421689895833</v>
      </c>
    </row>
    <row r="184" spans="1:7" x14ac:dyDescent="0.25">
      <c r="A184" t="s">
        <v>10</v>
      </c>
      <c r="B184">
        <v>27</v>
      </c>
      <c r="C184">
        <v>4020.5250000000001</v>
      </c>
      <c r="D184">
        <v>4738.8999999999996</v>
      </c>
      <c r="E184">
        <v>4037</v>
      </c>
      <c r="F184">
        <v>4728</v>
      </c>
      <c r="G184">
        <v>46209.421689895833</v>
      </c>
    </row>
    <row r="185" spans="1:7" x14ac:dyDescent="0.25">
      <c r="A185" t="s">
        <v>10</v>
      </c>
      <c r="B185">
        <v>28</v>
      </c>
      <c r="C185">
        <v>4002.922</v>
      </c>
      <c r="D185">
        <v>4709.8999999999996</v>
      </c>
      <c r="E185">
        <v>4054</v>
      </c>
      <c r="F185">
        <v>4743</v>
      </c>
      <c r="G185">
        <v>46216.421689895833</v>
      </c>
    </row>
    <row r="186" spans="1:7" x14ac:dyDescent="0.25">
      <c r="A186" t="s">
        <v>10</v>
      </c>
      <c r="B186">
        <v>29</v>
      </c>
      <c r="C186">
        <v>3970.482</v>
      </c>
      <c r="D186">
        <v>4689.8</v>
      </c>
      <c r="E186">
        <v>4070</v>
      </c>
      <c r="F186">
        <v>4758</v>
      </c>
      <c r="G186">
        <v>46223.421689895833</v>
      </c>
    </row>
    <row r="187" spans="1:7" x14ac:dyDescent="0.25">
      <c r="A187" t="s">
        <v>10</v>
      </c>
      <c r="B187">
        <v>30</v>
      </c>
      <c r="C187">
        <v>4050.3620000000001</v>
      </c>
      <c r="D187">
        <v>4647.8</v>
      </c>
      <c r="E187">
        <v>4086</v>
      </c>
      <c r="F187">
        <v>4774</v>
      </c>
      <c r="G187">
        <v>46230.421689895833</v>
      </c>
    </row>
    <row r="188" spans="1:7" x14ac:dyDescent="0.25">
      <c r="A188" t="s">
        <v>10</v>
      </c>
      <c r="B188">
        <v>31</v>
      </c>
      <c r="C188">
        <v>4070.7420000000002</v>
      </c>
      <c r="D188">
        <v>4701.8</v>
      </c>
      <c r="E188">
        <v>4102</v>
      </c>
      <c r="F188">
        <v>4789</v>
      </c>
      <c r="G188">
        <v>46237.421689895833</v>
      </c>
    </row>
    <row r="189" spans="1:7" x14ac:dyDescent="0.25">
      <c r="A189" t="s">
        <v>10</v>
      </c>
      <c r="B189">
        <v>32</v>
      </c>
      <c r="C189">
        <v>4045.848</v>
      </c>
      <c r="D189">
        <v>4762.7</v>
      </c>
      <c r="E189">
        <v>4118</v>
      </c>
      <c r="F189">
        <v>4804</v>
      </c>
      <c r="G189">
        <v>46244.421689895833</v>
      </c>
    </row>
    <row r="190" spans="1:7" x14ac:dyDescent="0.25">
      <c r="A190" t="s">
        <v>10</v>
      </c>
      <c r="B190">
        <v>33</v>
      </c>
      <c r="C190">
        <v>4134.915</v>
      </c>
      <c r="D190">
        <v>4721.7</v>
      </c>
      <c r="E190">
        <v>4135</v>
      </c>
      <c r="F190">
        <v>4819</v>
      </c>
      <c r="G190">
        <v>46251.421689895833</v>
      </c>
    </row>
    <row r="191" spans="1:7" x14ac:dyDescent="0.25">
      <c r="A191" t="s">
        <v>10</v>
      </c>
      <c r="B191">
        <v>34</v>
      </c>
      <c r="C191">
        <v>4036.8130000000001</v>
      </c>
      <c r="D191">
        <v>4808.6000000000004</v>
      </c>
      <c r="E191">
        <v>4151</v>
      </c>
      <c r="F191">
        <v>4834</v>
      </c>
      <c r="G191">
        <v>46258.421689895833</v>
      </c>
    </row>
    <row r="192" spans="1:7" x14ac:dyDescent="0.25">
      <c r="A192" t="s">
        <v>10</v>
      </c>
      <c r="B192">
        <v>35</v>
      </c>
      <c r="C192">
        <v>4136.125</v>
      </c>
      <c r="D192">
        <v>4804.6000000000004</v>
      </c>
      <c r="E192">
        <v>4167</v>
      </c>
      <c r="F192">
        <v>4849</v>
      </c>
      <c r="G192">
        <v>46265.421689895833</v>
      </c>
    </row>
    <row r="193" spans="1:7" x14ac:dyDescent="0.25">
      <c r="A193" t="s">
        <v>10</v>
      </c>
      <c r="B193">
        <v>36</v>
      </c>
      <c r="C193">
        <v>4155.2430000000004</v>
      </c>
      <c r="D193">
        <v>4760.6000000000004</v>
      </c>
      <c r="E193">
        <v>4183</v>
      </c>
      <c r="F193">
        <v>4864</v>
      </c>
      <c r="G193">
        <v>46272.421689895833</v>
      </c>
    </row>
    <row r="194" spans="1:7" x14ac:dyDescent="0.25">
      <c r="A194" t="s">
        <v>10</v>
      </c>
      <c r="B194">
        <v>37</v>
      </c>
      <c r="C194">
        <v>4109.3069999999998</v>
      </c>
      <c r="D194">
        <v>4867.5</v>
      </c>
      <c r="E194">
        <v>4199</v>
      </c>
      <c r="F194">
        <v>4879</v>
      </c>
      <c r="G194">
        <v>46279.421689895833</v>
      </c>
    </row>
    <row r="195" spans="1:7" x14ac:dyDescent="0.25">
      <c r="A195" t="s">
        <v>10</v>
      </c>
      <c r="B195">
        <v>38</v>
      </c>
      <c r="C195">
        <v>4171.2309999999998</v>
      </c>
      <c r="D195">
        <v>4769.5</v>
      </c>
      <c r="E195">
        <v>4216</v>
      </c>
      <c r="F195">
        <v>4895</v>
      </c>
      <c r="G195">
        <v>46286.421689895833</v>
      </c>
    </row>
    <row r="196" spans="1:7" x14ac:dyDescent="0.25">
      <c r="A196" t="s">
        <v>10</v>
      </c>
      <c r="B196">
        <v>39</v>
      </c>
      <c r="C196">
        <v>4167.893</v>
      </c>
      <c r="D196">
        <v>4861.3999999999996</v>
      </c>
      <c r="E196">
        <v>4232</v>
      </c>
      <c r="F196">
        <v>4910</v>
      </c>
      <c r="G196">
        <v>46293.421689895833</v>
      </c>
    </row>
    <row r="197" spans="1:7" x14ac:dyDescent="0.25">
      <c r="A197" t="s">
        <v>10</v>
      </c>
      <c r="B197">
        <v>40</v>
      </c>
      <c r="C197">
        <v>4234.4759999999997</v>
      </c>
      <c r="D197">
        <v>4771.3999999999996</v>
      </c>
      <c r="E197">
        <v>4248</v>
      </c>
      <c r="F197">
        <v>4925</v>
      </c>
      <c r="G197">
        <v>46300.421689895833</v>
      </c>
    </row>
    <row r="198" spans="1:7" x14ac:dyDescent="0.25">
      <c r="A198" t="s">
        <v>10</v>
      </c>
      <c r="B198">
        <v>41</v>
      </c>
      <c r="C198">
        <v>4153.79</v>
      </c>
      <c r="D198">
        <v>4914.3999999999996</v>
      </c>
      <c r="E198">
        <v>4264</v>
      </c>
      <c r="F198">
        <v>4940</v>
      </c>
      <c r="G198">
        <v>46307.421689895833</v>
      </c>
    </row>
    <row r="199" spans="1:7" x14ac:dyDescent="0.25">
      <c r="A199" t="s">
        <v>10</v>
      </c>
      <c r="B199">
        <v>42</v>
      </c>
      <c r="C199">
        <v>4246.768</v>
      </c>
      <c r="D199">
        <v>4927.3</v>
      </c>
      <c r="E199">
        <v>4280</v>
      </c>
      <c r="F199">
        <v>4955</v>
      </c>
      <c r="G199">
        <v>46314.421689895833</v>
      </c>
    </row>
    <row r="200" spans="1:7" x14ac:dyDescent="0.25">
      <c r="A200" t="s">
        <v>10</v>
      </c>
      <c r="B200">
        <v>43</v>
      </c>
      <c r="C200">
        <v>4232.3969999999999</v>
      </c>
      <c r="D200">
        <v>4874.3</v>
      </c>
      <c r="E200">
        <v>4297</v>
      </c>
      <c r="F200">
        <v>4970</v>
      </c>
      <c r="G200">
        <v>46321.421689895833</v>
      </c>
    </row>
    <row r="201" spans="1:7" x14ac:dyDescent="0.25">
      <c r="A201" t="s">
        <v>10</v>
      </c>
      <c r="B201">
        <v>44</v>
      </c>
      <c r="C201">
        <v>4195.1639999999998</v>
      </c>
      <c r="D201">
        <v>4929.2</v>
      </c>
      <c r="E201">
        <v>4313</v>
      </c>
      <c r="F201">
        <v>4985</v>
      </c>
      <c r="G201">
        <v>46328.421689895833</v>
      </c>
    </row>
    <row r="202" spans="1:7" x14ac:dyDescent="0.25">
      <c r="A202" t="s">
        <v>10</v>
      </c>
      <c r="B202">
        <v>45</v>
      </c>
      <c r="C202">
        <v>4277.7039999999997</v>
      </c>
      <c r="D202">
        <v>4904.2</v>
      </c>
      <c r="E202">
        <v>4329</v>
      </c>
      <c r="F202">
        <v>5000</v>
      </c>
      <c r="G202">
        <v>46335.421689895833</v>
      </c>
    </row>
    <row r="203" spans="1:7" x14ac:dyDescent="0.25">
      <c r="A203" t="s">
        <v>10</v>
      </c>
      <c r="B203">
        <v>46</v>
      </c>
      <c r="C203">
        <v>4218.1260000000002</v>
      </c>
      <c r="D203">
        <v>4931.2</v>
      </c>
      <c r="E203">
        <v>4345</v>
      </c>
      <c r="F203">
        <v>5016</v>
      </c>
      <c r="G203">
        <v>46342.421689895833</v>
      </c>
    </row>
    <row r="204" spans="1:7" x14ac:dyDescent="0.25">
      <c r="A204" t="s">
        <v>10</v>
      </c>
      <c r="B204">
        <v>47</v>
      </c>
      <c r="C204">
        <v>4333.1009999999997</v>
      </c>
      <c r="D204">
        <v>4855.1000000000004</v>
      </c>
      <c r="E204">
        <v>4361</v>
      </c>
      <c r="F204">
        <v>5031</v>
      </c>
      <c r="G204">
        <v>46349.421689895833</v>
      </c>
    </row>
    <row r="205" spans="1:7" x14ac:dyDescent="0.25">
      <c r="A205" t="s">
        <v>10</v>
      </c>
      <c r="B205">
        <v>48</v>
      </c>
      <c r="C205">
        <v>4246.5510000000004</v>
      </c>
      <c r="D205">
        <v>4998.1000000000004</v>
      </c>
      <c r="E205">
        <v>4378</v>
      </c>
      <c r="F205">
        <v>5046</v>
      </c>
      <c r="G205">
        <v>46356.421689895833</v>
      </c>
    </row>
    <row r="206" spans="1:7" x14ac:dyDescent="0.25">
      <c r="A206" t="s">
        <v>10</v>
      </c>
      <c r="B206">
        <v>49</v>
      </c>
      <c r="C206">
        <v>4269.5950000000003</v>
      </c>
      <c r="D206">
        <v>4924</v>
      </c>
      <c r="E206">
        <v>4394</v>
      </c>
      <c r="F206">
        <v>5061</v>
      </c>
      <c r="G206">
        <v>46363.421689895833</v>
      </c>
    </row>
    <row r="207" spans="1:7" x14ac:dyDescent="0.25">
      <c r="A207" t="s">
        <v>10</v>
      </c>
      <c r="B207">
        <v>50</v>
      </c>
      <c r="C207">
        <v>4277.8209999999999</v>
      </c>
      <c r="D207">
        <v>5008</v>
      </c>
      <c r="E207">
        <v>4410</v>
      </c>
      <c r="F207">
        <v>5076</v>
      </c>
      <c r="G207">
        <v>46370.421689895833</v>
      </c>
    </row>
    <row r="208" spans="1:7" x14ac:dyDescent="0.25">
      <c r="A208" t="s">
        <v>10</v>
      </c>
      <c r="B208">
        <v>51</v>
      </c>
      <c r="C208">
        <v>4387.4089999999997</v>
      </c>
      <c r="D208">
        <v>4939</v>
      </c>
      <c r="E208">
        <v>4426</v>
      </c>
      <c r="F208">
        <v>5091</v>
      </c>
      <c r="G208">
        <v>46377.421689895833</v>
      </c>
    </row>
    <row r="209" spans="1:7" x14ac:dyDescent="0.25">
      <c r="A209" t="s">
        <v>10</v>
      </c>
      <c r="B209">
        <v>52</v>
      </c>
      <c r="C209">
        <v>4320.6629999999996</v>
      </c>
      <c r="D209">
        <v>5044.8999999999996</v>
      </c>
      <c r="E209">
        <v>4442</v>
      </c>
      <c r="F209">
        <v>5106</v>
      </c>
      <c r="G209">
        <v>46384.421689895833</v>
      </c>
    </row>
    <row r="210" spans="1:7" x14ac:dyDescent="0.25">
      <c r="A210" t="s">
        <v>11</v>
      </c>
      <c r="B210">
        <v>1</v>
      </c>
      <c r="C210">
        <v>4366.1270000000004</v>
      </c>
      <c r="D210">
        <v>5120.5</v>
      </c>
      <c r="E210">
        <v>4319</v>
      </c>
      <c r="F210">
        <v>5178</v>
      </c>
      <c r="G210">
        <v>46027.421689895833</v>
      </c>
    </row>
    <row r="211" spans="1:7" x14ac:dyDescent="0.25">
      <c r="A211" t="s">
        <v>11</v>
      </c>
      <c r="B211">
        <v>2</v>
      </c>
      <c r="C211">
        <v>4370.5860000000002</v>
      </c>
      <c r="D211">
        <v>5214</v>
      </c>
      <c r="E211">
        <v>4339</v>
      </c>
      <c r="F211">
        <v>5196</v>
      </c>
      <c r="G211">
        <v>46034.421689895833</v>
      </c>
    </row>
    <row r="212" spans="1:7" x14ac:dyDescent="0.25">
      <c r="A212" t="s">
        <v>11</v>
      </c>
      <c r="B212">
        <v>3</v>
      </c>
      <c r="C212">
        <v>4393.723</v>
      </c>
      <c r="D212">
        <v>5276.4</v>
      </c>
      <c r="E212">
        <v>4358</v>
      </c>
      <c r="F212">
        <v>5214</v>
      </c>
      <c r="G212">
        <v>46041.421689895833</v>
      </c>
    </row>
    <row r="213" spans="1:7" x14ac:dyDescent="0.25">
      <c r="A213" t="s">
        <v>11</v>
      </c>
      <c r="B213">
        <v>4</v>
      </c>
      <c r="C213">
        <v>4330.7640000000001</v>
      </c>
      <c r="D213">
        <v>5193.8999999999996</v>
      </c>
      <c r="E213">
        <v>4377</v>
      </c>
      <c r="F213">
        <v>5232</v>
      </c>
      <c r="G213">
        <v>46048.421689895833</v>
      </c>
    </row>
    <row r="214" spans="1:7" x14ac:dyDescent="0.25">
      <c r="A214" t="s">
        <v>11</v>
      </c>
      <c r="B214">
        <v>5</v>
      </c>
      <c r="C214">
        <v>4412.4279999999999</v>
      </c>
      <c r="D214">
        <v>5247.4</v>
      </c>
      <c r="E214">
        <v>4397</v>
      </c>
      <c r="F214">
        <v>5250</v>
      </c>
      <c r="G214">
        <v>46055.421689895833</v>
      </c>
    </row>
    <row r="215" spans="1:7" x14ac:dyDescent="0.25">
      <c r="A215" t="s">
        <v>11</v>
      </c>
      <c r="B215">
        <v>6</v>
      </c>
      <c r="C215">
        <v>4358.2179999999998</v>
      </c>
      <c r="D215">
        <v>5200.8999999999996</v>
      </c>
      <c r="E215">
        <v>4416</v>
      </c>
      <c r="F215">
        <v>5268</v>
      </c>
      <c r="G215">
        <v>46062.421689895833</v>
      </c>
    </row>
    <row r="216" spans="1:7" x14ac:dyDescent="0.25">
      <c r="A216" t="s">
        <v>11</v>
      </c>
      <c r="B216">
        <v>7</v>
      </c>
      <c r="C216">
        <v>4365.4709999999995</v>
      </c>
      <c r="D216">
        <v>5194.3999999999996</v>
      </c>
      <c r="E216">
        <v>4435</v>
      </c>
      <c r="F216">
        <v>5286</v>
      </c>
      <c r="G216">
        <v>46069.421689895833</v>
      </c>
    </row>
    <row r="217" spans="1:7" x14ac:dyDescent="0.25">
      <c r="A217" t="s">
        <v>11</v>
      </c>
      <c r="B217">
        <v>8</v>
      </c>
      <c r="C217">
        <v>4382.25</v>
      </c>
      <c r="D217">
        <v>5358.8</v>
      </c>
      <c r="E217">
        <v>4455</v>
      </c>
      <c r="F217">
        <v>5304</v>
      </c>
      <c r="G217">
        <v>46076.421689895833</v>
      </c>
    </row>
    <row r="218" spans="1:7" x14ac:dyDescent="0.25">
      <c r="A218" t="s">
        <v>11</v>
      </c>
      <c r="B218">
        <v>9</v>
      </c>
      <c r="C218">
        <v>4465.2709999999997</v>
      </c>
      <c r="D218">
        <v>5279.3</v>
      </c>
      <c r="E218">
        <v>4474</v>
      </c>
      <c r="F218">
        <v>5323</v>
      </c>
      <c r="G218">
        <v>46083.421689895833</v>
      </c>
    </row>
    <row r="219" spans="1:7" x14ac:dyDescent="0.25">
      <c r="A219" t="s">
        <v>11</v>
      </c>
      <c r="B219">
        <v>10</v>
      </c>
      <c r="C219">
        <v>4499.2340000000004</v>
      </c>
      <c r="D219">
        <v>5322.8</v>
      </c>
      <c r="E219">
        <v>4494</v>
      </c>
      <c r="F219">
        <v>5341</v>
      </c>
      <c r="G219">
        <v>46090.421689895833</v>
      </c>
    </row>
    <row r="220" spans="1:7" x14ac:dyDescent="0.25">
      <c r="A220" t="s">
        <v>11</v>
      </c>
      <c r="B220">
        <v>11</v>
      </c>
      <c r="C220">
        <v>4489.683</v>
      </c>
      <c r="D220">
        <v>5384.3</v>
      </c>
      <c r="E220">
        <v>4513</v>
      </c>
      <c r="F220">
        <v>5359</v>
      </c>
      <c r="G220">
        <v>46097.421689895833</v>
      </c>
    </row>
    <row r="221" spans="1:7" x14ac:dyDescent="0.25">
      <c r="A221" t="s">
        <v>11</v>
      </c>
      <c r="B221">
        <v>12</v>
      </c>
      <c r="C221">
        <v>4528.6229999999996</v>
      </c>
      <c r="D221">
        <v>5392.8</v>
      </c>
      <c r="E221">
        <v>4532</v>
      </c>
      <c r="F221">
        <v>5377</v>
      </c>
      <c r="G221">
        <v>46104.421689895833</v>
      </c>
    </row>
    <row r="222" spans="1:7" x14ac:dyDescent="0.25">
      <c r="A222" t="s">
        <v>11</v>
      </c>
      <c r="B222">
        <v>13</v>
      </c>
      <c r="C222">
        <v>4515.768</v>
      </c>
      <c r="D222">
        <v>5299.2</v>
      </c>
      <c r="E222">
        <v>4552</v>
      </c>
      <c r="F222">
        <v>5395</v>
      </c>
      <c r="G222">
        <v>46111.421689895833</v>
      </c>
    </row>
    <row r="223" spans="1:7" x14ac:dyDescent="0.25">
      <c r="A223" t="s">
        <v>11</v>
      </c>
      <c r="B223">
        <v>14</v>
      </c>
      <c r="C223">
        <v>4528.0720000000001</v>
      </c>
      <c r="D223">
        <v>5332.7</v>
      </c>
      <c r="E223">
        <v>4571</v>
      </c>
      <c r="F223">
        <v>5413</v>
      </c>
      <c r="G223">
        <v>46118.421689895833</v>
      </c>
    </row>
    <row r="224" spans="1:7" x14ac:dyDescent="0.25">
      <c r="A224" t="s">
        <v>11</v>
      </c>
      <c r="B224">
        <v>15</v>
      </c>
      <c r="C224">
        <v>4607.009</v>
      </c>
      <c r="D224">
        <v>5317.2</v>
      </c>
      <c r="E224">
        <v>4590</v>
      </c>
      <c r="F224">
        <v>5431</v>
      </c>
      <c r="G224">
        <v>46125.421689895833</v>
      </c>
    </row>
    <row r="225" spans="1:7" x14ac:dyDescent="0.25">
      <c r="A225" t="s">
        <v>11</v>
      </c>
      <c r="B225">
        <v>16</v>
      </c>
      <c r="C225">
        <v>4633.6239999999998</v>
      </c>
      <c r="D225">
        <v>5389.7</v>
      </c>
      <c r="E225">
        <v>4610</v>
      </c>
      <c r="F225">
        <v>5449</v>
      </c>
      <c r="G225">
        <v>46132.421689895833</v>
      </c>
    </row>
    <row r="226" spans="1:7" x14ac:dyDescent="0.25">
      <c r="A226" t="s">
        <v>11</v>
      </c>
      <c r="B226">
        <v>17</v>
      </c>
      <c r="C226">
        <v>4555.2129999999997</v>
      </c>
      <c r="D226">
        <v>5501.2</v>
      </c>
      <c r="E226">
        <v>4629</v>
      </c>
      <c r="F226">
        <v>5467</v>
      </c>
      <c r="G226">
        <v>46139.421689895833</v>
      </c>
    </row>
    <row r="227" spans="1:7" x14ac:dyDescent="0.25">
      <c r="A227" t="s">
        <v>11</v>
      </c>
      <c r="B227">
        <v>18</v>
      </c>
      <c r="C227">
        <v>4556.8140000000003</v>
      </c>
      <c r="D227">
        <v>5484.6</v>
      </c>
      <c r="E227">
        <v>4648</v>
      </c>
      <c r="F227">
        <v>5485</v>
      </c>
      <c r="G227">
        <v>46146.421689895833</v>
      </c>
    </row>
    <row r="228" spans="1:7" x14ac:dyDescent="0.25">
      <c r="A228" t="s">
        <v>11</v>
      </c>
      <c r="B228">
        <v>19</v>
      </c>
      <c r="C228">
        <v>4661.6670000000004</v>
      </c>
      <c r="D228">
        <v>5418.1</v>
      </c>
      <c r="E228">
        <v>4668</v>
      </c>
      <c r="F228">
        <v>5503</v>
      </c>
      <c r="G228">
        <v>46153.421689895833</v>
      </c>
    </row>
    <row r="229" spans="1:7" x14ac:dyDescent="0.25">
      <c r="A229" t="s">
        <v>11</v>
      </c>
      <c r="B229">
        <v>20</v>
      </c>
      <c r="C229">
        <v>4605.22</v>
      </c>
      <c r="D229">
        <v>5503.6</v>
      </c>
      <c r="E229">
        <v>4687</v>
      </c>
      <c r="F229">
        <v>5521</v>
      </c>
      <c r="G229">
        <v>46160.421689895833</v>
      </c>
    </row>
    <row r="230" spans="1:7" x14ac:dyDescent="0.25">
      <c r="A230" t="s">
        <v>11</v>
      </c>
      <c r="B230">
        <v>21</v>
      </c>
      <c r="C230">
        <v>4633.3230000000003</v>
      </c>
      <c r="D230">
        <v>5547.1</v>
      </c>
      <c r="E230">
        <v>4706</v>
      </c>
      <c r="F230">
        <v>5539</v>
      </c>
      <c r="G230">
        <v>46167.421689895833</v>
      </c>
    </row>
    <row r="231" spans="1:7" x14ac:dyDescent="0.25">
      <c r="A231" t="s">
        <v>11</v>
      </c>
      <c r="B231">
        <v>22</v>
      </c>
      <c r="C231">
        <v>4665.0749999999998</v>
      </c>
      <c r="D231">
        <v>5496.6</v>
      </c>
      <c r="E231">
        <v>4726</v>
      </c>
      <c r="F231">
        <v>5557</v>
      </c>
      <c r="G231">
        <v>46174.421689895833</v>
      </c>
    </row>
    <row r="232" spans="1:7" x14ac:dyDescent="0.25">
      <c r="A232" t="s">
        <v>11</v>
      </c>
      <c r="B232">
        <v>23</v>
      </c>
      <c r="C232">
        <v>4693.6310000000003</v>
      </c>
      <c r="D232">
        <v>5468</v>
      </c>
      <c r="E232">
        <v>4745</v>
      </c>
      <c r="F232">
        <v>5575</v>
      </c>
      <c r="G232">
        <v>46181.421689895833</v>
      </c>
    </row>
    <row r="233" spans="1:7" x14ac:dyDescent="0.25">
      <c r="A233" t="s">
        <v>11</v>
      </c>
      <c r="B233">
        <v>24</v>
      </c>
      <c r="C233">
        <v>4745.4930000000004</v>
      </c>
      <c r="D233">
        <v>5587.5</v>
      </c>
      <c r="E233">
        <v>4764</v>
      </c>
      <c r="F233">
        <v>5593</v>
      </c>
      <c r="G233">
        <v>46188.421689895833</v>
      </c>
    </row>
    <row r="234" spans="1:7" x14ac:dyDescent="0.25">
      <c r="A234" t="s">
        <v>11</v>
      </c>
      <c r="B234">
        <v>25</v>
      </c>
      <c r="C234">
        <v>4677.6530000000002</v>
      </c>
      <c r="D234">
        <v>5594</v>
      </c>
      <c r="E234">
        <v>4784</v>
      </c>
      <c r="F234">
        <v>5611</v>
      </c>
      <c r="G234">
        <v>46195.421689895833</v>
      </c>
    </row>
    <row r="235" spans="1:7" x14ac:dyDescent="0.25">
      <c r="A235" t="s">
        <v>11</v>
      </c>
      <c r="B235">
        <v>26</v>
      </c>
      <c r="C235">
        <v>4784.3280000000004</v>
      </c>
      <c r="D235">
        <v>5584.5</v>
      </c>
      <c r="E235">
        <v>4803</v>
      </c>
      <c r="F235">
        <v>5630</v>
      </c>
      <c r="G235">
        <v>46202.421689895833</v>
      </c>
    </row>
    <row r="236" spans="1:7" x14ac:dyDescent="0.25">
      <c r="A236" t="s">
        <v>11</v>
      </c>
      <c r="B236">
        <v>27</v>
      </c>
      <c r="C236">
        <v>4818</v>
      </c>
      <c r="D236">
        <v>5505</v>
      </c>
      <c r="E236">
        <v>4822</v>
      </c>
      <c r="F236">
        <v>5648</v>
      </c>
      <c r="G236">
        <v>46209.421689895833</v>
      </c>
    </row>
    <row r="237" spans="1:7" x14ac:dyDescent="0.25">
      <c r="A237" t="s">
        <v>11</v>
      </c>
      <c r="B237">
        <v>28</v>
      </c>
      <c r="C237">
        <v>4840.1419999999998</v>
      </c>
      <c r="D237">
        <v>5580.4</v>
      </c>
      <c r="E237">
        <v>4842</v>
      </c>
      <c r="F237">
        <v>5666</v>
      </c>
      <c r="G237">
        <v>46216.421689895833</v>
      </c>
    </row>
    <row r="238" spans="1:7" x14ac:dyDescent="0.25">
      <c r="A238" t="s">
        <v>11</v>
      </c>
      <c r="B238">
        <v>29</v>
      </c>
      <c r="C238">
        <v>4806.2439999999997</v>
      </c>
      <c r="D238">
        <v>5571.9</v>
      </c>
      <c r="E238">
        <v>4861</v>
      </c>
      <c r="F238">
        <v>5684</v>
      </c>
      <c r="G238">
        <v>46223.421689895833</v>
      </c>
    </row>
    <row r="239" spans="1:7" x14ac:dyDescent="0.25">
      <c r="A239" t="s">
        <v>11</v>
      </c>
      <c r="B239">
        <v>30</v>
      </c>
      <c r="C239">
        <v>4761.9040000000005</v>
      </c>
      <c r="D239">
        <v>5600.4</v>
      </c>
      <c r="E239">
        <v>4880</v>
      </c>
      <c r="F239">
        <v>5702</v>
      </c>
      <c r="G239">
        <v>46230.421689895833</v>
      </c>
    </row>
    <row r="240" spans="1:7" x14ac:dyDescent="0.25">
      <c r="A240" t="s">
        <v>11</v>
      </c>
      <c r="B240">
        <v>31</v>
      </c>
      <c r="C240">
        <v>4835.4570000000003</v>
      </c>
      <c r="D240">
        <v>5710.9</v>
      </c>
      <c r="E240">
        <v>4900</v>
      </c>
      <c r="F240">
        <v>5720</v>
      </c>
      <c r="G240">
        <v>46237.421689895833</v>
      </c>
    </row>
    <row r="241" spans="1:7" x14ac:dyDescent="0.25">
      <c r="A241" t="s">
        <v>11</v>
      </c>
      <c r="B241">
        <v>32</v>
      </c>
      <c r="C241">
        <v>4837.5230000000001</v>
      </c>
      <c r="D241">
        <v>5598.4</v>
      </c>
      <c r="E241">
        <v>4919</v>
      </c>
      <c r="F241">
        <v>5738</v>
      </c>
      <c r="G241">
        <v>46244.421689895833</v>
      </c>
    </row>
    <row r="242" spans="1:7" x14ac:dyDescent="0.25">
      <c r="A242" t="s">
        <v>11</v>
      </c>
      <c r="B242">
        <v>33</v>
      </c>
      <c r="C242">
        <v>4848.1229999999996</v>
      </c>
      <c r="D242">
        <v>5643.8</v>
      </c>
      <c r="E242">
        <v>4939</v>
      </c>
      <c r="F242">
        <v>5756</v>
      </c>
      <c r="G242">
        <v>46251.421689895833</v>
      </c>
    </row>
    <row r="243" spans="1:7" x14ac:dyDescent="0.25">
      <c r="A243" t="s">
        <v>11</v>
      </c>
      <c r="B243">
        <v>34</v>
      </c>
      <c r="C243">
        <v>4891.2960000000003</v>
      </c>
      <c r="D243">
        <v>5668.3</v>
      </c>
      <c r="E243">
        <v>4958</v>
      </c>
      <c r="F243">
        <v>5774</v>
      </c>
      <c r="G243">
        <v>46258.421689895833</v>
      </c>
    </row>
    <row r="244" spans="1:7" x14ac:dyDescent="0.25">
      <c r="A244" t="s">
        <v>11</v>
      </c>
      <c r="B244">
        <v>35</v>
      </c>
      <c r="C244">
        <v>4864.4219999999996</v>
      </c>
      <c r="D244">
        <v>5640.8</v>
      </c>
      <c r="E244">
        <v>4977</v>
      </c>
      <c r="F244">
        <v>5792</v>
      </c>
      <c r="G244">
        <v>46265.421689895833</v>
      </c>
    </row>
    <row r="245" spans="1:7" x14ac:dyDescent="0.25">
      <c r="A245" t="s">
        <v>11</v>
      </c>
      <c r="B245">
        <v>36</v>
      </c>
      <c r="C245">
        <v>4875.2039999999997</v>
      </c>
      <c r="D245">
        <v>5726.3</v>
      </c>
      <c r="E245">
        <v>4997</v>
      </c>
      <c r="F245">
        <v>5810</v>
      </c>
      <c r="G245">
        <v>46272.421689895833</v>
      </c>
    </row>
    <row r="246" spans="1:7" x14ac:dyDescent="0.25">
      <c r="A246" t="s">
        <v>11</v>
      </c>
      <c r="B246">
        <v>37</v>
      </c>
      <c r="C246">
        <v>4996.3739999999998</v>
      </c>
      <c r="D246">
        <v>5770.8</v>
      </c>
      <c r="E246">
        <v>5016</v>
      </c>
      <c r="F246">
        <v>5828</v>
      </c>
      <c r="G246">
        <v>46279.421689895833</v>
      </c>
    </row>
    <row r="247" spans="1:7" x14ac:dyDescent="0.25">
      <c r="A247" t="s">
        <v>11</v>
      </c>
      <c r="B247">
        <v>38</v>
      </c>
      <c r="C247">
        <v>4969.8410000000003</v>
      </c>
      <c r="D247">
        <v>5767.2</v>
      </c>
      <c r="E247">
        <v>5035</v>
      </c>
      <c r="F247">
        <v>5846</v>
      </c>
      <c r="G247">
        <v>46286.421689895833</v>
      </c>
    </row>
    <row r="248" spans="1:7" x14ac:dyDescent="0.25">
      <c r="A248" t="s">
        <v>11</v>
      </c>
      <c r="B248">
        <v>39</v>
      </c>
      <c r="C248">
        <v>4991.085</v>
      </c>
      <c r="D248">
        <v>5776.7</v>
      </c>
      <c r="E248">
        <v>5055</v>
      </c>
      <c r="F248">
        <v>5864</v>
      </c>
      <c r="G248">
        <v>46293.421689895833</v>
      </c>
    </row>
    <row r="249" spans="1:7" x14ac:dyDescent="0.25">
      <c r="A249" t="s">
        <v>11</v>
      </c>
      <c r="B249">
        <v>40</v>
      </c>
      <c r="C249">
        <v>4984.826</v>
      </c>
      <c r="D249">
        <v>5736.2</v>
      </c>
      <c r="E249">
        <v>5074</v>
      </c>
      <c r="F249">
        <v>5882</v>
      </c>
      <c r="G249">
        <v>46300.421689895833</v>
      </c>
    </row>
    <row r="250" spans="1:7" x14ac:dyDescent="0.25">
      <c r="A250" t="s">
        <v>11</v>
      </c>
      <c r="B250">
        <v>41</v>
      </c>
      <c r="C250">
        <v>4970.6390000000001</v>
      </c>
      <c r="D250">
        <v>5734.7</v>
      </c>
      <c r="E250">
        <v>5093</v>
      </c>
      <c r="F250">
        <v>5900</v>
      </c>
      <c r="G250">
        <v>46307.421689895833</v>
      </c>
    </row>
    <row r="251" spans="1:7" x14ac:dyDescent="0.25">
      <c r="A251" t="s">
        <v>11</v>
      </c>
      <c r="B251">
        <v>42</v>
      </c>
      <c r="C251">
        <v>5063.6440000000002</v>
      </c>
      <c r="D251">
        <v>5799.2</v>
      </c>
      <c r="E251">
        <v>5113</v>
      </c>
      <c r="F251">
        <v>5919</v>
      </c>
      <c r="G251">
        <v>46314.421689895833</v>
      </c>
    </row>
    <row r="252" spans="1:7" x14ac:dyDescent="0.25">
      <c r="A252" t="s">
        <v>11</v>
      </c>
      <c r="B252">
        <v>43</v>
      </c>
      <c r="C252">
        <v>5088.26</v>
      </c>
      <c r="D252">
        <v>5829.6</v>
      </c>
      <c r="E252">
        <v>5132</v>
      </c>
      <c r="F252">
        <v>5937</v>
      </c>
      <c r="G252">
        <v>46321.421689895833</v>
      </c>
    </row>
    <row r="253" spans="1:7" x14ac:dyDescent="0.25">
      <c r="A253" t="s">
        <v>11</v>
      </c>
      <c r="B253">
        <v>44</v>
      </c>
      <c r="C253">
        <v>5075.2719999999999</v>
      </c>
      <c r="D253">
        <v>5857.1</v>
      </c>
      <c r="E253">
        <v>5151</v>
      </c>
      <c r="F253">
        <v>5955</v>
      </c>
      <c r="G253">
        <v>46328.421689895833</v>
      </c>
    </row>
    <row r="254" spans="1:7" x14ac:dyDescent="0.25">
      <c r="A254" t="s">
        <v>11</v>
      </c>
      <c r="B254">
        <v>45</v>
      </c>
      <c r="C254">
        <v>5050.3909999999996</v>
      </c>
      <c r="D254">
        <v>5792.6</v>
      </c>
      <c r="E254">
        <v>5171</v>
      </c>
      <c r="F254">
        <v>5973</v>
      </c>
      <c r="G254">
        <v>46335.421689895833</v>
      </c>
    </row>
    <row r="255" spans="1:7" x14ac:dyDescent="0.25">
      <c r="A255" t="s">
        <v>11</v>
      </c>
      <c r="B255">
        <v>46</v>
      </c>
      <c r="C255">
        <v>5109.9979999999996</v>
      </c>
      <c r="D255">
        <v>5811.1</v>
      </c>
      <c r="E255">
        <v>5190</v>
      </c>
      <c r="F255">
        <v>5991</v>
      </c>
      <c r="G255">
        <v>46342.421689895833</v>
      </c>
    </row>
    <row r="256" spans="1:7" x14ac:dyDescent="0.25">
      <c r="A256" t="s">
        <v>11</v>
      </c>
      <c r="B256">
        <v>47</v>
      </c>
      <c r="C256">
        <v>5083.8230000000003</v>
      </c>
      <c r="D256">
        <v>5877.6</v>
      </c>
      <c r="E256">
        <v>5209</v>
      </c>
      <c r="F256">
        <v>6009</v>
      </c>
      <c r="G256">
        <v>46349.421689895833</v>
      </c>
    </row>
    <row r="257" spans="1:7" x14ac:dyDescent="0.25">
      <c r="A257" t="s">
        <v>11</v>
      </c>
      <c r="B257">
        <v>48</v>
      </c>
      <c r="C257">
        <v>5150.6559999999999</v>
      </c>
      <c r="D257">
        <v>5971</v>
      </c>
      <c r="E257">
        <v>5229</v>
      </c>
      <c r="F257">
        <v>6027</v>
      </c>
      <c r="G257">
        <v>46356.421689895833</v>
      </c>
    </row>
    <row r="258" spans="1:7" x14ac:dyDescent="0.25">
      <c r="A258" t="s">
        <v>11</v>
      </c>
      <c r="B258">
        <v>49</v>
      </c>
      <c r="C258">
        <v>5157.6869999999999</v>
      </c>
      <c r="D258">
        <v>5840.5</v>
      </c>
      <c r="E258">
        <v>5248</v>
      </c>
      <c r="F258">
        <v>6045</v>
      </c>
      <c r="G258">
        <v>46363.421689895833</v>
      </c>
    </row>
    <row r="259" spans="1:7" x14ac:dyDescent="0.25">
      <c r="A259" t="s">
        <v>11</v>
      </c>
      <c r="B259">
        <v>50</v>
      </c>
      <c r="C259">
        <v>5139.7309999999998</v>
      </c>
      <c r="D259">
        <v>5987</v>
      </c>
      <c r="E259">
        <v>5268</v>
      </c>
      <c r="F259">
        <v>6063</v>
      </c>
      <c r="G259">
        <v>46370.421689895833</v>
      </c>
    </row>
    <row r="260" spans="1:7" x14ac:dyDescent="0.25">
      <c r="A260" t="s">
        <v>11</v>
      </c>
      <c r="B260">
        <v>51</v>
      </c>
      <c r="C260">
        <v>5186.07</v>
      </c>
      <c r="D260">
        <v>5980.5</v>
      </c>
      <c r="E260">
        <v>5287</v>
      </c>
      <c r="F260">
        <v>6081</v>
      </c>
      <c r="G260">
        <v>46377.421689895833</v>
      </c>
    </row>
    <row r="261" spans="1:7" x14ac:dyDescent="0.25">
      <c r="A261" t="s">
        <v>11</v>
      </c>
      <c r="B261">
        <v>52</v>
      </c>
      <c r="C261">
        <v>5146.741</v>
      </c>
      <c r="D261">
        <v>5894</v>
      </c>
      <c r="E261">
        <v>5306</v>
      </c>
      <c r="F261">
        <v>6099</v>
      </c>
      <c r="G261">
        <v>46384.421689895833</v>
      </c>
    </row>
    <row r="262" spans="1:7" x14ac:dyDescent="0.25">
      <c r="A262" t="s">
        <v>12</v>
      </c>
      <c r="B262">
        <v>1</v>
      </c>
      <c r="C262">
        <v>4991.3370000000004</v>
      </c>
      <c r="D262">
        <v>5966</v>
      </c>
      <c r="E262">
        <v>5022</v>
      </c>
      <c r="F262">
        <v>6021</v>
      </c>
      <c r="G262">
        <v>46027.421689895833</v>
      </c>
    </row>
    <row r="263" spans="1:7" x14ac:dyDescent="0.25">
      <c r="A263" t="s">
        <v>12</v>
      </c>
      <c r="B263">
        <v>2</v>
      </c>
      <c r="C263">
        <v>5062.2389999999996</v>
      </c>
      <c r="D263">
        <v>6010</v>
      </c>
      <c r="E263">
        <v>5045</v>
      </c>
      <c r="F263">
        <v>6042</v>
      </c>
      <c r="G263">
        <v>46034.421689895833</v>
      </c>
    </row>
    <row r="264" spans="1:7" x14ac:dyDescent="0.25">
      <c r="A264" t="s">
        <v>12</v>
      </c>
      <c r="B264">
        <v>3</v>
      </c>
      <c r="C264">
        <v>5003.3410000000003</v>
      </c>
      <c r="D264">
        <v>6054</v>
      </c>
      <c r="E264">
        <v>5068</v>
      </c>
      <c r="F264">
        <v>6063</v>
      </c>
      <c r="G264">
        <v>46041.421689895833</v>
      </c>
    </row>
    <row r="265" spans="1:7" x14ac:dyDescent="0.25">
      <c r="A265" t="s">
        <v>12</v>
      </c>
      <c r="B265">
        <v>4</v>
      </c>
      <c r="C265">
        <v>5035.33</v>
      </c>
      <c r="D265">
        <v>6128</v>
      </c>
      <c r="E265">
        <v>5090</v>
      </c>
      <c r="F265">
        <v>6084</v>
      </c>
      <c r="G265">
        <v>46048.421689895833</v>
      </c>
    </row>
    <row r="266" spans="1:7" x14ac:dyDescent="0.25">
      <c r="A266" t="s">
        <v>12</v>
      </c>
      <c r="B266">
        <v>5</v>
      </c>
      <c r="C266">
        <v>5101.0150000000003</v>
      </c>
      <c r="D266">
        <v>6088</v>
      </c>
      <c r="E266">
        <v>5112</v>
      </c>
      <c r="F266">
        <v>6105</v>
      </c>
      <c r="G266">
        <v>46055.421689895833</v>
      </c>
    </row>
    <row r="267" spans="1:7" x14ac:dyDescent="0.25">
      <c r="A267" t="s">
        <v>12</v>
      </c>
      <c r="B267">
        <v>6</v>
      </c>
      <c r="C267">
        <v>5115.1689999999999</v>
      </c>
      <c r="D267">
        <v>6092</v>
      </c>
      <c r="E267">
        <v>5135</v>
      </c>
      <c r="F267">
        <v>6126</v>
      </c>
      <c r="G267">
        <v>46062.421689895833</v>
      </c>
    </row>
    <row r="268" spans="1:7" x14ac:dyDescent="0.25">
      <c r="A268" t="s">
        <v>12</v>
      </c>
      <c r="B268">
        <v>7</v>
      </c>
      <c r="C268">
        <v>5175.5010000000002</v>
      </c>
      <c r="D268">
        <v>6107</v>
      </c>
      <c r="E268">
        <v>5158</v>
      </c>
      <c r="F268">
        <v>6147</v>
      </c>
      <c r="G268">
        <v>46069.421689976851</v>
      </c>
    </row>
    <row r="269" spans="1:7" x14ac:dyDescent="0.25">
      <c r="A269" t="s">
        <v>12</v>
      </c>
      <c r="B269">
        <v>8</v>
      </c>
      <c r="C269">
        <v>5123.232</v>
      </c>
      <c r="D269">
        <v>6121</v>
      </c>
      <c r="E269">
        <v>5180</v>
      </c>
      <c r="F269">
        <v>6168</v>
      </c>
      <c r="G269">
        <v>46076.421689976851</v>
      </c>
    </row>
    <row r="270" spans="1:7" x14ac:dyDescent="0.25">
      <c r="A270" t="s">
        <v>12</v>
      </c>
      <c r="B270">
        <v>9</v>
      </c>
      <c r="C270">
        <v>5170.5720000000001</v>
      </c>
      <c r="D270">
        <v>6230</v>
      </c>
      <c r="E270">
        <v>5202</v>
      </c>
      <c r="F270">
        <v>6189</v>
      </c>
      <c r="G270">
        <v>46083.421689976851</v>
      </c>
    </row>
    <row r="271" spans="1:7" x14ac:dyDescent="0.25">
      <c r="A271" t="s">
        <v>12</v>
      </c>
      <c r="B271">
        <v>10</v>
      </c>
      <c r="C271">
        <v>5223.0839999999998</v>
      </c>
      <c r="D271">
        <v>6196</v>
      </c>
      <c r="E271">
        <v>5225</v>
      </c>
      <c r="F271">
        <v>6210</v>
      </c>
      <c r="G271">
        <v>46090.421689976851</v>
      </c>
    </row>
    <row r="272" spans="1:7" x14ac:dyDescent="0.25">
      <c r="A272" t="s">
        <v>12</v>
      </c>
      <c r="B272">
        <v>11</v>
      </c>
      <c r="C272">
        <v>5268.2039999999997</v>
      </c>
      <c r="D272">
        <v>6126</v>
      </c>
      <c r="E272">
        <v>5248</v>
      </c>
      <c r="F272">
        <v>6231</v>
      </c>
      <c r="G272">
        <v>46097.421689976851</v>
      </c>
    </row>
    <row r="273" spans="1:7" x14ac:dyDescent="0.25">
      <c r="A273" t="s">
        <v>12</v>
      </c>
      <c r="B273">
        <v>12</v>
      </c>
      <c r="C273">
        <v>5185.3879999999999</v>
      </c>
      <c r="D273">
        <v>6209</v>
      </c>
      <c r="E273">
        <v>5270</v>
      </c>
      <c r="F273">
        <v>6252</v>
      </c>
      <c r="G273">
        <v>46104.421689976851</v>
      </c>
    </row>
    <row r="274" spans="1:7" x14ac:dyDescent="0.25">
      <c r="A274" t="s">
        <v>12</v>
      </c>
      <c r="B274">
        <v>13</v>
      </c>
      <c r="C274">
        <v>5312.6149999999998</v>
      </c>
      <c r="D274">
        <v>6183</v>
      </c>
      <c r="E274">
        <v>5292</v>
      </c>
      <c r="F274">
        <v>6273</v>
      </c>
      <c r="G274">
        <v>46111.421689976851</v>
      </c>
    </row>
    <row r="275" spans="1:7" x14ac:dyDescent="0.25">
      <c r="A275" t="s">
        <v>12</v>
      </c>
      <c r="B275">
        <v>14</v>
      </c>
      <c r="C275">
        <v>5231.68</v>
      </c>
      <c r="D275">
        <v>6286</v>
      </c>
      <c r="E275">
        <v>5315</v>
      </c>
      <c r="F275">
        <v>6294</v>
      </c>
      <c r="G275">
        <v>46118.421689976851</v>
      </c>
    </row>
    <row r="276" spans="1:7" x14ac:dyDescent="0.25">
      <c r="A276" t="s">
        <v>12</v>
      </c>
      <c r="B276">
        <v>15</v>
      </c>
      <c r="C276">
        <v>5291.4849999999997</v>
      </c>
      <c r="D276">
        <v>6279</v>
      </c>
      <c r="E276">
        <v>5337</v>
      </c>
      <c r="F276">
        <v>6315</v>
      </c>
      <c r="G276">
        <v>46125.421689976851</v>
      </c>
    </row>
    <row r="277" spans="1:7" x14ac:dyDescent="0.25">
      <c r="A277" t="s">
        <v>12</v>
      </c>
      <c r="B277">
        <v>16</v>
      </c>
      <c r="C277">
        <v>5279.8149999999996</v>
      </c>
      <c r="D277">
        <v>6322</v>
      </c>
      <c r="E277">
        <v>5360</v>
      </c>
      <c r="F277">
        <v>6336</v>
      </c>
      <c r="G277">
        <v>46132.421689976851</v>
      </c>
    </row>
    <row r="278" spans="1:7" x14ac:dyDescent="0.25">
      <c r="A278" t="s">
        <v>12</v>
      </c>
      <c r="B278">
        <v>17</v>
      </c>
      <c r="C278">
        <v>5321.1059999999998</v>
      </c>
      <c r="D278">
        <v>6338</v>
      </c>
      <c r="E278">
        <v>5382</v>
      </c>
      <c r="F278">
        <v>6357</v>
      </c>
      <c r="G278">
        <v>46139.421689976851</v>
      </c>
    </row>
    <row r="279" spans="1:7" x14ac:dyDescent="0.25">
      <c r="A279" t="s">
        <v>12</v>
      </c>
      <c r="B279">
        <v>18</v>
      </c>
      <c r="C279">
        <v>5335.31</v>
      </c>
      <c r="D279">
        <v>6378</v>
      </c>
      <c r="E279">
        <v>5405</v>
      </c>
      <c r="F279">
        <v>6378</v>
      </c>
      <c r="G279">
        <v>46146.421689976851</v>
      </c>
    </row>
    <row r="280" spans="1:7" x14ac:dyDescent="0.25">
      <c r="A280" t="s">
        <v>12</v>
      </c>
      <c r="B280">
        <v>19</v>
      </c>
      <c r="C280">
        <v>5400.0690000000004</v>
      </c>
      <c r="D280">
        <v>6278</v>
      </c>
      <c r="E280">
        <v>5428</v>
      </c>
      <c r="F280">
        <v>6399</v>
      </c>
      <c r="G280">
        <v>46153.421689976851</v>
      </c>
    </row>
    <row r="281" spans="1:7" x14ac:dyDescent="0.25">
      <c r="A281" t="s">
        <v>12</v>
      </c>
      <c r="B281">
        <v>20</v>
      </c>
      <c r="C281">
        <v>5438.2640000000001</v>
      </c>
      <c r="D281">
        <v>6386</v>
      </c>
      <c r="E281">
        <v>5450</v>
      </c>
      <c r="F281">
        <v>6420</v>
      </c>
      <c r="G281">
        <v>46160.421689976851</v>
      </c>
    </row>
    <row r="282" spans="1:7" x14ac:dyDescent="0.25">
      <c r="A282" t="s">
        <v>12</v>
      </c>
      <c r="B282">
        <v>21</v>
      </c>
      <c r="C282">
        <v>5409.335</v>
      </c>
      <c r="D282">
        <v>6339</v>
      </c>
      <c r="E282">
        <v>5472</v>
      </c>
      <c r="F282">
        <v>6441</v>
      </c>
      <c r="G282">
        <v>46167.421689976851</v>
      </c>
    </row>
    <row r="283" spans="1:7" x14ac:dyDescent="0.25">
      <c r="A283" t="s">
        <v>12</v>
      </c>
      <c r="B283">
        <v>22</v>
      </c>
      <c r="C283">
        <v>5487.2250000000004</v>
      </c>
      <c r="D283">
        <v>6336</v>
      </c>
      <c r="E283">
        <v>5495</v>
      </c>
      <c r="F283">
        <v>6462</v>
      </c>
      <c r="G283">
        <v>46174.421689976851</v>
      </c>
    </row>
    <row r="284" spans="1:7" x14ac:dyDescent="0.25">
      <c r="A284" t="s">
        <v>12</v>
      </c>
      <c r="B284">
        <v>23</v>
      </c>
      <c r="C284">
        <v>5496.4679999999998</v>
      </c>
      <c r="D284">
        <v>6434</v>
      </c>
      <c r="E284">
        <v>5518</v>
      </c>
      <c r="F284">
        <v>6483</v>
      </c>
      <c r="G284">
        <v>46181.421689976851</v>
      </c>
    </row>
    <row r="285" spans="1:7" x14ac:dyDescent="0.25">
      <c r="A285" t="s">
        <v>12</v>
      </c>
      <c r="B285">
        <v>24</v>
      </c>
      <c r="C285">
        <v>5423.52</v>
      </c>
      <c r="D285">
        <v>6440</v>
      </c>
      <c r="E285">
        <v>5540</v>
      </c>
      <c r="F285">
        <v>6504</v>
      </c>
      <c r="G285">
        <v>46188.421689976851</v>
      </c>
    </row>
    <row r="286" spans="1:7" x14ac:dyDescent="0.25">
      <c r="A286" t="s">
        <v>12</v>
      </c>
      <c r="B286">
        <v>25</v>
      </c>
      <c r="C286">
        <v>5466.6959999999999</v>
      </c>
      <c r="D286">
        <v>6501</v>
      </c>
      <c r="E286">
        <v>5562</v>
      </c>
      <c r="F286">
        <v>6525</v>
      </c>
      <c r="G286">
        <v>46195.421689976851</v>
      </c>
    </row>
    <row r="287" spans="1:7" x14ac:dyDescent="0.25">
      <c r="A287" t="s">
        <v>12</v>
      </c>
      <c r="B287">
        <v>26</v>
      </c>
      <c r="C287">
        <v>5540.7690000000002</v>
      </c>
      <c r="D287">
        <v>6507</v>
      </c>
      <c r="E287">
        <v>5585</v>
      </c>
      <c r="F287">
        <v>6546</v>
      </c>
      <c r="G287">
        <v>46202.421689976851</v>
      </c>
    </row>
    <row r="288" spans="1:7" x14ac:dyDescent="0.25">
      <c r="A288" t="s">
        <v>12</v>
      </c>
      <c r="B288">
        <v>27</v>
      </c>
      <c r="C288">
        <v>5576.2550000000001</v>
      </c>
      <c r="D288">
        <v>6527</v>
      </c>
      <c r="E288">
        <v>5608</v>
      </c>
      <c r="F288">
        <v>6567</v>
      </c>
      <c r="G288">
        <v>46209.421689976851</v>
      </c>
    </row>
    <row r="289" spans="1:7" x14ac:dyDescent="0.25">
      <c r="A289" t="s">
        <v>12</v>
      </c>
      <c r="B289">
        <v>28</v>
      </c>
      <c r="C289">
        <v>5525.3450000000003</v>
      </c>
      <c r="D289">
        <v>6580</v>
      </c>
      <c r="E289">
        <v>5630</v>
      </c>
      <c r="F289">
        <v>6588</v>
      </c>
      <c r="G289">
        <v>46216.421689976851</v>
      </c>
    </row>
    <row r="290" spans="1:7" x14ac:dyDescent="0.25">
      <c r="A290" t="s">
        <v>12</v>
      </c>
      <c r="B290">
        <v>29</v>
      </c>
      <c r="C290">
        <v>5628.6130000000003</v>
      </c>
      <c r="D290">
        <v>6585</v>
      </c>
      <c r="E290">
        <v>5652</v>
      </c>
      <c r="F290">
        <v>6609</v>
      </c>
      <c r="G290">
        <v>46223.421689976851</v>
      </c>
    </row>
    <row r="291" spans="1:7" x14ac:dyDescent="0.25">
      <c r="A291" t="s">
        <v>12</v>
      </c>
      <c r="B291">
        <v>30</v>
      </c>
      <c r="C291">
        <v>5565.3729999999996</v>
      </c>
      <c r="D291">
        <v>6511</v>
      </c>
      <c r="E291">
        <v>5675</v>
      </c>
      <c r="F291">
        <v>6630</v>
      </c>
      <c r="G291">
        <v>46230.421689976851</v>
      </c>
    </row>
    <row r="292" spans="1:7" x14ac:dyDescent="0.25">
      <c r="A292" t="s">
        <v>12</v>
      </c>
      <c r="B292">
        <v>31</v>
      </c>
      <c r="C292">
        <v>5602.1210000000001</v>
      </c>
      <c r="D292">
        <v>6534</v>
      </c>
      <c r="E292">
        <v>5698</v>
      </c>
      <c r="F292">
        <v>6651</v>
      </c>
      <c r="G292">
        <v>46237.421689976851</v>
      </c>
    </row>
    <row r="293" spans="1:7" x14ac:dyDescent="0.25">
      <c r="A293" t="s">
        <v>12</v>
      </c>
      <c r="B293">
        <v>32</v>
      </c>
      <c r="C293">
        <v>5641.6819999999998</v>
      </c>
      <c r="D293">
        <v>6551</v>
      </c>
      <c r="E293">
        <v>5720</v>
      </c>
      <c r="F293">
        <v>6672</v>
      </c>
      <c r="G293">
        <v>46244.421689976851</v>
      </c>
    </row>
    <row r="294" spans="1:7" x14ac:dyDescent="0.25">
      <c r="A294" t="s">
        <v>12</v>
      </c>
      <c r="B294">
        <v>33</v>
      </c>
      <c r="C294">
        <v>5654.5280000000002</v>
      </c>
      <c r="D294">
        <v>6555</v>
      </c>
      <c r="E294">
        <v>5742</v>
      </c>
      <c r="F294">
        <v>6693</v>
      </c>
      <c r="G294">
        <v>46251.421689976851</v>
      </c>
    </row>
    <row r="295" spans="1:7" x14ac:dyDescent="0.25">
      <c r="A295" t="s">
        <v>12</v>
      </c>
      <c r="B295">
        <v>34</v>
      </c>
      <c r="C295">
        <v>5671.3649999999998</v>
      </c>
      <c r="D295">
        <v>6587</v>
      </c>
      <c r="E295">
        <v>5765</v>
      </c>
      <c r="F295">
        <v>6714</v>
      </c>
      <c r="G295">
        <v>46258.421689976851</v>
      </c>
    </row>
    <row r="296" spans="1:7" x14ac:dyDescent="0.25">
      <c r="A296" t="s">
        <v>12</v>
      </c>
      <c r="B296">
        <v>35</v>
      </c>
      <c r="C296">
        <v>5650.3220000000001</v>
      </c>
      <c r="D296">
        <v>6643</v>
      </c>
      <c r="E296">
        <v>5788</v>
      </c>
      <c r="F296">
        <v>6735</v>
      </c>
      <c r="G296">
        <v>46265.421689976851</v>
      </c>
    </row>
    <row r="297" spans="1:7" x14ac:dyDescent="0.25">
      <c r="A297" t="s">
        <v>12</v>
      </c>
      <c r="B297">
        <v>36</v>
      </c>
      <c r="C297">
        <v>5677.0749999999998</v>
      </c>
      <c r="D297">
        <v>6666</v>
      </c>
      <c r="E297">
        <v>5810</v>
      </c>
      <c r="F297">
        <v>6756</v>
      </c>
      <c r="G297">
        <v>46272.421689976851</v>
      </c>
    </row>
    <row r="298" spans="1:7" x14ac:dyDescent="0.25">
      <c r="A298" t="s">
        <v>12</v>
      </c>
      <c r="B298">
        <v>37</v>
      </c>
      <c r="C298">
        <v>5682.0060000000003</v>
      </c>
      <c r="D298">
        <v>6634</v>
      </c>
      <c r="E298">
        <v>5833</v>
      </c>
      <c r="F298">
        <v>6777</v>
      </c>
      <c r="G298">
        <v>46279.421689976851</v>
      </c>
    </row>
    <row r="299" spans="1:7" x14ac:dyDescent="0.25">
      <c r="A299" t="s">
        <v>12</v>
      </c>
      <c r="B299">
        <v>38</v>
      </c>
      <c r="C299">
        <v>5742.02</v>
      </c>
      <c r="D299">
        <v>6605</v>
      </c>
      <c r="E299">
        <v>5855</v>
      </c>
      <c r="F299">
        <v>6798</v>
      </c>
      <c r="G299">
        <v>46286.421689976851</v>
      </c>
    </row>
    <row r="300" spans="1:7" x14ac:dyDescent="0.25">
      <c r="A300" t="s">
        <v>12</v>
      </c>
      <c r="B300">
        <v>39</v>
      </c>
      <c r="C300">
        <v>5829.2020000000002</v>
      </c>
      <c r="D300">
        <v>6780</v>
      </c>
      <c r="E300">
        <v>5878</v>
      </c>
      <c r="F300">
        <v>6819</v>
      </c>
      <c r="G300">
        <v>46293.421689976851</v>
      </c>
    </row>
    <row r="301" spans="1:7" x14ac:dyDescent="0.25">
      <c r="A301" t="s">
        <v>12</v>
      </c>
      <c r="B301">
        <v>40</v>
      </c>
      <c r="C301">
        <v>5773.9979999999996</v>
      </c>
      <c r="D301">
        <v>6737</v>
      </c>
      <c r="E301">
        <v>5900</v>
      </c>
      <c r="F301">
        <v>6840</v>
      </c>
      <c r="G301">
        <v>46300.421689976851</v>
      </c>
    </row>
    <row r="302" spans="1:7" x14ac:dyDescent="0.25">
      <c r="A302" t="s">
        <v>12</v>
      </c>
      <c r="B302">
        <v>41</v>
      </c>
      <c r="C302">
        <v>5787.59</v>
      </c>
      <c r="D302">
        <v>6673</v>
      </c>
      <c r="E302">
        <v>5922</v>
      </c>
      <c r="F302">
        <v>6861</v>
      </c>
      <c r="G302">
        <v>46307.421689976851</v>
      </c>
    </row>
    <row r="303" spans="1:7" x14ac:dyDescent="0.25">
      <c r="A303" t="s">
        <v>12</v>
      </c>
      <c r="B303">
        <v>42</v>
      </c>
      <c r="C303">
        <v>5816.6719999999996</v>
      </c>
      <c r="D303">
        <v>6739</v>
      </c>
      <c r="E303">
        <v>5945</v>
      </c>
      <c r="F303">
        <v>6882</v>
      </c>
      <c r="G303">
        <v>46314.421689976851</v>
      </c>
    </row>
    <row r="304" spans="1:7" x14ac:dyDescent="0.25">
      <c r="A304" t="s">
        <v>12</v>
      </c>
      <c r="B304">
        <v>43</v>
      </c>
      <c r="C304">
        <v>5824.7030000000004</v>
      </c>
      <c r="D304">
        <v>6696</v>
      </c>
      <c r="E304">
        <v>5968</v>
      </c>
      <c r="F304">
        <v>6903</v>
      </c>
      <c r="G304">
        <v>46321.421689976851</v>
      </c>
    </row>
    <row r="305" spans="1:7" x14ac:dyDescent="0.25">
      <c r="A305" t="s">
        <v>12</v>
      </c>
      <c r="B305">
        <v>44</v>
      </c>
      <c r="C305">
        <v>5877.21</v>
      </c>
      <c r="D305">
        <v>6750</v>
      </c>
      <c r="E305">
        <v>5990</v>
      </c>
      <c r="F305">
        <v>6924</v>
      </c>
      <c r="G305">
        <v>46328.421689976851</v>
      </c>
    </row>
    <row r="306" spans="1:7" x14ac:dyDescent="0.25">
      <c r="A306" t="s">
        <v>12</v>
      </c>
      <c r="B306">
        <v>45</v>
      </c>
      <c r="C306">
        <v>5898.37</v>
      </c>
      <c r="D306">
        <v>6872</v>
      </c>
      <c r="E306">
        <v>6012</v>
      </c>
      <c r="F306">
        <v>6945</v>
      </c>
      <c r="G306">
        <v>46335.421689976851</v>
      </c>
    </row>
    <row r="307" spans="1:7" x14ac:dyDescent="0.25">
      <c r="A307" t="s">
        <v>12</v>
      </c>
      <c r="B307">
        <v>46</v>
      </c>
      <c r="C307">
        <v>5909.1220000000003</v>
      </c>
      <c r="D307">
        <v>6751</v>
      </c>
      <c r="E307">
        <v>6035</v>
      </c>
      <c r="F307">
        <v>6966</v>
      </c>
      <c r="G307">
        <v>46342.421689976851</v>
      </c>
    </row>
    <row r="308" spans="1:7" x14ac:dyDescent="0.25">
      <c r="A308" t="s">
        <v>12</v>
      </c>
      <c r="B308">
        <v>47</v>
      </c>
      <c r="C308">
        <v>5927.7550000000001</v>
      </c>
      <c r="D308">
        <v>6852</v>
      </c>
      <c r="E308">
        <v>6058</v>
      </c>
      <c r="F308">
        <v>6987</v>
      </c>
      <c r="G308">
        <v>46349.421689976851</v>
      </c>
    </row>
    <row r="309" spans="1:7" x14ac:dyDescent="0.25">
      <c r="A309" t="s">
        <v>12</v>
      </c>
      <c r="B309">
        <v>48</v>
      </c>
      <c r="C309">
        <v>5933.1909999999998</v>
      </c>
      <c r="D309">
        <v>6842</v>
      </c>
      <c r="E309">
        <v>6080</v>
      </c>
      <c r="F309">
        <v>7008</v>
      </c>
      <c r="G309">
        <v>46356.421689976851</v>
      </c>
    </row>
    <row r="310" spans="1:7" x14ac:dyDescent="0.25">
      <c r="A310" t="s">
        <v>12</v>
      </c>
      <c r="B310">
        <v>49</v>
      </c>
      <c r="C310">
        <v>5922.9970000000003</v>
      </c>
      <c r="D310">
        <v>6818</v>
      </c>
      <c r="E310">
        <v>6102</v>
      </c>
      <c r="F310">
        <v>7029</v>
      </c>
      <c r="G310">
        <v>46363.421689976851</v>
      </c>
    </row>
    <row r="311" spans="1:7" x14ac:dyDescent="0.25">
      <c r="A311" t="s">
        <v>12</v>
      </c>
      <c r="B311">
        <v>50</v>
      </c>
      <c r="C311">
        <v>5981.607</v>
      </c>
      <c r="D311">
        <v>6896</v>
      </c>
      <c r="E311">
        <v>6125</v>
      </c>
      <c r="F311">
        <v>7050</v>
      </c>
      <c r="G311">
        <v>46370.421689976851</v>
      </c>
    </row>
    <row r="312" spans="1:7" x14ac:dyDescent="0.25">
      <c r="A312" t="s">
        <v>12</v>
      </c>
      <c r="B312">
        <v>51</v>
      </c>
      <c r="C312">
        <v>6002.1790000000001</v>
      </c>
      <c r="D312">
        <v>6922</v>
      </c>
      <c r="E312">
        <v>6148</v>
      </c>
      <c r="F312">
        <v>7071</v>
      </c>
      <c r="G312">
        <v>46377.421689976851</v>
      </c>
    </row>
    <row r="313" spans="1:7" x14ac:dyDescent="0.25">
      <c r="A313" t="s">
        <v>12</v>
      </c>
      <c r="B313">
        <v>52</v>
      </c>
      <c r="C313">
        <v>6057.2</v>
      </c>
      <c r="D313">
        <v>6979</v>
      </c>
      <c r="E313">
        <v>6170</v>
      </c>
      <c r="F313">
        <v>7092</v>
      </c>
      <c r="G313">
        <v>46384.421689976851</v>
      </c>
    </row>
    <row r="314" spans="1:7" x14ac:dyDescent="0.25">
      <c r="A314" t="s">
        <v>13</v>
      </c>
      <c r="B314">
        <v>1</v>
      </c>
      <c r="C314">
        <v>5693.5829999999996</v>
      </c>
      <c r="D314">
        <v>6883.5</v>
      </c>
      <c r="E314">
        <v>5726</v>
      </c>
      <c r="F314">
        <v>6864</v>
      </c>
      <c r="G314">
        <v>46027.421689976851</v>
      </c>
    </row>
    <row r="315" spans="1:7" x14ac:dyDescent="0.25">
      <c r="A315" t="s">
        <v>13</v>
      </c>
      <c r="B315">
        <v>2</v>
      </c>
      <c r="C315">
        <v>5708.5439999999999</v>
      </c>
      <c r="D315">
        <v>6860</v>
      </c>
      <c r="E315">
        <v>5751</v>
      </c>
      <c r="F315">
        <v>6888</v>
      </c>
      <c r="G315">
        <v>46034.421689976851</v>
      </c>
    </row>
    <row r="316" spans="1:7" x14ac:dyDescent="0.25">
      <c r="A316" t="s">
        <v>13</v>
      </c>
      <c r="B316">
        <v>3</v>
      </c>
      <c r="C316">
        <v>5779.9440000000004</v>
      </c>
      <c r="D316">
        <v>6948.6</v>
      </c>
      <c r="E316">
        <v>5777</v>
      </c>
      <c r="F316">
        <v>6912</v>
      </c>
      <c r="G316">
        <v>46041.421689976851</v>
      </c>
    </row>
    <row r="317" spans="1:7" x14ac:dyDescent="0.25">
      <c r="A317" t="s">
        <v>13</v>
      </c>
      <c r="B317">
        <v>4</v>
      </c>
      <c r="C317">
        <v>5739.0709999999999</v>
      </c>
      <c r="D317">
        <v>6946.1</v>
      </c>
      <c r="E317">
        <v>5803</v>
      </c>
      <c r="F317">
        <v>6936</v>
      </c>
      <c r="G317">
        <v>46048.421689976851</v>
      </c>
    </row>
    <row r="318" spans="1:7" x14ac:dyDescent="0.25">
      <c r="A318" t="s">
        <v>13</v>
      </c>
      <c r="B318">
        <v>5</v>
      </c>
      <c r="C318">
        <v>5768.4979999999996</v>
      </c>
      <c r="D318">
        <v>6874.6</v>
      </c>
      <c r="E318">
        <v>5828</v>
      </c>
      <c r="F318">
        <v>6960</v>
      </c>
      <c r="G318">
        <v>46055.421689976851</v>
      </c>
    </row>
    <row r="319" spans="1:7" x14ac:dyDescent="0.25">
      <c r="A319" t="s">
        <v>13</v>
      </c>
      <c r="B319">
        <v>6</v>
      </c>
      <c r="C319">
        <v>5893.6859999999997</v>
      </c>
      <c r="D319">
        <v>6921.1</v>
      </c>
      <c r="E319">
        <v>5854</v>
      </c>
      <c r="F319">
        <v>6984</v>
      </c>
      <c r="G319">
        <v>46062.421689976851</v>
      </c>
    </row>
    <row r="320" spans="1:7" x14ac:dyDescent="0.25">
      <c r="A320" t="s">
        <v>13</v>
      </c>
      <c r="B320">
        <v>7</v>
      </c>
      <c r="C320">
        <v>5808.5510000000004</v>
      </c>
      <c r="D320">
        <v>6966.6</v>
      </c>
      <c r="E320">
        <v>5880</v>
      </c>
      <c r="F320">
        <v>7008</v>
      </c>
      <c r="G320">
        <v>46069.421689976851</v>
      </c>
    </row>
    <row r="321" spans="1:7" x14ac:dyDescent="0.25">
      <c r="A321" t="s">
        <v>13</v>
      </c>
      <c r="B321">
        <v>8</v>
      </c>
      <c r="C321">
        <v>5909.6880000000001</v>
      </c>
      <c r="D321">
        <v>7032.2</v>
      </c>
      <c r="E321">
        <v>5905</v>
      </c>
      <c r="F321">
        <v>7032</v>
      </c>
      <c r="G321">
        <v>46076.421689976851</v>
      </c>
    </row>
    <row r="322" spans="1:7" x14ac:dyDescent="0.25">
      <c r="A322" t="s">
        <v>13</v>
      </c>
      <c r="B322">
        <v>9</v>
      </c>
      <c r="C322">
        <v>5881.06</v>
      </c>
      <c r="D322">
        <v>6959.7</v>
      </c>
      <c r="E322">
        <v>5931</v>
      </c>
      <c r="F322">
        <v>7055</v>
      </c>
      <c r="G322">
        <v>46083.421689976851</v>
      </c>
    </row>
    <row r="323" spans="1:7" x14ac:dyDescent="0.25">
      <c r="A323" t="s">
        <v>13</v>
      </c>
      <c r="B323">
        <v>10</v>
      </c>
      <c r="C323">
        <v>5932.1210000000001</v>
      </c>
      <c r="D323">
        <v>6969.2</v>
      </c>
      <c r="E323">
        <v>5956</v>
      </c>
      <c r="F323">
        <v>7079</v>
      </c>
      <c r="G323">
        <v>46090.421689976851</v>
      </c>
    </row>
    <row r="324" spans="1:7" x14ac:dyDescent="0.25">
      <c r="A324" t="s">
        <v>13</v>
      </c>
      <c r="B324">
        <v>11</v>
      </c>
      <c r="C324">
        <v>5976.64</v>
      </c>
      <c r="D324">
        <v>7012.7</v>
      </c>
      <c r="E324">
        <v>5982</v>
      </c>
      <c r="F324">
        <v>7103</v>
      </c>
      <c r="G324">
        <v>46097.421689976851</v>
      </c>
    </row>
    <row r="325" spans="1:7" x14ac:dyDescent="0.25">
      <c r="A325" t="s">
        <v>13</v>
      </c>
      <c r="B325">
        <v>12</v>
      </c>
      <c r="C325">
        <v>5926.759</v>
      </c>
      <c r="D325">
        <v>7060.2</v>
      </c>
      <c r="E325">
        <v>6008</v>
      </c>
      <c r="F325">
        <v>7127</v>
      </c>
      <c r="G325">
        <v>46104.421689976851</v>
      </c>
    </row>
    <row r="326" spans="1:7" x14ac:dyDescent="0.25">
      <c r="A326" t="s">
        <v>13</v>
      </c>
      <c r="B326">
        <v>13</v>
      </c>
      <c r="C326">
        <v>5980.607</v>
      </c>
      <c r="D326">
        <v>7155.8</v>
      </c>
      <c r="E326">
        <v>6033</v>
      </c>
      <c r="F326">
        <v>7151</v>
      </c>
      <c r="G326">
        <v>46111.421689976851</v>
      </c>
    </row>
    <row r="327" spans="1:7" x14ac:dyDescent="0.25">
      <c r="A327" t="s">
        <v>13</v>
      </c>
      <c r="B327">
        <v>14</v>
      </c>
      <c r="C327">
        <v>5978.88</v>
      </c>
      <c r="D327">
        <v>7150.3</v>
      </c>
      <c r="E327">
        <v>6059</v>
      </c>
      <c r="F327">
        <v>7175</v>
      </c>
      <c r="G327">
        <v>46118.421689976851</v>
      </c>
    </row>
    <row r="328" spans="1:7" x14ac:dyDescent="0.25">
      <c r="A328" t="s">
        <v>13</v>
      </c>
      <c r="B328">
        <v>15</v>
      </c>
      <c r="C328">
        <v>6050.96</v>
      </c>
      <c r="D328">
        <v>7087.8</v>
      </c>
      <c r="E328">
        <v>6085</v>
      </c>
      <c r="F328">
        <v>7199</v>
      </c>
      <c r="G328">
        <v>46125.421689976851</v>
      </c>
    </row>
    <row r="329" spans="1:7" x14ac:dyDescent="0.25">
      <c r="A329" t="s">
        <v>13</v>
      </c>
      <c r="B329">
        <v>16</v>
      </c>
      <c r="C329">
        <v>6059.0249999999996</v>
      </c>
      <c r="D329">
        <v>7105.3</v>
      </c>
      <c r="E329">
        <v>6110</v>
      </c>
      <c r="F329">
        <v>7223</v>
      </c>
      <c r="G329">
        <v>46132.421689976851</v>
      </c>
    </row>
    <row r="330" spans="1:7" x14ac:dyDescent="0.25">
      <c r="A330" t="s">
        <v>13</v>
      </c>
      <c r="B330">
        <v>17</v>
      </c>
      <c r="C330">
        <v>6074.9859999999999</v>
      </c>
      <c r="D330">
        <v>7154.8</v>
      </c>
      <c r="E330">
        <v>6136</v>
      </c>
      <c r="F330">
        <v>7247</v>
      </c>
      <c r="G330">
        <v>46139.421689976851</v>
      </c>
    </row>
    <row r="331" spans="1:7" x14ac:dyDescent="0.25">
      <c r="A331" t="s">
        <v>13</v>
      </c>
      <c r="B331">
        <v>18</v>
      </c>
      <c r="C331">
        <v>6084.9740000000002</v>
      </c>
      <c r="D331">
        <v>7168.4</v>
      </c>
      <c r="E331">
        <v>6162</v>
      </c>
      <c r="F331">
        <v>7271</v>
      </c>
      <c r="G331">
        <v>46146.421689976851</v>
      </c>
    </row>
    <row r="332" spans="1:7" x14ac:dyDescent="0.25">
      <c r="A332" t="s">
        <v>13</v>
      </c>
      <c r="B332">
        <v>19</v>
      </c>
      <c r="C332">
        <v>6118.7240000000002</v>
      </c>
      <c r="D332">
        <v>7228.9</v>
      </c>
      <c r="E332">
        <v>6187</v>
      </c>
      <c r="F332">
        <v>7295</v>
      </c>
      <c r="G332">
        <v>46153.421689976851</v>
      </c>
    </row>
    <row r="333" spans="1:7" x14ac:dyDescent="0.25">
      <c r="A333" t="s">
        <v>13</v>
      </c>
      <c r="B333">
        <v>20</v>
      </c>
      <c r="C333">
        <v>6212.8879999999999</v>
      </c>
      <c r="D333">
        <v>7183.4</v>
      </c>
      <c r="E333">
        <v>6213</v>
      </c>
      <c r="F333">
        <v>7319</v>
      </c>
      <c r="G333">
        <v>46160.421689976851</v>
      </c>
    </row>
    <row r="334" spans="1:7" x14ac:dyDescent="0.25">
      <c r="A334" t="s">
        <v>13</v>
      </c>
      <c r="B334">
        <v>21</v>
      </c>
      <c r="C334">
        <v>6151.866</v>
      </c>
      <c r="D334">
        <v>7257.9</v>
      </c>
      <c r="E334">
        <v>6239</v>
      </c>
      <c r="F334">
        <v>7343</v>
      </c>
      <c r="G334">
        <v>46167.421689976851</v>
      </c>
    </row>
    <row r="335" spans="1:7" x14ac:dyDescent="0.25">
      <c r="A335" t="s">
        <v>13</v>
      </c>
      <c r="B335">
        <v>22</v>
      </c>
      <c r="C335">
        <v>6232.9489999999996</v>
      </c>
      <c r="D335">
        <v>7215.4</v>
      </c>
      <c r="E335">
        <v>6264</v>
      </c>
      <c r="F335">
        <v>7367</v>
      </c>
      <c r="G335">
        <v>46174.421689976851</v>
      </c>
    </row>
    <row r="336" spans="1:7" x14ac:dyDescent="0.25">
      <c r="A336" t="s">
        <v>13</v>
      </c>
      <c r="B336">
        <v>23</v>
      </c>
      <c r="C336">
        <v>6221.402</v>
      </c>
      <c r="D336">
        <v>7286</v>
      </c>
      <c r="E336">
        <v>6290</v>
      </c>
      <c r="F336">
        <v>7391</v>
      </c>
      <c r="G336">
        <v>46181.421689976851</v>
      </c>
    </row>
    <row r="337" spans="1:7" x14ac:dyDescent="0.25">
      <c r="A337" t="s">
        <v>13</v>
      </c>
      <c r="B337">
        <v>24</v>
      </c>
      <c r="C337">
        <v>6275.7950000000001</v>
      </c>
      <c r="D337">
        <v>7360.5</v>
      </c>
      <c r="E337">
        <v>6316</v>
      </c>
      <c r="F337">
        <v>7415</v>
      </c>
      <c r="G337">
        <v>46188.421689976851</v>
      </c>
    </row>
    <row r="338" spans="1:7" x14ac:dyDescent="0.25">
      <c r="A338" t="s">
        <v>13</v>
      </c>
      <c r="B338">
        <v>25</v>
      </c>
      <c r="C338">
        <v>6261.9070000000002</v>
      </c>
      <c r="D338">
        <v>7316</v>
      </c>
      <c r="E338">
        <v>6341</v>
      </c>
      <c r="F338">
        <v>7438</v>
      </c>
      <c r="G338">
        <v>46195.421689976851</v>
      </c>
    </row>
    <row r="339" spans="1:7" x14ac:dyDescent="0.25">
      <c r="A339" t="s">
        <v>13</v>
      </c>
      <c r="B339">
        <v>26</v>
      </c>
      <c r="C339">
        <v>6322.9570000000003</v>
      </c>
      <c r="D339">
        <v>7345.5</v>
      </c>
      <c r="E339">
        <v>6367</v>
      </c>
      <c r="F339">
        <v>7462</v>
      </c>
      <c r="G339">
        <v>46202.421689976851</v>
      </c>
    </row>
    <row r="340" spans="1:7" x14ac:dyDescent="0.25">
      <c r="A340" t="s">
        <v>13</v>
      </c>
      <c r="B340">
        <v>27</v>
      </c>
      <c r="C340">
        <v>6321.4480000000003</v>
      </c>
      <c r="D340">
        <v>7415</v>
      </c>
      <c r="E340">
        <v>6393</v>
      </c>
      <c r="F340">
        <v>7486</v>
      </c>
      <c r="G340">
        <v>46209.421689976851</v>
      </c>
    </row>
    <row r="341" spans="1:7" x14ac:dyDescent="0.25">
      <c r="A341" t="s">
        <v>13</v>
      </c>
      <c r="B341">
        <v>28</v>
      </c>
      <c r="C341">
        <v>6396.5349999999999</v>
      </c>
      <c r="D341">
        <v>7451.6</v>
      </c>
      <c r="E341">
        <v>6418</v>
      </c>
      <c r="F341">
        <v>7510</v>
      </c>
      <c r="G341">
        <v>46216.421689976851</v>
      </c>
    </row>
    <row r="342" spans="1:7" x14ac:dyDescent="0.25">
      <c r="A342" t="s">
        <v>13</v>
      </c>
      <c r="B342">
        <v>29</v>
      </c>
      <c r="C342">
        <v>6389.6239999999998</v>
      </c>
      <c r="D342">
        <v>7397.1</v>
      </c>
      <c r="E342">
        <v>6444</v>
      </c>
      <c r="F342">
        <v>7534</v>
      </c>
      <c r="G342">
        <v>46223.421689976851</v>
      </c>
    </row>
    <row r="343" spans="1:7" x14ac:dyDescent="0.25">
      <c r="A343" t="s">
        <v>13</v>
      </c>
      <c r="B343">
        <v>30</v>
      </c>
      <c r="C343">
        <v>6434.741</v>
      </c>
      <c r="D343">
        <v>7476.6</v>
      </c>
      <c r="E343">
        <v>6470</v>
      </c>
      <c r="F343">
        <v>7558</v>
      </c>
      <c r="G343">
        <v>46230.421689976851</v>
      </c>
    </row>
    <row r="344" spans="1:7" x14ac:dyDescent="0.25">
      <c r="A344" t="s">
        <v>13</v>
      </c>
      <c r="B344">
        <v>31</v>
      </c>
      <c r="C344">
        <v>6448.1989999999996</v>
      </c>
      <c r="D344">
        <v>7446.1</v>
      </c>
      <c r="E344">
        <v>6495</v>
      </c>
      <c r="F344">
        <v>7582</v>
      </c>
      <c r="G344">
        <v>46237.421689976851</v>
      </c>
    </row>
    <row r="345" spans="1:7" x14ac:dyDescent="0.25">
      <c r="A345" t="s">
        <v>13</v>
      </c>
      <c r="B345">
        <v>32</v>
      </c>
      <c r="C345">
        <v>6457.49</v>
      </c>
      <c r="D345">
        <v>7514.6</v>
      </c>
      <c r="E345">
        <v>6521</v>
      </c>
      <c r="F345">
        <v>7606</v>
      </c>
      <c r="G345">
        <v>46244.421689976851</v>
      </c>
    </row>
    <row r="346" spans="1:7" x14ac:dyDescent="0.25">
      <c r="A346" t="s">
        <v>13</v>
      </c>
      <c r="B346">
        <v>33</v>
      </c>
      <c r="C346">
        <v>6419.2060000000001</v>
      </c>
      <c r="D346">
        <v>7534.2</v>
      </c>
      <c r="E346">
        <v>6546</v>
      </c>
      <c r="F346">
        <v>7630</v>
      </c>
      <c r="G346">
        <v>46251.421689976851</v>
      </c>
    </row>
    <row r="347" spans="1:7" x14ac:dyDescent="0.25">
      <c r="A347" t="s">
        <v>13</v>
      </c>
      <c r="B347">
        <v>34</v>
      </c>
      <c r="C347">
        <v>6427.1710000000003</v>
      </c>
      <c r="D347">
        <v>7492.7</v>
      </c>
      <c r="E347">
        <v>6572</v>
      </c>
      <c r="F347">
        <v>7654</v>
      </c>
      <c r="G347">
        <v>46258.421689976851</v>
      </c>
    </row>
    <row r="348" spans="1:7" x14ac:dyDescent="0.25">
      <c r="A348" t="s">
        <v>13</v>
      </c>
      <c r="B348">
        <v>35</v>
      </c>
      <c r="C348">
        <v>6530.6589999999997</v>
      </c>
      <c r="D348">
        <v>7604.2</v>
      </c>
      <c r="E348">
        <v>6598</v>
      </c>
      <c r="F348">
        <v>7678</v>
      </c>
      <c r="G348">
        <v>46265.421689976851</v>
      </c>
    </row>
    <row r="349" spans="1:7" x14ac:dyDescent="0.25">
      <c r="A349" t="s">
        <v>13</v>
      </c>
      <c r="B349">
        <v>36</v>
      </c>
      <c r="C349">
        <v>6534.6540000000005</v>
      </c>
      <c r="D349">
        <v>7604.7</v>
      </c>
      <c r="E349">
        <v>6623</v>
      </c>
      <c r="F349">
        <v>7702</v>
      </c>
      <c r="G349">
        <v>46272.421689976851</v>
      </c>
    </row>
    <row r="350" spans="1:7" x14ac:dyDescent="0.25">
      <c r="A350" t="s">
        <v>13</v>
      </c>
      <c r="B350">
        <v>37</v>
      </c>
      <c r="C350">
        <v>6601.223</v>
      </c>
      <c r="D350">
        <v>7577.2</v>
      </c>
      <c r="E350">
        <v>6649</v>
      </c>
      <c r="F350">
        <v>7726</v>
      </c>
      <c r="G350">
        <v>46279.421689976851</v>
      </c>
    </row>
    <row r="351" spans="1:7" x14ac:dyDescent="0.25">
      <c r="A351" t="s">
        <v>13</v>
      </c>
      <c r="B351">
        <v>38</v>
      </c>
      <c r="C351">
        <v>6526.8249999999998</v>
      </c>
      <c r="D351">
        <v>7545.8</v>
      </c>
      <c r="E351">
        <v>6675</v>
      </c>
      <c r="F351">
        <v>7750</v>
      </c>
      <c r="G351">
        <v>46286.421689976851</v>
      </c>
    </row>
    <row r="352" spans="1:7" x14ac:dyDescent="0.25">
      <c r="A352" t="s">
        <v>13</v>
      </c>
      <c r="B352">
        <v>39</v>
      </c>
      <c r="C352">
        <v>6582.4889999999996</v>
      </c>
      <c r="D352">
        <v>7708.3</v>
      </c>
      <c r="E352">
        <v>6700</v>
      </c>
      <c r="F352">
        <v>7774</v>
      </c>
      <c r="G352">
        <v>46293.421689976851</v>
      </c>
    </row>
    <row r="353" spans="1:7" x14ac:dyDescent="0.25">
      <c r="A353" t="s">
        <v>13</v>
      </c>
      <c r="B353">
        <v>40</v>
      </c>
      <c r="C353">
        <v>6634.0280000000002</v>
      </c>
      <c r="D353">
        <v>7727.8</v>
      </c>
      <c r="E353">
        <v>6726</v>
      </c>
      <c r="F353">
        <v>7798</v>
      </c>
      <c r="G353">
        <v>46300.421689976851</v>
      </c>
    </row>
    <row r="354" spans="1:7" x14ac:dyDescent="0.25">
      <c r="A354" t="s">
        <v>13</v>
      </c>
      <c r="B354">
        <v>41</v>
      </c>
      <c r="C354">
        <v>6666.3580000000002</v>
      </c>
      <c r="D354">
        <v>7642.3</v>
      </c>
      <c r="E354">
        <v>6752</v>
      </c>
      <c r="F354">
        <v>7822</v>
      </c>
      <c r="G354">
        <v>46307.421689976851</v>
      </c>
    </row>
    <row r="355" spans="1:7" x14ac:dyDescent="0.25">
      <c r="A355" t="s">
        <v>13</v>
      </c>
      <c r="B355">
        <v>42</v>
      </c>
      <c r="C355">
        <v>6682.4960000000001</v>
      </c>
      <c r="D355">
        <v>7652.8</v>
      </c>
      <c r="E355">
        <v>6777</v>
      </c>
      <c r="F355">
        <v>7845</v>
      </c>
      <c r="G355">
        <v>46314.421689976851</v>
      </c>
    </row>
    <row r="356" spans="1:7" x14ac:dyDescent="0.25">
      <c r="A356" t="s">
        <v>13</v>
      </c>
      <c r="B356">
        <v>43</v>
      </c>
      <c r="C356">
        <v>6664.107</v>
      </c>
      <c r="D356">
        <v>7644.4</v>
      </c>
      <c r="E356">
        <v>6803</v>
      </c>
      <c r="F356">
        <v>7869</v>
      </c>
      <c r="G356">
        <v>46321.421689976851</v>
      </c>
    </row>
    <row r="357" spans="1:7" x14ac:dyDescent="0.25">
      <c r="A357" t="s">
        <v>13</v>
      </c>
      <c r="B357">
        <v>44</v>
      </c>
      <c r="C357">
        <v>6721.7280000000001</v>
      </c>
      <c r="D357">
        <v>7718.9</v>
      </c>
      <c r="E357">
        <v>6829</v>
      </c>
      <c r="F357">
        <v>7893</v>
      </c>
      <c r="G357">
        <v>46328.421689976851</v>
      </c>
    </row>
    <row r="358" spans="1:7" x14ac:dyDescent="0.25">
      <c r="A358" t="s">
        <v>13</v>
      </c>
      <c r="B358">
        <v>45</v>
      </c>
      <c r="C358">
        <v>6752.4539999999997</v>
      </c>
      <c r="D358">
        <v>7823.4</v>
      </c>
      <c r="E358">
        <v>6854</v>
      </c>
      <c r="F358">
        <v>7917</v>
      </c>
      <c r="G358">
        <v>46335.421689976851</v>
      </c>
    </row>
    <row r="359" spans="1:7" x14ac:dyDescent="0.25">
      <c r="A359" t="s">
        <v>13</v>
      </c>
      <c r="B359">
        <v>46</v>
      </c>
      <c r="C359">
        <v>6738.018</v>
      </c>
      <c r="D359">
        <v>7779.9</v>
      </c>
      <c r="E359">
        <v>6880</v>
      </c>
      <c r="F359">
        <v>7941</v>
      </c>
      <c r="G359">
        <v>46342.421689976851</v>
      </c>
    </row>
    <row r="360" spans="1:7" x14ac:dyDescent="0.25">
      <c r="A360" t="s">
        <v>13</v>
      </c>
      <c r="B360">
        <v>47</v>
      </c>
      <c r="C360">
        <v>6824.723</v>
      </c>
      <c r="D360">
        <v>7815.4</v>
      </c>
      <c r="E360">
        <v>6906</v>
      </c>
      <c r="F360">
        <v>7965</v>
      </c>
      <c r="G360">
        <v>46349.421689976851</v>
      </c>
    </row>
    <row r="361" spans="1:7" x14ac:dyDescent="0.25">
      <c r="A361" t="s">
        <v>13</v>
      </c>
      <c r="B361">
        <v>48</v>
      </c>
      <c r="C361">
        <v>6806.3429999999998</v>
      </c>
      <c r="D361">
        <v>7763</v>
      </c>
      <c r="E361">
        <v>6931</v>
      </c>
      <c r="F361">
        <v>7989</v>
      </c>
      <c r="G361">
        <v>46356.421689976851</v>
      </c>
    </row>
    <row r="362" spans="1:7" x14ac:dyDescent="0.25">
      <c r="A362" t="s">
        <v>13</v>
      </c>
      <c r="B362">
        <v>49</v>
      </c>
      <c r="C362">
        <v>6789.8779999999997</v>
      </c>
      <c r="D362">
        <v>7920.5</v>
      </c>
      <c r="E362">
        <v>6957</v>
      </c>
      <c r="F362">
        <v>8013</v>
      </c>
      <c r="G362">
        <v>46363.421689976851</v>
      </c>
    </row>
    <row r="363" spans="1:7" x14ac:dyDescent="0.25">
      <c r="A363" t="s">
        <v>13</v>
      </c>
      <c r="B363">
        <v>50</v>
      </c>
      <c r="C363">
        <v>6813.277</v>
      </c>
      <c r="D363">
        <v>7882</v>
      </c>
      <c r="E363">
        <v>6983</v>
      </c>
      <c r="F363">
        <v>8037</v>
      </c>
      <c r="G363">
        <v>46370.421689976851</v>
      </c>
    </row>
    <row r="364" spans="1:7" x14ac:dyDescent="0.25">
      <c r="A364" t="s">
        <v>13</v>
      </c>
      <c r="B364">
        <v>51</v>
      </c>
      <c r="C364">
        <v>6885.3370000000004</v>
      </c>
      <c r="D364">
        <v>7930.5</v>
      </c>
      <c r="E364">
        <v>7008</v>
      </c>
      <c r="F364">
        <v>8061</v>
      </c>
      <c r="G364">
        <v>46377.421689976851</v>
      </c>
    </row>
    <row r="365" spans="1:7" x14ac:dyDescent="0.25">
      <c r="A365" t="s">
        <v>13</v>
      </c>
      <c r="B365">
        <v>52</v>
      </c>
      <c r="C365">
        <v>6907.9309999999996</v>
      </c>
      <c r="D365">
        <v>7892</v>
      </c>
      <c r="E365">
        <v>7034</v>
      </c>
      <c r="F365">
        <v>8085</v>
      </c>
      <c r="G365">
        <v>46384.421689976851</v>
      </c>
    </row>
    <row r="366" spans="1:7" x14ac:dyDescent="0.25">
      <c r="A366" t="s">
        <v>14</v>
      </c>
      <c r="B366">
        <v>1</v>
      </c>
      <c r="C366">
        <v>6480.6639999999998</v>
      </c>
      <c r="D366">
        <v>7745</v>
      </c>
      <c r="E366">
        <v>6429</v>
      </c>
      <c r="F366">
        <v>7707</v>
      </c>
      <c r="G366">
        <v>46027.421689976851</v>
      </c>
    </row>
    <row r="367" spans="1:7" x14ac:dyDescent="0.25">
      <c r="A367" t="s">
        <v>14</v>
      </c>
      <c r="B367">
        <v>2</v>
      </c>
      <c r="C367">
        <v>6462.4539999999997</v>
      </c>
      <c r="D367">
        <v>7669.1</v>
      </c>
      <c r="E367">
        <v>6458</v>
      </c>
      <c r="F367">
        <v>7734</v>
      </c>
      <c r="G367">
        <v>46034.421689976851</v>
      </c>
    </row>
    <row r="368" spans="1:7" x14ac:dyDescent="0.25">
      <c r="A368" t="s">
        <v>14</v>
      </c>
      <c r="B368">
        <v>3</v>
      </c>
      <c r="C368">
        <v>6495.1220000000003</v>
      </c>
      <c r="D368">
        <v>7684.1</v>
      </c>
      <c r="E368">
        <v>6486</v>
      </c>
      <c r="F368">
        <v>7761</v>
      </c>
      <c r="G368">
        <v>46041.421689976851</v>
      </c>
    </row>
    <row r="369" spans="1:7" x14ac:dyDescent="0.25">
      <c r="A369" t="s">
        <v>14</v>
      </c>
      <c r="B369">
        <v>4</v>
      </c>
      <c r="C369">
        <v>6443.8490000000002</v>
      </c>
      <c r="D369">
        <v>7847.2</v>
      </c>
      <c r="E369">
        <v>6515</v>
      </c>
      <c r="F369">
        <v>7788</v>
      </c>
      <c r="G369">
        <v>46048.421689976851</v>
      </c>
    </row>
    <row r="370" spans="1:7" x14ac:dyDescent="0.25">
      <c r="A370" t="s">
        <v>14</v>
      </c>
      <c r="B370">
        <v>5</v>
      </c>
      <c r="C370">
        <v>6487.0379999999996</v>
      </c>
      <c r="D370">
        <v>7726.2</v>
      </c>
      <c r="E370">
        <v>6544</v>
      </c>
      <c r="F370">
        <v>7814</v>
      </c>
      <c r="G370">
        <v>46055.421689976851</v>
      </c>
    </row>
    <row r="371" spans="1:7" x14ac:dyDescent="0.25">
      <c r="A371" t="s">
        <v>14</v>
      </c>
      <c r="B371">
        <v>6</v>
      </c>
      <c r="C371">
        <v>6548.3429999999998</v>
      </c>
      <c r="D371">
        <v>7882.2</v>
      </c>
      <c r="E371">
        <v>6573</v>
      </c>
      <c r="F371">
        <v>7841</v>
      </c>
      <c r="G371">
        <v>46062.421689976851</v>
      </c>
    </row>
    <row r="372" spans="1:7" x14ac:dyDescent="0.25">
      <c r="A372" t="s">
        <v>14</v>
      </c>
      <c r="B372">
        <v>7</v>
      </c>
      <c r="C372">
        <v>6561.3649999999998</v>
      </c>
      <c r="D372">
        <v>7859.3</v>
      </c>
      <c r="E372">
        <v>6602</v>
      </c>
      <c r="F372">
        <v>7868</v>
      </c>
      <c r="G372">
        <v>46069.421689976851</v>
      </c>
    </row>
    <row r="373" spans="1:7" x14ac:dyDescent="0.25">
      <c r="A373" t="s">
        <v>14</v>
      </c>
      <c r="B373">
        <v>8</v>
      </c>
      <c r="C373">
        <v>6562.2370000000001</v>
      </c>
      <c r="D373">
        <v>7818.3</v>
      </c>
      <c r="E373">
        <v>6630</v>
      </c>
      <c r="F373">
        <v>7895</v>
      </c>
      <c r="G373">
        <v>46076.421689976851</v>
      </c>
    </row>
    <row r="374" spans="1:7" x14ac:dyDescent="0.25">
      <c r="A374" t="s">
        <v>14</v>
      </c>
      <c r="B374">
        <v>9</v>
      </c>
      <c r="C374">
        <v>6596.482</v>
      </c>
      <c r="D374">
        <v>7875.4</v>
      </c>
      <c r="E374">
        <v>6659</v>
      </c>
      <c r="F374">
        <v>7922</v>
      </c>
      <c r="G374">
        <v>46083.421689976851</v>
      </c>
    </row>
    <row r="375" spans="1:7" x14ac:dyDescent="0.25">
      <c r="A375" t="s">
        <v>14</v>
      </c>
      <c r="B375">
        <v>10</v>
      </c>
      <c r="C375">
        <v>6645.9719999999998</v>
      </c>
      <c r="D375">
        <v>7988.4</v>
      </c>
      <c r="E375">
        <v>6688</v>
      </c>
      <c r="F375">
        <v>7949</v>
      </c>
      <c r="G375">
        <v>46090.421689976851</v>
      </c>
    </row>
    <row r="376" spans="1:7" x14ac:dyDescent="0.25">
      <c r="A376" t="s">
        <v>14</v>
      </c>
      <c r="B376">
        <v>11</v>
      </c>
      <c r="C376">
        <v>6689.6310000000003</v>
      </c>
      <c r="D376">
        <v>7872.4</v>
      </c>
      <c r="E376">
        <v>6717</v>
      </c>
      <c r="F376">
        <v>7976</v>
      </c>
      <c r="G376">
        <v>46097.421689976851</v>
      </c>
    </row>
    <row r="377" spans="1:7" x14ac:dyDescent="0.25">
      <c r="A377" t="s">
        <v>14</v>
      </c>
      <c r="B377">
        <v>12</v>
      </c>
      <c r="C377">
        <v>6702.6490000000003</v>
      </c>
      <c r="D377">
        <v>7900.5</v>
      </c>
      <c r="E377">
        <v>6746</v>
      </c>
      <c r="F377">
        <v>8003</v>
      </c>
      <c r="G377">
        <v>46104.421689976851</v>
      </c>
    </row>
    <row r="378" spans="1:7" x14ac:dyDescent="0.25">
      <c r="A378" t="s">
        <v>14</v>
      </c>
      <c r="B378">
        <v>13</v>
      </c>
      <c r="C378">
        <v>6758.15</v>
      </c>
      <c r="D378">
        <v>8038.5</v>
      </c>
      <c r="E378">
        <v>6774</v>
      </c>
      <c r="F378">
        <v>8029</v>
      </c>
      <c r="G378">
        <v>46111.421689976851</v>
      </c>
    </row>
    <row r="379" spans="1:7" x14ac:dyDescent="0.25">
      <c r="A379" t="s">
        <v>14</v>
      </c>
      <c r="B379">
        <v>14</v>
      </c>
      <c r="C379">
        <v>6749.3490000000002</v>
      </c>
      <c r="D379">
        <v>8021.6</v>
      </c>
      <c r="E379">
        <v>6803</v>
      </c>
      <c r="F379">
        <v>8056</v>
      </c>
      <c r="G379">
        <v>46118.421689976851</v>
      </c>
    </row>
    <row r="380" spans="1:7" x14ac:dyDescent="0.25">
      <c r="A380" t="s">
        <v>14</v>
      </c>
      <c r="B380">
        <v>15</v>
      </c>
      <c r="C380">
        <v>6726.2520000000004</v>
      </c>
      <c r="D380">
        <v>7981.6</v>
      </c>
      <c r="E380">
        <v>6832</v>
      </c>
      <c r="F380">
        <v>8083</v>
      </c>
      <c r="G380">
        <v>46125.421689976851</v>
      </c>
    </row>
    <row r="381" spans="1:7" x14ac:dyDescent="0.25">
      <c r="A381" t="s">
        <v>14</v>
      </c>
      <c r="B381">
        <v>16</v>
      </c>
      <c r="C381">
        <v>6749.7150000000001</v>
      </c>
      <c r="D381">
        <v>8006.6</v>
      </c>
      <c r="E381">
        <v>6861</v>
      </c>
      <c r="F381">
        <v>8110</v>
      </c>
      <c r="G381">
        <v>46132.421689976851</v>
      </c>
    </row>
    <row r="382" spans="1:7" x14ac:dyDescent="0.25">
      <c r="A382" t="s">
        <v>14</v>
      </c>
      <c r="B382">
        <v>17</v>
      </c>
      <c r="C382">
        <v>6838.4290000000001</v>
      </c>
      <c r="D382">
        <v>8118.7</v>
      </c>
      <c r="E382">
        <v>6890</v>
      </c>
      <c r="F382">
        <v>8137</v>
      </c>
      <c r="G382">
        <v>46139.421689976851</v>
      </c>
    </row>
    <row r="383" spans="1:7" x14ac:dyDescent="0.25">
      <c r="A383" t="s">
        <v>14</v>
      </c>
      <c r="B383">
        <v>18</v>
      </c>
      <c r="C383">
        <v>6905.1310000000003</v>
      </c>
      <c r="D383">
        <v>8040.7</v>
      </c>
      <c r="E383">
        <v>6918</v>
      </c>
      <c r="F383">
        <v>8164</v>
      </c>
      <c r="G383">
        <v>46146.421689976851</v>
      </c>
    </row>
    <row r="384" spans="1:7" x14ac:dyDescent="0.25">
      <c r="A384" t="s">
        <v>14</v>
      </c>
      <c r="B384">
        <v>19</v>
      </c>
      <c r="C384">
        <v>6922.2190000000001</v>
      </c>
      <c r="D384">
        <v>8137.8</v>
      </c>
      <c r="E384">
        <v>6947</v>
      </c>
      <c r="F384">
        <v>8191</v>
      </c>
      <c r="G384">
        <v>46153.421689976851</v>
      </c>
    </row>
    <row r="385" spans="1:7" x14ac:dyDescent="0.25">
      <c r="A385" t="s">
        <v>14</v>
      </c>
      <c r="B385">
        <v>20</v>
      </c>
      <c r="C385">
        <v>6917.3739999999998</v>
      </c>
      <c r="D385">
        <v>8087.8</v>
      </c>
      <c r="E385">
        <v>6976</v>
      </c>
      <c r="F385">
        <v>8218</v>
      </c>
      <c r="G385">
        <v>46160.421689976851</v>
      </c>
    </row>
    <row r="386" spans="1:7" x14ac:dyDescent="0.25">
      <c r="A386" t="s">
        <v>14</v>
      </c>
      <c r="B386">
        <v>21</v>
      </c>
      <c r="C386">
        <v>6963.8339999999998</v>
      </c>
      <c r="D386">
        <v>8138.8</v>
      </c>
      <c r="E386">
        <v>7005</v>
      </c>
      <c r="F386">
        <v>8244</v>
      </c>
      <c r="G386">
        <v>46167.421689976851</v>
      </c>
    </row>
    <row r="387" spans="1:7" x14ac:dyDescent="0.25">
      <c r="A387" t="s">
        <v>14</v>
      </c>
      <c r="B387">
        <v>22</v>
      </c>
      <c r="C387">
        <v>6915.643</v>
      </c>
      <c r="D387">
        <v>8172.9</v>
      </c>
      <c r="E387">
        <v>7034</v>
      </c>
      <c r="F387">
        <v>8271</v>
      </c>
      <c r="G387">
        <v>46174.421689976851</v>
      </c>
    </row>
    <row r="388" spans="1:7" x14ac:dyDescent="0.25">
      <c r="A388" t="s">
        <v>14</v>
      </c>
      <c r="B388">
        <v>23</v>
      </c>
      <c r="C388">
        <v>7030.4989999999998</v>
      </c>
      <c r="D388">
        <v>8223.9</v>
      </c>
      <c r="E388">
        <v>7062</v>
      </c>
      <c r="F388">
        <v>8298</v>
      </c>
      <c r="G388">
        <v>46181.421689976851</v>
      </c>
    </row>
    <row r="389" spans="1:7" x14ac:dyDescent="0.25">
      <c r="A389" t="s">
        <v>14</v>
      </c>
      <c r="B389">
        <v>24</v>
      </c>
      <c r="C389">
        <v>7065.1419999999998</v>
      </c>
      <c r="D389">
        <v>8215</v>
      </c>
      <c r="E389">
        <v>7091</v>
      </c>
      <c r="F389">
        <v>8325</v>
      </c>
      <c r="G389">
        <v>46188.421689976851</v>
      </c>
    </row>
    <row r="390" spans="1:7" x14ac:dyDescent="0.25">
      <c r="A390" t="s">
        <v>14</v>
      </c>
      <c r="B390">
        <v>25</v>
      </c>
      <c r="C390">
        <v>6984.933</v>
      </c>
      <c r="D390">
        <v>8210</v>
      </c>
      <c r="E390">
        <v>7120</v>
      </c>
      <c r="F390">
        <v>8352</v>
      </c>
      <c r="G390">
        <v>46195.421689976851</v>
      </c>
    </row>
    <row r="391" spans="1:7" x14ac:dyDescent="0.25">
      <c r="A391" t="s">
        <v>14</v>
      </c>
      <c r="B391">
        <v>26</v>
      </c>
      <c r="C391">
        <v>7124.7219999999998</v>
      </c>
      <c r="D391">
        <v>8228</v>
      </c>
      <c r="E391">
        <v>7149</v>
      </c>
      <c r="F391">
        <v>8379</v>
      </c>
      <c r="G391">
        <v>46202.421689976851</v>
      </c>
    </row>
    <row r="392" spans="1:7" x14ac:dyDescent="0.25">
      <c r="A392" t="s">
        <v>14</v>
      </c>
      <c r="B392">
        <v>27</v>
      </c>
      <c r="C392">
        <v>7149.4170000000004</v>
      </c>
      <c r="D392">
        <v>8376.1</v>
      </c>
      <c r="E392">
        <v>7178</v>
      </c>
      <c r="F392">
        <v>8406</v>
      </c>
      <c r="G392">
        <v>46209.421689976851</v>
      </c>
    </row>
    <row r="393" spans="1:7" x14ac:dyDescent="0.25">
      <c r="A393" t="s">
        <v>14</v>
      </c>
      <c r="B393">
        <v>28</v>
      </c>
      <c r="C393">
        <v>7079.6859999999997</v>
      </c>
      <c r="D393">
        <v>8363.1</v>
      </c>
      <c r="E393">
        <v>7206</v>
      </c>
      <c r="F393">
        <v>8433</v>
      </c>
      <c r="G393">
        <v>46216.421689976851</v>
      </c>
    </row>
    <row r="394" spans="1:7" x14ac:dyDescent="0.25">
      <c r="A394" t="s">
        <v>14</v>
      </c>
      <c r="B394">
        <v>29</v>
      </c>
      <c r="C394">
        <v>7106.1</v>
      </c>
      <c r="D394">
        <v>8380.2000000000007</v>
      </c>
      <c r="E394">
        <v>7235</v>
      </c>
      <c r="F394">
        <v>8460</v>
      </c>
      <c r="G394">
        <v>46223.421689976851</v>
      </c>
    </row>
    <row r="395" spans="1:7" x14ac:dyDescent="0.25">
      <c r="A395" t="s">
        <v>14</v>
      </c>
      <c r="B395">
        <v>30</v>
      </c>
      <c r="C395">
        <v>7222.6670000000004</v>
      </c>
      <c r="D395">
        <v>8391.2000000000007</v>
      </c>
      <c r="E395">
        <v>7264</v>
      </c>
      <c r="F395">
        <v>8486</v>
      </c>
      <c r="G395">
        <v>46230.421689976851</v>
      </c>
    </row>
    <row r="396" spans="1:7" x14ac:dyDescent="0.25">
      <c r="A396" t="s">
        <v>14</v>
      </c>
      <c r="B396">
        <v>31</v>
      </c>
      <c r="C396">
        <v>7196.7690000000002</v>
      </c>
      <c r="D396">
        <v>8470.2000000000007</v>
      </c>
      <c r="E396">
        <v>7293</v>
      </c>
      <c r="F396">
        <v>8513</v>
      </c>
      <c r="G396">
        <v>46237.421689976851</v>
      </c>
    </row>
    <row r="397" spans="1:7" x14ac:dyDescent="0.25">
      <c r="A397" t="s">
        <v>14</v>
      </c>
      <c r="B397">
        <v>32</v>
      </c>
      <c r="C397">
        <v>7242.9049999999997</v>
      </c>
      <c r="D397">
        <v>8451.2999999999993</v>
      </c>
      <c r="E397">
        <v>7322</v>
      </c>
      <c r="F397">
        <v>8540</v>
      </c>
      <c r="G397">
        <v>46244.421689976851</v>
      </c>
    </row>
    <row r="398" spans="1:7" x14ac:dyDescent="0.25">
      <c r="A398" t="s">
        <v>14</v>
      </c>
      <c r="B398">
        <v>33</v>
      </c>
      <c r="C398">
        <v>7217.7179999999998</v>
      </c>
      <c r="D398">
        <v>8489.2999999999993</v>
      </c>
      <c r="E398">
        <v>7350</v>
      </c>
      <c r="F398">
        <v>8567</v>
      </c>
      <c r="G398">
        <v>46251.421689976851</v>
      </c>
    </row>
    <row r="399" spans="1:7" x14ac:dyDescent="0.25">
      <c r="A399" t="s">
        <v>14</v>
      </c>
      <c r="B399">
        <v>34</v>
      </c>
      <c r="C399">
        <v>7307.5559999999996</v>
      </c>
      <c r="D399">
        <v>8449.4</v>
      </c>
      <c r="E399">
        <v>7379</v>
      </c>
      <c r="F399">
        <v>8594</v>
      </c>
      <c r="G399">
        <v>46258.421689976851</v>
      </c>
    </row>
    <row r="400" spans="1:7" x14ac:dyDescent="0.25">
      <c r="A400" t="s">
        <v>14</v>
      </c>
      <c r="B400">
        <v>35</v>
      </c>
      <c r="C400">
        <v>7313.6120000000001</v>
      </c>
      <c r="D400">
        <v>8483.4</v>
      </c>
      <c r="E400">
        <v>7408</v>
      </c>
      <c r="F400">
        <v>8621</v>
      </c>
      <c r="G400">
        <v>46265.421689976851</v>
      </c>
    </row>
    <row r="401" spans="1:7" x14ac:dyDescent="0.25">
      <c r="A401" t="s">
        <v>14</v>
      </c>
      <c r="B401">
        <v>36</v>
      </c>
      <c r="C401">
        <v>7310.4369999999999</v>
      </c>
      <c r="D401">
        <v>8492.4</v>
      </c>
      <c r="E401">
        <v>7437</v>
      </c>
      <c r="F401">
        <v>8648</v>
      </c>
      <c r="G401">
        <v>46272.421689976851</v>
      </c>
    </row>
    <row r="402" spans="1:7" x14ac:dyDescent="0.25">
      <c r="A402" t="s">
        <v>14</v>
      </c>
      <c r="B402">
        <v>37</v>
      </c>
      <c r="C402">
        <v>7401.0039999999999</v>
      </c>
      <c r="D402">
        <v>8563.5</v>
      </c>
      <c r="E402">
        <v>7466</v>
      </c>
      <c r="F402">
        <v>8675</v>
      </c>
      <c r="G402">
        <v>46279.421689976851</v>
      </c>
    </row>
    <row r="403" spans="1:7" x14ac:dyDescent="0.25">
      <c r="A403" t="s">
        <v>14</v>
      </c>
      <c r="B403">
        <v>38</v>
      </c>
      <c r="C403">
        <v>7366.3530000000001</v>
      </c>
      <c r="D403">
        <v>8500.5</v>
      </c>
      <c r="E403">
        <v>7494</v>
      </c>
      <c r="F403">
        <v>8701</v>
      </c>
      <c r="G403">
        <v>46286.421689976851</v>
      </c>
    </row>
    <row r="404" spans="1:7" x14ac:dyDescent="0.25">
      <c r="A404" t="s">
        <v>14</v>
      </c>
      <c r="B404">
        <v>39</v>
      </c>
      <c r="C404">
        <v>7362.9260000000004</v>
      </c>
      <c r="D404">
        <v>8553.6</v>
      </c>
      <c r="E404">
        <v>7523</v>
      </c>
      <c r="F404">
        <v>8728</v>
      </c>
      <c r="G404">
        <v>46293.421689976851</v>
      </c>
    </row>
    <row r="405" spans="1:7" x14ac:dyDescent="0.25">
      <c r="A405" t="s">
        <v>14</v>
      </c>
      <c r="B405">
        <v>40</v>
      </c>
      <c r="C405">
        <v>7436.9070000000002</v>
      </c>
      <c r="D405">
        <v>8640.6</v>
      </c>
      <c r="E405">
        <v>7552</v>
      </c>
      <c r="F405">
        <v>8755</v>
      </c>
      <c r="G405">
        <v>46300.4216900463</v>
      </c>
    </row>
    <row r="406" spans="1:7" x14ac:dyDescent="0.25">
      <c r="A406" t="s">
        <v>14</v>
      </c>
      <c r="B406">
        <v>41</v>
      </c>
      <c r="C406">
        <v>7476.49</v>
      </c>
      <c r="D406">
        <v>8549.6</v>
      </c>
      <c r="E406">
        <v>7581</v>
      </c>
      <c r="F406">
        <v>8782</v>
      </c>
      <c r="G406">
        <v>46307.4216900463</v>
      </c>
    </row>
    <row r="407" spans="1:7" x14ac:dyDescent="0.25">
      <c r="A407" t="s">
        <v>14</v>
      </c>
      <c r="B407">
        <v>42</v>
      </c>
      <c r="C407">
        <v>7530.5910000000003</v>
      </c>
      <c r="D407">
        <v>8658.7000000000007</v>
      </c>
      <c r="E407">
        <v>7610</v>
      </c>
      <c r="F407">
        <v>8809</v>
      </c>
      <c r="G407">
        <v>46314.4216900463</v>
      </c>
    </row>
    <row r="408" spans="1:7" x14ac:dyDescent="0.25">
      <c r="A408" t="s">
        <v>14</v>
      </c>
      <c r="B408">
        <v>43</v>
      </c>
      <c r="C408">
        <v>7491.14</v>
      </c>
      <c r="D408">
        <v>8626.7000000000007</v>
      </c>
      <c r="E408">
        <v>7638</v>
      </c>
      <c r="F408">
        <v>8836</v>
      </c>
      <c r="G408">
        <v>46321.4216900463</v>
      </c>
    </row>
    <row r="409" spans="1:7" x14ac:dyDescent="0.25">
      <c r="A409" t="s">
        <v>14</v>
      </c>
      <c r="B409">
        <v>44</v>
      </c>
      <c r="C409">
        <v>7527.1220000000003</v>
      </c>
      <c r="D409">
        <v>8645.7999999999993</v>
      </c>
      <c r="E409">
        <v>7667</v>
      </c>
      <c r="F409">
        <v>8863</v>
      </c>
      <c r="G409">
        <v>46328.4216900463</v>
      </c>
    </row>
    <row r="410" spans="1:7" x14ac:dyDescent="0.25">
      <c r="A410" t="s">
        <v>14</v>
      </c>
      <c r="B410">
        <v>45</v>
      </c>
      <c r="C410">
        <v>7537.1809999999996</v>
      </c>
      <c r="D410">
        <v>8645.7999999999993</v>
      </c>
      <c r="E410">
        <v>7696</v>
      </c>
      <c r="F410">
        <v>8890</v>
      </c>
      <c r="G410">
        <v>46335.4216900463</v>
      </c>
    </row>
    <row r="411" spans="1:7" x14ac:dyDescent="0.25">
      <c r="A411" t="s">
        <v>14</v>
      </c>
      <c r="B411">
        <v>46</v>
      </c>
      <c r="C411">
        <v>7584.1409999999996</v>
      </c>
      <c r="D411">
        <v>8702.7999999999993</v>
      </c>
      <c r="E411">
        <v>7725</v>
      </c>
      <c r="F411">
        <v>8916</v>
      </c>
      <c r="G411">
        <v>46342.4216900463</v>
      </c>
    </row>
    <row r="412" spans="1:7" x14ac:dyDescent="0.25">
      <c r="A412" t="s">
        <v>14</v>
      </c>
      <c r="B412">
        <v>47</v>
      </c>
      <c r="C412">
        <v>7573.9960000000001</v>
      </c>
      <c r="D412">
        <v>8820.9</v>
      </c>
      <c r="E412">
        <v>7754</v>
      </c>
      <c r="F412">
        <v>8943</v>
      </c>
      <c r="G412">
        <v>46349.4216900463</v>
      </c>
    </row>
    <row r="413" spans="1:7" x14ac:dyDescent="0.25">
      <c r="A413" t="s">
        <v>14</v>
      </c>
      <c r="B413">
        <v>48</v>
      </c>
      <c r="C413">
        <v>7604.8090000000002</v>
      </c>
      <c r="D413">
        <v>8843.9</v>
      </c>
      <c r="E413">
        <v>7782</v>
      </c>
      <c r="F413">
        <v>8970</v>
      </c>
      <c r="G413">
        <v>46356.4216900463</v>
      </c>
    </row>
    <row r="414" spans="1:7" x14ac:dyDescent="0.25">
      <c r="A414" t="s">
        <v>14</v>
      </c>
      <c r="B414">
        <v>49</v>
      </c>
      <c r="C414">
        <v>7705.4840000000004</v>
      </c>
      <c r="D414">
        <v>8827</v>
      </c>
      <c r="E414">
        <v>7811</v>
      </c>
      <c r="F414">
        <v>8997</v>
      </c>
      <c r="G414">
        <v>46363.4216900463</v>
      </c>
    </row>
    <row r="415" spans="1:7" x14ac:dyDescent="0.25">
      <c r="A415" t="s">
        <v>14</v>
      </c>
      <c r="B415">
        <v>50</v>
      </c>
      <c r="C415">
        <v>7718.4920000000002</v>
      </c>
      <c r="D415">
        <v>8780</v>
      </c>
      <c r="E415">
        <v>7840</v>
      </c>
      <c r="F415">
        <v>9024</v>
      </c>
      <c r="G415">
        <v>46370.4216900463</v>
      </c>
    </row>
    <row r="416" spans="1:7" x14ac:dyDescent="0.25">
      <c r="A416" t="s">
        <v>14</v>
      </c>
      <c r="B416">
        <v>51</v>
      </c>
      <c r="C416">
        <v>7689.2650000000003</v>
      </c>
      <c r="D416">
        <v>8776</v>
      </c>
      <c r="E416">
        <v>7869</v>
      </c>
      <c r="F416">
        <v>9051</v>
      </c>
      <c r="G416">
        <v>46377.4216900463</v>
      </c>
    </row>
    <row r="417" spans="1:7" x14ac:dyDescent="0.25">
      <c r="A417" t="s">
        <v>14</v>
      </c>
      <c r="B417">
        <v>52</v>
      </c>
      <c r="C417">
        <v>7678.2929999999997</v>
      </c>
      <c r="D417">
        <v>8840.1</v>
      </c>
      <c r="E417">
        <v>7898</v>
      </c>
      <c r="F417">
        <v>9078</v>
      </c>
      <c r="G417">
        <v>46384.4216900463</v>
      </c>
    </row>
    <row r="418" spans="1:7" x14ac:dyDescent="0.25">
      <c r="A418" t="s">
        <v>15</v>
      </c>
      <c r="B418">
        <v>1</v>
      </c>
      <c r="C418">
        <v>7114.0910000000003</v>
      </c>
      <c r="D418">
        <v>8500.6</v>
      </c>
      <c r="E418">
        <v>7132</v>
      </c>
      <c r="F418">
        <v>8550</v>
      </c>
      <c r="G418">
        <v>46027.4216900463</v>
      </c>
    </row>
    <row r="419" spans="1:7" x14ac:dyDescent="0.25">
      <c r="A419" t="s">
        <v>15</v>
      </c>
      <c r="B419">
        <v>2</v>
      </c>
      <c r="C419">
        <v>7206.7839999999997</v>
      </c>
      <c r="D419">
        <v>8570.1</v>
      </c>
      <c r="E419">
        <v>7164</v>
      </c>
      <c r="F419">
        <v>8580</v>
      </c>
      <c r="G419">
        <v>46034.4216900463</v>
      </c>
    </row>
    <row r="420" spans="1:7" x14ac:dyDescent="0.25">
      <c r="A420" t="s">
        <v>15</v>
      </c>
      <c r="B420">
        <v>3</v>
      </c>
      <c r="C420">
        <v>7145.6469999999999</v>
      </c>
      <c r="D420">
        <v>8529.7000000000007</v>
      </c>
      <c r="E420">
        <v>7196</v>
      </c>
      <c r="F420">
        <v>8609</v>
      </c>
      <c r="G420">
        <v>46041.4216900463</v>
      </c>
    </row>
    <row r="421" spans="1:7" x14ac:dyDescent="0.25">
      <c r="A421" t="s">
        <v>15</v>
      </c>
      <c r="B421">
        <v>4</v>
      </c>
      <c r="C421">
        <v>7212.6639999999998</v>
      </c>
      <c r="D421">
        <v>8601.2000000000007</v>
      </c>
      <c r="E421">
        <v>7228</v>
      </c>
      <c r="F421">
        <v>8639</v>
      </c>
      <c r="G421">
        <v>46048.4216900463</v>
      </c>
    </row>
    <row r="422" spans="1:7" x14ac:dyDescent="0.25">
      <c r="A422" t="s">
        <v>15</v>
      </c>
      <c r="B422">
        <v>5</v>
      </c>
      <c r="C422">
        <v>7193.6540000000005</v>
      </c>
      <c r="D422">
        <v>8724.7999999999993</v>
      </c>
      <c r="E422">
        <v>7260</v>
      </c>
      <c r="F422">
        <v>8669</v>
      </c>
      <c r="G422">
        <v>46055.4216900463</v>
      </c>
    </row>
    <row r="423" spans="1:7" x14ac:dyDescent="0.25">
      <c r="A423" t="s">
        <v>15</v>
      </c>
      <c r="B423">
        <v>6</v>
      </c>
      <c r="C423">
        <v>7219.75</v>
      </c>
      <c r="D423">
        <v>8610.4</v>
      </c>
      <c r="E423">
        <v>7292</v>
      </c>
      <c r="F423">
        <v>8699</v>
      </c>
      <c r="G423">
        <v>46062.4216900463</v>
      </c>
    </row>
    <row r="424" spans="1:7" x14ac:dyDescent="0.25">
      <c r="A424" t="s">
        <v>15</v>
      </c>
      <c r="B424">
        <v>7</v>
      </c>
      <c r="C424">
        <v>7344.2150000000001</v>
      </c>
      <c r="D424">
        <v>8758.9</v>
      </c>
      <c r="E424">
        <v>7324</v>
      </c>
      <c r="F424">
        <v>8729</v>
      </c>
      <c r="G424">
        <v>46069.4216900463</v>
      </c>
    </row>
    <row r="425" spans="1:7" x14ac:dyDescent="0.25">
      <c r="A425" t="s">
        <v>15</v>
      </c>
      <c r="B425">
        <v>8</v>
      </c>
      <c r="C425">
        <v>7287.2259999999997</v>
      </c>
      <c r="D425">
        <v>8693.5</v>
      </c>
      <c r="E425">
        <v>7356</v>
      </c>
      <c r="F425">
        <v>8759</v>
      </c>
      <c r="G425">
        <v>46076.4216900463</v>
      </c>
    </row>
    <row r="426" spans="1:7" x14ac:dyDescent="0.25">
      <c r="A426" t="s">
        <v>15</v>
      </c>
      <c r="B426">
        <v>9</v>
      </c>
      <c r="C426">
        <v>7411.1980000000003</v>
      </c>
      <c r="D426">
        <v>8805</v>
      </c>
      <c r="E426">
        <v>7388</v>
      </c>
      <c r="F426">
        <v>8788</v>
      </c>
      <c r="G426">
        <v>46083.4216900463</v>
      </c>
    </row>
    <row r="427" spans="1:7" x14ac:dyDescent="0.25">
      <c r="A427" t="s">
        <v>15</v>
      </c>
      <c r="B427">
        <v>10</v>
      </c>
      <c r="C427">
        <v>7329.1350000000002</v>
      </c>
      <c r="D427">
        <v>8704.6</v>
      </c>
      <c r="E427">
        <v>7419</v>
      </c>
      <c r="F427">
        <v>8818</v>
      </c>
      <c r="G427">
        <v>46090.4216900463</v>
      </c>
    </row>
    <row r="428" spans="1:7" x14ac:dyDescent="0.25">
      <c r="A428" t="s">
        <v>15</v>
      </c>
      <c r="B428">
        <v>11</v>
      </c>
      <c r="C428">
        <v>7375.7129999999997</v>
      </c>
      <c r="D428">
        <v>8735.2000000000007</v>
      </c>
      <c r="E428">
        <v>7451</v>
      </c>
      <c r="F428">
        <v>8848</v>
      </c>
      <c r="G428">
        <v>46097.4216900463</v>
      </c>
    </row>
    <row r="429" spans="1:7" x14ac:dyDescent="0.25">
      <c r="A429" t="s">
        <v>15</v>
      </c>
      <c r="B429">
        <v>12</v>
      </c>
      <c r="C429">
        <v>7475.9679999999998</v>
      </c>
      <c r="D429">
        <v>8882.7000000000007</v>
      </c>
      <c r="E429">
        <v>7483</v>
      </c>
      <c r="F429">
        <v>8878</v>
      </c>
      <c r="G429">
        <v>46104.4216900463</v>
      </c>
    </row>
    <row r="430" spans="1:7" x14ac:dyDescent="0.25">
      <c r="A430" t="s">
        <v>15</v>
      </c>
      <c r="B430">
        <v>13</v>
      </c>
      <c r="C430">
        <v>7415.5439999999999</v>
      </c>
      <c r="D430">
        <v>8901.2999999999993</v>
      </c>
      <c r="E430">
        <v>7515</v>
      </c>
      <c r="F430">
        <v>8908</v>
      </c>
      <c r="G430">
        <v>46111.4216900463</v>
      </c>
    </row>
    <row r="431" spans="1:7" x14ac:dyDescent="0.25">
      <c r="A431" t="s">
        <v>15</v>
      </c>
      <c r="B431">
        <v>14</v>
      </c>
      <c r="C431">
        <v>7480.732</v>
      </c>
      <c r="D431">
        <v>8886.7999999999993</v>
      </c>
      <c r="E431">
        <v>7547</v>
      </c>
      <c r="F431">
        <v>8937</v>
      </c>
      <c r="G431">
        <v>46118.4216900463</v>
      </c>
    </row>
    <row r="432" spans="1:7" x14ac:dyDescent="0.25">
      <c r="A432" t="s">
        <v>15</v>
      </c>
      <c r="B432">
        <v>15</v>
      </c>
      <c r="C432">
        <v>7559.4390000000003</v>
      </c>
      <c r="D432">
        <v>8826.4</v>
      </c>
      <c r="E432">
        <v>7579</v>
      </c>
      <c r="F432">
        <v>8967</v>
      </c>
      <c r="G432">
        <v>46125.4216900463</v>
      </c>
    </row>
    <row r="433" spans="1:7" x14ac:dyDescent="0.25">
      <c r="A433" t="s">
        <v>15</v>
      </c>
      <c r="B433">
        <v>16</v>
      </c>
      <c r="C433">
        <v>7524.1239999999998</v>
      </c>
      <c r="D433">
        <v>8983</v>
      </c>
      <c r="E433">
        <v>7611</v>
      </c>
      <c r="F433">
        <v>8997</v>
      </c>
      <c r="G433">
        <v>46132.4216900463</v>
      </c>
    </row>
    <row r="434" spans="1:7" x14ac:dyDescent="0.25">
      <c r="A434" t="s">
        <v>15</v>
      </c>
      <c r="B434">
        <v>17</v>
      </c>
      <c r="C434">
        <v>7546.0910000000003</v>
      </c>
      <c r="D434">
        <v>8924.5</v>
      </c>
      <c r="E434">
        <v>7643</v>
      </c>
      <c r="F434">
        <v>9027</v>
      </c>
      <c r="G434">
        <v>46139.4216900463</v>
      </c>
    </row>
    <row r="435" spans="1:7" x14ac:dyDescent="0.25">
      <c r="A435" t="s">
        <v>15</v>
      </c>
      <c r="B435">
        <v>18</v>
      </c>
      <c r="C435">
        <v>7658.3829999999998</v>
      </c>
      <c r="D435">
        <v>9008.1</v>
      </c>
      <c r="E435">
        <v>7675</v>
      </c>
      <c r="F435">
        <v>9057</v>
      </c>
      <c r="G435">
        <v>46146.4216900463</v>
      </c>
    </row>
    <row r="436" spans="1:7" x14ac:dyDescent="0.25">
      <c r="A436" t="s">
        <v>15</v>
      </c>
      <c r="B436">
        <v>19</v>
      </c>
      <c r="C436">
        <v>7625.8140000000003</v>
      </c>
      <c r="D436">
        <v>9031.6</v>
      </c>
      <c r="E436">
        <v>7707</v>
      </c>
      <c r="F436">
        <v>9087</v>
      </c>
      <c r="G436">
        <v>46153.4216900463</v>
      </c>
    </row>
    <row r="437" spans="1:7" x14ac:dyDescent="0.25">
      <c r="A437" t="s">
        <v>15</v>
      </c>
      <c r="B437">
        <v>20</v>
      </c>
      <c r="C437">
        <v>7717.9539999999997</v>
      </c>
      <c r="D437">
        <v>9012.2000000000007</v>
      </c>
      <c r="E437">
        <v>7739</v>
      </c>
      <c r="F437">
        <v>9116</v>
      </c>
      <c r="G437">
        <v>46160.4216900463</v>
      </c>
    </row>
    <row r="438" spans="1:7" x14ac:dyDescent="0.25">
      <c r="A438" t="s">
        <v>15</v>
      </c>
      <c r="B438">
        <v>21</v>
      </c>
      <c r="C438">
        <v>7713.5209999999997</v>
      </c>
      <c r="D438">
        <v>9025.7999999999993</v>
      </c>
      <c r="E438">
        <v>7771</v>
      </c>
      <c r="F438">
        <v>9146</v>
      </c>
      <c r="G438">
        <v>46167.4216900463</v>
      </c>
    </row>
    <row r="439" spans="1:7" x14ac:dyDescent="0.25">
      <c r="A439" t="s">
        <v>15</v>
      </c>
      <c r="B439">
        <v>22</v>
      </c>
      <c r="C439">
        <v>7667.1</v>
      </c>
      <c r="D439">
        <v>9122.2999999999993</v>
      </c>
      <c r="E439">
        <v>7803</v>
      </c>
      <c r="F439">
        <v>9176</v>
      </c>
      <c r="G439">
        <v>46174.4216900463</v>
      </c>
    </row>
    <row r="440" spans="1:7" x14ac:dyDescent="0.25">
      <c r="A440" t="s">
        <v>15</v>
      </c>
      <c r="B440">
        <v>23</v>
      </c>
      <c r="C440">
        <v>7727.5</v>
      </c>
      <c r="D440">
        <v>9104.9</v>
      </c>
      <c r="E440">
        <v>7835</v>
      </c>
      <c r="F440">
        <v>9206</v>
      </c>
      <c r="G440">
        <v>46181.4216900463</v>
      </c>
    </row>
    <row r="441" spans="1:7" x14ac:dyDescent="0.25">
      <c r="A441" t="s">
        <v>15</v>
      </c>
      <c r="B441">
        <v>24</v>
      </c>
      <c r="C441">
        <v>7737.6229999999996</v>
      </c>
      <c r="D441">
        <v>9053.4</v>
      </c>
      <c r="E441">
        <v>7867</v>
      </c>
      <c r="F441">
        <v>9236</v>
      </c>
      <c r="G441">
        <v>46188.4216900463</v>
      </c>
    </row>
    <row r="442" spans="1:7" x14ac:dyDescent="0.25">
      <c r="A442" t="s">
        <v>15</v>
      </c>
      <c r="B442">
        <v>25</v>
      </c>
      <c r="C442">
        <v>7785.5159999999996</v>
      </c>
      <c r="D442">
        <v>9124</v>
      </c>
      <c r="E442">
        <v>7899</v>
      </c>
      <c r="F442">
        <v>9266</v>
      </c>
      <c r="G442">
        <v>46195.4216900463</v>
      </c>
    </row>
    <row r="443" spans="1:7" x14ac:dyDescent="0.25">
      <c r="A443" t="s">
        <v>15</v>
      </c>
      <c r="B443">
        <v>26</v>
      </c>
      <c r="C443">
        <v>7816.7879999999996</v>
      </c>
      <c r="D443">
        <v>9197.6</v>
      </c>
      <c r="E443">
        <v>7931</v>
      </c>
      <c r="F443">
        <v>9295</v>
      </c>
      <c r="G443">
        <v>46202.4216900463</v>
      </c>
    </row>
    <row r="444" spans="1:7" x14ac:dyDescent="0.25">
      <c r="A444" t="s">
        <v>15</v>
      </c>
      <c r="B444">
        <v>27</v>
      </c>
      <c r="C444">
        <v>7841.5159999999996</v>
      </c>
      <c r="D444">
        <v>9269.1</v>
      </c>
      <c r="E444">
        <v>7963</v>
      </c>
      <c r="F444">
        <v>9325</v>
      </c>
      <c r="G444">
        <v>46209.4216900463</v>
      </c>
    </row>
    <row r="445" spans="1:7" x14ac:dyDescent="0.25">
      <c r="A445" t="s">
        <v>15</v>
      </c>
      <c r="B445">
        <v>28</v>
      </c>
      <c r="C445">
        <v>7837.0550000000003</v>
      </c>
      <c r="D445">
        <v>9290.7000000000007</v>
      </c>
      <c r="E445">
        <v>7995</v>
      </c>
      <c r="F445">
        <v>9355</v>
      </c>
      <c r="G445">
        <v>46216.4216900463</v>
      </c>
    </row>
    <row r="446" spans="1:7" x14ac:dyDescent="0.25">
      <c r="A446" t="s">
        <v>15</v>
      </c>
      <c r="B446">
        <v>29</v>
      </c>
      <c r="C446">
        <v>7952.8940000000002</v>
      </c>
      <c r="D446">
        <v>9201.2000000000007</v>
      </c>
      <c r="E446">
        <v>8027</v>
      </c>
      <c r="F446">
        <v>9385</v>
      </c>
      <c r="G446">
        <v>46223.4216900463</v>
      </c>
    </row>
    <row r="447" spans="1:7" x14ac:dyDescent="0.25">
      <c r="A447" t="s">
        <v>15</v>
      </c>
      <c r="B447">
        <v>30</v>
      </c>
      <c r="C447">
        <v>7941.41</v>
      </c>
      <c r="D447">
        <v>9358.7999999999993</v>
      </c>
      <c r="E447">
        <v>8058</v>
      </c>
      <c r="F447">
        <v>9415</v>
      </c>
      <c r="G447">
        <v>46230.4216900463</v>
      </c>
    </row>
    <row r="448" spans="1:7" x14ac:dyDescent="0.25">
      <c r="A448" t="s">
        <v>15</v>
      </c>
      <c r="B448">
        <v>31</v>
      </c>
      <c r="C448">
        <v>7942.5389999999998</v>
      </c>
      <c r="D448">
        <v>9294.4</v>
      </c>
      <c r="E448">
        <v>8090</v>
      </c>
      <c r="F448">
        <v>9444</v>
      </c>
      <c r="G448">
        <v>46237.4216900463</v>
      </c>
    </row>
    <row r="449" spans="1:7" x14ac:dyDescent="0.25">
      <c r="A449" t="s">
        <v>15</v>
      </c>
      <c r="B449">
        <v>32</v>
      </c>
      <c r="C449">
        <v>8000.5159999999996</v>
      </c>
      <c r="D449">
        <v>9258.9</v>
      </c>
      <c r="E449">
        <v>8122</v>
      </c>
      <c r="F449">
        <v>9474</v>
      </c>
      <c r="G449">
        <v>46244.4216900463</v>
      </c>
    </row>
    <row r="450" spans="1:7" x14ac:dyDescent="0.25">
      <c r="A450" t="s">
        <v>15</v>
      </c>
      <c r="B450">
        <v>33</v>
      </c>
      <c r="C450">
        <v>8006.9579999999996</v>
      </c>
      <c r="D450">
        <v>9305.5</v>
      </c>
      <c r="E450">
        <v>8154</v>
      </c>
      <c r="F450">
        <v>9504</v>
      </c>
      <c r="G450">
        <v>46251.4216900463</v>
      </c>
    </row>
    <row r="451" spans="1:7" x14ac:dyDescent="0.25">
      <c r="A451" t="s">
        <v>15</v>
      </c>
      <c r="B451">
        <v>34</v>
      </c>
      <c r="C451">
        <v>8038.5569999999998</v>
      </c>
      <c r="D451">
        <v>9376</v>
      </c>
      <c r="E451">
        <v>8186</v>
      </c>
      <c r="F451">
        <v>9534</v>
      </c>
      <c r="G451">
        <v>46258.4216900463</v>
      </c>
    </row>
    <row r="452" spans="1:7" x14ac:dyDescent="0.25">
      <c r="A452" t="s">
        <v>15</v>
      </c>
      <c r="B452">
        <v>35</v>
      </c>
      <c r="C452">
        <v>8076.06</v>
      </c>
      <c r="D452">
        <v>9376.6</v>
      </c>
      <c r="E452">
        <v>8218</v>
      </c>
      <c r="F452">
        <v>9564</v>
      </c>
      <c r="G452">
        <v>46265.4216900463</v>
      </c>
    </row>
    <row r="453" spans="1:7" x14ac:dyDescent="0.25">
      <c r="A453" t="s">
        <v>15</v>
      </c>
      <c r="B453">
        <v>36</v>
      </c>
      <c r="C453">
        <v>8100</v>
      </c>
      <c r="D453">
        <v>9466.2000000000007</v>
      </c>
      <c r="E453">
        <v>8250</v>
      </c>
      <c r="F453">
        <v>9594</v>
      </c>
      <c r="G453">
        <v>46272.4216900463</v>
      </c>
    </row>
    <row r="454" spans="1:7" x14ac:dyDescent="0.25">
      <c r="A454" t="s">
        <v>15</v>
      </c>
      <c r="B454">
        <v>37</v>
      </c>
      <c r="C454">
        <v>8137.8649999999998</v>
      </c>
      <c r="D454">
        <v>9517.7000000000007</v>
      </c>
      <c r="E454">
        <v>8282</v>
      </c>
      <c r="F454">
        <v>9623</v>
      </c>
      <c r="G454">
        <v>46279.4216900463</v>
      </c>
    </row>
    <row r="455" spans="1:7" x14ac:dyDescent="0.25">
      <c r="A455" t="s">
        <v>15</v>
      </c>
      <c r="B455">
        <v>38</v>
      </c>
      <c r="C455">
        <v>8128.8270000000002</v>
      </c>
      <c r="D455">
        <v>9449.2999999999993</v>
      </c>
      <c r="E455">
        <v>8314</v>
      </c>
      <c r="F455">
        <v>9653</v>
      </c>
      <c r="G455">
        <v>46286.4216900463</v>
      </c>
    </row>
    <row r="456" spans="1:7" x14ac:dyDescent="0.25">
      <c r="A456" t="s">
        <v>15</v>
      </c>
      <c r="B456">
        <v>39</v>
      </c>
      <c r="C456">
        <v>8209.24</v>
      </c>
      <c r="D456">
        <v>9478.7999999999993</v>
      </c>
      <c r="E456">
        <v>8346</v>
      </c>
      <c r="F456">
        <v>9683</v>
      </c>
      <c r="G456">
        <v>46293.4216900463</v>
      </c>
    </row>
    <row r="457" spans="1:7" x14ac:dyDescent="0.25">
      <c r="A457" t="s">
        <v>15</v>
      </c>
      <c r="B457">
        <v>40</v>
      </c>
      <c r="C457">
        <v>8232.2819999999992</v>
      </c>
      <c r="D457">
        <v>9463.4</v>
      </c>
      <c r="E457">
        <v>8378</v>
      </c>
      <c r="F457">
        <v>9713</v>
      </c>
      <c r="G457">
        <v>46300.4216900463</v>
      </c>
    </row>
    <row r="458" spans="1:7" x14ac:dyDescent="0.25">
      <c r="A458" t="s">
        <v>15</v>
      </c>
      <c r="B458">
        <v>41</v>
      </c>
      <c r="C458">
        <v>8279.2749999999996</v>
      </c>
      <c r="D458">
        <v>9630</v>
      </c>
      <c r="E458">
        <v>8410</v>
      </c>
      <c r="F458">
        <v>9743</v>
      </c>
      <c r="G458">
        <v>46307.4216900463</v>
      </c>
    </row>
    <row r="459" spans="1:7" x14ac:dyDescent="0.25">
      <c r="A459" t="s">
        <v>15</v>
      </c>
      <c r="B459">
        <v>42</v>
      </c>
      <c r="C459">
        <v>8296.7479999999996</v>
      </c>
      <c r="D459">
        <v>9654.5</v>
      </c>
      <c r="E459">
        <v>8442</v>
      </c>
      <c r="F459">
        <v>9772</v>
      </c>
      <c r="G459">
        <v>46314.4216900463</v>
      </c>
    </row>
    <row r="460" spans="1:7" x14ac:dyDescent="0.25">
      <c r="A460" t="s">
        <v>15</v>
      </c>
      <c r="B460">
        <v>43</v>
      </c>
      <c r="C460">
        <v>8335.0740000000005</v>
      </c>
      <c r="D460">
        <v>9666.1</v>
      </c>
      <c r="E460">
        <v>8474</v>
      </c>
      <c r="F460">
        <v>9802</v>
      </c>
      <c r="G460">
        <v>46321.4216900463</v>
      </c>
    </row>
    <row r="461" spans="1:7" x14ac:dyDescent="0.25">
      <c r="A461" t="s">
        <v>15</v>
      </c>
      <c r="B461">
        <v>44</v>
      </c>
      <c r="C461">
        <v>8321.6710000000003</v>
      </c>
      <c r="D461">
        <v>9664.6</v>
      </c>
      <c r="E461">
        <v>8506</v>
      </c>
      <c r="F461">
        <v>9832</v>
      </c>
      <c r="G461">
        <v>46328.4216900463</v>
      </c>
    </row>
    <row r="462" spans="1:7" x14ac:dyDescent="0.25">
      <c r="A462" t="s">
        <v>15</v>
      </c>
      <c r="B462">
        <v>45</v>
      </c>
      <c r="C462">
        <v>8371.018</v>
      </c>
      <c r="D462">
        <v>9711.2000000000007</v>
      </c>
      <c r="E462">
        <v>8538</v>
      </c>
      <c r="F462">
        <v>9862</v>
      </c>
      <c r="G462">
        <v>46335.4216900463</v>
      </c>
    </row>
    <row r="463" spans="1:7" x14ac:dyDescent="0.25">
      <c r="A463" t="s">
        <v>15</v>
      </c>
      <c r="B463">
        <v>46</v>
      </c>
      <c r="C463">
        <v>8400.0570000000007</v>
      </c>
      <c r="D463">
        <v>9742.7999999999993</v>
      </c>
      <c r="E463">
        <v>8570</v>
      </c>
      <c r="F463">
        <v>9892</v>
      </c>
      <c r="G463">
        <v>46342.4216900463</v>
      </c>
    </row>
    <row r="464" spans="1:7" x14ac:dyDescent="0.25">
      <c r="A464" t="s">
        <v>15</v>
      </c>
      <c r="B464">
        <v>47</v>
      </c>
      <c r="C464">
        <v>8444.232</v>
      </c>
      <c r="D464">
        <v>9751.2999999999993</v>
      </c>
      <c r="E464">
        <v>8602</v>
      </c>
      <c r="F464">
        <v>9922</v>
      </c>
      <c r="G464">
        <v>46349.4216900463</v>
      </c>
    </row>
    <row r="465" spans="1:7" x14ac:dyDescent="0.25">
      <c r="A465" t="s">
        <v>15</v>
      </c>
      <c r="B465">
        <v>48</v>
      </c>
      <c r="C465">
        <v>8458.2150000000001</v>
      </c>
      <c r="D465">
        <v>9721.9</v>
      </c>
      <c r="E465">
        <v>8634</v>
      </c>
      <c r="F465">
        <v>9951</v>
      </c>
      <c r="G465">
        <v>46356.4216900463</v>
      </c>
    </row>
    <row r="466" spans="1:7" x14ac:dyDescent="0.25">
      <c r="A466" t="s">
        <v>15</v>
      </c>
      <c r="B466">
        <v>49</v>
      </c>
      <c r="C466">
        <v>8446.7090000000007</v>
      </c>
      <c r="D466">
        <v>9773.4</v>
      </c>
      <c r="E466">
        <v>8666</v>
      </c>
      <c r="F466">
        <v>9981</v>
      </c>
      <c r="G466">
        <v>46363.4216900463</v>
      </c>
    </row>
    <row r="467" spans="1:7" x14ac:dyDescent="0.25">
      <c r="A467" t="s">
        <v>15</v>
      </c>
      <c r="B467">
        <v>50</v>
      </c>
      <c r="C467">
        <v>8478.9130000000005</v>
      </c>
      <c r="D467">
        <v>9730</v>
      </c>
      <c r="E467">
        <v>8698</v>
      </c>
      <c r="F467">
        <v>10011</v>
      </c>
      <c r="G467">
        <v>46370.4216900463</v>
      </c>
    </row>
    <row r="468" spans="1:7" x14ac:dyDescent="0.25">
      <c r="A468" t="s">
        <v>15</v>
      </c>
      <c r="B468">
        <v>51</v>
      </c>
      <c r="C468">
        <v>8578.1810000000005</v>
      </c>
      <c r="D468">
        <v>9819.6</v>
      </c>
      <c r="E468">
        <v>8729</v>
      </c>
      <c r="F468">
        <v>10041</v>
      </c>
      <c r="G468">
        <v>46377.4216900463</v>
      </c>
    </row>
    <row r="469" spans="1:7" x14ac:dyDescent="0.25">
      <c r="A469" t="s">
        <v>15</v>
      </c>
      <c r="B469">
        <v>52</v>
      </c>
      <c r="C469">
        <v>8532.4480000000003</v>
      </c>
      <c r="D469">
        <v>9782.1</v>
      </c>
      <c r="E469">
        <v>8761</v>
      </c>
      <c r="F469">
        <v>10071</v>
      </c>
      <c r="G469">
        <v>46384.4216900463</v>
      </c>
    </row>
    <row r="470" spans="1:7" x14ac:dyDescent="0.25">
      <c r="A470" t="s">
        <v>16</v>
      </c>
      <c r="B470">
        <v>1</v>
      </c>
      <c r="C470">
        <v>7835.0219999999999</v>
      </c>
      <c r="D470">
        <v>9325.1</v>
      </c>
      <c r="E470">
        <v>7835</v>
      </c>
      <c r="F470">
        <v>9393</v>
      </c>
      <c r="G470">
        <v>46027.4216900463</v>
      </c>
    </row>
    <row r="471" spans="1:7" x14ac:dyDescent="0.25">
      <c r="A471" t="s">
        <v>16</v>
      </c>
      <c r="B471">
        <v>2</v>
      </c>
      <c r="C471">
        <v>7849.0950000000003</v>
      </c>
      <c r="D471">
        <v>9452.2000000000007</v>
      </c>
      <c r="E471">
        <v>7870</v>
      </c>
      <c r="F471">
        <v>9426</v>
      </c>
      <c r="G471">
        <v>46034.4216900463</v>
      </c>
    </row>
    <row r="472" spans="1:7" x14ac:dyDescent="0.25">
      <c r="A472" t="s">
        <v>16</v>
      </c>
      <c r="B472">
        <v>3</v>
      </c>
      <c r="C472">
        <v>7937.723</v>
      </c>
      <c r="D472">
        <v>9523.2000000000007</v>
      </c>
      <c r="E472">
        <v>7905</v>
      </c>
      <c r="F472">
        <v>9458</v>
      </c>
      <c r="G472">
        <v>46041.4216900463</v>
      </c>
    </row>
    <row r="473" spans="1:7" x14ac:dyDescent="0.25">
      <c r="A473" t="s">
        <v>16</v>
      </c>
      <c r="B473">
        <v>4</v>
      </c>
      <c r="C473">
        <v>7888.4279999999999</v>
      </c>
      <c r="D473">
        <v>9489.2999999999993</v>
      </c>
      <c r="E473">
        <v>7940</v>
      </c>
      <c r="F473">
        <v>9491</v>
      </c>
      <c r="G473">
        <v>46048.4216900463</v>
      </c>
    </row>
    <row r="474" spans="1:7" x14ac:dyDescent="0.25">
      <c r="A474" t="s">
        <v>16</v>
      </c>
      <c r="B474">
        <v>5</v>
      </c>
      <c r="C474">
        <v>7953.0630000000001</v>
      </c>
      <c r="D474">
        <v>9577.4</v>
      </c>
      <c r="E474">
        <v>7976</v>
      </c>
      <c r="F474">
        <v>9524</v>
      </c>
      <c r="G474">
        <v>46055.4216900463</v>
      </c>
    </row>
    <row r="475" spans="1:7" x14ac:dyDescent="0.25">
      <c r="A475" t="s">
        <v>16</v>
      </c>
      <c r="B475">
        <v>6</v>
      </c>
      <c r="C475">
        <v>7984.0929999999998</v>
      </c>
      <c r="D475">
        <v>9583.5</v>
      </c>
      <c r="E475">
        <v>8011</v>
      </c>
      <c r="F475">
        <v>9557</v>
      </c>
      <c r="G475">
        <v>46062.4216900463</v>
      </c>
    </row>
    <row r="476" spans="1:7" x14ac:dyDescent="0.25">
      <c r="A476" t="s">
        <v>16</v>
      </c>
      <c r="B476">
        <v>7</v>
      </c>
      <c r="C476">
        <v>7995.558</v>
      </c>
      <c r="D476">
        <v>9613.6</v>
      </c>
      <c r="E476">
        <v>8046</v>
      </c>
      <c r="F476">
        <v>9589</v>
      </c>
      <c r="G476">
        <v>46069.421690092589</v>
      </c>
    </row>
    <row r="477" spans="1:7" x14ac:dyDescent="0.25">
      <c r="A477" t="s">
        <v>16</v>
      </c>
      <c r="B477">
        <v>8</v>
      </c>
      <c r="C477">
        <v>8055.0020000000004</v>
      </c>
      <c r="D477">
        <v>9638.6</v>
      </c>
      <c r="E477">
        <v>8081</v>
      </c>
      <c r="F477">
        <v>9622</v>
      </c>
      <c r="G477">
        <v>46076.421690092589</v>
      </c>
    </row>
    <row r="478" spans="1:7" x14ac:dyDescent="0.25">
      <c r="A478" t="s">
        <v>16</v>
      </c>
      <c r="B478">
        <v>9</v>
      </c>
      <c r="C478">
        <v>8065.2629999999999</v>
      </c>
      <c r="D478">
        <v>9685.7000000000007</v>
      </c>
      <c r="E478">
        <v>8116</v>
      </c>
      <c r="F478">
        <v>9655</v>
      </c>
      <c r="G478">
        <v>46083.421690092589</v>
      </c>
    </row>
    <row r="479" spans="1:7" x14ac:dyDescent="0.25">
      <c r="A479" t="s">
        <v>16</v>
      </c>
      <c r="B479">
        <v>10</v>
      </c>
      <c r="C479">
        <v>8138.5280000000002</v>
      </c>
      <c r="D479">
        <v>9606.7999999999993</v>
      </c>
      <c r="E479">
        <v>8151</v>
      </c>
      <c r="F479">
        <v>9688</v>
      </c>
      <c r="G479">
        <v>46090.421690092589</v>
      </c>
    </row>
    <row r="480" spans="1:7" x14ac:dyDescent="0.25">
      <c r="A480" t="s">
        <v>16</v>
      </c>
      <c r="B480">
        <v>11</v>
      </c>
      <c r="C480">
        <v>8101.5169999999998</v>
      </c>
      <c r="D480">
        <v>9647.9</v>
      </c>
      <c r="E480">
        <v>8186</v>
      </c>
      <c r="F480">
        <v>9720</v>
      </c>
      <c r="G480">
        <v>46097.421690092589</v>
      </c>
    </row>
    <row r="481" spans="1:7" x14ac:dyDescent="0.25">
      <c r="A481" t="s">
        <v>16</v>
      </c>
      <c r="B481">
        <v>12</v>
      </c>
      <c r="C481">
        <v>8196.3169999999991</v>
      </c>
      <c r="D481">
        <v>9750</v>
      </c>
      <c r="E481">
        <v>8221</v>
      </c>
      <c r="F481">
        <v>9753</v>
      </c>
      <c r="G481">
        <v>46104.421690092589</v>
      </c>
    </row>
    <row r="482" spans="1:7" x14ac:dyDescent="0.25">
      <c r="A482" t="s">
        <v>16</v>
      </c>
      <c r="B482">
        <v>13</v>
      </c>
      <c r="C482">
        <v>8227.7900000000009</v>
      </c>
      <c r="D482">
        <v>9762</v>
      </c>
      <c r="E482">
        <v>8256</v>
      </c>
      <c r="F482">
        <v>9786</v>
      </c>
      <c r="G482">
        <v>46111.421690092589</v>
      </c>
    </row>
    <row r="483" spans="1:7" x14ac:dyDescent="0.25">
      <c r="A483" t="s">
        <v>16</v>
      </c>
      <c r="B483">
        <v>14</v>
      </c>
      <c r="C483">
        <v>8293.3950000000004</v>
      </c>
      <c r="D483">
        <v>9815.1</v>
      </c>
      <c r="E483">
        <v>8291</v>
      </c>
      <c r="F483">
        <v>9819</v>
      </c>
      <c r="G483">
        <v>46118.421690092589</v>
      </c>
    </row>
    <row r="484" spans="1:7" x14ac:dyDescent="0.25">
      <c r="A484" t="s">
        <v>16</v>
      </c>
      <c r="B484">
        <v>15</v>
      </c>
      <c r="C484">
        <v>8249.9330000000009</v>
      </c>
      <c r="D484">
        <v>9777.2000000000007</v>
      </c>
      <c r="E484">
        <v>8326</v>
      </c>
      <c r="F484">
        <v>9851</v>
      </c>
      <c r="G484">
        <v>46125.421690092589</v>
      </c>
    </row>
    <row r="485" spans="1:7" x14ac:dyDescent="0.25">
      <c r="A485" t="s">
        <v>16</v>
      </c>
      <c r="B485">
        <v>16</v>
      </c>
      <c r="C485">
        <v>8347.8729999999996</v>
      </c>
      <c r="D485">
        <v>9865.2999999999993</v>
      </c>
      <c r="E485">
        <v>8362</v>
      </c>
      <c r="F485">
        <v>9884</v>
      </c>
      <c r="G485">
        <v>46132.421690092589</v>
      </c>
    </row>
    <row r="486" spans="1:7" x14ac:dyDescent="0.25">
      <c r="A486" t="s">
        <v>16</v>
      </c>
      <c r="B486">
        <v>17</v>
      </c>
      <c r="C486">
        <v>8281.6740000000009</v>
      </c>
      <c r="D486">
        <v>9899.4</v>
      </c>
      <c r="E486">
        <v>8397</v>
      </c>
      <c r="F486">
        <v>9917</v>
      </c>
      <c r="G486">
        <v>46139.421690092589</v>
      </c>
    </row>
    <row r="487" spans="1:7" x14ac:dyDescent="0.25">
      <c r="A487" t="s">
        <v>16</v>
      </c>
      <c r="B487">
        <v>18</v>
      </c>
      <c r="C487">
        <v>8377.4189999999999</v>
      </c>
      <c r="D487">
        <v>9863.4</v>
      </c>
      <c r="E487">
        <v>8432</v>
      </c>
      <c r="F487">
        <v>9950</v>
      </c>
      <c r="G487">
        <v>46146.421690092589</v>
      </c>
    </row>
    <row r="488" spans="1:7" x14ac:dyDescent="0.25">
      <c r="A488" t="s">
        <v>16</v>
      </c>
      <c r="B488">
        <v>19</v>
      </c>
      <c r="C488">
        <v>8359.7860000000001</v>
      </c>
      <c r="D488">
        <v>9880.5</v>
      </c>
      <c r="E488">
        <v>8467</v>
      </c>
      <c r="F488">
        <v>9982</v>
      </c>
      <c r="G488">
        <v>46153.421690092589</v>
      </c>
    </row>
    <row r="489" spans="1:7" x14ac:dyDescent="0.25">
      <c r="A489" t="s">
        <v>16</v>
      </c>
      <c r="B489">
        <v>20</v>
      </c>
      <c r="C489">
        <v>8396.0130000000008</v>
      </c>
      <c r="D489">
        <v>9878.6</v>
      </c>
      <c r="E489">
        <v>8502</v>
      </c>
      <c r="F489">
        <v>10015</v>
      </c>
      <c r="G489">
        <v>46160.421690092589</v>
      </c>
    </row>
    <row r="490" spans="1:7" x14ac:dyDescent="0.25">
      <c r="A490" t="s">
        <v>16</v>
      </c>
      <c r="B490">
        <v>21</v>
      </c>
      <c r="C490">
        <v>8486.3439999999991</v>
      </c>
      <c r="D490">
        <v>9964.7000000000007</v>
      </c>
      <c r="E490">
        <v>8537</v>
      </c>
      <c r="F490">
        <v>10048</v>
      </c>
      <c r="G490">
        <v>46167.421690092589</v>
      </c>
    </row>
    <row r="491" spans="1:7" x14ac:dyDescent="0.25">
      <c r="A491" t="s">
        <v>16</v>
      </c>
      <c r="B491">
        <v>22</v>
      </c>
      <c r="C491">
        <v>8510.4410000000007</v>
      </c>
      <c r="D491">
        <v>9946.7999999999993</v>
      </c>
      <c r="E491">
        <v>8572</v>
      </c>
      <c r="F491">
        <v>10081</v>
      </c>
      <c r="G491">
        <v>46174.421690092589</v>
      </c>
    </row>
    <row r="492" spans="1:7" x14ac:dyDescent="0.25">
      <c r="A492" t="s">
        <v>16</v>
      </c>
      <c r="B492">
        <v>23</v>
      </c>
      <c r="C492">
        <v>8486.402</v>
      </c>
      <c r="D492">
        <v>9948.7999999999993</v>
      </c>
      <c r="E492">
        <v>8607</v>
      </c>
      <c r="F492">
        <v>10113</v>
      </c>
      <c r="G492">
        <v>46181.421690092589</v>
      </c>
    </row>
    <row r="493" spans="1:7" x14ac:dyDescent="0.25">
      <c r="A493" t="s">
        <v>16</v>
      </c>
      <c r="B493">
        <v>24</v>
      </c>
      <c r="C493">
        <v>8506.5869999999995</v>
      </c>
      <c r="D493">
        <v>10065.9</v>
      </c>
      <c r="E493">
        <v>8642</v>
      </c>
      <c r="F493">
        <v>10146</v>
      </c>
      <c r="G493">
        <v>46188.421690092589</v>
      </c>
    </row>
    <row r="494" spans="1:7" x14ac:dyDescent="0.25">
      <c r="A494" t="s">
        <v>16</v>
      </c>
      <c r="B494">
        <v>25</v>
      </c>
      <c r="C494">
        <v>8533.3469999999998</v>
      </c>
      <c r="D494">
        <v>10072</v>
      </c>
      <c r="E494">
        <v>8678</v>
      </c>
      <c r="F494">
        <v>10179</v>
      </c>
      <c r="G494">
        <v>46195.421690092589</v>
      </c>
    </row>
    <row r="495" spans="1:7" x14ac:dyDescent="0.25">
      <c r="A495" t="s">
        <v>16</v>
      </c>
      <c r="B495">
        <v>26</v>
      </c>
      <c r="C495">
        <v>8667.3970000000008</v>
      </c>
      <c r="D495">
        <v>10085.1</v>
      </c>
      <c r="E495">
        <v>8713</v>
      </c>
      <c r="F495">
        <v>10212</v>
      </c>
      <c r="G495">
        <v>46202.421690092589</v>
      </c>
    </row>
    <row r="496" spans="1:7" x14ac:dyDescent="0.25">
      <c r="A496" t="s">
        <v>16</v>
      </c>
      <c r="B496">
        <v>27</v>
      </c>
      <c r="C496">
        <v>8625.8690000000006</v>
      </c>
      <c r="D496">
        <v>10164.200000000001</v>
      </c>
      <c r="E496">
        <v>8748</v>
      </c>
      <c r="F496">
        <v>10245</v>
      </c>
      <c r="G496">
        <v>46209.421690092589</v>
      </c>
    </row>
    <row r="497" spans="1:7" x14ac:dyDescent="0.25">
      <c r="A497" t="s">
        <v>16</v>
      </c>
      <c r="B497">
        <v>28</v>
      </c>
      <c r="C497">
        <v>8627.2309999999998</v>
      </c>
      <c r="D497">
        <v>10106.200000000001</v>
      </c>
      <c r="E497">
        <v>8783</v>
      </c>
      <c r="F497">
        <v>10277</v>
      </c>
      <c r="G497">
        <v>46216.421690092589</v>
      </c>
    </row>
    <row r="498" spans="1:7" x14ac:dyDescent="0.25">
      <c r="A498" t="s">
        <v>16</v>
      </c>
      <c r="B498">
        <v>29</v>
      </c>
      <c r="C498">
        <v>8693.3289999999997</v>
      </c>
      <c r="D498">
        <v>10173.299999999999</v>
      </c>
      <c r="E498">
        <v>8818</v>
      </c>
      <c r="F498">
        <v>10310</v>
      </c>
      <c r="G498">
        <v>46223.421690092589</v>
      </c>
    </row>
    <row r="499" spans="1:7" x14ac:dyDescent="0.25">
      <c r="A499" t="s">
        <v>16</v>
      </c>
      <c r="B499">
        <v>30</v>
      </c>
      <c r="C499">
        <v>8781.4549999999999</v>
      </c>
      <c r="D499">
        <v>10270.4</v>
      </c>
      <c r="E499">
        <v>8853</v>
      </c>
      <c r="F499">
        <v>10343</v>
      </c>
      <c r="G499">
        <v>46230.421690092589</v>
      </c>
    </row>
    <row r="500" spans="1:7" x14ac:dyDescent="0.25">
      <c r="A500" t="s">
        <v>16</v>
      </c>
      <c r="B500">
        <v>31</v>
      </c>
      <c r="C500">
        <v>8756.6119999999992</v>
      </c>
      <c r="D500">
        <v>10178.5</v>
      </c>
      <c r="E500">
        <v>8888</v>
      </c>
      <c r="F500">
        <v>10376</v>
      </c>
      <c r="G500">
        <v>46237.421690092589</v>
      </c>
    </row>
    <row r="501" spans="1:7" x14ac:dyDescent="0.25">
      <c r="A501" t="s">
        <v>16</v>
      </c>
      <c r="B501">
        <v>32</v>
      </c>
      <c r="C501">
        <v>8798.6</v>
      </c>
      <c r="D501">
        <v>10250.6</v>
      </c>
      <c r="E501">
        <v>8923</v>
      </c>
      <c r="F501">
        <v>10408</v>
      </c>
      <c r="G501">
        <v>46244.421690092589</v>
      </c>
    </row>
    <row r="502" spans="1:7" x14ac:dyDescent="0.25">
      <c r="A502" t="s">
        <v>16</v>
      </c>
      <c r="B502">
        <v>33</v>
      </c>
      <c r="C502">
        <v>8805.2450000000008</v>
      </c>
      <c r="D502">
        <v>10348.6</v>
      </c>
      <c r="E502">
        <v>8958</v>
      </c>
      <c r="F502">
        <v>10441</v>
      </c>
      <c r="G502">
        <v>46251.421690092589</v>
      </c>
    </row>
    <row r="503" spans="1:7" x14ac:dyDescent="0.25">
      <c r="A503" t="s">
        <v>16</v>
      </c>
      <c r="B503">
        <v>34</v>
      </c>
      <c r="C503">
        <v>8821.4629999999997</v>
      </c>
      <c r="D503">
        <v>10373.700000000001</v>
      </c>
      <c r="E503">
        <v>8993</v>
      </c>
      <c r="F503">
        <v>10474</v>
      </c>
      <c r="G503">
        <v>46258.421690092589</v>
      </c>
    </row>
    <row r="504" spans="1:7" x14ac:dyDescent="0.25">
      <c r="A504" t="s">
        <v>16</v>
      </c>
      <c r="B504">
        <v>35</v>
      </c>
      <c r="C504">
        <v>8916.9439999999995</v>
      </c>
      <c r="D504">
        <v>10339.799999999999</v>
      </c>
      <c r="E504">
        <v>9028</v>
      </c>
      <c r="F504">
        <v>10507</v>
      </c>
      <c r="G504">
        <v>46265.421690092589</v>
      </c>
    </row>
    <row r="505" spans="1:7" x14ac:dyDescent="0.25">
      <c r="A505" t="s">
        <v>16</v>
      </c>
      <c r="B505">
        <v>36</v>
      </c>
      <c r="C505">
        <v>8885.7129999999997</v>
      </c>
      <c r="D505">
        <v>10365.9</v>
      </c>
      <c r="E505">
        <v>9064</v>
      </c>
      <c r="F505">
        <v>10539</v>
      </c>
      <c r="G505">
        <v>46272.421690092589</v>
      </c>
    </row>
    <row r="506" spans="1:7" x14ac:dyDescent="0.25">
      <c r="A506" t="s">
        <v>16</v>
      </c>
      <c r="B506">
        <v>37</v>
      </c>
      <c r="C506">
        <v>9005.6540000000005</v>
      </c>
      <c r="D506">
        <v>10445</v>
      </c>
      <c r="E506">
        <v>9099</v>
      </c>
      <c r="F506">
        <v>10572</v>
      </c>
      <c r="G506">
        <v>46279.421690092589</v>
      </c>
    </row>
    <row r="507" spans="1:7" x14ac:dyDescent="0.25">
      <c r="A507" t="s">
        <v>16</v>
      </c>
      <c r="B507">
        <v>38</v>
      </c>
      <c r="C507">
        <v>9040.5139999999992</v>
      </c>
      <c r="D507">
        <v>10433</v>
      </c>
      <c r="E507">
        <v>9134</v>
      </c>
      <c r="F507">
        <v>10605</v>
      </c>
      <c r="G507">
        <v>46286.421690092589</v>
      </c>
    </row>
    <row r="508" spans="1:7" x14ac:dyDescent="0.25">
      <c r="A508" t="s">
        <v>16</v>
      </c>
      <c r="B508">
        <v>39</v>
      </c>
      <c r="C508">
        <v>9009.4560000000001</v>
      </c>
      <c r="D508">
        <v>10456.1</v>
      </c>
      <c r="E508">
        <v>9169</v>
      </c>
      <c r="F508">
        <v>10638</v>
      </c>
      <c r="G508">
        <v>46293.421690092589</v>
      </c>
    </row>
    <row r="509" spans="1:7" x14ac:dyDescent="0.25">
      <c r="A509" t="s">
        <v>16</v>
      </c>
      <c r="B509">
        <v>40</v>
      </c>
      <c r="C509">
        <v>9028.3019999999997</v>
      </c>
      <c r="D509">
        <v>10485.200000000001</v>
      </c>
      <c r="E509">
        <v>9204</v>
      </c>
      <c r="F509">
        <v>10670</v>
      </c>
      <c r="G509">
        <v>46300.421690115742</v>
      </c>
    </row>
    <row r="510" spans="1:7" x14ac:dyDescent="0.25">
      <c r="A510" t="s">
        <v>16</v>
      </c>
      <c r="B510">
        <v>41</v>
      </c>
      <c r="C510">
        <v>9116.56</v>
      </c>
      <c r="D510">
        <v>10486.3</v>
      </c>
      <c r="E510">
        <v>9239</v>
      </c>
      <c r="F510">
        <v>10703</v>
      </c>
      <c r="G510">
        <v>46307.421690115742</v>
      </c>
    </row>
    <row r="511" spans="1:7" x14ac:dyDescent="0.25">
      <c r="A511" t="s">
        <v>16</v>
      </c>
      <c r="B511">
        <v>42</v>
      </c>
      <c r="C511">
        <v>9076.134</v>
      </c>
      <c r="D511">
        <v>10519.4</v>
      </c>
      <c r="E511">
        <v>9274</v>
      </c>
      <c r="F511">
        <v>10736</v>
      </c>
      <c r="G511">
        <v>46314.421690115742</v>
      </c>
    </row>
    <row r="512" spans="1:7" x14ac:dyDescent="0.25">
      <c r="A512" t="s">
        <v>16</v>
      </c>
      <c r="B512">
        <v>43</v>
      </c>
      <c r="C512">
        <v>9144.2070000000003</v>
      </c>
      <c r="D512">
        <v>10510.4</v>
      </c>
      <c r="E512">
        <v>9309</v>
      </c>
      <c r="F512">
        <v>10769</v>
      </c>
      <c r="G512">
        <v>46321.421690115742</v>
      </c>
    </row>
    <row r="513" spans="1:7" x14ac:dyDescent="0.25">
      <c r="A513" t="s">
        <v>16</v>
      </c>
      <c r="B513">
        <v>44</v>
      </c>
      <c r="C513">
        <v>9126.4699999999993</v>
      </c>
      <c r="D513">
        <v>10603.5</v>
      </c>
      <c r="E513">
        <v>9344</v>
      </c>
      <c r="F513">
        <v>10801</v>
      </c>
      <c r="G513">
        <v>46328.421690115742</v>
      </c>
    </row>
    <row r="514" spans="1:7" x14ac:dyDescent="0.25">
      <c r="A514" t="s">
        <v>16</v>
      </c>
      <c r="B514">
        <v>45</v>
      </c>
      <c r="C514">
        <v>9213.1890000000003</v>
      </c>
      <c r="D514">
        <v>10671.6</v>
      </c>
      <c r="E514">
        <v>9380</v>
      </c>
      <c r="F514">
        <v>10834</v>
      </c>
      <c r="G514">
        <v>46335.421690115742</v>
      </c>
    </row>
    <row r="515" spans="1:7" x14ac:dyDescent="0.25">
      <c r="A515" t="s">
        <v>16</v>
      </c>
      <c r="B515">
        <v>46</v>
      </c>
      <c r="C515">
        <v>9285.6059999999998</v>
      </c>
      <c r="D515">
        <v>10681.7</v>
      </c>
      <c r="E515">
        <v>9415</v>
      </c>
      <c r="F515">
        <v>10867</v>
      </c>
      <c r="G515">
        <v>46342.421690115742</v>
      </c>
    </row>
    <row r="516" spans="1:7" x14ac:dyDescent="0.25">
      <c r="A516" t="s">
        <v>16</v>
      </c>
      <c r="B516">
        <v>47</v>
      </c>
      <c r="C516">
        <v>9298.6170000000002</v>
      </c>
      <c r="D516">
        <v>10601.8</v>
      </c>
      <c r="E516">
        <v>9450</v>
      </c>
      <c r="F516">
        <v>10900</v>
      </c>
      <c r="G516">
        <v>46349.421690115742</v>
      </c>
    </row>
    <row r="517" spans="1:7" x14ac:dyDescent="0.25">
      <c r="A517" t="s">
        <v>16</v>
      </c>
      <c r="B517">
        <v>48</v>
      </c>
      <c r="C517">
        <v>9241.5529999999999</v>
      </c>
      <c r="D517">
        <v>10659.8</v>
      </c>
      <c r="E517">
        <v>9485</v>
      </c>
      <c r="F517">
        <v>10932</v>
      </c>
      <c r="G517">
        <v>46356.421690115742</v>
      </c>
    </row>
    <row r="518" spans="1:7" x14ac:dyDescent="0.25">
      <c r="A518" t="s">
        <v>16</v>
      </c>
      <c r="B518">
        <v>49</v>
      </c>
      <c r="C518">
        <v>9285.2630000000008</v>
      </c>
      <c r="D518">
        <v>10734.9</v>
      </c>
      <c r="E518">
        <v>9520</v>
      </c>
      <c r="F518">
        <v>10965</v>
      </c>
      <c r="G518">
        <v>46363.421690115742</v>
      </c>
    </row>
    <row r="519" spans="1:7" x14ac:dyDescent="0.25">
      <c r="A519" t="s">
        <v>16</v>
      </c>
      <c r="B519">
        <v>50</v>
      </c>
      <c r="C519">
        <v>9376.0650000000005</v>
      </c>
      <c r="D519">
        <v>10771</v>
      </c>
      <c r="E519">
        <v>9555</v>
      </c>
      <c r="F519">
        <v>10998</v>
      </c>
      <c r="G519">
        <v>46370.421690115742</v>
      </c>
    </row>
    <row r="520" spans="1:7" x14ac:dyDescent="0.25">
      <c r="A520" t="s">
        <v>16</v>
      </c>
      <c r="B520">
        <v>51</v>
      </c>
      <c r="C520">
        <v>9444.1569999999992</v>
      </c>
      <c r="D520">
        <v>10766.1</v>
      </c>
      <c r="E520">
        <v>9590</v>
      </c>
      <c r="F520">
        <v>11031</v>
      </c>
      <c r="G520">
        <v>46377.421690115742</v>
      </c>
    </row>
    <row r="521" spans="1:7" x14ac:dyDescent="0.25">
      <c r="A521" t="s">
        <v>16</v>
      </c>
      <c r="B521">
        <v>52</v>
      </c>
      <c r="C521">
        <v>9407.7569999999996</v>
      </c>
      <c r="D521">
        <v>10788.2</v>
      </c>
      <c r="E521">
        <v>9625</v>
      </c>
      <c r="F521">
        <v>11064</v>
      </c>
      <c r="G521">
        <v>46384.421690115742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7E62-33C6-4F1B-AE50-9C3D538ED9E6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"&amp;TEXT(Control!$B$4-3,"00")</f>
        <v>Week 37</v>
      </c>
      <c r="E4" t="str">
        <f>"Week "&amp;TEXT(Control!$B$4-2,"00")</f>
        <v>Week 38</v>
      </c>
      <c r="F4" t="str">
        <f>"Week "&amp;TEXT(Control!$B$4-1,"00")</f>
        <v>Week 39</v>
      </c>
      <c r="G4" t="str">
        <f>"Week "&amp;TEXT(Control!$B$4-0,"00")</f>
        <v>Week 40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1877.9</v>
      </c>
      <c r="E5">
        <f>ROUND(SUMIFS(Data!$C:$C,Data!$A:$A,Control!$B$2,Data!$B:$B,Control!$B$4-2)*Control!$B$5,1)</f>
        <v>1809.6</v>
      </c>
      <c r="F5">
        <f>ROUND(SUMIFS(Data!$C:$C,Data!$A:$A,Control!$B$2,Data!$B:$B,Control!$B$4-1)*Control!$B$5,1)</f>
        <v>1906.8</v>
      </c>
      <c r="G5">
        <f>ROUND(SUMIFS(Data!$C:$C,Data!$A:$A,Control!$B$2,Data!$B:$B,Control!$B$4-0)*Control!$B$5,1)</f>
        <v>1844</v>
      </c>
      <c r="H5">
        <f>G5-F5</f>
        <v>-62.799999999999955</v>
      </c>
      <c r="I5">
        <f>IFERROR(H5/F5,0)</f>
        <v>-3.2934759807006483E-2</v>
      </c>
      <c r="J5">
        <f>ROUND(SUMIFS(Data!$E:$E,Data!$A:$A,Control!$B$2,Data!$B:$B,Control!$B$4-0)*Control!$B$5,1)</f>
        <v>1919.9</v>
      </c>
      <c r="K5">
        <f>IF(ABS(G5-J5)&lt;0.05,0,G5-J5)</f>
        <v>-75.900000000000091</v>
      </c>
    </row>
    <row r="6" spans="2:12" x14ac:dyDescent="0.25">
      <c r="C6" t="s">
        <v>3</v>
      </c>
      <c r="D6">
        <f>ROUND(SUMIFS(Data!$D:$D,Data!$A:$A,Control!$B$2,Data!$B:$B,Control!$B$4-3)*Control!$B$5,1)</f>
        <v>2190.9</v>
      </c>
      <c r="E6">
        <f>ROUND(SUMIFS(Data!$D:$D,Data!$A:$A,Control!$B$2,Data!$B:$B,Control!$B$4-2)*Control!$B$5,1)</f>
        <v>2113.1999999999998</v>
      </c>
      <c r="F6">
        <f>ROUND(SUMIFS(Data!$D:$D,Data!$A:$A,Control!$B$2,Data!$B:$B,Control!$B$4-1)*Control!$B$5,1)</f>
        <v>2135.3000000000002</v>
      </c>
      <c r="G6">
        <f>ROUND(SUMIFS(Data!$D:$D,Data!$A:$A,Control!$B$2,Data!$B:$B,Control!$B$4-0)*Control!$B$5,1)</f>
        <v>2271.4</v>
      </c>
      <c r="H6">
        <f>G6-F6</f>
        <v>136.09999999999991</v>
      </c>
      <c r="I6">
        <f>IFERROR(H6/F6,0)</f>
        <v>6.3738116423921645E-2</v>
      </c>
      <c r="J6">
        <f>ROUND(SUMIFS(Data!$F:$F,Data!$A:$A,Control!$B$2,Data!$B:$B,Control!$B$4-0)*Control!$B$5,1)</f>
        <v>2225.8000000000002</v>
      </c>
      <c r="K6">
        <f>IF(ABS(G6-J6)&lt;0.05,0,G6-J6)</f>
        <v>45.599999999999909</v>
      </c>
    </row>
    <row r="7" spans="2:12" x14ac:dyDescent="0.25">
      <c r="C7" t="s">
        <v>31</v>
      </c>
      <c r="D7">
        <f>SUM(D5:D6)</f>
        <v>4068.8</v>
      </c>
      <c r="E7">
        <f>SUM(E5:E6)</f>
        <v>3922.7999999999997</v>
      </c>
      <c r="F7">
        <f>SUM(F5:F6)</f>
        <v>4042.1000000000004</v>
      </c>
      <c r="G7">
        <f>SUM(G5:G6)</f>
        <v>4115.3999999999996</v>
      </c>
      <c r="H7">
        <f>SUM(H5:H6)</f>
        <v>73.299999999999955</v>
      </c>
      <c r="I7">
        <f>IFERROR(H7/F7,0)</f>
        <v>1.8134138195492429E-2</v>
      </c>
      <c r="J7">
        <f>SUM(J5:J6)</f>
        <v>4145.7000000000007</v>
      </c>
      <c r="K7">
        <f>SUM(K5:K6)</f>
        <v>-30.300000000000182</v>
      </c>
    </row>
    <row r="8" spans="2:12" x14ac:dyDescent="0.25">
      <c r="C8" t="s">
        <v>32</v>
      </c>
      <c r="D8">
        <f>IF(D6=0,"n/a",D5/D6)</f>
        <v>0.85713633666529743</v>
      </c>
      <c r="E8">
        <f>IF(E6=0,"n/a",E5/E6)</f>
        <v>0.85633162975582056</v>
      </c>
      <c r="F8">
        <f>IF(F6=0,"n/a",F5/F6)</f>
        <v>0.89298927551163765</v>
      </c>
      <c r="G8">
        <f>IF(G6=0,"n/a",G5/G6)</f>
        <v>0.81183411112089454</v>
      </c>
    </row>
    <row r="9" spans="2:12" x14ac:dyDescent="0.25">
      <c r="C9" t="s">
        <v>33</v>
      </c>
      <c r="D9">
        <f>AVERAGE(D7:G7)</f>
        <v>4037.2750000000001</v>
      </c>
      <c r="E9">
        <f>MAX(D7:G7)</f>
        <v>4115.3999999999996</v>
      </c>
      <c r="F9">
        <f>MIN(D7:G7)</f>
        <v>3922.7999999999997</v>
      </c>
      <c r="G9">
        <f>COUNTIF(H5:H6,"&gt;0")</f>
        <v>1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2135.3000000000002</v>
      </c>
      <c r="G12">
        <f ca="1">INDIRECT("D7")</f>
        <v>4068.8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1844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-7.3087777697375955E-3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A606-8179-4FDE-9969-E4704BCB6AC8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"&amp;TEXT(Control!$B$4-4,"00")</f>
        <v>Week 36</v>
      </c>
      <c r="E4" t="str">
        <f>"Week "&amp;TEXT(Control!$B$4-3,"00")</f>
        <v>Week 37</v>
      </c>
      <c r="F4" t="str">
        <f>"Week "&amp;TEXT(Control!$B$4-2,"00")</f>
        <v>Week 38</v>
      </c>
      <c r="G4" t="str">
        <f>"Week "&amp;TEXT(Control!$B$4-1,"00")</f>
        <v>Week 39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1896.4</v>
      </c>
      <c r="E5">
        <f>ROUND(SUMIFS(Data!$C:$C,Data!$A:$A,Control!$B$2,Data!$B:$B,Control!$B$4-3)*Control!$B$5,1)</f>
        <v>1877.9</v>
      </c>
      <c r="F5">
        <f>ROUND(SUMIFS(Data!$C:$C,Data!$A:$A,Control!$B$2,Data!$B:$B,Control!$B$4-2)*Control!$B$5,1)</f>
        <v>1809.6</v>
      </c>
      <c r="G5">
        <f>ROUND(SUMIFS(Data!$C:$C,Data!$A:$A,Control!$B$2,Data!$B:$B,Control!$B$4-1)*Control!$B$5,1)</f>
        <v>1906.8</v>
      </c>
      <c r="H5">
        <f>G5-F5</f>
        <v>97.200000000000045</v>
      </c>
      <c r="I5">
        <f>IFERROR(H5/F5,0)</f>
        <v>5.3713527851458914E-2</v>
      </c>
      <c r="J5">
        <f>ROUND(SUMIFS(Data!$E:$E,Data!$A:$A,Control!$B$2,Data!$B:$B,Control!$B$4-1)*Control!$B$5,1)</f>
        <v>1912.3</v>
      </c>
      <c r="K5">
        <f>IF(ABS(G5-J5)&lt;0.05,0,G5-J5)</f>
        <v>-5.5</v>
      </c>
    </row>
    <row r="6" spans="2:12" x14ac:dyDescent="0.25">
      <c r="C6" t="s">
        <v>3</v>
      </c>
      <c r="D6">
        <f>ROUND(SUMIFS(Data!$D:$D,Data!$A:$A,Control!$B$2,Data!$B:$B,Control!$B$4-4)*Control!$B$5,1)</f>
        <v>2083.1</v>
      </c>
      <c r="E6">
        <f>ROUND(SUMIFS(Data!$D:$D,Data!$A:$A,Control!$B$2,Data!$B:$B,Control!$B$4-3)*Control!$B$5,1)</f>
        <v>2190.9</v>
      </c>
      <c r="F6">
        <f>ROUND(SUMIFS(Data!$D:$D,Data!$A:$A,Control!$B$2,Data!$B:$B,Control!$B$4-2)*Control!$B$5,1)</f>
        <v>2113.1999999999998</v>
      </c>
      <c r="G6">
        <f>ROUND(SUMIFS(Data!$D:$D,Data!$A:$A,Control!$B$2,Data!$B:$B,Control!$B$4-1)*Control!$B$5,1)</f>
        <v>2135.3000000000002</v>
      </c>
      <c r="H6">
        <f>G6-F6</f>
        <v>22.100000000000364</v>
      </c>
      <c r="I6">
        <f>IFERROR(H6/F6,0)</f>
        <v>1.0458073064546831E-2</v>
      </c>
      <c r="J6">
        <f>ROUND(SUMIFS(Data!$F:$F,Data!$A:$A,Control!$B$2,Data!$B:$B,Control!$B$4-1)*Control!$B$5,1)</f>
        <v>2219.3000000000002</v>
      </c>
      <c r="K6">
        <f>IF(ABS(G6-J6)&lt;0.05,0,G6-J6)</f>
        <v>-84</v>
      </c>
    </row>
    <row r="7" spans="2:12" x14ac:dyDescent="0.25">
      <c r="C7" t="s">
        <v>31</v>
      </c>
      <c r="D7">
        <f>SUM(D5:D6)</f>
        <v>3979.5</v>
      </c>
      <c r="E7">
        <f>SUM(E5:E6)</f>
        <v>4068.8</v>
      </c>
      <c r="F7">
        <f>SUM(F5:F6)</f>
        <v>3922.7999999999997</v>
      </c>
      <c r="G7">
        <f>SUM(G5:G6)</f>
        <v>4042.1000000000004</v>
      </c>
      <c r="H7">
        <f>SUM(H5:H6)</f>
        <v>119.30000000000041</v>
      </c>
      <c r="I7">
        <f>IFERROR(H7/F7,0)</f>
        <v>3.0411950647496792E-2</v>
      </c>
      <c r="J7">
        <f>SUM(J5:J6)</f>
        <v>4131.6000000000004</v>
      </c>
      <c r="K7">
        <f>SUM(K5:K6)</f>
        <v>-89.5</v>
      </c>
    </row>
    <row r="8" spans="2:12" x14ac:dyDescent="0.25">
      <c r="C8" t="s">
        <v>32</v>
      </c>
      <c r="D8">
        <f>IF(D6=0,"n/a",D5/D6)</f>
        <v>0.9103739618837311</v>
      </c>
      <c r="E8">
        <f>IF(E6=0,"n/a",E5/E6)</f>
        <v>0.85713633666529743</v>
      </c>
      <c r="F8">
        <f>IF(F6=0,"n/a",F5/F6)</f>
        <v>0.85633162975582056</v>
      </c>
      <c r="G8">
        <f>IF(G6=0,"n/a",G5/G6)</f>
        <v>0.89298927551163765</v>
      </c>
    </row>
    <row r="9" spans="2:12" x14ac:dyDescent="0.25">
      <c r="C9" t="s">
        <v>33</v>
      </c>
      <c r="D9">
        <f>AVERAGE(D7:G7)</f>
        <v>4003.3</v>
      </c>
      <c r="E9">
        <f>MAX(D7:G7)</f>
        <v>4068.8</v>
      </c>
      <c r="F9">
        <f>MIN(D7:G7)</f>
        <v>3922.7999999999997</v>
      </c>
      <c r="G9">
        <f>COUNTIF(H5:H6,"&gt;0")</f>
        <v>2</v>
      </c>
    </row>
    <row r="10" spans="2:12" x14ac:dyDescent="0.25">
      <c r="C10" t="str">
        <f>"vs SLIDE_1"</f>
        <v>vs SLIDE_1</v>
      </c>
      <c r="D10">
        <f>G7-SLIDE_1!G7</f>
        <v>-73.299999999999272</v>
      </c>
      <c r="E10">
        <f>IFERROR(D10/SLIDE_1!G7,0)</f>
        <v>-1.7811148369538631E-2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2271.4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2113.1999999999998</v>
      </c>
      <c r="G12">
        <f ca="1">INDIRECT("D7")</f>
        <v>3979.5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1877.9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-2.1662310000968188E-2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27F0-9CD2-4E8E-AD73-C63D79480782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"&amp;TEXT(Control!$B$4-5,"00")</f>
        <v>Week 35</v>
      </c>
      <c r="E4" t="str">
        <f>"Week "&amp;TEXT(Control!$B$4-4,"00")</f>
        <v>Week 36</v>
      </c>
      <c r="F4" t="str">
        <f>"Week "&amp;TEXT(Control!$B$4-3,"00")</f>
        <v>Week 37</v>
      </c>
      <c r="G4" t="str">
        <f>"Week "&amp;TEXT(Control!$B$4-2,"00")</f>
        <v>Week 38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1873.2</v>
      </c>
      <c r="E5">
        <f>ROUND(SUMIFS(Data!$C:$C,Data!$A:$A,Control!$B$2,Data!$B:$B,Control!$B$4-4)*Control!$B$5,1)</f>
        <v>1896.4</v>
      </c>
      <c r="F5">
        <f>ROUND(SUMIFS(Data!$C:$C,Data!$A:$A,Control!$B$2,Data!$B:$B,Control!$B$4-3)*Control!$B$5,1)</f>
        <v>1877.9</v>
      </c>
      <c r="G5">
        <f>ROUND(SUMIFS(Data!$C:$C,Data!$A:$A,Control!$B$2,Data!$B:$B,Control!$B$4-2)*Control!$B$5,1)</f>
        <v>1809.6</v>
      </c>
      <c r="H5">
        <f>G5-F5</f>
        <v>-68.300000000000182</v>
      </c>
      <c r="I5">
        <f>IFERROR(H5/F5,0)</f>
        <v>-3.6370413760051214E-2</v>
      </c>
      <c r="J5">
        <f>ROUND(SUMIFS(Data!$E:$E,Data!$A:$A,Control!$B$2,Data!$B:$B,Control!$B$4-2)*Control!$B$5,1)</f>
        <v>1904.7</v>
      </c>
      <c r="K5">
        <f>IF(ABS(G5-J5)&lt;0.05,0,G5-J5)</f>
        <v>-95.100000000000136</v>
      </c>
    </row>
    <row r="6" spans="2:12" x14ac:dyDescent="0.25">
      <c r="C6" t="s">
        <v>3</v>
      </c>
      <c r="D6">
        <f>ROUND(SUMIFS(Data!$D:$D,Data!$A:$A,Control!$B$2,Data!$B:$B,Control!$B$4-5)*Control!$B$5,1)</f>
        <v>2185.6999999999998</v>
      </c>
      <c r="E6">
        <f>ROUND(SUMIFS(Data!$D:$D,Data!$A:$A,Control!$B$2,Data!$B:$B,Control!$B$4-4)*Control!$B$5,1)</f>
        <v>2083.1</v>
      </c>
      <c r="F6">
        <f>ROUND(SUMIFS(Data!$D:$D,Data!$A:$A,Control!$B$2,Data!$B:$B,Control!$B$4-3)*Control!$B$5,1)</f>
        <v>2190.9</v>
      </c>
      <c r="G6">
        <f>ROUND(SUMIFS(Data!$D:$D,Data!$A:$A,Control!$B$2,Data!$B:$B,Control!$B$4-2)*Control!$B$5,1)</f>
        <v>2113.1999999999998</v>
      </c>
      <c r="H6">
        <f>G6-F6</f>
        <v>-77.700000000000273</v>
      </c>
      <c r="I6">
        <f>IFERROR(H6/F6,0)</f>
        <v>-3.5464877447624388E-2</v>
      </c>
      <c r="J6">
        <f>ROUND(SUMIFS(Data!$F:$F,Data!$A:$A,Control!$B$2,Data!$B:$B,Control!$B$4-2)*Control!$B$5,1)</f>
        <v>2211.6999999999998</v>
      </c>
      <c r="K6">
        <f>IF(ABS(G6-J6)&lt;0.05,0,G6-J6)</f>
        <v>-98.5</v>
      </c>
    </row>
    <row r="7" spans="2:12" x14ac:dyDescent="0.25">
      <c r="C7" t="s">
        <v>31</v>
      </c>
      <c r="D7">
        <f>SUM(D5:D6)</f>
        <v>4058.8999999999996</v>
      </c>
      <c r="E7">
        <f>SUM(E5:E6)</f>
        <v>3979.5</v>
      </c>
      <c r="F7">
        <f>SUM(F5:F6)</f>
        <v>4068.8</v>
      </c>
      <c r="G7">
        <f>SUM(G5:G6)</f>
        <v>3922.7999999999997</v>
      </c>
      <c r="H7">
        <f>SUM(H5:H6)</f>
        <v>-146.00000000000045</v>
      </c>
      <c r="I7">
        <f>IFERROR(H7/F7,0)</f>
        <v>-3.5882815572158978E-2</v>
      </c>
      <c r="J7">
        <f>SUM(J5:J6)</f>
        <v>4116.3999999999996</v>
      </c>
      <c r="K7">
        <f>SUM(K5:K6)</f>
        <v>-193.60000000000014</v>
      </c>
    </row>
    <row r="8" spans="2:12" x14ac:dyDescent="0.25">
      <c r="C8" t="s">
        <v>32</v>
      </c>
      <c r="D8">
        <f>IF(D6=0,"n/a",D5/D6)</f>
        <v>0.85702520931509363</v>
      </c>
      <c r="E8">
        <f>IF(E6=0,"n/a",E5/E6)</f>
        <v>0.9103739618837311</v>
      </c>
      <c r="F8">
        <f>IF(F6=0,"n/a",F5/F6)</f>
        <v>0.85713633666529743</v>
      </c>
      <c r="G8">
        <f>IF(G6=0,"n/a",G5/G6)</f>
        <v>0.85633162975582056</v>
      </c>
    </row>
    <row r="9" spans="2:12" x14ac:dyDescent="0.25">
      <c r="C9" t="s">
        <v>33</v>
      </c>
      <c r="D9">
        <f>AVERAGE(D7:G7)</f>
        <v>4007.5</v>
      </c>
      <c r="E9">
        <f>MAX(D7:G7)</f>
        <v>4068.8</v>
      </c>
      <c r="F9">
        <f>MIN(D7:G7)</f>
        <v>3922.7999999999997</v>
      </c>
      <c r="G9">
        <f>COUNTIF(H5:H6,"&gt;0")</f>
        <v>0</v>
      </c>
    </row>
    <row r="10" spans="2:12" x14ac:dyDescent="0.25">
      <c r="C10" t="str">
        <f>"vs SLIDE_2"</f>
        <v>vs SLIDE_2</v>
      </c>
      <c r="D10">
        <f>G7-SLIDE_2!G7</f>
        <v>-119.30000000000064</v>
      </c>
      <c r="E10">
        <f>IFERROR(D10/SLIDE_2!G7,0)</f>
        <v>-2.9514361346824825E-2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2190.9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2190.9</v>
      </c>
      <c r="G12">
        <f ca="1">INDIRECT("D7")</f>
        <v>4058.8999999999996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1873.2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-4.7031386648527795E-2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FD9A-107D-4280-8224-B1579F06F8F6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"&amp;TEXT(Control!$B$4-6,"00")</f>
        <v>Week 34</v>
      </c>
      <c r="E4" t="str">
        <f>"Week "&amp;TEXT(Control!$B$4-5,"00")</f>
        <v>Week 35</v>
      </c>
      <c r="F4" t="str">
        <f>"Week "&amp;TEXT(Control!$B$4-4,"00")</f>
        <v>Week 36</v>
      </c>
      <c r="G4" t="str">
        <f>"Week "&amp;TEXT(Control!$B$4-3,"00")</f>
        <v>Week 37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ROUND(SUMIFS(Data!$C:$C,Data!$A:$A,Control!$B$2,Data!$B:$B,Control!$B$4-6)*Control!$B$5,1)</f>
        <v>1859.9</v>
      </c>
      <c r="E5">
        <f>ROUND(SUMIFS(Data!$C:$C,Data!$A:$A,Control!$B$2,Data!$B:$B,Control!$B$4-5)*Control!$B$5,1)</f>
        <v>1873.2</v>
      </c>
      <c r="F5">
        <f>ROUND(SUMIFS(Data!$C:$C,Data!$A:$A,Control!$B$2,Data!$B:$B,Control!$B$4-4)*Control!$B$5,1)</f>
        <v>1896.4</v>
      </c>
      <c r="G5">
        <f>ROUND(SUMIFS(Data!$C:$C,Data!$A:$A,Control!$B$2,Data!$B:$B,Control!$B$4-3)*Control!$B$5,1)</f>
        <v>1877.9</v>
      </c>
      <c r="H5">
        <f>G5-F5</f>
        <v>-18.5</v>
      </c>
      <c r="I5">
        <f>IFERROR(H5/F5,0)</f>
        <v>-9.7553258806159036E-3</v>
      </c>
      <c r="J5">
        <f>ROUND(SUMIFS(Data!$E:$E,Data!$A:$A,Control!$B$2,Data!$B:$B,Control!$B$4-3)*Control!$B$5,1)</f>
        <v>1898.2</v>
      </c>
      <c r="K5">
        <f>IF(ABS(G5-J5)&lt;0.05,0,G5-J5)</f>
        <v>-20.299999999999955</v>
      </c>
    </row>
    <row r="6" spans="2:12" x14ac:dyDescent="0.25">
      <c r="C6" t="s">
        <v>3</v>
      </c>
      <c r="D6">
        <f>ROUND(SUMIFS(Data!$D:$D,Data!$A:$A,Control!$B$2,Data!$B:$B,Control!$B$4-6)*Control!$B$5,1)</f>
        <v>2174.4</v>
      </c>
      <c r="E6">
        <f>ROUND(SUMIFS(Data!$D:$D,Data!$A:$A,Control!$B$2,Data!$B:$B,Control!$B$4-5)*Control!$B$5,1)</f>
        <v>2185.6999999999998</v>
      </c>
      <c r="F6">
        <f>ROUND(SUMIFS(Data!$D:$D,Data!$A:$A,Control!$B$2,Data!$B:$B,Control!$B$4-4)*Control!$B$5,1)</f>
        <v>2083.1</v>
      </c>
      <c r="G6">
        <f>ROUND(SUMIFS(Data!$D:$D,Data!$A:$A,Control!$B$2,Data!$B:$B,Control!$B$4-3)*Control!$B$5,1)</f>
        <v>2190.9</v>
      </c>
      <c r="H6">
        <f>G6-F6</f>
        <v>107.80000000000018</v>
      </c>
      <c r="I6">
        <f>IFERROR(H6/F6,0)</f>
        <v>5.1749795977149529E-2</v>
      </c>
      <c r="J6">
        <f>ROUND(SUMIFS(Data!$F:$F,Data!$A:$A,Control!$B$2,Data!$B:$B,Control!$B$4-3)*Control!$B$5,1)</f>
        <v>2205.1999999999998</v>
      </c>
      <c r="K6">
        <f>IF(ABS(G6-J6)&lt;0.05,0,G6-J6)</f>
        <v>-14.299999999999727</v>
      </c>
    </row>
    <row r="7" spans="2:12" x14ac:dyDescent="0.25">
      <c r="C7" t="s">
        <v>31</v>
      </c>
      <c r="D7">
        <f>SUM(D5:D6)</f>
        <v>4034.3</v>
      </c>
      <c r="E7">
        <f>SUM(E5:E6)</f>
        <v>4058.8999999999996</v>
      </c>
      <c r="F7">
        <f>SUM(F5:F6)</f>
        <v>3979.5</v>
      </c>
      <c r="G7">
        <f>SUM(G5:G6)</f>
        <v>4068.8</v>
      </c>
      <c r="H7">
        <f>SUM(H5:H6)</f>
        <v>89.300000000000182</v>
      </c>
      <c r="I7">
        <f>IFERROR(H7/F7,0)</f>
        <v>2.2440005025757052E-2</v>
      </c>
      <c r="J7">
        <f>SUM(J5:J6)</f>
        <v>4103.3999999999996</v>
      </c>
      <c r="K7">
        <f>SUM(K5:K6)</f>
        <v>-34.599999999999682</v>
      </c>
    </row>
    <row r="8" spans="2:12" x14ac:dyDescent="0.25">
      <c r="C8" t="s">
        <v>32</v>
      </c>
      <c r="D8">
        <f>IF(D6=0,"n/a",D5/D6)</f>
        <v>0.85536239882266374</v>
      </c>
      <c r="E8">
        <f>IF(E6=0,"n/a",E5/E6)</f>
        <v>0.85702520931509363</v>
      </c>
      <c r="F8">
        <f>IF(F6=0,"n/a",F5/F6)</f>
        <v>0.9103739618837311</v>
      </c>
      <c r="G8">
        <f>IF(G6=0,"n/a",G5/G6)</f>
        <v>0.85713633666529743</v>
      </c>
    </row>
    <row r="9" spans="2:12" x14ac:dyDescent="0.25">
      <c r="C9" t="s">
        <v>33</v>
      </c>
      <c r="D9">
        <f>AVERAGE(D7:G7)</f>
        <v>4035.375</v>
      </c>
      <c r="E9">
        <f>MAX(D7:G7)</f>
        <v>4068.8</v>
      </c>
      <c r="F9">
        <f>MIN(D7:G7)</f>
        <v>3979.5</v>
      </c>
      <c r="G9">
        <f>COUNTIF(H5:H6,"&gt;0")</f>
        <v>1</v>
      </c>
    </row>
    <row r="10" spans="2:12" x14ac:dyDescent="0.25">
      <c r="C10" t="str">
        <f>"vs SLIDE_3"</f>
        <v>vs SLIDE_3</v>
      </c>
      <c r="D10">
        <f>G7-SLIDE_3!G7</f>
        <v>146.00000000000045</v>
      </c>
      <c r="E10">
        <f>IFERROR(D10/SLIDE_3!G7,0)</f>
        <v>3.7218313449576948E-2</v>
      </c>
      <c r="F10" t="str">
        <f>IF(AND(D10&gt;0,SLIDE_3!H7&gt;0),"up",IF(OR(D10&lt;0,SLIDE_3!H7&lt;0),"down","flat"))</f>
        <v>down</v>
      </c>
      <c r="G10">
        <f>INDEX(SLIDE_3!D5:G6,2,MATCH(MAX(SLIDE_3!D6:G6),SLIDE_3!D6:G6,0))</f>
        <v>2190.9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2083.1</v>
      </c>
      <c r="G12">
        <f ca="1">INDIRECT("D7")</f>
        <v>4034.3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1873.2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-8.4320319734852989E-3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2A4F-CF94-4279-8EEB-18AB476F3050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"&amp;TEXT(Control!$B$4-7,"00")</f>
        <v>Week 33</v>
      </c>
      <c r="E4" t="str">
        <f>"Week "&amp;TEXT(Control!$B$4-6,"00")</f>
        <v>Week 34</v>
      </c>
      <c r="F4" t="str">
        <f>"Week "&amp;TEXT(Control!$B$4-5,"00")</f>
        <v>Week 35</v>
      </c>
      <c r="G4" t="str">
        <f>"Week "&amp;TEXT(Control!$B$4-4,"00")</f>
        <v>Week 36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ROUND(SUMIFS(Data!$C:$C,Data!$A:$A,Control!$B$2,Data!$B:$B,Control!$B$4-7)*Control!$B$5,1)</f>
        <v>1823.3</v>
      </c>
      <c r="E5">
        <f>ROUND(SUMIFS(Data!$C:$C,Data!$A:$A,Control!$B$2,Data!$B:$B,Control!$B$4-6)*Control!$B$5,1)</f>
        <v>1859.9</v>
      </c>
      <c r="F5">
        <f>ROUND(SUMIFS(Data!$C:$C,Data!$A:$A,Control!$B$2,Data!$B:$B,Control!$B$4-5)*Control!$B$5,1)</f>
        <v>1873.2</v>
      </c>
      <c r="G5">
        <f>ROUND(SUMIFS(Data!$C:$C,Data!$A:$A,Control!$B$2,Data!$B:$B,Control!$B$4-4)*Control!$B$5,1)</f>
        <v>1896.4</v>
      </c>
      <c r="H5">
        <f>G5-F5</f>
        <v>23.200000000000045</v>
      </c>
      <c r="I5">
        <f>IFERROR(H5/F5,0)</f>
        <v>1.2385223147555011E-2</v>
      </c>
      <c r="J5">
        <f>ROUND(SUMIFS(Data!$E:$E,Data!$A:$A,Control!$B$2,Data!$B:$B,Control!$B$4-4)*Control!$B$5,1)</f>
        <v>1890.6</v>
      </c>
      <c r="K5">
        <f>IF(ABS(G5-J5)&lt;0.05,0,G5-J5)</f>
        <v>5.8000000000001819</v>
      </c>
    </row>
    <row r="6" spans="2:12" x14ac:dyDescent="0.25">
      <c r="C6" t="s">
        <v>3</v>
      </c>
      <c r="D6">
        <f>ROUND(SUMIFS(Data!$D:$D,Data!$A:$A,Control!$B$2,Data!$B:$B,Control!$B$4-7)*Control!$B$5,1)</f>
        <v>2147.9</v>
      </c>
      <c r="E6">
        <f>ROUND(SUMIFS(Data!$D:$D,Data!$A:$A,Control!$B$2,Data!$B:$B,Control!$B$4-6)*Control!$B$5,1)</f>
        <v>2174.4</v>
      </c>
      <c r="F6">
        <f>ROUND(SUMIFS(Data!$D:$D,Data!$A:$A,Control!$B$2,Data!$B:$B,Control!$B$4-5)*Control!$B$5,1)</f>
        <v>2185.6999999999998</v>
      </c>
      <c r="G6">
        <f>ROUND(SUMIFS(Data!$D:$D,Data!$A:$A,Control!$B$2,Data!$B:$B,Control!$B$4-4)*Control!$B$5,1)</f>
        <v>2083.1</v>
      </c>
      <c r="H6">
        <f>G6-F6</f>
        <v>-102.59999999999991</v>
      </c>
      <c r="I6">
        <f>IFERROR(H6/F6,0)</f>
        <v>-4.6941483277668443E-2</v>
      </c>
      <c r="J6">
        <f>ROUND(SUMIFS(Data!$F:$F,Data!$A:$A,Control!$B$2,Data!$B:$B,Control!$B$4-4)*Control!$B$5,1)</f>
        <v>2198.6999999999998</v>
      </c>
      <c r="K6">
        <f>IF(ABS(G6-J6)&lt;0.05,0,G6-J6)</f>
        <v>-115.59999999999991</v>
      </c>
    </row>
    <row r="7" spans="2:12" x14ac:dyDescent="0.25">
      <c r="C7" t="s">
        <v>31</v>
      </c>
      <c r="D7">
        <f>SUM(D5:D6)</f>
        <v>3971.2</v>
      </c>
      <c r="E7">
        <f>SUM(E5:E6)</f>
        <v>4034.3</v>
      </c>
      <c r="F7">
        <f>SUM(F5:F6)</f>
        <v>4058.8999999999996</v>
      </c>
      <c r="G7">
        <f>SUM(G5:G6)</f>
        <v>3979.5</v>
      </c>
      <c r="H7">
        <f>SUM(H5:H6)</f>
        <v>-79.399999999999864</v>
      </c>
      <c r="I7">
        <f>IFERROR(H7/F7,0)</f>
        <v>-1.9561950282096102E-2</v>
      </c>
      <c r="J7">
        <f>SUM(J5:J6)</f>
        <v>4089.2999999999997</v>
      </c>
      <c r="K7">
        <f>SUM(K5:K6)</f>
        <v>-109.79999999999973</v>
      </c>
    </row>
    <row r="8" spans="2:12" x14ac:dyDescent="0.25">
      <c r="C8" t="s">
        <v>32</v>
      </c>
      <c r="D8">
        <f>IF(D6=0,"n/a",D5/D6)</f>
        <v>0.84887564597979415</v>
      </c>
      <c r="E8">
        <f>IF(E6=0,"n/a",E5/E6)</f>
        <v>0.85536239882266374</v>
      </c>
      <c r="F8">
        <f>IF(F6=0,"n/a",F5/F6)</f>
        <v>0.85702520931509363</v>
      </c>
      <c r="G8">
        <f>IF(G6=0,"n/a",G5/G6)</f>
        <v>0.9103739618837311</v>
      </c>
    </row>
    <row r="9" spans="2:12" x14ac:dyDescent="0.25">
      <c r="C9" t="s">
        <v>33</v>
      </c>
      <c r="D9">
        <f>AVERAGE(D7:G7)</f>
        <v>4010.9749999999999</v>
      </c>
      <c r="E9">
        <f>MAX(D7:G7)</f>
        <v>4058.8999999999996</v>
      </c>
      <c r="F9">
        <f>MIN(D7:G7)</f>
        <v>3971.2</v>
      </c>
      <c r="G9">
        <f>COUNTIF(H5:H6,"&gt;0")</f>
        <v>1</v>
      </c>
    </row>
    <row r="10" spans="2:12" x14ac:dyDescent="0.25">
      <c r="C10" t="str">
        <f>"vs SLIDE_4"</f>
        <v>vs SLIDE_4</v>
      </c>
      <c r="D10">
        <f>G7-SLIDE_4!G7</f>
        <v>-89.300000000000182</v>
      </c>
      <c r="E10">
        <f>IFERROR(D10/SLIDE_4!G7,0)</f>
        <v>-2.1947502949272557E-2</v>
      </c>
      <c r="F10" t="str">
        <f>IF(AND(D10&gt;0,SLIDE_4!H7&gt;0),"up",IF(OR(D10&lt;0,SLIDE_4!H7&lt;0),"down","flat"))</f>
        <v>down</v>
      </c>
      <c r="G10">
        <f>INDEX(SLIDE_4!D5:G6,2,MATCH(MAX(SLIDE_4!D6:G6),SLIDE_4!D6:G6,0))</f>
        <v>2190.9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2185.6999999999998</v>
      </c>
      <c r="G12">
        <f ca="1">INDIRECT("D7")</f>
        <v>3971.2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1859.9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-2.6850561220746805E-2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B1D6-43FC-43AF-8778-C8400725C01C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"&amp;TEXT(Control!$B$4-8,"00")</f>
        <v>Week 32</v>
      </c>
      <c r="E4" t="str">
        <f>"Week "&amp;TEXT(Control!$B$4-7,"00")</f>
        <v>Week 33</v>
      </c>
      <c r="F4" t="str">
        <f>"Week "&amp;TEXT(Control!$B$4-6,"00")</f>
        <v>Week 34</v>
      </c>
      <c r="G4" t="str">
        <f>"Week "&amp;TEXT(Control!$B$4-5,"00")</f>
        <v>Week 35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ROUND(SUMIFS(Data!$C:$C,Data!$A:$A,Control!$B$2,Data!$B:$B,Control!$B$4-8)*Control!$B$5,1)</f>
        <v>1807.6</v>
      </c>
      <c r="E5">
        <f>ROUND(SUMIFS(Data!$C:$C,Data!$A:$A,Control!$B$2,Data!$B:$B,Control!$B$4-7)*Control!$B$5,1)</f>
        <v>1823.3</v>
      </c>
      <c r="F5">
        <f>ROUND(SUMIFS(Data!$C:$C,Data!$A:$A,Control!$B$2,Data!$B:$B,Control!$B$4-6)*Control!$B$5,1)</f>
        <v>1859.9</v>
      </c>
      <c r="G5">
        <f>ROUND(SUMIFS(Data!$C:$C,Data!$A:$A,Control!$B$2,Data!$B:$B,Control!$B$4-5)*Control!$B$5,1)</f>
        <v>1873.2</v>
      </c>
      <c r="H5">
        <f>G5-F5</f>
        <v>13.299999999999955</v>
      </c>
      <c r="I5">
        <f>IFERROR(H5/F5,0)</f>
        <v>7.1509220925855977E-3</v>
      </c>
      <c r="J5">
        <f>ROUND(SUMIFS(Data!$E:$E,Data!$A:$A,Control!$B$2,Data!$B:$B,Control!$B$4-5)*Control!$B$5,1)</f>
        <v>1883</v>
      </c>
      <c r="K5">
        <f>IF(ABS(G5-J5)&lt;0.05,0,G5-J5)</f>
        <v>-9.7999999999999545</v>
      </c>
    </row>
    <row r="6" spans="2:12" x14ac:dyDescent="0.25">
      <c r="C6" t="s">
        <v>3</v>
      </c>
      <c r="D6">
        <f>ROUND(SUMIFS(Data!$D:$D,Data!$A:$A,Control!$B$2,Data!$B:$B,Control!$B$4-8)*Control!$B$5,1)</f>
        <v>2149.6999999999998</v>
      </c>
      <c r="E6">
        <f>ROUND(SUMIFS(Data!$D:$D,Data!$A:$A,Control!$B$2,Data!$B:$B,Control!$B$4-7)*Control!$B$5,1)</f>
        <v>2147.9</v>
      </c>
      <c r="F6">
        <f>ROUND(SUMIFS(Data!$D:$D,Data!$A:$A,Control!$B$2,Data!$B:$B,Control!$B$4-6)*Control!$B$5,1)</f>
        <v>2174.4</v>
      </c>
      <c r="G6">
        <f>ROUND(SUMIFS(Data!$D:$D,Data!$A:$A,Control!$B$2,Data!$B:$B,Control!$B$4-5)*Control!$B$5,1)</f>
        <v>2185.6999999999998</v>
      </c>
      <c r="H6">
        <f>G6-F6</f>
        <v>11.299999999999727</v>
      </c>
      <c r="I6">
        <f>IFERROR(H6/F6,0)</f>
        <v>5.1968359087563127E-3</v>
      </c>
      <c r="J6">
        <f>ROUND(SUMIFS(Data!$F:$F,Data!$A:$A,Control!$B$2,Data!$B:$B,Control!$B$4-5)*Control!$B$5,1)</f>
        <v>2191.1</v>
      </c>
      <c r="K6">
        <f>IF(ABS(G6-J6)&lt;0.05,0,G6-J6)</f>
        <v>-5.4000000000000909</v>
      </c>
    </row>
    <row r="7" spans="2:12" x14ac:dyDescent="0.25">
      <c r="C7" t="s">
        <v>31</v>
      </c>
      <c r="D7">
        <f>SUM(D5:D6)</f>
        <v>3957.2999999999997</v>
      </c>
      <c r="E7">
        <f>SUM(E5:E6)</f>
        <v>3971.2</v>
      </c>
      <c r="F7">
        <f>SUM(F5:F6)</f>
        <v>4034.3</v>
      </c>
      <c r="G7">
        <f>SUM(G5:G6)</f>
        <v>4058.8999999999996</v>
      </c>
      <c r="H7">
        <f>SUM(H5:H6)</f>
        <v>24.599999999999682</v>
      </c>
      <c r="I7">
        <f>IFERROR(H7/F7,0)</f>
        <v>6.0977121185830704E-3</v>
      </c>
      <c r="J7">
        <f>SUM(J5:J6)</f>
        <v>4074.1</v>
      </c>
      <c r="K7">
        <f>SUM(K5:K6)</f>
        <v>-15.200000000000045</v>
      </c>
    </row>
    <row r="8" spans="2:12" x14ac:dyDescent="0.25">
      <c r="C8" t="s">
        <v>32</v>
      </c>
      <c r="D8">
        <f>IF(D6=0,"n/a",D5/D6)</f>
        <v>0.84086151556031075</v>
      </c>
      <c r="E8">
        <f>IF(E6=0,"n/a",E5/E6)</f>
        <v>0.84887564597979415</v>
      </c>
      <c r="F8">
        <f>IF(F6=0,"n/a",F5/F6)</f>
        <v>0.85536239882266374</v>
      </c>
      <c r="G8">
        <f>IF(G6=0,"n/a",G5/G6)</f>
        <v>0.85702520931509363</v>
      </c>
    </row>
    <row r="9" spans="2:12" x14ac:dyDescent="0.25">
      <c r="C9" t="s">
        <v>33</v>
      </c>
      <c r="D9">
        <f>AVERAGE(D7:G7)</f>
        <v>4005.4249999999997</v>
      </c>
      <c r="E9">
        <f>MAX(D7:G7)</f>
        <v>4058.8999999999996</v>
      </c>
      <c r="F9">
        <f>MIN(D7:G7)</f>
        <v>3957.2999999999997</v>
      </c>
      <c r="G9">
        <f>COUNTIF(H5:H6,"&gt;0")</f>
        <v>2</v>
      </c>
    </row>
    <row r="10" spans="2:12" x14ac:dyDescent="0.25">
      <c r="C10" t="str">
        <f>"vs SLIDE_5"</f>
        <v>vs SLIDE_5</v>
      </c>
      <c r="D10">
        <f>G7-SLIDE_5!G7</f>
        <v>79.399999999999636</v>
      </c>
      <c r="E10">
        <f>IFERROR(D10/SLIDE_5!G7,0)</f>
        <v>1.9952255308455746E-2</v>
      </c>
      <c r="F10" t="str">
        <f>IF(AND(D10&gt;0,SLIDE_5!H7&gt;0),"up",IF(OR(D10&lt;0,SLIDE_5!H7&lt;0),"down","flat"))</f>
        <v>down</v>
      </c>
      <c r="G10">
        <f>INDEX(SLIDE_5!D5:G6,2,MATCH(MAX(SLIDE_5!D6:G6),SLIDE_5!D6:G6,0))</f>
        <v>2185.6999999999998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2174.4</v>
      </c>
      <c r="G12">
        <f ca="1">INDIRECT("D7")</f>
        <v>3957.2999999999997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1823.3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-3.7308853489115279E-3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7C36-41A7-41B3-B33D-AEB1F291777F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"&amp;TEXT(Control!$B$4-9,"00")</f>
        <v>Week 31</v>
      </c>
      <c r="E4" t="str">
        <f>"Week "&amp;TEXT(Control!$B$4-8,"00")</f>
        <v>Week 32</v>
      </c>
      <c r="F4" t="str">
        <f>"Week "&amp;TEXT(Control!$B$4-7,"00")</f>
        <v>Week 33</v>
      </c>
      <c r="G4" t="str">
        <f>"Week "&amp;TEXT(Control!$B$4-6,"00")</f>
        <v>Week 34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ROUND(SUMIFS(Data!$C:$C,Data!$A:$A,Control!$B$2,Data!$B:$B,Control!$B$4-9)*Control!$B$5,1)</f>
        <v>1857.7</v>
      </c>
      <c r="E5">
        <f>ROUND(SUMIFS(Data!$C:$C,Data!$A:$A,Control!$B$2,Data!$B:$B,Control!$B$4-8)*Control!$B$5,1)</f>
        <v>1807.6</v>
      </c>
      <c r="F5">
        <f>ROUND(SUMIFS(Data!$C:$C,Data!$A:$A,Control!$B$2,Data!$B:$B,Control!$B$4-7)*Control!$B$5,1)</f>
        <v>1823.3</v>
      </c>
      <c r="G5">
        <f>ROUND(SUMIFS(Data!$C:$C,Data!$A:$A,Control!$B$2,Data!$B:$B,Control!$B$4-6)*Control!$B$5,1)</f>
        <v>1859.9</v>
      </c>
      <c r="H5">
        <f>G5-F5</f>
        <v>36.600000000000136</v>
      </c>
      <c r="I5">
        <f>IFERROR(H5/F5,0)</f>
        <v>2.0073493116876069E-2</v>
      </c>
      <c r="J5">
        <f>ROUND(SUMIFS(Data!$E:$E,Data!$A:$A,Control!$B$2,Data!$B:$B,Control!$B$4-6)*Control!$B$5,1)</f>
        <v>1876.5</v>
      </c>
      <c r="K5">
        <f>IF(ABS(G5-J5)&lt;0.05,0,G5-J5)</f>
        <v>-16.599999999999909</v>
      </c>
    </row>
    <row r="6" spans="2:12" x14ac:dyDescent="0.25">
      <c r="C6" t="s">
        <v>3</v>
      </c>
      <c r="D6">
        <f>ROUND(SUMIFS(Data!$D:$D,Data!$A:$A,Control!$B$2,Data!$B:$B,Control!$B$4-9)*Control!$B$5,1)</f>
        <v>2086.3000000000002</v>
      </c>
      <c r="E6">
        <f>ROUND(SUMIFS(Data!$D:$D,Data!$A:$A,Control!$B$2,Data!$B:$B,Control!$B$4-8)*Control!$B$5,1)</f>
        <v>2149.6999999999998</v>
      </c>
      <c r="F6">
        <f>ROUND(SUMIFS(Data!$D:$D,Data!$A:$A,Control!$B$2,Data!$B:$B,Control!$B$4-7)*Control!$B$5,1)</f>
        <v>2147.9</v>
      </c>
      <c r="G6">
        <f>ROUND(SUMIFS(Data!$D:$D,Data!$A:$A,Control!$B$2,Data!$B:$B,Control!$B$4-6)*Control!$B$5,1)</f>
        <v>2174.4</v>
      </c>
      <c r="H6">
        <f>G6-F6</f>
        <v>26.5</v>
      </c>
      <c r="I6">
        <f>IFERROR(H6/F6,0)</f>
        <v>1.2337632105777737E-2</v>
      </c>
      <c r="J6">
        <f>ROUND(SUMIFS(Data!$F:$F,Data!$A:$A,Control!$B$2,Data!$B:$B,Control!$B$4-6)*Control!$B$5,1)</f>
        <v>2184.6</v>
      </c>
      <c r="K6">
        <f>IF(ABS(G6-J6)&lt;0.05,0,G6-J6)</f>
        <v>-10.199999999999818</v>
      </c>
    </row>
    <row r="7" spans="2:12" x14ac:dyDescent="0.25">
      <c r="C7" t="s">
        <v>31</v>
      </c>
      <c r="D7">
        <f>SUM(D5:D6)</f>
        <v>3944</v>
      </c>
      <c r="E7">
        <f>SUM(E5:E6)</f>
        <v>3957.2999999999997</v>
      </c>
      <c r="F7">
        <f>SUM(F5:F6)</f>
        <v>3971.2</v>
      </c>
      <c r="G7">
        <f>SUM(G5:G6)</f>
        <v>4034.3</v>
      </c>
      <c r="H7">
        <f>SUM(H5:H6)</f>
        <v>63.100000000000136</v>
      </c>
      <c r="I7">
        <f>IFERROR(H7/F7,0)</f>
        <v>1.588940370668819E-2</v>
      </c>
      <c r="J7">
        <f>SUM(J5:J6)</f>
        <v>4061.1</v>
      </c>
      <c r="K7">
        <f>SUM(K5:K6)</f>
        <v>-26.799999999999727</v>
      </c>
    </row>
    <row r="8" spans="2:12" x14ac:dyDescent="0.25">
      <c r="C8" t="s">
        <v>32</v>
      </c>
      <c r="D8">
        <f>IF(D6=0,"n/a",D5/D6)</f>
        <v>0.89042803048458985</v>
      </c>
      <c r="E8">
        <f>IF(E6=0,"n/a",E5/E6)</f>
        <v>0.84086151556031075</v>
      </c>
      <c r="F8">
        <f>IF(F6=0,"n/a",F5/F6)</f>
        <v>0.84887564597979415</v>
      </c>
      <c r="G8">
        <f>IF(G6=0,"n/a",G5/G6)</f>
        <v>0.85536239882266374</v>
      </c>
    </row>
    <row r="9" spans="2:12" x14ac:dyDescent="0.25">
      <c r="C9" t="s">
        <v>33</v>
      </c>
      <c r="D9">
        <f>AVERAGE(D7:G7)</f>
        <v>3976.7</v>
      </c>
      <c r="E9">
        <f>MAX(D7:G7)</f>
        <v>4034.3</v>
      </c>
      <c r="F9">
        <f>MIN(D7:G7)</f>
        <v>3944</v>
      </c>
      <c r="G9">
        <f>COUNTIF(H5:H6,"&gt;0")</f>
        <v>2</v>
      </c>
    </row>
    <row r="10" spans="2:12" x14ac:dyDescent="0.25">
      <c r="C10" t="str">
        <f>"vs SLIDE_6"</f>
        <v>vs SLIDE_6</v>
      </c>
      <c r="D10">
        <f>G7-SLIDE_6!G7</f>
        <v>-24.599999999999454</v>
      </c>
      <c r="E10">
        <f>IFERROR(D10/SLIDE_6!G7,0)</f>
        <v>-6.0607553770724723E-3</v>
      </c>
      <c r="F10" t="str">
        <f>IF(AND(D10&gt;0,SLIDE_6!H7&gt;0),"up",IF(OR(D10&lt;0,SLIDE_6!H7&lt;0),"down","flat"))</f>
        <v>down</v>
      </c>
      <c r="G10">
        <f>INDEX(SLIDE_6!D5:G6,2,MATCH(MAX(SLIDE_6!D6:G6),SLIDE_6!D6:G6,0))</f>
        <v>2185.6999999999998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2147.9</v>
      </c>
      <c r="G12">
        <f ca="1">INDIRECT("D7")</f>
        <v>3944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1823.3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-6.5991972618255623E-3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1EC2-83F7-4FD4-A192-B410A0E532D4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"&amp;TEXT(Control!$B$4-10,"00")</f>
        <v>Week 30</v>
      </c>
      <c r="E4" t="str">
        <f>"Week "&amp;TEXT(Control!$B$4-9,"00")</f>
        <v>Week 31</v>
      </c>
      <c r="F4" t="str">
        <f>"Week "&amp;TEXT(Control!$B$4-8,"00")</f>
        <v>Week 32</v>
      </c>
      <c r="G4" t="str">
        <f>"Week "&amp;TEXT(Control!$B$4-7,"00")</f>
        <v>Week 33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ROUND(SUMIFS(Data!$C:$C,Data!$A:$A,Control!$B$2,Data!$B:$B,Control!$B$4-10)*Control!$B$5,1)</f>
        <v>1808.8</v>
      </c>
      <c r="E5">
        <f>ROUND(SUMIFS(Data!$C:$C,Data!$A:$A,Control!$B$2,Data!$B:$B,Control!$B$4-9)*Control!$B$5,1)</f>
        <v>1857.7</v>
      </c>
      <c r="F5">
        <f>ROUND(SUMIFS(Data!$C:$C,Data!$A:$A,Control!$B$2,Data!$B:$B,Control!$B$4-8)*Control!$B$5,1)</f>
        <v>1807.6</v>
      </c>
      <c r="G5">
        <f>ROUND(SUMIFS(Data!$C:$C,Data!$A:$A,Control!$B$2,Data!$B:$B,Control!$B$4-7)*Control!$B$5,1)</f>
        <v>1823.3</v>
      </c>
      <c r="H5">
        <f>G5-F5</f>
        <v>15.700000000000045</v>
      </c>
      <c r="I5">
        <f>IFERROR(H5/F5,0)</f>
        <v>8.6855499004204733E-3</v>
      </c>
      <c r="J5">
        <f>ROUND(SUMIFS(Data!$E:$E,Data!$A:$A,Control!$B$2,Data!$B:$B,Control!$B$4-7)*Control!$B$5,1)</f>
        <v>1868.9</v>
      </c>
      <c r="K5">
        <f>IF(ABS(G5-J5)&lt;0.05,0,G5-J5)</f>
        <v>-45.600000000000136</v>
      </c>
    </row>
    <row r="6" spans="2:12" x14ac:dyDescent="0.25">
      <c r="C6" t="s">
        <v>3</v>
      </c>
      <c r="D6">
        <f>ROUND(SUMIFS(Data!$D:$D,Data!$A:$A,Control!$B$2,Data!$B:$B,Control!$B$4-10)*Control!$B$5,1)</f>
        <v>2094.6</v>
      </c>
      <c r="E6">
        <f>ROUND(SUMIFS(Data!$D:$D,Data!$A:$A,Control!$B$2,Data!$B:$B,Control!$B$4-9)*Control!$B$5,1)</f>
        <v>2086.3000000000002</v>
      </c>
      <c r="F6">
        <f>ROUND(SUMIFS(Data!$D:$D,Data!$A:$A,Control!$B$2,Data!$B:$B,Control!$B$4-8)*Control!$B$5,1)</f>
        <v>2149.6999999999998</v>
      </c>
      <c r="G6">
        <f>ROUND(SUMIFS(Data!$D:$D,Data!$A:$A,Control!$B$2,Data!$B:$B,Control!$B$4-7)*Control!$B$5,1)</f>
        <v>2147.9</v>
      </c>
      <c r="H6">
        <f>G6-F6</f>
        <v>-1.7999999999997272</v>
      </c>
      <c r="I6">
        <f>IFERROR(H6/F6,0)</f>
        <v>-8.373261385308309E-4</v>
      </c>
      <c r="J6">
        <f>ROUND(SUMIFS(Data!$F:$F,Data!$A:$A,Control!$B$2,Data!$B:$B,Control!$B$4-7)*Control!$B$5,1)</f>
        <v>2178.1</v>
      </c>
      <c r="K6">
        <f>IF(ABS(G6-J6)&lt;0.05,0,G6-J6)</f>
        <v>-30.199999999999818</v>
      </c>
    </row>
    <row r="7" spans="2:12" x14ac:dyDescent="0.25">
      <c r="C7" t="s">
        <v>31</v>
      </c>
      <c r="D7">
        <f>SUM(D5:D6)</f>
        <v>3903.3999999999996</v>
      </c>
      <c r="E7">
        <f>SUM(E5:E6)</f>
        <v>3944</v>
      </c>
      <c r="F7">
        <f>SUM(F5:F6)</f>
        <v>3957.2999999999997</v>
      </c>
      <c r="G7">
        <f>SUM(G5:G6)</f>
        <v>3971.2</v>
      </c>
      <c r="H7">
        <f>SUM(H5:H6)</f>
        <v>13.900000000000318</v>
      </c>
      <c r="I7">
        <f>IFERROR(H7/F7,0)</f>
        <v>3.5124958936649533E-3</v>
      </c>
      <c r="J7">
        <f>SUM(J5:J6)</f>
        <v>4047</v>
      </c>
      <c r="K7">
        <f>SUM(K5:K6)</f>
        <v>-75.799999999999955</v>
      </c>
    </row>
    <row r="8" spans="2:12" x14ac:dyDescent="0.25">
      <c r="C8" t="s">
        <v>32</v>
      </c>
      <c r="D8">
        <f>IF(D6=0,"n/a",D5/D6)</f>
        <v>0.86355390050606318</v>
      </c>
      <c r="E8">
        <f>IF(E6=0,"n/a",E5/E6)</f>
        <v>0.89042803048458985</v>
      </c>
      <c r="F8">
        <f>IF(F6=0,"n/a",F5/F6)</f>
        <v>0.84086151556031075</v>
      </c>
      <c r="G8">
        <f>IF(G6=0,"n/a",G5/G6)</f>
        <v>0.84887564597979415</v>
      </c>
    </row>
    <row r="9" spans="2:12" x14ac:dyDescent="0.25">
      <c r="C9" t="s">
        <v>33</v>
      </c>
      <c r="D9">
        <f>AVERAGE(D7:G7)</f>
        <v>3943.9749999999995</v>
      </c>
      <c r="E9">
        <f>MAX(D7:G7)</f>
        <v>3971.2</v>
      </c>
      <c r="F9">
        <f>MIN(D7:G7)</f>
        <v>3903.3999999999996</v>
      </c>
      <c r="G9">
        <f>COUNTIF(H5:H6,"&gt;0")</f>
        <v>1</v>
      </c>
    </row>
    <row r="10" spans="2:12" x14ac:dyDescent="0.25">
      <c r="C10" t="str">
        <f>"vs SLIDE_7"</f>
        <v>vs SLIDE_7</v>
      </c>
      <c r="D10">
        <f>G7-SLIDE_7!G7</f>
        <v>-63.100000000000364</v>
      </c>
      <c r="E10">
        <f>IFERROR(D10/SLIDE_7!G7,0)</f>
        <v>-1.5640879458642232E-2</v>
      </c>
      <c r="F10" t="str">
        <f>IF(AND(D10&gt;0,SLIDE_7!H7&gt;0),"up",IF(OR(D10&lt;0,SLIDE_7!H7&lt;0),"down","flat"))</f>
        <v>down</v>
      </c>
      <c r="G10">
        <f>INDEX(SLIDE_7!D5:G6,2,MATCH(MAX(SLIDE_7!D6:G6),SLIDE_7!D6:G6,0))</f>
        <v>2174.4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2149.6999999999998</v>
      </c>
      <c r="G12">
        <f ca="1">INDIRECT("D7")</f>
        <v>3903.3999999999996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1808.8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-1.872992340004942E-2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2D77-BD2A-4FDA-AC72-963E21F97A36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"&amp;TEXT(Control!$B$4-11,"00")</f>
        <v>Week 29</v>
      </c>
      <c r="E4" t="str">
        <f>"Week "&amp;TEXT(Control!$B$4-10,"00")</f>
        <v>Week 30</v>
      </c>
      <c r="F4" t="str">
        <f>"Week "&amp;TEXT(Control!$B$4-9,"00")</f>
        <v>Week 31</v>
      </c>
      <c r="G4" t="str">
        <f>"Week "&amp;TEXT(Control!$B$4-8,"00")</f>
        <v>Week 32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ROUND(SUMIFS(Data!$C:$C,Data!$A:$A,Control!$B$2,Data!$B:$B,Control!$B$4-11)*Control!$B$5,1)</f>
        <v>1784.6</v>
      </c>
      <c r="E5">
        <f>ROUND(SUMIFS(Data!$C:$C,Data!$A:$A,Control!$B$2,Data!$B:$B,Control!$B$4-10)*Control!$B$5,1)</f>
        <v>1808.8</v>
      </c>
      <c r="F5">
        <f>ROUND(SUMIFS(Data!$C:$C,Data!$A:$A,Control!$B$2,Data!$B:$B,Control!$B$4-9)*Control!$B$5,1)</f>
        <v>1857.7</v>
      </c>
      <c r="G5">
        <f>ROUND(SUMIFS(Data!$C:$C,Data!$A:$A,Control!$B$2,Data!$B:$B,Control!$B$4-8)*Control!$B$5,1)</f>
        <v>1807.6</v>
      </c>
      <c r="H5">
        <f>G5-F5</f>
        <v>-50.100000000000136</v>
      </c>
      <c r="I5">
        <f>IFERROR(H5/F5,0)</f>
        <v>-2.6968832427194993E-2</v>
      </c>
      <c r="J5">
        <f>ROUND(SUMIFS(Data!$E:$E,Data!$A:$A,Control!$B$2,Data!$B:$B,Control!$B$4-8)*Control!$B$5,1)</f>
        <v>1861.3</v>
      </c>
      <c r="K5">
        <f>IF(ABS(G5-J5)&lt;0.05,0,G5-J5)</f>
        <v>-53.700000000000045</v>
      </c>
    </row>
    <row r="6" spans="2:12" x14ac:dyDescent="0.25">
      <c r="C6" t="s">
        <v>3</v>
      </c>
      <c r="D6">
        <f>ROUND(SUMIFS(Data!$D:$D,Data!$A:$A,Control!$B$2,Data!$B:$B,Control!$B$4-11)*Control!$B$5,1)</f>
        <v>2099.5</v>
      </c>
      <c r="E6">
        <f>ROUND(SUMIFS(Data!$D:$D,Data!$A:$A,Control!$B$2,Data!$B:$B,Control!$B$4-10)*Control!$B$5,1)</f>
        <v>2094.6</v>
      </c>
      <c r="F6">
        <f>ROUND(SUMIFS(Data!$D:$D,Data!$A:$A,Control!$B$2,Data!$B:$B,Control!$B$4-9)*Control!$B$5,1)</f>
        <v>2086.3000000000002</v>
      </c>
      <c r="G6">
        <f>ROUND(SUMIFS(Data!$D:$D,Data!$A:$A,Control!$B$2,Data!$B:$B,Control!$B$4-8)*Control!$B$5,1)</f>
        <v>2149.6999999999998</v>
      </c>
      <c r="H6">
        <f>G6-F6</f>
        <v>63.399999999999636</v>
      </c>
      <c r="I6">
        <f>IFERROR(H6/F6,0)</f>
        <v>3.0388726453529996E-2</v>
      </c>
      <c r="J6">
        <f>ROUND(SUMIFS(Data!$F:$F,Data!$A:$A,Control!$B$2,Data!$B:$B,Control!$B$4-8)*Control!$B$5,1)</f>
        <v>2171.6</v>
      </c>
      <c r="K6">
        <f>IF(ABS(G6-J6)&lt;0.05,0,G6-J6)</f>
        <v>-21.900000000000091</v>
      </c>
    </row>
    <row r="7" spans="2:12" x14ac:dyDescent="0.25">
      <c r="C7" t="s">
        <v>31</v>
      </c>
      <c r="D7">
        <f>SUM(D5:D6)</f>
        <v>3884.1</v>
      </c>
      <c r="E7">
        <f>SUM(E5:E6)</f>
        <v>3903.3999999999996</v>
      </c>
      <c r="F7">
        <f>SUM(F5:F6)</f>
        <v>3944</v>
      </c>
      <c r="G7">
        <f>SUM(G5:G6)</f>
        <v>3957.2999999999997</v>
      </c>
      <c r="H7">
        <f>SUM(H5:H6)</f>
        <v>13.2999999999995</v>
      </c>
      <c r="I7">
        <f>IFERROR(H7/F7,0)</f>
        <v>3.3722109533467293E-3</v>
      </c>
      <c r="J7">
        <f>SUM(J5:J6)</f>
        <v>4032.8999999999996</v>
      </c>
      <c r="K7">
        <f>SUM(K5:K6)</f>
        <v>-75.600000000000136</v>
      </c>
    </row>
    <row r="8" spans="2:12" x14ac:dyDescent="0.25">
      <c r="C8" t="s">
        <v>32</v>
      </c>
      <c r="D8">
        <f>IF(D6=0,"n/a",D5/D6)</f>
        <v>0.85001190759704692</v>
      </c>
      <c r="E8">
        <f>IF(E6=0,"n/a",E5/E6)</f>
        <v>0.86355390050606318</v>
      </c>
      <c r="F8">
        <f>IF(F6=0,"n/a",F5/F6)</f>
        <v>0.89042803048458985</v>
      </c>
      <c r="G8">
        <f>IF(G6=0,"n/a",G5/G6)</f>
        <v>0.84086151556031075</v>
      </c>
    </row>
    <row r="9" spans="2:12" x14ac:dyDescent="0.25">
      <c r="C9" t="s">
        <v>33</v>
      </c>
      <c r="D9">
        <f>AVERAGE(D7:G7)</f>
        <v>3922.2</v>
      </c>
      <c r="E9">
        <f>MAX(D7:G7)</f>
        <v>3957.2999999999997</v>
      </c>
      <c r="F9">
        <f>MIN(D7:G7)</f>
        <v>3884.1</v>
      </c>
      <c r="G9">
        <f>COUNTIF(H5:H6,"&gt;0")</f>
        <v>1</v>
      </c>
    </row>
    <row r="10" spans="2:12" x14ac:dyDescent="0.25">
      <c r="C10" t="str">
        <f>"vs SLIDE_8"</f>
        <v>vs SLIDE_8</v>
      </c>
      <c r="D10">
        <f>G7-SLIDE_8!G7</f>
        <v>-13.900000000000091</v>
      </c>
      <c r="E10">
        <f>IFERROR(D10/SLIDE_8!G7,0)</f>
        <v>-3.5002014504432141E-3</v>
      </c>
      <c r="F10" t="str">
        <f>IF(AND(D10&gt;0,SLIDE_8!H7&gt;0),"up",IF(OR(D10&lt;0,SLIDE_8!H7&lt;0),"down","flat"))</f>
        <v>down</v>
      </c>
      <c r="G10">
        <f>INDEX(SLIDE_8!D5:G6,2,MATCH(MAX(SLIDE_8!D6:G6),SLIDE_8!D6:G6,0))</f>
        <v>2149.6999999999998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2086.3000000000002</v>
      </c>
      <c r="G12">
        <f ca="1">INDIRECT("D7")</f>
        <v>3884.1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1807.6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-1.8745815666145971E-2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ED3D-60ED-481F-8D92-16F8C8632A50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"&amp;TEXT(Control!$B$4-12,"00")</f>
        <v>Week 28</v>
      </c>
      <c r="E4" t="str">
        <f>"Week "&amp;TEXT(Control!$B$4-11,"00")</f>
        <v>Week 29</v>
      </c>
      <c r="F4" t="str">
        <f>"Week "&amp;TEXT(Control!$B$4-10,"00")</f>
        <v>Week 30</v>
      </c>
      <c r="G4" t="str">
        <f>"Week "&amp;TEXT(Control!$B$4-9,"00")</f>
        <v>Week 31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ROUND(SUMIFS(Data!$C:$C,Data!$A:$A,Control!$B$2,Data!$B:$B,Control!$B$4-12)*Control!$B$5,1)</f>
        <v>1867.6</v>
      </c>
      <c r="E5">
        <f>ROUND(SUMIFS(Data!$C:$C,Data!$A:$A,Control!$B$2,Data!$B:$B,Control!$B$4-11)*Control!$B$5,1)</f>
        <v>1784.6</v>
      </c>
      <c r="F5">
        <f>ROUND(SUMIFS(Data!$C:$C,Data!$A:$A,Control!$B$2,Data!$B:$B,Control!$B$4-10)*Control!$B$5,1)</f>
        <v>1808.8</v>
      </c>
      <c r="G5">
        <f>ROUND(SUMIFS(Data!$C:$C,Data!$A:$A,Control!$B$2,Data!$B:$B,Control!$B$4-9)*Control!$B$5,1)</f>
        <v>1857.7</v>
      </c>
      <c r="H5">
        <f>G5-F5</f>
        <v>48.900000000000091</v>
      </c>
      <c r="I5">
        <f>IFERROR(H5/F5,0)</f>
        <v>2.7034498009730259E-2</v>
      </c>
      <c r="J5">
        <f>ROUND(SUMIFS(Data!$E:$E,Data!$A:$A,Control!$B$2,Data!$B:$B,Control!$B$4-9)*Control!$B$5,1)</f>
        <v>1853.8</v>
      </c>
      <c r="K5">
        <f>IF(ABS(G5-J5)&lt;0.05,0,G5-J5)</f>
        <v>3.9000000000000909</v>
      </c>
    </row>
    <row r="6" spans="2:12" x14ac:dyDescent="0.25">
      <c r="C6" t="s">
        <v>3</v>
      </c>
      <c r="D6">
        <f>ROUND(SUMIFS(Data!$D:$D,Data!$A:$A,Control!$B$2,Data!$B:$B,Control!$B$4-12)*Control!$B$5,1)</f>
        <v>2115.4</v>
      </c>
      <c r="E6">
        <f>ROUND(SUMIFS(Data!$D:$D,Data!$A:$A,Control!$B$2,Data!$B:$B,Control!$B$4-11)*Control!$B$5,1)</f>
        <v>2099.5</v>
      </c>
      <c r="F6">
        <f>ROUND(SUMIFS(Data!$D:$D,Data!$A:$A,Control!$B$2,Data!$B:$B,Control!$B$4-10)*Control!$B$5,1)</f>
        <v>2094.6</v>
      </c>
      <c r="G6">
        <f>ROUND(SUMIFS(Data!$D:$D,Data!$A:$A,Control!$B$2,Data!$B:$B,Control!$B$4-9)*Control!$B$5,1)</f>
        <v>2086.3000000000002</v>
      </c>
      <c r="H6">
        <f>G6-F6</f>
        <v>-8.2999999999997272</v>
      </c>
      <c r="I6">
        <f>IFERROR(H6/F6,0)</f>
        <v>-3.9625704191729814E-3</v>
      </c>
      <c r="J6">
        <f>ROUND(SUMIFS(Data!$F:$F,Data!$A:$A,Control!$B$2,Data!$B:$B,Control!$B$4-9)*Control!$B$5,1)</f>
        <v>2164</v>
      </c>
      <c r="K6">
        <f>IF(ABS(G6-J6)&lt;0.05,0,G6-J6)</f>
        <v>-77.699999999999818</v>
      </c>
    </row>
    <row r="7" spans="2:12" x14ac:dyDescent="0.25">
      <c r="C7" t="s">
        <v>31</v>
      </c>
      <c r="D7">
        <f>SUM(D5:D6)</f>
        <v>3983</v>
      </c>
      <c r="E7">
        <f>SUM(E5:E6)</f>
        <v>3884.1</v>
      </c>
      <c r="F7">
        <f>SUM(F5:F6)</f>
        <v>3903.3999999999996</v>
      </c>
      <c r="G7">
        <f>SUM(G5:G6)</f>
        <v>3944</v>
      </c>
      <c r="H7">
        <f>SUM(H5:H6)</f>
        <v>40.600000000000364</v>
      </c>
      <c r="I7">
        <f>IFERROR(H7/F7,0)</f>
        <v>1.0401188707280927E-2</v>
      </c>
      <c r="J7">
        <f>SUM(J5:J6)</f>
        <v>4017.8</v>
      </c>
      <c r="K7">
        <f>SUM(K5:K6)</f>
        <v>-73.799999999999727</v>
      </c>
    </row>
    <row r="8" spans="2:12" x14ac:dyDescent="0.25">
      <c r="C8" t="s">
        <v>32</v>
      </c>
      <c r="D8">
        <f>IF(D6=0,"n/a",D5/D6)</f>
        <v>0.88285903375248176</v>
      </c>
      <c r="E8">
        <f>IF(E6=0,"n/a",E5/E6)</f>
        <v>0.85001190759704692</v>
      </c>
      <c r="F8">
        <f>IF(F6=0,"n/a",F5/F6)</f>
        <v>0.86355390050606318</v>
      </c>
      <c r="G8">
        <f>IF(G6=0,"n/a",G5/G6)</f>
        <v>0.89042803048458985</v>
      </c>
    </row>
    <row r="9" spans="2:12" x14ac:dyDescent="0.25">
      <c r="C9" t="s">
        <v>33</v>
      </c>
      <c r="D9">
        <f>AVERAGE(D7:G7)</f>
        <v>3928.625</v>
      </c>
      <c r="E9">
        <f>MAX(D7:G7)</f>
        <v>3983</v>
      </c>
      <c r="F9">
        <f>MIN(D7:G7)</f>
        <v>3884.1</v>
      </c>
      <c r="G9">
        <f>COUNTIF(H5:H6,"&gt;0")</f>
        <v>1</v>
      </c>
    </row>
    <row r="10" spans="2:12" x14ac:dyDescent="0.25">
      <c r="C10" t="str">
        <f>"vs SLIDE_9"</f>
        <v>vs SLIDE_9</v>
      </c>
      <c r="D10">
        <f>G7-SLIDE_9!G7</f>
        <v>-13.299999999999727</v>
      </c>
      <c r="E10">
        <f>IFERROR(D10/SLIDE_9!G7,0)</f>
        <v>-3.3608773658807085E-3</v>
      </c>
      <c r="F10" t="str">
        <f>IF(AND(D10&gt;0,SLIDE_9!H7&gt;0),"up",IF(OR(D10&lt;0,SLIDE_9!H7&lt;0),"down","flat"))</f>
        <v>down</v>
      </c>
      <c r="G10">
        <f>INDEX(SLIDE_9!D5:G6,2,MATCH(MAX(SLIDE_9!D6:G6),SLIDE_9!D6:G6,0))</f>
        <v>2149.6999999999998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2094.6</v>
      </c>
      <c r="G12">
        <f ca="1">INDIRECT("D7")</f>
        <v>3983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1808.8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-1.8368261237493244E-2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52A6-FFEE-421E-8403-78E48C86E23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"&amp;TEXT(Control!$B$4-13,"00")</f>
        <v>Week 27</v>
      </c>
      <c r="E4" t="str">
        <f>"Week "&amp;TEXT(Control!$B$4-12,"00")</f>
        <v>Week 28</v>
      </c>
      <c r="F4" t="str">
        <f>"Week "&amp;TEXT(Control!$B$4-11,"00")</f>
        <v>Week 29</v>
      </c>
      <c r="G4" t="str">
        <f>"Week "&amp;TEXT(Control!$B$4-10,"00")</f>
        <v>Week 30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ROUND(SUMIFS(Data!$C:$C,Data!$A:$A,Control!$B$2,Data!$B:$B,Control!$B$4-13)*Control!$B$5,1)</f>
        <v>1789.3</v>
      </c>
      <c r="E5">
        <f>ROUND(SUMIFS(Data!$C:$C,Data!$A:$A,Control!$B$2,Data!$B:$B,Control!$B$4-12)*Control!$B$5,1)</f>
        <v>1867.6</v>
      </c>
      <c r="F5">
        <f>ROUND(SUMIFS(Data!$C:$C,Data!$A:$A,Control!$B$2,Data!$B:$B,Control!$B$4-11)*Control!$B$5,1)</f>
        <v>1784.6</v>
      </c>
      <c r="G5">
        <f>ROUND(SUMIFS(Data!$C:$C,Data!$A:$A,Control!$B$2,Data!$B:$B,Control!$B$4-10)*Control!$B$5,1)</f>
        <v>1808.8</v>
      </c>
      <c r="H5">
        <f>G5-F5</f>
        <v>24.200000000000045</v>
      </c>
      <c r="I5">
        <f>IFERROR(H5/F5,0)</f>
        <v>1.3560461728118372E-2</v>
      </c>
      <c r="J5">
        <f>ROUND(SUMIFS(Data!$E:$E,Data!$A:$A,Control!$B$2,Data!$B:$B,Control!$B$4-10)*Control!$B$5,1)</f>
        <v>1846.2</v>
      </c>
      <c r="K5">
        <f>IF(ABS(G5-J5)&lt;0.05,0,G5-J5)</f>
        <v>-37.400000000000091</v>
      </c>
    </row>
    <row r="6" spans="2:12" x14ac:dyDescent="0.25">
      <c r="C6" t="s">
        <v>3</v>
      </c>
      <c r="D6">
        <f>ROUND(SUMIFS(Data!$D:$D,Data!$A:$A,Control!$B$2,Data!$B:$B,Control!$B$4-13)*Control!$B$5,1)</f>
        <v>2110.6</v>
      </c>
      <c r="E6">
        <f>ROUND(SUMIFS(Data!$D:$D,Data!$A:$A,Control!$B$2,Data!$B:$B,Control!$B$4-12)*Control!$B$5,1)</f>
        <v>2115.4</v>
      </c>
      <c r="F6">
        <f>ROUND(SUMIFS(Data!$D:$D,Data!$A:$A,Control!$B$2,Data!$B:$B,Control!$B$4-11)*Control!$B$5,1)</f>
        <v>2099.5</v>
      </c>
      <c r="G6">
        <f>ROUND(SUMIFS(Data!$D:$D,Data!$A:$A,Control!$B$2,Data!$B:$B,Control!$B$4-10)*Control!$B$5,1)</f>
        <v>2094.6</v>
      </c>
      <c r="H6">
        <f>G6-F6</f>
        <v>-4.9000000000000909</v>
      </c>
      <c r="I6">
        <f>IFERROR(H6/F6,0)</f>
        <v>-2.3338890211955662E-3</v>
      </c>
      <c r="J6">
        <f>ROUND(SUMIFS(Data!$F:$F,Data!$A:$A,Control!$B$2,Data!$B:$B,Control!$B$4-10)*Control!$B$5,1)</f>
        <v>2157.5</v>
      </c>
      <c r="K6">
        <f>IF(ABS(G6-J6)&lt;0.05,0,G6-J6)</f>
        <v>-62.900000000000091</v>
      </c>
    </row>
    <row r="7" spans="2:12" x14ac:dyDescent="0.25">
      <c r="C7" t="s">
        <v>31</v>
      </c>
      <c r="D7">
        <f>SUM(D5:D6)</f>
        <v>3899.8999999999996</v>
      </c>
      <c r="E7">
        <f>SUM(E5:E6)</f>
        <v>3983</v>
      </c>
      <c r="F7">
        <f>SUM(F5:F6)</f>
        <v>3884.1</v>
      </c>
      <c r="G7">
        <f>SUM(G5:G6)</f>
        <v>3903.3999999999996</v>
      </c>
      <c r="H7">
        <f>SUM(H5:H6)</f>
        <v>19.299999999999955</v>
      </c>
      <c r="I7">
        <f>IFERROR(H7/F7,0)</f>
        <v>4.9689760819752208E-3</v>
      </c>
      <c r="J7">
        <f>SUM(J5:J6)</f>
        <v>4003.7</v>
      </c>
      <c r="K7">
        <f>SUM(K5:K6)</f>
        <v>-100.30000000000018</v>
      </c>
    </row>
    <row r="8" spans="2:12" x14ac:dyDescent="0.25">
      <c r="C8" t="s">
        <v>32</v>
      </c>
      <c r="D8">
        <f>IF(D6=0,"n/a",D5/D6)</f>
        <v>0.84776840708803181</v>
      </c>
      <c r="E8">
        <f>IF(E6=0,"n/a",E5/E6)</f>
        <v>0.88285903375248176</v>
      </c>
      <c r="F8">
        <f>IF(F6=0,"n/a",F5/F6)</f>
        <v>0.85001190759704692</v>
      </c>
      <c r="G8">
        <f>IF(G6=0,"n/a",G5/G6)</f>
        <v>0.86355390050606318</v>
      </c>
    </row>
    <row r="9" spans="2:12" x14ac:dyDescent="0.25">
      <c r="C9" t="s">
        <v>33</v>
      </c>
      <c r="D9">
        <f>AVERAGE(D7:G7)</f>
        <v>3917.6</v>
      </c>
      <c r="E9">
        <f>MAX(D7:G7)</f>
        <v>3983</v>
      </c>
      <c r="F9">
        <f>MIN(D7:G7)</f>
        <v>3884.1</v>
      </c>
      <c r="G9">
        <f>COUNTIF(H5:H6,"&gt;0")</f>
        <v>1</v>
      </c>
    </row>
    <row r="10" spans="2:12" x14ac:dyDescent="0.25">
      <c r="C10" t="str">
        <f>"vs SLIDE_10"</f>
        <v>vs SLIDE_10</v>
      </c>
      <c r="D10">
        <f>G7-SLIDE_10!G7</f>
        <v>-40.600000000000364</v>
      </c>
      <c r="E10">
        <f>IFERROR(D10/SLIDE_10!G7,0)</f>
        <v>-1.0294117647058915E-2</v>
      </c>
      <c r="F10" t="str">
        <f>IF(AND(D10&gt;0,SLIDE_10!H7&gt;0),"up",IF(OR(D10&lt;0,SLIDE_10!H7&lt;0),"down","flat"))</f>
        <v>down</v>
      </c>
      <c r="G10">
        <f>INDEX(SLIDE_10!D5:G6,2,MATCH(MAX(SLIDE_10!D6:G6),SLIDE_10!D6:G6,0))</f>
        <v>2115.4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2099.5</v>
      </c>
      <c r="G12">
        <f ca="1">INDIRECT("D7")</f>
        <v>3899.8999999999996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1789.3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-2.5051827059969556E-2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C61A-5FC2-42A6-A44D-4978F4AF33D4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"&amp;TEXT(Control!$B$4-14,"00")</f>
        <v>Week 26</v>
      </c>
      <c r="E4" t="str">
        <f>"Week "&amp;TEXT(Control!$B$4-13,"00")</f>
        <v>Week 27</v>
      </c>
      <c r="F4" t="str">
        <f>"Week "&amp;TEXT(Control!$B$4-12,"00")</f>
        <v>Week 28</v>
      </c>
      <c r="G4" t="str">
        <f>"Week "&amp;TEXT(Control!$B$4-11,"00")</f>
        <v>Week 29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ROUND(SUMIFS(Data!$C:$C,Data!$A:$A,Control!$B$2,Data!$B:$B,Control!$B$4-14)*Control!$B$5,1)</f>
        <v>1731.9</v>
      </c>
      <c r="E5">
        <f>ROUND(SUMIFS(Data!$C:$C,Data!$A:$A,Control!$B$2,Data!$B:$B,Control!$B$4-13)*Control!$B$5,1)</f>
        <v>1789.3</v>
      </c>
      <c r="F5">
        <f>ROUND(SUMIFS(Data!$C:$C,Data!$A:$A,Control!$B$2,Data!$B:$B,Control!$B$4-12)*Control!$B$5,1)</f>
        <v>1867.6</v>
      </c>
      <c r="G5">
        <f>ROUND(SUMIFS(Data!$C:$C,Data!$A:$A,Control!$B$2,Data!$B:$B,Control!$B$4-11)*Control!$B$5,1)</f>
        <v>1784.6</v>
      </c>
      <c r="H5">
        <f>G5-F5</f>
        <v>-83</v>
      </c>
      <c r="I5">
        <f>IFERROR(H5/F5,0)</f>
        <v>-4.4442064681944747E-2</v>
      </c>
      <c r="J5">
        <f>ROUND(SUMIFS(Data!$E:$E,Data!$A:$A,Control!$B$2,Data!$B:$B,Control!$B$4-11)*Control!$B$5,1)</f>
        <v>1839.7</v>
      </c>
      <c r="K5">
        <f>IF(ABS(G5-J5)&lt;0.05,0,G5-J5)</f>
        <v>-55.100000000000136</v>
      </c>
    </row>
    <row r="6" spans="2:12" x14ac:dyDescent="0.25">
      <c r="C6" t="s">
        <v>3</v>
      </c>
      <c r="D6">
        <f>ROUND(SUMIFS(Data!$D:$D,Data!$A:$A,Control!$B$2,Data!$B:$B,Control!$B$4-14)*Control!$B$5,1)</f>
        <v>2062.4</v>
      </c>
      <c r="E6">
        <f>ROUND(SUMIFS(Data!$D:$D,Data!$A:$A,Control!$B$2,Data!$B:$B,Control!$B$4-13)*Control!$B$5,1)</f>
        <v>2110.6</v>
      </c>
      <c r="F6">
        <f>ROUND(SUMIFS(Data!$D:$D,Data!$A:$A,Control!$B$2,Data!$B:$B,Control!$B$4-12)*Control!$B$5,1)</f>
        <v>2115.4</v>
      </c>
      <c r="G6">
        <f>ROUND(SUMIFS(Data!$D:$D,Data!$A:$A,Control!$B$2,Data!$B:$B,Control!$B$4-11)*Control!$B$5,1)</f>
        <v>2099.5</v>
      </c>
      <c r="H6">
        <f>G6-F6</f>
        <v>-15.900000000000091</v>
      </c>
      <c r="I6">
        <f>IFERROR(H6/F6,0)</f>
        <v>-7.516308972298426E-3</v>
      </c>
      <c r="J6">
        <f>ROUND(SUMIFS(Data!$F:$F,Data!$A:$A,Control!$B$2,Data!$B:$B,Control!$B$4-11)*Control!$B$5,1)</f>
        <v>2151</v>
      </c>
      <c r="K6">
        <f>IF(ABS(G6-J6)&lt;0.05,0,G6-J6)</f>
        <v>-51.5</v>
      </c>
    </row>
    <row r="7" spans="2:12" x14ac:dyDescent="0.25">
      <c r="C7" t="s">
        <v>31</v>
      </c>
      <c r="D7">
        <f>SUM(D5:D6)</f>
        <v>3794.3</v>
      </c>
      <c r="E7">
        <f>SUM(E5:E6)</f>
        <v>3899.8999999999996</v>
      </c>
      <c r="F7">
        <f>SUM(F5:F6)</f>
        <v>3983</v>
      </c>
      <c r="G7">
        <f>SUM(G5:G6)</f>
        <v>3884.1</v>
      </c>
      <c r="H7">
        <f>SUM(H5:H6)</f>
        <v>-98.900000000000091</v>
      </c>
      <c r="I7">
        <f>IFERROR(H7/F7,0)</f>
        <v>-2.4830529751443658E-2</v>
      </c>
      <c r="J7">
        <f>SUM(J5:J6)</f>
        <v>3990.7</v>
      </c>
      <c r="K7">
        <f>SUM(K5:K6)</f>
        <v>-106.60000000000014</v>
      </c>
    </row>
    <row r="8" spans="2:12" x14ac:dyDescent="0.25">
      <c r="C8" t="s">
        <v>32</v>
      </c>
      <c r="D8">
        <f>IF(D6=0,"n/a",D5/D6)</f>
        <v>0.83974980605120253</v>
      </c>
      <c r="E8">
        <f>IF(E6=0,"n/a",E5/E6)</f>
        <v>0.84776840708803181</v>
      </c>
      <c r="F8">
        <f>IF(F6=0,"n/a",F5/F6)</f>
        <v>0.88285903375248176</v>
      </c>
      <c r="G8">
        <f>IF(G6=0,"n/a",G5/G6)</f>
        <v>0.85001190759704692</v>
      </c>
    </row>
    <row r="9" spans="2:12" x14ac:dyDescent="0.25">
      <c r="C9" t="s">
        <v>33</v>
      </c>
      <c r="D9">
        <f>AVERAGE(D7:G7)</f>
        <v>3890.3250000000003</v>
      </c>
      <c r="E9">
        <f>MAX(D7:G7)</f>
        <v>3983</v>
      </c>
      <c r="F9">
        <f>MIN(D7:G7)</f>
        <v>3794.3</v>
      </c>
      <c r="G9">
        <f>COUNTIF(H5:H6,"&gt;0")</f>
        <v>0</v>
      </c>
    </row>
    <row r="10" spans="2:12" x14ac:dyDescent="0.25">
      <c r="C10" t="str">
        <f>"vs SLIDE_11"</f>
        <v>vs SLIDE_11</v>
      </c>
      <c r="D10">
        <f>G7-SLIDE_11!G7</f>
        <v>-19.299999999999727</v>
      </c>
      <c r="E10">
        <f>IFERROR(D10/SLIDE_11!G7,0)</f>
        <v>-4.9444074396679119E-3</v>
      </c>
      <c r="F10" t="str">
        <f>IF(AND(D10&gt;0,SLIDE_11!H7&gt;0),"up",IF(OR(D10&lt;0,SLIDE_11!H7&lt;0),"down","flat"))</f>
        <v>down</v>
      </c>
      <c r="G10">
        <f>INDEX(SLIDE_11!D5:G6,2,MATCH(MAX(SLIDE_11!D6:G6),SLIDE_11!D6:G6,0))</f>
        <v>2115.4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2115.4</v>
      </c>
      <c r="G12">
        <f ca="1">INDIRECT("D7")</f>
        <v>3794.3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1784.6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-2.6712105645626094E-2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9D19-32EE-4ADA-885B-7237AA8AC720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"&amp;TEXT(Control!$B$4-15,"00")</f>
        <v>Week 25</v>
      </c>
      <c r="E4" t="str">
        <f>"Week "&amp;TEXT(Control!$B$4-14,"00")</f>
        <v>Week 26</v>
      </c>
      <c r="F4" t="str">
        <f>"Week "&amp;TEXT(Control!$B$4-13,"00")</f>
        <v>Week 27</v>
      </c>
      <c r="G4" t="str">
        <f>"Week "&amp;TEXT(Control!$B$4-12,"00")</f>
        <v>Week 28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ROUND(SUMIFS(Data!$C:$C,Data!$A:$A,Control!$B$2,Data!$B:$B,Control!$B$4-15)*Control!$B$5,1)</f>
        <v>1762.5</v>
      </c>
      <c r="E5">
        <f>ROUND(SUMIFS(Data!$C:$C,Data!$A:$A,Control!$B$2,Data!$B:$B,Control!$B$4-14)*Control!$B$5,1)</f>
        <v>1731.9</v>
      </c>
      <c r="F5">
        <f>ROUND(SUMIFS(Data!$C:$C,Data!$A:$A,Control!$B$2,Data!$B:$B,Control!$B$4-13)*Control!$B$5,1)</f>
        <v>1789.3</v>
      </c>
      <c r="G5">
        <f>ROUND(SUMIFS(Data!$C:$C,Data!$A:$A,Control!$B$2,Data!$B:$B,Control!$B$4-12)*Control!$B$5,1)</f>
        <v>1867.6</v>
      </c>
      <c r="H5">
        <f>G5-F5</f>
        <v>78.299999999999955</v>
      </c>
      <c r="I5">
        <f>IFERROR(H5/F5,0)</f>
        <v>4.3760129659643411E-2</v>
      </c>
      <c r="J5">
        <f>ROUND(SUMIFS(Data!$E:$E,Data!$A:$A,Control!$B$2,Data!$B:$B,Control!$B$4-12)*Control!$B$5,1)</f>
        <v>1832.1</v>
      </c>
      <c r="K5">
        <f>IF(ABS(G5-J5)&lt;0.05,0,G5-J5)</f>
        <v>35.5</v>
      </c>
    </row>
    <row r="6" spans="2:12" x14ac:dyDescent="0.25">
      <c r="C6" t="s">
        <v>3</v>
      </c>
      <c r="D6">
        <f>ROUND(SUMIFS(Data!$D:$D,Data!$A:$A,Control!$B$2,Data!$B:$B,Control!$B$4-15)*Control!$B$5,1)</f>
        <v>2128.1999999999998</v>
      </c>
      <c r="E6">
        <f>ROUND(SUMIFS(Data!$D:$D,Data!$A:$A,Control!$B$2,Data!$B:$B,Control!$B$4-14)*Control!$B$5,1)</f>
        <v>2062.4</v>
      </c>
      <c r="F6">
        <f>ROUND(SUMIFS(Data!$D:$D,Data!$A:$A,Control!$B$2,Data!$B:$B,Control!$B$4-13)*Control!$B$5,1)</f>
        <v>2110.6</v>
      </c>
      <c r="G6">
        <f>ROUND(SUMIFS(Data!$D:$D,Data!$A:$A,Control!$B$2,Data!$B:$B,Control!$B$4-12)*Control!$B$5,1)</f>
        <v>2115.4</v>
      </c>
      <c r="H6">
        <f>G6-F6</f>
        <v>4.8000000000001819</v>
      </c>
      <c r="I6">
        <f>IFERROR(H6/F6,0)</f>
        <v>2.2742348147447087E-3</v>
      </c>
      <c r="J6">
        <f>ROUND(SUMIFS(Data!$F:$F,Data!$A:$A,Control!$B$2,Data!$B:$B,Control!$B$4-12)*Control!$B$5,1)</f>
        <v>2143.4</v>
      </c>
      <c r="K6">
        <f>IF(ABS(G6-J6)&lt;0.05,0,G6-J6)</f>
        <v>-28</v>
      </c>
    </row>
    <row r="7" spans="2:12" x14ac:dyDescent="0.25">
      <c r="C7" t="s">
        <v>31</v>
      </c>
      <c r="D7">
        <f>SUM(D5:D6)</f>
        <v>3890.7</v>
      </c>
      <c r="E7">
        <f>SUM(E5:E6)</f>
        <v>3794.3</v>
      </c>
      <c r="F7">
        <f>SUM(F5:F6)</f>
        <v>3899.8999999999996</v>
      </c>
      <c r="G7">
        <f>SUM(G5:G6)</f>
        <v>3983</v>
      </c>
      <c r="H7">
        <f>SUM(H5:H6)</f>
        <v>83.100000000000136</v>
      </c>
      <c r="I7">
        <f>IFERROR(H7/F7,0)</f>
        <v>2.1308238672786518E-2</v>
      </c>
      <c r="J7">
        <f>SUM(J5:J6)</f>
        <v>3975.5</v>
      </c>
      <c r="K7">
        <f>SUM(K5:K6)</f>
        <v>7.5</v>
      </c>
    </row>
    <row r="8" spans="2:12" x14ac:dyDescent="0.25">
      <c r="C8" t="s">
        <v>32</v>
      </c>
      <c r="D8">
        <f>IF(D6=0,"n/a",D5/D6)</f>
        <v>0.8281646461798704</v>
      </c>
      <c r="E8">
        <f>IF(E6=0,"n/a",E5/E6)</f>
        <v>0.83974980605120253</v>
      </c>
      <c r="F8">
        <f>IF(F6=0,"n/a",F5/F6)</f>
        <v>0.84776840708803181</v>
      </c>
      <c r="G8">
        <f>IF(G6=0,"n/a",G5/G6)</f>
        <v>0.88285903375248176</v>
      </c>
    </row>
    <row r="9" spans="2:12" x14ac:dyDescent="0.25">
      <c r="C9" t="s">
        <v>33</v>
      </c>
      <c r="D9">
        <f>AVERAGE(D7:G7)</f>
        <v>3891.9749999999999</v>
      </c>
      <c r="E9">
        <f>MAX(D7:G7)</f>
        <v>3983</v>
      </c>
      <c r="F9">
        <f>MIN(D7:G7)</f>
        <v>3794.3</v>
      </c>
      <c r="G9">
        <f>COUNTIF(H5:H6,"&gt;0")</f>
        <v>2</v>
      </c>
    </row>
    <row r="10" spans="2:12" x14ac:dyDescent="0.25">
      <c r="C10" t="str">
        <f>"vs SLIDE_12"</f>
        <v>vs SLIDE_12</v>
      </c>
      <c r="D10">
        <f>G7-SLIDE_12!G7</f>
        <v>98.900000000000091</v>
      </c>
      <c r="E10">
        <f>IFERROR(D10/SLIDE_12!G7,0)</f>
        <v>2.5462784171365334E-2</v>
      </c>
      <c r="F10" t="str">
        <f>IF(AND(D10&gt;0,SLIDE_12!H7&gt;0),"up",IF(OR(D10&lt;0,SLIDE_12!H7&lt;0),"down","flat"))</f>
        <v>down</v>
      </c>
      <c r="G10">
        <f>INDEX(SLIDE_12!D5:G6,2,MATCH(MAX(SLIDE_12!D6:G6),SLIDE_12!D6:G6,0))</f>
        <v>2115.4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2110.6</v>
      </c>
      <c r="G12">
        <f ca="1">INDIRECT("D7")</f>
        <v>3890.7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1762.5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1.8865551502955658E-3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415D-05F6-4FC0-A0EA-C59209BDFF8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"&amp;TEXT(Control!$B$4-16,"00")</f>
        <v>Week 24</v>
      </c>
      <c r="E4" t="str">
        <f>"Week "&amp;TEXT(Control!$B$4-15,"00")</f>
        <v>Week 25</v>
      </c>
      <c r="F4" t="str">
        <f>"Week "&amp;TEXT(Control!$B$4-14,"00")</f>
        <v>Week 26</v>
      </c>
      <c r="G4" t="str">
        <f>"Week "&amp;TEXT(Control!$B$4-13,"00")</f>
        <v>Week 27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ROUND(SUMIFS(Data!$C:$C,Data!$A:$A,Control!$B$2,Data!$B:$B,Control!$B$4-16)*Control!$B$5,1)</f>
        <v>1803.3</v>
      </c>
      <c r="E5">
        <f>ROUND(SUMIFS(Data!$C:$C,Data!$A:$A,Control!$B$2,Data!$B:$B,Control!$B$4-15)*Control!$B$5,1)</f>
        <v>1762.5</v>
      </c>
      <c r="F5">
        <f>ROUND(SUMIFS(Data!$C:$C,Data!$A:$A,Control!$B$2,Data!$B:$B,Control!$B$4-14)*Control!$B$5,1)</f>
        <v>1731.9</v>
      </c>
      <c r="G5">
        <f>ROUND(SUMIFS(Data!$C:$C,Data!$A:$A,Control!$B$2,Data!$B:$B,Control!$B$4-13)*Control!$B$5,1)</f>
        <v>1789.3</v>
      </c>
      <c r="H5">
        <f>G5-F5</f>
        <v>57.399999999999864</v>
      </c>
      <c r="I5">
        <f>IFERROR(H5/F5,0)</f>
        <v>3.3142791154223604E-2</v>
      </c>
      <c r="J5">
        <f>ROUND(SUMIFS(Data!$E:$E,Data!$A:$A,Control!$B$2,Data!$B:$B,Control!$B$4-13)*Control!$B$5,1)</f>
        <v>1824.5</v>
      </c>
      <c r="K5">
        <f>IF(ABS(G5-J5)&lt;0.05,0,G5-J5)</f>
        <v>-35.200000000000045</v>
      </c>
    </row>
    <row r="6" spans="2:12" x14ac:dyDescent="0.25">
      <c r="C6" t="s">
        <v>3</v>
      </c>
      <c r="D6">
        <f>ROUND(SUMIFS(Data!$D:$D,Data!$A:$A,Control!$B$2,Data!$B:$B,Control!$B$4-16)*Control!$B$5,1)</f>
        <v>2111.5</v>
      </c>
      <c r="E6">
        <f>ROUND(SUMIFS(Data!$D:$D,Data!$A:$A,Control!$B$2,Data!$B:$B,Control!$B$4-15)*Control!$B$5,1)</f>
        <v>2128.1999999999998</v>
      </c>
      <c r="F6">
        <f>ROUND(SUMIFS(Data!$D:$D,Data!$A:$A,Control!$B$2,Data!$B:$B,Control!$B$4-14)*Control!$B$5,1)</f>
        <v>2062.4</v>
      </c>
      <c r="G6">
        <f>ROUND(SUMIFS(Data!$D:$D,Data!$A:$A,Control!$B$2,Data!$B:$B,Control!$B$4-13)*Control!$B$5,1)</f>
        <v>2110.6</v>
      </c>
      <c r="H6">
        <f>G6-F6</f>
        <v>48.199999999999818</v>
      </c>
      <c r="I6">
        <f>IFERROR(H6/F6,0)</f>
        <v>2.3370830100853286E-2</v>
      </c>
      <c r="J6">
        <f>ROUND(SUMIFS(Data!$F:$F,Data!$A:$A,Control!$B$2,Data!$B:$B,Control!$B$4-13)*Control!$B$5,1)</f>
        <v>2136.9</v>
      </c>
      <c r="K6">
        <f>IF(ABS(G6-J6)&lt;0.05,0,G6-J6)</f>
        <v>-26.300000000000182</v>
      </c>
    </row>
    <row r="7" spans="2:12" x14ac:dyDescent="0.25">
      <c r="C7" t="s">
        <v>31</v>
      </c>
      <c r="D7">
        <f>SUM(D5:D6)</f>
        <v>3914.8</v>
      </c>
      <c r="E7">
        <f>SUM(E5:E6)</f>
        <v>3890.7</v>
      </c>
      <c r="F7">
        <f>SUM(F5:F6)</f>
        <v>3794.3</v>
      </c>
      <c r="G7">
        <f>SUM(G5:G6)</f>
        <v>3899.8999999999996</v>
      </c>
      <c r="H7">
        <f>SUM(H5:H6)</f>
        <v>105.59999999999968</v>
      </c>
      <c r="I7">
        <f>IFERROR(H7/F7,0)</f>
        <v>2.7831220514982914E-2</v>
      </c>
      <c r="J7">
        <f>SUM(J5:J6)</f>
        <v>3961.4</v>
      </c>
      <c r="K7">
        <f>SUM(K5:K6)</f>
        <v>-61.500000000000227</v>
      </c>
    </row>
    <row r="8" spans="2:12" x14ac:dyDescent="0.25">
      <c r="C8" t="s">
        <v>32</v>
      </c>
      <c r="D8">
        <f>IF(D6=0,"n/a",D5/D6)</f>
        <v>0.85403741416054935</v>
      </c>
      <c r="E8">
        <f>IF(E6=0,"n/a",E5/E6)</f>
        <v>0.8281646461798704</v>
      </c>
      <c r="F8">
        <f>IF(F6=0,"n/a",F5/F6)</f>
        <v>0.83974980605120253</v>
      </c>
      <c r="G8">
        <f>IF(G6=0,"n/a",G5/G6)</f>
        <v>0.84776840708803181</v>
      </c>
    </row>
    <row r="9" spans="2:12" x14ac:dyDescent="0.25">
      <c r="C9" t="s">
        <v>33</v>
      </c>
      <c r="D9">
        <f>AVERAGE(D7:G7)</f>
        <v>3874.9249999999997</v>
      </c>
      <c r="E9">
        <f>MAX(D7:G7)</f>
        <v>3914.8</v>
      </c>
      <c r="F9">
        <f>MIN(D7:G7)</f>
        <v>3794.3</v>
      </c>
      <c r="G9">
        <f>COUNTIF(H5:H6,"&gt;0")</f>
        <v>2</v>
      </c>
    </row>
    <row r="10" spans="2:12" x14ac:dyDescent="0.25">
      <c r="C10" t="str">
        <f>"vs SLIDE_13"</f>
        <v>vs SLIDE_13</v>
      </c>
      <c r="D10">
        <f>G7-SLIDE_13!G7</f>
        <v>-83.100000000000364</v>
      </c>
      <c r="E10">
        <f>IFERROR(D10/SLIDE_13!G7,0)</f>
        <v>-2.0863670600050305E-2</v>
      </c>
      <c r="F10" t="str">
        <f>IF(AND(D10&gt;0,SLIDE_13!H7&gt;0),"up",IF(OR(D10&lt;0,SLIDE_13!H7&lt;0),"down","flat"))</f>
        <v>down</v>
      </c>
      <c r="G10">
        <f>INDEX(SLIDE_13!D5:G6,2,MATCH(MAX(SLIDE_13!D6:G6),SLIDE_13!D6:G6,0))</f>
        <v>2128.1999999999998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2062.4</v>
      </c>
      <c r="G12">
        <f ca="1">INDIRECT("D7")</f>
        <v>3914.8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1762.5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-1.5524814459534575E-2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A8C8-0DBC-45ED-AE2E-05C0F25A4E74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"&amp;TEXT(Control!$B$4-17,"00")</f>
        <v>Week 23</v>
      </c>
      <c r="E4" t="str">
        <f>"Week "&amp;TEXT(Control!$B$4-16,"00")</f>
        <v>Week 24</v>
      </c>
      <c r="F4" t="str">
        <f>"Week "&amp;TEXT(Control!$B$4-15,"00")</f>
        <v>Week 25</v>
      </c>
      <c r="G4" t="str">
        <f>"Week "&amp;TEXT(Control!$B$4-14,"00")</f>
        <v>Week 26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ROUND(SUMIFS(Data!$C:$C,Data!$A:$A,Control!$B$2,Data!$B:$B,Control!$B$4-17)*Control!$B$5,1)</f>
        <v>1808.6</v>
      </c>
      <c r="E5">
        <f>ROUND(SUMIFS(Data!$C:$C,Data!$A:$A,Control!$B$2,Data!$B:$B,Control!$B$4-16)*Control!$B$5,1)</f>
        <v>1803.3</v>
      </c>
      <c r="F5">
        <f>ROUND(SUMIFS(Data!$C:$C,Data!$A:$A,Control!$B$2,Data!$B:$B,Control!$B$4-15)*Control!$B$5,1)</f>
        <v>1762.5</v>
      </c>
      <c r="G5">
        <f>ROUND(SUMIFS(Data!$C:$C,Data!$A:$A,Control!$B$2,Data!$B:$B,Control!$B$4-14)*Control!$B$5,1)</f>
        <v>1731.9</v>
      </c>
      <c r="H5">
        <f>G5-F5</f>
        <v>-30.599999999999909</v>
      </c>
      <c r="I5">
        <f>IFERROR(H5/F5,0)</f>
        <v>-1.7361702127659522E-2</v>
      </c>
      <c r="J5">
        <f>ROUND(SUMIFS(Data!$E:$E,Data!$A:$A,Control!$B$2,Data!$B:$B,Control!$B$4-14)*Control!$B$5,1)</f>
        <v>1818</v>
      </c>
      <c r="K5">
        <f>IF(ABS(G5-J5)&lt;0.05,0,G5-J5)</f>
        <v>-86.099999999999909</v>
      </c>
    </row>
    <row r="6" spans="2:12" x14ac:dyDescent="0.25">
      <c r="C6" t="s">
        <v>3</v>
      </c>
      <c r="D6">
        <f>ROUND(SUMIFS(Data!$D:$D,Data!$A:$A,Control!$B$2,Data!$B:$B,Control!$B$4-17)*Control!$B$5,1)</f>
        <v>2172.9</v>
      </c>
      <c r="E6">
        <f>ROUND(SUMIFS(Data!$D:$D,Data!$A:$A,Control!$B$2,Data!$B:$B,Control!$B$4-16)*Control!$B$5,1)</f>
        <v>2111.5</v>
      </c>
      <c r="F6">
        <f>ROUND(SUMIFS(Data!$D:$D,Data!$A:$A,Control!$B$2,Data!$B:$B,Control!$B$4-15)*Control!$B$5,1)</f>
        <v>2128.1999999999998</v>
      </c>
      <c r="G6">
        <f>ROUND(SUMIFS(Data!$D:$D,Data!$A:$A,Control!$B$2,Data!$B:$B,Control!$B$4-14)*Control!$B$5,1)</f>
        <v>2062.4</v>
      </c>
      <c r="H6">
        <f>G6-F6</f>
        <v>-65.799999999999727</v>
      </c>
      <c r="I6">
        <f>IFERROR(H6/F6,0)</f>
        <v>-3.0918146790715032E-2</v>
      </c>
      <c r="J6">
        <f>ROUND(SUMIFS(Data!$F:$F,Data!$A:$A,Control!$B$2,Data!$B:$B,Control!$B$4-14)*Control!$B$5,1)</f>
        <v>2130.4</v>
      </c>
      <c r="K6">
        <f>IF(ABS(G6-J6)&lt;0.05,0,G6-J6)</f>
        <v>-68</v>
      </c>
    </row>
    <row r="7" spans="2:12" x14ac:dyDescent="0.25">
      <c r="C7" t="s">
        <v>31</v>
      </c>
      <c r="D7">
        <f>SUM(D5:D6)</f>
        <v>3981.5</v>
      </c>
      <c r="E7">
        <f>SUM(E5:E6)</f>
        <v>3914.8</v>
      </c>
      <c r="F7">
        <f>SUM(F5:F6)</f>
        <v>3890.7</v>
      </c>
      <c r="G7">
        <f>SUM(G5:G6)</f>
        <v>3794.3</v>
      </c>
      <c r="H7">
        <f>SUM(H5:H6)</f>
        <v>-96.399999999999636</v>
      </c>
      <c r="I7">
        <f>IFERROR(H7/F7,0)</f>
        <v>-2.4777032410620105E-2</v>
      </c>
      <c r="J7">
        <f>SUM(J5:J6)</f>
        <v>3948.4</v>
      </c>
      <c r="K7">
        <f>SUM(K5:K6)</f>
        <v>-154.09999999999991</v>
      </c>
    </row>
    <row r="8" spans="2:12" x14ac:dyDescent="0.25">
      <c r="C8" t="s">
        <v>32</v>
      </c>
      <c r="D8">
        <f>IF(D6=0,"n/a",D5/D6)</f>
        <v>0.83234387224446582</v>
      </c>
      <c r="E8">
        <f>IF(E6=0,"n/a",E5/E6)</f>
        <v>0.85403741416054935</v>
      </c>
      <c r="F8">
        <f>IF(F6=0,"n/a",F5/F6)</f>
        <v>0.8281646461798704</v>
      </c>
      <c r="G8">
        <f>IF(G6=0,"n/a",G5/G6)</f>
        <v>0.83974980605120253</v>
      </c>
    </row>
    <row r="9" spans="2:12" x14ac:dyDescent="0.25">
      <c r="C9" t="s">
        <v>33</v>
      </c>
      <c r="D9">
        <f>AVERAGE(D7:G7)</f>
        <v>3895.3249999999998</v>
      </c>
      <c r="E9">
        <f>MAX(D7:G7)</f>
        <v>3981.5</v>
      </c>
      <c r="F9">
        <f>MIN(D7:G7)</f>
        <v>3794.3</v>
      </c>
      <c r="G9">
        <f>COUNTIF(H5:H6,"&gt;0")</f>
        <v>0</v>
      </c>
    </row>
    <row r="10" spans="2:12" x14ac:dyDescent="0.25">
      <c r="C10" t="str">
        <f>"vs SLIDE_14"</f>
        <v>vs SLIDE_14</v>
      </c>
      <c r="D10">
        <f>G7-SLIDE_14!G7</f>
        <v>-105.59999999999945</v>
      </c>
      <c r="E10">
        <f>IFERROR(D10/SLIDE_14!G7,0)</f>
        <v>-2.7077617374804346E-2</v>
      </c>
      <c r="F10" t="str">
        <f>IF(AND(D10&gt;0,SLIDE_14!H7&gt;0),"up",IF(OR(D10&lt;0,SLIDE_14!H7&lt;0),"down","flat"))</f>
        <v>down</v>
      </c>
      <c r="G10">
        <f>INDEX(SLIDE_14!D5:G6,2,MATCH(MAX(SLIDE_14!D6:G6),SLIDE_14!D6:G6,0))</f>
        <v>2128.1999999999998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2128.1999999999998</v>
      </c>
      <c r="G12">
        <f ca="1">INDIRECT("D7")</f>
        <v>3981.5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1762.5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-3.90284672272313E-2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CAAE-21F9-496B-A5CA-89850DDEB367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"&amp;TEXT(Control!$B$4-18,"00")</f>
        <v>Week 22</v>
      </c>
      <c r="E4" t="str">
        <f>"Week "&amp;TEXT(Control!$B$4-17,"00")</f>
        <v>Week 23</v>
      </c>
      <c r="F4" t="str">
        <f>"Week "&amp;TEXT(Control!$B$4-16,"00")</f>
        <v>Week 24</v>
      </c>
      <c r="G4" t="str">
        <f>"Week "&amp;TEXT(Control!$B$4-15,"00")</f>
        <v>Week 25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ROUND(SUMIFS(Data!$C:$C,Data!$A:$A,Control!$B$2,Data!$B:$B,Control!$B$4-18)*Control!$B$5,1)</f>
        <v>1739.1</v>
      </c>
      <c r="E5">
        <f>ROUND(SUMIFS(Data!$C:$C,Data!$A:$A,Control!$B$2,Data!$B:$B,Control!$B$4-17)*Control!$B$5,1)</f>
        <v>1808.6</v>
      </c>
      <c r="F5">
        <f>ROUND(SUMIFS(Data!$C:$C,Data!$A:$A,Control!$B$2,Data!$B:$B,Control!$B$4-16)*Control!$B$5,1)</f>
        <v>1803.3</v>
      </c>
      <c r="G5">
        <f>ROUND(SUMIFS(Data!$C:$C,Data!$A:$A,Control!$B$2,Data!$B:$B,Control!$B$4-15)*Control!$B$5,1)</f>
        <v>1762.5</v>
      </c>
      <c r="H5">
        <f>G5-F5</f>
        <v>-40.799999999999955</v>
      </c>
      <c r="I5">
        <f>IFERROR(H5/F5,0)</f>
        <v>-2.2625187156879032E-2</v>
      </c>
      <c r="J5">
        <f>ROUND(SUMIFS(Data!$E:$E,Data!$A:$A,Control!$B$2,Data!$B:$B,Control!$B$4-15)*Control!$B$5,1)</f>
        <v>1810.4</v>
      </c>
      <c r="K5">
        <f>IF(ABS(G5-J5)&lt;0.05,0,G5-J5)</f>
        <v>-47.900000000000091</v>
      </c>
    </row>
    <row r="6" spans="2:12" x14ac:dyDescent="0.25">
      <c r="C6" t="s">
        <v>3</v>
      </c>
      <c r="D6">
        <f>ROUND(SUMIFS(Data!$D:$D,Data!$A:$A,Control!$B$2,Data!$B:$B,Control!$B$4-18)*Control!$B$5,1)</f>
        <v>2133.4</v>
      </c>
      <c r="E6">
        <f>ROUND(SUMIFS(Data!$D:$D,Data!$A:$A,Control!$B$2,Data!$B:$B,Control!$B$4-17)*Control!$B$5,1)</f>
        <v>2172.9</v>
      </c>
      <c r="F6">
        <f>ROUND(SUMIFS(Data!$D:$D,Data!$A:$A,Control!$B$2,Data!$B:$B,Control!$B$4-16)*Control!$B$5,1)</f>
        <v>2111.5</v>
      </c>
      <c r="G6">
        <f>ROUND(SUMIFS(Data!$D:$D,Data!$A:$A,Control!$B$2,Data!$B:$B,Control!$B$4-15)*Control!$B$5,1)</f>
        <v>2128.1999999999998</v>
      </c>
      <c r="H6">
        <f>G6-F6</f>
        <v>16.699999999999818</v>
      </c>
      <c r="I6">
        <f>IFERROR(H6/F6,0)</f>
        <v>7.9090693819558692E-3</v>
      </c>
      <c r="J6">
        <f>ROUND(SUMIFS(Data!$F:$F,Data!$A:$A,Control!$B$2,Data!$B:$B,Control!$B$4-15)*Control!$B$5,1)</f>
        <v>2122.8000000000002</v>
      </c>
      <c r="K6">
        <f>IF(ABS(G6-J6)&lt;0.05,0,G6-J6)</f>
        <v>5.3999999999996362</v>
      </c>
    </row>
    <row r="7" spans="2:12" x14ac:dyDescent="0.25">
      <c r="C7" t="s">
        <v>31</v>
      </c>
      <c r="D7">
        <f>SUM(D5:D6)</f>
        <v>3872.5</v>
      </c>
      <c r="E7">
        <f>SUM(E5:E6)</f>
        <v>3981.5</v>
      </c>
      <c r="F7">
        <f>SUM(F5:F6)</f>
        <v>3914.8</v>
      </c>
      <c r="G7">
        <f>SUM(G5:G6)</f>
        <v>3890.7</v>
      </c>
      <c r="H7">
        <f>SUM(H5:H6)</f>
        <v>-24.100000000000136</v>
      </c>
      <c r="I7">
        <f>IFERROR(H7/F7,0)</f>
        <v>-6.1561254725656829E-3</v>
      </c>
      <c r="J7">
        <f>SUM(J5:J6)</f>
        <v>3933.2000000000003</v>
      </c>
      <c r="K7">
        <f>SUM(K5:K6)</f>
        <v>-42.500000000000455</v>
      </c>
    </row>
    <row r="8" spans="2:12" x14ac:dyDescent="0.25">
      <c r="C8" t="s">
        <v>32</v>
      </c>
      <c r="D8">
        <f>IF(D6=0,"n/a",D5/D6)</f>
        <v>0.81517765069841563</v>
      </c>
      <c r="E8">
        <f>IF(E6=0,"n/a",E5/E6)</f>
        <v>0.83234387224446582</v>
      </c>
      <c r="F8">
        <f>IF(F6=0,"n/a",F5/F6)</f>
        <v>0.85403741416054935</v>
      </c>
      <c r="G8">
        <f>IF(G6=0,"n/a",G5/G6)</f>
        <v>0.8281646461798704</v>
      </c>
    </row>
    <row r="9" spans="2:12" x14ac:dyDescent="0.25">
      <c r="C9" t="s">
        <v>33</v>
      </c>
      <c r="D9">
        <f>AVERAGE(D7:G7)</f>
        <v>3914.875</v>
      </c>
      <c r="E9">
        <f>MAX(D7:G7)</f>
        <v>3981.5</v>
      </c>
      <c r="F9">
        <f>MIN(D7:G7)</f>
        <v>3872.5</v>
      </c>
      <c r="G9">
        <f>COUNTIF(H5:H6,"&gt;0")</f>
        <v>1</v>
      </c>
    </row>
    <row r="10" spans="2:12" x14ac:dyDescent="0.25">
      <c r="C10" t="str">
        <f>"vs SLIDE_15"</f>
        <v>vs SLIDE_15</v>
      </c>
      <c r="D10">
        <f>G7-SLIDE_15!G7</f>
        <v>96.399999999999636</v>
      </c>
      <c r="E10">
        <f>IFERROR(D10/SLIDE_15!G7,0)</f>
        <v>2.5406530848904839E-2</v>
      </c>
      <c r="F10" t="str">
        <f>IF(AND(D10&gt;0,SLIDE_15!H7&gt;0),"up",IF(OR(D10&lt;0,SLIDE_15!H7&lt;0),"down","flat"))</f>
        <v>down</v>
      </c>
      <c r="G10">
        <f>INDEX(SLIDE_15!D5:G6,2,MATCH(MAX(SLIDE_15!D6:G6),SLIDE_15!D6:G6,0))</f>
        <v>2172.9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2111.5</v>
      </c>
      <c r="G12">
        <f ca="1">INDIRECT("D7")</f>
        <v>3872.5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1762.5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-1.0805451032238511E-2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D1A7-D252-4D78-AC58-FFFDCAB80E78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"&amp;TEXT(Control!$B$4-19,"00")</f>
        <v>Week 21</v>
      </c>
      <c r="E4" t="str">
        <f>"Week "&amp;TEXT(Control!$B$4-18,"00")</f>
        <v>Week 22</v>
      </c>
      <c r="F4" t="str">
        <f>"Week "&amp;TEXT(Control!$B$4-17,"00")</f>
        <v>Week 23</v>
      </c>
      <c r="G4" t="str">
        <f>"Week "&amp;TEXT(Control!$B$4-16,"00")</f>
        <v>Week 24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ROUND(SUMIFS(Data!$C:$C,Data!$A:$A,Control!$B$2,Data!$B:$B,Control!$B$4-19)*Control!$B$5,1)</f>
        <v>1806.1</v>
      </c>
      <c r="E5">
        <f>ROUND(SUMIFS(Data!$C:$C,Data!$A:$A,Control!$B$2,Data!$B:$B,Control!$B$4-18)*Control!$B$5,1)</f>
        <v>1739.1</v>
      </c>
      <c r="F5">
        <f>ROUND(SUMIFS(Data!$C:$C,Data!$A:$A,Control!$B$2,Data!$B:$B,Control!$B$4-17)*Control!$B$5,1)</f>
        <v>1808.6</v>
      </c>
      <c r="G5">
        <f>ROUND(SUMIFS(Data!$C:$C,Data!$A:$A,Control!$B$2,Data!$B:$B,Control!$B$4-16)*Control!$B$5,1)</f>
        <v>1803.3</v>
      </c>
      <c r="H5">
        <f>G5-F5</f>
        <v>-5.2999999999999545</v>
      </c>
      <c r="I5">
        <f>IFERROR(H5/F5,0)</f>
        <v>-2.930443436912504E-3</v>
      </c>
      <c r="J5">
        <f>ROUND(SUMIFS(Data!$E:$E,Data!$A:$A,Control!$B$2,Data!$B:$B,Control!$B$4-16)*Control!$B$5,1)</f>
        <v>1802.8</v>
      </c>
      <c r="K5">
        <f>IF(ABS(G5-J5)&lt;0.05,0,G5-J5)</f>
        <v>0.5</v>
      </c>
    </row>
    <row r="6" spans="2:12" x14ac:dyDescent="0.25">
      <c r="C6" t="s">
        <v>3</v>
      </c>
      <c r="D6">
        <f>ROUND(SUMIFS(Data!$D:$D,Data!$A:$A,Control!$B$2,Data!$B:$B,Control!$B$4-19)*Control!$B$5,1)</f>
        <v>2101.5</v>
      </c>
      <c r="E6">
        <f>ROUND(SUMIFS(Data!$D:$D,Data!$A:$A,Control!$B$2,Data!$B:$B,Control!$B$4-18)*Control!$B$5,1)</f>
        <v>2133.4</v>
      </c>
      <c r="F6">
        <f>ROUND(SUMIFS(Data!$D:$D,Data!$A:$A,Control!$B$2,Data!$B:$B,Control!$B$4-17)*Control!$B$5,1)</f>
        <v>2172.9</v>
      </c>
      <c r="G6">
        <f>ROUND(SUMIFS(Data!$D:$D,Data!$A:$A,Control!$B$2,Data!$B:$B,Control!$B$4-16)*Control!$B$5,1)</f>
        <v>2111.5</v>
      </c>
      <c r="H6">
        <f>G6-F6</f>
        <v>-61.400000000000091</v>
      </c>
      <c r="I6">
        <f>IFERROR(H6/F6,0)</f>
        <v>-2.8257167840213579E-2</v>
      </c>
      <c r="J6">
        <f>ROUND(SUMIFS(Data!$F:$F,Data!$A:$A,Control!$B$2,Data!$B:$B,Control!$B$4-16)*Control!$B$5,1)</f>
        <v>2116.1999999999998</v>
      </c>
      <c r="K6">
        <f>IF(ABS(G6-J6)&lt;0.05,0,G6-J6)</f>
        <v>-4.6999999999998181</v>
      </c>
    </row>
    <row r="7" spans="2:12" x14ac:dyDescent="0.25">
      <c r="C7" t="s">
        <v>31</v>
      </c>
      <c r="D7">
        <f>SUM(D5:D6)</f>
        <v>3907.6</v>
      </c>
      <c r="E7">
        <f>SUM(E5:E6)</f>
        <v>3872.5</v>
      </c>
      <c r="F7">
        <f>SUM(F5:F6)</f>
        <v>3981.5</v>
      </c>
      <c r="G7">
        <f>SUM(G5:G6)</f>
        <v>3914.8</v>
      </c>
      <c r="H7">
        <f>SUM(H5:H6)</f>
        <v>-66.700000000000045</v>
      </c>
      <c r="I7">
        <f>IFERROR(H7/F7,0)</f>
        <v>-1.6752480221022239E-2</v>
      </c>
      <c r="J7">
        <f>SUM(J5:J6)</f>
        <v>3919</v>
      </c>
      <c r="K7">
        <f>SUM(K5:K6)</f>
        <v>-4.1999999999998181</v>
      </c>
    </row>
    <row r="8" spans="2:12" x14ac:dyDescent="0.25">
      <c r="C8" t="s">
        <v>32</v>
      </c>
      <c r="D8">
        <f>IF(D6=0,"n/a",D5/D6)</f>
        <v>0.85943373780632881</v>
      </c>
      <c r="E8">
        <f>IF(E6=0,"n/a",E5/E6)</f>
        <v>0.81517765069841563</v>
      </c>
      <c r="F8">
        <f>IF(F6=0,"n/a",F5/F6)</f>
        <v>0.83234387224446582</v>
      </c>
      <c r="G8">
        <f>IF(G6=0,"n/a",G5/G6)</f>
        <v>0.85403741416054935</v>
      </c>
    </row>
    <row r="9" spans="2:12" x14ac:dyDescent="0.25">
      <c r="C9" t="s">
        <v>33</v>
      </c>
      <c r="D9">
        <f>AVERAGE(D7:G7)</f>
        <v>3919.1000000000004</v>
      </c>
      <c r="E9">
        <f>MAX(D7:G7)</f>
        <v>3981.5</v>
      </c>
      <c r="F9">
        <f>MIN(D7:G7)</f>
        <v>3872.5</v>
      </c>
      <c r="G9">
        <f>COUNTIF(H5:H6,"&gt;0")</f>
        <v>0</v>
      </c>
    </row>
    <row r="10" spans="2:12" x14ac:dyDescent="0.25">
      <c r="C10" t="str">
        <f>"vs SLIDE_16"</f>
        <v>vs SLIDE_16</v>
      </c>
      <c r="D10">
        <f>G7-SLIDE_16!G7</f>
        <v>24.100000000000364</v>
      </c>
      <c r="E10">
        <f>IFERROR(D10/SLIDE_16!G7,0)</f>
        <v>6.1942581026551433E-3</v>
      </c>
      <c r="F10" t="str">
        <f>IF(AND(D10&gt;0,SLIDE_16!H7&gt;0),"up",IF(OR(D10&lt;0,SLIDE_16!H7&lt;0),"down","flat"))</f>
        <v>down</v>
      </c>
      <c r="G10">
        <f>INDEX(SLIDE_16!D5:G6,2,MATCH(MAX(SLIDE_16!D6:G6),SLIDE_16!D6:G6,0))</f>
        <v>2172.9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2172.9</v>
      </c>
      <c r="G12">
        <f ca="1">INDIRECT("D7")</f>
        <v>3907.6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1803.3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-1.0717019647868975E-3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2F97-E40D-4EC3-B32D-321BF9129F13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"&amp;TEXT(Control!$B$4-20,"00")</f>
        <v>Week 20</v>
      </c>
      <c r="E4" t="str">
        <f>"Week "&amp;TEXT(Control!$B$4-19,"00")</f>
        <v>Week 21</v>
      </c>
      <c r="F4" t="str">
        <f>"Week "&amp;TEXT(Control!$B$4-18,"00")</f>
        <v>Week 22</v>
      </c>
      <c r="G4" t="str">
        <f>"Week "&amp;TEXT(Control!$B$4-17,"00")</f>
        <v>Week 23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ROUND(SUMIFS(Data!$C:$C,Data!$A:$A,Control!$B$2,Data!$B:$B,Control!$B$4-20)*Control!$B$5,1)</f>
        <v>1787.3</v>
      </c>
      <c r="E5">
        <f>ROUND(SUMIFS(Data!$C:$C,Data!$A:$A,Control!$B$2,Data!$B:$B,Control!$B$4-19)*Control!$B$5,1)</f>
        <v>1806.1</v>
      </c>
      <c r="F5">
        <f>ROUND(SUMIFS(Data!$C:$C,Data!$A:$A,Control!$B$2,Data!$B:$B,Control!$B$4-18)*Control!$B$5,1)</f>
        <v>1739.1</v>
      </c>
      <c r="G5">
        <f>ROUND(SUMIFS(Data!$C:$C,Data!$A:$A,Control!$B$2,Data!$B:$B,Control!$B$4-17)*Control!$B$5,1)</f>
        <v>1808.6</v>
      </c>
      <c r="H5">
        <f>G5-F5</f>
        <v>69.5</v>
      </c>
      <c r="I5">
        <f>IFERROR(H5/F5,0)</f>
        <v>3.9963199355988729E-2</v>
      </c>
      <c r="J5">
        <f>ROUND(SUMIFS(Data!$E:$E,Data!$A:$A,Control!$B$2,Data!$B:$B,Control!$B$4-17)*Control!$B$5,1)</f>
        <v>1795.2</v>
      </c>
      <c r="K5">
        <f>IF(ABS(G5-J5)&lt;0.05,0,G5-J5)</f>
        <v>13.399999999999864</v>
      </c>
    </row>
    <row r="6" spans="2:12" x14ac:dyDescent="0.25">
      <c r="C6" t="s">
        <v>3</v>
      </c>
      <c r="D6">
        <f>ROUND(SUMIFS(Data!$D:$D,Data!$A:$A,Control!$B$2,Data!$B:$B,Control!$B$4-20)*Control!$B$5,1)</f>
        <v>2016.5</v>
      </c>
      <c r="E6">
        <f>ROUND(SUMIFS(Data!$D:$D,Data!$A:$A,Control!$B$2,Data!$B:$B,Control!$B$4-19)*Control!$B$5,1)</f>
        <v>2101.5</v>
      </c>
      <c r="F6">
        <f>ROUND(SUMIFS(Data!$D:$D,Data!$A:$A,Control!$B$2,Data!$B:$B,Control!$B$4-18)*Control!$B$5,1)</f>
        <v>2133.4</v>
      </c>
      <c r="G6">
        <f>ROUND(SUMIFS(Data!$D:$D,Data!$A:$A,Control!$B$2,Data!$B:$B,Control!$B$4-17)*Control!$B$5,1)</f>
        <v>2172.9</v>
      </c>
      <c r="H6">
        <f>G6-F6</f>
        <v>39.5</v>
      </c>
      <c r="I6">
        <f>IFERROR(H6/F6,0)</f>
        <v>1.851504640479985E-2</v>
      </c>
      <c r="J6">
        <f>ROUND(SUMIFS(Data!$F:$F,Data!$A:$A,Control!$B$2,Data!$B:$B,Control!$B$4-17)*Control!$B$5,1)</f>
        <v>2109.6999999999998</v>
      </c>
      <c r="K6">
        <f>IF(ABS(G6-J6)&lt;0.05,0,G6-J6)</f>
        <v>63.200000000000273</v>
      </c>
    </row>
    <row r="7" spans="2:12" x14ac:dyDescent="0.25">
      <c r="C7" t="s">
        <v>31</v>
      </c>
      <c r="D7">
        <f>SUM(D5:D6)</f>
        <v>3803.8</v>
      </c>
      <c r="E7">
        <f>SUM(E5:E6)</f>
        <v>3907.6</v>
      </c>
      <c r="F7">
        <f>SUM(F5:F6)</f>
        <v>3872.5</v>
      </c>
      <c r="G7">
        <f>SUM(G5:G6)</f>
        <v>3981.5</v>
      </c>
      <c r="H7">
        <f>SUM(H5:H6)</f>
        <v>109</v>
      </c>
      <c r="I7">
        <f>IFERROR(H7/F7,0)</f>
        <v>2.8147191736604262E-2</v>
      </c>
      <c r="J7">
        <f>SUM(J5:J6)</f>
        <v>3904.8999999999996</v>
      </c>
      <c r="K7">
        <f>SUM(K5:K6)</f>
        <v>76.600000000000136</v>
      </c>
    </row>
    <row r="8" spans="2:12" x14ac:dyDescent="0.25">
      <c r="C8" t="s">
        <v>32</v>
      </c>
      <c r="D8">
        <f>IF(D6=0,"n/a",D5/D6)</f>
        <v>0.88633771386064963</v>
      </c>
      <c r="E8">
        <f>IF(E6=0,"n/a",E5/E6)</f>
        <v>0.85943373780632881</v>
      </c>
      <c r="F8">
        <f>IF(F6=0,"n/a",F5/F6)</f>
        <v>0.81517765069841563</v>
      </c>
      <c r="G8">
        <f>IF(G6=0,"n/a",G5/G6)</f>
        <v>0.83234387224446582</v>
      </c>
    </row>
    <row r="9" spans="2:12" x14ac:dyDescent="0.25">
      <c r="C9" t="s">
        <v>33</v>
      </c>
      <c r="D9">
        <f>AVERAGE(D7:G7)</f>
        <v>3891.35</v>
      </c>
      <c r="E9">
        <f>MAX(D7:G7)</f>
        <v>3981.5</v>
      </c>
      <c r="F9">
        <f>MIN(D7:G7)</f>
        <v>3803.8</v>
      </c>
      <c r="G9">
        <f>COUNTIF(H5:H6,"&gt;0")</f>
        <v>2</v>
      </c>
    </row>
    <row r="10" spans="2:12" x14ac:dyDescent="0.25">
      <c r="C10" t="str">
        <f>"vs SLIDE_17"</f>
        <v>vs SLIDE_17</v>
      </c>
      <c r="D10">
        <f>G7-SLIDE_17!G7</f>
        <v>66.699999999999818</v>
      </c>
      <c r="E10">
        <f>IFERROR(D10/SLIDE_17!G7,0)</f>
        <v>1.7037907428221061E-2</v>
      </c>
      <c r="F10" t="str">
        <f>IF(AND(D10&gt;0,SLIDE_17!H7&gt;0),"up",IF(OR(D10&lt;0,SLIDE_17!H7&lt;0),"down","flat"))</f>
        <v>down</v>
      </c>
      <c r="G10">
        <f>INDEX(SLIDE_17!D5:G6,2,MATCH(MAX(SLIDE_17!D6:G6),SLIDE_17!D6:G6,0))</f>
        <v>2172.9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2133.4</v>
      </c>
      <c r="G12">
        <f ca="1">INDIRECT("D7")</f>
        <v>3803.8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1787.3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1.9616379420727803E-2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FAB6-1EDB-47A3-8EC0-7E4E7CBAA5D0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"&amp;TEXT(Control!$B$4-21,"00")</f>
        <v>Week 19</v>
      </c>
      <c r="E4" t="str">
        <f>"Week "&amp;TEXT(Control!$B$4-20,"00")</f>
        <v>Week 20</v>
      </c>
      <c r="F4" t="str">
        <f>"Week "&amp;TEXT(Control!$B$4-19,"00")</f>
        <v>Week 21</v>
      </c>
      <c r="G4" t="str">
        <f>"Week "&amp;TEXT(Control!$B$4-18,"00")</f>
        <v>Week 22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ROUND(SUMIFS(Data!$C:$C,Data!$A:$A,Control!$B$2,Data!$B:$B,Control!$B$4-21)*Control!$B$5,1)</f>
        <v>1722.8</v>
      </c>
      <c r="E5">
        <f>ROUND(SUMIFS(Data!$C:$C,Data!$A:$A,Control!$B$2,Data!$B:$B,Control!$B$4-20)*Control!$B$5,1)</f>
        <v>1787.3</v>
      </c>
      <c r="F5">
        <f>ROUND(SUMIFS(Data!$C:$C,Data!$A:$A,Control!$B$2,Data!$B:$B,Control!$B$4-19)*Control!$B$5,1)</f>
        <v>1806.1</v>
      </c>
      <c r="G5">
        <f>ROUND(SUMIFS(Data!$C:$C,Data!$A:$A,Control!$B$2,Data!$B:$B,Control!$B$4-18)*Control!$B$5,1)</f>
        <v>1739.1</v>
      </c>
      <c r="H5">
        <f>G5-F5</f>
        <v>-67</v>
      </c>
      <c r="I5">
        <f>IFERROR(H5/F5,0)</f>
        <v>-3.7096506284258902E-2</v>
      </c>
      <c r="J5">
        <f>ROUND(SUMIFS(Data!$E:$E,Data!$A:$A,Control!$B$2,Data!$B:$B,Control!$B$4-18)*Control!$B$5,1)</f>
        <v>1787.6</v>
      </c>
      <c r="K5">
        <f>IF(ABS(G5-J5)&lt;0.05,0,G5-J5)</f>
        <v>-48.5</v>
      </c>
    </row>
    <row r="6" spans="2:12" x14ac:dyDescent="0.25">
      <c r="C6" t="s">
        <v>3</v>
      </c>
      <c r="D6">
        <f>ROUND(SUMIFS(Data!$D:$D,Data!$A:$A,Control!$B$2,Data!$B:$B,Control!$B$4-21)*Control!$B$5,1)</f>
        <v>2023.6</v>
      </c>
      <c r="E6">
        <f>ROUND(SUMIFS(Data!$D:$D,Data!$A:$A,Control!$B$2,Data!$B:$B,Control!$B$4-20)*Control!$B$5,1)</f>
        <v>2016.5</v>
      </c>
      <c r="F6">
        <f>ROUND(SUMIFS(Data!$D:$D,Data!$A:$A,Control!$B$2,Data!$B:$B,Control!$B$4-19)*Control!$B$5,1)</f>
        <v>2101.5</v>
      </c>
      <c r="G6">
        <f>ROUND(SUMIFS(Data!$D:$D,Data!$A:$A,Control!$B$2,Data!$B:$B,Control!$B$4-18)*Control!$B$5,1)</f>
        <v>2133.4</v>
      </c>
      <c r="H6">
        <f>G6-F6</f>
        <v>31.900000000000091</v>
      </c>
      <c r="I6">
        <f>IFERROR(H6/F6,0)</f>
        <v>1.5179633595051197E-2</v>
      </c>
      <c r="J6">
        <f>ROUND(SUMIFS(Data!$F:$F,Data!$A:$A,Control!$B$2,Data!$B:$B,Control!$B$4-18)*Control!$B$5,1)</f>
        <v>2103.1999999999998</v>
      </c>
      <c r="K6">
        <f>IF(ABS(G6-J6)&lt;0.05,0,G6-J6)</f>
        <v>30.200000000000273</v>
      </c>
    </row>
    <row r="7" spans="2:12" x14ac:dyDescent="0.25">
      <c r="C7" t="s">
        <v>31</v>
      </c>
      <c r="D7">
        <f>SUM(D5:D6)</f>
        <v>3746.3999999999996</v>
      </c>
      <c r="E7">
        <f>SUM(E5:E6)</f>
        <v>3803.8</v>
      </c>
      <c r="F7">
        <f>SUM(F5:F6)</f>
        <v>3907.6</v>
      </c>
      <c r="G7">
        <f>SUM(G5:G6)</f>
        <v>3872.5</v>
      </c>
      <c r="H7">
        <f>SUM(H5:H6)</f>
        <v>-35.099999999999909</v>
      </c>
      <c r="I7">
        <f>IFERROR(H7/F7,0)</f>
        <v>-8.9824956495035083E-3</v>
      </c>
      <c r="J7">
        <f>SUM(J5:J6)</f>
        <v>3890.7999999999997</v>
      </c>
      <c r="K7">
        <f>SUM(K5:K6)</f>
        <v>-18.299999999999727</v>
      </c>
    </row>
    <row r="8" spans="2:12" x14ac:dyDescent="0.25">
      <c r="C8" t="s">
        <v>32</v>
      </c>
      <c r="D8">
        <f>IF(D6=0,"n/a",D5/D6)</f>
        <v>0.85135402253409764</v>
      </c>
      <c r="E8">
        <f>IF(E6=0,"n/a",E5/E6)</f>
        <v>0.88633771386064963</v>
      </c>
      <c r="F8">
        <f>IF(F6=0,"n/a",F5/F6)</f>
        <v>0.85943373780632881</v>
      </c>
      <c r="G8">
        <f>IF(G6=0,"n/a",G5/G6)</f>
        <v>0.81517765069841563</v>
      </c>
    </row>
    <row r="9" spans="2:12" x14ac:dyDescent="0.25">
      <c r="C9" t="s">
        <v>33</v>
      </c>
      <c r="D9">
        <f>AVERAGE(D7:G7)</f>
        <v>3832.5749999999998</v>
      </c>
      <c r="E9">
        <f>MAX(D7:G7)</f>
        <v>3907.6</v>
      </c>
      <c r="F9">
        <f>MIN(D7:G7)</f>
        <v>3746.3999999999996</v>
      </c>
      <c r="G9">
        <f>COUNTIF(H5:H6,"&gt;0")</f>
        <v>1</v>
      </c>
    </row>
    <row r="10" spans="2:12" x14ac:dyDescent="0.25">
      <c r="C10" t="str">
        <f>"vs SLIDE_18"</f>
        <v>vs SLIDE_18</v>
      </c>
      <c r="D10">
        <f>G7-SLIDE_18!G7</f>
        <v>-109</v>
      </c>
      <c r="E10">
        <f>IFERROR(D10/SLIDE_18!G7,0)</f>
        <v>-2.737661685294487E-2</v>
      </c>
      <c r="F10" t="str">
        <f>IF(AND(D10&gt;0,SLIDE_18!H7&gt;0),"up",IF(OR(D10&lt;0,SLIDE_18!H7&lt;0),"down","flat"))</f>
        <v>down</v>
      </c>
      <c r="G10">
        <f>INDEX(SLIDE_18!D5:G6,2,MATCH(MAX(SLIDE_18!D6:G6),SLIDE_18!D6:G6,0))</f>
        <v>2172.9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2101.5</v>
      </c>
      <c r="G12">
        <f ca="1">INDIRECT("D7")</f>
        <v>3746.3999999999996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1739.1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-4.7034028991466137E-3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F066-7C09-4FA5-B308-5B69E72BED1B}">
  <dimension ref="B2:L13"/>
  <sheetViews>
    <sheetView tabSelected="1"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"&amp;TEXT(Control!$B$4-22,"00")</f>
        <v>Week 18</v>
      </c>
      <c r="E4" t="str">
        <f>"Week "&amp;TEXT(Control!$B$4-21,"00")</f>
        <v>Week 19</v>
      </c>
      <c r="F4" t="str">
        <f>"Week "&amp;TEXT(Control!$B$4-20,"00")</f>
        <v>Week 20</v>
      </c>
      <c r="G4" t="str">
        <f>"Week "&amp;TEXT(Control!$B$4-19,"00")</f>
        <v>Week 21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ROUND(SUMIFS(Data!$C:$C,Data!$A:$A,Control!$B$2,Data!$B:$B,Control!$B$4-22)*Control!$B$5,1)</f>
        <v>1755</v>
      </c>
      <c r="E5">
        <f>ROUND(SUMIFS(Data!$C:$C,Data!$A:$A,Control!$B$2,Data!$B:$B,Control!$B$4-21)*Control!$B$5,1)</f>
        <v>1722.8</v>
      </c>
      <c r="F5">
        <f>ROUND(SUMIFS(Data!$C:$C,Data!$A:$A,Control!$B$2,Data!$B:$B,Control!$B$4-20)*Control!$B$5,1)</f>
        <v>1787.3</v>
      </c>
      <c r="G5">
        <f>ROUND(SUMIFS(Data!$C:$C,Data!$A:$A,Control!$B$2,Data!$B:$B,Control!$B$4-19)*Control!$B$5,1)</f>
        <v>1806.1</v>
      </c>
      <c r="H5">
        <f>G5-F5</f>
        <v>18.799999999999955</v>
      </c>
      <c r="I5">
        <f>IFERROR(H5/F5,0)</f>
        <v>1.0518659430425757E-2</v>
      </c>
      <c r="J5">
        <f>ROUND(SUMIFS(Data!$E:$E,Data!$A:$A,Control!$B$2,Data!$B:$B,Control!$B$4-19)*Control!$B$5,1)</f>
        <v>1781.1</v>
      </c>
      <c r="K5">
        <f>IF(ABS(G5-J5)&lt;0.05,0,G5-J5)</f>
        <v>25</v>
      </c>
    </row>
    <row r="6" spans="2:12" x14ac:dyDescent="0.25">
      <c r="C6" t="s">
        <v>3</v>
      </c>
      <c r="D6">
        <f>ROUND(SUMIFS(Data!$D:$D,Data!$A:$A,Control!$B$2,Data!$B:$B,Control!$B$4-22)*Control!$B$5,1)</f>
        <v>2013.4</v>
      </c>
      <c r="E6">
        <f>ROUND(SUMIFS(Data!$D:$D,Data!$A:$A,Control!$B$2,Data!$B:$B,Control!$B$4-21)*Control!$B$5,1)</f>
        <v>2023.6</v>
      </c>
      <c r="F6">
        <f>ROUND(SUMIFS(Data!$D:$D,Data!$A:$A,Control!$B$2,Data!$B:$B,Control!$B$4-20)*Control!$B$5,1)</f>
        <v>2016.5</v>
      </c>
      <c r="G6">
        <f>ROUND(SUMIFS(Data!$D:$D,Data!$A:$A,Control!$B$2,Data!$B:$B,Control!$B$4-19)*Control!$B$5,1)</f>
        <v>2101.5</v>
      </c>
      <c r="H6">
        <f>G6-F6</f>
        <v>85</v>
      </c>
      <c r="I6">
        <f>IFERROR(H6/F6,0)</f>
        <v>4.2152243987106375E-2</v>
      </c>
      <c r="J6">
        <f>ROUND(SUMIFS(Data!$F:$F,Data!$A:$A,Control!$B$2,Data!$B:$B,Control!$B$4-19)*Control!$B$5,1)</f>
        <v>2095.6</v>
      </c>
      <c r="K6">
        <f>IF(ABS(G6-J6)&lt;0.05,0,G6-J6)</f>
        <v>5.9000000000000909</v>
      </c>
    </row>
    <row r="7" spans="2:12" x14ac:dyDescent="0.25">
      <c r="C7" t="s">
        <v>31</v>
      </c>
      <c r="D7">
        <f>SUM(D5:D6)</f>
        <v>3768.4</v>
      </c>
      <c r="E7">
        <f>SUM(E5:E6)</f>
        <v>3746.3999999999996</v>
      </c>
      <c r="F7">
        <f>SUM(F5:F6)</f>
        <v>3803.8</v>
      </c>
      <c r="G7">
        <f>SUM(G5:G6)</f>
        <v>3907.6</v>
      </c>
      <c r="H7">
        <f>SUM(H5:H6)</f>
        <v>103.79999999999995</v>
      </c>
      <c r="I7">
        <f>IFERROR(H7/F7,0)</f>
        <v>2.7288500972711485E-2</v>
      </c>
      <c r="J7">
        <f>SUM(J5:J6)</f>
        <v>3876.7</v>
      </c>
      <c r="K7">
        <f>SUM(K5:K6)</f>
        <v>30.900000000000091</v>
      </c>
    </row>
    <row r="8" spans="2:12" x14ac:dyDescent="0.25">
      <c r="C8" t="s">
        <v>32</v>
      </c>
      <c r="D8">
        <f>IF(D6=0,"n/a",D5/D6)</f>
        <v>0.87165987881195983</v>
      </c>
      <c r="E8">
        <f>IF(E6=0,"n/a",E5/E6)</f>
        <v>0.85135402253409764</v>
      </c>
      <c r="F8">
        <f>IF(F6=0,"n/a",F5/F6)</f>
        <v>0.88633771386064963</v>
      </c>
      <c r="G8">
        <f>IF(G6=0,"n/a",G5/G6)</f>
        <v>0.85943373780632881</v>
      </c>
    </row>
    <row r="9" spans="2:12" x14ac:dyDescent="0.25">
      <c r="C9" t="s">
        <v>33</v>
      </c>
      <c r="D9">
        <f>AVERAGE(D7:G7)</f>
        <v>3806.5499999999997</v>
      </c>
      <c r="E9">
        <f>MAX(D7:G7)</f>
        <v>3907.6</v>
      </c>
      <c r="F9">
        <f>MIN(D7:G7)</f>
        <v>3746.3999999999996</v>
      </c>
      <c r="G9">
        <f>COUNTIF(H5:H6,"&gt;0")</f>
        <v>2</v>
      </c>
    </row>
    <row r="10" spans="2:12" x14ac:dyDescent="0.25">
      <c r="C10" t="str">
        <f>"vs SLIDE_19"</f>
        <v>vs SLIDE_19</v>
      </c>
      <c r="D10">
        <f>G7-SLIDE_19!G7</f>
        <v>35.099999999999909</v>
      </c>
      <c r="E10">
        <f>IFERROR(D10/SLIDE_19!G7,0)</f>
        <v>9.0639122014202472E-3</v>
      </c>
      <c r="F10" t="str">
        <f>IF(AND(D10&gt;0,SLIDE_19!H7&gt;0),"up",IF(OR(D10&lt;0,SLIDE_19!H7&lt;0),"down","flat"))</f>
        <v>down</v>
      </c>
      <c r="G10">
        <f>INDEX(SLIDE_19!D5:G6,2,MATCH(MAX(SLIDE_19!D6:G6),SLIDE_19!D6:G6,0))</f>
        <v>2133.4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2016.5</v>
      </c>
      <c r="G12">
        <f ca="1">INDIRECT("D7")</f>
        <v>3768.4</v>
      </c>
      <c r="H12">
        <f>AVERAGEIF(Data!$A$2:$A$521,Control!$B$2,Data!$C$2:$C$521)</f>
        <v>1655.394769230769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1755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7.9706967265973372E-3</v>
      </c>
      <c r="L13">
        <f>SUM(_xlfn._xlws.FILTER(Data!$C$2:$C$521,Data!$A$2:$A$521=Control!$B$2))</f>
        <v>86080.527999999991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22</vt:i4>
      </vt:variant>
    </vt:vector>
  </HeadingPairs>
  <TitlesOfParts>
    <vt:vector size="22" baseType="lpstr">
      <vt:lpstr>Control</vt:lpstr>
      <vt:lpstr>Data</vt:lpstr>
      <vt:lpstr>SLIDE_1</vt:lpstr>
      <vt:lpstr>SLIDE_2</vt:lpstr>
      <vt:lpstr>SLIDE_3</vt:lpstr>
      <vt:lpstr>SLIDE_4</vt:lpstr>
      <vt:lpstr>SLIDE_5</vt:lpstr>
      <vt:lpstr>SLIDE_6</vt:lpstr>
      <vt:lpstr>SLIDE_7</vt:lpstr>
      <vt:lpstr>SLIDE_8</vt:lpstr>
      <vt:lpstr>SLIDE_9</vt:lpstr>
      <vt:lpstr>SLIDE_10</vt:lpstr>
      <vt:lpstr>SLIDE_11</vt:lpstr>
      <vt:lpstr>SLIDE_12</vt:lpstr>
      <vt:lpstr>SLIDE_13</vt:lpstr>
      <vt:lpstr>SLIDE_14</vt:lpstr>
      <vt:lpstr>SLIDE_15</vt:lpstr>
      <vt:lpstr>SLIDE_16</vt:lpstr>
      <vt:lpstr>SLIDE_17</vt:lpstr>
      <vt:lpstr>SLIDE_18</vt:lpstr>
      <vt:lpstr>SLIDE_19</vt:lpstr>
      <vt:lpstr>SLIDE_20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2026-10-16T08:07:13Z</dcterms:created>
  <dcterms:modified xsi:type="dcterms:W3CDTF">2026-10-16T08:07:34Z</dcterms:modified>
</cp:coreProperties>
</file>