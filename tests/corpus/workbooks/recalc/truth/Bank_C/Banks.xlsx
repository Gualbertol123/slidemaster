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18E178D3-9D8E-4522-B7E4-DEC39D55463F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E11" i="5"/>
  <c r="C10" i="5"/>
  <c r="J6" i="5"/>
  <c r="K6" i="5" s="1"/>
  <c r="G6" i="5"/>
  <c r="F6" i="5"/>
  <c r="F12" i="5" s="1"/>
  <c r="E6" i="5"/>
  <c r="D6" i="5"/>
  <c r="J5" i="5"/>
  <c r="G5" i="5"/>
  <c r="K5" i="5" s="1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E11" i="4"/>
  <c r="C10" i="4"/>
  <c r="J6" i="4"/>
  <c r="G6" i="4"/>
  <c r="G8" i="4" s="1"/>
  <c r="F6" i="4"/>
  <c r="F12" i="4" s="1"/>
  <c r="E6" i="4"/>
  <c r="D6" i="4"/>
  <c r="J5" i="4"/>
  <c r="K5" i="4" s="1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J7" i="3" s="1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J7" i="4" l="1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<sst xmlns="http://schemas.openxmlformats.org/spreadsheetml/2006/main" count="196" uniqueCount="42">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</sst>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228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9</v>
      </c>
    </row>
    <row r="3" spans="1:2" x14ac:dyDescent="0.25">
      <c r="A3" t="s">
        <v>18</v>
      </c>
      <c r="B3">
        <f>MATCH(B2,Data!H2:H11,0)</f>
        <v>3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C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C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3227.6</v>
      </c>
      <c r="E5">
        <f>ROUND(SUMIFS(Data!$C:$C,Data!$A:$A,Control!$B$2,Data!$B:$B,Control!$B$4-2)*Control!$B$5,1)</f>
        <v>3267.9</v>
      </c>
      <c r="F5">
        <f>ROUND(SUMIFS(Data!$C:$C,Data!$A:$A,Control!$B$2,Data!$B:$B,Control!$B$4-1)*Control!$B$5,1)</f>
        <v>3339.2</v>
      </c>
      <c r="G5">
        <f>ROUND(SUMIFS(Data!$C:$C,Data!$A:$A,Control!$B$2,Data!$B:$B,Control!$B$4-0)*Control!$B$5,1)</f>
        <v>3302.7</v>
      </c>
      <c r="H5">
        <f>G5-F5</f>
        <v>-36.5</v>
      </c>
      <c r="I5">
        <f>IFERROR(H5/F5,0)</f>
        <v>-1.0930761859127936E-2</v>
      </c>
      <c r="J5">
        <f>ROUND(SUMIFS(Data!$E:$E,Data!$A:$A,Control!$B$2,Data!$B:$B,Control!$B$4-0)*Control!$B$5,1)</f>
        <v>3315.9</v>
      </c>
      <c r="K5">
        <f>IF(ABS(G5-J5)&lt;0.05,0,G5-J5)</f>
        <v>-13.200000000000273</v>
      </c>
    </row>
    <row r="6" spans="2:12" x14ac:dyDescent="0.25">
      <c r="C6" t="s">
        <v>3</v>
      </c>
      <c r="D6">
        <f>ROUND(SUMIFS(Data!$D:$D,Data!$A:$A,Control!$B$2,Data!$B:$B,Control!$B$4-3)*Control!$B$5,1)</f>
        <v>3799.7</v>
      </c>
      <c r="E6">
        <f>ROUND(SUMIFS(Data!$D:$D,Data!$A:$A,Control!$B$2,Data!$B:$B,Control!$B$4-2)*Control!$B$5,1)</f>
        <v>3973.7</v>
      </c>
      <c r="F6">
        <f>ROUND(SUMIFS(Data!$D:$D,Data!$A:$A,Control!$B$2,Data!$B:$B,Control!$B$4-1)*Control!$B$5,1)</f>
        <v>3922.1</v>
      </c>
      <c r="G6">
        <f>ROUND(SUMIFS(Data!$D:$D,Data!$A:$A,Control!$B$2,Data!$B:$B,Control!$B$4-0)*Control!$B$5,1)</f>
        <v>3918.3</v>
      </c>
      <c r="H6">
        <f>G6-F6</f>
        <v>-3.7999999999997272</v>
      </c>
      <c r="I6">
        <f>IFERROR(H6/F6,0)</f>
        <v>-9.6886871828860232E-4</v>
      </c>
      <c r="J6">
        <f>ROUND(SUMIFS(Data!$F:$F,Data!$A:$A,Control!$B$2,Data!$B:$B,Control!$B$4-0)*Control!$B$5,1)</f>
        <v>3933.1</v>
      </c>
      <c r="K6">
        <f>IF(ABS(G6-J6)&lt;0.05,0,G6-J6)</f>
        <v>-14.799999999999727</v>
      </c>
    </row>
    <row r="7" spans="2:12" x14ac:dyDescent="0.25">
      <c r="C7" t="s">
        <v>31</v>
      </c>
      <c r="D7">
        <f>SUM(D5:D6)</f>
        <v>7027.2999999999993</v>
      </c>
      <c r="E7">
        <f>SUM(E5:E6)</f>
        <v>7241.6</v>
      </c>
      <c r="F7">
        <f>SUM(F5:F6)</f>
        <v>7261.2999999999993</v>
      </c>
      <c r="G7">
        <f>SUM(G5:G6)</f>
        <v>7221</v>
      </c>
      <c r="H7">
        <f>SUM(H5:H6)</f>
        <v>-40.299999999999727</v>
      </c>
      <c r="I7">
        <f>IFERROR(H7/F7,0)</f>
        <v>-5.5499703909767852E-3</v>
      </c>
      <c r="J7">
        <f>SUM(J5:J6)</f>
        <v>7249</v>
      </c>
      <c r="K7">
        <f>SUM(K5:K6)</f>
        <v>-28</v>
      </c>
    </row>
    <row r="8" spans="2:12" x14ac:dyDescent="0.25">
      <c r="C8" t="s">
        <v>32</v>
      </c>
      <c r="D8">
        <f>IF(D6=0,"n/a",D5/D6)</f>
        <v>0.8494354817485591</v>
      </c>
      <c r="E8">
        <f>IF(E6=0,"n/a",E5/E6)</f>
        <v>0.82238216271988329</v>
      </c>
      <c r="F8">
        <f>IF(F6=0,"n/a",F5/F6)</f>
        <v>0.85138063792356133</v>
      </c>
      <c r="G8">
        <f>IF(G6=0,"n/a",G5/G6)</f>
        <v>0.84289104968991646</v>
      </c>
    </row>
    <row r="9" spans="2:12" x14ac:dyDescent="0.25">
      <c r="C9" t="s">
        <v>33</v>
      </c>
      <c r="D9">
        <f>AVERAGE(D7:G7)</f>
        <v>7187.7999999999993</v>
      </c>
      <c r="E9">
        <f>MAX(D7:G7)</f>
        <v>7261.2999999999993</v>
      </c>
      <c r="F9">
        <f>MIN(D7:G7)</f>
        <v>7027.2999999999993</v>
      </c>
      <c r="G9">
        <f>COUNTIF(H5:H6,"&gt;0")</f>
        <v>0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8</v>
      </c>
      <c r="F11" t="str">
        <f>VLOOKUP(Control!$B$2,Data!$H$2:$H$11,1,FALSE)</f>
        <v>Bank C</v>
      </c>
      <c r="G11" t="str">
        <f>LEFT(Control!$B$2,4)&amp;MID(Control!$B$2,6,1)&amp;LEN(Control!$B$2)</f>
        <v>BankC6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3922.1</v>
      </c>
      <c r="G12">
        <f ca="1">INDIRECT("D7")</f>
        <v>7027.2999999999993</v>
      </c>
      <c r="H12">
        <f>AVERAGEIF(Data!$A$2:$A$121,Control!$B$2,Data!$C$2:$C$121)</f>
        <v>2980.2876666666666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8000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3267.9</v>
      </c>
      <c r="H13" t="str">
        <f>_xlfn.XLOOKUP(Control!$B$2,Data!$H$2:$H$11,Data!$H$2:$H$11,"none")</f>
        <v>Bank C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-3.8626017381707678E-3</v>
      </c>
      <c r="L13" cm="1">
        <f t="array" ref="L13">SUM(_xlfn._xlws.FILTER(Data!$C$2:$C$121,Data!$A$2:$A$121=Control!$B$2))</f>
        <v>35763.451999999997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C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3285.2</v>
      </c>
      <c r="E5">
        <f>ROUND(SUMIFS(Data!$C:$C,Data!$A:$A,Control!$B$2,Data!$B:$B,Control!$B$4-3)*Control!$B$5,1)</f>
        <v>3227.6</v>
      </c>
      <c r="F5">
        <f>ROUND(SUMIFS(Data!$C:$C,Data!$A:$A,Control!$B$2,Data!$B:$B,Control!$B$4-2)*Control!$B$5,1)</f>
        <v>3267.9</v>
      </c>
      <c r="G5">
        <f>ROUND(SUMIFS(Data!$C:$C,Data!$A:$A,Control!$B$2,Data!$B:$B,Control!$B$4-1)*Control!$B$5,1)</f>
        <v>3339.2</v>
      </c>
      <c r="H5">
        <f>G5-F5</f>
        <v>71.299999999999727</v>
      </c>
      <c r="I5">
        <f>IFERROR(H5/F5,0)</f>
        <v>2.1818293093423827E-2</v>
      </c>
      <c r="J5">
        <f>ROUND(SUMIFS(Data!$E:$E,Data!$A:$A,Control!$B$2,Data!$B:$B,Control!$B$4-1)*Control!$B$5,1)</f>
        <v>3301.8</v>
      </c>
      <c r="K5">
        <f>IF(ABS(G5-J5)&lt;0.05,0,G5-J5)</f>
        <v>37.399999999999636</v>
      </c>
    </row>
    <row r="6" spans="2:12" x14ac:dyDescent="0.25">
      <c r="C6" t="s">
        <v>3</v>
      </c>
      <c r="D6">
        <f>ROUND(SUMIFS(Data!$D:$D,Data!$A:$A,Control!$B$2,Data!$B:$B,Control!$B$4-4)*Control!$B$5,1)</f>
        <v>3949.9</v>
      </c>
      <c r="E6">
        <f>ROUND(SUMIFS(Data!$D:$D,Data!$A:$A,Control!$B$2,Data!$B:$B,Control!$B$4-3)*Control!$B$5,1)</f>
        <v>3799.7</v>
      </c>
      <c r="F6">
        <f>ROUND(SUMIFS(Data!$D:$D,Data!$A:$A,Control!$B$2,Data!$B:$B,Control!$B$4-2)*Control!$B$5,1)</f>
        <v>3973.7</v>
      </c>
      <c r="G6">
        <f>ROUND(SUMIFS(Data!$D:$D,Data!$A:$A,Control!$B$2,Data!$B:$B,Control!$B$4-1)*Control!$B$5,1)</f>
        <v>3922.1</v>
      </c>
      <c r="H6">
        <f>G6-F6</f>
        <v>-51.599999999999909</v>
      </c>
      <c r="I6">
        <f>IFERROR(H6/F6,0)</f>
        <v>-1.2985378866044218E-2</v>
      </c>
      <c r="J6">
        <f>ROUND(SUMIFS(Data!$F:$F,Data!$A:$A,Control!$B$2,Data!$B:$B,Control!$B$4-1)*Control!$B$5,1)</f>
        <v>3920.1</v>
      </c>
      <c r="K6">
        <f>IF(ABS(G6-J6)&lt;0.05,0,G6-J6)</f>
        <v>2</v>
      </c>
    </row>
    <row r="7" spans="2:12" x14ac:dyDescent="0.25">
      <c r="C7" t="s">
        <v>31</v>
      </c>
      <c r="D7">
        <f>SUM(D5:D6)</f>
        <v>7235.1</v>
      </c>
      <c r="E7">
        <f>SUM(E5:E6)</f>
        <v>7027.2999999999993</v>
      </c>
      <c r="F7">
        <f>SUM(F5:F6)</f>
        <v>7241.6</v>
      </c>
      <c r="G7">
        <f>SUM(G5:G6)</f>
        <v>7261.2999999999993</v>
      </c>
      <c r="H7">
        <f>SUM(H5:H6)</f>
        <v>19.699999999999818</v>
      </c>
      <c r="I7">
        <f>IFERROR(H7/F7,0)</f>
        <v>2.7203932832522947E-3</v>
      </c>
      <c r="J7">
        <f>SUM(J5:J6)</f>
        <v>7221.9</v>
      </c>
      <c r="K7">
        <f>SUM(K5:K6)</f>
        <v>39.399999999999636</v>
      </c>
    </row>
    <row r="8" spans="2:12" x14ac:dyDescent="0.25">
      <c r="C8" t="s">
        <v>32</v>
      </c>
      <c r="D8">
        <f>IF(D6=0,"n/a",D5/D6)</f>
        <v>0.8317172586647763</v>
      </c>
      <c r="E8">
        <f>IF(E6=0,"n/a",E5/E6)</f>
        <v>0.8494354817485591</v>
      </c>
      <c r="F8">
        <f>IF(F6=0,"n/a",F5/F6)</f>
        <v>0.82238216271988329</v>
      </c>
      <c r="G8">
        <f>IF(G6=0,"n/a",G5/G6)</f>
        <v>0.85138063792356133</v>
      </c>
    </row>
    <row r="9" spans="2:12" x14ac:dyDescent="0.25">
      <c r="C9" t="s">
        <v>33</v>
      </c>
      <c r="D9">
        <f>AVERAGE(D7:G7)</f>
        <v>7191.3249999999998</v>
      </c>
      <c r="E9">
        <f>MAX(D7:G7)</f>
        <v>7261.2999999999993</v>
      </c>
      <c r="F9">
        <f>MIN(D7:G7)</f>
        <v>7027.2999999999993</v>
      </c>
      <c r="G9">
        <f>COUNTIF(H5:H6,"&gt;0")</f>
        <v>1</v>
      </c>
    </row>
    <row r="10" spans="2:12" x14ac:dyDescent="0.25">
      <c r="C10" t="str">
        <f>"vs SLIDE_1"</f>
        <v>vs SLIDE_1</v>
      </c>
      <c r="D10">
        <f>G7-SLIDE_1!G7</f>
        <v>40.299999999999272</v>
      </c>
      <c r="E10">
        <f>IFERROR(D10/SLIDE_1!G7,0)</f>
        <v>5.5809444675251731E-3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3973.7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8</v>
      </c>
      <c r="F11" t="str">
        <f>VLOOKUP(Control!$B$2,Data!$H$2:$H$11,1,FALSE)</f>
        <v>Bank C</v>
      </c>
      <c r="G11" t="str">
        <f>LEFT(Control!$B$2,4)&amp;MID(Control!$B$2,6,1)&amp;LEN(Control!$B$2)</f>
        <v>BankC6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3973.7</v>
      </c>
      <c r="G12">
        <f ca="1">INDIRECT("D7")</f>
        <v>7235.1</v>
      </c>
      <c r="H12">
        <f>AVERAGEIF(Data!$A$2:$A$121,Control!$B$2,Data!$C$2:$C$121)</f>
        <v>2980.2876666666666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8000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3267.9</v>
      </c>
      <c r="H13" t="str">
        <f>_xlfn.XLOOKUP(Control!$B$2,Data!$H$2:$H$11,Data!$H$2:$H$11,"none")</f>
        <v>Bank C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5.4556280203270635E-3</v>
      </c>
      <c r="L13" cm="1">
        <f t="array" ref="L13">SUM(_xlfn._xlws.FILTER(Data!$C$2:$C$121,Data!$A$2:$A$121=Control!$B$2))</f>
        <v>35763.451999999997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C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3181</v>
      </c>
      <c r="E5">
        <f>ROUND(SUMIFS(Data!$C:$C,Data!$A:$A,Control!$B$2,Data!$B:$B,Control!$B$4-4)*Control!$B$5,1)</f>
        <v>3285.2</v>
      </c>
      <c r="F5">
        <f>ROUND(SUMIFS(Data!$C:$C,Data!$A:$A,Control!$B$2,Data!$B:$B,Control!$B$4-3)*Control!$B$5,1)</f>
        <v>3227.6</v>
      </c>
      <c r="G5">
        <f>ROUND(SUMIFS(Data!$C:$C,Data!$A:$A,Control!$B$2,Data!$B:$B,Control!$B$4-2)*Control!$B$5,1)</f>
        <v>3267.9</v>
      </c>
      <c r="H5">
        <f>G5-F5</f>
        <v>40.300000000000182</v>
      </c>
      <c r="I5">
        <f>IFERROR(H5/F5,0)</f>
        <v>1.2486057751890005E-2</v>
      </c>
      <c r="J5">
        <f>ROUND(SUMIFS(Data!$E:$E,Data!$A:$A,Control!$B$2,Data!$B:$B,Control!$B$4-2)*Control!$B$5,1)</f>
        <v>3286.6</v>
      </c>
      <c r="K5">
        <f>IF(ABS(G5-J5)&lt;0.05,0,G5-J5)</f>
        <v>-18.699999999999818</v>
      </c>
    </row>
    <row r="6" spans="2:12" x14ac:dyDescent="0.25">
      <c r="C6" t="s">
        <v>3</v>
      </c>
      <c r="D6">
        <f>ROUND(SUMIFS(Data!$D:$D,Data!$A:$A,Control!$B$2,Data!$B:$B,Control!$B$4-5)*Control!$B$5,1)</f>
        <v>3883.3</v>
      </c>
      <c r="E6">
        <f>ROUND(SUMIFS(Data!$D:$D,Data!$A:$A,Control!$B$2,Data!$B:$B,Control!$B$4-4)*Control!$B$5,1)</f>
        <v>3949.9</v>
      </c>
      <c r="F6">
        <f>ROUND(SUMIFS(Data!$D:$D,Data!$A:$A,Control!$B$2,Data!$B:$B,Control!$B$4-3)*Control!$B$5,1)</f>
        <v>3799.7</v>
      </c>
      <c r="G6">
        <f>ROUND(SUMIFS(Data!$D:$D,Data!$A:$A,Control!$B$2,Data!$B:$B,Control!$B$4-2)*Control!$B$5,1)</f>
        <v>3973.7</v>
      </c>
      <c r="H6">
        <f>G6-F6</f>
        <v>174</v>
      </c>
      <c r="I6">
        <f>IFERROR(H6/F6,0)</f>
        <v>4.5793088928073274E-2</v>
      </c>
      <c r="J6">
        <f>ROUND(SUMIFS(Data!$F:$F,Data!$A:$A,Control!$B$2,Data!$B:$B,Control!$B$4-2)*Control!$B$5,1)</f>
        <v>3907.1</v>
      </c>
      <c r="K6">
        <f>IF(ABS(G6-J6)&lt;0.05,0,G6-J6)</f>
        <v>66.599999999999909</v>
      </c>
    </row>
    <row r="7" spans="2:12" x14ac:dyDescent="0.25">
      <c r="C7" t="s">
        <v>31</v>
      </c>
      <c r="D7">
        <f>SUM(D5:D6)</f>
        <v>7064.3</v>
      </c>
      <c r="E7">
        <f>SUM(E5:E6)</f>
        <v>7235.1</v>
      </c>
      <c r="F7">
        <f>SUM(F5:F6)</f>
        <v>7027.2999999999993</v>
      </c>
      <c r="G7">
        <f>SUM(G5:G6)</f>
        <v>7241.6</v>
      </c>
      <c r="H7">
        <f>SUM(H5:H6)</f>
        <v>214.30000000000018</v>
      </c>
      <c r="I7">
        <f>IFERROR(H7/F7,0)</f>
        <v>3.0495353834331849E-2</v>
      </c>
      <c r="J7">
        <f>SUM(J5:J6)</f>
        <v>7193.7</v>
      </c>
      <c r="K7">
        <f>SUM(K5:K6)</f>
        <v>47.900000000000091</v>
      </c>
    </row>
    <row r="8" spans="2:12" x14ac:dyDescent="0.25">
      <c r="C8" t="s">
        <v>32</v>
      </c>
      <c r="D8">
        <f>IF(D6=0,"n/a",D5/D6)</f>
        <v>0.81914866222027649</v>
      </c>
      <c r="E8">
        <f>IF(E6=0,"n/a",E5/E6)</f>
        <v>0.8317172586647763</v>
      </c>
      <c r="F8">
        <f>IF(F6=0,"n/a",F5/F6)</f>
        <v>0.8494354817485591</v>
      </c>
      <c r="G8">
        <f>IF(G6=0,"n/a",G5/G6)</f>
        <v>0.82238216271988329</v>
      </c>
    </row>
    <row r="9" spans="2:12" x14ac:dyDescent="0.25">
      <c r="C9" t="s">
        <v>33</v>
      </c>
      <c r="D9">
        <f>AVERAGE(D7:G7)</f>
        <v>7142.0750000000007</v>
      </c>
      <c r="E9">
        <f>MAX(D7:G7)</f>
        <v>7241.6</v>
      </c>
      <c r="F9">
        <f>MIN(D7:G7)</f>
        <v>7027.2999999999993</v>
      </c>
      <c r="G9">
        <f>COUNTIF(H5:H6,"&gt;0")</f>
        <v>2</v>
      </c>
    </row>
    <row r="10" spans="2:12" x14ac:dyDescent="0.25">
      <c r="C10" t="str">
        <f>"vs SLIDE_2"</f>
        <v>vs SLIDE_2</v>
      </c>
      <c r="D10">
        <f>G7-SLIDE_2!G7</f>
        <v>-19.699999999998909</v>
      </c>
      <c r="E10">
        <f>IFERROR(D10/SLIDE_2!G7,0)</f>
        <v>-2.713012821395468E-3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3973.7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8</v>
      </c>
      <c r="F11" t="str">
        <f>VLOOKUP(Control!$B$2,Data!$H$2:$H$11,1,FALSE)</f>
        <v>Bank C</v>
      </c>
      <c r="G11" t="str">
        <f>LEFT(Control!$B$2,4)&amp;MID(Control!$B$2,6,1)&amp;LEN(Control!$B$2)</f>
        <v>BankC6</v>
      </c>
    </row>
    <row r="12" spans="2:12" x14ac:dyDescent="0.25">
      <c r="C12" t="s">
        <v>35</v>
      </c>
      <c r="D12" t="str">
        <f>CHOOSE(MOD(Control!$B$3,3)+1,"one","two","three")</f>
        <v>one</v>
      </c>
      <c r="E12" t="str">
        <f>TEXT(Control!$B$8,"mmm yy")</f>
        <v>mar yy</v>
      </c>
      <c r="F12">
        <f ca="1">OFFSET(D5,1,2)</f>
        <v>3799.7</v>
      </c>
      <c r="G12">
        <f ca="1">INDIRECT("D7")</f>
        <v>7064.3</v>
      </c>
      <c r="H12">
        <f>AVERAGEIF(Data!$A$2:$A$121,Control!$B$2,Data!$C$2:$C$121)</f>
        <v>2980.2876666666666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8000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3227.6</v>
      </c>
      <c r="H13" t="str">
        <f>_xlfn.XLOOKUP(Control!$B$2,Data!$H$2:$H$11,Data!$H$2:$H$11,"none")</f>
        <v>Bank C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6.6586040563272331E-3</v>
      </c>
      <c r="L13" cm="1">
        <f t="array" ref="L13">SUM(_xlfn._xlws.FILTER(Data!$C$2:$C$121,Data!$A$2:$A$121=Control!$B$2))</f>
        <v>35763.451999999997</v>
      </c>
    </row>
    <row r="14" spans="2:12" x14ac:dyDescent="0.25">
      <c r="C14" t="s">
        <v>41</v>
      </c>
      <c r="D14">
        <f>FromB!D4*2</f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228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442.30000000000018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