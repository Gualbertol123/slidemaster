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ED0F2805-C99D-4906-AA3D-D8E831A9ADBF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<sst xmlns="http://schemas.openxmlformats.org/spreadsheetml/2006/main" count="23" uniqueCount="22">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</sst>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C</v>
          </cell>
        </row>
      </sheetData>
      <sheetData sheetId="1"/>
      <sheetData sheetId="2">
        <row r="5">
          <cell r="G5">
            <v>3302.7</v>
          </cell>
        </row>
        <row r="6">
          <cell r="G6">
            <v>3918.3</v>
          </cell>
        </row>
      </sheetData>
      <sheetData sheetId="3">
        <row r="7">
          <cell r="G7">
            <v>7261.2999999999993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C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3302.7</v>
      </c>
      <c r="E5">
        <f>VLOOKUP([1]Control!$B$2,PeerData!$A$2:$C$11,2,FALSE)</f>
        <v>3141</v>
      </c>
      <c r="F5">
        <f>D5-E5</f>
        <v>161.69999999999982</v>
      </c>
      <c r="G5">
        <f>IFERROR(F5/E5,0)</f>
        <v>5.1480420248328503E-2</v>
      </c>
    </row>
    <row r="6" spans="2:7" x14ac:dyDescent="0.25">
      <c r="C6" t="s">
        <v>19</v>
      </c>
      <c r="D6">
        <f>[1]SLIDE_1!G6</f>
        <v>3918.3</v>
      </c>
      <c r="E6">
        <f>VLOOKUP([1]Control!$B$2,PeerData!$A$2:$C$11,3,FALSE)</f>
        <v>3852</v>
      </c>
      <c r="F6">
        <f>D6-E6</f>
        <v>66.300000000000182</v>
      </c>
      <c r="G6">
        <f>IFERROR(F6/E6,0)</f>
        <v>1.7211838006230575E-2</v>
      </c>
    </row>
    <row r="7" spans="2:7" x14ac:dyDescent="0.25">
      <c r="C7" t="s">
        <v>20</v>
      </c>
      <c r="D7">
        <f>SUM(D5:D6)</f>
        <v>7221</v>
      </c>
      <c r="E7">
        <f>SUM(E5:E6)</f>
        <v>6993</v>
      </c>
      <c r="F7">
        <f>D7-E7</f>
        <v>228</v>
      </c>
      <c r="G7">
        <f>IFERROR(F7/E7,0)</f>
        <v>3.2604032604032607E-2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0.253</v>
      </c>
      <c r="F8">
        <f>[1]SLIDE_2!G7-D7</f>
        <v>40.299999999999272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