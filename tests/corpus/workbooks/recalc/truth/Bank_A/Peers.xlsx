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0E66DD8B-9F63-4C90-BA15-0DC83E55D2E3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<sst xmlns="http://schemas.openxmlformats.org/spreadsheetml/2006/main" count="23" uniqueCount="22">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</sst>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A</v>
          </cell>
        </row>
      </sheetData>
      <sheetData sheetId="1"/>
      <sheetData sheetId="2">
        <row r="5">
          <cell r="G5">
            <v>1678.4</v>
          </cell>
        </row>
        <row r="6">
          <cell r="G6">
            <v>1937.1</v>
          </cell>
        </row>
      </sheetData>
      <sheetData sheetId="3">
        <row r="7">
          <cell r="G7">
            <v>3676.8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A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1678.4</v>
      </c>
      <c r="E5">
        <f>VLOOKUP([1]Control!$B$2,PeerData!$A$2:$C$11,2,FALSE)</f>
        <v>1761</v>
      </c>
      <c r="F5">
        <f>D5-E5</f>
        <v>-82.599999999999909</v>
      </c>
      <c r="G5">
        <f>IFERROR(F5/E5,0)</f>
        <v>-4.6905167518455373E-2</v>
      </c>
    </row>
    <row r="6" spans="2:7" x14ac:dyDescent="0.25">
      <c r="C6" t="s">
        <v>19</v>
      </c>
      <c r="D6">
        <f>[1]SLIDE_1!G6</f>
        <v>1937.1</v>
      </c>
      <c r="E6">
        <f>VLOOKUP([1]Control!$B$2,PeerData!$A$2:$C$11,3,FALSE)</f>
        <v>2268</v>
      </c>
      <c r="F6">
        <f>D6-E6</f>
        <v>-330.90000000000009</v>
      </c>
      <c r="G6">
        <f>IFERROR(F6/E6,0)</f>
        <v>-0.14589947089947095</v>
      </c>
    </row>
    <row r="7" spans="2:7" x14ac:dyDescent="0.25">
      <c r="C7" t="s">
        <v>20</v>
      </c>
      <c r="D7">
        <f>SUM(D5:D6)</f>
        <v>3615.5</v>
      </c>
      <c r="E7">
        <f>SUM(E5:E6)</f>
        <v>4029</v>
      </c>
      <c r="F7">
        <f>D7-E7</f>
        <v>-413.5</v>
      </c>
      <c r="G7">
        <f>IFERROR(F7/E7,0)</f>
        <v>-0.10263092578803673</v>
      </c>
    </row>
    <row r="8" spans="2:7" x14ac:dyDescent="0.25">
      <c r="C8" t="s">
        <v>21</v>
      </c>
      <c r="D8" t="str">
        <f>IF(F7&gt;0,"above peers","below peers")</f>
        <v>below peers</v>
      </c>
      <c r="E8" t="e">
        <f>_xlfn.PERCENTRANK.INC(PeerData!$B$2:$B$11,D5)</f>
        <v>#N/A</v>
      </c>
      <c r="F8">
        <f>[1]SLIDE_2!G7-D7</f>
        <v>61.300000000000182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2026-10-16T08:07:09Z</dcterms:modified>
</cp:coreProperties>
</file>