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508169\Downloads\claude\slidemaster-lf\tests\corpus\workbooks\recalc\"/>
    </mc:Choice>
  </mc:AlternateContent>
  <xr:revisionPtr revIDLastSave="0" documentId="8_{625B62B3-BADD-460A-8CBA-1C11E0B095FF}" xr6:coauthVersionLast="47" xr6:coauthVersionMax="47" xr10:uidLastSave="{00000000-0000-0000-0000-000000000000}"/>
  <bookViews>
    <workbookView xWindow="2660" yWindow="2660" windowWidth="14400" windowHeight="8170" activeTab="5" xr2:uid="{8C860A6C-E031-46AA-AFFB-DF45AF3D8309}"/>
  </bookViews>
  <sheets>
    <sheet name="Control" sheetId="1" r:id="rId1"/>
    <sheet name="Data" sheetId="2" r:id="rId2"/>
    <sheet name="SLIDE_1" sheetId="3" r:id="rId3"/>
    <sheet name="SLIDE_2" sheetId="4" r:id="rId4"/>
    <sheet name="SLIDE_3" sheetId="5" r:id="rId5"/>
    <sheet name="FromB" sheetId="6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3" i="5" l="1" a="1"/>
  <c r="L13" i="5" s="1"/>
  <c r="J13" i="5" a="1"/>
  <c r="J13" i="5" s="1"/>
  <c r="H13" i="5"/>
  <c r="F13" i="5"/>
  <c r="D13" i="5"/>
  <c r="J12" i="5"/>
  <c r="I12" i="5"/>
  <c r="H12" i="5"/>
  <c r="G11" i="5"/>
  <c r="F11" i="5"/>
  <c r="E11" i="5"/>
  <c r="C10" i="5"/>
  <c r="J6" i="5"/>
  <c r="K6" i="5" s="1"/>
  <c r="G6" i="5"/>
  <c r="F6" i="5"/>
  <c r="F12" i="5" s="1"/>
  <c r="E6" i="5"/>
  <c r="E8" i="5" s="1"/>
  <c r="D6" i="5"/>
  <c r="J5" i="5"/>
  <c r="G5" i="5"/>
  <c r="K5" i="5" s="1"/>
  <c r="F5" i="5"/>
  <c r="F7" i="5" s="1"/>
  <c r="E5" i="5"/>
  <c r="D5" i="5"/>
  <c r="G4" i="5"/>
  <c r="F4" i="5"/>
  <c r="E4" i="5"/>
  <c r="D4" i="5"/>
  <c r="C3" i="5"/>
  <c r="L13" i="4" a="1"/>
  <c r="L13" i="4" s="1"/>
  <c r="J13" i="4" a="1"/>
  <c r="J13" i="4" s="1"/>
  <c r="H13" i="4"/>
  <c r="F13" i="4"/>
  <c r="D13" i="4"/>
  <c r="J12" i="4"/>
  <c r="I12" i="4"/>
  <c r="H12" i="4"/>
  <c r="G11" i="4"/>
  <c r="F11" i="4"/>
  <c r="E11" i="4"/>
  <c r="D11" i="4"/>
  <c r="C10" i="4"/>
  <c r="J6" i="4"/>
  <c r="J7" i="4" s="1"/>
  <c r="G6" i="4"/>
  <c r="G8" i="4" s="1"/>
  <c r="F6" i="4"/>
  <c r="F12" i="4" s="1"/>
  <c r="E6" i="4"/>
  <c r="D6" i="4"/>
  <c r="J5" i="4"/>
  <c r="K5" i="4" s="1"/>
  <c r="G5" i="4"/>
  <c r="E13" i="4" s="1"/>
  <c r="F5" i="4"/>
  <c r="E5" i="4"/>
  <c r="E7" i="4" s="1"/>
  <c r="D5" i="4"/>
  <c r="G4" i="4"/>
  <c r="F4" i="4"/>
  <c r="E4" i="4"/>
  <c r="D4" i="4"/>
  <c r="C3" i="4"/>
  <c r="L13" i="3" a="1"/>
  <c r="L13" i="3" s="1"/>
  <c r="J13" i="3" a="1"/>
  <c r="J13" i="3" s="1"/>
  <c r="H13" i="3"/>
  <c r="F13" i="3"/>
  <c r="D13" i="3"/>
  <c r="J12" i="3"/>
  <c r="I12" i="3"/>
  <c r="H12" i="3"/>
  <c r="G11" i="3"/>
  <c r="F11" i="3"/>
  <c r="J6" i="3"/>
  <c r="K6" i="3" s="1"/>
  <c r="G6" i="3"/>
  <c r="F6" i="3"/>
  <c r="E6" i="3"/>
  <c r="D6" i="3"/>
  <c r="J5" i="3"/>
  <c r="J7" i="3" s="1"/>
  <c r="G5" i="3"/>
  <c r="F5" i="3"/>
  <c r="E5" i="3"/>
  <c r="D5" i="3"/>
  <c r="G4" i="3"/>
  <c r="F4" i="3"/>
  <c r="E4" i="3"/>
  <c r="D4" i="3"/>
  <c r="C3" i="3"/>
  <c r="B8" i="1"/>
  <c r="E12" i="4" s="1"/>
  <c r="B7" i="1"/>
  <c r="B3" i="1"/>
  <c r="D12" i="3" s="1"/>
  <c r="E8" i="3" l="1"/>
  <c r="F8" i="3"/>
  <c r="H5" i="3"/>
  <c r="I5" i="3" s="1"/>
  <c r="F7" i="4"/>
  <c r="D8" i="5"/>
  <c r="G10" i="4"/>
  <c r="G13" i="5"/>
  <c r="G13" i="4"/>
  <c r="E7" i="5"/>
  <c r="I13" i="4" a="1"/>
  <c r="I13" i="4" s="1"/>
  <c r="J7" i="5"/>
  <c r="H6" i="4"/>
  <c r="I6" i="4" s="1"/>
  <c r="F12" i="3"/>
  <c r="D7" i="3"/>
  <c r="D8" i="4"/>
  <c r="E7" i="3"/>
  <c r="E8" i="4"/>
  <c r="F7" i="3"/>
  <c r="G13" i="3"/>
  <c r="F8" i="4"/>
  <c r="H6" i="5"/>
  <c r="I6" i="5" s="1"/>
  <c r="K7" i="5"/>
  <c r="K6" i="4"/>
  <c r="K7" i="4" s="1"/>
  <c r="D7" i="5"/>
  <c r="D7" i="4"/>
  <c r="E13" i="5"/>
  <c r="K5" i="3"/>
  <c r="K7" i="3" s="1"/>
  <c r="D8" i="3"/>
  <c r="B9" i="1"/>
  <c r="G8" i="3"/>
  <c r="G7" i="5"/>
  <c r="H6" i="3"/>
  <c r="I6" i="3" s="1"/>
  <c r="E13" i="3"/>
  <c r="G7" i="4"/>
  <c r="K13" i="4" s="1"/>
  <c r="H5" i="5"/>
  <c r="G10" i="5"/>
  <c r="E12" i="3"/>
  <c r="H5" i="4"/>
  <c r="D11" i="5"/>
  <c r="I13" i="5" a="1"/>
  <c r="I13" i="5" s="1"/>
  <c r="D11" i="3"/>
  <c r="I13" i="3" a="1"/>
  <c r="I13" i="3" s="1"/>
  <c r="E11" i="3"/>
  <c r="D12" i="5"/>
  <c r="D12" i="4"/>
  <c r="F8" i="5"/>
  <c r="E12" i="5"/>
  <c r="G8" i="5"/>
  <c r="G7" i="3"/>
  <c r="K12" i="3" s="1"/>
  <c r="G12" i="3"/>
  <c r="G12" i="5"/>
  <c r="G12" i="4"/>
  <c r="K13" i="5" l="1"/>
  <c r="D9" i="3"/>
  <c r="F9" i="3"/>
  <c r="E9" i="3"/>
  <c r="F9" i="4"/>
  <c r="E9" i="4"/>
  <c r="D9" i="4"/>
  <c r="K12" i="5"/>
  <c r="D10" i="5"/>
  <c r="K13" i="3"/>
  <c r="I5" i="4"/>
  <c r="H7" i="4"/>
  <c r="I7" i="4" s="1"/>
  <c r="G9" i="4"/>
  <c r="G9" i="3"/>
  <c r="D9" i="5"/>
  <c r="F9" i="5"/>
  <c r="E9" i="5"/>
  <c r="I5" i="5"/>
  <c r="H7" i="5"/>
  <c r="I7" i="5" s="1"/>
  <c r="G9" i="5"/>
  <c r="D10" i="4"/>
  <c r="K12" i="4"/>
  <c r="H7" i="3"/>
  <c r="I7" i="3" s="1"/>
  <c r="F10" i="5" l="1"/>
  <c r="E10" i="5"/>
  <c r="D4" i="6"/>
  <c r="D5" i="6"/>
  <c r="F10" i="4"/>
  <c r="E10" i="4"/>
  <c r="D14" i="5" l="1"/>
  <c r="D6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<sst xmlns="http://schemas.openxmlformats.org/spreadsheetml/2006/main" count="196" uniqueCount="42">
  <si>
    <t>Bank</t>
  </si>
  <si>
    <t>Week</t>
  </si>
  <si>
    <t>Loans</t>
  </si>
  <si>
    <t>Deposits</t>
  </si>
  <si>
    <t>Budget loans</t>
  </si>
  <si>
    <t>Budget deposits</t>
  </si>
  <si>
    <t>Date</t>
  </si>
  <si>
    <t>Bank A</t>
  </si>
  <si>
    <t>Bank B</t>
  </si>
  <si>
    <t>Bank C</t>
  </si>
  <si>
    <t>Bank D</t>
  </si>
  <si>
    <t>Bank E</t>
  </si>
  <si>
    <t>Bank F</t>
  </si>
  <si>
    <t>Bank G</t>
  </si>
  <si>
    <t>Bank H</t>
  </si>
  <si>
    <t>Bank I</t>
  </si>
  <si>
    <t>Bank J</t>
  </si>
  <si>
    <t>Banks</t>
  </si>
  <si>
    <t>Bank index</t>
  </si>
  <si>
    <t>FX</t>
  </si>
  <si>
    <t>Unit</t>
  </si>
  <si>
    <t>mln</t>
  </si>
  <si>
    <t>Title</t>
  </si>
  <si>
    <t>Week date</t>
  </si>
  <si>
    <t>Month end</t>
  </si>
  <si>
    <t>x</t>
  </si>
  <si>
    <t>Item</t>
  </si>
  <si>
    <t>Delta w/w</t>
  </si>
  <si>
    <t>Delta %</t>
  </si>
  <si>
    <t>Budget</t>
  </si>
  <si>
    <t>vs Budget</t>
  </si>
  <si>
    <t>Total</t>
  </si>
  <si>
    <t>L/D ratio</t>
  </si>
  <si>
    <t>Average 4w</t>
  </si>
  <si>
    <t>Rank</t>
  </si>
  <si>
    <t>Misc</t>
  </si>
  <si>
    <t>Today</t>
  </si>
  <si>
    <t>From Peers.xlsx</t>
  </si>
  <si>
    <t>Gap total</t>
  </si>
  <si>
    <t>Position</t>
  </si>
  <si>
    <t>Gap + own delta</t>
  </si>
  <si>
    <t>Peer 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</si>
</sst>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e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er"/>
      <sheetName val="PeerData"/>
    </sheetNames>
    <sheetDataSet>
      <sheetData sheetId="0">
        <row r="7">
          <cell r="F7">
            <v>-413.5</v>
          </cell>
        </row>
        <row r="8">
          <cell r="D8" t="str">
            <v>below peers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0A628-D31B-4EC0-8367-3D64BD79C8C8}">
  <dimension ref="A2:B9"/>
  <sheetViews>
    <sheetView workbookViewId="0"/>
  </sheetViews>
  <sheetFormatPr defaultRowHeight="12.5" x14ac:dyDescent="0.25"/>
  <sheetData>
    <row r="2" spans="1:2" x14ac:dyDescent="0.25">
      <c r="A2" t="s">
        <v>0</v>
      </c>
      <c r="B2" t="s">
        <v>7</v>
      </c>
    </row>
    <row r="3" spans="1:2" x14ac:dyDescent="0.25">
      <c r="A3" t="s">
        <v>18</v>
      </c>
      <c r="B3">
        <f>MATCH(B2,Data!H2:H11,0)</f>
        <v>1</v>
      </c>
    </row>
    <row r="4" spans="1:2" x14ac:dyDescent="0.25">
      <c r="A4" t="s">
        <v>1</v>
      </c>
      <c r="B4">
        <v>12</v>
      </c>
    </row>
    <row r="5" spans="1:2" x14ac:dyDescent="0.25">
      <c r="A5" t="s">
        <v>19</v>
      </c>
      <c r="B5">
        <v>1.0847</v>
      </c>
    </row>
    <row r="6" spans="1:2" x14ac:dyDescent="0.25">
      <c r="A6" t="s">
        <v>20</v>
      </c>
      <c r="B6" t="s">
        <v>21</v>
      </c>
    </row>
    <row r="7" spans="1:2" x14ac:dyDescent="0.25">
      <c r="A7" t="s">
        <v>22</v>
      </c>
      <c r="B7" t="str">
        <f>B2&amp;" - week "&amp;TEXT(B4,"00")&amp;" ("&amp;B6&amp;" EUR)"</f>
        <v>Bank A - week 12 (mln EUR)</v>
      </c>
    </row>
    <row r="8" spans="1:2" x14ac:dyDescent="0.25">
      <c r="A8" t="s">
        <v>23</v>
      </c>
      <c r="B8">
        <f>INDEX(Data!G:G,MATCH(1,INDEX((Data!A:A=B2)*(Data!B:B=B4),0),0))</f>
        <v>46104.421579837966</v>
      </c>
    </row>
    <row r="9" spans="1:2" x14ac:dyDescent="0.25">
      <c r="A9" t="s">
        <v>24</v>
      </c>
      <c r="B9">
        <f>EOMONTH(B8,0)</f>
        <v>46112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95185-4C66-4F41-9C18-99146AE42D53}">
  <dimension ref="A1:H121"/>
  <sheetViews>
    <sheetView workbookViewId="0"/>
  </sheetViews>
  <sheetFormatPr defaultRowHeight="12.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17</v>
      </c>
    </row>
    <row r="2" spans="1:8" x14ac:dyDescent="0.25">
      <c r="A2" t="s">
        <v>7</v>
      </c>
      <c r="B2">
        <v>1</v>
      </c>
      <c r="C2">
        <v>1491.123</v>
      </c>
      <c r="D2">
        <v>1825.4</v>
      </c>
      <c r="E2">
        <v>1507</v>
      </c>
      <c r="F2">
        <v>1806</v>
      </c>
      <c r="G2">
        <v>46027.421579780093</v>
      </c>
      <c r="H2" t="s">
        <v>7</v>
      </c>
    </row>
    <row r="3" spans="1:8" x14ac:dyDescent="0.25">
      <c r="A3" t="s">
        <v>7</v>
      </c>
      <c r="B3">
        <v>2</v>
      </c>
      <c r="C3">
        <v>1474.0029999999999</v>
      </c>
      <c r="D3">
        <v>1730.8</v>
      </c>
      <c r="E3">
        <v>1513</v>
      </c>
      <c r="F3">
        <v>1813</v>
      </c>
      <c r="G3">
        <v>46034.42157982639</v>
      </c>
      <c r="H3" t="s">
        <v>8</v>
      </c>
    </row>
    <row r="4" spans="1:8" x14ac:dyDescent="0.25">
      <c r="A4" t="s">
        <v>7</v>
      </c>
      <c r="B4">
        <v>3</v>
      </c>
      <c r="C4">
        <v>1556.155</v>
      </c>
      <c r="D4">
        <v>1739.2</v>
      </c>
      <c r="E4">
        <v>1520</v>
      </c>
      <c r="F4">
        <v>1819</v>
      </c>
      <c r="G4">
        <v>46041.421579837966</v>
      </c>
      <c r="H4" t="s">
        <v>9</v>
      </c>
    </row>
    <row r="5" spans="1:8" x14ac:dyDescent="0.25">
      <c r="A5" t="s">
        <v>7</v>
      </c>
      <c r="B5">
        <v>4</v>
      </c>
      <c r="C5">
        <v>1483.306</v>
      </c>
      <c r="D5">
        <v>1794.6</v>
      </c>
      <c r="E5">
        <v>1527</v>
      </c>
      <c r="F5">
        <v>1825</v>
      </c>
      <c r="G5">
        <v>46048.421579837966</v>
      </c>
      <c r="H5" t="s">
        <v>10</v>
      </c>
    </row>
    <row r="6" spans="1:8" x14ac:dyDescent="0.25">
      <c r="A6" t="s">
        <v>7</v>
      </c>
      <c r="B6">
        <v>5</v>
      </c>
      <c r="C6">
        <v>1534.8040000000001</v>
      </c>
      <c r="D6">
        <v>1771</v>
      </c>
      <c r="E6">
        <v>1534</v>
      </c>
      <c r="F6">
        <v>1832</v>
      </c>
      <c r="G6">
        <v>46055.421579837966</v>
      </c>
      <c r="H6" t="s">
        <v>11</v>
      </c>
    </row>
    <row r="7" spans="1:8" x14ac:dyDescent="0.25">
      <c r="A7" t="s">
        <v>7</v>
      </c>
      <c r="B7">
        <v>6</v>
      </c>
      <c r="C7">
        <v>1584.7080000000001</v>
      </c>
      <c r="D7">
        <v>1796.4</v>
      </c>
      <c r="E7">
        <v>1540</v>
      </c>
      <c r="F7">
        <v>1838</v>
      </c>
      <c r="G7">
        <v>46062.421579837966</v>
      </c>
      <c r="H7" t="s">
        <v>12</v>
      </c>
    </row>
    <row r="8" spans="1:8" x14ac:dyDescent="0.25">
      <c r="A8" t="s">
        <v>7</v>
      </c>
      <c r="B8">
        <v>7</v>
      </c>
      <c r="C8">
        <v>1506.6320000000001</v>
      </c>
      <c r="D8">
        <v>1903.8</v>
      </c>
      <c r="E8">
        <v>1547</v>
      </c>
      <c r="F8">
        <v>1844</v>
      </c>
      <c r="G8">
        <v>46069.421579837966</v>
      </c>
      <c r="H8" t="s">
        <v>13</v>
      </c>
    </row>
    <row r="9" spans="1:8" x14ac:dyDescent="0.25">
      <c r="A9" t="s">
        <v>7</v>
      </c>
      <c r="B9">
        <v>8</v>
      </c>
      <c r="C9">
        <v>1560.211</v>
      </c>
      <c r="D9">
        <v>1840.2</v>
      </c>
      <c r="E9">
        <v>1554</v>
      </c>
      <c r="F9">
        <v>1850</v>
      </c>
      <c r="G9">
        <v>46076.421579837966</v>
      </c>
      <c r="H9" t="s">
        <v>14</v>
      </c>
    </row>
    <row r="10" spans="1:8" x14ac:dyDescent="0.25">
      <c r="A10" t="s">
        <v>7</v>
      </c>
      <c r="B10">
        <v>9</v>
      </c>
      <c r="C10">
        <v>1497.7919999999999</v>
      </c>
      <c r="D10">
        <v>1867.6</v>
      </c>
      <c r="E10">
        <v>1561</v>
      </c>
      <c r="F10">
        <v>1857</v>
      </c>
      <c r="G10">
        <v>46083.421579837966</v>
      </c>
      <c r="H10" t="s">
        <v>15</v>
      </c>
    </row>
    <row r="11" spans="1:8" x14ac:dyDescent="0.25">
      <c r="A11" t="s">
        <v>7</v>
      </c>
      <c r="B11">
        <v>10</v>
      </c>
      <c r="C11">
        <v>1556.4780000000001</v>
      </c>
      <c r="D11">
        <v>1875</v>
      </c>
      <c r="E11">
        <v>1568</v>
      </c>
      <c r="F11">
        <v>1863</v>
      </c>
      <c r="G11">
        <v>46090.421579837966</v>
      </c>
      <c r="H11" t="s">
        <v>16</v>
      </c>
    </row>
    <row r="12" spans="1:8" x14ac:dyDescent="0.25">
      <c r="A12" t="s">
        <v>7</v>
      </c>
      <c r="B12">
        <v>11</v>
      </c>
      <c r="C12">
        <v>1544.2909999999999</v>
      </c>
      <c r="D12">
        <v>1845.4</v>
      </c>
      <c r="E12">
        <v>1574</v>
      </c>
      <c r="F12">
        <v>1869</v>
      </c>
      <c r="G12">
        <v>46097.421579837966</v>
      </c>
    </row>
    <row r="13" spans="1:8" x14ac:dyDescent="0.25">
      <c r="A13" t="s">
        <v>7</v>
      </c>
      <c r="B13">
        <v>12</v>
      </c>
      <c r="C13">
        <v>1547.3219999999999</v>
      </c>
      <c r="D13">
        <v>1785.8</v>
      </c>
      <c r="E13">
        <v>1581</v>
      </c>
      <c r="F13">
        <v>1876</v>
      </c>
      <c r="G13">
        <v>46104.421579837966</v>
      </c>
    </row>
    <row r="14" spans="1:8" x14ac:dyDescent="0.25">
      <c r="A14" t="s">
        <v>8</v>
      </c>
      <c r="B14">
        <v>1</v>
      </c>
      <c r="C14">
        <v>2218.6350000000002</v>
      </c>
      <c r="D14">
        <v>2568.9</v>
      </c>
      <c r="E14">
        <v>2210</v>
      </c>
      <c r="F14">
        <v>2649</v>
      </c>
      <c r="G14">
        <v>46027.421579837966</v>
      </c>
    </row>
    <row r="15" spans="1:8" x14ac:dyDescent="0.25">
      <c r="A15" t="s">
        <v>8</v>
      </c>
      <c r="B15">
        <v>2</v>
      </c>
      <c r="C15">
        <v>2183.942</v>
      </c>
      <c r="D15">
        <v>2724.8</v>
      </c>
      <c r="E15">
        <v>2220</v>
      </c>
      <c r="F15">
        <v>2658</v>
      </c>
      <c r="G15">
        <v>46034.421579837966</v>
      </c>
    </row>
    <row r="16" spans="1:8" x14ac:dyDescent="0.25">
      <c r="A16" t="s">
        <v>8</v>
      </c>
      <c r="B16">
        <v>3</v>
      </c>
      <c r="C16">
        <v>2231.3029999999999</v>
      </c>
      <c r="D16">
        <v>2660.8</v>
      </c>
      <c r="E16">
        <v>2230</v>
      </c>
      <c r="F16">
        <v>2668</v>
      </c>
      <c r="G16">
        <v>46041.421579837966</v>
      </c>
    </row>
    <row r="17" spans="1:7" x14ac:dyDescent="0.25">
      <c r="A17" t="s">
        <v>8</v>
      </c>
      <c r="B17">
        <v>4</v>
      </c>
      <c r="C17">
        <v>2251.4369999999999</v>
      </c>
      <c r="D17">
        <v>2655.7</v>
      </c>
      <c r="E17">
        <v>2240</v>
      </c>
      <c r="F17">
        <v>2677</v>
      </c>
      <c r="G17">
        <v>46048.421579837966</v>
      </c>
    </row>
    <row r="18" spans="1:7" x14ac:dyDescent="0.25">
      <c r="A18" t="s">
        <v>8</v>
      </c>
      <c r="B18">
        <v>5</v>
      </c>
      <c r="C18">
        <v>2298.9630000000002</v>
      </c>
      <c r="D18">
        <v>2665.6</v>
      </c>
      <c r="E18">
        <v>2250</v>
      </c>
      <c r="F18">
        <v>2686</v>
      </c>
      <c r="G18">
        <v>46055.421579837966</v>
      </c>
    </row>
    <row r="19" spans="1:7" x14ac:dyDescent="0.25">
      <c r="A19" t="s">
        <v>8</v>
      </c>
      <c r="B19">
        <v>6</v>
      </c>
      <c r="C19">
        <v>2292.335</v>
      </c>
      <c r="D19">
        <v>2720.5</v>
      </c>
      <c r="E19">
        <v>2259</v>
      </c>
      <c r="F19">
        <v>2695</v>
      </c>
      <c r="G19">
        <v>46062.421579837966</v>
      </c>
    </row>
    <row r="20" spans="1:7" x14ac:dyDescent="0.25">
      <c r="A20" t="s">
        <v>8</v>
      </c>
      <c r="B20">
        <v>7</v>
      </c>
      <c r="C20">
        <v>2274.373</v>
      </c>
      <c r="D20">
        <v>2760.4</v>
      </c>
      <c r="E20">
        <v>2269</v>
      </c>
      <c r="F20">
        <v>2705</v>
      </c>
      <c r="G20">
        <v>46069.421579837966</v>
      </c>
    </row>
    <row r="21" spans="1:7" x14ac:dyDescent="0.25">
      <c r="A21" t="s">
        <v>8</v>
      </c>
      <c r="B21">
        <v>8</v>
      </c>
      <c r="C21">
        <v>2227.5610000000001</v>
      </c>
      <c r="D21">
        <v>2656.4</v>
      </c>
      <c r="E21">
        <v>2279</v>
      </c>
      <c r="F21">
        <v>2714</v>
      </c>
      <c r="G21">
        <v>46076.421579837966</v>
      </c>
    </row>
    <row r="22" spans="1:7" x14ac:dyDescent="0.25">
      <c r="A22" t="s">
        <v>8</v>
      </c>
      <c r="B22">
        <v>9</v>
      </c>
      <c r="C22">
        <v>2264.5520000000001</v>
      </c>
      <c r="D22">
        <v>2739.3</v>
      </c>
      <c r="E22">
        <v>2289</v>
      </c>
      <c r="F22">
        <v>2723</v>
      </c>
      <c r="G22">
        <v>46083.421579837966</v>
      </c>
    </row>
    <row r="23" spans="1:7" x14ac:dyDescent="0.25">
      <c r="A23" t="s">
        <v>8</v>
      </c>
      <c r="B23">
        <v>10</v>
      </c>
      <c r="C23">
        <v>2274.846</v>
      </c>
      <c r="D23">
        <v>2641.2</v>
      </c>
      <c r="E23">
        <v>2299</v>
      </c>
      <c r="F23">
        <v>2732</v>
      </c>
      <c r="G23">
        <v>46090.421579837966</v>
      </c>
    </row>
    <row r="24" spans="1:7" x14ac:dyDescent="0.25">
      <c r="A24" t="s">
        <v>8</v>
      </c>
      <c r="B24">
        <v>11</v>
      </c>
      <c r="C24">
        <v>2347.0430000000001</v>
      </c>
      <c r="D24">
        <v>2724.1</v>
      </c>
      <c r="E24">
        <v>2309</v>
      </c>
      <c r="F24">
        <v>2742</v>
      </c>
      <c r="G24">
        <v>46097.421579837966</v>
      </c>
    </row>
    <row r="25" spans="1:7" x14ac:dyDescent="0.25">
      <c r="A25" t="s">
        <v>8</v>
      </c>
      <c r="B25">
        <v>12</v>
      </c>
      <c r="C25">
        <v>2262.9259999999999</v>
      </c>
      <c r="D25">
        <v>2794</v>
      </c>
      <c r="E25">
        <v>2319</v>
      </c>
      <c r="F25">
        <v>2751</v>
      </c>
      <c r="G25">
        <v>46104.421579837966</v>
      </c>
    </row>
    <row r="26" spans="1:7" x14ac:dyDescent="0.25">
      <c r="A26" t="s">
        <v>9</v>
      </c>
      <c r="B26">
        <v>1</v>
      </c>
      <c r="C26">
        <v>2884.59</v>
      </c>
      <c r="D26">
        <v>3456.4</v>
      </c>
      <c r="E26">
        <v>2913</v>
      </c>
      <c r="F26">
        <v>3492</v>
      </c>
      <c r="G26">
        <v>46027.421579837966</v>
      </c>
    </row>
    <row r="27" spans="1:7" x14ac:dyDescent="0.25">
      <c r="A27" t="s">
        <v>9</v>
      </c>
      <c r="B27">
        <v>2</v>
      </c>
      <c r="C27">
        <v>2980.268</v>
      </c>
      <c r="D27">
        <v>3469.9</v>
      </c>
      <c r="E27">
        <v>2926</v>
      </c>
      <c r="F27">
        <v>3504</v>
      </c>
      <c r="G27">
        <v>46034.421579837966</v>
      </c>
    </row>
    <row r="28" spans="1:7" x14ac:dyDescent="0.25">
      <c r="A28" t="s">
        <v>9</v>
      </c>
      <c r="B28">
        <v>3</v>
      </c>
      <c r="C28">
        <v>2994.1950000000002</v>
      </c>
      <c r="D28">
        <v>3519.3</v>
      </c>
      <c r="E28">
        <v>2939</v>
      </c>
      <c r="F28">
        <v>3517</v>
      </c>
      <c r="G28">
        <v>46041.421579837966</v>
      </c>
    </row>
    <row r="29" spans="1:7" x14ac:dyDescent="0.25">
      <c r="A29" t="s">
        <v>9</v>
      </c>
      <c r="B29">
        <v>4</v>
      </c>
      <c r="C29">
        <v>2912.92</v>
      </c>
      <c r="D29">
        <v>3523.8</v>
      </c>
      <c r="E29">
        <v>2952</v>
      </c>
      <c r="F29">
        <v>3529</v>
      </c>
      <c r="G29">
        <v>46048.421579837966</v>
      </c>
    </row>
    <row r="30" spans="1:7" x14ac:dyDescent="0.25">
      <c r="A30" t="s">
        <v>9</v>
      </c>
      <c r="B30">
        <v>5</v>
      </c>
      <c r="C30">
        <v>2924.4859999999999</v>
      </c>
      <c r="D30">
        <v>3572.2</v>
      </c>
      <c r="E30">
        <v>2965</v>
      </c>
      <c r="F30">
        <v>3541</v>
      </c>
      <c r="G30">
        <v>46055.421579837966</v>
      </c>
    </row>
    <row r="31" spans="1:7" x14ac:dyDescent="0.25">
      <c r="A31" t="s">
        <v>9</v>
      </c>
      <c r="B31">
        <v>6</v>
      </c>
      <c r="C31">
        <v>2994.2910000000002</v>
      </c>
      <c r="D31">
        <v>3549.6</v>
      </c>
      <c r="E31">
        <v>2978</v>
      </c>
      <c r="F31">
        <v>3553</v>
      </c>
      <c r="G31">
        <v>46062.421579837966</v>
      </c>
    </row>
    <row r="32" spans="1:7" x14ac:dyDescent="0.25">
      <c r="A32" t="s">
        <v>9</v>
      </c>
      <c r="B32">
        <v>7</v>
      </c>
      <c r="C32">
        <v>2932.6329999999998</v>
      </c>
      <c r="D32">
        <v>3580.1</v>
      </c>
      <c r="E32">
        <v>2991</v>
      </c>
      <c r="F32">
        <v>3565</v>
      </c>
      <c r="G32">
        <v>46069.421579837966</v>
      </c>
    </row>
    <row r="33" spans="1:7" x14ac:dyDescent="0.25">
      <c r="A33" t="s">
        <v>9</v>
      </c>
      <c r="B33">
        <v>8</v>
      </c>
      <c r="C33">
        <v>3028.6370000000002</v>
      </c>
      <c r="D33">
        <v>3641.5</v>
      </c>
      <c r="E33">
        <v>3004</v>
      </c>
      <c r="F33">
        <v>3577</v>
      </c>
      <c r="G33">
        <v>46076.421579837966</v>
      </c>
    </row>
    <row r="34" spans="1:7" x14ac:dyDescent="0.25">
      <c r="A34" t="s">
        <v>9</v>
      </c>
      <c r="B34">
        <v>9</v>
      </c>
      <c r="C34">
        <v>2975.5439999999999</v>
      </c>
      <c r="D34">
        <v>3503</v>
      </c>
      <c r="E34">
        <v>3017</v>
      </c>
      <c r="F34">
        <v>3590</v>
      </c>
      <c r="G34">
        <v>46083.421579837966</v>
      </c>
    </row>
    <row r="35" spans="1:7" x14ac:dyDescent="0.25">
      <c r="A35" t="s">
        <v>9</v>
      </c>
      <c r="B35">
        <v>10</v>
      </c>
      <c r="C35">
        <v>3012.7159999999999</v>
      </c>
      <c r="D35">
        <v>3663.4</v>
      </c>
      <c r="E35">
        <v>3030</v>
      </c>
      <c r="F35">
        <v>3602</v>
      </c>
      <c r="G35">
        <v>46090.421579837966</v>
      </c>
    </row>
    <row r="36" spans="1:7" x14ac:dyDescent="0.25">
      <c r="A36" t="s">
        <v>9</v>
      </c>
      <c r="B36">
        <v>11</v>
      </c>
      <c r="C36">
        <v>3078.4110000000001</v>
      </c>
      <c r="D36">
        <v>3615.8</v>
      </c>
      <c r="E36">
        <v>3044</v>
      </c>
      <c r="F36">
        <v>3614</v>
      </c>
      <c r="G36">
        <v>46097.421579837966</v>
      </c>
    </row>
    <row r="37" spans="1:7" x14ac:dyDescent="0.25">
      <c r="A37" t="s">
        <v>9</v>
      </c>
      <c r="B37">
        <v>12</v>
      </c>
      <c r="C37">
        <v>3044.761</v>
      </c>
      <c r="D37">
        <v>3612.3</v>
      </c>
      <c r="E37">
        <v>3057</v>
      </c>
      <c r="F37">
        <v>3626</v>
      </c>
      <c r="G37">
        <v>46104.421579837966</v>
      </c>
    </row>
    <row r="38" spans="1:7" x14ac:dyDescent="0.25">
      <c r="A38" t="s">
        <v>10</v>
      </c>
      <c r="B38">
        <v>1</v>
      </c>
      <c r="C38">
        <v>3605.018</v>
      </c>
      <c r="D38">
        <v>4365</v>
      </c>
      <c r="E38">
        <v>3616</v>
      </c>
      <c r="F38">
        <v>4335</v>
      </c>
      <c r="G38">
        <v>46027.421579837966</v>
      </c>
    </row>
    <row r="39" spans="1:7" x14ac:dyDescent="0.25">
      <c r="A39" t="s">
        <v>10</v>
      </c>
      <c r="B39">
        <v>2</v>
      </c>
      <c r="C39">
        <v>3640.9450000000002</v>
      </c>
      <c r="D39">
        <v>4387.8999999999996</v>
      </c>
      <c r="E39">
        <v>3632</v>
      </c>
      <c r="F39">
        <v>4350</v>
      </c>
      <c r="G39">
        <v>46034.421579837966</v>
      </c>
    </row>
    <row r="40" spans="1:7" x14ac:dyDescent="0.25">
      <c r="A40" t="s">
        <v>10</v>
      </c>
      <c r="B40">
        <v>3</v>
      </c>
      <c r="C40">
        <v>3661.3629999999998</v>
      </c>
      <c r="D40">
        <v>4411.8999999999996</v>
      </c>
      <c r="E40">
        <v>3649</v>
      </c>
      <c r="F40">
        <v>4365</v>
      </c>
      <c r="G40">
        <v>46041.421579837966</v>
      </c>
    </row>
    <row r="41" spans="1:7" x14ac:dyDescent="0.25">
      <c r="A41" t="s">
        <v>10</v>
      </c>
      <c r="B41">
        <v>4</v>
      </c>
      <c r="C41">
        <v>3616.7719999999999</v>
      </c>
      <c r="D41">
        <v>4348.8</v>
      </c>
      <c r="E41">
        <v>3665</v>
      </c>
      <c r="F41">
        <v>4380</v>
      </c>
      <c r="G41">
        <v>46048.421579837966</v>
      </c>
    </row>
    <row r="42" spans="1:7" x14ac:dyDescent="0.25">
      <c r="A42" t="s">
        <v>10</v>
      </c>
      <c r="B42">
        <v>5</v>
      </c>
      <c r="C42">
        <v>3643.2139999999999</v>
      </c>
      <c r="D42">
        <v>4392.8</v>
      </c>
      <c r="E42">
        <v>3681</v>
      </c>
      <c r="F42">
        <v>4396</v>
      </c>
      <c r="G42">
        <v>46055.421579837966</v>
      </c>
    </row>
    <row r="43" spans="1:7" x14ac:dyDescent="0.25">
      <c r="A43" t="s">
        <v>10</v>
      </c>
      <c r="B43">
        <v>6</v>
      </c>
      <c r="C43">
        <v>3738.4430000000002</v>
      </c>
      <c r="D43">
        <v>4459.8</v>
      </c>
      <c r="E43">
        <v>3697</v>
      </c>
      <c r="F43">
        <v>4411</v>
      </c>
      <c r="G43">
        <v>46062.421579837966</v>
      </c>
    </row>
    <row r="44" spans="1:7" x14ac:dyDescent="0.25">
      <c r="A44" t="s">
        <v>10</v>
      </c>
      <c r="B44">
        <v>7</v>
      </c>
      <c r="C44">
        <v>3664.2710000000002</v>
      </c>
      <c r="D44">
        <v>4354.7</v>
      </c>
      <c r="E44">
        <v>3713</v>
      </c>
      <c r="F44">
        <v>4426</v>
      </c>
      <c r="G44">
        <v>46069.421579837966</v>
      </c>
    </row>
    <row r="45" spans="1:7" x14ac:dyDescent="0.25">
      <c r="A45" t="s">
        <v>10</v>
      </c>
      <c r="B45">
        <v>8</v>
      </c>
      <c r="C45">
        <v>3691.924</v>
      </c>
      <c r="D45">
        <v>4490.7</v>
      </c>
      <c r="E45">
        <v>3730</v>
      </c>
      <c r="F45">
        <v>4441</v>
      </c>
      <c r="G45">
        <v>46076.421579837966</v>
      </c>
    </row>
    <row r="46" spans="1:7" x14ac:dyDescent="0.25">
      <c r="A46" t="s">
        <v>10</v>
      </c>
      <c r="B46">
        <v>9</v>
      </c>
      <c r="C46">
        <v>3700.1289999999999</v>
      </c>
      <c r="D46">
        <v>4464.6000000000004</v>
      </c>
      <c r="E46">
        <v>3746</v>
      </c>
      <c r="F46">
        <v>4456</v>
      </c>
      <c r="G46">
        <v>46083.421579837966</v>
      </c>
    </row>
    <row r="47" spans="1:7" x14ac:dyDescent="0.25">
      <c r="A47" t="s">
        <v>10</v>
      </c>
      <c r="B47">
        <v>10</v>
      </c>
      <c r="C47">
        <v>3751.297</v>
      </c>
      <c r="D47">
        <v>4482.6000000000004</v>
      </c>
      <c r="E47">
        <v>3762</v>
      </c>
      <c r="F47">
        <v>4471</v>
      </c>
      <c r="G47">
        <v>46090.421579837966</v>
      </c>
    </row>
    <row r="48" spans="1:7" x14ac:dyDescent="0.25">
      <c r="A48" t="s">
        <v>10</v>
      </c>
      <c r="B48">
        <v>11</v>
      </c>
      <c r="C48">
        <v>3804.0740000000001</v>
      </c>
      <c r="D48">
        <v>4529.6000000000004</v>
      </c>
      <c r="E48">
        <v>3778</v>
      </c>
      <c r="F48">
        <v>4486</v>
      </c>
      <c r="G48">
        <v>46097.421579837966</v>
      </c>
    </row>
    <row r="49" spans="1:7" x14ac:dyDescent="0.25">
      <c r="A49" t="s">
        <v>10</v>
      </c>
      <c r="B49">
        <v>12</v>
      </c>
      <c r="C49">
        <v>3738.0819999999999</v>
      </c>
      <c r="D49">
        <v>4406.5</v>
      </c>
      <c r="E49">
        <v>3794</v>
      </c>
      <c r="F49">
        <v>4501</v>
      </c>
      <c r="G49">
        <v>46104.421579837966</v>
      </c>
    </row>
    <row r="50" spans="1:7" x14ac:dyDescent="0.25">
      <c r="A50" t="s">
        <v>11</v>
      </c>
      <c r="B50">
        <v>1</v>
      </c>
      <c r="C50">
        <v>4358.6949999999997</v>
      </c>
      <c r="D50">
        <v>5140.5</v>
      </c>
      <c r="E50">
        <v>4319</v>
      </c>
      <c r="F50">
        <v>5178</v>
      </c>
      <c r="G50">
        <v>46027.421579837966</v>
      </c>
    </row>
    <row r="51" spans="1:7" x14ac:dyDescent="0.25">
      <c r="A51" t="s">
        <v>11</v>
      </c>
      <c r="B51">
        <v>2</v>
      </c>
      <c r="C51">
        <v>4383.5439999999999</v>
      </c>
      <c r="D51">
        <v>5218</v>
      </c>
      <c r="E51">
        <v>4339</v>
      </c>
      <c r="F51">
        <v>5196</v>
      </c>
      <c r="G51">
        <v>46034.421579837966</v>
      </c>
    </row>
    <row r="52" spans="1:7" x14ac:dyDescent="0.25">
      <c r="A52" t="s">
        <v>11</v>
      </c>
      <c r="B52">
        <v>3</v>
      </c>
      <c r="C52">
        <v>4309.6970000000001</v>
      </c>
      <c r="D52">
        <v>5281.4</v>
      </c>
      <c r="E52">
        <v>4358</v>
      </c>
      <c r="F52">
        <v>5214</v>
      </c>
      <c r="G52">
        <v>46041.421579837966</v>
      </c>
    </row>
    <row r="53" spans="1:7" x14ac:dyDescent="0.25">
      <c r="A53" t="s">
        <v>11</v>
      </c>
      <c r="B53">
        <v>4</v>
      </c>
      <c r="C53">
        <v>4392.01</v>
      </c>
      <c r="D53">
        <v>5221.8999999999996</v>
      </c>
      <c r="E53">
        <v>4377</v>
      </c>
      <c r="F53">
        <v>5232</v>
      </c>
      <c r="G53">
        <v>46048.421579837966</v>
      </c>
    </row>
    <row r="54" spans="1:7" x14ac:dyDescent="0.25">
      <c r="A54" t="s">
        <v>11</v>
      </c>
      <c r="B54">
        <v>5</v>
      </c>
      <c r="C54">
        <v>4379.9870000000001</v>
      </c>
      <c r="D54">
        <v>5279.4</v>
      </c>
      <c r="E54">
        <v>4397</v>
      </c>
      <c r="F54">
        <v>5250</v>
      </c>
      <c r="G54">
        <v>46055.421579837966</v>
      </c>
    </row>
    <row r="55" spans="1:7" x14ac:dyDescent="0.25">
      <c r="A55" t="s">
        <v>11</v>
      </c>
      <c r="B55">
        <v>6</v>
      </c>
      <c r="C55">
        <v>4432.5450000000001</v>
      </c>
      <c r="D55">
        <v>5186.8999999999996</v>
      </c>
      <c r="E55">
        <v>4416</v>
      </c>
      <c r="F55">
        <v>5268</v>
      </c>
      <c r="G55">
        <v>46062.421579837966</v>
      </c>
    </row>
    <row r="56" spans="1:7" x14ac:dyDescent="0.25">
      <c r="A56" t="s">
        <v>11</v>
      </c>
      <c r="B56">
        <v>7</v>
      </c>
      <c r="C56">
        <v>4406.5200000000004</v>
      </c>
      <c r="D56">
        <v>5331.4</v>
      </c>
      <c r="E56">
        <v>4435</v>
      </c>
      <c r="F56">
        <v>5286</v>
      </c>
      <c r="G56">
        <v>46069.421579837966</v>
      </c>
    </row>
    <row r="57" spans="1:7" x14ac:dyDescent="0.25">
      <c r="A57" t="s">
        <v>11</v>
      </c>
      <c r="B57">
        <v>8</v>
      </c>
      <c r="C57">
        <v>4470.9539999999997</v>
      </c>
      <c r="D57">
        <v>5301.8</v>
      </c>
      <c r="E57">
        <v>4455</v>
      </c>
      <c r="F57">
        <v>5304</v>
      </c>
      <c r="G57">
        <v>46076.421579837966</v>
      </c>
    </row>
    <row r="58" spans="1:7" x14ac:dyDescent="0.25">
      <c r="A58" t="s">
        <v>11</v>
      </c>
      <c r="B58">
        <v>9</v>
      </c>
      <c r="C58">
        <v>4404.8950000000004</v>
      </c>
      <c r="D58">
        <v>5357.3</v>
      </c>
      <c r="E58">
        <v>4474</v>
      </c>
      <c r="F58">
        <v>5323</v>
      </c>
      <c r="G58">
        <v>46083.421579837966</v>
      </c>
    </row>
    <row r="59" spans="1:7" x14ac:dyDescent="0.25">
      <c r="A59" t="s">
        <v>11</v>
      </c>
      <c r="B59">
        <v>10</v>
      </c>
      <c r="C59">
        <v>4426.2830000000004</v>
      </c>
      <c r="D59">
        <v>5313.8</v>
      </c>
      <c r="E59">
        <v>4494</v>
      </c>
      <c r="F59">
        <v>5341</v>
      </c>
      <c r="G59">
        <v>46090.421579837966</v>
      </c>
    </row>
    <row r="60" spans="1:7" x14ac:dyDescent="0.25">
      <c r="A60" t="s">
        <v>11</v>
      </c>
      <c r="B60">
        <v>11</v>
      </c>
      <c r="C60">
        <v>4481.2479999999996</v>
      </c>
      <c r="D60">
        <v>5399.3</v>
      </c>
      <c r="E60">
        <v>4513</v>
      </c>
      <c r="F60">
        <v>5359</v>
      </c>
      <c r="G60">
        <v>46097.421579837966</v>
      </c>
    </row>
    <row r="61" spans="1:7" x14ac:dyDescent="0.25">
      <c r="A61" t="s">
        <v>11</v>
      </c>
      <c r="B61">
        <v>12</v>
      </c>
      <c r="C61">
        <v>4503.491</v>
      </c>
      <c r="D61">
        <v>5352.8</v>
      </c>
      <c r="E61">
        <v>4532</v>
      </c>
      <c r="F61">
        <v>5377</v>
      </c>
      <c r="G61">
        <v>46104.421579837966</v>
      </c>
    </row>
    <row r="62" spans="1:7" x14ac:dyDescent="0.25">
      <c r="A62" t="s">
        <v>12</v>
      </c>
      <c r="B62">
        <v>1</v>
      </c>
      <c r="C62">
        <v>5032.29</v>
      </c>
      <c r="D62">
        <v>5990</v>
      </c>
      <c r="E62">
        <v>5022</v>
      </c>
      <c r="F62">
        <v>6021</v>
      </c>
      <c r="G62">
        <v>46027.421579837966</v>
      </c>
    </row>
    <row r="63" spans="1:7" x14ac:dyDescent="0.25">
      <c r="A63" t="s">
        <v>12</v>
      </c>
      <c r="B63">
        <v>2</v>
      </c>
      <c r="C63">
        <v>5037.143</v>
      </c>
      <c r="D63">
        <v>6056</v>
      </c>
      <c r="E63">
        <v>5045</v>
      </c>
      <c r="F63">
        <v>6042</v>
      </c>
      <c r="G63">
        <v>46034.421579837966</v>
      </c>
    </row>
    <row r="64" spans="1:7" x14ac:dyDescent="0.25">
      <c r="A64" t="s">
        <v>12</v>
      </c>
      <c r="B64">
        <v>3</v>
      </c>
      <c r="C64">
        <v>5114.5540000000001</v>
      </c>
      <c r="D64">
        <v>6025</v>
      </c>
      <c r="E64">
        <v>5068</v>
      </c>
      <c r="F64">
        <v>6063</v>
      </c>
      <c r="G64">
        <v>46041.421579837966</v>
      </c>
    </row>
    <row r="65" spans="1:7" x14ac:dyDescent="0.25">
      <c r="A65" t="s">
        <v>12</v>
      </c>
      <c r="B65">
        <v>4</v>
      </c>
      <c r="C65">
        <v>5041.1180000000004</v>
      </c>
      <c r="D65">
        <v>6041</v>
      </c>
      <c r="E65">
        <v>5090</v>
      </c>
      <c r="F65">
        <v>6084</v>
      </c>
      <c r="G65">
        <v>46048.421579837966</v>
      </c>
    </row>
    <row r="66" spans="1:7" x14ac:dyDescent="0.25">
      <c r="A66" t="s">
        <v>12</v>
      </c>
      <c r="B66">
        <v>5</v>
      </c>
      <c r="C66">
        <v>5152.1350000000002</v>
      </c>
      <c r="D66">
        <v>6062</v>
      </c>
      <c r="E66">
        <v>5112</v>
      </c>
      <c r="F66">
        <v>6105</v>
      </c>
      <c r="G66">
        <v>46055.421579837966</v>
      </c>
    </row>
    <row r="67" spans="1:7" x14ac:dyDescent="0.25">
      <c r="A67" t="s">
        <v>12</v>
      </c>
      <c r="B67">
        <v>6</v>
      </c>
      <c r="C67">
        <v>5160.82</v>
      </c>
      <c r="D67">
        <v>6053</v>
      </c>
      <c r="E67">
        <v>5135</v>
      </c>
      <c r="F67">
        <v>6126</v>
      </c>
      <c r="G67">
        <v>46062.421579837966</v>
      </c>
    </row>
    <row r="68" spans="1:7" x14ac:dyDescent="0.25">
      <c r="A68" t="s">
        <v>12</v>
      </c>
      <c r="B68">
        <v>7</v>
      </c>
      <c r="C68">
        <v>5101.0619999999999</v>
      </c>
      <c r="D68">
        <v>6068</v>
      </c>
      <c r="E68">
        <v>5158</v>
      </c>
      <c r="F68">
        <v>6147</v>
      </c>
      <c r="G68">
        <v>46069.421579837966</v>
      </c>
    </row>
    <row r="69" spans="1:7" x14ac:dyDescent="0.25">
      <c r="A69" t="s">
        <v>12</v>
      </c>
      <c r="B69">
        <v>8</v>
      </c>
      <c r="C69">
        <v>5180.8220000000001</v>
      </c>
      <c r="D69">
        <v>6071</v>
      </c>
      <c r="E69">
        <v>5180</v>
      </c>
      <c r="F69">
        <v>6168</v>
      </c>
      <c r="G69">
        <v>46076.421579837966</v>
      </c>
    </row>
    <row r="70" spans="1:7" x14ac:dyDescent="0.25">
      <c r="A70" t="s">
        <v>12</v>
      </c>
      <c r="B70">
        <v>9</v>
      </c>
      <c r="C70">
        <v>5217.0349999999999</v>
      </c>
      <c r="D70">
        <v>6212</v>
      </c>
      <c r="E70">
        <v>5202</v>
      </c>
      <c r="F70">
        <v>6189</v>
      </c>
      <c r="G70">
        <v>46083.421579837966</v>
      </c>
    </row>
    <row r="71" spans="1:7" x14ac:dyDescent="0.25">
      <c r="A71" t="s">
        <v>12</v>
      </c>
      <c r="B71">
        <v>10</v>
      </c>
      <c r="C71">
        <v>5196.2610000000004</v>
      </c>
      <c r="D71">
        <v>6125</v>
      </c>
      <c r="E71">
        <v>5225</v>
      </c>
      <c r="F71">
        <v>6210</v>
      </c>
      <c r="G71">
        <v>46090.421579837966</v>
      </c>
    </row>
    <row r="72" spans="1:7" x14ac:dyDescent="0.25">
      <c r="A72" t="s">
        <v>12</v>
      </c>
      <c r="B72">
        <v>11</v>
      </c>
      <c r="C72">
        <v>5228.9639999999999</v>
      </c>
      <c r="D72">
        <v>6261</v>
      </c>
      <c r="E72">
        <v>5248</v>
      </c>
      <c r="F72">
        <v>6231</v>
      </c>
      <c r="G72">
        <v>46097.421579837966</v>
      </c>
    </row>
    <row r="73" spans="1:7" x14ac:dyDescent="0.25">
      <c r="A73" t="s">
        <v>12</v>
      </c>
      <c r="B73">
        <v>12</v>
      </c>
      <c r="C73">
        <v>5206.1369999999997</v>
      </c>
      <c r="D73">
        <v>6144</v>
      </c>
      <c r="E73">
        <v>5270</v>
      </c>
      <c r="F73">
        <v>6252</v>
      </c>
      <c r="G73">
        <v>46104.421579837966</v>
      </c>
    </row>
    <row r="74" spans="1:7" x14ac:dyDescent="0.25">
      <c r="A74" t="s">
        <v>13</v>
      </c>
      <c r="B74">
        <v>1</v>
      </c>
      <c r="C74">
        <v>5754.7120000000004</v>
      </c>
      <c r="D74">
        <v>6936.5</v>
      </c>
      <c r="E74">
        <v>5726</v>
      </c>
      <c r="F74">
        <v>6864</v>
      </c>
      <c r="G74">
        <v>46027.421579837966</v>
      </c>
    </row>
    <row r="75" spans="1:7" x14ac:dyDescent="0.25">
      <c r="A75" t="s">
        <v>13</v>
      </c>
      <c r="B75">
        <v>2</v>
      </c>
      <c r="C75">
        <v>5717.43</v>
      </c>
      <c r="D75">
        <v>6928</v>
      </c>
      <c r="E75">
        <v>5751</v>
      </c>
      <c r="F75">
        <v>6888</v>
      </c>
      <c r="G75">
        <v>46034.421579837966</v>
      </c>
    </row>
    <row r="76" spans="1:7" x14ac:dyDescent="0.25">
      <c r="A76" t="s">
        <v>13</v>
      </c>
      <c r="B76">
        <v>3</v>
      </c>
      <c r="C76">
        <v>5744.31</v>
      </c>
      <c r="D76">
        <v>6977.6</v>
      </c>
      <c r="E76">
        <v>5777</v>
      </c>
      <c r="F76">
        <v>6912</v>
      </c>
      <c r="G76">
        <v>46041.421579837966</v>
      </c>
    </row>
    <row r="77" spans="1:7" x14ac:dyDescent="0.25">
      <c r="A77" t="s">
        <v>13</v>
      </c>
      <c r="B77">
        <v>4</v>
      </c>
      <c r="C77">
        <v>5797.3819999999996</v>
      </c>
      <c r="D77">
        <v>6865.1</v>
      </c>
      <c r="E77">
        <v>5803</v>
      </c>
      <c r="F77">
        <v>6936</v>
      </c>
      <c r="G77">
        <v>46048.421579837966</v>
      </c>
    </row>
    <row r="78" spans="1:7" x14ac:dyDescent="0.25">
      <c r="A78" t="s">
        <v>13</v>
      </c>
      <c r="B78">
        <v>5</v>
      </c>
      <c r="C78">
        <v>5774.6019999999999</v>
      </c>
      <c r="D78">
        <v>6898.6</v>
      </c>
      <c r="E78">
        <v>5828</v>
      </c>
      <c r="F78">
        <v>6960</v>
      </c>
      <c r="G78">
        <v>46055.421579837966</v>
      </c>
    </row>
    <row r="79" spans="1:7" x14ac:dyDescent="0.25">
      <c r="A79" t="s">
        <v>13</v>
      </c>
      <c r="B79">
        <v>6</v>
      </c>
      <c r="C79">
        <v>5869.0990000000002</v>
      </c>
      <c r="D79">
        <v>6887.1</v>
      </c>
      <c r="E79">
        <v>5854</v>
      </c>
      <c r="F79">
        <v>6984</v>
      </c>
      <c r="G79">
        <v>46062.421579837966</v>
      </c>
    </row>
    <row r="80" spans="1:7" x14ac:dyDescent="0.25">
      <c r="A80" t="s">
        <v>13</v>
      </c>
      <c r="B80">
        <v>7</v>
      </c>
      <c r="C80">
        <v>5848.5360000000001</v>
      </c>
      <c r="D80">
        <v>6977.6</v>
      </c>
      <c r="E80">
        <v>5880</v>
      </c>
      <c r="F80">
        <v>7008</v>
      </c>
      <c r="G80">
        <v>46069.421579837966</v>
      </c>
    </row>
    <row r="81" spans="1:7" x14ac:dyDescent="0.25">
      <c r="A81" t="s">
        <v>13</v>
      </c>
      <c r="B81">
        <v>8</v>
      </c>
      <c r="C81">
        <v>5856.0709999999999</v>
      </c>
      <c r="D81">
        <v>6941.2</v>
      </c>
      <c r="E81">
        <v>5905</v>
      </c>
      <c r="F81">
        <v>7032</v>
      </c>
      <c r="G81">
        <v>46076.421579837966</v>
      </c>
    </row>
    <row r="82" spans="1:7" x14ac:dyDescent="0.25">
      <c r="A82" t="s">
        <v>13</v>
      </c>
      <c r="B82">
        <v>9</v>
      </c>
      <c r="C82">
        <v>5942.6779999999999</v>
      </c>
      <c r="D82">
        <v>6990.7</v>
      </c>
      <c r="E82">
        <v>5931</v>
      </c>
      <c r="F82">
        <v>7055</v>
      </c>
      <c r="G82">
        <v>46083.421579837966</v>
      </c>
    </row>
    <row r="83" spans="1:7" x14ac:dyDescent="0.25">
      <c r="A83" t="s">
        <v>13</v>
      </c>
      <c r="B83">
        <v>10</v>
      </c>
      <c r="C83">
        <v>5886.607</v>
      </c>
      <c r="D83">
        <v>6989.2</v>
      </c>
      <c r="E83">
        <v>5956</v>
      </c>
      <c r="F83">
        <v>7079</v>
      </c>
      <c r="G83">
        <v>46090.421579837966</v>
      </c>
    </row>
    <row r="84" spans="1:7" x14ac:dyDescent="0.25">
      <c r="A84" t="s">
        <v>13</v>
      </c>
      <c r="B84">
        <v>11</v>
      </c>
      <c r="C84">
        <v>5940.5209999999997</v>
      </c>
      <c r="D84">
        <v>7144.7</v>
      </c>
      <c r="E84">
        <v>5982</v>
      </c>
      <c r="F84">
        <v>7103</v>
      </c>
      <c r="G84">
        <v>46097.421579837966</v>
      </c>
    </row>
    <row r="85" spans="1:7" x14ac:dyDescent="0.25">
      <c r="A85" t="s">
        <v>13</v>
      </c>
      <c r="B85">
        <v>12</v>
      </c>
      <c r="C85">
        <v>5945.67</v>
      </c>
      <c r="D85">
        <v>7151.2</v>
      </c>
      <c r="E85">
        <v>6008</v>
      </c>
      <c r="F85">
        <v>7127</v>
      </c>
      <c r="G85">
        <v>46104.421579837966</v>
      </c>
    </row>
    <row r="86" spans="1:7" x14ac:dyDescent="0.25">
      <c r="A86" t="s">
        <v>14</v>
      </c>
      <c r="B86">
        <v>1</v>
      </c>
      <c r="C86">
        <v>6388.5129999999999</v>
      </c>
      <c r="D86">
        <v>7660</v>
      </c>
      <c r="E86">
        <v>6429</v>
      </c>
      <c r="F86">
        <v>7707</v>
      </c>
      <c r="G86">
        <v>46027.421579837966</v>
      </c>
    </row>
    <row r="87" spans="1:7" x14ac:dyDescent="0.25">
      <c r="A87" t="s">
        <v>14</v>
      </c>
      <c r="B87">
        <v>2</v>
      </c>
      <c r="C87">
        <v>6431.5730000000003</v>
      </c>
      <c r="D87">
        <v>7791.1</v>
      </c>
      <c r="E87">
        <v>6458</v>
      </c>
      <c r="F87">
        <v>7734</v>
      </c>
      <c r="G87">
        <v>46034.421579837966</v>
      </c>
    </row>
    <row r="88" spans="1:7" x14ac:dyDescent="0.25">
      <c r="A88" t="s">
        <v>14</v>
      </c>
      <c r="B88">
        <v>3</v>
      </c>
      <c r="C88">
        <v>6425.0529999999999</v>
      </c>
      <c r="D88">
        <v>7805.1</v>
      </c>
      <c r="E88">
        <v>6486</v>
      </c>
      <c r="F88">
        <v>7761</v>
      </c>
      <c r="G88">
        <v>46041.421579837966</v>
      </c>
    </row>
    <row r="89" spans="1:7" x14ac:dyDescent="0.25">
      <c r="A89" t="s">
        <v>14</v>
      </c>
      <c r="B89">
        <v>4</v>
      </c>
      <c r="C89">
        <v>6521.7030000000004</v>
      </c>
      <c r="D89">
        <v>7797.2</v>
      </c>
      <c r="E89">
        <v>6515</v>
      </c>
      <c r="F89">
        <v>7788</v>
      </c>
      <c r="G89">
        <v>46048.421579837966</v>
      </c>
    </row>
    <row r="90" spans="1:7" x14ac:dyDescent="0.25">
      <c r="A90" t="s">
        <v>14</v>
      </c>
      <c r="B90">
        <v>5</v>
      </c>
      <c r="C90">
        <v>6579.8</v>
      </c>
      <c r="D90">
        <v>7821.2</v>
      </c>
      <c r="E90">
        <v>6544</v>
      </c>
      <c r="F90">
        <v>7814</v>
      </c>
      <c r="G90">
        <v>46055.421579837966</v>
      </c>
    </row>
    <row r="91" spans="1:7" x14ac:dyDescent="0.25">
      <c r="A91" t="s">
        <v>14</v>
      </c>
      <c r="B91">
        <v>6</v>
      </c>
      <c r="C91">
        <v>6598.4129999999996</v>
      </c>
      <c r="D91">
        <v>7770.2</v>
      </c>
      <c r="E91">
        <v>6573</v>
      </c>
      <c r="F91">
        <v>7841</v>
      </c>
      <c r="G91">
        <v>46062.421579837966</v>
      </c>
    </row>
    <row r="92" spans="1:7" x14ac:dyDescent="0.25">
      <c r="A92" t="s">
        <v>14</v>
      </c>
      <c r="B92">
        <v>7</v>
      </c>
      <c r="C92">
        <v>6589.6850000000004</v>
      </c>
      <c r="D92">
        <v>7799.3</v>
      </c>
      <c r="E92">
        <v>6602</v>
      </c>
      <c r="F92">
        <v>7868</v>
      </c>
      <c r="G92">
        <v>46069.421579837966</v>
      </c>
    </row>
    <row r="93" spans="1:7" x14ac:dyDescent="0.25">
      <c r="A93" t="s">
        <v>14</v>
      </c>
      <c r="B93">
        <v>8</v>
      </c>
      <c r="C93">
        <v>6649.2529999999997</v>
      </c>
      <c r="D93">
        <v>7840.3</v>
      </c>
      <c r="E93">
        <v>6630</v>
      </c>
      <c r="F93">
        <v>7895</v>
      </c>
      <c r="G93">
        <v>46076.421579837966</v>
      </c>
    </row>
    <row r="94" spans="1:7" x14ac:dyDescent="0.25">
      <c r="A94" t="s">
        <v>14</v>
      </c>
      <c r="B94">
        <v>9</v>
      </c>
      <c r="C94">
        <v>6630.54</v>
      </c>
      <c r="D94">
        <v>7855.4</v>
      </c>
      <c r="E94">
        <v>6659</v>
      </c>
      <c r="F94">
        <v>7922</v>
      </c>
      <c r="G94">
        <v>46083.421579837966</v>
      </c>
    </row>
    <row r="95" spans="1:7" x14ac:dyDescent="0.25">
      <c r="A95" t="s">
        <v>14</v>
      </c>
      <c r="B95">
        <v>10</v>
      </c>
      <c r="C95">
        <v>6694.1419999999998</v>
      </c>
      <c r="D95">
        <v>7903.4</v>
      </c>
      <c r="E95">
        <v>6688</v>
      </c>
      <c r="F95">
        <v>7949</v>
      </c>
      <c r="G95">
        <v>46090.421579837966</v>
      </c>
    </row>
    <row r="96" spans="1:7" x14ac:dyDescent="0.25">
      <c r="A96" t="s">
        <v>14</v>
      </c>
      <c r="B96">
        <v>11</v>
      </c>
      <c r="C96">
        <v>6640.4979999999996</v>
      </c>
      <c r="D96">
        <v>7938.4</v>
      </c>
      <c r="E96">
        <v>6717</v>
      </c>
      <c r="F96">
        <v>7976</v>
      </c>
      <c r="G96">
        <v>46097.421579837966</v>
      </c>
    </row>
    <row r="97" spans="1:7" x14ac:dyDescent="0.25">
      <c r="A97" t="s">
        <v>14</v>
      </c>
      <c r="B97">
        <v>12</v>
      </c>
      <c r="C97">
        <v>6685.7849999999999</v>
      </c>
      <c r="D97">
        <v>7937.5</v>
      </c>
      <c r="E97">
        <v>6746</v>
      </c>
      <c r="F97">
        <v>8003</v>
      </c>
      <c r="G97">
        <v>46104.421579837966</v>
      </c>
    </row>
    <row r="98" spans="1:7" x14ac:dyDescent="0.25">
      <c r="A98" t="s">
        <v>15</v>
      </c>
      <c r="B98">
        <v>1</v>
      </c>
      <c r="C98">
        <v>7163.4650000000001</v>
      </c>
      <c r="D98">
        <v>8555.6</v>
      </c>
      <c r="E98">
        <v>7132</v>
      </c>
      <c r="F98">
        <v>8550</v>
      </c>
      <c r="G98">
        <v>46027.421579837966</v>
      </c>
    </row>
    <row r="99" spans="1:7" x14ac:dyDescent="0.25">
      <c r="A99" t="s">
        <v>15</v>
      </c>
      <c r="B99">
        <v>2</v>
      </c>
      <c r="C99">
        <v>7163.0069999999996</v>
      </c>
      <c r="D99">
        <v>8557.1</v>
      </c>
      <c r="E99">
        <v>7164</v>
      </c>
      <c r="F99">
        <v>8580</v>
      </c>
      <c r="G99">
        <v>46034.421579837966</v>
      </c>
    </row>
    <row r="100" spans="1:7" x14ac:dyDescent="0.25">
      <c r="A100" t="s">
        <v>15</v>
      </c>
      <c r="B100">
        <v>3</v>
      </c>
      <c r="C100">
        <v>7155.3490000000002</v>
      </c>
      <c r="D100">
        <v>8544.7000000000007</v>
      </c>
      <c r="E100">
        <v>7196</v>
      </c>
      <c r="F100">
        <v>8609</v>
      </c>
      <c r="G100">
        <v>46041.421579837966</v>
      </c>
    </row>
    <row r="101" spans="1:7" x14ac:dyDescent="0.25">
      <c r="A101" t="s">
        <v>15</v>
      </c>
      <c r="B101">
        <v>4</v>
      </c>
      <c r="C101">
        <v>7229.8239999999996</v>
      </c>
      <c r="D101">
        <v>8671.2000000000007</v>
      </c>
      <c r="E101">
        <v>7228</v>
      </c>
      <c r="F101">
        <v>8639</v>
      </c>
      <c r="G101">
        <v>46048.421579837966</v>
      </c>
    </row>
    <row r="102" spans="1:7" x14ac:dyDescent="0.25">
      <c r="A102" t="s">
        <v>15</v>
      </c>
      <c r="B102">
        <v>5</v>
      </c>
      <c r="C102">
        <v>7240.5460000000003</v>
      </c>
      <c r="D102">
        <v>8712.7999999999993</v>
      </c>
      <c r="E102">
        <v>7260</v>
      </c>
      <c r="F102">
        <v>8669</v>
      </c>
      <c r="G102">
        <v>46055.421579837966</v>
      </c>
    </row>
    <row r="103" spans="1:7" x14ac:dyDescent="0.25">
      <c r="A103" t="s">
        <v>15</v>
      </c>
      <c r="B103">
        <v>6</v>
      </c>
      <c r="C103">
        <v>7306.085</v>
      </c>
      <c r="D103">
        <v>8686.4</v>
      </c>
      <c r="E103">
        <v>7292</v>
      </c>
      <c r="F103">
        <v>8699</v>
      </c>
      <c r="G103">
        <v>46062.421579837966</v>
      </c>
    </row>
    <row r="104" spans="1:7" x14ac:dyDescent="0.25">
      <c r="A104" t="s">
        <v>15</v>
      </c>
      <c r="B104">
        <v>7</v>
      </c>
      <c r="C104">
        <v>7319.116</v>
      </c>
      <c r="D104">
        <v>8691.9</v>
      </c>
      <c r="E104">
        <v>7324</v>
      </c>
      <c r="F104">
        <v>8729</v>
      </c>
      <c r="G104">
        <v>46069.421579837966</v>
      </c>
    </row>
    <row r="105" spans="1:7" x14ac:dyDescent="0.25">
      <c r="A105" t="s">
        <v>15</v>
      </c>
      <c r="B105">
        <v>8</v>
      </c>
      <c r="C105">
        <v>7373.0349999999999</v>
      </c>
      <c r="D105">
        <v>8681.5</v>
      </c>
      <c r="E105">
        <v>7356</v>
      </c>
      <c r="F105">
        <v>8759</v>
      </c>
      <c r="G105">
        <v>46076.421579837966</v>
      </c>
    </row>
    <row r="106" spans="1:7" x14ac:dyDescent="0.25">
      <c r="A106" t="s">
        <v>15</v>
      </c>
      <c r="B106">
        <v>9</v>
      </c>
      <c r="C106">
        <v>7368.8469999999998</v>
      </c>
      <c r="D106">
        <v>8687</v>
      </c>
      <c r="E106">
        <v>7388</v>
      </c>
      <c r="F106">
        <v>8788</v>
      </c>
      <c r="G106">
        <v>46083.421579837966</v>
      </c>
    </row>
    <row r="107" spans="1:7" x14ac:dyDescent="0.25">
      <c r="A107" t="s">
        <v>15</v>
      </c>
      <c r="B107">
        <v>10</v>
      </c>
      <c r="C107">
        <v>7371.5150000000003</v>
      </c>
      <c r="D107">
        <v>8759.6</v>
      </c>
      <c r="E107">
        <v>7419</v>
      </c>
      <c r="F107">
        <v>8818</v>
      </c>
      <c r="G107">
        <v>46090.421579837966</v>
      </c>
    </row>
    <row r="108" spans="1:7" x14ac:dyDescent="0.25">
      <c r="A108" t="s">
        <v>15</v>
      </c>
      <c r="B108">
        <v>11</v>
      </c>
      <c r="C108">
        <v>7368.0140000000001</v>
      </c>
      <c r="D108">
        <v>8755.2000000000007</v>
      </c>
      <c r="E108">
        <v>7451</v>
      </c>
      <c r="F108">
        <v>8848</v>
      </c>
      <c r="G108">
        <v>46097.421579837966</v>
      </c>
    </row>
    <row r="109" spans="1:7" x14ac:dyDescent="0.25">
      <c r="A109" t="s">
        <v>15</v>
      </c>
      <c r="B109">
        <v>12</v>
      </c>
      <c r="C109">
        <v>7413.8720000000003</v>
      </c>
      <c r="D109">
        <v>8865.7000000000007</v>
      </c>
      <c r="E109">
        <v>7483</v>
      </c>
      <c r="F109">
        <v>8878</v>
      </c>
      <c r="G109">
        <v>46104.421579837966</v>
      </c>
    </row>
    <row r="110" spans="1:7" x14ac:dyDescent="0.25">
      <c r="A110" t="s">
        <v>16</v>
      </c>
      <c r="B110">
        <v>1</v>
      </c>
      <c r="C110">
        <v>7847.2330000000002</v>
      </c>
      <c r="D110">
        <v>9352.1</v>
      </c>
      <c r="E110">
        <v>7835</v>
      </c>
      <c r="F110">
        <v>9393</v>
      </c>
      <c r="G110">
        <v>46027.421579837966</v>
      </c>
    </row>
    <row r="111" spans="1:7" x14ac:dyDescent="0.25">
      <c r="A111" t="s">
        <v>16</v>
      </c>
      <c r="B111">
        <v>2</v>
      </c>
      <c r="C111">
        <v>7901.0129999999999</v>
      </c>
      <c r="D111">
        <v>9384.2000000000007</v>
      </c>
      <c r="E111">
        <v>7870</v>
      </c>
      <c r="F111">
        <v>9426</v>
      </c>
      <c r="G111">
        <v>46034.421579837966</v>
      </c>
    </row>
    <row r="112" spans="1:7" x14ac:dyDescent="0.25">
      <c r="A112" t="s">
        <v>16</v>
      </c>
      <c r="B112">
        <v>3</v>
      </c>
      <c r="C112">
        <v>7855.473</v>
      </c>
      <c r="D112">
        <v>9510.2000000000007</v>
      </c>
      <c r="E112">
        <v>7905</v>
      </c>
      <c r="F112">
        <v>9458</v>
      </c>
      <c r="G112">
        <v>46041.421579837966</v>
      </c>
    </row>
    <row r="113" spans="1:7" x14ac:dyDescent="0.25">
      <c r="A113" t="s">
        <v>16</v>
      </c>
      <c r="B113">
        <v>4</v>
      </c>
      <c r="C113">
        <v>7924.1360000000004</v>
      </c>
      <c r="D113">
        <v>9487.2999999999993</v>
      </c>
      <c r="E113">
        <v>7940</v>
      </c>
      <c r="F113">
        <v>9491</v>
      </c>
      <c r="G113">
        <v>46048.421579837966</v>
      </c>
    </row>
    <row r="114" spans="1:7" x14ac:dyDescent="0.25">
      <c r="A114" t="s">
        <v>16</v>
      </c>
      <c r="B114">
        <v>5</v>
      </c>
      <c r="C114">
        <v>7962.3530000000001</v>
      </c>
      <c r="D114">
        <v>9454.4</v>
      </c>
      <c r="E114">
        <v>7976</v>
      </c>
      <c r="F114">
        <v>9524</v>
      </c>
      <c r="G114">
        <v>46055.421579837966</v>
      </c>
    </row>
    <row r="115" spans="1:7" x14ac:dyDescent="0.25">
      <c r="A115" t="s">
        <v>16</v>
      </c>
      <c r="B115">
        <v>6</v>
      </c>
      <c r="C115">
        <v>8040.8519999999999</v>
      </c>
      <c r="D115">
        <v>9491.5</v>
      </c>
      <c r="E115">
        <v>8011</v>
      </c>
      <c r="F115">
        <v>9557</v>
      </c>
      <c r="G115">
        <v>46062.421579837966</v>
      </c>
    </row>
    <row r="116" spans="1:7" x14ac:dyDescent="0.25">
      <c r="A116" t="s">
        <v>16</v>
      </c>
      <c r="B116">
        <v>7</v>
      </c>
      <c r="C116">
        <v>8070.3149999999996</v>
      </c>
      <c r="D116">
        <v>9512.6</v>
      </c>
      <c r="E116">
        <v>8046</v>
      </c>
      <c r="F116">
        <v>9589</v>
      </c>
      <c r="G116">
        <v>46069.421579837966</v>
      </c>
    </row>
    <row r="117" spans="1:7" x14ac:dyDescent="0.25">
      <c r="A117" t="s">
        <v>16</v>
      </c>
      <c r="B117">
        <v>8</v>
      </c>
      <c r="C117">
        <v>8029.5460000000003</v>
      </c>
      <c r="D117">
        <v>9657.6</v>
      </c>
      <c r="E117">
        <v>8081</v>
      </c>
      <c r="F117">
        <v>9622</v>
      </c>
      <c r="G117">
        <v>46076.421579837966</v>
      </c>
    </row>
    <row r="118" spans="1:7" x14ac:dyDescent="0.25">
      <c r="A118" t="s">
        <v>16</v>
      </c>
      <c r="B118">
        <v>9</v>
      </c>
      <c r="C118">
        <v>8057.6639999999998</v>
      </c>
      <c r="D118">
        <v>9633.7000000000007</v>
      </c>
      <c r="E118">
        <v>8116</v>
      </c>
      <c r="F118">
        <v>9655</v>
      </c>
      <c r="G118">
        <v>46083.421579837966</v>
      </c>
    </row>
    <row r="119" spans="1:7" x14ac:dyDescent="0.25">
      <c r="A119" t="s">
        <v>16</v>
      </c>
      <c r="B119">
        <v>10</v>
      </c>
      <c r="C119">
        <v>8144.5079999999998</v>
      </c>
      <c r="D119">
        <v>9657.7999999999993</v>
      </c>
      <c r="E119">
        <v>8151</v>
      </c>
      <c r="F119">
        <v>9688</v>
      </c>
      <c r="G119">
        <v>46090.421579837966</v>
      </c>
    </row>
    <row r="120" spans="1:7" x14ac:dyDescent="0.25">
      <c r="A120" t="s">
        <v>16</v>
      </c>
      <c r="B120">
        <v>11</v>
      </c>
      <c r="C120">
        <v>8154.41</v>
      </c>
      <c r="D120">
        <v>9663.9</v>
      </c>
      <c r="E120">
        <v>8186</v>
      </c>
      <c r="F120">
        <v>9720</v>
      </c>
      <c r="G120">
        <v>46097.421579837966</v>
      </c>
    </row>
    <row r="121" spans="1:7" x14ac:dyDescent="0.25">
      <c r="A121" t="s">
        <v>16</v>
      </c>
      <c r="B121">
        <v>12</v>
      </c>
      <c r="C121">
        <v>8133.5609999999997</v>
      </c>
      <c r="D121">
        <v>9721</v>
      </c>
      <c r="E121">
        <v>8221</v>
      </c>
      <c r="F121">
        <v>9753</v>
      </c>
      <c r="G121">
        <v>46104.421579837966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54838-1604-4E63-A723-BE93341ACE41}">
  <dimension ref="B2:L13"/>
  <sheetViews>
    <sheetView workbookViewId="0"/>
  </sheetViews>
  <sheetFormatPr defaultRowHeight="12.5" x14ac:dyDescent="0.25"/>
  <sheetData>
    <row r="2" spans="2:12" x14ac:dyDescent="0.25">
      <c r="B2" t="s">
        <v>25</v>
      </c>
    </row>
    <row r="3" spans="2:12" x14ac:dyDescent="0.25">
      <c r="C3" t="str">
        <f>"Loans &amp; deposits - "&amp;Control!$B$2</f>
        <v>Loans &amp; deposits - Bank A</v>
      </c>
    </row>
    <row r="4" spans="2:12" x14ac:dyDescent="0.25">
      <c r="C4" t="s">
        <v>26</v>
      </c>
      <c r="D4" t="str">
        <f>"Week "&amp;TEXT(Control!$B$4-3,"00")</f>
        <v>Week 09</v>
      </c>
      <c r="E4" t="str">
        <f>"Week "&amp;TEXT(Control!$B$4-2,"00")</f>
        <v>Week 10</v>
      </c>
      <c r="F4" t="str">
        <f>"Week "&amp;TEXT(Control!$B$4-1,"00")</f>
        <v>Week 11</v>
      </c>
      <c r="G4" t="str">
        <f>"Week "&amp;TEXT(Control!$B$4-0,"00")</f>
        <v>Week 12</v>
      </c>
      <c r="H4" t="s">
        <v>27</v>
      </c>
      <c r="I4" t="s">
        <v>28</v>
      </c>
      <c r="J4" t="s">
        <v>29</v>
      </c>
      <c r="K4" t="s">
        <v>30</v>
      </c>
    </row>
    <row r="5" spans="2:12" x14ac:dyDescent="0.25">
      <c r="C5" t="s">
        <v>2</v>
      </c>
      <c r="D5">
        <f>ROUND(SUMIFS(Data!$C:$C,Data!$A:$A,Control!$B$2,Data!$B:$B,Control!$B$4-3)*Control!$B$5,1)</f>
        <v>1624.7</v>
      </c>
      <c r="E5">
        <f>ROUND(SUMIFS(Data!$C:$C,Data!$A:$A,Control!$B$2,Data!$B:$B,Control!$B$4-2)*Control!$B$5,1)</f>
        <v>1688.3</v>
      </c>
      <c r="F5">
        <f>ROUND(SUMIFS(Data!$C:$C,Data!$A:$A,Control!$B$2,Data!$B:$B,Control!$B$4-1)*Control!$B$5,1)</f>
        <v>1675.1</v>
      </c>
      <c r="G5">
        <f>ROUND(SUMIFS(Data!$C:$C,Data!$A:$A,Control!$B$2,Data!$B:$B,Control!$B$4-0)*Control!$B$5,1)</f>
        <v>1678.4</v>
      </c>
      <c r="H5">
        <f>G5-F5</f>
        <v>3.3000000000001819</v>
      </c>
      <c r="I5">
        <f>IFERROR(H5/F5,0)</f>
        <v>1.9700316399022043E-3</v>
      </c>
      <c r="J5">
        <f>ROUND(SUMIFS(Data!$E:$E,Data!$A:$A,Control!$B$2,Data!$B:$B,Control!$B$4-0)*Control!$B$5,1)</f>
        <v>1714.9</v>
      </c>
      <c r="K5">
        <f>IF(ABS(G5-J5)&lt;0.05,0,G5-J5)</f>
        <v>-36.5</v>
      </c>
    </row>
    <row r="6" spans="2:12" x14ac:dyDescent="0.25">
      <c r="C6" t="s">
        <v>3</v>
      </c>
      <c r="D6">
        <f>ROUND(SUMIFS(Data!$D:$D,Data!$A:$A,Control!$B$2,Data!$B:$B,Control!$B$4-3)*Control!$B$5,1)</f>
        <v>2025.8</v>
      </c>
      <c r="E6">
        <f>ROUND(SUMIFS(Data!$D:$D,Data!$A:$A,Control!$B$2,Data!$B:$B,Control!$B$4-2)*Control!$B$5,1)</f>
        <v>2033.8</v>
      </c>
      <c r="F6">
        <f>ROUND(SUMIFS(Data!$D:$D,Data!$A:$A,Control!$B$2,Data!$B:$B,Control!$B$4-1)*Control!$B$5,1)</f>
        <v>2001.7</v>
      </c>
      <c r="G6">
        <f>ROUND(SUMIFS(Data!$D:$D,Data!$A:$A,Control!$B$2,Data!$B:$B,Control!$B$4-0)*Control!$B$5,1)</f>
        <v>1937.1</v>
      </c>
      <c r="H6">
        <f>G6-F6</f>
        <v>-64.600000000000136</v>
      </c>
      <c r="I6">
        <f>IFERROR(H6/F6,0)</f>
        <v>-3.2272568316930678E-2</v>
      </c>
      <c r="J6">
        <f>ROUND(SUMIFS(Data!$F:$F,Data!$A:$A,Control!$B$2,Data!$B:$B,Control!$B$4-0)*Control!$B$5,1)</f>
        <v>2034.9</v>
      </c>
      <c r="K6">
        <f>IF(ABS(G6-J6)&lt;0.05,0,G6-J6)</f>
        <v>-97.800000000000182</v>
      </c>
    </row>
    <row r="7" spans="2:12" x14ac:dyDescent="0.25">
      <c r="C7" t="s">
        <v>31</v>
      </c>
      <c r="D7">
        <f>SUM(D5:D6)</f>
        <v>3650.5</v>
      </c>
      <c r="E7">
        <f>SUM(E5:E6)</f>
        <v>3722.1</v>
      </c>
      <c r="F7">
        <f>SUM(F5:F6)</f>
        <v>3676.8</v>
      </c>
      <c r="G7">
        <f>SUM(G5:G6)</f>
        <v>3615.5</v>
      </c>
      <c r="H7">
        <f>SUM(H5:H6)</f>
        <v>-61.299999999999955</v>
      </c>
      <c r="I7">
        <f>IFERROR(H7/F7,0)</f>
        <v>-1.6672106179286324E-2</v>
      </c>
      <c r="J7">
        <f>SUM(J5:J6)</f>
        <v>3749.8</v>
      </c>
      <c r="K7">
        <f>SUM(K5:K6)</f>
        <v>-134.30000000000018</v>
      </c>
    </row>
    <row r="8" spans="2:12" x14ac:dyDescent="0.25">
      <c r="C8" t="s">
        <v>32</v>
      </c>
      <c r="D8">
        <f>IF(D6=0,"n/a",D5/D6)</f>
        <v>0.80200414651002072</v>
      </c>
      <c r="E8">
        <f>IF(E6=0,"n/a",E5/E6)</f>
        <v>0.83012095584619927</v>
      </c>
      <c r="F8">
        <f>IF(F6=0,"n/a",F5/F6)</f>
        <v>0.83683868711595133</v>
      </c>
      <c r="G8">
        <f>IF(G6=0,"n/a",G5/G6)</f>
        <v>0.86644984771049516</v>
      </c>
    </row>
    <row r="9" spans="2:12" x14ac:dyDescent="0.25">
      <c r="C9" t="s">
        <v>33</v>
      </c>
      <c r="D9">
        <f>AVERAGE(D7:G7)</f>
        <v>3666.2250000000004</v>
      </c>
      <c r="E9">
        <f>MAX(D7:G7)</f>
        <v>3722.1</v>
      </c>
      <c r="F9">
        <f>MIN(D7:G7)</f>
        <v>3615.5</v>
      </c>
      <c r="G9">
        <f>COUNTIF(H5:H6,"&gt;0")</f>
        <v>1</v>
      </c>
    </row>
    <row r="11" spans="2:12" x14ac:dyDescent="0.25">
      <c r="C11" t="s">
        <v>34</v>
      </c>
      <c r="D11" t="e">
        <f>RANK(G5,Data!$C$2:$C$121)</f>
        <v>#N/A</v>
      </c>
      <c r="E11">
        <f>SUMPRODUCT((Data!$B$2:$B$121=Control!$B$4)*(Data!$C$2:$C$121&gt;G5))+1</f>
        <v>10</v>
      </c>
      <c r="F11" t="str">
        <f>VLOOKUP(Control!$B$2,Data!$H$2:$H$11,1,FALSE)</f>
        <v>Bank A</v>
      </c>
      <c r="G11" t="str">
        <f>LEFT(Control!$B$2,4)&amp;MID(Control!$B$2,6,1)&amp;LEN(Control!$B$2)</f>
        <v>BankA6</v>
      </c>
    </row>
    <row r="12" spans="2:12" x14ac:dyDescent="0.25">
      <c r="C12" t="s">
        <v>35</v>
      </c>
      <c r="D12" t="str">
        <f>CHOOSE(MOD(Control!$B$3,3)+1,"one","two","three")</f>
        <v>two</v>
      </c>
      <c r="E12" t="str">
        <f>TEXT(Control!$B$8,"mmm yy")</f>
        <v>mar yy</v>
      </c>
      <c r="F12">
        <f ca="1">OFFSET(D5,1,2)</f>
        <v>2001.7</v>
      </c>
      <c r="G12">
        <f ca="1">INDIRECT("D7")</f>
        <v>3650.5</v>
      </c>
      <c r="H12">
        <f>AVERAGEIF(Data!$A$2:$A$121,Control!$B$2,Data!$C$2:$C$121)</f>
        <v>1528.0687500000001</v>
      </c>
      <c r="I12">
        <f>DATE(2026,1,5)+7*(Control!$B$4-1)</f>
        <v>46104</v>
      </c>
      <c r="J12" t="str">
        <f>CONCATENATE(Control!$B$6," EUR")</f>
        <v>mln EUR</v>
      </c>
      <c r="K12">
        <f>ROUNDUP(G7/1000,0)*1000</f>
        <v>4000</v>
      </c>
    </row>
    <row r="13" spans="2:12" x14ac:dyDescent="0.25">
      <c r="C13" t="s">
        <v>36</v>
      </c>
      <c r="D13" s="1">
        <f ca="1">TODAY()</f>
        <v>46311</v>
      </c>
      <c r="E13" t="str">
        <f>IF(ISNUMBER(G5),"ok","missing")</f>
        <v>ok</v>
      </c>
      <c r="F13">
        <f>LARGE(Data!$C$2:$C$121,3)</f>
        <v>8133.5609999999997</v>
      </c>
      <c r="G13">
        <f>SMALL(D5:G6,2)</f>
        <v>1675.1</v>
      </c>
      <c r="H13" t="str">
        <f>_xlfn.XLOOKUP(Control!$B$2,Data!$H$2:$H$11,Data!$H$2:$H$11,"none")</f>
        <v>Bank A</v>
      </c>
      <c r="I13" t="str" cm="1">
        <f t="array" ref="I13">_xlfn.IFS(G5&gt;F5,"up",G5&lt;F5,"down",TRUE,"flat")</f>
        <v>up</v>
      </c>
      <c r="J13" cm="1">
        <f t="array" ref="J13">_xlfn.SWITCH(Control!$B$6,"mln",1000000,"k",1000,1)</f>
        <v>1000000</v>
      </c>
      <c r="K13">
        <f>_xlfn.LET(_xlpm.x,G7,_xlpm.y,J7,IF(_xlpm.y=0,0,_xlpm.x/_xlpm.y-1))</f>
        <v>-3.5815243479652259E-2</v>
      </c>
      <c r="L13" cm="1">
        <f t="array" ref="L13">SUM(_xlfn._xlws.FILTER(Data!$C$2:$C$121,Data!$A$2:$A$121=Control!$B$2))</f>
        <v>18336.825000000001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E10E0-7684-4582-8575-8D521E31AC4B}">
  <dimension ref="B2:L13"/>
  <sheetViews>
    <sheetView workbookViewId="0"/>
  </sheetViews>
  <sheetFormatPr defaultRowHeight="12.5" x14ac:dyDescent="0.25"/>
  <sheetData>
    <row r="2" spans="2:12" x14ac:dyDescent="0.25">
      <c r="B2" t="s">
        <v>25</v>
      </c>
    </row>
    <row r="3" spans="2:12" x14ac:dyDescent="0.25">
      <c r="C3" t="str">
        <f>"Loans &amp; deposits - "&amp;Control!$B$2</f>
        <v>Loans &amp; deposits - Bank A</v>
      </c>
    </row>
    <row r="4" spans="2:12" x14ac:dyDescent="0.25">
      <c r="C4" t="s">
        <v>26</v>
      </c>
      <c r="D4" t="str">
        <f>"Week "&amp;TEXT(Control!$B$4-4,"00")</f>
        <v>Week 08</v>
      </c>
      <c r="E4" t="str">
        <f>"Week "&amp;TEXT(Control!$B$4-3,"00")</f>
        <v>Week 09</v>
      </c>
      <c r="F4" t="str">
        <f>"Week "&amp;TEXT(Control!$B$4-2,"00")</f>
        <v>Week 10</v>
      </c>
      <c r="G4" t="str">
        <f>"Week "&amp;TEXT(Control!$B$4-1,"00")</f>
        <v>Week 11</v>
      </c>
      <c r="H4" t="s">
        <v>27</v>
      </c>
      <c r="I4" t="s">
        <v>28</v>
      </c>
      <c r="J4" t="s">
        <v>29</v>
      </c>
      <c r="K4" t="s">
        <v>30</v>
      </c>
    </row>
    <row r="5" spans="2:12" x14ac:dyDescent="0.25">
      <c r="C5" t="s">
        <v>2</v>
      </c>
      <c r="D5">
        <f>ROUND(SUMIFS(Data!$C:$C,Data!$A:$A,Control!$B$2,Data!$B:$B,Control!$B$4-4)*Control!$B$5,1)</f>
        <v>1692.4</v>
      </c>
      <c r="E5">
        <f>ROUND(SUMIFS(Data!$C:$C,Data!$A:$A,Control!$B$2,Data!$B:$B,Control!$B$4-3)*Control!$B$5,1)</f>
        <v>1624.7</v>
      </c>
      <c r="F5">
        <f>ROUND(SUMIFS(Data!$C:$C,Data!$A:$A,Control!$B$2,Data!$B:$B,Control!$B$4-2)*Control!$B$5,1)</f>
        <v>1688.3</v>
      </c>
      <c r="G5">
        <f>ROUND(SUMIFS(Data!$C:$C,Data!$A:$A,Control!$B$2,Data!$B:$B,Control!$B$4-1)*Control!$B$5,1)</f>
        <v>1675.1</v>
      </c>
      <c r="H5">
        <f>G5-F5</f>
        <v>-13.200000000000045</v>
      </c>
      <c r="I5">
        <f>IFERROR(H5/F5,0)</f>
        <v>-7.8185156666469493E-3</v>
      </c>
      <c r="J5">
        <f>ROUND(SUMIFS(Data!$E:$E,Data!$A:$A,Control!$B$2,Data!$B:$B,Control!$B$4-1)*Control!$B$5,1)</f>
        <v>1707.3</v>
      </c>
      <c r="K5">
        <f>IF(ABS(G5-J5)&lt;0.05,0,G5-J5)</f>
        <v>-32.200000000000045</v>
      </c>
    </row>
    <row r="6" spans="2:12" x14ac:dyDescent="0.25">
      <c r="C6" t="s">
        <v>3</v>
      </c>
      <c r="D6">
        <f>ROUND(SUMIFS(Data!$D:$D,Data!$A:$A,Control!$B$2,Data!$B:$B,Control!$B$4-4)*Control!$B$5,1)</f>
        <v>1996.1</v>
      </c>
      <c r="E6">
        <f>ROUND(SUMIFS(Data!$D:$D,Data!$A:$A,Control!$B$2,Data!$B:$B,Control!$B$4-3)*Control!$B$5,1)</f>
        <v>2025.8</v>
      </c>
      <c r="F6">
        <f>ROUND(SUMIFS(Data!$D:$D,Data!$A:$A,Control!$B$2,Data!$B:$B,Control!$B$4-2)*Control!$B$5,1)</f>
        <v>2033.8</v>
      </c>
      <c r="G6">
        <f>ROUND(SUMIFS(Data!$D:$D,Data!$A:$A,Control!$B$2,Data!$B:$B,Control!$B$4-1)*Control!$B$5,1)</f>
        <v>2001.7</v>
      </c>
      <c r="H6">
        <f>G6-F6</f>
        <v>-32.099999999999909</v>
      </c>
      <c r="I6">
        <f>IFERROR(H6/F6,0)</f>
        <v>-1.5783262857704743E-2</v>
      </c>
      <c r="J6">
        <f>ROUND(SUMIFS(Data!$F:$F,Data!$A:$A,Control!$B$2,Data!$B:$B,Control!$B$4-1)*Control!$B$5,1)</f>
        <v>2027.3</v>
      </c>
      <c r="K6">
        <f>IF(ABS(G6-J6)&lt;0.05,0,G6-J6)</f>
        <v>-25.599999999999909</v>
      </c>
    </row>
    <row r="7" spans="2:12" x14ac:dyDescent="0.25">
      <c r="C7" t="s">
        <v>31</v>
      </c>
      <c r="D7">
        <f>SUM(D5:D6)</f>
        <v>3688.5</v>
      </c>
      <c r="E7">
        <f>SUM(E5:E6)</f>
        <v>3650.5</v>
      </c>
      <c r="F7">
        <f>SUM(F5:F6)</f>
        <v>3722.1</v>
      </c>
      <c r="G7">
        <f>SUM(G5:G6)</f>
        <v>3676.8</v>
      </c>
      <c r="H7">
        <f>SUM(H5:H6)</f>
        <v>-45.299999999999955</v>
      </c>
      <c r="I7">
        <f>IFERROR(H7/F7,0)</f>
        <v>-1.2170548883694676E-2</v>
      </c>
      <c r="J7">
        <f>SUM(J5:J6)</f>
        <v>3734.6</v>
      </c>
      <c r="K7">
        <f>SUM(K5:K6)</f>
        <v>-57.799999999999955</v>
      </c>
    </row>
    <row r="8" spans="2:12" x14ac:dyDescent="0.25">
      <c r="C8" t="s">
        <v>32</v>
      </c>
      <c r="D8">
        <f>IF(D6=0,"n/a",D5/D6)</f>
        <v>0.84785331396222641</v>
      </c>
      <c r="E8">
        <f>IF(E6=0,"n/a",E5/E6)</f>
        <v>0.80200414651002072</v>
      </c>
      <c r="F8">
        <f>IF(F6=0,"n/a",F5/F6)</f>
        <v>0.83012095584619927</v>
      </c>
      <c r="G8">
        <f>IF(G6=0,"n/a",G5/G6)</f>
        <v>0.83683868711595133</v>
      </c>
    </row>
    <row r="9" spans="2:12" x14ac:dyDescent="0.25">
      <c r="C9" t="s">
        <v>33</v>
      </c>
      <c r="D9">
        <f>AVERAGE(D7:G7)</f>
        <v>3684.4750000000004</v>
      </c>
      <c r="E9">
        <f>MAX(D7:G7)</f>
        <v>3722.1</v>
      </c>
      <c r="F9">
        <f>MIN(D7:G7)</f>
        <v>3650.5</v>
      </c>
      <c r="G9">
        <f>COUNTIF(H5:H6,"&gt;0")</f>
        <v>0</v>
      </c>
    </row>
    <row r="10" spans="2:12" x14ac:dyDescent="0.25">
      <c r="C10" t="str">
        <f>"vs SLIDE_1"</f>
        <v>vs SLIDE_1</v>
      </c>
      <c r="D10">
        <f>G7-SLIDE_1!G7</f>
        <v>61.300000000000182</v>
      </c>
      <c r="E10">
        <f>IFERROR(D10/SLIDE_1!G7,0)</f>
        <v>1.6954778038998804E-2</v>
      </c>
      <c r="F10" t="str">
        <f>IF(AND(D10&gt;0,SLIDE_1!H7&gt;0),"up",IF(OR(D10&lt;0,SLIDE_1!H7&lt;0),"down","flat"))</f>
        <v>down</v>
      </c>
      <c r="G10">
        <f>INDEX(SLIDE_1!D5:G6,2,MATCH(MAX(SLIDE_1!D6:G6),SLIDE_1!D6:G6,0))</f>
        <v>2033.8</v>
      </c>
    </row>
    <row r="11" spans="2:12" x14ac:dyDescent="0.25">
      <c r="C11" t="s">
        <v>34</v>
      </c>
      <c r="D11" t="e">
        <f>RANK(G5,Data!$C$2:$C$121)</f>
        <v>#N/A</v>
      </c>
      <c r="E11">
        <f>SUMPRODUCT((Data!$B$2:$B$121=Control!$B$4)*(Data!$C$2:$C$121&gt;G5))+1</f>
        <v>10</v>
      </c>
      <c r="F11" t="str">
        <f>VLOOKUP(Control!$B$2,Data!$H$2:$H$11,1,FALSE)</f>
        <v>Bank A</v>
      </c>
      <c r="G11" t="str">
        <f>LEFT(Control!$B$2,4)&amp;MID(Control!$B$2,6,1)&amp;LEN(Control!$B$2)</f>
        <v>BankA6</v>
      </c>
    </row>
    <row r="12" spans="2:12" x14ac:dyDescent="0.25">
      <c r="C12" t="s">
        <v>35</v>
      </c>
      <c r="D12" t="str">
        <f>CHOOSE(MOD(Control!$B$3,3)+1,"one","two","three")</f>
        <v>two</v>
      </c>
      <c r="E12" t="str">
        <f>TEXT(Control!$B$8,"mmm yy")</f>
        <v>mar yy</v>
      </c>
      <c r="F12">
        <f ca="1">OFFSET(D5,1,2)</f>
        <v>2033.8</v>
      </c>
      <c r="G12">
        <f ca="1">INDIRECT("D7")</f>
        <v>3688.5</v>
      </c>
      <c r="H12">
        <f>AVERAGEIF(Data!$A$2:$A$121,Control!$B$2,Data!$C$2:$C$121)</f>
        <v>1528.0687500000001</v>
      </c>
      <c r="I12">
        <f>DATE(2026,1,5)+7*(Control!$B$4-1)</f>
        <v>46104</v>
      </c>
      <c r="J12" t="str">
        <f>CONCATENATE(Control!$B$6," EUR")</f>
        <v>mln EUR</v>
      </c>
      <c r="K12">
        <f>ROUNDUP(G7/1000,0)*1000</f>
        <v>4000</v>
      </c>
    </row>
    <row r="13" spans="2:12" x14ac:dyDescent="0.25">
      <c r="C13" t="s">
        <v>36</v>
      </c>
      <c r="D13" s="1">
        <f ca="1">TODAY()</f>
        <v>46311</v>
      </c>
      <c r="E13" t="str">
        <f>IF(ISNUMBER(G5),"ok","missing")</f>
        <v>ok</v>
      </c>
      <c r="F13">
        <f>LARGE(Data!$C$2:$C$121,3)</f>
        <v>8133.5609999999997</v>
      </c>
      <c r="G13">
        <f>SMALL(D5:G6,2)</f>
        <v>1675.1</v>
      </c>
      <c r="H13" t="str">
        <f>_xlfn.XLOOKUP(Control!$B$2,Data!$H$2:$H$11,Data!$H$2:$H$11,"none")</f>
        <v>Bank A</v>
      </c>
      <c r="I13" t="str" cm="1">
        <f t="array" ref="I13">_xlfn.IFS(G5&gt;F5,"up",G5&lt;F5,"down",TRUE,"flat")</f>
        <v>down</v>
      </c>
      <c r="J13" cm="1">
        <f t="array" ref="J13">_xlfn.SWITCH(Control!$B$6,"mln",1000000,"k",1000,1)</f>
        <v>1000000</v>
      </c>
      <c r="K13">
        <f>_xlfn.LET(_xlpm.x,G7,_xlpm.y,J7,IF(_xlpm.y=0,0,_xlpm.x/_xlpm.y-1))</f>
        <v>-1.5476891768864021E-2</v>
      </c>
      <c r="L13" cm="1">
        <f t="array" ref="L13">SUM(_xlfn._xlws.FILTER(Data!$C$2:$C$121,Data!$A$2:$A$121=Control!$B$2))</f>
        <v>18336.825000000001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DDAD5-732E-4CEC-AE77-7C967279E151}">
  <dimension ref="B2:L14"/>
  <sheetViews>
    <sheetView workbookViewId="0"/>
  </sheetViews>
  <sheetFormatPr defaultRowHeight="12.5" x14ac:dyDescent="0.25"/>
  <sheetData>
    <row r="2" spans="2:12" x14ac:dyDescent="0.25">
      <c r="B2" t="s">
        <v>25</v>
      </c>
    </row>
    <row r="3" spans="2:12" x14ac:dyDescent="0.25">
      <c r="C3" t="str">
        <f>"Loans &amp; deposits - "&amp;Control!$B$2</f>
        <v>Loans &amp; deposits - Bank A</v>
      </c>
    </row>
    <row r="4" spans="2:12" x14ac:dyDescent="0.25">
      <c r="C4" t="s">
        <v>26</v>
      </c>
      <c r="D4" t="str">
        <f>"Week "&amp;TEXT(Control!$B$4-5,"00")</f>
        <v>Week 07</v>
      </c>
      <c r="E4" t="str">
        <f>"Week "&amp;TEXT(Control!$B$4-4,"00")</f>
        <v>Week 08</v>
      </c>
      <c r="F4" t="str">
        <f>"Week "&amp;TEXT(Control!$B$4-3,"00")</f>
        <v>Week 09</v>
      </c>
      <c r="G4" t="str">
        <f>"Week "&amp;TEXT(Control!$B$4-2,"00")</f>
        <v>Week 10</v>
      </c>
      <c r="H4" t="s">
        <v>27</v>
      </c>
      <c r="I4" t="s">
        <v>28</v>
      </c>
      <c r="J4" t="s">
        <v>29</v>
      </c>
      <c r="K4" t="s">
        <v>30</v>
      </c>
    </row>
    <row r="5" spans="2:12" x14ac:dyDescent="0.25">
      <c r="C5" t="s">
        <v>2</v>
      </c>
      <c r="D5">
        <f>ROUND(SUMIFS(Data!$C:$C,Data!$A:$A,Control!$B$2,Data!$B:$B,Control!$B$4-5)*Control!$B$5,1)</f>
        <v>1634.2</v>
      </c>
      <c r="E5">
        <f>ROUND(SUMIFS(Data!$C:$C,Data!$A:$A,Control!$B$2,Data!$B:$B,Control!$B$4-4)*Control!$B$5,1)</f>
        <v>1692.4</v>
      </c>
      <c r="F5">
        <f>ROUND(SUMIFS(Data!$C:$C,Data!$A:$A,Control!$B$2,Data!$B:$B,Control!$B$4-3)*Control!$B$5,1)</f>
        <v>1624.7</v>
      </c>
      <c r="G5">
        <f>ROUND(SUMIFS(Data!$C:$C,Data!$A:$A,Control!$B$2,Data!$B:$B,Control!$B$4-2)*Control!$B$5,1)</f>
        <v>1688.3</v>
      </c>
      <c r="H5">
        <f>G5-F5</f>
        <v>63.599999999999909</v>
      </c>
      <c r="I5">
        <f>IFERROR(H5/F5,0)</f>
        <v>3.9145688434787905E-2</v>
      </c>
      <c r="J5">
        <f>ROUND(SUMIFS(Data!$E:$E,Data!$A:$A,Control!$B$2,Data!$B:$B,Control!$B$4-2)*Control!$B$5,1)</f>
        <v>1700.8</v>
      </c>
      <c r="K5">
        <f>IF(ABS(G5-J5)&lt;0.05,0,G5-J5)</f>
        <v>-12.5</v>
      </c>
    </row>
    <row r="6" spans="2:12" x14ac:dyDescent="0.25">
      <c r="C6" t="s">
        <v>3</v>
      </c>
      <c r="D6">
        <f>ROUND(SUMIFS(Data!$D:$D,Data!$A:$A,Control!$B$2,Data!$B:$B,Control!$B$4-5)*Control!$B$5,1)</f>
        <v>2065.1</v>
      </c>
      <c r="E6">
        <f>ROUND(SUMIFS(Data!$D:$D,Data!$A:$A,Control!$B$2,Data!$B:$B,Control!$B$4-4)*Control!$B$5,1)</f>
        <v>1996.1</v>
      </c>
      <c r="F6">
        <f>ROUND(SUMIFS(Data!$D:$D,Data!$A:$A,Control!$B$2,Data!$B:$B,Control!$B$4-3)*Control!$B$5,1)</f>
        <v>2025.8</v>
      </c>
      <c r="G6">
        <f>ROUND(SUMIFS(Data!$D:$D,Data!$A:$A,Control!$B$2,Data!$B:$B,Control!$B$4-2)*Control!$B$5,1)</f>
        <v>2033.8</v>
      </c>
      <c r="H6">
        <f>G6-F6</f>
        <v>8</v>
      </c>
      <c r="I6">
        <f>IFERROR(H6/F6,0)</f>
        <v>3.9490571626024287E-3</v>
      </c>
      <c r="J6">
        <f>ROUND(SUMIFS(Data!$F:$F,Data!$A:$A,Control!$B$2,Data!$B:$B,Control!$B$4-2)*Control!$B$5,1)</f>
        <v>2020.8</v>
      </c>
      <c r="K6">
        <f>IF(ABS(G6-J6)&lt;0.05,0,G6-J6)</f>
        <v>13</v>
      </c>
    </row>
    <row r="7" spans="2:12" x14ac:dyDescent="0.25">
      <c r="C7" t="s">
        <v>31</v>
      </c>
      <c r="D7">
        <f>SUM(D5:D6)</f>
        <v>3699.3</v>
      </c>
      <c r="E7">
        <f>SUM(E5:E6)</f>
        <v>3688.5</v>
      </c>
      <c r="F7">
        <f>SUM(F5:F6)</f>
        <v>3650.5</v>
      </c>
      <c r="G7">
        <f>SUM(G5:G6)</f>
        <v>3722.1</v>
      </c>
      <c r="H7">
        <f>SUM(H5:H6)</f>
        <v>71.599999999999909</v>
      </c>
      <c r="I7">
        <f>IFERROR(H7/F7,0)</f>
        <v>1.9613751540884787E-2</v>
      </c>
      <c r="J7">
        <f>SUM(J5:J6)</f>
        <v>3721.6</v>
      </c>
      <c r="K7">
        <f>SUM(K5:K6)</f>
        <v>0.5</v>
      </c>
    </row>
    <row r="8" spans="2:12" x14ac:dyDescent="0.25">
      <c r="C8" t="s">
        <v>32</v>
      </c>
      <c r="D8">
        <f>IF(D6=0,"n/a",D5/D6)</f>
        <v>0.79134182364050176</v>
      </c>
      <c r="E8">
        <f>IF(E6=0,"n/a",E5/E6)</f>
        <v>0.84785331396222641</v>
      </c>
      <c r="F8">
        <f>IF(F6=0,"n/a",F5/F6)</f>
        <v>0.80200414651002072</v>
      </c>
      <c r="G8">
        <f>IF(G6=0,"n/a",G5/G6)</f>
        <v>0.83012095584619927</v>
      </c>
    </row>
    <row r="9" spans="2:12" x14ac:dyDescent="0.25">
      <c r="C9" t="s">
        <v>33</v>
      </c>
      <c r="D9">
        <f>AVERAGE(D7:G7)</f>
        <v>3690.1</v>
      </c>
      <c r="E9">
        <f>MAX(D7:G7)</f>
        <v>3722.1</v>
      </c>
      <c r="F9">
        <f>MIN(D7:G7)</f>
        <v>3650.5</v>
      </c>
      <c r="G9">
        <f>COUNTIF(H5:H6,"&gt;0")</f>
        <v>2</v>
      </c>
    </row>
    <row r="10" spans="2:12" x14ac:dyDescent="0.25">
      <c r="C10" t="str">
        <f>"vs SLIDE_2"</f>
        <v>vs SLIDE_2</v>
      </c>
      <c r="D10">
        <f>G7-SLIDE_2!G7</f>
        <v>45.299999999999727</v>
      </c>
      <c r="E10">
        <f>IFERROR(D10/SLIDE_2!G7,0)</f>
        <v>1.2320496083550838E-2</v>
      </c>
      <c r="F10" t="str">
        <f>IF(AND(D10&gt;0,SLIDE_2!H7&gt;0),"up",IF(OR(D10&lt;0,SLIDE_2!H7&lt;0),"down","flat"))</f>
        <v>down</v>
      </c>
      <c r="G10">
        <f>INDEX(SLIDE_2!D5:G6,2,MATCH(MAX(SLIDE_2!D6:G6),SLIDE_2!D6:G6,0))</f>
        <v>2033.8</v>
      </c>
    </row>
    <row r="11" spans="2:12" x14ac:dyDescent="0.25">
      <c r="C11" t="s">
        <v>34</v>
      </c>
      <c r="D11" t="e">
        <f>RANK(G5,Data!$C$2:$C$121)</f>
        <v>#N/A</v>
      </c>
      <c r="E11">
        <f>SUMPRODUCT((Data!$B$2:$B$121=Control!$B$4)*(Data!$C$2:$C$121&gt;G5))+1</f>
        <v>10</v>
      </c>
      <c r="F11" t="str">
        <f>VLOOKUP(Control!$B$2,Data!$H$2:$H$11,1,FALSE)</f>
        <v>Bank A</v>
      </c>
      <c r="G11" t="str">
        <f>LEFT(Control!$B$2,4)&amp;MID(Control!$B$2,6,1)&amp;LEN(Control!$B$2)</f>
        <v>BankA6</v>
      </c>
    </row>
    <row r="12" spans="2:12" x14ac:dyDescent="0.25">
      <c r="C12" t="s">
        <v>35</v>
      </c>
      <c r="D12" t="str">
        <f>CHOOSE(MOD(Control!$B$3,3)+1,"one","two","three")</f>
        <v>two</v>
      </c>
      <c r="E12" t="str">
        <f>TEXT(Control!$B$8,"mmm yy")</f>
        <v>mar yy</v>
      </c>
      <c r="F12">
        <f ca="1">OFFSET(D5,1,2)</f>
        <v>2025.8</v>
      </c>
      <c r="G12">
        <f ca="1">INDIRECT("D7")</f>
        <v>3699.3</v>
      </c>
      <c r="H12">
        <f>AVERAGEIF(Data!$A$2:$A$121,Control!$B$2,Data!$C$2:$C$121)</f>
        <v>1528.0687500000001</v>
      </c>
      <c r="I12">
        <f>DATE(2026,1,5)+7*(Control!$B$4-1)</f>
        <v>46104</v>
      </c>
      <c r="J12" t="str">
        <f>CONCATENATE(Control!$B$6," EUR")</f>
        <v>mln EUR</v>
      </c>
      <c r="K12">
        <f>ROUNDUP(G7/1000,0)*1000</f>
        <v>4000</v>
      </c>
    </row>
    <row r="13" spans="2:12" x14ac:dyDescent="0.25">
      <c r="C13" t="s">
        <v>36</v>
      </c>
      <c r="D13" s="1">
        <f ca="1">TODAY()</f>
        <v>46311</v>
      </c>
      <c r="E13" t="str">
        <f>IF(ISNUMBER(G5),"ok","missing")</f>
        <v>ok</v>
      </c>
      <c r="F13">
        <f>LARGE(Data!$C$2:$C$121,3)</f>
        <v>8133.5609999999997</v>
      </c>
      <c r="G13">
        <f>SMALL(D5:G6,2)</f>
        <v>1634.2</v>
      </c>
      <c r="H13" t="str">
        <f>_xlfn.XLOOKUP(Control!$B$2,Data!$H$2:$H$11,Data!$H$2:$H$11,"none")</f>
        <v>Bank A</v>
      </c>
      <c r="I13" t="str" cm="1">
        <f t="array" ref="I13">_xlfn.IFS(G5&gt;F5,"up",G5&lt;F5,"down",TRUE,"flat")</f>
        <v>up</v>
      </c>
      <c r="J13" cm="1">
        <f t="array" ref="J13">_xlfn.SWITCH(Control!$B$6,"mln",1000000,"k",1000,1)</f>
        <v>1000000</v>
      </c>
      <c r="K13">
        <f>_xlfn.LET(_xlpm.x,G7,_xlpm.y,J7,IF(_xlpm.y=0,0,_xlpm.x/_xlpm.y-1))</f>
        <v>1.3435081685297945E-4</v>
      </c>
      <c r="L13" cm="1">
        <f t="array" ref="L13">SUM(_xlfn._xlws.FILTER(Data!$C$2:$C$121,Data!$A$2:$A$121=Control!$B$2))</f>
        <v>18336.825000000001</v>
      </c>
    </row>
    <row r="14" spans="2:12" x14ac:dyDescent="0.25">
      <c r="C14" t="s">
        <v>41</v>
      </c>
      <c r="D14">
        <f>FromB!D4*2</f>
        <v>-827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CBE00-6A88-41CF-9AF7-B465FE1B52FC}">
  <dimension ref="B2:D6"/>
  <sheetViews>
    <sheetView tabSelected="1" workbookViewId="0"/>
  </sheetViews>
  <sheetFormatPr defaultRowHeight="12.5" x14ac:dyDescent="0.25"/>
  <sheetData>
    <row r="2" spans="2:4" x14ac:dyDescent="0.25">
      <c r="B2" t="s">
        <v>25</v>
      </c>
    </row>
    <row r="3" spans="2:4" x14ac:dyDescent="0.25">
      <c r="C3" t="s">
        <v>37</v>
      </c>
    </row>
    <row r="4" spans="2:4" x14ac:dyDescent="0.25">
      <c r="C4" t="s">
        <v>38</v>
      </c>
      <c r="D4">
        <f>[1]Peer!F7</f>
        <v>-413.5</v>
      </c>
    </row>
    <row r="5" spans="2:4" x14ac:dyDescent="0.25">
      <c r="C5" t="s">
        <v>39</v>
      </c>
      <c r="D5" t="str">
        <f>[1]Peer!D8</f>
        <v>below peers</v>
      </c>
    </row>
    <row r="6" spans="2:4" x14ac:dyDescent="0.25">
      <c r="C6" t="s">
        <v>40</v>
      </c>
      <c r="D6">
        <f>D4+SLIDE_3!H7</f>
        <v>-341.90000000000009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Control</vt:lpstr>
      <vt:lpstr>Data</vt:lpstr>
      <vt:lpstr>SLIDE_1</vt:lpstr>
      <vt:lpstr>SLIDE_2</vt:lpstr>
      <vt:lpstr>SLIDE_3</vt:lpstr>
      <vt:lpstr>FromB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CARDUCCI ARTENISIO GUALBERTO COSTANTINO MARIA</dc:creator>
  <cp:lastModifiedBy>CARDUCCI ARTENISIO GUALBERTO COSTANTINO MARIA</cp:lastModifiedBy>
  <dcterms:created xsi:type="dcterms:W3CDTF">2026-10-16T08:07:03Z</dcterms:created>
  <dcterms:modified xsi:type="dcterms:W3CDTF">2026-10-16T08:07:09Z</dcterms:modified>
</cp:coreProperties>
</file>