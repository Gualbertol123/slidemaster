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60061EF0-E4F3-4DC9-A79A-E57D4858CB84}" xr6:coauthVersionLast="47" xr6:coauthVersionMax="47" xr10:uidLastSave="{00000000-0000-0000-0000-000000000000}"/>
  <bookViews>
    <workbookView xWindow="2660" yWindow="2660" windowWidth="14400" windowHeight="8170" activeTab="1" xr2:uid="{B019E330-F3B2-4CA8-8723-65F66099B803}"/>
  </bookViews>
  <sheets>
    <sheet name="Peer" sheetId="1" r:id="rId1"/>
    <sheet name="PeerDat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5" i="1"/>
  <c r="C3" i="1"/>
  <c r="D6" i="1"/>
  <c r="F6" i="1" s="1"/>
  <c r="G6" i="1" s="1"/>
  <c r="E7" i="1" l="1"/>
  <c r="D5" i="1"/>
  <c r="E8" i="1" l="1"/>
  <c r="F5" i="1"/>
  <c r="G5" i="1" s="1"/>
  <c r="D7" i="1"/>
  <c r="F7" i="1" s="1"/>
  <c r="F8" i="1" l="1"/>
  <c r="D8" i="1"/>
  <c r="G7" i="1"/>
</calcChain>
</file>

<file path=xl/sharedStrings.xml><?xml version="1.0" encoding="utf-8"?>
<sst xmlns="http://schemas.openxmlformats.org/spreadsheetml/2006/main" count="23" uniqueCount="22">
  <si>
    <t>Bank</t>
  </si>
  <si>
    <t>Peer avg loans</t>
  </si>
  <si>
    <t>Peer avg deposits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</si>
  <si>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</si>
  <si>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</si>
  <si>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</si>
  <si>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</si>
  <si>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</si>
  <si>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</si>
  <si>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</si>
  <si>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</si>
  <si>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</si>
  <si>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</si>
  <si>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x</t>
  </si>
  <si>
    <t>Item</t>
  </si>
  <si>
    <t>Peer avg</t>
  </si>
  <si>
    <t>Gap</t>
  </si>
  <si>
    <t>Gap %</t>
  </si>
  <si>
    <t>Loans</t>
  </si>
  <si>
    <t>Deposits</t>
  </si>
  <si>
    <t>Total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</si>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</sst>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SLIDE_1"/>
      <sheetName val="SLIDE_2"/>
      <sheetName val="SLIDE_3"/>
      <sheetName val="FromB"/>
    </sheetNames>
    <sheetDataSet>
      <sheetData sheetId="0">
        <row r="2">
          <cell r="B2" t="str">
            <v>Bank H</v>
          </cell>
        </row>
      </sheetData>
      <sheetData sheetId="1"/>
      <sheetData sheetId="2">
        <row r="5">
          <cell r="G5">
            <v>7252.1</v>
          </cell>
        </row>
        <row r="6">
          <cell r="G6">
            <v>8609.7999999999993</v>
          </cell>
        </row>
      </sheetData>
      <sheetData sheetId="3">
        <row r="7">
          <cell r="G7">
            <v>15813.699999999999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443A-3D4A-42FD-BA5B-D293C896E37F}">
  <dimension ref="B2:G8"/>
  <sheetViews>
    <sheetView workbookViewId="0"/>
  </sheetViews>
  <sheetFormatPr defaultRowHeight="12.5" x14ac:dyDescent="0.25"/>
  <sheetData>
    <row r="2" spans="2:7" x14ac:dyDescent="0.25">
      <c r="B2" t="s">
        <v>13</v>
      </c>
    </row>
    <row r="3" spans="2:7" x14ac:dyDescent="0.25">
      <c r="C3" t="str">
        <f>"Peer comparison - "&amp;[1]Control!$B$2</f>
        <v>Peer comparison - Bank H</v>
      </c>
    </row>
    <row r="4" spans="2:7" x14ac:dyDescent="0.25">
      <c r="C4" t="s">
        <v>14</v>
      </c>
      <c r="D4" t="s">
        <v>0</v>
      </c>
      <c r="E4" t="s">
        <v>15</v>
      </c>
      <c r="F4" t="s">
        <v>16</v>
      </c>
      <c r="G4" t="s">
        <v>17</v>
      </c>
    </row>
    <row r="5" spans="2:7" x14ac:dyDescent="0.25">
      <c r="C5" t="s">
        <v>18</v>
      </c>
      <c r="D5">
        <f>[1]SLIDE_1!G5</f>
        <v>7252.1</v>
      </c>
      <c r="E5">
        <f>VLOOKUP([1]Control!$B$2,PeerData!$A$2:$C$11,2,FALSE)</f>
        <v>6442</v>
      </c>
      <c r="F5">
        <f>D5-E5</f>
        <v>810.10000000000036</v>
      </c>
      <c r="G5">
        <f>IFERROR(F5/E5,0)</f>
        <v>0.1257528717789507</v>
      </c>
    </row>
    <row r="6" spans="2:7" x14ac:dyDescent="0.25">
      <c r="C6" t="s">
        <v>19</v>
      </c>
      <c r="D6">
        <f>[1]SLIDE_1!G6</f>
        <v>8609.7999999999993</v>
      </c>
      <c r="E6">
        <f>VLOOKUP([1]Control!$B$2,PeerData!$A$2:$C$11,3,FALSE)</f>
        <v>7749</v>
      </c>
      <c r="F6">
        <f>D6-E6</f>
        <v>860.79999999999927</v>
      </c>
      <c r="G6">
        <f>IFERROR(F6/E6,0)</f>
        <v>0.11108530132920368</v>
      </c>
    </row>
    <row r="7" spans="2:7" x14ac:dyDescent="0.25">
      <c r="C7" t="s">
        <v>20</v>
      </c>
      <c r="D7">
        <f>SUM(D5:D6)</f>
        <v>15861.9</v>
      </c>
      <c r="E7">
        <f>SUM(E5:E6)</f>
        <v>14191</v>
      </c>
      <c r="F7">
        <f>D7-E7</f>
        <v>1670.8999999999996</v>
      </c>
      <c r="G7">
        <f>IFERROR(F7/E7,0)</f>
        <v>0.11774364033542384</v>
      </c>
    </row>
    <row r="8" spans="2:7" x14ac:dyDescent="0.25">
      <c r="C8" t="s">
        <v>21</v>
      </c>
      <c r="D8" t="str">
        <f>IF(F7&gt;0,"above peers","below peers")</f>
        <v>above peers</v>
      </c>
      <c r="E8">
        <f>_xlfn.PERCENTRANK.INC(PeerData!$B$2:$B$11,D5)</f>
        <v>0.93400000000000005</v>
      </c>
      <c r="F8">
        <f>[1]SLIDE_2!G7-D7</f>
        <v>-48.200000000000728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233D-A5A9-449A-B344-42A05B0D3702}">
  <dimension ref="A1:C11"/>
  <sheetViews>
    <sheetView tabSelected="1"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1761</v>
      </c>
      <c r="C2">
        <v>2268</v>
      </c>
    </row>
    <row r="3" spans="1:3" x14ac:dyDescent="0.25">
      <c r="A3" t="s">
        <v>4</v>
      </c>
      <c r="B3">
        <v>2490</v>
      </c>
      <c r="C3">
        <v>2911</v>
      </c>
    </row>
    <row r="4" spans="1:3" x14ac:dyDescent="0.25">
      <c r="A4" t="s">
        <v>5</v>
      </c>
      <c r="B4">
        <v>3141</v>
      </c>
      <c r="C4">
        <v>3852</v>
      </c>
    </row>
    <row r="5" spans="1:3" x14ac:dyDescent="0.25">
      <c r="A5" t="s">
        <v>6</v>
      </c>
      <c r="B5">
        <v>3713</v>
      </c>
      <c r="C5">
        <v>4462</v>
      </c>
    </row>
    <row r="6" spans="1:3" x14ac:dyDescent="0.25">
      <c r="A6" t="s">
        <v>7</v>
      </c>
      <c r="B6">
        <v>4482</v>
      </c>
      <c r="C6">
        <v>5323</v>
      </c>
    </row>
    <row r="7" spans="1:3" x14ac:dyDescent="0.25">
      <c r="A7" t="s">
        <v>8</v>
      </c>
      <c r="B7">
        <v>5117</v>
      </c>
      <c r="C7">
        <v>6032</v>
      </c>
    </row>
    <row r="8" spans="1:3" x14ac:dyDescent="0.25">
      <c r="A8" t="s">
        <v>9</v>
      </c>
      <c r="B8">
        <v>5638</v>
      </c>
      <c r="C8">
        <v>6815</v>
      </c>
    </row>
    <row r="9" spans="1:3" x14ac:dyDescent="0.25">
      <c r="A9" t="s">
        <v>10</v>
      </c>
      <c r="B9">
        <v>6442</v>
      </c>
      <c r="C9">
        <v>7749</v>
      </c>
    </row>
    <row r="10" spans="1:3" x14ac:dyDescent="0.25">
      <c r="A10" t="s">
        <v>11</v>
      </c>
      <c r="B10">
        <v>6970</v>
      </c>
      <c r="C10">
        <v>8371</v>
      </c>
    </row>
    <row r="11" spans="1:3" x14ac:dyDescent="0.25">
      <c r="A11" t="s">
        <v>12</v>
      </c>
      <c r="B11">
        <v>7653</v>
      </c>
      <c r="C11">
        <v>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Peer</vt:lpstr>
      <vt:lpstr>PeerData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2026-10-16T08:07:11Z</dcterms:modified>
</cp:coreProperties>
</file>