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8C8F224A-3CB1-4727-9FF8-1D6F4C500510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5" i="5" l="1"/>
  <c r="K6" i="5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<sst xmlns="http://schemas.openxmlformats.org/spreadsheetml/2006/main" count="196" uniqueCount="42">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</sst>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2317.4000000000015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15</v>
      </c>
    </row>
    <row r="3" spans="1:2" x14ac:dyDescent="0.25">
      <c r="A3" t="s">
        <v>18</v>
      </c>
      <c r="B3">
        <f>MATCH(B2,Data!H2:H11,0)</f>
        <v>9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I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I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7993</v>
      </c>
      <c r="E5">
        <f>ROUND(SUMIFS(Data!$C:$C,Data!$A:$A,Control!$B$2,Data!$B:$B,Control!$B$4-2)*Control!$B$5,1)</f>
        <v>7995.9</v>
      </c>
      <c r="F5">
        <f>ROUND(SUMIFS(Data!$C:$C,Data!$A:$A,Control!$B$2,Data!$B:$B,Control!$B$4-1)*Control!$B$5,1)</f>
        <v>7992.1</v>
      </c>
      <c r="G5">
        <f>ROUND(SUMIFS(Data!$C:$C,Data!$A:$A,Control!$B$2,Data!$B:$B,Control!$B$4-0)*Control!$B$5,1)</f>
        <v>8041.8</v>
      </c>
      <c r="H5">
        <f>G5-F5</f>
        <v>49.699999999999818</v>
      </c>
      <c r="I5">
        <f>IFERROR(H5/F5,0)</f>
        <v>6.2186409078965246E-3</v>
      </c>
      <c r="J5">
        <f>ROUND(SUMIFS(Data!$E:$E,Data!$A:$A,Control!$B$2,Data!$B:$B,Control!$B$4-0)*Control!$B$5,1)</f>
        <v>8116.8</v>
      </c>
      <c r="K5">
        <f>IF(ABS(G5-J5)&lt;0.05,0,G5-J5)</f>
        <v>-75</v>
      </c>
    </row>
    <row r="6" spans="2:12" x14ac:dyDescent="0.25">
      <c r="C6" t="s">
        <v>3</v>
      </c>
      <c r="D6">
        <f>ROUND(SUMIFS(Data!$D:$D,Data!$A:$A,Control!$B$2,Data!$B:$B,Control!$B$4-3)*Control!$B$5,1)</f>
        <v>9422.7999999999993</v>
      </c>
      <c r="E6">
        <f>ROUND(SUMIFS(Data!$D:$D,Data!$A:$A,Control!$B$2,Data!$B:$B,Control!$B$4-2)*Control!$B$5,1)</f>
        <v>9501.5</v>
      </c>
      <c r="F6">
        <f>ROUND(SUMIFS(Data!$D:$D,Data!$A:$A,Control!$B$2,Data!$B:$B,Control!$B$4-1)*Control!$B$5,1)</f>
        <v>9496.7999999999993</v>
      </c>
      <c r="G6">
        <f>ROUND(SUMIFS(Data!$D:$D,Data!$A:$A,Control!$B$2,Data!$B:$B,Control!$B$4-0)*Control!$B$5,1)</f>
        <v>9616.6</v>
      </c>
      <c r="H6">
        <f>G6-F6</f>
        <v>119.80000000000109</v>
      </c>
      <c r="I6">
        <f>IFERROR(H6/F6,0)</f>
        <v>1.2614775503327553E-2</v>
      </c>
      <c r="J6">
        <f>ROUND(SUMIFS(Data!$F:$F,Data!$A:$A,Control!$B$2,Data!$B:$B,Control!$B$4-0)*Control!$B$5,1)</f>
        <v>9630</v>
      </c>
      <c r="K6">
        <f>IF(ABS(G6-J6)&lt;0.05,0,G6-J6)</f>
        <v>-13.399999999999636</v>
      </c>
    </row>
    <row r="7" spans="2:12" x14ac:dyDescent="0.25">
      <c r="C7" t="s">
        <v>31</v>
      </c>
      <c r="D7">
        <f>SUM(D5:D6)</f>
        <v>17415.8</v>
      </c>
      <c r="E7">
        <f>SUM(E5:E6)</f>
        <v>17497.400000000001</v>
      </c>
      <c r="F7">
        <f>SUM(F5:F6)</f>
        <v>17488.900000000001</v>
      </c>
      <c r="G7">
        <f>SUM(G5:G6)</f>
        <v>17658.400000000001</v>
      </c>
      <c r="H7">
        <f>SUM(H5:H6)</f>
        <v>169.50000000000091</v>
      </c>
      <c r="I7">
        <f>IFERROR(H7/F7,0)</f>
        <v>9.6918616951323922E-3</v>
      </c>
      <c r="J7">
        <f>SUM(J5:J6)</f>
        <v>17746.8</v>
      </c>
      <c r="K7">
        <f>SUM(K5:K6)</f>
        <v>-88.399999999999636</v>
      </c>
    </row>
    <row r="8" spans="2:12" x14ac:dyDescent="0.25">
      <c r="C8" t="s">
        <v>32</v>
      </c>
      <c r="D8">
        <f>IF(D6=0,"n/a",D5/D6)</f>
        <v>0.84826166319989815</v>
      </c>
      <c r="E8">
        <f>IF(E6=0,"n/a",E5/E6)</f>
        <v>0.8415408093458927</v>
      </c>
      <c r="F8">
        <f>IF(F6=0,"n/a",F5/F6)</f>
        <v>0.84155715609468462</v>
      </c>
      <c r="G8">
        <f>IF(G6=0,"n/a",G5/G6)</f>
        <v>0.83624149907451695</v>
      </c>
    </row>
    <row r="9" spans="2:12" x14ac:dyDescent="0.25">
      <c r="C9" t="s">
        <v>33</v>
      </c>
      <c r="D9">
        <f>AVERAGE(D7:G7)</f>
        <v>17515.125</v>
      </c>
      <c r="E9">
        <f>MAX(D7:G7)</f>
        <v>17658.400000000001</v>
      </c>
      <c r="F9">
        <f>MIN(D7:G7)</f>
        <v>17415.8</v>
      </c>
      <c r="G9">
        <f>COUNTIF(H5:H6,"&gt;0")</f>
        <v>2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2</v>
      </c>
      <c r="F11" t="str">
        <f>VLOOKUP(Control!$B$2,Data!$H$2:$H$11,1,FALSE)</f>
        <v>Bank I</v>
      </c>
      <c r="G11" t="str">
        <f>LEFT(Control!$B$2,4)&amp;MID(Control!$B$2,6,1)&amp;LEN(Control!$B$2)</f>
        <v>BankI6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9496.7999999999993</v>
      </c>
      <c r="G12">
        <f ca="1">INDIRECT("D7")</f>
        <v>17415.8</v>
      </c>
      <c r="H12">
        <f>AVERAGEIF(Data!$A$2:$A$121,Control!$B$2,Data!$C$2:$C$121)</f>
        <v>7289.3895833333336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18000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7993</v>
      </c>
      <c r="H13" t="str">
        <f>_xlfn.XLOOKUP(Control!$B$2,Data!$H$2:$H$11,Data!$H$2:$H$11,"none")</f>
        <v>Bank I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-4.98117970563694E-3</v>
      </c>
      <c r="L13" cm="1">
        <f t="array" ref="L13">SUM(_xlfn._xlws.FILTER(Data!$C$2:$C$121,Data!$A$2:$A$121=Control!$B$2))</f>
        <v>87472.675000000003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I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7997.5</v>
      </c>
      <c r="E5">
        <f>ROUND(SUMIFS(Data!$C:$C,Data!$A:$A,Control!$B$2,Data!$B:$B,Control!$B$4-3)*Control!$B$5,1)</f>
        <v>7993</v>
      </c>
      <c r="F5">
        <f>ROUND(SUMIFS(Data!$C:$C,Data!$A:$A,Control!$B$2,Data!$B:$B,Control!$B$4-2)*Control!$B$5,1)</f>
        <v>7995.9</v>
      </c>
      <c r="G5">
        <f>ROUND(SUMIFS(Data!$C:$C,Data!$A:$A,Control!$B$2,Data!$B:$B,Control!$B$4-1)*Control!$B$5,1)</f>
        <v>7992.1</v>
      </c>
      <c r="H5">
        <f>G5-F5</f>
        <v>-3.7999999999992724</v>
      </c>
      <c r="I5">
        <f>IFERROR(H5/F5,0)</f>
        <v>-4.7524356232560094E-4</v>
      </c>
      <c r="J5">
        <f>ROUND(SUMIFS(Data!$E:$E,Data!$A:$A,Control!$B$2,Data!$B:$B,Control!$B$4-1)*Control!$B$5,1)</f>
        <v>8082.1</v>
      </c>
      <c r="K5">
        <f>IF(ABS(G5-J5)&lt;0.05,0,G5-J5)</f>
        <v>-90</v>
      </c>
    </row>
    <row r="6" spans="2:12" x14ac:dyDescent="0.25">
      <c r="C6" t="s">
        <v>3</v>
      </c>
      <c r="D6">
        <f>ROUND(SUMIFS(Data!$D:$D,Data!$A:$A,Control!$B$2,Data!$B:$B,Control!$B$4-4)*Control!$B$5,1)</f>
        <v>9416.7999999999993</v>
      </c>
      <c r="E6">
        <f>ROUND(SUMIFS(Data!$D:$D,Data!$A:$A,Control!$B$2,Data!$B:$B,Control!$B$4-3)*Control!$B$5,1)</f>
        <v>9422.7999999999993</v>
      </c>
      <c r="F6">
        <f>ROUND(SUMIFS(Data!$D:$D,Data!$A:$A,Control!$B$2,Data!$B:$B,Control!$B$4-2)*Control!$B$5,1)</f>
        <v>9501.5</v>
      </c>
      <c r="G6">
        <f>ROUND(SUMIFS(Data!$D:$D,Data!$A:$A,Control!$B$2,Data!$B:$B,Control!$B$4-1)*Control!$B$5,1)</f>
        <v>9496.7999999999993</v>
      </c>
      <c r="H6">
        <f>G6-F6</f>
        <v>-4.7000000000007276</v>
      </c>
      <c r="I6">
        <f>IFERROR(H6/F6,0)</f>
        <v>-4.9465873809406171E-4</v>
      </c>
      <c r="J6">
        <f>ROUND(SUMIFS(Data!$F:$F,Data!$A:$A,Control!$B$2,Data!$B:$B,Control!$B$4-1)*Control!$B$5,1)</f>
        <v>9597.4</v>
      </c>
      <c r="K6">
        <f>IF(ABS(G6-J6)&lt;0.05,0,G6-J6)</f>
        <v>-100.60000000000036</v>
      </c>
    </row>
    <row r="7" spans="2:12" x14ac:dyDescent="0.25">
      <c r="C7" t="s">
        <v>31</v>
      </c>
      <c r="D7">
        <f>SUM(D5:D6)</f>
        <v>17414.3</v>
      </c>
      <c r="E7">
        <f>SUM(E5:E6)</f>
        <v>17415.8</v>
      </c>
      <c r="F7">
        <f>SUM(F5:F6)</f>
        <v>17497.400000000001</v>
      </c>
      <c r="G7">
        <f>SUM(G5:G6)</f>
        <v>17488.900000000001</v>
      </c>
      <c r="H7">
        <f>SUM(H5:H6)</f>
        <v>-8.5</v>
      </c>
      <c r="I7">
        <f>IFERROR(H7/F7,0)</f>
        <v>-4.8578645970258436E-4</v>
      </c>
      <c r="J7">
        <f>SUM(J5:J6)</f>
        <v>17679.5</v>
      </c>
      <c r="K7">
        <f>SUM(K5:K6)</f>
        <v>-190.60000000000036</v>
      </c>
    </row>
    <row r="8" spans="2:12" x14ac:dyDescent="0.25">
      <c r="C8" t="s">
        <v>32</v>
      </c>
      <c r="D8">
        <f>IF(D6=0,"n/a",D5/D6)</f>
        <v>0.84928001019454602</v>
      </c>
      <c r="E8">
        <f>IF(E6=0,"n/a",E5/E6)</f>
        <v>0.84826166319989815</v>
      </c>
      <c r="F8">
        <f>IF(F6=0,"n/a",F5/F6)</f>
        <v>0.8415408093458927</v>
      </c>
      <c r="G8">
        <f>IF(G6=0,"n/a",G5/G6)</f>
        <v>0.84155715609468462</v>
      </c>
    </row>
    <row r="9" spans="2:12" x14ac:dyDescent="0.25">
      <c r="C9" t="s">
        <v>33</v>
      </c>
      <c r="D9">
        <f>AVERAGE(D7:G7)</f>
        <v>17454.099999999999</v>
      </c>
      <c r="E9">
        <f>MAX(D7:G7)</f>
        <v>17497.400000000001</v>
      </c>
      <c r="F9">
        <f>MIN(D7:G7)</f>
        <v>17414.3</v>
      </c>
      <c r="G9">
        <f>COUNTIF(H5:H6,"&gt;0")</f>
        <v>0</v>
      </c>
    </row>
    <row r="10" spans="2:12" x14ac:dyDescent="0.25">
      <c r="C10" t="str">
        <f>"vs SLIDE_1"</f>
        <v>vs SLIDE_1</v>
      </c>
      <c r="D10">
        <f>G7-SLIDE_1!G7</f>
        <v>-169.5</v>
      </c>
      <c r="E10">
        <f>IFERROR(D10/SLIDE_1!G7,0)</f>
        <v>-9.5988311511801747E-3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9616.6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2</v>
      </c>
      <c r="F11" t="str">
        <f>VLOOKUP(Control!$B$2,Data!$H$2:$H$11,1,FALSE)</f>
        <v>Bank I</v>
      </c>
      <c r="G11" t="str">
        <f>LEFT(Control!$B$2,4)&amp;MID(Control!$B$2,6,1)&amp;LEN(Control!$B$2)</f>
        <v>BankI6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9501.5</v>
      </c>
      <c r="G12">
        <f ca="1">INDIRECT("D7")</f>
        <v>17414.3</v>
      </c>
      <c r="H12">
        <f>AVERAGEIF(Data!$A$2:$A$121,Control!$B$2,Data!$C$2:$C$121)</f>
        <v>7289.3895833333336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18000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7993</v>
      </c>
      <c r="H13" t="str">
        <f>_xlfn.XLOOKUP(Control!$B$2,Data!$H$2:$H$11,Data!$H$2:$H$11,"none")</f>
        <v>Bank I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-1.0780847874657051E-2</v>
      </c>
      <c r="L13" cm="1">
        <f t="array" ref="L13">SUM(_xlfn._xlws.FILTER(Data!$C$2:$C$121,Data!$A$2:$A$121=Control!$B$2))</f>
        <v>87472.675000000003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I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7939</v>
      </c>
      <c r="E5">
        <f>ROUND(SUMIFS(Data!$C:$C,Data!$A:$A,Control!$B$2,Data!$B:$B,Control!$B$4-4)*Control!$B$5,1)</f>
        <v>7997.5</v>
      </c>
      <c r="F5">
        <f>ROUND(SUMIFS(Data!$C:$C,Data!$A:$A,Control!$B$2,Data!$B:$B,Control!$B$4-3)*Control!$B$5,1)</f>
        <v>7993</v>
      </c>
      <c r="G5">
        <f>ROUND(SUMIFS(Data!$C:$C,Data!$A:$A,Control!$B$2,Data!$B:$B,Control!$B$4-2)*Control!$B$5,1)</f>
        <v>7995.9</v>
      </c>
      <c r="H5">
        <f>G5-F5</f>
        <v>2.8999999999996362</v>
      </c>
      <c r="I5">
        <f>IFERROR(H5/F5,0)</f>
        <v>3.6281746528207636E-4</v>
      </c>
      <c r="J5">
        <f>ROUND(SUMIFS(Data!$E:$E,Data!$A:$A,Control!$B$2,Data!$B:$B,Control!$B$4-2)*Control!$B$5,1)</f>
        <v>8047.4</v>
      </c>
      <c r="K5">
        <f>IF(ABS(G5-J5)&lt;0.05,0,G5-J5)</f>
        <v>-51.5</v>
      </c>
    </row>
    <row r="6" spans="2:12" x14ac:dyDescent="0.25">
      <c r="C6" t="s">
        <v>3</v>
      </c>
      <c r="D6">
        <f>ROUND(SUMIFS(Data!$D:$D,Data!$A:$A,Control!$B$2,Data!$B:$B,Control!$B$4-5)*Control!$B$5,1)</f>
        <v>9428.1</v>
      </c>
      <c r="E6">
        <f>ROUND(SUMIFS(Data!$D:$D,Data!$A:$A,Control!$B$2,Data!$B:$B,Control!$B$4-4)*Control!$B$5,1)</f>
        <v>9416.7999999999993</v>
      </c>
      <c r="F6">
        <f>ROUND(SUMIFS(Data!$D:$D,Data!$A:$A,Control!$B$2,Data!$B:$B,Control!$B$4-3)*Control!$B$5,1)</f>
        <v>9422.7999999999993</v>
      </c>
      <c r="G6">
        <f>ROUND(SUMIFS(Data!$D:$D,Data!$A:$A,Control!$B$2,Data!$B:$B,Control!$B$4-2)*Control!$B$5,1)</f>
        <v>9501.5</v>
      </c>
      <c r="H6">
        <f>G6-F6</f>
        <v>78.700000000000728</v>
      </c>
      <c r="I6">
        <f>IFERROR(H6/F6,0)</f>
        <v>8.3520821836397599E-3</v>
      </c>
      <c r="J6">
        <f>ROUND(SUMIFS(Data!$F:$F,Data!$A:$A,Control!$B$2,Data!$B:$B,Control!$B$4-2)*Control!$B$5,1)</f>
        <v>9564.9</v>
      </c>
      <c r="K6">
        <f>IF(ABS(G6-J6)&lt;0.05,0,G6-J6)</f>
        <v>-63.399999999999636</v>
      </c>
    </row>
    <row r="7" spans="2:12" x14ac:dyDescent="0.25">
      <c r="C7" t="s">
        <v>31</v>
      </c>
      <c r="D7">
        <f>SUM(D5:D6)</f>
        <v>17367.099999999999</v>
      </c>
      <c r="E7">
        <f>SUM(E5:E6)</f>
        <v>17414.3</v>
      </c>
      <c r="F7">
        <f>SUM(F5:F6)</f>
        <v>17415.8</v>
      </c>
      <c r="G7">
        <f>SUM(G5:G6)</f>
        <v>17497.400000000001</v>
      </c>
      <c r="H7">
        <f>SUM(H5:H6)</f>
        <v>81.600000000000364</v>
      </c>
      <c r="I7">
        <f>IFERROR(H7/F7,0)</f>
        <v>4.6854006132362779E-3</v>
      </c>
      <c r="J7">
        <f>SUM(J5:J6)</f>
        <v>17612.3</v>
      </c>
      <c r="K7">
        <f>SUM(K5:K6)</f>
        <v>-114.89999999999964</v>
      </c>
    </row>
    <row r="8" spans="2:12" x14ac:dyDescent="0.25">
      <c r="C8" t="s">
        <v>32</v>
      </c>
      <c r="D8">
        <f>IF(D6=0,"n/a",D5/D6)</f>
        <v>0.84205725437787038</v>
      </c>
      <c r="E8">
        <f>IF(E6=0,"n/a",E5/E6)</f>
        <v>0.84928001019454602</v>
      </c>
      <c r="F8">
        <f>IF(F6=0,"n/a",F5/F6)</f>
        <v>0.84826166319989815</v>
      </c>
      <c r="G8">
        <f>IF(G6=0,"n/a",G5/G6)</f>
        <v>0.8415408093458927</v>
      </c>
    </row>
    <row r="9" spans="2:12" x14ac:dyDescent="0.25">
      <c r="C9" t="s">
        <v>33</v>
      </c>
      <c r="D9">
        <f>AVERAGE(D7:G7)</f>
        <v>17423.650000000001</v>
      </c>
      <c r="E9">
        <f>MAX(D7:G7)</f>
        <v>17497.400000000001</v>
      </c>
      <c r="F9">
        <f>MIN(D7:G7)</f>
        <v>17367.099999999999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8.5</v>
      </c>
      <c r="E10">
        <f>IFERROR(D10/SLIDE_2!G7,0)</f>
        <v>4.8602256288274271E-4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9501.5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2</v>
      </c>
      <c r="F11" t="str">
        <f>VLOOKUP(Control!$B$2,Data!$H$2:$H$11,1,FALSE)</f>
        <v>Bank I</v>
      </c>
      <c r="G11" t="str">
        <f>LEFT(Control!$B$2,4)&amp;MID(Control!$B$2,6,1)&amp;LEN(Control!$B$2)</f>
        <v>BankI6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9422.7999999999993</v>
      </c>
      <c r="G12">
        <f ca="1">INDIRECT("D7")</f>
        <v>17367.099999999999</v>
      </c>
      <c r="H12">
        <f>AVERAGEIF(Data!$A$2:$A$121,Control!$B$2,Data!$C$2:$C$121)</f>
        <v>7289.3895833333336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18000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7993</v>
      </c>
      <c r="H13" t="str">
        <f>_xlfn.XLOOKUP(Control!$B$2,Data!$H$2:$H$11,Data!$H$2:$H$11,"none")</f>
        <v>Bank I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-6.5238498095080422E-3</v>
      </c>
      <c r="L13" cm="1">
        <f t="array" ref="L13">SUM(_xlfn._xlws.FILTER(Data!$C$2:$C$121,Data!$A$2:$A$121=Control!$B$2))</f>
        <v>87472.675000000003</v>
      </c>
    </row>
    <row r="14" spans="2:12" x14ac:dyDescent="0.25">
      <c r="C14" t="s">
        <v>41</v>
      </c>
      <c r="D14">
        <f>FromB!D4*2</f>
        <v>4634.8000000000029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2317.4000000000015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2399.0000000000018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2026-10-16T08:07:11Z</dcterms:modified>
</cp:coreProperties>
</file>