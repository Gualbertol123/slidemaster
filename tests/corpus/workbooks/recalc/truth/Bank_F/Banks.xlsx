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398FD183-8073-4C8B-B2D9-AA1A93716460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C10" i="5"/>
  <c r="J6" i="5"/>
  <c r="G6" i="5"/>
  <c r="F6" i="5"/>
  <c r="F12" i="5" s="1"/>
  <c r="E6" i="5"/>
  <c r="D6" i="5"/>
  <c r="J5" i="5"/>
  <c r="G5" i="5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C10" i="4"/>
  <c r="J6" i="4"/>
  <c r="G6" i="4"/>
  <c r="F6" i="4"/>
  <c r="F12" i="4" s="1"/>
  <c r="E6" i="4"/>
  <c r="D6" i="4"/>
  <c r="J5" i="4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K5" i="5" l="1"/>
  <c r="K6" i="5"/>
  <c r="K5" i="4"/>
  <c r="G8" i="4"/>
  <c r="E11" i="4"/>
  <c r="E11" i="5"/>
  <c r="J7" i="3"/>
  <c r="J7" i="4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<sst xmlns="http://schemas.openxmlformats.org/spreadsheetml/2006/main" count="196" uniqueCount="42">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</sst>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1162.5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12</v>
      </c>
    </row>
    <row r="3" spans="1:2" x14ac:dyDescent="0.25">
      <c r="A3" t="s">
        <v>18</v>
      </c>
      <c r="B3">
        <f>MATCH(B2,Data!H2:H11,0)</f>
        <v>6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F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F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5658.9</v>
      </c>
      <c r="E5">
        <f>ROUND(SUMIFS(Data!$C:$C,Data!$A:$A,Control!$B$2,Data!$B:$B,Control!$B$4-2)*Control!$B$5,1)</f>
        <v>5636.4</v>
      </c>
      <c r="F5">
        <f>ROUND(SUMIFS(Data!$C:$C,Data!$A:$A,Control!$B$2,Data!$B:$B,Control!$B$4-1)*Control!$B$5,1)</f>
        <v>5671.9</v>
      </c>
      <c r="G5">
        <f>ROUND(SUMIFS(Data!$C:$C,Data!$A:$A,Control!$B$2,Data!$B:$B,Control!$B$4-0)*Control!$B$5,1)</f>
        <v>5647.1</v>
      </c>
      <c r="H5">
        <f>G5-F5</f>
        <v>-24.799999999999272</v>
      </c>
      <c r="I5">
        <f>IFERROR(H5/F5,0)</f>
        <v>-4.3724325182036483E-3</v>
      </c>
      <c r="J5">
        <f>ROUND(SUMIFS(Data!$E:$E,Data!$A:$A,Control!$B$2,Data!$B:$B,Control!$B$4-0)*Control!$B$5,1)</f>
        <v>5716.4</v>
      </c>
      <c r="K5">
        <f>IF(ABS(G5-J5)&lt;0.05,0,G5-J5)</f>
        <v>-69.299999999999272</v>
      </c>
    </row>
    <row r="6" spans="2:12" x14ac:dyDescent="0.25">
      <c r="C6" t="s">
        <v>3</v>
      </c>
      <c r="D6">
        <f>ROUND(SUMIFS(Data!$D:$D,Data!$A:$A,Control!$B$2,Data!$B:$B,Control!$B$4-3)*Control!$B$5,1)</f>
        <v>6738.2</v>
      </c>
      <c r="E6">
        <f>ROUND(SUMIFS(Data!$D:$D,Data!$A:$A,Control!$B$2,Data!$B:$B,Control!$B$4-2)*Control!$B$5,1)</f>
        <v>6643.8</v>
      </c>
      <c r="F6">
        <f>ROUND(SUMIFS(Data!$D:$D,Data!$A:$A,Control!$B$2,Data!$B:$B,Control!$B$4-1)*Control!$B$5,1)</f>
        <v>6791.3</v>
      </c>
      <c r="G6">
        <f>ROUND(SUMIFS(Data!$D:$D,Data!$A:$A,Control!$B$2,Data!$B:$B,Control!$B$4-0)*Control!$B$5,1)</f>
        <v>6664.4</v>
      </c>
      <c r="H6">
        <f>G6-F6</f>
        <v>-126.90000000000055</v>
      </c>
      <c r="I6">
        <f>IFERROR(H6/F6,0)</f>
        <v>-1.8685671373669333E-2</v>
      </c>
      <c r="J6">
        <f>ROUND(SUMIFS(Data!$F:$F,Data!$A:$A,Control!$B$2,Data!$B:$B,Control!$B$4-0)*Control!$B$5,1)</f>
        <v>6781.5</v>
      </c>
      <c r="K6">
        <f>IF(ABS(G6-J6)&lt;0.05,0,G6-J6)</f>
        <v>-117.10000000000036</v>
      </c>
    </row>
    <row r="7" spans="2:12" x14ac:dyDescent="0.25">
      <c r="C7" t="s">
        <v>31</v>
      </c>
      <c r="D7">
        <f>SUM(D5:D6)</f>
        <v>12397.099999999999</v>
      </c>
      <c r="E7">
        <f>SUM(E5:E6)</f>
        <v>12280.2</v>
      </c>
      <c r="F7">
        <f>SUM(F5:F6)</f>
        <v>12463.2</v>
      </c>
      <c r="G7">
        <f>SUM(G5:G6)</f>
        <v>12311.5</v>
      </c>
      <c r="H7">
        <f>SUM(H5:H6)</f>
        <v>-151.69999999999982</v>
      </c>
      <c r="I7">
        <f>IFERROR(H7/F7,0)</f>
        <v>-1.2171833878939583E-2</v>
      </c>
      <c r="J7">
        <f>SUM(J5:J6)</f>
        <v>12497.9</v>
      </c>
      <c r="K7">
        <f>SUM(K5:K6)</f>
        <v>-186.39999999999964</v>
      </c>
    </row>
    <row r="8" spans="2:12" x14ac:dyDescent="0.25">
      <c r="C8" t="s">
        <v>32</v>
      </c>
      <c r="D8">
        <f>IF(D6=0,"n/a",D5/D6)</f>
        <v>0.83982369178712413</v>
      </c>
      <c r="E8">
        <f>IF(E6=0,"n/a",E5/E6)</f>
        <v>0.8483699087871398</v>
      </c>
      <c r="F8">
        <f>IF(F6=0,"n/a",F5/F6)</f>
        <v>0.83517146937994191</v>
      </c>
      <c r="G8">
        <f>IF(G6=0,"n/a",G5/G6)</f>
        <v>0.84735310005401843</v>
      </c>
    </row>
    <row r="9" spans="2:12" x14ac:dyDescent="0.25">
      <c r="C9" t="s">
        <v>33</v>
      </c>
      <c r="D9">
        <f>AVERAGE(D7:G7)</f>
        <v>12363</v>
      </c>
      <c r="E9">
        <f>MAX(D7:G7)</f>
        <v>12463.2</v>
      </c>
      <c r="F9">
        <f>MIN(D7:G7)</f>
        <v>12280.2</v>
      </c>
      <c r="G9">
        <f>COUNTIF(H5:H6,"&gt;0")</f>
        <v>0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5</v>
      </c>
      <c r="F11" t="str">
        <f>VLOOKUP(Control!$B$2,Data!$H$2:$H$11,1,FALSE)</f>
        <v>Bank F</v>
      </c>
      <c r="G11" t="str">
        <f>LEFT(Control!$B$2,4)&amp;MID(Control!$B$2,6,1)&amp;LEN(Control!$B$2)</f>
        <v>BankF6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6791.3</v>
      </c>
      <c r="G12">
        <f ca="1">INDIRECT("D7")</f>
        <v>12397.099999999999</v>
      </c>
      <c r="H12">
        <f>AVERAGEIF(Data!$A$2:$A$121,Control!$B$2,Data!$C$2:$C$121)</f>
        <v>5139.028416666667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13000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5647.1</v>
      </c>
      <c r="H13" t="str">
        <f>_xlfn.XLOOKUP(Control!$B$2,Data!$H$2:$H$11,Data!$H$2:$H$11,"none")</f>
        <v>Bank F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-1.4914505636946962E-2</v>
      </c>
      <c r="L13" cm="1">
        <f t="array" ref="L13">SUM(_xlfn._xlws.FILTER(Data!$C$2:$C$121,Data!$A$2:$A$121=Control!$B$2))</f>
        <v>61668.341000000008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F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5619.6</v>
      </c>
      <c r="E5">
        <f>ROUND(SUMIFS(Data!$C:$C,Data!$A:$A,Control!$B$2,Data!$B:$B,Control!$B$4-3)*Control!$B$5,1)</f>
        <v>5658.9</v>
      </c>
      <c r="F5">
        <f>ROUND(SUMIFS(Data!$C:$C,Data!$A:$A,Control!$B$2,Data!$B:$B,Control!$B$4-2)*Control!$B$5,1)</f>
        <v>5636.4</v>
      </c>
      <c r="G5">
        <f>ROUND(SUMIFS(Data!$C:$C,Data!$A:$A,Control!$B$2,Data!$B:$B,Control!$B$4-1)*Control!$B$5,1)</f>
        <v>5671.9</v>
      </c>
      <c r="H5">
        <f>G5-F5</f>
        <v>35.5</v>
      </c>
      <c r="I5">
        <f>IFERROR(H5/F5,0)</f>
        <v>6.2983464622808887E-3</v>
      </c>
      <c r="J5">
        <f>ROUND(SUMIFS(Data!$E:$E,Data!$A:$A,Control!$B$2,Data!$B:$B,Control!$B$4-1)*Control!$B$5,1)</f>
        <v>5692.5</v>
      </c>
      <c r="K5">
        <f>IF(ABS(G5-J5)&lt;0.05,0,G5-J5)</f>
        <v>-20.600000000000364</v>
      </c>
    </row>
    <row r="6" spans="2:12" x14ac:dyDescent="0.25">
      <c r="C6" t="s">
        <v>3</v>
      </c>
      <c r="D6">
        <f>ROUND(SUMIFS(Data!$D:$D,Data!$A:$A,Control!$B$2,Data!$B:$B,Control!$B$4-4)*Control!$B$5,1)</f>
        <v>6585.2</v>
      </c>
      <c r="E6">
        <f>ROUND(SUMIFS(Data!$D:$D,Data!$A:$A,Control!$B$2,Data!$B:$B,Control!$B$4-3)*Control!$B$5,1)</f>
        <v>6738.2</v>
      </c>
      <c r="F6">
        <f>ROUND(SUMIFS(Data!$D:$D,Data!$A:$A,Control!$B$2,Data!$B:$B,Control!$B$4-2)*Control!$B$5,1)</f>
        <v>6643.8</v>
      </c>
      <c r="G6">
        <f>ROUND(SUMIFS(Data!$D:$D,Data!$A:$A,Control!$B$2,Data!$B:$B,Control!$B$4-1)*Control!$B$5,1)</f>
        <v>6791.3</v>
      </c>
      <c r="H6">
        <f>G6-F6</f>
        <v>147.5</v>
      </c>
      <c r="I6">
        <f>IFERROR(H6/F6,0)</f>
        <v>2.2201149944308978E-2</v>
      </c>
      <c r="J6">
        <f>ROUND(SUMIFS(Data!$F:$F,Data!$A:$A,Control!$B$2,Data!$B:$B,Control!$B$4-1)*Control!$B$5,1)</f>
        <v>6758.8</v>
      </c>
      <c r="K6">
        <f>IF(ABS(G6-J6)&lt;0.05,0,G6-J6)</f>
        <v>32.5</v>
      </c>
    </row>
    <row r="7" spans="2:12" x14ac:dyDescent="0.25">
      <c r="C7" t="s">
        <v>31</v>
      </c>
      <c r="D7">
        <f>SUM(D5:D6)</f>
        <v>12204.8</v>
      </c>
      <c r="E7">
        <f>SUM(E5:E6)</f>
        <v>12397.099999999999</v>
      </c>
      <c r="F7">
        <f>SUM(F5:F6)</f>
        <v>12280.2</v>
      </c>
      <c r="G7">
        <f>SUM(G5:G6)</f>
        <v>12463.2</v>
      </c>
      <c r="H7">
        <f>SUM(H5:H6)</f>
        <v>183</v>
      </c>
      <c r="I7">
        <f>IFERROR(H7/F7,0)</f>
        <v>1.4902037426100551E-2</v>
      </c>
      <c r="J7">
        <f>SUM(J5:J6)</f>
        <v>12451.3</v>
      </c>
      <c r="K7">
        <f>SUM(K5:K6)</f>
        <v>11.899999999999636</v>
      </c>
    </row>
    <row r="8" spans="2:12" x14ac:dyDescent="0.25">
      <c r="C8" t="s">
        <v>32</v>
      </c>
      <c r="D8">
        <f>IF(D6=0,"n/a",D5/D6)</f>
        <v>0.85336815890177986</v>
      </c>
      <c r="E8">
        <f>IF(E6=0,"n/a",E5/E6)</f>
        <v>0.83982369178712413</v>
      </c>
      <c r="F8">
        <f>IF(F6=0,"n/a",F5/F6)</f>
        <v>0.8483699087871398</v>
      </c>
      <c r="G8">
        <f>IF(G6=0,"n/a",G5/G6)</f>
        <v>0.83517146937994191</v>
      </c>
    </row>
    <row r="9" spans="2:12" x14ac:dyDescent="0.25">
      <c r="C9" t="s">
        <v>33</v>
      </c>
      <c r="D9">
        <f>AVERAGE(D7:G7)</f>
        <v>12336.325000000001</v>
      </c>
      <c r="E9">
        <f>MAX(D7:G7)</f>
        <v>12463.2</v>
      </c>
      <c r="F9">
        <f>MIN(D7:G7)</f>
        <v>12204.8</v>
      </c>
      <c r="G9">
        <f>COUNTIF(H5:H6,"&gt;0")</f>
        <v>2</v>
      </c>
    </row>
    <row r="10" spans="2:12" x14ac:dyDescent="0.25">
      <c r="C10" t="str">
        <f>"vs SLIDE_1"</f>
        <v>vs SLIDE_1</v>
      </c>
      <c r="D10">
        <f>G7-SLIDE_1!G7</f>
        <v>151.70000000000073</v>
      </c>
      <c r="E10">
        <f>IFERROR(D10/SLIDE_1!G7,0)</f>
        <v>1.2321812939122018E-2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6791.3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5</v>
      </c>
      <c r="F11" t="str">
        <f>VLOOKUP(Control!$B$2,Data!$H$2:$H$11,1,FALSE)</f>
        <v>Bank F</v>
      </c>
      <c r="G11" t="str">
        <f>LEFT(Control!$B$2,4)&amp;MID(Control!$B$2,6,1)&amp;LEN(Control!$B$2)</f>
        <v>BankF6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6643.8</v>
      </c>
      <c r="G12">
        <f ca="1">INDIRECT("D7")</f>
        <v>12204.8</v>
      </c>
      <c r="H12">
        <f>AVERAGEIF(Data!$A$2:$A$121,Control!$B$2,Data!$C$2:$C$121)</f>
        <v>5139.028416666667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13000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5636.4</v>
      </c>
      <c r="H13" t="str">
        <f>_xlfn.XLOOKUP(Control!$B$2,Data!$H$2:$H$11,Data!$H$2:$H$11,"none")</f>
        <v>Bank F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9.5572349875117091E-4</v>
      </c>
      <c r="L13" cm="1">
        <f t="array" ref="L13">SUM(_xlfn._xlws.FILTER(Data!$C$2:$C$121,Data!$A$2:$A$121=Control!$B$2))</f>
        <v>61668.341000000008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F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5533.1</v>
      </c>
      <c r="E5">
        <f>ROUND(SUMIFS(Data!$C:$C,Data!$A:$A,Control!$B$2,Data!$B:$B,Control!$B$4-4)*Control!$B$5,1)</f>
        <v>5619.6</v>
      </c>
      <c r="F5">
        <f>ROUND(SUMIFS(Data!$C:$C,Data!$A:$A,Control!$B$2,Data!$B:$B,Control!$B$4-3)*Control!$B$5,1)</f>
        <v>5658.9</v>
      </c>
      <c r="G5">
        <f>ROUND(SUMIFS(Data!$C:$C,Data!$A:$A,Control!$B$2,Data!$B:$B,Control!$B$4-2)*Control!$B$5,1)</f>
        <v>5636.4</v>
      </c>
      <c r="H5">
        <f>G5-F5</f>
        <v>-22.5</v>
      </c>
      <c r="I5">
        <f>IFERROR(H5/F5,0)</f>
        <v>-3.9760377458516677E-3</v>
      </c>
      <c r="J5">
        <f>ROUND(SUMIFS(Data!$E:$E,Data!$A:$A,Control!$B$2,Data!$B:$B,Control!$B$4-2)*Control!$B$5,1)</f>
        <v>5667.6</v>
      </c>
      <c r="K5">
        <f>IF(ABS(G5-J5)&lt;0.05,0,G5-J5)</f>
        <v>-31.200000000000728</v>
      </c>
    </row>
    <row r="6" spans="2:12" x14ac:dyDescent="0.25">
      <c r="C6" t="s">
        <v>3</v>
      </c>
      <c r="D6">
        <f>ROUND(SUMIFS(Data!$D:$D,Data!$A:$A,Control!$B$2,Data!$B:$B,Control!$B$4-5)*Control!$B$5,1)</f>
        <v>6582</v>
      </c>
      <c r="E6">
        <f>ROUND(SUMIFS(Data!$D:$D,Data!$A:$A,Control!$B$2,Data!$B:$B,Control!$B$4-4)*Control!$B$5,1)</f>
        <v>6585.2</v>
      </c>
      <c r="F6">
        <f>ROUND(SUMIFS(Data!$D:$D,Data!$A:$A,Control!$B$2,Data!$B:$B,Control!$B$4-3)*Control!$B$5,1)</f>
        <v>6738.2</v>
      </c>
      <c r="G6">
        <f>ROUND(SUMIFS(Data!$D:$D,Data!$A:$A,Control!$B$2,Data!$B:$B,Control!$B$4-2)*Control!$B$5,1)</f>
        <v>6643.8</v>
      </c>
      <c r="H6">
        <f>G6-F6</f>
        <v>-94.399999999999636</v>
      </c>
      <c r="I6">
        <f>IFERROR(H6/F6,0)</f>
        <v>-1.4009676174645994E-2</v>
      </c>
      <c r="J6">
        <f>ROUND(SUMIFS(Data!$F:$F,Data!$A:$A,Control!$B$2,Data!$B:$B,Control!$B$4-2)*Control!$B$5,1)</f>
        <v>6736</v>
      </c>
      <c r="K6">
        <f>IF(ABS(G6-J6)&lt;0.05,0,G6-J6)</f>
        <v>-92.199999999999818</v>
      </c>
    </row>
    <row r="7" spans="2:12" x14ac:dyDescent="0.25">
      <c r="C7" t="s">
        <v>31</v>
      </c>
      <c r="D7">
        <f>SUM(D5:D6)</f>
        <v>12115.1</v>
      </c>
      <c r="E7">
        <f>SUM(E5:E6)</f>
        <v>12204.8</v>
      </c>
      <c r="F7">
        <f>SUM(F5:F6)</f>
        <v>12397.099999999999</v>
      </c>
      <c r="G7">
        <f>SUM(G5:G6)</f>
        <v>12280.2</v>
      </c>
      <c r="H7">
        <f>SUM(H5:H6)</f>
        <v>-116.89999999999964</v>
      </c>
      <c r="I7">
        <f>IFERROR(H7/F7,0)</f>
        <v>-9.4296246702857637E-3</v>
      </c>
      <c r="J7">
        <f>SUM(J5:J6)</f>
        <v>12403.6</v>
      </c>
      <c r="K7">
        <f>SUM(K5:K6)</f>
        <v>-123.40000000000055</v>
      </c>
    </row>
    <row r="8" spans="2:12" x14ac:dyDescent="0.25">
      <c r="C8" t="s">
        <v>32</v>
      </c>
      <c r="D8">
        <f>IF(D6=0,"n/a",D5/D6)</f>
        <v>0.84064114250987543</v>
      </c>
      <c r="E8">
        <f>IF(E6=0,"n/a",E5/E6)</f>
        <v>0.85336815890177986</v>
      </c>
      <c r="F8">
        <f>IF(F6=0,"n/a",F5/F6)</f>
        <v>0.83982369178712413</v>
      </c>
      <c r="G8">
        <f>IF(G6=0,"n/a",G5/G6)</f>
        <v>0.8483699087871398</v>
      </c>
    </row>
    <row r="9" spans="2:12" x14ac:dyDescent="0.25">
      <c r="C9" t="s">
        <v>33</v>
      </c>
      <c r="D9">
        <f>AVERAGE(D7:G7)</f>
        <v>12249.3</v>
      </c>
      <c r="E9">
        <f>MAX(D7:G7)</f>
        <v>12397.099999999999</v>
      </c>
      <c r="F9">
        <f>MIN(D7:G7)</f>
        <v>12115.1</v>
      </c>
      <c r="G9">
        <f>COUNTIF(H5:H6,"&gt;0")</f>
        <v>0</v>
      </c>
    </row>
    <row r="10" spans="2:12" x14ac:dyDescent="0.25">
      <c r="C10" t="str">
        <f>"vs SLIDE_2"</f>
        <v>vs SLIDE_2</v>
      </c>
      <c r="D10">
        <f>G7-SLIDE_2!G7</f>
        <v>-183</v>
      </c>
      <c r="E10">
        <f>IFERROR(D10/SLIDE_2!G7,0)</f>
        <v>-1.468322742152898E-2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6791.3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5</v>
      </c>
      <c r="F11" t="str">
        <f>VLOOKUP(Control!$B$2,Data!$H$2:$H$11,1,FALSE)</f>
        <v>Bank F</v>
      </c>
      <c r="G11" t="str">
        <f>LEFT(Control!$B$2,4)&amp;MID(Control!$B$2,6,1)&amp;LEN(Control!$B$2)</f>
        <v>BankF6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6738.2</v>
      </c>
      <c r="G12">
        <f ca="1">INDIRECT("D7")</f>
        <v>12115.1</v>
      </c>
      <c r="H12">
        <f>AVERAGEIF(Data!$A$2:$A$121,Control!$B$2,Data!$C$2:$C$121)</f>
        <v>5139.028416666667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13000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5619.6</v>
      </c>
      <c r="H13" t="str">
        <f>_xlfn.XLOOKUP(Control!$B$2,Data!$H$2:$H$11,Data!$H$2:$H$11,"none")</f>
        <v>Bank F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-9.9487245638363309E-3</v>
      </c>
      <c r="L13" cm="1">
        <f t="array" ref="L13">SUM(_xlfn._xlws.FILTER(Data!$C$2:$C$121,Data!$A$2:$A$121=Control!$B$2))</f>
        <v>61668.341000000008</v>
      </c>
    </row>
    <row r="14" spans="2:12" x14ac:dyDescent="0.25">
      <c r="C14" t="s">
        <v>41</v>
      </c>
      <c r="D14">
        <f>FromB!D4*2</f>
        <v>2325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1162.5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1045.6000000000004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