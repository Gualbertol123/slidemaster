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D78CD795-1CDB-4B9D-A3E1-F9F5401D2520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C10" i="5"/>
  <c r="J6" i="5"/>
  <c r="G6" i="5"/>
  <c r="F6" i="5"/>
  <c r="F12" i="5" s="1"/>
  <c r="E6" i="5"/>
  <c r="D6" i="5"/>
  <c r="J5" i="5"/>
  <c r="G5" i="5"/>
  <c r="K5" i="5" s="1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C10" i="4"/>
  <c r="J6" i="4"/>
  <c r="G6" i="4"/>
  <c r="F6" i="4"/>
  <c r="F12" i="4" s="1"/>
  <c r="E6" i="4"/>
  <c r="D6" i="4"/>
  <c r="J5" i="4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K6" i="5" l="1"/>
  <c r="K5" i="4"/>
  <c r="G8" i="4"/>
  <c r="E11" i="4"/>
  <c r="E11" i="5"/>
  <c r="J7" i="3"/>
  <c r="J7" i="4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<sst xmlns="http://schemas.openxmlformats.org/spreadsheetml/2006/main" count="196" uniqueCount="42">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</sst>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886.09999999999854</v>
          </cell>
        </row>
        <row r="8">
          <cell r="D8" t="str">
            <v>above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11</v>
      </c>
    </row>
    <row r="3" spans="1:2" x14ac:dyDescent="0.25">
      <c r="A3" t="s">
        <v>18</v>
      </c>
      <c r="B3">
        <f>MATCH(B2,Data!H2:H11,0)</f>
        <v>5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E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E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4778</v>
      </c>
      <c r="E5">
        <f>ROUND(SUMIFS(Data!$C:$C,Data!$A:$A,Control!$B$2,Data!$B:$B,Control!$B$4-2)*Control!$B$5,1)</f>
        <v>4801.2</v>
      </c>
      <c r="F5">
        <f>ROUND(SUMIFS(Data!$C:$C,Data!$A:$A,Control!$B$2,Data!$B:$B,Control!$B$4-1)*Control!$B$5,1)</f>
        <v>4860.8</v>
      </c>
      <c r="G5">
        <f>ROUND(SUMIFS(Data!$C:$C,Data!$A:$A,Control!$B$2,Data!$B:$B,Control!$B$4-0)*Control!$B$5,1)</f>
        <v>4884.8999999999996</v>
      </c>
      <c r="H5">
        <f>G5-F5</f>
        <v>24.099999999999454</v>
      </c>
      <c r="I5">
        <f>IFERROR(H5/F5,0)</f>
        <v>4.9580315997365563E-3</v>
      </c>
      <c r="J5">
        <f>ROUND(SUMIFS(Data!$E:$E,Data!$A:$A,Control!$B$2,Data!$B:$B,Control!$B$4-0)*Control!$B$5,1)</f>
        <v>4915.8999999999996</v>
      </c>
      <c r="K5">
        <f>IF(ABS(G5-J5)&lt;0.05,0,G5-J5)</f>
        <v>-31</v>
      </c>
    </row>
    <row r="6" spans="2:12" x14ac:dyDescent="0.25">
      <c r="C6" t="s">
        <v>3</v>
      </c>
      <c r="D6">
        <f>ROUND(SUMIFS(Data!$D:$D,Data!$A:$A,Control!$B$2,Data!$B:$B,Control!$B$4-3)*Control!$B$5,1)</f>
        <v>5811.1</v>
      </c>
      <c r="E6">
        <f>ROUND(SUMIFS(Data!$D:$D,Data!$A:$A,Control!$B$2,Data!$B:$B,Control!$B$4-2)*Control!$B$5,1)</f>
        <v>5763.9</v>
      </c>
      <c r="F6">
        <f>ROUND(SUMIFS(Data!$D:$D,Data!$A:$A,Control!$B$2,Data!$B:$B,Control!$B$4-1)*Control!$B$5,1)</f>
        <v>5856.6</v>
      </c>
      <c r="G6">
        <f>ROUND(SUMIFS(Data!$D:$D,Data!$A:$A,Control!$B$2,Data!$B:$B,Control!$B$4-0)*Control!$B$5,1)</f>
        <v>5806.2</v>
      </c>
      <c r="H6">
        <f>G6-F6</f>
        <v>-50.400000000000546</v>
      </c>
      <c r="I6">
        <f>IFERROR(H6/F6,0)</f>
        <v>-8.6056756479869784E-3</v>
      </c>
      <c r="J6">
        <f>ROUND(SUMIFS(Data!$F:$F,Data!$A:$A,Control!$B$2,Data!$B:$B,Control!$B$4-0)*Control!$B$5,1)</f>
        <v>5832.4</v>
      </c>
      <c r="K6">
        <f>IF(ABS(G6-J6)&lt;0.05,0,G6-J6)</f>
        <v>-26.199999999999818</v>
      </c>
    </row>
    <row r="7" spans="2:12" x14ac:dyDescent="0.25">
      <c r="C7" t="s">
        <v>31</v>
      </c>
      <c r="D7">
        <f>SUM(D5:D6)</f>
        <v>10589.1</v>
      </c>
      <c r="E7">
        <f>SUM(E5:E6)</f>
        <v>10565.099999999999</v>
      </c>
      <c r="F7">
        <f>SUM(F5:F6)</f>
        <v>10717.400000000001</v>
      </c>
      <c r="G7">
        <f>SUM(G5:G6)</f>
        <v>10691.099999999999</v>
      </c>
      <c r="H7">
        <f>SUM(H5:H6)</f>
        <v>-26.300000000001091</v>
      </c>
      <c r="I7">
        <f>IFERROR(H7/F7,0)</f>
        <v>-2.4539533842164226E-3</v>
      </c>
      <c r="J7">
        <f>SUM(J5:J6)</f>
        <v>10748.3</v>
      </c>
      <c r="K7">
        <f>SUM(K5:K6)</f>
        <v>-57.199999999999818</v>
      </c>
    </row>
    <row r="8" spans="2:12" x14ac:dyDescent="0.25">
      <c r="C8" t="s">
        <v>32</v>
      </c>
      <c r="D8">
        <f>IF(D6=0,"n/a",D5/D6)</f>
        <v>0.82221954535285913</v>
      </c>
      <c r="E8">
        <f>IF(E6=0,"n/a",E5/E6)</f>
        <v>0.83297767136834433</v>
      </c>
      <c r="F8">
        <f>IF(F6=0,"n/a",F5/F6)</f>
        <v>0.82996960693917976</v>
      </c>
      <c r="G8">
        <f>IF(G6=0,"n/a",G5/G6)</f>
        <v>0.84132479074093203</v>
      </c>
    </row>
    <row r="9" spans="2:12" x14ac:dyDescent="0.25">
      <c r="C9" t="s">
        <v>33</v>
      </c>
      <c r="D9">
        <f>AVERAGE(D7:G7)</f>
        <v>10640.674999999999</v>
      </c>
      <c r="E9">
        <f>MAX(D7:G7)</f>
        <v>10717.400000000001</v>
      </c>
      <c r="F9">
        <f>MIN(D7:G7)</f>
        <v>10565.099999999999</v>
      </c>
      <c r="G9">
        <f>COUNTIF(H5:H6,"&gt;0")</f>
        <v>1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6</v>
      </c>
      <c r="F11" t="str">
        <f>VLOOKUP(Control!$B$2,Data!$H$2:$H$11,1,FALSE)</f>
        <v>Bank E</v>
      </c>
      <c r="G11" t="str">
        <f>LEFT(Control!$B$2,4)&amp;MID(Control!$B$2,6,1)&amp;LEN(Control!$B$2)</f>
        <v>BankE6</v>
      </c>
    </row>
    <row r="12" spans="2:12" x14ac:dyDescent="0.25">
      <c r="C12" t="s">
        <v>35</v>
      </c>
      <c r="D12" t="str">
        <f>CHOOSE(MOD(Control!$B$3,3)+1,"one","two","three")</f>
        <v>three</v>
      </c>
      <c r="E12" t="str">
        <f>TEXT(Control!$B$8,"mmm yy")</f>
        <v>mar yy</v>
      </c>
      <c r="F12">
        <f ca="1">OFFSET(D5,1,2)</f>
        <v>5856.6</v>
      </c>
      <c r="G12">
        <f ca="1">INDIRECT("D7")</f>
        <v>10589.1</v>
      </c>
      <c r="H12">
        <f>AVERAGEIF(Data!$A$2:$A$121,Control!$B$2,Data!$C$2:$C$121)</f>
        <v>4412.4890833333347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11000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4801.2</v>
      </c>
      <c r="H13" t="str">
        <f>_xlfn.XLOOKUP(Control!$B$2,Data!$H$2:$H$11,Data!$H$2:$H$11,"none")</f>
        <v>Bank E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-5.3217718150777582E-3</v>
      </c>
      <c r="L13" cm="1">
        <f t="array" ref="L13">SUM(_xlfn._xlws.FILTER(Data!$C$2:$C$121,Data!$A$2:$A$121=Control!$B$2))</f>
        <v>52949.869000000013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E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4849.6000000000004</v>
      </c>
      <c r="E5">
        <f>ROUND(SUMIFS(Data!$C:$C,Data!$A:$A,Control!$B$2,Data!$B:$B,Control!$B$4-3)*Control!$B$5,1)</f>
        <v>4778</v>
      </c>
      <c r="F5">
        <f>ROUND(SUMIFS(Data!$C:$C,Data!$A:$A,Control!$B$2,Data!$B:$B,Control!$B$4-2)*Control!$B$5,1)</f>
        <v>4801.2</v>
      </c>
      <c r="G5">
        <f>ROUND(SUMIFS(Data!$C:$C,Data!$A:$A,Control!$B$2,Data!$B:$B,Control!$B$4-1)*Control!$B$5,1)</f>
        <v>4860.8</v>
      </c>
      <c r="H5">
        <f>G5-F5</f>
        <v>59.600000000000364</v>
      </c>
      <c r="I5">
        <f>IFERROR(H5/F5,0)</f>
        <v>1.2413563275847781E-2</v>
      </c>
      <c r="J5">
        <f>ROUND(SUMIFS(Data!$E:$E,Data!$A:$A,Control!$B$2,Data!$B:$B,Control!$B$4-1)*Control!$B$5,1)</f>
        <v>4895.3</v>
      </c>
      <c r="K5">
        <f>IF(ABS(G5-J5)&lt;0.05,0,G5-J5)</f>
        <v>-34.5</v>
      </c>
    </row>
    <row r="6" spans="2:12" x14ac:dyDescent="0.25">
      <c r="C6" t="s">
        <v>3</v>
      </c>
      <c r="D6">
        <f>ROUND(SUMIFS(Data!$D:$D,Data!$A:$A,Control!$B$2,Data!$B:$B,Control!$B$4-4)*Control!$B$5,1)</f>
        <v>5750.9</v>
      </c>
      <c r="E6">
        <f>ROUND(SUMIFS(Data!$D:$D,Data!$A:$A,Control!$B$2,Data!$B:$B,Control!$B$4-3)*Control!$B$5,1)</f>
        <v>5811.1</v>
      </c>
      <c r="F6">
        <f>ROUND(SUMIFS(Data!$D:$D,Data!$A:$A,Control!$B$2,Data!$B:$B,Control!$B$4-2)*Control!$B$5,1)</f>
        <v>5763.9</v>
      </c>
      <c r="G6">
        <f>ROUND(SUMIFS(Data!$D:$D,Data!$A:$A,Control!$B$2,Data!$B:$B,Control!$B$4-1)*Control!$B$5,1)</f>
        <v>5856.6</v>
      </c>
      <c r="H6">
        <f>G6-F6</f>
        <v>92.700000000000728</v>
      </c>
      <c r="I6">
        <f>IFERROR(H6/F6,0)</f>
        <v>1.6082860563160488E-2</v>
      </c>
      <c r="J6">
        <f>ROUND(SUMIFS(Data!$F:$F,Data!$A:$A,Control!$B$2,Data!$B:$B,Control!$B$4-1)*Control!$B$5,1)</f>
        <v>5812.9</v>
      </c>
      <c r="K6">
        <f>IF(ABS(G6-J6)&lt;0.05,0,G6-J6)</f>
        <v>43.700000000000728</v>
      </c>
    </row>
    <row r="7" spans="2:12" x14ac:dyDescent="0.25">
      <c r="C7" t="s">
        <v>31</v>
      </c>
      <c r="D7">
        <f>SUM(D5:D6)</f>
        <v>10600.5</v>
      </c>
      <c r="E7">
        <f>SUM(E5:E6)</f>
        <v>10589.1</v>
      </c>
      <c r="F7">
        <f>SUM(F5:F6)</f>
        <v>10565.099999999999</v>
      </c>
      <c r="G7">
        <f>SUM(G5:G6)</f>
        <v>10717.400000000001</v>
      </c>
      <c r="H7">
        <f>SUM(H5:H6)</f>
        <v>152.30000000000109</v>
      </c>
      <c r="I7">
        <f>IFERROR(H7/F7,0)</f>
        <v>1.441538650840987E-2</v>
      </c>
      <c r="J7">
        <f>SUM(J5:J6)</f>
        <v>10708.2</v>
      </c>
      <c r="K7">
        <f>SUM(K5:K6)</f>
        <v>9.2000000000007276</v>
      </c>
    </row>
    <row r="8" spans="2:12" x14ac:dyDescent="0.25">
      <c r="C8" t="s">
        <v>32</v>
      </c>
      <c r="D8">
        <f>IF(D6=0,"n/a",D5/D6)</f>
        <v>0.84327670451581505</v>
      </c>
      <c r="E8">
        <f>IF(E6=0,"n/a",E5/E6)</f>
        <v>0.82221954535285913</v>
      </c>
      <c r="F8">
        <f>IF(F6=0,"n/a",F5/F6)</f>
        <v>0.83297767136834433</v>
      </c>
      <c r="G8">
        <f>IF(G6=0,"n/a",G5/G6)</f>
        <v>0.82996960693917976</v>
      </c>
    </row>
    <row r="9" spans="2:12" x14ac:dyDescent="0.25">
      <c r="C9" t="s">
        <v>33</v>
      </c>
      <c r="D9">
        <f>AVERAGE(D7:G7)</f>
        <v>10618.025</v>
      </c>
      <c r="E9">
        <f>MAX(D7:G7)</f>
        <v>10717.400000000001</v>
      </c>
      <c r="F9">
        <f>MIN(D7:G7)</f>
        <v>10565.099999999999</v>
      </c>
      <c r="G9">
        <f>COUNTIF(H5:H6,"&gt;0")</f>
        <v>2</v>
      </c>
    </row>
    <row r="10" spans="2:12" x14ac:dyDescent="0.25">
      <c r="C10" t="str">
        <f>"vs SLIDE_1"</f>
        <v>vs SLIDE_1</v>
      </c>
      <c r="D10">
        <f>G7-SLIDE_1!G7</f>
        <v>26.30000000000291</v>
      </c>
      <c r="E10">
        <f>IFERROR(D10/SLIDE_1!G7,0)</f>
        <v>2.4599900852113358E-3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5856.6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6</v>
      </c>
      <c r="F11" t="str">
        <f>VLOOKUP(Control!$B$2,Data!$H$2:$H$11,1,FALSE)</f>
        <v>Bank E</v>
      </c>
      <c r="G11" t="str">
        <f>LEFT(Control!$B$2,4)&amp;MID(Control!$B$2,6,1)&amp;LEN(Control!$B$2)</f>
        <v>BankE6</v>
      </c>
    </row>
    <row r="12" spans="2:12" x14ac:dyDescent="0.25">
      <c r="C12" t="s">
        <v>35</v>
      </c>
      <c r="D12" t="str">
        <f>CHOOSE(MOD(Control!$B$3,3)+1,"one","two","three")</f>
        <v>three</v>
      </c>
      <c r="E12" t="str">
        <f>TEXT(Control!$B$8,"mmm yy")</f>
        <v>mar yy</v>
      </c>
      <c r="F12">
        <f ca="1">OFFSET(D5,1,2)</f>
        <v>5763.9</v>
      </c>
      <c r="G12">
        <f ca="1">INDIRECT("D7")</f>
        <v>10600.5</v>
      </c>
      <c r="H12">
        <f>AVERAGEIF(Data!$A$2:$A$121,Control!$B$2,Data!$C$2:$C$121)</f>
        <v>4412.4890833333347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11000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4801.2</v>
      </c>
      <c r="H13" t="str">
        <f>_xlfn.XLOOKUP(Control!$B$2,Data!$H$2:$H$11,Data!$H$2:$H$11,"none")</f>
        <v>Bank E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8.5915466651731442E-4</v>
      </c>
      <c r="L13" cm="1">
        <f t="array" ref="L13">SUM(_xlfn._xlws.FILTER(Data!$C$2:$C$121,Data!$A$2:$A$121=Control!$B$2))</f>
        <v>52949.869000000013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E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4779.8</v>
      </c>
      <c r="E5">
        <f>ROUND(SUMIFS(Data!$C:$C,Data!$A:$A,Control!$B$2,Data!$B:$B,Control!$B$4-4)*Control!$B$5,1)</f>
        <v>4849.6000000000004</v>
      </c>
      <c r="F5">
        <f>ROUND(SUMIFS(Data!$C:$C,Data!$A:$A,Control!$B$2,Data!$B:$B,Control!$B$4-3)*Control!$B$5,1)</f>
        <v>4778</v>
      </c>
      <c r="G5">
        <f>ROUND(SUMIFS(Data!$C:$C,Data!$A:$A,Control!$B$2,Data!$B:$B,Control!$B$4-2)*Control!$B$5,1)</f>
        <v>4801.2</v>
      </c>
      <c r="H5">
        <f>G5-F5</f>
        <v>23.199999999999818</v>
      </c>
      <c r="I5">
        <f>IFERROR(H5/F5,0)</f>
        <v>4.8555881121807908E-3</v>
      </c>
      <c r="J5">
        <f>ROUND(SUMIFS(Data!$E:$E,Data!$A:$A,Control!$B$2,Data!$B:$B,Control!$B$4-2)*Control!$B$5,1)</f>
        <v>4874.6000000000004</v>
      </c>
      <c r="K5">
        <f>IF(ABS(G5-J5)&lt;0.05,0,G5-J5)</f>
        <v>-73.400000000000546</v>
      </c>
    </row>
    <row r="6" spans="2:12" x14ac:dyDescent="0.25">
      <c r="C6" t="s">
        <v>3</v>
      </c>
      <c r="D6">
        <f>ROUND(SUMIFS(Data!$D:$D,Data!$A:$A,Control!$B$2,Data!$B:$B,Control!$B$4-5)*Control!$B$5,1)</f>
        <v>5783</v>
      </c>
      <c r="E6">
        <f>ROUND(SUMIFS(Data!$D:$D,Data!$A:$A,Control!$B$2,Data!$B:$B,Control!$B$4-4)*Control!$B$5,1)</f>
        <v>5750.9</v>
      </c>
      <c r="F6">
        <f>ROUND(SUMIFS(Data!$D:$D,Data!$A:$A,Control!$B$2,Data!$B:$B,Control!$B$4-3)*Control!$B$5,1)</f>
        <v>5811.1</v>
      </c>
      <c r="G6">
        <f>ROUND(SUMIFS(Data!$D:$D,Data!$A:$A,Control!$B$2,Data!$B:$B,Control!$B$4-2)*Control!$B$5,1)</f>
        <v>5763.9</v>
      </c>
      <c r="H6">
        <f>G6-F6</f>
        <v>-47.200000000000728</v>
      </c>
      <c r="I6">
        <f>IFERROR(H6/F6,0)</f>
        <v>-8.1223864672782652E-3</v>
      </c>
      <c r="J6">
        <f>ROUND(SUMIFS(Data!$F:$F,Data!$A:$A,Control!$B$2,Data!$B:$B,Control!$B$4-2)*Control!$B$5,1)</f>
        <v>5793.4</v>
      </c>
      <c r="K6">
        <f>IF(ABS(G6-J6)&lt;0.05,0,G6-J6)</f>
        <v>-29.5</v>
      </c>
    </row>
    <row r="7" spans="2:12" x14ac:dyDescent="0.25">
      <c r="C7" t="s">
        <v>31</v>
      </c>
      <c r="D7">
        <f>SUM(D5:D6)</f>
        <v>10562.8</v>
      </c>
      <c r="E7">
        <f>SUM(E5:E6)</f>
        <v>10600.5</v>
      </c>
      <c r="F7">
        <f>SUM(F5:F6)</f>
        <v>10589.1</v>
      </c>
      <c r="G7">
        <f>SUM(G5:G6)</f>
        <v>10565.099999999999</v>
      </c>
      <c r="H7">
        <f>SUM(H5:H6)</f>
        <v>-24.000000000000909</v>
      </c>
      <c r="I7">
        <f>IFERROR(H7/F7,0)</f>
        <v>-2.2664815706718144E-3</v>
      </c>
      <c r="J7">
        <f>SUM(J5:J6)</f>
        <v>10668</v>
      </c>
      <c r="K7">
        <f>SUM(K5:K6)</f>
        <v>-102.90000000000055</v>
      </c>
    </row>
    <row r="8" spans="2:12" x14ac:dyDescent="0.25">
      <c r="C8" t="s">
        <v>32</v>
      </c>
      <c r="D8">
        <f>IF(D6=0,"n/a",D5/D6)</f>
        <v>0.82652602455472945</v>
      </c>
      <c r="E8">
        <f>IF(E6=0,"n/a",E5/E6)</f>
        <v>0.84327670451581505</v>
      </c>
      <c r="F8">
        <f>IF(F6=0,"n/a",F5/F6)</f>
        <v>0.82221954535285913</v>
      </c>
      <c r="G8">
        <f>IF(G6=0,"n/a",G5/G6)</f>
        <v>0.83297767136834433</v>
      </c>
    </row>
    <row r="9" spans="2:12" x14ac:dyDescent="0.25">
      <c r="C9" t="s">
        <v>33</v>
      </c>
      <c r="D9">
        <f>AVERAGE(D7:G7)</f>
        <v>10579.375</v>
      </c>
      <c r="E9">
        <f>MAX(D7:G7)</f>
        <v>10600.5</v>
      </c>
      <c r="F9">
        <f>MIN(D7:G7)</f>
        <v>10562.8</v>
      </c>
      <c r="G9">
        <f>COUNTIF(H5:H6,"&gt;0")</f>
        <v>1</v>
      </c>
    </row>
    <row r="10" spans="2:12" x14ac:dyDescent="0.25">
      <c r="C10" t="str">
        <f>"vs SLIDE_2"</f>
        <v>vs SLIDE_2</v>
      </c>
      <c r="D10">
        <f>G7-SLIDE_2!G7</f>
        <v>-152.30000000000291</v>
      </c>
      <c r="E10">
        <f>IFERROR(D10/SLIDE_2!G7,0)</f>
        <v>-1.4210536137496304E-2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5856.6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6</v>
      </c>
      <c r="F11" t="str">
        <f>VLOOKUP(Control!$B$2,Data!$H$2:$H$11,1,FALSE)</f>
        <v>Bank E</v>
      </c>
      <c r="G11" t="str">
        <f>LEFT(Control!$B$2,4)&amp;MID(Control!$B$2,6,1)&amp;LEN(Control!$B$2)</f>
        <v>BankE6</v>
      </c>
    </row>
    <row r="12" spans="2:12" x14ac:dyDescent="0.25">
      <c r="C12" t="s">
        <v>35</v>
      </c>
      <c r="D12" t="str">
        <f>CHOOSE(MOD(Control!$B$3,3)+1,"one","two","three")</f>
        <v>three</v>
      </c>
      <c r="E12" t="str">
        <f>TEXT(Control!$B$8,"mmm yy")</f>
        <v>mar yy</v>
      </c>
      <c r="F12">
        <f ca="1">OFFSET(D5,1,2)</f>
        <v>5811.1</v>
      </c>
      <c r="G12">
        <f ca="1">INDIRECT("D7")</f>
        <v>10562.8</v>
      </c>
      <c r="H12">
        <f>AVERAGEIF(Data!$A$2:$A$121,Control!$B$2,Data!$C$2:$C$121)</f>
        <v>4412.4890833333347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11000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4779.8</v>
      </c>
      <c r="H13" t="str">
        <f>_xlfn.XLOOKUP(Control!$B$2,Data!$H$2:$H$11,Data!$H$2:$H$11,"none")</f>
        <v>Bank E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-9.6456692913386988E-3</v>
      </c>
      <c r="L13" cm="1">
        <f t="array" ref="L13">SUM(_xlfn._xlws.FILTER(Data!$C$2:$C$121,Data!$A$2:$A$121=Control!$B$2))</f>
        <v>52949.869000000013</v>
      </c>
    </row>
    <row r="14" spans="2:12" x14ac:dyDescent="0.25">
      <c r="C14" t="s">
        <v>41</v>
      </c>
      <c r="D14">
        <f>FromB!D4*2</f>
        <v>1772.1999999999971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886.09999999999854</v>
      </c>
    </row>
    <row r="5" spans="2:4" x14ac:dyDescent="0.25">
      <c r="C5" t="s">
        <v>39</v>
      </c>
      <c r="D5" t="str">
        <f>[1]Peer!D8</f>
        <v>above peers</v>
      </c>
    </row>
    <row r="6" spans="2:4" x14ac:dyDescent="0.25">
      <c r="C6" t="s">
        <v>40</v>
      </c>
      <c r="D6">
        <f>D4+SLIDE_3!H7</f>
        <v>862.09999999999764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