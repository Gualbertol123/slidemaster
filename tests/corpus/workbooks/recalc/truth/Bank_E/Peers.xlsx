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29E258F1-EAE5-4E4B-A8BC-2EF80644D6F6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<sst xmlns="http://schemas.openxmlformats.org/spreadsheetml/2006/main" count="23" uniqueCount="22">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</sst>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E</v>
          </cell>
        </row>
      </sheetData>
      <sheetData sheetId="1"/>
      <sheetData sheetId="2">
        <row r="5">
          <cell r="G5">
            <v>4884.8999999999996</v>
          </cell>
        </row>
        <row r="6">
          <cell r="G6">
            <v>5806.2</v>
          </cell>
        </row>
      </sheetData>
      <sheetData sheetId="3">
        <row r="7">
          <cell r="G7">
            <v>10717.400000000001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E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4884.8999999999996</v>
      </c>
      <c r="E5">
        <f>VLOOKUP([1]Control!$B$2,PeerData!$A$2:$C$11,2,FALSE)</f>
        <v>4482</v>
      </c>
      <c r="F5">
        <f>D5-E5</f>
        <v>402.89999999999964</v>
      </c>
      <c r="G5">
        <f>IFERROR(F5/E5,0)</f>
        <v>8.9892904953145836E-2</v>
      </c>
    </row>
    <row r="6" spans="2:7" x14ac:dyDescent="0.25">
      <c r="C6" t="s">
        <v>19</v>
      </c>
      <c r="D6">
        <f>[1]SLIDE_1!G6</f>
        <v>5806.2</v>
      </c>
      <c r="E6">
        <f>VLOOKUP([1]Control!$B$2,PeerData!$A$2:$C$11,3,FALSE)</f>
        <v>5323</v>
      </c>
      <c r="F6">
        <f>D6-E6</f>
        <v>483.19999999999982</v>
      </c>
      <c r="G6">
        <f>IFERROR(F6/E6,0)</f>
        <v>9.0775878264136731E-2</v>
      </c>
    </row>
    <row r="7" spans="2:7" x14ac:dyDescent="0.25">
      <c r="C7" t="s">
        <v>20</v>
      </c>
      <c r="D7">
        <f>SUM(D5:D6)</f>
        <v>10691.099999999999</v>
      </c>
      <c r="E7">
        <f>SUM(E5:E6)</f>
        <v>9805</v>
      </c>
      <c r="F7">
        <f>D7-E7</f>
        <v>886.09999999999854</v>
      </c>
      <c r="G7">
        <f>IFERROR(F7/E7,0)</f>
        <v>9.0372259051504186E-2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0.51400000000000001</v>
      </c>
      <c r="F8">
        <f>[1]SLIDE_2!G7-D7</f>
        <v>26.30000000000291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