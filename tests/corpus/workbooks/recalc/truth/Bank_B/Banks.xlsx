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4DCACD84-F158-4E64-90B4-5E337F993D7F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E11" i="5"/>
  <c r="C10" i="5"/>
  <c r="J6" i="5"/>
  <c r="K6" i="5" s="1"/>
  <c r="G6" i="5"/>
  <c r="F6" i="5"/>
  <c r="F12" i="5" s="1"/>
  <c r="E6" i="5"/>
  <c r="D6" i="5"/>
  <c r="J5" i="5"/>
  <c r="G5" i="5"/>
  <c r="K5" i="5" s="1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E11" i="4"/>
  <c r="C10" i="4"/>
  <c r="J6" i="4"/>
  <c r="G6" i="4"/>
  <c r="G8" i="4" s="1"/>
  <c r="F6" i="4"/>
  <c r="F12" i="4" s="1"/>
  <c r="E6" i="4"/>
  <c r="D6" i="4"/>
  <c r="J5" i="4"/>
  <c r="K5" i="4" s="1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J7" i="3" s="1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J7" i="4" l="1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<sst xmlns="http://schemas.openxmlformats.org/spreadsheetml/2006/main" count="196" uniqueCount="42">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</sst>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84.299999999999272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8</v>
      </c>
    </row>
    <row r="3" spans="1:2" x14ac:dyDescent="0.25">
      <c r="A3" t="s">
        <v>18</v>
      </c>
      <c r="B3">
        <f>MATCH(B2,Data!H2:H11,0)</f>
        <v>2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B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B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2456.4</v>
      </c>
      <c r="E5">
        <f>ROUND(SUMIFS(Data!$C:$C,Data!$A:$A,Control!$B$2,Data!$B:$B,Control!$B$4-2)*Control!$B$5,1)</f>
        <v>2467.5</v>
      </c>
      <c r="F5">
        <f>ROUND(SUMIFS(Data!$C:$C,Data!$A:$A,Control!$B$2,Data!$B:$B,Control!$B$4-1)*Control!$B$5,1)</f>
        <v>2545.8000000000002</v>
      </c>
      <c r="G5">
        <f>ROUND(SUMIFS(Data!$C:$C,Data!$A:$A,Control!$B$2,Data!$B:$B,Control!$B$4-0)*Control!$B$5,1)</f>
        <v>2454.6</v>
      </c>
      <c r="H5">
        <f>G5-F5</f>
        <v>-91.200000000000273</v>
      </c>
      <c r="I5">
        <f>IFERROR(H5/F5,0)</f>
        <v>-3.5823709639406183E-2</v>
      </c>
      <c r="J5">
        <f>ROUND(SUMIFS(Data!$E:$E,Data!$A:$A,Control!$B$2,Data!$B:$B,Control!$B$4-0)*Control!$B$5,1)</f>
        <v>2515.4</v>
      </c>
      <c r="K5">
        <f>IF(ABS(G5-J5)&lt;0.05,0,G5-J5)</f>
        <v>-60.800000000000182</v>
      </c>
    </row>
    <row r="6" spans="2:12" x14ac:dyDescent="0.25">
      <c r="C6" t="s">
        <v>3</v>
      </c>
      <c r="D6">
        <f>ROUND(SUMIFS(Data!$D:$D,Data!$A:$A,Control!$B$2,Data!$B:$B,Control!$B$4-3)*Control!$B$5,1)</f>
        <v>2971.3</v>
      </c>
      <c r="E6">
        <f>ROUND(SUMIFS(Data!$D:$D,Data!$A:$A,Control!$B$2,Data!$B:$B,Control!$B$4-2)*Control!$B$5,1)</f>
        <v>2864.9</v>
      </c>
      <c r="F6">
        <f>ROUND(SUMIFS(Data!$D:$D,Data!$A:$A,Control!$B$2,Data!$B:$B,Control!$B$4-1)*Control!$B$5,1)</f>
        <v>2954.8</v>
      </c>
      <c r="G6">
        <f>ROUND(SUMIFS(Data!$D:$D,Data!$A:$A,Control!$B$2,Data!$B:$B,Control!$B$4-0)*Control!$B$5,1)</f>
        <v>3030.7</v>
      </c>
      <c r="H6">
        <f>G6-F6</f>
        <v>75.899999999999636</v>
      </c>
      <c r="I6">
        <f>IFERROR(H6/F6,0)</f>
        <v>2.5687017733856652E-2</v>
      </c>
      <c r="J6">
        <f>ROUND(SUMIFS(Data!$F:$F,Data!$A:$A,Control!$B$2,Data!$B:$B,Control!$B$4-0)*Control!$B$5,1)</f>
        <v>2984</v>
      </c>
      <c r="K6">
        <f>IF(ABS(G6-J6)&lt;0.05,0,G6-J6)</f>
        <v>46.699999999999818</v>
      </c>
    </row>
    <row r="7" spans="2:12" x14ac:dyDescent="0.25">
      <c r="C7" t="s">
        <v>31</v>
      </c>
      <c r="D7">
        <f>SUM(D5:D6)</f>
        <v>5427.7000000000007</v>
      </c>
      <c r="E7">
        <f>SUM(E5:E6)</f>
        <v>5332.4</v>
      </c>
      <c r="F7">
        <f>SUM(F5:F6)</f>
        <v>5500.6</v>
      </c>
      <c r="G7">
        <f>SUM(G5:G6)</f>
        <v>5485.2999999999993</v>
      </c>
      <c r="H7">
        <f>SUM(H5:H6)</f>
        <v>-15.300000000000637</v>
      </c>
      <c r="I7">
        <f>IFERROR(H7/F7,0)</f>
        <v>-2.7815147438462412E-3</v>
      </c>
      <c r="J7">
        <f>SUM(J5:J6)</f>
        <v>5499.4</v>
      </c>
      <c r="K7">
        <f>SUM(K5:K6)</f>
        <v>-14.100000000000364</v>
      </c>
    </row>
    <row r="8" spans="2:12" x14ac:dyDescent="0.25">
      <c r="C8" t="s">
        <v>32</v>
      </c>
      <c r="D8">
        <f>IF(D6=0,"n/a",D5/D6)</f>
        <v>0.82670884797899902</v>
      </c>
      <c r="E8">
        <f>IF(E6=0,"n/a",E5/E6)</f>
        <v>0.86128660686236869</v>
      </c>
      <c r="F8">
        <f>IF(F6=0,"n/a",F5/F6)</f>
        <v>0.86158115608501418</v>
      </c>
      <c r="G8">
        <f>IF(G6=0,"n/a",G5/G6)</f>
        <v>0.8099119015408982</v>
      </c>
    </row>
    <row r="9" spans="2:12" x14ac:dyDescent="0.25">
      <c r="C9" t="s">
        <v>33</v>
      </c>
      <c r="D9">
        <f>AVERAGE(D7:G7)</f>
        <v>5436.5</v>
      </c>
      <c r="E9">
        <f>MAX(D7:G7)</f>
        <v>5500.6</v>
      </c>
      <c r="F9">
        <f>MIN(D7:G7)</f>
        <v>5332.4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9</v>
      </c>
      <c r="F11" t="str">
        <f>VLOOKUP(Control!$B$2,Data!$H$2:$H$11,1,FALSE)</f>
        <v>Bank B</v>
      </c>
      <c r="G11" t="str">
        <f>LEFT(Control!$B$2,4)&amp;MID(Control!$B$2,6,1)&amp;LEN(Control!$B$2)</f>
        <v>BankB6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2954.8</v>
      </c>
      <c r="G12">
        <f ca="1">INDIRECT("D7")</f>
        <v>5427.7000000000007</v>
      </c>
      <c r="H12">
        <f>AVERAGEIF(Data!$A$2:$A$121,Control!$B$2,Data!$C$2:$C$121)</f>
        <v>2260.6596666666669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2456.4</v>
      </c>
      <c r="H13" t="str">
        <f>_xlfn.XLOOKUP(Control!$B$2,Data!$H$2:$H$11,Data!$H$2:$H$11,"none")</f>
        <v>Bank B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-2.5639160635706482E-3</v>
      </c>
      <c r="L13" cm="1">
        <f t="array" ref="L13">SUM(_xlfn._xlws.FILTER(Data!$C$2:$C$121,Data!$A$2:$A$121=Control!$B$2))</f>
        <v>27127.916000000001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B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2416.1999999999998</v>
      </c>
      <c r="E5">
        <f>ROUND(SUMIFS(Data!$C:$C,Data!$A:$A,Control!$B$2,Data!$B:$B,Control!$B$4-3)*Control!$B$5,1)</f>
        <v>2456.4</v>
      </c>
      <c r="F5">
        <f>ROUND(SUMIFS(Data!$C:$C,Data!$A:$A,Control!$B$2,Data!$B:$B,Control!$B$4-2)*Control!$B$5,1)</f>
        <v>2467.5</v>
      </c>
      <c r="G5">
        <f>ROUND(SUMIFS(Data!$C:$C,Data!$A:$A,Control!$B$2,Data!$B:$B,Control!$B$4-1)*Control!$B$5,1)</f>
        <v>2545.8000000000002</v>
      </c>
      <c r="H5">
        <f>G5-F5</f>
        <v>78.300000000000182</v>
      </c>
      <c r="I5">
        <f>IFERROR(H5/F5,0)</f>
        <v>3.1732522796352657E-2</v>
      </c>
      <c r="J5">
        <f>ROUND(SUMIFS(Data!$E:$E,Data!$A:$A,Control!$B$2,Data!$B:$B,Control!$B$4-1)*Control!$B$5,1)</f>
        <v>2504.6</v>
      </c>
      <c r="K5">
        <f>IF(ABS(G5-J5)&lt;0.05,0,G5-J5)</f>
        <v>41.200000000000273</v>
      </c>
    </row>
    <row r="6" spans="2:12" x14ac:dyDescent="0.25">
      <c r="C6" t="s">
        <v>3</v>
      </c>
      <c r="D6">
        <f>ROUND(SUMIFS(Data!$D:$D,Data!$A:$A,Control!$B$2,Data!$B:$B,Control!$B$4-4)*Control!$B$5,1)</f>
        <v>2881.4</v>
      </c>
      <c r="E6">
        <f>ROUND(SUMIFS(Data!$D:$D,Data!$A:$A,Control!$B$2,Data!$B:$B,Control!$B$4-3)*Control!$B$5,1)</f>
        <v>2971.3</v>
      </c>
      <c r="F6">
        <f>ROUND(SUMIFS(Data!$D:$D,Data!$A:$A,Control!$B$2,Data!$B:$B,Control!$B$4-2)*Control!$B$5,1)</f>
        <v>2864.9</v>
      </c>
      <c r="G6">
        <f>ROUND(SUMIFS(Data!$D:$D,Data!$A:$A,Control!$B$2,Data!$B:$B,Control!$B$4-1)*Control!$B$5,1)</f>
        <v>2954.8</v>
      </c>
      <c r="H6">
        <f>G6-F6</f>
        <v>89.900000000000091</v>
      </c>
      <c r="I6">
        <f>IFERROR(H6/F6,0)</f>
        <v>3.137980383259454E-2</v>
      </c>
      <c r="J6">
        <f>ROUND(SUMIFS(Data!$F:$F,Data!$A:$A,Control!$B$2,Data!$B:$B,Control!$B$4-1)*Control!$B$5,1)</f>
        <v>2974.2</v>
      </c>
      <c r="K6">
        <f>IF(ABS(G6-J6)&lt;0.05,0,G6-J6)</f>
        <v>-19.399999999999636</v>
      </c>
    </row>
    <row r="7" spans="2:12" x14ac:dyDescent="0.25">
      <c r="C7" t="s">
        <v>31</v>
      </c>
      <c r="D7">
        <f>SUM(D5:D6)</f>
        <v>5297.6</v>
      </c>
      <c r="E7">
        <f>SUM(E5:E6)</f>
        <v>5427.7000000000007</v>
      </c>
      <c r="F7">
        <f>SUM(F5:F6)</f>
        <v>5332.4</v>
      </c>
      <c r="G7">
        <f>SUM(G5:G6)</f>
        <v>5500.6</v>
      </c>
      <c r="H7">
        <f>SUM(H5:H6)</f>
        <v>168.20000000000027</v>
      </c>
      <c r="I7">
        <f>IFERROR(H7/F7,0)</f>
        <v>3.1543020028505044E-2</v>
      </c>
      <c r="J7">
        <f>SUM(J5:J6)</f>
        <v>5478.7999999999993</v>
      </c>
      <c r="K7">
        <f>SUM(K5:K6)</f>
        <v>21.800000000000637</v>
      </c>
    </row>
    <row r="8" spans="2:12" x14ac:dyDescent="0.25">
      <c r="C8" t="s">
        <v>32</v>
      </c>
      <c r="D8">
        <f>IF(D6=0,"n/a",D5/D6)</f>
        <v>0.83855070451863667</v>
      </c>
      <c r="E8">
        <f>IF(E6=0,"n/a",E5/E6)</f>
        <v>0.82670884797899902</v>
      </c>
      <c r="F8">
        <f>IF(F6=0,"n/a",F5/F6)</f>
        <v>0.86128660686236869</v>
      </c>
      <c r="G8">
        <f>IF(G6=0,"n/a",G5/G6)</f>
        <v>0.86158115608501418</v>
      </c>
    </row>
    <row r="9" spans="2:12" x14ac:dyDescent="0.25">
      <c r="C9" t="s">
        <v>33</v>
      </c>
      <c r="D9">
        <f>AVERAGE(D7:G7)</f>
        <v>5389.5750000000007</v>
      </c>
      <c r="E9">
        <f>MAX(D7:G7)</f>
        <v>5500.6</v>
      </c>
      <c r="F9">
        <f>MIN(D7:G7)</f>
        <v>5297.6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15.300000000001091</v>
      </c>
      <c r="E10">
        <f>IFERROR(D10/SLIDE_1!G7,0)</f>
        <v>2.7892731482327482E-3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3030.7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9</v>
      </c>
      <c r="F11" t="str">
        <f>VLOOKUP(Control!$B$2,Data!$H$2:$H$11,1,FALSE)</f>
        <v>Bank B</v>
      </c>
      <c r="G11" t="str">
        <f>LEFT(Control!$B$2,4)&amp;MID(Control!$B$2,6,1)&amp;LEN(Control!$B$2)</f>
        <v>BankB6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2864.9</v>
      </c>
      <c r="G12">
        <f ca="1">INDIRECT("D7")</f>
        <v>5297.6</v>
      </c>
      <c r="H12">
        <f>AVERAGEIF(Data!$A$2:$A$121,Control!$B$2,Data!$C$2:$C$121)</f>
        <v>2260.6596666666669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2456.4</v>
      </c>
      <c r="H13" t="str">
        <f>_xlfn.XLOOKUP(Control!$B$2,Data!$H$2:$H$11,Data!$H$2:$H$11,"none")</f>
        <v>Bank B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3.978973497846372E-3</v>
      </c>
      <c r="L13" cm="1">
        <f t="array" ref="L13">SUM(_xlfn._xlws.FILTER(Data!$C$2:$C$121,Data!$A$2:$A$121=Control!$B$2))</f>
        <v>27127.916000000001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B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2467</v>
      </c>
      <c r="E5">
        <f>ROUND(SUMIFS(Data!$C:$C,Data!$A:$A,Control!$B$2,Data!$B:$B,Control!$B$4-4)*Control!$B$5,1)</f>
        <v>2416.1999999999998</v>
      </c>
      <c r="F5">
        <f>ROUND(SUMIFS(Data!$C:$C,Data!$A:$A,Control!$B$2,Data!$B:$B,Control!$B$4-3)*Control!$B$5,1)</f>
        <v>2456.4</v>
      </c>
      <c r="G5">
        <f>ROUND(SUMIFS(Data!$C:$C,Data!$A:$A,Control!$B$2,Data!$B:$B,Control!$B$4-2)*Control!$B$5,1)</f>
        <v>2467.5</v>
      </c>
      <c r="H5">
        <f>G5-F5</f>
        <v>11.099999999999909</v>
      </c>
      <c r="I5">
        <f>IFERROR(H5/F5,0)</f>
        <v>4.5188080117244374E-3</v>
      </c>
      <c r="J5">
        <f>ROUND(SUMIFS(Data!$E:$E,Data!$A:$A,Control!$B$2,Data!$B:$B,Control!$B$4-2)*Control!$B$5,1)</f>
        <v>2493.6999999999998</v>
      </c>
      <c r="K5">
        <f>IF(ABS(G5-J5)&lt;0.05,0,G5-J5)</f>
        <v>-26.199999999999818</v>
      </c>
    </row>
    <row r="6" spans="2:12" x14ac:dyDescent="0.25">
      <c r="C6" t="s">
        <v>3</v>
      </c>
      <c r="D6">
        <f>ROUND(SUMIFS(Data!$D:$D,Data!$A:$A,Control!$B$2,Data!$B:$B,Control!$B$4-5)*Control!$B$5,1)</f>
        <v>2994.2</v>
      </c>
      <c r="E6">
        <f>ROUND(SUMIFS(Data!$D:$D,Data!$A:$A,Control!$B$2,Data!$B:$B,Control!$B$4-4)*Control!$B$5,1)</f>
        <v>2881.4</v>
      </c>
      <c r="F6">
        <f>ROUND(SUMIFS(Data!$D:$D,Data!$A:$A,Control!$B$2,Data!$B:$B,Control!$B$4-3)*Control!$B$5,1)</f>
        <v>2971.3</v>
      </c>
      <c r="G6">
        <f>ROUND(SUMIFS(Data!$D:$D,Data!$A:$A,Control!$B$2,Data!$B:$B,Control!$B$4-2)*Control!$B$5,1)</f>
        <v>2864.9</v>
      </c>
      <c r="H6">
        <f>G6-F6</f>
        <v>-106.40000000000009</v>
      </c>
      <c r="I6">
        <f>IFERROR(H6/F6,0)</f>
        <v>-3.580924174603712E-2</v>
      </c>
      <c r="J6">
        <f>ROUND(SUMIFS(Data!$F:$F,Data!$A:$A,Control!$B$2,Data!$B:$B,Control!$B$4-2)*Control!$B$5,1)</f>
        <v>2963.4</v>
      </c>
      <c r="K6">
        <f>IF(ABS(G6-J6)&lt;0.05,0,G6-J6)</f>
        <v>-98.5</v>
      </c>
    </row>
    <row r="7" spans="2:12" x14ac:dyDescent="0.25">
      <c r="C7" t="s">
        <v>31</v>
      </c>
      <c r="D7">
        <f>SUM(D5:D6)</f>
        <v>5461.2</v>
      </c>
      <c r="E7">
        <f>SUM(E5:E6)</f>
        <v>5297.6</v>
      </c>
      <c r="F7">
        <f>SUM(F5:F6)</f>
        <v>5427.7000000000007</v>
      </c>
      <c r="G7">
        <f>SUM(G5:G6)</f>
        <v>5332.4</v>
      </c>
      <c r="H7">
        <f>SUM(H5:H6)</f>
        <v>-95.300000000000182</v>
      </c>
      <c r="I7">
        <f>IFERROR(H7/F7,0)</f>
        <v>-1.7558081692061127E-2</v>
      </c>
      <c r="J7">
        <f>SUM(J5:J6)</f>
        <v>5457.1</v>
      </c>
      <c r="K7">
        <f>SUM(K5:K6)</f>
        <v>-124.69999999999982</v>
      </c>
    </row>
    <row r="8" spans="2:12" x14ac:dyDescent="0.25">
      <c r="C8" t="s">
        <v>32</v>
      </c>
      <c r="D8">
        <f>IF(D6=0,"n/a",D5/D6)</f>
        <v>0.82392625743103343</v>
      </c>
      <c r="E8">
        <f>IF(E6=0,"n/a",E5/E6)</f>
        <v>0.83855070451863667</v>
      </c>
      <c r="F8">
        <f>IF(F6=0,"n/a",F5/F6)</f>
        <v>0.82670884797899902</v>
      </c>
      <c r="G8">
        <f>IF(G6=0,"n/a",G5/G6)</f>
        <v>0.86128660686236869</v>
      </c>
    </row>
    <row r="9" spans="2:12" x14ac:dyDescent="0.25">
      <c r="C9" t="s">
        <v>33</v>
      </c>
      <c r="D9">
        <f>AVERAGE(D7:G7)</f>
        <v>5379.7250000000004</v>
      </c>
      <c r="E9">
        <f>MAX(D7:G7)</f>
        <v>5461.2</v>
      </c>
      <c r="F9">
        <f>MIN(D7:G7)</f>
        <v>5297.6</v>
      </c>
      <c r="G9">
        <f>COUNTIF(H5:H6,"&gt;0")</f>
        <v>1</v>
      </c>
    </row>
    <row r="10" spans="2:12" x14ac:dyDescent="0.25">
      <c r="C10" t="str">
        <f>"vs SLIDE_2"</f>
        <v>vs SLIDE_2</v>
      </c>
      <c r="D10">
        <f>G7-SLIDE_2!G7</f>
        <v>-168.20000000000073</v>
      </c>
      <c r="E10">
        <f>IFERROR(D10/SLIDE_2!G7,0)</f>
        <v>-3.0578482347380417E-2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2971.3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9</v>
      </c>
      <c r="F11" t="str">
        <f>VLOOKUP(Control!$B$2,Data!$H$2:$H$11,1,FALSE)</f>
        <v>Bank B</v>
      </c>
      <c r="G11" t="str">
        <f>LEFT(Control!$B$2,4)&amp;MID(Control!$B$2,6,1)&amp;LEN(Control!$B$2)</f>
        <v>BankB6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2971.3</v>
      </c>
      <c r="G12">
        <f ca="1">INDIRECT("D7")</f>
        <v>5461.2</v>
      </c>
      <c r="H12">
        <f>AVERAGEIF(Data!$A$2:$A$121,Control!$B$2,Data!$C$2:$C$121)</f>
        <v>2260.6596666666669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2456.4</v>
      </c>
      <c r="H13" t="str">
        <f>_xlfn.XLOOKUP(Control!$B$2,Data!$H$2:$H$11,Data!$H$2:$H$11,"none")</f>
        <v>Bank B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-2.2850964798152962E-2</v>
      </c>
      <c r="L13" cm="1">
        <f t="array" ref="L13">SUM(_xlfn._xlws.FILTER(Data!$C$2:$C$121,Data!$A$2:$A$121=Control!$B$2))</f>
        <v>27127.916000000001</v>
      </c>
    </row>
    <row r="14" spans="2:12" x14ac:dyDescent="0.25">
      <c r="C14" t="s">
        <v>41</v>
      </c>
      <c r="D14">
        <f>FromB!D4*2</f>
        <v>168.59999999999854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84.299999999999272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-11.000000000000909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2026-10-16T08:07:09Z</dcterms:modified>
</cp:coreProperties>
</file>