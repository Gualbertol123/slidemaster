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CDC41C43-A334-41FB-8F5D-2C86493B018A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<sst xmlns="http://schemas.openxmlformats.org/spreadsheetml/2006/main" count="23" uniqueCount="22">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</sst>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B</v>
          </cell>
        </row>
      </sheetData>
      <sheetData sheetId="1"/>
      <sheetData sheetId="2">
        <row r="5">
          <cell r="G5">
            <v>2454.6</v>
          </cell>
        </row>
        <row r="6">
          <cell r="G6">
            <v>3030.7</v>
          </cell>
        </row>
      </sheetData>
      <sheetData sheetId="3">
        <row r="7">
          <cell r="G7">
            <v>5500.6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B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2454.6</v>
      </c>
      <c r="E5">
        <f>VLOOKUP([1]Control!$B$2,PeerData!$A$2:$C$11,2,FALSE)</f>
        <v>2490</v>
      </c>
      <c r="F5">
        <f>D5-E5</f>
        <v>-35.400000000000091</v>
      </c>
      <c r="G5">
        <f>IFERROR(F5/E5,0)</f>
        <v>-1.4216867469879555E-2</v>
      </c>
    </row>
    <row r="6" spans="2:7" x14ac:dyDescent="0.25">
      <c r="C6" t="s">
        <v>19</v>
      </c>
      <c r="D6">
        <f>[1]SLIDE_1!G6</f>
        <v>3030.7</v>
      </c>
      <c r="E6">
        <f>VLOOKUP([1]Control!$B$2,PeerData!$A$2:$C$11,3,FALSE)</f>
        <v>2911</v>
      </c>
      <c r="F6">
        <f>D6-E6</f>
        <v>119.69999999999982</v>
      </c>
      <c r="G6">
        <f>IFERROR(F6/E6,0)</f>
        <v>4.1119890072140099E-2</v>
      </c>
    </row>
    <row r="7" spans="2:7" x14ac:dyDescent="0.25">
      <c r="C7" t="s">
        <v>20</v>
      </c>
      <c r="D7">
        <f>SUM(D5:D6)</f>
        <v>5485.2999999999993</v>
      </c>
      <c r="E7">
        <f>SUM(E5:E6)</f>
        <v>5401</v>
      </c>
      <c r="F7">
        <f>D7-E7</f>
        <v>84.299999999999272</v>
      </c>
      <c r="G7">
        <f>IFERROR(F7/E7,0)</f>
        <v>1.560822069987026E-2</v>
      </c>
    </row>
    <row r="8" spans="2:7" x14ac:dyDescent="0.25">
      <c r="C8" t="s">
        <v>21</v>
      </c>
      <c r="D8" t="str">
        <f>IF(F7&gt;0,"above peers","below peers")</f>
        <v>above peers</v>
      </c>
      <c r="E8">
        <f>_xlfn.PERCENTRANK.INC(PeerData!$B$2:$B$11,D5)</f>
        <v>0.105</v>
      </c>
      <c r="F8">
        <f>[1]SLIDE_2!G7-D7</f>
        <v>15.300000000001091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2026-10-16T08:07:09Z</dcterms:modified>
</cp:coreProperties>
</file>