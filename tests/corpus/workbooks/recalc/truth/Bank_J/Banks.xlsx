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8242D2EB-E937-43A0-99FD-69CF59083A3D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C10" i="5"/>
  <c r="J6" i="5"/>
  <c r="G6" i="5"/>
  <c r="F6" i="5"/>
  <c r="F12" i="5" s="1"/>
  <c r="E6" i="5"/>
  <c r="D6" i="5"/>
  <c r="J5" i="5"/>
  <c r="G5" i="5"/>
  <c r="F5" i="5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C10" i="4"/>
  <c r="J6" i="4"/>
  <c r="G6" i="4"/>
  <c r="F6" i="4"/>
  <c r="F12" i="4" s="1"/>
  <c r="E6" i="4"/>
  <c r="D6" i="4"/>
  <c r="J5" i="4"/>
  <c r="G5" i="4"/>
  <c r="E13" i="4" s="1"/>
  <c r="F5" i="4"/>
  <c r="E5" i="4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G6" i="3"/>
  <c r="F6" i="3"/>
  <c r="E6" i="3"/>
  <c r="D6" i="3"/>
  <c r="J5" i="3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K5" i="5" l="1"/>
  <c r="K6" i="5"/>
  <c r="K5" i="4"/>
  <c r="G8" i="4"/>
  <c r="E11" i="4"/>
  <c r="E11" i="5"/>
  <c r="J7" i="3"/>
  <c r="J7" i="4"/>
  <c r="F7" i="5"/>
  <c r="D11" i="4"/>
  <c r="K6" i="3"/>
  <c r="E7" i="4"/>
  <c r="E8" i="5"/>
  <c r="E8" i="3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7" i="3" l="1"/>
  <c r="K13" i="5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<sst xmlns="http://schemas.openxmlformats.org/spreadsheetml/2006/main" count="196" uniqueCount="42">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</sst>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2532.9000000000015</v>
          </cell>
        </row>
        <row r="8">
          <cell r="D8" t="str">
            <v>above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16</v>
      </c>
    </row>
    <row r="3" spans="1:2" x14ac:dyDescent="0.25">
      <c r="A3" t="s">
        <v>18</v>
      </c>
      <c r="B3">
        <f>MATCH(B2,Data!H2:H11,0)</f>
        <v>10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J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J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8740.1</v>
      </c>
      <c r="E5">
        <f>ROUND(SUMIFS(Data!$C:$C,Data!$A:$A,Control!$B$2,Data!$B:$B,Control!$B$4-2)*Control!$B$5,1)</f>
        <v>8834.2999999999993</v>
      </c>
      <c r="F5">
        <f>ROUND(SUMIFS(Data!$C:$C,Data!$A:$A,Control!$B$2,Data!$B:$B,Control!$B$4-1)*Control!$B$5,1)</f>
        <v>8845.1</v>
      </c>
      <c r="G5">
        <f>ROUND(SUMIFS(Data!$C:$C,Data!$A:$A,Control!$B$2,Data!$B:$B,Control!$B$4-0)*Control!$B$5,1)</f>
        <v>8822.5</v>
      </c>
      <c r="H5">
        <f>G5-F5</f>
        <v>-22.600000000000364</v>
      </c>
      <c r="I5">
        <f>IFERROR(H5/F5,0)</f>
        <v>-2.5550869973205914E-3</v>
      </c>
      <c r="J5">
        <f>ROUND(SUMIFS(Data!$E:$E,Data!$A:$A,Control!$B$2,Data!$B:$B,Control!$B$4-0)*Control!$B$5,1)</f>
        <v>8917.2999999999993</v>
      </c>
      <c r="K5">
        <f>IF(ABS(G5-J5)&lt;0.05,0,G5-J5)</f>
        <v>-94.799999999999272</v>
      </c>
    </row>
    <row r="6" spans="2:12" x14ac:dyDescent="0.25">
      <c r="C6" t="s">
        <v>3</v>
      </c>
      <c r="D6">
        <f>ROUND(SUMIFS(Data!$D:$D,Data!$A:$A,Control!$B$2,Data!$B:$B,Control!$B$4-3)*Control!$B$5,1)</f>
        <v>10449.700000000001</v>
      </c>
      <c r="E6">
        <f>ROUND(SUMIFS(Data!$D:$D,Data!$A:$A,Control!$B$2,Data!$B:$B,Control!$B$4-2)*Control!$B$5,1)</f>
        <v>10475.799999999999</v>
      </c>
      <c r="F6">
        <f>ROUND(SUMIFS(Data!$D:$D,Data!$A:$A,Control!$B$2,Data!$B:$B,Control!$B$4-1)*Control!$B$5,1)</f>
        <v>10482.4</v>
      </c>
      <c r="G6">
        <f>ROUND(SUMIFS(Data!$D:$D,Data!$A:$A,Control!$B$2,Data!$B:$B,Control!$B$4-0)*Control!$B$5,1)</f>
        <v>10544.4</v>
      </c>
      <c r="H6">
        <f>G6-F6</f>
        <v>62</v>
      </c>
      <c r="I6">
        <f>IFERROR(H6/F6,0)</f>
        <v>5.9146760283904452E-3</v>
      </c>
      <c r="J6">
        <f>ROUND(SUMIFS(Data!$F:$F,Data!$A:$A,Control!$B$2,Data!$B:$B,Control!$B$4-0)*Control!$B$5,1)</f>
        <v>10579.1</v>
      </c>
      <c r="K6">
        <f>IF(ABS(G6-J6)&lt;0.05,0,G6-J6)</f>
        <v>-34.700000000000728</v>
      </c>
    </row>
    <row r="7" spans="2:12" x14ac:dyDescent="0.25">
      <c r="C7" t="s">
        <v>31</v>
      </c>
      <c r="D7">
        <f>SUM(D5:D6)</f>
        <v>19189.800000000003</v>
      </c>
      <c r="E7">
        <f>SUM(E5:E6)</f>
        <v>19310.099999999999</v>
      </c>
      <c r="F7">
        <f>SUM(F5:F6)</f>
        <v>19327.5</v>
      </c>
      <c r="G7">
        <f>SUM(G5:G6)</f>
        <v>19366.900000000001</v>
      </c>
      <c r="H7">
        <f>SUM(H5:H6)</f>
        <v>39.399999999999636</v>
      </c>
      <c r="I7">
        <f>IFERROR(H7/F7,0)</f>
        <v>2.0385461130513331E-3</v>
      </c>
      <c r="J7">
        <f>SUM(J5:J6)</f>
        <v>19496.400000000001</v>
      </c>
      <c r="K7">
        <f>SUM(K5:K6)</f>
        <v>-129.5</v>
      </c>
    </row>
    <row r="8" spans="2:12" x14ac:dyDescent="0.25">
      <c r="C8" t="s">
        <v>32</v>
      </c>
      <c r="D8">
        <f>IF(D6=0,"n/a",D5/D6)</f>
        <v>0.83639721714498982</v>
      </c>
      <c r="E8">
        <f>IF(E6=0,"n/a",E5/E6)</f>
        <v>0.84330552320586494</v>
      </c>
      <c r="F8">
        <f>IF(F6=0,"n/a",F5/F6)</f>
        <v>0.84380485385026338</v>
      </c>
      <c r="G8">
        <f>IF(G6=0,"n/a",G5/G6)</f>
        <v>0.83670004931527642</v>
      </c>
    </row>
    <row r="9" spans="2:12" x14ac:dyDescent="0.25">
      <c r="C9" t="s">
        <v>33</v>
      </c>
      <c r="D9">
        <f>AVERAGE(D7:G7)</f>
        <v>19298.575000000001</v>
      </c>
      <c r="E9">
        <f>MAX(D7:G7)</f>
        <v>19366.900000000001</v>
      </c>
      <c r="F9">
        <f>MIN(D7:G7)</f>
        <v>19189.800000000003</v>
      </c>
      <c r="G9">
        <f>COUNTIF(H5:H6,"&gt;0")</f>
        <v>1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1</v>
      </c>
      <c r="F11" t="str">
        <f>VLOOKUP(Control!$B$2,Data!$H$2:$H$11,1,FALSE)</f>
        <v>Bank J</v>
      </c>
      <c r="G11" t="str">
        <f>LEFT(Control!$B$2,4)&amp;MID(Control!$B$2,6,1)&amp;LEN(Control!$B$2)</f>
        <v>BankJ6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10482.4</v>
      </c>
      <c r="G12">
        <f ca="1">INDIRECT("D7")</f>
        <v>19189.800000000003</v>
      </c>
      <c r="H12">
        <f>AVERAGEIF(Data!$A$2:$A$121,Control!$B$2,Data!$C$2:$C$121)</f>
        <v>8010.0886666666675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20000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8822.5</v>
      </c>
      <c r="H13" t="str">
        <f>_xlfn.XLOOKUP(Control!$B$2,Data!$H$2:$H$11,Data!$H$2:$H$11,"none")</f>
        <v>Bank J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-6.6422519029154525E-3</v>
      </c>
      <c r="L13" cm="1">
        <f t="array" ref="L13">SUM(_xlfn._xlws.FILTER(Data!$C$2:$C$121,Data!$A$2:$A$121=Control!$B$2))</f>
        <v>96121.064000000013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J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8709.6</v>
      </c>
      <c r="E5">
        <f>ROUND(SUMIFS(Data!$C:$C,Data!$A:$A,Control!$B$2,Data!$B:$B,Control!$B$4-3)*Control!$B$5,1)</f>
        <v>8740.1</v>
      </c>
      <c r="F5">
        <f>ROUND(SUMIFS(Data!$C:$C,Data!$A:$A,Control!$B$2,Data!$B:$B,Control!$B$4-2)*Control!$B$5,1)</f>
        <v>8834.2999999999993</v>
      </c>
      <c r="G5">
        <f>ROUND(SUMIFS(Data!$C:$C,Data!$A:$A,Control!$B$2,Data!$B:$B,Control!$B$4-1)*Control!$B$5,1)</f>
        <v>8845.1</v>
      </c>
      <c r="H5">
        <f>G5-F5</f>
        <v>10.800000000001091</v>
      </c>
      <c r="I5">
        <f>IFERROR(H5/F5,0)</f>
        <v>1.2225077255697784E-3</v>
      </c>
      <c r="J5">
        <f>ROUND(SUMIFS(Data!$E:$E,Data!$A:$A,Control!$B$2,Data!$B:$B,Control!$B$4-1)*Control!$B$5,1)</f>
        <v>8879.4</v>
      </c>
      <c r="K5">
        <f>IF(ABS(G5-J5)&lt;0.05,0,G5-J5)</f>
        <v>-34.299999999999272</v>
      </c>
    </row>
    <row r="6" spans="2:12" x14ac:dyDescent="0.25">
      <c r="C6" t="s">
        <v>3</v>
      </c>
      <c r="D6">
        <f>ROUND(SUMIFS(Data!$D:$D,Data!$A:$A,Control!$B$2,Data!$B:$B,Control!$B$4-4)*Control!$B$5,1)</f>
        <v>10475.6</v>
      </c>
      <c r="E6">
        <f>ROUND(SUMIFS(Data!$D:$D,Data!$A:$A,Control!$B$2,Data!$B:$B,Control!$B$4-3)*Control!$B$5,1)</f>
        <v>10449.700000000001</v>
      </c>
      <c r="F6">
        <f>ROUND(SUMIFS(Data!$D:$D,Data!$A:$A,Control!$B$2,Data!$B:$B,Control!$B$4-2)*Control!$B$5,1)</f>
        <v>10475.799999999999</v>
      </c>
      <c r="G6">
        <f>ROUND(SUMIFS(Data!$D:$D,Data!$A:$A,Control!$B$2,Data!$B:$B,Control!$B$4-1)*Control!$B$5,1)</f>
        <v>10482.4</v>
      </c>
      <c r="H6">
        <f>G6-F6</f>
        <v>6.6000000000003638</v>
      </c>
      <c r="I6">
        <f>IFERROR(H6/F6,0)</f>
        <v>6.3002348269348063E-4</v>
      </c>
      <c r="J6">
        <f>ROUND(SUMIFS(Data!$F:$F,Data!$A:$A,Control!$B$2,Data!$B:$B,Control!$B$4-1)*Control!$B$5,1)</f>
        <v>10543.3</v>
      </c>
      <c r="K6">
        <f>IF(ABS(G6-J6)&lt;0.05,0,G6-J6)</f>
        <v>-60.899999999999636</v>
      </c>
    </row>
    <row r="7" spans="2:12" x14ac:dyDescent="0.25">
      <c r="C7" t="s">
        <v>31</v>
      </c>
      <c r="D7">
        <f>SUM(D5:D6)</f>
        <v>19185.2</v>
      </c>
      <c r="E7">
        <f>SUM(E5:E6)</f>
        <v>19189.800000000003</v>
      </c>
      <c r="F7">
        <f>SUM(F5:F6)</f>
        <v>19310.099999999999</v>
      </c>
      <c r="G7">
        <f>SUM(G5:G6)</f>
        <v>19327.5</v>
      </c>
      <c r="H7">
        <f>SUM(H5:H6)</f>
        <v>17.400000000001455</v>
      </c>
      <c r="I7">
        <f>IFERROR(H7/F7,0)</f>
        <v>9.0108285301481903E-4</v>
      </c>
      <c r="J7">
        <f>SUM(J5:J6)</f>
        <v>19422.699999999997</v>
      </c>
      <c r="K7">
        <f>SUM(K5:K6)</f>
        <v>-95.199999999998909</v>
      </c>
    </row>
    <row r="8" spans="2:12" x14ac:dyDescent="0.25">
      <c r="C8" t="s">
        <v>32</v>
      </c>
      <c r="D8">
        <f>IF(D6=0,"n/a",D5/D6)</f>
        <v>0.83141777081980983</v>
      </c>
      <c r="E8">
        <f>IF(E6=0,"n/a",E5/E6)</f>
        <v>0.83639721714498982</v>
      </c>
      <c r="F8">
        <f>IF(F6=0,"n/a",F5/F6)</f>
        <v>0.84330552320586494</v>
      </c>
      <c r="G8">
        <f>IF(G6=0,"n/a",G5/G6)</f>
        <v>0.84380485385026338</v>
      </c>
    </row>
    <row r="9" spans="2:12" x14ac:dyDescent="0.25">
      <c r="C9" t="s">
        <v>33</v>
      </c>
      <c r="D9">
        <f>AVERAGE(D7:G7)</f>
        <v>19253.150000000001</v>
      </c>
      <c r="E9">
        <f>MAX(D7:G7)</f>
        <v>19327.5</v>
      </c>
      <c r="F9">
        <f>MIN(D7:G7)</f>
        <v>19185.2</v>
      </c>
      <c r="G9">
        <f>COUNTIF(H5:H6,"&gt;0")</f>
        <v>2</v>
      </c>
    </row>
    <row r="10" spans="2:12" x14ac:dyDescent="0.25">
      <c r="C10" t="str">
        <f>"vs SLIDE_1"</f>
        <v>vs SLIDE_1</v>
      </c>
      <c r="D10">
        <f>G7-SLIDE_1!G7</f>
        <v>-39.400000000001455</v>
      </c>
      <c r="E10">
        <f>IFERROR(D10/SLIDE_1!G7,0)</f>
        <v>-2.0343988970873733E-3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10544.4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1</v>
      </c>
      <c r="F11" t="str">
        <f>VLOOKUP(Control!$B$2,Data!$H$2:$H$11,1,FALSE)</f>
        <v>Bank J</v>
      </c>
      <c r="G11" t="str">
        <f>LEFT(Control!$B$2,4)&amp;MID(Control!$B$2,6,1)&amp;LEN(Control!$B$2)</f>
        <v>BankJ6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10475.799999999999</v>
      </c>
      <c r="G12">
        <f ca="1">INDIRECT("D7")</f>
        <v>19185.2</v>
      </c>
      <c r="H12">
        <f>AVERAGEIF(Data!$A$2:$A$121,Control!$B$2,Data!$C$2:$C$121)</f>
        <v>8010.0886666666675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20000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8740.1</v>
      </c>
      <c r="H13" t="str">
        <f>_xlfn.XLOOKUP(Control!$B$2,Data!$H$2:$H$11,Data!$H$2:$H$11,"none")</f>
        <v>Bank J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-4.9014812564678323E-3</v>
      </c>
      <c r="L13" cm="1">
        <f t="array" ref="L13">SUM(_xlfn._xlws.FILTER(Data!$C$2:$C$121,Data!$A$2:$A$121=Control!$B$2))</f>
        <v>96121.064000000013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J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8753.9</v>
      </c>
      <c r="E5">
        <f>ROUND(SUMIFS(Data!$C:$C,Data!$A:$A,Control!$B$2,Data!$B:$B,Control!$B$4-4)*Control!$B$5,1)</f>
        <v>8709.6</v>
      </c>
      <c r="F5">
        <f>ROUND(SUMIFS(Data!$C:$C,Data!$A:$A,Control!$B$2,Data!$B:$B,Control!$B$4-3)*Control!$B$5,1)</f>
        <v>8740.1</v>
      </c>
      <c r="G5">
        <f>ROUND(SUMIFS(Data!$C:$C,Data!$A:$A,Control!$B$2,Data!$B:$B,Control!$B$4-2)*Control!$B$5,1)</f>
        <v>8834.2999999999993</v>
      </c>
      <c r="H5">
        <f>G5-F5</f>
        <v>94.199999999998909</v>
      </c>
      <c r="I5">
        <f>IFERROR(H5/F5,0)</f>
        <v>1.0777908719579742E-2</v>
      </c>
      <c r="J5">
        <f>ROUND(SUMIFS(Data!$E:$E,Data!$A:$A,Control!$B$2,Data!$B:$B,Control!$B$4-2)*Control!$B$5,1)</f>
        <v>8841.4</v>
      </c>
      <c r="K5">
        <f>IF(ABS(G5-J5)&lt;0.05,0,G5-J5)</f>
        <v>-7.1000000000003638</v>
      </c>
    </row>
    <row r="6" spans="2:12" x14ac:dyDescent="0.25">
      <c r="C6" t="s">
        <v>3</v>
      </c>
      <c r="D6">
        <f>ROUND(SUMIFS(Data!$D:$D,Data!$A:$A,Control!$B$2,Data!$B:$B,Control!$B$4-5)*Control!$B$5,1)</f>
        <v>10318.299999999999</v>
      </c>
      <c r="E6">
        <f>ROUND(SUMIFS(Data!$D:$D,Data!$A:$A,Control!$B$2,Data!$B:$B,Control!$B$4-4)*Control!$B$5,1)</f>
        <v>10475.6</v>
      </c>
      <c r="F6">
        <f>ROUND(SUMIFS(Data!$D:$D,Data!$A:$A,Control!$B$2,Data!$B:$B,Control!$B$4-3)*Control!$B$5,1)</f>
        <v>10449.700000000001</v>
      </c>
      <c r="G6">
        <f>ROUND(SUMIFS(Data!$D:$D,Data!$A:$A,Control!$B$2,Data!$B:$B,Control!$B$4-2)*Control!$B$5,1)</f>
        <v>10475.799999999999</v>
      </c>
      <c r="H6">
        <f>G6-F6</f>
        <v>26.099999999998545</v>
      </c>
      <c r="I6">
        <f>IFERROR(H6/F6,0)</f>
        <v>2.4976793592159144E-3</v>
      </c>
      <c r="J6">
        <f>ROUND(SUMIFS(Data!$F:$F,Data!$A:$A,Control!$B$2,Data!$B:$B,Control!$B$4-2)*Control!$B$5,1)</f>
        <v>10508.6</v>
      </c>
      <c r="K6">
        <f>IF(ABS(G6-J6)&lt;0.05,0,G6-J6)</f>
        <v>-32.800000000001091</v>
      </c>
    </row>
    <row r="7" spans="2:12" x14ac:dyDescent="0.25">
      <c r="C7" t="s">
        <v>31</v>
      </c>
      <c r="D7">
        <f>SUM(D5:D6)</f>
        <v>19072.199999999997</v>
      </c>
      <c r="E7">
        <f>SUM(E5:E6)</f>
        <v>19185.2</v>
      </c>
      <c r="F7">
        <f>SUM(F5:F6)</f>
        <v>19189.800000000003</v>
      </c>
      <c r="G7">
        <f>SUM(G5:G6)</f>
        <v>19310.099999999999</v>
      </c>
      <c r="H7">
        <f>SUM(H5:H6)</f>
        <v>120.29999999999745</v>
      </c>
      <c r="I7">
        <f>IFERROR(H7/F7,0)</f>
        <v>6.2689553825468446E-3</v>
      </c>
      <c r="J7">
        <f>SUM(J5:J6)</f>
        <v>19350</v>
      </c>
      <c r="K7">
        <f>SUM(K5:K6)</f>
        <v>-39.900000000001455</v>
      </c>
    </row>
    <row r="8" spans="2:12" x14ac:dyDescent="0.25">
      <c r="C8" t="s">
        <v>32</v>
      </c>
      <c r="D8">
        <f>IF(D6=0,"n/a",D5/D6)</f>
        <v>0.84838587751858352</v>
      </c>
      <c r="E8">
        <f>IF(E6=0,"n/a",E5/E6)</f>
        <v>0.83141777081980983</v>
      </c>
      <c r="F8">
        <f>IF(F6=0,"n/a",F5/F6)</f>
        <v>0.83639721714498982</v>
      </c>
      <c r="G8">
        <f>IF(G6=0,"n/a",G5/G6)</f>
        <v>0.84330552320586494</v>
      </c>
    </row>
    <row r="9" spans="2:12" x14ac:dyDescent="0.25">
      <c r="C9" t="s">
        <v>33</v>
      </c>
      <c r="D9">
        <f>AVERAGE(D7:G7)</f>
        <v>19189.324999999997</v>
      </c>
      <c r="E9">
        <f>MAX(D7:G7)</f>
        <v>19310.099999999999</v>
      </c>
      <c r="F9">
        <f>MIN(D7:G7)</f>
        <v>19072.199999999997</v>
      </c>
      <c r="G9">
        <f>COUNTIF(H5:H6,"&gt;0")</f>
        <v>2</v>
      </c>
    </row>
    <row r="10" spans="2:12" x14ac:dyDescent="0.25">
      <c r="C10" t="str">
        <f>"vs SLIDE_2"</f>
        <v>vs SLIDE_2</v>
      </c>
      <c r="D10">
        <f>G7-SLIDE_2!G7</f>
        <v>-17.400000000001455</v>
      </c>
      <c r="E10">
        <f>IFERROR(D10/SLIDE_2!G7,0)</f>
        <v>-9.0027163368265194E-4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10482.4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1</v>
      </c>
      <c r="F11" t="str">
        <f>VLOOKUP(Control!$B$2,Data!$H$2:$H$11,1,FALSE)</f>
        <v>Bank J</v>
      </c>
      <c r="G11" t="str">
        <f>LEFT(Control!$B$2,4)&amp;MID(Control!$B$2,6,1)&amp;LEN(Control!$B$2)</f>
        <v>BankJ6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10449.700000000001</v>
      </c>
      <c r="G12">
        <f ca="1">INDIRECT("D7")</f>
        <v>19072.199999999997</v>
      </c>
      <c r="H12">
        <f>AVERAGEIF(Data!$A$2:$A$121,Control!$B$2,Data!$C$2:$C$121)</f>
        <v>8010.0886666666675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20000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8740.1</v>
      </c>
      <c r="H13" t="str">
        <f>_xlfn.XLOOKUP(Control!$B$2,Data!$H$2:$H$11,Data!$H$2:$H$11,"none")</f>
        <v>Bank J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-2.0620155038760801E-3</v>
      </c>
      <c r="L13" cm="1">
        <f t="array" ref="L13">SUM(_xlfn._xlws.FILTER(Data!$C$2:$C$121,Data!$A$2:$A$121=Control!$B$2))</f>
        <v>96121.064000000013</v>
      </c>
    </row>
    <row r="14" spans="2:12" x14ac:dyDescent="0.25">
      <c r="C14" t="s">
        <v>41</v>
      </c>
      <c r="D14">
        <f>FromB!D4*2</f>
        <v>5065.8000000000029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2532.9000000000015</v>
      </c>
    </row>
    <row r="5" spans="2:4" x14ac:dyDescent="0.25">
      <c r="C5" t="s">
        <v>39</v>
      </c>
      <c r="D5" t="str">
        <f>[1]Peer!D8</f>
        <v>above peers</v>
      </c>
    </row>
    <row r="6" spans="2:4" x14ac:dyDescent="0.25">
      <c r="C6" t="s">
        <v>40</v>
      </c>
      <c r="D6">
        <f>D4+SLIDE_3!H7</f>
        <v>2653.1999999999989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2026-10-16T08:07:12Z</dcterms:modified>
</cp:coreProperties>
</file>