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C3FB7534-581D-45AD-9F6C-3EDFE441A9CA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<sst xmlns="http://schemas.openxmlformats.org/spreadsheetml/2006/main" count="196" uniqueCount="42">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</sst>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1753.2000000000007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13</v>
      </c>
    </row>
    <row r="3" spans="1:2" x14ac:dyDescent="0.25">
      <c r="A3" t="s">
        <v>18</v>
      </c>
      <c r="B3">
        <f>MATCH(B2,Data!H2:H11,0)</f>
        <v>7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G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6446</v>
      </c>
      <c r="E5">
        <f>ROUND(SUMIFS(Data!$C:$C,Data!$A:$A,Control!$B$2,Data!$B:$B,Control!$B$4-2)*Control!$B$5,1)</f>
        <v>6385.2</v>
      </c>
      <c r="F5">
        <f>ROUND(SUMIFS(Data!$C:$C,Data!$A:$A,Control!$B$2,Data!$B:$B,Control!$B$4-1)*Control!$B$5,1)</f>
        <v>6443.7</v>
      </c>
      <c r="G5">
        <f>ROUND(SUMIFS(Data!$C:$C,Data!$A:$A,Control!$B$2,Data!$B:$B,Control!$B$4-0)*Control!$B$5,1)</f>
        <v>6449.3</v>
      </c>
      <c r="H5">
        <f>G5-F5</f>
        <v>5.6000000000003638</v>
      </c>
      <c r="I5">
        <f>IFERROR(H5/F5,0)</f>
        <v>8.6906590933785927E-4</v>
      </c>
      <c r="J5">
        <f>ROUND(SUMIFS(Data!$E:$E,Data!$A:$A,Control!$B$2,Data!$B:$B,Control!$B$4-0)*Control!$B$5,1)</f>
        <v>6516.9</v>
      </c>
      <c r="K5">
        <f>IF(ABS(G5-J5)&lt;0.05,0,G5-J5)</f>
        <v>-67.599999999999454</v>
      </c>
    </row>
    <row r="6" spans="2:12" x14ac:dyDescent="0.25">
      <c r="C6" t="s">
        <v>3</v>
      </c>
      <c r="D6">
        <f>ROUND(SUMIFS(Data!$D:$D,Data!$A:$A,Control!$B$2,Data!$B:$B,Control!$B$4-3)*Control!$B$5,1)</f>
        <v>7582.8</v>
      </c>
      <c r="E6">
        <f>ROUND(SUMIFS(Data!$D:$D,Data!$A:$A,Control!$B$2,Data!$B:$B,Control!$B$4-2)*Control!$B$5,1)</f>
        <v>7581.2</v>
      </c>
      <c r="F6">
        <f>ROUND(SUMIFS(Data!$D:$D,Data!$A:$A,Control!$B$2,Data!$B:$B,Control!$B$4-1)*Control!$B$5,1)</f>
        <v>7749.9</v>
      </c>
      <c r="G6">
        <f>ROUND(SUMIFS(Data!$D:$D,Data!$A:$A,Control!$B$2,Data!$B:$B,Control!$B$4-0)*Control!$B$5,1)</f>
        <v>7756.9</v>
      </c>
      <c r="H6">
        <f>G6-F6</f>
        <v>7</v>
      </c>
      <c r="I6">
        <f>IFERROR(H6/F6,0)</f>
        <v>9.0323746112853074E-4</v>
      </c>
      <c r="J6">
        <f>ROUND(SUMIFS(Data!$F:$F,Data!$A:$A,Control!$B$2,Data!$B:$B,Control!$B$4-0)*Control!$B$5,1)</f>
        <v>7730.7</v>
      </c>
      <c r="K6">
        <f>IF(ABS(G6-J6)&lt;0.05,0,G6-J6)</f>
        <v>26.199999999999818</v>
      </c>
    </row>
    <row r="7" spans="2:12" x14ac:dyDescent="0.25">
      <c r="C7" t="s">
        <v>31</v>
      </c>
      <c r="D7">
        <f>SUM(D5:D6)</f>
        <v>14028.8</v>
      </c>
      <c r="E7">
        <f>SUM(E5:E6)</f>
        <v>13966.4</v>
      </c>
      <c r="F7">
        <f>SUM(F5:F6)</f>
        <v>14193.599999999999</v>
      </c>
      <c r="G7">
        <f>SUM(G5:G6)</f>
        <v>14206.2</v>
      </c>
      <c r="H7">
        <f>SUM(H5:H6)</f>
        <v>12.600000000000364</v>
      </c>
      <c r="I7">
        <f>IFERROR(H7/F7,0)</f>
        <v>8.8772404463986342E-4</v>
      </c>
      <c r="J7">
        <f>SUM(J5:J6)</f>
        <v>14247.599999999999</v>
      </c>
      <c r="K7">
        <f>SUM(K5:K6)</f>
        <v>-41.399999999999636</v>
      </c>
    </row>
    <row r="8" spans="2:12" x14ac:dyDescent="0.25">
      <c r="C8" t="s">
        <v>32</v>
      </c>
      <c r="D8">
        <f>IF(D6=0,"n/a",D5/D6)</f>
        <v>0.85008176399219282</v>
      </c>
      <c r="E8">
        <f>IF(E6=0,"n/a",E5/E6)</f>
        <v>0.84224133382577959</v>
      </c>
      <c r="F8">
        <f>IF(F6=0,"n/a",F5/F6)</f>
        <v>0.83145588975341622</v>
      </c>
      <c r="G8">
        <f>IF(G6=0,"n/a",G5/G6)</f>
        <v>0.83142750325516646</v>
      </c>
    </row>
    <row r="9" spans="2:12" x14ac:dyDescent="0.25">
      <c r="C9" t="s">
        <v>33</v>
      </c>
      <c r="D9">
        <f>AVERAGE(D7:G7)</f>
        <v>14098.75</v>
      </c>
      <c r="E9">
        <f>MAX(D7:G7)</f>
        <v>14206.2</v>
      </c>
      <c r="F9">
        <f>MIN(D7:G7)</f>
        <v>13966.4</v>
      </c>
      <c r="G9">
        <f>COUNTIF(H5:H6,"&gt;0")</f>
        <v>2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7749.9</v>
      </c>
      <c r="G12">
        <f ca="1">INDIRECT("D7")</f>
        <v>14028.8</v>
      </c>
      <c r="H12">
        <f>AVERAGEIF(Data!$A$2:$A$121,Control!$B$2,Data!$C$2:$C$121)</f>
        <v>5839.8015000000014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6443.7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-2.9057525477973467E-3</v>
      </c>
      <c r="L13" cm="1">
        <f t="array" ref="L13">SUM(_xlfn._xlws.FILTER(Data!$C$2:$C$121,Data!$A$2:$A$121=Control!$B$2))</f>
        <v>70077.618000000017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6352.1</v>
      </c>
      <c r="E5">
        <f>ROUND(SUMIFS(Data!$C:$C,Data!$A:$A,Control!$B$2,Data!$B:$B,Control!$B$4-3)*Control!$B$5,1)</f>
        <v>6446</v>
      </c>
      <c r="F5">
        <f>ROUND(SUMIFS(Data!$C:$C,Data!$A:$A,Control!$B$2,Data!$B:$B,Control!$B$4-2)*Control!$B$5,1)</f>
        <v>6385.2</v>
      </c>
      <c r="G5">
        <f>ROUND(SUMIFS(Data!$C:$C,Data!$A:$A,Control!$B$2,Data!$B:$B,Control!$B$4-1)*Control!$B$5,1)</f>
        <v>6443.7</v>
      </c>
      <c r="H5">
        <f>G5-F5</f>
        <v>58.5</v>
      </c>
      <c r="I5">
        <f>IFERROR(H5/F5,0)</f>
        <v>9.1618116895320432E-3</v>
      </c>
      <c r="J5">
        <f>ROUND(SUMIFS(Data!$E:$E,Data!$A:$A,Control!$B$2,Data!$B:$B,Control!$B$4-1)*Control!$B$5,1)</f>
        <v>6488.7</v>
      </c>
      <c r="K5">
        <f>IF(ABS(G5-J5)&lt;0.05,0,G5-J5)</f>
        <v>-45</v>
      </c>
    </row>
    <row r="6" spans="2:12" x14ac:dyDescent="0.25">
      <c r="C6" t="s">
        <v>3</v>
      </c>
      <c r="D6">
        <f>ROUND(SUMIFS(Data!$D:$D,Data!$A:$A,Control!$B$2,Data!$B:$B,Control!$B$4-4)*Control!$B$5,1)</f>
        <v>7529.1</v>
      </c>
      <c r="E6">
        <f>ROUND(SUMIFS(Data!$D:$D,Data!$A:$A,Control!$B$2,Data!$B:$B,Control!$B$4-3)*Control!$B$5,1)</f>
        <v>7582.8</v>
      </c>
      <c r="F6">
        <f>ROUND(SUMIFS(Data!$D:$D,Data!$A:$A,Control!$B$2,Data!$B:$B,Control!$B$4-2)*Control!$B$5,1)</f>
        <v>7581.2</v>
      </c>
      <c r="G6">
        <f>ROUND(SUMIFS(Data!$D:$D,Data!$A:$A,Control!$B$2,Data!$B:$B,Control!$B$4-1)*Control!$B$5,1)</f>
        <v>7749.9</v>
      </c>
      <c r="H6">
        <f>G6-F6</f>
        <v>168.69999999999982</v>
      </c>
      <c r="I6">
        <f>IFERROR(H6/F6,0)</f>
        <v>2.2252413865878728E-2</v>
      </c>
      <c r="J6">
        <f>ROUND(SUMIFS(Data!$F:$F,Data!$A:$A,Control!$B$2,Data!$B:$B,Control!$B$4-1)*Control!$B$5,1)</f>
        <v>7704.6</v>
      </c>
      <c r="K6">
        <f>IF(ABS(G6-J6)&lt;0.05,0,G6-J6)</f>
        <v>45.299999999999272</v>
      </c>
    </row>
    <row r="7" spans="2:12" x14ac:dyDescent="0.25">
      <c r="C7" t="s">
        <v>31</v>
      </c>
      <c r="D7">
        <f>SUM(D5:D6)</f>
        <v>13881.2</v>
      </c>
      <c r="E7">
        <f>SUM(E5:E6)</f>
        <v>14028.8</v>
      </c>
      <c r="F7">
        <f>SUM(F5:F6)</f>
        <v>13966.4</v>
      </c>
      <c r="G7">
        <f>SUM(G5:G6)</f>
        <v>14193.599999999999</v>
      </c>
      <c r="H7">
        <f>SUM(H5:H6)</f>
        <v>227.19999999999982</v>
      </c>
      <c r="I7">
        <f>IFERROR(H7/F7,0)</f>
        <v>1.6267613701454908E-2</v>
      </c>
      <c r="J7">
        <f>SUM(J5:J6)</f>
        <v>14193.3</v>
      </c>
      <c r="K7">
        <f>SUM(K5:K6)</f>
        <v>0.2999999999992724</v>
      </c>
    </row>
    <row r="8" spans="2:12" x14ac:dyDescent="0.25">
      <c r="C8" t="s">
        <v>32</v>
      </c>
      <c r="D8">
        <f>IF(D6=0,"n/a",D5/D6)</f>
        <v>0.84367321459404176</v>
      </c>
      <c r="E8">
        <f>IF(E6=0,"n/a",E5/E6)</f>
        <v>0.85008176399219282</v>
      </c>
      <c r="F8">
        <f>IF(F6=0,"n/a",F5/F6)</f>
        <v>0.84224133382577959</v>
      </c>
      <c r="G8">
        <f>IF(G6=0,"n/a",G5/G6)</f>
        <v>0.83145588975341622</v>
      </c>
    </row>
    <row r="9" spans="2:12" x14ac:dyDescent="0.25">
      <c r="C9" t="s">
        <v>33</v>
      </c>
      <c r="D9">
        <f>AVERAGE(D7:G7)</f>
        <v>14017.5</v>
      </c>
      <c r="E9">
        <f>MAX(D7:G7)</f>
        <v>14193.599999999999</v>
      </c>
      <c r="F9">
        <f>MIN(D7:G7)</f>
        <v>13881.2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-12.600000000002183</v>
      </c>
      <c r="E10">
        <f>IFERROR(D10/SLIDE_1!G7,0)</f>
        <v>-8.8693668961454728E-4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7756.9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7581.2</v>
      </c>
      <c r="G12">
        <f ca="1">INDIRECT("D7")</f>
        <v>13881.2</v>
      </c>
      <c r="H12">
        <f>AVERAGEIF(Data!$A$2:$A$121,Control!$B$2,Data!$C$2:$C$121)</f>
        <v>5839.8015000000014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6385.2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2.1136733529214524E-5</v>
      </c>
      <c r="L13" cm="1">
        <f t="array" ref="L13">SUM(_xlfn._xlws.FILTER(Data!$C$2:$C$121,Data!$A$2:$A$121=Control!$B$2))</f>
        <v>70077.618000000017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6343.9</v>
      </c>
      <c r="E5">
        <f>ROUND(SUMIFS(Data!$C:$C,Data!$A:$A,Control!$B$2,Data!$B:$B,Control!$B$4-4)*Control!$B$5,1)</f>
        <v>6352.1</v>
      </c>
      <c r="F5">
        <f>ROUND(SUMIFS(Data!$C:$C,Data!$A:$A,Control!$B$2,Data!$B:$B,Control!$B$4-3)*Control!$B$5,1)</f>
        <v>6446</v>
      </c>
      <c r="G5">
        <f>ROUND(SUMIFS(Data!$C:$C,Data!$A:$A,Control!$B$2,Data!$B:$B,Control!$B$4-2)*Control!$B$5,1)</f>
        <v>6385.2</v>
      </c>
      <c r="H5">
        <f>G5-F5</f>
        <v>-60.800000000000182</v>
      </c>
      <c r="I5">
        <f>IFERROR(H5/F5,0)</f>
        <v>-9.4322060192367635E-3</v>
      </c>
      <c r="J5">
        <f>ROUND(SUMIFS(Data!$E:$E,Data!$A:$A,Control!$B$2,Data!$B:$B,Control!$B$4-2)*Control!$B$5,1)</f>
        <v>6460.5</v>
      </c>
      <c r="K5">
        <f>IF(ABS(G5-J5)&lt;0.05,0,G5-J5)</f>
        <v>-75.300000000000182</v>
      </c>
    </row>
    <row r="6" spans="2:12" x14ac:dyDescent="0.25">
      <c r="C6" t="s">
        <v>3</v>
      </c>
      <c r="D6">
        <f>ROUND(SUMIFS(Data!$D:$D,Data!$A:$A,Control!$B$2,Data!$B:$B,Control!$B$4-5)*Control!$B$5,1)</f>
        <v>7568.6</v>
      </c>
      <c r="E6">
        <f>ROUND(SUMIFS(Data!$D:$D,Data!$A:$A,Control!$B$2,Data!$B:$B,Control!$B$4-4)*Control!$B$5,1)</f>
        <v>7529.1</v>
      </c>
      <c r="F6">
        <f>ROUND(SUMIFS(Data!$D:$D,Data!$A:$A,Control!$B$2,Data!$B:$B,Control!$B$4-3)*Control!$B$5,1)</f>
        <v>7582.8</v>
      </c>
      <c r="G6">
        <f>ROUND(SUMIFS(Data!$D:$D,Data!$A:$A,Control!$B$2,Data!$B:$B,Control!$B$4-2)*Control!$B$5,1)</f>
        <v>7581.2</v>
      </c>
      <c r="H6">
        <f>G6-F6</f>
        <v>-1.6000000000003638</v>
      </c>
      <c r="I6">
        <f>IFERROR(H6/F6,0)</f>
        <v>-2.1100385082032543E-4</v>
      </c>
      <c r="J6">
        <f>ROUND(SUMIFS(Data!$F:$F,Data!$A:$A,Control!$B$2,Data!$B:$B,Control!$B$4-2)*Control!$B$5,1)</f>
        <v>7678.6</v>
      </c>
      <c r="K6">
        <f>IF(ABS(G6-J6)&lt;0.05,0,G6-J6)</f>
        <v>-97.400000000000546</v>
      </c>
    </row>
    <row r="7" spans="2:12" x14ac:dyDescent="0.25">
      <c r="C7" t="s">
        <v>31</v>
      </c>
      <c r="D7">
        <f>SUM(D5:D6)</f>
        <v>13912.5</v>
      </c>
      <c r="E7">
        <f>SUM(E5:E6)</f>
        <v>13881.2</v>
      </c>
      <c r="F7">
        <f>SUM(F5:F6)</f>
        <v>14028.8</v>
      </c>
      <c r="G7">
        <f>SUM(G5:G6)</f>
        <v>13966.4</v>
      </c>
      <c r="H7">
        <f>SUM(H5:H6)</f>
        <v>-62.400000000000546</v>
      </c>
      <c r="I7">
        <f>IFERROR(H7/F7,0)</f>
        <v>-4.4479927007299658E-3</v>
      </c>
      <c r="J7">
        <f>SUM(J5:J6)</f>
        <v>14139.1</v>
      </c>
      <c r="K7">
        <f>SUM(K5:K6)</f>
        <v>-172.70000000000073</v>
      </c>
    </row>
    <row r="8" spans="2:12" x14ac:dyDescent="0.25">
      <c r="C8" t="s">
        <v>32</v>
      </c>
      <c r="D8">
        <f>IF(D6=0,"n/a",D5/D6)</f>
        <v>0.83818671881193341</v>
      </c>
      <c r="E8">
        <f>IF(E6=0,"n/a",E5/E6)</f>
        <v>0.84367321459404176</v>
      </c>
      <c r="F8">
        <f>IF(F6=0,"n/a",F5/F6)</f>
        <v>0.85008176399219282</v>
      </c>
      <c r="G8">
        <f>IF(G6=0,"n/a",G5/G6)</f>
        <v>0.84224133382577959</v>
      </c>
    </row>
    <row r="9" spans="2:12" x14ac:dyDescent="0.25">
      <c r="C9" t="s">
        <v>33</v>
      </c>
      <c r="D9">
        <f>AVERAGE(D7:G7)</f>
        <v>13947.225</v>
      </c>
      <c r="E9">
        <f>MAX(D7:G7)</f>
        <v>14028.8</v>
      </c>
      <c r="F9">
        <f>MIN(D7:G7)</f>
        <v>13881.2</v>
      </c>
      <c r="G9">
        <f>COUNTIF(H5:H6,"&gt;0")</f>
        <v>0</v>
      </c>
    </row>
    <row r="10" spans="2:12" x14ac:dyDescent="0.25">
      <c r="C10" t="str">
        <f>"vs SLIDE_2"</f>
        <v>vs SLIDE_2</v>
      </c>
      <c r="D10">
        <f>G7-SLIDE_2!G7</f>
        <v>-227.19999999999891</v>
      </c>
      <c r="E10">
        <f>IFERROR(D10/SLIDE_2!G7,0)</f>
        <v>-1.6007214519219853E-2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7749.9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7582.8</v>
      </c>
      <c r="G12">
        <f ca="1">INDIRECT("D7")</f>
        <v>13912.5</v>
      </c>
      <c r="H12">
        <f>AVERAGEIF(Data!$A$2:$A$121,Control!$B$2,Data!$C$2:$C$121)</f>
        <v>5839.8015000000014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6352.1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-1.2214355934960563E-2</v>
      </c>
      <c r="L13" cm="1">
        <f t="array" ref="L13">SUM(_xlfn._xlws.FILTER(Data!$C$2:$C$121,Data!$A$2:$A$121=Control!$B$2))</f>
        <v>70077.618000000017</v>
      </c>
    </row>
    <row r="14" spans="2:12" x14ac:dyDescent="0.25">
      <c r="C14" t="s">
        <v>41</v>
      </c>
      <c r="D14">
        <f>FromB!D4*2</f>
        <v>3506.4000000000015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1753.2000000000007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1690.8000000000002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