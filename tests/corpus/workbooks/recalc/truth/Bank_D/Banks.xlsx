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7827F77E-8271-406C-A8FB-80F274372DF0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K6" i="5" s="1"/>
  <c r="G6" i="5"/>
  <c r="F6" i="5"/>
  <c r="F12" i="5" s="1"/>
  <c r="E6" i="5"/>
  <c r="D6" i="5"/>
  <c r="J5" i="5"/>
  <c r="G5" i="5"/>
  <c r="K5" i="5" s="1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E11" i="4"/>
  <c r="C10" i="4"/>
  <c r="J6" i="4"/>
  <c r="G6" i="4"/>
  <c r="G8" i="4" s="1"/>
  <c r="F6" i="4"/>
  <c r="F12" i="4" s="1"/>
  <c r="E6" i="4"/>
  <c r="D6" i="4"/>
  <c r="J5" i="4"/>
  <c r="K5" i="4" s="1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E11" i="5" l="1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<sst xmlns="http://schemas.openxmlformats.org/spreadsheetml/2006/main" count="196" uniqueCount="42">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</sst>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659.39999999999964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10</v>
      </c>
    </row>
    <row r="3" spans="1:2" x14ac:dyDescent="0.25">
      <c r="A3" t="s">
        <v>18</v>
      </c>
      <c r="B3">
        <f>MATCH(B2,Data!H2:H11,0)</f>
        <v>4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D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D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4013.5</v>
      </c>
      <c r="E5">
        <f>ROUND(SUMIFS(Data!$C:$C,Data!$A:$A,Control!$B$2,Data!$B:$B,Control!$B$4-2)*Control!$B$5,1)</f>
        <v>4069</v>
      </c>
      <c r="F5">
        <f>ROUND(SUMIFS(Data!$C:$C,Data!$A:$A,Control!$B$2,Data!$B:$B,Control!$B$4-1)*Control!$B$5,1)</f>
        <v>4126.3</v>
      </c>
      <c r="G5">
        <f>ROUND(SUMIFS(Data!$C:$C,Data!$A:$A,Control!$B$2,Data!$B:$B,Control!$B$4-0)*Control!$B$5,1)</f>
        <v>4054.7</v>
      </c>
      <c r="H5">
        <f>G5-F5</f>
        <v>-71.600000000000364</v>
      </c>
      <c r="I5">
        <f>IFERROR(H5/F5,0)</f>
        <v>-1.7352107214696062E-2</v>
      </c>
      <c r="J5">
        <f>ROUND(SUMIFS(Data!$E:$E,Data!$A:$A,Control!$B$2,Data!$B:$B,Control!$B$4-0)*Control!$B$5,1)</f>
        <v>4115.3999999999996</v>
      </c>
      <c r="K5">
        <f>IF(ABS(G5-J5)&lt;0.05,0,G5-J5)</f>
        <v>-60.699999999999818</v>
      </c>
    </row>
    <row r="6" spans="2:12" x14ac:dyDescent="0.25">
      <c r="C6" t="s">
        <v>3</v>
      </c>
      <c r="D6">
        <f>ROUND(SUMIFS(Data!$D:$D,Data!$A:$A,Control!$B$2,Data!$B:$B,Control!$B$4-3)*Control!$B$5,1)</f>
        <v>4842.8</v>
      </c>
      <c r="E6">
        <f>ROUND(SUMIFS(Data!$D:$D,Data!$A:$A,Control!$B$2,Data!$B:$B,Control!$B$4-2)*Control!$B$5,1)</f>
        <v>4862.3</v>
      </c>
      <c r="F6">
        <f>ROUND(SUMIFS(Data!$D:$D,Data!$A:$A,Control!$B$2,Data!$B:$B,Control!$B$4-1)*Control!$B$5,1)</f>
        <v>4913.3</v>
      </c>
      <c r="G6">
        <f>ROUND(SUMIFS(Data!$D:$D,Data!$A:$A,Control!$B$2,Data!$B:$B,Control!$B$4-0)*Control!$B$5,1)</f>
        <v>4779.7</v>
      </c>
      <c r="H6">
        <f>G6-F6</f>
        <v>-133.60000000000036</v>
      </c>
      <c r="I6">
        <f>IFERROR(H6/F6,0)</f>
        <v>-2.7191500620764121E-2</v>
      </c>
      <c r="J6">
        <f>ROUND(SUMIFS(Data!$F:$F,Data!$A:$A,Control!$B$2,Data!$B:$B,Control!$B$4-0)*Control!$B$5,1)</f>
        <v>4882.2</v>
      </c>
      <c r="K6">
        <f>IF(ABS(G6-J6)&lt;0.05,0,G6-J6)</f>
        <v>-102.5</v>
      </c>
    </row>
    <row r="7" spans="2:12" x14ac:dyDescent="0.25">
      <c r="C7" t="s">
        <v>31</v>
      </c>
      <c r="D7">
        <f>SUM(D5:D6)</f>
        <v>8856.2999999999993</v>
      </c>
      <c r="E7">
        <f>SUM(E5:E6)</f>
        <v>8931.2999999999993</v>
      </c>
      <c r="F7">
        <f>SUM(F5:F6)</f>
        <v>9039.6</v>
      </c>
      <c r="G7">
        <f>SUM(G5:G6)</f>
        <v>8834.4</v>
      </c>
      <c r="H7">
        <f>SUM(H5:H6)</f>
        <v>-205.20000000000073</v>
      </c>
      <c r="I7">
        <f>IFERROR(H7/F7,0)</f>
        <v>-2.2700119474313104E-2</v>
      </c>
      <c r="J7">
        <f>SUM(J5:J6)</f>
        <v>8997.5999999999985</v>
      </c>
      <c r="K7">
        <f>SUM(K5:K6)</f>
        <v>-163.19999999999982</v>
      </c>
    </row>
    <row r="8" spans="2:12" x14ac:dyDescent="0.25">
      <c r="C8" t="s">
        <v>32</v>
      </c>
      <c r="D8">
        <f>IF(D6=0,"n/a",D5/D6)</f>
        <v>0.82875609151730401</v>
      </c>
      <c r="E8">
        <f>IF(E6=0,"n/a",E5/E6)</f>
        <v>0.83684675976389766</v>
      </c>
      <c r="F8">
        <f>IF(F6=0,"n/a",F5/F6)</f>
        <v>0.83982252254085854</v>
      </c>
      <c r="G8">
        <f>IF(G6=0,"n/a",G5/G6)</f>
        <v>0.84831683996903573</v>
      </c>
    </row>
    <row r="9" spans="2:12" x14ac:dyDescent="0.25">
      <c r="C9" t="s">
        <v>33</v>
      </c>
      <c r="D9">
        <f>AVERAGE(D7:G7)</f>
        <v>8915.4</v>
      </c>
      <c r="E9">
        <f>MAX(D7:G7)</f>
        <v>9039.6</v>
      </c>
      <c r="F9">
        <f>MIN(D7:G7)</f>
        <v>8834.4</v>
      </c>
      <c r="G9">
        <f>COUNTIF(H5:H6,"&gt;0")</f>
        <v>0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7</v>
      </c>
      <c r="F11" t="str">
        <f>VLOOKUP(Control!$B$2,Data!$H$2:$H$11,1,FALSE)</f>
        <v>Bank D</v>
      </c>
      <c r="G11" t="str">
        <f>LEFT(Control!$B$2,4)&amp;MID(Control!$B$2,6,1)&amp;LEN(Control!$B$2)</f>
        <v>BankD6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4913.3</v>
      </c>
      <c r="G12">
        <f ca="1">INDIRECT("D7")</f>
        <v>8856.2999999999993</v>
      </c>
      <c r="H12">
        <f>AVERAGEIF(Data!$A$2:$A$121,Control!$B$2,Data!$C$2:$C$121)</f>
        <v>3687.9609999999998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9000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4054.7</v>
      </c>
      <c r="H13" t="str">
        <f>_xlfn.XLOOKUP(Control!$B$2,Data!$H$2:$H$11,Data!$H$2:$H$11,"none")</f>
        <v>Bank D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-1.8138170178714219E-2</v>
      </c>
      <c r="L13" cm="1">
        <f t="array" ref="L13">SUM(_xlfn._xlws.FILTER(Data!$C$2:$C$121,Data!$A$2:$A$121=Control!$B$2))</f>
        <v>44255.531999999999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D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4004.6</v>
      </c>
      <c r="E5">
        <f>ROUND(SUMIFS(Data!$C:$C,Data!$A:$A,Control!$B$2,Data!$B:$B,Control!$B$4-3)*Control!$B$5,1)</f>
        <v>4013.5</v>
      </c>
      <c r="F5">
        <f>ROUND(SUMIFS(Data!$C:$C,Data!$A:$A,Control!$B$2,Data!$B:$B,Control!$B$4-2)*Control!$B$5,1)</f>
        <v>4069</v>
      </c>
      <c r="G5">
        <f>ROUND(SUMIFS(Data!$C:$C,Data!$A:$A,Control!$B$2,Data!$B:$B,Control!$B$4-1)*Control!$B$5,1)</f>
        <v>4126.3</v>
      </c>
      <c r="H5">
        <f>G5-F5</f>
        <v>57.300000000000182</v>
      </c>
      <c r="I5">
        <f>IFERROR(H5/F5,0)</f>
        <v>1.4082084050135214E-2</v>
      </c>
      <c r="J5">
        <f>ROUND(SUMIFS(Data!$E:$E,Data!$A:$A,Control!$B$2,Data!$B:$B,Control!$B$4-1)*Control!$B$5,1)</f>
        <v>4098</v>
      </c>
      <c r="K5">
        <f>IF(ABS(G5-J5)&lt;0.05,0,G5-J5)</f>
        <v>28.300000000000182</v>
      </c>
    </row>
    <row r="6" spans="2:12" x14ac:dyDescent="0.25">
      <c r="C6" t="s">
        <v>3</v>
      </c>
      <c r="D6">
        <f>ROUND(SUMIFS(Data!$D:$D,Data!$A:$A,Control!$B$2,Data!$B:$B,Control!$B$4-4)*Control!$B$5,1)</f>
        <v>4871.1000000000004</v>
      </c>
      <c r="E6">
        <f>ROUND(SUMIFS(Data!$D:$D,Data!$A:$A,Control!$B$2,Data!$B:$B,Control!$B$4-3)*Control!$B$5,1)</f>
        <v>4842.8</v>
      </c>
      <c r="F6">
        <f>ROUND(SUMIFS(Data!$D:$D,Data!$A:$A,Control!$B$2,Data!$B:$B,Control!$B$4-2)*Control!$B$5,1)</f>
        <v>4862.3</v>
      </c>
      <c r="G6">
        <f>ROUND(SUMIFS(Data!$D:$D,Data!$A:$A,Control!$B$2,Data!$B:$B,Control!$B$4-1)*Control!$B$5,1)</f>
        <v>4913.3</v>
      </c>
      <c r="H6">
        <f>G6-F6</f>
        <v>51</v>
      </c>
      <c r="I6">
        <f>IFERROR(H6/F6,0)</f>
        <v>1.0488863295148386E-2</v>
      </c>
      <c r="J6">
        <f>ROUND(SUMIFS(Data!$F:$F,Data!$A:$A,Control!$B$2,Data!$B:$B,Control!$B$4-1)*Control!$B$5,1)</f>
        <v>4866</v>
      </c>
      <c r="K6">
        <f>IF(ABS(G6-J6)&lt;0.05,0,G6-J6)</f>
        <v>47.300000000000182</v>
      </c>
    </row>
    <row r="7" spans="2:12" x14ac:dyDescent="0.25">
      <c r="C7" t="s">
        <v>31</v>
      </c>
      <c r="D7">
        <f>SUM(D5:D6)</f>
        <v>8875.7000000000007</v>
      </c>
      <c r="E7">
        <f>SUM(E5:E6)</f>
        <v>8856.2999999999993</v>
      </c>
      <c r="F7">
        <f>SUM(F5:F6)</f>
        <v>8931.2999999999993</v>
      </c>
      <c r="G7">
        <f>SUM(G5:G6)</f>
        <v>9039.6</v>
      </c>
      <c r="H7">
        <f>SUM(H5:H6)</f>
        <v>108.30000000000018</v>
      </c>
      <c r="I7">
        <f>IFERROR(H7/F7,0)</f>
        <v>1.2125894326693783E-2</v>
      </c>
      <c r="J7">
        <f>SUM(J5:J6)</f>
        <v>8964</v>
      </c>
      <c r="K7">
        <f>SUM(K5:K6)</f>
        <v>75.600000000000364</v>
      </c>
    </row>
    <row r="8" spans="2:12" x14ac:dyDescent="0.25">
      <c r="C8" t="s">
        <v>32</v>
      </c>
      <c r="D8">
        <f>IF(D6=0,"n/a",D5/D6)</f>
        <v>0.82211410153764031</v>
      </c>
      <c r="E8">
        <f>IF(E6=0,"n/a",E5/E6)</f>
        <v>0.82875609151730401</v>
      </c>
      <c r="F8">
        <f>IF(F6=0,"n/a",F5/F6)</f>
        <v>0.83684675976389766</v>
      </c>
      <c r="G8">
        <f>IF(G6=0,"n/a",G5/G6)</f>
        <v>0.83982252254085854</v>
      </c>
    </row>
    <row r="9" spans="2:12" x14ac:dyDescent="0.25">
      <c r="C9" t="s">
        <v>33</v>
      </c>
      <c r="D9">
        <f>AVERAGE(D7:G7)</f>
        <v>8925.7250000000004</v>
      </c>
      <c r="E9">
        <f>MAX(D7:G7)</f>
        <v>9039.6</v>
      </c>
      <c r="F9">
        <f>MIN(D7:G7)</f>
        <v>8856.2999999999993</v>
      </c>
      <c r="G9">
        <f>COUNTIF(H5:H6,"&gt;0")</f>
        <v>2</v>
      </c>
    </row>
    <row r="10" spans="2:12" x14ac:dyDescent="0.25">
      <c r="C10" t="str">
        <f>"vs SLIDE_1"</f>
        <v>vs SLIDE_1</v>
      </c>
      <c r="D10">
        <f>G7-SLIDE_1!G7</f>
        <v>205.20000000000073</v>
      </c>
      <c r="E10">
        <f>IFERROR(D10/SLIDE_1!G7,0)</f>
        <v>2.3227383863080767E-2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4913.3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7</v>
      </c>
      <c r="F11" t="str">
        <f>VLOOKUP(Control!$B$2,Data!$H$2:$H$11,1,FALSE)</f>
        <v>Bank D</v>
      </c>
      <c r="G11" t="str">
        <f>LEFT(Control!$B$2,4)&amp;MID(Control!$B$2,6,1)&amp;LEN(Control!$B$2)</f>
        <v>BankD6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4862.3</v>
      </c>
      <c r="G12">
        <f ca="1">INDIRECT("D7")</f>
        <v>8875.7000000000007</v>
      </c>
      <c r="H12">
        <f>AVERAGEIF(Data!$A$2:$A$121,Control!$B$2,Data!$C$2:$C$121)</f>
        <v>3687.9609999999998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10000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4013.5</v>
      </c>
      <c r="H13" t="str">
        <f>_xlfn.XLOOKUP(Control!$B$2,Data!$H$2:$H$11,Data!$H$2:$H$11,"none")</f>
        <v>Bank D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8.4337349397591854E-3</v>
      </c>
      <c r="L13" cm="1">
        <f t="array" ref="L13">SUM(_xlfn._xlws.FILTER(Data!$C$2:$C$121,Data!$A$2:$A$121=Control!$B$2))</f>
        <v>44255.531999999999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D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3974.6</v>
      </c>
      <c r="E5">
        <f>ROUND(SUMIFS(Data!$C:$C,Data!$A:$A,Control!$B$2,Data!$B:$B,Control!$B$4-4)*Control!$B$5,1)</f>
        <v>4004.6</v>
      </c>
      <c r="F5">
        <f>ROUND(SUMIFS(Data!$C:$C,Data!$A:$A,Control!$B$2,Data!$B:$B,Control!$B$4-3)*Control!$B$5,1)</f>
        <v>4013.5</v>
      </c>
      <c r="G5">
        <f>ROUND(SUMIFS(Data!$C:$C,Data!$A:$A,Control!$B$2,Data!$B:$B,Control!$B$4-2)*Control!$B$5,1)</f>
        <v>4069</v>
      </c>
      <c r="H5">
        <f>G5-F5</f>
        <v>55.5</v>
      </c>
      <c r="I5">
        <f>IFERROR(H5/F5,0)</f>
        <v>1.3828329388314438E-2</v>
      </c>
      <c r="J5">
        <f>ROUND(SUMIFS(Data!$E:$E,Data!$A:$A,Control!$B$2,Data!$B:$B,Control!$B$4-2)*Control!$B$5,1)</f>
        <v>4080.6</v>
      </c>
      <c r="K5">
        <f>IF(ABS(G5-J5)&lt;0.05,0,G5-J5)</f>
        <v>-11.599999999999909</v>
      </c>
    </row>
    <row r="6" spans="2:12" x14ac:dyDescent="0.25">
      <c r="C6" t="s">
        <v>3</v>
      </c>
      <c r="D6">
        <f>ROUND(SUMIFS(Data!$D:$D,Data!$A:$A,Control!$B$2,Data!$B:$B,Control!$B$4-5)*Control!$B$5,1)</f>
        <v>4723.5</v>
      </c>
      <c r="E6">
        <f>ROUND(SUMIFS(Data!$D:$D,Data!$A:$A,Control!$B$2,Data!$B:$B,Control!$B$4-4)*Control!$B$5,1)</f>
        <v>4871.1000000000004</v>
      </c>
      <c r="F6">
        <f>ROUND(SUMIFS(Data!$D:$D,Data!$A:$A,Control!$B$2,Data!$B:$B,Control!$B$4-3)*Control!$B$5,1)</f>
        <v>4842.8</v>
      </c>
      <c r="G6">
        <f>ROUND(SUMIFS(Data!$D:$D,Data!$A:$A,Control!$B$2,Data!$B:$B,Control!$B$4-2)*Control!$B$5,1)</f>
        <v>4862.3</v>
      </c>
      <c r="H6">
        <f>G6-F6</f>
        <v>19.5</v>
      </c>
      <c r="I6">
        <f>IFERROR(H6/F6,0)</f>
        <v>4.0265961840257698E-3</v>
      </c>
      <c r="J6">
        <f>ROUND(SUMIFS(Data!$F:$F,Data!$A:$A,Control!$B$2,Data!$B:$B,Control!$B$4-2)*Control!$B$5,1)</f>
        <v>4849.7</v>
      </c>
      <c r="K6">
        <f>IF(ABS(G6-J6)&lt;0.05,0,G6-J6)</f>
        <v>12.600000000000364</v>
      </c>
    </row>
    <row r="7" spans="2:12" x14ac:dyDescent="0.25">
      <c r="C7" t="s">
        <v>31</v>
      </c>
      <c r="D7">
        <f>SUM(D5:D6)</f>
        <v>8698.1</v>
      </c>
      <c r="E7">
        <f>SUM(E5:E6)</f>
        <v>8875.7000000000007</v>
      </c>
      <c r="F7">
        <f>SUM(F5:F6)</f>
        <v>8856.2999999999993</v>
      </c>
      <c r="G7">
        <f>SUM(G5:G6)</f>
        <v>8931.2999999999993</v>
      </c>
      <c r="H7">
        <f>SUM(H5:H6)</f>
        <v>75</v>
      </c>
      <c r="I7">
        <f>IFERROR(H7/F7,0)</f>
        <v>8.4685478134209555E-3</v>
      </c>
      <c r="J7">
        <f>SUM(J5:J6)</f>
        <v>8930.2999999999993</v>
      </c>
      <c r="K7">
        <f>SUM(K5:K6)</f>
        <v>1.0000000000004547</v>
      </c>
    </row>
    <row r="8" spans="2:12" x14ac:dyDescent="0.25">
      <c r="C8" t="s">
        <v>32</v>
      </c>
      <c r="D8">
        <f>IF(D6=0,"n/a",D5/D6)</f>
        <v>0.84145231290356726</v>
      </c>
      <c r="E8">
        <f>IF(E6=0,"n/a",E5/E6)</f>
        <v>0.82211410153764031</v>
      </c>
      <c r="F8">
        <f>IF(F6=0,"n/a",F5/F6)</f>
        <v>0.82875609151730401</v>
      </c>
      <c r="G8">
        <f>IF(G6=0,"n/a",G5/G6)</f>
        <v>0.83684675976389766</v>
      </c>
    </row>
    <row r="9" spans="2:12" x14ac:dyDescent="0.25">
      <c r="C9" t="s">
        <v>33</v>
      </c>
      <c r="D9">
        <f>AVERAGE(D7:G7)</f>
        <v>8840.35</v>
      </c>
      <c r="E9">
        <f>MAX(D7:G7)</f>
        <v>8931.2999999999993</v>
      </c>
      <c r="F9">
        <f>MIN(D7:G7)</f>
        <v>8698.1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-108.30000000000109</v>
      </c>
      <c r="E10">
        <f>IFERROR(D10/SLIDE_2!G7,0)</f>
        <v>-1.1980618611443105E-2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4913.3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7</v>
      </c>
      <c r="F11" t="str">
        <f>VLOOKUP(Control!$B$2,Data!$H$2:$H$11,1,FALSE)</f>
        <v>Bank D</v>
      </c>
      <c r="G11" t="str">
        <f>LEFT(Control!$B$2,4)&amp;MID(Control!$B$2,6,1)&amp;LEN(Control!$B$2)</f>
        <v>BankD6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4842.8</v>
      </c>
      <c r="G12">
        <f ca="1">INDIRECT("D7")</f>
        <v>8698.1</v>
      </c>
      <c r="H12">
        <f>AVERAGEIF(Data!$A$2:$A$121,Control!$B$2,Data!$C$2:$C$121)</f>
        <v>3687.9609999999998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9000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4004.6</v>
      </c>
      <c r="H13" t="str">
        <f>_xlfn.XLOOKUP(Control!$B$2,Data!$H$2:$H$11,Data!$H$2:$H$11,"none")</f>
        <v>Bank D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1.1197832099707483E-4</v>
      </c>
      <c r="L13" cm="1">
        <f t="array" ref="L13">SUM(_xlfn._xlws.FILTER(Data!$C$2:$C$121,Data!$A$2:$A$121=Control!$B$2))</f>
        <v>44255.531999999999</v>
      </c>
    </row>
    <row r="14" spans="2:12" x14ac:dyDescent="0.25">
      <c r="C14" t="s">
        <v>41</v>
      </c>
      <c r="D14">
        <f>FromB!D4*2</f>
        <v>1318.7999999999993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659.39999999999964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734.39999999999964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2026-10-16T08:07:10Z</dcterms:modified>
</cp:coreProperties>
</file>