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recalc\"/>
    </mc:Choice>
  </mc:AlternateContent>
  <xr:revisionPtr revIDLastSave="0" documentId="8_{50DD6522-5470-4868-8178-A79946C564FA}" xr6:coauthVersionLast="47" xr6:coauthVersionMax="47" xr10:uidLastSave="{00000000-0000-0000-0000-000000000000}"/>
  <bookViews>
    <workbookView xWindow="2660" yWindow="2660" windowWidth="14400" windowHeight="8170" xr2:uid="{428B55E3-F165-4835-91F3-49D42AAC1F45}"/>
  </bookViews>
  <sheets>
    <sheet name="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64" i="1" l="1"/>
  <c r="E163" i="1"/>
  <c r="E162" i="1"/>
  <c r="E161" i="1"/>
  <c r="E160" i="1" a="1"/>
  <c r="E160" i="1" s="1"/>
  <c r="E158" i="1"/>
  <c r="E157" i="1"/>
  <c r="E156" i="1"/>
  <c r="E155" i="1"/>
  <c r="E154" i="1"/>
  <c r="E153" i="1"/>
  <c r="E152" i="1"/>
  <c r="E151" i="1" a="1"/>
  <c r="E151" i="1" s="1"/>
  <c r="E150" i="1"/>
  <c r="E149" i="1"/>
  <c r="E148" i="1" a="1"/>
  <c r="E148" i="1" s="1"/>
  <c r="E147" i="1"/>
  <c r="E146" i="1"/>
  <c r="E145" i="1" a="1"/>
  <c r="E145" i="1" s="1"/>
  <c r="E144" i="1" a="1"/>
  <c r="E144" i="1" s="1"/>
  <c r="E143" i="1" a="1"/>
  <c r="E143" i="1" s="1"/>
  <c r="E142" i="1" a="1"/>
  <c r="E142" i="1" s="1"/>
  <c r="E141" i="1" a="1"/>
  <c r="E141" i="1" s="1"/>
  <c r="E140" i="1" a="1"/>
  <c r="E140" i="1" s="1"/>
  <c r="E139" i="1" a="1"/>
  <c r="E139" i="1" s="1"/>
  <c r="E138" i="1" a="1"/>
  <c r="E138" i="1" s="1"/>
  <c r="E137" i="1" a="1"/>
  <c r="E137" i="1" s="1"/>
  <c r="E136" i="1" a="1"/>
  <c r="E136" i="1" s="1"/>
  <c r="E135" i="1" a="1"/>
  <c r="E135" i="1" s="1"/>
  <c r="E134" i="1" a="1"/>
  <c r="E134" i="1" s="1"/>
  <c r="E133" i="1" a="1"/>
  <c r="E133" i="1" s="1"/>
  <c r="E132" i="1" a="1"/>
  <c r="E132" i="1" s="1"/>
  <c r="E131" i="1" a="1"/>
  <c r="E131" i="1" s="1"/>
  <c r="E129" i="1"/>
  <c r="E128" i="1"/>
  <c r="E127" i="1"/>
  <c r="E126" i="1" a="1"/>
  <c r="E126" i="1" s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7" i="1"/>
  <c r="E86" i="1"/>
  <c r="E85" i="1"/>
  <c r="E84" i="1" a="1"/>
  <c r="E84" i="1" s="1"/>
  <c r="E83" i="1" a="1"/>
  <c r="E83" i="1" s="1"/>
  <c r="E82" i="1"/>
  <c r="E81" i="1"/>
  <c r="E80" i="1"/>
  <c r="E79" i="1"/>
  <c r="E78" i="1"/>
  <c r="E77" i="1"/>
  <c r="E76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1" i="1"/>
  <c r="E159" i="1" a="1"/>
  <c r="E130" i="1"/>
  <c r="E88" i="1"/>
  <c r="E75" i="1"/>
  <c r="E159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3">
    <bk>
      <rc t="2" v="0"/>
    </bk>
    <bk>
      <rc t="2" v="1"/>
    </bk>
    <bk>
      <rc t="2" v="2"/>
    </bk>
  </valueMetadata>
</metadata>
</file>

<file path=xl/sharedStrings.xml><?xml version="1.0" encoding="utf-8"?>
<sst xmlns="http://schemas.openxmlformats.org/spreadsheetml/2006/main" count="1" uniqueCount="1">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</sst>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entury Gothic"/>
      <family val="2"/>
    </font>
    <font>
      <u/>
      <sz val="10"/>
      <color theme="10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8</v>
    <v>4</v>
    <v>1</v>
  </rv>
  <rv s="0">
    <v>0</v>
    <v>8</v>
    <v>2</v>
    <v>1</v>
  </rv>
  <rv s="0">
    <v>0</v>
    <v>8</v>
    <v>1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62C65-715F-4C83-A637-122FF9175487}">
  <dimension ref="A1:G164"/>
  <sheetViews>
    <sheetView tabSelected="1" workbookViewId="0"/>
  </sheetViews>
  <sheetFormatPr defaultRowHeight="12.5" x14ac:dyDescent="0.25"/>
  <sheetData>
    <row r="1" spans="1:5" x14ac:dyDescent="0.25">
      <c r="A1">
        <v>5</v>
      </c>
      <c r="B1" t="s">
        <v>0</v>
      </c>
      <c r="C1">
        <v>44927</v>
      </c>
      <c r="E1">
        <f>IFERROR(A1/0,0)</f>
        <v>0</v>
      </c>
    </row>
    <row r="2" spans="1:5" x14ac:dyDescent="0.25">
      <c r="A2">
        <v>5</v>
      </c>
      <c r="E2">
        <f>_xlfn.IFNA(A1,0)</f>
        <v>5</v>
      </c>
    </row>
    <row r="3" spans="1:5" x14ac:dyDescent="0.25">
      <c r="A3">
        <v>5</v>
      </c>
      <c r="E3">
        <f>SUMIFS(A1:A5,A1:A5,"&gt;1")</f>
        <v>25</v>
      </c>
    </row>
    <row r="4" spans="1:5" x14ac:dyDescent="0.25">
      <c r="A4">
        <v>5</v>
      </c>
      <c r="E4">
        <f>COUNTIFS(A1:A5,"&gt;1")</f>
        <v>5</v>
      </c>
    </row>
    <row r="5" spans="1:5" x14ac:dyDescent="0.25">
      <c r="A5">
        <v>5</v>
      </c>
      <c r="E5">
        <f>AVERAGEIF(A1:A5,"&gt;1")</f>
        <v>5</v>
      </c>
    </row>
    <row r="6" spans="1:5" x14ac:dyDescent="0.25">
      <c r="A6">
        <v>5</v>
      </c>
      <c r="E6">
        <f>AVERAGEIFS(A1:A5,A1:A5,"&gt;1")</f>
        <v>5</v>
      </c>
    </row>
    <row r="7" spans="1:5" x14ac:dyDescent="0.25">
      <c r="A7">
        <v>5</v>
      </c>
      <c r="E7">
        <f>_xlfn.MAXIFS(A1:A5,A1:A5,"&gt;1")</f>
        <v>5</v>
      </c>
    </row>
    <row r="8" spans="1:5" x14ac:dyDescent="0.25">
      <c r="A8">
        <v>5</v>
      </c>
      <c r="E8">
        <f>_xlfn.MINIFS(A1:A5,A1:A5,"&gt;1")</f>
        <v>5</v>
      </c>
    </row>
    <row r="9" spans="1:5" x14ac:dyDescent="0.25">
      <c r="A9">
        <v>5</v>
      </c>
      <c r="E9">
        <f>EOMONTH(C1,0)</f>
        <v>44957</v>
      </c>
    </row>
    <row r="10" spans="1:5" x14ac:dyDescent="0.25">
      <c r="A10">
        <v>5</v>
      </c>
      <c r="E10">
        <f>EDATE(C1,1)</f>
        <v>44958</v>
      </c>
    </row>
    <row r="11" spans="1:5" x14ac:dyDescent="0.25">
      <c r="A11">
        <v>5</v>
      </c>
      <c r="E11">
        <f>NETWORKDAYS(C1,C1+10)</f>
        <v>8</v>
      </c>
    </row>
    <row r="12" spans="1:5" x14ac:dyDescent="0.25">
      <c r="A12">
        <v>5</v>
      </c>
      <c r="E12">
        <f>NETWORKDAYS.INTL(C1,C1+10)</f>
        <v>8</v>
      </c>
    </row>
    <row r="13" spans="1:5" x14ac:dyDescent="0.25">
      <c r="A13">
        <v>5</v>
      </c>
      <c r="E13">
        <f>WORKDAY(C1,3)</f>
        <v>44930</v>
      </c>
    </row>
    <row r="14" spans="1:5" x14ac:dyDescent="0.25">
      <c r="A14">
        <v>5</v>
      </c>
      <c r="E14">
        <f>WORKDAY.INTL(C1,3)</f>
        <v>44930</v>
      </c>
    </row>
    <row r="15" spans="1:5" x14ac:dyDescent="0.25">
      <c r="A15">
        <v>5</v>
      </c>
      <c r="E15">
        <f>WEEKNUM(C1)</f>
        <v>1</v>
      </c>
    </row>
    <row r="16" spans="1:5" x14ac:dyDescent="0.25">
      <c r="A16">
        <v>5</v>
      </c>
      <c r="E16">
        <f>_xlfn.ISOWEEKNUM(C1)</f>
        <v>52</v>
      </c>
    </row>
    <row r="17" spans="1:5" x14ac:dyDescent="0.25">
      <c r="A17">
        <v>5</v>
      </c>
      <c r="E17">
        <f>YEARFRAC(C1,C1+100)</f>
        <v>0.27777777777777779</v>
      </c>
    </row>
    <row r="18" spans="1:5" x14ac:dyDescent="0.25">
      <c r="A18">
        <v>5</v>
      </c>
      <c r="E18">
        <f>_xlfn.DAYS(C1+3,C1)</f>
        <v>3</v>
      </c>
    </row>
    <row r="19" spans="1:5" x14ac:dyDescent="0.25">
      <c r="A19">
        <v>5</v>
      </c>
      <c r="E19">
        <f ca="1">RANDBETWEEN(1,9)</f>
        <v>8</v>
      </c>
    </row>
    <row r="20" spans="1:5" x14ac:dyDescent="0.25">
      <c r="A20">
        <v>5</v>
      </c>
      <c r="E20">
        <f>MROUND(A1,2)</f>
        <v>6</v>
      </c>
    </row>
    <row r="21" spans="1:5" x14ac:dyDescent="0.25">
      <c r="E21">
        <f>QUOTIENT(A1,2)</f>
        <v>2</v>
      </c>
    </row>
    <row r="22" spans="1:5" x14ac:dyDescent="0.25">
      <c r="E22">
        <f>GCD(A1,10)</f>
        <v>5</v>
      </c>
    </row>
    <row r="23" spans="1:5" x14ac:dyDescent="0.25">
      <c r="E23">
        <f>LCM(A1,3)</f>
        <v>15</v>
      </c>
    </row>
    <row r="24" spans="1:5" x14ac:dyDescent="0.25">
      <c r="E24" t="b">
        <f>ISEVEN(A1)</f>
        <v>0</v>
      </c>
    </row>
    <row r="25" spans="1:5" x14ac:dyDescent="0.25">
      <c r="E25" t="b">
        <f>ISODD(A1)</f>
        <v>1</v>
      </c>
    </row>
    <row r="26" spans="1:5" x14ac:dyDescent="0.25">
      <c r="E26">
        <f>FACTDOUBLE(A1)</f>
        <v>15</v>
      </c>
    </row>
    <row r="27" spans="1:5" x14ac:dyDescent="0.25">
      <c r="E27">
        <f>MULTINOMIAL(A1,2)</f>
        <v>20.999999999999972</v>
      </c>
    </row>
    <row r="28" spans="1:5" x14ac:dyDescent="0.25">
      <c r="E28">
        <f>SQRTPI(A1)</f>
        <v>3.963327297606011</v>
      </c>
    </row>
    <row r="29" spans="1:5" x14ac:dyDescent="0.25">
      <c r="E29">
        <f>SERIESSUM(A1,1,1,A1:A3)</f>
        <v>775</v>
      </c>
    </row>
    <row r="30" spans="1:5" x14ac:dyDescent="0.25">
      <c r="E30">
        <f>CONVERT(A1,"m","ft")</f>
        <v>16.404199475065617</v>
      </c>
    </row>
    <row r="31" spans="1:5" x14ac:dyDescent="0.25">
      <c r="E31">
        <f>BIN2DEC(101)</f>
        <v>5</v>
      </c>
    </row>
    <row r="32" spans="1:5" x14ac:dyDescent="0.25">
      <c r="E32" t="str">
        <f>DEC2BIN(A1)</f>
        <v>101</v>
      </c>
    </row>
    <row r="33" spans="5:5" x14ac:dyDescent="0.25">
      <c r="E33" t="str">
        <f>DEC2HEX(A1)</f>
        <v>5</v>
      </c>
    </row>
    <row r="34" spans="5:5" x14ac:dyDescent="0.25">
      <c r="E34">
        <f>HEX2DEC("1F")</f>
        <v>31</v>
      </c>
    </row>
    <row r="35" spans="5:5" x14ac:dyDescent="0.25">
      <c r="E35">
        <f>OCT2DEC(17)</f>
        <v>15</v>
      </c>
    </row>
    <row r="36" spans="5:5" x14ac:dyDescent="0.25">
      <c r="E36" t="str">
        <f>DEC2OCT(A1)</f>
        <v>5</v>
      </c>
    </row>
    <row r="37" spans="5:5" x14ac:dyDescent="0.25">
      <c r="E37">
        <f>_xlfn.RANK.EQ(A1,A1:A5)</f>
        <v>1</v>
      </c>
    </row>
    <row r="38" spans="5:5" x14ac:dyDescent="0.25">
      <c r="E38">
        <f>_xlfn.RANK.AVG(A1,A1:A5)</f>
        <v>3</v>
      </c>
    </row>
    <row r="39" spans="5:5" x14ac:dyDescent="0.25">
      <c r="E39">
        <f>_xlfn.PERCENTRANK.INC(A1:A5,A1)</f>
        <v>0</v>
      </c>
    </row>
    <row r="40" spans="5:5" x14ac:dyDescent="0.25">
      <c r="E40">
        <f>_xlfn.PERCENTRANK.EXC(A1:A5,A1)</f>
        <v>0.16600000000000001</v>
      </c>
    </row>
    <row r="41" spans="5:5" x14ac:dyDescent="0.25">
      <c r="E41">
        <f>_xlfn.PERCENTILE.INC(A1:A5,0.5)</f>
        <v>5</v>
      </c>
    </row>
    <row r="42" spans="5:5" x14ac:dyDescent="0.25">
      <c r="E42">
        <f>_xlfn.PERCENTILE.EXC(A1:A5,0.5)</f>
        <v>5</v>
      </c>
    </row>
    <row r="43" spans="5:5" x14ac:dyDescent="0.25">
      <c r="E43">
        <f>_xlfn.QUARTILE.INC(A1:A5,1)</f>
        <v>5</v>
      </c>
    </row>
    <row r="44" spans="5:5" x14ac:dyDescent="0.25">
      <c r="E44">
        <f>_xlfn.QUARTILE.EXC(A1:A5,1)</f>
        <v>5</v>
      </c>
    </row>
    <row r="45" spans="5:5" x14ac:dyDescent="0.25">
      <c r="E45">
        <f>_xlfn.STDEV.S(A1:A5)</f>
        <v>0</v>
      </c>
    </row>
    <row r="46" spans="5:5" x14ac:dyDescent="0.25">
      <c r="E46">
        <f>_xlfn.STDEV.P(A1:A5)</f>
        <v>0</v>
      </c>
    </row>
    <row r="47" spans="5:5" x14ac:dyDescent="0.25">
      <c r="E47">
        <f>_xlfn.VAR.S(A1:A5)</f>
        <v>0</v>
      </c>
    </row>
    <row r="48" spans="5:5" x14ac:dyDescent="0.25">
      <c r="E48">
        <f>_xlfn.VAR.P(A1:A5)</f>
        <v>0</v>
      </c>
    </row>
    <row r="49" spans="5:5" x14ac:dyDescent="0.25">
      <c r="E49">
        <f>_xlfn.MODE.SNGL(A1:A5)</f>
        <v>5</v>
      </c>
    </row>
    <row r="50" spans="5:5" x14ac:dyDescent="0.25">
      <c r="E50">
        <f>MEDIAN(A1:A5)</f>
        <v>5</v>
      </c>
    </row>
    <row r="51" spans="5:5" x14ac:dyDescent="0.25">
      <c r="E51">
        <f>_xlfn.NORM.DIST(A1,5,1,TRUE)</f>
        <v>0.5</v>
      </c>
    </row>
    <row r="52" spans="5:5" x14ac:dyDescent="0.25">
      <c r="E52">
        <f>_xlfn.NORM.INV(0.5,5,1)</f>
        <v>5</v>
      </c>
    </row>
    <row r="53" spans="5:5" x14ac:dyDescent="0.25">
      <c r="E53">
        <f>_xlfn.NORM.S.DIST(A1,TRUE)</f>
        <v>0.99999971334842808</v>
      </c>
    </row>
    <row r="54" spans="5:5" x14ac:dyDescent="0.25">
      <c r="E54">
        <f>_xlfn.NORM.S.INV(0.5)</f>
        <v>0</v>
      </c>
    </row>
    <row r="55" spans="5:5" x14ac:dyDescent="0.25">
      <c r="E55">
        <f>_xlfn.T.DIST(A1,3,TRUE)</f>
        <v>0.99230378096334881</v>
      </c>
    </row>
    <row r="56" spans="5:5" x14ac:dyDescent="0.25">
      <c r="E56">
        <f>_xlfn.T.INV(0.5,3)</f>
        <v>0</v>
      </c>
    </row>
    <row r="57" spans="5:5" x14ac:dyDescent="0.25">
      <c r="E57">
        <f>_xlfn.T.INV.2T(0.5,3)</f>
        <v>0.76489232840434507</v>
      </c>
    </row>
    <row r="58" spans="5:5" x14ac:dyDescent="0.25">
      <c r="E58">
        <f>_xlfn.CHISQ.DIST(A1,3,TRUE)</f>
        <v>0.8282028557032669</v>
      </c>
    </row>
    <row r="59" spans="5:5" x14ac:dyDescent="0.25">
      <c r="E59">
        <f>_xlfn.CHISQ.INV(0.5,3)</f>
        <v>2.3659738843753377</v>
      </c>
    </row>
    <row r="60" spans="5:5" x14ac:dyDescent="0.25">
      <c r="E60">
        <f>_xlfn.F.DIST(A1,3,3,TRUE)</f>
        <v>0.89044898129147598</v>
      </c>
    </row>
    <row r="61" spans="5:5" x14ac:dyDescent="0.25">
      <c r="E61">
        <f>_xlfn.F.INV(0.5,3,3)</f>
        <v>1</v>
      </c>
    </row>
    <row r="62" spans="5:5" x14ac:dyDescent="0.25">
      <c r="E62">
        <f>_xlfn.BINOM.DIST(2,5,0.5,TRUE)</f>
        <v>0.49999999999999989</v>
      </c>
    </row>
    <row r="63" spans="5:5" x14ac:dyDescent="0.25">
      <c r="E63">
        <f>_xlfn.POISSON.DIST(2,5,TRUE)</f>
        <v>0.12465201948308113</v>
      </c>
    </row>
    <row r="64" spans="5:5" x14ac:dyDescent="0.25">
      <c r="E64">
        <f>_xlfn.EXPON.DIST(A1,1,TRUE)</f>
        <v>0.99326205300091452</v>
      </c>
    </row>
    <row r="65" spans="5:5" x14ac:dyDescent="0.25">
      <c r="E65">
        <f>_xlfn.GAMMA.DIST(A1,1,1,TRUE)</f>
        <v>0.99326205300091452</v>
      </c>
    </row>
    <row r="66" spans="5:5" x14ac:dyDescent="0.25">
      <c r="E66">
        <f>_xlfn.LOGNORM.DIST(A1,0,1,TRUE)</f>
        <v>0.94623968954833682</v>
      </c>
    </row>
    <row r="67" spans="5:5" x14ac:dyDescent="0.25">
      <c r="E67">
        <f>_xlfn.WEIBULL.DIST(A1,1,1,TRUE)</f>
        <v>0.99326205300091452</v>
      </c>
    </row>
    <row r="68" spans="5:5" x14ac:dyDescent="0.25">
      <c r="E68">
        <f>_xlfn.CONFIDENCE.NORM(0.05,1,10)</f>
        <v>0.61979503230456146</v>
      </c>
    </row>
    <row r="69" spans="5:5" x14ac:dyDescent="0.25">
      <c r="E69">
        <f>_xlfn.CONFIDENCE.T(0.05,1,10)</f>
        <v>0.71535690597066481</v>
      </c>
    </row>
    <row r="70" spans="5:5" x14ac:dyDescent="0.25">
      <c r="E70">
        <f>_xlfn.COVARIANCE.P(A1:A5,A1:A5)</f>
        <v>0</v>
      </c>
    </row>
    <row r="71" spans="5:5" x14ac:dyDescent="0.25">
      <c r="E71">
        <f>_xlfn.COVARIANCE.S(A1:A5,A1:A5)</f>
        <v>0</v>
      </c>
    </row>
    <row r="72" spans="5:5" x14ac:dyDescent="0.25">
      <c r="E72">
        <f>_xlfn.CEILING.MATH(A1,2)</f>
        <v>6</v>
      </c>
    </row>
    <row r="73" spans="5:5" x14ac:dyDescent="0.25">
      <c r="E73">
        <f>_xlfn.FLOOR.MATH(A1,2)</f>
        <v>4</v>
      </c>
    </row>
    <row r="74" spans="5:5" x14ac:dyDescent="0.25">
      <c r="E74">
        <f>_xlfn.CEILING.PRECISE(A1,2)</f>
        <v>6</v>
      </c>
    </row>
    <row r="75" spans="5:5" x14ac:dyDescent="0.25">
      <c r="E75">
        <f>_xlfn.FLOOR.PRECISE(A1,2)</f>
        <v>4</v>
      </c>
    </row>
    <row r="76" spans="5:5" x14ac:dyDescent="0.25">
      <c r="E76">
        <f>ISO.CEILING(A1,2)</f>
        <v>6</v>
      </c>
    </row>
    <row r="77" spans="5:5" x14ac:dyDescent="0.25">
      <c r="E77">
        <f>_xlfn.AGGREGATE(9,6,A1:A5)</f>
        <v>25</v>
      </c>
    </row>
    <row r="78" spans="5:5" x14ac:dyDescent="0.25">
      <c r="E78">
        <f>_xlfn.NUMBERVALUE("1,5",",",".")</f>
        <v>1.5</v>
      </c>
    </row>
    <row r="79" spans="5:5" x14ac:dyDescent="0.25">
      <c r="E79" t="str">
        <f>_xlfn.UNICHAR(65)</f>
        <v>A</v>
      </c>
    </row>
    <row r="80" spans="5:5" x14ac:dyDescent="0.25">
      <c r="E80">
        <f>_xlfn.UNICODE("A")</f>
        <v>65</v>
      </c>
    </row>
    <row r="81" spans="5:5" x14ac:dyDescent="0.25">
      <c r="E81" t="str">
        <f>_xlfn.CONCAT(B1,B1)</f>
        <v>texttext</v>
      </c>
    </row>
    <row r="82" spans="5:5" x14ac:dyDescent="0.25">
      <c r="E82" t="str">
        <f>_xlfn.TEXTJOIN(";",TRUE,A1:A3)</f>
        <v>5;5;5</v>
      </c>
    </row>
    <row r="83" spans="5:5" x14ac:dyDescent="0.25">
      <c r="E83" t="str" cm="1">
        <f t="array" ref="E83">_xlfn.IFS(A1&gt;1,"a",TRUE,"b")</f>
        <v>a</v>
      </c>
    </row>
    <row r="84" spans="5:5" x14ac:dyDescent="0.25">
      <c r="E84" t="str" cm="1">
        <f t="array" ref="E84">_xlfn.SWITCH(A1,5,"five","other")</f>
        <v>five</v>
      </c>
    </row>
    <row r="85" spans="5:5" x14ac:dyDescent="0.25">
      <c r="E85">
        <f>_xlfn.XLOOKUP(A1,A1:A5,A1:A5)</f>
        <v>5</v>
      </c>
    </row>
    <row r="86" spans="5:5" x14ac:dyDescent="0.25">
      <c r="E86">
        <f>_xlfn.XMATCH(A1,A1:A5)</f>
        <v>1</v>
      </c>
    </row>
    <row r="87" spans="5:5" x14ac:dyDescent="0.25">
      <c r="E87">
        <f>_xlfn.LET(_xlpm.x,A1,_xlpm.x*2)</f>
        <v>10</v>
      </c>
    </row>
    <row r="88" spans="5:5" x14ac:dyDescent="0.25">
      <c r="E88" t="e">
        <f ca="1">_xlfn.FORMULATEXT(A1)</f>
        <v>#N/A</v>
      </c>
    </row>
    <row r="89" spans="5:5" x14ac:dyDescent="0.25">
      <c r="E89" t="b">
        <f>_xlfn.ISFORMULA(A1)</f>
        <v>0</v>
      </c>
    </row>
    <row r="90" spans="5:5" x14ac:dyDescent="0.25">
      <c r="E90">
        <f ca="1">_xlfn.SHEET()</f>
        <v>1</v>
      </c>
    </row>
    <row r="91" spans="5:5" x14ac:dyDescent="0.25">
      <c r="E91">
        <f ca="1">_xlfn.SHEETS()</f>
        <v>1</v>
      </c>
    </row>
    <row r="92" spans="5:5" x14ac:dyDescent="0.25">
      <c r="E92" t="e">
        <f>XNPV(0.1,A1:A3,C1:C3)</f>
        <v>#NUM!</v>
      </c>
    </row>
    <row r="93" spans="5:5" x14ac:dyDescent="0.25">
      <c r="E93" t="e">
        <f>XIRR(A1:A3,C1:C3)</f>
        <v>#NUM!</v>
      </c>
    </row>
    <row r="94" spans="5:5" x14ac:dyDescent="0.25">
      <c r="E94">
        <f>CUMIPMT(0.05,10,1000,1,2,0)</f>
        <v>-96.024771251727145</v>
      </c>
    </row>
    <row r="95" spans="5:5" x14ac:dyDescent="0.25">
      <c r="E95">
        <f>CUMPRINC(0.05,10,1000,1,2,0)</f>
        <v>-162.98437867918619</v>
      </c>
    </row>
    <row r="96" spans="5:5" x14ac:dyDescent="0.25">
      <c r="E96">
        <f>EFFECT(0.05,12)</f>
        <v>5.116189788173342E-2</v>
      </c>
    </row>
    <row r="97" spans="5:5" x14ac:dyDescent="0.25">
      <c r="E97">
        <f>NOMINAL(0.05,12)</f>
        <v>4.8889485403780242E-2</v>
      </c>
    </row>
    <row r="98" spans="5:5" x14ac:dyDescent="0.25">
      <c r="E98">
        <f>PRICE(C1,C1+365,0.05,0.06,100,2)</f>
        <v>99.043265152229239</v>
      </c>
    </row>
    <row r="99" spans="5:5" x14ac:dyDescent="0.25">
      <c r="E99">
        <f>DISC(C1,C1+365,95,100)</f>
        <v>5.0000000000000044E-2</v>
      </c>
    </row>
    <row r="100" spans="5:5" x14ac:dyDescent="0.25">
      <c r="E100">
        <f>ACCRINT(C1,C1+180,C1+365,0.05,1000,2)</f>
        <v>50</v>
      </c>
    </row>
    <row r="101" spans="5:5" x14ac:dyDescent="0.25">
      <c r="E101">
        <f>TBILLPRICE(C1,C1+100,0.05)</f>
        <v>98.611111111111114</v>
      </c>
    </row>
    <row r="102" spans="5:5" x14ac:dyDescent="0.25">
      <c r="E102">
        <f>DURATION(C1,C1+365,0.05,0.06,2)</f>
        <v>0.98774684748988817</v>
      </c>
    </row>
    <row r="103" spans="5:5" x14ac:dyDescent="0.25">
      <c r="E103">
        <f>YIELD(C1,C1+365,0.05,95,100,2)</f>
        <v>0.10393028558691511</v>
      </c>
    </row>
    <row r="104" spans="5:5" x14ac:dyDescent="0.25">
      <c r="E104">
        <f>ERF(A1)</f>
        <v>0.99999999999846256</v>
      </c>
    </row>
    <row r="105" spans="5:5" x14ac:dyDescent="0.25">
      <c r="E105">
        <f>ERFC(A1)</f>
        <v>1.5374597944280339E-12</v>
      </c>
    </row>
    <row r="106" spans="5:5" x14ac:dyDescent="0.25">
      <c r="E106">
        <f>DELTA(A1,5)</f>
        <v>1</v>
      </c>
    </row>
    <row r="107" spans="5:5" x14ac:dyDescent="0.25">
      <c r="E107">
        <f>GESTEP(A1,4)</f>
        <v>1</v>
      </c>
    </row>
    <row r="108" spans="5:5" x14ac:dyDescent="0.25">
      <c r="E108">
        <f>BESSELJ(A1,1)</f>
        <v>-0.32757913856636323</v>
      </c>
    </row>
    <row r="109" spans="5:5" x14ac:dyDescent="0.25">
      <c r="E109" t="str">
        <f>IMSUM("1+i","2")</f>
        <v>3+i</v>
      </c>
    </row>
    <row r="110" spans="5:5" x14ac:dyDescent="0.25">
      <c r="E110" t="str">
        <f>COMPLEX(1,2)</f>
        <v>1+2i</v>
      </c>
    </row>
    <row r="111" spans="5:5" x14ac:dyDescent="0.25">
      <c r="E111">
        <f>IMREAL("1+2i")</f>
        <v>1</v>
      </c>
    </row>
    <row r="112" spans="5:5" x14ac:dyDescent="0.25">
      <c r="E112">
        <f>_xlfn.BITAND(A1,3)</f>
        <v>1</v>
      </c>
    </row>
    <row r="113" spans="5:5" x14ac:dyDescent="0.25">
      <c r="E113">
        <f>_xlfn.BITOR(A1,3)</f>
        <v>7</v>
      </c>
    </row>
    <row r="114" spans="5:5" x14ac:dyDescent="0.25">
      <c r="E114">
        <f>_xlfn.BITXOR(A1,3)</f>
        <v>6</v>
      </c>
    </row>
    <row r="115" spans="5:5" x14ac:dyDescent="0.25">
      <c r="E115">
        <f>_xlfn.BITLSHIFT(A1,1)</f>
        <v>10</v>
      </c>
    </row>
    <row r="116" spans="5:5" x14ac:dyDescent="0.25">
      <c r="E116">
        <f>_xlfn.BITRSHIFT(A1,1)</f>
        <v>2</v>
      </c>
    </row>
    <row r="117" spans="5:5" x14ac:dyDescent="0.25">
      <c r="E117" t="str">
        <f>_xlfn.BASE(A1,2)</f>
        <v>101</v>
      </c>
    </row>
    <row r="118" spans="5:5" x14ac:dyDescent="0.25">
      <c r="E118">
        <f>_xlfn.DECIMAL("101",2)</f>
        <v>5</v>
      </c>
    </row>
    <row r="119" spans="5:5" x14ac:dyDescent="0.25">
      <c r="E119">
        <f>_xlfn.ARABIC("IV")</f>
        <v>4</v>
      </c>
    </row>
    <row r="120" spans="5:5" x14ac:dyDescent="0.25">
      <c r="E120">
        <f>_xlfn.GAMMA(A1)</f>
        <v>24</v>
      </c>
    </row>
    <row r="121" spans="5:5" x14ac:dyDescent="0.25">
      <c r="E121">
        <f>_xlfn.GAUSS(A1)</f>
        <v>0.49999971334842808</v>
      </c>
    </row>
    <row r="122" spans="5:5" x14ac:dyDescent="0.25">
      <c r="E122">
        <f>_xlfn.PHI(A1)</f>
        <v>1.4867195147342977E-6</v>
      </c>
    </row>
    <row r="123" spans="5:5" x14ac:dyDescent="0.25">
      <c r="E123">
        <f>_xlfn.PERMUTATIONA(A1,2)</f>
        <v>25</v>
      </c>
    </row>
    <row r="124" spans="5:5" x14ac:dyDescent="0.25">
      <c r="E124">
        <f>_xlfn.COMBINA(A1,2)</f>
        <v>15</v>
      </c>
    </row>
    <row r="125" spans="5:5" x14ac:dyDescent="0.25">
      <c r="E125" t="e">
        <f>_xlfn.SKEW.P(A1:A5)</f>
        <v>#DIV/0!</v>
      </c>
    </row>
    <row r="126" spans="5:5" x14ac:dyDescent="0.25">
      <c r="E126" cm="1">
        <f t="array" ref="E126">_xlfn.MODE.MULT(A1:A5)</f>
        <v>5</v>
      </c>
    </row>
    <row r="127" spans="5:5" x14ac:dyDescent="0.25">
      <c r="E127" t="e">
        <f>_xlfn.FORECAST.LINEAR(A1,A1:A5,A1:A5)</f>
        <v>#DIV/0!</v>
      </c>
    </row>
    <row r="128" spans="5:5" x14ac:dyDescent="0.25">
      <c r="E128">
        <f>DATEDIF(C1,C1+40,"d")</f>
        <v>40</v>
      </c>
    </row>
    <row r="129" spans="5:5" x14ac:dyDescent="0.25">
      <c r="E129" s="1" t="str">
        <f>HYPERLINK("http://x","x")</f>
        <v>x</v>
      </c>
    </row>
    <row r="130" spans="5:5" x14ac:dyDescent="0.25">
      <c r="E130" t="e">
        <f>GETPIVOTDATA("x",A1)</f>
        <v>#REF!</v>
      </c>
    </row>
    <row r="131" spans="5:5" x14ac:dyDescent="0.25">
      <c r="E131" t="e" cm="1">
        <f t="array" aca="1" ref="E131" ca="1">IMAGE("x")</f>
        <v>#NAME?</v>
      </c>
    </row>
    <row r="132" spans="5:5" x14ac:dyDescent="0.25">
      <c r="E132" t="e" cm="1">
        <f t="array" aca="1" ref="E132" ca="1">TOCOL(A1:A3)</f>
        <v>#NAME?</v>
      </c>
    </row>
    <row r="133" spans="5:5" x14ac:dyDescent="0.25">
      <c r="E133" t="e" cm="1">
        <f t="array" aca="1" ref="E133" ca="1">VSTACK(A1:A2,A3)</f>
        <v>#NAME?</v>
      </c>
    </row>
    <row r="134" spans="5:5" x14ac:dyDescent="0.25">
      <c r="E134" cm="1">
        <f t="array" ref="E134">_xlfn.UNIQUE(A1:A5)</f>
        <v>5</v>
      </c>
    </row>
    <row r="135" spans="5:5" x14ac:dyDescent="0.25">
      <c r="E135" t="e" cm="1" vm="1">
        <f t="array" aca="1" ref="E135" ca="1">_xlfn._xlws.SORT(A1:A5)</f>
        <v>#VALUE!</v>
      </c>
    </row>
    <row r="136" spans="5:5" x14ac:dyDescent="0.25">
      <c r="E136" t="e" cm="1" vm="1">
        <f t="array" aca="1" ref="E136" ca="1">_xlfn.SORTBY(A1:A5,A1:A5)</f>
        <v>#VALUE!</v>
      </c>
    </row>
    <row r="137" spans="5:5" x14ac:dyDescent="0.25">
      <c r="E137" t="e" cm="1" vm="2">
        <f t="array" aca="1" ref="E137" ca="1">_xlfn.SEQUENCE(3)</f>
        <v>#VALUE!</v>
      </c>
    </row>
    <row r="138" spans="5:5" x14ac:dyDescent="0.25">
      <c r="E138" t="e" cm="1" vm="3">
        <f t="array" aca="1" ref="E138" ca="1">_xlfn.RANDARRAY(2)</f>
        <v>#VALUE!</v>
      </c>
    </row>
    <row r="139" spans="5:5" x14ac:dyDescent="0.25">
      <c r="E139" t="e" cm="1" vm="1">
        <f t="array" aca="1" ref="E139" ca="1">_xlfn._xlws.FILTER(A1:A5,A1:A5&gt;1)</f>
        <v>#VALUE!</v>
      </c>
    </row>
    <row r="140" spans="5:5" x14ac:dyDescent="0.25">
      <c r="E140" t="e" cm="1">
        <f t="array" aca="1" ref="E140" ca="1">TEXTSPLIT("a,b",",")</f>
        <v>#NAME?</v>
      </c>
    </row>
    <row r="141" spans="5:5" x14ac:dyDescent="0.25">
      <c r="E141" t="e" cm="1">
        <f t="array" aca="1" ref="E141" ca="1">TEXTBEFORE("a,b",",")</f>
        <v>#NAME?</v>
      </c>
    </row>
    <row r="142" spans="5:5" x14ac:dyDescent="0.25">
      <c r="E142" t="e" cm="1">
        <f t="array" aca="1" ref="E142" ca="1">TEXTAFTER("a,b",",")</f>
        <v>#NAME?</v>
      </c>
    </row>
    <row r="143" spans="5:5" x14ac:dyDescent="0.25">
      <c r="E143" t="e" cm="1">
        <f t="array" aca="1" ref="E143" ca="1">LAMBDA(x,x+1)(A1)</f>
        <v>#NAME?</v>
      </c>
    </row>
    <row r="144" spans="5:5" x14ac:dyDescent="0.25">
      <c r="E144" t="e" cm="1">
        <f t="array" aca="1" ref="E144" ca="1">MAP(A1:A3,LAMBDA(x,x*2))</f>
        <v>#NAME?</v>
      </c>
    </row>
    <row r="145" spans="5:7" x14ac:dyDescent="0.25">
      <c r="E145" t="e" cm="1">
        <f t="array" aca="1" ref="E145" ca="1">SCAN(0,A1:A3,LAMBDA(a,b,a+b))</f>
        <v>#NAME?</v>
      </c>
    </row>
    <row r="146" spans="5:7" x14ac:dyDescent="0.25">
      <c r="E146" t="str">
        <f>_xlfn.ENCODEURL("a b")</f>
        <v>a%20b</v>
      </c>
    </row>
    <row r="147" spans="5:7" x14ac:dyDescent="0.25">
      <c r="E147" t="e">
        <f>_xlfn.WEBSERVICE("http://x")</f>
        <v>#VALUE!</v>
      </c>
    </row>
    <row r="148" spans="5:7" x14ac:dyDescent="0.25">
      <c r="E148" t="e" cm="1">
        <f t="array" ref="E148">_xlfn.FILTERXML("&lt;a/&gt;","/a")</f>
        <v>#VALUE!</v>
      </c>
    </row>
    <row r="149" spans="5:7" x14ac:dyDescent="0.25">
      <c r="E149">
        <f>SUMSQ(A1:A3)</f>
        <v>75</v>
      </c>
    </row>
    <row r="150" spans="5:7" x14ac:dyDescent="0.25">
      <c r="E150">
        <f>COUNTBLANK(A1:A5)</f>
        <v>0</v>
      </c>
    </row>
    <row r="151" spans="5:7" x14ac:dyDescent="0.25">
      <c r="E151" t="str" cm="1">
        <f t="array" aca="1" ref="E151" ca="1">CELL("address",A1)</f>
        <v>$A$1</v>
      </c>
    </row>
    <row r="152" spans="5:7" x14ac:dyDescent="0.25">
      <c r="E152" t="str">
        <f ca="1">INFO("osversion")</f>
        <v>Windows (64-bit) NT 10.00</v>
      </c>
    </row>
    <row r="153" spans="5:7" x14ac:dyDescent="0.25">
      <c r="E153">
        <f>N(A1)</f>
        <v>5</v>
      </c>
    </row>
    <row r="154" spans="5:7" x14ac:dyDescent="0.25">
      <c r="E154" t="str">
        <f>T(B1)</f>
        <v>text</v>
      </c>
    </row>
    <row r="155" spans="5:7" x14ac:dyDescent="0.25">
      <c r="E155">
        <f>TYPE(A1)</f>
        <v>1</v>
      </c>
    </row>
    <row r="156" spans="5:7" x14ac:dyDescent="0.25">
      <c r="E156">
        <f>AREAS(A1:A3)</f>
        <v>1</v>
      </c>
    </row>
    <row r="157" spans="5:7" x14ac:dyDescent="0.25">
      <c r="E157">
        <f>INDEX(A1:A5,2)</f>
        <v>5</v>
      </c>
    </row>
    <row r="158" spans="5:7" x14ac:dyDescent="0.25">
      <c r="E158">
        <f ca="1">OFFSET(A1,1,0)</f>
        <v>5</v>
      </c>
    </row>
    <row r="159" spans="5:7" x14ac:dyDescent="0.25">
      <c r="E159" cm="1">
        <f t="array" aca="1" ref="E159" ca="1">INDIRECT("A1")</f>
        <v>5</v>
      </c>
    </row>
    <row r="160" spans="5:7" x14ac:dyDescent="0.25">
      <c r="E160" cm="1">
        <f t="array" ref="E160:G160">TRANSPOSE(A1:A3)</f>
        <v>5</v>
      </c>
      <c r="F160">
        <v>5</v>
      </c>
      <c r="G160">
        <v>5</v>
      </c>
    </row>
    <row r="161" spans="5:5" x14ac:dyDescent="0.25">
      <c r="E161">
        <f>ROW(A1)</f>
        <v>1</v>
      </c>
    </row>
    <row r="162" spans="5:5" x14ac:dyDescent="0.25">
      <c r="E162">
        <f>COLUMN(A1)</f>
        <v>1</v>
      </c>
    </row>
    <row r="163" spans="5:5" x14ac:dyDescent="0.25">
      <c r="E163">
        <f>ROWS(A1:A3)</f>
        <v>3</v>
      </c>
    </row>
    <row r="164" spans="5:5" x14ac:dyDescent="0.25">
      <c r="E164">
        <f>COLUMNS(A1:B1)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2026-10-16T08:07:34Z</dcterms:created>
  <dcterms:modified xsi:type="dcterms:W3CDTF">2026-10-16T08:07:41Z</dcterms:modified>
</cp:coreProperties>
</file>