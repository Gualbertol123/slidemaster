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D0A68F01-195D-463F-BE1A-FC1DB4C6E25F}" xr6:coauthVersionLast="47" xr6:coauthVersionMax="47" xr10:uidLastSave="{00000000-0000-0000-0000-000000000000}"/>
  <bookViews>
    <workbookView xWindow="1520" yWindow="1520" windowWidth="14400" windowHeight="8170" firstSheet="2" activeTab="2" xr2:uid="{5B9E3B14-8B7F-4B67-A69C-D8DDA3238DDB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11" i="2" l="1"/>
  <c r="C3" i="3"/>
  <c r="B10" i="2"/>
  <c r="B3" i="2"/>
  <c r="B4" i="2"/>
  <c r="E5" i="3" s="1"/>
  <c r="B8" i="2" l="1"/>
  <c r="D7" i="3"/>
  <c r="B9" i="2"/>
  <c r="F7" i="3" s="1"/>
  <c r="B6" i="2"/>
  <c r="D6" i="2" s="1"/>
  <c r="D5" i="3"/>
  <c r="F5" i="3" s="1"/>
  <c r="D8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<sst xmlns="http://schemas.openxmlformats.org/spreadsheetml/2006/main" count="35" uniqueCount="25">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</sst>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Città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2656.57</v>
          </cell>
        </row>
        <row r="3">
          <cell r="C3">
            <v>3394.3</v>
          </cell>
        </row>
        <row r="7">
          <cell r="C7">
            <v>0.59590032766897816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7034A-46DB-468A-889A-CAB3FD6E485B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04B9D-0142-44C2-8ECA-42900D461C77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Città</v>
      </c>
    </row>
    <row r="3" spans="1:4" x14ac:dyDescent="0.25">
      <c r="A3" t="s">
        <v>14</v>
      </c>
      <c r="B3">
        <f>[1]Calcoli!$C$2</f>
        <v>2656.57</v>
      </c>
    </row>
    <row r="4" spans="1:4" x14ac:dyDescent="0.25">
      <c r="A4" t="s">
        <v>1</v>
      </c>
      <c r="B4">
        <f>_xlfn.XLOOKUP(B2,Peers!A2:A9,Peers!B2:B9,0)</f>
        <v>2690</v>
      </c>
    </row>
    <row r="5" spans="1:4" x14ac:dyDescent="0.25">
      <c r="A5" t="s">
        <v>2</v>
      </c>
      <c r="B5">
        <f>VLOOKUP(B2,Peers!A2:D9,3,FALSE)</f>
        <v>3480</v>
      </c>
    </row>
    <row r="6" spans="1:4" x14ac:dyDescent="0.25">
      <c r="A6" t="s">
        <v>15</v>
      </c>
      <c r="B6">
        <f>B3-B4</f>
        <v>-33.429999999999836</v>
      </c>
      <c r="C6" t="s">
        <v>16</v>
      </c>
      <c r="D6">
        <f>IFERROR(B6/B4,0)</f>
        <v>-1.2427509293680236E-2</v>
      </c>
    </row>
    <row r="7" spans="1:4" x14ac:dyDescent="0.25">
      <c r="A7" t="s">
        <v>17</v>
      </c>
      <c r="B7">
        <f>[1]Calcoli!$C$3</f>
        <v>3394.3</v>
      </c>
    </row>
    <row r="8" spans="1:4" x14ac:dyDescent="0.25">
      <c r="A8" t="s">
        <v>18</v>
      </c>
      <c r="B8">
        <f>[1]Calcoli!$C$7</f>
        <v>0.59590032766897816</v>
      </c>
    </row>
    <row r="9" spans="1:4" x14ac:dyDescent="0.25">
      <c r="A9" t="s">
        <v>19</v>
      </c>
      <c r="B9">
        <f>B8-INDEX(Peers!D2:D9,MATCH(B2,Peers!A2:A9,0))</f>
        <v>-1.4099672331021829E-2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2824.5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EB72D-EB62-4F9A-832D-BB16E0BCE798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Città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2656.57</v>
      </c>
      <c r="E5" s="1">
        <f>Compare!B4</f>
        <v>2690</v>
      </c>
      <c r="F5" s="1">
        <f>D5-E5</f>
        <v>-33.429999999999836</v>
      </c>
    </row>
    <row r="6" spans="2:7" x14ac:dyDescent="0.25">
      <c r="C6" t="s">
        <v>17</v>
      </c>
      <c r="D6" s="1">
        <f>Compare!B7</f>
        <v>3394.3</v>
      </c>
      <c r="E6" s="1">
        <f>Compare!B5</f>
        <v>3480</v>
      </c>
      <c r="F6" s="1">
        <f>D6-E6</f>
        <v>-85.699999999999818</v>
      </c>
    </row>
    <row r="7" spans="2:7" x14ac:dyDescent="0.25">
      <c r="C7" t="s">
        <v>18</v>
      </c>
      <c r="D7" s="2">
        <f>Compare!B8</f>
        <v>0.59590032766897816</v>
      </c>
      <c r="E7" s="2">
        <f>Compare!B8-Compare!B9</f>
        <v>0.61</v>
      </c>
      <c r="F7" s="2">
        <f>Compare!B9</f>
        <v>-1.4099672331021829E-2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2026-10-17T12:19:47Z</dcterms:created>
  <dcterms:modified xsi:type="dcterms:W3CDTF">2026-10-17T12:19:50Z</dcterms:modified>
</cp:coreProperties>
</file>