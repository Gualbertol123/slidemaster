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7B198CDA-B6E7-4955-9B46-33E0A8830C40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D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C11" i="4" s="1"/>
  <c r="B9" i="1"/>
  <c r="B10" i="1" s="1"/>
  <c r="D13" i="5" s="1"/>
  <c r="B7" i="1"/>
  <c r="D12" i="4" s="1"/>
  <c r="B6" i="1"/>
  <c r="E14" i="4" s="1"/>
  <c r="E11" i="5" s="1"/>
  <c r="B3" i="1"/>
  <c r="D14" i="4" s="1"/>
  <c r="E12" i="4" l="1"/>
  <c r="D6" i="4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<sst xmlns="http://schemas.openxmlformats.org/spreadsheetml/2006/main" count="297" uniqueCount="70">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</sst>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-3.5898230088495624E-2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12</v>
      </c>
    </row>
    <row r="3" spans="1:2" x14ac:dyDescent="0.25">
      <c r="A3" t="s">
        <v>39</v>
      </c>
      <c r="B3">
        <f>MATCH(B2,Anagrafica!A2:A9,0)</f>
        <v>3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B103</v>
      </c>
    </row>
    <row r="7" spans="1:2" x14ac:dyDescent="0.25">
      <c r="A7" t="s">
        <v>6</v>
      </c>
      <c r="B7" t="str">
        <f>_xlfn.XLOOKUP(B2,Anagrafica!A2:A9,Anagrafica!C2:C9,"n.d.")</f>
        <v>Centro</v>
      </c>
    </row>
    <row r="8" spans="1:2" x14ac:dyDescent="0.25">
      <c r="A8" t="s">
        <v>41</v>
      </c>
      <c r="B8" t="str">
        <f>B2&amp;" ("&amp;B6&amp;") - mese "&amp;TEXT(B4,"00")</f>
        <v>Banca Centro (B103)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Verdi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-3.5898230088495624E-2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2178.87</v>
      </c>
      <c r="D2">
        <f>SUMIFS(Dati!$C$2:$C$97,Dati!$A$2:$A$97,Controllo!$B$2,Dati!$B$2:$B$97,Controllo!$B$4-1)</f>
        <v>2221.63</v>
      </c>
      <c r="E2">
        <f>SUMIFS(Dati!$C$2:$C$97,Dati!$A$2:$A$97,Controllo!$B$2,Dati!$B$2:$B$97,"&lt;="&amp;Controllo!$B$4)</f>
        <v>19430.019999999997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2771.3</v>
      </c>
      <c r="D3">
        <f>SUMIFS(Dati!$D$2:$D$97,Dati!$A$2:$A$97,Controllo!$B$2,Dati!$B$2:$B$97,Controllo!$B$4-1)</f>
        <v>2874.4</v>
      </c>
      <c r="E3">
        <f>SUMIFS(Dati!$D$2:$D$97,Dati!$A$2:$A$97,Controllo!$B$2,Dati!$B$2:$B$97,"&lt;="&amp;Controllo!$B$4)</f>
        <v>24901.400000000005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66.48</v>
      </c>
      <c r="D4">
        <f>SUMIFS(Dati!$E$2:$E$97,Dati!$A$2:$A$97,Controllo!$B$2,Dati!$B$2:$B$97,Controllo!$B$4-1)</f>
        <v>62.12</v>
      </c>
      <c r="E4">
        <f>SUMIFS(Dati!$E$2:$E$97,Dati!$A$2:$A$97,Controllo!$B$2,Dati!$B$2:$B$97,"&lt;="&amp;Controllo!$B$4)</f>
        <v>579.41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113.19</v>
      </c>
      <c r="D5">
        <f>SUMIFS(Dati!$F$2:$F$97,Dati!$A$2:$A$97,Controllo!$B$2,Dati!$B$2:$B$97,Controllo!$B$4-1)</f>
        <v>107.9</v>
      </c>
      <c r="E5">
        <f>SUMIFS(Dati!$F$2:$F$97,Dati!$A$2:$A$97,Controllo!$B$2,Dati!$B$2:$B$97,"&lt;="&amp;Controllo!$B$4)</f>
        <v>998.05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46.709999999999994</v>
      </c>
      <c r="D6">
        <f>D5-D4</f>
        <v>45.780000000000008</v>
      </c>
      <c r="E6">
        <f>E5-E4</f>
        <v>418.64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0.58733103631062822</v>
      </c>
      <c r="D7">
        <f>IFERROR(D4/D5,0)</f>
        <v>0.5757182576459684</v>
      </c>
      <c r="E7">
        <f>IFERROR(E4/E5,0)</f>
        <v>0.58054205701117179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0.78620000000000001</v>
      </c>
      <c r="D8">
        <f>ROUND(D2/D3,4)</f>
        <v>0.77290000000000003</v>
      </c>
      <c r="E8">
        <f>ROUND(E2/E3,4)</f>
        <v>0.78029999999999999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-42.760000000000218</v>
      </c>
      <c r="D9">
        <f>(C2-D2)/D2</f>
        <v>-1.9247129359974531E-2</v>
      </c>
      <c r="E9" t="str">
        <f>IF(C2&gt;D2,"in crescita","in calo")</f>
        <v>in calo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2255.1304499999997</v>
      </c>
      <c r="D10">
        <f>D2*(1+Controllo!$B$5)</f>
        <v>2299.3870499999998</v>
      </c>
      <c r="E10">
        <f>E2*(1+Controllo!$B$5/12*Controllo!$B$4)</f>
        <v>19940.058024999998</v>
      </c>
    </row>
    <row r="11" spans="1:7" x14ac:dyDescent="0.25">
      <c r="A11" t="s">
        <v>54</v>
      </c>
      <c r="C11">
        <f>_xlfn.XLOOKUP(Controllo!$B$2,Anagrafica!$A$2:$A$9,Anagrafica!$E$2:$E$9)*Controllo!$B$12*12</f>
        <v>2822.3999999999996</v>
      </c>
      <c r="D11">
        <f>INDEX(Anagrafica!$E$2:$E$9,MATCH(Controllo!$B$2,Anagrafica!$A$2:$A$9,0))</f>
        <v>2240</v>
      </c>
      <c r="E11">
        <f>C2/C12</f>
        <v>0.90120857667554544</v>
      </c>
    </row>
    <row r="12" spans="1:7" x14ac:dyDescent="0.25">
      <c r="A12" t="s">
        <v>55</v>
      </c>
      <c r="C12">
        <f>AVERAGEIFS(Dati!$C$2:$C$97,Dati!$G$2:$G$97,Controllo!$B$7,Dati!$B$2:$B$97,Controllo!$B$4)</f>
        <v>2417.7200000000003</v>
      </c>
      <c r="D12">
        <f>COUNTIFS(Dati!$G$2:$G$97,Controllo!$B$7,Dati!$B$2:$B$97,Controllo!$B$4)</f>
        <v>2</v>
      </c>
      <c r="E12">
        <f>C2-C13</f>
        <v>-98.480000000000018</v>
      </c>
    </row>
    <row r="13" spans="1:7" x14ac:dyDescent="0.25">
      <c r="A13" t="s">
        <v>56</v>
      </c>
      <c r="C13">
        <f>_xlfn.MAXIFS(Dati!$C$2:$C$97,Dati!$A$2:$A$97,Controllo!$B$2)</f>
        <v>2277.35</v>
      </c>
      <c r="D13">
        <f>_xlfn.MINIFS(Dati!$C$2:$C$97,Dati!$A$2:$A$97,Controllo!$B$2)</f>
        <v>2094.58</v>
      </c>
      <c r="E13">
        <f>SUMPRODUCT((Dati!$A$2:$A$97=Controllo!$B$2)*(Dati!$B$2:$B$97&lt;=Controllo!$B$4)*Dati!$D$2:$D$97)</f>
        <v>24901.400000000005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tre</v>
      </c>
      <c r="E14" t="str">
        <f>UPPER(LEFT(Controllo!$B$2,5))&amp;"-"&amp;Controllo!$B$6</f>
        <v>BANCA-B103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78.62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Centro (B103)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2178.87</v>
      </c>
      <c r="E5" s="3">
        <f>Calcoli!D2</f>
        <v>2221.63</v>
      </c>
      <c r="F5" s="3">
        <f>D5-E5</f>
        <v>-42.760000000000218</v>
      </c>
      <c r="G5" s="2">
        <f>IFERROR(F5/E5,"-")</f>
        <v>-1.9247129359974531E-2</v>
      </c>
    </row>
    <row r="6" spans="2:8" x14ac:dyDescent="0.25">
      <c r="C6" t="s">
        <v>3</v>
      </c>
      <c r="D6" s="3">
        <f>Calcoli!C3</f>
        <v>2771.3</v>
      </c>
      <c r="E6" s="3">
        <f>Calcoli!D3</f>
        <v>2874.4</v>
      </c>
      <c r="F6" s="3">
        <f>D6-E6</f>
        <v>-103.09999999999991</v>
      </c>
      <c r="G6" s="2">
        <f>IFERROR(F6/E6,"-")</f>
        <v>-3.586835513498466E-2</v>
      </c>
    </row>
    <row r="7" spans="2:8" x14ac:dyDescent="0.25">
      <c r="C7" t="s">
        <v>4</v>
      </c>
      <c r="D7" s="3">
        <f>Calcoli!C4</f>
        <v>66.48</v>
      </c>
      <c r="E7" s="3">
        <f>Calcoli!D4</f>
        <v>62.12</v>
      </c>
      <c r="F7" s="3">
        <f>D7-E7</f>
        <v>4.3600000000000065</v>
      </c>
      <c r="G7" s="2">
        <f>IFERROR(F7/E7,"-")</f>
        <v>7.0186735350933782E-2</v>
      </c>
    </row>
    <row r="8" spans="2:8" x14ac:dyDescent="0.25">
      <c r="C8" t="s">
        <v>5</v>
      </c>
      <c r="D8" s="3">
        <f>Calcoli!C5</f>
        <v>113.19</v>
      </c>
      <c r="E8" s="3">
        <f>Calcoli!D5</f>
        <v>107.9</v>
      </c>
      <c r="F8" s="3">
        <f>D8-E8</f>
        <v>5.289999999999992</v>
      </c>
      <c r="G8" s="2">
        <f>IFERROR(F8/E8,"-")</f>
        <v>4.9026876737720035E-2</v>
      </c>
    </row>
    <row r="9" spans="2:8" x14ac:dyDescent="0.25">
      <c r="C9" t="s">
        <v>49</v>
      </c>
      <c r="D9" s="3">
        <f>Calcoli!C6</f>
        <v>46.709999999999994</v>
      </c>
      <c r="E9" s="3">
        <f>Calcoli!D6</f>
        <v>45.780000000000008</v>
      </c>
      <c r="F9" s="3">
        <f>D9-E9</f>
        <v>0.9299999999999855</v>
      </c>
      <c r="G9" s="2">
        <f>IFERROR(F9/E9,"-")</f>
        <v>2.0314547837483297E-2</v>
      </c>
    </row>
    <row r="10" spans="2:8" x14ac:dyDescent="0.25">
      <c r="C10" t="s">
        <v>50</v>
      </c>
      <c r="D10" s="2">
        <f>Calcoli!C7</f>
        <v>0.58733103631062822</v>
      </c>
      <c r="E10" s="2">
        <f>Calcoli!D7</f>
        <v>0.5757182576459684</v>
      </c>
      <c r="F10" s="2">
        <f>D10-E10</f>
        <v>1.1612778664659817E-2</v>
      </c>
    </row>
    <row r="11" spans="2:8" x14ac:dyDescent="0.25">
      <c r="C11" t="s">
        <v>20</v>
      </c>
      <c r="D11" t="str">
        <f>Controllo!B11</f>
        <v>Verdi</v>
      </c>
      <c r="E11" t="str">
        <f>Calcoli!E14</f>
        <v>BANCA-B103</v>
      </c>
    </row>
    <row r="12" spans="2:8" x14ac:dyDescent="0.25">
      <c r="C12" t="s">
        <v>63</v>
      </c>
      <c r="D12">
        <f>Controllo!B13</f>
        <v>-3.5898230088495624E-2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Centro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0</v>
      </c>
      <c r="F5" s="2">
        <f>IFERROR(E5/SUM($E$5:$E$12),0)</f>
        <v>0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2178.87</v>
      </c>
      <c r="F7" s="2">
        <f>IFERROR(E7/SUM($E$5:$E$12),0)</f>
        <v>0.45060428833777272</v>
      </c>
      <c r="G7" t="str">
        <f>IF(C7=Controllo!$B$2,"◀","")</f>
        <v>◀</v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2656.57</v>
      </c>
      <c r="F8" s="2">
        <f>IFERROR(E8/SUM($E$5:$E$12),0)</f>
        <v>0.54939571166222723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0</v>
      </c>
      <c r="F10" s="2">
        <f>IFERROR(E10/SUM($E$5:$E$12),0)</f>
        <v>0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0</v>
      </c>
      <c r="F11" s="2">
        <f>IFERROR(E11/SUM($E$5:$E$12),0)</f>
        <v>0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0</v>
      </c>
      <c r="F12" s="2">
        <f>IFERROR(E12/SUM($E$5:$E$12),0)</f>
        <v>0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4835.4400000000005</v>
      </c>
      <c r="F13" s="2">
        <f>SUM(F5:F12)</f>
        <v>1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6.36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