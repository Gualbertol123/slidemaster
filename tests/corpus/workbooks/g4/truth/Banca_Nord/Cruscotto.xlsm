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7EF12EA6-0CB1-424B-B468-FC50408D5FC0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E12" i="4" s="1"/>
  <c r="D11" i="4"/>
  <c r="C11" i="4"/>
  <c r="E5" i="4"/>
  <c r="D5" i="4"/>
  <c r="D6" i="4" s="1"/>
  <c r="E9" i="5" s="1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B9" i="1"/>
  <c r="B10" i="1" s="1"/>
  <c r="D13" i="5" s="1"/>
  <c r="B7" i="1"/>
  <c r="D12" i="4" s="1"/>
  <c r="B6" i="1"/>
  <c r="E14" i="4" s="1"/>
  <c r="E11" i="5" s="1"/>
  <c r="B3" i="1"/>
  <c r="D14" i="4" s="1"/>
  <c r="E7" i="4" l="1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F7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10" i="5" l="1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<sst xmlns="http://schemas.openxmlformats.org/spreadsheetml/2006/main" count="297" uniqueCount="70">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</sst>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-0.12336428571428575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8</v>
      </c>
    </row>
    <row r="3" spans="1:2" x14ac:dyDescent="0.25">
      <c r="A3" t="s">
        <v>39</v>
      </c>
      <c r="B3">
        <f>MATCH(B2,Anagrafica!A2:A9,0)</f>
        <v>1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B101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Nord (B101)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Rossi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-0.12336428571428575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1227.29</v>
      </c>
      <c r="D2">
        <f>SUMIFS(Dati!$C$2:$C$97,Dati!$A$2:$A$97,Controllo!$B$2,Dati!$B$2:$B$97,Controllo!$B$4-1)</f>
        <v>1225.1300000000001</v>
      </c>
      <c r="E2">
        <f>SUMIFS(Dati!$C$2:$C$97,Dati!$A$2:$A$97,Controllo!$B$2,Dati!$B$2:$B$97,"&lt;="&amp;Controllo!$B$4)</f>
        <v>11106.36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1589.2</v>
      </c>
      <c r="D3">
        <f>SUMIFS(Dati!$D$2:$D$97,Dati!$A$2:$A$97,Controllo!$B$2,Dati!$B$2:$B$97,Controllo!$B$4-1)</f>
        <v>1582.9</v>
      </c>
      <c r="E3">
        <f>SUMIFS(Dati!$D$2:$D$97,Dati!$A$2:$A$97,Controllo!$B$2,Dati!$B$2:$B$97,"&lt;="&amp;Controllo!$B$4)</f>
        <v>14207.800000000001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32.590000000000003</v>
      </c>
      <c r="D4">
        <f>SUMIFS(Dati!$E$2:$E$97,Dati!$A$2:$A$97,Controllo!$B$2,Dati!$B$2:$B$97,Controllo!$B$4-1)</f>
        <v>35.119999999999997</v>
      </c>
      <c r="E4">
        <f>SUMIFS(Dati!$E$2:$E$97,Dati!$A$2:$A$97,Controllo!$B$2,Dati!$B$2:$B$97,"&lt;="&amp;Controllo!$B$4)</f>
        <v>321.54000000000008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59.3</v>
      </c>
      <c r="D5">
        <f>SUMIFS(Dati!$F$2:$F$97,Dati!$A$2:$A$97,Controllo!$B$2,Dati!$B$2:$B$97,Controllo!$B$4-1)</f>
        <v>65.45</v>
      </c>
      <c r="E5">
        <f>SUMIFS(Dati!$F$2:$F$97,Dati!$A$2:$A$97,Controllo!$B$2,Dati!$B$2:$B$97,"&lt;="&amp;Controllo!$B$4)</f>
        <v>547.21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26.709999999999994</v>
      </c>
      <c r="D6">
        <f>D5-D4</f>
        <v>30.330000000000005</v>
      </c>
      <c r="E6">
        <f>E5-E4</f>
        <v>225.66999999999996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0.54957841483979775</v>
      </c>
      <c r="D7">
        <f>IFERROR(D4/D5,0)</f>
        <v>0.53659281894576005</v>
      </c>
      <c r="E7">
        <f>IFERROR(E4/E5,0)</f>
        <v>0.58759891083861782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0.77229999999999999</v>
      </c>
      <c r="D8">
        <f>ROUND(D2/D3,4)</f>
        <v>0.77400000000000002</v>
      </c>
      <c r="E8">
        <f>ROUND(E2/E3,4)</f>
        <v>0.78169999999999995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2.1599999999998545</v>
      </c>
      <c r="D9">
        <f>(C2-D2)/D2</f>
        <v>1.7630782039455848E-3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1270.24515</v>
      </c>
      <c r="D10">
        <f>D2*(1+Controllo!$B$5)</f>
        <v>1268.00955</v>
      </c>
      <c r="E10">
        <f>E2*(1+Controllo!$B$5/12*Controllo!$B$4)</f>
        <v>11397.901950000001</v>
      </c>
    </row>
    <row r="11" spans="1:7" x14ac:dyDescent="0.25">
      <c r="A11" t="s">
        <v>54</v>
      </c>
      <c r="C11">
        <f>_xlfn.XLOOKUP(Controllo!$B$2,Anagrafica!$A$2:$A$9,Anagrafica!$E$2:$E$9)*Controllo!$B$12*12</f>
        <v>1638</v>
      </c>
      <c r="D11">
        <f>INDEX(Anagrafica!$E$2:$E$9,MATCH(Controllo!$B$2,Anagrafica!$A$2:$A$9,0))</f>
        <v>1300</v>
      </c>
      <c r="E11">
        <f>C2/C12</f>
        <v>0.36399765993242272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-61.559999999999945</v>
      </c>
    </row>
    <row r="13" spans="1:7" x14ac:dyDescent="0.25">
      <c r="A13" t="s">
        <v>56</v>
      </c>
      <c r="C13">
        <f>_xlfn.MAXIFS(Dati!$C$2:$C$97,Dati!$A$2:$A$97,Controllo!$B$2)</f>
        <v>1288.8499999999999</v>
      </c>
      <c r="D13">
        <f>_xlfn.MINIFS(Dati!$C$2:$C$97,Dati!$A$2:$A$97,Controllo!$B$2)</f>
        <v>1207.5999999999999</v>
      </c>
      <c r="E13">
        <f>SUMPRODUCT((Dati!$A$2:$A$97=Controllo!$B$2)*(Dati!$B$2:$B$97&lt;=Controllo!$B$4)*Dati!$D$2:$D$97)</f>
        <v>14207.800000000001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uno</v>
      </c>
      <c r="E14" t="str">
        <f>UPPER(LEFT(Controllo!$B$2,5))&amp;"-"&amp;Controllo!$B$6</f>
        <v>BANCA-B101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77.23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Nord (B101)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1227.29</v>
      </c>
      <c r="E5" s="3">
        <f>Calcoli!D2</f>
        <v>1225.1300000000001</v>
      </c>
      <c r="F5" s="3">
        <f>D5-E5</f>
        <v>2.1599999999998545</v>
      </c>
      <c r="G5" s="2">
        <f>IFERROR(F5/E5,"-")</f>
        <v>1.7630782039455848E-3</v>
      </c>
    </row>
    <row r="6" spans="2:8" x14ac:dyDescent="0.25">
      <c r="C6" t="s">
        <v>3</v>
      </c>
      <c r="D6" s="3">
        <f>Calcoli!C3</f>
        <v>1589.2</v>
      </c>
      <c r="E6" s="3">
        <f>Calcoli!D3</f>
        <v>1582.9</v>
      </c>
      <c r="F6" s="3">
        <f>D6-E6</f>
        <v>6.2999999999999545</v>
      </c>
      <c r="G6" s="2">
        <f>IFERROR(F6/E6,"-")</f>
        <v>3.9800366416071478E-3</v>
      </c>
    </row>
    <row r="7" spans="2:8" x14ac:dyDescent="0.25">
      <c r="C7" t="s">
        <v>4</v>
      </c>
      <c r="D7" s="3">
        <f>Calcoli!C4</f>
        <v>32.590000000000003</v>
      </c>
      <c r="E7" s="3">
        <f>Calcoli!D4</f>
        <v>35.119999999999997</v>
      </c>
      <c r="F7" s="3">
        <f>D7-E7</f>
        <v>-2.529999999999994</v>
      </c>
      <c r="G7" s="2">
        <f>IFERROR(F7/E7,"-")</f>
        <v>-7.2038724373576141E-2</v>
      </c>
    </row>
    <row r="8" spans="2:8" x14ac:dyDescent="0.25">
      <c r="C8" t="s">
        <v>5</v>
      </c>
      <c r="D8" s="3">
        <f>Calcoli!C5</f>
        <v>59.3</v>
      </c>
      <c r="E8" s="3">
        <f>Calcoli!D5</f>
        <v>65.45</v>
      </c>
      <c r="F8" s="3">
        <f>D8-E8</f>
        <v>-6.1500000000000057</v>
      </c>
      <c r="G8" s="2">
        <f>IFERROR(F8/E8,"-")</f>
        <v>-9.39648586707411E-2</v>
      </c>
    </row>
    <row r="9" spans="2:8" x14ac:dyDescent="0.25">
      <c r="C9" t="s">
        <v>49</v>
      </c>
      <c r="D9" s="3">
        <f>Calcoli!C6</f>
        <v>26.709999999999994</v>
      </c>
      <c r="E9" s="3">
        <f>Calcoli!D6</f>
        <v>30.330000000000005</v>
      </c>
      <c r="F9" s="3">
        <f>D9-E9</f>
        <v>-3.6200000000000117</v>
      </c>
      <c r="G9" s="2">
        <f>IFERROR(F9/E9,"-")</f>
        <v>-0.11935377514012566</v>
      </c>
    </row>
    <row r="10" spans="2:8" x14ac:dyDescent="0.25">
      <c r="C10" t="s">
        <v>50</v>
      </c>
      <c r="D10" s="2">
        <f>Calcoli!C7</f>
        <v>0.54957841483979775</v>
      </c>
      <c r="E10" s="2">
        <f>Calcoli!D7</f>
        <v>0.53659281894576005</v>
      </c>
      <c r="F10" s="2">
        <f>D10-E10</f>
        <v>1.2985595894037694E-2</v>
      </c>
    </row>
    <row r="11" spans="2:8" x14ac:dyDescent="0.25">
      <c r="C11" t="s">
        <v>20</v>
      </c>
      <c r="D11" t="str">
        <f>Controllo!B11</f>
        <v>Rossi</v>
      </c>
      <c r="E11" t="str">
        <f>Calcoli!E14</f>
        <v>BANCA-B101</v>
      </c>
    </row>
    <row r="12" spans="2:8" x14ac:dyDescent="0.25">
      <c r="C12" t="s">
        <v>63</v>
      </c>
      <c r="D12">
        <f>Controllo!B13</f>
        <v>-0.12336428571428575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>◀</v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3.58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