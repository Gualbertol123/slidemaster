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5173A69B-797F-4E9D-9FBD-4BE39B7B37EB}" xr6:coauthVersionLast="47" xr6:coauthVersionMax="47" xr10:uidLastSave="{00000000-0000-0000-0000-000000000000}"/>
  <bookViews>
    <workbookView xWindow="2660" yWindow="2660" windowWidth="14400" windowHeight="8170" firstSheet="1" activeTab="6" xr2:uid="{57AE9968-AEFB-473F-92BE-183CE338650D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D12" i="6" s="1"/>
  <c r="C11" i="6"/>
  <c r="G11" i="6" s="1"/>
  <c r="C10" i="6"/>
  <c r="G10" i="6" s="1"/>
  <c r="C9" i="6"/>
  <c r="D9" i="6" s="1"/>
  <c r="C8" i="6"/>
  <c r="D8" i="6" s="1"/>
  <c r="C7" i="6"/>
  <c r="G7" i="6" s="1"/>
  <c r="C6" i="6"/>
  <c r="G6" i="6" s="1"/>
  <c r="C5" i="6"/>
  <c r="D5" i="6" s="1"/>
  <c r="G9" i="4"/>
  <c r="G8" i="4"/>
  <c r="G7" i="4"/>
  <c r="G6" i="4"/>
  <c r="G5" i="4"/>
  <c r="G4" i="4"/>
  <c r="G3" i="4"/>
  <c r="G2" i="4"/>
  <c r="E13" i="4"/>
  <c r="D13" i="4"/>
  <c r="C13" i="4"/>
  <c r="D11" i="4"/>
  <c r="E5" i="4"/>
  <c r="D5" i="4"/>
  <c r="E8" i="5" s="1"/>
  <c r="C5" i="4"/>
  <c r="D8" i="5" s="1"/>
  <c r="E4" i="4"/>
  <c r="D4" i="4"/>
  <c r="E7" i="5" s="1"/>
  <c r="C4" i="4"/>
  <c r="D7" i="5" s="1"/>
  <c r="E3" i="4"/>
  <c r="D3" i="4"/>
  <c r="E6" i="5" s="1"/>
  <c r="C3" i="4"/>
  <c r="E2" i="4"/>
  <c r="E10" i="4" s="1"/>
  <c r="D2" i="4"/>
  <c r="D10" i="4" s="1"/>
  <c r="C2" i="4"/>
  <c r="C10" i="4" s="1"/>
  <c r="B12" i="1"/>
  <c r="C11" i="4" s="1"/>
  <c r="B9" i="1"/>
  <c r="E15" i="4" s="1"/>
  <c r="B7" i="1"/>
  <c r="C12" i="4" s="1"/>
  <c r="B6" i="1"/>
  <c r="B8" i="1" s="1"/>
  <c r="C3" i="5" s="1"/>
  <c r="B3" i="1"/>
  <c r="B11" i="1" s="1"/>
  <c r="D11" i="5" s="1"/>
  <c r="E12" i="4" l="1"/>
  <c r="F8" i="5"/>
  <c r="G8" i="5" s="1"/>
  <c r="G5" i="6"/>
  <c r="G12" i="6"/>
  <c r="F7" i="5"/>
  <c r="G7" i="5" s="1"/>
  <c r="E9" i="6"/>
  <c r="B10" i="1"/>
  <c r="D13" i="5" s="1"/>
  <c r="D14" i="4"/>
  <c r="D11" i="6"/>
  <c r="E8" i="6"/>
  <c r="G9" i="6"/>
  <c r="G8" i="6"/>
  <c r="E14" i="4"/>
  <c r="E11" i="5" s="1"/>
  <c r="E11" i="6"/>
  <c r="E12" i="6"/>
  <c r="E11" i="4"/>
  <c r="C15" i="4"/>
  <c r="C6" i="4"/>
  <c r="D9" i="5" s="1"/>
  <c r="C7" i="4"/>
  <c r="D10" i="5" s="1"/>
  <c r="E7" i="4"/>
  <c r="E5" i="6"/>
  <c r="D5" i="5"/>
  <c r="D12" i="4"/>
  <c r="D8" i="4"/>
  <c r="C8" i="4"/>
  <c r="D15" i="4" s="1"/>
  <c r="D6" i="6"/>
  <c r="E6" i="6" s="1"/>
  <c r="E6" i="4"/>
  <c r="D6" i="5"/>
  <c r="F6" i="5" s="1"/>
  <c r="G6" i="5" s="1"/>
  <c r="E8" i="4"/>
  <c r="C9" i="4"/>
  <c r="D10" i="6"/>
  <c r="E10" i="6" s="1"/>
  <c r="D9" i="4"/>
  <c r="D7" i="6"/>
  <c r="E7" i="6" s="1"/>
  <c r="B2" i="7"/>
  <c r="D7" i="4"/>
  <c r="E10" i="5" s="1"/>
  <c r="E5" i="5"/>
  <c r="E9" i="4"/>
  <c r="C3" i="6"/>
  <c r="D6" i="4"/>
  <c r="E9" i="5" s="1"/>
  <c r="C14" i="4"/>
  <c r="F9" i="5" l="1"/>
  <c r="G9" i="5" s="1"/>
  <c r="F10" i="5"/>
  <c r="F8" i="6"/>
  <c r="F7" i="6"/>
  <c r="F6" i="6"/>
  <c r="F10" i="6"/>
  <c r="F12" i="6"/>
  <c r="F9" i="6"/>
  <c r="F5" i="5"/>
  <c r="G5" i="5" s="1"/>
  <c r="B13" i="1"/>
  <c r="D12" i="5" s="1"/>
  <c r="F5" i="6"/>
  <c r="E13" i="6"/>
  <c r="F11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<sst xmlns="http://schemas.openxmlformats.org/spreadsheetml/2006/main" count="297" uniqueCount="70">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</sst>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1.6112179487179482E-2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8F7D-4CA7-4337-9EFC-20162A56B5E6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15</v>
      </c>
    </row>
    <row r="3" spans="1:2" x14ac:dyDescent="0.25">
      <c r="A3" t="s">
        <v>39</v>
      </c>
      <c r="B3">
        <f>MATCH(B2,Anagrafica!A2:A9,0)</f>
        <v>5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B105</v>
      </c>
    </row>
    <row r="7" spans="1:2" x14ac:dyDescent="0.25">
      <c r="A7" t="s">
        <v>6</v>
      </c>
      <c r="B7" t="str">
        <f>_xlfn.XLOOKUP(B2,Anagrafica!A2:A9,Anagrafica!C2:C9,"n.d.")</f>
        <v>Sud</v>
      </c>
    </row>
    <row r="8" spans="1:2" x14ac:dyDescent="0.25">
      <c r="A8" t="s">
        <v>41</v>
      </c>
      <c r="B8" t="str">
        <f>B2&amp;" ("&amp;B6&amp;") - mese "&amp;TEXT(B4,"00")</f>
        <v>Banca Isole (B105)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Russo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1.6112179487179482E-2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F60F-7930-441F-81CC-36528CF9213F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46023.597092291668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46054.597092418982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46082.597092418982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46113.597092418982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46143.597092418982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46174.597092418982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46204.597092418982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46235.597092418982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46266.597092418982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46296.597092418982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46327.597092418982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46357.597092418982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46023.597092418982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46054.597092418982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46082.597092418982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46113.597092418982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46143.597092418982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46174.597092418982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46204.597092418982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46235.597092418982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46266.597092418982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46296.597092418982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46327.597092418982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46357.597092418982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46023.597092418982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46054.597092418982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46082.597092418982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46113.597092418982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46143.597092418982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46174.597092418982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46204.597092418982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46235.597092418982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46266.597092418982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46296.597092418982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46327.597092418982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46357.597092418982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46023.597092418982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46054.597092418982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46082.597092418982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46113.597092418982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46143.597092418982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46174.597092418982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46204.597092418982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46235.597092418982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46266.597092418982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46296.597092418982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46327.597092418982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46357.597092418982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46023.597092418982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46054.597092418982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46082.597092418982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46113.597092418982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46143.597092418982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46174.597092418982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46204.597092418982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46235.597092418982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46266.597092418982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46296.597092418982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46327.597092418982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46357.597092418982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46023.597092418982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46054.597092418982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46082.597092418982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46113.597092418982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46143.597092418982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46174.597092418982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46204.597092418982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46235.597092418982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46266.597092418982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46296.597092418982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46327.597092418982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46357.597092418982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46023.597092418982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46054.597092418982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46082.597092418982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46113.597092418982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46143.597092418982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46174.597092418982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46204.597092418982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46235.597092418982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46266.597092418982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46296.597092418982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46327.597092418982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46357.597092418982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46023.597092418982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46054.597092418982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46082.597092418982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46113.597092418982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46143.597092418982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46174.597092418982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46204.597092418982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46235.597092418982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46266.597092418982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46296.597092418982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46327.597092418982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46357.597092418982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F9BC-58E9-477A-A646-536B178BC236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4C6C-EB75-4D2E-8FC4-B4A75DAFD364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3170.27</v>
      </c>
      <c r="D2">
        <f>SUMIFS(Dati!$C$2:$C$97,Dati!$A$2:$A$97,Controllo!$B$2,Dati!$B$2:$B$97,Controllo!$B$4-1)</f>
        <v>3169.72</v>
      </c>
      <c r="E2">
        <f>SUMIFS(Dati!$C$2:$C$97,Dati!$A$2:$A$97,Controllo!$B$2,Dati!$B$2:$B$97,"&lt;="&amp;Controllo!$B$4)</f>
        <v>27786.53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4077.4</v>
      </c>
      <c r="D3">
        <f>SUMIFS(Dati!$D$2:$D$97,Dati!$A$2:$A$97,Controllo!$B$2,Dati!$B$2:$B$97,Controllo!$B$4-1)</f>
        <v>3986.8</v>
      </c>
      <c r="E3">
        <f>SUMIFS(Dati!$D$2:$D$97,Dati!$A$2:$A$97,Controllo!$B$2,Dati!$B$2:$B$97,"&lt;="&amp;Controllo!$B$4)</f>
        <v>35661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97.43</v>
      </c>
      <c r="D4">
        <f>SUMIFS(Dati!$E$2:$E$97,Dati!$A$2:$A$97,Controllo!$B$2,Dati!$B$2:$B$97,Controllo!$B$4-1)</f>
        <v>92.31</v>
      </c>
      <c r="E4">
        <f>SUMIFS(Dati!$E$2:$E$97,Dati!$A$2:$A$97,Controllo!$B$2,Dati!$B$2:$B$97,"&lt;="&amp;Controllo!$B$4)</f>
        <v>838.55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153.19</v>
      </c>
      <c r="D5">
        <f>SUMIFS(Dati!$F$2:$F$97,Dati!$A$2:$A$97,Controllo!$B$2,Dati!$B$2:$B$97,Controllo!$B$4-1)</f>
        <v>155.86000000000001</v>
      </c>
      <c r="E5">
        <f>SUMIFS(Dati!$F$2:$F$97,Dati!$A$2:$A$97,Controllo!$B$2,Dati!$B$2:$B$97,"&lt;="&amp;Controllo!$B$4)</f>
        <v>1400.88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55.759999999999991</v>
      </c>
      <c r="D6">
        <f>D5-D4</f>
        <v>63.550000000000011</v>
      </c>
      <c r="E6">
        <f>E5-E4</f>
        <v>562.33000000000015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0.63600757229584182</v>
      </c>
      <c r="D7">
        <f>IFERROR(D4/D5,0)</f>
        <v>0.59226228666752212</v>
      </c>
      <c r="E7">
        <f>IFERROR(E4/E5,0)</f>
        <v>0.59858803038090336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0.77749999999999997</v>
      </c>
      <c r="D8">
        <f>ROUND(D2/D3,4)</f>
        <v>0.79510000000000003</v>
      </c>
      <c r="E8">
        <f>ROUND(E2/E3,4)</f>
        <v>0.7792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0.5500000000001819</v>
      </c>
      <c r="D9">
        <f>(C2-D2)/D2</f>
        <v>1.735169037013307E-4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3281.2294499999998</v>
      </c>
      <c r="D10">
        <f>D2*(1+Controllo!$B$5)</f>
        <v>3280.6601999999993</v>
      </c>
      <c r="E10">
        <f>E2*(1+Controllo!$B$5/12*Controllo!$B$4)</f>
        <v>28515.926412500001</v>
      </c>
    </row>
    <row r="11" spans="1:7" x14ac:dyDescent="0.25">
      <c r="A11" t="s">
        <v>54</v>
      </c>
      <c r="C11">
        <f>_xlfn.XLOOKUP(Controllo!$B$2,Anagrafica!$A$2:$A$9,Anagrafica!$E$2:$E$9)*Controllo!$B$12*12</f>
        <v>4006.7999999999997</v>
      </c>
      <c r="D11">
        <f>INDEX(Anagrafica!$E$2:$E$9,MATCH(Controllo!$B$2,Anagrafica!$A$2:$A$9,0))</f>
        <v>3180</v>
      </c>
      <c r="E11">
        <f>C2/C12</f>
        <v>1.2843290762328203</v>
      </c>
    </row>
    <row r="12" spans="1:7" x14ac:dyDescent="0.25">
      <c r="A12" t="s">
        <v>55</v>
      </c>
      <c r="C12">
        <f>AVERAGEIFS(Dati!$C$2:$C$97,Dati!$G$2:$G$97,Controllo!$B$7,Dati!$B$2:$B$97,Controllo!$B$4)</f>
        <v>2468.4250000000002</v>
      </c>
      <c r="D12">
        <f>COUNTIFS(Dati!$G$2:$G$97,Controllo!$B$7,Dati!$B$2:$B$97,Controllo!$B$4)</f>
        <v>2</v>
      </c>
      <c r="E12">
        <f>C2-C13</f>
        <v>-58.090000000000146</v>
      </c>
    </row>
    <row r="13" spans="1:7" x14ac:dyDescent="0.25">
      <c r="A13" t="s">
        <v>56</v>
      </c>
      <c r="C13">
        <f>_xlfn.MAXIFS(Dati!$C$2:$C$97,Dati!$A$2:$A$97,Controllo!$B$2)</f>
        <v>3228.36</v>
      </c>
      <c r="D13">
        <f>_xlfn.MINIFS(Dati!$C$2:$C$97,Dati!$A$2:$A$97,Controllo!$B$2)</f>
        <v>3026.55</v>
      </c>
      <c r="E13">
        <f>SUMPRODUCT((Dati!$A$2:$A$97=Controllo!$B$2)*(Dati!$B$2:$B$97&lt;=Controllo!$B$4)*Dati!$D$2:$D$97)</f>
        <v>35661</v>
      </c>
    </row>
    <row r="14" spans="1:7" x14ac:dyDescent="0.25">
      <c r="A14" t="s">
        <v>57</v>
      </c>
      <c r="C14">
        <f>RANK(C2,$G$2:$G$9)</f>
        <v>4</v>
      </c>
      <c r="D14" t="str">
        <f>CHOOSE(Controllo!$B$3,"uno","due","tre","quattro","cinque","sei","sette","otto")</f>
        <v>cinque</v>
      </c>
      <c r="E14" t="str">
        <f>UPPER(LEFT(Controllo!$B$2,5))&amp;"-"&amp;Controllo!$B$6</f>
        <v>BANCA-B105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77.75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EA14-1EB4-4021-9411-D2C556B632EC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Isole (B105)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3170.27</v>
      </c>
      <c r="E5" s="3">
        <f>Calcoli!D2</f>
        <v>3169.72</v>
      </c>
      <c r="F5" s="3">
        <f>D5-E5</f>
        <v>0.5500000000001819</v>
      </c>
      <c r="G5" s="2">
        <f>IFERROR(F5/E5,"-")</f>
        <v>1.735169037013307E-4</v>
      </c>
    </row>
    <row r="6" spans="2:8" x14ac:dyDescent="0.25">
      <c r="C6" t="s">
        <v>3</v>
      </c>
      <c r="D6" s="3">
        <f>Calcoli!C3</f>
        <v>4077.4</v>
      </c>
      <c r="E6" s="3">
        <f>Calcoli!D3</f>
        <v>3986.8</v>
      </c>
      <c r="F6" s="3">
        <f>D6-E6</f>
        <v>90.599999999999909</v>
      </c>
      <c r="G6" s="2">
        <f>IFERROR(F6/E6,"-")</f>
        <v>2.2724992475168029E-2</v>
      </c>
    </row>
    <row r="7" spans="2:8" x14ac:dyDescent="0.25">
      <c r="C7" t="s">
        <v>4</v>
      </c>
      <c r="D7" s="3">
        <f>Calcoli!C4</f>
        <v>97.43</v>
      </c>
      <c r="E7" s="3">
        <f>Calcoli!D4</f>
        <v>92.31</v>
      </c>
      <c r="F7" s="3">
        <f>D7-E7</f>
        <v>5.1200000000000045</v>
      </c>
      <c r="G7" s="2">
        <f>IFERROR(F7/E7,"-")</f>
        <v>5.5465280034665845E-2</v>
      </c>
    </row>
    <row r="8" spans="2:8" x14ac:dyDescent="0.25">
      <c r="C8" t="s">
        <v>5</v>
      </c>
      <c r="D8" s="3">
        <f>Calcoli!C5</f>
        <v>153.19</v>
      </c>
      <c r="E8" s="3">
        <f>Calcoli!D5</f>
        <v>155.86000000000001</v>
      </c>
      <c r="F8" s="3">
        <f>D8-E8</f>
        <v>-2.6700000000000159</v>
      </c>
      <c r="G8" s="2">
        <f>IFERROR(F8/E8,"-")</f>
        <v>-1.7130758372898857E-2</v>
      </c>
    </row>
    <row r="9" spans="2:8" x14ac:dyDescent="0.25">
      <c r="C9" t="s">
        <v>49</v>
      </c>
      <c r="D9" s="3">
        <f>Calcoli!C6</f>
        <v>55.759999999999991</v>
      </c>
      <c r="E9" s="3">
        <f>Calcoli!D6</f>
        <v>63.550000000000011</v>
      </c>
      <c r="F9" s="3">
        <f>D9-E9</f>
        <v>-7.7900000000000205</v>
      </c>
      <c r="G9" s="2">
        <f>IFERROR(F9/E9,"-")</f>
        <v>-0.12258064516129062</v>
      </c>
    </row>
    <row r="10" spans="2:8" x14ac:dyDescent="0.25">
      <c r="C10" t="s">
        <v>50</v>
      </c>
      <c r="D10" s="2">
        <f>Calcoli!C7</f>
        <v>0.63600757229584182</v>
      </c>
      <c r="E10" s="2">
        <f>Calcoli!D7</f>
        <v>0.59226228666752212</v>
      </c>
      <c r="F10" s="2">
        <f>D10-E10</f>
        <v>4.3745285628319697E-2</v>
      </c>
    </row>
    <row r="11" spans="2:8" x14ac:dyDescent="0.25">
      <c r="C11" t="s">
        <v>20</v>
      </c>
      <c r="D11" t="str">
        <f>Controllo!B11</f>
        <v>Russo</v>
      </c>
      <c r="E11" t="str">
        <f>Calcoli!E14</f>
        <v>BANCA-B105</v>
      </c>
    </row>
    <row r="12" spans="2:8" x14ac:dyDescent="0.25">
      <c r="C12" t="s">
        <v>63</v>
      </c>
      <c r="D12">
        <f>Controllo!B13</f>
        <v>1.6112179487179482E-2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A87D-C11D-404C-8AD0-5DD864BB7C3D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Sud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0</v>
      </c>
      <c r="F5" s="2">
        <f>IFERROR(E5/SUM($E$5:$E$12),0)</f>
        <v>0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1766.58</v>
      </c>
      <c r="F6" s="2">
        <f>IFERROR(E6/SUM($E$5:$E$12),0)</f>
        <v>0.35783546188358972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3170.27</v>
      </c>
      <c r="F9" s="2">
        <f>IFERROR(E9/SUM($E$5:$E$12),0)</f>
        <v>0.64216453811641017</v>
      </c>
      <c r="G9" t="str">
        <f>IF(C9=Controllo!$B$2,"◀","")</f>
        <v>◀</v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0</v>
      </c>
      <c r="F10" s="2">
        <f>IFERROR(E10/SUM($E$5:$E$12),0)</f>
        <v>0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0</v>
      </c>
      <c r="F11" s="2">
        <f>IFERROR(E11/SUM($E$5:$E$12),0)</f>
        <v>0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0</v>
      </c>
      <c r="F12" s="2">
        <f>IFERROR(E12/SUM($E$5:$E$12),0)</f>
        <v>0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4936.8500000000004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B92A-E6BD-4865-806C-DBBBF4F4BA94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9.25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