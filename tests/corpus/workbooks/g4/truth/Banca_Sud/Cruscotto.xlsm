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0582C11F-08B6-4501-9F28-359E5B2AE326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E12" i="4" s="1"/>
  <c r="D11" i="4"/>
  <c r="C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B9" i="1"/>
  <c r="B10" i="1" s="1"/>
  <c r="D13" i="5" s="1"/>
  <c r="B7" i="1"/>
  <c r="D12" i="4" s="1"/>
  <c r="B6" i="1"/>
  <c r="E14" i="4" s="1"/>
  <c r="E11" i="5" s="1"/>
  <c r="B3" i="1"/>
  <c r="D14" i="4" s="1"/>
  <c r="D6" i="4" l="1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<sst xmlns="http://schemas.openxmlformats.org/spreadsheetml/2006/main" count="297" uniqueCount="70">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</sst>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-3.4655737704918074E-2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10</v>
      </c>
    </row>
    <row r="3" spans="1:2" x14ac:dyDescent="0.25">
      <c r="A3" t="s">
        <v>39</v>
      </c>
      <c r="B3">
        <f>MATCH(B2,Anagrafica!A2:A9,0)</f>
        <v>2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B102</v>
      </c>
    </row>
    <row r="7" spans="1:2" x14ac:dyDescent="0.25">
      <c r="A7" t="s">
        <v>6</v>
      </c>
      <c r="B7" t="str">
        <f>_xlfn.XLOOKUP(B2,Anagrafica!A2:A9,Anagrafica!C2:C9,"n.d.")</f>
        <v>Sud</v>
      </c>
    </row>
    <row r="8" spans="1:2" x14ac:dyDescent="0.25">
      <c r="A8" t="s">
        <v>41</v>
      </c>
      <c r="B8" t="str">
        <f>B2&amp;" ("&amp;B6&amp;") - mese "&amp;TEXT(B4,"00")</f>
        <v>Banca Sud (B102)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Bianchi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-3.4655737704918074E-2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1766.58</v>
      </c>
      <c r="D2">
        <f>SUMIFS(Dati!$C$2:$C$97,Dati!$A$2:$A$97,Controllo!$B$2,Dati!$B$2:$B$97,Controllo!$B$4-1)</f>
        <v>1712.59</v>
      </c>
      <c r="E2">
        <f>SUMIFS(Dati!$C$2:$C$97,Dati!$A$2:$A$97,Controllo!$B$2,Dati!$B$2:$B$97,"&lt;="&amp;Controllo!$B$4)</f>
        <v>15376.510000000002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2269.1999999999998</v>
      </c>
      <c r="D3">
        <f>SUMIFS(Dati!$D$2:$D$97,Dati!$A$2:$A$97,Controllo!$B$2,Dati!$B$2:$B$97,Controllo!$B$4-1)</f>
        <v>2175.6</v>
      </c>
      <c r="E3">
        <f>SUMIFS(Dati!$D$2:$D$97,Dati!$A$2:$A$97,Controllo!$B$2,Dati!$B$2:$B$97,"&lt;="&amp;Controllo!$B$4)</f>
        <v>19530.099999999999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51.46</v>
      </c>
      <c r="D4">
        <f>SUMIFS(Dati!$E$2:$E$97,Dati!$A$2:$A$97,Controllo!$B$2,Dati!$B$2:$B$97,Controllo!$B$4-1)</f>
        <v>48.94</v>
      </c>
      <c r="E4">
        <f>SUMIFS(Dati!$E$2:$E$97,Dati!$A$2:$A$97,Controllo!$B$2,Dati!$B$2:$B$97,"&lt;="&amp;Controllo!$B$4)</f>
        <v>460.33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84.04</v>
      </c>
      <c r="D5">
        <f>SUMIFS(Dati!$F$2:$F$97,Dati!$A$2:$A$97,Controllo!$B$2,Dati!$B$2:$B$97,Controllo!$B$4-1)</f>
        <v>88.79</v>
      </c>
      <c r="E5">
        <f>SUMIFS(Dati!$F$2:$F$97,Dati!$A$2:$A$97,Controllo!$B$2,Dati!$B$2:$B$97,"&lt;="&amp;Controllo!$B$4)</f>
        <v>765.68999999999994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32.580000000000005</v>
      </c>
      <c r="D6">
        <f>D5-D4</f>
        <v>39.850000000000009</v>
      </c>
      <c r="E6">
        <f>E5-E4</f>
        <v>305.35999999999996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0.61232746311280339</v>
      </c>
      <c r="D7">
        <f>IFERROR(D4/D5,0)</f>
        <v>0.55118819686901677</v>
      </c>
      <c r="E7">
        <f>IFERROR(E4/E5,0)</f>
        <v>0.60119630659927648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0.77849999999999997</v>
      </c>
      <c r="D8">
        <f>ROUND(D2/D3,4)</f>
        <v>0.78720000000000001</v>
      </c>
      <c r="E8">
        <f>ROUND(E2/E3,4)</f>
        <v>0.7873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53.990000000000009</v>
      </c>
      <c r="D9">
        <f>(C2-D2)/D2</f>
        <v>3.1525350492528866E-2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1828.4102999999998</v>
      </c>
      <c r="D10">
        <f>D2*(1+Controllo!$B$5)</f>
        <v>1772.5306499999997</v>
      </c>
      <c r="E10">
        <f>E2*(1+Controllo!$B$5/12*Controllo!$B$4)</f>
        <v>15780.143387500004</v>
      </c>
    </row>
    <row r="11" spans="1:7" x14ac:dyDescent="0.25">
      <c r="A11" t="s">
        <v>54</v>
      </c>
      <c r="C11">
        <f>_xlfn.XLOOKUP(Controllo!$B$2,Anagrafica!$A$2:$A$9,Anagrafica!$E$2:$E$9)*Controllo!$B$12*12</f>
        <v>2230.1999999999998</v>
      </c>
      <c r="D11">
        <f>INDEX(Anagrafica!$E$2:$E$9,MATCH(Controllo!$B$2,Anagrafica!$A$2:$A$9,0))</f>
        <v>1770</v>
      </c>
      <c r="E11">
        <f>C2/C12</f>
        <v>0.71567092376717945</v>
      </c>
    </row>
    <row r="12" spans="1:7" x14ac:dyDescent="0.25">
      <c r="A12" t="s">
        <v>55</v>
      </c>
      <c r="C12">
        <f>AVERAGEIFS(Dati!$C$2:$C$97,Dati!$G$2:$G$97,Controllo!$B$7,Dati!$B$2:$B$97,Controllo!$B$4)</f>
        <v>2468.4250000000002</v>
      </c>
      <c r="D12">
        <f>COUNTIFS(Dati!$G$2:$G$97,Controllo!$B$7,Dati!$B$2:$B$97,Controllo!$B$4)</f>
        <v>2</v>
      </c>
      <c r="E12">
        <f>C2-C13</f>
        <v>0</v>
      </c>
    </row>
    <row r="13" spans="1:7" x14ac:dyDescent="0.25">
      <c r="A13" t="s">
        <v>56</v>
      </c>
      <c r="C13">
        <f>_xlfn.MAXIFS(Dati!$C$2:$C$97,Dati!$A$2:$A$97,Controllo!$B$2)</f>
        <v>1766.58</v>
      </c>
      <c r="D13">
        <f>_xlfn.MINIFS(Dati!$C$2:$C$97,Dati!$A$2:$A$97,Controllo!$B$2)</f>
        <v>1653.22</v>
      </c>
      <c r="E13">
        <f>SUMPRODUCT((Dati!$A$2:$A$97=Controllo!$B$2)*(Dati!$B$2:$B$97&lt;=Controllo!$B$4)*Dati!$D$2:$D$97)</f>
        <v>19530.099999999999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due</v>
      </c>
      <c r="E14" t="str">
        <f>UPPER(LEFT(Controllo!$B$2,5))&amp;"-"&amp;Controllo!$B$6</f>
        <v>BANCA-B102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77.849999999999994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Sud (B102)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1766.58</v>
      </c>
      <c r="E5" s="3">
        <f>Calcoli!D2</f>
        <v>1712.59</v>
      </c>
      <c r="F5" s="3">
        <f>D5-E5</f>
        <v>53.990000000000009</v>
      </c>
      <c r="G5" s="2">
        <f>IFERROR(F5/E5,"-")</f>
        <v>3.1525350492528866E-2</v>
      </c>
    </row>
    <row r="6" spans="2:8" x14ac:dyDescent="0.25">
      <c r="C6" t="s">
        <v>3</v>
      </c>
      <c r="D6" s="3">
        <f>Calcoli!C3</f>
        <v>2269.1999999999998</v>
      </c>
      <c r="E6" s="3">
        <f>Calcoli!D3</f>
        <v>2175.6</v>
      </c>
      <c r="F6" s="3">
        <f>D6-E6</f>
        <v>93.599999999999909</v>
      </c>
      <c r="G6" s="2">
        <f>IFERROR(F6/E6,"-")</f>
        <v>4.3022614451185839E-2</v>
      </c>
    </row>
    <row r="7" spans="2:8" x14ac:dyDescent="0.25">
      <c r="C7" t="s">
        <v>4</v>
      </c>
      <c r="D7" s="3">
        <f>Calcoli!C4</f>
        <v>51.46</v>
      </c>
      <c r="E7" s="3">
        <f>Calcoli!D4</f>
        <v>48.94</v>
      </c>
      <c r="F7" s="3">
        <f>D7-E7</f>
        <v>2.5200000000000031</v>
      </c>
      <c r="G7" s="2">
        <f>IFERROR(F7/E7,"-")</f>
        <v>5.149162239476917E-2</v>
      </c>
    </row>
    <row r="8" spans="2:8" x14ac:dyDescent="0.25">
      <c r="C8" t="s">
        <v>5</v>
      </c>
      <c r="D8" s="3">
        <f>Calcoli!C5</f>
        <v>84.04</v>
      </c>
      <c r="E8" s="3">
        <f>Calcoli!D5</f>
        <v>88.79</v>
      </c>
      <c r="F8" s="3">
        <f>D8-E8</f>
        <v>-4.75</v>
      </c>
      <c r="G8" s="2">
        <f>IFERROR(F8/E8,"-")</f>
        <v>-5.34970154296655E-2</v>
      </c>
    </row>
    <row r="9" spans="2:8" x14ac:dyDescent="0.25">
      <c r="C9" t="s">
        <v>49</v>
      </c>
      <c r="D9" s="3">
        <f>Calcoli!C6</f>
        <v>32.580000000000005</v>
      </c>
      <c r="E9" s="3">
        <f>Calcoli!D6</f>
        <v>39.850000000000009</v>
      </c>
      <c r="F9" s="3">
        <f>D9-E9</f>
        <v>-7.2700000000000031</v>
      </c>
      <c r="G9" s="2">
        <f>IFERROR(F9/E9,"-")</f>
        <v>-0.18243412797992475</v>
      </c>
    </row>
    <row r="10" spans="2:8" x14ac:dyDescent="0.25">
      <c r="C10" t="s">
        <v>50</v>
      </c>
      <c r="D10" s="2">
        <f>Calcoli!C7</f>
        <v>0.61232746311280339</v>
      </c>
      <c r="E10" s="2">
        <f>Calcoli!D7</f>
        <v>0.55118819686901677</v>
      </c>
      <c r="F10" s="2">
        <f>D10-E10</f>
        <v>6.1139266243786627E-2</v>
      </c>
    </row>
    <row r="11" spans="2:8" x14ac:dyDescent="0.25">
      <c r="C11" t="s">
        <v>20</v>
      </c>
      <c r="D11" t="str">
        <f>Controllo!B11</f>
        <v>Bianchi</v>
      </c>
      <c r="E11" t="str">
        <f>Calcoli!E14</f>
        <v>BANCA-B102</v>
      </c>
    </row>
    <row r="12" spans="2:8" x14ac:dyDescent="0.25">
      <c r="C12" t="s">
        <v>63</v>
      </c>
      <c r="D12">
        <f>Controllo!B13</f>
        <v>-3.4655737704918074E-2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Sud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1766.58</v>
      </c>
      <c r="F6" s="2">
        <f>IFERROR(E6/SUM($E$5:$E$12),0)</f>
        <v>0.35783546188358972</v>
      </c>
      <c r="G6" t="str">
        <f>IF(C6=Controllo!$B$2,"◀","")</f>
        <v>◀</v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3170.27</v>
      </c>
      <c r="F9" s="2">
        <f>IFERROR(E9/SUM($E$5:$E$12),0)</f>
        <v>0.64216453811641017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4936.8500000000004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5.15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