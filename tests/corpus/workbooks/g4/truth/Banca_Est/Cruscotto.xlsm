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059A2C57-1E6B-4581-9F0E-60FA727DF2E7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<sst xmlns="http://schemas.openxmlformats.org/spreadsheetml/2006/main" count="297" uniqueCount="70">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</sst>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1.4236619718309848E-2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16</v>
      </c>
    </row>
    <row r="3" spans="1:2" x14ac:dyDescent="0.25">
      <c r="A3" t="s">
        <v>39</v>
      </c>
      <c r="B3">
        <f>MATCH(B2,Anagrafica!A2:A9,0)</f>
        <v>6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B106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Est (B106)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Colombo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1.4236619718309848E-2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3600.54</v>
      </c>
      <c r="D2">
        <f>SUMIFS(Dati!$C$2:$C$97,Dati!$A$2:$A$97,Controllo!$B$2,Dati!$B$2:$B$97,Controllo!$B$4-1)</f>
        <v>3590.29</v>
      </c>
      <c r="E2">
        <f>SUMIFS(Dati!$C$2:$C$97,Dati!$A$2:$A$97,Controllo!$B$2,Dati!$B$2:$B$97,"&lt;="&amp;Controllo!$B$4)</f>
        <v>31971.610000000004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4675.5</v>
      </c>
      <c r="D3">
        <f>SUMIFS(Dati!$D$2:$D$97,Dati!$A$2:$A$97,Controllo!$B$2,Dati!$B$2:$B$97,Controllo!$B$4-1)</f>
        <v>4681.5</v>
      </c>
      <c r="E3">
        <f>SUMIFS(Dati!$D$2:$D$97,Dati!$A$2:$A$97,Controllo!$B$2,Dati!$B$2:$B$97,"&lt;="&amp;Controllo!$B$4)</f>
        <v>41386.299999999996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104.85</v>
      </c>
      <c r="D4">
        <f>SUMIFS(Dati!$E$2:$E$97,Dati!$A$2:$A$97,Controllo!$B$2,Dati!$B$2:$B$97,Controllo!$B$4-1)</f>
        <v>111.9</v>
      </c>
      <c r="E4">
        <f>SUMIFS(Dati!$E$2:$E$97,Dati!$A$2:$A$97,Controllo!$B$2,Dati!$B$2:$B$97,"&lt;="&amp;Controllo!$B$4)</f>
        <v>947.18999999999994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182.64</v>
      </c>
      <c r="D5">
        <f>SUMIFS(Dati!$F$2:$F$97,Dati!$A$2:$A$97,Controllo!$B$2,Dati!$B$2:$B$97,Controllo!$B$4-1)</f>
        <v>185.37</v>
      </c>
      <c r="E5">
        <f>SUMIFS(Dati!$F$2:$F$97,Dati!$A$2:$A$97,Controllo!$B$2,Dati!$B$2:$B$97,"&lt;="&amp;Controllo!$B$4)</f>
        <v>1650.6599999999999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77.789999999999992</v>
      </c>
      <c r="D6">
        <f>D5-D4</f>
        <v>73.47</v>
      </c>
      <c r="E6">
        <f>E5-E4</f>
        <v>703.46999999999991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0.57408015768725362</v>
      </c>
      <c r="D7">
        <f>IFERROR(D4/D5,0)</f>
        <v>0.60365754976533426</v>
      </c>
      <c r="E7">
        <f>IFERROR(E4/E5,0)</f>
        <v>0.57382501544836617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0.77010000000000001</v>
      </c>
      <c r="D8">
        <f>ROUND(D2/D3,4)</f>
        <v>0.76690000000000003</v>
      </c>
      <c r="E8">
        <f>ROUND(E2/E3,4)</f>
        <v>0.77249999999999996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10.25</v>
      </c>
      <c r="D9">
        <f>(C2-D2)/D2</f>
        <v>2.8549225828554238E-3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3726.5588999999995</v>
      </c>
      <c r="D10">
        <f>D2*(1+Controllo!$B$5)</f>
        <v>3715.9501499999997</v>
      </c>
      <c r="E10">
        <f>E2*(1+Controllo!$B$5/12*Controllo!$B$4)</f>
        <v>32810.864762500009</v>
      </c>
    </row>
    <row r="11" spans="1:7" x14ac:dyDescent="0.25">
      <c r="A11" t="s">
        <v>54</v>
      </c>
      <c r="C11">
        <f>_xlfn.XLOOKUP(Controllo!$B$2,Anagrafica!$A$2:$A$9,Anagrafica!$E$2:$E$9)*Controllo!$B$12*12</f>
        <v>4599</v>
      </c>
      <c r="D11">
        <f>INDEX(Anagrafica!$E$2:$E$9,MATCH(Controllo!$B$2,Anagrafica!$A$2:$A$9,0))</f>
        <v>3650</v>
      </c>
      <c r="E11">
        <f>C2/C12</f>
        <v>1.0678715988014937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-89.490000000000236</v>
      </c>
    </row>
    <row r="13" spans="1:7" x14ac:dyDescent="0.25">
      <c r="A13" t="s">
        <v>56</v>
      </c>
      <c r="C13">
        <f>_xlfn.MAXIFS(Dati!$C$2:$C$97,Dati!$A$2:$A$97,Controllo!$B$2)</f>
        <v>3690.03</v>
      </c>
      <c r="D13">
        <f>_xlfn.MINIFS(Dati!$C$2:$C$97,Dati!$A$2:$A$97,Controllo!$B$2)</f>
        <v>3462.64</v>
      </c>
      <c r="E13">
        <f>SUMPRODUCT((Dati!$A$2:$A$97=Controllo!$B$2)*(Dati!$B$2:$B$97&lt;=Controllo!$B$4)*Dati!$D$2:$D$97)</f>
        <v>41386.299999999996</v>
      </c>
    </row>
    <row r="14" spans="1:7" x14ac:dyDescent="0.25">
      <c r="A14" t="s">
        <v>57</v>
      </c>
      <c r="C14">
        <f>RANK(C2,$G$2:$G$9)</f>
        <v>3</v>
      </c>
      <c r="D14" t="str">
        <f>CHOOSE(Controllo!$B$3,"uno","due","tre","quattro","cinque","sei","sette","otto")</f>
        <v>sei</v>
      </c>
      <c r="E14" t="str">
        <f>UPPER(LEFT(Controllo!$B$2,5))&amp;"-"&amp;Controllo!$B$6</f>
        <v>BANCA-B106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77.010000000000005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Est (B106)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3600.54</v>
      </c>
      <c r="E5" s="3">
        <f>Calcoli!D2</f>
        <v>3590.29</v>
      </c>
      <c r="F5" s="3">
        <f>D5-E5</f>
        <v>10.25</v>
      </c>
      <c r="G5" s="2">
        <f>IFERROR(F5/E5,"-")</f>
        <v>2.8549225828554238E-3</v>
      </c>
    </row>
    <row r="6" spans="2:8" x14ac:dyDescent="0.25">
      <c r="C6" t="s">
        <v>3</v>
      </c>
      <c r="D6" s="3">
        <f>Calcoli!C3</f>
        <v>4675.5</v>
      </c>
      <c r="E6" s="3">
        <f>Calcoli!D3</f>
        <v>4681.5</v>
      </c>
      <c r="F6" s="3">
        <f>D6-E6</f>
        <v>-6</v>
      </c>
      <c r="G6" s="2">
        <f>IFERROR(F6/E6,"-")</f>
        <v>-1.2816404998397949E-3</v>
      </c>
    </row>
    <row r="7" spans="2:8" x14ac:dyDescent="0.25">
      <c r="C7" t="s">
        <v>4</v>
      </c>
      <c r="D7" s="3">
        <f>Calcoli!C4</f>
        <v>104.85</v>
      </c>
      <c r="E7" s="3">
        <f>Calcoli!D4</f>
        <v>111.9</v>
      </c>
      <c r="F7" s="3">
        <f>D7-E7</f>
        <v>-7.0500000000000114</v>
      </c>
      <c r="G7" s="2">
        <f>IFERROR(F7/E7,"-")</f>
        <v>-6.3002680965147551E-2</v>
      </c>
    </row>
    <row r="8" spans="2:8" x14ac:dyDescent="0.25">
      <c r="C8" t="s">
        <v>5</v>
      </c>
      <c r="D8" s="3">
        <f>Calcoli!C5</f>
        <v>182.64</v>
      </c>
      <c r="E8" s="3">
        <f>Calcoli!D5</f>
        <v>185.37</v>
      </c>
      <c r="F8" s="3">
        <f>D8-E8</f>
        <v>-2.7300000000000182</v>
      </c>
      <c r="G8" s="2">
        <f>IFERROR(F8/E8,"-")</f>
        <v>-1.4727302152451952E-2</v>
      </c>
    </row>
    <row r="9" spans="2:8" x14ac:dyDescent="0.25">
      <c r="C9" t="s">
        <v>49</v>
      </c>
      <c r="D9" s="3">
        <f>Calcoli!C6</f>
        <v>77.789999999999992</v>
      </c>
      <c r="E9" s="3">
        <f>Calcoli!D6</f>
        <v>73.47</v>
      </c>
      <c r="F9" s="3">
        <f>D9-E9</f>
        <v>4.3199999999999932</v>
      </c>
      <c r="G9" s="2">
        <f>IFERROR(F9/E9,"-")</f>
        <v>5.8799510004083205E-2</v>
      </c>
    </row>
    <row r="10" spans="2:8" x14ac:dyDescent="0.25">
      <c r="C10" t="s">
        <v>50</v>
      </c>
      <c r="D10" s="2">
        <f>Calcoli!C7</f>
        <v>0.57408015768725362</v>
      </c>
      <c r="E10" s="2">
        <f>Calcoli!D7</f>
        <v>0.60365754976533426</v>
      </c>
      <c r="F10" s="2">
        <f>D10-E10</f>
        <v>-2.9577392078080633E-2</v>
      </c>
    </row>
    <row r="11" spans="2:8" x14ac:dyDescent="0.25">
      <c r="C11" t="s">
        <v>20</v>
      </c>
      <c r="D11" t="str">
        <f>Controllo!B11</f>
        <v>Colombo</v>
      </c>
      <c r="E11" t="str">
        <f>Calcoli!E14</f>
        <v>BANCA-B106</v>
      </c>
    </row>
    <row r="12" spans="2:8" x14ac:dyDescent="0.25">
      <c r="C12" t="s">
        <v>63</v>
      </c>
      <c r="D12">
        <f>Controllo!B13</f>
        <v>1.4236619718309848E-2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>◀</v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