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99BF8C1C-507A-4924-AB6B-21626BBC2F21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<sst xmlns="http://schemas.openxmlformats.org/spreadsheetml/2006/main" count="35" uniqueCount="25">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</sst>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Est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3600.54</v>
          </cell>
        </row>
        <row r="3">
          <cell r="C3">
            <v>4675.5</v>
          </cell>
        </row>
        <row r="7">
          <cell r="C7">
            <v>0.57408015768725362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Est</v>
      </c>
    </row>
    <row r="3" spans="1:4" x14ac:dyDescent="0.25">
      <c r="A3" t="s">
        <v>14</v>
      </c>
      <c r="B3">
        <f>[1]Calcoli!$C$2</f>
        <v>3600.54</v>
      </c>
    </row>
    <row r="4" spans="1:4" x14ac:dyDescent="0.25">
      <c r="A4" t="s">
        <v>1</v>
      </c>
      <c r="B4">
        <f>_xlfn.XLOOKUP(B2,Peers!A2:A9,Peers!B2:B9,0)</f>
        <v>3550</v>
      </c>
    </row>
    <row r="5" spans="1:4" x14ac:dyDescent="0.25">
      <c r="A5" t="s">
        <v>2</v>
      </c>
      <c r="B5">
        <f>VLOOKUP(B2,Peers!A2:D9,3,FALSE)</f>
        <v>4600</v>
      </c>
    </row>
    <row r="6" spans="1:4" x14ac:dyDescent="0.25">
      <c r="A6" t="s">
        <v>15</v>
      </c>
      <c r="B6">
        <f>B3-B4</f>
        <v>50.539999999999964</v>
      </c>
      <c r="C6" t="s">
        <v>16</v>
      </c>
      <c r="D6">
        <f>IFERROR(B6/B4,0)</f>
        <v>1.4236619718309848E-2</v>
      </c>
    </row>
    <row r="7" spans="1:4" x14ac:dyDescent="0.25">
      <c r="A7" t="s">
        <v>17</v>
      </c>
      <c r="B7">
        <f>[1]Calcoli!$C$3</f>
        <v>4675.5</v>
      </c>
    </row>
    <row r="8" spans="1:4" x14ac:dyDescent="0.25">
      <c r="A8" t="s">
        <v>18</v>
      </c>
      <c r="B8">
        <f>[1]Calcoli!$C$7</f>
        <v>0.57408015768725362</v>
      </c>
    </row>
    <row r="9" spans="1:4" x14ac:dyDescent="0.25">
      <c r="A9" t="s">
        <v>19</v>
      </c>
      <c r="B9">
        <f>B8-INDEX(Peers!D2:D9,MATCH(B2,Peers!A2:A9,0))</f>
        <v>-7.5919842312746399E-2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3727.5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Est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3600.54</v>
      </c>
      <c r="E5" s="1">
        <f>Compare!B4</f>
        <v>3550</v>
      </c>
      <c r="F5" s="1">
        <f>D5-E5</f>
        <v>50.539999999999964</v>
      </c>
    </row>
    <row r="6" spans="2:7" x14ac:dyDescent="0.25">
      <c r="C6" t="s">
        <v>17</v>
      </c>
      <c r="D6" s="1">
        <f>Compare!B7</f>
        <v>4675.5</v>
      </c>
      <c r="E6" s="1">
        <f>Compare!B5</f>
        <v>4600</v>
      </c>
      <c r="F6" s="1">
        <f>D6-E6</f>
        <v>75.5</v>
      </c>
    </row>
    <row r="7" spans="2:7" x14ac:dyDescent="0.25">
      <c r="C7" t="s">
        <v>18</v>
      </c>
      <c r="D7" s="2">
        <f>Compare!B8</f>
        <v>0.57408015768725362</v>
      </c>
      <c r="E7" s="2">
        <f>Compare!B8-Compare!B9</f>
        <v>0.65</v>
      </c>
      <c r="F7" s="2">
        <f>Compare!B9</f>
        <v>-7.5919842312746399E-2</v>
      </c>
    </row>
    <row r="8" spans="2:7" x14ac:dyDescent="0.25">
      <c r="C8" t="s">
        <v>24</v>
      </c>
      <c r="D8" t="str">
        <f>IF(F5&gt;=0,"above peers","below peers")</f>
        <v>above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