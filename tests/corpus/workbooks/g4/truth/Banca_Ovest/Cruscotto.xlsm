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25CE47CF-95B2-4FF8-B937-D66E8D3D0518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<sst xmlns="http://schemas.openxmlformats.org/spreadsheetml/2006/main" count="297" uniqueCount="70">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</sst>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2.486432160804021E-2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17</v>
      </c>
    </row>
    <row r="3" spans="1:2" x14ac:dyDescent="0.25">
      <c r="A3" t="s">
        <v>39</v>
      </c>
      <c r="B3">
        <f>MATCH(B2,Anagrafica!A2:A9,0)</f>
        <v>7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B107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Ovest (B107)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Ricci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2.486432160804021E-2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4078.96</v>
      </c>
      <c r="D2">
        <f>SUMIFS(Dati!$C$2:$C$97,Dati!$A$2:$A$97,Controllo!$B$2,Dati!$B$2:$B$97,Controllo!$B$4-1)</f>
        <v>4086.4</v>
      </c>
      <c r="E2">
        <f>SUMIFS(Dati!$C$2:$C$97,Dati!$A$2:$A$97,Controllo!$B$2,Dati!$B$2:$B$97,"&lt;="&amp;Controllo!$B$4)</f>
        <v>36062.800000000003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5295.5</v>
      </c>
      <c r="D3">
        <f>SUMIFS(Dati!$D$2:$D$97,Dati!$A$2:$A$97,Controllo!$B$2,Dati!$B$2:$B$97,Controllo!$B$4-1)</f>
        <v>5236.2</v>
      </c>
      <c r="E3">
        <f>SUMIFS(Dati!$D$2:$D$97,Dati!$A$2:$A$97,Controllo!$B$2,Dati!$B$2:$B$97,"&lt;="&amp;Controllo!$B$4)</f>
        <v>46760.600000000006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125.39</v>
      </c>
      <c r="D4">
        <f>SUMIFS(Dati!$E$2:$E$97,Dati!$A$2:$A$97,Controllo!$B$2,Dati!$B$2:$B$97,Controllo!$B$4-1)</f>
        <v>117.19</v>
      </c>
      <c r="E4">
        <f>SUMIFS(Dati!$E$2:$E$97,Dati!$A$2:$A$97,Controllo!$B$2,Dati!$B$2:$B$97,"&lt;="&amp;Controllo!$B$4)</f>
        <v>1088.71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203.68</v>
      </c>
      <c r="D5">
        <f>SUMIFS(Dati!$F$2:$F$97,Dati!$A$2:$A$97,Controllo!$B$2,Dati!$B$2:$B$97,Controllo!$B$4-1)</f>
        <v>196.89</v>
      </c>
      <c r="E5">
        <f>SUMIFS(Dati!$F$2:$F$97,Dati!$A$2:$A$97,Controllo!$B$2,Dati!$B$2:$B$97,"&lt;="&amp;Controllo!$B$4)</f>
        <v>1819.43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78.290000000000006</v>
      </c>
      <c r="D6">
        <f>D5-D4</f>
        <v>79.699999999999989</v>
      </c>
      <c r="E6">
        <f>E5-E4</f>
        <v>730.72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0.61562254516889237</v>
      </c>
      <c r="D7">
        <f>IFERROR(D4/D5,0)</f>
        <v>0.59520544466453351</v>
      </c>
      <c r="E7">
        <f>IFERROR(E4/E5,0)</f>
        <v>0.59837971232748721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0.77029999999999998</v>
      </c>
      <c r="D8">
        <f>ROUND(D2/D3,4)</f>
        <v>0.78039999999999998</v>
      </c>
      <c r="E8">
        <f>ROUND(E2/E3,4)</f>
        <v>0.7712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-7.4400000000000546</v>
      </c>
      <c r="D9">
        <f>(C2-D2)/D2</f>
        <v>-1.8206734534064347E-3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4221.7235999999994</v>
      </c>
      <c r="D10">
        <f>D2*(1+Controllo!$B$5)</f>
        <v>4229.424</v>
      </c>
      <c r="E10">
        <f>E2*(1+Controllo!$B$5/12*Controllo!$B$4)</f>
        <v>37009.448500000006</v>
      </c>
    </row>
    <row r="11" spans="1:7" x14ac:dyDescent="0.25">
      <c r="A11" t="s">
        <v>54</v>
      </c>
      <c r="C11">
        <f>_xlfn.XLOOKUP(Controllo!$B$2,Anagrafica!$A$2:$A$9,Anagrafica!$E$2:$E$9)*Controllo!$B$12*12</f>
        <v>5191.2</v>
      </c>
      <c r="D11">
        <f>INDEX(Anagrafica!$E$2:$E$9,MATCH(Controllo!$B$2,Anagrafica!$A$2:$A$9,0))</f>
        <v>4120</v>
      </c>
      <c r="E11">
        <f>C2/C12</f>
        <v>1.2097645177243805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-94.890000000000327</v>
      </c>
    </row>
    <row r="13" spans="1:7" x14ac:dyDescent="0.25">
      <c r="A13" t="s">
        <v>56</v>
      </c>
      <c r="C13">
        <f>_xlfn.MAXIFS(Dati!$C$2:$C$97,Dati!$A$2:$A$97,Controllo!$B$2)</f>
        <v>4173.8500000000004</v>
      </c>
      <c r="D13">
        <f>_xlfn.MINIFS(Dati!$C$2:$C$97,Dati!$A$2:$A$97,Controllo!$B$2)</f>
        <v>3893.09</v>
      </c>
      <c r="E13">
        <f>SUMPRODUCT((Dati!$A$2:$A$97=Controllo!$B$2)*(Dati!$B$2:$B$97&lt;=Controllo!$B$4)*Dati!$D$2:$D$97)</f>
        <v>46760.600000000006</v>
      </c>
    </row>
    <row r="14" spans="1:7" x14ac:dyDescent="0.25">
      <c r="A14" t="s">
        <v>57</v>
      </c>
      <c r="C14">
        <f>RANK(C2,$G$2:$G$9)</f>
        <v>2</v>
      </c>
      <c r="D14" t="str">
        <f>CHOOSE(Controllo!$B$3,"uno","due","tre","quattro","cinque","sei","sette","otto")</f>
        <v>sette</v>
      </c>
      <c r="E14" t="str">
        <f>UPPER(LEFT(Controllo!$B$2,5))&amp;"-"&amp;Controllo!$B$6</f>
        <v>BANCA-B107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77.03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Ovest (B107)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4078.96</v>
      </c>
      <c r="E5" s="3">
        <f>Calcoli!D2</f>
        <v>4086.4</v>
      </c>
      <c r="F5" s="3">
        <f>D5-E5</f>
        <v>-7.4400000000000546</v>
      </c>
      <c r="G5" s="2">
        <f>IFERROR(F5/E5,"-")</f>
        <v>-1.8206734534064347E-3</v>
      </c>
    </row>
    <row r="6" spans="2:8" x14ac:dyDescent="0.25">
      <c r="C6" t="s">
        <v>3</v>
      </c>
      <c r="D6" s="3">
        <f>Calcoli!C3</f>
        <v>5295.5</v>
      </c>
      <c r="E6" s="3">
        <f>Calcoli!D3</f>
        <v>5236.2</v>
      </c>
      <c r="F6" s="3">
        <f>D6-E6</f>
        <v>59.300000000000182</v>
      </c>
      <c r="G6" s="2">
        <f>IFERROR(F6/E6,"-")</f>
        <v>1.1325006684236695E-2</v>
      </c>
    </row>
    <row r="7" spans="2:8" x14ac:dyDescent="0.25">
      <c r="C7" t="s">
        <v>4</v>
      </c>
      <c r="D7" s="3">
        <f>Calcoli!C4</f>
        <v>125.39</v>
      </c>
      <c r="E7" s="3">
        <f>Calcoli!D4</f>
        <v>117.19</v>
      </c>
      <c r="F7" s="3">
        <f>D7-E7</f>
        <v>8.2000000000000028</v>
      </c>
      <c r="G7" s="2">
        <f>IFERROR(F7/E7,"-")</f>
        <v>6.9971840600733873E-2</v>
      </c>
    </row>
    <row r="8" spans="2:8" x14ac:dyDescent="0.25">
      <c r="C8" t="s">
        <v>5</v>
      </c>
      <c r="D8" s="3">
        <f>Calcoli!C5</f>
        <v>203.68</v>
      </c>
      <c r="E8" s="3">
        <f>Calcoli!D5</f>
        <v>196.89</v>
      </c>
      <c r="F8" s="3">
        <f>D8-E8</f>
        <v>6.7900000000000205</v>
      </c>
      <c r="G8" s="2">
        <f>IFERROR(F8/E8,"-")</f>
        <v>3.4486261364213629E-2</v>
      </c>
    </row>
    <row r="9" spans="2:8" x14ac:dyDescent="0.25">
      <c r="C9" t="s">
        <v>49</v>
      </c>
      <c r="D9" s="3">
        <f>Calcoli!C6</f>
        <v>78.290000000000006</v>
      </c>
      <c r="E9" s="3">
        <f>Calcoli!D6</f>
        <v>79.699999999999989</v>
      </c>
      <c r="F9" s="3">
        <f>D9-E9</f>
        <v>-1.4099999999999824</v>
      </c>
      <c r="G9" s="2">
        <f>IFERROR(F9/E9,"-")</f>
        <v>-1.7691342534504172E-2</v>
      </c>
    </row>
    <row r="10" spans="2:8" x14ac:dyDescent="0.25">
      <c r="C10" t="s">
        <v>50</v>
      </c>
      <c r="D10" s="2">
        <f>Calcoli!C7</f>
        <v>0.61562254516889237</v>
      </c>
      <c r="E10" s="2">
        <f>Calcoli!D7</f>
        <v>0.59520544466453351</v>
      </c>
      <c r="F10" s="2">
        <f>D10-E10</f>
        <v>2.0417100504358854E-2</v>
      </c>
    </row>
    <row r="11" spans="2:8" x14ac:dyDescent="0.25">
      <c r="C11" t="s">
        <v>20</v>
      </c>
      <c r="D11" t="str">
        <f>Controllo!B11</f>
        <v>Ricci</v>
      </c>
      <c r="E11" t="str">
        <f>Calcoli!E14</f>
        <v>BANCA-B107</v>
      </c>
    </row>
    <row r="12" spans="2:8" x14ac:dyDescent="0.25">
      <c r="C12" t="s">
        <v>63</v>
      </c>
      <c r="D12">
        <f>Controllo!B13</f>
        <v>2.486432160804021E-2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>◀</v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