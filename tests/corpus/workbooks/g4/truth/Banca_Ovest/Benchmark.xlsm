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U508169\Downloads\claude\slidemaster-lf\tests\corpus\workbooks\g4\"/>
    </mc:Choice>
  </mc:AlternateContent>
  <xr:revisionPtr revIDLastSave="0" documentId="8_{50ACAE44-7368-4EDC-9177-35459403F0E4}" xr6:coauthVersionLast="47" xr6:coauthVersionMax="47" xr10:uidLastSave="{00000000-0000-0000-0000-000000000000}"/>
  <bookViews>
    <workbookView xWindow="1520" yWindow="1520" windowWidth="14400" windowHeight="8170" firstSheet="2" activeTab="2" xr2:uid="{5B9E3B14-8B7F-4B67-A69C-D8DDA3238DDB}"/>
  </bookViews>
  <sheets>
    <sheet name="Peers" sheetId="1" r:id="rId1"/>
    <sheet name="Compare" sheetId="2" r:id="rId2"/>
    <sheet name="SLIDE Benchmark" sheetId="3" r:id="rId3"/>
  </sheets>
  <externalReferences>
    <externalReference r:id="rId4"/>
  </externalReferenc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B2" i="2" l="1"/>
  <c r="B5" i="2" s="1"/>
  <c r="E6" i="3" s="1"/>
  <c r="B7" i="2"/>
  <c r="D6" i="3" s="1"/>
  <c r="F6" i="3" s="1"/>
  <c r="B11" i="2" l="1"/>
  <c r="C3" i="3"/>
  <c r="B10" i="2"/>
  <c r="B3" i="2"/>
  <c r="B4" i="2"/>
  <c r="E5" i="3" s="1"/>
  <c r="B8" i="2" l="1"/>
  <c r="D7" i="3"/>
  <c r="B9" i="2"/>
  <c r="F7" i="3" s="1"/>
  <c r="B6" i="2"/>
  <c r="D6" i="2" s="1"/>
  <c r="D5" i="3"/>
  <c r="F5" i="3" s="1"/>
  <c r="D8" i="3" s="1"/>
  <c r="E7" i="3" l="1"/>
</calcChain>
</file>

<file path=xl/sharedStrings.xml><?xml version="1.0" encoding="utf-8"?>
<sst xmlns="http://schemas.openxmlformats.org/spreadsheetml/2006/main" count="35" uniqueCount="25">
  <si>
    <t>Bank</t>
  </si>
  <si>
    <t>Peer loans</t>
  </si>
  <si>
    <t>Peer deposits</t>
  </si>
  <si>
    <t>Peer cost/income</t>
  </si>
  <si>
    <t>Banca Nord</t>
  </si>
  <si>
    <t>Banca Sud</t>
  </si>
  <si>
    <t>Banca Centro</t>
  </si>
  <si>
    <t>Banca Città</t>
  </si>
  <si>
    <t>Banca Isole</t>
  </si>
  <si>
    <t>Banca Est</t>
  </si>
  <si>
    <t>Banca Ovest</t>
  </si>
  <si>
    <t>Banca Alpi</t>
  </si>
  <si>
    <t>Item</t>
  </si>
  <si>
    <t>Value</t>
  </si>
  <si>
    <t>Loans</t>
  </si>
  <si>
    <t>Gap</t>
  </si>
  <si>
    <t>Gap %</t>
  </si>
  <si>
    <t>Deposits</t>
  </si>
  <si>
    <t>Cost/income</t>
  </si>
  <si>
    <t>C/I vs peers</t>
  </si>
  <si>
    <t>Label</t>
  </si>
  <si>
    <t>Weighted</t>
  </si>
  <si>
    <t>x</t>
  </si>
  <si>
    <t>Peers</t>
  </si>
  <si>
    <t>Position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</si>
</sst>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#,##0.0"/>
    <numFmt numFmtId="165" formatCode="0.0%"/>
  </numFmts>
  <fonts count="1" x14ac:knownFonts="1">
    <font>
      <sz val="10"/>
      <color theme="1"/>
      <name val="Century Gothic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164" fontId="0" fillId="0" borderId="0" xfId="0" applyNumberFormat="1"/>
    <xf numFmtId="165" fontId="0" fillId="0" borderId="0" xfId="0" applyNumberFormat="1"/>
  </cellXfs>
  <cellStyles count="1">
    <cellStyle name="Normale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Cruscotto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ntrollo"/>
      <sheetName val="Dati"/>
      <sheetName val="Anagrafica"/>
      <sheetName val="Calcoli"/>
      <sheetName val="SLIDE Sintesi"/>
      <sheetName val="SLIDE Area"/>
      <sheetName val="Macro"/>
    </sheetNames>
    <sheetDataSet>
      <sheetData sheetId="0">
        <row r="2">
          <cell r="B2" t="str">
            <v>Banca Ovest</v>
          </cell>
        </row>
        <row r="9">
          <cell r="B9">
            <v>46295</v>
          </cell>
        </row>
      </sheetData>
      <sheetData sheetId="1"/>
      <sheetData sheetId="2"/>
      <sheetData sheetId="3">
        <row r="2">
          <cell r="C2">
            <v>4078.96</v>
          </cell>
        </row>
        <row r="3">
          <cell r="C3">
            <v>5295.5</v>
          </cell>
        </row>
        <row r="7">
          <cell r="C7">
            <v>0.61562254516889237</v>
          </cell>
        </row>
      </sheetData>
      <sheetData sheetId="4"/>
      <sheetData sheetId="5"/>
      <sheetData sheetId="6"/>
    </sheetDataSet>
  </externalBook>
</externalLink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D7034A-46DB-468A-889A-CAB3FD6E485B}">
  <dimension ref="A1:D9"/>
  <sheetViews>
    <sheetView workbookViewId="0"/>
  </sheetViews>
  <sheetFormatPr defaultRowHeight="12.5" x14ac:dyDescent="0.25"/>
  <sheetData>
    <row r="1" spans="1:4" x14ac:dyDescent="0.25">
      <c r="A1" t="s">
        <v>0</v>
      </c>
      <c r="B1" t="s">
        <v>1</v>
      </c>
      <c r="C1" t="s">
        <v>2</v>
      </c>
      <c r="D1" t="s">
        <v>3</v>
      </c>
    </row>
    <row r="2" spans="1:4" x14ac:dyDescent="0.25">
      <c r="A2" t="s">
        <v>4</v>
      </c>
      <c r="B2">
        <v>1400</v>
      </c>
      <c r="C2">
        <v>1800</v>
      </c>
      <c r="D2">
        <v>0.55000000000000004</v>
      </c>
    </row>
    <row r="3" spans="1:4" x14ac:dyDescent="0.25">
      <c r="A3" t="s">
        <v>5</v>
      </c>
      <c r="B3">
        <v>1830</v>
      </c>
      <c r="C3">
        <v>2360</v>
      </c>
      <c r="D3">
        <v>0.56999999999999995</v>
      </c>
    </row>
    <row r="4" spans="1:4" x14ac:dyDescent="0.25">
      <c r="A4" t="s">
        <v>6</v>
      </c>
      <c r="B4">
        <v>2260</v>
      </c>
      <c r="C4">
        <v>2920</v>
      </c>
      <c r="D4">
        <v>0.59</v>
      </c>
    </row>
    <row r="5" spans="1:4" x14ac:dyDescent="0.25">
      <c r="A5" t="s">
        <v>7</v>
      </c>
      <c r="B5">
        <v>2690</v>
      </c>
      <c r="C5">
        <v>3480</v>
      </c>
      <c r="D5">
        <v>0.61</v>
      </c>
    </row>
    <row r="6" spans="1:4" x14ac:dyDescent="0.25">
      <c r="A6" t="s">
        <v>8</v>
      </c>
      <c r="B6">
        <v>3120</v>
      </c>
      <c r="C6">
        <v>4040</v>
      </c>
      <c r="D6">
        <v>0.63</v>
      </c>
    </row>
    <row r="7" spans="1:4" x14ac:dyDescent="0.25">
      <c r="A7" t="s">
        <v>9</v>
      </c>
      <c r="B7">
        <v>3550</v>
      </c>
      <c r="C7">
        <v>4600</v>
      </c>
      <c r="D7">
        <v>0.65</v>
      </c>
    </row>
    <row r="8" spans="1:4" x14ac:dyDescent="0.25">
      <c r="A8" t="s">
        <v>10</v>
      </c>
      <c r="B8">
        <v>3980</v>
      </c>
      <c r="C8">
        <v>5160</v>
      </c>
      <c r="D8">
        <v>0.67</v>
      </c>
    </row>
    <row r="9" spans="1:4" x14ac:dyDescent="0.25">
      <c r="A9" t="s">
        <v>11</v>
      </c>
      <c r="B9">
        <v>4410</v>
      </c>
      <c r="C9">
        <v>5720</v>
      </c>
      <c r="D9">
        <v>0.69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904B9D-0142-44C2-8ECA-42900D461C77}">
  <dimension ref="A1:D11"/>
  <sheetViews>
    <sheetView workbookViewId="0"/>
  </sheetViews>
  <sheetFormatPr defaultRowHeight="12.5" x14ac:dyDescent="0.25"/>
  <sheetData>
    <row r="1" spans="1:4" x14ac:dyDescent="0.25">
      <c r="A1" t="s">
        <v>12</v>
      </c>
      <c r="B1" t="s">
        <v>13</v>
      </c>
    </row>
    <row r="2" spans="1:4" x14ac:dyDescent="0.25">
      <c r="A2" t="s">
        <v>0</v>
      </c>
      <c r="B2" t="str">
        <f>[1]Controllo!$B$2</f>
        <v>Banca Ovest</v>
      </c>
    </row>
    <row r="3" spans="1:4" x14ac:dyDescent="0.25">
      <c r="A3" t="s">
        <v>14</v>
      </c>
      <c r="B3">
        <f>[1]Calcoli!$C$2</f>
        <v>4078.96</v>
      </c>
    </row>
    <row r="4" spans="1:4" x14ac:dyDescent="0.25">
      <c r="A4" t="s">
        <v>1</v>
      </c>
      <c r="B4">
        <f>_xlfn.XLOOKUP(B2,Peers!A2:A9,Peers!B2:B9,0)</f>
        <v>3980</v>
      </c>
    </row>
    <row r="5" spans="1:4" x14ac:dyDescent="0.25">
      <c r="A5" t="s">
        <v>2</v>
      </c>
      <c r="B5">
        <f>VLOOKUP(B2,Peers!A2:D9,3,FALSE)</f>
        <v>5160</v>
      </c>
    </row>
    <row r="6" spans="1:4" x14ac:dyDescent="0.25">
      <c r="A6" t="s">
        <v>15</v>
      </c>
      <c r="B6">
        <f>B3-B4</f>
        <v>98.960000000000036</v>
      </c>
      <c r="C6" t="s">
        <v>16</v>
      </c>
      <c r="D6">
        <f>IFERROR(B6/B4,0)</f>
        <v>2.486432160804021E-2</v>
      </c>
    </row>
    <row r="7" spans="1:4" x14ac:dyDescent="0.25">
      <c r="A7" t="s">
        <v>17</v>
      </c>
      <c r="B7">
        <f>[1]Calcoli!$C$3</f>
        <v>5295.5</v>
      </c>
    </row>
    <row r="8" spans="1:4" x14ac:dyDescent="0.25">
      <c r="A8" t="s">
        <v>18</v>
      </c>
      <c r="B8">
        <f>[1]Calcoli!$C$7</f>
        <v>0.61562254516889237</v>
      </c>
    </row>
    <row r="9" spans="1:4" x14ac:dyDescent="0.25">
      <c r="A9" t="s">
        <v>19</v>
      </c>
      <c r="B9">
        <f>B8-INDEX(Peers!D2:D9,MATCH(B2,Peers!A2:A9,0))</f>
        <v>-5.4377454831107674E-2</v>
      </c>
    </row>
    <row r="10" spans="1:4" x14ac:dyDescent="0.25">
      <c r="A10" t="s">
        <v>20</v>
      </c>
      <c r="B10" t="str">
        <f>"As of "&amp;TEXT([1]Controllo!$B$9,"dd mmm yyyy")</f>
        <v>As of dd set yyyy</v>
      </c>
    </row>
    <row r="11" spans="1:4" x14ac:dyDescent="0.25">
      <c r="A11" t="s">
        <v>21</v>
      </c>
      <c r="B11">
        <f>SUMPRODUCT(Peers!B2:B9,--(Peers!A2:A9=B2))*1.05</f>
        <v>4179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CEB72D-EB62-4F9A-832D-BB16E0BCE798}">
  <dimension ref="B2:G8"/>
  <sheetViews>
    <sheetView tabSelected="1" workbookViewId="0"/>
  </sheetViews>
  <sheetFormatPr defaultRowHeight="12.5" x14ac:dyDescent="0.25"/>
  <sheetData>
    <row r="2" spans="2:7" x14ac:dyDescent="0.25">
      <c r="B2" t="s">
        <v>22</v>
      </c>
    </row>
    <row r="3" spans="2:7" x14ac:dyDescent="0.25">
      <c r="C3" t="str">
        <f>"Benchmark - "&amp;Compare!B2</f>
        <v>Benchmark - Banca Ovest</v>
      </c>
    </row>
    <row r="4" spans="2:7" x14ac:dyDescent="0.25">
      <c r="C4" t="s">
        <v>12</v>
      </c>
      <c r="D4" t="s">
        <v>0</v>
      </c>
      <c r="E4" t="s">
        <v>23</v>
      </c>
      <c r="F4" t="s">
        <v>15</v>
      </c>
    </row>
    <row r="5" spans="2:7" x14ac:dyDescent="0.25">
      <c r="C5" t="s">
        <v>14</v>
      </c>
      <c r="D5" s="1">
        <f>Compare!B3</f>
        <v>4078.96</v>
      </c>
      <c r="E5" s="1">
        <f>Compare!B4</f>
        <v>3980</v>
      </c>
      <c r="F5" s="1">
        <f>D5-E5</f>
        <v>98.960000000000036</v>
      </c>
    </row>
    <row r="6" spans="2:7" x14ac:dyDescent="0.25">
      <c r="C6" t="s">
        <v>17</v>
      </c>
      <c r="D6" s="1">
        <f>Compare!B7</f>
        <v>5295.5</v>
      </c>
      <c r="E6" s="1">
        <f>Compare!B5</f>
        <v>5160</v>
      </c>
      <c r="F6" s="1">
        <f>D6-E6</f>
        <v>135.5</v>
      </c>
    </row>
    <row r="7" spans="2:7" x14ac:dyDescent="0.25">
      <c r="C7" t="s">
        <v>18</v>
      </c>
      <c r="D7" s="2">
        <f>Compare!B8</f>
        <v>0.61562254516889237</v>
      </c>
      <c r="E7" s="2">
        <f>Compare!B8-Compare!B9</f>
        <v>0.67</v>
      </c>
      <c r="F7" s="2">
        <f>Compare!B9</f>
        <v>-5.4377454831107674E-2</v>
      </c>
    </row>
    <row r="8" spans="2:7" x14ac:dyDescent="0.25">
      <c r="C8" t="s">
        <v>24</v>
      </c>
      <c r="D8" t="str">
        <f>IF(F5&gt;=0,"above peers","below peers")</f>
        <v>above peers</v>
      </c>
      <c r="G8" t="s">
        <v>22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Fogli di lavoro</vt:lpstr>
      </vt:variant>
      <vt:variant>
        <vt:i4>3</vt:i4>
      </vt:variant>
    </vt:vector>
  </HeadingPairs>
  <TitlesOfParts>
    <vt:vector size="3" baseType="lpstr">
      <vt:lpstr>Peers</vt:lpstr>
      <vt:lpstr>Compare</vt:lpstr>
      <vt:lpstr>SLIDE Benchmark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CARDUCCI ARTENISIO GUALBERTO COSTANTINO MARIA</dc:creator>
  <cp:lastModifiedBy>CARDUCCI ARTENISIO GUALBERTO COSTANTINO MARIA</cp:lastModifiedBy>
  <dcterms:created xsi:type="dcterms:W3CDTF">2026-10-17T12:19:47Z</dcterms:created>
  <dcterms:modified xsi:type="dcterms:W3CDTF">2026-10-17T12:19:50Z</dcterms:modified>
</cp:coreProperties>
</file>