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508169\Downloads\claude\slidemaster-lf\tests\corpus\workbooks\g4\"/>
    </mc:Choice>
  </mc:AlternateContent>
  <xr:revisionPtr revIDLastSave="0" documentId="8_{DA98DFA5-F65E-43F7-98AD-A2DA520A2FF3}" xr6:coauthVersionLast="47" xr6:coauthVersionMax="47" xr10:uidLastSave="{00000000-0000-0000-0000-000000000000}"/>
  <bookViews>
    <workbookView xWindow="1140" yWindow="1140" windowWidth="14400" windowHeight="8170" firstSheet="1" activeTab="6" xr2:uid="{2182FE6C-4E27-4113-9F2E-F1B8C8C1D330}"/>
  </bookViews>
  <sheets>
    <sheet name="Controllo" sheetId="1" r:id="rId1"/>
    <sheet name="Dati" sheetId="2" r:id="rId2"/>
    <sheet name="Anagrafica" sheetId="3" r:id="rId3"/>
    <sheet name="Calcoli" sheetId="4" r:id="rId4"/>
    <sheet name="SLIDE Sintesi" sheetId="5" r:id="rId5"/>
    <sheet name="SLIDE Area" sheetId="6" r:id="rId6"/>
    <sheet name="Macro" sheetId="7" r:id="rId7"/>
  </sheets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1" i="7" l="1"/>
  <c r="C12" i="6"/>
  <c r="G12" i="6" s="1"/>
  <c r="C11" i="6"/>
  <c r="G11" i="6" s="1"/>
  <c r="C10" i="6"/>
  <c r="D10" i="6" s="1"/>
  <c r="C9" i="6"/>
  <c r="D9" i="6" s="1"/>
  <c r="C8" i="6"/>
  <c r="G8" i="6" s="1"/>
  <c r="C7" i="6"/>
  <c r="G7" i="6" s="1"/>
  <c r="C6" i="6"/>
  <c r="G6" i="6" s="1"/>
  <c r="C5" i="6"/>
  <c r="G5" i="6" s="1"/>
  <c r="G9" i="4"/>
  <c r="G8" i="4"/>
  <c r="G7" i="4"/>
  <c r="G6" i="4"/>
  <c r="G5" i="4"/>
  <c r="G4" i="4"/>
  <c r="G3" i="4"/>
  <c r="G2" i="4"/>
  <c r="C14" i="4"/>
  <c r="E13" i="4"/>
  <c r="D13" i="4"/>
  <c r="C13" i="4"/>
  <c r="D11" i="4"/>
  <c r="E5" i="4"/>
  <c r="D5" i="4"/>
  <c r="C5" i="4"/>
  <c r="D8" i="5" s="1"/>
  <c r="E4" i="4"/>
  <c r="D4" i="4"/>
  <c r="E7" i="5" s="1"/>
  <c r="C4" i="4"/>
  <c r="D7" i="5" s="1"/>
  <c r="E3" i="4"/>
  <c r="D3" i="4"/>
  <c r="E6" i="5" s="1"/>
  <c r="C3" i="4"/>
  <c r="E2" i="4"/>
  <c r="D2" i="4"/>
  <c r="D10" i="4" s="1"/>
  <c r="C2" i="4"/>
  <c r="C10" i="4" s="1"/>
  <c r="B12" i="1"/>
  <c r="C11" i="4" s="1"/>
  <c r="B9" i="1"/>
  <c r="B10" i="1" s="1"/>
  <c r="D13" i="5" s="1"/>
  <c r="B7" i="1"/>
  <c r="D12" i="4" s="1"/>
  <c r="B6" i="1"/>
  <c r="E14" i="4" s="1"/>
  <c r="E11" i="5" s="1"/>
  <c r="B3" i="1"/>
  <c r="D14" i="4" s="1"/>
  <c r="E12" i="4" l="1"/>
  <c r="D6" i="4"/>
  <c r="E9" i="5" s="1"/>
  <c r="E7" i="4"/>
  <c r="D8" i="6"/>
  <c r="E8" i="6" s="1"/>
  <c r="G10" i="6"/>
  <c r="D12" i="6"/>
  <c r="F7" i="5"/>
  <c r="G7" i="5" s="1"/>
  <c r="E9" i="6"/>
  <c r="E10" i="6"/>
  <c r="C15" i="4"/>
  <c r="E8" i="4"/>
  <c r="E6" i="4"/>
  <c r="B8" i="1"/>
  <c r="C3" i="5" s="1"/>
  <c r="C6" i="4"/>
  <c r="D9" i="5" s="1"/>
  <c r="F9" i="5" s="1"/>
  <c r="G9" i="5" s="1"/>
  <c r="E12" i="6"/>
  <c r="C7" i="4"/>
  <c r="D10" i="5" s="1"/>
  <c r="B11" i="1"/>
  <c r="D11" i="5" s="1"/>
  <c r="D6" i="5"/>
  <c r="F6" i="5" s="1"/>
  <c r="G6" i="5" s="1"/>
  <c r="E10" i="4"/>
  <c r="D5" i="6"/>
  <c r="E5" i="6" s="1"/>
  <c r="D5" i="5"/>
  <c r="G9" i="6"/>
  <c r="E5" i="5"/>
  <c r="D6" i="6"/>
  <c r="E6" i="6" s="1"/>
  <c r="B2" i="7"/>
  <c r="D7" i="4"/>
  <c r="E10" i="5" s="1"/>
  <c r="C8" i="4"/>
  <c r="D15" i="4" s="1"/>
  <c r="D8" i="4"/>
  <c r="E8" i="5"/>
  <c r="F8" i="5" s="1"/>
  <c r="G8" i="5" s="1"/>
  <c r="D9" i="4"/>
  <c r="D7" i="6"/>
  <c r="E7" i="6" s="1"/>
  <c r="C3" i="6"/>
  <c r="C12" i="4"/>
  <c r="E11" i="4" s="1"/>
  <c r="C9" i="4"/>
  <c r="E9" i="4"/>
  <c r="E15" i="4"/>
  <c r="D11" i="6"/>
  <c r="E11" i="6" s="1"/>
  <c r="F7" i="6" l="1"/>
  <c r="F10" i="5"/>
  <c r="F11" i="6"/>
  <c r="F10" i="6"/>
  <c r="F5" i="5"/>
  <c r="G5" i="5" s="1"/>
  <c r="F6" i="6"/>
  <c r="B13" i="1"/>
  <c r="D12" i="5" s="1"/>
  <c r="E13" i="6"/>
  <c r="F12" i="6"/>
  <c r="F9" i="6"/>
  <c r="F8" i="6"/>
  <c r="F5" i="6"/>
  <c r="F13" i="6" l="1"/>
</calcChain>
</file>

<file path=xl/sharedStrings.xml><?xml version="1.0" encoding="utf-8"?>
<sst xmlns="http://schemas.openxmlformats.org/spreadsheetml/2006/main" count="297" uniqueCount="70">
  <si>
    <t>Banca</t>
  </si>
  <si>
    <t>Mese</t>
  </si>
  <si>
    <t>Impieghi</t>
  </si>
  <si>
    <t>Raccolta</t>
  </si>
  <si>
    <t>Costi</t>
  </si>
  <si>
    <t>Ricavi</t>
  </si>
  <si>
    <t>Area</t>
  </si>
  <si>
    <t>Data</t>
  </si>
  <si>
    <t>Banca Nord</t>
  </si>
  <si>
    <t>Nord</t>
  </si>
  <si>
    <t>Banca Sud</t>
  </si>
  <si>
    <t>Sud</t>
  </si>
  <si>
    <t>Banca Centro</t>
  </si>
  <si>
    <t>Centro</t>
  </si>
  <si>
    <t>Banca Città</t>
  </si>
  <si>
    <t>Banca Isole</t>
  </si>
  <si>
    <t>Banca Est</t>
  </si>
  <si>
    <t>Banca Ovest</t>
  </si>
  <si>
    <t>Banca Alpi</t>
  </si>
  <si>
    <t>Codice</t>
  </si>
  <si>
    <t>Responsabile</t>
  </si>
  <si>
    <t>Obiettivo impieghi</t>
  </si>
  <si>
    <t>B101</t>
  </si>
  <si>
    <t>Rossi</t>
  </si>
  <si>
    <t>B102</t>
  </si>
  <si>
    <t>Bianchi</t>
  </si>
  <si>
    <t>B103</t>
  </si>
  <si>
    <t>Verdi</t>
  </si>
  <si>
    <t>B104</t>
  </si>
  <si>
    <t>Ferrari</t>
  </si>
  <si>
    <t>B105</t>
  </si>
  <si>
    <t>Russo</t>
  </si>
  <si>
    <t>B106</t>
  </si>
  <si>
    <t>Colombo</t>
  </si>
  <si>
    <t>B107</t>
  </si>
  <si>
    <t>Ricci</t>
  </si>
  <si>
    <t>B108</t>
  </si>
  <si>
    <t>Marino</t>
  </si>
  <si>
    <t>Peso</t>
  </si>
  <si>
    <t>Indice banca</t>
  </si>
  <si>
    <t>Tasso scenario</t>
  </si>
  <si>
    <t>Titolo</t>
  </si>
  <si>
    <t>Data rif.</t>
  </si>
  <si>
    <t>Etichetta mese</t>
  </si>
  <si>
    <t>Peso mese</t>
  </si>
  <si>
    <t>Benchmark gap</t>
  </si>
  <si>
    <t>Voce</t>
  </si>
  <si>
    <t>Mese prec.</t>
  </si>
  <si>
    <t>Da inizio anno</t>
  </si>
  <si>
    <t>Margine</t>
  </si>
  <si>
    <t>Cost/income</t>
  </si>
  <si>
    <t>Impieghi/Raccolta</t>
  </si>
  <si>
    <t>Var. impieghi</t>
  </si>
  <si>
    <t>Impieghi scenario</t>
  </si>
  <si>
    <t>Obiettivo</t>
  </si>
  <si>
    <t>Media area</t>
  </si>
  <si>
    <t>Max / min mese</t>
  </si>
  <si>
    <t>Posizione</t>
  </si>
  <si>
    <t>Controllo</t>
  </si>
  <si>
    <t>Impieghi per banca</t>
  </si>
  <si>
    <t>x</t>
  </si>
  <si>
    <t>Var.</t>
  </si>
  <si>
    <t>Var. %</t>
  </si>
  <si>
    <t>Gap vs peer</t>
  </si>
  <si>
    <t>Riferimento</t>
  </si>
  <si>
    <t>Quota area</t>
  </si>
  <si>
    <t>Selezionata</t>
  </si>
  <si>
    <t>Totale area</t>
  </si>
  <si>
    <t>Commissione (funzione VBA)</t>
  </si>
  <si>
    <t>Stessa formula senza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</si>
</sst>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#,##0.0"/>
  </numFmts>
  <fonts count="1" x14ac:knownFonts="1">
    <font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3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enchmar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ers"/>
      <sheetName val="Compare"/>
      <sheetName val="SLIDE Benchmark"/>
    </sheetNames>
    <sheetDataSet>
      <sheetData sheetId="0"/>
      <sheetData sheetId="1">
        <row r="6">
          <cell r="D6">
            <v>-0.12336428571428575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D97B-8E7C-4C73-8515-338A79738BBF}">
  <dimension ref="A2:B13"/>
  <sheetViews>
    <sheetView workbookViewId="0"/>
  </sheetViews>
  <sheetFormatPr defaultRowHeight="12.5" x14ac:dyDescent="0.25"/>
  <cols>
    <col min="2" max="2" width="10.453125" bestFit="1" customWidth="1"/>
  </cols>
  <sheetData>
    <row r="2" spans="1:2" x14ac:dyDescent="0.25">
      <c r="A2" t="s">
        <v>0</v>
      </c>
      <c r="B2" t="s">
        <v>8</v>
      </c>
    </row>
    <row r="3" spans="1:2" x14ac:dyDescent="0.25">
      <c r="A3" t="s">
        <v>39</v>
      </c>
      <c r="B3">
        <f>MATCH(B2,Anagrafica!A2:A9,0)</f>
        <v>1</v>
      </c>
    </row>
    <row r="4" spans="1:2" x14ac:dyDescent="0.25">
      <c r="A4" t="s">
        <v>1</v>
      </c>
      <c r="B4">
        <v>9</v>
      </c>
    </row>
    <row r="5" spans="1:2" x14ac:dyDescent="0.25">
      <c r="A5" t="s">
        <v>40</v>
      </c>
      <c r="B5" s="2">
        <v>0.02</v>
      </c>
    </row>
    <row r="6" spans="1:2" x14ac:dyDescent="0.25">
      <c r="A6" t="s">
        <v>19</v>
      </c>
      <c r="B6" t="str">
        <f>VLOOKUP(B2,Anagrafica!A2:E9,2,FALSE)</f>
        <v>B101</v>
      </c>
    </row>
    <row r="7" spans="1:2" x14ac:dyDescent="0.25">
      <c r="A7" t="s">
        <v>6</v>
      </c>
      <c r="B7" t="str">
        <f>_xlfn.XLOOKUP(B2,Anagrafica!A2:A9,Anagrafica!C2:C9,"n.d.")</f>
        <v>Nord</v>
      </c>
    </row>
    <row r="8" spans="1:2" x14ac:dyDescent="0.25">
      <c r="A8" t="s">
        <v>41</v>
      </c>
      <c r="B8" t="str">
        <f>B2&amp;" ("&amp;B6&amp;") - mese "&amp;TEXT(B4,"00")</f>
        <v>Banca Nord (B101) - mese 09</v>
      </c>
    </row>
    <row r="9" spans="1:2" x14ac:dyDescent="0.25">
      <c r="A9" t="s">
        <v>42</v>
      </c>
      <c r="B9" s="1">
        <f>EOMONTH(DATE(2026,B4,1),0)</f>
        <v>46295</v>
      </c>
    </row>
    <row r="10" spans="1:2" x14ac:dyDescent="0.25">
      <c r="A10" t="s">
        <v>43</v>
      </c>
      <c r="B10" t="str">
        <f>TEXT(B9,"mmmm aaaa")</f>
        <v>settembre 2026</v>
      </c>
    </row>
    <row r="11" spans="1:2" x14ac:dyDescent="0.25">
      <c r="A11" t="s">
        <v>20</v>
      </c>
      <c r="B11" t="str">
        <f>INDEX(Anagrafica!D2:D9,B3)</f>
        <v>Rossi</v>
      </c>
    </row>
    <row r="12" spans="1:2" x14ac:dyDescent="0.25">
      <c r="A12" t="s">
        <v>44</v>
      </c>
      <c r="B12">
        <f>HLOOKUP(B4,Anagrafica!H1:S2,2,FALSE)</f>
        <v>0.105</v>
      </c>
    </row>
    <row r="13" spans="1:2" x14ac:dyDescent="0.25">
      <c r="A13" t="s">
        <v>45</v>
      </c>
      <c r="B13" s="2">
        <f>[1]Compare!D6</f>
        <v>-0.12336428571428575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FFF3D-2FB1-4F23-BCD9-9A9072C7E1A2}">
  <dimension ref="A1:H97"/>
  <sheetViews>
    <sheetView workbookViewId="0"/>
  </sheetViews>
  <sheetFormatPr defaultRowHeight="12.5" x14ac:dyDescent="0.25"/>
  <cols>
    <col min="8" max="8" width="10.453125" style="1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</row>
    <row r="2" spans="1:8" x14ac:dyDescent="0.25">
      <c r="A2" t="s">
        <v>8</v>
      </c>
      <c r="B2">
        <v>1</v>
      </c>
      <c r="C2">
        <v>1238.6199999999999</v>
      </c>
      <c r="D2">
        <v>1545.2</v>
      </c>
      <c r="E2">
        <v>36.65</v>
      </c>
      <c r="F2">
        <v>66.67</v>
      </c>
      <c r="G2" t="s">
        <v>9</v>
      </c>
      <c r="H2" s="1">
        <v>46023.505190902775</v>
      </c>
    </row>
    <row r="3" spans="1:8" x14ac:dyDescent="0.25">
      <c r="A3" t="s">
        <v>8</v>
      </c>
      <c r="B3">
        <v>2</v>
      </c>
      <c r="C3">
        <v>1226.55</v>
      </c>
      <c r="D3">
        <v>1575.5</v>
      </c>
      <c r="E3">
        <v>32.31</v>
      </c>
      <c r="F3">
        <v>58.72</v>
      </c>
      <c r="G3" t="s">
        <v>9</v>
      </c>
      <c r="H3" s="1">
        <v>46054.505190902775</v>
      </c>
    </row>
    <row r="4" spans="1:8" x14ac:dyDescent="0.25">
      <c r="A4" t="s">
        <v>8</v>
      </c>
      <c r="B4">
        <v>3</v>
      </c>
      <c r="C4">
        <v>1250.1300000000001</v>
      </c>
      <c r="D4">
        <v>1533.7</v>
      </c>
      <c r="E4">
        <v>41.44</v>
      </c>
      <c r="F4">
        <v>56.45</v>
      </c>
      <c r="G4" t="s">
        <v>9</v>
      </c>
      <c r="H4" s="1">
        <v>46082.505190902775</v>
      </c>
    </row>
    <row r="5" spans="1:8" x14ac:dyDescent="0.25">
      <c r="A5" t="s">
        <v>8</v>
      </c>
      <c r="B5">
        <v>4</v>
      </c>
      <c r="C5">
        <v>1256.18</v>
      </c>
      <c r="D5">
        <v>1624</v>
      </c>
      <c r="E5">
        <v>33.64</v>
      </c>
      <c r="F5">
        <v>61.49</v>
      </c>
      <c r="G5" t="s">
        <v>9</v>
      </c>
      <c r="H5" s="1">
        <v>46113.505190902775</v>
      </c>
    </row>
    <row r="6" spans="1:8" x14ac:dyDescent="0.25">
      <c r="A6" t="s">
        <v>8</v>
      </c>
      <c r="B6">
        <v>5</v>
      </c>
      <c r="C6">
        <v>1256.44</v>
      </c>
      <c r="D6">
        <v>1613.2</v>
      </c>
      <c r="E6">
        <v>38.020000000000003</v>
      </c>
      <c r="F6">
        <v>60.07</v>
      </c>
      <c r="G6" t="s">
        <v>9</v>
      </c>
      <c r="H6" s="1">
        <v>46143.505190902775</v>
      </c>
    </row>
    <row r="7" spans="1:8" x14ac:dyDescent="0.25">
      <c r="A7" t="s">
        <v>8</v>
      </c>
      <c r="B7">
        <v>6</v>
      </c>
      <c r="C7">
        <v>1207.5999999999999</v>
      </c>
      <c r="D7">
        <v>1599.4</v>
      </c>
      <c r="E7">
        <v>33.99</v>
      </c>
      <c r="F7">
        <v>57.61</v>
      </c>
      <c r="G7" t="s">
        <v>9</v>
      </c>
      <c r="H7" s="1">
        <v>46174.505190902775</v>
      </c>
    </row>
    <row r="8" spans="1:8" x14ac:dyDescent="0.25">
      <c r="A8" t="s">
        <v>8</v>
      </c>
      <c r="B8">
        <v>7</v>
      </c>
      <c r="C8">
        <v>1218.42</v>
      </c>
      <c r="D8">
        <v>1544.7</v>
      </c>
      <c r="E8">
        <v>37.78</v>
      </c>
      <c r="F8">
        <v>61.45</v>
      </c>
      <c r="G8" t="s">
        <v>9</v>
      </c>
      <c r="H8" s="1">
        <v>46204.505190902775</v>
      </c>
    </row>
    <row r="9" spans="1:8" x14ac:dyDescent="0.25">
      <c r="A9" t="s">
        <v>8</v>
      </c>
      <c r="B9">
        <v>8</v>
      </c>
      <c r="C9">
        <v>1225.1300000000001</v>
      </c>
      <c r="D9">
        <v>1582.9</v>
      </c>
      <c r="E9">
        <v>35.119999999999997</v>
      </c>
      <c r="F9">
        <v>65.45</v>
      </c>
      <c r="G9" t="s">
        <v>9</v>
      </c>
      <c r="H9" s="1">
        <v>46235.505190902775</v>
      </c>
    </row>
    <row r="10" spans="1:8" x14ac:dyDescent="0.25">
      <c r="A10" t="s">
        <v>8</v>
      </c>
      <c r="B10">
        <v>9</v>
      </c>
      <c r="C10">
        <v>1227.29</v>
      </c>
      <c r="D10">
        <v>1589.2</v>
      </c>
      <c r="E10">
        <v>32.590000000000003</v>
      </c>
      <c r="F10">
        <v>59.3</v>
      </c>
      <c r="G10" t="s">
        <v>9</v>
      </c>
      <c r="H10" s="1">
        <v>46266.505190902775</v>
      </c>
    </row>
    <row r="11" spans="1:8" x14ac:dyDescent="0.25">
      <c r="A11" t="s">
        <v>8</v>
      </c>
      <c r="B11">
        <v>10</v>
      </c>
      <c r="C11">
        <v>1288.8499999999999</v>
      </c>
      <c r="D11">
        <v>1620.4</v>
      </c>
      <c r="E11">
        <v>35.11</v>
      </c>
      <c r="F11">
        <v>64.2</v>
      </c>
      <c r="G11" t="s">
        <v>9</v>
      </c>
      <c r="H11" s="1">
        <v>46296.505190902775</v>
      </c>
    </row>
    <row r="12" spans="1:8" x14ac:dyDescent="0.25">
      <c r="A12" t="s">
        <v>8</v>
      </c>
      <c r="B12">
        <v>11</v>
      </c>
      <c r="C12">
        <v>1248.81</v>
      </c>
      <c r="D12">
        <v>1654.6</v>
      </c>
      <c r="E12">
        <v>37.11</v>
      </c>
      <c r="F12">
        <v>67.14</v>
      </c>
      <c r="G12" t="s">
        <v>9</v>
      </c>
      <c r="H12" s="1">
        <v>46327.505190902775</v>
      </c>
    </row>
    <row r="13" spans="1:8" x14ac:dyDescent="0.25">
      <c r="A13" t="s">
        <v>8</v>
      </c>
      <c r="B13">
        <v>12</v>
      </c>
      <c r="C13">
        <v>1276.22</v>
      </c>
      <c r="D13">
        <v>1647.9</v>
      </c>
      <c r="E13">
        <v>40.26</v>
      </c>
      <c r="F13">
        <v>57.06</v>
      </c>
      <c r="G13" t="s">
        <v>9</v>
      </c>
      <c r="H13" s="1">
        <v>46357.505190902775</v>
      </c>
    </row>
    <row r="14" spans="1:8" x14ac:dyDescent="0.25">
      <c r="A14" t="s">
        <v>10</v>
      </c>
      <c r="B14">
        <v>1</v>
      </c>
      <c r="C14">
        <v>1692.3</v>
      </c>
      <c r="D14">
        <v>2128.6</v>
      </c>
      <c r="E14">
        <v>55.67</v>
      </c>
      <c r="F14">
        <v>86.82</v>
      </c>
      <c r="G14" t="s">
        <v>11</v>
      </c>
      <c r="H14" s="1">
        <v>46023.505190902775</v>
      </c>
    </row>
    <row r="15" spans="1:8" x14ac:dyDescent="0.25">
      <c r="A15" t="s">
        <v>10</v>
      </c>
      <c r="B15">
        <v>2</v>
      </c>
      <c r="C15">
        <v>1702.04</v>
      </c>
      <c r="D15">
        <v>2121.1999999999998</v>
      </c>
      <c r="E15">
        <v>50.08</v>
      </c>
      <c r="F15">
        <v>83.2</v>
      </c>
      <c r="G15" t="s">
        <v>11</v>
      </c>
      <c r="H15" s="1">
        <v>46054.505190902775</v>
      </c>
    </row>
    <row r="16" spans="1:8" x14ac:dyDescent="0.25">
      <c r="A16" t="s">
        <v>10</v>
      </c>
      <c r="B16">
        <v>3</v>
      </c>
      <c r="C16">
        <v>1653.22</v>
      </c>
      <c r="D16">
        <v>2136.6999999999998</v>
      </c>
      <c r="E16">
        <v>52.92</v>
      </c>
      <c r="F16">
        <v>83.77</v>
      </c>
      <c r="G16" t="s">
        <v>11</v>
      </c>
      <c r="H16" s="1">
        <v>46082.505190902775</v>
      </c>
    </row>
    <row r="17" spans="1:8" x14ac:dyDescent="0.25">
      <c r="A17" t="s">
        <v>10</v>
      </c>
      <c r="B17">
        <v>4</v>
      </c>
      <c r="C17">
        <v>1723.16</v>
      </c>
      <c r="D17">
        <v>2216.3000000000002</v>
      </c>
      <c r="E17">
        <v>47.11</v>
      </c>
      <c r="F17">
        <v>83.47</v>
      </c>
      <c r="G17" t="s">
        <v>11</v>
      </c>
      <c r="H17" s="1">
        <v>46113.505190902775</v>
      </c>
    </row>
    <row r="18" spans="1:8" x14ac:dyDescent="0.25">
      <c r="A18" t="s">
        <v>10</v>
      </c>
      <c r="B18">
        <v>5</v>
      </c>
      <c r="C18">
        <v>1713.16</v>
      </c>
      <c r="D18">
        <v>2146.9</v>
      </c>
      <c r="E18">
        <v>49.29</v>
      </c>
      <c r="F18">
        <v>82.6</v>
      </c>
      <c r="G18" t="s">
        <v>11</v>
      </c>
      <c r="H18" s="1">
        <v>46143.505190902775</v>
      </c>
    </row>
    <row r="19" spans="1:8" x14ac:dyDescent="0.25">
      <c r="A19" t="s">
        <v>10</v>
      </c>
      <c r="B19">
        <v>6</v>
      </c>
      <c r="C19">
        <v>1704.6</v>
      </c>
      <c r="D19">
        <v>2183.5</v>
      </c>
      <c r="E19">
        <v>49.18</v>
      </c>
      <c r="F19">
        <v>89.01</v>
      </c>
      <c r="G19" t="s">
        <v>11</v>
      </c>
      <c r="H19" s="1">
        <v>46174.505190902775</v>
      </c>
    </row>
    <row r="20" spans="1:8" x14ac:dyDescent="0.25">
      <c r="A20" t="s">
        <v>10</v>
      </c>
      <c r="B20">
        <v>7</v>
      </c>
      <c r="C20">
        <v>1708.86</v>
      </c>
      <c r="D20">
        <v>2152.1</v>
      </c>
      <c r="E20">
        <v>55.68</v>
      </c>
      <c r="F20">
        <v>83.99</v>
      </c>
      <c r="G20" t="s">
        <v>11</v>
      </c>
      <c r="H20" s="1">
        <v>46204.505190902775</v>
      </c>
    </row>
    <row r="21" spans="1:8" x14ac:dyDescent="0.25">
      <c r="A21" t="s">
        <v>10</v>
      </c>
      <c r="B21">
        <v>8</v>
      </c>
      <c r="C21">
        <v>1712.59</v>
      </c>
      <c r="D21">
        <v>2175.6</v>
      </c>
      <c r="E21">
        <v>48.94</v>
      </c>
      <c r="F21">
        <v>88.79</v>
      </c>
      <c r="G21" t="s">
        <v>11</v>
      </c>
      <c r="H21" s="1">
        <v>46235.505190902775</v>
      </c>
    </row>
    <row r="22" spans="1:8" x14ac:dyDescent="0.25">
      <c r="A22" t="s">
        <v>10</v>
      </c>
      <c r="B22">
        <v>9</v>
      </c>
      <c r="C22">
        <v>1766.58</v>
      </c>
      <c r="D22">
        <v>2269.1999999999998</v>
      </c>
      <c r="E22">
        <v>51.46</v>
      </c>
      <c r="F22">
        <v>84.04</v>
      </c>
      <c r="G22" t="s">
        <v>11</v>
      </c>
      <c r="H22" s="1">
        <v>46266.505190902775</v>
      </c>
    </row>
    <row r="23" spans="1:8" x14ac:dyDescent="0.25">
      <c r="A23" t="s">
        <v>10</v>
      </c>
      <c r="B23">
        <v>10</v>
      </c>
      <c r="C23">
        <v>1755</v>
      </c>
      <c r="D23">
        <v>2176.8000000000002</v>
      </c>
      <c r="E23">
        <v>53.22</v>
      </c>
      <c r="F23">
        <v>87.53</v>
      </c>
      <c r="G23" t="s">
        <v>11</v>
      </c>
      <c r="H23" s="1">
        <v>46296.505190902775</v>
      </c>
    </row>
    <row r="24" spans="1:8" x14ac:dyDescent="0.25">
      <c r="A24" t="s">
        <v>10</v>
      </c>
      <c r="B24">
        <v>11</v>
      </c>
      <c r="C24">
        <v>1745.72</v>
      </c>
      <c r="D24">
        <v>2212.4</v>
      </c>
      <c r="E24">
        <v>53.62</v>
      </c>
      <c r="F24">
        <v>89.35</v>
      </c>
      <c r="G24" t="s">
        <v>11</v>
      </c>
      <c r="H24" s="1">
        <v>46327.505190902775</v>
      </c>
    </row>
    <row r="25" spans="1:8" x14ac:dyDescent="0.25">
      <c r="A25" t="s">
        <v>10</v>
      </c>
      <c r="B25">
        <v>12</v>
      </c>
      <c r="C25">
        <v>1729.55</v>
      </c>
      <c r="D25">
        <v>2190</v>
      </c>
      <c r="E25">
        <v>51.12</v>
      </c>
      <c r="F25">
        <v>85.18</v>
      </c>
      <c r="G25" t="s">
        <v>11</v>
      </c>
      <c r="H25" s="1">
        <v>46357.505190902775</v>
      </c>
    </row>
    <row r="26" spans="1:8" x14ac:dyDescent="0.25">
      <c r="A26" t="s">
        <v>12</v>
      </c>
      <c r="B26">
        <v>1</v>
      </c>
      <c r="C26">
        <v>2094.58</v>
      </c>
      <c r="D26">
        <v>2684.9</v>
      </c>
      <c r="E26">
        <v>63.66</v>
      </c>
      <c r="F26">
        <v>112.8</v>
      </c>
      <c r="G26" t="s">
        <v>13</v>
      </c>
      <c r="H26" s="1">
        <v>46023.505190902775</v>
      </c>
    </row>
    <row r="27" spans="1:8" x14ac:dyDescent="0.25">
      <c r="A27" t="s">
        <v>12</v>
      </c>
      <c r="B27">
        <v>2</v>
      </c>
      <c r="C27">
        <v>2142.6999999999998</v>
      </c>
      <c r="D27">
        <v>2791.8</v>
      </c>
      <c r="E27">
        <v>67.540000000000006</v>
      </c>
      <c r="F27">
        <v>114.99</v>
      </c>
      <c r="G27" t="s">
        <v>13</v>
      </c>
      <c r="H27" s="1">
        <v>46054.505190902775</v>
      </c>
    </row>
    <row r="28" spans="1:8" x14ac:dyDescent="0.25">
      <c r="A28" t="s">
        <v>12</v>
      </c>
      <c r="B28">
        <v>3</v>
      </c>
      <c r="C28">
        <v>2141.8000000000002</v>
      </c>
      <c r="D28">
        <v>2724.8</v>
      </c>
      <c r="E28">
        <v>64.849999999999994</v>
      </c>
      <c r="F28">
        <v>109.17</v>
      </c>
      <c r="G28" t="s">
        <v>13</v>
      </c>
      <c r="H28" s="1">
        <v>46082.505190902775</v>
      </c>
    </row>
    <row r="29" spans="1:8" x14ac:dyDescent="0.25">
      <c r="A29" t="s">
        <v>12</v>
      </c>
      <c r="B29">
        <v>4</v>
      </c>
      <c r="C29">
        <v>2156.3000000000002</v>
      </c>
      <c r="D29">
        <v>2780.7</v>
      </c>
      <c r="E29">
        <v>64.02</v>
      </c>
      <c r="F29">
        <v>109.03</v>
      </c>
      <c r="G29" t="s">
        <v>13</v>
      </c>
      <c r="H29" s="1">
        <v>46113.505190902775</v>
      </c>
    </row>
    <row r="30" spans="1:8" x14ac:dyDescent="0.25">
      <c r="A30" t="s">
        <v>12</v>
      </c>
      <c r="B30">
        <v>5</v>
      </c>
      <c r="C30">
        <v>2181.87</v>
      </c>
      <c r="D30">
        <v>2737.6</v>
      </c>
      <c r="E30">
        <v>63.97</v>
      </c>
      <c r="F30">
        <v>113.51</v>
      </c>
      <c r="G30" t="s">
        <v>13</v>
      </c>
      <c r="H30" s="1">
        <v>46143.505190902775</v>
      </c>
    </row>
    <row r="31" spans="1:8" x14ac:dyDescent="0.25">
      <c r="A31" t="s">
        <v>12</v>
      </c>
      <c r="B31">
        <v>6</v>
      </c>
      <c r="C31">
        <v>2137.62</v>
      </c>
      <c r="D31">
        <v>2788.5</v>
      </c>
      <c r="E31">
        <v>65.88</v>
      </c>
      <c r="F31">
        <v>104.81</v>
      </c>
      <c r="G31" t="s">
        <v>13</v>
      </c>
      <c r="H31" s="1">
        <v>46174.505190902775</v>
      </c>
    </row>
    <row r="32" spans="1:8" x14ac:dyDescent="0.25">
      <c r="A32" t="s">
        <v>12</v>
      </c>
      <c r="B32">
        <v>7</v>
      </c>
      <c r="C32">
        <v>2174.65</v>
      </c>
      <c r="D32">
        <v>2747.4</v>
      </c>
      <c r="E32">
        <v>60.89</v>
      </c>
      <c r="F32">
        <v>112.65</v>
      </c>
      <c r="G32" t="s">
        <v>13</v>
      </c>
      <c r="H32" s="1">
        <v>46204.505190902775</v>
      </c>
    </row>
    <row r="33" spans="1:8" x14ac:dyDescent="0.25">
      <c r="A33" t="s">
        <v>12</v>
      </c>
      <c r="B33">
        <v>8</v>
      </c>
      <c r="C33">
        <v>2221.63</v>
      </c>
      <c r="D33">
        <v>2874.4</v>
      </c>
      <c r="E33">
        <v>62.12</v>
      </c>
      <c r="F33">
        <v>107.9</v>
      </c>
      <c r="G33" t="s">
        <v>13</v>
      </c>
      <c r="H33" s="1">
        <v>46235.505190902775</v>
      </c>
    </row>
    <row r="34" spans="1:8" x14ac:dyDescent="0.25">
      <c r="A34" t="s">
        <v>12</v>
      </c>
      <c r="B34">
        <v>9</v>
      </c>
      <c r="C34">
        <v>2178.87</v>
      </c>
      <c r="D34">
        <v>2771.3</v>
      </c>
      <c r="E34">
        <v>66.48</v>
      </c>
      <c r="F34">
        <v>113.19</v>
      </c>
      <c r="G34" t="s">
        <v>13</v>
      </c>
      <c r="H34" s="1">
        <v>46266.505190902775</v>
      </c>
    </row>
    <row r="35" spans="1:8" x14ac:dyDescent="0.25">
      <c r="A35" t="s">
        <v>12</v>
      </c>
      <c r="B35">
        <v>10</v>
      </c>
      <c r="C35">
        <v>2236.7199999999998</v>
      </c>
      <c r="D35">
        <v>2824.2</v>
      </c>
      <c r="E35">
        <v>65.209999999999994</v>
      </c>
      <c r="F35">
        <v>108.73</v>
      </c>
      <c r="G35" t="s">
        <v>13</v>
      </c>
      <c r="H35" s="1">
        <v>46296.505190902775</v>
      </c>
    </row>
    <row r="36" spans="1:8" x14ac:dyDescent="0.25">
      <c r="A36" t="s">
        <v>12</v>
      </c>
      <c r="B36">
        <v>11</v>
      </c>
      <c r="C36">
        <v>2277.35</v>
      </c>
      <c r="D36">
        <v>2903.1</v>
      </c>
      <c r="E36">
        <v>69.430000000000007</v>
      </c>
      <c r="F36">
        <v>107.44</v>
      </c>
      <c r="G36" t="s">
        <v>13</v>
      </c>
      <c r="H36" s="1">
        <v>46327.505190902775</v>
      </c>
    </row>
    <row r="37" spans="1:8" x14ac:dyDescent="0.25">
      <c r="A37" t="s">
        <v>12</v>
      </c>
      <c r="B37">
        <v>12</v>
      </c>
      <c r="C37">
        <v>2247.75</v>
      </c>
      <c r="D37">
        <v>2834</v>
      </c>
      <c r="E37">
        <v>61.78</v>
      </c>
      <c r="F37">
        <v>108.18</v>
      </c>
      <c r="G37" t="s">
        <v>13</v>
      </c>
      <c r="H37" s="1">
        <v>46357.505190902775</v>
      </c>
    </row>
    <row r="38" spans="1:8" x14ac:dyDescent="0.25">
      <c r="A38" t="s">
        <v>14</v>
      </c>
      <c r="B38">
        <v>1</v>
      </c>
      <c r="C38">
        <v>2528.44</v>
      </c>
      <c r="D38">
        <v>3283.3</v>
      </c>
      <c r="E38">
        <v>82.51</v>
      </c>
      <c r="F38">
        <v>134.55000000000001</v>
      </c>
      <c r="G38" t="s">
        <v>13</v>
      </c>
      <c r="H38" s="1">
        <v>46023.505190902775</v>
      </c>
    </row>
    <row r="39" spans="1:8" x14ac:dyDescent="0.25">
      <c r="A39" t="s">
        <v>14</v>
      </c>
      <c r="B39">
        <v>2</v>
      </c>
      <c r="C39">
        <v>2584.0100000000002</v>
      </c>
      <c r="D39">
        <v>3386.5</v>
      </c>
      <c r="E39">
        <v>78.41</v>
      </c>
      <c r="F39">
        <v>134.30000000000001</v>
      </c>
      <c r="G39" t="s">
        <v>13</v>
      </c>
      <c r="H39" s="1">
        <v>46054.505190902775</v>
      </c>
    </row>
    <row r="40" spans="1:8" x14ac:dyDescent="0.25">
      <c r="A40" t="s">
        <v>14</v>
      </c>
      <c r="B40">
        <v>3</v>
      </c>
      <c r="C40">
        <v>2614.54</v>
      </c>
      <c r="D40">
        <v>3349.8</v>
      </c>
      <c r="E40">
        <v>80.319999999999993</v>
      </c>
      <c r="F40">
        <v>138.37</v>
      </c>
      <c r="G40" t="s">
        <v>13</v>
      </c>
      <c r="H40" s="1">
        <v>46082.505190902775</v>
      </c>
    </row>
    <row r="41" spans="1:8" x14ac:dyDescent="0.25">
      <c r="A41" t="s">
        <v>14</v>
      </c>
      <c r="B41">
        <v>4</v>
      </c>
      <c r="C41">
        <v>2577.23</v>
      </c>
      <c r="D41">
        <v>3338</v>
      </c>
      <c r="E41">
        <v>80.099999999999994</v>
      </c>
      <c r="F41">
        <v>132.22</v>
      </c>
      <c r="G41" t="s">
        <v>13</v>
      </c>
      <c r="H41" s="1">
        <v>46113.505190902775</v>
      </c>
    </row>
    <row r="42" spans="1:8" x14ac:dyDescent="0.25">
      <c r="A42" t="s">
        <v>14</v>
      </c>
      <c r="B42">
        <v>5</v>
      </c>
      <c r="C42">
        <v>2660.25</v>
      </c>
      <c r="D42">
        <v>3380.3</v>
      </c>
      <c r="E42">
        <v>81.430000000000007</v>
      </c>
      <c r="F42">
        <v>127.19</v>
      </c>
      <c r="G42" t="s">
        <v>13</v>
      </c>
      <c r="H42" s="1">
        <v>46143.505190902775</v>
      </c>
    </row>
    <row r="43" spans="1:8" x14ac:dyDescent="0.25">
      <c r="A43" t="s">
        <v>14</v>
      </c>
      <c r="B43">
        <v>6</v>
      </c>
      <c r="C43">
        <v>2648.05</v>
      </c>
      <c r="D43">
        <v>3420.6</v>
      </c>
      <c r="E43">
        <v>80.930000000000007</v>
      </c>
      <c r="F43">
        <v>133.03</v>
      </c>
      <c r="G43" t="s">
        <v>13</v>
      </c>
      <c r="H43" s="1">
        <v>46174.505190902775</v>
      </c>
    </row>
    <row r="44" spans="1:8" x14ac:dyDescent="0.25">
      <c r="A44" t="s">
        <v>14</v>
      </c>
      <c r="B44">
        <v>7</v>
      </c>
      <c r="C44">
        <v>2643.17</v>
      </c>
      <c r="D44">
        <v>3414.8</v>
      </c>
      <c r="E44">
        <v>83.79</v>
      </c>
      <c r="F44">
        <v>133.33000000000001</v>
      </c>
      <c r="G44" t="s">
        <v>13</v>
      </c>
      <c r="H44" s="1">
        <v>46204.505190902775</v>
      </c>
    </row>
    <row r="45" spans="1:8" x14ac:dyDescent="0.25">
      <c r="A45" t="s">
        <v>14</v>
      </c>
      <c r="B45">
        <v>8</v>
      </c>
      <c r="C45">
        <v>2706.22</v>
      </c>
      <c r="D45">
        <v>3415.1</v>
      </c>
      <c r="E45">
        <v>78.510000000000005</v>
      </c>
      <c r="F45">
        <v>129.55000000000001</v>
      </c>
      <c r="G45" t="s">
        <v>13</v>
      </c>
      <c r="H45" s="1">
        <v>46235.505190902775</v>
      </c>
    </row>
    <row r="46" spans="1:8" x14ac:dyDescent="0.25">
      <c r="A46" t="s">
        <v>14</v>
      </c>
      <c r="B46">
        <v>9</v>
      </c>
      <c r="C46">
        <v>2656.57</v>
      </c>
      <c r="D46">
        <v>3394.3</v>
      </c>
      <c r="E46">
        <v>78.2</v>
      </c>
      <c r="F46">
        <v>131.22999999999999</v>
      </c>
      <c r="G46" t="s">
        <v>13</v>
      </c>
      <c r="H46" s="1">
        <v>46266.505190902775</v>
      </c>
    </row>
    <row r="47" spans="1:8" x14ac:dyDescent="0.25">
      <c r="A47" t="s">
        <v>14</v>
      </c>
      <c r="B47">
        <v>10</v>
      </c>
      <c r="C47">
        <v>2716.38</v>
      </c>
      <c r="D47">
        <v>3471.6</v>
      </c>
      <c r="E47">
        <v>83.66</v>
      </c>
      <c r="F47">
        <v>127.75</v>
      </c>
      <c r="G47" t="s">
        <v>13</v>
      </c>
      <c r="H47" s="1">
        <v>46296.505190902775</v>
      </c>
    </row>
    <row r="48" spans="1:8" x14ac:dyDescent="0.25">
      <c r="A48" t="s">
        <v>14</v>
      </c>
      <c r="B48">
        <v>11</v>
      </c>
      <c r="C48">
        <v>2709.04</v>
      </c>
      <c r="D48">
        <v>3402.9</v>
      </c>
      <c r="E48">
        <v>77.400000000000006</v>
      </c>
      <c r="F48">
        <v>131.35</v>
      </c>
      <c r="G48" t="s">
        <v>13</v>
      </c>
      <c r="H48" s="1">
        <v>46327.505190902775</v>
      </c>
    </row>
    <row r="49" spans="1:8" x14ac:dyDescent="0.25">
      <c r="A49" t="s">
        <v>14</v>
      </c>
      <c r="B49">
        <v>12</v>
      </c>
      <c r="C49">
        <v>2770.29</v>
      </c>
      <c r="D49">
        <v>3499.1</v>
      </c>
      <c r="E49">
        <v>77.959999999999994</v>
      </c>
      <c r="F49">
        <v>136.6</v>
      </c>
      <c r="G49" t="s">
        <v>13</v>
      </c>
      <c r="H49" s="1">
        <v>46357.505190902775</v>
      </c>
    </row>
    <row r="50" spans="1:8" x14ac:dyDescent="0.25">
      <c r="A50" t="s">
        <v>15</v>
      </c>
      <c r="B50">
        <v>1</v>
      </c>
      <c r="C50">
        <v>3052.04</v>
      </c>
      <c r="D50">
        <v>3889.6</v>
      </c>
      <c r="E50">
        <v>97.81</v>
      </c>
      <c r="F50">
        <v>157.47</v>
      </c>
      <c r="G50" t="s">
        <v>11</v>
      </c>
      <c r="H50" s="1">
        <v>46023.505190902775</v>
      </c>
    </row>
    <row r="51" spans="1:8" x14ac:dyDescent="0.25">
      <c r="A51" t="s">
        <v>15</v>
      </c>
      <c r="B51">
        <v>2</v>
      </c>
      <c r="C51">
        <v>3026.55</v>
      </c>
      <c r="D51">
        <v>3900.2</v>
      </c>
      <c r="E51">
        <v>95.24</v>
      </c>
      <c r="F51">
        <v>159.66999999999999</v>
      </c>
      <c r="G51" t="s">
        <v>11</v>
      </c>
      <c r="H51" s="1">
        <v>46054.505190902775</v>
      </c>
    </row>
    <row r="52" spans="1:8" x14ac:dyDescent="0.25">
      <c r="A52" t="s">
        <v>15</v>
      </c>
      <c r="B52">
        <v>3</v>
      </c>
      <c r="C52">
        <v>3068.87</v>
      </c>
      <c r="D52">
        <v>4005.8</v>
      </c>
      <c r="E52">
        <v>89.43</v>
      </c>
      <c r="F52">
        <v>156.53</v>
      </c>
      <c r="G52" t="s">
        <v>11</v>
      </c>
      <c r="H52" s="1">
        <v>46082.505190902775</v>
      </c>
    </row>
    <row r="53" spans="1:8" x14ac:dyDescent="0.25">
      <c r="A53" t="s">
        <v>15</v>
      </c>
      <c r="B53">
        <v>4</v>
      </c>
      <c r="C53">
        <v>3037.43</v>
      </c>
      <c r="D53">
        <v>3904.4</v>
      </c>
      <c r="E53">
        <v>89.86</v>
      </c>
      <c r="F53">
        <v>152.15</v>
      </c>
      <c r="G53" t="s">
        <v>11</v>
      </c>
      <c r="H53" s="1">
        <v>46113.505190902775</v>
      </c>
    </row>
    <row r="54" spans="1:8" x14ac:dyDescent="0.25">
      <c r="A54" t="s">
        <v>15</v>
      </c>
      <c r="B54">
        <v>5</v>
      </c>
      <c r="C54">
        <v>3064.46</v>
      </c>
      <c r="D54">
        <v>3929</v>
      </c>
      <c r="E54">
        <v>90.45</v>
      </c>
      <c r="F54">
        <v>157.72999999999999</v>
      </c>
      <c r="G54" t="s">
        <v>11</v>
      </c>
      <c r="H54" s="1">
        <v>46143.505190902775</v>
      </c>
    </row>
    <row r="55" spans="1:8" x14ac:dyDescent="0.25">
      <c r="A55" t="s">
        <v>15</v>
      </c>
      <c r="B55">
        <v>6</v>
      </c>
      <c r="C55">
        <v>3095.41</v>
      </c>
      <c r="D55">
        <v>3939.6</v>
      </c>
      <c r="E55">
        <v>96.48</v>
      </c>
      <c r="F55">
        <v>158.01</v>
      </c>
      <c r="G55" t="s">
        <v>11</v>
      </c>
      <c r="H55" s="1">
        <v>46174.505190902775</v>
      </c>
    </row>
    <row r="56" spans="1:8" x14ac:dyDescent="0.25">
      <c r="A56" t="s">
        <v>15</v>
      </c>
      <c r="B56">
        <v>7</v>
      </c>
      <c r="C56">
        <v>3101.78</v>
      </c>
      <c r="D56">
        <v>4028.2</v>
      </c>
      <c r="E56">
        <v>89.54</v>
      </c>
      <c r="F56">
        <v>150.27000000000001</v>
      </c>
      <c r="G56" t="s">
        <v>11</v>
      </c>
      <c r="H56" s="1">
        <v>46204.505190902775</v>
      </c>
    </row>
    <row r="57" spans="1:8" x14ac:dyDescent="0.25">
      <c r="A57" t="s">
        <v>15</v>
      </c>
      <c r="B57">
        <v>8</v>
      </c>
      <c r="C57">
        <v>3169.72</v>
      </c>
      <c r="D57">
        <v>3986.8</v>
      </c>
      <c r="E57">
        <v>92.31</v>
      </c>
      <c r="F57">
        <v>155.86000000000001</v>
      </c>
      <c r="G57" t="s">
        <v>11</v>
      </c>
      <c r="H57" s="1">
        <v>46235.505190902775</v>
      </c>
    </row>
    <row r="58" spans="1:8" x14ac:dyDescent="0.25">
      <c r="A58" t="s">
        <v>15</v>
      </c>
      <c r="B58">
        <v>9</v>
      </c>
      <c r="C58">
        <v>3170.27</v>
      </c>
      <c r="D58">
        <v>4077.4</v>
      </c>
      <c r="E58">
        <v>97.43</v>
      </c>
      <c r="F58">
        <v>153.19</v>
      </c>
      <c r="G58" t="s">
        <v>11</v>
      </c>
      <c r="H58" s="1">
        <v>46266.505190902775</v>
      </c>
    </row>
    <row r="59" spans="1:8" x14ac:dyDescent="0.25">
      <c r="A59" t="s">
        <v>15</v>
      </c>
      <c r="B59">
        <v>10</v>
      </c>
      <c r="C59">
        <v>3147.15</v>
      </c>
      <c r="D59">
        <v>4053</v>
      </c>
      <c r="E59">
        <v>95.17</v>
      </c>
      <c r="F59">
        <v>161.35</v>
      </c>
      <c r="G59" t="s">
        <v>11</v>
      </c>
      <c r="H59" s="1">
        <v>46296.505190902775</v>
      </c>
    </row>
    <row r="60" spans="1:8" x14ac:dyDescent="0.25">
      <c r="A60" t="s">
        <v>15</v>
      </c>
      <c r="B60">
        <v>11</v>
      </c>
      <c r="C60">
        <v>3194.94</v>
      </c>
      <c r="D60">
        <v>4049.6</v>
      </c>
      <c r="E60">
        <v>97.91</v>
      </c>
      <c r="F60">
        <v>156.88</v>
      </c>
      <c r="G60" t="s">
        <v>11</v>
      </c>
      <c r="H60" s="1">
        <v>46327.505190902775</v>
      </c>
    </row>
    <row r="61" spans="1:8" x14ac:dyDescent="0.25">
      <c r="A61" t="s">
        <v>15</v>
      </c>
      <c r="B61">
        <v>12</v>
      </c>
      <c r="C61">
        <v>3228.36</v>
      </c>
      <c r="D61">
        <v>4027.2</v>
      </c>
      <c r="E61">
        <v>91.13</v>
      </c>
      <c r="F61">
        <v>160.36000000000001</v>
      </c>
      <c r="G61" t="s">
        <v>11</v>
      </c>
      <c r="H61" s="1">
        <v>46357.505190902775</v>
      </c>
    </row>
    <row r="62" spans="1:8" x14ac:dyDescent="0.25">
      <c r="A62" t="s">
        <v>16</v>
      </c>
      <c r="B62">
        <v>1</v>
      </c>
      <c r="C62">
        <v>3490.61</v>
      </c>
      <c r="D62">
        <v>4533.8999999999996</v>
      </c>
      <c r="E62">
        <v>103.11</v>
      </c>
      <c r="F62">
        <v>184.14</v>
      </c>
      <c r="G62" t="s">
        <v>9</v>
      </c>
      <c r="H62" s="1">
        <v>46023.505190902775</v>
      </c>
    </row>
    <row r="63" spans="1:8" x14ac:dyDescent="0.25">
      <c r="A63" t="s">
        <v>16</v>
      </c>
      <c r="B63">
        <v>2</v>
      </c>
      <c r="C63">
        <v>3462.64</v>
      </c>
      <c r="D63">
        <v>4562.8999999999996</v>
      </c>
      <c r="E63">
        <v>102.3</v>
      </c>
      <c r="F63">
        <v>182.5</v>
      </c>
      <c r="G63" t="s">
        <v>9</v>
      </c>
      <c r="H63" s="1">
        <v>46054.505190902775</v>
      </c>
    </row>
    <row r="64" spans="1:8" x14ac:dyDescent="0.25">
      <c r="A64" t="s">
        <v>16</v>
      </c>
      <c r="B64">
        <v>3</v>
      </c>
      <c r="C64">
        <v>3522.28</v>
      </c>
      <c r="D64">
        <v>4515.8</v>
      </c>
      <c r="E64">
        <v>105.08</v>
      </c>
      <c r="F64">
        <v>184.77</v>
      </c>
      <c r="G64" t="s">
        <v>9</v>
      </c>
      <c r="H64" s="1">
        <v>46082.505190902775</v>
      </c>
    </row>
    <row r="65" spans="1:8" x14ac:dyDescent="0.25">
      <c r="A65" t="s">
        <v>16</v>
      </c>
      <c r="B65">
        <v>4</v>
      </c>
      <c r="C65">
        <v>3555.66</v>
      </c>
      <c r="D65">
        <v>4559.8</v>
      </c>
      <c r="E65">
        <v>105.9</v>
      </c>
      <c r="F65">
        <v>185.35</v>
      </c>
      <c r="G65" t="s">
        <v>9</v>
      </c>
      <c r="H65" s="1">
        <v>46113.505190902775</v>
      </c>
    </row>
    <row r="66" spans="1:8" x14ac:dyDescent="0.25">
      <c r="A66" t="s">
        <v>16</v>
      </c>
      <c r="B66">
        <v>5</v>
      </c>
      <c r="C66">
        <v>3586.3</v>
      </c>
      <c r="D66">
        <v>4589.7</v>
      </c>
      <c r="E66">
        <v>104.39</v>
      </c>
      <c r="F66">
        <v>182.75</v>
      </c>
      <c r="G66" t="s">
        <v>9</v>
      </c>
      <c r="H66" s="1">
        <v>46143.505190902775</v>
      </c>
    </row>
    <row r="67" spans="1:8" x14ac:dyDescent="0.25">
      <c r="A67" t="s">
        <v>16</v>
      </c>
      <c r="B67">
        <v>6</v>
      </c>
      <c r="C67">
        <v>3552.92</v>
      </c>
      <c r="D67">
        <v>4609.6000000000004</v>
      </c>
      <c r="E67">
        <v>102.01</v>
      </c>
      <c r="F67">
        <v>180.71</v>
      </c>
      <c r="G67" t="s">
        <v>9</v>
      </c>
      <c r="H67" s="1">
        <v>46174.505190902775</v>
      </c>
    </row>
    <row r="68" spans="1:8" x14ac:dyDescent="0.25">
      <c r="A68" t="s">
        <v>16</v>
      </c>
      <c r="B68">
        <v>7</v>
      </c>
      <c r="C68">
        <v>3610.37</v>
      </c>
      <c r="D68">
        <v>4657.6000000000004</v>
      </c>
      <c r="E68">
        <v>107.65</v>
      </c>
      <c r="F68">
        <v>182.43</v>
      </c>
      <c r="G68" t="s">
        <v>9</v>
      </c>
      <c r="H68" s="1">
        <v>46204.505190902775</v>
      </c>
    </row>
    <row r="69" spans="1:8" x14ac:dyDescent="0.25">
      <c r="A69" t="s">
        <v>16</v>
      </c>
      <c r="B69">
        <v>8</v>
      </c>
      <c r="C69">
        <v>3590.29</v>
      </c>
      <c r="D69">
        <v>4681.5</v>
      </c>
      <c r="E69">
        <v>111.9</v>
      </c>
      <c r="F69">
        <v>185.37</v>
      </c>
      <c r="G69" t="s">
        <v>9</v>
      </c>
      <c r="H69" s="1">
        <v>46235.505190902775</v>
      </c>
    </row>
    <row r="70" spans="1:8" x14ac:dyDescent="0.25">
      <c r="A70" t="s">
        <v>16</v>
      </c>
      <c r="B70">
        <v>9</v>
      </c>
      <c r="C70">
        <v>3600.54</v>
      </c>
      <c r="D70">
        <v>4675.5</v>
      </c>
      <c r="E70">
        <v>104.85</v>
      </c>
      <c r="F70">
        <v>182.64</v>
      </c>
      <c r="G70" t="s">
        <v>9</v>
      </c>
      <c r="H70" s="1">
        <v>46266.505190902775</v>
      </c>
    </row>
    <row r="71" spans="1:8" x14ac:dyDescent="0.25">
      <c r="A71" t="s">
        <v>16</v>
      </c>
      <c r="B71">
        <v>10</v>
      </c>
      <c r="C71">
        <v>3652.22</v>
      </c>
      <c r="D71">
        <v>4695.3999999999996</v>
      </c>
      <c r="E71">
        <v>111.94</v>
      </c>
      <c r="F71">
        <v>181.79</v>
      </c>
      <c r="G71" t="s">
        <v>9</v>
      </c>
      <c r="H71" s="1">
        <v>46296.505190902775</v>
      </c>
    </row>
    <row r="72" spans="1:8" x14ac:dyDescent="0.25">
      <c r="A72" t="s">
        <v>16</v>
      </c>
      <c r="B72">
        <v>11</v>
      </c>
      <c r="C72">
        <v>3675.37</v>
      </c>
      <c r="D72">
        <v>4665.3</v>
      </c>
      <c r="E72">
        <v>102.27</v>
      </c>
      <c r="F72">
        <v>173.48</v>
      </c>
      <c r="G72" t="s">
        <v>9</v>
      </c>
      <c r="H72" s="1">
        <v>46327.505190902775</v>
      </c>
    </row>
    <row r="73" spans="1:8" x14ac:dyDescent="0.25">
      <c r="A73" t="s">
        <v>16</v>
      </c>
      <c r="B73">
        <v>12</v>
      </c>
      <c r="C73">
        <v>3690.03</v>
      </c>
      <c r="D73">
        <v>4741.3</v>
      </c>
      <c r="E73">
        <v>104.14</v>
      </c>
      <c r="F73">
        <v>185.13</v>
      </c>
      <c r="G73" t="s">
        <v>9</v>
      </c>
      <c r="H73" s="1">
        <v>46357.505190902775</v>
      </c>
    </row>
    <row r="74" spans="1:8" x14ac:dyDescent="0.25">
      <c r="A74" t="s">
        <v>17</v>
      </c>
      <c r="B74">
        <v>1</v>
      </c>
      <c r="C74">
        <v>3893.09</v>
      </c>
      <c r="D74">
        <v>5065.3</v>
      </c>
      <c r="E74">
        <v>120.73</v>
      </c>
      <c r="F74">
        <v>200.98</v>
      </c>
      <c r="G74" t="s">
        <v>9</v>
      </c>
      <c r="H74" s="1">
        <v>46023.505190902775</v>
      </c>
    </row>
    <row r="75" spans="1:8" x14ac:dyDescent="0.25">
      <c r="A75" t="s">
        <v>17</v>
      </c>
      <c r="B75">
        <v>2</v>
      </c>
      <c r="C75">
        <v>3945.7</v>
      </c>
      <c r="D75">
        <v>5146.6000000000004</v>
      </c>
      <c r="E75">
        <v>117.72</v>
      </c>
      <c r="F75">
        <v>197.06</v>
      </c>
      <c r="G75" t="s">
        <v>9</v>
      </c>
      <c r="H75" s="1">
        <v>46054.505190902775</v>
      </c>
    </row>
    <row r="76" spans="1:8" x14ac:dyDescent="0.25">
      <c r="A76" t="s">
        <v>17</v>
      </c>
      <c r="B76">
        <v>3</v>
      </c>
      <c r="C76">
        <v>3949.34</v>
      </c>
      <c r="D76">
        <v>5147.8</v>
      </c>
      <c r="E76">
        <v>122.94</v>
      </c>
      <c r="F76">
        <v>204.51</v>
      </c>
      <c r="G76" t="s">
        <v>9</v>
      </c>
      <c r="H76" s="1">
        <v>46082.505190902775</v>
      </c>
    </row>
    <row r="77" spans="1:8" x14ac:dyDescent="0.25">
      <c r="A77" t="s">
        <v>17</v>
      </c>
      <c r="B77">
        <v>4</v>
      </c>
      <c r="C77">
        <v>3955.18</v>
      </c>
      <c r="D77">
        <v>5202.1000000000004</v>
      </c>
      <c r="E77">
        <v>122.83</v>
      </c>
      <c r="F77">
        <v>207.46</v>
      </c>
      <c r="G77" t="s">
        <v>9</v>
      </c>
      <c r="H77" s="1">
        <v>46113.505190902775</v>
      </c>
    </row>
    <row r="78" spans="1:8" x14ac:dyDescent="0.25">
      <c r="A78" t="s">
        <v>17</v>
      </c>
      <c r="B78">
        <v>5</v>
      </c>
      <c r="C78">
        <v>4025.9</v>
      </c>
      <c r="D78">
        <v>5226.3999999999996</v>
      </c>
      <c r="E78">
        <v>123.76</v>
      </c>
      <c r="F78">
        <v>203.13</v>
      </c>
      <c r="G78" t="s">
        <v>9</v>
      </c>
      <c r="H78" s="1">
        <v>46143.505190902775</v>
      </c>
    </row>
    <row r="79" spans="1:8" x14ac:dyDescent="0.25">
      <c r="A79" t="s">
        <v>17</v>
      </c>
      <c r="B79">
        <v>6</v>
      </c>
      <c r="C79">
        <v>4042.87</v>
      </c>
      <c r="D79">
        <v>5180.7</v>
      </c>
      <c r="E79">
        <v>117.26</v>
      </c>
      <c r="F79">
        <v>199.78</v>
      </c>
      <c r="G79" t="s">
        <v>9</v>
      </c>
      <c r="H79" s="1">
        <v>46174.505190902775</v>
      </c>
    </row>
    <row r="80" spans="1:8" x14ac:dyDescent="0.25">
      <c r="A80" t="s">
        <v>17</v>
      </c>
      <c r="B80">
        <v>7</v>
      </c>
      <c r="C80">
        <v>4085.36</v>
      </c>
      <c r="D80">
        <v>5260</v>
      </c>
      <c r="E80">
        <v>120.89</v>
      </c>
      <c r="F80">
        <v>205.94</v>
      </c>
      <c r="G80" t="s">
        <v>9</v>
      </c>
      <c r="H80" s="1">
        <v>46204.505190902775</v>
      </c>
    </row>
    <row r="81" spans="1:8" x14ac:dyDescent="0.25">
      <c r="A81" t="s">
        <v>17</v>
      </c>
      <c r="B81">
        <v>8</v>
      </c>
      <c r="C81">
        <v>4086.4</v>
      </c>
      <c r="D81">
        <v>5236.2</v>
      </c>
      <c r="E81">
        <v>117.19</v>
      </c>
      <c r="F81">
        <v>196.89</v>
      </c>
      <c r="G81" t="s">
        <v>9</v>
      </c>
      <c r="H81" s="1">
        <v>46235.505190902775</v>
      </c>
    </row>
    <row r="82" spans="1:8" x14ac:dyDescent="0.25">
      <c r="A82" t="s">
        <v>17</v>
      </c>
      <c r="B82">
        <v>9</v>
      </c>
      <c r="C82">
        <v>4078.96</v>
      </c>
      <c r="D82">
        <v>5295.5</v>
      </c>
      <c r="E82">
        <v>125.39</v>
      </c>
      <c r="F82">
        <v>203.68</v>
      </c>
      <c r="G82" t="s">
        <v>9</v>
      </c>
      <c r="H82" s="1">
        <v>46266.505190902775</v>
      </c>
    </row>
    <row r="83" spans="1:8" x14ac:dyDescent="0.25">
      <c r="A83" t="s">
        <v>17</v>
      </c>
      <c r="B83">
        <v>10</v>
      </c>
      <c r="C83">
        <v>4173.8500000000004</v>
      </c>
      <c r="D83">
        <v>5267.8</v>
      </c>
      <c r="E83">
        <v>125.45</v>
      </c>
      <c r="F83">
        <v>208.52</v>
      </c>
      <c r="G83" t="s">
        <v>9</v>
      </c>
      <c r="H83" s="1">
        <v>46296.505190902775</v>
      </c>
    </row>
    <row r="84" spans="1:8" x14ac:dyDescent="0.25">
      <c r="A84" t="s">
        <v>17</v>
      </c>
      <c r="B84">
        <v>11</v>
      </c>
      <c r="C84">
        <v>4170.63</v>
      </c>
      <c r="D84">
        <v>5299.1</v>
      </c>
      <c r="E84">
        <v>122.32</v>
      </c>
      <c r="F84">
        <v>205.06</v>
      </c>
      <c r="G84" t="s">
        <v>9</v>
      </c>
      <c r="H84" s="1">
        <v>46327.505190902775</v>
      </c>
    </row>
    <row r="85" spans="1:8" x14ac:dyDescent="0.25">
      <c r="A85" t="s">
        <v>17</v>
      </c>
      <c r="B85">
        <v>12</v>
      </c>
      <c r="C85">
        <v>4141.83</v>
      </c>
      <c r="D85">
        <v>5269.4</v>
      </c>
      <c r="E85">
        <v>124.97</v>
      </c>
      <c r="F85">
        <v>202.91</v>
      </c>
      <c r="G85" t="s">
        <v>9</v>
      </c>
      <c r="H85" s="1">
        <v>46357.505190902775</v>
      </c>
    </row>
    <row r="86" spans="1:8" x14ac:dyDescent="0.25">
      <c r="A86" t="s">
        <v>18</v>
      </c>
      <c r="B86">
        <v>1</v>
      </c>
      <c r="C86">
        <v>4392.5200000000004</v>
      </c>
      <c r="D86">
        <v>5684.6</v>
      </c>
      <c r="E86">
        <v>135.35</v>
      </c>
      <c r="F86">
        <v>222.62</v>
      </c>
      <c r="G86" t="s">
        <v>9</v>
      </c>
      <c r="H86" s="1">
        <v>46023.505190902775</v>
      </c>
    </row>
    <row r="87" spans="1:8" x14ac:dyDescent="0.25">
      <c r="A87" t="s">
        <v>18</v>
      </c>
      <c r="B87">
        <v>2</v>
      </c>
      <c r="C87">
        <v>4370.75</v>
      </c>
      <c r="D87">
        <v>5670.2</v>
      </c>
      <c r="E87">
        <v>138.54</v>
      </c>
      <c r="F87">
        <v>221.97</v>
      </c>
      <c r="G87" t="s">
        <v>9</v>
      </c>
      <c r="H87" s="1">
        <v>46054.505190902775</v>
      </c>
    </row>
    <row r="88" spans="1:8" x14ac:dyDescent="0.25">
      <c r="A88" t="s">
        <v>18</v>
      </c>
      <c r="B88">
        <v>3</v>
      </c>
      <c r="C88">
        <v>4444.74</v>
      </c>
      <c r="D88">
        <v>5726.9</v>
      </c>
      <c r="E88">
        <v>134.74</v>
      </c>
      <c r="F88">
        <v>226.03</v>
      </c>
      <c r="G88" t="s">
        <v>9</v>
      </c>
      <c r="H88" s="1">
        <v>46082.505190902775</v>
      </c>
    </row>
    <row r="89" spans="1:8" x14ac:dyDescent="0.25">
      <c r="A89" t="s">
        <v>18</v>
      </c>
      <c r="B89">
        <v>4</v>
      </c>
      <c r="C89">
        <v>4492.38</v>
      </c>
      <c r="D89">
        <v>5740.5</v>
      </c>
      <c r="E89">
        <v>138.13</v>
      </c>
      <c r="F89">
        <v>229.28</v>
      </c>
      <c r="G89" t="s">
        <v>9</v>
      </c>
      <c r="H89" s="1">
        <v>46113.505190902775</v>
      </c>
    </row>
    <row r="90" spans="1:8" x14ac:dyDescent="0.25">
      <c r="A90" t="s">
        <v>18</v>
      </c>
      <c r="B90">
        <v>5</v>
      </c>
      <c r="C90">
        <v>4467.2299999999996</v>
      </c>
      <c r="D90">
        <v>5823.1</v>
      </c>
      <c r="E90">
        <v>133.85</v>
      </c>
      <c r="F90">
        <v>229.49</v>
      </c>
      <c r="G90" t="s">
        <v>9</v>
      </c>
      <c r="H90" s="1">
        <v>46143.505190902775</v>
      </c>
    </row>
    <row r="91" spans="1:8" x14ac:dyDescent="0.25">
      <c r="A91" t="s">
        <v>18</v>
      </c>
      <c r="B91">
        <v>6</v>
      </c>
      <c r="C91">
        <v>4500.5</v>
      </c>
      <c r="D91">
        <v>5776.7</v>
      </c>
      <c r="E91">
        <v>130.54</v>
      </c>
      <c r="F91">
        <v>223.76</v>
      </c>
      <c r="G91" t="s">
        <v>9</v>
      </c>
      <c r="H91" s="1">
        <v>46174.505190902775</v>
      </c>
    </row>
    <row r="92" spans="1:8" x14ac:dyDescent="0.25">
      <c r="A92" t="s">
        <v>18</v>
      </c>
      <c r="B92">
        <v>7</v>
      </c>
      <c r="C92">
        <v>4547</v>
      </c>
      <c r="D92">
        <v>5851.3</v>
      </c>
      <c r="E92">
        <v>137.47999999999999</v>
      </c>
      <c r="F92">
        <v>225.51</v>
      </c>
      <c r="G92" t="s">
        <v>9</v>
      </c>
      <c r="H92" s="1">
        <v>46204.505190902775</v>
      </c>
    </row>
    <row r="93" spans="1:8" x14ac:dyDescent="0.25">
      <c r="A93" t="s">
        <v>18</v>
      </c>
      <c r="B93">
        <v>8</v>
      </c>
      <c r="C93">
        <v>4566.3999999999996</v>
      </c>
      <c r="D93">
        <v>5835</v>
      </c>
      <c r="E93">
        <v>130.94999999999999</v>
      </c>
      <c r="F93">
        <v>223.94</v>
      </c>
      <c r="G93" t="s">
        <v>9</v>
      </c>
      <c r="H93" s="1">
        <v>46235.505190902775</v>
      </c>
    </row>
    <row r="94" spans="1:8" x14ac:dyDescent="0.25">
      <c r="A94" t="s">
        <v>18</v>
      </c>
      <c r="B94">
        <v>9</v>
      </c>
      <c r="C94">
        <v>4580</v>
      </c>
      <c r="D94">
        <v>5883.6</v>
      </c>
      <c r="E94">
        <v>132.26</v>
      </c>
      <c r="F94">
        <v>224.98</v>
      </c>
      <c r="G94" t="s">
        <v>9</v>
      </c>
      <c r="H94" s="1">
        <v>46266.505190902775</v>
      </c>
    </row>
    <row r="95" spans="1:8" x14ac:dyDescent="0.25">
      <c r="A95" t="s">
        <v>18</v>
      </c>
      <c r="B95">
        <v>10</v>
      </c>
      <c r="C95">
        <v>4637.29</v>
      </c>
      <c r="D95">
        <v>5873.2</v>
      </c>
      <c r="E95">
        <v>136.19</v>
      </c>
      <c r="F95">
        <v>225.49</v>
      </c>
      <c r="G95" t="s">
        <v>9</v>
      </c>
      <c r="H95" s="1">
        <v>46296.505190902775</v>
      </c>
    </row>
    <row r="96" spans="1:8" x14ac:dyDescent="0.25">
      <c r="A96" t="s">
        <v>18</v>
      </c>
      <c r="B96">
        <v>11</v>
      </c>
      <c r="C96">
        <v>4640.25</v>
      </c>
      <c r="D96">
        <v>5888.8</v>
      </c>
      <c r="E96">
        <v>130.97999999999999</v>
      </c>
      <c r="F96">
        <v>223.48</v>
      </c>
      <c r="G96" t="s">
        <v>9</v>
      </c>
      <c r="H96" s="1">
        <v>46327.505190902775</v>
      </c>
    </row>
    <row r="97" spans="1:8" x14ac:dyDescent="0.25">
      <c r="A97" t="s">
        <v>18</v>
      </c>
      <c r="B97">
        <v>12</v>
      </c>
      <c r="C97">
        <v>4677.84</v>
      </c>
      <c r="D97">
        <v>5881.4</v>
      </c>
      <c r="E97">
        <v>136.19</v>
      </c>
      <c r="F97">
        <v>229.94</v>
      </c>
      <c r="G97" t="s">
        <v>9</v>
      </c>
      <c r="H97" s="1">
        <v>46357.505190902775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7FAD-F1E1-4488-AAA1-70A36A1F9348}">
  <dimension ref="A1:S9"/>
  <sheetViews>
    <sheetView workbookViewId="0"/>
  </sheetViews>
  <sheetFormatPr defaultRowHeight="12.5" x14ac:dyDescent="0.25"/>
  <sheetData>
    <row r="1" spans="1:19" x14ac:dyDescent="0.25">
      <c r="A1" t="s">
        <v>0</v>
      </c>
      <c r="B1" t="s">
        <v>19</v>
      </c>
      <c r="C1" t="s">
        <v>6</v>
      </c>
      <c r="D1" t="s">
        <v>20</v>
      </c>
      <c r="E1" t="s">
        <v>21</v>
      </c>
      <c r="G1" t="s">
        <v>1</v>
      </c>
      <c r="H1">
        <v>1</v>
      </c>
      <c r="I1">
        <v>2</v>
      </c>
      <c r="J1">
        <v>3</v>
      </c>
      <c r="K1">
        <v>4</v>
      </c>
      <c r="L1">
        <v>5</v>
      </c>
      <c r="M1">
        <v>6</v>
      </c>
      <c r="N1">
        <v>7</v>
      </c>
      <c r="O1">
        <v>8</v>
      </c>
      <c r="P1">
        <v>9</v>
      </c>
      <c r="Q1">
        <v>10</v>
      </c>
      <c r="R1">
        <v>11</v>
      </c>
      <c r="S1">
        <v>12</v>
      </c>
    </row>
    <row r="2" spans="1:19" x14ac:dyDescent="0.25">
      <c r="A2" t="s">
        <v>8</v>
      </c>
      <c r="B2" t="s">
        <v>22</v>
      </c>
      <c r="C2" t="s">
        <v>9</v>
      </c>
      <c r="D2" t="s">
        <v>23</v>
      </c>
      <c r="E2">
        <v>1300</v>
      </c>
      <c r="G2" t="s">
        <v>38</v>
      </c>
      <c r="H2">
        <v>6.5000000000000002E-2</v>
      </c>
      <c r="I2">
        <v>7.0000000000000007E-2</v>
      </c>
      <c r="J2">
        <v>7.4999999999999997E-2</v>
      </c>
      <c r="K2">
        <v>0.08</v>
      </c>
      <c r="L2">
        <v>8.5000000000000006E-2</v>
      </c>
      <c r="M2">
        <v>0.09</v>
      </c>
      <c r="N2">
        <v>9.5000000000000001E-2</v>
      </c>
      <c r="O2">
        <v>0.1</v>
      </c>
      <c r="P2">
        <v>0.105</v>
      </c>
      <c r="Q2">
        <v>0.11</v>
      </c>
      <c r="R2">
        <v>0.115</v>
      </c>
      <c r="S2">
        <v>0.12</v>
      </c>
    </row>
    <row r="3" spans="1:19" x14ac:dyDescent="0.25">
      <c r="A3" t="s">
        <v>10</v>
      </c>
      <c r="B3" t="s">
        <v>24</v>
      </c>
      <c r="C3" t="s">
        <v>11</v>
      </c>
      <c r="D3" t="s">
        <v>25</v>
      </c>
      <c r="E3">
        <v>1770</v>
      </c>
    </row>
    <row r="4" spans="1:19" x14ac:dyDescent="0.25">
      <c r="A4" t="s">
        <v>12</v>
      </c>
      <c r="B4" t="s">
        <v>26</v>
      </c>
      <c r="C4" t="s">
        <v>13</v>
      </c>
      <c r="D4" t="s">
        <v>27</v>
      </c>
      <c r="E4">
        <v>2240</v>
      </c>
    </row>
    <row r="5" spans="1:19" x14ac:dyDescent="0.25">
      <c r="A5" t="s">
        <v>14</v>
      </c>
      <c r="B5" t="s">
        <v>28</v>
      </c>
      <c r="C5" t="s">
        <v>13</v>
      </c>
      <c r="D5" t="s">
        <v>29</v>
      </c>
      <c r="E5">
        <v>2710</v>
      </c>
    </row>
    <row r="6" spans="1:19" x14ac:dyDescent="0.25">
      <c r="A6" t="s">
        <v>15</v>
      </c>
      <c r="B6" t="s">
        <v>30</v>
      </c>
      <c r="C6" t="s">
        <v>11</v>
      </c>
      <c r="D6" t="s">
        <v>31</v>
      </c>
      <c r="E6">
        <v>3180</v>
      </c>
    </row>
    <row r="7" spans="1:19" x14ac:dyDescent="0.25">
      <c r="A7" t="s">
        <v>16</v>
      </c>
      <c r="B7" t="s">
        <v>32</v>
      </c>
      <c r="C7" t="s">
        <v>9</v>
      </c>
      <c r="D7" t="s">
        <v>33</v>
      </c>
      <c r="E7">
        <v>3650</v>
      </c>
    </row>
    <row r="8" spans="1:19" x14ac:dyDescent="0.25">
      <c r="A8" t="s">
        <v>17</v>
      </c>
      <c r="B8" t="s">
        <v>34</v>
      </c>
      <c r="C8" t="s">
        <v>9</v>
      </c>
      <c r="D8" t="s">
        <v>35</v>
      </c>
      <c r="E8">
        <v>4120</v>
      </c>
    </row>
    <row r="9" spans="1:19" x14ac:dyDescent="0.25">
      <c r="A9" t="s">
        <v>18</v>
      </c>
      <c r="B9" t="s">
        <v>36</v>
      </c>
      <c r="C9" t="s">
        <v>9</v>
      </c>
      <c r="D9" t="s">
        <v>37</v>
      </c>
      <c r="E9">
        <v>4590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1FDFD-7627-4BF9-910C-367BC3469F5A}">
  <dimension ref="A1:G15"/>
  <sheetViews>
    <sheetView workbookViewId="0"/>
  </sheetViews>
  <sheetFormatPr defaultRowHeight="12.5" x14ac:dyDescent="0.25"/>
  <sheetData>
    <row r="1" spans="1:7" x14ac:dyDescent="0.25">
      <c r="A1" t="s">
        <v>46</v>
      </c>
      <c r="C1" t="s">
        <v>1</v>
      </c>
      <c r="D1" t="s">
        <v>47</v>
      </c>
      <c r="E1" t="s">
        <v>48</v>
      </c>
      <c r="G1" t="s">
        <v>59</v>
      </c>
    </row>
    <row r="2" spans="1:7" x14ac:dyDescent="0.25">
      <c r="A2" t="s">
        <v>2</v>
      </c>
      <c r="C2">
        <f>SUMIFS(Dati!$C$2:$C$97,Dati!$A$2:$A$97,Controllo!$B$2,Dati!$B$2:$B$97,Controllo!$B$4)</f>
        <v>1227.29</v>
      </c>
      <c r="D2">
        <f>SUMIFS(Dati!$C$2:$C$97,Dati!$A$2:$A$97,Controllo!$B$2,Dati!$B$2:$B$97,Controllo!$B$4-1)</f>
        <v>1225.1300000000001</v>
      </c>
      <c r="E2">
        <f>SUMIFS(Dati!$C$2:$C$97,Dati!$A$2:$A$97,Controllo!$B$2,Dati!$B$2:$B$97,"&lt;="&amp;Controllo!$B$4)</f>
        <v>11106.36</v>
      </c>
      <c r="G2">
        <f>SUMIFS(Dati!$C$2:$C$97,Dati!$A$2:$A$97,Anagrafica!A2,Dati!$B$2:$B$97,Controllo!$B$4)</f>
        <v>1227.29</v>
      </c>
    </row>
    <row r="3" spans="1:7" x14ac:dyDescent="0.25">
      <c r="A3" t="s">
        <v>3</v>
      </c>
      <c r="C3">
        <f>SUMIFS(Dati!$D$2:$D$97,Dati!$A$2:$A$97,Controllo!$B$2,Dati!$B$2:$B$97,Controllo!$B$4)</f>
        <v>1589.2</v>
      </c>
      <c r="D3">
        <f>SUMIFS(Dati!$D$2:$D$97,Dati!$A$2:$A$97,Controllo!$B$2,Dati!$B$2:$B$97,Controllo!$B$4-1)</f>
        <v>1582.9</v>
      </c>
      <c r="E3">
        <f>SUMIFS(Dati!$D$2:$D$97,Dati!$A$2:$A$97,Controllo!$B$2,Dati!$B$2:$B$97,"&lt;="&amp;Controllo!$B$4)</f>
        <v>14207.800000000001</v>
      </c>
      <c r="G3">
        <f>SUMIFS(Dati!$C$2:$C$97,Dati!$A$2:$A$97,Anagrafica!A3,Dati!$B$2:$B$97,Controllo!$B$4)</f>
        <v>1766.58</v>
      </c>
    </row>
    <row r="4" spans="1:7" x14ac:dyDescent="0.25">
      <c r="A4" t="s">
        <v>4</v>
      </c>
      <c r="C4">
        <f>SUMIFS(Dati!$E$2:$E$97,Dati!$A$2:$A$97,Controllo!$B$2,Dati!$B$2:$B$97,Controllo!$B$4)</f>
        <v>32.590000000000003</v>
      </c>
      <c r="D4">
        <f>SUMIFS(Dati!$E$2:$E$97,Dati!$A$2:$A$97,Controllo!$B$2,Dati!$B$2:$B$97,Controllo!$B$4-1)</f>
        <v>35.119999999999997</v>
      </c>
      <c r="E4">
        <f>SUMIFS(Dati!$E$2:$E$97,Dati!$A$2:$A$97,Controllo!$B$2,Dati!$B$2:$B$97,"&lt;="&amp;Controllo!$B$4)</f>
        <v>321.54000000000008</v>
      </c>
      <c r="G4">
        <f>SUMIFS(Dati!$C$2:$C$97,Dati!$A$2:$A$97,Anagrafica!A4,Dati!$B$2:$B$97,Controllo!$B$4)</f>
        <v>2178.87</v>
      </c>
    </row>
    <row r="5" spans="1:7" x14ac:dyDescent="0.25">
      <c r="A5" t="s">
        <v>5</v>
      </c>
      <c r="C5">
        <f>SUMIFS(Dati!$F$2:$F$97,Dati!$A$2:$A$97,Controllo!$B$2,Dati!$B$2:$B$97,Controllo!$B$4)</f>
        <v>59.3</v>
      </c>
      <c r="D5">
        <f>SUMIFS(Dati!$F$2:$F$97,Dati!$A$2:$A$97,Controllo!$B$2,Dati!$B$2:$B$97,Controllo!$B$4-1)</f>
        <v>65.45</v>
      </c>
      <c r="E5">
        <f>SUMIFS(Dati!$F$2:$F$97,Dati!$A$2:$A$97,Controllo!$B$2,Dati!$B$2:$B$97,"&lt;="&amp;Controllo!$B$4)</f>
        <v>547.21</v>
      </c>
      <c r="G5">
        <f>SUMIFS(Dati!$C$2:$C$97,Dati!$A$2:$A$97,Anagrafica!A5,Dati!$B$2:$B$97,Controllo!$B$4)</f>
        <v>2656.57</v>
      </c>
    </row>
    <row r="6" spans="1:7" x14ac:dyDescent="0.25">
      <c r="A6" t="s">
        <v>49</v>
      </c>
      <c r="C6">
        <f>C5-C4</f>
        <v>26.709999999999994</v>
      </c>
      <c r="D6">
        <f>D5-D4</f>
        <v>30.330000000000005</v>
      </c>
      <c r="E6">
        <f>E5-E4</f>
        <v>225.66999999999996</v>
      </c>
      <c r="G6">
        <f>SUMIFS(Dati!$C$2:$C$97,Dati!$A$2:$A$97,Anagrafica!A6,Dati!$B$2:$B$97,Controllo!$B$4)</f>
        <v>3170.27</v>
      </c>
    </row>
    <row r="7" spans="1:7" x14ac:dyDescent="0.25">
      <c r="A7" t="s">
        <v>50</v>
      </c>
      <c r="C7">
        <f>IFERROR(C4/C5,0)</f>
        <v>0.54957841483979775</v>
      </c>
      <c r="D7">
        <f>IFERROR(D4/D5,0)</f>
        <v>0.53659281894576005</v>
      </c>
      <c r="E7">
        <f>IFERROR(E4/E5,0)</f>
        <v>0.58759891083861782</v>
      </c>
      <c r="G7">
        <f>SUMIFS(Dati!$C$2:$C$97,Dati!$A$2:$A$97,Anagrafica!A7,Dati!$B$2:$B$97,Controllo!$B$4)</f>
        <v>3600.54</v>
      </c>
    </row>
    <row r="8" spans="1:7" x14ac:dyDescent="0.25">
      <c r="A8" t="s">
        <v>51</v>
      </c>
      <c r="C8">
        <f>ROUND(C2/C3,4)</f>
        <v>0.77229999999999999</v>
      </c>
      <c r="D8">
        <f>ROUND(D2/D3,4)</f>
        <v>0.77400000000000002</v>
      </c>
      <c r="E8">
        <f>ROUND(E2/E3,4)</f>
        <v>0.78169999999999995</v>
      </c>
      <c r="G8">
        <f>SUMIFS(Dati!$C$2:$C$97,Dati!$A$2:$A$97,Anagrafica!A8,Dati!$B$2:$B$97,Controllo!$B$4)</f>
        <v>4078.96</v>
      </c>
    </row>
    <row r="9" spans="1:7" x14ac:dyDescent="0.25">
      <c r="A9" t="s">
        <v>52</v>
      </c>
      <c r="C9">
        <f>C2-D2</f>
        <v>2.1599999999998545</v>
      </c>
      <c r="D9">
        <f>(C2-D2)/D2</f>
        <v>1.7630782039455848E-3</v>
      </c>
      <c r="E9" t="str">
        <f>IF(C2&gt;D2,"in crescita","in calo")</f>
        <v>in crescita</v>
      </c>
      <c r="G9">
        <f>SUMIFS(Dati!$C$2:$C$97,Dati!$A$2:$A$97,Anagrafica!A9,Dati!$B$2:$B$97,Controllo!$B$4)</f>
        <v>4580</v>
      </c>
    </row>
    <row r="10" spans="1:7" x14ac:dyDescent="0.25">
      <c r="A10" t="s">
        <v>53</v>
      </c>
      <c r="C10">
        <f>C2*(1+Controllo!$B$5)</f>
        <v>1251.8358000000001</v>
      </c>
      <c r="D10">
        <f>D2*(1+Controllo!$B$5)</f>
        <v>1249.6326000000001</v>
      </c>
      <c r="E10">
        <f>E2*(1+Controllo!$B$5/12*Controllo!$B$4)</f>
        <v>11272.955399999999</v>
      </c>
    </row>
    <row r="11" spans="1:7" x14ac:dyDescent="0.25">
      <c r="A11" t="s">
        <v>54</v>
      </c>
      <c r="C11">
        <f>_xlfn.XLOOKUP(Controllo!$B$2,Anagrafica!$A$2:$A$9,Anagrafica!$E$2:$E$9)*Controllo!$B$12*12</f>
        <v>1638</v>
      </c>
      <c r="D11">
        <f>INDEX(Anagrafica!$E$2:$E$9,MATCH(Controllo!$B$2,Anagrafica!$A$2:$A$9,0))</f>
        <v>1300</v>
      </c>
      <c r="E11">
        <f>C2/C12</f>
        <v>0.36399765993242272</v>
      </c>
    </row>
    <row r="12" spans="1:7" x14ac:dyDescent="0.25">
      <c r="A12" t="s">
        <v>55</v>
      </c>
      <c r="C12">
        <f>AVERAGEIFS(Dati!$C$2:$C$97,Dati!$G$2:$G$97,Controllo!$B$7,Dati!$B$2:$B$97,Controllo!$B$4)</f>
        <v>3371.6975000000002</v>
      </c>
      <c r="D12">
        <f>COUNTIFS(Dati!$G$2:$G$97,Controllo!$B$7,Dati!$B$2:$B$97,Controllo!$B$4)</f>
        <v>4</v>
      </c>
      <c r="E12">
        <f>C2-C13</f>
        <v>-61.559999999999945</v>
      </c>
    </row>
    <row r="13" spans="1:7" x14ac:dyDescent="0.25">
      <c r="A13" t="s">
        <v>56</v>
      </c>
      <c r="C13">
        <f>_xlfn.MAXIFS(Dati!$C$2:$C$97,Dati!$A$2:$A$97,Controllo!$B$2)</f>
        <v>1288.8499999999999</v>
      </c>
      <c r="D13">
        <f>_xlfn.MINIFS(Dati!$C$2:$C$97,Dati!$A$2:$A$97,Controllo!$B$2)</f>
        <v>1207.5999999999999</v>
      </c>
      <c r="E13">
        <f>SUMPRODUCT((Dati!$A$2:$A$97=Controllo!$B$2)*(Dati!$B$2:$B$97&lt;=Controllo!$B$4)*Dati!$D$2:$D$97)</f>
        <v>14207.800000000001</v>
      </c>
    </row>
    <row r="14" spans="1:7" x14ac:dyDescent="0.25">
      <c r="A14" t="s">
        <v>57</v>
      </c>
      <c r="C14" t="e">
        <f ca="1">RANGO.EQ(C2,$G$2:$G$9)</f>
        <v>#NAME?</v>
      </c>
      <c r="D14" t="str">
        <f>CHOOSE(Controllo!$B$3,"uno","due","tre","quattro","cinque","sei","sette","otto")</f>
        <v>uno</v>
      </c>
      <c r="E14" t="str">
        <f>UPPER(LEFT(Controllo!$B$2,5))&amp;"-"&amp;Controllo!$B$6</f>
        <v>BANCA-B101</v>
      </c>
    </row>
    <row r="15" spans="1:7" x14ac:dyDescent="0.25">
      <c r="A15" t="s">
        <v>58</v>
      </c>
      <c r="C15" t="str">
        <f>IF(AND(C4&gt;0,C5&gt;0),"ok","verifica")</f>
        <v>ok</v>
      </c>
      <c r="D15">
        <f>ABS(C8)*100</f>
        <v>77.23</v>
      </c>
      <c r="E15">
        <f>YEAR(Controllo!$B$9)*100+MONTH(Controllo!$B$9)</f>
        <v>202609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5BB96-95A8-4984-A847-761111CFE7C3}">
  <dimension ref="B2:H13"/>
  <sheetViews>
    <sheetView workbookViewId="0"/>
  </sheetViews>
  <sheetFormatPr defaultRowHeight="12.5" x14ac:dyDescent="0.25"/>
  <sheetData>
    <row r="2" spans="2:8" x14ac:dyDescent="0.25">
      <c r="B2" t="s">
        <v>60</v>
      </c>
    </row>
    <row r="3" spans="2:8" x14ac:dyDescent="0.25">
      <c r="C3" t="str">
        <f>"Sintesi - "&amp;Controllo!$B$8</f>
        <v>Sintesi - Banca Nord (B101) - mese 09</v>
      </c>
    </row>
    <row r="4" spans="2:8" x14ac:dyDescent="0.25">
      <c r="C4" t="s">
        <v>46</v>
      </c>
      <c r="D4" t="s">
        <v>1</v>
      </c>
      <c r="E4" t="s">
        <v>47</v>
      </c>
      <c r="F4" t="s">
        <v>61</v>
      </c>
      <c r="G4" t="s">
        <v>62</v>
      </c>
    </row>
    <row r="5" spans="2:8" x14ac:dyDescent="0.25">
      <c r="C5" t="s">
        <v>2</v>
      </c>
      <c r="D5" s="3">
        <f>Calcoli!C2</f>
        <v>1227.29</v>
      </c>
      <c r="E5" s="3">
        <f>Calcoli!D2</f>
        <v>1225.1300000000001</v>
      </c>
      <c r="F5" s="3">
        <f>D5-E5</f>
        <v>2.1599999999998545</v>
      </c>
      <c r="G5" s="2">
        <f>IFERROR(F5/E5,"-")</f>
        <v>1.7630782039455848E-3</v>
      </c>
    </row>
    <row r="6" spans="2:8" x14ac:dyDescent="0.25">
      <c r="C6" t="s">
        <v>3</v>
      </c>
      <c r="D6" s="3">
        <f>Calcoli!C3</f>
        <v>1589.2</v>
      </c>
      <c r="E6" s="3">
        <f>Calcoli!D3</f>
        <v>1582.9</v>
      </c>
      <c r="F6" s="3">
        <f>D6-E6</f>
        <v>6.2999999999999545</v>
      </c>
      <c r="G6" s="2">
        <f>IFERROR(F6/E6,"-")</f>
        <v>3.9800366416071478E-3</v>
      </c>
    </row>
    <row r="7" spans="2:8" x14ac:dyDescent="0.25">
      <c r="C7" t="s">
        <v>4</v>
      </c>
      <c r="D7" s="3">
        <f>Calcoli!C4</f>
        <v>32.590000000000003</v>
      </c>
      <c r="E7" s="3">
        <f>Calcoli!D4</f>
        <v>35.119999999999997</v>
      </c>
      <c r="F7" s="3">
        <f>D7-E7</f>
        <v>-2.529999999999994</v>
      </c>
      <c r="G7" s="2">
        <f>IFERROR(F7/E7,"-")</f>
        <v>-7.2038724373576141E-2</v>
      </c>
    </row>
    <row r="8" spans="2:8" x14ac:dyDescent="0.25">
      <c r="C8" t="s">
        <v>5</v>
      </c>
      <c r="D8" s="3">
        <f>Calcoli!C5</f>
        <v>59.3</v>
      </c>
      <c r="E8" s="3">
        <f>Calcoli!D5</f>
        <v>65.45</v>
      </c>
      <c r="F8" s="3">
        <f>D8-E8</f>
        <v>-6.1500000000000057</v>
      </c>
      <c r="G8" s="2">
        <f>IFERROR(F8/E8,"-")</f>
        <v>-9.39648586707411E-2</v>
      </c>
    </row>
    <row r="9" spans="2:8" x14ac:dyDescent="0.25">
      <c r="C9" t="s">
        <v>49</v>
      </c>
      <c r="D9" s="3">
        <f>Calcoli!C6</f>
        <v>26.709999999999994</v>
      </c>
      <c r="E9" s="3">
        <f>Calcoli!D6</f>
        <v>30.330000000000005</v>
      </c>
      <c r="F9" s="3">
        <f>D9-E9</f>
        <v>-3.6200000000000117</v>
      </c>
      <c r="G9" s="2">
        <f>IFERROR(F9/E9,"-")</f>
        <v>-0.11935377514012566</v>
      </c>
    </row>
    <row r="10" spans="2:8" x14ac:dyDescent="0.25">
      <c r="C10" t="s">
        <v>50</v>
      </c>
      <c r="D10" s="2">
        <f>Calcoli!C7</f>
        <v>0.54957841483979775</v>
      </c>
      <c r="E10" s="2">
        <f>Calcoli!D7</f>
        <v>0.53659281894576005</v>
      </c>
      <c r="F10" s="2">
        <f>D10-E10</f>
        <v>1.2985595894037694E-2</v>
      </c>
    </row>
    <row r="11" spans="2:8" x14ac:dyDescent="0.25">
      <c r="C11" t="s">
        <v>20</v>
      </c>
      <c r="D11" t="str">
        <f>Controllo!B11</f>
        <v>Rossi</v>
      </c>
      <c r="E11" t="str">
        <f>Calcoli!E14</f>
        <v>BANCA-B101</v>
      </c>
    </row>
    <row r="12" spans="2:8" x14ac:dyDescent="0.25">
      <c r="C12" t="s">
        <v>63</v>
      </c>
      <c r="D12">
        <f>Controllo!B13</f>
        <v>-0.12336428571428575</v>
      </c>
    </row>
    <row r="13" spans="2:8" x14ac:dyDescent="0.25">
      <c r="C13" t="s">
        <v>64</v>
      </c>
      <c r="D13" t="str">
        <f>Controllo!B10</f>
        <v>settembre 2026</v>
      </c>
      <c r="H13" t="s">
        <v>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1BE66-A9FF-4CFD-AEE6-D7113540ACC3}">
  <dimension ref="B2:H13"/>
  <sheetViews>
    <sheetView workbookViewId="0"/>
  </sheetViews>
  <sheetFormatPr defaultRowHeight="12.5" x14ac:dyDescent="0.25"/>
  <sheetData>
    <row r="2" spans="2:8" x14ac:dyDescent="0.25">
      <c r="B2" t="s">
        <v>60</v>
      </c>
    </row>
    <row r="3" spans="2:8" x14ac:dyDescent="0.25">
      <c r="C3" t="str">
        <f>"Area "&amp;Controllo!$B$7&amp;" - mese "&amp;Controllo!$B$4</f>
        <v>Area Nord - mese 9</v>
      </c>
    </row>
    <row r="4" spans="2:8" x14ac:dyDescent="0.25">
      <c r="C4" t="s">
        <v>0</v>
      </c>
      <c r="D4" t="s">
        <v>6</v>
      </c>
      <c r="E4" t="s">
        <v>2</v>
      </c>
      <c r="F4" t="s">
        <v>65</v>
      </c>
      <c r="G4" t="s">
        <v>66</v>
      </c>
    </row>
    <row r="5" spans="2:8" x14ac:dyDescent="0.25">
      <c r="C5" t="str">
        <f>Anagrafica!A2</f>
        <v>Banca Nord</v>
      </c>
      <c r="D5" t="str">
        <f>_xlfn.XLOOKUP(C5,Anagrafica!$A$2:$A$9,Anagrafica!$C$2:$C$9)</f>
        <v>Nord</v>
      </c>
      <c r="E5" s="4">
        <f>IF(D5=Controllo!$B$7,Calcoli!G2,0)</f>
        <v>1227.29</v>
      </c>
      <c r="F5" s="2">
        <f>IFERROR(E5/SUM($E$5:$E$12),0)</f>
        <v>9.0999414983105681E-2</v>
      </c>
      <c r="G5" t="str">
        <f>IF(C5=Controllo!$B$2,"◀","")</f>
        <v>◀</v>
      </c>
    </row>
    <row r="6" spans="2:8" x14ac:dyDescent="0.25">
      <c r="C6" t="str">
        <f>Anagrafica!A3</f>
        <v>Banca Sud</v>
      </c>
      <c r="D6" t="str">
        <f>_xlfn.XLOOKUP(C6,Anagrafica!$A$2:$A$9,Anagrafica!$C$2:$C$9)</f>
        <v>Sud</v>
      </c>
      <c r="E6" s="4">
        <f>IF(D6=Controllo!$B$7,Calcoli!G3,0)</f>
        <v>0</v>
      </c>
      <c r="F6" s="2">
        <f>IFERROR(E6/SUM($E$5:$E$12),0)</f>
        <v>0</v>
      </c>
      <c r="G6" t="str">
        <f>IF(C6=Controllo!$B$2,"◀","")</f>
        <v/>
      </c>
    </row>
    <row r="7" spans="2:8" x14ac:dyDescent="0.25">
      <c r="C7" t="str">
        <f>Anagrafica!A4</f>
        <v>Banca Centro</v>
      </c>
      <c r="D7" t="str">
        <f>_xlfn.XLOOKUP(C7,Anagrafica!$A$2:$A$9,Anagrafica!$C$2:$C$9)</f>
        <v>Centro</v>
      </c>
      <c r="E7" s="4">
        <f>IF(D7=Controllo!$B$7,Calcoli!G4,0)</f>
        <v>0</v>
      </c>
      <c r="F7" s="2">
        <f>IFERROR(E7/SUM($E$5:$E$12),0)</f>
        <v>0</v>
      </c>
      <c r="G7" t="str">
        <f>IF(C7=Controllo!$B$2,"◀","")</f>
        <v/>
      </c>
    </row>
    <row r="8" spans="2:8" x14ac:dyDescent="0.25">
      <c r="C8" t="str">
        <f>Anagrafica!A5</f>
        <v>Banca Città</v>
      </c>
      <c r="D8" t="str">
        <f>_xlfn.XLOOKUP(C8,Anagrafica!$A$2:$A$9,Anagrafica!$C$2:$C$9)</f>
        <v>Centro</v>
      </c>
      <c r="E8" s="4">
        <f>IF(D8=Controllo!$B$7,Calcoli!G5,0)</f>
        <v>0</v>
      </c>
      <c r="F8" s="2">
        <f>IFERROR(E8/SUM($E$5:$E$12),0)</f>
        <v>0</v>
      </c>
      <c r="G8" t="str">
        <f>IF(C8=Controllo!$B$2,"◀","")</f>
        <v/>
      </c>
    </row>
    <row r="9" spans="2:8" x14ac:dyDescent="0.25">
      <c r="C9" t="str">
        <f>Anagrafica!A6</f>
        <v>Banca Isole</v>
      </c>
      <c r="D9" t="str">
        <f>_xlfn.XLOOKUP(C9,Anagrafica!$A$2:$A$9,Anagrafica!$C$2:$C$9)</f>
        <v>Sud</v>
      </c>
      <c r="E9" s="4">
        <f>IF(D9=Controllo!$B$7,Calcoli!G6,0)</f>
        <v>0</v>
      </c>
      <c r="F9" s="2">
        <f>IFERROR(E9/SUM($E$5:$E$12),0)</f>
        <v>0</v>
      </c>
      <c r="G9" t="str">
        <f>IF(C9=Controllo!$B$2,"◀","")</f>
        <v/>
      </c>
    </row>
    <row r="10" spans="2:8" x14ac:dyDescent="0.25">
      <c r="C10" t="str">
        <f>Anagrafica!A7</f>
        <v>Banca Est</v>
      </c>
      <c r="D10" t="str">
        <f>_xlfn.XLOOKUP(C10,Anagrafica!$A$2:$A$9,Anagrafica!$C$2:$C$9)</f>
        <v>Nord</v>
      </c>
      <c r="E10" s="4">
        <f>IF(D10=Controllo!$B$7,Calcoli!G7,0)</f>
        <v>3600.54</v>
      </c>
      <c r="F10" s="2">
        <f>IFERROR(E10/SUM($E$5:$E$12),0)</f>
        <v>0.26696789970037343</v>
      </c>
      <c r="G10" t="str">
        <f>IF(C10=Controllo!$B$2,"◀","")</f>
        <v/>
      </c>
    </row>
    <row r="11" spans="2:8" x14ac:dyDescent="0.25">
      <c r="C11" t="str">
        <f>Anagrafica!A8</f>
        <v>Banca Ovest</v>
      </c>
      <c r="D11" t="str">
        <f>_xlfn.XLOOKUP(C11,Anagrafica!$A$2:$A$9,Anagrafica!$C$2:$C$9)</f>
        <v>Nord</v>
      </c>
      <c r="E11" s="4">
        <f>IF(D11=Controllo!$B$7,Calcoli!G8,0)</f>
        <v>4078.96</v>
      </c>
      <c r="F11" s="2">
        <f>IFERROR(E11/SUM($E$5:$E$12),0)</f>
        <v>0.30244112943109513</v>
      </c>
      <c r="G11" t="str">
        <f>IF(C11=Controllo!$B$2,"◀","")</f>
        <v/>
      </c>
    </row>
    <row r="12" spans="2:8" x14ac:dyDescent="0.25">
      <c r="C12" t="str">
        <f>Anagrafica!A9</f>
        <v>Banca Alpi</v>
      </c>
      <c r="D12" t="str">
        <f>_xlfn.XLOOKUP(C12,Anagrafica!$A$2:$A$9,Anagrafica!$C$2:$C$9)</f>
        <v>Nord</v>
      </c>
      <c r="E12" s="4">
        <f>IF(D12=Controllo!$B$7,Calcoli!G9,0)</f>
        <v>4580</v>
      </c>
      <c r="F12" s="2">
        <f>IFERROR(E12/SUM($E$5:$E$12),0)</f>
        <v>0.33959155588542567</v>
      </c>
      <c r="G12" t="str">
        <f>IF(C12=Controllo!$B$2,"◀","")</f>
        <v/>
      </c>
    </row>
    <row r="13" spans="2:8" x14ac:dyDescent="0.25">
      <c r="C13" t="s">
        <v>67</v>
      </c>
      <c r="E13" s="4">
        <f>SUM(E5:E12)</f>
        <v>13486.79</v>
      </c>
      <c r="F13" s="2">
        <f>SUM(F5:F12)</f>
        <v>0.99999999999999989</v>
      </c>
      <c r="H13" t="s">
        <v>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DA82C-7198-4791-B2B5-4E3DA73C984F}">
  <dimension ref="A1:B2"/>
  <sheetViews>
    <sheetView tabSelected="1" workbookViewId="0"/>
  </sheetViews>
  <sheetFormatPr defaultRowHeight="12.5" x14ac:dyDescent="0.25"/>
  <sheetData>
    <row r="1" spans="1:2" x14ac:dyDescent="0.25">
      <c r="A1" t="s">
        <v>68</v>
      </c>
      <c r="B1" t="e">
        <f ca="1">CommissioneBanca(Calcoli!C2,Controllo!B5)</f>
        <v>#NAME?</v>
      </c>
    </row>
    <row r="2" spans="1:2" x14ac:dyDescent="0.25">
      <c r="A2" t="s">
        <v>69</v>
      </c>
      <c r="B2">
        <f>ROUND(Calcoli!C2*Controllo!B5/12,2)</f>
        <v>2.0499999999999998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Controllo</vt:lpstr>
      <vt:lpstr>Dati</vt:lpstr>
      <vt:lpstr>Anagrafica</vt:lpstr>
      <vt:lpstr>Calcoli</vt:lpstr>
      <vt:lpstr>SLIDE Sintesi</vt:lpstr>
      <vt:lpstr>SLIDE Area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CARDUCCI ARTENISIO GUALBERTO COSTANTINO MARIA</dc:creator>
  <cp:lastModifiedBy>CARDUCCI ARTENISIO GUALBERTO COSTANTINO MARIA</cp:lastModifiedBy>
  <dcterms:created xsi:type="dcterms:W3CDTF">2026-10-17T10:07:27Z</dcterms:created>
  <dcterms:modified xsi:type="dcterms:W3CDTF">2026-10-17T10:07:31Z</dcterms:modified>
</cp:coreProperties>
</file>