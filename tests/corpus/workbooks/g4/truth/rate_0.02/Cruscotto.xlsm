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EA8269B3-8450-4F3C-9E25-E245A4DD890A}" xr6:coauthVersionLast="47" xr6:coauthVersionMax="47" xr10:uidLastSave="{00000000-0000-0000-0000-000000000000}"/>
  <bookViews>
    <workbookView xWindow="2660" yWindow="2660" windowWidth="14400" windowHeight="8170" firstSheet="1" activeTab="6" xr2:uid="{57AE9968-AEFB-473F-92BE-183CE338650D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D12" i="6" s="1"/>
  <c r="C11" i="6"/>
  <c r="G11" i="6" s="1"/>
  <c r="C10" i="6"/>
  <c r="G10" i="6" s="1"/>
  <c r="C9" i="6"/>
  <c r="D9" i="6" s="1"/>
  <c r="C8" i="6"/>
  <c r="D8" i="6" s="1"/>
  <c r="C7" i="6"/>
  <c r="G7" i="6" s="1"/>
  <c r="C6" i="6"/>
  <c r="G6" i="6" s="1"/>
  <c r="C5" i="6"/>
  <c r="D5" i="6" s="1"/>
  <c r="G9" i="4"/>
  <c r="G8" i="4"/>
  <c r="G7" i="4"/>
  <c r="G6" i="4"/>
  <c r="G5" i="4"/>
  <c r="G4" i="4"/>
  <c r="G3" i="4"/>
  <c r="G2" i="4"/>
  <c r="E13" i="4"/>
  <c r="D13" i="4"/>
  <c r="C13" i="4"/>
  <c r="D11" i="4"/>
  <c r="E5" i="4"/>
  <c r="D5" i="4"/>
  <c r="E8" i="5" s="1"/>
  <c r="C5" i="4"/>
  <c r="D8" i="5" s="1"/>
  <c r="E4" i="4"/>
  <c r="D4" i="4"/>
  <c r="E7" i="5" s="1"/>
  <c r="C4" i="4"/>
  <c r="D7" i="5" s="1"/>
  <c r="E3" i="4"/>
  <c r="D3" i="4"/>
  <c r="E6" i="5" s="1"/>
  <c r="C3" i="4"/>
  <c r="E2" i="4"/>
  <c r="E10" i="4" s="1"/>
  <c r="D2" i="4"/>
  <c r="D10" i="4" s="1"/>
  <c r="C2" i="4"/>
  <c r="C10" i="4" s="1"/>
  <c r="B12" i="1"/>
  <c r="C11" i="4" s="1"/>
  <c r="B9" i="1"/>
  <c r="E15" i="4" s="1"/>
  <c r="B7" i="1"/>
  <c r="C12" i="4" s="1"/>
  <c r="B6" i="1"/>
  <c r="B8" i="1" s="1"/>
  <c r="C3" i="5" s="1"/>
  <c r="B3" i="1"/>
  <c r="B11" i="1" s="1"/>
  <c r="D11" i="5" s="1"/>
  <c r="E12" i="4" l="1"/>
  <c r="F8" i="5"/>
  <c r="G8" i="5" s="1"/>
  <c r="G5" i="6"/>
  <c r="G12" i="6"/>
  <c r="F7" i="5"/>
  <c r="G7" i="5" s="1"/>
  <c r="E9" i="6"/>
  <c r="B10" i="1"/>
  <c r="D13" i="5" s="1"/>
  <c r="D14" i="4"/>
  <c r="D11" i="6"/>
  <c r="E8" i="6"/>
  <c r="G9" i="6"/>
  <c r="G8" i="6"/>
  <c r="E14" i="4"/>
  <c r="E11" i="5" s="1"/>
  <c r="E11" i="6"/>
  <c r="E12" i="6"/>
  <c r="E11" i="4"/>
  <c r="C15" i="4"/>
  <c r="C6" i="4"/>
  <c r="D9" i="5" s="1"/>
  <c r="C7" i="4"/>
  <c r="D10" i="5" s="1"/>
  <c r="E7" i="4"/>
  <c r="E5" i="6"/>
  <c r="D5" i="5"/>
  <c r="D12" i="4"/>
  <c r="D8" i="4"/>
  <c r="C8" i="4"/>
  <c r="D15" i="4" s="1"/>
  <c r="D6" i="6"/>
  <c r="E6" i="6" s="1"/>
  <c r="E6" i="4"/>
  <c r="D6" i="5"/>
  <c r="F6" i="5" s="1"/>
  <c r="G6" i="5" s="1"/>
  <c r="E8" i="4"/>
  <c r="C9" i="4"/>
  <c r="D10" i="6"/>
  <c r="E10" i="6" s="1"/>
  <c r="D9" i="4"/>
  <c r="D7" i="6"/>
  <c r="E7" i="6" s="1"/>
  <c r="B2" i="7"/>
  <c r="D7" i="4"/>
  <c r="E10" i="5" s="1"/>
  <c r="E5" i="5"/>
  <c r="E9" i="4"/>
  <c r="C3" i="6"/>
  <c r="D6" i="4"/>
  <c r="E9" i="5" s="1"/>
  <c r="C14" i="4"/>
  <c r="F9" i="5" l="1"/>
  <c r="G9" i="5" s="1"/>
  <c r="F10" i="5"/>
  <c r="F8" i="6"/>
  <c r="F7" i="6"/>
  <c r="F6" i="6"/>
  <c r="F10" i="6"/>
  <c r="F12" i="6"/>
  <c r="F9" i="6"/>
  <c r="F5" i="5"/>
  <c r="G5" i="5" s="1"/>
  <c r="B13" i="1"/>
  <c r="D12" i="5" s="1"/>
  <c r="F5" i="6"/>
  <c r="E13" i="6"/>
  <c r="F11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<sst xmlns="http://schemas.openxmlformats.org/spreadsheetml/2006/main" count="297" uniqueCount="70">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</sst>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-0.12336428571428575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8F7D-4CA7-4337-9EFC-20162A56B5E6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8</v>
      </c>
    </row>
    <row r="3" spans="1:2" x14ac:dyDescent="0.25">
      <c r="A3" t="s">
        <v>39</v>
      </c>
      <c r="B3">
        <f>MATCH(B2,Anagrafica!A2:A9,0)</f>
        <v>1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0.02</v>
      </c>
    </row>
    <row r="6" spans="1:2" x14ac:dyDescent="0.25">
      <c r="A6" t="s">
        <v>19</v>
      </c>
      <c r="B6" t="str">
        <f>VLOOKUP(B2,Anagrafica!A2:E9,2,FALSE)</f>
        <v>B101</v>
      </c>
    </row>
    <row r="7" spans="1:2" x14ac:dyDescent="0.25">
      <c r="A7" t="s">
        <v>6</v>
      </c>
      <c r="B7" t="str">
        <f>_xlfn.XLOOKUP(B2,Anagrafica!A2:A9,Anagrafica!C2:C9,"n.d.")</f>
        <v>Nord</v>
      </c>
    </row>
    <row r="8" spans="1:2" x14ac:dyDescent="0.25">
      <c r="A8" t="s">
        <v>41</v>
      </c>
      <c r="B8" t="str">
        <f>B2&amp;" ("&amp;B6&amp;") - mese "&amp;TEXT(B4,"00")</f>
        <v>Banca Nord (B101)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Rossi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-0.12336428571428575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F60F-7930-441F-81CC-36528CF9213F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46023.597092291668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46054.597092418982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46082.597092418982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46113.597092418982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46143.597092418982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46174.597092418982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46204.597092418982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46235.597092418982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46266.597092418982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46296.597092418982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46327.597092418982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46357.597092418982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46023.597092418982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46054.597092418982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46082.597092418982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46113.597092418982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46143.597092418982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46174.597092418982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46204.597092418982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46235.597092418982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46266.597092418982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46296.597092418982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46327.597092418982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46357.597092418982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46023.597092418982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46054.597092418982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46082.597092418982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46113.597092418982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46143.597092418982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46174.597092418982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46204.597092418982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46235.597092418982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46266.597092418982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46296.597092418982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46327.597092418982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46357.597092418982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46023.597092418982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46054.597092418982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46082.597092418982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46113.597092418982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46143.597092418982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46174.597092418982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46204.597092418982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46235.597092418982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46266.597092418982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46296.597092418982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46327.597092418982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46357.597092418982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46023.597092418982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46054.597092418982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46082.597092418982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46113.597092418982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46143.597092418982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46174.597092418982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46204.597092418982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46235.597092418982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46266.597092418982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46296.597092418982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46327.597092418982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46357.597092418982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46023.597092418982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46054.597092418982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46082.597092418982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46113.597092418982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46143.597092418982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46174.597092418982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46204.597092418982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46235.597092418982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46266.597092418982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46296.597092418982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46327.597092418982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46357.597092418982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46023.597092418982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46054.597092418982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46082.597092418982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46113.597092418982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46143.597092418982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46174.597092418982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46204.597092418982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46235.597092418982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46266.597092418982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46296.597092418982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46327.597092418982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46357.597092418982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46023.597092418982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46054.597092418982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46082.597092418982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46113.597092418982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46143.597092418982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46174.597092418982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46204.597092418982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46235.597092418982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46266.597092418982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46296.597092418982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46327.597092418982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46357.597092418982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F9BC-58E9-477A-A646-536B178BC236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F4C6C-EB75-4D2E-8FC4-B4A75DAFD364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1227.29</v>
      </c>
      <c r="D2">
        <f>SUMIFS(Dati!$C$2:$C$97,Dati!$A$2:$A$97,Controllo!$B$2,Dati!$B$2:$B$97,Controllo!$B$4-1)</f>
        <v>1225.1300000000001</v>
      </c>
      <c r="E2">
        <f>SUMIFS(Dati!$C$2:$C$97,Dati!$A$2:$A$97,Controllo!$B$2,Dati!$B$2:$B$97,"&lt;="&amp;Controllo!$B$4)</f>
        <v>11106.36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1589.2</v>
      </c>
      <c r="D3">
        <f>SUMIFS(Dati!$D$2:$D$97,Dati!$A$2:$A$97,Controllo!$B$2,Dati!$B$2:$B$97,Controllo!$B$4-1)</f>
        <v>1582.9</v>
      </c>
      <c r="E3">
        <f>SUMIFS(Dati!$D$2:$D$97,Dati!$A$2:$A$97,Controllo!$B$2,Dati!$B$2:$B$97,"&lt;="&amp;Controllo!$B$4)</f>
        <v>14207.800000000001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32.590000000000003</v>
      </c>
      <c r="D4">
        <f>SUMIFS(Dati!$E$2:$E$97,Dati!$A$2:$A$97,Controllo!$B$2,Dati!$B$2:$B$97,Controllo!$B$4-1)</f>
        <v>35.119999999999997</v>
      </c>
      <c r="E4">
        <f>SUMIFS(Dati!$E$2:$E$97,Dati!$A$2:$A$97,Controllo!$B$2,Dati!$B$2:$B$97,"&lt;="&amp;Controllo!$B$4)</f>
        <v>321.54000000000008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59.3</v>
      </c>
      <c r="D5">
        <f>SUMIFS(Dati!$F$2:$F$97,Dati!$A$2:$A$97,Controllo!$B$2,Dati!$B$2:$B$97,Controllo!$B$4-1)</f>
        <v>65.45</v>
      </c>
      <c r="E5">
        <f>SUMIFS(Dati!$F$2:$F$97,Dati!$A$2:$A$97,Controllo!$B$2,Dati!$B$2:$B$97,"&lt;="&amp;Controllo!$B$4)</f>
        <v>547.21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26.709999999999994</v>
      </c>
      <c r="D6">
        <f>D5-D4</f>
        <v>30.330000000000005</v>
      </c>
      <c r="E6">
        <f>E5-E4</f>
        <v>225.66999999999996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0.54957841483979775</v>
      </c>
      <c r="D7">
        <f>IFERROR(D4/D5,0)</f>
        <v>0.53659281894576005</v>
      </c>
      <c r="E7">
        <f>IFERROR(E4/E5,0)</f>
        <v>0.58759891083861782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0.77229999999999999</v>
      </c>
      <c r="D8">
        <f>ROUND(D2/D3,4)</f>
        <v>0.77400000000000002</v>
      </c>
      <c r="E8">
        <f>ROUND(E2/E3,4)</f>
        <v>0.78169999999999995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2.1599999999998545</v>
      </c>
      <c r="D9">
        <f>(C2-D2)/D2</f>
        <v>1.7630782039455848E-3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1251.8358000000001</v>
      </c>
      <c r="D10">
        <f>D2*(1+Controllo!$B$5)</f>
        <v>1249.6326000000001</v>
      </c>
      <c r="E10">
        <f>E2*(1+Controllo!$B$5/12*Controllo!$B$4)</f>
        <v>11272.955399999999</v>
      </c>
    </row>
    <row r="11" spans="1:7" x14ac:dyDescent="0.25">
      <c r="A11" t="s">
        <v>54</v>
      </c>
      <c r="C11">
        <f>_xlfn.XLOOKUP(Controllo!$B$2,Anagrafica!$A$2:$A$9,Anagrafica!$E$2:$E$9)*Controllo!$B$12*12</f>
        <v>1638</v>
      </c>
      <c r="D11">
        <f>INDEX(Anagrafica!$E$2:$E$9,MATCH(Controllo!$B$2,Anagrafica!$A$2:$A$9,0))</f>
        <v>1300</v>
      </c>
      <c r="E11">
        <f>C2/C12</f>
        <v>0.36399765993242272</v>
      </c>
    </row>
    <row r="12" spans="1:7" x14ac:dyDescent="0.25">
      <c r="A12" t="s">
        <v>55</v>
      </c>
      <c r="C12">
        <f>AVERAGEIFS(Dati!$C$2:$C$97,Dati!$G$2:$G$97,Controllo!$B$7,Dati!$B$2:$B$97,Controllo!$B$4)</f>
        <v>3371.6975000000002</v>
      </c>
      <c r="D12">
        <f>COUNTIFS(Dati!$G$2:$G$97,Controllo!$B$7,Dati!$B$2:$B$97,Controllo!$B$4)</f>
        <v>4</v>
      </c>
      <c r="E12">
        <f>C2-C13</f>
        <v>-61.559999999999945</v>
      </c>
    </row>
    <row r="13" spans="1:7" x14ac:dyDescent="0.25">
      <c r="A13" t="s">
        <v>56</v>
      </c>
      <c r="C13">
        <f>_xlfn.MAXIFS(Dati!$C$2:$C$97,Dati!$A$2:$A$97,Controllo!$B$2)</f>
        <v>1288.8499999999999</v>
      </c>
      <c r="D13">
        <f>_xlfn.MINIFS(Dati!$C$2:$C$97,Dati!$A$2:$A$97,Controllo!$B$2)</f>
        <v>1207.5999999999999</v>
      </c>
      <c r="E13">
        <f>SUMPRODUCT((Dati!$A$2:$A$97=Controllo!$B$2)*(Dati!$B$2:$B$97&lt;=Controllo!$B$4)*Dati!$D$2:$D$97)</f>
        <v>14207.800000000001</v>
      </c>
    </row>
    <row r="14" spans="1:7" x14ac:dyDescent="0.25">
      <c r="A14" t="s">
        <v>57</v>
      </c>
      <c r="C14">
        <f>RANK(C2,$G$2:$G$9)</f>
        <v>8</v>
      </c>
      <c r="D14" t="str">
        <f>CHOOSE(Controllo!$B$3,"uno","due","tre","quattro","cinque","sei","sette","otto")</f>
        <v>uno</v>
      </c>
      <c r="E14" t="str">
        <f>UPPER(LEFT(Controllo!$B$2,5))&amp;"-"&amp;Controllo!$B$6</f>
        <v>BANCA-B101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77.23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3EA14-1EB4-4021-9411-D2C556B632EC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Nord (B101)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1227.29</v>
      </c>
      <c r="E5" s="3">
        <f>Calcoli!D2</f>
        <v>1225.1300000000001</v>
      </c>
      <c r="F5" s="3">
        <f>D5-E5</f>
        <v>2.1599999999998545</v>
      </c>
      <c r="G5" s="2">
        <f>IFERROR(F5/E5,"-")</f>
        <v>1.7630782039455848E-3</v>
      </c>
    </row>
    <row r="6" spans="2:8" x14ac:dyDescent="0.25">
      <c r="C6" t="s">
        <v>3</v>
      </c>
      <c r="D6" s="3">
        <f>Calcoli!C3</f>
        <v>1589.2</v>
      </c>
      <c r="E6" s="3">
        <f>Calcoli!D3</f>
        <v>1582.9</v>
      </c>
      <c r="F6" s="3">
        <f>D6-E6</f>
        <v>6.2999999999999545</v>
      </c>
      <c r="G6" s="2">
        <f>IFERROR(F6/E6,"-")</f>
        <v>3.9800366416071478E-3</v>
      </c>
    </row>
    <row r="7" spans="2:8" x14ac:dyDescent="0.25">
      <c r="C7" t="s">
        <v>4</v>
      </c>
      <c r="D7" s="3">
        <f>Calcoli!C4</f>
        <v>32.590000000000003</v>
      </c>
      <c r="E7" s="3">
        <f>Calcoli!D4</f>
        <v>35.119999999999997</v>
      </c>
      <c r="F7" s="3">
        <f>D7-E7</f>
        <v>-2.529999999999994</v>
      </c>
      <c r="G7" s="2">
        <f>IFERROR(F7/E7,"-")</f>
        <v>-7.2038724373576141E-2</v>
      </c>
    </row>
    <row r="8" spans="2:8" x14ac:dyDescent="0.25">
      <c r="C8" t="s">
        <v>5</v>
      </c>
      <c r="D8" s="3">
        <f>Calcoli!C5</f>
        <v>59.3</v>
      </c>
      <c r="E8" s="3">
        <f>Calcoli!D5</f>
        <v>65.45</v>
      </c>
      <c r="F8" s="3">
        <f>D8-E8</f>
        <v>-6.1500000000000057</v>
      </c>
      <c r="G8" s="2">
        <f>IFERROR(F8/E8,"-")</f>
        <v>-9.39648586707411E-2</v>
      </c>
    </row>
    <row r="9" spans="2:8" x14ac:dyDescent="0.25">
      <c r="C9" t="s">
        <v>49</v>
      </c>
      <c r="D9" s="3">
        <f>Calcoli!C6</f>
        <v>26.709999999999994</v>
      </c>
      <c r="E9" s="3">
        <f>Calcoli!D6</f>
        <v>30.330000000000005</v>
      </c>
      <c r="F9" s="3">
        <f>D9-E9</f>
        <v>-3.6200000000000117</v>
      </c>
      <c r="G9" s="2">
        <f>IFERROR(F9/E9,"-")</f>
        <v>-0.11935377514012566</v>
      </c>
    </row>
    <row r="10" spans="2:8" x14ac:dyDescent="0.25">
      <c r="C10" t="s">
        <v>50</v>
      </c>
      <c r="D10" s="2">
        <f>Calcoli!C7</f>
        <v>0.54957841483979775</v>
      </c>
      <c r="E10" s="2">
        <f>Calcoli!D7</f>
        <v>0.53659281894576005</v>
      </c>
      <c r="F10" s="2">
        <f>D10-E10</f>
        <v>1.2985595894037694E-2</v>
      </c>
    </row>
    <row r="11" spans="2:8" x14ac:dyDescent="0.25">
      <c r="C11" t="s">
        <v>20</v>
      </c>
      <c r="D11" t="str">
        <f>Controllo!B11</f>
        <v>Rossi</v>
      </c>
      <c r="E11" t="str">
        <f>Calcoli!E14</f>
        <v>BANCA-B101</v>
      </c>
    </row>
    <row r="12" spans="2:8" x14ac:dyDescent="0.25">
      <c r="C12" t="s">
        <v>63</v>
      </c>
      <c r="D12">
        <f>Controllo!B13</f>
        <v>-0.12336428571428575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CA87D-C11D-404C-8AD0-5DD864BB7C3D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Nord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1227.29</v>
      </c>
      <c r="F5" s="2">
        <f>IFERROR(E5/SUM($E$5:$E$12),0)</f>
        <v>9.0999414983105681E-2</v>
      </c>
      <c r="G5" t="str">
        <f>IF(C5=Controllo!$B$2,"◀","")</f>
        <v>◀</v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3600.54</v>
      </c>
      <c r="F10" s="2">
        <f>IFERROR(E10/SUM($E$5:$E$12),0)</f>
        <v>0.26696789970037343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4078.96</v>
      </c>
      <c r="F11" s="2">
        <f>IFERROR(E11/SUM($E$5:$E$12),0)</f>
        <v>0.30244112943109513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4580</v>
      </c>
      <c r="F12" s="2">
        <f>IFERROR(E12/SUM($E$5:$E$12),0)</f>
        <v>0.33959155588542567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13486.79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4B92A-E6BD-4865-806C-DBBBF4F4BA94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2.0499999999999998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