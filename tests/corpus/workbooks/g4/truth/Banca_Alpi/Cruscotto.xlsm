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B4A0056B-BC27-4DBF-B408-430E0D131838}" xr6:coauthVersionLast="47" xr6:coauthVersionMax="47" xr10:uidLastSave="{00000000-0000-0000-0000-000000000000}"/>
  <bookViews>
    <workbookView xWindow="1140" yWindow="1140" windowWidth="14400" windowHeight="8170" firstSheet="1" activeTab="6" xr2:uid="{2182FE6C-4E27-4113-9F2E-F1B8C8C1D330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G12" i="6" s="1"/>
  <c r="C11" i="6"/>
  <c r="G11" i="6" s="1"/>
  <c r="C10" i="6"/>
  <c r="D10" i="6" s="1"/>
  <c r="C9" i="6"/>
  <c r="D9" i="6" s="1"/>
  <c r="C8" i="6"/>
  <c r="G8" i="6" s="1"/>
  <c r="C7" i="6"/>
  <c r="G7" i="6" s="1"/>
  <c r="C6" i="6"/>
  <c r="G6" i="6" s="1"/>
  <c r="C5" i="6"/>
  <c r="G5" i="6" s="1"/>
  <c r="G9" i="4"/>
  <c r="G8" i="4"/>
  <c r="G7" i="4"/>
  <c r="G6" i="4"/>
  <c r="G5" i="4"/>
  <c r="G4" i="4"/>
  <c r="G3" i="4"/>
  <c r="G2" i="4"/>
  <c r="C14" i="4"/>
  <c r="E13" i="4"/>
  <c r="D13" i="4"/>
  <c r="C13" i="4"/>
  <c r="D11" i="4"/>
  <c r="E5" i="4"/>
  <c r="D5" i="4"/>
  <c r="C5" i="4"/>
  <c r="D8" i="5" s="1"/>
  <c r="E4" i="4"/>
  <c r="D4" i="4"/>
  <c r="E7" i="5" s="1"/>
  <c r="C4" i="4"/>
  <c r="D7" i="5" s="1"/>
  <c r="E3" i="4"/>
  <c r="D3" i="4"/>
  <c r="E6" i="5" s="1"/>
  <c r="C3" i="4"/>
  <c r="E2" i="4"/>
  <c r="D2" i="4"/>
  <c r="D10" i="4" s="1"/>
  <c r="C2" i="4"/>
  <c r="C10" i="4" s="1"/>
  <c r="B12" i="1"/>
  <c r="C11" i="4" s="1"/>
  <c r="B9" i="1"/>
  <c r="B10" i="1" s="1"/>
  <c r="D13" i="5" s="1"/>
  <c r="B7" i="1"/>
  <c r="D12" i="4" s="1"/>
  <c r="B6" i="1"/>
  <c r="E14" i="4" s="1"/>
  <c r="E11" i="5" s="1"/>
  <c r="B3" i="1"/>
  <c r="D14" i="4" s="1"/>
  <c r="E12" i="4" l="1"/>
  <c r="D6" i="4"/>
  <c r="E9" i="5" s="1"/>
  <c r="E7" i="4"/>
  <c r="D8" i="6"/>
  <c r="E8" i="6" s="1"/>
  <c r="G10" i="6"/>
  <c r="D12" i="6"/>
  <c r="F7" i="5"/>
  <c r="G7" i="5" s="1"/>
  <c r="E9" i="6"/>
  <c r="E10" i="6"/>
  <c r="C15" i="4"/>
  <c r="E8" i="4"/>
  <c r="E6" i="4"/>
  <c r="B8" i="1"/>
  <c r="C3" i="5" s="1"/>
  <c r="C6" i="4"/>
  <c r="D9" i="5" s="1"/>
  <c r="F9" i="5" s="1"/>
  <c r="G9" i="5" s="1"/>
  <c r="E12" i="6"/>
  <c r="C7" i="4"/>
  <c r="D10" i="5" s="1"/>
  <c r="B11" i="1"/>
  <c r="D11" i="5" s="1"/>
  <c r="D6" i="5"/>
  <c r="F6" i="5" s="1"/>
  <c r="G6" i="5" s="1"/>
  <c r="E10" i="4"/>
  <c r="D5" i="6"/>
  <c r="E5" i="6" s="1"/>
  <c r="D5" i="5"/>
  <c r="G9" i="6"/>
  <c r="E5" i="5"/>
  <c r="D6" i="6"/>
  <c r="E6" i="6" s="1"/>
  <c r="B2" i="7"/>
  <c r="D7" i="4"/>
  <c r="E10" i="5" s="1"/>
  <c r="C8" i="4"/>
  <c r="D15" i="4" s="1"/>
  <c r="D8" i="4"/>
  <c r="E8" i="5"/>
  <c r="F8" i="5" s="1"/>
  <c r="G8" i="5" s="1"/>
  <c r="D9" i="4"/>
  <c r="D7" i="6"/>
  <c r="E7" i="6" s="1"/>
  <c r="C3" i="6"/>
  <c r="C12" i="4"/>
  <c r="E11" i="4" s="1"/>
  <c r="C9" i="4"/>
  <c r="E9" i="4"/>
  <c r="E15" i="4"/>
  <c r="D11" i="6"/>
  <c r="E11" i="6" s="1"/>
  <c r="F7" i="6" l="1"/>
  <c r="F10" i="5"/>
  <c r="F11" i="6"/>
  <c r="F10" i="6"/>
  <c r="F5" i="5"/>
  <c r="G5" i="5" s="1"/>
  <c r="F6" i="6"/>
  <c r="B13" i="1"/>
  <c r="D12" i="5" s="1"/>
  <c r="E13" i="6"/>
  <c r="F12" i="6"/>
  <c r="F9" i="6"/>
  <c r="F8" i="6"/>
  <c r="F5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<sst xmlns="http://schemas.openxmlformats.org/spreadsheetml/2006/main" count="297" uniqueCount="70">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</sst>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3.8548752834467119E-2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D97B-8E7C-4C73-8515-338A79738BBF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18</v>
      </c>
    </row>
    <row r="3" spans="1:2" x14ac:dyDescent="0.25">
      <c r="A3" t="s">
        <v>39</v>
      </c>
      <c r="B3">
        <f>MATCH(B2,Anagrafica!A2:A9,0)</f>
        <v>8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B108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Alpi (B108)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Marino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3.8548752834467119E-2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FFF3D-2FB1-4F23-BCD9-9A9072C7E1A2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46023.505190902775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46054.505190902775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46082.505190902775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46113.505190902775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46143.505190902775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46174.505190902775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46204.505190902775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46235.505190902775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46266.505190902775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46296.505190902775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46327.505190902775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46357.505190902775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46023.505190902775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46054.505190902775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46082.505190902775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46113.505190902775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46143.505190902775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46174.505190902775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46204.505190902775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46235.505190902775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46266.505190902775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46296.505190902775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46327.505190902775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46357.505190902775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46023.505190902775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46054.505190902775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46082.505190902775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46113.505190902775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46143.505190902775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46174.505190902775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46204.505190902775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46235.505190902775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46266.505190902775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46296.505190902775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46327.505190902775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46357.505190902775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46023.505190902775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46054.505190902775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46082.505190902775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46113.505190902775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46143.505190902775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46174.505190902775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46204.505190902775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46235.505190902775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46266.505190902775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46296.505190902775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46327.505190902775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46357.505190902775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46023.505190902775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46054.505190902775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46082.505190902775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46113.505190902775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46143.505190902775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46174.505190902775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46204.505190902775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46235.505190902775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46266.505190902775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46296.505190902775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46327.505190902775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46357.505190902775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46023.505190902775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46054.505190902775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46082.505190902775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46113.505190902775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46143.505190902775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46174.505190902775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46204.505190902775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46235.505190902775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46266.505190902775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46296.505190902775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46327.505190902775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46357.505190902775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46023.505190902775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46054.505190902775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46082.505190902775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46113.505190902775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46143.505190902775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46174.505190902775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46204.505190902775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46235.505190902775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46266.505190902775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46296.505190902775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46327.505190902775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46357.505190902775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46023.505190902775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46054.505190902775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46082.505190902775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46113.505190902775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46143.505190902775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46174.505190902775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46204.505190902775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46235.505190902775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46266.505190902775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46296.505190902775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46327.505190902775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46357.505190902775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7FAD-F1E1-4488-AAA1-70A36A1F9348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1FDFD-7627-4BF9-910C-367BC3469F5A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4580</v>
      </c>
      <c r="D2">
        <f>SUMIFS(Dati!$C$2:$C$97,Dati!$A$2:$A$97,Controllo!$B$2,Dati!$B$2:$B$97,Controllo!$B$4-1)</f>
        <v>4566.3999999999996</v>
      </c>
      <c r="E2">
        <f>SUMIFS(Dati!$C$2:$C$97,Dati!$A$2:$A$97,Controllo!$B$2,Dati!$B$2:$B$97,"&lt;="&amp;Controllo!$B$4)</f>
        <v>40361.519999999997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5883.6</v>
      </c>
      <c r="D3">
        <f>SUMIFS(Dati!$D$2:$D$97,Dati!$A$2:$A$97,Controllo!$B$2,Dati!$B$2:$B$97,Controllo!$B$4-1)</f>
        <v>5835</v>
      </c>
      <c r="E3">
        <f>SUMIFS(Dati!$D$2:$D$97,Dati!$A$2:$A$97,Controllo!$B$2,Dati!$B$2:$B$97,"&lt;="&amp;Controllo!$B$4)</f>
        <v>51991.899999999994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132.26</v>
      </c>
      <c r="D4">
        <f>SUMIFS(Dati!$E$2:$E$97,Dati!$A$2:$A$97,Controllo!$B$2,Dati!$B$2:$B$97,Controllo!$B$4-1)</f>
        <v>130.94999999999999</v>
      </c>
      <c r="E4">
        <f>SUMIFS(Dati!$E$2:$E$97,Dati!$A$2:$A$97,Controllo!$B$2,Dati!$B$2:$B$97,"&lt;="&amp;Controllo!$B$4)</f>
        <v>1211.8399999999999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224.98</v>
      </c>
      <c r="D5">
        <f>SUMIFS(Dati!$F$2:$F$97,Dati!$A$2:$A$97,Controllo!$B$2,Dati!$B$2:$B$97,Controllo!$B$4-1)</f>
        <v>223.94</v>
      </c>
      <c r="E5">
        <f>SUMIFS(Dati!$F$2:$F$97,Dati!$A$2:$A$97,Controllo!$B$2,Dati!$B$2:$B$97,"&lt;="&amp;Controllo!$B$4)</f>
        <v>2027.58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92.72</v>
      </c>
      <c r="D6">
        <f>D5-D4</f>
        <v>92.990000000000009</v>
      </c>
      <c r="E6">
        <f>E5-E4</f>
        <v>815.74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0.58787447773135393</v>
      </c>
      <c r="D7">
        <f>IFERROR(D4/D5,0)</f>
        <v>0.58475484504778064</v>
      </c>
      <c r="E7">
        <f>IFERROR(E4/E5,0)</f>
        <v>0.59767802010278259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0.77839999999999998</v>
      </c>
      <c r="D8">
        <f>ROUND(D2/D3,4)</f>
        <v>0.78259999999999996</v>
      </c>
      <c r="E8">
        <f>ROUND(E2/E3,4)</f>
        <v>0.77629999999999999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13.600000000000364</v>
      </c>
      <c r="D9">
        <f>(C2-D2)/D2</f>
        <v>2.9782761037141655E-3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4740.2999999999993</v>
      </c>
      <c r="D10">
        <f>D2*(1+Controllo!$B$5)</f>
        <v>4726.2239999999993</v>
      </c>
      <c r="E10">
        <f>E2*(1+Controllo!$B$5/12*Controllo!$B$4)</f>
        <v>41421.009900000005</v>
      </c>
    </row>
    <row r="11" spans="1:7" x14ac:dyDescent="0.25">
      <c r="A11" t="s">
        <v>54</v>
      </c>
      <c r="C11">
        <f>_xlfn.XLOOKUP(Controllo!$B$2,Anagrafica!$A$2:$A$9,Anagrafica!$E$2:$E$9)*Controllo!$B$12*12</f>
        <v>5783.4</v>
      </c>
      <c r="D11">
        <f>INDEX(Anagrafica!$E$2:$E$9,MATCH(Controllo!$B$2,Anagrafica!$A$2:$A$9,0))</f>
        <v>4590</v>
      </c>
      <c r="E11">
        <f>C2/C12</f>
        <v>1.3583662235417027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-97.840000000000146</v>
      </c>
    </row>
    <row r="13" spans="1:7" x14ac:dyDescent="0.25">
      <c r="A13" t="s">
        <v>56</v>
      </c>
      <c r="C13">
        <f>_xlfn.MAXIFS(Dati!$C$2:$C$97,Dati!$A$2:$A$97,Controllo!$B$2)</f>
        <v>4677.84</v>
      </c>
      <c r="D13">
        <f>_xlfn.MINIFS(Dati!$C$2:$C$97,Dati!$A$2:$A$97,Controllo!$B$2)</f>
        <v>4370.75</v>
      </c>
      <c r="E13">
        <f>SUMPRODUCT((Dati!$A$2:$A$97=Controllo!$B$2)*(Dati!$B$2:$B$97&lt;=Controllo!$B$4)*Dati!$D$2:$D$97)</f>
        <v>51991.899999999994</v>
      </c>
    </row>
    <row r="14" spans="1:7" x14ac:dyDescent="0.25">
      <c r="A14" t="s">
        <v>57</v>
      </c>
      <c r="C14" t="e">
        <f ca="1">RANGO.EQ(C2,$G$2:$G$9)</f>
        <v>#NAME?</v>
      </c>
      <c r="D14" t="str">
        <f>CHOOSE(Controllo!$B$3,"uno","due","tre","quattro","cinque","sei","sette","otto")</f>
        <v>otto</v>
      </c>
      <c r="E14" t="str">
        <f>UPPER(LEFT(Controllo!$B$2,5))&amp;"-"&amp;Controllo!$B$6</f>
        <v>BANCA-B108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77.84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BB96-95A8-4984-A847-761111CFE7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Alpi (B108)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4580</v>
      </c>
      <c r="E5" s="3">
        <f>Calcoli!D2</f>
        <v>4566.3999999999996</v>
      </c>
      <c r="F5" s="3">
        <f>D5-E5</f>
        <v>13.600000000000364</v>
      </c>
      <c r="G5" s="2">
        <f>IFERROR(F5/E5,"-")</f>
        <v>2.9782761037141655E-3</v>
      </c>
    </row>
    <row r="6" spans="2:8" x14ac:dyDescent="0.25">
      <c r="C6" t="s">
        <v>3</v>
      </c>
      <c r="D6" s="3">
        <f>Calcoli!C3</f>
        <v>5883.6</v>
      </c>
      <c r="E6" s="3">
        <f>Calcoli!D3</f>
        <v>5835</v>
      </c>
      <c r="F6" s="3">
        <f>D6-E6</f>
        <v>48.600000000000364</v>
      </c>
      <c r="G6" s="2">
        <f>IFERROR(F6/E6,"-")</f>
        <v>8.3290488431877231E-3</v>
      </c>
    </row>
    <row r="7" spans="2:8" x14ac:dyDescent="0.25">
      <c r="C7" t="s">
        <v>4</v>
      </c>
      <c r="D7" s="3">
        <f>Calcoli!C4</f>
        <v>132.26</v>
      </c>
      <c r="E7" s="3">
        <f>Calcoli!D4</f>
        <v>130.94999999999999</v>
      </c>
      <c r="F7" s="3">
        <f>D7-E7</f>
        <v>1.3100000000000023</v>
      </c>
      <c r="G7" s="2">
        <f>IFERROR(F7/E7,"-")</f>
        <v>1.0003818251240949E-2</v>
      </c>
    </row>
    <row r="8" spans="2:8" x14ac:dyDescent="0.25">
      <c r="C8" t="s">
        <v>5</v>
      </c>
      <c r="D8" s="3">
        <f>Calcoli!C5</f>
        <v>224.98</v>
      </c>
      <c r="E8" s="3">
        <f>Calcoli!D5</f>
        <v>223.94</v>
      </c>
      <c r="F8" s="3">
        <f>D8-E8</f>
        <v>1.039999999999992</v>
      </c>
      <c r="G8" s="2">
        <f>IFERROR(F8/E8,"-")</f>
        <v>4.6441010985084933E-3</v>
      </c>
    </row>
    <row r="9" spans="2:8" x14ac:dyDescent="0.25">
      <c r="C9" t="s">
        <v>49</v>
      </c>
      <c r="D9" s="3">
        <f>Calcoli!C6</f>
        <v>92.72</v>
      </c>
      <c r="E9" s="3">
        <f>Calcoli!D6</f>
        <v>92.990000000000009</v>
      </c>
      <c r="F9" s="3">
        <f>D9-E9</f>
        <v>-0.27000000000001023</v>
      </c>
      <c r="G9" s="2">
        <f>IFERROR(F9/E9,"-")</f>
        <v>-2.9035380148404151E-3</v>
      </c>
    </row>
    <row r="10" spans="2:8" x14ac:dyDescent="0.25">
      <c r="C10" t="s">
        <v>50</v>
      </c>
      <c r="D10" s="2">
        <f>Calcoli!C7</f>
        <v>0.58787447773135393</v>
      </c>
      <c r="E10" s="2">
        <f>Calcoli!D7</f>
        <v>0.58475484504778064</v>
      </c>
      <c r="F10" s="2">
        <f>D10-E10</f>
        <v>3.1196326835732924E-3</v>
      </c>
    </row>
    <row r="11" spans="2:8" x14ac:dyDescent="0.25">
      <c r="C11" t="s">
        <v>20</v>
      </c>
      <c r="D11" t="str">
        <f>Controllo!B11</f>
        <v>Marino</v>
      </c>
      <c r="E11" t="str">
        <f>Calcoli!E14</f>
        <v>BANCA-B108</v>
      </c>
    </row>
    <row r="12" spans="2:8" x14ac:dyDescent="0.25">
      <c r="C12" t="s">
        <v>63</v>
      </c>
      <c r="D12">
        <f>Controllo!B13</f>
        <v>3.8548752834467119E-2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1BE66-A9FF-4CFD-AEE6-D7113540AC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>◀</v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DA82C-7198-4791-B2B5-4E3DA73C984F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13.36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