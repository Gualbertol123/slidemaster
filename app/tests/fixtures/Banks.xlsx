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13_ncr:1_{D0C347DF-DD06-4AD8-9861-0C2B452CBD14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C10" i="5"/>
  <c r="J6" i="5"/>
  <c r="G6" i="5"/>
  <c r="F6" i="5"/>
  <c r="F12" i="5" s="1"/>
  <c r="E6" i="5"/>
  <c r="D6" i="5"/>
  <c r="J5" i="5"/>
  <c r="G5" i="5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C10" i="4"/>
  <c r="J6" i="4"/>
  <c r="G6" i="4"/>
  <c r="F6" i="4"/>
  <c r="F12" i="4" s="1"/>
  <c r="E6" i="4"/>
  <c r="D6" i="4"/>
  <c r="J5" i="4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K5" i="5" l="1"/>
  <c r="K6" i="5"/>
  <c r="K5" i="4"/>
  <c r="G8" i="4"/>
  <c r="E11" i="4"/>
  <c r="E11" i="5"/>
  <c r="J7" i="3"/>
  <c r="J7" i="4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<sst xmlns="http://schemas.openxmlformats.org/spreadsheetml/2006/main" count="196" uniqueCount="42">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</sst>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-413.5</v>
          </cell>
        </row>
        <row r="8">
          <cell r="D8" t="str">
            <v>below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7</v>
      </c>
    </row>
    <row r="3" spans="1:2" x14ac:dyDescent="0.25">
      <c r="A3" t="s">
        <v>18</v>
      </c>
      <c r="B3">
        <f>MATCH(B2,Data!H2:H11,0)</f>
        <v>1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A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1624.7</v>
      </c>
      <c r="E5">
        <f>ROUND(SUMIFS(Data!$C:$C,Data!$A:$A,Control!$B$2,Data!$B:$B,Control!$B$4-2)*Control!$B$5,1)</f>
        <v>1688.3</v>
      </c>
      <c r="F5">
        <f>ROUND(SUMIFS(Data!$C:$C,Data!$A:$A,Control!$B$2,Data!$B:$B,Control!$B$4-1)*Control!$B$5,1)</f>
        <v>1675.1</v>
      </c>
      <c r="G5">
        <f>ROUND(SUMIFS(Data!$C:$C,Data!$A:$A,Control!$B$2,Data!$B:$B,Control!$B$4-0)*Control!$B$5,1)</f>
        <v>1678.4</v>
      </c>
      <c r="H5">
        <f>G5-F5</f>
        <v>3.3000000000001819</v>
      </c>
      <c r="I5">
        <f>IFERROR(H5/F5,0)</f>
        <v>1.9700316399022043E-3</v>
      </c>
      <c r="J5">
        <f>ROUND(SUMIFS(Data!$E:$E,Data!$A:$A,Control!$B$2,Data!$B:$B,Control!$B$4-0)*Control!$B$5,1)</f>
        <v>1714.9</v>
      </c>
      <c r="K5">
        <f>IF(ABS(G5-J5)&lt;0.05,0,G5-J5)</f>
        <v>-36.5</v>
      </c>
    </row>
    <row r="6" spans="2:12" x14ac:dyDescent="0.25">
      <c r="C6" t="s">
        <v>3</v>
      </c>
      <c r="D6">
        <f>ROUND(SUMIFS(Data!$D:$D,Data!$A:$A,Control!$B$2,Data!$B:$B,Control!$B$4-3)*Control!$B$5,1)</f>
        <v>2025.8</v>
      </c>
      <c r="E6">
        <f>ROUND(SUMIFS(Data!$D:$D,Data!$A:$A,Control!$B$2,Data!$B:$B,Control!$B$4-2)*Control!$B$5,1)</f>
        <v>2033.8</v>
      </c>
      <c r="F6">
        <f>ROUND(SUMIFS(Data!$D:$D,Data!$A:$A,Control!$B$2,Data!$B:$B,Control!$B$4-1)*Control!$B$5,1)</f>
        <v>2001.7</v>
      </c>
      <c r="G6">
        <f>ROUND(SUMIFS(Data!$D:$D,Data!$A:$A,Control!$B$2,Data!$B:$B,Control!$B$4-0)*Control!$B$5,1)</f>
        <v>1937.1</v>
      </c>
      <c r="H6">
        <f>G6-F6</f>
        <v>-64.600000000000136</v>
      </c>
      <c r="I6">
        <f>IFERROR(H6/F6,0)</f>
        <v>-3.2272568316930678E-2</v>
      </c>
      <c r="J6">
        <f>ROUND(SUMIFS(Data!$F:$F,Data!$A:$A,Control!$B$2,Data!$B:$B,Control!$B$4-0)*Control!$B$5,1)</f>
        <v>2034.9</v>
      </c>
      <c r="K6">
        <f>IF(ABS(G6-J6)&lt;0.05,0,G6-J6)</f>
        <v>-97.800000000000182</v>
      </c>
    </row>
    <row r="7" spans="2:12" x14ac:dyDescent="0.25">
      <c r="C7" t="s">
        <v>31</v>
      </c>
      <c r="D7">
        <f>SUM(D5:D6)</f>
        <v>3650.5</v>
      </c>
      <c r="E7">
        <f>SUM(E5:E6)</f>
        <v>3722.1</v>
      </c>
      <c r="F7">
        <f>SUM(F5:F6)</f>
        <v>3676.8</v>
      </c>
      <c r="G7">
        <f>SUM(G5:G6)</f>
        <v>3615.5</v>
      </c>
      <c r="H7">
        <f>SUM(H5:H6)</f>
        <v>-61.299999999999955</v>
      </c>
      <c r="I7">
        <f>IFERROR(H7/F7,0)</f>
        <v>-1.6672106179286324E-2</v>
      </c>
      <c r="J7">
        <f>SUM(J5:J6)</f>
        <v>3749.8</v>
      </c>
      <c r="K7">
        <f>SUM(K5:K6)</f>
        <v>-134.30000000000018</v>
      </c>
    </row>
    <row r="8" spans="2:12" x14ac:dyDescent="0.25">
      <c r="C8" t="s">
        <v>32</v>
      </c>
      <c r="D8">
        <f>IF(D6=0,"n/a",D5/D6)</f>
        <v>0.80200414651002072</v>
      </c>
      <c r="E8">
        <f>IF(E6=0,"n/a",E5/E6)</f>
        <v>0.83012095584619927</v>
      </c>
      <c r="F8">
        <f>IF(F6=0,"n/a",F5/F6)</f>
        <v>0.83683868711595133</v>
      </c>
      <c r="G8">
        <f>IF(G6=0,"n/a",G5/G6)</f>
        <v>0.86644984771049516</v>
      </c>
    </row>
    <row r="9" spans="2:12" x14ac:dyDescent="0.25">
      <c r="C9" t="s">
        <v>33</v>
      </c>
      <c r="D9">
        <f>AVERAGE(D7:G7)</f>
        <v>3666.2250000000004</v>
      </c>
      <c r="E9">
        <f>MAX(D7:G7)</f>
        <v>3722.1</v>
      </c>
      <c r="F9">
        <f>MIN(D7:G7)</f>
        <v>3615.5</v>
      </c>
      <c r="G9">
        <f>COUNTIF(H5:H6,"&gt;0")</f>
        <v>1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2001.7</v>
      </c>
      <c r="G12">
        <f ca="1">INDIRECT("D7")</f>
        <v>3650.5</v>
      </c>
      <c r="H12">
        <f>AVERAGEIF(Data!$A$2:$A$121,Control!$B$2,Data!$C$2:$C$121)</f>
        <v>1528.0687500000001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1675.1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-3.5815243479652259E-2</v>
      </c>
      <c r="L13" cm="1">
        <f t="array" ref="L13">SUM(_xlfn._xlws.FILTER(Data!$C$2:$C$121,Data!$A$2:$A$121=Control!$B$2))</f>
        <v>18336.825000000001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1692.4</v>
      </c>
      <c r="E5">
        <f>ROUND(SUMIFS(Data!$C:$C,Data!$A:$A,Control!$B$2,Data!$B:$B,Control!$B$4-3)*Control!$B$5,1)</f>
        <v>1624.7</v>
      </c>
      <c r="F5">
        <f>ROUND(SUMIFS(Data!$C:$C,Data!$A:$A,Control!$B$2,Data!$B:$B,Control!$B$4-2)*Control!$B$5,1)</f>
        <v>1688.3</v>
      </c>
      <c r="G5">
        <f>ROUND(SUMIFS(Data!$C:$C,Data!$A:$A,Control!$B$2,Data!$B:$B,Control!$B$4-1)*Control!$B$5,1)</f>
        <v>1675.1</v>
      </c>
      <c r="H5">
        <f>G5-F5</f>
        <v>-13.200000000000045</v>
      </c>
      <c r="I5">
        <f>IFERROR(H5/F5,0)</f>
        <v>-7.8185156666469493E-3</v>
      </c>
      <c r="J5">
        <f>ROUND(SUMIFS(Data!$E:$E,Data!$A:$A,Control!$B$2,Data!$B:$B,Control!$B$4-1)*Control!$B$5,1)</f>
        <v>1707.3</v>
      </c>
      <c r="K5">
        <f>IF(ABS(G5-J5)&lt;0.05,0,G5-J5)</f>
        <v>-32.200000000000045</v>
      </c>
    </row>
    <row r="6" spans="2:12" x14ac:dyDescent="0.25">
      <c r="C6" t="s">
        <v>3</v>
      </c>
      <c r="D6">
        <f>ROUND(SUMIFS(Data!$D:$D,Data!$A:$A,Control!$B$2,Data!$B:$B,Control!$B$4-4)*Control!$B$5,1)</f>
        <v>1996.1</v>
      </c>
      <c r="E6">
        <f>ROUND(SUMIFS(Data!$D:$D,Data!$A:$A,Control!$B$2,Data!$B:$B,Control!$B$4-3)*Control!$B$5,1)</f>
        <v>2025.8</v>
      </c>
      <c r="F6">
        <f>ROUND(SUMIFS(Data!$D:$D,Data!$A:$A,Control!$B$2,Data!$B:$B,Control!$B$4-2)*Control!$B$5,1)</f>
        <v>2033.8</v>
      </c>
      <c r="G6">
        <f>ROUND(SUMIFS(Data!$D:$D,Data!$A:$A,Control!$B$2,Data!$B:$B,Control!$B$4-1)*Control!$B$5,1)</f>
        <v>2001.7</v>
      </c>
      <c r="H6">
        <f>G6-F6</f>
        <v>-32.099999999999909</v>
      </c>
      <c r="I6">
        <f>IFERROR(H6/F6,0)</f>
        <v>-1.5783262857704743E-2</v>
      </c>
      <c r="J6">
        <f>ROUND(SUMIFS(Data!$F:$F,Data!$A:$A,Control!$B$2,Data!$B:$B,Control!$B$4-1)*Control!$B$5,1)</f>
        <v>2027.3</v>
      </c>
      <c r="K6">
        <f>IF(ABS(G6-J6)&lt;0.05,0,G6-J6)</f>
        <v>-25.599999999999909</v>
      </c>
    </row>
    <row r="7" spans="2:12" x14ac:dyDescent="0.25">
      <c r="C7" t="s">
        <v>31</v>
      </c>
      <c r="D7">
        <f>SUM(D5:D6)</f>
        <v>3688.5</v>
      </c>
      <c r="E7">
        <f>SUM(E5:E6)</f>
        <v>3650.5</v>
      </c>
      <c r="F7">
        <f>SUM(F5:F6)</f>
        <v>3722.1</v>
      </c>
      <c r="G7">
        <f>SUM(G5:G6)</f>
        <v>3676.8</v>
      </c>
      <c r="H7">
        <f>SUM(H5:H6)</f>
        <v>-45.299999999999955</v>
      </c>
      <c r="I7">
        <f>IFERROR(H7/F7,0)</f>
        <v>-1.2170548883694676E-2</v>
      </c>
      <c r="J7">
        <f>SUM(J5:J6)</f>
        <v>3734.6</v>
      </c>
      <c r="K7">
        <f>SUM(K5:K6)</f>
        <v>-57.799999999999955</v>
      </c>
    </row>
    <row r="8" spans="2:12" x14ac:dyDescent="0.25">
      <c r="C8" t="s">
        <v>32</v>
      </c>
      <c r="D8">
        <f>IF(D6=0,"n/a",D5/D6)</f>
        <v>0.84785331396222641</v>
      </c>
      <c r="E8">
        <f>IF(E6=0,"n/a",E5/E6)</f>
        <v>0.80200414651002072</v>
      </c>
      <c r="F8">
        <f>IF(F6=0,"n/a",F5/F6)</f>
        <v>0.83012095584619927</v>
      </c>
      <c r="G8">
        <f>IF(G6=0,"n/a",G5/G6)</f>
        <v>0.83683868711595133</v>
      </c>
    </row>
    <row r="9" spans="2:12" x14ac:dyDescent="0.25">
      <c r="C9" t="s">
        <v>33</v>
      </c>
      <c r="D9">
        <f>AVERAGE(D7:G7)</f>
        <v>3684.4750000000004</v>
      </c>
      <c r="E9">
        <f>MAX(D7:G7)</f>
        <v>3722.1</v>
      </c>
      <c r="F9">
        <f>MIN(D7:G7)</f>
        <v>3650.5</v>
      </c>
      <c r="G9">
        <f>COUNTIF(H5:H6,"&gt;0")</f>
        <v>0</v>
      </c>
    </row>
    <row r="10" spans="2:12" x14ac:dyDescent="0.25">
      <c r="C10" t="str">
        <f>"vs SLIDE_1"</f>
        <v>vs SLIDE_1</v>
      </c>
      <c r="D10">
        <f>G7-SLIDE_1!G7</f>
        <v>61.300000000000182</v>
      </c>
      <c r="E10">
        <f>IFERROR(D10/SLIDE_1!G7,0)</f>
        <v>1.6954778038998804E-2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2033.8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2033.8</v>
      </c>
      <c r="G12">
        <f ca="1">INDIRECT("D7")</f>
        <v>3688.5</v>
      </c>
      <c r="H12">
        <f>AVERAGEIF(Data!$A$2:$A$121,Control!$B$2,Data!$C$2:$C$121)</f>
        <v>1528.0687500000001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1675.1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-1.5476891768864021E-2</v>
      </c>
      <c r="L13" cm="1">
        <f t="array" ref="L13">SUM(_xlfn._xlws.FILTER(Data!$C$2:$C$121,Data!$A$2:$A$121=Control!$B$2))</f>
        <v>18336.825000000001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1634.2</v>
      </c>
      <c r="E5">
        <f>ROUND(SUMIFS(Data!$C:$C,Data!$A:$A,Control!$B$2,Data!$B:$B,Control!$B$4-4)*Control!$B$5,1)</f>
        <v>1692.4</v>
      </c>
      <c r="F5">
        <f>ROUND(SUMIFS(Data!$C:$C,Data!$A:$A,Control!$B$2,Data!$B:$B,Control!$B$4-3)*Control!$B$5,1)</f>
        <v>1624.7</v>
      </c>
      <c r="G5">
        <f>ROUND(SUMIFS(Data!$C:$C,Data!$A:$A,Control!$B$2,Data!$B:$B,Control!$B$4-2)*Control!$B$5,1)</f>
        <v>1688.3</v>
      </c>
      <c r="H5">
        <f>G5-F5</f>
        <v>63.599999999999909</v>
      </c>
      <c r="I5">
        <f>IFERROR(H5/F5,0)</f>
        <v>3.9145688434787905E-2</v>
      </c>
      <c r="J5">
        <f>ROUND(SUMIFS(Data!$E:$E,Data!$A:$A,Control!$B$2,Data!$B:$B,Control!$B$4-2)*Control!$B$5,1)</f>
        <v>1700.8</v>
      </c>
      <c r="K5">
        <f>IF(ABS(G5-J5)&lt;0.05,0,G5-J5)</f>
        <v>-12.5</v>
      </c>
    </row>
    <row r="6" spans="2:12" x14ac:dyDescent="0.25">
      <c r="C6" t="s">
        <v>3</v>
      </c>
      <c r="D6">
        <f>ROUND(SUMIFS(Data!$D:$D,Data!$A:$A,Control!$B$2,Data!$B:$B,Control!$B$4-5)*Control!$B$5,1)</f>
        <v>2065.1</v>
      </c>
      <c r="E6">
        <f>ROUND(SUMIFS(Data!$D:$D,Data!$A:$A,Control!$B$2,Data!$B:$B,Control!$B$4-4)*Control!$B$5,1)</f>
        <v>1996.1</v>
      </c>
      <c r="F6">
        <f>ROUND(SUMIFS(Data!$D:$D,Data!$A:$A,Control!$B$2,Data!$B:$B,Control!$B$4-3)*Control!$B$5,1)</f>
        <v>2025.8</v>
      </c>
      <c r="G6">
        <f>ROUND(SUMIFS(Data!$D:$D,Data!$A:$A,Control!$B$2,Data!$B:$B,Control!$B$4-2)*Control!$B$5,1)</f>
        <v>2033.8</v>
      </c>
      <c r="H6">
        <f>G6-F6</f>
        <v>8</v>
      </c>
      <c r="I6">
        <f>IFERROR(H6/F6,0)</f>
        <v>3.9490571626024287E-3</v>
      </c>
      <c r="J6">
        <f>ROUND(SUMIFS(Data!$F:$F,Data!$A:$A,Control!$B$2,Data!$B:$B,Control!$B$4-2)*Control!$B$5,1)</f>
        <v>2020.8</v>
      </c>
      <c r="K6">
        <f>IF(ABS(G6-J6)&lt;0.05,0,G6-J6)</f>
        <v>13</v>
      </c>
    </row>
    <row r="7" spans="2:12" x14ac:dyDescent="0.25">
      <c r="C7" t="s">
        <v>31</v>
      </c>
      <c r="D7">
        <f>SUM(D5:D6)</f>
        <v>3699.3</v>
      </c>
      <c r="E7">
        <f>SUM(E5:E6)</f>
        <v>3688.5</v>
      </c>
      <c r="F7">
        <f>SUM(F5:F6)</f>
        <v>3650.5</v>
      </c>
      <c r="G7">
        <f>SUM(G5:G6)</f>
        <v>3722.1</v>
      </c>
      <c r="H7">
        <f>SUM(H5:H6)</f>
        <v>71.599999999999909</v>
      </c>
      <c r="I7">
        <f>IFERROR(H7/F7,0)</f>
        <v>1.9613751540884787E-2</v>
      </c>
      <c r="J7">
        <f>SUM(J5:J6)</f>
        <v>3721.6</v>
      </c>
      <c r="K7">
        <f>SUM(K5:K6)</f>
        <v>0.5</v>
      </c>
    </row>
    <row r="8" spans="2:12" x14ac:dyDescent="0.25">
      <c r="C8" t="s">
        <v>32</v>
      </c>
      <c r="D8">
        <f>IF(D6=0,"n/a",D5/D6)</f>
        <v>0.79134182364050176</v>
      </c>
      <c r="E8">
        <f>IF(E6=0,"n/a",E5/E6)</f>
        <v>0.84785331396222641</v>
      </c>
      <c r="F8">
        <f>IF(F6=0,"n/a",F5/F6)</f>
        <v>0.80200414651002072</v>
      </c>
      <c r="G8">
        <f>IF(G6=0,"n/a",G5/G6)</f>
        <v>0.83012095584619927</v>
      </c>
    </row>
    <row r="9" spans="2:12" x14ac:dyDescent="0.25">
      <c r="C9" t="s">
        <v>33</v>
      </c>
      <c r="D9">
        <f>AVERAGE(D7:G7)</f>
        <v>3690.1</v>
      </c>
      <c r="E9">
        <f>MAX(D7:G7)</f>
        <v>3722.1</v>
      </c>
      <c r="F9">
        <f>MIN(D7:G7)</f>
        <v>3650.5</v>
      </c>
      <c r="G9">
        <f>COUNTIF(H5:H6,"&gt;0")</f>
        <v>2</v>
      </c>
    </row>
    <row r="10" spans="2:12" x14ac:dyDescent="0.25">
      <c r="C10" t="str">
        <f>"vs SLIDE_2"</f>
        <v>vs SLIDE_2</v>
      </c>
      <c r="D10">
        <f>G7-SLIDE_2!G7</f>
        <v>45.299999999999727</v>
      </c>
      <c r="E10">
        <f>IFERROR(D10/SLIDE_2!G7,0)</f>
        <v>1.2320496083550838E-2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2033.8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2025.8</v>
      </c>
      <c r="G12">
        <f ca="1">INDIRECT("D7")</f>
        <v>3699.3</v>
      </c>
      <c r="H12">
        <f>AVERAGEIF(Data!$A$2:$A$121,Control!$B$2,Data!$C$2:$C$121)</f>
        <v>1528.0687500000001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1634.2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1.3435081685297945E-4</v>
      </c>
      <c r="L13" cm="1">
        <f t="array" ref="L13">SUM(_xlfn._xlws.FILTER(Data!$C$2:$C$121,Data!$A$2:$A$121=Control!$B$2))</f>
        <v>18336.825000000001</v>
      </c>
    </row>
    <row r="14" spans="2:12" x14ac:dyDescent="0.25">
      <c r="C14" t="s">
        <v>41</v>
      </c>
      <c r="D14">
        <f>FromB!D4*2</f>
        <v>-827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-413.5</v>
      </c>
    </row>
    <row r="5" spans="2:4" x14ac:dyDescent="0.25">
      <c r="C5" t="s">
        <v>39</v>
      </c>
      <c r="D5" t="str">
        <f>[1]Peer!D8</f>
        <v>below peers</v>
      </c>
    </row>
    <row r="6" spans="2:4" x14ac:dyDescent="0.25">
      <c r="C6" t="s">
        <v>40</v>
      </c>
      <c r="D6">
        <f>D4+SLIDE_3!H7</f>
        <v>-341.90000000000009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2026-10-16T08:07:12Z</dcterms:modified>
</cp:coreProperties>
</file>