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_1" sheetId="1" state="visible" r:id="rId1"/>
    <sheet xmlns:r="http://schemas.openxmlformats.org/officeDocument/2006/relationships" name="SLIDE_2 panel" sheetId="2" state="visible" r:id="rId2"/>
    <sheet xmlns:r="http://schemas.openxmlformats.org/officeDocument/2006/relationships" name="SLIDE_3 pair" sheetId="3" state="visible" r:id="rId3"/>
    <sheet xmlns:r="http://schemas.openxmlformats.org/officeDocument/2006/relationships" name="Hidden data" sheetId="4" state="hidden" r:id="rId4"/>
    <sheet xmlns:r="http://schemas.openxmlformats.org/officeDocument/2006/relationships" name="Nu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+0.0;-0.0;0.0"/>
    <numFmt numFmtId="165" formatCode="#,##0.0,,&quot; m&quot;"/>
    <numFmt numFmtId="166" formatCode="0.0%"/>
    <numFmt numFmtId="167" formatCode="yyyy-mm-dd"/>
    <numFmt numFmtId="168" formatCode="dd/mm/yyyy"/>
    <numFmt numFmtId="169" formatCode="#,##0.0"/>
    <numFmt numFmtId="170" formatCode="dd mmm yyyy hh:mm AM/PM"/>
    <numFmt numFmtId="171" formatCode="[$-410]mmmm yyyy"/>
    <numFmt numFmtId="172" formatCode="#,##0 [$€-410]"/>
    <numFmt numFmtId="173" formatCode="0;[Red]-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0" fontId="3" fillId="0" borderId="0" pivotButton="0" quotePrefix="0" xfId="0"/>
    <xf numFmtId="3" fontId="3" fillId="4" borderId="2" pivotButton="0" quotePrefix="0" xfId="0"/>
    <xf numFmtId="0" fontId="3" fillId="4" borderId="2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169" fontId="0" fillId="0" borderId="0" pivotButton="0" quotePrefix="0" xfId="0"/>
    <xf numFmtId="4" fontId="0" fillId="0" borderId="0" pivotButton="0" quotePrefix="0" xfId="0"/>
    <xf numFmtId="11" fontId="0" fillId="0" borderId="0" pivotButton="0" quotePrefix="0" xfId="0"/>
    <xf numFmtId="1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3" max="3"/>
    <col width="14" customWidth="1" min="4" max="4"/>
    <col width="9" customWidth="1" min="5" max="5"/>
    <col width="16" customWidth="1" min="6" max="6"/>
    <col width="9" customWidth="1" min="7" max="7"/>
    <col hidden="1" width="9" customWidth="1" min="8" max="8"/>
    <col width="12" customWidth="1" min="9" max="9"/>
    <col width="10" customWidth="1" min="10" max="10"/>
  </cols>
  <sheetData>
    <row r="1">
      <c r="A1" s="1" t="inlineStr">
        <is>
          <t>IBD – Total Banks Loans &amp; Deposits</t>
        </is>
      </c>
    </row>
    <row r="2">
      <c r="A2" t="inlineStr">
        <is>
          <t>Weekly update, figures in EUR m</t>
        </is>
      </c>
    </row>
    <row r="3">
      <c r="B3" t="inlineStr">
        <is>
          <t>x</t>
        </is>
      </c>
    </row>
    <row r="4">
      <c r="C4" s="2" t="inlineStr">
        <is>
          <t>Bank</t>
        </is>
      </c>
      <c r="D4" s="2" t="inlineStr">
        <is>
          <t>Loans</t>
        </is>
      </c>
      <c r="E4" s="2" t="inlineStr">
        <is>
          <t>Δ w/w</t>
        </is>
      </c>
      <c r="F4" s="2" t="inlineStr">
        <is>
          <t>Deposits</t>
        </is>
      </c>
      <c r="G4" s="2" t="inlineStr">
        <is>
          <t>Δ w/w</t>
        </is>
      </c>
      <c r="H4" s="2" t="inlineStr">
        <is>
          <t>Share</t>
        </is>
      </c>
      <c r="I4" s="2" t="inlineStr">
        <is>
          <t>Since</t>
        </is>
      </c>
      <c r="J4" s="2" t="inlineStr">
        <is>
          <t>Note</t>
        </is>
      </c>
    </row>
    <row r="5">
      <c r="C5" s="3" t="inlineStr">
        <is>
          <t>Domestic</t>
        </is>
      </c>
    </row>
    <row r="6">
      <c r="C6" s="4" t="inlineStr">
        <is>
          <t>Alpha</t>
        </is>
      </c>
      <c r="D6" s="5" t="n">
        <v>1234567.891</v>
      </c>
      <c r="E6" s="6" t="n">
        <v>2.5</v>
      </c>
      <c r="F6" s="7" t="n">
        <v>1975308.6</v>
      </c>
      <c r="G6" s="8" t="n">
        <v>-0</v>
      </c>
      <c r="H6" s="9" t="n">
        <v>0.0123</v>
      </c>
      <c r="I6" s="10" t="n">
        <v>45292</v>
      </c>
      <c r="J6" s="4" t="inlineStr">
        <is>
          <t>check</t>
        </is>
      </c>
    </row>
    <row r="7">
      <c r="C7" s="4" t="inlineStr">
        <is>
          <t>Beta</t>
        </is>
      </c>
      <c r="D7" s="5" t="n">
        <v>2469135.782</v>
      </c>
      <c r="E7" s="6" t="n">
        <v>-5</v>
      </c>
      <c r="F7" s="7" t="n">
        <v>2962962.9</v>
      </c>
      <c r="G7" s="8" t="n">
        <v>1.25</v>
      </c>
      <c r="H7" s="9" t="n">
        <v>0.0246</v>
      </c>
      <c r="I7" s="10" t="n">
        <v>45324</v>
      </c>
      <c r="J7" s="4" t="inlineStr">
        <is>
          <t>ok</t>
        </is>
      </c>
    </row>
    <row r="8">
      <c r="C8" s="4" t="inlineStr">
        <is>
          <t>Gamma</t>
        </is>
      </c>
      <c r="D8" s="5" t="n">
        <v>3703703.673</v>
      </c>
      <c r="E8" s="6" t="n">
        <v>7.5</v>
      </c>
      <c r="F8" s="7" t="n">
        <v>3950617.2</v>
      </c>
      <c r="G8" s="8" t="n">
        <v>-2.5</v>
      </c>
      <c r="H8" s="9" t="n">
        <v>0.0369</v>
      </c>
      <c r="I8" s="10" t="n">
        <v>45354</v>
      </c>
      <c r="J8" s="4" t="inlineStr">
        <is>
          <t>ok</t>
        </is>
      </c>
    </row>
    <row r="9" hidden="1">
      <c r="C9" s="4" t="inlineStr">
        <is>
          <t>Delta</t>
        </is>
      </c>
      <c r="D9" s="5" t="n">
        <v>4938271.564</v>
      </c>
      <c r="E9" s="6" t="n">
        <v>-10</v>
      </c>
      <c r="F9" s="7" t="n">
        <v>4938271.5</v>
      </c>
      <c r="G9" s="8" t="n">
        <v>3.75</v>
      </c>
      <c r="H9" s="9" t="n">
        <v>0.0492</v>
      </c>
      <c r="I9" s="10" t="n">
        <v>45386</v>
      </c>
      <c r="J9" s="4" t="inlineStr">
        <is>
          <t>check</t>
        </is>
      </c>
    </row>
    <row r="10">
      <c r="C10" s="4" t="inlineStr">
        <is>
          <t>Epsilon</t>
        </is>
      </c>
      <c r="D10" s="5" t="n">
        <v>6172839.455</v>
      </c>
      <c r="E10" s="6" t="n">
        <v>12.5</v>
      </c>
      <c r="F10" s="7" t="n">
        <v>5925925.800000001</v>
      </c>
      <c r="G10" s="8" t="n">
        <v>-5</v>
      </c>
      <c r="H10" s="9" t="n">
        <v>0.0615</v>
      </c>
      <c r="I10" s="10" t="n">
        <v>45417</v>
      </c>
      <c r="J10" s="4" t="inlineStr">
        <is>
          <t>ok</t>
        </is>
      </c>
    </row>
    <row r="11">
      <c r="C11" s="4" t="inlineStr">
        <is>
          <t>Zeta</t>
        </is>
      </c>
      <c r="D11" s="5" t="n">
        <v>7407407.346000001</v>
      </c>
      <c r="E11" s="6" t="n">
        <v>-15</v>
      </c>
      <c r="F11" s="7" t="n">
        <v>6913580.100000001</v>
      </c>
      <c r="G11" s="8" t="n">
        <v>6.25</v>
      </c>
      <c r="H11" s="9" t="n">
        <v>0.0738</v>
      </c>
      <c r="I11" s="10" t="n">
        <v>45449</v>
      </c>
      <c r="J11" s="4" t="inlineStr">
        <is>
          <t>ok</t>
        </is>
      </c>
    </row>
    <row r="12">
      <c r="C12" s="4" t="inlineStr">
        <is>
          <t>Eta</t>
        </is>
      </c>
      <c r="D12" s="5" t="n">
        <v>8641975.237</v>
      </c>
      <c r="E12" s="6" t="n">
        <v>17.5</v>
      </c>
      <c r="F12" s="7" t="n">
        <v>7901234.4</v>
      </c>
      <c r="G12" s="8" t="n">
        <v>-7.5</v>
      </c>
      <c r="H12" s="9" t="n">
        <v>0.0861</v>
      </c>
      <c r="I12" s="10" t="n">
        <v>45480</v>
      </c>
      <c r="J12" s="4" t="inlineStr">
        <is>
          <t>check</t>
        </is>
      </c>
    </row>
    <row r="13">
      <c r="C13" s="4" t="inlineStr">
        <is>
          <t>Theta</t>
        </is>
      </c>
      <c r="D13" s="5" t="n">
        <v>9876543.128</v>
      </c>
      <c r="E13" s="6" t="n">
        <v>-20</v>
      </c>
      <c r="F13" s="7" t="n">
        <v>8888888.700000001</v>
      </c>
      <c r="G13" s="8" t="n">
        <v>8.75</v>
      </c>
      <c r="H13" s="9" t="n">
        <v>0.0984</v>
      </c>
      <c r="I13" s="10" t="n">
        <v>45512</v>
      </c>
      <c r="J13" s="4" t="inlineStr">
        <is>
          <t>ok</t>
        </is>
      </c>
    </row>
    <row r="14">
      <c r="C14" s="4" t="inlineStr">
        <is>
          <t>Iota</t>
        </is>
      </c>
      <c r="D14" s="5" t="n">
        <v>11111111.019</v>
      </c>
      <c r="E14" s="6" t="n">
        <v>22.5</v>
      </c>
      <c r="F14" s="7" t="n">
        <v>9876543</v>
      </c>
      <c r="G14" s="8" t="n">
        <v>-10</v>
      </c>
      <c r="H14" s="9" t="n">
        <v>0.1107</v>
      </c>
      <c r="I14" s="10" t="n">
        <v>45544</v>
      </c>
      <c r="J14" s="4" t="inlineStr">
        <is>
          <t>ok</t>
        </is>
      </c>
    </row>
    <row r="15">
      <c r="C15" s="4" t="inlineStr">
        <is>
          <t>Kappa</t>
        </is>
      </c>
      <c r="D15" s="5" t="n">
        <v>12345678.91</v>
      </c>
      <c r="E15" s="6" t="n">
        <v>-25</v>
      </c>
      <c r="F15" s="7" t="n">
        <v>10864197.3</v>
      </c>
      <c r="G15" s="8" t="n">
        <v>11.25</v>
      </c>
      <c r="H15" s="9" t="n">
        <v>0.123</v>
      </c>
      <c r="I15" s="10" t="n">
        <v>45575</v>
      </c>
      <c r="J15" s="4" t="inlineStr">
        <is>
          <t>check</t>
        </is>
      </c>
    </row>
    <row r="16">
      <c r="C16" s="4" t="inlineStr">
        <is>
          <t>Lambda</t>
        </is>
      </c>
      <c r="D16" s="5" t="n">
        <v>13580246.801</v>
      </c>
      <c r="E16" s="6" t="n">
        <v>27.5</v>
      </c>
      <c r="F16" s="7" t="n">
        <v>11851851.6</v>
      </c>
      <c r="G16" s="8" t="n">
        <v>-12.5</v>
      </c>
      <c r="H16" s="9" t="n">
        <v>0.1353</v>
      </c>
      <c r="I16" s="10" t="n">
        <v>45607</v>
      </c>
      <c r="J16" s="4" t="inlineStr">
        <is>
          <t>ok</t>
        </is>
      </c>
    </row>
    <row r="17">
      <c r="C17" s="4" t="inlineStr">
        <is>
          <t>Mu</t>
        </is>
      </c>
      <c r="D17" s="5" t="n">
        <v>14814814.692</v>
      </c>
      <c r="E17" s="6" t="n">
        <v>-30</v>
      </c>
      <c r="F17" s="7" t="n">
        <v>12839505.9</v>
      </c>
      <c r="G17" s="8" t="n">
        <v>13.75</v>
      </c>
      <c r="H17" s="9" t="n">
        <v>0.1476</v>
      </c>
      <c r="I17" s="10" t="n">
        <v>45638</v>
      </c>
      <c r="J17" s="4" t="inlineStr">
        <is>
          <t>ok</t>
        </is>
      </c>
    </row>
    <row r="18">
      <c r="C18" s="4" t="inlineStr">
        <is>
          <t>Nu</t>
        </is>
      </c>
      <c r="D18" s="5" t="n">
        <v>16049382.583</v>
      </c>
      <c r="E18" s="6" t="n">
        <v>32.5</v>
      </c>
      <c r="F18" s="7" t="n">
        <v>13827160.2</v>
      </c>
      <c r="G18" s="8" t="n">
        <v>-15</v>
      </c>
      <c r="H18" s="9" t="n">
        <v>0.1599</v>
      </c>
      <c r="I18" s="10" t="n">
        <v>45304</v>
      </c>
      <c r="J18" s="4" t="inlineStr">
        <is>
          <t>check</t>
        </is>
      </c>
    </row>
    <row r="19">
      <c r="C19" s="11" t="inlineStr">
        <is>
          <t>TOTAL</t>
        </is>
      </c>
      <c r="D19" s="12">
        <f>SUM(D6:D18)</f>
        <v/>
      </c>
      <c r="E19" s="13" t="n"/>
      <c r="F19" s="13" t="n"/>
      <c r="G19" s="13" t="n"/>
      <c r="H19" s="13" t="n"/>
      <c r="I19" s="13" t="n"/>
      <c r="J19" s="13" t="n"/>
    </row>
    <row r="20">
      <c r="K20" t="inlineStr">
        <is>
          <t>x</t>
        </is>
      </c>
    </row>
  </sheetData>
  <mergeCells count="1">
    <mergeCell ref="C5:J5"/>
  </mergeCells>
  <conditionalFormatting sqref="E6:E1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6:J18">
    <cfRule type="expression" priority="3" dxfId="2">
      <formula>$J6="check"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4" max="4"/>
  </cols>
  <sheetData>
    <row r="1">
      <c r="A1" s="14" t="inlineStr">
        <is>
          <t>Liquidity panel</t>
        </is>
      </c>
    </row>
    <row r="3">
      <c r="B3" s="15" t="inlineStr">
        <is>
          <t>LCR</t>
        </is>
      </c>
      <c r="D3" s="9" t="n">
        <v>1.523</v>
      </c>
    </row>
    <row r="5">
      <c r="B5" s="15" t="inlineStr">
        <is>
          <t>NSFR</t>
        </is>
      </c>
      <c r="D5" s="9" t="n">
        <v>1.21</v>
      </c>
    </row>
    <row r="7">
      <c r="B7" s="15" t="inlineStr">
        <is>
          <t>Cash (EUR bn)</t>
        </is>
      </c>
      <c r="D7" s="8" t="n">
        <v>12.345</v>
      </c>
    </row>
    <row r="9">
      <c r="B9" s="15" t="inlineStr">
        <is>
          <t>Rating</t>
        </is>
      </c>
      <c r="D9" s="4" t="inlineStr">
        <is>
          <t>A+</t>
        </is>
      </c>
    </row>
    <row r="12">
      <c r="B12" s="16" t="inlineStr">
        <is>
          <t>Source: treasury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3" max="3"/>
    <col width="14" customWidth="1" min="4" max="4"/>
    <col width="16" customWidth="1" min="5" max="5"/>
    <col width="9" customWidth="1" min="8" max="8"/>
    <col width="11" customWidth="1" min="9" max="9"/>
    <col width="13" customWidth="1" min="10" max="10"/>
    <col width="15" customWidth="1" min="11" max="11"/>
  </cols>
  <sheetData>
    <row r="1">
      <c r="A1" t="inlineStr">
        <is>
          <t>Loans vs deposits by region</t>
        </is>
      </c>
    </row>
    <row r="3">
      <c r="B3" t="inlineStr">
        <is>
          <t>x</t>
        </is>
      </c>
      <c r="G3" t="inlineStr">
        <is>
          <t>x</t>
        </is>
      </c>
    </row>
    <row r="4">
      <c r="C4" s="3" t="inlineStr">
        <is>
          <t>Region</t>
        </is>
      </c>
      <c r="D4" s="3" t="inlineStr">
        <is>
          <t>Q1</t>
        </is>
      </c>
      <c r="E4" s="3" t="inlineStr">
        <is>
          <t>Q2</t>
        </is>
      </c>
      <c r="H4" s="3" t="inlineStr">
        <is>
          <t>Region</t>
        </is>
      </c>
      <c r="I4" s="3" t="inlineStr">
        <is>
          <t>Q1</t>
        </is>
      </c>
      <c r="J4" s="3" t="inlineStr">
        <is>
          <t>Q2</t>
        </is>
      </c>
      <c r="K4" s="3" t="inlineStr">
        <is>
          <t>Q3</t>
        </is>
      </c>
    </row>
    <row r="5">
      <c r="C5" t="inlineStr">
        <is>
          <t>R1</t>
        </is>
      </c>
      <c r="D5" s="17" t="n">
        <v>-101.25</v>
      </c>
      <c r="E5" s="17" t="n">
        <v>-90</v>
      </c>
      <c r="H5" t="inlineStr">
        <is>
          <t>R1</t>
        </is>
      </c>
      <c r="I5" s="17" t="n">
        <v>-101.25</v>
      </c>
      <c r="J5" s="17" t="n">
        <v>-90</v>
      </c>
      <c r="K5" s="17" t="n">
        <v>-78.75</v>
      </c>
    </row>
    <row r="6">
      <c r="C6" t="inlineStr">
        <is>
          <t>R2</t>
        </is>
      </c>
      <c r="D6" s="17" t="n">
        <v>-63.75</v>
      </c>
      <c r="E6" s="17" t="n">
        <v>-52.5</v>
      </c>
      <c r="H6" t="inlineStr">
        <is>
          <t>R2</t>
        </is>
      </c>
      <c r="I6" s="17" t="n">
        <v>-63.75</v>
      </c>
      <c r="J6" s="17" t="n">
        <v>-52.5</v>
      </c>
      <c r="K6" s="17" t="n">
        <v>-41.25</v>
      </c>
    </row>
    <row r="7">
      <c r="C7" t="inlineStr">
        <is>
          <t>R3</t>
        </is>
      </c>
      <c r="D7" s="17" t="n">
        <v>-26.25</v>
      </c>
      <c r="E7" s="17" t="n">
        <v>-15</v>
      </c>
      <c r="H7" t="inlineStr">
        <is>
          <t>R3</t>
        </is>
      </c>
      <c r="I7" s="17" t="n">
        <v>-26.25</v>
      </c>
      <c r="J7" s="17" t="n">
        <v>-15</v>
      </c>
      <c r="K7" s="17" t="n">
        <v>-3.75</v>
      </c>
    </row>
    <row r="8">
      <c r="C8" t="inlineStr">
        <is>
          <t>R4</t>
        </is>
      </c>
      <c r="D8" s="17" t="n">
        <v>11.25</v>
      </c>
      <c r="E8" s="17" t="n">
        <v>22.5</v>
      </c>
      <c r="H8" t="inlineStr">
        <is>
          <t>R4</t>
        </is>
      </c>
      <c r="I8" s="17" t="n">
        <v>11.25</v>
      </c>
      <c r="J8" s="17" t="n">
        <v>22.5</v>
      </c>
      <c r="K8" s="17" t="n">
        <v>33.75</v>
      </c>
    </row>
    <row r="9">
      <c r="C9" t="inlineStr">
        <is>
          <t>R5</t>
        </is>
      </c>
      <c r="D9" s="17" t="n">
        <v>48.75</v>
      </c>
      <c r="E9" s="17" t="n">
        <v>60</v>
      </c>
      <c r="H9" t="inlineStr">
        <is>
          <t>R5</t>
        </is>
      </c>
      <c r="I9" s="17" t="n">
        <v>48.75</v>
      </c>
      <c r="J9" s="17" t="n">
        <v>60</v>
      </c>
      <c r="K9" s="17" t="n">
        <v>71.25</v>
      </c>
    </row>
    <row r="10">
      <c r="C10" t="inlineStr">
        <is>
          <t>R6</t>
        </is>
      </c>
      <c r="D10" s="17" t="n">
        <v>86.25</v>
      </c>
      <c r="E10" s="17" t="n">
        <v>97.5</v>
      </c>
      <c r="H10" t="inlineStr">
        <is>
          <t>R6</t>
        </is>
      </c>
      <c r="I10" s="17" t="n">
        <v>86.25</v>
      </c>
      <c r="J10" s="17" t="n">
        <v>97.5</v>
      </c>
      <c r="K10" s="17" t="n">
        <v>108.75</v>
      </c>
    </row>
    <row r="11">
      <c r="F11" t="inlineStr">
        <is>
          <t>x</t>
        </is>
      </c>
      <c r="H11" t="inlineStr">
        <is>
          <t>R7</t>
        </is>
      </c>
      <c r="I11" s="17" t="n">
        <v>123.75</v>
      </c>
      <c r="J11" s="17" t="n">
        <v>135</v>
      </c>
      <c r="K11" s="17" t="n">
        <v>146.25</v>
      </c>
    </row>
    <row r="12">
      <c r="H12" t="inlineStr">
        <is>
          <t>R8</t>
        </is>
      </c>
      <c r="I12" s="17" t="n">
        <v>161.25</v>
      </c>
      <c r="J12" s="17" t="n">
        <v>172.5</v>
      </c>
      <c r="K12" s="17" t="n">
        <v>183.75</v>
      </c>
    </row>
    <row r="13">
      <c r="H13" t="inlineStr">
        <is>
          <t>R9</t>
        </is>
      </c>
      <c r="I13" s="17" t="n">
        <v>198.75</v>
      </c>
      <c r="J13" s="17" t="n">
        <v>210</v>
      </c>
      <c r="K13" s="17" t="n">
        <v>221.25</v>
      </c>
    </row>
    <row r="14">
      <c r="L14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sheetData>
    <row r="2">
      <c r="B2" s="18" t="n">
        <v>1234.5</v>
      </c>
    </row>
    <row r="3">
      <c r="B3" s="19" t="n">
        <v>0.000123</v>
      </c>
    </row>
    <row r="4">
      <c r="B4" s="20" t="n">
        <v>1.5</v>
      </c>
    </row>
    <row r="5">
      <c r="B5" t="n">
        <v>12345678901234</v>
      </c>
    </row>
    <row r="6">
      <c r="B6" t="n">
        <v>0.3</v>
      </c>
    </row>
    <row r="7">
      <c r="B7" s="21" t="n">
        <v>45000.75</v>
      </c>
    </row>
    <row r="8">
      <c r="B8" s="22" t="n">
        <v>45000</v>
      </c>
    </row>
    <row r="9">
      <c r="B9" s="23" t="n">
        <v>1234.5</v>
      </c>
    </row>
    <row r="10">
      <c r="B10" s="24" t="n">
        <v>-5</v>
      </c>
    </row>
    <row r="11">
      <c r="B11" s="2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2026-10-06T10:38:02Z</dcterms:created>
  <dcterms:modified xmlns:dcterms="http://purl.org/dc/terms/" xmlns:xsi="http://www.w3.org/2001/XMLSchema-instance" xsi:type="dcterms:W3CDTF">2026-10-06T10:38:02Z</dcterms:modified>
</cp:coreProperties>
</file>